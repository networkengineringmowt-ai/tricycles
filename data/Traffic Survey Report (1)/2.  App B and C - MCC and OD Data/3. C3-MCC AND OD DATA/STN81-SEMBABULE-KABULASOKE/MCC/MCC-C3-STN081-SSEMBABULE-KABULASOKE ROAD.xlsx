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4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drawings/drawing5.xml" ContentType="application/vnd.openxmlformats-officedocument.drawing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6.xml" ContentType="application/vnd.openxmlformats-officedocument.drawing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drawings/drawing7.xml" ContentType="application/vnd.openxmlformats-officedocument.drawing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drawings/drawing8.xml" ContentType="application/vnd.openxmlformats-officedocument.drawing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drawings/drawing9.xml" ContentType="application/vnd.openxmlformats-officedocument.drawing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drawings/drawing10.xml" ContentType="application/vnd.openxmlformats-officedocument.drawing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drawings/drawing11.xml" ContentType="application/vnd.openxmlformats-officedocument.drawing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drawings/drawing12.xml" ContentType="application/vnd.openxmlformats-officedocument.drawing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drawings/drawing13.xml" ContentType="application/vnd.openxmlformats-officedocument.drawing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drawings/drawing14.xml" ContentType="application/vnd.openxmlformats-officedocument.drawing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drawings/drawing15.xml" ContentType="application/vnd.openxmlformats-officedocument.drawing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drawings/drawing16.xml" ContentType="application/vnd.openxmlformats-officedocument.drawing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drawings/drawing17.xml" ContentType="application/vnd.openxmlformats-officedocument.drawing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6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67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t\Desktop\C-3 Analysis   Complete-Steve\STN81-SEMBABULE-KABULASOKE\MCC\"/>
    </mc:Choice>
  </mc:AlternateContent>
  <bookViews>
    <workbookView xWindow="-120" yWindow="-120" windowWidth="20730" windowHeight="11160" tabRatio="905" firstSheet="14" activeTab="14"/>
  </bookViews>
  <sheets>
    <sheet name="17.10 SSEMBABULE-KANONI" sheetId="93" r:id="rId1"/>
    <sheet name="17.10 KANONI-SSEMBABULE" sheetId="94" r:id="rId2"/>
    <sheet name="18.10 SSEMBABULE-KANONI-24h" sheetId="101" r:id="rId3"/>
    <sheet name="18.10 KANONI-SSEMBABULE-24h" sheetId="109" r:id="rId4"/>
    <sheet name="19.10  SSEMBABULE- KANONI-24h" sheetId="105" r:id="rId5"/>
    <sheet name="19.10 KANONI-SSEMBABULE-24h" sheetId="110" r:id="rId6"/>
    <sheet name="20.10 SSEMBABULE-KANONI" sheetId="95" r:id="rId7"/>
    <sheet name="20.10 KANONI-SSEMBABULE" sheetId="96" r:id="rId8"/>
    <sheet name="21.10 SSEMBABULE-KANONI" sheetId="98" r:id="rId9"/>
    <sheet name="21.10 KANONI-SSEMBABULE" sheetId="97" r:id="rId10"/>
    <sheet name="22.10 SSEMBABULE-KANONI" sheetId="99" r:id="rId11"/>
    <sheet name="22.10 KANONI-SSEMBABULE" sheetId="100" r:id="rId12"/>
    <sheet name="23.10 SSEMBABULE-KANONI" sheetId="103" r:id="rId13"/>
    <sheet name="23.10 KANONI-SSEMBABULE" sheetId="104" r:id="rId14"/>
    <sheet name="Avg Week Ssembabule-Kanoni" sheetId="107" r:id="rId15"/>
    <sheet name="Avg Week Kanoni-Ssembabule" sheetId="108" r:id="rId16"/>
    <sheet name="Avg Week Ssembabule-Kanoni-2Dir" sheetId="111" r:id="rId17"/>
  </sheets>
  <definedNames>
    <definedName name="_xlnm.Print_Area" localSheetId="1">'17.10 KANONI-SSEMBABULE'!$A$1:$AF$60</definedName>
    <definedName name="_xlnm.Print_Area" localSheetId="0">'17.10 SSEMBABULE-KANONI'!$A$1:$AF$60</definedName>
    <definedName name="_xlnm.Print_Area" localSheetId="3">'18.10 KANONI-SSEMBABULE-24h'!$A$1:$AF$108</definedName>
    <definedName name="_xlnm.Print_Area" localSheetId="2">'18.10 SSEMBABULE-KANONI-24h'!$A$1:$AF$108</definedName>
    <definedName name="_xlnm.Print_Area" localSheetId="4">'19.10  SSEMBABULE- KANONI-24h'!$A$1:$AF$108</definedName>
    <definedName name="_xlnm.Print_Area" localSheetId="5">'19.10 KANONI-SSEMBABULE-24h'!$A$1:$AF$108</definedName>
    <definedName name="_xlnm.Print_Area" localSheetId="7">'20.10 KANONI-SSEMBABULE'!$A$1:$AF$60</definedName>
    <definedName name="_xlnm.Print_Area" localSheetId="6">'20.10 SSEMBABULE-KANONI'!$A$1:$AF$60</definedName>
    <definedName name="_xlnm.Print_Area" localSheetId="9">'21.10 KANONI-SSEMBABULE'!$A$1:$AF$60</definedName>
    <definedName name="_xlnm.Print_Area" localSheetId="8">'21.10 SSEMBABULE-KANONI'!$A$1:$AF$60</definedName>
    <definedName name="_xlnm.Print_Area" localSheetId="11">'22.10 KANONI-SSEMBABULE'!$A$1:$AF$60</definedName>
    <definedName name="_xlnm.Print_Area" localSheetId="10">'22.10 SSEMBABULE-KANONI'!$A$1:$AF$60</definedName>
    <definedName name="_xlnm.Print_Area" localSheetId="13">'23.10 KANONI-SSEMBABULE'!$A$1:$AF$60</definedName>
    <definedName name="_xlnm.Print_Area" localSheetId="12">'23.10 SSEMBABULE-KANONI'!$A$1:$AF$60</definedName>
    <definedName name="_xlnm.Print_Area" localSheetId="15">'Avg Week Kanoni-Ssembabule'!$A$1:$AF$108</definedName>
    <definedName name="_xlnm.Print_Area" localSheetId="14">'Avg Week Ssembabule-Kanoni'!$A$1:$AF$108</definedName>
    <definedName name="_xlnm.Print_Area" localSheetId="16">'Avg Week Ssembabule-Kanoni-2Dir'!$A$1:$AF$108</definedName>
    <definedName name="_xlnm.Print_Titles" localSheetId="1">'17.10 KANONI-SSEMBABULE'!$1:$8</definedName>
    <definedName name="_xlnm.Print_Titles" localSheetId="0">'17.10 SSEMBABULE-KANONI'!$1:$8</definedName>
    <definedName name="_xlnm.Print_Titles" localSheetId="3">'18.10 KANONI-SSEMBABULE-24h'!$1:$8</definedName>
    <definedName name="_xlnm.Print_Titles" localSheetId="2">'18.10 SSEMBABULE-KANONI-24h'!$1:$8</definedName>
    <definedName name="_xlnm.Print_Titles" localSheetId="4">'19.10  SSEMBABULE- KANONI-24h'!$1:$8</definedName>
    <definedName name="_xlnm.Print_Titles" localSheetId="5">'19.10 KANONI-SSEMBABULE-24h'!$1:$8</definedName>
    <definedName name="_xlnm.Print_Titles" localSheetId="7">'20.10 KANONI-SSEMBABULE'!$1:$8</definedName>
    <definedName name="_xlnm.Print_Titles" localSheetId="6">'20.10 SSEMBABULE-KANONI'!$1:$8</definedName>
    <definedName name="_xlnm.Print_Titles" localSheetId="9">'21.10 KANONI-SSEMBABULE'!$1:$8</definedName>
    <definedName name="_xlnm.Print_Titles" localSheetId="8">'21.10 SSEMBABULE-KANONI'!$1:$8</definedName>
    <definedName name="_xlnm.Print_Titles" localSheetId="11">'22.10 KANONI-SSEMBABULE'!$1:$8</definedName>
    <definedName name="_xlnm.Print_Titles" localSheetId="10">'22.10 SSEMBABULE-KANONI'!$1:$8</definedName>
    <definedName name="_xlnm.Print_Titles" localSheetId="13">'23.10 KANONI-SSEMBABULE'!$1:$8</definedName>
    <definedName name="_xlnm.Print_Titles" localSheetId="12">'23.10 SSEMBABULE-KANONI'!$1:$8</definedName>
    <definedName name="_xlnm.Print_Titles" localSheetId="15">'Avg Week Kanoni-Ssembabule'!$1:$8</definedName>
    <definedName name="_xlnm.Print_Titles" localSheetId="14">'Avg Week Ssembabule-Kanoni'!$1:$8</definedName>
    <definedName name="_xlnm.Print_Titles" localSheetId="16">'Avg Week Ssembabule-Kanoni-2Dir'!$1:$8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106" i="107" l="1"/>
  <c r="E106" i="107"/>
  <c r="F106" i="107"/>
  <c r="G106" i="107"/>
  <c r="H106" i="107"/>
  <c r="I106" i="107"/>
  <c r="J106" i="107"/>
  <c r="K106" i="107"/>
  <c r="L106" i="107"/>
  <c r="M106" i="107"/>
  <c r="N106" i="107"/>
  <c r="O106" i="107"/>
  <c r="P106" i="107"/>
  <c r="C106" i="107"/>
  <c r="D106" i="108"/>
  <c r="E106" i="108"/>
  <c r="F106" i="108"/>
  <c r="G106" i="108"/>
  <c r="H106" i="108"/>
  <c r="I106" i="108"/>
  <c r="J106" i="108"/>
  <c r="K106" i="108"/>
  <c r="L106" i="108"/>
  <c r="M106" i="108"/>
  <c r="N106" i="108"/>
  <c r="O106" i="108"/>
  <c r="P106" i="108"/>
  <c r="C106" i="108"/>
  <c r="D106" i="111"/>
  <c r="E106" i="111"/>
  <c r="F106" i="111"/>
  <c r="G106" i="111"/>
  <c r="H106" i="111"/>
  <c r="I106" i="111"/>
  <c r="J106" i="111"/>
  <c r="K106" i="111"/>
  <c r="L106" i="111"/>
  <c r="M106" i="111"/>
  <c r="N106" i="111"/>
  <c r="O106" i="111"/>
  <c r="P106" i="111"/>
  <c r="C106" i="111"/>
  <c r="P58" i="111" l="1"/>
  <c r="P59" i="111"/>
  <c r="P60" i="111"/>
  <c r="P61" i="111"/>
  <c r="AF22" i="111" s="1"/>
  <c r="P62" i="111"/>
  <c r="P63" i="111"/>
  <c r="P64" i="111"/>
  <c r="P65" i="111"/>
  <c r="AF23" i="111" s="1"/>
  <c r="P66" i="111"/>
  <c r="P67" i="111"/>
  <c r="P68" i="111"/>
  <c r="AF24" i="111" s="1"/>
  <c r="P69" i="111"/>
  <c r="P70" i="111"/>
  <c r="P71" i="111"/>
  <c r="P72" i="111"/>
  <c r="AF25" i="111" s="1"/>
  <c r="P73" i="111"/>
  <c r="P74" i="111"/>
  <c r="P75" i="111"/>
  <c r="P76" i="111"/>
  <c r="AF26" i="111" s="1"/>
  <c r="P77" i="111"/>
  <c r="P78" i="111"/>
  <c r="P79" i="111"/>
  <c r="P80" i="111"/>
  <c r="AF27" i="111" s="1"/>
  <c r="P81" i="111"/>
  <c r="P82" i="111"/>
  <c r="P83" i="111"/>
  <c r="P84" i="111"/>
  <c r="P85" i="111"/>
  <c r="AF28" i="111" s="1"/>
  <c r="P86" i="111"/>
  <c r="P87" i="111"/>
  <c r="P88" i="111"/>
  <c r="P89" i="111"/>
  <c r="AF29" i="111" s="1"/>
  <c r="P90" i="111"/>
  <c r="P91" i="111"/>
  <c r="P92" i="111"/>
  <c r="AF30" i="111" s="1"/>
  <c r="P93" i="111"/>
  <c r="P94" i="111"/>
  <c r="P95" i="111"/>
  <c r="P96" i="111"/>
  <c r="AF31" i="111" s="1"/>
  <c r="P97" i="111"/>
  <c r="P98" i="111"/>
  <c r="P99" i="111"/>
  <c r="P100" i="111"/>
  <c r="AF32" i="111" s="1"/>
  <c r="P101" i="111"/>
  <c r="P102" i="111"/>
  <c r="P103" i="111"/>
  <c r="P104" i="111"/>
  <c r="AF33" i="111" s="1"/>
  <c r="P105" i="111"/>
  <c r="O58" i="111"/>
  <c r="O59" i="111"/>
  <c r="O60" i="111"/>
  <c r="O61" i="111"/>
  <c r="O62" i="111"/>
  <c r="O63" i="111"/>
  <c r="O64" i="111"/>
  <c r="O65" i="111"/>
  <c r="AE23" i="111" s="1"/>
  <c r="O66" i="111"/>
  <c r="O67" i="111"/>
  <c r="O68" i="111"/>
  <c r="AE24" i="111" s="1"/>
  <c r="O69" i="111"/>
  <c r="O70" i="111"/>
  <c r="O71" i="111"/>
  <c r="O72" i="111"/>
  <c r="O73" i="111"/>
  <c r="O74" i="111"/>
  <c r="O75" i="111"/>
  <c r="O76" i="111"/>
  <c r="O77" i="111"/>
  <c r="AE26" i="111" s="1"/>
  <c r="O78" i="111"/>
  <c r="O79" i="111"/>
  <c r="O80" i="111"/>
  <c r="AE27" i="111" s="1"/>
  <c r="O81" i="111"/>
  <c r="O82" i="111"/>
  <c r="O83" i="111"/>
  <c r="O84" i="111"/>
  <c r="O85" i="111"/>
  <c r="O86" i="111"/>
  <c r="O87" i="111"/>
  <c r="O88" i="111"/>
  <c r="O89" i="111"/>
  <c r="O90" i="111"/>
  <c r="O91" i="111"/>
  <c r="O92" i="111"/>
  <c r="AE30" i="111" s="1"/>
  <c r="O93" i="111"/>
  <c r="O94" i="111"/>
  <c r="O95" i="111"/>
  <c r="O96" i="111"/>
  <c r="AE31" i="111" s="1"/>
  <c r="O97" i="111"/>
  <c r="O98" i="111"/>
  <c r="O99" i="111"/>
  <c r="O100" i="111"/>
  <c r="O101" i="111"/>
  <c r="AE32" i="111" s="1"/>
  <c r="O102" i="111"/>
  <c r="O103" i="111"/>
  <c r="O104" i="111"/>
  <c r="AE33" i="111" s="1"/>
  <c r="O105" i="111"/>
  <c r="D58" i="111"/>
  <c r="E58" i="111"/>
  <c r="F58" i="111"/>
  <c r="G58" i="111"/>
  <c r="W22" i="111" s="1"/>
  <c r="H58" i="111"/>
  <c r="I58" i="111"/>
  <c r="J58" i="111"/>
  <c r="K58" i="111"/>
  <c r="AA22" i="111" s="1"/>
  <c r="L58" i="111"/>
  <c r="M58" i="111"/>
  <c r="N58" i="111"/>
  <c r="D59" i="111"/>
  <c r="T22" i="111" s="1"/>
  <c r="E59" i="111"/>
  <c r="F59" i="111"/>
  <c r="G59" i="111"/>
  <c r="H59" i="111"/>
  <c r="X22" i="111" s="1"/>
  <c r="I59" i="111"/>
  <c r="J59" i="111"/>
  <c r="K59" i="111"/>
  <c r="L59" i="111"/>
  <c r="AB22" i="111" s="1"/>
  <c r="M59" i="111"/>
  <c r="N59" i="111"/>
  <c r="D60" i="111"/>
  <c r="E60" i="111"/>
  <c r="F60" i="111"/>
  <c r="G60" i="111"/>
  <c r="H60" i="111"/>
  <c r="I60" i="111"/>
  <c r="J60" i="111"/>
  <c r="K60" i="111"/>
  <c r="L60" i="111"/>
  <c r="M60" i="111"/>
  <c r="N60" i="111"/>
  <c r="D61" i="111"/>
  <c r="E61" i="111"/>
  <c r="F61" i="111"/>
  <c r="V22" i="111" s="1"/>
  <c r="G61" i="111"/>
  <c r="H61" i="111"/>
  <c r="I61" i="111"/>
  <c r="J61" i="111"/>
  <c r="Z22" i="111" s="1"/>
  <c r="K61" i="111"/>
  <c r="L61" i="111"/>
  <c r="M61" i="111"/>
  <c r="N61" i="111"/>
  <c r="AD22" i="111" s="1"/>
  <c r="D62" i="111"/>
  <c r="E62" i="111"/>
  <c r="F62" i="111"/>
  <c r="V23" i="111" s="1"/>
  <c r="G62" i="111"/>
  <c r="W23" i="111" s="1"/>
  <c r="H62" i="111"/>
  <c r="I62" i="111"/>
  <c r="J62" i="111"/>
  <c r="Z23" i="111" s="1"/>
  <c r="K62" i="111"/>
  <c r="AA23" i="111" s="1"/>
  <c r="L62" i="111"/>
  <c r="M62" i="111"/>
  <c r="N62" i="111"/>
  <c r="AD23" i="111" s="1"/>
  <c r="D63" i="111"/>
  <c r="E63" i="111"/>
  <c r="F63" i="111"/>
  <c r="G63" i="111"/>
  <c r="H63" i="111"/>
  <c r="I63" i="111"/>
  <c r="J63" i="111"/>
  <c r="K63" i="111"/>
  <c r="L63" i="111"/>
  <c r="M63" i="111"/>
  <c r="N63" i="111"/>
  <c r="D64" i="111"/>
  <c r="E64" i="111"/>
  <c r="U23" i="111" s="1"/>
  <c r="F64" i="111"/>
  <c r="G64" i="111"/>
  <c r="H64" i="111"/>
  <c r="I64" i="111"/>
  <c r="Y23" i="111" s="1"/>
  <c r="J64" i="111"/>
  <c r="K64" i="111"/>
  <c r="L64" i="111"/>
  <c r="M64" i="111"/>
  <c r="AC23" i="111" s="1"/>
  <c r="N64" i="111"/>
  <c r="D65" i="111"/>
  <c r="E65" i="111"/>
  <c r="F65" i="111"/>
  <c r="G65" i="111"/>
  <c r="H65" i="111"/>
  <c r="I65" i="111"/>
  <c r="J65" i="111"/>
  <c r="K65" i="111"/>
  <c r="L65" i="111"/>
  <c r="M65" i="111"/>
  <c r="N65" i="111"/>
  <c r="D66" i="111"/>
  <c r="E66" i="111"/>
  <c r="F66" i="111"/>
  <c r="G66" i="111"/>
  <c r="W24" i="111" s="1"/>
  <c r="H66" i="111"/>
  <c r="I66" i="111"/>
  <c r="J66" i="111"/>
  <c r="K66" i="111"/>
  <c r="AA24" i="111" s="1"/>
  <c r="L66" i="111"/>
  <c r="M66" i="111"/>
  <c r="N66" i="111"/>
  <c r="D67" i="111"/>
  <c r="T24" i="111" s="1"/>
  <c r="E67" i="111"/>
  <c r="F67" i="111"/>
  <c r="G67" i="111"/>
  <c r="H67" i="111"/>
  <c r="X24" i="111" s="1"/>
  <c r="I67" i="111"/>
  <c r="J67" i="111"/>
  <c r="K67" i="111"/>
  <c r="L67" i="111"/>
  <c r="AB24" i="111" s="1"/>
  <c r="M67" i="111"/>
  <c r="N67" i="111"/>
  <c r="D68" i="111"/>
  <c r="E68" i="111"/>
  <c r="U24" i="111" s="1"/>
  <c r="F68" i="111"/>
  <c r="G68" i="111"/>
  <c r="H68" i="111"/>
  <c r="I68" i="111"/>
  <c r="Y24" i="111" s="1"/>
  <c r="J68" i="111"/>
  <c r="K68" i="111"/>
  <c r="L68" i="111"/>
  <c r="M68" i="111"/>
  <c r="AC24" i="111" s="1"/>
  <c r="N68" i="111"/>
  <c r="D69" i="111"/>
  <c r="E69" i="111"/>
  <c r="F69" i="111"/>
  <c r="G69" i="111"/>
  <c r="H69" i="111"/>
  <c r="I69" i="111"/>
  <c r="J69" i="111"/>
  <c r="K69" i="111"/>
  <c r="L69" i="111"/>
  <c r="M69" i="111"/>
  <c r="N69" i="111"/>
  <c r="D70" i="111"/>
  <c r="E70" i="111"/>
  <c r="F70" i="111"/>
  <c r="G70" i="111"/>
  <c r="W25" i="111" s="1"/>
  <c r="H70" i="111"/>
  <c r="I70" i="111"/>
  <c r="J70" i="111"/>
  <c r="K70" i="111"/>
  <c r="AA25" i="111" s="1"/>
  <c r="L70" i="111"/>
  <c r="M70" i="111"/>
  <c r="N70" i="111"/>
  <c r="D71" i="111"/>
  <c r="T25" i="111" s="1"/>
  <c r="E71" i="111"/>
  <c r="F71" i="111"/>
  <c r="G71" i="111"/>
  <c r="H71" i="111"/>
  <c r="X25" i="111" s="1"/>
  <c r="I71" i="111"/>
  <c r="J71" i="111"/>
  <c r="K71" i="111"/>
  <c r="L71" i="111"/>
  <c r="AB25" i="111" s="1"/>
  <c r="M71" i="111"/>
  <c r="N71" i="111"/>
  <c r="D72" i="111"/>
  <c r="E72" i="111"/>
  <c r="F72" i="111"/>
  <c r="G72" i="111"/>
  <c r="H72" i="111"/>
  <c r="I72" i="111"/>
  <c r="J72" i="111"/>
  <c r="K72" i="111"/>
  <c r="L72" i="111"/>
  <c r="M72" i="111"/>
  <c r="N72" i="111"/>
  <c r="D73" i="111"/>
  <c r="E73" i="111"/>
  <c r="F73" i="111"/>
  <c r="V25" i="111" s="1"/>
  <c r="G73" i="111"/>
  <c r="H73" i="111"/>
  <c r="I73" i="111"/>
  <c r="J73" i="111"/>
  <c r="Z25" i="111" s="1"/>
  <c r="K73" i="111"/>
  <c r="L73" i="111"/>
  <c r="M73" i="111"/>
  <c r="N73" i="111"/>
  <c r="AD25" i="111" s="1"/>
  <c r="D74" i="111"/>
  <c r="E74" i="111"/>
  <c r="F74" i="111"/>
  <c r="V26" i="111" s="1"/>
  <c r="G74" i="111"/>
  <c r="H74" i="111"/>
  <c r="I74" i="111"/>
  <c r="J74" i="111"/>
  <c r="Z26" i="111" s="1"/>
  <c r="K74" i="111"/>
  <c r="L74" i="111"/>
  <c r="M74" i="111"/>
  <c r="N74" i="111"/>
  <c r="AD26" i="111" s="1"/>
  <c r="D75" i="111"/>
  <c r="T26" i="111" s="1"/>
  <c r="E75" i="111"/>
  <c r="F75" i="111"/>
  <c r="G75" i="111"/>
  <c r="H75" i="111"/>
  <c r="X26" i="111" s="1"/>
  <c r="I75" i="111"/>
  <c r="J75" i="111"/>
  <c r="K75" i="111"/>
  <c r="L75" i="111"/>
  <c r="AB26" i="111" s="1"/>
  <c r="M75" i="111"/>
  <c r="N75" i="111"/>
  <c r="D76" i="111"/>
  <c r="E76" i="111"/>
  <c r="U26" i="111" s="1"/>
  <c r="F76" i="111"/>
  <c r="G76" i="111"/>
  <c r="H76" i="111"/>
  <c r="I76" i="111"/>
  <c r="Y26" i="111" s="1"/>
  <c r="J76" i="111"/>
  <c r="K76" i="111"/>
  <c r="L76" i="111"/>
  <c r="M76" i="111"/>
  <c r="AC26" i="111" s="1"/>
  <c r="N76" i="111"/>
  <c r="D77" i="111"/>
  <c r="E77" i="111"/>
  <c r="F77" i="111"/>
  <c r="G77" i="111"/>
  <c r="H77" i="111"/>
  <c r="I77" i="111"/>
  <c r="J77" i="111"/>
  <c r="K77" i="111"/>
  <c r="L77" i="111"/>
  <c r="M77" i="111"/>
  <c r="N77" i="111"/>
  <c r="D78" i="111"/>
  <c r="E78" i="111"/>
  <c r="F78" i="111"/>
  <c r="G78" i="111"/>
  <c r="W27" i="111" s="1"/>
  <c r="H78" i="111"/>
  <c r="I78" i="111"/>
  <c r="J78" i="111"/>
  <c r="K78" i="111"/>
  <c r="AA27" i="111" s="1"/>
  <c r="L78" i="111"/>
  <c r="M78" i="111"/>
  <c r="N78" i="111"/>
  <c r="D79" i="111"/>
  <c r="T27" i="111" s="1"/>
  <c r="E79" i="111"/>
  <c r="F79" i="111"/>
  <c r="G79" i="111"/>
  <c r="H79" i="111"/>
  <c r="X27" i="111" s="1"/>
  <c r="I79" i="111"/>
  <c r="J79" i="111"/>
  <c r="K79" i="111"/>
  <c r="L79" i="111"/>
  <c r="AB27" i="111" s="1"/>
  <c r="M79" i="111"/>
  <c r="N79" i="111"/>
  <c r="D80" i="111"/>
  <c r="E80" i="111"/>
  <c r="U27" i="111" s="1"/>
  <c r="F80" i="111"/>
  <c r="G80" i="111"/>
  <c r="H80" i="111"/>
  <c r="I80" i="111"/>
  <c r="Y27" i="111" s="1"/>
  <c r="J80" i="111"/>
  <c r="K80" i="111"/>
  <c r="L80" i="111"/>
  <c r="M80" i="111"/>
  <c r="AC27" i="111" s="1"/>
  <c r="N80" i="111"/>
  <c r="D81" i="111"/>
  <c r="E81" i="111"/>
  <c r="F81" i="111"/>
  <c r="G81" i="111"/>
  <c r="H81" i="111"/>
  <c r="I81" i="111"/>
  <c r="J81" i="111"/>
  <c r="K81" i="111"/>
  <c r="L81" i="111"/>
  <c r="M81" i="111"/>
  <c r="N81" i="111"/>
  <c r="D82" i="111"/>
  <c r="E82" i="111"/>
  <c r="F82" i="111"/>
  <c r="V28" i="111" s="1"/>
  <c r="G82" i="111"/>
  <c r="W28" i="111" s="1"/>
  <c r="H82" i="111"/>
  <c r="I82" i="111"/>
  <c r="J82" i="111"/>
  <c r="Z28" i="111" s="1"/>
  <c r="K82" i="111"/>
  <c r="AA28" i="111" s="1"/>
  <c r="L82" i="111"/>
  <c r="M82" i="111"/>
  <c r="N82" i="111"/>
  <c r="AD28" i="111" s="1"/>
  <c r="D83" i="111"/>
  <c r="E83" i="111"/>
  <c r="F83" i="111"/>
  <c r="G83" i="111"/>
  <c r="H83" i="111"/>
  <c r="I83" i="111"/>
  <c r="J83" i="111"/>
  <c r="K83" i="111"/>
  <c r="L83" i="111"/>
  <c r="M83" i="111"/>
  <c r="N83" i="111"/>
  <c r="D84" i="111"/>
  <c r="E84" i="111"/>
  <c r="U28" i="111" s="1"/>
  <c r="F84" i="111"/>
  <c r="G84" i="111"/>
  <c r="H84" i="111"/>
  <c r="I84" i="111"/>
  <c r="Y28" i="111" s="1"/>
  <c r="J84" i="111"/>
  <c r="K84" i="111"/>
  <c r="L84" i="111"/>
  <c r="M84" i="111"/>
  <c r="AC28" i="111" s="1"/>
  <c r="N84" i="111"/>
  <c r="D85" i="111"/>
  <c r="E85" i="111"/>
  <c r="F85" i="111"/>
  <c r="G85" i="111"/>
  <c r="H85" i="111"/>
  <c r="I85" i="111"/>
  <c r="J85" i="111"/>
  <c r="K85" i="111"/>
  <c r="L85" i="111"/>
  <c r="M85" i="111"/>
  <c r="N85" i="111"/>
  <c r="D86" i="111"/>
  <c r="E86" i="111"/>
  <c r="F86" i="111"/>
  <c r="V29" i="111" s="1"/>
  <c r="G86" i="111"/>
  <c r="H86" i="111"/>
  <c r="I86" i="111"/>
  <c r="J86" i="111"/>
  <c r="Z29" i="111" s="1"/>
  <c r="K86" i="111"/>
  <c r="L86" i="111"/>
  <c r="M86" i="111"/>
  <c r="N86" i="111"/>
  <c r="AD29" i="111" s="1"/>
  <c r="D87" i="111"/>
  <c r="T29" i="111" s="1"/>
  <c r="E87" i="111"/>
  <c r="F87" i="111"/>
  <c r="G87" i="111"/>
  <c r="H87" i="111"/>
  <c r="X29" i="111" s="1"/>
  <c r="I87" i="111"/>
  <c r="J87" i="111"/>
  <c r="K87" i="111"/>
  <c r="L87" i="111"/>
  <c r="AB29" i="111" s="1"/>
  <c r="M87" i="111"/>
  <c r="N87" i="111"/>
  <c r="D88" i="111"/>
  <c r="E88" i="111"/>
  <c r="U29" i="111" s="1"/>
  <c r="F88" i="111"/>
  <c r="G88" i="111"/>
  <c r="H88" i="111"/>
  <c r="I88" i="111"/>
  <c r="Y29" i="111" s="1"/>
  <c r="J88" i="111"/>
  <c r="K88" i="111"/>
  <c r="L88" i="111"/>
  <c r="M88" i="111"/>
  <c r="AC29" i="111" s="1"/>
  <c r="N88" i="111"/>
  <c r="D89" i="111"/>
  <c r="E89" i="111"/>
  <c r="F89" i="111"/>
  <c r="G89" i="111"/>
  <c r="H89" i="111"/>
  <c r="I89" i="111"/>
  <c r="J89" i="111"/>
  <c r="K89" i="111"/>
  <c r="L89" i="111"/>
  <c r="M89" i="111"/>
  <c r="N89" i="111"/>
  <c r="D90" i="111"/>
  <c r="E90" i="111"/>
  <c r="F90" i="111"/>
  <c r="G90" i="111"/>
  <c r="W30" i="111" s="1"/>
  <c r="H90" i="111"/>
  <c r="I90" i="111"/>
  <c r="J90" i="111"/>
  <c r="K90" i="111"/>
  <c r="AA30" i="111" s="1"/>
  <c r="L90" i="111"/>
  <c r="M90" i="111"/>
  <c r="N90" i="111"/>
  <c r="D91" i="111"/>
  <c r="T30" i="111" s="1"/>
  <c r="E91" i="111"/>
  <c r="F91" i="111"/>
  <c r="G91" i="111"/>
  <c r="H91" i="111"/>
  <c r="X30" i="111" s="1"/>
  <c r="I91" i="111"/>
  <c r="J91" i="111"/>
  <c r="K91" i="111"/>
  <c r="L91" i="111"/>
  <c r="AB30" i="111" s="1"/>
  <c r="M91" i="111"/>
  <c r="N91" i="111"/>
  <c r="D92" i="111"/>
  <c r="E92" i="111"/>
  <c r="F92" i="111"/>
  <c r="G92" i="111"/>
  <c r="H92" i="111"/>
  <c r="I92" i="111"/>
  <c r="J92" i="111"/>
  <c r="K92" i="111"/>
  <c r="L92" i="111"/>
  <c r="M92" i="111"/>
  <c r="N92" i="111"/>
  <c r="D93" i="111"/>
  <c r="E93" i="111"/>
  <c r="F93" i="111"/>
  <c r="V30" i="111" s="1"/>
  <c r="G93" i="111"/>
  <c r="H93" i="111"/>
  <c r="I93" i="111"/>
  <c r="J93" i="111"/>
  <c r="Z30" i="111" s="1"/>
  <c r="K93" i="111"/>
  <c r="L93" i="111"/>
  <c r="M93" i="111"/>
  <c r="N93" i="111"/>
  <c r="AD30" i="111" s="1"/>
  <c r="D94" i="111"/>
  <c r="E94" i="111"/>
  <c r="F94" i="111"/>
  <c r="V31" i="111" s="1"/>
  <c r="G94" i="111"/>
  <c r="W31" i="111" s="1"/>
  <c r="H94" i="111"/>
  <c r="I94" i="111"/>
  <c r="J94" i="111"/>
  <c r="Z31" i="111" s="1"/>
  <c r="K94" i="111"/>
  <c r="AA31" i="111" s="1"/>
  <c r="L94" i="111"/>
  <c r="M94" i="111"/>
  <c r="N94" i="111"/>
  <c r="AD31" i="111" s="1"/>
  <c r="D95" i="111"/>
  <c r="E95" i="111"/>
  <c r="F95" i="111"/>
  <c r="G95" i="111"/>
  <c r="H95" i="111"/>
  <c r="I95" i="111"/>
  <c r="J95" i="111"/>
  <c r="K95" i="111"/>
  <c r="L95" i="111"/>
  <c r="M95" i="111"/>
  <c r="N95" i="111"/>
  <c r="D96" i="111"/>
  <c r="E96" i="111"/>
  <c r="U31" i="111" s="1"/>
  <c r="F96" i="111"/>
  <c r="G96" i="111"/>
  <c r="H96" i="111"/>
  <c r="I96" i="111"/>
  <c r="Y31" i="111" s="1"/>
  <c r="J96" i="111"/>
  <c r="K96" i="111"/>
  <c r="L96" i="111"/>
  <c r="M96" i="111"/>
  <c r="AC31" i="111" s="1"/>
  <c r="N96" i="111"/>
  <c r="D97" i="111"/>
  <c r="E97" i="111"/>
  <c r="F97" i="111"/>
  <c r="G97" i="111"/>
  <c r="H97" i="111"/>
  <c r="I97" i="111"/>
  <c r="J97" i="111"/>
  <c r="K97" i="111"/>
  <c r="L97" i="111"/>
  <c r="M97" i="111"/>
  <c r="N97" i="111"/>
  <c r="D98" i="111"/>
  <c r="E98" i="111"/>
  <c r="F98" i="111"/>
  <c r="G98" i="111"/>
  <c r="W32" i="111" s="1"/>
  <c r="H98" i="111"/>
  <c r="I98" i="111"/>
  <c r="J98" i="111"/>
  <c r="K98" i="111"/>
  <c r="AA32" i="111" s="1"/>
  <c r="L98" i="111"/>
  <c r="M98" i="111"/>
  <c r="N98" i="111"/>
  <c r="D99" i="111"/>
  <c r="T32" i="111" s="1"/>
  <c r="E99" i="111"/>
  <c r="F99" i="111"/>
  <c r="G99" i="111"/>
  <c r="H99" i="111"/>
  <c r="X32" i="111" s="1"/>
  <c r="I99" i="111"/>
  <c r="J99" i="111"/>
  <c r="K99" i="111"/>
  <c r="L99" i="111"/>
  <c r="AB32" i="111" s="1"/>
  <c r="M99" i="111"/>
  <c r="N99" i="111"/>
  <c r="D100" i="111"/>
  <c r="E100" i="111"/>
  <c r="U32" i="111" s="1"/>
  <c r="F100" i="111"/>
  <c r="G100" i="111"/>
  <c r="H100" i="111"/>
  <c r="I100" i="111"/>
  <c r="Y32" i="111" s="1"/>
  <c r="J100" i="111"/>
  <c r="K100" i="111"/>
  <c r="L100" i="111"/>
  <c r="M100" i="111"/>
  <c r="AC32" i="111" s="1"/>
  <c r="N100" i="111"/>
  <c r="D101" i="111"/>
  <c r="E101" i="111"/>
  <c r="F101" i="111"/>
  <c r="G101" i="111"/>
  <c r="H101" i="111"/>
  <c r="I101" i="111"/>
  <c r="J101" i="111"/>
  <c r="K101" i="111"/>
  <c r="L101" i="111"/>
  <c r="M101" i="111"/>
  <c r="N101" i="111"/>
  <c r="D102" i="111"/>
  <c r="E102" i="111"/>
  <c r="F102" i="111"/>
  <c r="G102" i="111"/>
  <c r="W33" i="111" s="1"/>
  <c r="H102" i="111"/>
  <c r="I102" i="111"/>
  <c r="J102" i="111"/>
  <c r="K102" i="111"/>
  <c r="AA33" i="111" s="1"/>
  <c r="L102" i="111"/>
  <c r="M102" i="111"/>
  <c r="N102" i="111"/>
  <c r="D103" i="111"/>
  <c r="T33" i="111" s="1"/>
  <c r="E103" i="111"/>
  <c r="F103" i="111"/>
  <c r="G103" i="111"/>
  <c r="H103" i="111"/>
  <c r="X33" i="111" s="1"/>
  <c r="I103" i="111"/>
  <c r="J103" i="111"/>
  <c r="K103" i="111"/>
  <c r="L103" i="111"/>
  <c r="AB33" i="111" s="1"/>
  <c r="M103" i="111"/>
  <c r="N103" i="111"/>
  <c r="D104" i="111"/>
  <c r="E104" i="111"/>
  <c r="F104" i="111"/>
  <c r="G104" i="111"/>
  <c r="H104" i="111"/>
  <c r="I104" i="111"/>
  <c r="J104" i="111"/>
  <c r="K104" i="111"/>
  <c r="L104" i="111"/>
  <c r="M104" i="111"/>
  <c r="N104" i="111"/>
  <c r="D105" i="111"/>
  <c r="E105" i="111"/>
  <c r="F105" i="111"/>
  <c r="V33" i="111" s="1"/>
  <c r="G105" i="111"/>
  <c r="H105" i="111"/>
  <c r="I105" i="111"/>
  <c r="J105" i="111"/>
  <c r="Z33" i="111" s="1"/>
  <c r="K105" i="111"/>
  <c r="L105" i="111"/>
  <c r="M105" i="111"/>
  <c r="N105" i="111"/>
  <c r="AD33" i="111" s="1"/>
  <c r="C59" i="111"/>
  <c r="C60" i="111"/>
  <c r="C61" i="111"/>
  <c r="C62" i="111"/>
  <c r="S23" i="111" s="1"/>
  <c r="C63" i="111"/>
  <c r="C64" i="111"/>
  <c r="C65" i="111"/>
  <c r="C66" i="111"/>
  <c r="C67" i="111"/>
  <c r="C68" i="111"/>
  <c r="C69" i="111"/>
  <c r="C70" i="111"/>
  <c r="S25" i="111" s="1"/>
  <c r="C71" i="111"/>
  <c r="C72" i="111"/>
  <c r="C73" i="111"/>
  <c r="C74" i="111"/>
  <c r="C75" i="111"/>
  <c r="C76" i="111"/>
  <c r="C77" i="111"/>
  <c r="C78" i="111"/>
  <c r="S27" i="111" s="1"/>
  <c r="C79" i="111"/>
  <c r="C80" i="111"/>
  <c r="C81" i="111"/>
  <c r="C82" i="111"/>
  <c r="C83" i="111"/>
  <c r="C84" i="111"/>
  <c r="C85" i="111"/>
  <c r="C86" i="111"/>
  <c r="S29" i="111" s="1"/>
  <c r="C87" i="111"/>
  <c r="C88" i="111"/>
  <c r="C89" i="111"/>
  <c r="C90" i="111"/>
  <c r="C91" i="111"/>
  <c r="C92" i="111"/>
  <c r="C93" i="111"/>
  <c r="C94" i="111"/>
  <c r="S31" i="111" s="1"/>
  <c r="C95" i="111"/>
  <c r="C96" i="111"/>
  <c r="C97" i="111"/>
  <c r="C98" i="111"/>
  <c r="C99" i="111"/>
  <c r="C100" i="111"/>
  <c r="C101" i="111"/>
  <c r="C102" i="111"/>
  <c r="S33" i="111" s="1"/>
  <c r="C103" i="111"/>
  <c r="C104" i="111"/>
  <c r="C105" i="111"/>
  <c r="C58" i="111"/>
  <c r="P58" i="108"/>
  <c r="P59" i="108"/>
  <c r="P60" i="108"/>
  <c r="P61" i="108"/>
  <c r="AF22" i="108" s="1"/>
  <c r="P62" i="108"/>
  <c r="P63" i="108"/>
  <c r="P64" i="108"/>
  <c r="P65" i="108"/>
  <c r="AF23" i="108" s="1"/>
  <c r="P66" i="108"/>
  <c r="P67" i="108"/>
  <c r="P68" i="108"/>
  <c r="AF24" i="108" s="1"/>
  <c r="P69" i="108"/>
  <c r="P70" i="108"/>
  <c r="P71" i="108"/>
  <c r="P72" i="108"/>
  <c r="AF25" i="108" s="1"/>
  <c r="P73" i="108"/>
  <c r="P74" i="108"/>
  <c r="P75" i="108"/>
  <c r="P76" i="108"/>
  <c r="AF26" i="108" s="1"/>
  <c r="P77" i="108"/>
  <c r="P78" i="108"/>
  <c r="P79" i="108"/>
  <c r="P80" i="108"/>
  <c r="AF27" i="108" s="1"/>
  <c r="P81" i="108"/>
  <c r="P82" i="108"/>
  <c r="P83" i="108"/>
  <c r="P84" i="108"/>
  <c r="P85" i="108"/>
  <c r="AF28" i="108" s="1"/>
  <c r="P86" i="108"/>
  <c r="P87" i="108"/>
  <c r="P88" i="108"/>
  <c r="P89" i="108"/>
  <c r="AF29" i="108" s="1"/>
  <c r="P90" i="108"/>
  <c r="P91" i="108"/>
  <c r="P92" i="108"/>
  <c r="AF30" i="108" s="1"/>
  <c r="P93" i="108"/>
  <c r="P94" i="108"/>
  <c r="P95" i="108"/>
  <c r="P96" i="108"/>
  <c r="AF31" i="108" s="1"/>
  <c r="P97" i="108"/>
  <c r="P98" i="108"/>
  <c r="P99" i="108"/>
  <c r="P100" i="108"/>
  <c r="AF32" i="108" s="1"/>
  <c r="P101" i="108"/>
  <c r="P102" i="108"/>
  <c r="P103" i="108"/>
  <c r="P104" i="108"/>
  <c r="AF33" i="108" s="1"/>
  <c r="P105" i="108"/>
  <c r="O58" i="108"/>
  <c r="O59" i="108"/>
  <c r="O60" i="108"/>
  <c r="O61" i="108"/>
  <c r="O62" i="108"/>
  <c r="O63" i="108"/>
  <c r="O64" i="108"/>
  <c r="O65" i="108"/>
  <c r="AE23" i="108" s="1"/>
  <c r="O66" i="108"/>
  <c r="O67" i="108"/>
  <c r="O68" i="108"/>
  <c r="AE24" i="108" s="1"/>
  <c r="O69" i="108"/>
  <c r="O70" i="108"/>
  <c r="O71" i="108"/>
  <c r="O72" i="108"/>
  <c r="O73" i="108"/>
  <c r="O74" i="108"/>
  <c r="O75" i="108"/>
  <c r="O76" i="108"/>
  <c r="O77" i="108"/>
  <c r="AE26" i="108" s="1"/>
  <c r="O78" i="108"/>
  <c r="O79" i="108"/>
  <c r="O80" i="108"/>
  <c r="AE27" i="108" s="1"/>
  <c r="O81" i="108"/>
  <c r="O82" i="108"/>
  <c r="O83" i="108"/>
  <c r="O84" i="108"/>
  <c r="O85" i="108"/>
  <c r="O86" i="108"/>
  <c r="O87" i="108"/>
  <c r="O88" i="108"/>
  <c r="O89" i="108"/>
  <c r="O90" i="108"/>
  <c r="O91" i="108"/>
  <c r="O92" i="108"/>
  <c r="AE30" i="108" s="1"/>
  <c r="O93" i="108"/>
  <c r="O94" i="108"/>
  <c r="O95" i="108"/>
  <c r="O96" i="108"/>
  <c r="AE31" i="108" s="1"/>
  <c r="O97" i="108"/>
  <c r="O98" i="108"/>
  <c r="O99" i="108"/>
  <c r="O100" i="108"/>
  <c r="O101" i="108"/>
  <c r="AE32" i="108" s="1"/>
  <c r="O102" i="108"/>
  <c r="O103" i="108"/>
  <c r="O104" i="108"/>
  <c r="AE33" i="108" s="1"/>
  <c r="O105" i="108"/>
  <c r="D58" i="108"/>
  <c r="E58" i="108"/>
  <c r="F58" i="108"/>
  <c r="G58" i="108"/>
  <c r="W22" i="108" s="1"/>
  <c r="H58" i="108"/>
  <c r="I58" i="108"/>
  <c r="J58" i="108"/>
  <c r="K58" i="108"/>
  <c r="AA22" i="108" s="1"/>
  <c r="L58" i="108"/>
  <c r="M58" i="108"/>
  <c r="N58" i="108"/>
  <c r="D59" i="108"/>
  <c r="T22" i="108" s="1"/>
  <c r="E59" i="108"/>
  <c r="F59" i="108"/>
  <c r="G59" i="108"/>
  <c r="H59" i="108"/>
  <c r="X22" i="108" s="1"/>
  <c r="I59" i="108"/>
  <c r="J59" i="108"/>
  <c r="K59" i="108"/>
  <c r="L59" i="108"/>
  <c r="AB22" i="108" s="1"/>
  <c r="M59" i="108"/>
  <c r="N59" i="108"/>
  <c r="D60" i="108"/>
  <c r="E60" i="108"/>
  <c r="F60" i="108"/>
  <c r="G60" i="108"/>
  <c r="H60" i="108"/>
  <c r="I60" i="108"/>
  <c r="J60" i="108"/>
  <c r="K60" i="108"/>
  <c r="L60" i="108"/>
  <c r="M60" i="108"/>
  <c r="N60" i="108"/>
  <c r="D61" i="108"/>
  <c r="E61" i="108"/>
  <c r="F61" i="108"/>
  <c r="V22" i="108" s="1"/>
  <c r="G61" i="108"/>
  <c r="H61" i="108"/>
  <c r="I61" i="108"/>
  <c r="J61" i="108"/>
  <c r="Z22" i="108" s="1"/>
  <c r="K61" i="108"/>
  <c r="L61" i="108"/>
  <c r="M61" i="108"/>
  <c r="N61" i="108"/>
  <c r="AD22" i="108" s="1"/>
  <c r="D62" i="108"/>
  <c r="E62" i="108"/>
  <c r="F62" i="108"/>
  <c r="V23" i="108" s="1"/>
  <c r="G62" i="108"/>
  <c r="W23" i="108" s="1"/>
  <c r="H62" i="108"/>
  <c r="I62" i="108"/>
  <c r="J62" i="108"/>
  <c r="Z23" i="108" s="1"/>
  <c r="K62" i="108"/>
  <c r="AA23" i="108" s="1"/>
  <c r="L62" i="108"/>
  <c r="M62" i="108"/>
  <c r="N62" i="108"/>
  <c r="AD23" i="108" s="1"/>
  <c r="D63" i="108"/>
  <c r="E63" i="108"/>
  <c r="F63" i="108"/>
  <c r="G63" i="108"/>
  <c r="H63" i="108"/>
  <c r="I63" i="108"/>
  <c r="J63" i="108"/>
  <c r="K63" i="108"/>
  <c r="L63" i="108"/>
  <c r="M63" i="108"/>
  <c r="N63" i="108"/>
  <c r="D64" i="108"/>
  <c r="E64" i="108"/>
  <c r="U23" i="108" s="1"/>
  <c r="F64" i="108"/>
  <c r="G64" i="108"/>
  <c r="H64" i="108"/>
  <c r="I64" i="108"/>
  <c r="Y23" i="108" s="1"/>
  <c r="J64" i="108"/>
  <c r="K64" i="108"/>
  <c r="L64" i="108"/>
  <c r="M64" i="108"/>
  <c r="AC23" i="108" s="1"/>
  <c r="N64" i="108"/>
  <c r="D65" i="108"/>
  <c r="E65" i="108"/>
  <c r="F65" i="108"/>
  <c r="G65" i="108"/>
  <c r="H65" i="108"/>
  <c r="I65" i="108"/>
  <c r="J65" i="108"/>
  <c r="K65" i="108"/>
  <c r="L65" i="108"/>
  <c r="M65" i="108"/>
  <c r="N65" i="108"/>
  <c r="D66" i="108"/>
  <c r="E66" i="108"/>
  <c r="F66" i="108"/>
  <c r="G66" i="108"/>
  <c r="W24" i="108" s="1"/>
  <c r="H66" i="108"/>
  <c r="I66" i="108"/>
  <c r="J66" i="108"/>
  <c r="K66" i="108"/>
  <c r="AA24" i="108" s="1"/>
  <c r="L66" i="108"/>
  <c r="M66" i="108"/>
  <c r="N66" i="108"/>
  <c r="D67" i="108"/>
  <c r="T24" i="108" s="1"/>
  <c r="E67" i="108"/>
  <c r="F67" i="108"/>
  <c r="G67" i="108"/>
  <c r="H67" i="108"/>
  <c r="X24" i="108" s="1"/>
  <c r="I67" i="108"/>
  <c r="J67" i="108"/>
  <c r="K67" i="108"/>
  <c r="L67" i="108"/>
  <c r="AB24" i="108" s="1"/>
  <c r="M67" i="108"/>
  <c r="N67" i="108"/>
  <c r="D68" i="108"/>
  <c r="E68" i="108"/>
  <c r="U24" i="108" s="1"/>
  <c r="F68" i="108"/>
  <c r="G68" i="108"/>
  <c r="H68" i="108"/>
  <c r="I68" i="108"/>
  <c r="Y24" i="108" s="1"/>
  <c r="J68" i="108"/>
  <c r="K68" i="108"/>
  <c r="L68" i="108"/>
  <c r="M68" i="108"/>
  <c r="AC24" i="108" s="1"/>
  <c r="N68" i="108"/>
  <c r="D69" i="108"/>
  <c r="E69" i="108"/>
  <c r="F69" i="108"/>
  <c r="G69" i="108"/>
  <c r="H69" i="108"/>
  <c r="I69" i="108"/>
  <c r="J69" i="108"/>
  <c r="K69" i="108"/>
  <c r="L69" i="108"/>
  <c r="M69" i="108"/>
  <c r="N69" i="108"/>
  <c r="D70" i="108"/>
  <c r="E70" i="108"/>
  <c r="F70" i="108"/>
  <c r="G70" i="108"/>
  <c r="W25" i="108" s="1"/>
  <c r="H70" i="108"/>
  <c r="I70" i="108"/>
  <c r="J70" i="108"/>
  <c r="K70" i="108"/>
  <c r="AA25" i="108" s="1"/>
  <c r="L70" i="108"/>
  <c r="M70" i="108"/>
  <c r="N70" i="108"/>
  <c r="D71" i="108"/>
  <c r="T25" i="108" s="1"/>
  <c r="E71" i="108"/>
  <c r="F71" i="108"/>
  <c r="G71" i="108"/>
  <c r="H71" i="108"/>
  <c r="X25" i="108" s="1"/>
  <c r="I71" i="108"/>
  <c r="J71" i="108"/>
  <c r="K71" i="108"/>
  <c r="L71" i="108"/>
  <c r="AB25" i="108" s="1"/>
  <c r="M71" i="108"/>
  <c r="N71" i="108"/>
  <c r="D72" i="108"/>
  <c r="E72" i="108"/>
  <c r="F72" i="108"/>
  <c r="G72" i="108"/>
  <c r="H72" i="108"/>
  <c r="I72" i="108"/>
  <c r="J72" i="108"/>
  <c r="K72" i="108"/>
  <c r="L72" i="108"/>
  <c r="M72" i="108"/>
  <c r="N72" i="108"/>
  <c r="D73" i="108"/>
  <c r="E73" i="108"/>
  <c r="F73" i="108"/>
  <c r="V25" i="108" s="1"/>
  <c r="G73" i="108"/>
  <c r="H73" i="108"/>
  <c r="I73" i="108"/>
  <c r="J73" i="108"/>
  <c r="Z25" i="108" s="1"/>
  <c r="K73" i="108"/>
  <c r="L73" i="108"/>
  <c r="M73" i="108"/>
  <c r="N73" i="108"/>
  <c r="AD25" i="108" s="1"/>
  <c r="D74" i="108"/>
  <c r="E74" i="108"/>
  <c r="F74" i="108"/>
  <c r="V26" i="108" s="1"/>
  <c r="G74" i="108"/>
  <c r="H74" i="108"/>
  <c r="I74" i="108"/>
  <c r="J74" i="108"/>
  <c r="Z26" i="108" s="1"/>
  <c r="K74" i="108"/>
  <c r="L74" i="108"/>
  <c r="M74" i="108"/>
  <c r="N74" i="108"/>
  <c r="AD26" i="108" s="1"/>
  <c r="D75" i="108"/>
  <c r="T26" i="108" s="1"/>
  <c r="E75" i="108"/>
  <c r="F75" i="108"/>
  <c r="G75" i="108"/>
  <c r="H75" i="108"/>
  <c r="X26" i="108" s="1"/>
  <c r="I75" i="108"/>
  <c r="J75" i="108"/>
  <c r="K75" i="108"/>
  <c r="L75" i="108"/>
  <c r="AB26" i="108" s="1"/>
  <c r="M75" i="108"/>
  <c r="N75" i="108"/>
  <c r="D76" i="108"/>
  <c r="E76" i="108"/>
  <c r="U26" i="108" s="1"/>
  <c r="F76" i="108"/>
  <c r="G76" i="108"/>
  <c r="H76" i="108"/>
  <c r="I76" i="108"/>
  <c r="Y26" i="108" s="1"/>
  <c r="J76" i="108"/>
  <c r="K76" i="108"/>
  <c r="L76" i="108"/>
  <c r="M76" i="108"/>
  <c r="AC26" i="108" s="1"/>
  <c r="N76" i="108"/>
  <c r="D77" i="108"/>
  <c r="E77" i="108"/>
  <c r="F77" i="108"/>
  <c r="G77" i="108"/>
  <c r="H77" i="108"/>
  <c r="I77" i="108"/>
  <c r="J77" i="108"/>
  <c r="K77" i="108"/>
  <c r="L77" i="108"/>
  <c r="M77" i="108"/>
  <c r="N77" i="108"/>
  <c r="D78" i="108"/>
  <c r="E78" i="108"/>
  <c r="F78" i="108"/>
  <c r="G78" i="108"/>
  <c r="W27" i="108" s="1"/>
  <c r="H78" i="108"/>
  <c r="I78" i="108"/>
  <c r="J78" i="108"/>
  <c r="K78" i="108"/>
  <c r="AA27" i="108" s="1"/>
  <c r="L78" i="108"/>
  <c r="M78" i="108"/>
  <c r="N78" i="108"/>
  <c r="D79" i="108"/>
  <c r="T27" i="108" s="1"/>
  <c r="E79" i="108"/>
  <c r="F79" i="108"/>
  <c r="G79" i="108"/>
  <c r="H79" i="108"/>
  <c r="X27" i="108" s="1"/>
  <c r="I79" i="108"/>
  <c r="J79" i="108"/>
  <c r="K79" i="108"/>
  <c r="L79" i="108"/>
  <c r="AB27" i="108" s="1"/>
  <c r="M79" i="108"/>
  <c r="N79" i="108"/>
  <c r="D80" i="108"/>
  <c r="E80" i="108"/>
  <c r="U27" i="108" s="1"/>
  <c r="F80" i="108"/>
  <c r="G80" i="108"/>
  <c r="H80" i="108"/>
  <c r="I80" i="108"/>
  <c r="Y27" i="108" s="1"/>
  <c r="J80" i="108"/>
  <c r="K80" i="108"/>
  <c r="L80" i="108"/>
  <c r="M80" i="108"/>
  <c r="AC27" i="108" s="1"/>
  <c r="N80" i="108"/>
  <c r="D81" i="108"/>
  <c r="E81" i="108"/>
  <c r="F81" i="108"/>
  <c r="G81" i="108"/>
  <c r="H81" i="108"/>
  <c r="I81" i="108"/>
  <c r="J81" i="108"/>
  <c r="K81" i="108"/>
  <c r="L81" i="108"/>
  <c r="M81" i="108"/>
  <c r="N81" i="108"/>
  <c r="D82" i="108"/>
  <c r="E82" i="108"/>
  <c r="F82" i="108"/>
  <c r="V28" i="108" s="1"/>
  <c r="G82" i="108"/>
  <c r="W28" i="108" s="1"/>
  <c r="H82" i="108"/>
  <c r="I82" i="108"/>
  <c r="J82" i="108"/>
  <c r="Z28" i="108" s="1"/>
  <c r="K82" i="108"/>
  <c r="AA28" i="108" s="1"/>
  <c r="L82" i="108"/>
  <c r="M82" i="108"/>
  <c r="N82" i="108"/>
  <c r="AD28" i="108" s="1"/>
  <c r="D83" i="108"/>
  <c r="E83" i="108"/>
  <c r="F83" i="108"/>
  <c r="G83" i="108"/>
  <c r="H83" i="108"/>
  <c r="I83" i="108"/>
  <c r="J83" i="108"/>
  <c r="K83" i="108"/>
  <c r="L83" i="108"/>
  <c r="M83" i="108"/>
  <c r="N83" i="108"/>
  <c r="D84" i="108"/>
  <c r="E84" i="108"/>
  <c r="U28" i="108" s="1"/>
  <c r="F84" i="108"/>
  <c r="G84" i="108"/>
  <c r="H84" i="108"/>
  <c r="I84" i="108"/>
  <c r="Y28" i="108" s="1"/>
  <c r="J84" i="108"/>
  <c r="K84" i="108"/>
  <c r="L84" i="108"/>
  <c r="M84" i="108"/>
  <c r="AC28" i="108" s="1"/>
  <c r="N84" i="108"/>
  <c r="D85" i="108"/>
  <c r="E85" i="108"/>
  <c r="F85" i="108"/>
  <c r="G85" i="108"/>
  <c r="H85" i="108"/>
  <c r="I85" i="108"/>
  <c r="J85" i="108"/>
  <c r="K85" i="108"/>
  <c r="L85" i="108"/>
  <c r="M85" i="108"/>
  <c r="N85" i="108"/>
  <c r="D86" i="108"/>
  <c r="E86" i="108"/>
  <c r="F86" i="108"/>
  <c r="V29" i="108" s="1"/>
  <c r="G86" i="108"/>
  <c r="H86" i="108"/>
  <c r="I86" i="108"/>
  <c r="J86" i="108"/>
  <c r="Z29" i="108" s="1"/>
  <c r="K86" i="108"/>
  <c r="L86" i="108"/>
  <c r="M86" i="108"/>
  <c r="N86" i="108"/>
  <c r="AD29" i="108" s="1"/>
  <c r="D87" i="108"/>
  <c r="T29" i="108" s="1"/>
  <c r="E87" i="108"/>
  <c r="F87" i="108"/>
  <c r="G87" i="108"/>
  <c r="H87" i="108"/>
  <c r="X29" i="108" s="1"/>
  <c r="I87" i="108"/>
  <c r="J87" i="108"/>
  <c r="K87" i="108"/>
  <c r="L87" i="108"/>
  <c r="AB29" i="108" s="1"/>
  <c r="M87" i="108"/>
  <c r="N87" i="108"/>
  <c r="D88" i="108"/>
  <c r="E88" i="108"/>
  <c r="U29" i="108" s="1"/>
  <c r="F88" i="108"/>
  <c r="G88" i="108"/>
  <c r="H88" i="108"/>
  <c r="I88" i="108"/>
  <c r="Y29" i="108" s="1"/>
  <c r="J88" i="108"/>
  <c r="K88" i="108"/>
  <c r="L88" i="108"/>
  <c r="M88" i="108"/>
  <c r="AC29" i="108" s="1"/>
  <c r="N88" i="108"/>
  <c r="D89" i="108"/>
  <c r="E89" i="108"/>
  <c r="F89" i="108"/>
  <c r="G89" i="108"/>
  <c r="H89" i="108"/>
  <c r="I89" i="108"/>
  <c r="J89" i="108"/>
  <c r="K89" i="108"/>
  <c r="L89" i="108"/>
  <c r="M89" i="108"/>
  <c r="N89" i="108"/>
  <c r="D90" i="108"/>
  <c r="E90" i="108"/>
  <c r="F90" i="108"/>
  <c r="G90" i="108"/>
  <c r="W30" i="108" s="1"/>
  <c r="H90" i="108"/>
  <c r="I90" i="108"/>
  <c r="J90" i="108"/>
  <c r="K90" i="108"/>
  <c r="AA30" i="108" s="1"/>
  <c r="L90" i="108"/>
  <c r="M90" i="108"/>
  <c r="N90" i="108"/>
  <c r="D91" i="108"/>
  <c r="T30" i="108" s="1"/>
  <c r="E91" i="108"/>
  <c r="F91" i="108"/>
  <c r="G91" i="108"/>
  <c r="H91" i="108"/>
  <c r="X30" i="108" s="1"/>
  <c r="I91" i="108"/>
  <c r="J91" i="108"/>
  <c r="K91" i="108"/>
  <c r="L91" i="108"/>
  <c r="AB30" i="108" s="1"/>
  <c r="M91" i="108"/>
  <c r="N91" i="108"/>
  <c r="D92" i="108"/>
  <c r="E92" i="108"/>
  <c r="F92" i="108"/>
  <c r="G92" i="108"/>
  <c r="H92" i="108"/>
  <c r="I92" i="108"/>
  <c r="J92" i="108"/>
  <c r="K92" i="108"/>
  <c r="L92" i="108"/>
  <c r="M92" i="108"/>
  <c r="N92" i="108"/>
  <c r="D93" i="108"/>
  <c r="E93" i="108"/>
  <c r="F93" i="108"/>
  <c r="V30" i="108" s="1"/>
  <c r="G93" i="108"/>
  <c r="H93" i="108"/>
  <c r="I93" i="108"/>
  <c r="J93" i="108"/>
  <c r="Z30" i="108" s="1"/>
  <c r="K93" i="108"/>
  <c r="L93" i="108"/>
  <c r="M93" i="108"/>
  <c r="N93" i="108"/>
  <c r="AD30" i="108" s="1"/>
  <c r="D94" i="108"/>
  <c r="E94" i="108"/>
  <c r="F94" i="108"/>
  <c r="V31" i="108" s="1"/>
  <c r="G94" i="108"/>
  <c r="W31" i="108" s="1"/>
  <c r="H94" i="108"/>
  <c r="I94" i="108"/>
  <c r="J94" i="108"/>
  <c r="Z31" i="108" s="1"/>
  <c r="K94" i="108"/>
  <c r="AA31" i="108" s="1"/>
  <c r="L94" i="108"/>
  <c r="M94" i="108"/>
  <c r="N94" i="108"/>
  <c r="AD31" i="108" s="1"/>
  <c r="D95" i="108"/>
  <c r="E95" i="108"/>
  <c r="F95" i="108"/>
  <c r="G95" i="108"/>
  <c r="H95" i="108"/>
  <c r="I95" i="108"/>
  <c r="J95" i="108"/>
  <c r="K95" i="108"/>
  <c r="L95" i="108"/>
  <c r="M95" i="108"/>
  <c r="N95" i="108"/>
  <c r="D96" i="108"/>
  <c r="E96" i="108"/>
  <c r="U31" i="108" s="1"/>
  <c r="F96" i="108"/>
  <c r="G96" i="108"/>
  <c r="H96" i="108"/>
  <c r="I96" i="108"/>
  <c r="Y31" i="108" s="1"/>
  <c r="J96" i="108"/>
  <c r="K96" i="108"/>
  <c r="L96" i="108"/>
  <c r="M96" i="108"/>
  <c r="AC31" i="108" s="1"/>
  <c r="N96" i="108"/>
  <c r="D97" i="108"/>
  <c r="E97" i="108"/>
  <c r="F97" i="108"/>
  <c r="G97" i="108"/>
  <c r="H97" i="108"/>
  <c r="I97" i="108"/>
  <c r="J97" i="108"/>
  <c r="K97" i="108"/>
  <c r="L97" i="108"/>
  <c r="M97" i="108"/>
  <c r="N97" i="108"/>
  <c r="D98" i="108"/>
  <c r="T32" i="108" s="1"/>
  <c r="E98" i="108"/>
  <c r="F98" i="108"/>
  <c r="G98" i="108"/>
  <c r="W32" i="108" s="1"/>
  <c r="H98" i="108"/>
  <c r="X32" i="108" s="1"/>
  <c r="I98" i="108"/>
  <c r="J98" i="108"/>
  <c r="K98" i="108"/>
  <c r="AA32" i="108" s="1"/>
  <c r="L98" i="108"/>
  <c r="AB32" i="108" s="1"/>
  <c r="M98" i="108"/>
  <c r="N98" i="108"/>
  <c r="D99" i="108"/>
  <c r="E99" i="108"/>
  <c r="F99" i="108"/>
  <c r="G99" i="108"/>
  <c r="H99" i="108"/>
  <c r="I99" i="108"/>
  <c r="J99" i="108"/>
  <c r="K99" i="108"/>
  <c r="L99" i="108"/>
  <c r="M99" i="108"/>
  <c r="N99" i="108"/>
  <c r="D100" i="108"/>
  <c r="E100" i="108"/>
  <c r="U32" i="108" s="1"/>
  <c r="F100" i="108"/>
  <c r="G100" i="108"/>
  <c r="H100" i="108"/>
  <c r="I100" i="108"/>
  <c r="Y32" i="108" s="1"/>
  <c r="J100" i="108"/>
  <c r="K100" i="108"/>
  <c r="L100" i="108"/>
  <c r="M100" i="108"/>
  <c r="AC32" i="108" s="1"/>
  <c r="N100" i="108"/>
  <c r="D101" i="108"/>
  <c r="E101" i="108"/>
  <c r="F101" i="108"/>
  <c r="G101" i="108"/>
  <c r="H101" i="108"/>
  <c r="I101" i="108"/>
  <c r="J101" i="108"/>
  <c r="K101" i="108"/>
  <c r="L101" i="108"/>
  <c r="M101" i="108"/>
  <c r="N101" i="108"/>
  <c r="D102" i="108"/>
  <c r="E102" i="108"/>
  <c r="F102" i="108"/>
  <c r="G102" i="108"/>
  <c r="W33" i="108" s="1"/>
  <c r="H102" i="108"/>
  <c r="I102" i="108"/>
  <c r="J102" i="108"/>
  <c r="K102" i="108"/>
  <c r="AA33" i="108" s="1"/>
  <c r="L102" i="108"/>
  <c r="M102" i="108"/>
  <c r="N102" i="108"/>
  <c r="D103" i="108"/>
  <c r="T33" i="108" s="1"/>
  <c r="E103" i="108"/>
  <c r="F103" i="108"/>
  <c r="G103" i="108"/>
  <c r="H103" i="108"/>
  <c r="X33" i="108" s="1"/>
  <c r="I103" i="108"/>
  <c r="J103" i="108"/>
  <c r="K103" i="108"/>
  <c r="L103" i="108"/>
  <c r="AB33" i="108" s="1"/>
  <c r="M103" i="108"/>
  <c r="N103" i="108"/>
  <c r="D104" i="108"/>
  <c r="E104" i="108"/>
  <c r="F104" i="108"/>
  <c r="G104" i="108"/>
  <c r="H104" i="108"/>
  <c r="I104" i="108"/>
  <c r="J104" i="108"/>
  <c r="K104" i="108"/>
  <c r="L104" i="108"/>
  <c r="M104" i="108"/>
  <c r="N104" i="108"/>
  <c r="D105" i="108"/>
  <c r="E105" i="108"/>
  <c r="F105" i="108"/>
  <c r="V33" i="108" s="1"/>
  <c r="G105" i="108"/>
  <c r="H105" i="108"/>
  <c r="I105" i="108"/>
  <c r="J105" i="108"/>
  <c r="Z33" i="108" s="1"/>
  <c r="K105" i="108"/>
  <c r="L105" i="108"/>
  <c r="M105" i="108"/>
  <c r="N105" i="108"/>
  <c r="AD33" i="108" s="1"/>
  <c r="C59" i="108"/>
  <c r="C60" i="108"/>
  <c r="C61" i="108"/>
  <c r="C62" i="108"/>
  <c r="S23" i="108" s="1"/>
  <c r="C63" i="108"/>
  <c r="C64" i="108"/>
  <c r="C65" i="108"/>
  <c r="C66" i="108"/>
  <c r="C67" i="108"/>
  <c r="C68" i="108"/>
  <c r="C69" i="108"/>
  <c r="C70" i="108"/>
  <c r="S25" i="108" s="1"/>
  <c r="C71" i="108"/>
  <c r="C72" i="108"/>
  <c r="C73" i="108"/>
  <c r="C74" i="108"/>
  <c r="C75" i="108"/>
  <c r="C76" i="108"/>
  <c r="C77" i="108"/>
  <c r="C78" i="108"/>
  <c r="S27" i="108" s="1"/>
  <c r="C79" i="108"/>
  <c r="C80" i="108"/>
  <c r="C81" i="108"/>
  <c r="C82" i="108"/>
  <c r="C83" i="108"/>
  <c r="C84" i="108"/>
  <c r="C85" i="108"/>
  <c r="C86" i="108"/>
  <c r="S29" i="108" s="1"/>
  <c r="C87" i="108"/>
  <c r="C88" i="108"/>
  <c r="C89" i="108"/>
  <c r="C90" i="108"/>
  <c r="C91" i="108"/>
  <c r="C92" i="108"/>
  <c r="C93" i="108"/>
  <c r="C94" i="108"/>
  <c r="S31" i="108" s="1"/>
  <c r="C95" i="108"/>
  <c r="C96" i="108"/>
  <c r="C97" i="108"/>
  <c r="C98" i="108"/>
  <c r="C99" i="108"/>
  <c r="C100" i="108"/>
  <c r="C101" i="108"/>
  <c r="C102" i="108"/>
  <c r="S33" i="108" s="1"/>
  <c r="C103" i="108"/>
  <c r="C104" i="108"/>
  <c r="C105" i="108"/>
  <c r="C58" i="108"/>
  <c r="P58" i="107"/>
  <c r="P59" i="107"/>
  <c r="P60" i="107"/>
  <c r="P61" i="107"/>
  <c r="AF22" i="107" s="1"/>
  <c r="P62" i="107"/>
  <c r="P63" i="107"/>
  <c r="P64" i="107"/>
  <c r="AF23" i="107" s="1"/>
  <c r="P65" i="107"/>
  <c r="P66" i="107"/>
  <c r="P67" i="107"/>
  <c r="P68" i="107"/>
  <c r="AF24" i="107" s="1"/>
  <c r="P69" i="107"/>
  <c r="P70" i="107"/>
  <c r="P71" i="107"/>
  <c r="P72" i="107"/>
  <c r="P73" i="107"/>
  <c r="P74" i="107"/>
  <c r="P75" i="107"/>
  <c r="P76" i="107"/>
  <c r="AF26" i="107" s="1"/>
  <c r="P77" i="107"/>
  <c r="P78" i="107"/>
  <c r="P79" i="107"/>
  <c r="P80" i="107"/>
  <c r="AF27" i="107" s="1"/>
  <c r="P81" i="107"/>
  <c r="P82" i="107"/>
  <c r="P83" i="107"/>
  <c r="P84" i="107"/>
  <c r="AF28" i="107" s="1"/>
  <c r="P85" i="107"/>
  <c r="P86" i="107"/>
  <c r="P87" i="107"/>
  <c r="P88" i="107"/>
  <c r="P89" i="107"/>
  <c r="P90" i="107"/>
  <c r="P91" i="107"/>
  <c r="P92" i="107"/>
  <c r="AF30" i="107" s="1"/>
  <c r="P93" i="107"/>
  <c r="P94" i="107"/>
  <c r="P95" i="107"/>
  <c r="P96" i="107"/>
  <c r="P97" i="107"/>
  <c r="AF31" i="107" s="1"/>
  <c r="P98" i="107"/>
  <c r="P99" i="107"/>
  <c r="P100" i="107"/>
  <c r="P101" i="107"/>
  <c r="P102" i="107"/>
  <c r="P103" i="107"/>
  <c r="P104" i="107"/>
  <c r="AF33" i="107" s="1"/>
  <c r="P105" i="107"/>
  <c r="O58" i="107"/>
  <c r="O59" i="107"/>
  <c r="O60" i="107"/>
  <c r="O61" i="107"/>
  <c r="AE22" i="107" s="1"/>
  <c r="O62" i="107"/>
  <c r="O63" i="107"/>
  <c r="O64" i="107"/>
  <c r="AE23" i="107" s="1"/>
  <c r="O65" i="107"/>
  <c r="O66" i="107"/>
  <c r="O67" i="107"/>
  <c r="O68" i="107"/>
  <c r="AE24" i="107" s="1"/>
  <c r="O69" i="107"/>
  <c r="O70" i="107"/>
  <c r="O71" i="107"/>
  <c r="O72" i="107"/>
  <c r="O73" i="107"/>
  <c r="AE25" i="107" s="1"/>
  <c r="O74" i="107"/>
  <c r="O75" i="107"/>
  <c r="O76" i="107"/>
  <c r="O77" i="107"/>
  <c r="AE26" i="107" s="1"/>
  <c r="O78" i="107"/>
  <c r="O79" i="107"/>
  <c r="O80" i="107"/>
  <c r="O81" i="107"/>
  <c r="O82" i="107"/>
  <c r="O83" i="107"/>
  <c r="O84" i="107"/>
  <c r="O85" i="107"/>
  <c r="O86" i="107"/>
  <c r="O87" i="107"/>
  <c r="O88" i="107"/>
  <c r="O89" i="107"/>
  <c r="AE29" i="107" s="1"/>
  <c r="O90" i="107"/>
  <c r="O91" i="107"/>
  <c r="O92" i="107"/>
  <c r="O93" i="107"/>
  <c r="AE30" i="107" s="1"/>
  <c r="O94" i="107"/>
  <c r="AE31" i="107" s="1"/>
  <c r="O95" i="107"/>
  <c r="O96" i="107"/>
  <c r="O97" i="107"/>
  <c r="O98" i="107"/>
  <c r="AE32" i="107" s="1"/>
  <c r="O99" i="107"/>
  <c r="O100" i="107"/>
  <c r="O101" i="107"/>
  <c r="O102" i="107"/>
  <c r="AE33" i="107" s="1"/>
  <c r="O103" i="107"/>
  <c r="O104" i="107"/>
  <c r="O105" i="107"/>
  <c r="C59" i="107"/>
  <c r="D59" i="107"/>
  <c r="E59" i="107"/>
  <c r="F59" i="107"/>
  <c r="V22" i="107" s="1"/>
  <c r="G59" i="107"/>
  <c r="H59" i="107"/>
  <c r="I59" i="107"/>
  <c r="J59" i="107"/>
  <c r="Z22" i="107" s="1"/>
  <c r="K59" i="107"/>
  <c r="L59" i="107"/>
  <c r="M59" i="107"/>
  <c r="AC22" i="107" s="1"/>
  <c r="N59" i="107"/>
  <c r="AD22" i="107" s="1"/>
  <c r="C60" i="107"/>
  <c r="D60" i="107"/>
  <c r="E60" i="107"/>
  <c r="U22" i="107" s="1"/>
  <c r="F60" i="107"/>
  <c r="G60" i="107"/>
  <c r="H60" i="107"/>
  <c r="I60" i="107"/>
  <c r="Y22" i="107" s="1"/>
  <c r="J60" i="107"/>
  <c r="K60" i="107"/>
  <c r="L60" i="107"/>
  <c r="M60" i="107"/>
  <c r="N60" i="107"/>
  <c r="C61" i="107"/>
  <c r="D61" i="107"/>
  <c r="E61" i="107"/>
  <c r="F61" i="107"/>
  <c r="G61" i="107"/>
  <c r="H61" i="107"/>
  <c r="I61" i="107"/>
  <c r="J61" i="107"/>
  <c r="K61" i="107"/>
  <c r="L61" i="107"/>
  <c r="M61" i="107"/>
  <c r="N61" i="107"/>
  <c r="C62" i="107"/>
  <c r="D62" i="107"/>
  <c r="E62" i="107"/>
  <c r="F62" i="107"/>
  <c r="V23" i="107" s="1"/>
  <c r="G62" i="107"/>
  <c r="H62" i="107"/>
  <c r="I62" i="107"/>
  <c r="J62" i="107"/>
  <c r="Z23" i="107" s="1"/>
  <c r="K62" i="107"/>
  <c r="L62" i="107"/>
  <c r="M62" i="107"/>
  <c r="N62" i="107"/>
  <c r="AD23" i="107" s="1"/>
  <c r="C63" i="107"/>
  <c r="D63" i="107"/>
  <c r="E63" i="107"/>
  <c r="F63" i="107"/>
  <c r="G63" i="107"/>
  <c r="H63" i="107"/>
  <c r="I63" i="107"/>
  <c r="J63" i="107"/>
  <c r="K63" i="107"/>
  <c r="L63" i="107"/>
  <c r="M63" i="107"/>
  <c r="N63" i="107"/>
  <c r="C64" i="107"/>
  <c r="D64" i="107"/>
  <c r="E64" i="107"/>
  <c r="F64" i="107"/>
  <c r="G64" i="107"/>
  <c r="H64" i="107"/>
  <c r="I64" i="107"/>
  <c r="J64" i="107"/>
  <c r="K64" i="107"/>
  <c r="L64" i="107"/>
  <c r="M64" i="107"/>
  <c r="N64" i="107"/>
  <c r="C65" i="107"/>
  <c r="D65" i="107"/>
  <c r="E65" i="107"/>
  <c r="F65" i="107"/>
  <c r="G65" i="107"/>
  <c r="H65" i="107"/>
  <c r="I65" i="107"/>
  <c r="J65" i="107"/>
  <c r="K65" i="107"/>
  <c r="L65" i="107"/>
  <c r="M65" i="107"/>
  <c r="N65" i="107"/>
  <c r="C66" i="107"/>
  <c r="D66" i="107"/>
  <c r="E66" i="107"/>
  <c r="U24" i="107" s="1"/>
  <c r="F66" i="107"/>
  <c r="V24" i="107" s="1"/>
  <c r="G66" i="107"/>
  <c r="H66" i="107"/>
  <c r="I66" i="107"/>
  <c r="Y24" i="107" s="1"/>
  <c r="J66" i="107"/>
  <c r="Z24" i="107" s="1"/>
  <c r="K66" i="107"/>
  <c r="L66" i="107"/>
  <c r="M66" i="107"/>
  <c r="AC24" i="107" s="1"/>
  <c r="N66" i="107"/>
  <c r="AD24" i="107" s="1"/>
  <c r="C67" i="107"/>
  <c r="D67" i="107"/>
  <c r="E67" i="107"/>
  <c r="F67" i="107"/>
  <c r="G67" i="107"/>
  <c r="H67" i="107"/>
  <c r="I67" i="107"/>
  <c r="J67" i="107"/>
  <c r="K67" i="107"/>
  <c r="L67" i="107"/>
  <c r="M67" i="107"/>
  <c r="N67" i="107"/>
  <c r="C68" i="107"/>
  <c r="D68" i="107"/>
  <c r="E68" i="107"/>
  <c r="F68" i="107"/>
  <c r="G68" i="107"/>
  <c r="H68" i="107"/>
  <c r="I68" i="107"/>
  <c r="J68" i="107"/>
  <c r="K68" i="107"/>
  <c r="L68" i="107"/>
  <c r="M68" i="107"/>
  <c r="N68" i="107"/>
  <c r="C69" i="107"/>
  <c r="D69" i="107"/>
  <c r="E69" i="107"/>
  <c r="F69" i="107"/>
  <c r="G69" i="107"/>
  <c r="H69" i="107"/>
  <c r="I69" i="107"/>
  <c r="J69" i="107"/>
  <c r="K69" i="107"/>
  <c r="L69" i="107"/>
  <c r="M69" i="107"/>
  <c r="N69" i="107"/>
  <c r="C70" i="107"/>
  <c r="D70" i="107"/>
  <c r="E70" i="107"/>
  <c r="F70" i="107"/>
  <c r="V25" i="107" s="1"/>
  <c r="G70" i="107"/>
  <c r="H70" i="107"/>
  <c r="I70" i="107"/>
  <c r="J70" i="107"/>
  <c r="Z25" i="107" s="1"/>
  <c r="K70" i="107"/>
  <c r="L70" i="107"/>
  <c r="M70" i="107"/>
  <c r="N70" i="107"/>
  <c r="AD25" i="107" s="1"/>
  <c r="C71" i="107"/>
  <c r="D71" i="107"/>
  <c r="E71" i="107"/>
  <c r="F71" i="107"/>
  <c r="G71" i="107"/>
  <c r="H71" i="107"/>
  <c r="I71" i="107"/>
  <c r="J71" i="107"/>
  <c r="K71" i="107"/>
  <c r="L71" i="107"/>
  <c r="M71" i="107"/>
  <c r="N71" i="107"/>
  <c r="C72" i="107"/>
  <c r="D72" i="107"/>
  <c r="E72" i="107"/>
  <c r="F72" i="107"/>
  <c r="G72" i="107"/>
  <c r="H72" i="107"/>
  <c r="I72" i="107"/>
  <c r="J72" i="107"/>
  <c r="K72" i="107"/>
  <c r="L72" i="107"/>
  <c r="M72" i="107"/>
  <c r="N72" i="107"/>
  <c r="C73" i="107"/>
  <c r="D73" i="107"/>
  <c r="E73" i="107"/>
  <c r="F73" i="107"/>
  <c r="G73" i="107"/>
  <c r="H73" i="107"/>
  <c r="I73" i="107"/>
  <c r="J73" i="107"/>
  <c r="K73" i="107"/>
  <c r="L73" i="107"/>
  <c r="M73" i="107"/>
  <c r="N73" i="107"/>
  <c r="C74" i="107"/>
  <c r="D74" i="107"/>
  <c r="E74" i="107"/>
  <c r="U26" i="107" s="1"/>
  <c r="F74" i="107"/>
  <c r="V26" i="107" s="1"/>
  <c r="G74" i="107"/>
  <c r="H74" i="107"/>
  <c r="I74" i="107"/>
  <c r="Y26" i="107" s="1"/>
  <c r="J74" i="107"/>
  <c r="Z26" i="107" s="1"/>
  <c r="K74" i="107"/>
  <c r="L74" i="107"/>
  <c r="M74" i="107"/>
  <c r="AC26" i="107" s="1"/>
  <c r="N74" i="107"/>
  <c r="AD26" i="107" s="1"/>
  <c r="C75" i="107"/>
  <c r="D75" i="107"/>
  <c r="E75" i="107"/>
  <c r="F75" i="107"/>
  <c r="G75" i="107"/>
  <c r="H75" i="107"/>
  <c r="I75" i="107"/>
  <c r="J75" i="107"/>
  <c r="K75" i="107"/>
  <c r="L75" i="107"/>
  <c r="M75" i="107"/>
  <c r="N75" i="107"/>
  <c r="C76" i="107"/>
  <c r="D76" i="107"/>
  <c r="E76" i="107"/>
  <c r="F76" i="107"/>
  <c r="G76" i="107"/>
  <c r="H76" i="107"/>
  <c r="I76" i="107"/>
  <c r="J76" i="107"/>
  <c r="K76" i="107"/>
  <c r="L76" i="107"/>
  <c r="M76" i="107"/>
  <c r="N76" i="107"/>
  <c r="C77" i="107"/>
  <c r="D77" i="107"/>
  <c r="E77" i="107"/>
  <c r="F77" i="107"/>
  <c r="G77" i="107"/>
  <c r="H77" i="107"/>
  <c r="I77" i="107"/>
  <c r="J77" i="107"/>
  <c r="K77" i="107"/>
  <c r="L77" i="107"/>
  <c r="M77" i="107"/>
  <c r="N77" i="107"/>
  <c r="C78" i="107"/>
  <c r="D78" i="107"/>
  <c r="E78" i="107"/>
  <c r="F78" i="107"/>
  <c r="V27" i="107" s="1"/>
  <c r="G78" i="107"/>
  <c r="H78" i="107"/>
  <c r="I78" i="107"/>
  <c r="J78" i="107"/>
  <c r="Z27" i="107" s="1"/>
  <c r="K78" i="107"/>
  <c r="L78" i="107"/>
  <c r="M78" i="107"/>
  <c r="N78" i="107"/>
  <c r="AD27" i="107" s="1"/>
  <c r="C79" i="107"/>
  <c r="D79" i="107"/>
  <c r="E79" i="107"/>
  <c r="F79" i="107"/>
  <c r="G79" i="107"/>
  <c r="H79" i="107"/>
  <c r="I79" i="107"/>
  <c r="J79" i="107"/>
  <c r="K79" i="107"/>
  <c r="L79" i="107"/>
  <c r="M79" i="107"/>
  <c r="N79" i="107"/>
  <c r="C80" i="107"/>
  <c r="D80" i="107"/>
  <c r="E80" i="107"/>
  <c r="F80" i="107"/>
  <c r="G80" i="107"/>
  <c r="H80" i="107"/>
  <c r="I80" i="107"/>
  <c r="J80" i="107"/>
  <c r="K80" i="107"/>
  <c r="L80" i="107"/>
  <c r="M80" i="107"/>
  <c r="N80" i="107"/>
  <c r="C81" i="107"/>
  <c r="D81" i="107"/>
  <c r="E81" i="107"/>
  <c r="F81" i="107"/>
  <c r="G81" i="107"/>
  <c r="H81" i="107"/>
  <c r="I81" i="107"/>
  <c r="J81" i="107"/>
  <c r="K81" i="107"/>
  <c r="L81" i="107"/>
  <c r="M81" i="107"/>
  <c r="N81" i="107"/>
  <c r="C82" i="107"/>
  <c r="D82" i="107"/>
  <c r="E82" i="107"/>
  <c r="U28" i="107" s="1"/>
  <c r="F82" i="107"/>
  <c r="V28" i="107" s="1"/>
  <c r="G82" i="107"/>
  <c r="H82" i="107"/>
  <c r="I82" i="107"/>
  <c r="Y28" i="107" s="1"/>
  <c r="J82" i="107"/>
  <c r="Z28" i="107" s="1"/>
  <c r="K82" i="107"/>
  <c r="L82" i="107"/>
  <c r="M82" i="107"/>
  <c r="AC28" i="107" s="1"/>
  <c r="N82" i="107"/>
  <c r="AD28" i="107" s="1"/>
  <c r="C83" i="107"/>
  <c r="D83" i="107"/>
  <c r="E83" i="107"/>
  <c r="F83" i="107"/>
  <c r="G83" i="107"/>
  <c r="H83" i="107"/>
  <c r="I83" i="107"/>
  <c r="J83" i="107"/>
  <c r="K83" i="107"/>
  <c r="L83" i="107"/>
  <c r="M83" i="107"/>
  <c r="N83" i="107"/>
  <c r="C84" i="107"/>
  <c r="D84" i="107"/>
  <c r="E84" i="107"/>
  <c r="F84" i="107"/>
  <c r="G84" i="107"/>
  <c r="H84" i="107"/>
  <c r="I84" i="107"/>
  <c r="J84" i="107"/>
  <c r="K84" i="107"/>
  <c r="L84" i="107"/>
  <c r="M84" i="107"/>
  <c r="N84" i="107"/>
  <c r="C85" i="107"/>
  <c r="D85" i="107"/>
  <c r="E85" i="107"/>
  <c r="F85" i="107"/>
  <c r="G85" i="107"/>
  <c r="H85" i="107"/>
  <c r="I85" i="107"/>
  <c r="J85" i="107"/>
  <c r="K85" i="107"/>
  <c r="L85" i="107"/>
  <c r="M85" i="107"/>
  <c r="N85" i="107"/>
  <c r="C86" i="107"/>
  <c r="D86" i="107"/>
  <c r="E86" i="107"/>
  <c r="F86" i="107"/>
  <c r="V29" i="107" s="1"/>
  <c r="G86" i="107"/>
  <c r="H86" i="107"/>
  <c r="I86" i="107"/>
  <c r="J86" i="107"/>
  <c r="Z29" i="107" s="1"/>
  <c r="K86" i="107"/>
  <c r="L86" i="107"/>
  <c r="M86" i="107"/>
  <c r="N86" i="107"/>
  <c r="AD29" i="107" s="1"/>
  <c r="C87" i="107"/>
  <c r="D87" i="107"/>
  <c r="E87" i="107"/>
  <c r="F87" i="107"/>
  <c r="G87" i="107"/>
  <c r="H87" i="107"/>
  <c r="I87" i="107"/>
  <c r="J87" i="107"/>
  <c r="K87" i="107"/>
  <c r="L87" i="107"/>
  <c r="M87" i="107"/>
  <c r="N87" i="107"/>
  <c r="C88" i="107"/>
  <c r="D88" i="107"/>
  <c r="E88" i="107"/>
  <c r="F88" i="107"/>
  <c r="G88" i="107"/>
  <c r="H88" i="107"/>
  <c r="I88" i="107"/>
  <c r="J88" i="107"/>
  <c r="K88" i="107"/>
  <c r="L88" i="107"/>
  <c r="M88" i="107"/>
  <c r="N88" i="107"/>
  <c r="C89" i="107"/>
  <c r="D89" i="107"/>
  <c r="E89" i="107"/>
  <c r="F89" i="107"/>
  <c r="G89" i="107"/>
  <c r="H89" i="107"/>
  <c r="I89" i="107"/>
  <c r="J89" i="107"/>
  <c r="K89" i="107"/>
  <c r="L89" i="107"/>
  <c r="M89" i="107"/>
  <c r="N89" i="107"/>
  <c r="C90" i="107"/>
  <c r="D90" i="107"/>
  <c r="E90" i="107"/>
  <c r="U30" i="107" s="1"/>
  <c r="F90" i="107"/>
  <c r="V30" i="107" s="1"/>
  <c r="G90" i="107"/>
  <c r="H90" i="107"/>
  <c r="I90" i="107"/>
  <c r="Y30" i="107" s="1"/>
  <c r="J90" i="107"/>
  <c r="Z30" i="107" s="1"/>
  <c r="K90" i="107"/>
  <c r="L90" i="107"/>
  <c r="M90" i="107"/>
  <c r="AC30" i="107" s="1"/>
  <c r="N90" i="107"/>
  <c r="AD30" i="107" s="1"/>
  <c r="C91" i="107"/>
  <c r="D91" i="107"/>
  <c r="E91" i="107"/>
  <c r="F91" i="107"/>
  <c r="G91" i="107"/>
  <c r="H91" i="107"/>
  <c r="I91" i="107"/>
  <c r="J91" i="107"/>
  <c r="K91" i="107"/>
  <c r="L91" i="107"/>
  <c r="M91" i="107"/>
  <c r="N91" i="107"/>
  <c r="C92" i="107"/>
  <c r="D92" i="107"/>
  <c r="E92" i="107"/>
  <c r="F92" i="107"/>
  <c r="G92" i="107"/>
  <c r="H92" i="107"/>
  <c r="I92" i="107"/>
  <c r="J92" i="107"/>
  <c r="K92" i="107"/>
  <c r="L92" i="107"/>
  <c r="M92" i="107"/>
  <c r="N92" i="107"/>
  <c r="C93" i="107"/>
  <c r="D93" i="107"/>
  <c r="E93" i="107"/>
  <c r="F93" i="107"/>
  <c r="G93" i="107"/>
  <c r="H93" i="107"/>
  <c r="I93" i="107"/>
  <c r="J93" i="107"/>
  <c r="K93" i="107"/>
  <c r="L93" i="107"/>
  <c r="M93" i="107"/>
  <c r="N93" i="107"/>
  <c r="C94" i="107"/>
  <c r="D94" i="107"/>
  <c r="E94" i="107"/>
  <c r="F94" i="107"/>
  <c r="V31" i="107" s="1"/>
  <c r="G94" i="107"/>
  <c r="H94" i="107"/>
  <c r="I94" i="107"/>
  <c r="J94" i="107"/>
  <c r="Z31" i="107" s="1"/>
  <c r="K94" i="107"/>
  <c r="L94" i="107"/>
  <c r="M94" i="107"/>
  <c r="N94" i="107"/>
  <c r="AD31" i="107" s="1"/>
  <c r="C95" i="107"/>
  <c r="D95" i="107"/>
  <c r="E95" i="107"/>
  <c r="F95" i="107"/>
  <c r="G95" i="107"/>
  <c r="H95" i="107"/>
  <c r="I95" i="107"/>
  <c r="J95" i="107"/>
  <c r="K95" i="107"/>
  <c r="L95" i="107"/>
  <c r="M95" i="107"/>
  <c r="N95" i="107"/>
  <c r="C96" i="107"/>
  <c r="D96" i="107"/>
  <c r="E96" i="107"/>
  <c r="F96" i="107"/>
  <c r="G96" i="107"/>
  <c r="H96" i="107"/>
  <c r="I96" i="107"/>
  <c r="J96" i="107"/>
  <c r="K96" i="107"/>
  <c r="L96" i="107"/>
  <c r="M96" i="107"/>
  <c r="N96" i="107"/>
  <c r="C97" i="107"/>
  <c r="D97" i="107"/>
  <c r="E97" i="107"/>
  <c r="F97" i="107"/>
  <c r="G97" i="107"/>
  <c r="H97" i="107"/>
  <c r="I97" i="107"/>
  <c r="J97" i="107"/>
  <c r="K97" i="107"/>
  <c r="L97" i="107"/>
  <c r="M97" i="107"/>
  <c r="N97" i="107"/>
  <c r="C98" i="107"/>
  <c r="D98" i="107"/>
  <c r="E98" i="107"/>
  <c r="U32" i="107" s="1"/>
  <c r="F98" i="107"/>
  <c r="V32" i="107" s="1"/>
  <c r="G98" i="107"/>
  <c r="H98" i="107"/>
  <c r="I98" i="107"/>
  <c r="Y32" i="107" s="1"/>
  <c r="J98" i="107"/>
  <c r="Z32" i="107" s="1"/>
  <c r="K98" i="107"/>
  <c r="L98" i="107"/>
  <c r="M98" i="107"/>
  <c r="AC32" i="107" s="1"/>
  <c r="N98" i="107"/>
  <c r="AD32" i="107" s="1"/>
  <c r="C99" i="107"/>
  <c r="D99" i="107"/>
  <c r="E99" i="107"/>
  <c r="F99" i="107"/>
  <c r="G99" i="107"/>
  <c r="H99" i="107"/>
  <c r="I99" i="107"/>
  <c r="J99" i="107"/>
  <c r="K99" i="107"/>
  <c r="L99" i="107"/>
  <c r="M99" i="107"/>
  <c r="N99" i="107"/>
  <c r="C100" i="107"/>
  <c r="D100" i="107"/>
  <c r="E100" i="107"/>
  <c r="F100" i="107"/>
  <c r="G100" i="107"/>
  <c r="H100" i="107"/>
  <c r="I100" i="107"/>
  <c r="J100" i="107"/>
  <c r="K100" i="107"/>
  <c r="L100" i="107"/>
  <c r="M100" i="107"/>
  <c r="N100" i="107"/>
  <c r="C101" i="107"/>
  <c r="D101" i="107"/>
  <c r="E101" i="107"/>
  <c r="F101" i="107"/>
  <c r="G101" i="107"/>
  <c r="H101" i="107"/>
  <c r="I101" i="107"/>
  <c r="J101" i="107"/>
  <c r="K101" i="107"/>
  <c r="L101" i="107"/>
  <c r="M101" i="107"/>
  <c r="N101" i="107"/>
  <c r="C102" i="107"/>
  <c r="D102" i="107"/>
  <c r="E102" i="107"/>
  <c r="F102" i="107"/>
  <c r="V33" i="107" s="1"/>
  <c r="G102" i="107"/>
  <c r="H102" i="107"/>
  <c r="I102" i="107"/>
  <c r="J102" i="107"/>
  <c r="Z33" i="107" s="1"/>
  <c r="K102" i="107"/>
  <c r="L102" i="107"/>
  <c r="M102" i="107"/>
  <c r="N102" i="107"/>
  <c r="AD33" i="107" s="1"/>
  <c r="C103" i="107"/>
  <c r="D103" i="107"/>
  <c r="E103" i="107"/>
  <c r="F103" i="107"/>
  <c r="G103" i="107"/>
  <c r="H103" i="107"/>
  <c r="I103" i="107"/>
  <c r="J103" i="107"/>
  <c r="K103" i="107"/>
  <c r="L103" i="107"/>
  <c r="M103" i="107"/>
  <c r="N103" i="107"/>
  <c r="C104" i="107"/>
  <c r="D104" i="107"/>
  <c r="E104" i="107"/>
  <c r="F104" i="107"/>
  <c r="G104" i="107"/>
  <c r="H104" i="107"/>
  <c r="I104" i="107"/>
  <c r="J104" i="107"/>
  <c r="K104" i="107"/>
  <c r="L104" i="107"/>
  <c r="AB33" i="107" s="1"/>
  <c r="M104" i="107"/>
  <c r="N104" i="107"/>
  <c r="C105" i="107"/>
  <c r="D105" i="107"/>
  <c r="T33" i="107" s="1"/>
  <c r="E105" i="107"/>
  <c r="F105" i="107"/>
  <c r="G105" i="107"/>
  <c r="H105" i="107"/>
  <c r="X33" i="107" s="1"/>
  <c r="I105" i="107"/>
  <c r="J105" i="107"/>
  <c r="K105" i="107"/>
  <c r="L105" i="107"/>
  <c r="M105" i="107"/>
  <c r="N105" i="107"/>
  <c r="D58" i="107"/>
  <c r="E58" i="107"/>
  <c r="F58" i="107"/>
  <c r="G58" i="107"/>
  <c r="H58" i="107"/>
  <c r="I58" i="107"/>
  <c r="J58" i="107"/>
  <c r="K58" i="107"/>
  <c r="L58" i="107"/>
  <c r="M58" i="107"/>
  <c r="N58" i="107"/>
  <c r="C58" i="107"/>
  <c r="AC33" i="107"/>
  <c r="AA33" i="107"/>
  <c r="Y33" i="107"/>
  <c r="W33" i="107"/>
  <c r="U33" i="107"/>
  <c r="S33" i="107"/>
  <c r="AF32" i="107"/>
  <c r="AB32" i="107"/>
  <c r="AA32" i="107"/>
  <c r="X32" i="107"/>
  <c r="W32" i="107"/>
  <c r="T32" i="107"/>
  <c r="S32" i="107"/>
  <c r="AC31" i="107"/>
  <c r="AB31" i="107"/>
  <c r="AA31" i="107"/>
  <c r="Y31" i="107"/>
  <c r="X31" i="107"/>
  <c r="W31" i="107"/>
  <c r="U31" i="107"/>
  <c r="T31" i="107"/>
  <c r="S31" i="107"/>
  <c r="AB30" i="107"/>
  <c r="AA30" i="107"/>
  <c r="X30" i="107"/>
  <c r="W30" i="107"/>
  <c r="T30" i="107"/>
  <c r="S30" i="107"/>
  <c r="AF29" i="107"/>
  <c r="AC29" i="107"/>
  <c r="AB29" i="107"/>
  <c r="AA29" i="107"/>
  <c r="Y29" i="107"/>
  <c r="X29" i="107"/>
  <c r="W29" i="107"/>
  <c r="U29" i="107"/>
  <c r="T29" i="107"/>
  <c r="S29" i="107"/>
  <c r="AE28" i="107"/>
  <c r="AB28" i="107"/>
  <c r="AA28" i="107"/>
  <c r="X28" i="107"/>
  <c r="W28" i="107"/>
  <c r="T28" i="107"/>
  <c r="S28" i="107"/>
  <c r="AE27" i="107"/>
  <c r="AC27" i="107"/>
  <c r="AB27" i="107"/>
  <c r="AA27" i="107"/>
  <c r="Y27" i="107"/>
  <c r="X27" i="107"/>
  <c r="W27" i="107"/>
  <c r="U27" i="107"/>
  <c r="T27" i="107"/>
  <c r="S27" i="107"/>
  <c r="AB26" i="107"/>
  <c r="AA26" i="107"/>
  <c r="X26" i="107"/>
  <c r="W26" i="107"/>
  <c r="T26" i="107"/>
  <c r="S26" i="107"/>
  <c r="AF25" i="107"/>
  <c r="AC25" i="107"/>
  <c r="AB25" i="107"/>
  <c r="AA25" i="107"/>
  <c r="Y25" i="107"/>
  <c r="X25" i="107"/>
  <c r="W25" i="107"/>
  <c r="U25" i="107"/>
  <c r="T25" i="107"/>
  <c r="S25" i="107"/>
  <c r="AB24" i="107"/>
  <c r="AA24" i="107"/>
  <c r="X24" i="107"/>
  <c r="W24" i="107"/>
  <c r="T24" i="107"/>
  <c r="S24" i="107"/>
  <c r="AC23" i="107"/>
  <c r="AB23" i="107"/>
  <c r="AA23" i="107"/>
  <c r="Y23" i="107"/>
  <c r="X23" i="107"/>
  <c r="W23" i="107"/>
  <c r="U23" i="107"/>
  <c r="T23" i="107"/>
  <c r="S23" i="107"/>
  <c r="AB22" i="107"/>
  <c r="AA22" i="107"/>
  <c r="X22" i="107"/>
  <c r="W22" i="107"/>
  <c r="T22" i="107"/>
  <c r="S22" i="107"/>
  <c r="AF21" i="107"/>
  <c r="AE21" i="107"/>
  <c r="AD21" i="107"/>
  <c r="AC21" i="107"/>
  <c r="AB21" i="107"/>
  <c r="AA21" i="107"/>
  <c r="Z21" i="107"/>
  <c r="Y21" i="107"/>
  <c r="X21" i="107"/>
  <c r="W21" i="107"/>
  <c r="V21" i="107"/>
  <c r="U21" i="107"/>
  <c r="T21" i="107"/>
  <c r="S21" i="107"/>
  <c r="AF20" i="107"/>
  <c r="AE20" i="107"/>
  <c r="AD20" i="107"/>
  <c r="AC20" i="107"/>
  <c r="AC36" i="107" s="1"/>
  <c r="AB20" i="107"/>
  <c r="AA20" i="107"/>
  <c r="Z20" i="107"/>
  <c r="Y20" i="107"/>
  <c r="Y36" i="107" s="1"/>
  <c r="X20" i="107"/>
  <c r="W20" i="107"/>
  <c r="V20" i="107"/>
  <c r="U20" i="107"/>
  <c r="U36" i="107" s="1"/>
  <c r="T20" i="107"/>
  <c r="S20" i="107"/>
  <c r="AF19" i="107"/>
  <c r="AF36" i="107" s="1"/>
  <c r="AE19" i="107"/>
  <c r="AE36" i="107" s="1"/>
  <c r="AD19" i="107"/>
  <c r="AD39" i="107" s="1"/>
  <c r="AC19" i="107"/>
  <c r="AC39" i="107" s="1"/>
  <c r="AB19" i="107"/>
  <c r="AB36" i="107" s="1"/>
  <c r="AA19" i="107"/>
  <c r="AA39" i="107" s="1"/>
  <c r="Z19" i="107"/>
  <c r="Z39" i="107" s="1"/>
  <c r="Y19" i="107"/>
  <c r="Y39" i="107" s="1"/>
  <c r="X19" i="107"/>
  <c r="X36" i="107" s="1"/>
  <c r="W19" i="107"/>
  <c r="W36" i="107" s="1"/>
  <c r="V19" i="107"/>
  <c r="V39" i="107" s="1"/>
  <c r="U19" i="107"/>
  <c r="U39" i="107" s="1"/>
  <c r="T19" i="107"/>
  <c r="T36" i="107" s="1"/>
  <c r="S19" i="107"/>
  <c r="S36" i="107" s="1"/>
  <c r="AF18" i="107"/>
  <c r="AE18" i="107"/>
  <c r="AD18" i="107"/>
  <c r="AC18" i="107"/>
  <c r="AB18" i="107"/>
  <c r="AA18" i="107"/>
  <c r="Z18" i="107"/>
  <c r="Y18" i="107"/>
  <c r="X18" i="107"/>
  <c r="W18" i="107"/>
  <c r="V18" i="107"/>
  <c r="U18" i="107"/>
  <c r="T18" i="107"/>
  <c r="S18" i="107"/>
  <c r="AF17" i="107"/>
  <c r="AE17" i="107"/>
  <c r="AD17" i="107"/>
  <c r="AC17" i="107"/>
  <c r="AB17" i="107"/>
  <c r="AA17" i="107"/>
  <c r="Z17" i="107"/>
  <c r="Y17" i="107"/>
  <c r="X17" i="107"/>
  <c r="W17" i="107"/>
  <c r="V17" i="107"/>
  <c r="U17" i="107"/>
  <c r="T17" i="107"/>
  <c r="S17" i="107"/>
  <c r="AF16" i="107"/>
  <c r="AE16" i="107"/>
  <c r="AD16" i="107"/>
  <c r="AC16" i="107"/>
  <c r="AB16" i="107"/>
  <c r="AA16" i="107"/>
  <c r="Z16" i="107"/>
  <c r="Y16" i="107"/>
  <c r="X16" i="107"/>
  <c r="W16" i="107"/>
  <c r="V16" i="107"/>
  <c r="U16" i="107"/>
  <c r="T16" i="107"/>
  <c r="S16" i="107"/>
  <c r="AF15" i="107"/>
  <c r="AE15" i="107"/>
  <c r="AD15" i="107"/>
  <c r="AC15" i="107"/>
  <c r="AB15" i="107"/>
  <c r="AA15" i="107"/>
  <c r="Z15" i="107"/>
  <c r="Y15" i="107"/>
  <c r="X15" i="107"/>
  <c r="W15" i="107"/>
  <c r="V15" i="107"/>
  <c r="U15" i="107"/>
  <c r="T15" i="107"/>
  <c r="S15" i="107"/>
  <c r="AF14" i="107"/>
  <c r="AE14" i="107"/>
  <c r="AD14" i="107"/>
  <c r="AC14" i="107"/>
  <c r="AC38" i="107" s="1"/>
  <c r="AB14" i="107"/>
  <c r="AA14" i="107"/>
  <c r="Z14" i="107"/>
  <c r="Y14" i="107"/>
  <c r="Y38" i="107" s="1"/>
  <c r="X14" i="107"/>
  <c r="W14" i="107"/>
  <c r="V14" i="107"/>
  <c r="U14" i="107"/>
  <c r="U38" i="107" s="1"/>
  <c r="T14" i="107"/>
  <c r="S14" i="107"/>
  <c r="AF13" i="107"/>
  <c r="AF38" i="107" s="1"/>
  <c r="AE13" i="107"/>
  <c r="AE38" i="107" s="1"/>
  <c r="AD13" i="107"/>
  <c r="AD35" i="107" s="1"/>
  <c r="AC13" i="107"/>
  <c r="AC35" i="107" s="1"/>
  <c r="AB13" i="107"/>
  <c r="AB38" i="107" s="1"/>
  <c r="AA13" i="107"/>
  <c r="AA35" i="107" s="1"/>
  <c r="Z13" i="107"/>
  <c r="Z35" i="107" s="1"/>
  <c r="Y13" i="107"/>
  <c r="Y35" i="107" s="1"/>
  <c r="X13" i="107"/>
  <c r="X38" i="107" s="1"/>
  <c r="W13" i="107"/>
  <c r="W38" i="107" s="1"/>
  <c r="V13" i="107"/>
  <c r="V35" i="107" s="1"/>
  <c r="U13" i="107"/>
  <c r="U35" i="107" s="1"/>
  <c r="T13" i="107"/>
  <c r="T38" i="107" s="1"/>
  <c r="S13" i="107"/>
  <c r="S35" i="107" s="1"/>
  <c r="AF12" i="107"/>
  <c r="AE12" i="107"/>
  <c r="AD12" i="107"/>
  <c r="AC12" i="107"/>
  <c r="AB12" i="107"/>
  <c r="AA12" i="107"/>
  <c r="Z12" i="107"/>
  <c r="Y12" i="107"/>
  <c r="X12" i="107"/>
  <c r="W12" i="107"/>
  <c r="V12" i="107"/>
  <c r="U12" i="107"/>
  <c r="T12" i="107"/>
  <c r="S12" i="107"/>
  <c r="AF11" i="107"/>
  <c r="AE11" i="107"/>
  <c r="AE37" i="107" s="1"/>
  <c r="AD11" i="107"/>
  <c r="AC11" i="107"/>
  <c r="AB11" i="107"/>
  <c r="AA11" i="107"/>
  <c r="Z11" i="107"/>
  <c r="Y11" i="107"/>
  <c r="X11" i="107"/>
  <c r="W11" i="107"/>
  <c r="V11" i="107"/>
  <c r="U11" i="107"/>
  <c r="T11" i="107"/>
  <c r="S11" i="107"/>
  <c r="AF10" i="107"/>
  <c r="AF40" i="107" s="1"/>
  <c r="AE10" i="107"/>
  <c r="AE40" i="107" s="1"/>
  <c r="AD10" i="107"/>
  <c r="AC10" i="107"/>
  <c r="AB10" i="107"/>
  <c r="AB40" i="107" s="1"/>
  <c r="AA10" i="107"/>
  <c r="AA40" i="107" s="1"/>
  <c r="Z10" i="107"/>
  <c r="Y10" i="107"/>
  <c r="X10" i="107"/>
  <c r="X40" i="107" s="1"/>
  <c r="W10" i="107"/>
  <c r="W40" i="107" s="1"/>
  <c r="V10" i="107"/>
  <c r="U10" i="107"/>
  <c r="U40" i="107" s="1"/>
  <c r="T10" i="107"/>
  <c r="T40" i="107" s="1"/>
  <c r="S10" i="107"/>
  <c r="S40" i="107" s="1"/>
  <c r="AC33" i="108"/>
  <c r="Y33" i="108"/>
  <c r="U33" i="108"/>
  <c r="AD32" i="108"/>
  <c r="Z32" i="108"/>
  <c r="V32" i="108"/>
  <c r="S32" i="108"/>
  <c r="AB31" i="108"/>
  <c r="X31" i="108"/>
  <c r="T31" i="108"/>
  <c r="AC30" i="108"/>
  <c r="Y30" i="108"/>
  <c r="U30" i="108"/>
  <c r="S30" i="108"/>
  <c r="AE29" i="108"/>
  <c r="AA29" i="108"/>
  <c r="W29" i="108"/>
  <c r="AE28" i="108"/>
  <c r="AB28" i="108"/>
  <c r="X28" i="108"/>
  <c r="T28" i="108"/>
  <c r="S28" i="108"/>
  <c r="AD27" i="108"/>
  <c r="Z27" i="108"/>
  <c r="V27" i="108"/>
  <c r="AA26" i="108"/>
  <c r="W26" i="108"/>
  <c r="S26" i="108"/>
  <c r="AE25" i="108"/>
  <c r="AC25" i="108"/>
  <c r="Y25" i="108"/>
  <c r="U25" i="108"/>
  <c r="AD24" i="108"/>
  <c r="Z24" i="108"/>
  <c r="V24" i="108"/>
  <c r="S24" i="108"/>
  <c r="AB23" i="108"/>
  <c r="X23" i="108"/>
  <c r="T23" i="108"/>
  <c r="AE22" i="108"/>
  <c r="AC22" i="108"/>
  <c r="Y22" i="108"/>
  <c r="U22" i="108"/>
  <c r="S22" i="108"/>
  <c r="AF21" i="108"/>
  <c r="AE21" i="108"/>
  <c r="AD21" i="108"/>
  <c r="AC21" i="108"/>
  <c r="AB21" i="108"/>
  <c r="AA21" i="108"/>
  <c r="Z21" i="108"/>
  <c r="Y21" i="108"/>
  <c r="X21" i="108"/>
  <c r="W21" i="108"/>
  <c r="V21" i="108"/>
  <c r="U21" i="108"/>
  <c r="T21" i="108"/>
  <c r="S21" i="108"/>
  <c r="AF20" i="108"/>
  <c r="AE20" i="108"/>
  <c r="AD20" i="108"/>
  <c r="AC20" i="108"/>
  <c r="AC36" i="108" s="1"/>
  <c r="AB20" i="108"/>
  <c r="AA20" i="108"/>
  <c r="Z20" i="108"/>
  <c r="Y20" i="108"/>
  <c r="Y36" i="108" s="1"/>
  <c r="X20" i="108"/>
  <c r="W20" i="108"/>
  <c r="V20" i="108"/>
  <c r="U20" i="108"/>
  <c r="U36" i="108" s="1"/>
  <c r="T20" i="108"/>
  <c r="S20" i="108"/>
  <c r="AF19" i="108"/>
  <c r="AF36" i="108" s="1"/>
  <c r="AE19" i="108"/>
  <c r="AE36" i="108" s="1"/>
  <c r="AD19" i="108"/>
  <c r="AD39" i="108" s="1"/>
  <c r="AC19" i="108"/>
  <c r="AC39" i="108" s="1"/>
  <c r="AB19" i="108"/>
  <c r="AB36" i="108" s="1"/>
  <c r="AA19" i="108"/>
  <c r="AA36" i="108" s="1"/>
  <c r="Z19" i="108"/>
  <c r="Z39" i="108" s="1"/>
  <c r="Y19" i="108"/>
  <c r="Y39" i="108" s="1"/>
  <c r="X19" i="108"/>
  <c r="X36" i="108" s="1"/>
  <c r="W19" i="108"/>
  <c r="W39" i="108" s="1"/>
  <c r="V19" i="108"/>
  <c r="V39" i="108" s="1"/>
  <c r="U19" i="108"/>
  <c r="U39" i="108" s="1"/>
  <c r="T19" i="108"/>
  <c r="T36" i="108" s="1"/>
  <c r="S19" i="108"/>
  <c r="S36" i="108" s="1"/>
  <c r="AF18" i="108"/>
  <c r="AE18" i="108"/>
  <c r="AD18" i="108"/>
  <c r="AC18" i="108"/>
  <c r="AB18" i="108"/>
  <c r="AA18" i="108"/>
  <c r="Z18" i="108"/>
  <c r="Y18" i="108"/>
  <c r="X18" i="108"/>
  <c r="W18" i="108"/>
  <c r="V18" i="108"/>
  <c r="U18" i="108"/>
  <c r="T18" i="108"/>
  <c r="S18" i="108"/>
  <c r="AF17" i="108"/>
  <c r="AE17" i="108"/>
  <c r="AD17" i="108"/>
  <c r="AC17" i="108"/>
  <c r="AB17" i="108"/>
  <c r="AA17" i="108"/>
  <c r="Z17" i="108"/>
  <c r="Y17" i="108"/>
  <c r="X17" i="108"/>
  <c r="W17" i="108"/>
  <c r="V17" i="108"/>
  <c r="U17" i="108"/>
  <c r="T17" i="108"/>
  <c r="S17" i="108"/>
  <c r="AF16" i="108"/>
  <c r="AE16" i="108"/>
  <c r="AD16" i="108"/>
  <c r="AC16" i="108"/>
  <c r="AB16" i="108"/>
  <c r="AA16" i="108"/>
  <c r="Z16" i="108"/>
  <c r="Y16" i="108"/>
  <c r="X16" i="108"/>
  <c r="W16" i="108"/>
  <c r="V16" i="108"/>
  <c r="U16" i="108"/>
  <c r="T16" i="108"/>
  <c r="S16" i="108"/>
  <c r="AF15" i="108"/>
  <c r="AE15" i="108"/>
  <c r="AD15" i="108"/>
  <c r="AC15" i="108"/>
  <c r="AB15" i="108"/>
  <c r="AA15" i="108"/>
  <c r="Z15" i="108"/>
  <c r="Y15" i="108"/>
  <c r="X15" i="108"/>
  <c r="W15" i="108"/>
  <c r="V15" i="108"/>
  <c r="U15" i="108"/>
  <c r="T15" i="108"/>
  <c r="S15" i="108"/>
  <c r="AF14" i="108"/>
  <c r="AE14" i="108"/>
  <c r="AD14" i="108"/>
  <c r="AC14" i="108"/>
  <c r="AC38" i="108" s="1"/>
  <c r="AB14" i="108"/>
  <c r="AA14" i="108"/>
  <c r="Z14" i="108"/>
  <c r="Y14" i="108"/>
  <c r="Y38" i="108" s="1"/>
  <c r="X14" i="108"/>
  <c r="W14" i="108"/>
  <c r="V14" i="108"/>
  <c r="U14" i="108"/>
  <c r="U38" i="108" s="1"/>
  <c r="T14" i="108"/>
  <c r="S14" i="108"/>
  <c r="AF13" i="108"/>
  <c r="AF38" i="108" s="1"/>
  <c r="AE13" i="108"/>
  <c r="AE38" i="108" s="1"/>
  <c r="AD13" i="108"/>
  <c r="AD35" i="108" s="1"/>
  <c r="AC13" i="108"/>
  <c r="AC35" i="108" s="1"/>
  <c r="AB13" i="108"/>
  <c r="AB38" i="108" s="1"/>
  <c r="AA13" i="108"/>
  <c r="AA35" i="108" s="1"/>
  <c r="Z13" i="108"/>
  <c r="Z35" i="108" s="1"/>
  <c r="Y13" i="108"/>
  <c r="Y35" i="108" s="1"/>
  <c r="X13" i="108"/>
  <c r="X38" i="108" s="1"/>
  <c r="W13" i="108"/>
  <c r="W38" i="108" s="1"/>
  <c r="V13" i="108"/>
  <c r="V35" i="108" s="1"/>
  <c r="U13" i="108"/>
  <c r="U35" i="108" s="1"/>
  <c r="T13" i="108"/>
  <c r="T38" i="108" s="1"/>
  <c r="S13" i="108"/>
  <c r="S35" i="108" s="1"/>
  <c r="AF12" i="108"/>
  <c r="AE12" i="108"/>
  <c r="AD12" i="108"/>
  <c r="AC12" i="108"/>
  <c r="AB12" i="108"/>
  <c r="AA12" i="108"/>
  <c r="Z12" i="108"/>
  <c r="Y12" i="108"/>
  <c r="X12" i="108"/>
  <c r="W12" i="108"/>
  <c r="V12" i="108"/>
  <c r="U12" i="108"/>
  <c r="T12" i="108"/>
  <c r="S12" i="108"/>
  <c r="AF11" i="108"/>
  <c r="AE11" i="108"/>
  <c r="AD11" i="108"/>
  <c r="AC11" i="108"/>
  <c r="AB11" i="108"/>
  <c r="AA11" i="108"/>
  <c r="AA37" i="108" s="1"/>
  <c r="Z11" i="108"/>
  <c r="Y11" i="108"/>
  <c r="X11" i="108"/>
  <c r="W11" i="108"/>
  <c r="V11" i="108"/>
  <c r="U11" i="108"/>
  <c r="T11" i="108"/>
  <c r="S11" i="108"/>
  <c r="AF10" i="108"/>
  <c r="AF40" i="108" s="1"/>
  <c r="AE10" i="108"/>
  <c r="AE40" i="108" s="1"/>
  <c r="AD10" i="108"/>
  <c r="AC10" i="108"/>
  <c r="AC40" i="108" s="1"/>
  <c r="AB10" i="108"/>
  <c r="AB40" i="108" s="1"/>
  <c r="AA10" i="108"/>
  <c r="AA40" i="108" s="1"/>
  <c r="Z10" i="108"/>
  <c r="Y10" i="108"/>
  <c r="X10" i="108"/>
  <c r="X40" i="108" s="1"/>
  <c r="W10" i="108"/>
  <c r="W40" i="108" s="1"/>
  <c r="V10" i="108"/>
  <c r="U10" i="108"/>
  <c r="U40" i="108" s="1"/>
  <c r="T10" i="108"/>
  <c r="T40" i="108" s="1"/>
  <c r="S10" i="108"/>
  <c r="S40" i="108" s="1"/>
  <c r="AC33" i="111"/>
  <c r="Y33" i="111"/>
  <c r="U33" i="111"/>
  <c r="AD32" i="111"/>
  <c r="Z32" i="111"/>
  <c r="V32" i="111"/>
  <c r="S32" i="111"/>
  <c r="AB31" i="111"/>
  <c r="X31" i="111"/>
  <c r="T31" i="111"/>
  <c r="AC30" i="111"/>
  <c r="Y30" i="111"/>
  <c r="U30" i="111"/>
  <c r="S30" i="111"/>
  <c r="AE29" i="111"/>
  <c r="AA29" i="111"/>
  <c r="W29" i="111"/>
  <c r="AE28" i="111"/>
  <c r="AB28" i="111"/>
  <c r="X28" i="111"/>
  <c r="T28" i="111"/>
  <c r="S28" i="111"/>
  <c r="AD27" i="111"/>
  <c r="Z27" i="111"/>
  <c r="V27" i="111"/>
  <c r="AA26" i="111"/>
  <c r="W26" i="111"/>
  <c r="S26" i="111"/>
  <c r="AE25" i="111"/>
  <c r="AC25" i="111"/>
  <c r="Y25" i="111"/>
  <c r="U25" i="111"/>
  <c r="AD24" i="111"/>
  <c r="Z24" i="111"/>
  <c r="V24" i="111"/>
  <c r="S24" i="111"/>
  <c r="AB23" i="111"/>
  <c r="X23" i="111"/>
  <c r="T23" i="111"/>
  <c r="AE22" i="111"/>
  <c r="AC22" i="111"/>
  <c r="Y22" i="111"/>
  <c r="U22" i="111"/>
  <c r="S22" i="111"/>
  <c r="AF21" i="111"/>
  <c r="AE21" i="111"/>
  <c r="AD21" i="111"/>
  <c r="AC21" i="111"/>
  <c r="AB21" i="111"/>
  <c r="AA21" i="111"/>
  <c r="Z21" i="111"/>
  <c r="Y21" i="111"/>
  <c r="X21" i="111"/>
  <c r="W21" i="111"/>
  <c r="V21" i="111"/>
  <c r="U21" i="111"/>
  <c r="T21" i="111"/>
  <c r="S21" i="111"/>
  <c r="AF20" i="111"/>
  <c r="AE20" i="111"/>
  <c r="AD20" i="111"/>
  <c r="AC20" i="111"/>
  <c r="AC36" i="111" s="1"/>
  <c r="AB20" i="111"/>
  <c r="AA20" i="111"/>
  <c r="Z20" i="111"/>
  <c r="Y20" i="111"/>
  <c r="Y36" i="111" s="1"/>
  <c r="X20" i="111"/>
  <c r="W20" i="111"/>
  <c r="V20" i="111"/>
  <c r="U20" i="111"/>
  <c r="U36" i="111" s="1"/>
  <c r="T20" i="111"/>
  <c r="S20" i="111"/>
  <c r="AF19" i="111"/>
  <c r="AF36" i="111" s="1"/>
  <c r="AE19" i="111"/>
  <c r="AE36" i="111" s="1"/>
  <c r="AD19" i="111"/>
  <c r="AD39" i="111" s="1"/>
  <c r="AC19" i="111"/>
  <c r="AC39" i="111" s="1"/>
  <c r="AB19" i="111"/>
  <c r="AB36" i="111" s="1"/>
  <c r="AA19" i="111"/>
  <c r="AA39" i="111" s="1"/>
  <c r="Z19" i="111"/>
  <c r="Z39" i="111" s="1"/>
  <c r="Y19" i="111"/>
  <c r="Y39" i="111" s="1"/>
  <c r="X19" i="111"/>
  <c r="X36" i="111" s="1"/>
  <c r="W19" i="111"/>
  <c r="W36" i="111" s="1"/>
  <c r="V19" i="111"/>
  <c r="V39" i="111" s="1"/>
  <c r="U19" i="111"/>
  <c r="U39" i="111" s="1"/>
  <c r="T19" i="111"/>
  <c r="T36" i="111" s="1"/>
  <c r="S19" i="111"/>
  <c r="S36" i="111" s="1"/>
  <c r="AF18" i="111"/>
  <c r="AE18" i="111"/>
  <c r="AD18" i="111"/>
  <c r="AC18" i="111"/>
  <c r="AB18" i="111"/>
  <c r="AA18" i="111"/>
  <c r="Z18" i="111"/>
  <c r="Y18" i="111"/>
  <c r="X18" i="111"/>
  <c r="W18" i="111"/>
  <c r="V18" i="111"/>
  <c r="U18" i="111"/>
  <c r="T18" i="111"/>
  <c r="S18" i="111"/>
  <c r="AF17" i="111"/>
  <c r="AE17" i="111"/>
  <c r="AD17" i="111"/>
  <c r="AC17" i="111"/>
  <c r="AB17" i="111"/>
  <c r="AA17" i="111"/>
  <c r="Z17" i="111"/>
  <c r="Y17" i="111"/>
  <c r="X17" i="111"/>
  <c r="W17" i="111"/>
  <c r="V17" i="111"/>
  <c r="U17" i="111"/>
  <c r="T17" i="111"/>
  <c r="S17" i="111"/>
  <c r="AF16" i="111"/>
  <c r="AE16" i="111"/>
  <c r="AD16" i="111"/>
  <c r="AC16" i="111"/>
  <c r="AB16" i="111"/>
  <c r="AA16" i="111"/>
  <c r="Z16" i="111"/>
  <c r="Y16" i="111"/>
  <c r="X16" i="111"/>
  <c r="W16" i="111"/>
  <c r="V16" i="111"/>
  <c r="U16" i="111"/>
  <c r="T16" i="111"/>
  <c r="S16" i="111"/>
  <c r="AF15" i="111"/>
  <c r="AE15" i="111"/>
  <c r="AD15" i="111"/>
  <c r="AC15" i="111"/>
  <c r="AB15" i="111"/>
  <c r="AA15" i="111"/>
  <c r="Z15" i="111"/>
  <c r="Y15" i="111"/>
  <c r="X15" i="111"/>
  <c r="W15" i="111"/>
  <c r="V15" i="111"/>
  <c r="U15" i="111"/>
  <c r="T15" i="111"/>
  <c r="S15" i="111"/>
  <c r="AF14" i="111"/>
  <c r="AE14" i="111"/>
  <c r="AD14" i="111"/>
  <c r="AC14" i="111"/>
  <c r="AC38" i="111" s="1"/>
  <c r="AB14" i="111"/>
  <c r="AA14" i="111"/>
  <c r="Z14" i="111"/>
  <c r="Y14" i="111"/>
  <c r="Y38" i="111" s="1"/>
  <c r="X14" i="111"/>
  <c r="W14" i="111"/>
  <c r="V14" i="111"/>
  <c r="U14" i="111"/>
  <c r="U38" i="111" s="1"/>
  <c r="T14" i="111"/>
  <c r="S14" i="111"/>
  <c r="AF13" i="111"/>
  <c r="AF38" i="111" s="1"/>
  <c r="AE13" i="111"/>
  <c r="AE38" i="111" s="1"/>
  <c r="AD13" i="111"/>
  <c r="AD35" i="111" s="1"/>
  <c r="AC13" i="111"/>
  <c r="AC35" i="111" s="1"/>
  <c r="AB13" i="111"/>
  <c r="AB38" i="111" s="1"/>
  <c r="AA13" i="111"/>
  <c r="AA38" i="111" s="1"/>
  <c r="Z13" i="111"/>
  <c r="Z35" i="111" s="1"/>
  <c r="Y13" i="111"/>
  <c r="Y35" i="111" s="1"/>
  <c r="X13" i="111"/>
  <c r="X38" i="111" s="1"/>
  <c r="W13" i="111"/>
  <c r="W35" i="111" s="1"/>
  <c r="V13" i="111"/>
  <c r="V35" i="111" s="1"/>
  <c r="U13" i="111"/>
  <c r="U35" i="111" s="1"/>
  <c r="T13" i="111"/>
  <c r="T38" i="111" s="1"/>
  <c r="S13" i="111"/>
  <c r="S38" i="111" s="1"/>
  <c r="AF12" i="111"/>
  <c r="AE12" i="111"/>
  <c r="AD12" i="111"/>
  <c r="AC12" i="111"/>
  <c r="AB12" i="111"/>
  <c r="AA12" i="111"/>
  <c r="Z12" i="111"/>
  <c r="Y12" i="111"/>
  <c r="X12" i="111"/>
  <c r="W12" i="111"/>
  <c r="V12" i="111"/>
  <c r="U12" i="111"/>
  <c r="T12" i="111"/>
  <c r="S12" i="111"/>
  <c r="AF11" i="111"/>
  <c r="AE11" i="111"/>
  <c r="AD11" i="111"/>
  <c r="AC11" i="111"/>
  <c r="AB11" i="111"/>
  <c r="AA11" i="111"/>
  <c r="AA37" i="111" s="1"/>
  <c r="Z11" i="111"/>
  <c r="Y11" i="111"/>
  <c r="X11" i="111"/>
  <c r="W11" i="111"/>
  <c r="W37" i="111" s="1"/>
  <c r="V11" i="111"/>
  <c r="U11" i="111"/>
  <c r="T11" i="111"/>
  <c r="S11" i="111"/>
  <c r="AF10" i="111"/>
  <c r="AF40" i="111" s="1"/>
  <c r="AE10" i="111"/>
  <c r="AE40" i="111" s="1"/>
  <c r="AD10" i="111"/>
  <c r="AC10" i="111"/>
  <c r="AC40" i="111" s="1"/>
  <c r="AB10" i="111"/>
  <c r="AB40" i="111" s="1"/>
  <c r="AA10" i="111"/>
  <c r="AA40" i="111" s="1"/>
  <c r="Z10" i="111"/>
  <c r="Y10" i="111"/>
  <c r="Y34" i="111" s="1"/>
  <c r="X10" i="111"/>
  <c r="X40" i="111" s="1"/>
  <c r="W10" i="111"/>
  <c r="W40" i="111" s="1"/>
  <c r="V10" i="111"/>
  <c r="U10" i="111"/>
  <c r="T10" i="111"/>
  <c r="T40" i="111" s="1"/>
  <c r="S10" i="111"/>
  <c r="S40" i="111" s="1"/>
  <c r="AE41" i="111" l="1"/>
  <c r="V41" i="111"/>
  <c r="Z41" i="111"/>
  <c r="U41" i="111"/>
  <c r="AD41" i="111"/>
  <c r="S41" i="111"/>
  <c r="AE41" i="108"/>
  <c r="Y41" i="108"/>
  <c r="Z41" i="108"/>
  <c r="W41" i="108"/>
  <c r="V41" i="108"/>
  <c r="AD41" i="108"/>
  <c r="S41" i="108"/>
  <c r="Y41" i="107"/>
  <c r="AC41" i="107"/>
  <c r="V41" i="107"/>
  <c r="Z41" i="107"/>
  <c r="AD41" i="107"/>
  <c r="W41" i="107"/>
  <c r="AA41" i="107"/>
  <c r="S41" i="107"/>
  <c r="S42" i="107" s="1"/>
  <c r="W42" i="107"/>
  <c r="AA42" i="107"/>
  <c r="AD42" i="107"/>
  <c r="Y34" i="107"/>
  <c r="W35" i="107"/>
  <c r="AA37" i="107"/>
  <c r="W39" i="107"/>
  <c r="AC40" i="107"/>
  <c r="AC42" i="107" s="1"/>
  <c r="V34" i="107"/>
  <c r="Z34" i="107"/>
  <c r="AD34" i="107"/>
  <c r="T35" i="107"/>
  <c r="X35" i="107"/>
  <c r="AB35" i="107"/>
  <c r="AF35" i="107"/>
  <c r="V36" i="107"/>
  <c r="Z36" i="107"/>
  <c r="AD36" i="107"/>
  <c r="T37" i="107"/>
  <c r="X37" i="107"/>
  <c r="AB37" i="107"/>
  <c r="AF37" i="107"/>
  <c r="V38" i="107"/>
  <c r="Z38" i="107"/>
  <c r="AD38" i="107"/>
  <c r="T39" i="107"/>
  <c r="X39" i="107"/>
  <c r="AB39" i="107"/>
  <c r="AF39" i="107"/>
  <c r="V40" i="107"/>
  <c r="V42" i="107" s="1"/>
  <c r="Z40" i="107"/>
  <c r="Z42" i="107" s="1"/>
  <c r="AD40" i="107"/>
  <c r="T41" i="107"/>
  <c r="T42" i="107" s="1"/>
  <c r="X41" i="107"/>
  <c r="X42" i="107" s="1"/>
  <c r="AB41" i="107"/>
  <c r="AB42" i="107" s="1"/>
  <c r="AF41" i="107"/>
  <c r="AF42" i="107" s="1"/>
  <c r="AC34" i="107"/>
  <c r="AE35" i="107"/>
  <c r="W37" i="107"/>
  <c r="S39" i="107"/>
  <c r="AE39" i="107"/>
  <c r="Y40" i="107"/>
  <c r="Y42" i="107" s="1"/>
  <c r="AE41" i="107"/>
  <c r="AE42" i="107" s="1"/>
  <c r="S34" i="107"/>
  <c r="W34" i="107"/>
  <c r="AA34" i="107"/>
  <c r="AE34" i="107"/>
  <c r="AA36" i="107"/>
  <c r="U37" i="107"/>
  <c r="Y37" i="107"/>
  <c r="AC37" i="107"/>
  <c r="S38" i="107"/>
  <c r="AA38" i="107"/>
  <c r="U41" i="107"/>
  <c r="U42" i="107" s="1"/>
  <c r="U34" i="107"/>
  <c r="S37" i="107"/>
  <c r="T34" i="107"/>
  <c r="X34" i="107"/>
  <c r="AB34" i="107"/>
  <c r="AF34" i="107"/>
  <c r="V37" i="107"/>
  <c r="Z37" i="107"/>
  <c r="AD37" i="107"/>
  <c r="S42" i="108"/>
  <c r="AE42" i="108"/>
  <c r="W42" i="108"/>
  <c r="Y34" i="108"/>
  <c r="W35" i="108"/>
  <c r="S37" i="108"/>
  <c r="AE37" i="108"/>
  <c r="AE39" i="108"/>
  <c r="V34" i="108"/>
  <c r="Z34" i="108"/>
  <c r="AD34" i="108"/>
  <c r="T35" i="108"/>
  <c r="X35" i="108"/>
  <c r="AB35" i="108"/>
  <c r="AF35" i="108"/>
  <c r="V36" i="108"/>
  <c r="Z36" i="108"/>
  <c r="AD36" i="108"/>
  <c r="T37" i="108"/>
  <c r="X37" i="108"/>
  <c r="AB37" i="108"/>
  <c r="AF37" i="108"/>
  <c r="V38" i="108"/>
  <c r="Z38" i="108"/>
  <c r="AD38" i="108"/>
  <c r="T39" i="108"/>
  <c r="X39" i="108"/>
  <c r="AB39" i="108"/>
  <c r="AF39" i="108"/>
  <c r="V40" i="108"/>
  <c r="Z40" i="108"/>
  <c r="Z42" i="108" s="1"/>
  <c r="AD40" i="108"/>
  <c r="AD42" i="108" s="1"/>
  <c r="T41" i="108"/>
  <c r="T42" i="108" s="1"/>
  <c r="X41" i="108"/>
  <c r="X42" i="108" s="1"/>
  <c r="AB41" i="108"/>
  <c r="AB42" i="108" s="1"/>
  <c r="AF41" i="108"/>
  <c r="AF42" i="108" s="1"/>
  <c r="AC34" i="108"/>
  <c r="AE35" i="108"/>
  <c r="W37" i="108"/>
  <c r="S39" i="108"/>
  <c r="AA39" i="108"/>
  <c r="Y40" i="108"/>
  <c r="Y42" i="108" s="1"/>
  <c r="AA41" i="108"/>
  <c r="AA42" i="108" s="1"/>
  <c r="S34" i="108"/>
  <c r="W34" i="108"/>
  <c r="AA34" i="108"/>
  <c r="AE34" i="108"/>
  <c r="W36" i="108"/>
  <c r="U37" i="108"/>
  <c r="Y37" i="108"/>
  <c r="AC37" i="108"/>
  <c r="S38" i="108"/>
  <c r="AA38" i="108"/>
  <c r="U41" i="108"/>
  <c r="U42" i="108" s="1"/>
  <c r="AC41" i="108"/>
  <c r="AC42" i="108" s="1"/>
  <c r="U34" i="108"/>
  <c r="T34" i="108"/>
  <c r="X34" i="108"/>
  <c r="AB34" i="108"/>
  <c r="AF34" i="108"/>
  <c r="V37" i="108"/>
  <c r="Z37" i="108"/>
  <c r="AD37" i="108"/>
  <c r="AE42" i="111"/>
  <c r="S42" i="111"/>
  <c r="U34" i="111"/>
  <c r="S35" i="111"/>
  <c r="AA35" i="111"/>
  <c r="S37" i="111"/>
  <c r="AE37" i="111"/>
  <c r="W39" i="111"/>
  <c r="U40" i="111"/>
  <c r="U42" i="111" s="1"/>
  <c r="W41" i="111"/>
  <c r="W42" i="111" s="1"/>
  <c r="V34" i="111"/>
  <c r="Z34" i="111"/>
  <c r="AD34" i="111"/>
  <c r="T35" i="111"/>
  <c r="X35" i="111"/>
  <c r="AB35" i="111"/>
  <c r="AF35" i="111"/>
  <c r="V36" i="111"/>
  <c r="Z36" i="111"/>
  <c r="AD36" i="111"/>
  <c r="T37" i="111"/>
  <c r="X37" i="111"/>
  <c r="AB37" i="111"/>
  <c r="AF37" i="111"/>
  <c r="V38" i="111"/>
  <c r="Z38" i="111"/>
  <c r="AD38" i="111"/>
  <c r="T39" i="111"/>
  <c r="X39" i="111"/>
  <c r="AB39" i="111"/>
  <c r="AF39" i="111"/>
  <c r="V40" i="111"/>
  <c r="V42" i="111" s="1"/>
  <c r="Z40" i="111"/>
  <c r="Z42" i="111" s="1"/>
  <c r="AD40" i="111"/>
  <c r="AD42" i="111" s="1"/>
  <c r="T41" i="111"/>
  <c r="T42" i="111" s="1"/>
  <c r="X41" i="111"/>
  <c r="X42" i="111" s="1"/>
  <c r="AB41" i="111"/>
  <c r="AB42" i="111" s="1"/>
  <c r="AF41" i="111"/>
  <c r="AF42" i="111" s="1"/>
  <c r="AC34" i="111"/>
  <c r="AE35" i="111"/>
  <c r="S39" i="111"/>
  <c r="AE39" i="111"/>
  <c r="Y40" i="111"/>
  <c r="AA41" i="111"/>
  <c r="AA42" i="111" s="1"/>
  <c r="S34" i="111"/>
  <c r="W34" i="111"/>
  <c r="AA34" i="111"/>
  <c r="AE34" i="111"/>
  <c r="AA36" i="111"/>
  <c r="U37" i="111"/>
  <c r="Y37" i="111"/>
  <c r="AC37" i="111"/>
  <c r="W38" i="111"/>
  <c r="Y41" i="111"/>
  <c r="Y42" i="111" s="1"/>
  <c r="AC41" i="111"/>
  <c r="AC42" i="111" s="1"/>
  <c r="T34" i="111"/>
  <c r="X34" i="111"/>
  <c r="AB34" i="111"/>
  <c r="AF34" i="111"/>
  <c r="V37" i="111"/>
  <c r="Z37" i="111"/>
  <c r="AD37" i="111"/>
  <c r="V42" i="108" l="1"/>
  <c r="C11" i="108" l="1"/>
  <c r="D11" i="108"/>
  <c r="E11" i="108"/>
  <c r="F11" i="108"/>
  <c r="G11" i="108"/>
  <c r="H11" i="108"/>
  <c r="I11" i="108"/>
  <c r="J11" i="108"/>
  <c r="K11" i="108"/>
  <c r="L11" i="108"/>
  <c r="M11" i="108"/>
  <c r="N11" i="108"/>
  <c r="C12" i="108"/>
  <c r="D12" i="108"/>
  <c r="E12" i="108"/>
  <c r="F12" i="108"/>
  <c r="G12" i="108"/>
  <c r="H12" i="108"/>
  <c r="I12" i="108"/>
  <c r="J12" i="108"/>
  <c r="K12" i="108"/>
  <c r="L12" i="108"/>
  <c r="M12" i="108"/>
  <c r="N12" i="108"/>
  <c r="C13" i="108"/>
  <c r="D13" i="108"/>
  <c r="E13" i="108"/>
  <c r="F13" i="108"/>
  <c r="G13" i="108"/>
  <c r="H13" i="108"/>
  <c r="I13" i="108"/>
  <c r="J13" i="108"/>
  <c r="K13" i="108"/>
  <c r="L13" i="108"/>
  <c r="M13" i="108"/>
  <c r="N13" i="108"/>
  <c r="C14" i="108"/>
  <c r="D14" i="108"/>
  <c r="E14" i="108"/>
  <c r="F14" i="108"/>
  <c r="G14" i="108"/>
  <c r="H14" i="108"/>
  <c r="I14" i="108"/>
  <c r="J14" i="108"/>
  <c r="K14" i="108"/>
  <c r="L14" i="108"/>
  <c r="M14" i="108"/>
  <c r="N14" i="108"/>
  <c r="C15" i="108"/>
  <c r="D15" i="108"/>
  <c r="E15" i="108"/>
  <c r="F15" i="108"/>
  <c r="G15" i="108"/>
  <c r="H15" i="108"/>
  <c r="I15" i="108"/>
  <c r="J15" i="108"/>
  <c r="K15" i="108"/>
  <c r="L15" i="108"/>
  <c r="M15" i="108"/>
  <c r="N15" i="108"/>
  <c r="C16" i="108"/>
  <c r="D16" i="108"/>
  <c r="E16" i="108"/>
  <c r="F16" i="108"/>
  <c r="G16" i="108"/>
  <c r="H16" i="108"/>
  <c r="I16" i="108"/>
  <c r="J16" i="108"/>
  <c r="K16" i="108"/>
  <c r="L16" i="108"/>
  <c r="M16" i="108"/>
  <c r="N16" i="108"/>
  <c r="C17" i="108"/>
  <c r="D17" i="108"/>
  <c r="E17" i="108"/>
  <c r="F17" i="108"/>
  <c r="G17" i="108"/>
  <c r="H17" i="108"/>
  <c r="I17" i="108"/>
  <c r="J17" i="108"/>
  <c r="K17" i="108"/>
  <c r="L17" i="108"/>
  <c r="M17" i="108"/>
  <c r="N17" i="108"/>
  <c r="C18" i="108"/>
  <c r="D18" i="108"/>
  <c r="E18" i="108"/>
  <c r="F18" i="108"/>
  <c r="G18" i="108"/>
  <c r="H18" i="108"/>
  <c r="I18" i="108"/>
  <c r="J18" i="108"/>
  <c r="K18" i="108"/>
  <c r="L18" i="108"/>
  <c r="M18" i="108"/>
  <c r="N18" i="108"/>
  <c r="C19" i="108"/>
  <c r="D19" i="108"/>
  <c r="E19" i="108"/>
  <c r="F19" i="108"/>
  <c r="G19" i="108"/>
  <c r="H19" i="108"/>
  <c r="I19" i="108"/>
  <c r="J19" i="108"/>
  <c r="K19" i="108"/>
  <c r="L19" i="108"/>
  <c r="M19" i="108"/>
  <c r="N19" i="108"/>
  <c r="C20" i="108"/>
  <c r="D20" i="108"/>
  <c r="E20" i="108"/>
  <c r="F20" i="108"/>
  <c r="G20" i="108"/>
  <c r="H20" i="108"/>
  <c r="I20" i="108"/>
  <c r="J20" i="108"/>
  <c r="K20" i="108"/>
  <c r="L20" i="108"/>
  <c r="M20" i="108"/>
  <c r="N20" i="108"/>
  <c r="C21" i="108"/>
  <c r="D21" i="108"/>
  <c r="E21" i="108"/>
  <c r="F21" i="108"/>
  <c r="G21" i="108"/>
  <c r="H21" i="108"/>
  <c r="I21" i="108"/>
  <c r="J21" i="108"/>
  <c r="K21" i="108"/>
  <c r="L21" i="108"/>
  <c r="M21" i="108"/>
  <c r="N21" i="108"/>
  <c r="C22" i="108"/>
  <c r="D22" i="108"/>
  <c r="E22" i="108"/>
  <c r="F22" i="108"/>
  <c r="G22" i="108"/>
  <c r="H22" i="108"/>
  <c r="I22" i="108"/>
  <c r="J22" i="108"/>
  <c r="K22" i="108"/>
  <c r="L22" i="108"/>
  <c r="M22" i="108"/>
  <c r="N22" i="108"/>
  <c r="C23" i="108"/>
  <c r="D23" i="108"/>
  <c r="E23" i="108"/>
  <c r="F23" i="108"/>
  <c r="G23" i="108"/>
  <c r="H23" i="108"/>
  <c r="I23" i="108"/>
  <c r="J23" i="108"/>
  <c r="K23" i="108"/>
  <c r="L23" i="108"/>
  <c r="M23" i="108"/>
  <c r="N23" i="108"/>
  <c r="C24" i="108"/>
  <c r="D24" i="108"/>
  <c r="E24" i="108"/>
  <c r="F24" i="108"/>
  <c r="G24" i="108"/>
  <c r="H24" i="108"/>
  <c r="I24" i="108"/>
  <c r="J24" i="108"/>
  <c r="K24" i="108"/>
  <c r="L24" i="108"/>
  <c r="M24" i="108"/>
  <c r="N24" i="108"/>
  <c r="C25" i="108"/>
  <c r="D25" i="108"/>
  <c r="E25" i="108"/>
  <c r="F25" i="108"/>
  <c r="G25" i="108"/>
  <c r="H25" i="108"/>
  <c r="I25" i="108"/>
  <c r="J25" i="108"/>
  <c r="K25" i="108"/>
  <c r="L25" i="108"/>
  <c r="M25" i="108"/>
  <c r="N25" i="108"/>
  <c r="C26" i="108"/>
  <c r="D26" i="108"/>
  <c r="E26" i="108"/>
  <c r="F26" i="108"/>
  <c r="G26" i="108"/>
  <c r="H26" i="108"/>
  <c r="I26" i="108"/>
  <c r="J26" i="108"/>
  <c r="K26" i="108"/>
  <c r="L26" i="108"/>
  <c r="M26" i="108"/>
  <c r="N26" i="108"/>
  <c r="C27" i="108"/>
  <c r="D27" i="108"/>
  <c r="E27" i="108"/>
  <c r="F27" i="108"/>
  <c r="G27" i="108"/>
  <c r="H27" i="108"/>
  <c r="I27" i="108"/>
  <c r="J27" i="108"/>
  <c r="K27" i="108"/>
  <c r="L27" i="108"/>
  <c r="M27" i="108"/>
  <c r="N27" i="108"/>
  <c r="C28" i="108"/>
  <c r="D28" i="108"/>
  <c r="E28" i="108"/>
  <c r="F28" i="108"/>
  <c r="G28" i="108"/>
  <c r="H28" i="108"/>
  <c r="I28" i="108"/>
  <c r="J28" i="108"/>
  <c r="K28" i="108"/>
  <c r="L28" i="108"/>
  <c r="M28" i="108"/>
  <c r="N28" i="108"/>
  <c r="C29" i="108"/>
  <c r="D29" i="108"/>
  <c r="E29" i="108"/>
  <c r="F29" i="108"/>
  <c r="G29" i="108"/>
  <c r="H29" i="108"/>
  <c r="I29" i="108"/>
  <c r="J29" i="108"/>
  <c r="K29" i="108"/>
  <c r="L29" i="108"/>
  <c r="M29" i="108"/>
  <c r="N29" i="108"/>
  <c r="C30" i="108"/>
  <c r="D30" i="108"/>
  <c r="E30" i="108"/>
  <c r="F30" i="108"/>
  <c r="G30" i="108"/>
  <c r="H30" i="108"/>
  <c r="I30" i="108"/>
  <c r="J30" i="108"/>
  <c r="K30" i="108"/>
  <c r="L30" i="108"/>
  <c r="M30" i="108"/>
  <c r="N30" i="108"/>
  <c r="C31" i="108"/>
  <c r="D31" i="108"/>
  <c r="E31" i="108"/>
  <c r="F31" i="108"/>
  <c r="G31" i="108"/>
  <c r="H31" i="108"/>
  <c r="I31" i="108"/>
  <c r="J31" i="108"/>
  <c r="K31" i="108"/>
  <c r="L31" i="108"/>
  <c r="M31" i="108"/>
  <c r="N31" i="108"/>
  <c r="C32" i="108"/>
  <c r="D32" i="108"/>
  <c r="E32" i="108"/>
  <c r="F32" i="108"/>
  <c r="G32" i="108"/>
  <c r="H32" i="108"/>
  <c r="I32" i="108"/>
  <c r="J32" i="108"/>
  <c r="K32" i="108"/>
  <c r="L32" i="108"/>
  <c r="M32" i="108"/>
  <c r="N32" i="108"/>
  <c r="C33" i="108"/>
  <c r="D33" i="108"/>
  <c r="E33" i="108"/>
  <c r="F33" i="108"/>
  <c r="G33" i="108"/>
  <c r="H33" i="108"/>
  <c r="I33" i="108"/>
  <c r="J33" i="108"/>
  <c r="K33" i="108"/>
  <c r="L33" i="108"/>
  <c r="M33" i="108"/>
  <c r="N33" i="108"/>
  <c r="C34" i="108"/>
  <c r="D34" i="108"/>
  <c r="E34" i="108"/>
  <c r="F34" i="108"/>
  <c r="G34" i="108"/>
  <c r="H34" i="108"/>
  <c r="I34" i="108"/>
  <c r="J34" i="108"/>
  <c r="K34" i="108"/>
  <c r="L34" i="108"/>
  <c r="M34" i="108"/>
  <c r="N34" i="108"/>
  <c r="C35" i="108"/>
  <c r="D35" i="108"/>
  <c r="E35" i="108"/>
  <c r="F35" i="108"/>
  <c r="G35" i="108"/>
  <c r="H35" i="108"/>
  <c r="I35" i="108"/>
  <c r="J35" i="108"/>
  <c r="K35" i="108"/>
  <c r="L35" i="108"/>
  <c r="M35" i="108"/>
  <c r="N35" i="108"/>
  <c r="C36" i="108"/>
  <c r="D36" i="108"/>
  <c r="E36" i="108"/>
  <c r="F36" i="108"/>
  <c r="G36" i="108"/>
  <c r="H36" i="108"/>
  <c r="I36" i="108"/>
  <c r="J36" i="108"/>
  <c r="K36" i="108"/>
  <c r="L36" i="108"/>
  <c r="M36" i="108"/>
  <c r="N36" i="108"/>
  <c r="C37" i="108"/>
  <c r="D37" i="108"/>
  <c r="E37" i="108"/>
  <c r="F37" i="108"/>
  <c r="G37" i="108"/>
  <c r="H37" i="108"/>
  <c r="I37" i="108"/>
  <c r="J37" i="108"/>
  <c r="K37" i="108"/>
  <c r="L37" i="108"/>
  <c r="M37" i="108"/>
  <c r="N37" i="108"/>
  <c r="C38" i="108"/>
  <c r="D38" i="108"/>
  <c r="E38" i="108"/>
  <c r="F38" i="108"/>
  <c r="G38" i="108"/>
  <c r="H38" i="108"/>
  <c r="I38" i="108"/>
  <c r="J38" i="108"/>
  <c r="K38" i="108"/>
  <c r="L38" i="108"/>
  <c r="M38" i="108"/>
  <c r="N38" i="108"/>
  <c r="C39" i="108"/>
  <c r="D39" i="108"/>
  <c r="E39" i="108"/>
  <c r="F39" i="108"/>
  <c r="G39" i="108"/>
  <c r="H39" i="108"/>
  <c r="I39" i="108"/>
  <c r="J39" i="108"/>
  <c r="K39" i="108"/>
  <c r="L39" i="108"/>
  <c r="M39" i="108"/>
  <c r="N39" i="108"/>
  <c r="C40" i="108"/>
  <c r="D40" i="108"/>
  <c r="E40" i="108"/>
  <c r="F40" i="108"/>
  <c r="G40" i="108"/>
  <c r="H40" i="108"/>
  <c r="I40" i="108"/>
  <c r="J40" i="108"/>
  <c r="K40" i="108"/>
  <c r="L40" i="108"/>
  <c r="M40" i="108"/>
  <c r="N40" i="108"/>
  <c r="C41" i="108"/>
  <c r="D41" i="108"/>
  <c r="E41" i="108"/>
  <c r="F41" i="108"/>
  <c r="G41" i="108"/>
  <c r="H41" i="108"/>
  <c r="I41" i="108"/>
  <c r="J41" i="108"/>
  <c r="K41" i="108"/>
  <c r="L41" i="108"/>
  <c r="M41" i="108"/>
  <c r="N41" i="108"/>
  <c r="C42" i="108"/>
  <c r="D42" i="108"/>
  <c r="E42" i="108"/>
  <c r="F42" i="108"/>
  <c r="G42" i="108"/>
  <c r="H42" i="108"/>
  <c r="I42" i="108"/>
  <c r="J42" i="108"/>
  <c r="K42" i="108"/>
  <c r="L42" i="108"/>
  <c r="M42" i="108"/>
  <c r="N42" i="108"/>
  <c r="C43" i="108"/>
  <c r="D43" i="108"/>
  <c r="E43" i="108"/>
  <c r="F43" i="108"/>
  <c r="G43" i="108"/>
  <c r="H43" i="108"/>
  <c r="I43" i="108"/>
  <c r="J43" i="108"/>
  <c r="K43" i="108"/>
  <c r="L43" i="108"/>
  <c r="M43" i="108"/>
  <c r="N43" i="108"/>
  <c r="C44" i="108"/>
  <c r="D44" i="108"/>
  <c r="E44" i="108"/>
  <c r="F44" i="108"/>
  <c r="G44" i="108"/>
  <c r="H44" i="108"/>
  <c r="I44" i="108"/>
  <c r="J44" i="108"/>
  <c r="K44" i="108"/>
  <c r="L44" i="108"/>
  <c r="M44" i="108"/>
  <c r="N44" i="108"/>
  <c r="C45" i="108"/>
  <c r="D45" i="108"/>
  <c r="E45" i="108"/>
  <c r="F45" i="108"/>
  <c r="G45" i="108"/>
  <c r="H45" i="108"/>
  <c r="I45" i="108"/>
  <c r="J45" i="108"/>
  <c r="K45" i="108"/>
  <c r="L45" i="108"/>
  <c r="M45" i="108"/>
  <c r="N45" i="108"/>
  <c r="C46" i="108"/>
  <c r="D46" i="108"/>
  <c r="E46" i="108"/>
  <c r="F46" i="108"/>
  <c r="G46" i="108"/>
  <c r="H46" i="108"/>
  <c r="I46" i="108"/>
  <c r="J46" i="108"/>
  <c r="K46" i="108"/>
  <c r="L46" i="108"/>
  <c r="M46" i="108"/>
  <c r="N46" i="108"/>
  <c r="C47" i="108"/>
  <c r="D47" i="108"/>
  <c r="E47" i="108"/>
  <c r="F47" i="108"/>
  <c r="G47" i="108"/>
  <c r="H47" i="108"/>
  <c r="I47" i="108"/>
  <c r="J47" i="108"/>
  <c r="K47" i="108"/>
  <c r="L47" i="108"/>
  <c r="M47" i="108"/>
  <c r="N47" i="108"/>
  <c r="C48" i="108"/>
  <c r="D48" i="108"/>
  <c r="E48" i="108"/>
  <c r="F48" i="108"/>
  <c r="G48" i="108"/>
  <c r="H48" i="108"/>
  <c r="I48" i="108"/>
  <c r="J48" i="108"/>
  <c r="K48" i="108"/>
  <c r="L48" i="108"/>
  <c r="M48" i="108"/>
  <c r="N48" i="108"/>
  <c r="C49" i="108"/>
  <c r="D49" i="108"/>
  <c r="E49" i="108"/>
  <c r="F49" i="108"/>
  <c r="G49" i="108"/>
  <c r="H49" i="108"/>
  <c r="I49" i="108"/>
  <c r="J49" i="108"/>
  <c r="K49" i="108"/>
  <c r="L49" i="108"/>
  <c r="M49" i="108"/>
  <c r="N49" i="108"/>
  <c r="C50" i="108"/>
  <c r="D50" i="108"/>
  <c r="E50" i="108"/>
  <c r="F50" i="108"/>
  <c r="G50" i="108"/>
  <c r="H50" i="108"/>
  <c r="I50" i="108"/>
  <c r="J50" i="108"/>
  <c r="K50" i="108"/>
  <c r="L50" i="108"/>
  <c r="M50" i="108"/>
  <c r="N50" i="108"/>
  <c r="C51" i="108"/>
  <c r="D51" i="108"/>
  <c r="E51" i="108"/>
  <c r="F51" i="108"/>
  <c r="G51" i="108"/>
  <c r="H51" i="108"/>
  <c r="I51" i="108"/>
  <c r="J51" i="108"/>
  <c r="K51" i="108"/>
  <c r="L51" i="108"/>
  <c r="M51" i="108"/>
  <c r="N51" i="108"/>
  <c r="C52" i="108"/>
  <c r="D52" i="108"/>
  <c r="E52" i="108"/>
  <c r="F52" i="108"/>
  <c r="G52" i="108"/>
  <c r="H52" i="108"/>
  <c r="I52" i="108"/>
  <c r="J52" i="108"/>
  <c r="K52" i="108"/>
  <c r="L52" i="108"/>
  <c r="M52" i="108"/>
  <c r="N52" i="108"/>
  <c r="C53" i="108"/>
  <c r="D53" i="108"/>
  <c r="E53" i="108"/>
  <c r="F53" i="108"/>
  <c r="G53" i="108"/>
  <c r="H53" i="108"/>
  <c r="I53" i="108"/>
  <c r="J53" i="108"/>
  <c r="K53" i="108"/>
  <c r="L53" i="108"/>
  <c r="M53" i="108"/>
  <c r="N53" i="108"/>
  <c r="C54" i="108"/>
  <c r="D54" i="108"/>
  <c r="E54" i="108"/>
  <c r="F54" i="108"/>
  <c r="G54" i="108"/>
  <c r="H54" i="108"/>
  <c r="I54" i="108"/>
  <c r="J54" i="108"/>
  <c r="K54" i="108"/>
  <c r="L54" i="108"/>
  <c r="M54" i="108"/>
  <c r="N54" i="108"/>
  <c r="C55" i="108"/>
  <c r="D55" i="108"/>
  <c r="E55" i="108"/>
  <c r="F55" i="108"/>
  <c r="G55" i="108"/>
  <c r="H55" i="108"/>
  <c r="I55" i="108"/>
  <c r="J55" i="108"/>
  <c r="K55" i="108"/>
  <c r="L55" i="108"/>
  <c r="M55" i="108"/>
  <c r="N55" i="108"/>
  <c r="C56" i="108"/>
  <c r="D56" i="108"/>
  <c r="E56" i="108"/>
  <c r="F56" i="108"/>
  <c r="G56" i="108"/>
  <c r="H56" i="108"/>
  <c r="I56" i="108"/>
  <c r="J56" i="108"/>
  <c r="K56" i="108"/>
  <c r="L56" i="108"/>
  <c r="M56" i="108"/>
  <c r="N56" i="108"/>
  <c r="C57" i="108"/>
  <c r="D57" i="108"/>
  <c r="E57" i="108"/>
  <c r="F57" i="108"/>
  <c r="G57" i="108"/>
  <c r="H57" i="108"/>
  <c r="I57" i="108"/>
  <c r="J57" i="108"/>
  <c r="K57" i="108"/>
  <c r="L57" i="108"/>
  <c r="M57" i="108"/>
  <c r="N57" i="108"/>
  <c r="D10" i="108"/>
  <c r="E10" i="108"/>
  <c r="F10" i="108"/>
  <c r="G10" i="108"/>
  <c r="H10" i="108"/>
  <c r="I10" i="108"/>
  <c r="J10" i="108"/>
  <c r="K10" i="108"/>
  <c r="L10" i="108"/>
  <c r="M10" i="108"/>
  <c r="N10" i="108"/>
  <c r="C10" i="108"/>
  <c r="C11" i="107"/>
  <c r="C11" i="111" s="1"/>
  <c r="D11" i="107"/>
  <c r="D11" i="111" s="1"/>
  <c r="E11" i="107"/>
  <c r="E11" i="111" s="1"/>
  <c r="F11" i="107"/>
  <c r="F11" i="111" s="1"/>
  <c r="G11" i="107"/>
  <c r="G11" i="111" s="1"/>
  <c r="H11" i="107"/>
  <c r="H11" i="111" s="1"/>
  <c r="I11" i="107"/>
  <c r="I11" i="111" s="1"/>
  <c r="J11" i="107"/>
  <c r="J11" i="111" s="1"/>
  <c r="K11" i="107"/>
  <c r="K11" i="111" s="1"/>
  <c r="L11" i="107"/>
  <c r="L11" i="111" s="1"/>
  <c r="M11" i="107"/>
  <c r="M11" i="111" s="1"/>
  <c r="N11" i="107"/>
  <c r="N11" i="111" s="1"/>
  <c r="C12" i="107"/>
  <c r="C12" i="111" s="1"/>
  <c r="D12" i="107"/>
  <c r="D12" i="111" s="1"/>
  <c r="E12" i="107"/>
  <c r="E12" i="111" s="1"/>
  <c r="F12" i="107"/>
  <c r="F12" i="111" s="1"/>
  <c r="G12" i="107"/>
  <c r="G12" i="111" s="1"/>
  <c r="H12" i="107"/>
  <c r="H12" i="111" s="1"/>
  <c r="I12" i="107"/>
  <c r="I12" i="111" s="1"/>
  <c r="J12" i="107"/>
  <c r="J12" i="111" s="1"/>
  <c r="K12" i="107"/>
  <c r="K12" i="111" s="1"/>
  <c r="L12" i="107"/>
  <c r="L12" i="111" s="1"/>
  <c r="M12" i="107"/>
  <c r="M12" i="111" s="1"/>
  <c r="N12" i="107"/>
  <c r="N12" i="111" s="1"/>
  <c r="C13" i="107"/>
  <c r="C13" i="111" s="1"/>
  <c r="D13" i="107"/>
  <c r="D13" i="111" s="1"/>
  <c r="E13" i="107"/>
  <c r="E13" i="111" s="1"/>
  <c r="F13" i="107"/>
  <c r="F13" i="111" s="1"/>
  <c r="G13" i="107"/>
  <c r="G13" i="111" s="1"/>
  <c r="H13" i="107"/>
  <c r="H13" i="111" s="1"/>
  <c r="I13" i="107"/>
  <c r="I13" i="111" s="1"/>
  <c r="J13" i="107"/>
  <c r="J13" i="111" s="1"/>
  <c r="K13" i="107"/>
  <c r="K13" i="111" s="1"/>
  <c r="L13" i="107"/>
  <c r="L13" i="111" s="1"/>
  <c r="M13" i="107"/>
  <c r="M13" i="111" s="1"/>
  <c r="N13" i="107"/>
  <c r="N13" i="111" s="1"/>
  <c r="C14" i="107"/>
  <c r="C14" i="111" s="1"/>
  <c r="D14" i="107"/>
  <c r="D14" i="111" s="1"/>
  <c r="E14" i="107"/>
  <c r="E14" i="111" s="1"/>
  <c r="F14" i="107"/>
  <c r="F14" i="111" s="1"/>
  <c r="G14" i="107"/>
  <c r="G14" i="111" s="1"/>
  <c r="H14" i="107"/>
  <c r="H14" i="111" s="1"/>
  <c r="I14" i="107"/>
  <c r="I14" i="111" s="1"/>
  <c r="J14" i="107"/>
  <c r="J14" i="111" s="1"/>
  <c r="K14" i="107"/>
  <c r="K14" i="111" s="1"/>
  <c r="L14" i="107"/>
  <c r="L14" i="111" s="1"/>
  <c r="M14" i="107"/>
  <c r="M14" i="111" s="1"/>
  <c r="N14" i="107"/>
  <c r="N14" i="111" s="1"/>
  <c r="C15" i="107"/>
  <c r="C15" i="111" s="1"/>
  <c r="D15" i="107"/>
  <c r="D15" i="111" s="1"/>
  <c r="E15" i="107"/>
  <c r="E15" i="111" s="1"/>
  <c r="F15" i="107"/>
  <c r="F15" i="111" s="1"/>
  <c r="G15" i="107"/>
  <c r="G15" i="111" s="1"/>
  <c r="H15" i="107"/>
  <c r="H15" i="111" s="1"/>
  <c r="I15" i="107"/>
  <c r="J15" i="107"/>
  <c r="J15" i="111" s="1"/>
  <c r="K15" i="107"/>
  <c r="K15" i="111" s="1"/>
  <c r="L15" i="107"/>
  <c r="L15" i="111" s="1"/>
  <c r="M15" i="107"/>
  <c r="M15" i="111" s="1"/>
  <c r="N15" i="107"/>
  <c r="N15" i="111" s="1"/>
  <c r="C16" i="107"/>
  <c r="C16" i="111" s="1"/>
  <c r="D16" i="107"/>
  <c r="D16" i="111" s="1"/>
  <c r="E16" i="107"/>
  <c r="E16" i="111" s="1"/>
  <c r="F16" i="107"/>
  <c r="F16" i="111" s="1"/>
  <c r="G16" i="107"/>
  <c r="G16" i="111" s="1"/>
  <c r="H16" i="107"/>
  <c r="H16" i="111" s="1"/>
  <c r="I16" i="107"/>
  <c r="I16" i="111" s="1"/>
  <c r="J16" i="107"/>
  <c r="J16" i="111" s="1"/>
  <c r="K16" i="107"/>
  <c r="K16" i="111" s="1"/>
  <c r="L16" i="107"/>
  <c r="L16" i="111" s="1"/>
  <c r="M16" i="107"/>
  <c r="M16" i="111" s="1"/>
  <c r="N16" i="107"/>
  <c r="N16" i="111" s="1"/>
  <c r="C17" i="107"/>
  <c r="C17" i="111" s="1"/>
  <c r="D17" i="107"/>
  <c r="D17" i="111" s="1"/>
  <c r="E17" i="107"/>
  <c r="E17" i="111" s="1"/>
  <c r="F17" i="107"/>
  <c r="F17" i="111" s="1"/>
  <c r="G17" i="107"/>
  <c r="G17" i="111" s="1"/>
  <c r="H17" i="107"/>
  <c r="H17" i="111" s="1"/>
  <c r="I17" i="107"/>
  <c r="I17" i="111" s="1"/>
  <c r="J17" i="107"/>
  <c r="J17" i="111" s="1"/>
  <c r="K17" i="107"/>
  <c r="K17" i="111" s="1"/>
  <c r="L17" i="107"/>
  <c r="L17" i="111" s="1"/>
  <c r="M17" i="107"/>
  <c r="M17" i="111" s="1"/>
  <c r="N17" i="107"/>
  <c r="N17" i="111" s="1"/>
  <c r="C18" i="107"/>
  <c r="C18" i="111" s="1"/>
  <c r="D18" i="107"/>
  <c r="D18" i="111" s="1"/>
  <c r="E18" i="107"/>
  <c r="E18" i="111" s="1"/>
  <c r="F18" i="107"/>
  <c r="F18" i="111" s="1"/>
  <c r="G18" i="107"/>
  <c r="G18" i="111" s="1"/>
  <c r="H18" i="107"/>
  <c r="H18" i="111" s="1"/>
  <c r="I18" i="107"/>
  <c r="I18" i="111" s="1"/>
  <c r="J18" i="107"/>
  <c r="J18" i="111" s="1"/>
  <c r="K18" i="107"/>
  <c r="K18" i="111" s="1"/>
  <c r="L18" i="107"/>
  <c r="L18" i="111" s="1"/>
  <c r="M18" i="107"/>
  <c r="M18" i="111" s="1"/>
  <c r="N18" i="107"/>
  <c r="N18" i="111" s="1"/>
  <c r="C19" i="107"/>
  <c r="C19" i="111" s="1"/>
  <c r="D19" i="107"/>
  <c r="D19" i="111" s="1"/>
  <c r="E19" i="107"/>
  <c r="E19" i="111" s="1"/>
  <c r="F19" i="107"/>
  <c r="F19" i="111" s="1"/>
  <c r="G19" i="107"/>
  <c r="G19" i="111" s="1"/>
  <c r="H19" i="107"/>
  <c r="H19" i="111" s="1"/>
  <c r="I19" i="107"/>
  <c r="I19" i="111" s="1"/>
  <c r="J19" i="107"/>
  <c r="J19" i="111" s="1"/>
  <c r="K19" i="107"/>
  <c r="K19" i="111" s="1"/>
  <c r="L19" i="107"/>
  <c r="L19" i="111" s="1"/>
  <c r="M19" i="107"/>
  <c r="M19" i="111" s="1"/>
  <c r="N19" i="107"/>
  <c r="N19" i="111" s="1"/>
  <c r="C20" i="107"/>
  <c r="C20" i="111" s="1"/>
  <c r="D20" i="107"/>
  <c r="D20" i="111" s="1"/>
  <c r="E20" i="107"/>
  <c r="E20" i="111" s="1"/>
  <c r="F20" i="107"/>
  <c r="F20" i="111" s="1"/>
  <c r="G20" i="107"/>
  <c r="G20" i="111" s="1"/>
  <c r="H20" i="107"/>
  <c r="H20" i="111" s="1"/>
  <c r="I20" i="107"/>
  <c r="I20" i="111" s="1"/>
  <c r="J20" i="107"/>
  <c r="J20" i="111" s="1"/>
  <c r="K20" i="107"/>
  <c r="K20" i="111" s="1"/>
  <c r="L20" i="107"/>
  <c r="L20" i="111" s="1"/>
  <c r="M20" i="107"/>
  <c r="M20" i="111" s="1"/>
  <c r="N20" i="107"/>
  <c r="N20" i="111" s="1"/>
  <c r="C21" i="107"/>
  <c r="C21" i="111" s="1"/>
  <c r="D21" i="107"/>
  <c r="D21" i="111" s="1"/>
  <c r="E21" i="107"/>
  <c r="E21" i="111" s="1"/>
  <c r="F21" i="107"/>
  <c r="F21" i="111" s="1"/>
  <c r="G21" i="107"/>
  <c r="G21" i="111" s="1"/>
  <c r="H21" i="107"/>
  <c r="H21" i="111" s="1"/>
  <c r="I21" i="107"/>
  <c r="I21" i="111" s="1"/>
  <c r="J21" i="107"/>
  <c r="J21" i="111" s="1"/>
  <c r="K21" i="107"/>
  <c r="K21" i="111" s="1"/>
  <c r="L21" i="107"/>
  <c r="L21" i="111" s="1"/>
  <c r="M21" i="107"/>
  <c r="M21" i="111" s="1"/>
  <c r="N21" i="107"/>
  <c r="N21" i="111" s="1"/>
  <c r="C22" i="107"/>
  <c r="C22" i="111" s="1"/>
  <c r="D22" i="107"/>
  <c r="D22" i="111" s="1"/>
  <c r="E22" i="107"/>
  <c r="E22" i="111" s="1"/>
  <c r="F22" i="107"/>
  <c r="F22" i="111" s="1"/>
  <c r="G22" i="107"/>
  <c r="G22" i="111" s="1"/>
  <c r="H22" i="107"/>
  <c r="H22" i="111" s="1"/>
  <c r="I22" i="107"/>
  <c r="I22" i="111" s="1"/>
  <c r="J22" i="107"/>
  <c r="J22" i="111" s="1"/>
  <c r="K22" i="107"/>
  <c r="K22" i="111" s="1"/>
  <c r="L22" i="107"/>
  <c r="L22" i="111" s="1"/>
  <c r="M22" i="107"/>
  <c r="M22" i="111" s="1"/>
  <c r="N22" i="107"/>
  <c r="N22" i="111" s="1"/>
  <c r="C23" i="107"/>
  <c r="C23" i="111" s="1"/>
  <c r="D23" i="107"/>
  <c r="D23" i="111" s="1"/>
  <c r="E23" i="107"/>
  <c r="E23" i="111" s="1"/>
  <c r="F23" i="107"/>
  <c r="F23" i="111" s="1"/>
  <c r="G23" i="107"/>
  <c r="G23" i="111" s="1"/>
  <c r="H23" i="107"/>
  <c r="H23" i="111" s="1"/>
  <c r="I23" i="107"/>
  <c r="I23" i="111" s="1"/>
  <c r="J23" i="107"/>
  <c r="J23" i="111" s="1"/>
  <c r="K23" i="107"/>
  <c r="K23" i="111" s="1"/>
  <c r="L23" i="107"/>
  <c r="L23" i="111" s="1"/>
  <c r="M23" i="107"/>
  <c r="M23" i="111" s="1"/>
  <c r="N23" i="107"/>
  <c r="N23" i="111" s="1"/>
  <c r="C24" i="107"/>
  <c r="C24" i="111" s="1"/>
  <c r="D24" i="107"/>
  <c r="D24" i="111" s="1"/>
  <c r="E24" i="107"/>
  <c r="E24" i="111" s="1"/>
  <c r="F24" i="107"/>
  <c r="F24" i="111" s="1"/>
  <c r="G24" i="107"/>
  <c r="G24" i="111" s="1"/>
  <c r="H24" i="107"/>
  <c r="H24" i="111" s="1"/>
  <c r="I24" i="107"/>
  <c r="I24" i="111" s="1"/>
  <c r="J24" i="107"/>
  <c r="J24" i="111" s="1"/>
  <c r="K24" i="107"/>
  <c r="K24" i="111" s="1"/>
  <c r="L24" i="107"/>
  <c r="L24" i="111" s="1"/>
  <c r="M24" i="107"/>
  <c r="M24" i="111" s="1"/>
  <c r="N24" i="107"/>
  <c r="N24" i="111" s="1"/>
  <c r="C25" i="107"/>
  <c r="C25" i="111" s="1"/>
  <c r="D25" i="107"/>
  <c r="D25" i="111" s="1"/>
  <c r="E25" i="107"/>
  <c r="E25" i="111" s="1"/>
  <c r="F25" i="107"/>
  <c r="F25" i="111" s="1"/>
  <c r="G25" i="107"/>
  <c r="G25" i="111" s="1"/>
  <c r="H25" i="107"/>
  <c r="H25" i="111" s="1"/>
  <c r="I25" i="107"/>
  <c r="I25" i="111" s="1"/>
  <c r="J25" i="107"/>
  <c r="J25" i="111" s="1"/>
  <c r="K25" i="107"/>
  <c r="K25" i="111" s="1"/>
  <c r="L25" i="107"/>
  <c r="L25" i="111" s="1"/>
  <c r="M25" i="107"/>
  <c r="M25" i="111" s="1"/>
  <c r="N25" i="107"/>
  <c r="N25" i="111" s="1"/>
  <c r="C26" i="107"/>
  <c r="C26" i="111" s="1"/>
  <c r="D26" i="107"/>
  <c r="D26" i="111" s="1"/>
  <c r="E26" i="107"/>
  <c r="E26" i="111" s="1"/>
  <c r="F26" i="107"/>
  <c r="F26" i="111" s="1"/>
  <c r="G26" i="107"/>
  <c r="G26" i="111" s="1"/>
  <c r="H26" i="107"/>
  <c r="H26" i="111" s="1"/>
  <c r="I26" i="107"/>
  <c r="I26" i="111" s="1"/>
  <c r="J26" i="107"/>
  <c r="J26" i="111" s="1"/>
  <c r="K26" i="107"/>
  <c r="K26" i="111" s="1"/>
  <c r="L26" i="107"/>
  <c r="L26" i="111" s="1"/>
  <c r="M26" i="107"/>
  <c r="M26" i="111" s="1"/>
  <c r="N26" i="107"/>
  <c r="N26" i="111" s="1"/>
  <c r="C27" i="107"/>
  <c r="C27" i="111" s="1"/>
  <c r="D27" i="107"/>
  <c r="D27" i="111" s="1"/>
  <c r="E27" i="107"/>
  <c r="E27" i="111" s="1"/>
  <c r="F27" i="107"/>
  <c r="F27" i="111" s="1"/>
  <c r="G27" i="107"/>
  <c r="G27" i="111" s="1"/>
  <c r="H27" i="107"/>
  <c r="H27" i="111" s="1"/>
  <c r="I27" i="107"/>
  <c r="I27" i="111" s="1"/>
  <c r="J27" i="107"/>
  <c r="J27" i="111" s="1"/>
  <c r="K27" i="107"/>
  <c r="K27" i="111" s="1"/>
  <c r="L27" i="107"/>
  <c r="L27" i="111" s="1"/>
  <c r="M27" i="107"/>
  <c r="M27" i="111" s="1"/>
  <c r="N27" i="107"/>
  <c r="N27" i="111" s="1"/>
  <c r="C28" i="107"/>
  <c r="C28" i="111" s="1"/>
  <c r="D28" i="107"/>
  <c r="D28" i="111" s="1"/>
  <c r="E28" i="107"/>
  <c r="E28" i="111" s="1"/>
  <c r="F28" i="107"/>
  <c r="F28" i="111" s="1"/>
  <c r="G28" i="107"/>
  <c r="G28" i="111" s="1"/>
  <c r="H28" i="107"/>
  <c r="H28" i="111" s="1"/>
  <c r="I28" i="107"/>
  <c r="I28" i="111" s="1"/>
  <c r="J28" i="107"/>
  <c r="J28" i="111" s="1"/>
  <c r="K28" i="107"/>
  <c r="K28" i="111" s="1"/>
  <c r="L28" i="107"/>
  <c r="L28" i="111" s="1"/>
  <c r="M28" i="107"/>
  <c r="M28" i="111" s="1"/>
  <c r="N28" i="107"/>
  <c r="N28" i="111" s="1"/>
  <c r="C29" i="107"/>
  <c r="C29" i="111" s="1"/>
  <c r="D29" i="107"/>
  <c r="D29" i="111" s="1"/>
  <c r="E29" i="107"/>
  <c r="E29" i="111" s="1"/>
  <c r="F29" i="107"/>
  <c r="F29" i="111" s="1"/>
  <c r="G29" i="107"/>
  <c r="G29" i="111" s="1"/>
  <c r="H29" i="107"/>
  <c r="H29" i="111" s="1"/>
  <c r="I29" i="107"/>
  <c r="I29" i="111" s="1"/>
  <c r="J29" i="107"/>
  <c r="J29" i="111" s="1"/>
  <c r="K29" i="107"/>
  <c r="K29" i="111" s="1"/>
  <c r="L29" i="107"/>
  <c r="L29" i="111" s="1"/>
  <c r="M29" i="107"/>
  <c r="M29" i="111" s="1"/>
  <c r="N29" i="107"/>
  <c r="N29" i="111" s="1"/>
  <c r="C30" i="107"/>
  <c r="C30" i="111" s="1"/>
  <c r="D30" i="107"/>
  <c r="D30" i="111" s="1"/>
  <c r="E30" i="107"/>
  <c r="E30" i="111" s="1"/>
  <c r="F30" i="107"/>
  <c r="F30" i="111" s="1"/>
  <c r="G30" i="107"/>
  <c r="G30" i="111" s="1"/>
  <c r="H30" i="107"/>
  <c r="H30" i="111" s="1"/>
  <c r="I30" i="107"/>
  <c r="I30" i="111" s="1"/>
  <c r="J30" i="107"/>
  <c r="J30" i="111" s="1"/>
  <c r="K30" i="107"/>
  <c r="K30" i="111" s="1"/>
  <c r="L30" i="107"/>
  <c r="L30" i="111" s="1"/>
  <c r="M30" i="107"/>
  <c r="M30" i="111" s="1"/>
  <c r="N30" i="107"/>
  <c r="N30" i="111" s="1"/>
  <c r="C31" i="107"/>
  <c r="C31" i="111" s="1"/>
  <c r="D31" i="107"/>
  <c r="D31" i="111" s="1"/>
  <c r="E31" i="107"/>
  <c r="E31" i="111" s="1"/>
  <c r="F31" i="107"/>
  <c r="F31" i="111" s="1"/>
  <c r="G31" i="107"/>
  <c r="G31" i="111" s="1"/>
  <c r="H31" i="107"/>
  <c r="H31" i="111" s="1"/>
  <c r="I31" i="107"/>
  <c r="I31" i="111" s="1"/>
  <c r="J31" i="107"/>
  <c r="J31" i="111" s="1"/>
  <c r="K31" i="107"/>
  <c r="K31" i="111" s="1"/>
  <c r="L31" i="107"/>
  <c r="L31" i="111" s="1"/>
  <c r="M31" i="107"/>
  <c r="M31" i="111" s="1"/>
  <c r="N31" i="107"/>
  <c r="N31" i="111" s="1"/>
  <c r="C32" i="107"/>
  <c r="C32" i="111" s="1"/>
  <c r="D32" i="107"/>
  <c r="D32" i="111" s="1"/>
  <c r="E32" i="107"/>
  <c r="E32" i="111" s="1"/>
  <c r="F32" i="107"/>
  <c r="F32" i="111" s="1"/>
  <c r="G32" i="107"/>
  <c r="G32" i="111" s="1"/>
  <c r="H32" i="107"/>
  <c r="H32" i="111" s="1"/>
  <c r="I32" i="107"/>
  <c r="I32" i="111" s="1"/>
  <c r="J32" i="107"/>
  <c r="J32" i="111" s="1"/>
  <c r="K32" i="107"/>
  <c r="K32" i="111" s="1"/>
  <c r="L32" i="107"/>
  <c r="L32" i="111" s="1"/>
  <c r="M32" i="107"/>
  <c r="M32" i="111" s="1"/>
  <c r="N32" i="107"/>
  <c r="N32" i="111" s="1"/>
  <c r="C33" i="107"/>
  <c r="C33" i="111" s="1"/>
  <c r="D33" i="107"/>
  <c r="D33" i="111" s="1"/>
  <c r="E33" i="107"/>
  <c r="E33" i="111" s="1"/>
  <c r="F33" i="107"/>
  <c r="F33" i="111" s="1"/>
  <c r="G33" i="107"/>
  <c r="G33" i="111" s="1"/>
  <c r="H33" i="107"/>
  <c r="H33" i="111" s="1"/>
  <c r="I33" i="107"/>
  <c r="I33" i="111" s="1"/>
  <c r="J33" i="107"/>
  <c r="J33" i="111" s="1"/>
  <c r="K33" i="107"/>
  <c r="K33" i="111" s="1"/>
  <c r="L33" i="107"/>
  <c r="L33" i="111" s="1"/>
  <c r="M33" i="107"/>
  <c r="M33" i="111" s="1"/>
  <c r="N33" i="107"/>
  <c r="N33" i="111" s="1"/>
  <c r="C34" i="107"/>
  <c r="C34" i="111" s="1"/>
  <c r="D34" i="107"/>
  <c r="D34" i="111" s="1"/>
  <c r="E34" i="107"/>
  <c r="E34" i="111" s="1"/>
  <c r="F34" i="107"/>
  <c r="F34" i="111" s="1"/>
  <c r="G34" i="107"/>
  <c r="G34" i="111" s="1"/>
  <c r="H34" i="107"/>
  <c r="H34" i="111" s="1"/>
  <c r="I34" i="107"/>
  <c r="I34" i="111" s="1"/>
  <c r="J34" i="107"/>
  <c r="J34" i="111" s="1"/>
  <c r="K34" i="107"/>
  <c r="K34" i="111" s="1"/>
  <c r="L34" i="107"/>
  <c r="L34" i="111" s="1"/>
  <c r="M34" i="107"/>
  <c r="M34" i="111" s="1"/>
  <c r="N34" i="107"/>
  <c r="N34" i="111" s="1"/>
  <c r="C35" i="107"/>
  <c r="C35" i="111" s="1"/>
  <c r="D35" i="107"/>
  <c r="D35" i="111" s="1"/>
  <c r="E35" i="107"/>
  <c r="E35" i="111" s="1"/>
  <c r="F35" i="107"/>
  <c r="F35" i="111" s="1"/>
  <c r="G35" i="107"/>
  <c r="G35" i="111" s="1"/>
  <c r="H35" i="107"/>
  <c r="H35" i="111" s="1"/>
  <c r="I35" i="107"/>
  <c r="I35" i="111" s="1"/>
  <c r="J35" i="107"/>
  <c r="J35" i="111" s="1"/>
  <c r="K35" i="107"/>
  <c r="K35" i="111" s="1"/>
  <c r="L35" i="107"/>
  <c r="L35" i="111" s="1"/>
  <c r="M35" i="107"/>
  <c r="M35" i="111" s="1"/>
  <c r="N35" i="107"/>
  <c r="N35" i="111" s="1"/>
  <c r="C36" i="107"/>
  <c r="C36" i="111" s="1"/>
  <c r="D36" i="107"/>
  <c r="D36" i="111" s="1"/>
  <c r="E36" i="107"/>
  <c r="E36" i="111" s="1"/>
  <c r="F36" i="107"/>
  <c r="F36" i="111" s="1"/>
  <c r="G36" i="107"/>
  <c r="G36" i="111" s="1"/>
  <c r="H36" i="107"/>
  <c r="H36" i="111" s="1"/>
  <c r="I36" i="107"/>
  <c r="I36" i="111" s="1"/>
  <c r="J36" i="107"/>
  <c r="J36" i="111" s="1"/>
  <c r="K36" i="107"/>
  <c r="K36" i="111" s="1"/>
  <c r="L36" i="107"/>
  <c r="L36" i="111" s="1"/>
  <c r="M36" i="107"/>
  <c r="M36" i="111" s="1"/>
  <c r="N36" i="107"/>
  <c r="N36" i="111" s="1"/>
  <c r="C37" i="107"/>
  <c r="C37" i="111" s="1"/>
  <c r="D37" i="107"/>
  <c r="D37" i="111" s="1"/>
  <c r="E37" i="107"/>
  <c r="E37" i="111" s="1"/>
  <c r="F37" i="107"/>
  <c r="F37" i="111" s="1"/>
  <c r="G37" i="107"/>
  <c r="G37" i="111" s="1"/>
  <c r="H37" i="107"/>
  <c r="H37" i="111" s="1"/>
  <c r="I37" i="107"/>
  <c r="I37" i="111" s="1"/>
  <c r="J37" i="107"/>
  <c r="J37" i="111" s="1"/>
  <c r="K37" i="107"/>
  <c r="K37" i="111" s="1"/>
  <c r="L37" i="107"/>
  <c r="L37" i="111" s="1"/>
  <c r="M37" i="107"/>
  <c r="M37" i="111" s="1"/>
  <c r="N37" i="107"/>
  <c r="N37" i="111" s="1"/>
  <c r="C38" i="107"/>
  <c r="C38" i="111" s="1"/>
  <c r="D38" i="107"/>
  <c r="D38" i="111" s="1"/>
  <c r="E38" i="107"/>
  <c r="E38" i="111" s="1"/>
  <c r="F38" i="107"/>
  <c r="F38" i="111" s="1"/>
  <c r="G38" i="107"/>
  <c r="G38" i="111" s="1"/>
  <c r="H38" i="107"/>
  <c r="H38" i="111" s="1"/>
  <c r="I38" i="107"/>
  <c r="I38" i="111" s="1"/>
  <c r="J38" i="107"/>
  <c r="J38" i="111" s="1"/>
  <c r="K38" i="107"/>
  <c r="K38" i="111" s="1"/>
  <c r="L38" i="107"/>
  <c r="L38" i="111" s="1"/>
  <c r="M38" i="107"/>
  <c r="M38" i="111" s="1"/>
  <c r="N38" i="107"/>
  <c r="N38" i="111" s="1"/>
  <c r="C39" i="107"/>
  <c r="C39" i="111" s="1"/>
  <c r="D39" i="107"/>
  <c r="D39" i="111" s="1"/>
  <c r="E39" i="107"/>
  <c r="E39" i="111" s="1"/>
  <c r="F39" i="107"/>
  <c r="F39" i="111" s="1"/>
  <c r="G39" i="107"/>
  <c r="G39" i="111" s="1"/>
  <c r="H39" i="107"/>
  <c r="H39" i="111" s="1"/>
  <c r="I39" i="107"/>
  <c r="I39" i="111" s="1"/>
  <c r="J39" i="107"/>
  <c r="J39" i="111" s="1"/>
  <c r="K39" i="107"/>
  <c r="K39" i="111" s="1"/>
  <c r="L39" i="107"/>
  <c r="L39" i="111" s="1"/>
  <c r="M39" i="107"/>
  <c r="M39" i="111" s="1"/>
  <c r="N39" i="107"/>
  <c r="N39" i="111" s="1"/>
  <c r="C40" i="107"/>
  <c r="C40" i="111" s="1"/>
  <c r="D40" i="107"/>
  <c r="D40" i="111" s="1"/>
  <c r="E40" i="107"/>
  <c r="E40" i="111" s="1"/>
  <c r="F40" i="107"/>
  <c r="F40" i="111" s="1"/>
  <c r="G40" i="107"/>
  <c r="G40" i="111" s="1"/>
  <c r="H40" i="107"/>
  <c r="H40" i="111" s="1"/>
  <c r="I40" i="107"/>
  <c r="I40" i="111" s="1"/>
  <c r="J40" i="107"/>
  <c r="J40" i="111" s="1"/>
  <c r="K40" i="107"/>
  <c r="K40" i="111" s="1"/>
  <c r="L40" i="107"/>
  <c r="L40" i="111" s="1"/>
  <c r="M40" i="107"/>
  <c r="M40" i="111" s="1"/>
  <c r="N40" i="107"/>
  <c r="N40" i="111" s="1"/>
  <c r="C41" i="107"/>
  <c r="C41" i="111" s="1"/>
  <c r="D41" i="107"/>
  <c r="D41" i="111" s="1"/>
  <c r="E41" i="107"/>
  <c r="E41" i="111" s="1"/>
  <c r="F41" i="107"/>
  <c r="F41" i="111" s="1"/>
  <c r="G41" i="107"/>
  <c r="G41" i="111" s="1"/>
  <c r="H41" i="107"/>
  <c r="H41" i="111" s="1"/>
  <c r="I41" i="107"/>
  <c r="I41" i="111" s="1"/>
  <c r="J41" i="107"/>
  <c r="J41" i="111" s="1"/>
  <c r="K41" i="107"/>
  <c r="K41" i="111" s="1"/>
  <c r="L41" i="107"/>
  <c r="L41" i="111" s="1"/>
  <c r="M41" i="107"/>
  <c r="M41" i="111" s="1"/>
  <c r="N41" i="107"/>
  <c r="N41" i="111" s="1"/>
  <c r="C42" i="107"/>
  <c r="C42" i="111" s="1"/>
  <c r="D42" i="107"/>
  <c r="D42" i="111" s="1"/>
  <c r="E42" i="107"/>
  <c r="E42" i="111" s="1"/>
  <c r="F42" i="107"/>
  <c r="F42" i="111" s="1"/>
  <c r="G42" i="107"/>
  <c r="G42" i="111" s="1"/>
  <c r="H42" i="107"/>
  <c r="H42" i="111" s="1"/>
  <c r="I42" i="107"/>
  <c r="I42" i="111" s="1"/>
  <c r="J42" i="107"/>
  <c r="J42" i="111" s="1"/>
  <c r="K42" i="107"/>
  <c r="K42" i="111" s="1"/>
  <c r="L42" i="107"/>
  <c r="L42" i="111" s="1"/>
  <c r="M42" i="107"/>
  <c r="M42" i="111" s="1"/>
  <c r="N42" i="107"/>
  <c r="N42" i="111" s="1"/>
  <c r="C43" i="107"/>
  <c r="C43" i="111" s="1"/>
  <c r="D43" i="107"/>
  <c r="D43" i="111" s="1"/>
  <c r="E43" i="107"/>
  <c r="E43" i="111" s="1"/>
  <c r="F43" i="107"/>
  <c r="F43" i="111" s="1"/>
  <c r="G43" i="107"/>
  <c r="G43" i="111" s="1"/>
  <c r="H43" i="107"/>
  <c r="H43" i="111" s="1"/>
  <c r="I43" i="107"/>
  <c r="I43" i="111" s="1"/>
  <c r="J43" i="107"/>
  <c r="J43" i="111" s="1"/>
  <c r="K43" i="107"/>
  <c r="K43" i="111" s="1"/>
  <c r="L43" i="107"/>
  <c r="L43" i="111" s="1"/>
  <c r="M43" i="107"/>
  <c r="M43" i="111" s="1"/>
  <c r="N43" i="107"/>
  <c r="N43" i="111" s="1"/>
  <c r="C44" i="107"/>
  <c r="C44" i="111" s="1"/>
  <c r="D44" i="107"/>
  <c r="D44" i="111" s="1"/>
  <c r="E44" i="107"/>
  <c r="E44" i="111" s="1"/>
  <c r="F44" i="107"/>
  <c r="F44" i="111" s="1"/>
  <c r="G44" i="107"/>
  <c r="G44" i="111" s="1"/>
  <c r="H44" i="107"/>
  <c r="H44" i="111" s="1"/>
  <c r="I44" i="107"/>
  <c r="I44" i="111" s="1"/>
  <c r="J44" i="107"/>
  <c r="J44" i="111" s="1"/>
  <c r="K44" i="107"/>
  <c r="K44" i="111" s="1"/>
  <c r="L44" i="107"/>
  <c r="L44" i="111" s="1"/>
  <c r="M44" i="107"/>
  <c r="M44" i="111" s="1"/>
  <c r="N44" i="107"/>
  <c r="N44" i="111" s="1"/>
  <c r="C45" i="107"/>
  <c r="C45" i="111" s="1"/>
  <c r="D45" i="107"/>
  <c r="D45" i="111" s="1"/>
  <c r="E45" i="107"/>
  <c r="E45" i="111" s="1"/>
  <c r="F45" i="107"/>
  <c r="F45" i="111" s="1"/>
  <c r="G45" i="107"/>
  <c r="G45" i="111" s="1"/>
  <c r="H45" i="107"/>
  <c r="H45" i="111" s="1"/>
  <c r="I45" i="107"/>
  <c r="I45" i="111" s="1"/>
  <c r="J45" i="107"/>
  <c r="J45" i="111" s="1"/>
  <c r="K45" i="107"/>
  <c r="K45" i="111" s="1"/>
  <c r="L45" i="107"/>
  <c r="L45" i="111" s="1"/>
  <c r="M45" i="107"/>
  <c r="M45" i="111" s="1"/>
  <c r="N45" i="107"/>
  <c r="N45" i="111" s="1"/>
  <c r="C46" i="107"/>
  <c r="C46" i="111" s="1"/>
  <c r="D46" i="107"/>
  <c r="D46" i="111" s="1"/>
  <c r="E46" i="107"/>
  <c r="E46" i="111" s="1"/>
  <c r="F46" i="107"/>
  <c r="F46" i="111" s="1"/>
  <c r="G46" i="107"/>
  <c r="G46" i="111" s="1"/>
  <c r="H46" i="107"/>
  <c r="H46" i="111" s="1"/>
  <c r="I46" i="107"/>
  <c r="I46" i="111" s="1"/>
  <c r="J46" i="107"/>
  <c r="J46" i="111" s="1"/>
  <c r="K46" i="107"/>
  <c r="K46" i="111" s="1"/>
  <c r="L46" i="107"/>
  <c r="L46" i="111" s="1"/>
  <c r="M46" i="107"/>
  <c r="M46" i="111" s="1"/>
  <c r="N46" i="107"/>
  <c r="N46" i="111" s="1"/>
  <c r="C47" i="107"/>
  <c r="C47" i="111" s="1"/>
  <c r="D47" i="107"/>
  <c r="D47" i="111" s="1"/>
  <c r="E47" i="107"/>
  <c r="E47" i="111" s="1"/>
  <c r="F47" i="107"/>
  <c r="F47" i="111" s="1"/>
  <c r="G47" i="107"/>
  <c r="G47" i="111" s="1"/>
  <c r="H47" i="107"/>
  <c r="H47" i="111" s="1"/>
  <c r="I47" i="107"/>
  <c r="I47" i="111" s="1"/>
  <c r="J47" i="107"/>
  <c r="J47" i="111" s="1"/>
  <c r="K47" i="107"/>
  <c r="K47" i="111" s="1"/>
  <c r="L47" i="107"/>
  <c r="L47" i="111" s="1"/>
  <c r="M47" i="107"/>
  <c r="M47" i="111" s="1"/>
  <c r="N47" i="107"/>
  <c r="N47" i="111" s="1"/>
  <c r="C48" i="107"/>
  <c r="C48" i="111" s="1"/>
  <c r="D48" i="107"/>
  <c r="D48" i="111" s="1"/>
  <c r="E48" i="107"/>
  <c r="E48" i="111" s="1"/>
  <c r="F48" i="107"/>
  <c r="F48" i="111" s="1"/>
  <c r="G48" i="107"/>
  <c r="G48" i="111" s="1"/>
  <c r="H48" i="107"/>
  <c r="H48" i="111" s="1"/>
  <c r="I48" i="107"/>
  <c r="I48" i="111" s="1"/>
  <c r="J48" i="107"/>
  <c r="J48" i="111" s="1"/>
  <c r="K48" i="107"/>
  <c r="K48" i="111" s="1"/>
  <c r="L48" i="107"/>
  <c r="L48" i="111" s="1"/>
  <c r="M48" i="107"/>
  <c r="M48" i="111" s="1"/>
  <c r="N48" i="107"/>
  <c r="N48" i="111" s="1"/>
  <c r="C49" i="107"/>
  <c r="C49" i="111" s="1"/>
  <c r="D49" i="107"/>
  <c r="D49" i="111" s="1"/>
  <c r="E49" i="107"/>
  <c r="E49" i="111" s="1"/>
  <c r="F49" i="107"/>
  <c r="F49" i="111" s="1"/>
  <c r="G49" i="107"/>
  <c r="G49" i="111" s="1"/>
  <c r="H49" i="107"/>
  <c r="H49" i="111" s="1"/>
  <c r="I49" i="107"/>
  <c r="I49" i="111" s="1"/>
  <c r="J49" i="107"/>
  <c r="J49" i="111" s="1"/>
  <c r="K49" i="107"/>
  <c r="K49" i="111" s="1"/>
  <c r="L49" i="107"/>
  <c r="L49" i="111" s="1"/>
  <c r="M49" i="107"/>
  <c r="M49" i="111" s="1"/>
  <c r="N49" i="107"/>
  <c r="N49" i="111" s="1"/>
  <c r="C50" i="107"/>
  <c r="C50" i="111" s="1"/>
  <c r="D50" i="107"/>
  <c r="D50" i="111" s="1"/>
  <c r="E50" i="107"/>
  <c r="E50" i="111" s="1"/>
  <c r="F50" i="107"/>
  <c r="F50" i="111" s="1"/>
  <c r="G50" i="107"/>
  <c r="G50" i="111" s="1"/>
  <c r="H50" i="107"/>
  <c r="H50" i="111" s="1"/>
  <c r="I50" i="107"/>
  <c r="I50" i="111" s="1"/>
  <c r="J50" i="107"/>
  <c r="J50" i="111" s="1"/>
  <c r="K50" i="107"/>
  <c r="K50" i="111" s="1"/>
  <c r="L50" i="107"/>
  <c r="L50" i="111" s="1"/>
  <c r="M50" i="107"/>
  <c r="M50" i="111" s="1"/>
  <c r="N50" i="107"/>
  <c r="N50" i="111" s="1"/>
  <c r="C51" i="107"/>
  <c r="C51" i="111" s="1"/>
  <c r="D51" i="107"/>
  <c r="D51" i="111" s="1"/>
  <c r="E51" i="107"/>
  <c r="E51" i="111" s="1"/>
  <c r="F51" i="107"/>
  <c r="F51" i="111" s="1"/>
  <c r="G51" i="107"/>
  <c r="G51" i="111" s="1"/>
  <c r="H51" i="107"/>
  <c r="H51" i="111" s="1"/>
  <c r="I51" i="107"/>
  <c r="I51" i="111" s="1"/>
  <c r="J51" i="107"/>
  <c r="J51" i="111" s="1"/>
  <c r="K51" i="107"/>
  <c r="K51" i="111" s="1"/>
  <c r="L51" i="107"/>
  <c r="L51" i="111" s="1"/>
  <c r="M51" i="107"/>
  <c r="M51" i="111" s="1"/>
  <c r="N51" i="107"/>
  <c r="N51" i="111" s="1"/>
  <c r="C52" i="107"/>
  <c r="C52" i="111" s="1"/>
  <c r="D52" i="107"/>
  <c r="D52" i="111" s="1"/>
  <c r="E52" i="107"/>
  <c r="E52" i="111" s="1"/>
  <c r="F52" i="107"/>
  <c r="F52" i="111" s="1"/>
  <c r="G52" i="107"/>
  <c r="G52" i="111" s="1"/>
  <c r="H52" i="107"/>
  <c r="H52" i="111" s="1"/>
  <c r="I52" i="107"/>
  <c r="I52" i="111" s="1"/>
  <c r="J52" i="107"/>
  <c r="J52" i="111" s="1"/>
  <c r="K52" i="107"/>
  <c r="K52" i="111" s="1"/>
  <c r="L52" i="107"/>
  <c r="L52" i="111" s="1"/>
  <c r="M52" i="107"/>
  <c r="M52" i="111" s="1"/>
  <c r="N52" i="107"/>
  <c r="N52" i="111" s="1"/>
  <c r="C53" i="107"/>
  <c r="C53" i="111" s="1"/>
  <c r="D53" i="107"/>
  <c r="D53" i="111" s="1"/>
  <c r="E53" i="107"/>
  <c r="E53" i="111" s="1"/>
  <c r="F53" i="107"/>
  <c r="F53" i="111" s="1"/>
  <c r="G53" i="107"/>
  <c r="G53" i="111" s="1"/>
  <c r="H53" i="107"/>
  <c r="H53" i="111" s="1"/>
  <c r="I53" i="107"/>
  <c r="I53" i="111" s="1"/>
  <c r="J53" i="107"/>
  <c r="J53" i="111" s="1"/>
  <c r="K53" i="107"/>
  <c r="K53" i="111" s="1"/>
  <c r="L53" i="107"/>
  <c r="L53" i="111" s="1"/>
  <c r="M53" i="107"/>
  <c r="M53" i="111" s="1"/>
  <c r="N53" i="107"/>
  <c r="N53" i="111" s="1"/>
  <c r="C54" i="107"/>
  <c r="C54" i="111" s="1"/>
  <c r="D54" i="107"/>
  <c r="D54" i="111" s="1"/>
  <c r="E54" i="107"/>
  <c r="E54" i="111" s="1"/>
  <c r="F54" i="107"/>
  <c r="F54" i="111" s="1"/>
  <c r="G54" i="107"/>
  <c r="G54" i="111" s="1"/>
  <c r="H54" i="107"/>
  <c r="H54" i="111" s="1"/>
  <c r="I54" i="107"/>
  <c r="I54" i="111" s="1"/>
  <c r="J54" i="107"/>
  <c r="J54" i="111" s="1"/>
  <c r="K54" i="107"/>
  <c r="K54" i="111" s="1"/>
  <c r="L54" i="107"/>
  <c r="L54" i="111" s="1"/>
  <c r="M54" i="107"/>
  <c r="M54" i="111" s="1"/>
  <c r="N54" i="107"/>
  <c r="N54" i="111" s="1"/>
  <c r="C55" i="107"/>
  <c r="C55" i="111" s="1"/>
  <c r="D55" i="107"/>
  <c r="D55" i="111" s="1"/>
  <c r="E55" i="107"/>
  <c r="E55" i="111" s="1"/>
  <c r="F55" i="107"/>
  <c r="F55" i="111" s="1"/>
  <c r="G55" i="107"/>
  <c r="G55" i="111" s="1"/>
  <c r="H55" i="107"/>
  <c r="H55" i="111" s="1"/>
  <c r="I55" i="107"/>
  <c r="I55" i="111" s="1"/>
  <c r="J55" i="107"/>
  <c r="J55" i="111" s="1"/>
  <c r="K55" i="107"/>
  <c r="K55" i="111" s="1"/>
  <c r="L55" i="107"/>
  <c r="L55" i="111" s="1"/>
  <c r="M55" i="107"/>
  <c r="M55" i="111" s="1"/>
  <c r="N55" i="107"/>
  <c r="N55" i="111" s="1"/>
  <c r="C56" i="107"/>
  <c r="C56" i="111" s="1"/>
  <c r="D56" i="107"/>
  <c r="D56" i="111" s="1"/>
  <c r="E56" i="107"/>
  <c r="E56" i="111" s="1"/>
  <c r="F56" i="107"/>
  <c r="F56" i="111" s="1"/>
  <c r="G56" i="107"/>
  <c r="G56" i="111" s="1"/>
  <c r="H56" i="107"/>
  <c r="H56" i="111" s="1"/>
  <c r="I56" i="107"/>
  <c r="I56" i="111" s="1"/>
  <c r="J56" i="107"/>
  <c r="J56" i="111" s="1"/>
  <c r="K56" i="107"/>
  <c r="K56" i="111" s="1"/>
  <c r="L56" i="107"/>
  <c r="L56" i="111" s="1"/>
  <c r="M56" i="107"/>
  <c r="M56" i="111" s="1"/>
  <c r="N56" i="107"/>
  <c r="N56" i="111" s="1"/>
  <c r="C57" i="107"/>
  <c r="C57" i="111" s="1"/>
  <c r="D57" i="107"/>
  <c r="D57" i="111" s="1"/>
  <c r="E57" i="107"/>
  <c r="E57" i="111" s="1"/>
  <c r="F57" i="107"/>
  <c r="F57" i="111" s="1"/>
  <c r="G57" i="107"/>
  <c r="G57" i="111" s="1"/>
  <c r="H57" i="107"/>
  <c r="H57" i="111" s="1"/>
  <c r="I57" i="107"/>
  <c r="I57" i="111" s="1"/>
  <c r="J57" i="107"/>
  <c r="J57" i="111" s="1"/>
  <c r="K57" i="107"/>
  <c r="K57" i="111" s="1"/>
  <c r="L57" i="107"/>
  <c r="L57" i="111" s="1"/>
  <c r="M57" i="107"/>
  <c r="M57" i="111" s="1"/>
  <c r="N57" i="107"/>
  <c r="N57" i="111" s="1"/>
  <c r="D10" i="107"/>
  <c r="D10" i="111" s="1"/>
  <c r="E10" i="107"/>
  <c r="E10" i="111" s="1"/>
  <c r="F10" i="107"/>
  <c r="F10" i="111" s="1"/>
  <c r="G10" i="107"/>
  <c r="G10" i="111" s="1"/>
  <c r="H10" i="107"/>
  <c r="H10" i="111" s="1"/>
  <c r="I10" i="107"/>
  <c r="I10" i="111" s="1"/>
  <c r="J10" i="107"/>
  <c r="J10" i="111" s="1"/>
  <c r="K10" i="107"/>
  <c r="K10" i="111" s="1"/>
  <c r="L10" i="107"/>
  <c r="L10" i="111" s="1"/>
  <c r="M10" i="107"/>
  <c r="M10" i="111" s="1"/>
  <c r="N10" i="107"/>
  <c r="N10" i="111" s="1"/>
  <c r="C10" i="107"/>
  <c r="C10" i="111" s="1"/>
  <c r="I15" i="111" l="1"/>
  <c r="C3" i="94"/>
  <c r="K6" i="98" l="1"/>
  <c r="K6" i="99" s="1"/>
  <c r="K6" i="100" s="1"/>
  <c r="K6" i="101" s="1"/>
  <c r="K6" i="109" s="1"/>
  <c r="K6" i="105" s="1"/>
  <c r="K6" i="110" s="1"/>
  <c r="K6" i="103" s="1"/>
  <c r="K5" i="99"/>
  <c r="G5" i="98"/>
  <c r="G5" i="99" s="1"/>
  <c r="G5" i="100" s="1"/>
  <c r="G5" i="101" s="1"/>
  <c r="G5" i="109" s="1"/>
  <c r="G5" i="105" s="1"/>
  <c r="G5" i="110" s="1"/>
  <c r="G5" i="103" s="1"/>
  <c r="K6" i="97"/>
  <c r="G5" i="97"/>
  <c r="K6" i="96"/>
  <c r="G5" i="96"/>
  <c r="K6" i="95"/>
  <c r="G5" i="95"/>
  <c r="K6" i="94"/>
  <c r="G5" i="94"/>
  <c r="G6" i="108"/>
  <c r="G6" i="103"/>
  <c r="G6" i="107" s="1"/>
  <c r="G6" i="105"/>
  <c r="G6" i="101"/>
  <c r="G6" i="99"/>
  <c r="G6" i="95"/>
  <c r="D6" i="108"/>
  <c r="D6" i="103"/>
  <c r="D6" i="107" s="1"/>
  <c r="D6" i="101"/>
  <c r="D6" i="99"/>
  <c r="D6" i="95"/>
  <c r="D5" i="104"/>
  <c r="D5" i="110"/>
  <c r="D5" i="109"/>
  <c r="D5" i="100"/>
  <c r="D5" i="98"/>
  <c r="D5" i="94"/>
  <c r="K5" i="111" l="1"/>
  <c r="K6" i="104"/>
  <c r="K6" i="108" s="1"/>
  <c r="K6" i="111" s="1"/>
  <c r="K6" i="107"/>
  <c r="G5" i="107"/>
  <c r="G5" i="104"/>
  <c r="G5" i="108" s="1"/>
  <c r="G5" i="111" s="1"/>
  <c r="AC33" i="110"/>
  <c r="AA33" i="110"/>
  <c r="Y33" i="110"/>
  <c r="W33" i="110"/>
  <c r="U33" i="110"/>
  <c r="S33" i="110"/>
  <c r="AA32" i="110"/>
  <c r="W32" i="110"/>
  <c r="S32" i="110"/>
  <c r="AC31" i="110"/>
  <c r="AA31" i="110"/>
  <c r="Y31" i="110"/>
  <c r="W31" i="110"/>
  <c r="U31" i="110"/>
  <c r="S31" i="110"/>
  <c r="AA30" i="110"/>
  <c r="W30" i="110"/>
  <c r="S30" i="110"/>
  <c r="AC29" i="110"/>
  <c r="AA29" i="110"/>
  <c r="Y29" i="110"/>
  <c r="W29" i="110"/>
  <c r="U29" i="110"/>
  <c r="S29" i="110"/>
  <c r="AA28" i="110"/>
  <c r="W28" i="110"/>
  <c r="S28" i="110"/>
  <c r="AC27" i="110"/>
  <c r="AA27" i="110"/>
  <c r="Y27" i="110"/>
  <c r="W27" i="110"/>
  <c r="U27" i="110"/>
  <c r="S27" i="110"/>
  <c r="AA26" i="110"/>
  <c r="W26" i="110"/>
  <c r="S26" i="110"/>
  <c r="AC25" i="110"/>
  <c r="AA25" i="110"/>
  <c r="Y25" i="110"/>
  <c r="W25" i="110"/>
  <c r="U25" i="110"/>
  <c r="S25" i="110"/>
  <c r="AA24" i="110"/>
  <c r="W24" i="110"/>
  <c r="S24" i="110"/>
  <c r="AC23" i="110"/>
  <c r="AA23" i="110"/>
  <c r="Y23" i="110"/>
  <c r="W23" i="110"/>
  <c r="U23" i="110"/>
  <c r="S23" i="110"/>
  <c r="AA22" i="110"/>
  <c r="W22" i="110"/>
  <c r="S22" i="110"/>
  <c r="AA21" i="110"/>
  <c r="W21" i="110"/>
  <c r="S21" i="110"/>
  <c r="AA20" i="110"/>
  <c r="W20" i="110"/>
  <c r="S20" i="110"/>
  <c r="AA19" i="110"/>
  <c r="W19" i="110"/>
  <c r="S19" i="110"/>
  <c r="AA18" i="110"/>
  <c r="Y18" i="110"/>
  <c r="W18" i="110"/>
  <c r="U18" i="110"/>
  <c r="S18" i="110"/>
  <c r="AC17" i="110"/>
  <c r="AB17" i="110"/>
  <c r="AA17" i="110"/>
  <c r="Z17" i="110"/>
  <c r="Y17" i="110"/>
  <c r="X17" i="110"/>
  <c r="W17" i="110"/>
  <c r="V17" i="110"/>
  <c r="U17" i="110"/>
  <c r="T17" i="110"/>
  <c r="AD16" i="110"/>
  <c r="AC16" i="110"/>
  <c r="AB16" i="110"/>
  <c r="AA16" i="110"/>
  <c r="Z16" i="110"/>
  <c r="Y16" i="110"/>
  <c r="X16" i="110"/>
  <c r="W16" i="110"/>
  <c r="V16" i="110"/>
  <c r="U16" i="110"/>
  <c r="T16" i="110"/>
  <c r="S16" i="110"/>
  <c r="AD17" i="110"/>
  <c r="C3" i="110"/>
  <c r="AC33" i="109"/>
  <c r="AA33" i="109"/>
  <c r="Y33" i="109"/>
  <c r="W33" i="109"/>
  <c r="U33" i="109"/>
  <c r="AA32" i="109"/>
  <c r="Y32" i="109"/>
  <c r="W32" i="109"/>
  <c r="U32" i="109"/>
  <c r="S32" i="109"/>
  <c r="AC31" i="109"/>
  <c r="AA31" i="109"/>
  <c r="Y31" i="109"/>
  <c r="W31" i="109"/>
  <c r="U31" i="109"/>
  <c r="AC30" i="109"/>
  <c r="AA30" i="109"/>
  <c r="Y30" i="109"/>
  <c r="W30" i="109"/>
  <c r="U30" i="109"/>
  <c r="S30" i="109"/>
  <c r="AC29" i="109"/>
  <c r="AA29" i="109"/>
  <c r="Y29" i="109"/>
  <c r="W29" i="109"/>
  <c r="U29" i="109"/>
  <c r="AC28" i="109"/>
  <c r="AA28" i="109"/>
  <c r="Y28" i="109"/>
  <c r="W28" i="109"/>
  <c r="U28" i="109"/>
  <c r="S28" i="109"/>
  <c r="AC27" i="109"/>
  <c r="AA27" i="109"/>
  <c r="Y27" i="109"/>
  <c r="W27" i="109"/>
  <c r="U27" i="109"/>
  <c r="AC26" i="109"/>
  <c r="AA26" i="109"/>
  <c r="Y26" i="109"/>
  <c r="W26" i="109"/>
  <c r="U26" i="109"/>
  <c r="S26" i="109"/>
  <c r="AC25" i="109"/>
  <c r="AA25" i="109"/>
  <c r="Y25" i="109"/>
  <c r="W25" i="109"/>
  <c r="U25" i="109"/>
  <c r="AC24" i="109"/>
  <c r="AA24" i="109"/>
  <c r="Y24" i="109"/>
  <c r="W24" i="109"/>
  <c r="U24" i="109"/>
  <c r="S24" i="109"/>
  <c r="AC23" i="109"/>
  <c r="AA23" i="109"/>
  <c r="Y23" i="109"/>
  <c r="W23" i="109"/>
  <c r="U23" i="109"/>
  <c r="AC22" i="109"/>
  <c r="AA22" i="109"/>
  <c r="Y22" i="109"/>
  <c r="W22" i="109"/>
  <c r="S22" i="109"/>
  <c r="AC21" i="109"/>
  <c r="AA21" i="109"/>
  <c r="Y21" i="109"/>
  <c r="W21" i="109"/>
  <c r="U21" i="109"/>
  <c r="S21" i="109"/>
  <c r="AC20" i="109"/>
  <c r="AA20" i="109"/>
  <c r="Y20" i="109"/>
  <c r="W20" i="109"/>
  <c r="U20" i="109"/>
  <c r="S20" i="109"/>
  <c r="AC19" i="109"/>
  <c r="AA19" i="109"/>
  <c r="Y19" i="109"/>
  <c r="Y39" i="109" s="1"/>
  <c r="W19" i="109"/>
  <c r="U19" i="109"/>
  <c r="S19" i="109"/>
  <c r="AC18" i="109"/>
  <c r="AA18" i="109"/>
  <c r="Y18" i="109"/>
  <c r="W18" i="109"/>
  <c r="U18" i="109"/>
  <c r="S18" i="109"/>
  <c r="AB17" i="109"/>
  <c r="AA17" i="109"/>
  <c r="Z17" i="109"/>
  <c r="Y17" i="109"/>
  <c r="X17" i="109"/>
  <c r="W17" i="109"/>
  <c r="V17" i="109"/>
  <c r="U17" i="109"/>
  <c r="T17" i="109"/>
  <c r="AD16" i="109"/>
  <c r="AC16" i="109"/>
  <c r="AB16" i="109"/>
  <c r="AA16" i="109"/>
  <c r="Z16" i="109"/>
  <c r="Y16" i="109"/>
  <c r="X16" i="109"/>
  <c r="W16" i="109"/>
  <c r="V16" i="109"/>
  <c r="U16" i="109"/>
  <c r="T16" i="109"/>
  <c r="Z15" i="109"/>
  <c r="AD14" i="109"/>
  <c r="AD17" i="109"/>
  <c r="C3" i="109"/>
  <c r="C3" i="103"/>
  <c r="C3" i="105"/>
  <c r="C3" i="101"/>
  <c r="C3" i="100"/>
  <c r="C3" i="99"/>
  <c r="C3" i="98"/>
  <c r="C3" i="97"/>
  <c r="C3" i="96"/>
  <c r="C3" i="95"/>
  <c r="AC33" i="105"/>
  <c r="AB33" i="105"/>
  <c r="Z33" i="105"/>
  <c r="Y33" i="105"/>
  <c r="X33" i="105"/>
  <c r="W33" i="105"/>
  <c r="V33" i="105"/>
  <c r="U33" i="105"/>
  <c r="T33" i="105"/>
  <c r="AD32" i="105"/>
  <c r="AC32" i="105"/>
  <c r="AB32" i="105"/>
  <c r="AA32" i="105"/>
  <c r="Z32" i="105"/>
  <c r="Y32" i="105"/>
  <c r="X32" i="105"/>
  <c r="W32" i="105"/>
  <c r="V32" i="105"/>
  <c r="U32" i="105"/>
  <c r="T32" i="105"/>
  <c r="AD31" i="105"/>
  <c r="AC31" i="105"/>
  <c r="AB31" i="105"/>
  <c r="AA31" i="105"/>
  <c r="Z31" i="105"/>
  <c r="Y31" i="105"/>
  <c r="X31" i="105"/>
  <c r="W31" i="105"/>
  <c r="V31" i="105"/>
  <c r="U31" i="105"/>
  <c r="T31" i="105"/>
  <c r="AD30" i="105"/>
  <c r="AC30" i="105"/>
  <c r="AB30" i="105"/>
  <c r="AA30" i="105"/>
  <c r="Z30" i="105"/>
  <c r="Y30" i="105"/>
  <c r="X30" i="105"/>
  <c r="W30" i="105"/>
  <c r="V30" i="105"/>
  <c r="U30" i="105"/>
  <c r="T30" i="105"/>
  <c r="AC29" i="105"/>
  <c r="AB29" i="105"/>
  <c r="AA29" i="105"/>
  <c r="Z29" i="105"/>
  <c r="Y29" i="105"/>
  <c r="X29" i="105"/>
  <c r="W29" i="105"/>
  <c r="V29" i="105"/>
  <c r="U29" i="105"/>
  <c r="T29" i="105"/>
  <c r="AD28" i="105"/>
  <c r="AC28" i="105"/>
  <c r="AB28" i="105"/>
  <c r="AA28" i="105"/>
  <c r="Z28" i="105"/>
  <c r="Y28" i="105"/>
  <c r="X28" i="105"/>
  <c r="W28" i="105"/>
  <c r="V28" i="105"/>
  <c r="U28" i="105"/>
  <c r="T28" i="105"/>
  <c r="AD27" i="105"/>
  <c r="AC27" i="105"/>
  <c r="AB27" i="105"/>
  <c r="AA27" i="105"/>
  <c r="Z27" i="105"/>
  <c r="Y27" i="105"/>
  <c r="X27" i="105"/>
  <c r="W27" i="105"/>
  <c r="V27" i="105"/>
  <c r="U27" i="105"/>
  <c r="T27" i="105"/>
  <c r="AD26" i="105"/>
  <c r="AC26" i="105"/>
  <c r="AB26" i="105"/>
  <c r="AA26" i="105"/>
  <c r="Z26" i="105"/>
  <c r="Y26" i="105"/>
  <c r="X26" i="105"/>
  <c r="W26" i="105"/>
  <c r="V26" i="105"/>
  <c r="U26" i="105"/>
  <c r="T26" i="105"/>
  <c r="AD25" i="105"/>
  <c r="AC25" i="105"/>
  <c r="AB25" i="105"/>
  <c r="AA25" i="105"/>
  <c r="Z25" i="105"/>
  <c r="Y25" i="105"/>
  <c r="X25" i="105"/>
  <c r="W25" i="105"/>
  <c r="V25" i="105"/>
  <c r="U25" i="105"/>
  <c r="T25" i="105"/>
  <c r="AD24" i="105"/>
  <c r="AC24" i="105"/>
  <c r="AB24" i="105"/>
  <c r="AA24" i="105"/>
  <c r="Z24" i="105"/>
  <c r="X24" i="105"/>
  <c r="W24" i="105"/>
  <c r="V24" i="105"/>
  <c r="U24" i="105"/>
  <c r="T24" i="105"/>
  <c r="AD23" i="105"/>
  <c r="AC23" i="105"/>
  <c r="AB23" i="105"/>
  <c r="AA23" i="105"/>
  <c r="Z23" i="105"/>
  <c r="Y23" i="105"/>
  <c r="X23" i="105"/>
  <c r="V23" i="105"/>
  <c r="U23" i="105"/>
  <c r="AD22" i="105"/>
  <c r="AC22" i="105"/>
  <c r="AB22" i="105"/>
  <c r="AA22" i="105"/>
  <c r="Z22" i="105"/>
  <c r="Y22" i="105"/>
  <c r="X22" i="105"/>
  <c r="W22" i="105"/>
  <c r="V22" i="105"/>
  <c r="U22" i="105"/>
  <c r="T22" i="105"/>
  <c r="S22" i="105"/>
  <c r="AD21" i="105"/>
  <c r="AC21" i="105"/>
  <c r="AB21" i="105"/>
  <c r="AA21" i="105"/>
  <c r="Z21" i="105"/>
  <c r="Y21" i="105"/>
  <c r="X21" i="105"/>
  <c r="W21" i="105"/>
  <c r="V21" i="105"/>
  <c r="U21" i="105"/>
  <c r="T21" i="105"/>
  <c r="AD20" i="105"/>
  <c r="AC20" i="105"/>
  <c r="AA20" i="105"/>
  <c r="Z20" i="105"/>
  <c r="Y20" i="105"/>
  <c r="X20" i="105"/>
  <c r="W20" i="105"/>
  <c r="V20" i="105"/>
  <c r="S20" i="105"/>
  <c r="AD19" i="105"/>
  <c r="AD39" i="105" s="1"/>
  <c r="AC19" i="105"/>
  <c r="AB19" i="105"/>
  <c r="AA19" i="105"/>
  <c r="Z19" i="105"/>
  <c r="Y19" i="105"/>
  <c r="X19" i="105"/>
  <c r="X39" i="105" s="1"/>
  <c r="W19" i="105"/>
  <c r="V19" i="105"/>
  <c r="U19" i="105"/>
  <c r="T19" i="105"/>
  <c r="S19" i="105"/>
  <c r="AD18" i="105"/>
  <c r="AC18" i="105"/>
  <c r="AB18" i="105"/>
  <c r="AA18" i="105"/>
  <c r="Z18" i="105"/>
  <c r="Y18" i="105"/>
  <c r="X18" i="105"/>
  <c r="W18" i="105"/>
  <c r="V18" i="105"/>
  <c r="U18" i="105"/>
  <c r="T18" i="105"/>
  <c r="S18" i="105"/>
  <c r="AD17" i="105"/>
  <c r="AC17" i="105"/>
  <c r="AB17" i="105"/>
  <c r="AA17" i="105"/>
  <c r="Z17" i="105"/>
  <c r="Y17" i="105"/>
  <c r="X17" i="105"/>
  <c r="W17" i="105"/>
  <c r="V17" i="105"/>
  <c r="U17" i="105"/>
  <c r="T17" i="105"/>
  <c r="S17" i="105"/>
  <c r="AD16" i="105"/>
  <c r="AC16" i="105"/>
  <c r="AB16" i="105"/>
  <c r="AA16" i="105"/>
  <c r="Z16" i="105"/>
  <c r="Y16" i="105"/>
  <c r="X16" i="105"/>
  <c r="W16" i="105"/>
  <c r="V16" i="105"/>
  <c r="U16" i="105"/>
  <c r="T16" i="105"/>
  <c r="S16" i="105"/>
  <c r="AD33" i="105"/>
  <c r="X12" i="105"/>
  <c r="AB11" i="105"/>
  <c r="X11" i="105"/>
  <c r="T11" i="105"/>
  <c r="AA21" i="104"/>
  <c r="AC20" i="104"/>
  <c r="AA20" i="104"/>
  <c r="Y20" i="104"/>
  <c r="W20" i="104"/>
  <c r="U20" i="104"/>
  <c r="AA19" i="104"/>
  <c r="AC18" i="104"/>
  <c r="AA18" i="104"/>
  <c r="Y18" i="104"/>
  <c r="W18" i="104"/>
  <c r="U18" i="104"/>
  <c r="AA17" i="104"/>
  <c r="AC16" i="104"/>
  <c r="AA16" i="104"/>
  <c r="Y16" i="104"/>
  <c r="W16" i="104"/>
  <c r="U16" i="104"/>
  <c r="AA15" i="104"/>
  <c r="AD14" i="104"/>
  <c r="AC14" i="104"/>
  <c r="AB14" i="104"/>
  <c r="AA14" i="104"/>
  <c r="Z14" i="104"/>
  <c r="Y14" i="104"/>
  <c r="X14" i="104"/>
  <c r="W14" i="104"/>
  <c r="V14" i="104"/>
  <c r="U14" i="104"/>
  <c r="S14" i="104"/>
  <c r="AC13" i="104"/>
  <c r="AA13" i="104"/>
  <c r="Y13" i="104"/>
  <c r="W13" i="104"/>
  <c r="U13" i="104"/>
  <c r="AD12" i="104"/>
  <c r="Z12" i="104"/>
  <c r="V12" i="104"/>
  <c r="AD11" i="104"/>
  <c r="Z11" i="104"/>
  <c r="V11" i="104"/>
  <c r="AB16" i="103"/>
  <c r="Z16" i="103"/>
  <c r="X16" i="103"/>
  <c r="V16" i="103"/>
  <c r="T16" i="103"/>
  <c r="AD15" i="103"/>
  <c r="AB15" i="103"/>
  <c r="Z15" i="103"/>
  <c r="X15" i="103"/>
  <c r="V15" i="103"/>
  <c r="T15" i="103"/>
  <c r="AD14" i="103"/>
  <c r="AC14" i="103"/>
  <c r="AA14" i="103"/>
  <c r="Z14" i="103"/>
  <c r="Y14" i="103"/>
  <c r="W14" i="103"/>
  <c r="V14" i="103"/>
  <c r="U14" i="103"/>
  <c r="AD13" i="103"/>
  <c r="Z13" i="103"/>
  <c r="V13" i="103"/>
  <c r="AD21" i="103"/>
  <c r="AC21" i="103"/>
  <c r="AB21" i="103"/>
  <c r="AA21" i="103"/>
  <c r="Z21" i="103"/>
  <c r="Y21" i="103"/>
  <c r="X21" i="103"/>
  <c r="W21" i="103"/>
  <c r="V21" i="103"/>
  <c r="U21" i="103"/>
  <c r="T21" i="103"/>
  <c r="S21" i="103"/>
  <c r="AD20" i="103"/>
  <c r="AC20" i="103"/>
  <c r="AB20" i="103"/>
  <c r="AA20" i="103"/>
  <c r="Z20" i="103"/>
  <c r="Y20" i="103"/>
  <c r="X20" i="103"/>
  <c r="W20" i="103"/>
  <c r="V20" i="103"/>
  <c r="U20" i="103"/>
  <c r="T20" i="103"/>
  <c r="S20" i="103"/>
  <c r="AD19" i="103"/>
  <c r="AD27" i="103" s="1"/>
  <c r="AC19" i="103"/>
  <c r="AB19" i="103"/>
  <c r="AB27" i="103" s="1"/>
  <c r="AA19" i="103"/>
  <c r="AA27" i="103" s="1"/>
  <c r="Z19" i="103"/>
  <c r="Z27" i="103" s="1"/>
  <c r="Y19" i="103"/>
  <c r="Y27" i="103" s="1"/>
  <c r="X19" i="103"/>
  <c r="X27" i="103" s="1"/>
  <c r="W19" i="103"/>
  <c r="W27" i="103" s="1"/>
  <c r="V19" i="103"/>
  <c r="V27" i="103" s="1"/>
  <c r="U19" i="103"/>
  <c r="U24" i="103" s="1"/>
  <c r="T19" i="103"/>
  <c r="T27" i="103" s="1"/>
  <c r="S19" i="103"/>
  <c r="S27" i="103" s="1"/>
  <c r="AD18" i="103"/>
  <c r="AC18" i="103"/>
  <c r="AB18" i="103"/>
  <c r="AA18" i="103"/>
  <c r="Z18" i="103"/>
  <c r="Y18" i="103"/>
  <c r="X18" i="103"/>
  <c r="W18" i="103"/>
  <c r="V18" i="103"/>
  <c r="U18" i="103"/>
  <c r="T18" i="103"/>
  <c r="S18" i="103"/>
  <c r="AD12" i="103"/>
  <c r="AC12" i="103"/>
  <c r="AB12" i="103"/>
  <c r="AA12" i="103"/>
  <c r="Z12" i="103"/>
  <c r="Y12" i="103"/>
  <c r="X12" i="103"/>
  <c r="W12" i="103"/>
  <c r="V12" i="103"/>
  <c r="U12" i="103"/>
  <c r="T12" i="103"/>
  <c r="AD17" i="103"/>
  <c r="AC17" i="103"/>
  <c r="AB17" i="103"/>
  <c r="AA17" i="103"/>
  <c r="Z17" i="103"/>
  <c r="Y17" i="103"/>
  <c r="X17" i="103"/>
  <c r="W17" i="103"/>
  <c r="V17" i="103"/>
  <c r="U17" i="103"/>
  <c r="T17" i="103"/>
  <c r="S17" i="103"/>
  <c r="AD16" i="103"/>
  <c r="AD21" i="101"/>
  <c r="AC21" i="101"/>
  <c r="AB21" i="101"/>
  <c r="AA21" i="101"/>
  <c r="Z21" i="101"/>
  <c r="Y21" i="101"/>
  <c r="W21" i="101"/>
  <c r="V21" i="101"/>
  <c r="U21" i="101"/>
  <c r="T21" i="101"/>
  <c r="S21" i="101"/>
  <c r="AD20" i="101"/>
  <c r="AC20" i="101"/>
  <c r="AB20" i="101"/>
  <c r="AA20" i="101"/>
  <c r="Z20" i="101"/>
  <c r="Y20" i="101"/>
  <c r="X20" i="101"/>
  <c r="W20" i="101"/>
  <c r="V20" i="101"/>
  <c r="U20" i="101"/>
  <c r="T20" i="101"/>
  <c r="S20" i="101"/>
  <c r="AD19" i="101"/>
  <c r="AC19" i="101"/>
  <c r="AB19" i="101"/>
  <c r="AA19" i="101"/>
  <c r="Z19" i="101"/>
  <c r="Y19" i="101"/>
  <c r="X19" i="101"/>
  <c r="W19" i="101"/>
  <c r="W39" i="101" s="1"/>
  <c r="V19" i="101"/>
  <c r="V39" i="101" s="1"/>
  <c r="U19" i="101"/>
  <c r="T19" i="101"/>
  <c r="S19" i="101"/>
  <c r="AD18" i="101"/>
  <c r="AC18" i="101"/>
  <c r="AB18" i="101"/>
  <c r="AA18" i="101"/>
  <c r="Z18" i="101"/>
  <c r="Y18" i="101"/>
  <c r="X18" i="101"/>
  <c r="W18" i="101"/>
  <c r="V18" i="101"/>
  <c r="U18" i="101"/>
  <c r="T18" i="101"/>
  <c r="S18" i="101"/>
  <c r="AD17" i="101"/>
  <c r="AC17" i="101"/>
  <c r="AB17" i="101"/>
  <c r="AA17" i="101"/>
  <c r="Y17" i="101"/>
  <c r="X17" i="101"/>
  <c r="W17" i="101"/>
  <c r="V17" i="101"/>
  <c r="U17" i="101"/>
  <c r="T17" i="101"/>
  <c r="AD16" i="101"/>
  <c r="AC16" i="101"/>
  <c r="AB16" i="101"/>
  <c r="AA16" i="101"/>
  <c r="Z16" i="101"/>
  <c r="Y16" i="101"/>
  <c r="X16" i="101"/>
  <c r="W16" i="101"/>
  <c r="V16" i="101"/>
  <c r="U16" i="101"/>
  <c r="T16" i="101"/>
  <c r="S16" i="101"/>
  <c r="AD15" i="101"/>
  <c r="AC15" i="101"/>
  <c r="AB15" i="101"/>
  <c r="AA15" i="101"/>
  <c r="Z15" i="101"/>
  <c r="X15" i="101"/>
  <c r="W15" i="101"/>
  <c r="V15" i="101"/>
  <c r="T15" i="101"/>
  <c r="S15" i="101"/>
  <c r="AD14" i="101"/>
  <c r="AC14" i="101"/>
  <c r="AA14" i="101"/>
  <c r="Z14" i="101"/>
  <c r="W14" i="101"/>
  <c r="U14" i="101"/>
  <c r="AD13" i="101"/>
  <c r="AD38" i="101" s="1"/>
  <c r="V13" i="101"/>
  <c r="AA21" i="100"/>
  <c r="AC20" i="100"/>
  <c r="AA20" i="100"/>
  <c r="Y20" i="100"/>
  <c r="W20" i="100"/>
  <c r="AA19" i="100"/>
  <c r="AC18" i="100"/>
  <c r="AA18" i="100"/>
  <c r="Y18" i="100"/>
  <c r="W18" i="100"/>
  <c r="U18" i="100"/>
  <c r="AA17" i="100"/>
  <c r="AC16" i="100"/>
  <c r="Y16" i="100"/>
  <c r="W16" i="100"/>
  <c r="U16" i="100"/>
  <c r="AA15" i="100"/>
  <c r="AD14" i="100"/>
  <c r="AC14" i="100"/>
  <c r="AB14" i="100"/>
  <c r="AA14" i="100"/>
  <c r="Z14" i="100"/>
  <c r="X14" i="100"/>
  <c r="W14" i="100"/>
  <c r="V14" i="100"/>
  <c r="U14" i="100"/>
  <c r="S14" i="100"/>
  <c r="AC13" i="100"/>
  <c r="AA13" i="100"/>
  <c r="W13" i="100"/>
  <c r="U13" i="100"/>
  <c r="AB12" i="100"/>
  <c r="T12" i="100"/>
  <c r="AB11" i="100"/>
  <c r="X11" i="100"/>
  <c r="T11" i="100"/>
  <c r="AD21" i="99"/>
  <c r="AC21" i="99"/>
  <c r="AB21" i="99"/>
  <c r="AA21" i="99"/>
  <c r="Z21" i="99"/>
  <c r="Y21" i="99"/>
  <c r="X21" i="99"/>
  <c r="W21" i="99"/>
  <c r="V21" i="99"/>
  <c r="U21" i="99"/>
  <c r="T21" i="99"/>
  <c r="S21" i="99"/>
  <c r="AD20" i="99"/>
  <c r="AA20" i="99"/>
  <c r="Z20" i="99"/>
  <c r="W20" i="99"/>
  <c r="V20" i="99"/>
  <c r="U20" i="99"/>
  <c r="T20" i="99"/>
  <c r="S20" i="99"/>
  <c r="AD19" i="99"/>
  <c r="AD27" i="99" s="1"/>
  <c r="AC19" i="99"/>
  <c r="AB19" i="99"/>
  <c r="AA19" i="99"/>
  <c r="AA27" i="99" s="1"/>
  <c r="Z19" i="99"/>
  <c r="Y19" i="99"/>
  <c r="X19" i="99"/>
  <c r="W19" i="99"/>
  <c r="W27" i="99" s="1"/>
  <c r="V19" i="99"/>
  <c r="V27" i="99" s="1"/>
  <c r="U19" i="99"/>
  <c r="T19" i="99"/>
  <c r="T27" i="99" s="1"/>
  <c r="S19" i="99"/>
  <c r="S27" i="99" s="1"/>
  <c r="AD18" i="99"/>
  <c r="AC18" i="99"/>
  <c r="AB18" i="99"/>
  <c r="AA18" i="99"/>
  <c r="Z18" i="99"/>
  <c r="Y18" i="99"/>
  <c r="X18" i="99"/>
  <c r="W18" i="99"/>
  <c r="V18" i="99"/>
  <c r="U18" i="99"/>
  <c r="T18" i="99"/>
  <c r="S18" i="99"/>
  <c r="AD17" i="99"/>
  <c r="AC17" i="99"/>
  <c r="AB17" i="99"/>
  <c r="AA17" i="99"/>
  <c r="Z17" i="99"/>
  <c r="Y17" i="99"/>
  <c r="X17" i="99"/>
  <c r="W17" i="99"/>
  <c r="V17" i="99"/>
  <c r="U17" i="99"/>
  <c r="T17" i="99"/>
  <c r="S17" i="99"/>
  <c r="AD16" i="99"/>
  <c r="AC16" i="99"/>
  <c r="AB16" i="99"/>
  <c r="AA16" i="99"/>
  <c r="Z16" i="99"/>
  <c r="Y16" i="99"/>
  <c r="X16" i="99"/>
  <c r="V16" i="99"/>
  <c r="U16" i="99"/>
  <c r="T16" i="99"/>
  <c r="S16" i="99"/>
  <c r="AD15" i="99"/>
  <c r="AC15" i="99"/>
  <c r="AB15" i="99"/>
  <c r="AA15" i="99"/>
  <c r="Z15" i="99"/>
  <c r="Y15" i="99"/>
  <c r="X15" i="99"/>
  <c r="W15" i="99"/>
  <c r="V15" i="99"/>
  <c r="T15" i="99"/>
  <c r="S15" i="99"/>
  <c r="AD14" i="99"/>
  <c r="AC14" i="99"/>
  <c r="AA14" i="99"/>
  <c r="Z14" i="99"/>
  <c r="Y14" i="99"/>
  <c r="W14" i="99"/>
  <c r="U14" i="99"/>
  <c r="V13" i="99"/>
  <c r="AC21" i="98"/>
  <c r="AB21" i="98"/>
  <c r="AA21" i="98"/>
  <c r="Y21" i="98"/>
  <c r="X21" i="98"/>
  <c r="W21" i="98"/>
  <c r="U21" i="98"/>
  <c r="AC20" i="98"/>
  <c r="AB20" i="98"/>
  <c r="AA20" i="98"/>
  <c r="Z20" i="98"/>
  <c r="Y20" i="98"/>
  <c r="X20" i="98"/>
  <c r="V20" i="98"/>
  <c r="U20" i="98"/>
  <c r="T20" i="98"/>
  <c r="AD19" i="98"/>
  <c r="AC19" i="98"/>
  <c r="AA19" i="98"/>
  <c r="Y19" i="98"/>
  <c r="X19" i="98"/>
  <c r="W19" i="98"/>
  <c r="V19" i="98"/>
  <c r="U19" i="98"/>
  <c r="T19" i="98"/>
  <c r="AC18" i="98"/>
  <c r="AB18" i="98"/>
  <c r="AA18" i="98"/>
  <c r="Z18" i="98"/>
  <c r="Y18" i="98"/>
  <c r="X18" i="98"/>
  <c r="W18" i="98"/>
  <c r="U18" i="98"/>
  <c r="AD17" i="98"/>
  <c r="AC17" i="98"/>
  <c r="AA17" i="98"/>
  <c r="Z17" i="98"/>
  <c r="Y17" i="98"/>
  <c r="X17" i="98"/>
  <c r="W17" i="98"/>
  <c r="V17" i="98"/>
  <c r="U17" i="98"/>
  <c r="T17" i="98"/>
  <c r="AD16" i="98"/>
  <c r="AB16" i="98"/>
  <c r="AA16" i="98"/>
  <c r="Z16" i="98"/>
  <c r="Y16" i="98"/>
  <c r="X16" i="98"/>
  <c r="W16" i="98"/>
  <c r="V16" i="98"/>
  <c r="U16" i="98"/>
  <c r="T16" i="98"/>
  <c r="AD15" i="98"/>
  <c r="AC15" i="98"/>
  <c r="AB15" i="98"/>
  <c r="AA15" i="98"/>
  <c r="Z15" i="98"/>
  <c r="Y15" i="98"/>
  <c r="X15" i="98"/>
  <c r="W15" i="98"/>
  <c r="U15" i="98"/>
  <c r="T15" i="98"/>
  <c r="AD14" i="98"/>
  <c r="AC14" i="98"/>
  <c r="AB14" i="98"/>
  <c r="AA14" i="98"/>
  <c r="Z14" i="98"/>
  <c r="Y14" i="98"/>
  <c r="X14" i="98"/>
  <c r="W14" i="98"/>
  <c r="U14" i="98"/>
  <c r="T14" i="98"/>
  <c r="AC13" i="98"/>
  <c r="AB13" i="98"/>
  <c r="AA13" i="98"/>
  <c r="Z13" i="98"/>
  <c r="Y13" i="98"/>
  <c r="X13" i="98"/>
  <c r="W13" i="98"/>
  <c r="V13" i="98"/>
  <c r="U13" i="98"/>
  <c r="T13" i="98"/>
  <c r="AD21" i="98"/>
  <c r="AC18" i="97"/>
  <c r="AA18" i="97"/>
  <c r="Z18" i="97"/>
  <c r="Y18" i="97"/>
  <c r="X18" i="97"/>
  <c r="W18" i="97"/>
  <c r="V18" i="97"/>
  <c r="U18" i="97"/>
  <c r="T18" i="97"/>
  <c r="AD17" i="97"/>
  <c r="AC17" i="97"/>
  <c r="AB17" i="97"/>
  <c r="AA17" i="97"/>
  <c r="Z17" i="97"/>
  <c r="Y17" i="97"/>
  <c r="X17" i="97"/>
  <c r="V17" i="97"/>
  <c r="T17" i="97"/>
  <c r="S17" i="97"/>
  <c r="AB16" i="97"/>
  <c r="AA16" i="97"/>
  <c r="Z16" i="97"/>
  <c r="Y16" i="97"/>
  <c r="W16" i="97"/>
  <c r="V16" i="97"/>
  <c r="U16" i="97"/>
  <c r="T16" i="97"/>
  <c r="S16" i="97"/>
  <c r="AD15" i="97"/>
  <c r="AC15" i="97"/>
  <c r="AB15" i="97"/>
  <c r="AA15" i="97"/>
  <c r="Z15" i="97"/>
  <c r="X15" i="97"/>
  <c r="W15" i="97"/>
  <c r="V15" i="97"/>
  <c r="U15" i="97"/>
  <c r="T15" i="97"/>
  <c r="S15" i="97"/>
  <c r="AD14" i="97"/>
  <c r="AC14" i="97"/>
  <c r="AB14" i="97"/>
  <c r="AA14" i="97"/>
  <c r="Z14" i="97"/>
  <c r="Y14" i="97"/>
  <c r="X14" i="97"/>
  <c r="W14" i="97"/>
  <c r="U14" i="97"/>
  <c r="T14" i="97"/>
  <c r="S14" i="97"/>
  <c r="AD13" i="97"/>
  <c r="AC13" i="97"/>
  <c r="AB13" i="97"/>
  <c r="AA13" i="97"/>
  <c r="Z13" i="97"/>
  <c r="Y13" i="97"/>
  <c r="X13" i="97"/>
  <c r="W13" i="97"/>
  <c r="U13" i="97"/>
  <c r="T13" i="97"/>
  <c r="AD21" i="97"/>
  <c r="AC21" i="97"/>
  <c r="AB21" i="97"/>
  <c r="AA21" i="97"/>
  <c r="Z21" i="97"/>
  <c r="Y21" i="97"/>
  <c r="X21" i="97"/>
  <c r="W21" i="97"/>
  <c r="V21" i="97"/>
  <c r="U21" i="97"/>
  <c r="T21" i="97"/>
  <c r="S21" i="97"/>
  <c r="AD20" i="97"/>
  <c r="AC20" i="97"/>
  <c r="AB20" i="97"/>
  <c r="AA20" i="97"/>
  <c r="Z20" i="97"/>
  <c r="Y20" i="97"/>
  <c r="X20" i="97"/>
  <c r="W20" i="97"/>
  <c r="V20" i="97"/>
  <c r="U20" i="97"/>
  <c r="T20" i="97"/>
  <c r="S20" i="97"/>
  <c r="AD19" i="97"/>
  <c r="AD27" i="97" s="1"/>
  <c r="AC19" i="97"/>
  <c r="AB19" i="97"/>
  <c r="AB27" i="97" s="1"/>
  <c r="AA19" i="97"/>
  <c r="Z19" i="97"/>
  <c r="Z27" i="97" s="1"/>
  <c r="Y19" i="97"/>
  <c r="X19" i="97"/>
  <c r="X27" i="97" s="1"/>
  <c r="W19" i="97"/>
  <c r="V19" i="97"/>
  <c r="V27" i="97" s="1"/>
  <c r="U19" i="97"/>
  <c r="T19" i="97"/>
  <c r="T27" i="97" s="1"/>
  <c r="S19" i="97"/>
  <c r="AD18" i="97"/>
  <c r="W17" i="97"/>
  <c r="AC11" i="97"/>
  <c r="AC21" i="96"/>
  <c r="AB21" i="96"/>
  <c r="AA21" i="96"/>
  <c r="Z21" i="96"/>
  <c r="X21" i="96"/>
  <c r="W21" i="96"/>
  <c r="V21" i="96"/>
  <c r="U21" i="96"/>
  <c r="T21" i="96"/>
  <c r="AD20" i="96"/>
  <c r="AC20" i="96"/>
  <c r="AB20" i="96"/>
  <c r="AA20" i="96"/>
  <c r="Z20" i="96"/>
  <c r="Y20" i="96"/>
  <c r="X20" i="96"/>
  <c r="V20" i="96"/>
  <c r="U20" i="96"/>
  <c r="T20" i="96"/>
  <c r="AD19" i="96"/>
  <c r="AC19" i="96"/>
  <c r="AB19" i="96"/>
  <c r="AA19" i="96"/>
  <c r="Z19" i="96"/>
  <c r="Y19" i="96"/>
  <c r="X19" i="96"/>
  <c r="W19" i="96"/>
  <c r="V19" i="96"/>
  <c r="U19" i="96"/>
  <c r="T19" i="96"/>
  <c r="AD18" i="96"/>
  <c r="AC18" i="96"/>
  <c r="AB18" i="96"/>
  <c r="Z18" i="96"/>
  <c r="X18" i="96"/>
  <c r="W18" i="96"/>
  <c r="V18" i="96"/>
  <c r="U18" i="96"/>
  <c r="T18" i="96"/>
  <c r="AD17" i="96"/>
  <c r="AC17" i="96"/>
  <c r="AB17" i="96"/>
  <c r="AA17" i="96"/>
  <c r="Z17" i="96"/>
  <c r="Y17" i="96"/>
  <c r="X17" i="96"/>
  <c r="V17" i="96"/>
  <c r="T17" i="96"/>
  <c r="AB16" i="96"/>
  <c r="AA16" i="96"/>
  <c r="Z16" i="96"/>
  <c r="X16" i="96"/>
  <c r="V16" i="96"/>
  <c r="U16" i="96"/>
  <c r="AD15" i="96"/>
  <c r="AC15" i="96"/>
  <c r="AB15" i="96"/>
  <c r="AA15" i="96"/>
  <c r="Z15" i="96"/>
  <c r="Y15" i="96"/>
  <c r="W15" i="96"/>
  <c r="V15" i="96"/>
  <c r="U15" i="96"/>
  <c r="T15" i="96"/>
  <c r="AD14" i="96"/>
  <c r="AB14" i="96"/>
  <c r="AA14" i="96"/>
  <c r="Z14" i="96"/>
  <c r="Y14" i="96"/>
  <c r="X14" i="96"/>
  <c r="W14" i="96"/>
  <c r="V14" i="96"/>
  <c r="T14" i="96"/>
  <c r="AD13" i="96"/>
  <c r="AC13" i="96"/>
  <c r="AA13" i="96"/>
  <c r="Z13" i="96"/>
  <c r="Y13" i="96"/>
  <c r="X13" i="96"/>
  <c r="W13" i="96"/>
  <c r="V13" i="96"/>
  <c r="U13" i="96"/>
  <c r="T13" i="96"/>
  <c r="AD21" i="96"/>
  <c r="AB21" i="95"/>
  <c r="AA21" i="95"/>
  <c r="Z21" i="95"/>
  <c r="Y21" i="95"/>
  <c r="X21" i="95"/>
  <c r="U21" i="95"/>
  <c r="T21" i="95"/>
  <c r="AD20" i="95"/>
  <c r="AB20" i="95"/>
  <c r="AA20" i="95"/>
  <c r="Z20" i="95"/>
  <c r="Y20" i="95"/>
  <c r="X20" i="95"/>
  <c r="W20" i="95"/>
  <c r="V20" i="95"/>
  <c r="T20" i="95"/>
  <c r="S20" i="95"/>
  <c r="AD19" i="95"/>
  <c r="AC19" i="95"/>
  <c r="AB19" i="95"/>
  <c r="AA19" i="95"/>
  <c r="Y19" i="95"/>
  <c r="X19" i="95"/>
  <c r="W19" i="95"/>
  <c r="U19" i="95"/>
  <c r="AD18" i="95"/>
  <c r="AB18" i="95"/>
  <c r="AA18" i="95"/>
  <c r="Y18" i="95"/>
  <c r="X18" i="95"/>
  <c r="W18" i="95"/>
  <c r="V18" i="95"/>
  <c r="U18" i="95"/>
  <c r="T18" i="95"/>
  <c r="AD17" i="95"/>
  <c r="AA17" i="95"/>
  <c r="Z17" i="95"/>
  <c r="Y17" i="95"/>
  <c r="X17" i="95"/>
  <c r="W17" i="95"/>
  <c r="V17" i="95"/>
  <c r="U17" i="95"/>
  <c r="T17" i="95"/>
  <c r="AD16" i="95"/>
  <c r="AA16" i="95"/>
  <c r="Z16" i="95"/>
  <c r="X16" i="95"/>
  <c r="W16" i="95"/>
  <c r="V16" i="95"/>
  <c r="U16" i="95"/>
  <c r="T16" i="95"/>
  <c r="AD15" i="95"/>
  <c r="AC15" i="95"/>
  <c r="AA15" i="95"/>
  <c r="Z15" i="95"/>
  <c r="Y15" i="95"/>
  <c r="X15" i="95"/>
  <c r="W15" i="95"/>
  <c r="U15" i="95"/>
  <c r="T15" i="95"/>
  <c r="AD14" i="95"/>
  <c r="AC14" i="95"/>
  <c r="AA14" i="95"/>
  <c r="Z14" i="95"/>
  <c r="Y14" i="95"/>
  <c r="X14" i="95"/>
  <c r="W14" i="95"/>
  <c r="V14" i="95"/>
  <c r="T14" i="95"/>
  <c r="AD13" i="95"/>
  <c r="AC13" i="95"/>
  <c r="AB13" i="95"/>
  <c r="AA13" i="95"/>
  <c r="W13" i="95"/>
  <c r="V13" i="95"/>
  <c r="U13" i="95"/>
  <c r="T13" i="95"/>
  <c r="AD21" i="95"/>
  <c r="AC20" i="95"/>
  <c r="T19" i="95"/>
  <c r="V39" i="105" l="1"/>
  <c r="Z39" i="105"/>
  <c r="U39" i="109"/>
  <c r="AC39" i="109"/>
  <c r="AA26" i="95"/>
  <c r="X26" i="98"/>
  <c r="W39" i="105"/>
  <c r="AA39" i="105"/>
  <c r="S39" i="101"/>
  <c r="AA39" i="101"/>
  <c r="Z39" i="101"/>
  <c r="AB39" i="101"/>
  <c r="AD39" i="101"/>
  <c r="W26" i="95"/>
  <c r="AD26" i="95"/>
  <c r="C3" i="108"/>
  <c r="C3" i="111"/>
  <c r="C3" i="107"/>
  <c r="X15" i="96"/>
  <c r="X23" i="96" s="1"/>
  <c r="AD16" i="97"/>
  <c r="AD23" i="97" s="1"/>
  <c r="U20" i="100"/>
  <c r="T20" i="105"/>
  <c r="T39" i="105" s="1"/>
  <c r="AC17" i="95"/>
  <c r="AB13" i="96"/>
  <c r="AB26" i="96" s="1"/>
  <c r="AB16" i="95"/>
  <c r="T18" i="98"/>
  <c r="T26" i="98" s="1"/>
  <c r="Z21" i="98"/>
  <c r="T16" i="96"/>
  <c r="T26" i="96" s="1"/>
  <c r="AB20" i="99"/>
  <c r="AB27" i="99" s="1"/>
  <c r="X21" i="101"/>
  <c r="X39" i="101" s="1"/>
  <c r="U20" i="105"/>
  <c r="U39" i="105" s="1"/>
  <c r="AA33" i="105"/>
  <c r="U22" i="109"/>
  <c r="W20" i="96"/>
  <c r="W24" i="96" s="1"/>
  <c r="V14" i="101"/>
  <c r="V38" i="101" s="1"/>
  <c r="Y13" i="95"/>
  <c r="V14" i="97"/>
  <c r="S17" i="101"/>
  <c r="T23" i="105"/>
  <c r="Z27" i="99"/>
  <c r="Y16" i="96"/>
  <c r="AC32" i="109"/>
  <c r="AC18" i="110"/>
  <c r="W21" i="95"/>
  <c r="AC21" i="95"/>
  <c r="AC24" i="95" s="1"/>
  <c r="AB17" i="98"/>
  <c r="AB23" i="98" s="1"/>
  <c r="W16" i="96"/>
  <c r="AB26" i="98"/>
  <c r="AD18" i="98"/>
  <c r="AC16" i="97"/>
  <c r="AB19" i="98"/>
  <c r="AB27" i="98" s="1"/>
  <c r="S14" i="94"/>
  <c r="S15" i="94"/>
  <c r="W15" i="94"/>
  <c r="S16" i="94"/>
  <c r="W17" i="94"/>
  <c r="W19" i="94"/>
  <c r="AA19" i="94"/>
  <c r="S20" i="94"/>
  <c r="U20" i="94"/>
  <c r="W20" i="94"/>
  <c r="Y20" i="94"/>
  <c r="AA20" i="94"/>
  <c r="AC21" i="94"/>
  <c r="AC14" i="96"/>
  <c r="W14" i="94"/>
  <c r="S17" i="94"/>
  <c r="S18" i="94"/>
  <c r="S19" i="94"/>
  <c r="AC19" i="94"/>
  <c r="S21" i="94"/>
  <c r="U21" i="94"/>
  <c r="W21" i="94"/>
  <c r="Y21" i="94"/>
  <c r="X12" i="100"/>
  <c r="S39" i="110"/>
  <c r="AA39" i="110"/>
  <c r="T12" i="110"/>
  <c r="V12" i="110"/>
  <c r="X12" i="110"/>
  <c r="Z12" i="110"/>
  <c r="AB12" i="110"/>
  <c r="AD12" i="110"/>
  <c r="U12" i="110"/>
  <c r="W12" i="110"/>
  <c r="Y12" i="110"/>
  <c r="AA12" i="110"/>
  <c r="AC12" i="110"/>
  <c r="P21" i="110"/>
  <c r="T13" i="110"/>
  <c r="V13" i="110"/>
  <c r="X13" i="110"/>
  <c r="Z13" i="110"/>
  <c r="AB13" i="110"/>
  <c r="AD13" i="110"/>
  <c r="U13" i="110"/>
  <c r="U38" i="110" s="1"/>
  <c r="W13" i="110"/>
  <c r="Y13" i="110"/>
  <c r="AA13" i="110"/>
  <c r="AC13" i="110"/>
  <c r="P25" i="110"/>
  <c r="T14" i="110"/>
  <c r="V14" i="110"/>
  <c r="X14" i="110"/>
  <c r="Z14" i="110"/>
  <c r="AB14" i="110"/>
  <c r="AD14" i="110"/>
  <c r="U14" i="110"/>
  <c r="W14" i="110"/>
  <c r="Y14" i="110"/>
  <c r="AA14" i="110"/>
  <c r="AC14" i="110"/>
  <c r="P29" i="110"/>
  <c r="T15" i="110"/>
  <c r="V15" i="110"/>
  <c r="X15" i="110"/>
  <c r="Z15" i="110"/>
  <c r="AB15" i="110"/>
  <c r="AD15" i="110"/>
  <c r="U15" i="110"/>
  <c r="W15" i="110"/>
  <c r="Y15" i="110"/>
  <c r="AA15" i="110"/>
  <c r="AC15" i="110"/>
  <c r="P33" i="110"/>
  <c r="P45" i="110"/>
  <c r="P49" i="110"/>
  <c r="P53" i="110"/>
  <c r="P59" i="110"/>
  <c r="P63" i="110"/>
  <c r="P67" i="110"/>
  <c r="P71" i="110"/>
  <c r="P75" i="110"/>
  <c r="P79" i="110"/>
  <c r="P83" i="110"/>
  <c r="P87" i="110"/>
  <c r="P91" i="110"/>
  <c r="X20" i="99"/>
  <c r="X27" i="99" s="1"/>
  <c r="AB15" i="95"/>
  <c r="U17" i="97"/>
  <c r="U26" i="97" s="1"/>
  <c r="P23" i="110"/>
  <c r="S13" i="110"/>
  <c r="P31" i="110"/>
  <c r="S15" i="110"/>
  <c r="X10" i="110"/>
  <c r="P13" i="110"/>
  <c r="P15" i="110"/>
  <c r="W11" i="110"/>
  <c r="AA14" i="94"/>
  <c r="AA15" i="94"/>
  <c r="AA16" i="94"/>
  <c r="AA18" i="94"/>
  <c r="P19" i="110"/>
  <c r="S12" i="110"/>
  <c r="Z13" i="109"/>
  <c r="P12" i="110"/>
  <c r="D106" i="110"/>
  <c r="L106" i="110"/>
  <c r="P27" i="110"/>
  <c r="S14" i="110"/>
  <c r="S38" i="110" s="1"/>
  <c r="V12" i="109"/>
  <c r="AD12" i="109"/>
  <c r="P14" i="110"/>
  <c r="U11" i="110"/>
  <c r="Y11" i="110"/>
  <c r="AA11" i="110"/>
  <c r="AC11" i="110"/>
  <c r="X16" i="97"/>
  <c r="X26" i="97" s="1"/>
  <c r="W23" i="105"/>
  <c r="S11" i="109"/>
  <c r="AC17" i="109"/>
  <c r="V14" i="109"/>
  <c r="W10" i="110"/>
  <c r="P11" i="110"/>
  <c r="S11" i="110"/>
  <c r="T11" i="110"/>
  <c r="V11" i="110"/>
  <c r="X11" i="110"/>
  <c r="Z11" i="110"/>
  <c r="AB11" i="110"/>
  <c r="AD11" i="110"/>
  <c r="V13" i="109"/>
  <c r="AD13" i="109"/>
  <c r="V15" i="109"/>
  <c r="AD15" i="109"/>
  <c r="AA11" i="109"/>
  <c r="Z12" i="109"/>
  <c r="Z14" i="109"/>
  <c r="S10" i="110"/>
  <c r="V18" i="110"/>
  <c r="X18" i="110"/>
  <c r="Z18" i="110"/>
  <c r="AB18" i="110"/>
  <c r="AD18" i="110"/>
  <c r="P18" i="110"/>
  <c r="W39" i="110"/>
  <c r="P20" i="110"/>
  <c r="P22" i="110"/>
  <c r="P24" i="110"/>
  <c r="P26" i="110"/>
  <c r="P28" i="110"/>
  <c r="P30" i="110"/>
  <c r="P32" i="110"/>
  <c r="P34" i="110"/>
  <c r="P35" i="110"/>
  <c r="P36" i="110"/>
  <c r="P37" i="110"/>
  <c r="P38" i="110"/>
  <c r="P39" i="110"/>
  <c r="P40" i="110"/>
  <c r="P41" i="110"/>
  <c r="P42" i="110"/>
  <c r="O44" i="110"/>
  <c r="U19" i="110"/>
  <c r="Y19" i="110"/>
  <c r="AC19" i="110"/>
  <c r="O48" i="110"/>
  <c r="U20" i="110"/>
  <c r="Y20" i="110"/>
  <c r="AC20" i="110"/>
  <c r="O52" i="110"/>
  <c r="U21" i="110"/>
  <c r="Y21" i="110"/>
  <c r="AC21" i="110"/>
  <c r="O56" i="110"/>
  <c r="O58" i="110"/>
  <c r="U22" i="110"/>
  <c r="Y22" i="110"/>
  <c r="AC22" i="110"/>
  <c r="O62" i="110"/>
  <c r="O66" i="110"/>
  <c r="U24" i="110"/>
  <c r="Y24" i="110"/>
  <c r="AC24" i="110"/>
  <c r="O70" i="110"/>
  <c r="O74" i="110"/>
  <c r="U26" i="110"/>
  <c r="Y26" i="110"/>
  <c r="AC26" i="110"/>
  <c r="O78" i="110"/>
  <c r="O82" i="110"/>
  <c r="U28" i="110"/>
  <c r="Y28" i="110"/>
  <c r="AC28" i="110"/>
  <c r="O86" i="110"/>
  <c r="O90" i="110"/>
  <c r="U30" i="110"/>
  <c r="Y30" i="110"/>
  <c r="AC30" i="110"/>
  <c r="O94" i="110"/>
  <c r="O98" i="110"/>
  <c r="U32" i="110"/>
  <c r="Y32" i="110"/>
  <c r="AC32" i="110"/>
  <c r="O102" i="110"/>
  <c r="AD13" i="99"/>
  <c r="AD26" i="99" s="1"/>
  <c r="P44" i="110"/>
  <c r="P48" i="110"/>
  <c r="V19" i="110"/>
  <c r="X19" i="110"/>
  <c r="Z19" i="110"/>
  <c r="AB19" i="110"/>
  <c r="AD19" i="110"/>
  <c r="P52" i="110"/>
  <c r="V20" i="110"/>
  <c r="X20" i="110"/>
  <c r="Z20" i="110"/>
  <c r="AB20" i="110"/>
  <c r="AD20" i="110"/>
  <c r="P56" i="110"/>
  <c r="P62" i="110"/>
  <c r="P70" i="110"/>
  <c r="P78" i="110"/>
  <c r="P86" i="110"/>
  <c r="P94" i="110"/>
  <c r="P102" i="110"/>
  <c r="S13" i="97"/>
  <c r="T12" i="109"/>
  <c r="X12" i="109"/>
  <c r="AB12" i="109"/>
  <c r="P20" i="109"/>
  <c r="T13" i="109"/>
  <c r="X13" i="109"/>
  <c r="AB13" i="109"/>
  <c r="P24" i="109"/>
  <c r="T14" i="109"/>
  <c r="X14" i="109"/>
  <c r="AB14" i="109"/>
  <c r="P28" i="109"/>
  <c r="T15" i="109"/>
  <c r="X15" i="109"/>
  <c r="AB15" i="109"/>
  <c r="P32" i="109"/>
  <c r="E106" i="110"/>
  <c r="G106" i="110"/>
  <c r="I106" i="110"/>
  <c r="K106" i="110"/>
  <c r="M106" i="110"/>
  <c r="AA10" i="110"/>
  <c r="P17" i="110"/>
  <c r="S17" i="110"/>
  <c r="P43" i="110"/>
  <c r="O46" i="110"/>
  <c r="P46" i="110"/>
  <c r="P47" i="110"/>
  <c r="O50" i="110"/>
  <c r="P50" i="110"/>
  <c r="P51" i="110"/>
  <c r="O54" i="110"/>
  <c r="P54" i="110"/>
  <c r="P55" i="110"/>
  <c r="P58" i="110"/>
  <c r="P66" i="110"/>
  <c r="P74" i="110"/>
  <c r="P82" i="110"/>
  <c r="P90" i="110"/>
  <c r="P98" i="110"/>
  <c r="P57" i="110"/>
  <c r="V21" i="110"/>
  <c r="X21" i="110"/>
  <c r="Z21" i="110"/>
  <c r="AB21" i="110"/>
  <c r="AD21" i="110"/>
  <c r="O60" i="110"/>
  <c r="P60" i="110"/>
  <c r="P61" i="110"/>
  <c r="V22" i="110"/>
  <c r="X22" i="110"/>
  <c r="Z22" i="110"/>
  <c r="AB22" i="110"/>
  <c r="AD22" i="110"/>
  <c r="O64" i="110"/>
  <c r="P64" i="110"/>
  <c r="P65" i="110"/>
  <c r="V23" i="110"/>
  <c r="X23" i="110"/>
  <c r="Z23" i="110"/>
  <c r="AB23" i="110"/>
  <c r="AD23" i="110"/>
  <c r="O68" i="110"/>
  <c r="P68" i="110"/>
  <c r="P69" i="110"/>
  <c r="V24" i="110"/>
  <c r="X24" i="110"/>
  <c r="Z24" i="110"/>
  <c r="AB24" i="110"/>
  <c r="AD24" i="110"/>
  <c r="O72" i="110"/>
  <c r="P72" i="110"/>
  <c r="P73" i="110"/>
  <c r="V25" i="110"/>
  <c r="X25" i="110"/>
  <c r="Z25" i="110"/>
  <c r="AB25" i="110"/>
  <c r="AD25" i="110"/>
  <c r="O76" i="110"/>
  <c r="P76" i="110"/>
  <c r="P77" i="110"/>
  <c r="V26" i="110"/>
  <c r="X26" i="110"/>
  <c r="Z26" i="110"/>
  <c r="AB26" i="110"/>
  <c r="AD26" i="110"/>
  <c r="O80" i="110"/>
  <c r="P80" i="110"/>
  <c r="P81" i="110"/>
  <c r="V27" i="110"/>
  <c r="X27" i="110"/>
  <c r="Z27" i="110"/>
  <c r="AB27" i="110"/>
  <c r="AD27" i="110"/>
  <c r="O84" i="110"/>
  <c r="P84" i="110"/>
  <c r="P85" i="110"/>
  <c r="V28" i="110"/>
  <c r="X28" i="110"/>
  <c r="Z28" i="110"/>
  <c r="AB28" i="110"/>
  <c r="AD28" i="110"/>
  <c r="O88" i="110"/>
  <c r="P88" i="110"/>
  <c r="P89" i="110"/>
  <c r="V29" i="110"/>
  <c r="X29" i="110"/>
  <c r="Z29" i="110"/>
  <c r="AB29" i="110"/>
  <c r="AD29" i="110"/>
  <c r="O92" i="110"/>
  <c r="P92" i="110"/>
  <c r="P93" i="110"/>
  <c r="V30" i="110"/>
  <c r="X30" i="110"/>
  <c r="Z30" i="110"/>
  <c r="O96" i="110"/>
  <c r="P96" i="110"/>
  <c r="P97" i="110"/>
  <c r="O100" i="110"/>
  <c r="P100" i="110"/>
  <c r="P101" i="110"/>
  <c r="O104" i="110"/>
  <c r="P104" i="110"/>
  <c r="P105" i="110"/>
  <c r="W38" i="110"/>
  <c r="C106" i="110"/>
  <c r="P10" i="110"/>
  <c r="O10" i="110"/>
  <c r="U10" i="110"/>
  <c r="Y10" i="110"/>
  <c r="AC10" i="110"/>
  <c r="O11" i="110"/>
  <c r="O12" i="110"/>
  <c r="O13" i="110"/>
  <c r="O14" i="110"/>
  <c r="O15" i="110"/>
  <c r="P16" i="110"/>
  <c r="O16" i="110"/>
  <c r="O17" i="110"/>
  <c r="O18" i="110"/>
  <c r="O19" i="110"/>
  <c r="O20" i="110"/>
  <c r="O21" i="110"/>
  <c r="O22" i="110"/>
  <c r="O23" i="110"/>
  <c r="O24" i="110"/>
  <c r="O25" i="110"/>
  <c r="O26" i="110"/>
  <c r="O27" i="110"/>
  <c r="O28" i="110"/>
  <c r="O29" i="110"/>
  <c r="O30" i="110"/>
  <c r="S36" i="110"/>
  <c r="W36" i="110"/>
  <c r="AA36" i="110"/>
  <c r="H106" i="110"/>
  <c r="C106" i="109"/>
  <c r="E106" i="109"/>
  <c r="G106" i="109"/>
  <c r="I106" i="109"/>
  <c r="K106" i="109"/>
  <c r="M106" i="109"/>
  <c r="P11" i="109"/>
  <c r="W11" i="109"/>
  <c r="P18" i="109"/>
  <c r="U12" i="109"/>
  <c r="W12" i="109"/>
  <c r="Y12" i="109"/>
  <c r="AA12" i="109"/>
  <c r="AC12" i="109"/>
  <c r="P22" i="109"/>
  <c r="U13" i="109"/>
  <c r="W13" i="109"/>
  <c r="Y13" i="109"/>
  <c r="AA13" i="109"/>
  <c r="AC13" i="109"/>
  <c r="P26" i="109"/>
  <c r="U14" i="109"/>
  <c r="W14" i="109"/>
  <c r="Y14" i="109"/>
  <c r="AA14" i="109"/>
  <c r="AC14" i="109"/>
  <c r="P30" i="109"/>
  <c r="U15" i="109"/>
  <c r="W15" i="109"/>
  <c r="Y15" i="109"/>
  <c r="AA15" i="109"/>
  <c r="AC15" i="109"/>
  <c r="P34" i="109"/>
  <c r="P35" i="109"/>
  <c r="P36" i="109"/>
  <c r="P37" i="109"/>
  <c r="P38" i="109"/>
  <c r="P39" i="109"/>
  <c r="P40" i="109"/>
  <c r="P41" i="109"/>
  <c r="P42" i="109"/>
  <c r="O44" i="109"/>
  <c r="S39" i="109"/>
  <c r="AA39" i="109"/>
  <c r="O48" i="109"/>
  <c r="O52" i="109"/>
  <c r="O56" i="109"/>
  <c r="O58" i="109"/>
  <c r="O62" i="109"/>
  <c r="O66" i="109"/>
  <c r="O70" i="109"/>
  <c r="O74" i="109"/>
  <c r="O78" i="109"/>
  <c r="O82" i="109"/>
  <c r="O86" i="109"/>
  <c r="O90" i="109"/>
  <c r="O94" i="109"/>
  <c r="O98" i="109"/>
  <c r="O102" i="109"/>
  <c r="F106" i="110"/>
  <c r="J106" i="110"/>
  <c r="N106" i="110"/>
  <c r="T10" i="110"/>
  <c r="V10" i="110"/>
  <c r="Z10" i="110"/>
  <c r="AB10" i="110"/>
  <c r="AD10" i="110"/>
  <c r="T18" i="110"/>
  <c r="T19" i="110"/>
  <c r="T20" i="110"/>
  <c r="T21" i="110"/>
  <c r="T22" i="110"/>
  <c r="T23" i="110"/>
  <c r="T24" i="110"/>
  <c r="T25" i="110"/>
  <c r="T26" i="110"/>
  <c r="T27" i="110"/>
  <c r="T28" i="110"/>
  <c r="T29" i="110"/>
  <c r="T30" i="110"/>
  <c r="O31" i="110"/>
  <c r="O32" i="110"/>
  <c r="O33" i="110"/>
  <c r="O34" i="110"/>
  <c r="O35" i="110"/>
  <c r="O36" i="110"/>
  <c r="O37" i="110"/>
  <c r="O38" i="110"/>
  <c r="O39" i="110"/>
  <c r="O40" i="110"/>
  <c r="O41" i="110"/>
  <c r="O42" i="110"/>
  <c r="AB30" i="110"/>
  <c r="AD30" i="110"/>
  <c r="P95" i="110"/>
  <c r="T31" i="110"/>
  <c r="V31" i="110"/>
  <c r="X31" i="110"/>
  <c r="Z31" i="110"/>
  <c r="AB31" i="110"/>
  <c r="AD31" i="110"/>
  <c r="P99" i="110"/>
  <c r="T32" i="110"/>
  <c r="V32" i="110"/>
  <c r="X32" i="110"/>
  <c r="Z32" i="110"/>
  <c r="AB32" i="110"/>
  <c r="AD32" i="110"/>
  <c r="P103" i="110"/>
  <c r="T33" i="110"/>
  <c r="V33" i="110"/>
  <c r="X33" i="110"/>
  <c r="Z33" i="110"/>
  <c r="AB33" i="110"/>
  <c r="AD33" i="110"/>
  <c r="O43" i="110"/>
  <c r="O45" i="110"/>
  <c r="O47" i="110"/>
  <c r="O49" i="110"/>
  <c r="O51" i="110"/>
  <c r="O53" i="110"/>
  <c r="O55" i="110"/>
  <c r="O57" i="110"/>
  <c r="O59" i="110"/>
  <c r="O61" i="110"/>
  <c r="O63" i="110"/>
  <c r="O65" i="110"/>
  <c r="O67" i="110"/>
  <c r="O69" i="110"/>
  <c r="O71" i="110"/>
  <c r="O73" i="110"/>
  <c r="O75" i="110"/>
  <c r="O77" i="110"/>
  <c r="O79" i="110"/>
  <c r="O81" i="110"/>
  <c r="O83" i="110"/>
  <c r="O85" i="110"/>
  <c r="O87" i="110"/>
  <c r="O89" i="110"/>
  <c r="O91" i="110"/>
  <c r="O93" i="110"/>
  <c r="O95" i="110"/>
  <c r="O97" i="110"/>
  <c r="O99" i="110"/>
  <c r="O101" i="110"/>
  <c r="O103" i="110"/>
  <c r="O105" i="110"/>
  <c r="V19" i="95"/>
  <c r="Y14" i="101"/>
  <c r="V15" i="98"/>
  <c r="W39" i="109"/>
  <c r="X10" i="109"/>
  <c r="P12" i="109"/>
  <c r="S12" i="109"/>
  <c r="P13" i="109"/>
  <c r="S13" i="109"/>
  <c r="P14" i="109"/>
  <c r="U11" i="109"/>
  <c r="Y11" i="109"/>
  <c r="AC11" i="109"/>
  <c r="S14" i="109"/>
  <c r="P15" i="109"/>
  <c r="S15" i="109"/>
  <c r="P16" i="109"/>
  <c r="S16" i="109"/>
  <c r="T11" i="109"/>
  <c r="V11" i="109"/>
  <c r="X11" i="109"/>
  <c r="Z11" i="109"/>
  <c r="AB11" i="109"/>
  <c r="AD11" i="109"/>
  <c r="P19" i="109"/>
  <c r="P21" i="109"/>
  <c r="P23" i="109"/>
  <c r="S23" i="109"/>
  <c r="P25" i="109"/>
  <c r="S25" i="109"/>
  <c r="P27" i="109"/>
  <c r="S27" i="109"/>
  <c r="P29" i="109"/>
  <c r="S29" i="109"/>
  <c r="P31" i="109"/>
  <c r="S31" i="109"/>
  <c r="P33" i="109"/>
  <c r="S33" i="109"/>
  <c r="S17" i="109"/>
  <c r="P45" i="109"/>
  <c r="V18" i="109"/>
  <c r="X18" i="109"/>
  <c r="Z18" i="109"/>
  <c r="AB18" i="109"/>
  <c r="AD18" i="109"/>
  <c r="P49" i="109"/>
  <c r="P53" i="109"/>
  <c r="P59" i="109"/>
  <c r="P63" i="109"/>
  <c r="P67" i="109"/>
  <c r="P71" i="109"/>
  <c r="P75" i="109"/>
  <c r="P79" i="109"/>
  <c r="P83" i="109"/>
  <c r="P87" i="109"/>
  <c r="P91" i="109"/>
  <c r="P44" i="109"/>
  <c r="P48" i="109"/>
  <c r="V19" i="109"/>
  <c r="V39" i="109" s="1"/>
  <c r="X19" i="109"/>
  <c r="Z19" i="109"/>
  <c r="AB19" i="109"/>
  <c r="AD19" i="109"/>
  <c r="P52" i="109"/>
  <c r="V20" i="109"/>
  <c r="X20" i="109"/>
  <c r="Z20" i="109"/>
  <c r="AB20" i="109"/>
  <c r="AD20" i="109"/>
  <c r="P56" i="109"/>
  <c r="P62" i="109"/>
  <c r="P70" i="109"/>
  <c r="P78" i="109"/>
  <c r="P86" i="109"/>
  <c r="P94" i="109"/>
  <c r="P102" i="109"/>
  <c r="D106" i="109"/>
  <c r="L106" i="109"/>
  <c r="P17" i="109"/>
  <c r="P43" i="109"/>
  <c r="O46" i="109"/>
  <c r="P46" i="109"/>
  <c r="P47" i="109"/>
  <c r="O50" i="109"/>
  <c r="P50" i="109"/>
  <c r="P51" i="109"/>
  <c r="O54" i="109"/>
  <c r="P54" i="109"/>
  <c r="P55" i="109"/>
  <c r="P58" i="109"/>
  <c r="P66" i="109"/>
  <c r="P74" i="109"/>
  <c r="P82" i="109"/>
  <c r="P90" i="109"/>
  <c r="P98" i="109"/>
  <c r="P57" i="109"/>
  <c r="V21" i="109"/>
  <c r="X21" i="109"/>
  <c r="Z21" i="109"/>
  <c r="AB21" i="109"/>
  <c r="AD21" i="109"/>
  <c r="O60" i="109"/>
  <c r="P60" i="109"/>
  <c r="P61" i="109"/>
  <c r="V22" i="109"/>
  <c r="X22" i="109"/>
  <c r="Z22" i="109"/>
  <c r="AB22" i="109"/>
  <c r="AD22" i="109"/>
  <c r="O64" i="109"/>
  <c r="P64" i="109"/>
  <c r="P65" i="109"/>
  <c r="V23" i="109"/>
  <c r="X23" i="109"/>
  <c r="Z23" i="109"/>
  <c r="AB23" i="109"/>
  <c r="AD23" i="109"/>
  <c r="O68" i="109"/>
  <c r="P68" i="109"/>
  <c r="P69" i="109"/>
  <c r="V24" i="109"/>
  <c r="X24" i="109"/>
  <c r="Z24" i="109"/>
  <c r="AB24" i="109"/>
  <c r="AD24" i="109"/>
  <c r="O72" i="109"/>
  <c r="P72" i="109"/>
  <c r="P73" i="109"/>
  <c r="V25" i="109"/>
  <c r="X25" i="109"/>
  <c r="Z25" i="109"/>
  <c r="AB25" i="109"/>
  <c r="AD25" i="109"/>
  <c r="O76" i="109"/>
  <c r="P76" i="109"/>
  <c r="P77" i="109"/>
  <c r="V26" i="109"/>
  <c r="X26" i="109"/>
  <c r="Z26" i="109"/>
  <c r="AB26" i="109"/>
  <c r="AD26" i="109"/>
  <c r="O80" i="109"/>
  <c r="P80" i="109"/>
  <c r="P81" i="109"/>
  <c r="V27" i="109"/>
  <c r="X27" i="109"/>
  <c r="Z27" i="109"/>
  <c r="AB27" i="109"/>
  <c r="AD27" i="109"/>
  <c r="O84" i="109"/>
  <c r="P84" i="109"/>
  <c r="P85" i="109"/>
  <c r="V28" i="109"/>
  <c r="X28" i="109"/>
  <c r="Z28" i="109"/>
  <c r="AB28" i="109"/>
  <c r="AD28" i="109"/>
  <c r="O88" i="109"/>
  <c r="P88" i="109"/>
  <c r="P89" i="109"/>
  <c r="V29" i="109"/>
  <c r="X29" i="109"/>
  <c r="Z29" i="109"/>
  <c r="AB29" i="109"/>
  <c r="AD29" i="109"/>
  <c r="O92" i="109"/>
  <c r="P92" i="109"/>
  <c r="P93" i="109"/>
  <c r="V30" i="109"/>
  <c r="X30" i="109"/>
  <c r="Z30" i="109"/>
  <c r="O96" i="109"/>
  <c r="P96" i="109"/>
  <c r="P97" i="109"/>
  <c r="O100" i="109"/>
  <c r="P100" i="109"/>
  <c r="P101" i="109"/>
  <c r="O104" i="109"/>
  <c r="P104" i="109"/>
  <c r="P105" i="109"/>
  <c r="V21" i="98"/>
  <c r="V27" i="98" s="1"/>
  <c r="AD29" i="105"/>
  <c r="O10" i="109"/>
  <c r="S10" i="109"/>
  <c r="U10" i="109"/>
  <c r="W10" i="109"/>
  <c r="Y10" i="109"/>
  <c r="AA10" i="109"/>
  <c r="AC10" i="109"/>
  <c r="O11" i="109"/>
  <c r="O12" i="109"/>
  <c r="O13" i="109"/>
  <c r="O14" i="109"/>
  <c r="O15" i="109"/>
  <c r="O16" i="109"/>
  <c r="O17" i="109"/>
  <c r="O18" i="109"/>
  <c r="O19" i="109"/>
  <c r="O20" i="109"/>
  <c r="O21" i="109"/>
  <c r="O22" i="109"/>
  <c r="O23" i="109"/>
  <c r="O24" i="109"/>
  <c r="O25" i="109"/>
  <c r="O26" i="109"/>
  <c r="O27" i="109"/>
  <c r="O28" i="109"/>
  <c r="O29" i="109"/>
  <c r="O30" i="109"/>
  <c r="S36" i="109"/>
  <c r="W36" i="109"/>
  <c r="AA36" i="109"/>
  <c r="H106" i="109"/>
  <c r="F106" i="109"/>
  <c r="J106" i="109"/>
  <c r="N106" i="109"/>
  <c r="P10" i="109"/>
  <c r="T10" i="109"/>
  <c r="V10" i="109"/>
  <c r="Z10" i="109"/>
  <c r="AB10" i="109"/>
  <c r="AD10" i="109"/>
  <c r="T18" i="109"/>
  <c r="T19" i="109"/>
  <c r="T20" i="109"/>
  <c r="T21" i="109"/>
  <c r="T22" i="109"/>
  <c r="T23" i="109"/>
  <c r="T24" i="109"/>
  <c r="T25" i="109"/>
  <c r="T26" i="109"/>
  <c r="T27" i="109"/>
  <c r="T28" i="109"/>
  <c r="T29" i="109"/>
  <c r="T30" i="109"/>
  <c r="O31" i="109"/>
  <c r="O32" i="109"/>
  <c r="O33" i="109"/>
  <c r="O34" i="109"/>
  <c r="O35" i="109"/>
  <c r="O36" i="109"/>
  <c r="U36" i="109"/>
  <c r="Y36" i="109"/>
  <c r="AC36" i="109"/>
  <c r="O37" i="109"/>
  <c r="O38" i="109"/>
  <c r="O39" i="109"/>
  <c r="O40" i="109"/>
  <c r="O41" i="109"/>
  <c r="O42" i="109"/>
  <c r="AB30" i="109"/>
  <c r="AD30" i="109"/>
  <c r="P95" i="109"/>
  <c r="T31" i="109"/>
  <c r="V31" i="109"/>
  <c r="X31" i="109"/>
  <c r="Z31" i="109"/>
  <c r="AB31" i="109"/>
  <c r="AD31" i="109"/>
  <c r="P99" i="109"/>
  <c r="T32" i="109"/>
  <c r="V32" i="109"/>
  <c r="X32" i="109"/>
  <c r="Z32" i="109"/>
  <c r="AB32" i="109"/>
  <c r="AD32" i="109"/>
  <c r="P103" i="109"/>
  <c r="T33" i="109"/>
  <c r="V33" i="109"/>
  <c r="X33" i="109"/>
  <c r="Z33" i="109"/>
  <c r="AB33" i="109"/>
  <c r="AD33" i="109"/>
  <c r="O43" i="109"/>
  <c r="O45" i="109"/>
  <c r="O47" i="109"/>
  <c r="O49" i="109"/>
  <c r="O51" i="109"/>
  <c r="O53" i="109"/>
  <c r="O55" i="109"/>
  <c r="O57" i="109"/>
  <c r="O59" i="109"/>
  <c r="O61" i="109"/>
  <c r="O63" i="109"/>
  <c r="O65" i="109"/>
  <c r="O67" i="109"/>
  <c r="O69" i="109"/>
  <c r="O71" i="109"/>
  <c r="O73" i="109"/>
  <c r="O75" i="109"/>
  <c r="O77" i="109"/>
  <c r="O79" i="109"/>
  <c r="O81" i="109"/>
  <c r="O83" i="109"/>
  <c r="O85" i="109"/>
  <c r="O87" i="109"/>
  <c r="O89" i="109"/>
  <c r="O91" i="109"/>
  <c r="O93" i="109"/>
  <c r="O95" i="109"/>
  <c r="O97" i="109"/>
  <c r="O99" i="109"/>
  <c r="O101" i="109"/>
  <c r="O103" i="109"/>
  <c r="O105" i="109"/>
  <c r="V13" i="97"/>
  <c r="U15" i="99"/>
  <c r="Z17" i="101"/>
  <c r="S21" i="105"/>
  <c r="S39" i="105" s="1"/>
  <c r="Y24" i="105"/>
  <c r="U20" i="95"/>
  <c r="AB20" i="105"/>
  <c r="AB39" i="105" s="1"/>
  <c r="U13" i="94"/>
  <c r="W13" i="94"/>
  <c r="Y13" i="94"/>
  <c r="AA13" i="94"/>
  <c r="AC13" i="94"/>
  <c r="Y15" i="94"/>
  <c r="AC15" i="94"/>
  <c r="U16" i="94"/>
  <c r="Y16" i="94"/>
  <c r="AC16" i="94"/>
  <c r="U17" i="94"/>
  <c r="AC17" i="94"/>
  <c r="Y18" i="94"/>
  <c r="AC18" i="94"/>
  <c r="U19" i="94"/>
  <c r="V14" i="94"/>
  <c r="X14" i="94"/>
  <c r="Z14" i="94"/>
  <c r="AB14" i="94"/>
  <c r="AD14" i="94"/>
  <c r="AA21" i="94"/>
  <c r="T13" i="105"/>
  <c r="AB13" i="105"/>
  <c r="T14" i="105"/>
  <c r="V14" i="105"/>
  <c r="X14" i="105"/>
  <c r="Z14" i="105"/>
  <c r="AB14" i="105"/>
  <c r="AD14" i="105"/>
  <c r="W15" i="105"/>
  <c r="Y39" i="105"/>
  <c r="T12" i="105"/>
  <c r="V12" i="105"/>
  <c r="Z12" i="105"/>
  <c r="AB12" i="105"/>
  <c r="AD12" i="105"/>
  <c r="V13" i="105"/>
  <c r="X13" i="105"/>
  <c r="Z13" i="105"/>
  <c r="AD13" i="105"/>
  <c r="V11" i="105"/>
  <c r="Z11" i="105"/>
  <c r="AD11" i="105"/>
  <c r="AC39" i="105"/>
  <c r="U12" i="105"/>
  <c r="W12" i="105"/>
  <c r="Y12" i="105"/>
  <c r="AA12" i="105"/>
  <c r="AC12" i="105"/>
  <c r="P16" i="105"/>
  <c r="U11" i="105"/>
  <c r="W11" i="105"/>
  <c r="Y11" i="105"/>
  <c r="AA11" i="105"/>
  <c r="AC11" i="105"/>
  <c r="O17" i="105"/>
  <c r="O18" i="105"/>
  <c r="O19" i="105"/>
  <c r="O20" i="105"/>
  <c r="P21" i="105"/>
  <c r="P22" i="105"/>
  <c r="U13" i="105"/>
  <c r="W13" i="105"/>
  <c r="Y13" i="105"/>
  <c r="AA13" i="105"/>
  <c r="AC13" i="105"/>
  <c r="S14" i="105"/>
  <c r="U14" i="105"/>
  <c r="W14" i="105"/>
  <c r="Y14" i="105"/>
  <c r="AA14" i="105"/>
  <c r="AC14" i="105"/>
  <c r="S15" i="105"/>
  <c r="AA15" i="105"/>
  <c r="U15" i="105"/>
  <c r="Y15" i="105"/>
  <c r="AC15" i="105"/>
  <c r="P12" i="105"/>
  <c r="S12" i="105"/>
  <c r="P13" i="105"/>
  <c r="S13" i="105"/>
  <c r="P14" i="105"/>
  <c r="P15" i="105"/>
  <c r="P32" i="105"/>
  <c r="P34" i="105"/>
  <c r="P35" i="105"/>
  <c r="P36" i="105"/>
  <c r="P37" i="105"/>
  <c r="P38" i="105"/>
  <c r="P39" i="105"/>
  <c r="P40" i="105"/>
  <c r="P41" i="105"/>
  <c r="P42" i="105"/>
  <c r="P43" i="105"/>
  <c r="P44" i="105"/>
  <c r="P45" i="105"/>
  <c r="P46" i="105"/>
  <c r="P47" i="105"/>
  <c r="P48" i="105"/>
  <c r="P49" i="105"/>
  <c r="P50" i="105"/>
  <c r="P51" i="105"/>
  <c r="P52" i="105"/>
  <c r="P53" i="105"/>
  <c r="P54" i="105"/>
  <c r="P55" i="105"/>
  <c r="P56" i="105"/>
  <c r="P57" i="105"/>
  <c r="P58" i="105"/>
  <c r="P59" i="105"/>
  <c r="P60" i="105"/>
  <c r="P61" i="105"/>
  <c r="P63" i="105"/>
  <c r="P64" i="105"/>
  <c r="P65" i="105"/>
  <c r="P67" i="105"/>
  <c r="P68" i="105"/>
  <c r="P69" i="105"/>
  <c r="P71" i="105"/>
  <c r="P72" i="105"/>
  <c r="P73" i="105"/>
  <c r="P75" i="105"/>
  <c r="P76" i="105"/>
  <c r="P77" i="105"/>
  <c r="P79" i="105"/>
  <c r="P80" i="105"/>
  <c r="P81" i="105"/>
  <c r="P83" i="105"/>
  <c r="P84" i="105"/>
  <c r="P85" i="105"/>
  <c r="P87" i="105"/>
  <c r="P88" i="105"/>
  <c r="P89" i="105"/>
  <c r="P91" i="105"/>
  <c r="P92" i="105"/>
  <c r="P93" i="105"/>
  <c r="P95" i="105"/>
  <c r="P96" i="105"/>
  <c r="P97" i="105"/>
  <c r="P98" i="105"/>
  <c r="P99" i="105"/>
  <c r="P100" i="105"/>
  <c r="P101" i="105"/>
  <c r="P103" i="105"/>
  <c r="P104" i="105"/>
  <c r="P105" i="105"/>
  <c r="P62" i="105"/>
  <c r="S23" i="105"/>
  <c r="P66" i="105"/>
  <c r="S24" i="105"/>
  <c r="P70" i="105"/>
  <c r="S25" i="105"/>
  <c r="P74" i="105"/>
  <c r="S26" i="105"/>
  <c r="P78" i="105"/>
  <c r="S27" i="105"/>
  <c r="P82" i="105"/>
  <c r="S28" i="105"/>
  <c r="P86" i="105"/>
  <c r="S29" i="105"/>
  <c r="P90" i="105"/>
  <c r="S30" i="105"/>
  <c r="I106" i="105"/>
  <c r="K106" i="105"/>
  <c r="M106" i="105"/>
  <c r="P11" i="105"/>
  <c r="P23" i="105"/>
  <c r="P24" i="105"/>
  <c r="P25" i="105"/>
  <c r="P26" i="105"/>
  <c r="P27" i="105"/>
  <c r="P28" i="105"/>
  <c r="P29" i="105"/>
  <c r="P30" i="105"/>
  <c r="T15" i="105"/>
  <c r="V15" i="105"/>
  <c r="X15" i="105"/>
  <c r="Z15" i="105"/>
  <c r="AB15" i="105"/>
  <c r="AD15" i="105"/>
  <c r="S11" i="105"/>
  <c r="P94" i="105"/>
  <c r="S31" i="105"/>
  <c r="P102" i="105"/>
  <c r="S33" i="105"/>
  <c r="H106" i="105"/>
  <c r="J106" i="105"/>
  <c r="L106" i="105"/>
  <c r="N106" i="105"/>
  <c r="P17" i="105"/>
  <c r="P18" i="105"/>
  <c r="P19" i="105"/>
  <c r="P20" i="105"/>
  <c r="S32" i="105"/>
  <c r="P31" i="105"/>
  <c r="P33" i="105"/>
  <c r="D106" i="105"/>
  <c r="T10" i="105"/>
  <c r="F106" i="105"/>
  <c r="V10" i="105"/>
  <c r="C106" i="105"/>
  <c r="P10" i="105"/>
  <c r="S10" i="105"/>
  <c r="O10" i="105"/>
  <c r="E106" i="105"/>
  <c r="U10" i="105"/>
  <c r="G106" i="105"/>
  <c r="W10" i="105"/>
  <c r="Y10" i="105"/>
  <c r="AA10" i="105"/>
  <c r="AC10" i="105"/>
  <c r="O11" i="105"/>
  <c r="O12" i="105"/>
  <c r="O13" i="105"/>
  <c r="O14" i="105"/>
  <c r="O15" i="105"/>
  <c r="O16" i="105"/>
  <c r="O21" i="105"/>
  <c r="O22" i="105"/>
  <c r="O23" i="105"/>
  <c r="O24" i="105"/>
  <c r="O25" i="105"/>
  <c r="O26" i="105"/>
  <c r="O27" i="105"/>
  <c r="O28" i="105"/>
  <c r="O29" i="105"/>
  <c r="O30" i="105"/>
  <c r="O31" i="105"/>
  <c r="O32" i="105"/>
  <c r="O33" i="105"/>
  <c r="O34" i="105"/>
  <c r="O35" i="105"/>
  <c r="O36" i="105"/>
  <c r="W36" i="105"/>
  <c r="Y36" i="105"/>
  <c r="AA36" i="105"/>
  <c r="AC36" i="105"/>
  <c r="O37" i="105"/>
  <c r="O38" i="105"/>
  <c r="O39" i="105"/>
  <c r="O40" i="105"/>
  <c r="O41" i="105"/>
  <c r="O42" i="105"/>
  <c r="O43" i="105"/>
  <c r="O44" i="105"/>
  <c r="O45" i="105"/>
  <c r="O46" i="105"/>
  <c r="O47" i="105"/>
  <c r="O48" i="105"/>
  <c r="O49" i="105"/>
  <c r="O50" i="105"/>
  <c r="O51" i="105"/>
  <c r="O52" i="105"/>
  <c r="O53" i="105"/>
  <c r="O54" i="105"/>
  <c r="O55" i="105"/>
  <c r="O56" i="105"/>
  <c r="O57" i="105"/>
  <c r="O58" i="105"/>
  <c r="O59" i="105"/>
  <c r="O60" i="105"/>
  <c r="O61" i="105"/>
  <c r="O62" i="105"/>
  <c r="O63" i="105"/>
  <c r="O64" i="105"/>
  <c r="O65" i="105"/>
  <c r="O66" i="105"/>
  <c r="O67" i="105"/>
  <c r="O68" i="105"/>
  <c r="O69" i="105"/>
  <c r="O70" i="105"/>
  <c r="O71" i="105"/>
  <c r="O72" i="105"/>
  <c r="O73" i="105"/>
  <c r="O74" i="105"/>
  <c r="O75" i="105"/>
  <c r="O76" i="105"/>
  <c r="O77" i="105"/>
  <c r="O78" i="105"/>
  <c r="O79" i="105"/>
  <c r="O80" i="105"/>
  <c r="O81" i="105"/>
  <c r="O82" i="105"/>
  <c r="O83" i="105"/>
  <c r="O84" i="105"/>
  <c r="X10" i="105"/>
  <c r="Z10" i="105"/>
  <c r="AB10" i="105"/>
  <c r="AD10" i="105"/>
  <c r="T36" i="105"/>
  <c r="V36" i="105"/>
  <c r="X36" i="105"/>
  <c r="Z36" i="105"/>
  <c r="AD36" i="105"/>
  <c r="O85" i="105"/>
  <c r="O86" i="105"/>
  <c r="O87" i="105"/>
  <c r="O88" i="105"/>
  <c r="O89" i="105"/>
  <c r="O90" i="105"/>
  <c r="O91" i="105"/>
  <c r="O92" i="105"/>
  <c r="O93" i="105"/>
  <c r="O94" i="105"/>
  <c r="O95" i="105"/>
  <c r="O96" i="105"/>
  <c r="O97" i="105"/>
  <c r="O98" i="105"/>
  <c r="O99" i="105"/>
  <c r="O100" i="105"/>
  <c r="O101" i="105"/>
  <c r="O102" i="105"/>
  <c r="O103" i="105"/>
  <c r="O104" i="105"/>
  <c r="O105" i="105"/>
  <c r="D106" i="101"/>
  <c r="F106" i="101"/>
  <c r="H106" i="101"/>
  <c r="J106" i="101"/>
  <c r="L106" i="101"/>
  <c r="N106" i="101"/>
  <c r="M106" i="101"/>
  <c r="K106" i="101"/>
  <c r="I106" i="101"/>
  <c r="G106" i="101"/>
  <c r="E106" i="101"/>
  <c r="C106" i="101"/>
  <c r="U17" i="96"/>
  <c r="V18" i="98"/>
  <c r="AC16" i="96"/>
  <c r="U18" i="94"/>
  <c r="AC16" i="95"/>
  <c r="AB18" i="97"/>
  <c r="AB26" i="97" s="1"/>
  <c r="AC20" i="99"/>
  <c r="AC24" i="99" s="1"/>
  <c r="AD20" i="98"/>
  <c r="AD27" i="98" s="1"/>
  <c r="U14" i="95"/>
  <c r="U26" i="95" s="1"/>
  <c r="T39" i="101"/>
  <c r="AC18" i="95"/>
  <c r="W16" i="99"/>
  <c r="Y20" i="99"/>
  <c r="Y27" i="99" s="1"/>
  <c r="AC16" i="98"/>
  <c r="AC23" i="98" s="1"/>
  <c r="AD13" i="98"/>
  <c r="U14" i="96"/>
  <c r="AC32" i="101"/>
  <c r="AA32" i="101"/>
  <c r="Y32" i="101"/>
  <c r="W32" i="101"/>
  <c r="U32" i="101"/>
  <c r="AC30" i="101"/>
  <c r="AA30" i="101"/>
  <c r="Y30" i="101"/>
  <c r="W30" i="101"/>
  <c r="U30" i="101"/>
  <c r="AC28" i="101"/>
  <c r="AA28" i="101"/>
  <c r="Y28" i="101"/>
  <c r="W28" i="101"/>
  <c r="U28" i="101"/>
  <c r="AC26" i="101"/>
  <c r="AA26" i="101"/>
  <c r="Y26" i="101"/>
  <c r="W26" i="101"/>
  <c r="U26" i="101"/>
  <c r="AC24" i="101"/>
  <c r="AA24" i="101"/>
  <c r="Y24" i="101"/>
  <c r="W24" i="101"/>
  <c r="U24" i="101"/>
  <c r="AC22" i="101"/>
  <c r="AA22" i="101"/>
  <c r="Y22" i="101"/>
  <c r="W22" i="101"/>
  <c r="U22" i="101"/>
  <c r="AD33" i="101"/>
  <c r="AB33" i="101"/>
  <c r="Z33" i="101"/>
  <c r="X33" i="101"/>
  <c r="V33" i="101"/>
  <c r="T33" i="101"/>
  <c r="AD31" i="101"/>
  <c r="AB31" i="101"/>
  <c r="Z31" i="101"/>
  <c r="X31" i="101"/>
  <c r="V31" i="101"/>
  <c r="T31" i="101"/>
  <c r="AD29" i="101"/>
  <c r="AB29" i="101"/>
  <c r="Z29" i="101"/>
  <c r="X29" i="101"/>
  <c r="V29" i="101"/>
  <c r="T29" i="101"/>
  <c r="AD27" i="101"/>
  <c r="AB27" i="101"/>
  <c r="Z27" i="101"/>
  <c r="X27" i="101"/>
  <c r="V27" i="101"/>
  <c r="T27" i="101"/>
  <c r="AD25" i="101"/>
  <c r="AB25" i="101"/>
  <c r="Z25" i="101"/>
  <c r="X25" i="101"/>
  <c r="V25" i="101"/>
  <c r="T25" i="101"/>
  <c r="AD23" i="101"/>
  <c r="AC33" i="101"/>
  <c r="AA33" i="101"/>
  <c r="Y33" i="101"/>
  <c r="W33" i="101"/>
  <c r="U33" i="101"/>
  <c r="AC31" i="101"/>
  <c r="AA31" i="101"/>
  <c r="Y31" i="101"/>
  <c r="W31" i="101"/>
  <c r="U31" i="101"/>
  <c r="AC29" i="101"/>
  <c r="AA29" i="101"/>
  <c r="Y29" i="101"/>
  <c r="W29" i="101"/>
  <c r="U29" i="101"/>
  <c r="AC27" i="101"/>
  <c r="AA27" i="101"/>
  <c r="Y27" i="101"/>
  <c r="W27" i="101"/>
  <c r="U27" i="101"/>
  <c r="AC25" i="101"/>
  <c r="AA25" i="101"/>
  <c r="Y25" i="101"/>
  <c r="W25" i="101"/>
  <c r="U25" i="101"/>
  <c r="AC23" i="101"/>
  <c r="AA23" i="101"/>
  <c r="Y23" i="101"/>
  <c r="W23" i="101"/>
  <c r="U23" i="101"/>
  <c r="AD32" i="101"/>
  <c r="AB32" i="101"/>
  <c r="Z32" i="101"/>
  <c r="X32" i="101"/>
  <c r="V32" i="101"/>
  <c r="T32" i="101"/>
  <c r="AD30" i="101"/>
  <c r="AB30" i="101"/>
  <c r="Z30" i="101"/>
  <c r="X30" i="101"/>
  <c r="V30" i="101"/>
  <c r="T30" i="101"/>
  <c r="AD28" i="101"/>
  <c r="AB28" i="101"/>
  <c r="Z28" i="101"/>
  <c r="X28" i="101"/>
  <c r="V28" i="101"/>
  <c r="T28" i="101"/>
  <c r="AD26" i="101"/>
  <c r="AB26" i="101"/>
  <c r="Z26" i="101"/>
  <c r="X26" i="101"/>
  <c r="V26" i="101"/>
  <c r="T26" i="101"/>
  <c r="AD24" i="101"/>
  <c r="AB24" i="101"/>
  <c r="Z24" i="101"/>
  <c r="X24" i="101"/>
  <c r="V24" i="101"/>
  <c r="T24" i="101"/>
  <c r="AB23" i="101"/>
  <c r="Z23" i="101"/>
  <c r="X23" i="101"/>
  <c r="V23" i="101"/>
  <c r="T23" i="101"/>
  <c r="AD22" i="101"/>
  <c r="AB22" i="101"/>
  <c r="Z22" i="101"/>
  <c r="X22" i="101"/>
  <c r="V22" i="101"/>
  <c r="T22" i="101"/>
  <c r="S33" i="101"/>
  <c r="S32" i="101"/>
  <c r="S31" i="101"/>
  <c r="S30" i="101"/>
  <c r="S29" i="101"/>
  <c r="S28" i="101"/>
  <c r="S27" i="101"/>
  <c r="S26" i="101"/>
  <c r="S25" i="101"/>
  <c r="S24" i="101"/>
  <c r="AB17" i="95"/>
  <c r="S22" i="101"/>
  <c r="S23" i="101"/>
  <c r="Z19" i="95"/>
  <c r="Z27" i="95" s="1"/>
  <c r="V14" i="98"/>
  <c r="AA16" i="100"/>
  <c r="AA26" i="100" s="1"/>
  <c r="Z13" i="95"/>
  <c r="V14" i="99"/>
  <c r="V26" i="99" s="1"/>
  <c r="T21" i="98"/>
  <c r="T27" i="98" s="1"/>
  <c r="AB14" i="95"/>
  <c r="U15" i="101"/>
  <c r="P105" i="101"/>
  <c r="Y17" i="94"/>
  <c r="P77" i="101"/>
  <c r="P22" i="104"/>
  <c r="P23" i="104"/>
  <c r="P24" i="104"/>
  <c r="O30" i="104"/>
  <c r="O34" i="104"/>
  <c r="O38" i="104"/>
  <c r="O42" i="104"/>
  <c r="O46" i="104"/>
  <c r="O50" i="104"/>
  <c r="O54" i="104"/>
  <c r="P69" i="101"/>
  <c r="P91" i="101"/>
  <c r="U15" i="94"/>
  <c r="W17" i="96"/>
  <c r="Z19" i="98"/>
  <c r="AC24" i="103"/>
  <c r="P81" i="101"/>
  <c r="P63" i="101"/>
  <c r="P97" i="101"/>
  <c r="P73" i="101"/>
  <c r="Y19" i="94"/>
  <c r="P95" i="101"/>
  <c r="P79" i="101"/>
  <c r="P71" i="101"/>
  <c r="P59" i="101"/>
  <c r="P101" i="101"/>
  <c r="P88" i="101"/>
  <c r="P83" i="101"/>
  <c r="P75" i="101"/>
  <c r="P67" i="101"/>
  <c r="Y14" i="100"/>
  <c r="P99" i="101"/>
  <c r="P93" i="101"/>
  <c r="P85" i="101"/>
  <c r="P65" i="101"/>
  <c r="P103" i="101"/>
  <c r="P61" i="101"/>
  <c r="O104" i="101"/>
  <c r="O102" i="101"/>
  <c r="O100" i="101"/>
  <c r="O98" i="101"/>
  <c r="O96" i="101"/>
  <c r="O94" i="101"/>
  <c r="O92" i="101"/>
  <c r="O89" i="101"/>
  <c r="O86" i="101"/>
  <c r="O84" i="101"/>
  <c r="O82" i="101"/>
  <c r="O80" i="101"/>
  <c r="O78" i="101"/>
  <c r="O76" i="101"/>
  <c r="O74" i="101"/>
  <c r="O72" i="101"/>
  <c r="O70" i="101"/>
  <c r="O68" i="101"/>
  <c r="O66" i="101"/>
  <c r="O64" i="101"/>
  <c r="O62" i="101"/>
  <c r="O60" i="101"/>
  <c r="O58" i="101"/>
  <c r="O105" i="101"/>
  <c r="P104" i="101"/>
  <c r="O103" i="101"/>
  <c r="P102" i="101"/>
  <c r="AF33" i="101" s="1"/>
  <c r="O101" i="101"/>
  <c r="P100" i="101"/>
  <c r="O99" i="101"/>
  <c r="P98" i="101"/>
  <c r="AF32" i="101" s="1"/>
  <c r="O97" i="101"/>
  <c r="P96" i="101"/>
  <c r="O95" i="101"/>
  <c r="P94" i="101"/>
  <c r="O93" i="101"/>
  <c r="P92" i="101"/>
  <c r="O91" i="101"/>
  <c r="P90" i="101"/>
  <c r="O90" i="101"/>
  <c r="P89" i="101"/>
  <c r="O88" i="101"/>
  <c r="P87" i="101"/>
  <c r="O87" i="101"/>
  <c r="P86" i="101"/>
  <c r="O85" i="101"/>
  <c r="P84" i="101"/>
  <c r="O83" i="101"/>
  <c r="P82" i="101"/>
  <c r="O81" i="101"/>
  <c r="P80" i="101"/>
  <c r="O79" i="101"/>
  <c r="P78" i="101"/>
  <c r="O77" i="101"/>
  <c r="P76" i="101"/>
  <c r="O75" i="101"/>
  <c r="P74" i="101"/>
  <c r="O73" i="101"/>
  <c r="P72" i="101"/>
  <c r="O71" i="101"/>
  <c r="P70" i="101"/>
  <c r="O69" i="101"/>
  <c r="P68" i="101"/>
  <c r="O67" i="101"/>
  <c r="P66" i="101"/>
  <c r="O65" i="101"/>
  <c r="P64" i="101"/>
  <c r="O63" i="101"/>
  <c r="P62" i="101"/>
  <c r="O61" i="101"/>
  <c r="P60" i="101"/>
  <c r="O59" i="101"/>
  <c r="P58" i="101"/>
  <c r="Y18" i="96"/>
  <c r="AC14" i="94"/>
  <c r="Y13" i="100"/>
  <c r="Y15" i="97"/>
  <c r="Y23" i="97" s="1"/>
  <c r="Y16" i="95"/>
  <c r="AA18" i="96"/>
  <c r="AA23" i="96" s="1"/>
  <c r="W20" i="98"/>
  <c r="W24" i="98" s="1"/>
  <c r="AD16" i="96"/>
  <c r="AD23" i="96" s="1"/>
  <c r="Z18" i="95"/>
  <c r="Y14" i="94"/>
  <c r="Y21" i="96"/>
  <c r="Y24" i="96" s="1"/>
  <c r="Y15" i="101"/>
  <c r="AA17" i="94"/>
  <c r="V21" i="95"/>
  <c r="X13" i="95"/>
  <c r="X23" i="95" s="1"/>
  <c r="W16" i="94"/>
  <c r="AC20" i="94"/>
  <c r="V15" i="95"/>
  <c r="V26" i="95" s="1"/>
  <c r="U14" i="94"/>
  <c r="P17" i="104"/>
  <c r="S17" i="104"/>
  <c r="V11" i="103"/>
  <c r="AD12" i="101"/>
  <c r="AD11" i="103"/>
  <c r="T11" i="104"/>
  <c r="X11" i="104"/>
  <c r="AB11" i="104"/>
  <c r="U12" i="101"/>
  <c r="W12" i="101"/>
  <c r="Y12" i="101"/>
  <c r="AA12" i="101"/>
  <c r="AC12" i="101"/>
  <c r="V26" i="103"/>
  <c r="AD26" i="103"/>
  <c r="T10" i="104"/>
  <c r="F58" i="104"/>
  <c r="X10" i="104"/>
  <c r="J58" i="104"/>
  <c r="AB10" i="104"/>
  <c r="N58" i="104"/>
  <c r="P14" i="104"/>
  <c r="U11" i="104"/>
  <c r="W11" i="104"/>
  <c r="Y11" i="104"/>
  <c r="AA11" i="104"/>
  <c r="AC11" i="104"/>
  <c r="P18" i="104"/>
  <c r="U12" i="104"/>
  <c r="W12" i="104"/>
  <c r="Y12" i="104"/>
  <c r="AA12" i="104"/>
  <c r="AC12" i="104"/>
  <c r="T12" i="104"/>
  <c r="X12" i="104"/>
  <c r="AB12" i="104"/>
  <c r="P21" i="104"/>
  <c r="S21" i="104"/>
  <c r="V11" i="101"/>
  <c r="T11" i="103"/>
  <c r="X11" i="103"/>
  <c r="Z11" i="103"/>
  <c r="AB11" i="103"/>
  <c r="S13" i="104"/>
  <c r="S15" i="104"/>
  <c r="S19" i="104"/>
  <c r="AC36" i="101"/>
  <c r="Y24" i="103"/>
  <c r="AC27" i="103"/>
  <c r="T14" i="103"/>
  <c r="X14" i="103"/>
  <c r="AB14" i="103"/>
  <c r="W15" i="104"/>
  <c r="W17" i="104"/>
  <c r="W19" i="104"/>
  <c r="W21" i="104"/>
  <c r="W18" i="94"/>
  <c r="D58" i="103"/>
  <c r="F58" i="103"/>
  <c r="H58" i="103"/>
  <c r="J58" i="103"/>
  <c r="L58" i="103"/>
  <c r="N58" i="103"/>
  <c r="Z26" i="103"/>
  <c r="U11" i="103"/>
  <c r="W11" i="103"/>
  <c r="Y11" i="103"/>
  <c r="AA11" i="103"/>
  <c r="AC11" i="103"/>
  <c r="T13" i="103"/>
  <c r="T26" i="103" s="1"/>
  <c r="X13" i="103"/>
  <c r="X23" i="103" s="1"/>
  <c r="AB13" i="103"/>
  <c r="AB26" i="103" s="1"/>
  <c r="P25" i="103"/>
  <c r="P26" i="103"/>
  <c r="P27" i="103"/>
  <c r="U27" i="103"/>
  <c r="P11" i="104"/>
  <c r="W10" i="104"/>
  <c r="S11" i="104"/>
  <c r="P12" i="104"/>
  <c r="S12" i="104"/>
  <c r="P13" i="104"/>
  <c r="P15" i="104"/>
  <c r="P16" i="104"/>
  <c r="P19" i="104"/>
  <c r="P20" i="104"/>
  <c r="X26" i="103"/>
  <c r="AA26" i="104"/>
  <c r="P34" i="104"/>
  <c r="P42" i="104"/>
  <c r="P50" i="104"/>
  <c r="V11" i="99"/>
  <c r="T12" i="99"/>
  <c r="V12" i="99"/>
  <c r="X12" i="99"/>
  <c r="Z12" i="99"/>
  <c r="AB12" i="99"/>
  <c r="AD12" i="99"/>
  <c r="T12" i="101"/>
  <c r="V12" i="101"/>
  <c r="X12" i="101"/>
  <c r="Z12" i="101"/>
  <c r="AB12" i="101"/>
  <c r="E58" i="103"/>
  <c r="G58" i="103"/>
  <c r="I58" i="103"/>
  <c r="K58" i="103"/>
  <c r="M58" i="103"/>
  <c r="P11" i="103"/>
  <c r="P12" i="103"/>
  <c r="P13" i="103"/>
  <c r="P14" i="103"/>
  <c r="P15" i="103"/>
  <c r="P16" i="103"/>
  <c r="P17" i="103"/>
  <c r="P18" i="103"/>
  <c r="P19" i="103"/>
  <c r="P20" i="103"/>
  <c r="P21" i="103"/>
  <c r="P22" i="103"/>
  <c r="U13" i="103"/>
  <c r="W13" i="103"/>
  <c r="Y13" i="103"/>
  <c r="AA13" i="103"/>
  <c r="AC13" i="103"/>
  <c r="P23" i="103"/>
  <c r="P24" i="103"/>
  <c r="P28" i="103"/>
  <c r="P29" i="103"/>
  <c r="P30" i="103"/>
  <c r="P31" i="103"/>
  <c r="U15" i="103"/>
  <c r="W15" i="103"/>
  <c r="Y15" i="103"/>
  <c r="AA15" i="103"/>
  <c r="AC15" i="103"/>
  <c r="P32" i="103"/>
  <c r="P33" i="103"/>
  <c r="P34" i="103"/>
  <c r="P35" i="103"/>
  <c r="U16" i="103"/>
  <c r="W16" i="103"/>
  <c r="Y16" i="103"/>
  <c r="AA16" i="103"/>
  <c r="S10" i="104"/>
  <c r="S16" i="104"/>
  <c r="S18" i="104"/>
  <c r="S20" i="104"/>
  <c r="U15" i="104"/>
  <c r="Y15" i="104"/>
  <c r="AC15" i="104"/>
  <c r="P30" i="104"/>
  <c r="U17" i="104"/>
  <c r="Y17" i="104"/>
  <c r="AC17" i="104"/>
  <c r="P38" i="104"/>
  <c r="U19" i="104"/>
  <c r="Y19" i="104"/>
  <c r="AC19" i="104"/>
  <c r="P46" i="104"/>
  <c r="U21" i="104"/>
  <c r="Y21" i="104"/>
  <c r="AC21" i="104"/>
  <c r="P54" i="104"/>
  <c r="AC16" i="103"/>
  <c r="P36" i="103"/>
  <c r="P37" i="103"/>
  <c r="P39" i="103"/>
  <c r="P40" i="103"/>
  <c r="P41" i="103"/>
  <c r="P42" i="103"/>
  <c r="P43" i="103"/>
  <c r="P44" i="103"/>
  <c r="P45" i="103"/>
  <c r="P46" i="103"/>
  <c r="P47" i="103"/>
  <c r="P48" i="103"/>
  <c r="P49" i="103"/>
  <c r="P50" i="103"/>
  <c r="P51" i="103"/>
  <c r="P52" i="103"/>
  <c r="P53" i="103"/>
  <c r="P54" i="103"/>
  <c r="P55" i="103"/>
  <c r="P56" i="103"/>
  <c r="P57" i="103"/>
  <c r="E58" i="104"/>
  <c r="G58" i="104"/>
  <c r="I58" i="104"/>
  <c r="K58" i="104"/>
  <c r="M58" i="104"/>
  <c r="AA10" i="104"/>
  <c r="V13" i="104"/>
  <c r="X13" i="104"/>
  <c r="Z13" i="104"/>
  <c r="AB13" i="104"/>
  <c r="AD13" i="104"/>
  <c r="P27" i="104"/>
  <c r="P28" i="104"/>
  <c r="P29" i="104"/>
  <c r="O32" i="104"/>
  <c r="P32" i="104"/>
  <c r="P33" i="104"/>
  <c r="O36" i="104"/>
  <c r="P36" i="104"/>
  <c r="P37" i="104"/>
  <c r="O40" i="104"/>
  <c r="P40" i="104"/>
  <c r="P41" i="104"/>
  <c r="O44" i="104"/>
  <c r="P44" i="104"/>
  <c r="P45" i="104"/>
  <c r="O48" i="104"/>
  <c r="P48" i="104"/>
  <c r="P49" i="104"/>
  <c r="O52" i="104"/>
  <c r="P52" i="104"/>
  <c r="P53" i="104"/>
  <c r="O56" i="104"/>
  <c r="P56" i="104"/>
  <c r="P57" i="104"/>
  <c r="P10" i="103"/>
  <c r="C58" i="103"/>
  <c r="O10" i="103"/>
  <c r="U10" i="103"/>
  <c r="Y10" i="103"/>
  <c r="AC10" i="103"/>
  <c r="O11" i="103"/>
  <c r="O12" i="103"/>
  <c r="O13" i="103"/>
  <c r="O14" i="103"/>
  <c r="O15" i="103"/>
  <c r="O16" i="103"/>
  <c r="O17" i="103"/>
  <c r="O18" i="103"/>
  <c r="O19" i="103"/>
  <c r="O20" i="103"/>
  <c r="O21" i="103"/>
  <c r="O22" i="103"/>
  <c r="O23" i="103"/>
  <c r="O24" i="103"/>
  <c r="O25" i="103"/>
  <c r="O26" i="103"/>
  <c r="O27" i="103"/>
  <c r="O28" i="103"/>
  <c r="O29" i="103"/>
  <c r="O31" i="103"/>
  <c r="O33" i="103"/>
  <c r="O35" i="103"/>
  <c r="O37" i="103"/>
  <c r="T11" i="101"/>
  <c r="X11" i="101"/>
  <c r="Z11" i="101"/>
  <c r="AB11" i="101"/>
  <c r="AD11" i="101"/>
  <c r="Y39" i="101"/>
  <c r="Y36" i="101"/>
  <c r="S10" i="103"/>
  <c r="W10" i="103"/>
  <c r="AA10" i="103"/>
  <c r="S11" i="103"/>
  <c r="S12" i="103"/>
  <c r="S13" i="103"/>
  <c r="S14" i="103"/>
  <c r="S15" i="103"/>
  <c r="S16" i="103"/>
  <c r="S24" i="103"/>
  <c r="W24" i="103"/>
  <c r="AA24" i="103"/>
  <c r="O30" i="103"/>
  <c r="O32" i="103"/>
  <c r="O34" i="103"/>
  <c r="O36" i="103"/>
  <c r="P38" i="103"/>
  <c r="O38" i="103"/>
  <c r="O39" i="103"/>
  <c r="O40" i="103"/>
  <c r="O41" i="103"/>
  <c r="O42" i="103"/>
  <c r="O43" i="103"/>
  <c r="O44" i="103"/>
  <c r="O45" i="103"/>
  <c r="O46" i="103"/>
  <c r="O47" i="103"/>
  <c r="O48" i="103"/>
  <c r="O49" i="103"/>
  <c r="O50" i="103"/>
  <c r="O51" i="103"/>
  <c r="O52" i="103"/>
  <c r="O53" i="103"/>
  <c r="O54" i="103"/>
  <c r="O55" i="103"/>
  <c r="O56" i="103"/>
  <c r="O57" i="103"/>
  <c r="AA27" i="104"/>
  <c r="AA24" i="104"/>
  <c r="AA23" i="104"/>
  <c r="P25" i="104"/>
  <c r="T13" i="104"/>
  <c r="P26" i="104"/>
  <c r="T14" i="104"/>
  <c r="H58" i="104"/>
  <c r="Z13" i="101"/>
  <c r="T10" i="103"/>
  <c r="V10" i="103"/>
  <c r="X10" i="103"/>
  <c r="Z10" i="103"/>
  <c r="AB10" i="103"/>
  <c r="AD10" i="103"/>
  <c r="V23" i="103"/>
  <c r="Z23" i="103"/>
  <c r="AD23" i="103"/>
  <c r="T24" i="103"/>
  <c r="V24" i="103"/>
  <c r="X24" i="103"/>
  <c r="Z24" i="103"/>
  <c r="AB24" i="103"/>
  <c r="AD24" i="103"/>
  <c r="C58" i="104"/>
  <c r="P10" i="104"/>
  <c r="O10" i="104"/>
  <c r="U10" i="104"/>
  <c r="Y10" i="104"/>
  <c r="AC10" i="104"/>
  <c r="O11" i="104"/>
  <c r="O12" i="104"/>
  <c r="O13" i="104"/>
  <c r="O14" i="104"/>
  <c r="O15" i="104"/>
  <c r="O16" i="104"/>
  <c r="O17" i="104"/>
  <c r="O18" i="104"/>
  <c r="O19" i="104"/>
  <c r="O20" i="104"/>
  <c r="O21" i="104"/>
  <c r="O22" i="104"/>
  <c r="O23" i="104"/>
  <c r="O24" i="104"/>
  <c r="P31" i="104"/>
  <c r="T15" i="104"/>
  <c r="V15" i="104"/>
  <c r="X15" i="104"/>
  <c r="Z15" i="104"/>
  <c r="AB15" i="104"/>
  <c r="AD15" i="104"/>
  <c r="P35" i="104"/>
  <c r="T16" i="104"/>
  <c r="V16" i="104"/>
  <c r="X16" i="104"/>
  <c r="Z16" i="104"/>
  <c r="AB16" i="104"/>
  <c r="AD16" i="104"/>
  <c r="P39" i="104"/>
  <c r="T17" i="104"/>
  <c r="V17" i="104"/>
  <c r="X17" i="104"/>
  <c r="Z17" i="104"/>
  <c r="AB17" i="104"/>
  <c r="AD17" i="104"/>
  <c r="P43" i="104"/>
  <c r="T18" i="104"/>
  <c r="V18" i="104"/>
  <c r="X18" i="104"/>
  <c r="Z18" i="104"/>
  <c r="AB18" i="104"/>
  <c r="AD18" i="104"/>
  <c r="P47" i="104"/>
  <c r="T19" i="104"/>
  <c r="V19" i="104"/>
  <c r="X19" i="104"/>
  <c r="Z19" i="104"/>
  <c r="AB19" i="104"/>
  <c r="AD19" i="104"/>
  <c r="P51" i="104"/>
  <c r="T20" i="104"/>
  <c r="V20" i="104"/>
  <c r="X20" i="104"/>
  <c r="Z20" i="104"/>
  <c r="AB20" i="104"/>
  <c r="AD20" i="104"/>
  <c r="P55" i="104"/>
  <c r="T21" i="104"/>
  <c r="V21" i="104"/>
  <c r="X21" i="104"/>
  <c r="Z21" i="104"/>
  <c r="AB21" i="104"/>
  <c r="AD21" i="104"/>
  <c r="D58" i="104"/>
  <c r="L58" i="104"/>
  <c r="V10" i="104"/>
  <c r="Z10" i="104"/>
  <c r="AD10" i="104"/>
  <c r="O25" i="104"/>
  <c r="O26" i="104"/>
  <c r="O27" i="104"/>
  <c r="O28" i="104"/>
  <c r="O29" i="104"/>
  <c r="O31" i="104"/>
  <c r="O33" i="104"/>
  <c r="O35" i="104"/>
  <c r="O37" i="104"/>
  <c r="O39" i="104"/>
  <c r="O41" i="104"/>
  <c r="O43" i="104"/>
  <c r="O45" i="104"/>
  <c r="O47" i="104"/>
  <c r="O49" i="104"/>
  <c r="O51" i="104"/>
  <c r="O53" i="104"/>
  <c r="O55" i="104"/>
  <c r="O57" i="104"/>
  <c r="AB12" i="98"/>
  <c r="U36" i="101"/>
  <c r="U39" i="101"/>
  <c r="AC39" i="101"/>
  <c r="T14" i="101"/>
  <c r="X14" i="101"/>
  <c r="AB14" i="101"/>
  <c r="U11" i="101"/>
  <c r="W11" i="101"/>
  <c r="Y11" i="101"/>
  <c r="AA11" i="101"/>
  <c r="AC11" i="101"/>
  <c r="T13" i="101"/>
  <c r="X13" i="101"/>
  <c r="AB13" i="101"/>
  <c r="P25" i="101"/>
  <c r="P26" i="101"/>
  <c r="P27" i="101"/>
  <c r="AA12" i="97"/>
  <c r="T12" i="98"/>
  <c r="P21" i="100"/>
  <c r="P23" i="100"/>
  <c r="P24" i="100"/>
  <c r="O34" i="100"/>
  <c r="O42" i="100"/>
  <c r="O50" i="100"/>
  <c r="O54" i="100"/>
  <c r="P11" i="101"/>
  <c r="P12" i="101"/>
  <c r="P13" i="101"/>
  <c r="P14" i="101"/>
  <c r="P15" i="101"/>
  <c r="P16" i="101"/>
  <c r="P17" i="101"/>
  <c r="P18" i="101"/>
  <c r="P19" i="101"/>
  <c r="P20" i="101"/>
  <c r="P21" i="101"/>
  <c r="P22" i="101"/>
  <c r="U13" i="101"/>
  <c r="W13" i="101"/>
  <c r="W35" i="101" s="1"/>
  <c r="Y13" i="101"/>
  <c r="AA13" i="101"/>
  <c r="AA35" i="101" s="1"/>
  <c r="AC13" i="101"/>
  <c r="AC35" i="101" s="1"/>
  <c r="P23" i="101"/>
  <c r="P24" i="101"/>
  <c r="P28" i="101"/>
  <c r="P29" i="101"/>
  <c r="P31" i="101"/>
  <c r="P32" i="101"/>
  <c r="P33" i="101"/>
  <c r="P34" i="101"/>
  <c r="P35" i="101"/>
  <c r="P36" i="101"/>
  <c r="P37" i="101"/>
  <c r="P38" i="101"/>
  <c r="P39" i="101"/>
  <c r="P40" i="101"/>
  <c r="P41" i="101"/>
  <c r="P42" i="101"/>
  <c r="P43" i="101"/>
  <c r="P44" i="101"/>
  <c r="P45" i="101"/>
  <c r="P46" i="101"/>
  <c r="P47" i="101"/>
  <c r="P48" i="101"/>
  <c r="P49" i="101"/>
  <c r="P50" i="101"/>
  <c r="P51" i="101"/>
  <c r="P52" i="101"/>
  <c r="P53" i="101"/>
  <c r="P54" i="101"/>
  <c r="P55" i="101"/>
  <c r="P56" i="101"/>
  <c r="P57" i="101"/>
  <c r="AC11" i="95"/>
  <c r="O38" i="100"/>
  <c r="S17" i="100"/>
  <c r="P10" i="101"/>
  <c r="O10" i="101"/>
  <c r="U10" i="101"/>
  <c r="Y10" i="101"/>
  <c r="AC10" i="101"/>
  <c r="O11" i="101"/>
  <c r="O12" i="101"/>
  <c r="O13" i="101"/>
  <c r="O14" i="101"/>
  <c r="O15" i="101"/>
  <c r="O16" i="101"/>
  <c r="O17" i="101"/>
  <c r="O18" i="101"/>
  <c r="O19" i="101"/>
  <c r="O20" i="101"/>
  <c r="O21" i="101"/>
  <c r="O22" i="101"/>
  <c r="O23" i="101"/>
  <c r="O24" i="101"/>
  <c r="O25" i="101"/>
  <c r="O26" i="101"/>
  <c r="O27" i="101"/>
  <c r="O28" i="101"/>
  <c r="O29" i="101"/>
  <c r="U11" i="97"/>
  <c r="S10" i="101"/>
  <c r="W10" i="101"/>
  <c r="AA10" i="101"/>
  <c r="S11" i="101"/>
  <c r="S12" i="101"/>
  <c r="S13" i="101"/>
  <c r="S14" i="101"/>
  <c r="S36" i="101"/>
  <c r="W36" i="101"/>
  <c r="AA36" i="101"/>
  <c r="P30" i="101"/>
  <c r="O30" i="101"/>
  <c r="O31" i="101"/>
  <c r="O32" i="101"/>
  <c r="O33" i="101"/>
  <c r="O34" i="101"/>
  <c r="O35" i="101"/>
  <c r="O36" i="101"/>
  <c r="O37" i="101"/>
  <c r="O38" i="101"/>
  <c r="O39" i="101"/>
  <c r="O40" i="101"/>
  <c r="O41" i="101"/>
  <c r="O42" i="101"/>
  <c r="O43" i="101"/>
  <c r="O44" i="101"/>
  <c r="O45" i="101"/>
  <c r="O46" i="101"/>
  <c r="O47" i="101"/>
  <c r="O48" i="101"/>
  <c r="O49" i="101"/>
  <c r="O50" i="101"/>
  <c r="O51" i="101"/>
  <c r="O52" i="101"/>
  <c r="O53" i="101"/>
  <c r="O54" i="101"/>
  <c r="O55" i="101"/>
  <c r="O56" i="101"/>
  <c r="O57" i="101"/>
  <c r="U11" i="96"/>
  <c r="W11" i="96"/>
  <c r="Y11" i="96"/>
  <c r="AA11" i="96"/>
  <c r="AC11" i="96"/>
  <c r="Y11" i="97"/>
  <c r="T11" i="99"/>
  <c r="X11" i="99"/>
  <c r="Z11" i="99"/>
  <c r="AB11" i="99"/>
  <c r="AD11" i="99"/>
  <c r="U12" i="99"/>
  <c r="W12" i="99"/>
  <c r="Y12" i="99"/>
  <c r="AA12" i="99"/>
  <c r="AC12" i="99"/>
  <c r="P17" i="100"/>
  <c r="T10" i="101"/>
  <c r="V10" i="101"/>
  <c r="X10" i="101"/>
  <c r="Z10" i="101"/>
  <c r="AB10" i="101"/>
  <c r="AD10" i="101"/>
  <c r="AD35" i="101"/>
  <c r="T36" i="101"/>
  <c r="V36" i="101"/>
  <c r="X36" i="101"/>
  <c r="Z36" i="101"/>
  <c r="AB36" i="101"/>
  <c r="AD36" i="101"/>
  <c r="V27" i="96"/>
  <c r="S11" i="97"/>
  <c r="W11" i="97"/>
  <c r="AA11" i="97"/>
  <c r="S12" i="97"/>
  <c r="U12" i="97"/>
  <c r="W12" i="97"/>
  <c r="Y12" i="97"/>
  <c r="AC12" i="97"/>
  <c r="Z13" i="99"/>
  <c r="Z26" i="99" s="1"/>
  <c r="T10" i="100"/>
  <c r="T22" i="100" s="1"/>
  <c r="X10" i="100"/>
  <c r="AB10" i="100"/>
  <c r="AB22" i="100" s="1"/>
  <c r="V11" i="100"/>
  <c r="Z11" i="100"/>
  <c r="AD11" i="100"/>
  <c r="U12" i="100"/>
  <c r="W12" i="100"/>
  <c r="Y12" i="100"/>
  <c r="AA12" i="100"/>
  <c r="AC12" i="100"/>
  <c r="V12" i="100"/>
  <c r="Z12" i="100"/>
  <c r="AD12" i="100"/>
  <c r="P22" i="100"/>
  <c r="S13" i="100"/>
  <c r="O30" i="100"/>
  <c r="S15" i="100"/>
  <c r="W15" i="100"/>
  <c r="W17" i="100"/>
  <c r="O46" i="100"/>
  <c r="S19" i="100"/>
  <c r="W19" i="100"/>
  <c r="W21" i="100"/>
  <c r="U11" i="95"/>
  <c r="Y11" i="95"/>
  <c r="P13" i="96"/>
  <c r="P20" i="96"/>
  <c r="P22" i="96"/>
  <c r="P23" i="96"/>
  <c r="P24" i="96"/>
  <c r="O25" i="96"/>
  <c r="O26" i="96"/>
  <c r="O27" i="96"/>
  <c r="O28" i="96"/>
  <c r="O29" i="96"/>
  <c r="O31" i="96"/>
  <c r="O32" i="96"/>
  <c r="O33" i="96"/>
  <c r="O34" i="96"/>
  <c r="O35" i="96"/>
  <c r="O36" i="96"/>
  <c r="O37" i="96"/>
  <c r="O39" i="96"/>
  <c r="O40" i="96"/>
  <c r="O41" i="96"/>
  <c r="O43" i="96"/>
  <c r="O44" i="96"/>
  <c r="O45" i="96"/>
  <c r="O47" i="96"/>
  <c r="O48" i="96"/>
  <c r="O49" i="96"/>
  <c r="O50" i="96"/>
  <c r="O51" i="96"/>
  <c r="O52" i="96"/>
  <c r="O53" i="96"/>
  <c r="O55" i="96"/>
  <c r="O56" i="96"/>
  <c r="O57" i="96"/>
  <c r="C58" i="97"/>
  <c r="E58" i="97"/>
  <c r="G58" i="97"/>
  <c r="I58" i="97"/>
  <c r="K58" i="97"/>
  <c r="M58" i="97"/>
  <c r="O11" i="97"/>
  <c r="O12" i="97"/>
  <c r="O13" i="97"/>
  <c r="T11" i="97"/>
  <c r="V11" i="97"/>
  <c r="X11" i="97"/>
  <c r="Z11" i="97"/>
  <c r="AB11" i="97"/>
  <c r="AD11" i="97"/>
  <c r="O16" i="97"/>
  <c r="O17" i="97"/>
  <c r="X11" i="98"/>
  <c r="V12" i="98"/>
  <c r="X12" i="98"/>
  <c r="Z12" i="98"/>
  <c r="AD12" i="98"/>
  <c r="D58" i="99"/>
  <c r="F58" i="99"/>
  <c r="H58" i="99"/>
  <c r="J58" i="99"/>
  <c r="L58" i="99"/>
  <c r="N58" i="99"/>
  <c r="U24" i="99"/>
  <c r="U27" i="99"/>
  <c r="T14" i="99"/>
  <c r="X14" i="99"/>
  <c r="AB14" i="99"/>
  <c r="F58" i="100"/>
  <c r="J58" i="100"/>
  <c r="N58" i="100"/>
  <c r="P14" i="100"/>
  <c r="S11" i="100"/>
  <c r="U11" i="100"/>
  <c r="W11" i="100"/>
  <c r="Y11" i="100"/>
  <c r="AA11" i="100"/>
  <c r="AC11" i="100"/>
  <c r="P18" i="100"/>
  <c r="S12" i="100"/>
  <c r="S21" i="100"/>
  <c r="U11" i="99"/>
  <c r="W11" i="99"/>
  <c r="Y11" i="99"/>
  <c r="AA11" i="99"/>
  <c r="AC11" i="99"/>
  <c r="T13" i="99"/>
  <c r="X13" i="99"/>
  <c r="AB13" i="99"/>
  <c r="P25" i="99"/>
  <c r="P26" i="99"/>
  <c r="P27" i="99"/>
  <c r="P11" i="100"/>
  <c r="W10" i="100"/>
  <c r="P12" i="100"/>
  <c r="P13" i="100"/>
  <c r="P15" i="100"/>
  <c r="P16" i="100"/>
  <c r="P19" i="100"/>
  <c r="P20" i="100"/>
  <c r="P34" i="100"/>
  <c r="P42" i="100"/>
  <c r="P50" i="100"/>
  <c r="O14" i="97"/>
  <c r="O15" i="97"/>
  <c r="P20" i="98"/>
  <c r="P23" i="98"/>
  <c r="P24" i="98"/>
  <c r="O25" i="98"/>
  <c r="O27" i="98"/>
  <c r="O28" i="98"/>
  <c r="O29" i="98"/>
  <c r="O30" i="98"/>
  <c r="O31" i="98"/>
  <c r="O32" i="98"/>
  <c r="O33" i="98"/>
  <c r="O35" i="98"/>
  <c r="O36" i="98"/>
  <c r="O37" i="98"/>
  <c r="O38" i="98"/>
  <c r="O39" i="98"/>
  <c r="O40" i="98"/>
  <c r="O41" i="98"/>
  <c r="O43" i="98"/>
  <c r="O44" i="98"/>
  <c r="O45" i="98"/>
  <c r="O47" i="98"/>
  <c r="O48" i="98"/>
  <c r="O49" i="98"/>
  <c r="O50" i="98"/>
  <c r="O51" i="98"/>
  <c r="O52" i="98"/>
  <c r="O53" i="98"/>
  <c r="O55" i="98"/>
  <c r="O56" i="98"/>
  <c r="O57" i="98"/>
  <c r="E58" i="99"/>
  <c r="G58" i="99"/>
  <c r="I58" i="99"/>
  <c r="K58" i="99"/>
  <c r="M58" i="99"/>
  <c r="P11" i="99"/>
  <c r="P12" i="99"/>
  <c r="P13" i="99"/>
  <c r="P14" i="99"/>
  <c r="P15" i="99"/>
  <c r="P16" i="99"/>
  <c r="P17" i="99"/>
  <c r="P18" i="99"/>
  <c r="P19" i="99"/>
  <c r="P20" i="99"/>
  <c r="P21" i="99"/>
  <c r="P22" i="99"/>
  <c r="U13" i="99"/>
  <c r="W13" i="99"/>
  <c r="Y13" i="99"/>
  <c r="Y26" i="99" s="1"/>
  <c r="AA13" i="99"/>
  <c r="AA26" i="99" s="1"/>
  <c r="AC13" i="99"/>
  <c r="AC23" i="99" s="1"/>
  <c r="P23" i="99"/>
  <c r="P24" i="99"/>
  <c r="P28" i="99"/>
  <c r="P29" i="99"/>
  <c r="P30" i="99"/>
  <c r="P31" i="99"/>
  <c r="P32" i="99"/>
  <c r="P33" i="99"/>
  <c r="P34" i="99"/>
  <c r="P35" i="99"/>
  <c r="S10" i="100"/>
  <c r="S16" i="100"/>
  <c r="S18" i="100"/>
  <c r="S20" i="100"/>
  <c r="U15" i="100"/>
  <c r="Y15" i="100"/>
  <c r="AC15" i="100"/>
  <c r="P30" i="100"/>
  <c r="U17" i="100"/>
  <c r="Y17" i="100"/>
  <c r="AC17" i="100"/>
  <c r="P38" i="100"/>
  <c r="U19" i="100"/>
  <c r="Y19" i="100"/>
  <c r="AC19" i="100"/>
  <c r="P46" i="100"/>
  <c r="U21" i="100"/>
  <c r="Y21" i="100"/>
  <c r="AC21" i="100"/>
  <c r="P54" i="100"/>
  <c r="P36" i="99"/>
  <c r="P37" i="99"/>
  <c r="P38" i="99"/>
  <c r="P39" i="99"/>
  <c r="P40" i="99"/>
  <c r="P41" i="99"/>
  <c r="P42" i="99"/>
  <c r="P43" i="99"/>
  <c r="P44" i="99"/>
  <c r="P45" i="99"/>
  <c r="P46" i="99"/>
  <c r="P47" i="99"/>
  <c r="P48" i="99"/>
  <c r="P49" i="99"/>
  <c r="P50" i="99"/>
  <c r="P51" i="99"/>
  <c r="P52" i="99"/>
  <c r="P53" i="99"/>
  <c r="P54" i="99"/>
  <c r="P55" i="99"/>
  <c r="P56" i="99"/>
  <c r="P57" i="99"/>
  <c r="E58" i="100"/>
  <c r="G58" i="100"/>
  <c r="I58" i="100"/>
  <c r="K58" i="100"/>
  <c r="M58" i="100"/>
  <c r="AA10" i="100"/>
  <c r="V13" i="100"/>
  <c r="X13" i="100"/>
  <c r="Z13" i="100"/>
  <c r="AB13" i="100"/>
  <c r="AD13" i="100"/>
  <c r="P27" i="100"/>
  <c r="P28" i="100"/>
  <c r="P29" i="100"/>
  <c r="O32" i="100"/>
  <c r="P32" i="100"/>
  <c r="P33" i="100"/>
  <c r="O36" i="100"/>
  <c r="P36" i="100"/>
  <c r="P37" i="100"/>
  <c r="O40" i="100"/>
  <c r="P40" i="100"/>
  <c r="P41" i="100"/>
  <c r="O44" i="100"/>
  <c r="P44" i="100"/>
  <c r="P45" i="100"/>
  <c r="O48" i="100"/>
  <c r="P48" i="100"/>
  <c r="P49" i="100"/>
  <c r="O52" i="100"/>
  <c r="P52" i="100"/>
  <c r="P53" i="100"/>
  <c r="O56" i="100"/>
  <c r="P56" i="100"/>
  <c r="P57" i="100"/>
  <c r="P10" i="99"/>
  <c r="C58" i="99"/>
  <c r="O10" i="99"/>
  <c r="U10" i="99"/>
  <c r="Y10" i="99"/>
  <c r="AC10" i="99"/>
  <c r="O11" i="99"/>
  <c r="O12" i="99"/>
  <c r="O13" i="99"/>
  <c r="O14" i="99"/>
  <c r="O15" i="99"/>
  <c r="O16" i="99"/>
  <c r="O17" i="99"/>
  <c r="O18" i="99"/>
  <c r="O19" i="99"/>
  <c r="O20" i="99"/>
  <c r="O21" i="99"/>
  <c r="O22" i="99"/>
  <c r="O23" i="99"/>
  <c r="O24" i="99"/>
  <c r="O25" i="99"/>
  <c r="O26" i="99"/>
  <c r="O27" i="99"/>
  <c r="S10" i="99"/>
  <c r="W10" i="99"/>
  <c r="AA10" i="99"/>
  <c r="S11" i="99"/>
  <c r="S12" i="99"/>
  <c r="S13" i="99"/>
  <c r="S14" i="99"/>
  <c r="S24" i="99"/>
  <c r="W24" i="99"/>
  <c r="AA24" i="99"/>
  <c r="O28" i="99"/>
  <c r="O29" i="99"/>
  <c r="O30" i="99"/>
  <c r="O31" i="99"/>
  <c r="O32" i="99"/>
  <c r="O33" i="99"/>
  <c r="O34" i="99"/>
  <c r="O35" i="99"/>
  <c r="O36" i="99"/>
  <c r="O37" i="99"/>
  <c r="O38" i="99"/>
  <c r="O39" i="99"/>
  <c r="O40" i="99"/>
  <c r="O41" i="99"/>
  <c r="O42" i="99"/>
  <c r="O43" i="99"/>
  <c r="O44" i="99"/>
  <c r="O45" i="99"/>
  <c r="O46" i="99"/>
  <c r="O47" i="99"/>
  <c r="O48" i="99"/>
  <c r="O49" i="99"/>
  <c r="O50" i="99"/>
  <c r="O51" i="99"/>
  <c r="O52" i="99"/>
  <c r="O53" i="99"/>
  <c r="O54" i="99"/>
  <c r="O55" i="99"/>
  <c r="O56" i="99"/>
  <c r="O57" i="99"/>
  <c r="AA27" i="100"/>
  <c r="AA24" i="100"/>
  <c r="P25" i="100"/>
  <c r="T13" i="100"/>
  <c r="P26" i="100"/>
  <c r="T14" i="100"/>
  <c r="H58" i="100"/>
  <c r="P45" i="97"/>
  <c r="P46" i="97"/>
  <c r="P47" i="97"/>
  <c r="P48" i="97"/>
  <c r="T11" i="98"/>
  <c r="V11" i="98"/>
  <c r="Z11" i="98"/>
  <c r="AB11" i="98"/>
  <c r="AD11" i="98"/>
  <c r="T10" i="99"/>
  <c r="V10" i="99"/>
  <c r="X10" i="99"/>
  <c r="Z10" i="99"/>
  <c r="AB10" i="99"/>
  <c r="AD10" i="99"/>
  <c r="T24" i="99"/>
  <c r="V24" i="99"/>
  <c r="Z24" i="99"/>
  <c r="AD24" i="99"/>
  <c r="C58" i="100"/>
  <c r="P10" i="100"/>
  <c r="O10" i="100"/>
  <c r="U10" i="100"/>
  <c r="Y10" i="100"/>
  <c r="AC10" i="100"/>
  <c r="O11" i="100"/>
  <c r="O12" i="100"/>
  <c r="O13" i="100"/>
  <c r="O14" i="100"/>
  <c r="O15" i="100"/>
  <c r="O16" i="100"/>
  <c r="O17" i="100"/>
  <c r="O18" i="100"/>
  <c r="O19" i="100"/>
  <c r="O20" i="100"/>
  <c r="O21" i="100"/>
  <c r="O22" i="100"/>
  <c r="O23" i="100"/>
  <c r="O24" i="100"/>
  <c r="P31" i="100"/>
  <c r="T15" i="100"/>
  <c r="V15" i="100"/>
  <c r="X15" i="100"/>
  <c r="Z15" i="100"/>
  <c r="AB15" i="100"/>
  <c r="AD15" i="100"/>
  <c r="P35" i="100"/>
  <c r="T16" i="100"/>
  <c r="V16" i="100"/>
  <c r="X16" i="100"/>
  <c r="Z16" i="100"/>
  <c r="AB16" i="100"/>
  <c r="AD16" i="100"/>
  <c r="P39" i="100"/>
  <c r="T17" i="100"/>
  <c r="V17" i="100"/>
  <c r="X17" i="100"/>
  <c r="Z17" i="100"/>
  <c r="AB17" i="100"/>
  <c r="AD17" i="100"/>
  <c r="P43" i="100"/>
  <c r="T18" i="100"/>
  <c r="V18" i="100"/>
  <c r="X18" i="100"/>
  <c r="Z18" i="100"/>
  <c r="AB18" i="100"/>
  <c r="AD18" i="100"/>
  <c r="P47" i="100"/>
  <c r="T19" i="100"/>
  <c r="V19" i="100"/>
  <c r="X19" i="100"/>
  <c r="Z19" i="100"/>
  <c r="AB19" i="100"/>
  <c r="AD19" i="100"/>
  <c r="P51" i="100"/>
  <c r="T20" i="100"/>
  <c r="V20" i="100"/>
  <c r="X20" i="100"/>
  <c r="Z20" i="100"/>
  <c r="AB20" i="100"/>
  <c r="AD20" i="100"/>
  <c r="P55" i="100"/>
  <c r="T21" i="100"/>
  <c r="V21" i="100"/>
  <c r="X21" i="100"/>
  <c r="Z21" i="100"/>
  <c r="AB21" i="100"/>
  <c r="AD21" i="100"/>
  <c r="D58" i="100"/>
  <c r="L58" i="100"/>
  <c r="V10" i="100"/>
  <c r="Z10" i="100"/>
  <c r="AD10" i="100"/>
  <c r="O25" i="100"/>
  <c r="O26" i="100"/>
  <c r="O27" i="100"/>
  <c r="O28" i="100"/>
  <c r="O29" i="100"/>
  <c r="O31" i="100"/>
  <c r="O33" i="100"/>
  <c r="O35" i="100"/>
  <c r="O37" i="100"/>
  <c r="O39" i="100"/>
  <c r="O41" i="100"/>
  <c r="O43" i="100"/>
  <c r="O45" i="100"/>
  <c r="O47" i="100"/>
  <c r="O49" i="100"/>
  <c r="O51" i="100"/>
  <c r="O53" i="100"/>
  <c r="O55" i="100"/>
  <c r="O57" i="100"/>
  <c r="O46" i="98"/>
  <c r="S19" i="98"/>
  <c r="T12" i="97"/>
  <c r="V12" i="97"/>
  <c r="X12" i="97"/>
  <c r="Z12" i="97"/>
  <c r="AB12" i="97"/>
  <c r="AD12" i="97"/>
  <c r="U11" i="98"/>
  <c r="W11" i="98"/>
  <c r="Y11" i="98"/>
  <c r="AA11" i="98"/>
  <c r="AC11" i="98"/>
  <c r="S15" i="98"/>
  <c r="V12" i="94"/>
  <c r="S11" i="95"/>
  <c r="W11" i="95"/>
  <c r="AA11" i="95"/>
  <c r="Z12" i="95"/>
  <c r="O20" i="97"/>
  <c r="O22" i="97"/>
  <c r="O23" i="97"/>
  <c r="O24" i="97"/>
  <c r="O25" i="97"/>
  <c r="O26" i="97"/>
  <c r="O27" i="97"/>
  <c r="O28" i="97"/>
  <c r="O29" i="97"/>
  <c r="O30" i="97"/>
  <c r="O31" i="97"/>
  <c r="O32" i="97"/>
  <c r="O33" i="97"/>
  <c r="O34" i="97"/>
  <c r="O35" i="97"/>
  <c r="O37" i="97"/>
  <c r="O38" i="97"/>
  <c r="O39" i="97"/>
  <c r="O40" i="97"/>
  <c r="O41" i="97"/>
  <c r="O42" i="97"/>
  <c r="O43" i="97"/>
  <c r="O44" i="97"/>
  <c r="P17" i="98"/>
  <c r="U12" i="98"/>
  <c r="W12" i="98"/>
  <c r="Y12" i="98"/>
  <c r="AA12" i="98"/>
  <c r="AC12" i="98"/>
  <c r="W26" i="97"/>
  <c r="AA26" i="97"/>
  <c r="P15" i="98"/>
  <c r="S11" i="98"/>
  <c r="P19" i="98"/>
  <c r="S12" i="98"/>
  <c r="U27" i="98"/>
  <c r="P22" i="98"/>
  <c r="S13" i="98"/>
  <c r="U26" i="98"/>
  <c r="W26" i="98"/>
  <c r="Y26" i="98"/>
  <c r="AA26" i="98"/>
  <c r="O26" i="98"/>
  <c r="S14" i="98"/>
  <c r="O34" i="98"/>
  <c r="S16" i="98"/>
  <c r="O42" i="98"/>
  <c r="S18" i="98"/>
  <c r="O54" i="98"/>
  <c r="S21" i="98"/>
  <c r="T11" i="95"/>
  <c r="V11" i="95"/>
  <c r="X11" i="95"/>
  <c r="Z11" i="95"/>
  <c r="AB11" i="95"/>
  <c r="AD11" i="95"/>
  <c r="D58" i="97"/>
  <c r="F58" i="97"/>
  <c r="H58" i="97"/>
  <c r="J58" i="97"/>
  <c r="L58" i="97"/>
  <c r="N58" i="97"/>
  <c r="T26" i="97"/>
  <c r="Z26" i="97"/>
  <c r="O18" i="97"/>
  <c r="S18" i="97"/>
  <c r="O19" i="97"/>
  <c r="S27" i="97"/>
  <c r="U27" i="97"/>
  <c r="W27" i="97"/>
  <c r="Y27" i="97"/>
  <c r="AA27" i="97"/>
  <c r="AC27" i="97"/>
  <c r="O21" i="97"/>
  <c r="P40" i="97"/>
  <c r="P41" i="97"/>
  <c r="P42" i="97"/>
  <c r="P43" i="97"/>
  <c r="P44" i="97"/>
  <c r="D58" i="98"/>
  <c r="F58" i="98"/>
  <c r="H58" i="98"/>
  <c r="J58" i="98"/>
  <c r="L58" i="98"/>
  <c r="N58" i="98"/>
  <c r="Z26" i="98"/>
  <c r="S17" i="98"/>
  <c r="S20" i="98"/>
  <c r="O45" i="97"/>
  <c r="O46" i="97"/>
  <c r="O47" i="97"/>
  <c r="O48" i="97"/>
  <c r="O49" i="97"/>
  <c r="O50" i="97"/>
  <c r="O51" i="97"/>
  <c r="O52" i="97"/>
  <c r="O53" i="97"/>
  <c r="O54" i="97"/>
  <c r="O55" i="97"/>
  <c r="O56" i="97"/>
  <c r="O57" i="97"/>
  <c r="C58" i="98"/>
  <c r="E58" i="98"/>
  <c r="G58" i="98"/>
  <c r="I58" i="98"/>
  <c r="K58" i="98"/>
  <c r="M58" i="98"/>
  <c r="P11" i="98"/>
  <c r="P12" i="98"/>
  <c r="P13" i="98"/>
  <c r="P14" i="98"/>
  <c r="P16" i="98"/>
  <c r="P18" i="98"/>
  <c r="P21" i="98"/>
  <c r="P43" i="98"/>
  <c r="P44" i="98"/>
  <c r="P45" i="98"/>
  <c r="P46" i="98"/>
  <c r="P47" i="98"/>
  <c r="P48" i="98"/>
  <c r="P49" i="98"/>
  <c r="P50" i="98"/>
  <c r="P51" i="98"/>
  <c r="P52" i="98"/>
  <c r="Z11" i="94"/>
  <c r="AD12" i="94"/>
  <c r="V12" i="95"/>
  <c r="AD12" i="95"/>
  <c r="T11" i="96"/>
  <c r="V11" i="96"/>
  <c r="X11" i="96"/>
  <c r="Z11" i="96"/>
  <c r="AB11" i="96"/>
  <c r="AD11" i="96"/>
  <c r="P10" i="97"/>
  <c r="T10" i="97"/>
  <c r="V10" i="97"/>
  <c r="X10" i="97"/>
  <c r="Z10" i="97"/>
  <c r="AB10" i="97"/>
  <c r="AD10" i="97"/>
  <c r="P11" i="97"/>
  <c r="P12" i="97"/>
  <c r="P13" i="97"/>
  <c r="P14" i="97"/>
  <c r="P15" i="97"/>
  <c r="P16" i="97"/>
  <c r="P17" i="97"/>
  <c r="P18" i="97"/>
  <c r="P19" i="97"/>
  <c r="P20" i="97"/>
  <c r="P21" i="97"/>
  <c r="P22" i="97"/>
  <c r="P23" i="97"/>
  <c r="T23" i="97"/>
  <c r="Z23" i="97"/>
  <c r="P24" i="97"/>
  <c r="T24" i="97"/>
  <c r="V24" i="97"/>
  <c r="X24" i="97"/>
  <c r="Z24" i="97"/>
  <c r="AB24" i="97"/>
  <c r="AD24" i="97"/>
  <c r="P25" i="97"/>
  <c r="P26" i="97"/>
  <c r="P27" i="97"/>
  <c r="P28" i="97"/>
  <c r="P29" i="97"/>
  <c r="P30" i="97"/>
  <c r="P31" i="97"/>
  <c r="P32" i="97"/>
  <c r="P33" i="97"/>
  <c r="P34" i="97"/>
  <c r="P35" i="97"/>
  <c r="S12" i="96"/>
  <c r="W12" i="96"/>
  <c r="AA12" i="96"/>
  <c r="O10" i="97"/>
  <c r="S10" i="97"/>
  <c r="U10" i="97"/>
  <c r="W10" i="97"/>
  <c r="Y10" i="97"/>
  <c r="AA10" i="97"/>
  <c r="AC10" i="97"/>
  <c r="W23" i="97"/>
  <c r="AA23" i="97"/>
  <c r="S24" i="97"/>
  <c r="U24" i="97"/>
  <c r="W24" i="97"/>
  <c r="Y24" i="97"/>
  <c r="AA24" i="97"/>
  <c r="AC24" i="97"/>
  <c r="O36" i="97"/>
  <c r="P36" i="97"/>
  <c r="P37" i="97"/>
  <c r="P38" i="97"/>
  <c r="P39" i="97"/>
  <c r="P49" i="97"/>
  <c r="P50" i="97"/>
  <c r="P51" i="97"/>
  <c r="P52" i="97"/>
  <c r="P53" i="97"/>
  <c r="P54" i="97"/>
  <c r="P55" i="97"/>
  <c r="P56" i="97"/>
  <c r="P57" i="97"/>
  <c r="O10" i="98"/>
  <c r="S10" i="98"/>
  <c r="U10" i="98"/>
  <c r="W10" i="98"/>
  <c r="Y10" i="98"/>
  <c r="AA10" i="98"/>
  <c r="AC10" i="98"/>
  <c r="O11" i="98"/>
  <c r="O12" i="98"/>
  <c r="O13" i="98"/>
  <c r="O14" i="98"/>
  <c r="O15" i="98"/>
  <c r="O16" i="98"/>
  <c r="O17" i="98"/>
  <c r="O18" i="98"/>
  <c r="O19" i="98"/>
  <c r="Y27" i="98"/>
  <c r="Y24" i="98"/>
  <c r="AA27" i="98"/>
  <c r="AA24" i="98"/>
  <c r="AC27" i="98"/>
  <c r="AC24" i="98"/>
  <c r="O20" i="98"/>
  <c r="O21" i="98"/>
  <c r="O22" i="98"/>
  <c r="O23" i="98"/>
  <c r="U23" i="98"/>
  <c r="W23" i="98"/>
  <c r="Y23" i="98"/>
  <c r="AA23" i="98"/>
  <c r="O24" i="98"/>
  <c r="U24" i="98"/>
  <c r="P10" i="98"/>
  <c r="T10" i="98"/>
  <c r="V10" i="98"/>
  <c r="X10" i="98"/>
  <c r="Z10" i="98"/>
  <c r="AB10" i="98"/>
  <c r="AD10" i="98"/>
  <c r="X27" i="98"/>
  <c r="X24" i="98"/>
  <c r="X23" i="98"/>
  <c r="Z23" i="98"/>
  <c r="P25" i="98"/>
  <c r="P26" i="98"/>
  <c r="P27" i="98"/>
  <c r="P28" i="98"/>
  <c r="P29" i="98"/>
  <c r="P30" i="98"/>
  <c r="P31" i="98"/>
  <c r="P32" i="98"/>
  <c r="P33" i="98"/>
  <c r="P34" i="98"/>
  <c r="P35" i="98"/>
  <c r="P36" i="98"/>
  <c r="P37" i="98"/>
  <c r="P38" i="98"/>
  <c r="P39" i="98"/>
  <c r="P40" i="98"/>
  <c r="P41" i="98"/>
  <c r="P42" i="98"/>
  <c r="P53" i="98"/>
  <c r="P54" i="98"/>
  <c r="P55" i="98"/>
  <c r="P56" i="98"/>
  <c r="P57" i="98"/>
  <c r="O42" i="96"/>
  <c r="S18" i="96"/>
  <c r="T11" i="94"/>
  <c r="V11" i="94"/>
  <c r="X11" i="94"/>
  <c r="AB11" i="94"/>
  <c r="AD11" i="94"/>
  <c r="T12" i="94"/>
  <c r="X12" i="94"/>
  <c r="Z12" i="94"/>
  <c r="AB12" i="94"/>
  <c r="D58" i="95"/>
  <c r="F58" i="95"/>
  <c r="H58" i="95"/>
  <c r="J58" i="95"/>
  <c r="L58" i="95"/>
  <c r="N58" i="95"/>
  <c r="T26" i="95"/>
  <c r="AD27" i="95"/>
  <c r="S13" i="96"/>
  <c r="P14" i="96"/>
  <c r="S11" i="96"/>
  <c r="S14" i="96"/>
  <c r="T12" i="95"/>
  <c r="X12" i="95"/>
  <c r="AB12" i="95"/>
  <c r="P21" i="95"/>
  <c r="P22" i="95"/>
  <c r="P23" i="95"/>
  <c r="P24" i="95"/>
  <c r="P25" i="95"/>
  <c r="P26" i="95"/>
  <c r="P27" i="95"/>
  <c r="P28" i="95"/>
  <c r="P29" i="95"/>
  <c r="P30" i="95"/>
  <c r="P31" i="95"/>
  <c r="P32" i="95"/>
  <c r="P33" i="95"/>
  <c r="P34" i="95"/>
  <c r="P35" i="95"/>
  <c r="O37" i="95"/>
  <c r="O39" i="95"/>
  <c r="O40" i="95"/>
  <c r="O41" i="95"/>
  <c r="O42" i="95"/>
  <c r="O43" i="95"/>
  <c r="O44" i="95"/>
  <c r="O45" i="95"/>
  <c r="O47" i="95"/>
  <c r="O48" i="95"/>
  <c r="O49" i="95"/>
  <c r="O50" i="95"/>
  <c r="O51" i="95"/>
  <c r="O52" i="95"/>
  <c r="O53" i="95"/>
  <c r="O54" i="95"/>
  <c r="O55" i="95"/>
  <c r="O56" i="95"/>
  <c r="O57" i="95"/>
  <c r="C58" i="96"/>
  <c r="E58" i="96"/>
  <c r="G58" i="96"/>
  <c r="I58" i="96"/>
  <c r="K58" i="96"/>
  <c r="M58" i="96"/>
  <c r="P11" i="96"/>
  <c r="S10" i="94"/>
  <c r="W10" i="94"/>
  <c r="P18" i="95"/>
  <c r="T27" i="95"/>
  <c r="X27" i="95"/>
  <c r="AB27" i="95"/>
  <c r="P20" i="95"/>
  <c r="U12" i="95"/>
  <c r="W12" i="95"/>
  <c r="Y12" i="95"/>
  <c r="AA12" i="95"/>
  <c r="AC12" i="95"/>
  <c r="P12" i="96"/>
  <c r="P16" i="96"/>
  <c r="P18" i="96"/>
  <c r="U12" i="96"/>
  <c r="Y12" i="96"/>
  <c r="AC12" i="96"/>
  <c r="T12" i="96"/>
  <c r="V12" i="96"/>
  <c r="X12" i="96"/>
  <c r="Z12" i="96"/>
  <c r="AB12" i="96"/>
  <c r="AD12" i="96"/>
  <c r="O38" i="95"/>
  <c r="S17" i="95"/>
  <c r="O46" i="95"/>
  <c r="S19" i="95"/>
  <c r="Y27" i="95"/>
  <c r="AA27" i="95"/>
  <c r="O30" i="96"/>
  <c r="S15" i="96"/>
  <c r="O38" i="96"/>
  <c r="S17" i="96"/>
  <c r="O46" i="96"/>
  <c r="S19" i="96"/>
  <c r="U27" i="96"/>
  <c r="O54" i="96"/>
  <c r="S21" i="96"/>
  <c r="P14" i="94"/>
  <c r="U11" i="94"/>
  <c r="W11" i="94"/>
  <c r="Y11" i="94"/>
  <c r="AA11" i="94"/>
  <c r="AC11" i="94"/>
  <c r="P16" i="94"/>
  <c r="P18" i="94"/>
  <c r="U12" i="94"/>
  <c r="W12" i="94"/>
  <c r="Y12" i="94"/>
  <c r="AA12" i="94"/>
  <c r="AC12" i="94"/>
  <c r="P20" i="94"/>
  <c r="P22" i="94"/>
  <c r="P23" i="94"/>
  <c r="P24" i="94"/>
  <c r="O30" i="94"/>
  <c r="O34" i="94"/>
  <c r="O38" i="94"/>
  <c r="O42" i="94"/>
  <c r="O46" i="94"/>
  <c r="O50" i="94"/>
  <c r="O54" i="94"/>
  <c r="C58" i="95"/>
  <c r="E58" i="95"/>
  <c r="G58" i="95"/>
  <c r="I58" i="95"/>
  <c r="K58" i="95"/>
  <c r="M58" i="95"/>
  <c r="P11" i="95"/>
  <c r="P12" i="95"/>
  <c r="S12" i="95"/>
  <c r="P13" i="95"/>
  <c r="S13" i="95"/>
  <c r="P14" i="95"/>
  <c r="S14" i="95"/>
  <c r="P15" i="95"/>
  <c r="S15" i="95"/>
  <c r="P16" i="95"/>
  <c r="S16" i="95"/>
  <c r="S18" i="95"/>
  <c r="S21" i="95"/>
  <c r="S16" i="96"/>
  <c r="T27" i="96"/>
  <c r="S20" i="96"/>
  <c r="P17" i="95"/>
  <c r="P19" i="95"/>
  <c r="P49" i="95"/>
  <c r="P50" i="95"/>
  <c r="P51" i="95"/>
  <c r="P52" i="95"/>
  <c r="P53" i="95"/>
  <c r="P54" i="95"/>
  <c r="P55" i="95"/>
  <c r="P56" i="95"/>
  <c r="P57" i="95"/>
  <c r="D58" i="96"/>
  <c r="F58" i="96"/>
  <c r="H58" i="96"/>
  <c r="J58" i="96"/>
  <c r="L58" i="96"/>
  <c r="N58" i="96"/>
  <c r="V26" i="96"/>
  <c r="X26" i="96"/>
  <c r="Z26" i="96"/>
  <c r="P15" i="96"/>
  <c r="P17" i="96"/>
  <c r="P19" i="96"/>
  <c r="P21" i="96"/>
  <c r="O10" i="95"/>
  <c r="S10" i="95"/>
  <c r="U10" i="95"/>
  <c r="W10" i="95"/>
  <c r="Y10" i="95"/>
  <c r="AA10" i="95"/>
  <c r="AC10" i="95"/>
  <c r="O11" i="95"/>
  <c r="O12" i="95"/>
  <c r="O13" i="95"/>
  <c r="O14" i="95"/>
  <c r="O15" i="95"/>
  <c r="O16" i="95"/>
  <c r="O17" i="95"/>
  <c r="O18" i="95"/>
  <c r="O19" i="95"/>
  <c r="O20" i="95"/>
  <c r="O21" i="95"/>
  <c r="O22" i="95"/>
  <c r="O23" i="95"/>
  <c r="W23" i="95"/>
  <c r="AA23" i="95"/>
  <c r="O24" i="95"/>
  <c r="Y24" i="95"/>
  <c r="AA24" i="95"/>
  <c r="O25" i="95"/>
  <c r="O26" i="95"/>
  <c r="O27" i="95"/>
  <c r="O28" i="95"/>
  <c r="O29" i="95"/>
  <c r="O30" i="95"/>
  <c r="O31" i="95"/>
  <c r="O32" i="95"/>
  <c r="O33" i="95"/>
  <c r="O34" i="95"/>
  <c r="O35" i="95"/>
  <c r="O36" i="95"/>
  <c r="P36" i="95"/>
  <c r="T10" i="94"/>
  <c r="F58" i="94"/>
  <c r="X10" i="94"/>
  <c r="J58" i="94"/>
  <c r="AB10" i="94"/>
  <c r="N58" i="94"/>
  <c r="P11" i="94"/>
  <c r="S11" i="94"/>
  <c r="P12" i="94"/>
  <c r="S12" i="94"/>
  <c r="P13" i="94"/>
  <c r="S13" i="94"/>
  <c r="P15" i="94"/>
  <c r="P17" i="94"/>
  <c r="P19" i="94"/>
  <c r="P21" i="94"/>
  <c r="P10" i="95"/>
  <c r="T10" i="95"/>
  <c r="V10" i="95"/>
  <c r="X10" i="95"/>
  <c r="Z10" i="95"/>
  <c r="AB10" i="95"/>
  <c r="AD10" i="95"/>
  <c r="T23" i="95"/>
  <c r="AD23" i="95"/>
  <c r="T24" i="95"/>
  <c r="X24" i="95"/>
  <c r="AB24" i="95"/>
  <c r="AD24" i="95"/>
  <c r="P37" i="95"/>
  <c r="P38" i="95"/>
  <c r="P39" i="95"/>
  <c r="P40" i="95"/>
  <c r="P41" i="95"/>
  <c r="P42" i="95"/>
  <c r="P43" i="95"/>
  <c r="P44" i="95"/>
  <c r="P45" i="95"/>
  <c r="P46" i="95"/>
  <c r="P47" i="95"/>
  <c r="P48" i="95"/>
  <c r="O10" i="96"/>
  <c r="S10" i="96"/>
  <c r="U10" i="96"/>
  <c r="W10" i="96"/>
  <c r="Y10" i="96"/>
  <c r="AA10" i="96"/>
  <c r="AC10" i="96"/>
  <c r="O11" i="96"/>
  <c r="O12" i="96"/>
  <c r="O13" i="96"/>
  <c r="O14" i="96"/>
  <c r="O15" i="96"/>
  <c r="O16" i="96"/>
  <c r="O17" i="96"/>
  <c r="O18" i="96"/>
  <c r="O19" i="96"/>
  <c r="AA27" i="96"/>
  <c r="AA24" i="96"/>
  <c r="AC27" i="96"/>
  <c r="AC24" i="96"/>
  <c r="O20" i="96"/>
  <c r="O21" i="96"/>
  <c r="O22" i="96"/>
  <c r="O23" i="96"/>
  <c r="O24" i="96"/>
  <c r="U24" i="96"/>
  <c r="P10" i="96"/>
  <c r="T10" i="96"/>
  <c r="V10" i="96"/>
  <c r="X10" i="96"/>
  <c r="Z10" i="96"/>
  <c r="AB10" i="96"/>
  <c r="AD10" i="96"/>
  <c r="X27" i="96"/>
  <c r="X24" i="96"/>
  <c r="Z27" i="96"/>
  <c r="Z24" i="96"/>
  <c r="AB27" i="96"/>
  <c r="AB24" i="96"/>
  <c r="AD27" i="96"/>
  <c r="AD24" i="96"/>
  <c r="V23" i="96"/>
  <c r="Z23" i="96"/>
  <c r="T24" i="96"/>
  <c r="V24" i="96"/>
  <c r="P25" i="96"/>
  <c r="P26" i="96"/>
  <c r="P27" i="96"/>
  <c r="P28" i="96"/>
  <c r="P29" i="96"/>
  <c r="P30" i="96"/>
  <c r="P31" i="96"/>
  <c r="P32" i="96"/>
  <c r="P33" i="96"/>
  <c r="P34" i="96"/>
  <c r="P35" i="96"/>
  <c r="P36" i="96"/>
  <c r="P37" i="96"/>
  <c r="P38" i="96"/>
  <c r="P39" i="96"/>
  <c r="P40" i="96"/>
  <c r="P41" i="96"/>
  <c r="P42" i="96"/>
  <c r="P43" i="96"/>
  <c r="P44" i="96"/>
  <c r="P45" i="96"/>
  <c r="P46" i="96"/>
  <c r="P47" i="96"/>
  <c r="P48" i="96"/>
  <c r="P49" i="96"/>
  <c r="P50" i="96"/>
  <c r="P51" i="96"/>
  <c r="P52" i="96"/>
  <c r="P53" i="96"/>
  <c r="P54" i="96"/>
  <c r="P55" i="96"/>
  <c r="P56" i="96"/>
  <c r="P57" i="96"/>
  <c r="P30" i="94"/>
  <c r="P34" i="94"/>
  <c r="P38" i="94"/>
  <c r="P42" i="94"/>
  <c r="P46" i="94"/>
  <c r="P50" i="94"/>
  <c r="P54" i="94"/>
  <c r="E58" i="94"/>
  <c r="G58" i="94"/>
  <c r="I58" i="94"/>
  <c r="K58" i="94"/>
  <c r="M58" i="94"/>
  <c r="AA10" i="94"/>
  <c r="V13" i="94"/>
  <c r="X13" i="94"/>
  <c r="Z13" i="94"/>
  <c r="AB13" i="94"/>
  <c r="AD13" i="94"/>
  <c r="P27" i="94"/>
  <c r="P28" i="94"/>
  <c r="P29" i="94"/>
  <c r="O32" i="94"/>
  <c r="P32" i="94"/>
  <c r="P33" i="94"/>
  <c r="O36" i="94"/>
  <c r="P36" i="94"/>
  <c r="P37" i="94"/>
  <c r="O40" i="94"/>
  <c r="P40" i="94"/>
  <c r="P41" i="94"/>
  <c r="O44" i="94"/>
  <c r="P44" i="94"/>
  <c r="P45" i="94"/>
  <c r="O48" i="94"/>
  <c r="P48" i="94"/>
  <c r="P49" i="94"/>
  <c r="O52" i="94"/>
  <c r="P52" i="94"/>
  <c r="P53" i="94"/>
  <c r="O56" i="94"/>
  <c r="P56" i="94"/>
  <c r="P57" i="94"/>
  <c r="P25" i="94"/>
  <c r="T13" i="94"/>
  <c r="P26" i="94"/>
  <c r="T14" i="94"/>
  <c r="H58" i="94"/>
  <c r="C58" i="94"/>
  <c r="P10" i="94"/>
  <c r="O10" i="94"/>
  <c r="U10" i="94"/>
  <c r="Y10" i="94"/>
  <c r="AC10" i="94"/>
  <c r="O11" i="94"/>
  <c r="O12" i="94"/>
  <c r="O13" i="94"/>
  <c r="O14" i="94"/>
  <c r="O15" i="94"/>
  <c r="O16" i="94"/>
  <c r="O17" i="94"/>
  <c r="O18" i="94"/>
  <c r="O19" i="94"/>
  <c r="O20" i="94"/>
  <c r="O21" i="94"/>
  <c r="O22" i="94"/>
  <c r="O23" i="94"/>
  <c r="O24" i="94"/>
  <c r="P31" i="94"/>
  <c r="T15" i="94"/>
  <c r="V15" i="94"/>
  <c r="X15" i="94"/>
  <c r="Z15" i="94"/>
  <c r="AB15" i="94"/>
  <c r="AD15" i="94"/>
  <c r="P35" i="94"/>
  <c r="T16" i="94"/>
  <c r="V16" i="94"/>
  <c r="X16" i="94"/>
  <c r="Z16" i="94"/>
  <c r="AB16" i="94"/>
  <c r="AD16" i="94"/>
  <c r="P39" i="94"/>
  <c r="T17" i="94"/>
  <c r="V17" i="94"/>
  <c r="X17" i="94"/>
  <c r="Z17" i="94"/>
  <c r="AB17" i="94"/>
  <c r="AD17" i="94"/>
  <c r="P43" i="94"/>
  <c r="T18" i="94"/>
  <c r="V18" i="94"/>
  <c r="X18" i="94"/>
  <c r="Z18" i="94"/>
  <c r="AB18" i="94"/>
  <c r="AD18" i="94"/>
  <c r="P47" i="94"/>
  <c r="T19" i="94"/>
  <c r="V19" i="94"/>
  <c r="X19" i="94"/>
  <c r="Z19" i="94"/>
  <c r="AB19" i="94"/>
  <c r="AD19" i="94"/>
  <c r="P51" i="94"/>
  <c r="T20" i="94"/>
  <c r="V20" i="94"/>
  <c r="X20" i="94"/>
  <c r="Z20" i="94"/>
  <c r="AB20" i="94"/>
  <c r="AD20" i="94"/>
  <c r="P55" i="94"/>
  <c r="T21" i="94"/>
  <c r="V21" i="94"/>
  <c r="X21" i="94"/>
  <c r="Z21" i="94"/>
  <c r="AB21" i="94"/>
  <c r="AD21" i="94"/>
  <c r="D58" i="94"/>
  <c r="L58" i="94"/>
  <c r="V10" i="94"/>
  <c r="Z10" i="94"/>
  <c r="AD10" i="94"/>
  <c r="O25" i="94"/>
  <c r="O26" i="94"/>
  <c r="O27" i="94"/>
  <c r="O28" i="94"/>
  <c r="O29" i="94"/>
  <c r="O31" i="94"/>
  <c r="O33" i="94"/>
  <c r="O35" i="94"/>
  <c r="O37" i="94"/>
  <c r="O39" i="94"/>
  <c r="O41" i="94"/>
  <c r="O43" i="94"/>
  <c r="O45" i="94"/>
  <c r="O47" i="94"/>
  <c r="O49" i="94"/>
  <c r="O51" i="94"/>
  <c r="O53" i="94"/>
  <c r="O55" i="94"/>
  <c r="O57" i="94"/>
  <c r="S35" i="110" l="1"/>
  <c r="AD26" i="97"/>
  <c r="Y38" i="105"/>
  <c r="U38" i="109"/>
  <c r="Z26" i="95"/>
  <c r="AF25" i="101"/>
  <c r="AF28" i="101"/>
  <c r="S38" i="105"/>
  <c r="AB23" i="96"/>
  <c r="AC26" i="95"/>
  <c r="T23" i="96"/>
  <c r="W27" i="96"/>
  <c r="T23" i="98"/>
  <c r="Z24" i="98"/>
  <c r="V35" i="101"/>
  <c r="U36" i="105"/>
  <c r="Y26" i="95"/>
  <c r="AB24" i="99"/>
  <c r="V26" i="97"/>
  <c r="Y26" i="96"/>
  <c r="U27" i="94"/>
  <c r="AC27" i="95"/>
  <c r="AD23" i="98"/>
  <c r="AB39" i="109"/>
  <c r="S24" i="94"/>
  <c r="W27" i="95"/>
  <c r="W24" i="95"/>
  <c r="AB24" i="98"/>
  <c r="W26" i="96"/>
  <c r="AC26" i="97"/>
  <c r="AC23" i="97"/>
  <c r="AC24" i="94"/>
  <c r="Y24" i="94"/>
  <c r="S27" i="94"/>
  <c r="AA38" i="110"/>
  <c r="W24" i="94"/>
  <c r="W27" i="94"/>
  <c r="S26" i="94"/>
  <c r="U23" i="97"/>
  <c r="AA27" i="94"/>
  <c r="U27" i="95"/>
  <c r="U24" i="95"/>
  <c r="X22" i="100"/>
  <c r="AC26" i="96"/>
  <c r="AA35" i="110"/>
  <c r="W35" i="110"/>
  <c r="Z39" i="110"/>
  <c r="AD38" i="110"/>
  <c r="Z38" i="110"/>
  <c r="V38" i="110"/>
  <c r="X37" i="110"/>
  <c r="AD36" i="110"/>
  <c r="V36" i="110"/>
  <c r="AC35" i="109"/>
  <c r="AC38" i="110"/>
  <c r="T38" i="110"/>
  <c r="AC36" i="110"/>
  <c r="Y35" i="110"/>
  <c r="AC35" i="110"/>
  <c r="U35" i="110"/>
  <c r="U26" i="99"/>
  <c r="Y38" i="110"/>
  <c r="X36" i="110"/>
  <c r="X24" i="99"/>
  <c r="U23" i="99"/>
  <c r="S36" i="105"/>
  <c r="T38" i="109"/>
  <c r="AD38" i="109"/>
  <c r="Z38" i="109"/>
  <c r="Z35" i="110"/>
  <c r="AB38" i="110"/>
  <c r="X35" i="110"/>
  <c r="AB36" i="110"/>
  <c r="X34" i="110"/>
  <c r="W37" i="110"/>
  <c r="AA35" i="109"/>
  <c r="U36" i="110"/>
  <c r="V35" i="109"/>
  <c r="S41" i="110"/>
  <c r="AF32" i="110"/>
  <c r="S35" i="109"/>
  <c r="V24" i="98"/>
  <c r="X23" i="97"/>
  <c r="AD23" i="99"/>
  <c r="AB38" i="109"/>
  <c r="AD35" i="110"/>
  <c r="V35" i="110"/>
  <c r="AA40" i="110"/>
  <c r="Y36" i="110"/>
  <c r="S37" i="110"/>
  <c r="W40" i="110"/>
  <c r="AD36" i="109"/>
  <c r="Z39" i="109"/>
  <c r="S26" i="97"/>
  <c r="AF33" i="110"/>
  <c r="AF31" i="110"/>
  <c r="AB35" i="110"/>
  <c r="X38" i="110"/>
  <c r="AA41" i="110"/>
  <c r="AA42" i="110" s="1"/>
  <c r="W41" i="110"/>
  <c r="AF12" i="109"/>
  <c r="AE33" i="110"/>
  <c r="AE32" i="110"/>
  <c r="AE31" i="110"/>
  <c r="AE30" i="110"/>
  <c r="AE29" i="110"/>
  <c r="AE28" i="110"/>
  <c r="AE27" i="110"/>
  <c r="AE26" i="110"/>
  <c r="AE25" i="110"/>
  <c r="AE24" i="110"/>
  <c r="AE23" i="110"/>
  <c r="AE22" i="110"/>
  <c r="AE21" i="110"/>
  <c r="AE20" i="110"/>
  <c r="AE19" i="110"/>
  <c r="AA37" i="110"/>
  <c r="AD39" i="109"/>
  <c r="Z36" i="109"/>
  <c r="V36" i="109"/>
  <c r="AC38" i="109"/>
  <c r="U35" i="109"/>
  <c r="AD39" i="110"/>
  <c r="Z36" i="110"/>
  <c r="V39" i="110"/>
  <c r="S40" i="110"/>
  <c r="S42" i="110" s="1"/>
  <c r="V38" i="109"/>
  <c r="X35" i="109"/>
  <c r="AA34" i="110"/>
  <c r="W34" i="110"/>
  <c r="S34" i="110"/>
  <c r="AF30" i="110"/>
  <c r="AB39" i="110"/>
  <c r="X40" i="110"/>
  <c r="AF15" i="110"/>
  <c r="AF14" i="110"/>
  <c r="AF13" i="110"/>
  <c r="Z35" i="109"/>
  <c r="AD35" i="109"/>
  <c r="X34" i="109"/>
  <c r="T35" i="110"/>
  <c r="Y38" i="109"/>
  <c r="AC39" i="110"/>
  <c r="U39" i="110"/>
  <c r="AF17" i="110"/>
  <c r="AF16" i="110"/>
  <c r="Z38" i="101"/>
  <c r="Y35" i="109"/>
  <c r="X39" i="110"/>
  <c r="AF11" i="110"/>
  <c r="Y39" i="110"/>
  <c r="AF12" i="110"/>
  <c r="AA38" i="109"/>
  <c r="W38" i="109"/>
  <c r="AF29" i="110"/>
  <c r="AF28" i="110"/>
  <c r="AF27" i="110"/>
  <c r="AF26" i="110"/>
  <c r="AF25" i="110"/>
  <c r="AF24" i="110"/>
  <c r="AF23" i="110"/>
  <c r="AF22" i="110"/>
  <c r="AF18" i="110"/>
  <c r="AF30" i="109"/>
  <c r="X39" i="109"/>
  <c r="X37" i="109"/>
  <c r="X41" i="110"/>
  <c r="AF21" i="110"/>
  <c r="AF20" i="110"/>
  <c r="AF19" i="110"/>
  <c r="AF15" i="109"/>
  <c r="AF14" i="109"/>
  <c r="AF13" i="109"/>
  <c r="AE18" i="110"/>
  <c r="AE17" i="110"/>
  <c r="T39" i="110"/>
  <c r="T36" i="110"/>
  <c r="AD41" i="110"/>
  <c r="AD40" i="110"/>
  <c r="AD37" i="110"/>
  <c r="AD34" i="110"/>
  <c r="Z41" i="110"/>
  <c r="Z40" i="110"/>
  <c r="Z37" i="110"/>
  <c r="Z34" i="110"/>
  <c r="AF17" i="109"/>
  <c r="AF16" i="109"/>
  <c r="AE11" i="110"/>
  <c r="Y41" i="110"/>
  <c r="Y40" i="110"/>
  <c r="Y37" i="110"/>
  <c r="Y34" i="110"/>
  <c r="O106" i="110"/>
  <c r="J108" i="110" s="1"/>
  <c r="AE10" i="110"/>
  <c r="AF10" i="110"/>
  <c r="P106" i="110"/>
  <c r="N107" i="110" s="1"/>
  <c r="T41" i="110"/>
  <c r="T40" i="110"/>
  <c r="T37" i="110"/>
  <c r="T34" i="110"/>
  <c r="AC27" i="99"/>
  <c r="W38" i="101"/>
  <c r="U35" i="101"/>
  <c r="V27" i="95"/>
  <c r="AE33" i="109"/>
  <c r="AE32" i="109"/>
  <c r="AE31" i="109"/>
  <c r="AE30" i="109"/>
  <c r="AE29" i="109"/>
  <c r="AF32" i="109"/>
  <c r="AB35" i="109"/>
  <c r="W35" i="109"/>
  <c r="AF11" i="109"/>
  <c r="S38" i="109"/>
  <c r="AE16" i="110"/>
  <c r="AB41" i="110"/>
  <c r="AB40" i="110"/>
  <c r="AB37" i="110"/>
  <c r="AB34" i="110"/>
  <c r="V41" i="110"/>
  <c r="V40" i="110"/>
  <c r="V37" i="110"/>
  <c r="V34" i="110"/>
  <c r="AE15" i="110"/>
  <c r="AE14" i="110"/>
  <c r="AE13" i="110"/>
  <c r="AE12" i="110"/>
  <c r="AC41" i="110"/>
  <c r="AC40" i="110"/>
  <c r="AC37" i="110"/>
  <c r="AC34" i="110"/>
  <c r="U41" i="110"/>
  <c r="U40" i="110"/>
  <c r="U37" i="110"/>
  <c r="U34" i="110"/>
  <c r="AB36" i="109"/>
  <c r="X36" i="109"/>
  <c r="X40" i="109"/>
  <c r="V23" i="97"/>
  <c r="AD38" i="105"/>
  <c r="AF33" i="109"/>
  <c r="AF31" i="109"/>
  <c r="X38" i="109"/>
  <c r="X41" i="109"/>
  <c r="T35" i="109"/>
  <c r="AF29" i="109"/>
  <c r="AF28" i="109"/>
  <c r="AF27" i="109"/>
  <c r="AF26" i="109"/>
  <c r="AF25" i="109"/>
  <c r="AF24" i="109"/>
  <c r="AF23" i="109"/>
  <c r="AF22" i="109"/>
  <c r="AF18" i="109"/>
  <c r="AF21" i="109"/>
  <c r="AF20" i="109"/>
  <c r="AF19" i="109"/>
  <c r="T39" i="109"/>
  <c r="T36" i="109"/>
  <c r="AD41" i="109"/>
  <c r="AD40" i="109"/>
  <c r="AD37" i="109"/>
  <c r="AD34" i="109"/>
  <c r="Z41" i="109"/>
  <c r="Z40" i="109"/>
  <c r="Z37" i="109"/>
  <c r="Z34" i="109"/>
  <c r="T41" i="109"/>
  <c r="T40" i="109"/>
  <c r="T37" i="109"/>
  <c r="T34" i="109"/>
  <c r="AE15" i="109"/>
  <c r="AE14" i="109"/>
  <c r="AE13" i="109"/>
  <c r="AE12" i="109"/>
  <c r="AE11" i="109"/>
  <c r="AC41" i="109"/>
  <c r="AC40" i="109"/>
  <c r="AC37" i="109"/>
  <c r="AC34" i="109"/>
  <c r="Y41" i="109"/>
  <c r="Y40" i="109"/>
  <c r="Y37" i="109"/>
  <c r="Y34" i="109"/>
  <c r="U41" i="109"/>
  <c r="U40" i="109"/>
  <c r="U37" i="109"/>
  <c r="U34" i="109"/>
  <c r="O106" i="109"/>
  <c r="AE10" i="109"/>
  <c r="AE28" i="109"/>
  <c r="AE27" i="109"/>
  <c r="AE26" i="109"/>
  <c r="AE25" i="109"/>
  <c r="AE24" i="109"/>
  <c r="AE23" i="109"/>
  <c r="AE22" i="109"/>
  <c r="AE21" i="109"/>
  <c r="AE20" i="109"/>
  <c r="AE19" i="109"/>
  <c r="AE18" i="109"/>
  <c r="AE17" i="109"/>
  <c r="AE16" i="109"/>
  <c r="AB41" i="109"/>
  <c r="AB40" i="109"/>
  <c r="AB37" i="109"/>
  <c r="AB34" i="109"/>
  <c r="V41" i="109"/>
  <c r="V40" i="109"/>
  <c r="V37" i="109"/>
  <c r="V34" i="109"/>
  <c r="AF10" i="109"/>
  <c r="P106" i="109"/>
  <c r="J107" i="109" s="1"/>
  <c r="AA41" i="109"/>
  <c r="AA40" i="109"/>
  <c r="AA37" i="109"/>
  <c r="AA34" i="109"/>
  <c r="W41" i="109"/>
  <c r="W40" i="109"/>
  <c r="W37" i="109"/>
  <c r="W34" i="109"/>
  <c r="S41" i="109"/>
  <c r="S40" i="109"/>
  <c r="S37" i="109"/>
  <c r="S34" i="109"/>
  <c r="AA24" i="94"/>
  <c r="AC23" i="96"/>
  <c r="AB36" i="105"/>
  <c r="P16" i="108"/>
  <c r="O56" i="108"/>
  <c r="O11" i="108"/>
  <c r="O57" i="108"/>
  <c r="P40" i="108"/>
  <c r="O35" i="108"/>
  <c r="O10" i="108"/>
  <c r="AA26" i="94"/>
  <c r="P29" i="108"/>
  <c r="O16" i="108"/>
  <c r="P49" i="108"/>
  <c r="P22" i="108"/>
  <c r="O49" i="108"/>
  <c r="P43" i="108"/>
  <c r="O28" i="108"/>
  <c r="O36" i="108"/>
  <c r="O20" i="108"/>
  <c r="P57" i="108"/>
  <c r="P55" i="108"/>
  <c r="P52" i="108"/>
  <c r="P35" i="108"/>
  <c r="P21" i="108"/>
  <c r="O13" i="108"/>
  <c r="P12" i="108"/>
  <c r="O53" i="108"/>
  <c r="O48" i="108"/>
  <c r="P46" i="108"/>
  <c r="O38" i="108"/>
  <c r="P45" i="108"/>
  <c r="P38" i="108"/>
  <c r="P32" i="108"/>
  <c r="O30" i="108"/>
  <c r="O31" i="108"/>
  <c r="P24" i="108"/>
  <c r="P17" i="108"/>
  <c r="O14" i="108"/>
  <c r="O43" i="108"/>
  <c r="P56" i="108"/>
  <c r="O55" i="108"/>
  <c r="P53" i="108"/>
  <c r="P51" i="108"/>
  <c r="P48" i="108"/>
  <c r="O39" i="108"/>
  <c r="P37" i="108"/>
  <c r="P27" i="108"/>
  <c r="P13" i="108"/>
  <c r="O12" i="108"/>
  <c r="P11" i="108"/>
  <c r="P10" i="108"/>
  <c r="O52" i="108"/>
  <c r="P47" i="108"/>
  <c r="P26" i="108"/>
  <c r="U24" i="94"/>
  <c r="AC26" i="94"/>
  <c r="O51" i="108"/>
  <c r="O47" i="108"/>
  <c r="O26" i="108"/>
  <c r="O22" i="108"/>
  <c r="O18" i="108"/>
  <c r="P54" i="108"/>
  <c r="O50" i="108"/>
  <c r="O44" i="108"/>
  <c r="O46" i="108"/>
  <c r="O45" i="108"/>
  <c r="P41" i="108"/>
  <c r="P39" i="108"/>
  <c r="O37" i="108"/>
  <c r="O32" i="108"/>
  <c r="P30" i="108"/>
  <c r="P28" i="108"/>
  <c r="P25" i="108"/>
  <c r="P23" i="108"/>
  <c r="O21" i="108"/>
  <c r="P19" i="108"/>
  <c r="P44" i="108"/>
  <c r="O40" i="108"/>
  <c r="P36" i="108"/>
  <c r="P33" i="108"/>
  <c r="P31" i="108"/>
  <c r="O29" i="108"/>
  <c r="O27" i="108"/>
  <c r="O24" i="108"/>
  <c r="P20" i="108"/>
  <c r="O17" i="108"/>
  <c r="P15" i="108"/>
  <c r="P14" i="108"/>
  <c r="O41" i="108"/>
  <c r="O33" i="108"/>
  <c r="O25" i="108"/>
  <c r="O23" i="108"/>
  <c r="O19" i="108"/>
  <c r="O15" i="108"/>
  <c r="P50" i="108"/>
  <c r="P42" i="108"/>
  <c r="P34" i="108"/>
  <c r="O54" i="108"/>
  <c r="O42" i="108"/>
  <c r="O34" i="108"/>
  <c r="P18" i="108"/>
  <c r="Z38" i="105"/>
  <c r="V38" i="105"/>
  <c r="X38" i="105"/>
  <c r="O57" i="107"/>
  <c r="AC35" i="105"/>
  <c r="U38" i="105"/>
  <c r="O37" i="107"/>
  <c r="P36" i="107"/>
  <c r="P35" i="107"/>
  <c r="O32" i="107"/>
  <c r="P31" i="107"/>
  <c r="P28" i="107"/>
  <c r="O25" i="107"/>
  <c r="O19" i="107"/>
  <c r="P18" i="107"/>
  <c r="O17" i="107"/>
  <c r="O15" i="107"/>
  <c r="P14" i="107"/>
  <c r="P33" i="107"/>
  <c r="O33" i="107"/>
  <c r="O29" i="107"/>
  <c r="O27" i="107"/>
  <c r="P24" i="107"/>
  <c r="P22" i="107"/>
  <c r="O22" i="107"/>
  <c r="O20" i="107"/>
  <c r="O13" i="107"/>
  <c r="O11" i="107"/>
  <c r="P57" i="107"/>
  <c r="P56" i="107"/>
  <c r="O56" i="107"/>
  <c r="P55" i="107"/>
  <c r="O55" i="107"/>
  <c r="P54" i="107"/>
  <c r="O54" i="107"/>
  <c r="P53" i="107"/>
  <c r="O53" i="107"/>
  <c r="O52" i="107"/>
  <c r="P52" i="107"/>
  <c r="O51" i="107"/>
  <c r="P51" i="107"/>
  <c r="O50" i="107"/>
  <c r="P50" i="107"/>
  <c r="P49" i="107"/>
  <c r="O49" i="107"/>
  <c r="P48" i="107"/>
  <c r="O48" i="107"/>
  <c r="P47" i="107"/>
  <c r="O47" i="107"/>
  <c r="O46" i="107"/>
  <c r="P46" i="107"/>
  <c r="P45" i="107"/>
  <c r="O45" i="107"/>
  <c r="O44" i="107"/>
  <c r="P44" i="107"/>
  <c r="O43" i="107"/>
  <c r="P43" i="107"/>
  <c r="O42" i="107"/>
  <c r="P42" i="107"/>
  <c r="P41" i="107"/>
  <c r="O41" i="107"/>
  <c r="P40" i="107"/>
  <c r="P39" i="107"/>
  <c r="O38" i="107"/>
  <c r="P37" i="107"/>
  <c r="O36" i="107"/>
  <c r="O35" i="107"/>
  <c r="O34" i="107"/>
  <c r="P32" i="107"/>
  <c r="O31" i="107"/>
  <c r="P29" i="107"/>
  <c r="O28" i="107"/>
  <c r="P27" i="107"/>
  <c r="P25" i="107"/>
  <c r="O24" i="107"/>
  <c r="P23" i="107"/>
  <c r="P21" i="107"/>
  <c r="P17" i="107"/>
  <c r="O40" i="107"/>
  <c r="P20" i="107"/>
  <c r="P19" i="107"/>
  <c r="P16" i="107"/>
  <c r="P15" i="107"/>
  <c r="P13" i="107"/>
  <c r="P12" i="107"/>
  <c r="P11" i="107"/>
  <c r="O39" i="107"/>
  <c r="O26" i="107"/>
  <c r="O23" i="107"/>
  <c r="O21" i="107"/>
  <c r="O18" i="107"/>
  <c r="O16" i="107"/>
  <c r="O14" i="107"/>
  <c r="O12" i="107"/>
  <c r="P26" i="107"/>
  <c r="P38" i="107"/>
  <c r="P30" i="107"/>
  <c r="P34" i="107"/>
  <c r="O30" i="107"/>
  <c r="AB38" i="105"/>
  <c r="T38" i="105"/>
  <c r="P10" i="107"/>
  <c r="O10" i="107"/>
  <c r="X35" i="105"/>
  <c r="AC23" i="95"/>
  <c r="U23" i="96"/>
  <c r="AA35" i="105"/>
  <c r="AD26" i="98"/>
  <c r="U35" i="105"/>
  <c r="AB35" i="105"/>
  <c r="T35" i="105"/>
  <c r="AE12" i="105"/>
  <c r="AF33" i="105"/>
  <c r="AF31" i="105"/>
  <c r="AF13" i="105"/>
  <c r="AC38" i="105"/>
  <c r="AA38" i="105"/>
  <c r="W38" i="105"/>
  <c r="W35" i="105"/>
  <c r="S35" i="105"/>
  <c r="AF11" i="105"/>
  <c r="AF32" i="105"/>
  <c r="Y35" i="105"/>
  <c r="AF15" i="105"/>
  <c r="AF30" i="105"/>
  <c r="AF29" i="105"/>
  <c r="AF28" i="105"/>
  <c r="AF27" i="105"/>
  <c r="AF26" i="105"/>
  <c r="AF25" i="105"/>
  <c r="AF24" i="105"/>
  <c r="AF23" i="105"/>
  <c r="AF22" i="105"/>
  <c r="AF21" i="105"/>
  <c r="AF20" i="105"/>
  <c r="AF19" i="105"/>
  <c r="AF18" i="105"/>
  <c r="AF17" i="105"/>
  <c r="AF16" i="105"/>
  <c r="AF14" i="105"/>
  <c r="AD35" i="105"/>
  <c r="Z35" i="105"/>
  <c r="V35" i="105"/>
  <c r="AF12" i="105"/>
  <c r="AD41" i="105"/>
  <c r="AD40" i="105"/>
  <c r="AD37" i="105"/>
  <c r="AD34" i="105"/>
  <c r="Z41" i="105"/>
  <c r="Z40" i="105"/>
  <c r="Z37" i="105"/>
  <c r="Z34" i="105"/>
  <c r="AE28" i="105"/>
  <c r="AE27" i="105"/>
  <c r="AE26" i="105"/>
  <c r="AE25" i="105"/>
  <c r="AE24" i="105"/>
  <c r="AE23" i="105"/>
  <c r="AE22" i="105"/>
  <c r="AE21" i="105"/>
  <c r="AE20" i="105"/>
  <c r="AE19" i="105"/>
  <c r="AE18" i="105"/>
  <c r="AE17" i="105"/>
  <c r="AE16" i="105"/>
  <c r="AE15" i="105"/>
  <c r="AE14" i="105"/>
  <c r="AE13" i="105"/>
  <c r="AE11" i="105"/>
  <c r="AC41" i="105"/>
  <c r="AC40" i="105"/>
  <c r="AC37" i="105"/>
  <c r="AC34" i="105"/>
  <c r="Y41" i="105"/>
  <c r="Y40" i="105"/>
  <c r="Y37" i="105"/>
  <c r="Y34" i="105"/>
  <c r="W41" i="105"/>
  <c r="W40" i="105"/>
  <c r="W37" i="105"/>
  <c r="W34" i="105"/>
  <c r="U41" i="105"/>
  <c r="U40" i="105"/>
  <c r="U37" i="105"/>
  <c r="U34" i="105"/>
  <c r="O106" i="105"/>
  <c r="G108" i="105" s="1"/>
  <c r="AE10" i="105"/>
  <c r="P106" i="105"/>
  <c r="G107" i="105" s="1"/>
  <c r="AF10" i="105"/>
  <c r="V41" i="105"/>
  <c r="V40" i="105"/>
  <c r="V37" i="105"/>
  <c r="V34" i="105"/>
  <c r="T41" i="105"/>
  <c r="T40" i="105"/>
  <c r="T37" i="105"/>
  <c r="T34" i="105"/>
  <c r="AE33" i="105"/>
  <c r="AE32" i="105"/>
  <c r="AE31" i="105"/>
  <c r="AE30" i="105"/>
  <c r="AE29" i="105"/>
  <c r="AB41" i="105"/>
  <c r="AB40" i="105"/>
  <c r="AB37" i="105"/>
  <c r="AB34" i="105"/>
  <c r="X41" i="105"/>
  <c r="X40" i="105"/>
  <c r="X37" i="105"/>
  <c r="X34" i="105"/>
  <c r="AA41" i="105"/>
  <c r="AA40" i="105"/>
  <c r="AA37" i="105"/>
  <c r="AA34" i="105"/>
  <c r="S41" i="105"/>
  <c r="S40" i="105"/>
  <c r="S37" i="105"/>
  <c r="S34" i="105"/>
  <c r="AD24" i="98"/>
  <c r="AC26" i="98"/>
  <c r="AA23" i="100"/>
  <c r="O106" i="101"/>
  <c r="C108" i="101" s="1"/>
  <c r="Y24" i="99"/>
  <c r="P106" i="101"/>
  <c r="U26" i="96"/>
  <c r="AB23" i="97"/>
  <c r="W26" i="99"/>
  <c r="U26" i="94"/>
  <c r="V26" i="98"/>
  <c r="U23" i="95"/>
  <c r="V41" i="101"/>
  <c r="AB41" i="101"/>
  <c r="X41" i="101"/>
  <c r="T41" i="101"/>
  <c r="W41" i="101"/>
  <c r="AC41" i="101"/>
  <c r="U41" i="101"/>
  <c r="AD41" i="101"/>
  <c r="Z41" i="101"/>
  <c r="AA41" i="101"/>
  <c r="Y41" i="101"/>
  <c r="S41" i="101"/>
  <c r="AE30" i="101"/>
  <c r="AE31" i="101"/>
  <c r="AE32" i="101"/>
  <c r="AE33" i="101"/>
  <c r="AF22" i="101"/>
  <c r="AF23" i="101"/>
  <c r="AF24" i="101"/>
  <c r="AF26" i="101"/>
  <c r="AF27" i="101"/>
  <c r="AF29" i="101"/>
  <c r="AF30" i="101"/>
  <c r="AF31" i="101"/>
  <c r="AE22" i="101"/>
  <c r="AE23" i="101"/>
  <c r="AE24" i="101"/>
  <c r="AE25" i="101"/>
  <c r="AE26" i="101"/>
  <c r="AE27" i="101"/>
  <c r="AE28" i="101"/>
  <c r="AE29" i="101"/>
  <c r="AB23" i="95"/>
  <c r="Y24" i="100"/>
  <c r="AB26" i="95"/>
  <c r="Z24" i="95"/>
  <c r="V23" i="99"/>
  <c r="V23" i="98"/>
  <c r="Z27" i="98"/>
  <c r="T24" i="98"/>
  <c r="Y27" i="94"/>
  <c r="Y23" i="96"/>
  <c r="Y26" i="94"/>
  <c r="Y23" i="95"/>
  <c r="AF13" i="104"/>
  <c r="W23" i="96"/>
  <c r="AA26" i="96"/>
  <c r="Y26" i="97"/>
  <c r="AD26" i="96"/>
  <c r="AC23" i="94"/>
  <c r="W27" i="98"/>
  <c r="V24" i="95"/>
  <c r="Y27" i="96"/>
  <c r="Z23" i="95"/>
  <c r="AC27" i="94"/>
  <c r="AA23" i="94"/>
  <c r="X26" i="95"/>
  <c r="X38" i="101"/>
  <c r="Y23" i="94"/>
  <c r="Y38" i="101"/>
  <c r="W26" i="94"/>
  <c r="X35" i="101"/>
  <c r="AB38" i="101"/>
  <c r="T38" i="101"/>
  <c r="AB35" i="101"/>
  <c r="T35" i="101"/>
  <c r="U23" i="94"/>
  <c r="AC24" i="104"/>
  <c r="W28" i="104"/>
  <c r="V23" i="95"/>
  <c r="W23" i="104"/>
  <c r="X25" i="104"/>
  <c r="S24" i="104"/>
  <c r="AB25" i="104"/>
  <c r="W23" i="94"/>
  <c r="U24" i="104"/>
  <c r="AC23" i="104"/>
  <c r="S25" i="104"/>
  <c r="AA26" i="103"/>
  <c r="Y26" i="103"/>
  <c r="W25" i="104"/>
  <c r="W27" i="104"/>
  <c r="W26" i="104"/>
  <c r="AC27" i="104"/>
  <c r="U23" i="104"/>
  <c r="AF16" i="103"/>
  <c r="AC26" i="103"/>
  <c r="U26" i="103"/>
  <c r="AF12" i="104"/>
  <c r="AA28" i="104"/>
  <c r="AF11" i="104"/>
  <c r="AB22" i="104"/>
  <c r="T22" i="104"/>
  <c r="AB23" i="103"/>
  <c r="T23" i="103"/>
  <c r="W24" i="104"/>
  <c r="X22" i="104"/>
  <c r="AA38" i="101"/>
  <c r="T25" i="104"/>
  <c r="W22" i="104"/>
  <c r="S28" i="104"/>
  <c r="AA25" i="104"/>
  <c r="S27" i="104"/>
  <c r="Y27" i="104"/>
  <c r="W26" i="103"/>
  <c r="AC38" i="101"/>
  <c r="Y35" i="101"/>
  <c r="U38" i="101"/>
  <c r="AF18" i="104"/>
  <c r="AA22" i="104"/>
  <c r="S22" i="104"/>
  <c r="AC26" i="104"/>
  <c r="U26" i="104"/>
  <c r="Y23" i="103"/>
  <c r="U23" i="103"/>
  <c r="AF14" i="103"/>
  <c r="S26" i="104"/>
  <c r="AC23" i="103"/>
  <c r="AF15" i="103"/>
  <c r="AA23" i="103"/>
  <c r="W23" i="103"/>
  <c r="AF20" i="104"/>
  <c r="AF16" i="104"/>
  <c r="Y23" i="100"/>
  <c r="AE15" i="103"/>
  <c r="AF21" i="104"/>
  <c r="AF19" i="104"/>
  <c r="Y24" i="104"/>
  <c r="AF17" i="104"/>
  <c r="AF15" i="104"/>
  <c r="Y26" i="104"/>
  <c r="AD23" i="104"/>
  <c r="Z26" i="104"/>
  <c r="V23" i="104"/>
  <c r="Z23" i="104"/>
  <c r="AF13" i="103"/>
  <c r="AF12" i="103"/>
  <c r="AF11" i="103"/>
  <c r="W28" i="100"/>
  <c r="AB26" i="99"/>
  <c r="T26" i="99"/>
  <c r="AF13" i="100"/>
  <c r="Z35" i="101"/>
  <c r="AB23" i="104"/>
  <c r="X26" i="104"/>
  <c r="T28" i="104"/>
  <c r="Y23" i="104"/>
  <c r="AF14" i="104"/>
  <c r="AD26" i="104"/>
  <c r="V26" i="104"/>
  <c r="S23" i="104"/>
  <c r="AF17" i="103"/>
  <c r="AF21" i="103"/>
  <c r="AF20" i="103"/>
  <c r="AF19" i="103"/>
  <c r="AF18" i="103"/>
  <c r="U27" i="104"/>
  <c r="Z28" i="104"/>
  <c r="Z25" i="104"/>
  <c r="Z22" i="104"/>
  <c r="AB27" i="104"/>
  <c r="AB24" i="104"/>
  <c r="X27" i="104"/>
  <c r="X24" i="104"/>
  <c r="T24" i="104"/>
  <c r="T27" i="104"/>
  <c r="AE13" i="104"/>
  <c r="Y28" i="104"/>
  <c r="Y25" i="104"/>
  <c r="Y22" i="104"/>
  <c r="O58" i="104"/>
  <c r="L60" i="104" s="1"/>
  <c r="AE10" i="104"/>
  <c r="AF10" i="104"/>
  <c r="P58" i="104"/>
  <c r="L59" i="104" s="1"/>
  <c r="AD28" i="103"/>
  <c r="AD25" i="103"/>
  <c r="AD22" i="103"/>
  <c r="Z28" i="103"/>
  <c r="Z25" i="103"/>
  <c r="Z22" i="103"/>
  <c r="V28" i="103"/>
  <c r="V25" i="103"/>
  <c r="V22" i="103"/>
  <c r="X28" i="104"/>
  <c r="X23" i="104"/>
  <c r="AE21" i="103"/>
  <c r="AE20" i="103"/>
  <c r="AE19" i="103"/>
  <c r="AE18" i="103"/>
  <c r="AE17" i="103"/>
  <c r="S26" i="103"/>
  <c r="S23" i="103"/>
  <c r="W28" i="103"/>
  <c r="W25" i="103"/>
  <c r="W22" i="103"/>
  <c r="Y28" i="103"/>
  <c r="Y25" i="103"/>
  <c r="Y22" i="103"/>
  <c r="O58" i="103"/>
  <c r="C60" i="103" s="1"/>
  <c r="AE10" i="103"/>
  <c r="AC26" i="99"/>
  <c r="AE21" i="104"/>
  <c r="AE20" i="104"/>
  <c r="AE19" i="104"/>
  <c r="AE18" i="104"/>
  <c r="AE17" i="104"/>
  <c r="AE16" i="104"/>
  <c r="AE15" i="104"/>
  <c r="AE14" i="104"/>
  <c r="AD28" i="104"/>
  <c r="AD25" i="104"/>
  <c r="AD22" i="104"/>
  <c r="V28" i="104"/>
  <c r="V25" i="104"/>
  <c r="V22" i="104"/>
  <c r="AD27" i="104"/>
  <c r="AD24" i="104"/>
  <c r="Z27" i="104"/>
  <c r="Z24" i="104"/>
  <c r="V27" i="104"/>
  <c r="V24" i="104"/>
  <c r="AB28" i="104"/>
  <c r="AB26" i="104"/>
  <c r="AE12" i="104"/>
  <c r="AE11" i="104"/>
  <c r="AC28" i="104"/>
  <c r="AC25" i="104"/>
  <c r="AC22" i="104"/>
  <c r="U28" i="104"/>
  <c r="U25" i="104"/>
  <c r="U22" i="104"/>
  <c r="AB28" i="103"/>
  <c r="AB25" i="103"/>
  <c r="AB22" i="103"/>
  <c r="X28" i="103"/>
  <c r="X25" i="103"/>
  <c r="X22" i="103"/>
  <c r="T28" i="103"/>
  <c r="T25" i="103"/>
  <c r="T22" i="103"/>
  <c r="T23" i="104"/>
  <c r="T26" i="104"/>
  <c r="AE16" i="103"/>
  <c r="AA28" i="103"/>
  <c r="AA25" i="103"/>
  <c r="AA22" i="103"/>
  <c r="S28" i="103"/>
  <c r="S25" i="103"/>
  <c r="S22" i="103"/>
  <c r="AE14" i="103"/>
  <c r="AE13" i="103"/>
  <c r="AE12" i="103"/>
  <c r="AE11" i="103"/>
  <c r="AC28" i="103"/>
  <c r="AC25" i="103"/>
  <c r="AC22" i="103"/>
  <c r="U28" i="103"/>
  <c r="U25" i="103"/>
  <c r="U22" i="103"/>
  <c r="P58" i="103"/>
  <c r="AF10" i="103"/>
  <c r="AC24" i="100"/>
  <c r="U24" i="100"/>
  <c r="AC23" i="100"/>
  <c r="U23" i="100"/>
  <c r="T25" i="100"/>
  <c r="AB23" i="99"/>
  <c r="T23" i="99"/>
  <c r="AA22" i="100"/>
  <c r="X26" i="99"/>
  <c r="W27" i="100"/>
  <c r="AF15" i="101"/>
  <c r="AF14" i="101"/>
  <c r="AF13" i="101"/>
  <c r="AF12" i="101"/>
  <c r="AF11" i="101"/>
  <c r="X23" i="99"/>
  <c r="X25" i="100"/>
  <c r="AA25" i="100"/>
  <c r="S24" i="100"/>
  <c r="AF21" i="101"/>
  <c r="AF20" i="101"/>
  <c r="AF19" i="101"/>
  <c r="AF18" i="101"/>
  <c r="AF17" i="101"/>
  <c r="AF16" i="101"/>
  <c r="AB40" i="101"/>
  <c r="AB37" i="101"/>
  <c r="AB34" i="101"/>
  <c r="X40" i="101"/>
  <c r="X37" i="101"/>
  <c r="X34" i="101"/>
  <c r="T40" i="101"/>
  <c r="T37" i="101"/>
  <c r="T34" i="101"/>
  <c r="AE21" i="101"/>
  <c r="AE20" i="101"/>
  <c r="AE19" i="101"/>
  <c r="AE18" i="101"/>
  <c r="AE17" i="101"/>
  <c r="AE16" i="101"/>
  <c r="AE15" i="101"/>
  <c r="S38" i="101"/>
  <c r="S35" i="101"/>
  <c r="W40" i="101"/>
  <c r="W37" i="101"/>
  <c r="W34" i="101"/>
  <c r="AE14" i="101"/>
  <c r="AE13" i="101"/>
  <c r="AE12" i="101"/>
  <c r="AE11" i="101"/>
  <c r="AC40" i="101"/>
  <c r="AC37" i="101"/>
  <c r="AC34" i="101"/>
  <c r="U40" i="101"/>
  <c r="U37" i="101"/>
  <c r="U34" i="101"/>
  <c r="AF10" i="101"/>
  <c r="S23" i="98"/>
  <c r="Z23" i="99"/>
  <c r="Y23" i="99"/>
  <c r="S22" i="100"/>
  <c r="W26" i="100"/>
  <c r="AD40" i="101"/>
  <c r="AD37" i="101"/>
  <c r="AD34" i="101"/>
  <c r="Z40" i="101"/>
  <c r="Z37" i="101"/>
  <c r="Z34" i="101"/>
  <c r="V40" i="101"/>
  <c r="V37" i="101"/>
  <c r="V34" i="101"/>
  <c r="AA40" i="101"/>
  <c r="AA37" i="101"/>
  <c r="AA34" i="101"/>
  <c r="S40" i="101"/>
  <c r="S37" i="101"/>
  <c r="S34" i="101"/>
  <c r="Y40" i="101"/>
  <c r="Y37" i="101"/>
  <c r="Y34" i="101"/>
  <c r="AE10" i="101"/>
  <c r="AE12" i="97"/>
  <c r="Y27" i="100"/>
  <c r="Y26" i="100"/>
  <c r="AF13" i="96"/>
  <c r="AE19" i="96"/>
  <c r="AE17" i="96"/>
  <c r="AE15" i="96"/>
  <c r="S23" i="96"/>
  <c r="T25" i="94"/>
  <c r="AE18" i="96"/>
  <c r="S23" i="97"/>
  <c r="AB25" i="100"/>
  <c r="W23" i="100"/>
  <c r="AA28" i="100"/>
  <c r="AA23" i="99"/>
  <c r="W23" i="99"/>
  <c r="AF12" i="100"/>
  <c r="W25" i="100"/>
  <c r="S28" i="100"/>
  <c r="AF11" i="100"/>
  <c r="W24" i="100"/>
  <c r="S23" i="100"/>
  <c r="X25" i="94"/>
  <c r="S26" i="100"/>
  <c r="AE16" i="96"/>
  <c r="AE21" i="96"/>
  <c r="AF11" i="98"/>
  <c r="AE18" i="97"/>
  <c r="AE19" i="98"/>
  <c r="AE21" i="100"/>
  <c r="AE20" i="100"/>
  <c r="AE19" i="100"/>
  <c r="AE18" i="100"/>
  <c r="AE17" i="100"/>
  <c r="AE16" i="100"/>
  <c r="AE15" i="100"/>
  <c r="AF20" i="100"/>
  <c r="AF18" i="100"/>
  <c r="AF16" i="100"/>
  <c r="AB23" i="100"/>
  <c r="W22" i="100"/>
  <c r="AC27" i="100"/>
  <c r="AC26" i="100"/>
  <c r="U26" i="100"/>
  <c r="S27" i="100"/>
  <c r="S25" i="100"/>
  <c r="AF14" i="99"/>
  <c r="AE20" i="96"/>
  <c r="AE14" i="96"/>
  <c r="S23" i="95"/>
  <c r="S25" i="94"/>
  <c r="X23" i="100"/>
  <c r="AB28" i="100"/>
  <c r="AF21" i="99"/>
  <c r="AF20" i="99"/>
  <c r="AF19" i="99"/>
  <c r="AF18" i="99"/>
  <c r="AF17" i="99"/>
  <c r="U27" i="100"/>
  <c r="AF16" i="99"/>
  <c r="AF15" i="99"/>
  <c r="AF13" i="99"/>
  <c r="AF12" i="99"/>
  <c r="AF11" i="99"/>
  <c r="AE15" i="98"/>
  <c r="AF13" i="94"/>
  <c r="S23" i="94"/>
  <c r="X22" i="94"/>
  <c r="AE21" i="98"/>
  <c r="AE18" i="98"/>
  <c r="AE16" i="98"/>
  <c r="AE14" i="98"/>
  <c r="AF21" i="100"/>
  <c r="AF19" i="100"/>
  <c r="AF17" i="100"/>
  <c r="AD26" i="100"/>
  <c r="Z23" i="100"/>
  <c r="V26" i="100"/>
  <c r="AF15" i="100"/>
  <c r="AB26" i="100"/>
  <c r="X26" i="100"/>
  <c r="AF14" i="100"/>
  <c r="AE20" i="98"/>
  <c r="AE17" i="98"/>
  <c r="AE11" i="97"/>
  <c r="AE14" i="100"/>
  <c r="AD28" i="100"/>
  <c r="AD25" i="100"/>
  <c r="AD22" i="100"/>
  <c r="V28" i="100"/>
  <c r="V25" i="100"/>
  <c r="V22" i="100"/>
  <c r="AD27" i="100"/>
  <c r="AD24" i="100"/>
  <c r="Z27" i="100"/>
  <c r="Z24" i="100"/>
  <c r="V27" i="100"/>
  <c r="V24" i="100"/>
  <c r="AE12" i="100"/>
  <c r="AE11" i="100"/>
  <c r="AC28" i="100"/>
  <c r="AC25" i="100"/>
  <c r="AC22" i="100"/>
  <c r="U28" i="100"/>
  <c r="U25" i="100"/>
  <c r="U22" i="100"/>
  <c r="AB28" i="99"/>
  <c r="AB25" i="99"/>
  <c r="AB22" i="99"/>
  <c r="X28" i="99"/>
  <c r="X25" i="99"/>
  <c r="X22" i="99"/>
  <c r="T28" i="99"/>
  <c r="T25" i="99"/>
  <c r="T22" i="99"/>
  <c r="AD23" i="100"/>
  <c r="Z26" i="100"/>
  <c r="V23" i="100"/>
  <c r="T23" i="100"/>
  <c r="T26" i="100"/>
  <c r="S26" i="99"/>
  <c r="S23" i="99"/>
  <c r="W28" i="99"/>
  <c r="W25" i="99"/>
  <c r="W22" i="99"/>
  <c r="Y28" i="99"/>
  <c r="Y25" i="99"/>
  <c r="Y22" i="99"/>
  <c r="O58" i="99"/>
  <c r="C60" i="99" s="1"/>
  <c r="AE10" i="99"/>
  <c r="AA25" i="94"/>
  <c r="AF12" i="95"/>
  <c r="S24" i="96"/>
  <c r="S26" i="96"/>
  <c r="AF20" i="98"/>
  <c r="AF13" i="98"/>
  <c r="AF19" i="97"/>
  <c r="AE16" i="97"/>
  <c r="Z28" i="100"/>
  <c r="Z25" i="100"/>
  <c r="Z22" i="100"/>
  <c r="AB27" i="100"/>
  <c r="AB24" i="100"/>
  <c r="X27" i="100"/>
  <c r="X24" i="100"/>
  <c r="T24" i="100"/>
  <c r="T27" i="100"/>
  <c r="T28" i="100"/>
  <c r="AE13" i="100"/>
  <c r="Y28" i="100"/>
  <c r="Y25" i="100"/>
  <c r="Y22" i="100"/>
  <c r="O58" i="100"/>
  <c r="AE10" i="100"/>
  <c r="AF10" i="100"/>
  <c r="P58" i="100"/>
  <c r="H59" i="100" s="1"/>
  <c r="AD28" i="99"/>
  <c r="AD25" i="99"/>
  <c r="AD22" i="99"/>
  <c r="Z28" i="99"/>
  <c r="Z25" i="99"/>
  <c r="Z22" i="99"/>
  <c r="V28" i="99"/>
  <c r="V25" i="99"/>
  <c r="V22" i="99"/>
  <c r="X28" i="100"/>
  <c r="AE21" i="99"/>
  <c r="AE20" i="99"/>
  <c r="AE19" i="99"/>
  <c r="AE18" i="99"/>
  <c r="AE17" i="99"/>
  <c r="AE16" i="99"/>
  <c r="AE15" i="99"/>
  <c r="AA28" i="99"/>
  <c r="AA25" i="99"/>
  <c r="AA22" i="99"/>
  <c r="S28" i="99"/>
  <c r="S25" i="99"/>
  <c r="S22" i="99"/>
  <c r="AE14" i="99"/>
  <c r="AE13" i="99"/>
  <c r="AE12" i="99"/>
  <c r="AE11" i="99"/>
  <c r="AC28" i="99"/>
  <c r="AC25" i="99"/>
  <c r="AC22" i="99"/>
  <c r="U28" i="99"/>
  <c r="U25" i="99"/>
  <c r="U22" i="99"/>
  <c r="P58" i="99"/>
  <c r="AF10" i="99"/>
  <c r="AF12" i="98"/>
  <c r="S24" i="98"/>
  <c r="AE17" i="97"/>
  <c r="AE15" i="97"/>
  <c r="AE14" i="97"/>
  <c r="AE13" i="97"/>
  <c r="AF18" i="97"/>
  <c r="S27" i="98"/>
  <c r="AB22" i="94"/>
  <c r="T22" i="94"/>
  <c r="AF18" i="98"/>
  <c r="AF19" i="98"/>
  <c r="AE21" i="97"/>
  <c r="AE20" i="97"/>
  <c r="AE19" i="97"/>
  <c r="S26" i="98"/>
  <c r="AF21" i="98"/>
  <c r="AF17" i="98"/>
  <c r="AF16" i="98"/>
  <c r="AF15" i="98"/>
  <c r="AF14" i="98"/>
  <c r="AD28" i="98"/>
  <c r="AD25" i="98"/>
  <c r="AD22" i="98"/>
  <c r="Z28" i="98"/>
  <c r="Z25" i="98"/>
  <c r="Z22" i="98"/>
  <c r="V28" i="98"/>
  <c r="V25" i="98"/>
  <c r="V22" i="98"/>
  <c r="P58" i="98"/>
  <c r="AF10" i="98"/>
  <c r="AA28" i="98"/>
  <c r="AA25" i="98"/>
  <c r="AA22" i="98"/>
  <c r="W28" i="98"/>
  <c r="W25" i="98"/>
  <c r="W22" i="98"/>
  <c r="S28" i="98"/>
  <c r="S25" i="98"/>
  <c r="S22" i="98"/>
  <c r="AF21" i="97"/>
  <c r="AF20" i="97"/>
  <c r="AC28" i="97"/>
  <c r="AC25" i="97"/>
  <c r="AC22" i="97"/>
  <c r="Y28" i="97"/>
  <c r="Y25" i="97"/>
  <c r="Y22" i="97"/>
  <c r="U28" i="97"/>
  <c r="U25" i="97"/>
  <c r="U22" i="97"/>
  <c r="O58" i="97"/>
  <c r="AE10" i="97"/>
  <c r="AB28" i="97"/>
  <c r="AB25" i="97"/>
  <c r="AB22" i="97"/>
  <c r="X28" i="97"/>
  <c r="X25" i="97"/>
  <c r="X22" i="97"/>
  <c r="T28" i="97"/>
  <c r="T25" i="97"/>
  <c r="T22" i="97"/>
  <c r="AF12" i="96"/>
  <c r="W25" i="94"/>
  <c r="AB28" i="98"/>
  <c r="AB25" i="98"/>
  <c r="AB22" i="98"/>
  <c r="X28" i="98"/>
  <c r="X25" i="98"/>
  <c r="X22" i="98"/>
  <c r="T28" i="98"/>
  <c r="T25" i="98"/>
  <c r="T22" i="98"/>
  <c r="AE13" i="98"/>
  <c r="AE12" i="98"/>
  <c r="AE11" i="98"/>
  <c r="AC28" i="98"/>
  <c r="AC25" i="98"/>
  <c r="AC22" i="98"/>
  <c r="Y28" i="98"/>
  <c r="Y25" i="98"/>
  <c r="Y22" i="98"/>
  <c r="U28" i="98"/>
  <c r="U25" i="98"/>
  <c r="U22" i="98"/>
  <c r="O58" i="98"/>
  <c r="AE10" i="98"/>
  <c r="AF17" i="97"/>
  <c r="AA28" i="97"/>
  <c r="AA25" i="97"/>
  <c r="AA22" i="97"/>
  <c r="W28" i="97"/>
  <c r="W25" i="97"/>
  <c r="W22" i="97"/>
  <c r="S28" i="97"/>
  <c r="S25" i="97"/>
  <c r="S22" i="97"/>
  <c r="AF16" i="97"/>
  <c r="AF15" i="97"/>
  <c r="AF14" i="97"/>
  <c r="AF13" i="97"/>
  <c r="AF12" i="97"/>
  <c r="AF11" i="97"/>
  <c r="AD28" i="97"/>
  <c r="AD25" i="97"/>
  <c r="AD22" i="97"/>
  <c r="Z28" i="97"/>
  <c r="Z25" i="97"/>
  <c r="Z22" i="97"/>
  <c r="V28" i="97"/>
  <c r="V25" i="97"/>
  <c r="V22" i="97"/>
  <c r="P58" i="97"/>
  <c r="AF10" i="97"/>
  <c r="AE21" i="95"/>
  <c r="AE20" i="95"/>
  <c r="AB25" i="94"/>
  <c r="W22" i="94"/>
  <c r="AF11" i="94"/>
  <c r="W28" i="94"/>
  <c r="AE19" i="95"/>
  <c r="AE17" i="95"/>
  <c r="AE18" i="95"/>
  <c r="AF15" i="95"/>
  <c r="AF14" i="95"/>
  <c r="AF13" i="95"/>
  <c r="AF11" i="96"/>
  <c r="S27" i="95"/>
  <c r="S28" i="94"/>
  <c r="AA28" i="94"/>
  <c r="AF12" i="94"/>
  <c r="AF16" i="95"/>
  <c r="AF21" i="95"/>
  <c r="AF20" i="95"/>
  <c r="S26" i="95"/>
  <c r="AF20" i="94"/>
  <c r="AF18" i="94"/>
  <c r="AF16" i="94"/>
  <c r="AF14" i="94"/>
  <c r="AA22" i="94"/>
  <c r="S22" i="94"/>
  <c r="S24" i="95"/>
  <c r="AF11" i="95"/>
  <c r="S27" i="96"/>
  <c r="AF21" i="96"/>
  <c r="AF20" i="96"/>
  <c r="AF19" i="96"/>
  <c r="AF18" i="96"/>
  <c r="AF17" i="96"/>
  <c r="AF16" i="96"/>
  <c r="AF15" i="96"/>
  <c r="AF14" i="96"/>
  <c r="AD28" i="96"/>
  <c r="AD25" i="96"/>
  <c r="AD22" i="96"/>
  <c r="Z28" i="96"/>
  <c r="Z25" i="96"/>
  <c r="Z22" i="96"/>
  <c r="V28" i="96"/>
  <c r="V25" i="96"/>
  <c r="V22" i="96"/>
  <c r="P58" i="96"/>
  <c r="AF10" i="96"/>
  <c r="AA28" i="96"/>
  <c r="AA25" i="96"/>
  <c r="AA22" i="96"/>
  <c r="W28" i="96"/>
  <c r="W25" i="96"/>
  <c r="W22" i="96"/>
  <c r="S28" i="96"/>
  <c r="S25" i="96"/>
  <c r="S22" i="96"/>
  <c r="AB28" i="95"/>
  <c r="AB25" i="95"/>
  <c r="AB22" i="95"/>
  <c r="X28" i="95"/>
  <c r="X25" i="95"/>
  <c r="X22" i="95"/>
  <c r="T28" i="95"/>
  <c r="T25" i="95"/>
  <c r="T22" i="95"/>
  <c r="AE13" i="95"/>
  <c r="AE12" i="95"/>
  <c r="AE11" i="95"/>
  <c r="AC28" i="95"/>
  <c r="AC25" i="95"/>
  <c r="AC22" i="95"/>
  <c r="Y28" i="95"/>
  <c r="Y25" i="95"/>
  <c r="Y22" i="95"/>
  <c r="U28" i="95"/>
  <c r="U25" i="95"/>
  <c r="U22" i="95"/>
  <c r="O58" i="95"/>
  <c r="AE10" i="95"/>
  <c r="AB28" i="96"/>
  <c r="AB25" i="96"/>
  <c r="AB22" i="96"/>
  <c r="X28" i="96"/>
  <c r="X25" i="96"/>
  <c r="X22" i="96"/>
  <c r="T28" i="96"/>
  <c r="T25" i="96"/>
  <c r="T22" i="96"/>
  <c r="AE13" i="96"/>
  <c r="AE12" i="96"/>
  <c r="AE11" i="96"/>
  <c r="AC28" i="96"/>
  <c r="AC25" i="96"/>
  <c r="AC22" i="96"/>
  <c r="Y28" i="96"/>
  <c r="Y25" i="96"/>
  <c r="Y22" i="96"/>
  <c r="U28" i="96"/>
  <c r="U25" i="96"/>
  <c r="U22" i="96"/>
  <c r="O58" i="96"/>
  <c r="AE10" i="96"/>
  <c r="AF19" i="95"/>
  <c r="AF18" i="95"/>
  <c r="AF17" i="95"/>
  <c r="AD28" i="95"/>
  <c r="AD25" i="95"/>
  <c r="AD22" i="95"/>
  <c r="Z28" i="95"/>
  <c r="Z25" i="95"/>
  <c r="Z22" i="95"/>
  <c r="V28" i="95"/>
  <c r="V25" i="95"/>
  <c r="V22" i="95"/>
  <c r="P58" i="95"/>
  <c r="AF10" i="95"/>
  <c r="AE16" i="95"/>
  <c r="AE15" i="95"/>
  <c r="AE14" i="95"/>
  <c r="AA28" i="95"/>
  <c r="AA25" i="95"/>
  <c r="AA22" i="95"/>
  <c r="W28" i="95"/>
  <c r="W25" i="95"/>
  <c r="W22" i="95"/>
  <c r="S28" i="95"/>
  <c r="S25" i="95"/>
  <c r="S22" i="95"/>
  <c r="AB23" i="94"/>
  <c r="X26" i="94"/>
  <c r="AB28" i="94"/>
  <c r="X28" i="94"/>
  <c r="X23" i="94"/>
  <c r="AF21" i="94"/>
  <c r="AF19" i="94"/>
  <c r="AF17" i="94"/>
  <c r="AD23" i="94"/>
  <c r="Z26" i="94"/>
  <c r="V23" i="94"/>
  <c r="AF15" i="94"/>
  <c r="AB26" i="94"/>
  <c r="T28" i="94"/>
  <c r="Z28" i="94"/>
  <c r="Z25" i="94"/>
  <c r="Z22" i="94"/>
  <c r="AD27" i="94"/>
  <c r="AD24" i="94"/>
  <c r="Z27" i="94"/>
  <c r="Z24" i="94"/>
  <c r="V27" i="94"/>
  <c r="V24" i="94"/>
  <c r="AE12" i="94"/>
  <c r="AE11" i="94"/>
  <c r="AC28" i="94"/>
  <c r="AC25" i="94"/>
  <c r="AC22" i="94"/>
  <c r="U28" i="94"/>
  <c r="U25" i="94"/>
  <c r="U22" i="94"/>
  <c r="AD26" i="94"/>
  <c r="Z23" i="94"/>
  <c r="V26" i="94"/>
  <c r="AE21" i="94"/>
  <c r="AE20" i="94"/>
  <c r="AE19" i="94"/>
  <c r="AE18" i="94"/>
  <c r="AE17" i="94"/>
  <c r="AE16" i="94"/>
  <c r="AE15" i="94"/>
  <c r="AE14" i="94"/>
  <c r="AD28" i="94"/>
  <c r="AD25" i="94"/>
  <c r="AD22" i="94"/>
  <c r="V28" i="94"/>
  <c r="V25" i="94"/>
  <c r="V22" i="94"/>
  <c r="AB27" i="94"/>
  <c r="AB24" i="94"/>
  <c r="X27" i="94"/>
  <c r="X24" i="94"/>
  <c r="T24" i="94"/>
  <c r="T27" i="94"/>
  <c r="AE13" i="94"/>
  <c r="Y28" i="94"/>
  <c r="Y25" i="94"/>
  <c r="Y22" i="94"/>
  <c r="O58" i="94"/>
  <c r="C60" i="94" s="1"/>
  <c r="AE10" i="94"/>
  <c r="AF10" i="94"/>
  <c r="P58" i="94"/>
  <c r="H59" i="94" s="1"/>
  <c r="T23" i="94"/>
  <c r="T26" i="94"/>
  <c r="Z21" i="93"/>
  <c r="AD20" i="93"/>
  <c r="V20" i="93"/>
  <c r="Z19" i="93"/>
  <c r="AD18" i="93"/>
  <c r="V18" i="93"/>
  <c r="Z17" i="93"/>
  <c r="AD16" i="93"/>
  <c r="V16" i="93"/>
  <c r="Z15" i="93"/>
  <c r="AD14" i="93"/>
  <c r="V14" i="93"/>
  <c r="Z13" i="93"/>
  <c r="AD12" i="93"/>
  <c r="V12" i="93"/>
  <c r="Z11" i="93"/>
  <c r="AD21" i="93"/>
  <c r="V21" i="93"/>
  <c r="Z20" i="93"/>
  <c r="AD19" i="93"/>
  <c r="V19" i="93"/>
  <c r="Z18" i="93"/>
  <c r="AD17" i="93"/>
  <c r="V17" i="93"/>
  <c r="Z16" i="93"/>
  <c r="AD15" i="93"/>
  <c r="V15" i="93"/>
  <c r="Z14" i="93"/>
  <c r="AD13" i="93"/>
  <c r="V13" i="93"/>
  <c r="Z12" i="93"/>
  <c r="AD11" i="93"/>
  <c r="V11" i="93"/>
  <c r="AB21" i="93"/>
  <c r="X21" i="93"/>
  <c r="T21" i="93"/>
  <c r="AB20" i="93"/>
  <c r="X20" i="93"/>
  <c r="T20" i="93"/>
  <c r="AB19" i="93"/>
  <c r="X19" i="93"/>
  <c r="T19" i="93"/>
  <c r="AB18" i="93"/>
  <c r="X18" i="93"/>
  <c r="T18" i="93"/>
  <c r="AB17" i="93"/>
  <c r="X17" i="93"/>
  <c r="T17" i="93"/>
  <c r="AB16" i="93"/>
  <c r="X16" i="93"/>
  <c r="T16" i="93"/>
  <c r="AB15" i="93"/>
  <c r="X15" i="93"/>
  <c r="T15" i="93"/>
  <c r="AB14" i="93"/>
  <c r="X14" i="93"/>
  <c r="T14" i="93"/>
  <c r="AB13" i="93"/>
  <c r="X13" i="93"/>
  <c r="T13" i="93"/>
  <c r="AB12" i="93"/>
  <c r="X12" i="93"/>
  <c r="T12" i="93"/>
  <c r="AB11" i="93"/>
  <c r="X11" i="93"/>
  <c r="T11" i="93"/>
  <c r="AC21" i="93"/>
  <c r="AA21" i="93"/>
  <c r="Y21" i="93"/>
  <c r="W21" i="93"/>
  <c r="U21" i="93"/>
  <c r="S21" i="93"/>
  <c r="AC20" i="93"/>
  <c r="AA20" i="93"/>
  <c r="Y20" i="93"/>
  <c r="W20" i="93"/>
  <c r="U20" i="93"/>
  <c r="S20" i="93"/>
  <c r="AC19" i="93"/>
  <c r="AA19" i="93"/>
  <c r="Y19" i="93"/>
  <c r="W19" i="93"/>
  <c r="U19" i="93"/>
  <c r="S19" i="93"/>
  <c r="AC18" i="93"/>
  <c r="AA18" i="93"/>
  <c r="Y18" i="93"/>
  <c r="W18" i="93"/>
  <c r="U18" i="93"/>
  <c r="S18" i="93"/>
  <c r="AC17" i="93"/>
  <c r="AA17" i="93"/>
  <c r="Y17" i="93"/>
  <c r="W17" i="93"/>
  <c r="U17" i="93"/>
  <c r="S17" i="93"/>
  <c r="AC16" i="93"/>
  <c r="AA16" i="93"/>
  <c r="Y16" i="93"/>
  <c r="W16" i="93"/>
  <c r="U16" i="93"/>
  <c r="S16" i="93"/>
  <c r="AC15" i="93"/>
  <c r="AA15" i="93"/>
  <c r="Y15" i="93"/>
  <c r="W15" i="93"/>
  <c r="U15" i="93"/>
  <c r="S15" i="93"/>
  <c r="AC14" i="93"/>
  <c r="AA14" i="93"/>
  <c r="Y14" i="93"/>
  <c r="W14" i="93"/>
  <c r="U14" i="93"/>
  <c r="S14" i="93"/>
  <c r="AC13" i="93"/>
  <c r="AA13" i="93"/>
  <c r="Y13" i="93"/>
  <c r="W13" i="93"/>
  <c r="U13" i="93"/>
  <c r="S13" i="93"/>
  <c r="AC12" i="93"/>
  <c r="AA12" i="93"/>
  <c r="Y12" i="93"/>
  <c r="W12" i="93"/>
  <c r="U12" i="93"/>
  <c r="S12" i="93"/>
  <c r="AC11" i="93"/>
  <c r="AA11" i="93"/>
  <c r="Y11" i="93"/>
  <c r="W11" i="93"/>
  <c r="U11" i="93"/>
  <c r="S11" i="93"/>
  <c r="S10" i="93"/>
  <c r="AC10" i="93"/>
  <c r="AA10" i="93"/>
  <c r="Y10" i="93"/>
  <c r="W10" i="93"/>
  <c r="U10" i="93"/>
  <c r="AD10" i="93"/>
  <c r="AB10" i="93"/>
  <c r="Z10" i="93"/>
  <c r="X10" i="93"/>
  <c r="V10" i="93"/>
  <c r="V22" i="93" s="1"/>
  <c r="T10" i="93"/>
  <c r="P34" i="93"/>
  <c r="P50" i="93"/>
  <c r="P18" i="93"/>
  <c r="N58" i="93"/>
  <c r="P42" i="93"/>
  <c r="P26" i="93"/>
  <c r="P56" i="93"/>
  <c r="P46" i="93"/>
  <c r="P38" i="93"/>
  <c r="P30" i="93"/>
  <c r="P22" i="93"/>
  <c r="P14" i="93"/>
  <c r="F58" i="93"/>
  <c r="P10" i="93"/>
  <c r="P52" i="93"/>
  <c r="P48" i="93"/>
  <c r="P44" i="93"/>
  <c r="P40" i="93"/>
  <c r="P36" i="93"/>
  <c r="P32" i="93"/>
  <c r="P28" i="93"/>
  <c r="P24" i="93"/>
  <c r="P23" i="93"/>
  <c r="P20" i="93"/>
  <c r="P16" i="93"/>
  <c r="P12" i="93"/>
  <c r="P54" i="93"/>
  <c r="P51" i="93"/>
  <c r="P49" i="93"/>
  <c r="P35" i="93"/>
  <c r="P33" i="93"/>
  <c r="P31" i="93"/>
  <c r="P21" i="93"/>
  <c r="P19" i="93"/>
  <c r="P17" i="93"/>
  <c r="P15" i="93"/>
  <c r="P13" i="93"/>
  <c r="P11" i="93"/>
  <c r="P47" i="93"/>
  <c r="P45" i="93"/>
  <c r="P43" i="93"/>
  <c r="P41" i="93"/>
  <c r="P39" i="93"/>
  <c r="P37" i="93"/>
  <c r="P29" i="93"/>
  <c r="P27" i="93"/>
  <c r="P25" i="93"/>
  <c r="K58" i="93"/>
  <c r="G58" i="93"/>
  <c r="P57" i="93"/>
  <c r="P55" i="93"/>
  <c r="H58" i="93"/>
  <c r="D58" i="93"/>
  <c r="L58" i="93"/>
  <c r="P53" i="93"/>
  <c r="J58" i="93"/>
  <c r="E58" i="93"/>
  <c r="I58" i="93"/>
  <c r="O27" i="93"/>
  <c r="O29" i="93"/>
  <c r="O31" i="93"/>
  <c r="O33" i="93"/>
  <c r="O35" i="93"/>
  <c r="O37" i="93"/>
  <c r="O39" i="93"/>
  <c r="O41" i="93"/>
  <c r="O43" i="93"/>
  <c r="O45" i="93"/>
  <c r="O47" i="93"/>
  <c r="O49" i="93"/>
  <c r="O51" i="93"/>
  <c r="O53" i="93"/>
  <c r="O55" i="93"/>
  <c r="O57" i="93"/>
  <c r="M58" i="93"/>
  <c r="O10" i="93"/>
  <c r="O11" i="93"/>
  <c r="O12" i="93"/>
  <c r="O13" i="93"/>
  <c r="O14" i="93"/>
  <c r="O15" i="93"/>
  <c r="O16" i="93"/>
  <c r="O17" i="93"/>
  <c r="O18" i="93"/>
  <c r="O19" i="93"/>
  <c r="O20" i="93"/>
  <c r="O21" i="93"/>
  <c r="O22" i="93"/>
  <c r="O23" i="93"/>
  <c r="O24" i="93"/>
  <c r="O25" i="93"/>
  <c r="O26" i="93"/>
  <c r="O28" i="93"/>
  <c r="O30" i="93"/>
  <c r="O32" i="93"/>
  <c r="O34" i="93"/>
  <c r="O36" i="93"/>
  <c r="O38" i="93"/>
  <c r="O40" i="93"/>
  <c r="O42" i="93"/>
  <c r="O44" i="93"/>
  <c r="O46" i="93"/>
  <c r="O48" i="93"/>
  <c r="O50" i="93"/>
  <c r="O52" i="93"/>
  <c r="O54" i="93"/>
  <c r="O56" i="93"/>
  <c r="C58" i="93"/>
  <c r="X42" i="109" l="1"/>
  <c r="AE24" i="98"/>
  <c r="O47" i="111"/>
  <c r="O52" i="111"/>
  <c r="O12" i="111"/>
  <c r="P26" i="111"/>
  <c r="P46" i="111"/>
  <c r="P10" i="111"/>
  <c r="O22" i="111"/>
  <c r="P31" i="111"/>
  <c r="O34" i="111"/>
  <c r="P17" i="111"/>
  <c r="O21" i="111"/>
  <c r="O37" i="111"/>
  <c r="P41" i="111"/>
  <c r="O42" i="111"/>
  <c r="P53" i="111"/>
  <c r="P13" i="111"/>
  <c r="O14" i="111"/>
  <c r="O15" i="111"/>
  <c r="O17" i="111"/>
  <c r="O19" i="111"/>
  <c r="P20" i="111"/>
  <c r="P25" i="111"/>
  <c r="O26" i="111"/>
  <c r="P28" i="111"/>
  <c r="P30" i="111"/>
  <c r="O32" i="111"/>
  <c r="P33" i="111"/>
  <c r="P38" i="111"/>
  <c r="P39" i="111"/>
  <c r="O40" i="111"/>
  <c r="P44" i="111"/>
  <c r="P47" i="111"/>
  <c r="P50" i="111"/>
  <c r="P51" i="111"/>
  <c r="P54" i="111"/>
  <c r="O55" i="111"/>
  <c r="P23" i="111"/>
  <c r="O23" i="111"/>
  <c r="O43" i="111"/>
  <c r="O49" i="111"/>
  <c r="P49" i="111"/>
  <c r="P56" i="111"/>
  <c r="O10" i="111"/>
  <c r="C108" i="110"/>
  <c r="P15" i="111"/>
  <c r="O28" i="111"/>
  <c r="O35" i="111"/>
  <c r="O25" i="111"/>
  <c r="O44" i="111"/>
  <c r="O54" i="111"/>
  <c r="P36" i="111"/>
  <c r="O57" i="111"/>
  <c r="O11" i="111"/>
  <c r="O13" i="111"/>
  <c r="O16" i="111"/>
  <c r="O20" i="111"/>
  <c r="P21" i="111"/>
  <c r="P24" i="111"/>
  <c r="P29" i="111"/>
  <c r="O30" i="111"/>
  <c r="O33" i="111"/>
  <c r="P34" i="111"/>
  <c r="P35" i="111"/>
  <c r="O36" i="111"/>
  <c r="P37" i="111"/>
  <c r="O38" i="111"/>
  <c r="O41" i="111"/>
  <c r="P42" i="111"/>
  <c r="P45" i="111"/>
  <c r="O46" i="111"/>
  <c r="O48" i="111"/>
  <c r="O50" i="111"/>
  <c r="O51" i="111"/>
  <c r="O53" i="111"/>
  <c r="P55" i="111"/>
  <c r="O56" i="111"/>
  <c r="P57" i="111"/>
  <c r="P14" i="111"/>
  <c r="P16" i="111"/>
  <c r="O18" i="111"/>
  <c r="O27" i="111"/>
  <c r="O29" i="111"/>
  <c r="O39" i="111"/>
  <c r="P48" i="111"/>
  <c r="P52" i="111"/>
  <c r="P12" i="111"/>
  <c r="P19" i="111"/>
  <c r="O24" i="111"/>
  <c r="O31" i="111"/>
  <c r="O45" i="111"/>
  <c r="P11" i="111"/>
  <c r="P18" i="111"/>
  <c r="P22" i="111"/>
  <c r="P27" i="111"/>
  <c r="P32" i="111"/>
  <c r="P40" i="111"/>
  <c r="P43" i="111"/>
  <c r="F108" i="110"/>
  <c r="H108" i="110"/>
  <c r="N108" i="110"/>
  <c r="AE39" i="110"/>
  <c r="W42" i="110"/>
  <c r="AE36" i="110"/>
  <c r="F107" i="110"/>
  <c r="C107" i="110"/>
  <c r="H107" i="110"/>
  <c r="T42" i="110"/>
  <c r="Y42" i="110"/>
  <c r="X42" i="110"/>
  <c r="AF36" i="110"/>
  <c r="AF39" i="110"/>
  <c r="AF35" i="110"/>
  <c r="AF38" i="110"/>
  <c r="U42" i="110"/>
  <c r="AC42" i="110"/>
  <c r="AE38" i="110"/>
  <c r="AE35" i="110"/>
  <c r="V42" i="110"/>
  <c r="AB42" i="110"/>
  <c r="M107" i="110"/>
  <c r="D107" i="110"/>
  <c r="L107" i="110"/>
  <c r="E107" i="110"/>
  <c r="G107" i="110"/>
  <c r="I107" i="110"/>
  <c r="K107" i="110"/>
  <c r="AE41" i="110"/>
  <c r="AE40" i="110"/>
  <c r="AE37" i="110"/>
  <c r="AE34" i="110"/>
  <c r="Z42" i="110"/>
  <c r="AD42" i="110"/>
  <c r="AF41" i="110"/>
  <c r="AF40" i="110"/>
  <c r="AF37" i="110"/>
  <c r="AF34" i="110"/>
  <c r="D108" i="110"/>
  <c r="L108" i="110"/>
  <c r="E108" i="110"/>
  <c r="G108" i="110"/>
  <c r="I108" i="110"/>
  <c r="K108" i="110"/>
  <c r="J107" i="110"/>
  <c r="H107" i="109"/>
  <c r="U42" i="109"/>
  <c r="Y42" i="109"/>
  <c r="AC42" i="109"/>
  <c r="AF39" i="109"/>
  <c r="AF36" i="109"/>
  <c r="AF38" i="109"/>
  <c r="AF35" i="109"/>
  <c r="M107" i="109"/>
  <c r="D107" i="109"/>
  <c r="L107" i="109"/>
  <c r="C107" i="109"/>
  <c r="E107" i="109"/>
  <c r="G107" i="109"/>
  <c r="I107" i="109"/>
  <c r="K107" i="109"/>
  <c r="D108" i="109"/>
  <c r="L108" i="109"/>
  <c r="C108" i="109"/>
  <c r="E108" i="109"/>
  <c r="G108" i="109"/>
  <c r="I108" i="109"/>
  <c r="K108" i="109"/>
  <c r="F108" i="109"/>
  <c r="N107" i="109"/>
  <c r="S42" i="109"/>
  <c r="W42" i="109"/>
  <c r="AA42" i="109"/>
  <c r="H108" i="109"/>
  <c r="J108" i="109"/>
  <c r="AF41" i="109"/>
  <c r="AF40" i="109"/>
  <c r="AF37" i="109"/>
  <c r="AF34" i="109"/>
  <c r="V42" i="109"/>
  <c r="AB42" i="109"/>
  <c r="AE39" i="109"/>
  <c r="AE36" i="109"/>
  <c r="AE41" i="109"/>
  <c r="AE40" i="109"/>
  <c r="AE37" i="109"/>
  <c r="AE34" i="109"/>
  <c r="AE38" i="109"/>
  <c r="AE35" i="109"/>
  <c r="F107" i="109"/>
  <c r="N108" i="109"/>
  <c r="T42" i="109"/>
  <c r="Z42" i="109"/>
  <c r="AD42" i="109"/>
  <c r="H108" i="108"/>
  <c r="C107" i="107"/>
  <c r="F107" i="105"/>
  <c r="H107" i="108"/>
  <c r="E107" i="105"/>
  <c r="D107" i="105"/>
  <c r="C107" i="105"/>
  <c r="AF35" i="105"/>
  <c r="H108" i="107"/>
  <c r="D108" i="105"/>
  <c r="F108" i="105"/>
  <c r="C108" i="105"/>
  <c r="E108" i="105"/>
  <c r="AF38" i="105"/>
  <c r="T42" i="105"/>
  <c r="V42" i="105"/>
  <c r="U42" i="105"/>
  <c r="W42" i="105"/>
  <c r="Y42" i="105"/>
  <c r="AC42" i="105"/>
  <c r="AF39" i="105"/>
  <c r="AF36" i="105"/>
  <c r="M107" i="105"/>
  <c r="N107" i="105"/>
  <c r="I107" i="105"/>
  <c r="K107" i="105"/>
  <c r="H107" i="105"/>
  <c r="J107" i="105"/>
  <c r="L107" i="105"/>
  <c r="I108" i="105"/>
  <c r="K108" i="105"/>
  <c r="H108" i="105"/>
  <c r="J108" i="105"/>
  <c r="L108" i="105"/>
  <c r="N108" i="105"/>
  <c r="AE38" i="105"/>
  <c r="AE35" i="105"/>
  <c r="AE39" i="105"/>
  <c r="AE36" i="105"/>
  <c r="S42" i="105"/>
  <c r="AA42" i="105"/>
  <c r="X42" i="105"/>
  <c r="AB42" i="105"/>
  <c r="AF41" i="105"/>
  <c r="AF40" i="105"/>
  <c r="AF37" i="105"/>
  <c r="AF34" i="105"/>
  <c r="AE41" i="105"/>
  <c r="AE40" i="105"/>
  <c r="AE37" i="105"/>
  <c r="AE34" i="105"/>
  <c r="Z42" i="105"/>
  <c r="AD42" i="105"/>
  <c r="Z42" i="101"/>
  <c r="U42" i="101"/>
  <c r="W42" i="101"/>
  <c r="X42" i="101"/>
  <c r="Y42" i="101"/>
  <c r="V42" i="101"/>
  <c r="AA42" i="101"/>
  <c r="AD42" i="101"/>
  <c r="AC42" i="101"/>
  <c r="T42" i="101"/>
  <c r="AB42" i="101"/>
  <c r="S42" i="101"/>
  <c r="AF41" i="101"/>
  <c r="AE41" i="101"/>
  <c r="AF23" i="104"/>
  <c r="AF27" i="104"/>
  <c r="H60" i="104"/>
  <c r="C60" i="104"/>
  <c r="AF26" i="104"/>
  <c r="AF24" i="104"/>
  <c r="H59" i="104"/>
  <c r="AF26" i="103"/>
  <c r="AF23" i="103"/>
  <c r="H60" i="94"/>
  <c r="C59" i="104"/>
  <c r="AF27" i="103"/>
  <c r="AF24" i="103"/>
  <c r="M59" i="103"/>
  <c r="D59" i="103"/>
  <c r="H59" i="103"/>
  <c r="L59" i="103"/>
  <c r="E59" i="103"/>
  <c r="G59" i="103"/>
  <c r="I59" i="103"/>
  <c r="K59" i="103"/>
  <c r="F59" i="103"/>
  <c r="J59" i="103"/>
  <c r="N59" i="103"/>
  <c r="AE27" i="104"/>
  <c r="AE24" i="104"/>
  <c r="E60" i="103"/>
  <c r="G60" i="103"/>
  <c r="I60" i="103"/>
  <c r="K60" i="103"/>
  <c r="F60" i="103"/>
  <c r="J60" i="103"/>
  <c r="N60" i="103"/>
  <c r="D60" i="103"/>
  <c r="H60" i="103"/>
  <c r="L60" i="103"/>
  <c r="AF22" i="104"/>
  <c r="AF28" i="104"/>
  <c r="AF25" i="104"/>
  <c r="F60" i="104"/>
  <c r="E60" i="104"/>
  <c r="G60" i="104"/>
  <c r="I60" i="104"/>
  <c r="K60" i="104"/>
  <c r="J60" i="104"/>
  <c r="N60" i="104"/>
  <c r="AE26" i="104"/>
  <c r="AE23" i="104"/>
  <c r="D60" i="104"/>
  <c r="AF35" i="101"/>
  <c r="AF28" i="103"/>
  <c r="AF25" i="103"/>
  <c r="AF22" i="103"/>
  <c r="AE26" i="103"/>
  <c r="AE23" i="103"/>
  <c r="C59" i="103"/>
  <c r="AE28" i="103"/>
  <c r="AE25" i="103"/>
  <c r="AE22" i="103"/>
  <c r="AE27" i="103"/>
  <c r="AE24" i="103"/>
  <c r="F59" i="104"/>
  <c r="M59" i="104"/>
  <c r="J59" i="104"/>
  <c r="E59" i="104"/>
  <c r="G59" i="104"/>
  <c r="I59" i="104"/>
  <c r="K59" i="104"/>
  <c r="N59" i="104"/>
  <c r="AE28" i="104"/>
  <c r="AE25" i="104"/>
  <c r="AE22" i="104"/>
  <c r="D59" i="104"/>
  <c r="AF24" i="100"/>
  <c r="AE27" i="96"/>
  <c r="AF36" i="101"/>
  <c r="AF39" i="101"/>
  <c r="AF38" i="101"/>
  <c r="F108" i="101"/>
  <c r="J108" i="101"/>
  <c r="N108" i="101"/>
  <c r="E108" i="101"/>
  <c r="G108" i="101"/>
  <c r="I108" i="101"/>
  <c r="K108" i="101"/>
  <c r="D108" i="101"/>
  <c r="H108" i="101"/>
  <c r="L108" i="101"/>
  <c r="E107" i="101"/>
  <c r="G107" i="101"/>
  <c r="I107" i="101"/>
  <c r="K107" i="101"/>
  <c r="D107" i="101"/>
  <c r="H107" i="101"/>
  <c r="L107" i="101"/>
  <c r="M107" i="101"/>
  <c r="F107" i="101"/>
  <c r="J107" i="101"/>
  <c r="N107" i="101"/>
  <c r="AE39" i="101"/>
  <c r="AE36" i="101"/>
  <c r="AF23" i="100"/>
  <c r="AE24" i="96"/>
  <c r="AE27" i="100"/>
  <c r="C107" i="101"/>
  <c r="AE40" i="101"/>
  <c r="AE37" i="101"/>
  <c r="AE34" i="101"/>
  <c r="AF40" i="101"/>
  <c r="AF37" i="101"/>
  <c r="AF34" i="101"/>
  <c r="AE38" i="101"/>
  <c r="AE35" i="101"/>
  <c r="AE26" i="97"/>
  <c r="AF27" i="97"/>
  <c r="AE24" i="100"/>
  <c r="AF26" i="100"/>
  <c r="AF27" i="100"/>
  <c r="AF23" i="99"/>
  <c r="AF26" i="99"/>
  <c r="AF24" i="99"/>
  <c r="AF27" i="99"/>
  <c r="AE23" i="97"/>
  <c r="D59" i="100"/>
  <c r="AE27" i="98"/>
  <c r="AF28" i="99"/>
  <c r="AF25" i="99"/>
  <c r="AF22" i="99"/>
  <c r="AE26" i="99"/>
  <c r="AE23" i="99"/>
  <c r="AE27" i="99"/>
  <c r="AE24" i="99"/>
  <c r="AF22" i="100"/>
  <c r="AF28" i="100"/>
  <c r="AF25" i="100"/>
  <c r="N60" i="100"/>
  <c r="J60" i="100"/>
  <c r="F60" i="100"/>
  <c r="E60" i="100"/>
  <c r="G60" i="100"/>
  <c r="I60" i="100"/>
  <c r="K60" i="100"/>
  <c r="AE26" i="100"/>
  <c r="AE23" i="100"/>
  <c r="E60" i="99"/>
  <c r="G60" i="99"/>
  <c r="I60" i="99"/>
  <c r="K60" i="99"/>
  <c r="F60" i="99"/>
  <c r="J60" i="99"/>
  <c r="N60" i="99"/>
  <c r="D60" i="99"/>
  <c r="H60" i="99"/>
  <c r="L60" i="99"/>
  <c r="C60" i="100"/>
  <c r="L60" i="100"/>
  <c r="M59" i="99"/>
  <c r="D59" i="99"/>
  <c r="H59" i="99"/>
  <c r="L59" i="99"/>
  <c r="E59" i="99"/>
  <c r="G59" i="99"/>
  <c r="I59" i="99"/>
  <c r="K59" i="99"/>
  <c r="F59" i="99"/>
  <c r="J59" i="99"/>
  <c r="N59" i="99"/>
  <c r="F59" i="100"/>
  <c r="J59" i="100"/>
  <c r="E59" i="100"/>
  <c r="G59" i="100"/>
  <c r="I59" i="100"/>
  <c r="K59" i="100"/>
  <c r="N59" i="100"/>
  <c r="M59" i="100"/>
  <c r="AE28" i="100"/>
  <c r="AE25" i="100"/>
  <c r="AE22" i="100"/>
  <c r="D60" i="100"/>
  <c r="C59" i="99"/>
  <c r="AE28" i="99"/>
  <c r="AE25" i="99"/>
  <c r="AE22" i="99"/>
  <c r="H60" i="100"/>
  <c r="C59" i="100"/>
  <c r="L59" i="100"/>
  <c r="AF24" i="97"/>
  <c r="AF23" i="98"/>
  <c r="AF27" i="98"/>
  <c r="AE27" i="97"/>
  <c r="AE24" i="97"/>
  <c r="AF28" i="97"/>
  <c r="AF25" i="97"/>
  <c r="AF22" i="97"/>
  <c r="C60" i="98"/>
  <c r="E60" i="98"/>
  <c r="G60" i="98"/>
  <c r="I60" i="98"/>
  <c r="K60" i="98"/>
  <c r="D60" i="98"/>
  <c r="F60" i="98"/>
  <c r="H60" i="98"/>
  <c r="J60" i="98"/>
  <c r="L60" i="98"/>
  <c r="N60" i="98"/>
  <c r="AE26" i="98"/>
  <c r="AE23" i="98"/>
  <c r="AE28" i="97"/>
  <c r="AE25" i="97"/>
  <c r="AE22" i="97"/>
  <c r="AF28" i="98"/>
  <c r="AF25" i="98"/>
  <c r="AF22" i="98"/>
  <c r="AF26" i="98"/>
  <c r="M59" i="97"/>
  <c r="D59" i="97"/>
  <c r="F59" i="97"/>
  <c r="H59" i="97"/>
  <c r="J59" i="97"/>
  <c r="L59" i="97"/>
  <c r="N59" i="97"/>
  <c r="C59" i="97"/>
  <c r="E59" i="97"/>
  <c r="G59" i="97"/>
  <c r="I59" i="97"/>
  <c r="K59" i="97"/>
  <c r="AF26" i="97"/>
  <c r="AF23" i="97"/>
  <c r="AE28" i="98"/>
  <c r="AE25" i="98"/>
  <c r="AE22" i="98"/>
  <c r="D60" i="97"/>
  <c r="F60" i="97"/>
  <c r="H60" i="97"/>
  <c r="J60" i="97"/>
  <c r="L60" i="97"/>
  <c r="N60" i="97"/>
  <c r="C60" i="97"/>
  <c r="E60" i="97"/>
  <c r="G60" i="97"/>
  <c r="I60" i="97"/>
  <c r="K60" i="97"/>
  <c r="C59" i="98"/>
  <c r="E59" i="98"/>
  <c r="G59" i="98"/>
  <c r="I59" i="98"/>
  <c r="K59" i="98"/>
  <c r="D59" i="98"/>
  <c r="F59" i="98"/>
  <c r="H59" i="98"/>
  <c r="J59" i="98"/>
  <c r="L59" i="98"/>
  <c r="N59" i="98"/>
  <c r="M59" i="98"/>
  <c r="AF24" i="98"/>
  <c r="AE27" i="95"/>
  <c r="AE24" i="95"/>
  <c r="AF23" i="94"/>
  <c r="AF27" i="94"/>
  <c r="AF26" i="96"/>
  <c r="AF24" i="94"/>
  <c r="AF26" i="94"/>
  <c r="AF26" i="95"/>
  <c r="AF28" i="95"/>
  <c r="AF25" i="95"/>
  <c r="AF22" i="95"/>
  <c r="AE28" i="96"/>
  <c r="AE25" i="96"/>
  <c r="AE22" i="96"/>
  <c r="C60" i="95"/>
  <c r="E60" i="95"/>
  <c r="G60" i="95"/>
  <c r="I60" i="95"/>
  <c r="K60" i="95"/>
  <c r="D60" i="95"/>
  <c r="F60" i="95"/>
  <c r="H60" i="95"/>
  <c r="J60" i="95"/>
  <c r="L60" i="95"/>
  <c r="N60" i="95"/>
  <c r="AE26" i="95"/>
  <c r="AE23" i="95"/>
  <c r="C59" i="96"/>
  <c r="E59" i="96"/>
  <c r="G59" i="96"/>
  <c r="I59" i="96"/>
  <c r="K59" i="96"/>
  <c r="D59" i="96"/>
  <c r="F59" i="96"/>
  <c r="H59" i="96"/>
  <c r="J59" i="96"/>
  <c r="L59" i="96"/>
  <c r="N59" i="96"/>
  <c r="M59" i="96"/>
  <c r="AF23" i="95"/>
  <c r="AF23" i="96"/>
  <c r="L60" i="94"/>
  <c r="M59" i="95"/>
  <c r="C59" i="95"/>
  <c r="E59" i="95"/>
  <c r="G59" i="95"/>
  <c r="I59" i="95"/>
  <c r="K59" i="95"/>
  <c r="D59" i="95"/>
  <c r="F59" i="95"/>
  <c r="H59" i="95"/>
  <c r="J59" i="95"/>
  <c r="L59" i="95"/>
  <c r="N59" i="95"/>
  <c r="AF27" i="95"/>
  <c r="AF24" i="95"/>
  <c r="C60" i="96"/>
  <c r="E60" i="96"/>
  <c r="G60" i="96"/>
  <c r="I60" i="96"/>
  <c r="K60" i="96"/>
  <c r="D60" i="96"/>
  <c r="F60" i="96"/>
  <c r="H60" i="96"/>
  <c r="J60" i="96"/>
  <c r="L60" i="96"/>
  <c r="N60" i="96"/>
  <c r="AE26" i="96"/>
  <c r="AE23" i="96"/>
  <c r="AE28" i="95"/>
  <c r="AE25" i="95"/>
  <c r="AE22" i="95"/>
  <c r="AF28" i="96"/>
  <c r="AF25" i="96"/>
  <c r="AF22" i="96"/>
  <c r="AF27" i="96"/>
  <c r="AF24" i="96"/>
  <c r="E59" i="94"/>
  <c r="G59" i="94"/>
  <c r="I59" i="94"/>
  <c r="K59" i="94"/>
  <c r="F59" i="94"/>
  <c r="J59" i="94"/>
  <c r="N59" i="94"/>
  <c r="M59" i="94"/>
  <c r="AE28" i="94"/>
  <c r="AE25" i="94"/>
  <c r="AE22" i="94"/>
  <c r="D59" i="94"/>
  <c r="AF22" i="94"/>
  <c r="AF28" i="94"/>
  <c r="AF25" i="94"/>
  <c r="F60" i="94"/>
  <c r="J60" i="94"/>
  <c r="N60" i="94"/>
  <c r="E60" i="94"/>
  <c r="G60" i="94"/>
  <c r="I60" i="94"/>
  <c r="K60" i="94"/>
  <c r="AE26" i="94"/>
  <c r="AE23" i="94"/>
  <c r="D60" i="94"/>
  <c r="AE27" i="94"/>
  <c r="AE24" i="94"/>
  <c r="C59" i="94"/>
  <c r="L59" i="94"/>
  <c r="T22" i="93"/>
  <c r="X22" i="93"/>
  <c r="AB22" i="93"/>
  <c r="U22" i="93"/>
  <c r="Y22" i="93"/>
  <c r="AC22" i="93"/>
  <c r="Z24" i="93"/>
  <c r="W26" i="93"/>
  <c r="W23" i="93"/>
  <c r="AA26" i="93"/>
  <c r="AA23" i="93"/>
  <c r="W27" i="93"/>
  <c r="W24" i="93"/>
  <c r="AA27" i="93"/>
  <c r="AA24" i="93"/>
  <c r="T26" i="93"/>
  <c r="T23" i="93"/>
  <c r="AB26" i="93"/>
  <c r="AB23" i="93"/>
  <c r="T27" i="93"/>
  <c r="T24" i="93"/>
  <c r="AB27" i="93"/>
  <c r="AB24" i="93"/>
  <c r="V26" i="93"/>
  <c r="V23" i="93"/>
  <c r="AD27" i="93"/>
  <c r="AD24" i="93"/>
  <c r="Z22" i="93"/>
  <c r="AD22" i="93"/>
  <c r="W22" i="93"/>
  <c r="AA22" i="93"/>
  <c r="U26" i="93"/>
  <c r="U23" i="93"/>
  <c r="Y26" i="93"/>
  <c r="Y23" i="93"/>
  <c r="AC26" i="93"/>
  <c r="AC23" i="93"/>
  <c r="U27" i="93"/>
  <c r="U24" i="93"/>
  <c r="Y27" i="93"/>
  <c r="Y24" i="93"/>
  <c r="AC27" i="93"/>
  <c r="AC24" i="93"/>
  <c r="X23" i="93"/>
  <c r="X24" i="93"/>
  <c r="AD23" i="93"/>
  <c r="V24" i="93"/>
  <c r="Z23" i="93"/>
  <c r="S27" i="93"/>
  <c r="S24" i="93"/>
  <c r="S26" i="93"/>
  <c r="S23" i="93"/>
  <c r="S22" i="93"/>
  <c r="Z27" i="93"/>
  <c r="T28" i="93"/>
  <c r="T25" i="93"/>
  <c r="X28" i="93"/>
  <c r="X25" i="93"/>
  <c r="AB28" i="93"/>
  <c r="AB25" i="93"/>
  <c r="U28" i="93"/>
  <c r="U25" i="93"/>
  <c r="Y28" i="93"/>
  <c r="Y25" i="93"/>
  <c r="AC28" i="93"/>
  <c r="AC25" i="93"/>
  <c r="V28" i="93"/>
  <c r="V25" i="93"/>
  <c r="Z28" i="93"/>
  <c r="Z25" i="93"/>
  <c r="AD28" i="93"/>
  <c r="AD25" i="93"/>
  <c r="W28" i="93"/>
  <c r="W25" i="93"/>
  <c r="AA28" i="93"/>
  <c r="AA25" i="93"/>
  <c r="S28" i="93"/>
  <c r="S25" i="93"/>
  <c r="X26" i="93"/>
  <c r="X27" i="93"/>
  <c r="AD26" i="93"/>
  <c r="V27" i="93"/>
  <c r="Z26" i="93"/>
  <c r="AF10" i="93"/>
  <c r="AF16" i="93"/>
  <c r="AF18" i="93"/>
  <c r="AF14" i="93"/>
  <c r="AF20" i="93"/>
  <c r="AF13" i="93"/>
  <c r="AF11" i="93"/>
  <c r="AF12" i="93"/>
  <c r="AF15" i="93"/>
  <c r="AF17" i="93"/>
  <c r="AF19" i="93"/>
  <c r="P58" i="93"/>
  <c r="G59" i="93" s="1"/>
  <c r="AF21" i="93"/>
  <c r="AE20" i="93"/>
  <c r="AE18" i="93"/>
  <c r="AE16" i="93"/>
  <c r="AE14" i="93"/>
  <c r="AE12" i="93"/>
  <c r="AE11" i="93"/>
  <c r="O58" i="93"/>
  <c r="C60" i="93" s="1"/>
  <c r="AE10" i="93"/>
  <c r="AE21" i="93"/>
  <c r="AE19" i="93"/>
  <c r="AE17" i="93"/>
  <c r="AE15" i="93"/>
  <c r="AE13" i="93"/>
  <c r="K108" i="111" l="1"/>
  <c r="N107" i="111"/>
  <c r="M107" i="107"/>
  <c r="F108" i="107"/>
  <c r="J107" i="108"/>
  <c r="AF42" i="110"/>
  <c r="AE42" i="110"/>
  <c r="AE42" i="109"/>
  <c r="AF42" i="109"/>
  <c r="K107" i="107"/>
  <c r="C108" i="107"/>
  <c r="L107" i="108"/>
  <c r="G107" i="108"/>
  <c r="L107" i="107"/>
  <c r="G108" i="108"/>
  <c r="F108" i="108"/>
  <c r="C108" i="108"/>
  <c r="K108" i="108"/>
  <c r="N108" i="108"/>
  <c r="K108" i="107"/>
  <c r="L108" i="108"/>
  <c r="D108" i="108"/>
  <c r="I108" i="108"/>
  <c r="E108" i="108"/>
  <c r="J108" i="108"/>
  <c r="D107" i="107"/>
  <c r="G107" i="107"/>
  <c r="J107" i="107"/>
  <c r="N108" i="107"/>
  <c r="G108" i="107"/>
  <c r="D107" i="108"/>
  <c r="M107" i="108"/>
  <c r="K107" i="108"/>
  <c r="L108" i="107"/>
  <c r="F107" i="107"/>
  <c r="I107" i="107"/>
  <c r="E107" i="107"/>
  <c r="N107" i="107"/>
  <c r="C107" i="108"/>
  <c r="N107" i="108"/>
  <c r="F107" i="108"/>
  <c r="I107" i="108"/>
  <c r="E107" i="108"/>
  <c r="H107" i="107"/>
  <c r="D108" i="107"/>
  <c r="J108" i="107"/>
  <c r="I108" i="107"/>
  <c r="E108" i="107"/>
  <c r="AE42" i="105"/>
  <c r="AF42" i="105"/>
  <c r="AE42" i="101"/>
  <c r="AF42" i="101"/>
  <c r="M59" i="93"/>
  <c r="N60" i="93"/>
  <c r="G60" i="93"/>
  <c r="E60" i="93"/>
  <c r="H60" i="93"/>
  <c r="J60" i="93"/>
  <c r="F60" i="93"/>
  <c r="D60" i="93"/>
  <c r="K60" i="93"/>
  <c r="L60" i="93"/>
  <c r="I60" i="93"/>
  <c r="AE24" i="93"/>
  <c r="AE22" i="93"/>
  <c r="AF23" i="93"/>
  <c r="AE23" i="93"/>
  <c r="AF24" i="93"/>
  <c r="AF22" i="93"/>
  <c r="AE26" i="93"/>
  <c r="AF27" i="93"/>
  <c r="AF28" i="93"/>
  <c r="AF25" i="93"/>
  <c r="AE27" i="93"/>
  <c r="AE28" i="93"/>
  <c r="AE25" i="93"/>
  <c r="AF26" i="93"/>
  <c r="D59" i="93"/>
  <c r="C59" i="93"/>
  <c r="L59" i="93"/>
  <c r="F59" i="93"/>
  <c r="J59" i="93"/>
  <c r="E59" i="93"/>
  <c r="H59" i="93"/>
  <c r="K59" i="93"/>
  <c r="N59" i="93"/>
  <c r="I59" i="93"/>
  <c r="K107" i="111" l="1"/>
  <c r="E108" i="111"/>
  <c r="F108" i="111"/>
  <c r="H107" i="111"/>
  <c r="F107" i="111"/>
  <c r="E107" i="111"/>
  <c r="C107" i="111"/>
  <c r="I107" i="111"/>
  <c r="N108" i="111"/>
  <c r="H108" i="111"/>
  <c r="C108" i="111"/>
  <c r="M107" i="111"/>
  <c r="D107" i="111"/>
  <c r="L107" i="111"/>
  <c r="G107" i="111"/>
  <c r="J107" i="111"/>
  <c r="J108" i="111"/>
  <c r="I108" i="111"/>
  <c r="D108" i="111"/>
  <c r="L108" i="111"/>
  <c r="G108" i="111"/>
</calcChain>
</file>

<file path=xl/sharedStrings.xml><?xml version="1.0" encoding="utf-8"?>
<sst xmlns="http://schemas.openxmlformats.org/spreadsheetml/2006/main" count="2356" uniqueCount="185">
  <si>
    <t>Time / Veh Type</t>
  </si>
  <si>
    <t xml:space="preserve">  Location</t>
  </si>
  <si>
    <t xml:space="preserve">  Dir. To</t>
  </si>
  <si>
    <t>Date</t>
  </si>
  <si>
    <t>Dir. From</t>
  </si>
  <si>
    <t>Surveyor</t>
  </si>
  <si>
    <t>0700-0800</t>
  </si>
  <si>
    <t>0800-0900</t>
  </si>
  <si>
    <t>0900-1000</t>
  </si>
  <si>
    <t>1000-1100</t>
  </si>
  <si>
    <t>1100-1200</t>
  </si>
  <si>
    <t>1200-1300</t>
  </si>
  <si>
    <t>1300-1400</t>
  </si>
  <si>
    <t>1400-1500</t>
  </si>
  <si>
    <t>1500-1600</t>
  </si>
  <si>
    <t>1600-1700</t>
  </si>
  <si>
    <t>1700-1800</t>
  </si>
  <si>
    <t>12 Hours</t>
  </si>
  <si>
    <t>Totals</t>
  </si>
  <si>
    <t>Time</t>
  </si>
  <si>
    <t>1800-1900</t>
  </si>
  <si>
    <t>Supervisor</t>
  </si>
  <si>
    <t>Total All</t>
  </si>
  <si>
    <t>Consultancy services for Preparation of Expressway Development Master Plan (EDMP) for Uganda</t>
  </si>
  <si>
    <t>1. Car</t>
  </si>
  <si>
    <t>2. Station Wagon</t>
  </si>
  <si>
    <t>3. Pickups</t>
  </si>
  <si>
    <t>4. Minibus, matatu</t>
  </si>
  <si>
    <t xml:space="preserve">5. Medium bus </t>
  </si>
  <si>
    <t>6. Large Bus</t>
  </si>
  <si>
    <t xml:space="preserve">7. Light Truck </t>
  </si>
  <si>
    <t xml:space="preserve">8. Medium Truck </t>
  </si>
  <si>
    <t xml:space="preserve">9. Heavy truck </t>
  </si>
  <si>
    <t xml:space="preserve">10. Truck Trailer </t>
  </si>
  <si>
    <t>11. Motorcycles</t>
  </si>
  <si>
    <t>12. Tractors, Graders</t>
  </si>
  <si>
    <t>Total Excl M/Cycles</t>
  </si>
  <si>
    <t>07.00 - 07.15</t>
  </si>
  <si>
    <t>07.15 - 07.30</t>
  </si>
  <si>
    <t>07.30 - 07.45</t>
  </si>
  <si>
    <t>07.45 - 08.00</t>
  </si>
  <si>
    <t>08.00 - 08.15</t>
  </si>
  <si>
    <t>08.15 - 08.30</t>
  </si>
  <si>
    <t>08.30 - 08.45</t>
  </si>
  <si>
    <t>08.45 - 9.00</t>
  </si>
  <si>
    <t>09.00 - 09.15</t>
  </si>
  <si>
    <t>09.15 - 09.30</t>
  </si>
  <si>
    <t>09.30 - 09.45</t>
  </si>
  <si>
    <t>09.45 - 10.00</t>
  </si>
  <si>
    <t>10.00 - 10.15</t>
  </si>
  <si>
    <t>10.15 - 10.30</t>
  </si>
  <si>
    <t>10.30 - 10.45</t>
  </si>
  <si>
    <t>10.45 - 11.00</t>
  </si>
  <si>
    <t>11.00 - 11.15</t>
  </si>
  <si>
    <t>11.15 - 11.30</t>
  </si>
  <si>
    <t>11.30 - 11.45</t>
  </si>
  <si>
    <t>11.45 - 12.00</t>
  </si>
  <si>
    <t>12.00 - 12.15</t>
  </si>
  <si>
    <t>12.15 - 12.30</t>
  </si>
  <si>
    <t>12.30 - 12.45</t>
  </si>
  <si>
    <t>12.45 - 13.00</t>
  </si>
  <si>
    <t>13.00 - 13.15</t>
  </si>
  <si>
    <t>13.15 - 13.30</t>
  </si>
  <si>
    <t>13.30 - 13.45</t>
  </si>
  <si>
    <t>13.45 - 14.00</t>
  </si>
  <si>
    <t>14.00 - 14.15</t>
  </si>
  <si>
    <t>14.15 - 14.30</t>
  </si>
  <si>
    <t>14.30 - 14.45</t>
  </si>
  <si>
    <t>14.45 - 15.00</t>
  </si>
  <si>
    <t>15.00 - 15.15</t>
  </si>
  <si>
    <t>15.15 - 15.30</t>
  </si>
  <si>
    <t>15.30 - 15.45</t>
  </si>
  <si>
    <t>15.45 - 16.00</t>
  </si>
  <si>
    <t>16.00 - 16.15</t>
  </si>
  <si>
    <t>16.15 -16.30</t>
  </si>
  <si>
    <t>16.30 -16.45</t>
  </si>
  <si>
    <t>16.45 -17.00</t>
  </si>
  <si>
    <t>17.00 -17.15</t>
  </si>
  <si>
    <t>17.15 -17.30</t>
  </si>
  <si>
    <t>17.30 -17.45</t>
  </si>
  <si>
    <t>17.45 -18.00</t>
  </si>
  <si>
    <t>18.00 - 18.15</t>
  </si>
  <si>
    <t>18.15 - 18.30</t>
  </si>
  <si>
    <t>18.30 - 18.45</t>
  </si>
  <si>
    <t>18.45 - 19.00</t>
  </si>
  <si>
    <t>AM Period</t>
  </si>
  <si>
    <t>IP Period</t>
  </si>
  <si>
    <t>PM Period</t>
  </si>
  <si>
    <t>SUMMARY TRAFFIC VOLUMES</t>
  </si>
  <si>
    <t>Total Excl M/ Cycles</t>
  </si>
  <si>
    <t>AM Peak Hr</t>
  </si>
  <si>
    <t>IP Peak Hr</t>
  </si>
  <si>
    <t>PM Peak Hr</t>
  </si>
  <si>
    <t>%ges + MCs</t>
  </si>
  <si>
    <t>%ges w/o MCs</t>
  </si>
  <si>
    <t>MANUAL CLASSIFIED COUNT (MCC)</t>
  </si>
  <si>
    <t>ROAD NAME:</t>
  </si>
  <si>
    <t>12. Tractors</t>
  </si>
  <si>
    <t>11. Motor cycles</t>
  </si>
  <si>
    <t>19.00 - 19.15</t>
  </si>
  <si>
    <t>19.15 - 19.30</t>
  </si>
  <si>
    <t>19.30 - 19.45</t>
  </si>
  <si>
    <t>19.45 - 20.00</t>
  </si>
  <si>
    <t>21.00 - 21.15</t>
  </si>
  <si>
    <t>21.15 - 21.30</t>
  </si>
  <si>
    <t>21.30 - 21.45</t>
  </si>
  <si>
    <t>21.45 - 22.00</t>
  </si>
  <si>
    <t>20.00 - 20.15</t>
  </si>
  <si>
    <t>20.15 - 20.30</t>
  </si>
  <si>
    <t>20.30 - 20.45</t>
  </si>
  <si>
    <t>22.00 - 22.15</t>
  </si>
  <si>
    <t>22.15 - 22.30</t>
  </si>
  <si>
    <t>22.30 - 22.45</t>
  </si>
  <si>
    <t>22.45 - 23.00</t>
  </si>
  <si>
    <t>23.00 - 23.15</t>
  </si>
  <si>
    <t>23.15 - 23.30</t>
  </si>
  <si>
    <t>23.30 - 23.45</t>
  </si>
  <si>
    <t>23.45 - 00.00</t>
  </si>
  <si>
    <t>00.00 - 00.15</t>
  </si>
  <si>
    <t>00.15 - 00.30</t>
  </si>
  <si>
    <t>00.30 - 00.45</t>
  </si>
  <si>
    <t>00.45 - 01.00</t>
  </si>
  <si>
    <t>01.00 - 01.15</t>
  </si>
  <si>
    <t>01.15 - 01.30</t>
  </si>
  <si>
    <t>01.30 - 01.45</t>
  </si>
  <si>
    <t>01.45 - 02.00</t>
  </si>
  <si>
    <t>02.00 - 02.15</t>
  </si>
  <si>
    <t>02.15 - 02.30</t>
  </si>
  <si>
    <t>02.30 - 02.45</t>
  </si>
  <si>
    <t>02.45 - 03.00</t>
  </si>
  <si>
    <t>03.00 - 03.15</t>
  </si>
  <si>
    <t>03.15 - 03.30</t>
  </si>
  <si>
    <t>03.30 - 03.45</t>
  </si>
  <si>
    <t>03.45 - 04.00</t>
  </si>
  <si>
    <t>04.00 - 04.15</t>
  </si>
  <si>
    <t>04.15 - 04.30</t>
  </si>
  <si>
    <t>04.30 - 04.45</t>
  </si>
  <si>
    <t>04.45 - 05.00</t>
  </si>
  <si>
    <t>05.00 - 05.15</t>
  </si>
  <si>
    <t>05.15 - 05.30</t>
  </si>
  <si>
    <t>05.30 - 05.45</t>
  </si>
  <si>
    <t>05.45 - 06.00</t>
  </si>
  <si>
    <t>06.00 - 06.15</t>
  </si>
  <si>
    <t>06.15 - 06.30</t>
  </si>
  <si>
    <t>06.30 - 06.45</t>
  </si>
  <si>
    <t>06.45 - 07.00</t>
  </si>
  <si>
    <t>1900-2000</t>
  </si>
  <si>
    <t>2000-2100</t>
  </si>
  <si>
    <t>2100-2200</t>
  </si>
  <si>
    <t>2200-2300</t>
  </si>
  <si>
    <t>2300-0000</t>
  </si>
  <si>
    <t>0000-0100</t>
  </si>
  <si>
    <t>0100-0200</t>
  </si>
  <si>
    <t>0200-0300</t>
  </si>
  <si>
    <t>0300-0400</t>
  </si>
  <si>
    <t>0400-0500</t>
  </si>
  <si>
    <t>0500-0600</t>
  </si>
  <si>
    <t>0600-0700</t>
  </si>
  <si>
    <t>20.45 - 21.00</t>
  </si>
  <si>
    <t>24 Hrs/ADT</t>
  </si>
  <si>
    <t>NEF</t>
  </si>
  <si>
    <t>BOTH DIRECTIONS</t>
  </si>
  <si>
    <t>Kibuye</t>
  </si>
  <si>
    <t>Makindye</t>
  </si>
  <si>
    <t>AVERAGE WEEK</t>
  </si>
  <si>
    <t>17.10.2019</t>
  </si>
  <si>
    <t>KYABI</t>
  </si>
  <si>
    <t>SSEMBABULE</t>
  </si>
  <si>
    <t>KANONI</t>
  </si>
  <si>
    <t>SUSAN</t>
  </si>
  <si>
    <t>ONYUTI BETTY</t>
  </si>
  <si>
    <t>NAMUDDU MARIAM</t>
  </si>
  <si>
    <t>18.10.2019</t>
  </si>
  <si>
    <t>VIOLA</t>
  </si>
  <si>
    <t>KATUMBA SAMUEL</t>
  </si>
  <si>
    <t>s</t>
  </si>
  <si>
    <t>NAMUDDU MIRIAM</t>
  </si>
  <si>
    <t>20.10.2019</t>
  </si>
  <si>
    <t>21.10.2019</t>
  </si>
  <si>
    <t>22.10.2019</t>
  </si>
  <si>
    <t>23.10.2019</t>
  </si>
  <si>
    <t>19.10.2019</t>
  </si>
  <si>
    <t>SSEMBABULE-KABULASOKE ROAD</t>
  </si>
  <si>
    <t>XXXX</t>
  </si>
  <si>
    <t>24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</si>
</sst>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(* #,##0_);_(* \(#,##0\);_(* &quot;-&quot;_);_(@_)"/>
    <numFmt numFmtId="164" formatCode="0.0%"/>
    <numFmt numFmtId="165" formatCode="0.00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Arial"/>
      <family val="2"/>
    </font>
    <font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Calibri"/>
      <family val="2"/>
      <scheme val="minor"/>
    </font>
    <font>
      <b/>
      <sz val="12"/>
      <color theme="1"/>
      <name val="Arial"/>
      <family val="2"/>
    </font>
    <font>
      <i/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6"/>
      <name val="Arial"/>
      <family val="2"/>
    </font>
    <font>
      <sz val="8"/>
      <name val="Calibri"/>
      <family val="2"/>
      <scheme val="minor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9FCD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71">
    <xf numFmtId="0" fontId="0" fillId="0" borderId="0" xfId="0"/>
    <xf numFmtId="0" fontId="0" fillId="0" borderId="1" xfId="0" applyBorder="1"/>
    <xf numFmtId="0" fontId="1" fillId="0" borderId="0" xfId="0" applyFont="1"/>
    <xf numFmtId="0" fontId="0" fillId="0" borderId="0" xfId="0" applyBorder="1"/>
    <xf numFmtId="0" fontId="1" fillId="0" borderId="0" xfId="0" applyFont="1" applyAlignment="1"/>
    <xf numFmtId="0" fontId="1" fillId="0" borderId="1" xfId="0" applyFont="1" applyBorder="1"/>
    <xf numFmtId="9" fontId="0" fillId="0" borderId="0" xfId="1" applyFont="1"/>
    <xf numFmtId="0" fontId="0" fillId="0" borderId="0" xfId="0" applyFont="1" applyFill="1"/>
    <xf numFmtId="0" fontId="0" fillId="0" borderId="0" xfId="0" applyFont="1" applyFill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0" xfId="0" applyFont="1"/>
    <xf numFmtId="1" fontId="0" fillId="0" borderId="1" xfId="0" applyNumberFormat="1" applyFill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64" fontId="0" fillId="0" borderId="0" xfId="0" applyNumberForma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8" fillId="0" borderId="5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wrapText="1"/>
    </xf>
    <xf numFmtId="0" fontId="9" fillId="3" borderId="4" xfId="0" applyFont="1" applyFill="1" applyBorder="1" applyAlignment="1">
      <alignment horizontal="center" vertical="center" wrapText="1"/>
    </xf>
    <xf numFmtId="1" fontId="0" fillId="3" borderId="1" xfId="0" applyNumberFormat="1" applyFill="1" applyBorder="1" applyAlignment="1">
      <alignment horizontal="center"/>
    </xf>
    <xf numFmtId="1" fontId="1" fillId="3" borderId="1" xfId="0" applyNumberFormat="1" applyFont="1" applyFill="1" applyBorder="1" applyAlignment="1">
      <alignment horizontal="center"/>
    </xf>
    <xf numFmtId="0" fontId="0" fillId="0" borderId="5" xfId="0" applyFont="1" applyFill="1" applyBorder="1"/>
    <xf numFmtId="1" fontId="0" fillId="0" borderId="4" xfId="0" applyNumberForma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0" fontId="0" fillId="0" borderId="4" xfId="0" applyBorder="1"/>
    <xf numFmtId="0" fontId="1" fillId="0" borderId="8" xfId="0" applyFont="1" applyBorder="1" applyAlignment="1">
      <alignment wrapText="1"/>
    </xf>
    <xf numFmtId="0" fontId="11" fillId="0" borderId="9" xfId="0" applyFont="1" applyFill="1" applyBorder="1"/>
    <xf numFmtId="1" fontId="11" fillId="0" borderId="9" xfId="0" applyNumberFormat="1" applyFont="1" applyFill="1" applyBorder="1" applyAlignment="1">
      <alignment horizontal="center"/>
    </xf>
    <xf numFmtId="1" fontId="1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8" fillId="0" borderId="7" xfId="0" applyFont="1" applyFill="1" applyBorder="1" applyAlignment="1">
      <alignment horizontal="center" vertical="center"/>
    </xf>
    <xf numFmtId="164" fontId="1" fillId="0" borderId="4" xfId="1" applyNumberFormat="1" applyFont="1" applyBorder="1" applyAlignment="1">
      <alignment horizontal="center"/>
    </xf>
    <xf numFmtId="10" fontId="1" fillId="0" borderId="9" xfId="1" applyNumberFormat="1" applyFont="1" applyBorder="1"/>
    <xf numFmtId="0" fontId="7" fillId="0" borderId="1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165" fontId="1" fillId="0" borderId="1" xfId="0" applyNumberFormat="1" applyFont="1" applyBorder="1" applyAlignment="1">
      <alignment horizontal="center"/>
    </xf>
    <xf numFmtId="1" fontId="0" fillId="0" borderId="1" xfId="0" applyNumberFormat="1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0" fontId="0" fillId="2" borderId="4" xfId="0" applyFill="1" applyBorder="1"/>
    <xf numFmtId="0" fontId="11" fillId="0" borderId="9" xfId="0" applyFont="1" applyBorder="1"/>
    <xf numFmtId="1" fontId="11" fillId="0" borderId="9" xfId="0" applyNumberFormat="1" applyFont="1" applyBorder="1" applyAlignment="1">
      <alignment horizontal="center"/>
    </xf>
    <xf numFmtId="41" fontId="1" fillId="0" borderId="8" xfId="2" applyFont="1" applyBorder="1" applyAlignment="1">
      <alignment horizontal="center"/>
    </xf>
    <xf numFmtId="41" fontId="1" fillId="0" borderId="1" xfId="2" applyFont="1" applyBorder="1" applyAlignment="1">
      <alignment horizontal="center"/>
    </xf>
    <xf numFmtId="41" fontId="1" fillId="3" borderId="1" xfId="2" applyFont="1" applyFill="1" applyBorder="1" applyAlignment="1">
      <alignment horizontal="center"/>
    </xf>
    <xf numFmtId="165" fontId="1" fillId="3" borderId="1" xfId="0" applyNumberFormat="1" applyFont="1" applyFill="1" applyBorder="1" applyAlignment="1">
      <alignment horizontal="center"/>
    </xf>
    <xf numFmtId="0" fontId="8" fillId="2" borderId="2" xfId="0" applyFont="1" applyFill="1" applyBorder="1" applyAlignment="1">
      <alignment horizontal="left" vertical="center" wrapText="1"/>
    </xf>
    <xf numFmtId="0" fontId="8" fillId="2" borderId="3" xfId="0" applyFont="1" applyFill="1" applyBorder="1" applyAlignment="1">
      <alignment horizontal="left" vertical="center" wrapText="1"/>
    </xf>
    <xf numFmtId="0" fontId="10" fillId="0" borderId="6" xfId="0" applyFont="1" applyFill="1" applyBorder="1" applyAlignment="1">
      <alignment horizont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8" fillId="0" borderId="2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2" fillId="0" borderId="9" xfId="0" applyFont="1" applyFill="1" applyBorder="1" applyAlignment="1">
      <alignment horizontal="center"/>
    </xf>
    <xf numFmtId="0" fontId="15" fillId="0" borderId="2" xfId="0" applyFont="1" applyBorder="1" applyAlignment="1">
      <alignment horizontal="left" vertical="center" wrapText="1"/>
    </xf>
    <xf numFmtId="0" fontId="15" fillId="0" borderId="3" xfId="0" applyFont="1" applyBorder="1" applyAlignment="1">
      <alignment horizontal="left" vertical="center" wrapText="1"/>
    </xf>
  </cellXfs>
  <cellStyles count="3">
    <cellStyle name="Comma [0]" xfId="2" builtinId="6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9FCD2"/>
      <color rgb="FFF0F2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6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'17.10 SSEMBABULE-KANONI'!$AE$9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'17.10 SSEMBABULE-KANONI'!$R$10:$R$21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'17.10 SSEMBABULE-KANONI'!$AE$10:$AE$21</c:f>
              <c:numCache>
                <c:formatCode>0</c:formatCode>
                <c:ptCount val="12"/>
                <c:pt idx="0">
                  <c:v>17</c:v>
                </c:pt>
                <c:pt idx="1">
                  <c:v>18</c:v>
                </c:pt>
                <c:pt idx="2">
                  <c:v>18</c:v>
                </c:pt>
                <c:pt idx="3">
                  <c:v>16</c:v>
                </c:pt>
                <c:pt idx="4">
                  <c:v>16</c:v>
                </c:pt>
                <c:pt idx="5">
                  <c:v>14</c:v>
                </c:pt>
                <c:pt idx="6">
                  <c:v>13</c:v>
                </c:pt>
                <c:pt idx="7">
                  <c:v>12</c:v>
                </c:pt>
                <c:pt idx="8">
                  <c:v>9</c:v>
                </c:pt>
                <c:pt idx="9">
                  <c:v>11</c:v>
                </c:pt>
                <c:pt idx="10">
                  <c:v>34</c:v>
                </c:pt>
                <c:pt idx="11">
                  <c:v>25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2E1-4581-8355-9A9D08B6A3D4}"/>
            </c:ext>
          </c:extLst>
        </c:ser>
        <c:ser>
          <c:idx val="1"/>
          <c:order val="1"/>
          <c:tx>
            <c:strRef>
              <c:f>'17.10 SSEMBABULE-KANONI'!$AF$9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'17.10 SSEMBABULE-KANONI'!$R$10:$R$21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'17.10 SSEMBABULE-KANONI'!$AF$10:$AF$21</c:f>
              <c:numCache>
                <c:formatCode>0</c:formatCode>
                <c:ptCount val="12"/>
                <c:pt idx="0">
                  <c:v>38</c:v>
                </c:pt>
                <c:pt idx="1">
                  <c:v>40</c:v>
                </c:pt>
                <c:pt idx="2">
                  <c:v>48</c:v>
                </c:pt>
                <c:pt idx="3">
                  <c:v>44</c:v>
                </c:pt>
                <c:pt idx="4">
                  <c:v>46</c:v>
                </c:pt>
                <c:pt idx="5">
                  <c:v>45</c:v>
                </c:pt>
                <c:pt idx="6">
                  <c:v>48</c:v>
                </c:pt>
                <c:pt idx="7">
                  <c:v>50</c:v>
                </c:pt>
                <c:pt idx="8">
                  <c:v>38</c:v>
                </c:pt>
                <c:pt idx="9">
                  <c:v>43</c:v>
                </c:pt>
                <c:pt idx="10">
                  <c:v>78</c:v>
                </c:pt>
                <c:pt idx="11">
                  <c:v>74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2E1-4581-8355-9A9D08B6A3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948288"/>
        <c:axId val="85949824"/>
      </c:lineChart>
      <c:catAx>
        <c:axId val="8594828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5949824"/>
        <c:crosses val="autoZero"/>
        <c:auto val="1"/>
        <c:lblAlgn val="ctr"/>
        <c:lblOffset val="100"/>
        <c:noMultiLvlLbl val="0"/>
      </c:catAx>
      <c:valAx>
        <c:axId val="8594982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5948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66C-49DF-A540-BEECCA775C9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66C-49DF-A540-BEECCA775C9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966C-49DF-A540-BEECCA775C9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966C-49DF-A540-BEECCA775C9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966C-49DF-A540-BEECCA775C9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966C-49DF-A540-BEECCA775C9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966C-49DF-A540-BEECCA775C9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966C-49DF-A540-BEECCA775C9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966C-49DF-A540-BEECCA775C9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966C-49DF-A540-BEECCA775C9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966C-49DF-A540-BEECCA775C95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966C-49DF-A540-BEECCA775C95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966C-49DF-A540-BEECCA775C9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'17.10 SSEMBABULE-KANONI'!$C$9:$N$9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'17.10 SSEMBABULE-KANONI'!$C$59:$N$59</c:f>
              <c:numCache>
                <c:formatCode>0.0%</c:formatCode>
                <c:ptCount val="12"/>
                <c:pt idx="0">
                  <c:v>0.11993243243243243</c:v>
                </c:pt>
                <c:pt idx="1">
                  <c:v>3.0405405405405407E-2</c:v>
                </c:pt>
                <c:pt idx="2">
                  <c:v>3.3783783783783786E-2</c:v>
                </c:pt>
                <c:pt idx="3">
                  <c:v>5.0675675675675678E-2</c:v>
                </c:pt>
                <c:pt idx="4">
                  <c:v>3.3783783783783786E-3</c:v>
                </c:pt>
                <c:pt idx="5">
                  <c:v>0</c:v>
                </c:pt>
                <c:pt idx="6">
                  <c:v>5.2364864864864864E-2</c:v>
                </c:pt>
                <c:pt idx="7">
                  <c:v>1.5202702702702704E-2</c:v>
                </c:pt>
                <c:pt idx="8">
                  <c:v>3.2094594594594593E-2</c:v>
                </c:pt>
                <c:pt idx="9">
                  <c:v>5.0675675675675678E-3</c:v>
                </c:pt>
                <c:pt idx="10">
                  <c:v>0.65709459459459463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966C-49DF-A540-BEECCA775C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E16-490A-B833-4EE796B330D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E16-490A-B833-4EE796B330D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E16-490A-B833-4EE796B330D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E16-490A-B833-4EE796B330D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E16-490A-B833-4EE796B330D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EE16-490A-B833-4EE796B330D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EE16-490A-B833-4EE796B330D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EE16-490A-B833-4EE796B330D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EE16-490A-B833-4EE796B330D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EE16-490A-B833-4EE796B330D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EE16-490A-B833-4EE796B330D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EE16-490A-B833-4EE796B330D7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E16-490A-B833-4EE796B330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'17.10 SSEMBABULE-KANONI'!$C$9:$N$9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'17.10 SSEMBABULE-KANONI'!$C$60:$N$60</c:f>
              <c:numCache>
                <c:formatCode>0.00%</c:formatCode>
                <c:ptCount val="12"/>
                <c:pt idx="0">
                  <c:v>0.34975369458128081</c:v>
                </c:pt>
                <c:pt idx="1">
                  <c:v>8.8669950738916259E-2</c:v>
                </c:pt>
                <c:pt idx="2">
                  <c:v>9.8522167487684734E-2</c:v>
                </c:pt>
                <c:pt idx="3">
                  <c:v>0.14778325123152711</c:v>
                </c:pt>
                <c:pt idx="4">
                  <c:v>9.852216748768473E-3</c:v>
                </c:pt>
                <c:pt idx="5">
                  <c:v>0</c:v>
                </c:pt>
                <c:pt idx="6">
                  <c:v>0.15270935960591134</c:v>
                </c:pt>
                <c:pt idx="7">
                  <c:v>4.4334975369458129E-2</c:v>
                </c:pt>
                <c:pt idx="8">
                  <c:v>9.3596059113300489E-2</c:v>
                </c:pt>
                <c:pt idx="9">
                  <c:v>1.4778325123152709E-2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E16-490A-B833-4EE796B330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'17.10 KANONI-SSEMBABULE'!$AE$9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'17.10 KANONI-SSEMBABULE'!$R$10:$R$21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'17.10 KANONI-SSEMBABULE'!$AE$10:$AE$21</c:f>
              <c:numCache>
                <c:formatCode>0</c:formatCode>
                <c:ptCount val="12"/>
                <c:pt idx="0">
                  <c:v>13</c:v>
                </c:pt>
                <c:pt idx="1">
                  <c:v>10</c:v>
                </c:pt>
                <c:pt idx="2">
                  <c:v>12</c:v>
                </c:pt>
                <c:pt idx="3">
                  <c:v>9</c:v>
                </c:pt>
                <c:pt idx="4">
                  <c:v>14</c:v>
                </c:pt>
                <c:pt idx="5">
                  <c:v>26</c:v>
                </c:pt>
                <c:pt idx="6">
                  <c:v>24</c:v>
                </c:pt>
                <c:pt idx="7">
                  <c:v>22</c:v>
                </c:pt>
                <c:pt idx="8">
                  <c:v>14</c:v>
                </c:pt>
                <c:pt idx="9">
                  <c:v>14</c:v>
                </c:pt>
                <c:pt idx="10">
                  <c:v>19</c:v>
                </c:pt>
                <c:pt idx="11">
                  <c:v>17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89C-45BB-88A7-B65865997A3E}"/>
            </c:ext>
          </c:extLst>
        </c:ser>
        <c:ser>
          <c:idx val="1"/>
          <c:order val="1"/>
          <c:tx>
            <c:strRef>
              <c:f>'17.10 KANONI-SSEMBABULE'!$AF$9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'17.10 KANONI-SSEMBABULE'!$R$10:$R$21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'17.10 KANONI-SSEMBABULE'!$AF$10:$AF$21</c:f>
              <c:numCache>
                <c:formatCode>0</c:formatCode>
                <c:ptCount val="12"/>
                <c:pt idx="0">
                  <c:v>40</c:v>
                </c:pt>
                <c:pt idx="1">
                  <c:v>31</c:v>
                </c:pt>
                <c:pt idx="2">
                  <c:v>41</c:v>
                </c:pt>
                <c:pt idx="3">
                  <c:v>38</c:v>
                </c:pt>
                <c:pt idx="4">
                  <c:v>51</c:v>
                </c:pt>
                <c:pt idx="5">
                  <c:v>65</c:v>
                </c:pt>
                <c:pt idx="6">
                  <c:v>66</c:v>
                </c:pt>
                <c:pt idx="7">
                  <c:v>62</c:v>
                </c:pt>
                <c:pt idx="8">
                  <c:v>56</c:v>
                </c:pt>
                <c:pt idx="9">
                  <c:v>48</c:v>
                </c:pt>
                <c:pt idx="10">
                  <c:v>54</c:v>
                </c:pt>
                <c:pt idx="11">
                  <c:v>72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89C-45BB-88A7-B65865997A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6568320"/>
        <c:axId val="86590592"/>
      </c:lineChart>
      <c:catAx>
        <c:axId val="8656832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6590592"/>
        <c:crosses val="autoZero"/>
        <c:auto val="1"/>
        <c:lblAlgn val="ctr"/>
        <c:lblOffset val="100"/>
        <c:noMultiLvlLbl val="0"/>
      </c:catAx>
      <c:valAx>
        <c:axId val="8659059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6568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8B9-4D32-9FA4-C5B7B71D021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8B9-4D32-9FA4-C5B7B71D021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8B9-4D32-9FA4-C5B7B71D021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8B9-4D32-9FA4-C5B7B71D021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8B9-4D32-9FA4-C5B7B71D021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E8B9-4D32-9FA4-C5B7B71D021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E8B9-4D32-9FA4-C5B7B71D021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E8B9-4D32-9FA4-C5B7B71D021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E8B9-4D32-9FA4-C5B7B71D021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E8B9-4D32-9FA4-C5B7B71D021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E8B9-4D32-9FA4-C5B7B71D021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E8B9-4D32-9FA4-C5B7B71D021F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8B9-4D32-9FA4-C5B7B71D021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'17.10 KANONI-SSEMBABULE'!$C$9:$N$9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'17.10 KANONI-SSEMBABULE'!$C$59:$N$59</c:f>
              <c:numCache>
                <c:formatCode>0.0%</c:formatCode>
                <c:ptCount val="12"/>
                <c:pt idx="0">
                  <c:v>9.4551282051282048E-2</c:v>
                </c:pt>
                <c:pt idx="1">
                  <c:v>1.282051282051282E-2</c:v>
                </c:pt>
                <c:pt idx="2">
                  <c:v>2.2435897435897436E-2</c:v>
                </c:pt>
                <c:pt idx="3">
                  <c:v>4.807692307692308E-2</c:v>
                </c:pt>
                <c:pt idx="4">
                  <c:v>4.807692307692308E-3</c:v>
                </c:pt>
                <c:pt idx="5">
                  <c:v>0</c:v>
                </c:pt>
                <c:pt idx="6">
                  <c:v>5.2884615384615384E-2</c:v>
                </c:pt>
                <c:pt idx="7">
                  <c:v>2.2435897435897436E-2</c:v>
                </c:pt>
                <c:pt idx="8">
                  <c:v>4.807692307692308E-2</c:v>
                </c:pt>
                <c:pt idx="9">
                  <c:v>4.807692307692308E-3</c:v>
                </c:pt>
                <c:pt idx="10">
                  <c:v>0.6891025641025641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8B9-4D32-9FA4-C5B7B71D02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'17.10 KANONI-SSEMBABULE'!$S$9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'17.10 KANONI-SSEMBABULE'!$R$10:$R$21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'17.10 KANONI-SSEMBABULE'!$S$10:$S$21</c:f>
              <c:numCache>
                <c:formatCode>0</c:formatCode>
                <c:ptCount val="12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2</c:v>
                </c:pt>
                <c:pt idx="4">
                  <c:v>6</c:v>
                </c:pt>
                <c:pt idx="5">
                  <c:v>13</c:v>
                </c:pt>
                <c:pt idx="6">
                  <c:v>9</c:v>
                </c:pt>
                <c:pt idx="7">
                  <c:v>2</c:v>
                </c:pt>
                <c:pt idx="8">
                  <c:v>6</c:v>
                </c:pt>
                <c:pt idx="9">
                  <c:v>3</c:v>
                </c:pt>
                <c:pt idx="10">
                  <c:v>7</c:v>
                </c:pt>
                <c:pt idx="11">
                  <c:v>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651-40BE-9A1E-5B6943FE144C}"/>
            </c:ext>
          </c:extLst>
        </c:ser>
        <c:ser>
          <c:idx val="1"/>
          <c:order val="1"/>
          <c:tx>
            <c:strRef>
              <c:f>'17.10 KANONI-SSEMBABULE'!$T$9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'17.10 KANONI-SSEMBABULE'!$R$10:$R$21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'17.10 KANONI-SSEMBABULE'!$T$10:$T$21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651-40BE-9A1E-5B6943FE144C}"/>
            </c:ext>
          </c:extLst>
        </c:ser>
        <c:ser>
          <c:idx val="2"/>
          <c:order val="2"/>
          <c:tx>
            <c:strRef>
              <c:f>'17.10 KANONI-SSEMBABULE'!$U$9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'17.10 KANONI-SSEMBABULE'!$U$10:$U$21</c:f>
              <c:numCache>
                <c:formatCode>0</c:formatCode>
                <c:ptCount val="12"/>
                <c:pt idx="0">
                  <c:v>2</c:v>
                </c:pt>
                <c:pt idx="1">
                  <c:v>0</c:v>
                </c:pt>
                <c:pt idx="2">
                  <c:v>2</c:v>
                </c:pt>
                <c:pt idx="3">
                  <c:v>0</c:v>
                </c:pt>
                <c:pt idx="4">
                  <c:v>1</c:v>
                </c:pt>
                <c:pt idx="5">
                  <c:v>2</c:v>
                </c:pt>
                <c:pt idx="6">
                  <c:v>2</c:v>
                </c:pt>
                <c:pt idx="7">
                  <c:v>1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651-40BE-9A1E-5B6943FE144C}"/>
            </c:ext>
          </c:extLst>
        </c:ser>
        <c:ser>
          <c:idx val="3"/>
          <c:order val="3"/>
          <c:tx>
            <c:strRef>
              <c:f>'17.10 KANONI-SSEMBABULE'!$V$9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'17.10 KANONI-SSEMBABULE'!$V$10:$V$21</c:f>
              <c:numCache>
                <c:formatCode>0</c:formatCode>
                <c:ptCount val="12"/>
                <c:pt idx="0">
                  <c:v>1</c:v>
                </c:pt>
                <c:pt idx="1">
                  <c:v>7</c:v>
                </c:pt>
                <c:pt idx="2">
                  <c:v>2</c:v>
                </c:pt>
                <c:pt idx="3">
                  <c:v>0</c:v>
                </c:pt>
                <c:pt idx="4">
                  <c:v>4</c:v>
                </c:pt>
                <c:pt idx="5">
                  <c:v>3</c:v>
                </c:pt>
                <c:pt idx="6">
                  <c:v>5</c:v>
                </c:pt>
                <c:pt idx="7">
                  <c:v>2</c:v>
                </c:pt>
                <c:pt idx="8">
                  <c:v>1</c:v>
                </c:pt>
                <c:pt idx="9">
                  <c:v>0</c:v>
                </c:pt>
                <c:pt idx="10">
                  <c:v>1</c:v>
                </c:pt>
                <c:pt idx="1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651-40BE-9A1E-5B6943FE144C}"/>
            </c:ext>
          </c:extLst>
        </c:ser>
        <c:ser>
          <c:idx val="4"/>
          <c:order val="4"/>
          <c:tx>
            <c:strRef>
              <c:f>'17.10 KANONI-SSEMBABULE'!$W$9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'17.10 KANONI-SSEMBABULE'!$W$10:$W$21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651-40BE-9A1E-5B6943FE144C}"/>
            </c:ext>
          </c:extLst>
        </c:ser>
        <c:ser>
          <c:idx val="5"/>
          <c:order val="5"/>
          <c:tx>
            <c:strRef>
              <c:f>'17.10 KANONI-SSEMBABULE'!$X$9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'17.10 KANONI-SSEMBABULE'!$X$10:$X$21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651-40BE-9A1E-5B6943FE144C}"/>
            </c:ext>
          </c:extLst>
        </c:ser>
        <c:ser>
          <c:idx val="6"/>
          <c:order val="6"/>
          <c:tx>
            <c:strRef>
              <c:f>'17.10 KANONI-SSEMBABULE'!$Y$9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'17.10 KANONI-SSEMBABULE'!$Y$10:$Y$21</c:f>
              <c:numCache>
                <c:formatCode>0</c:formatCode>
                <c:ptCount val="12"/>
                <c:pt idx="0">
                  <c:v>5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3</c:v>
                </c:pt>
                <c:pt idx="10">
                  <c:v>6</c:v>
                </c:pt>
                <c:pt idx="1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651-40BE-9A1E-5B6943FE144C}"/>
            </c:ext>
          </c:extLst>
        </c:ser>
        <c:ser>
          <c:idx val="7"/>
          <c:order val="7"/>
          <c:tx>
            <c:strRef>
              <c:f>'17.10 KANONI-SSEMBABULE'!$Z$9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'17.10 KANONI-SSEMBABULE'!$Z$10:$Z$21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</c:v>
                </c:pt>
                <c:pt idx="6">
                  <c:v>2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  <c:pt idx="10">
                  <c:v>5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651-40BE-9A1E-5B6943FE144C}"/>
            </c:ext>
          </c:extLst>
        </c:ser>
        <c:ser>
          <c:idx val="8"/>
          <c:order val="8"/>
          <c:tx>
            <c:strRef>
              <c:f>'17.10 KANONI-SSEMBABULE'!$AA$9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'17.10 KANONI-SSEMBABULE'!$AA$10:$AA$21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4</c:v>
                </c:pt>
                <c:pt idx="3">
                  <c:v>4</c:v>
                </c:pt>
                <c:pt idx="4">
                  <c:v>0</c:v>
                </c:pt>
                <c:pt idx="5">
                  <c:v>4</c:v>
                </c:pt>
                <c:pt idx="6">
                  <c:v>0</c:v>
                </c:pt>
                <c:pt idx="7">
                  <c:v>13</c:v>
                </c:pt>
                <c:pt idx="8">
                  <c:v>2</c:v>
                </c:pt>
                <c:pt idx="9">
                  <c:v>3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651-40BE-9A1E-5B6943FE144C}"/>
            </c:ext>
          </c:extLst>
        </c:ser>
        <c:ser>
          <c:idx val="9"/>
          <c:order val="9"/>
          <c:tx>
            <c:strRef>
              <c:f>'17.10 KANONI-SSEMBABULE'!$AB$9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'17.10 KANONI-SSEMBABULE'!$AB$10:$AB$21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651-40BE-9A1E-5B6943FE144C}"/>
            </c:ext>
          </c:extLst>
        </c:ser>
        <c:ser>
          <c:idx val="10"/>
          <c:order val="10"/>
          <c:tx>
            <c:strRef>
              <c:f>'17.10 KANONI-SSEMBABULE'!$AC$9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'17.10 KANONI-SSEMBABULE'!$AC$10:$AC$21</c:f>
              <c:numCache>
                <c:formatCode>0</c:formatCode>
                <c:ptCount val="12"/>
                <c:pt idx="0">
                  <c:v>27</c:v>
                </c:pt>
                <c:pt idx="1">
                  <c:v>21</c:v>
                </c:pt>
                <c:pt idx="2">
                  <c:v>29</c:v>
                </c:pt>
                <c:pt idx="3">
                  <c:v>29</c:v>
                </c:pt>
                <c:pt idx="4">
                  <c:v>37</c:v>
                </c:pt>
                <c:pt idx="5">
                  <c:v>39</c:v>
                </c:pt>
                <c:pt idx="6">
                  <c:v>42</c:v>
                </c:pt>
                <c:pt idx="7">
                  <c:v>40</c:v>
                </c:pt>
                <c:pt idx="8">
                  <c:v>42</c:v>
                </c:pt>
                <c:pt idx="9">
                  <c:v>34</c:v>
                </c:pt>
                <c:pt idx="10">
                  <c:v>35</c:v>
                </c:pt>
                <c:pt idx="11">
                  <c:v>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651-40BE-9A1E-5B6943FE144C}"/>
            </c:ext>
          </c:extLst>
        </c:ser>
        <c:ser>
          <c:idx val="11"/>
          <c:order val="11"/>
          <c:tx>
            <c:strRef>
              <c:f>'17.10 KANONI-SSEMBABULE'!$AD$9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'17.10 KANONI-SSEMBABULE'!$AD$10:$AD$21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651-40BE-9A1E-5B6943FE14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6705664"/>
        <c:axId val="86707200"/>
      </c:lineChart>
      <c:catAx>
        <c:axId val="86705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6707200"/>
        <c:crosses val="autoZero"/>
        <c:auto val="1"/>
        <c:lblAlgn val="ctr"/>
        <c:lblOffset val="100"/>
        <c:noMultiLvlLbl val="0"/>
      </c:catAx>
      <c:valAx>
        <c:axId val="86707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6705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F2F-4319-A1B1-A94A163849D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F2F-4319-A1B1-A94A163849D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F2F-4319-A1B1-A94A163849D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F2F-4319-A1B1-A94A163849D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F2F-4319-A1B1-A94A163849D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F2F-4319-A1B1-A94A163849D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F2F-4319-A1B1-A94A163849D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F2F-4319-A1B1-A94A163849D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F2F-4319-A1B1-A94A163849D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F2F-4319-A1B1-A94A163849D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F2F-4319-A1B1-A94A163849D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F2F-4319-A1B1-A94A163849D9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F2F-4319-A1B1-A94A163849D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'17.10 KANONI-SSEMBABULE'!$C$9:$N$9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'17.10 KANONI-SSEMBABULE'!$C$60:$N$60</c:f>
              <c:numCache>
                <c:formatCode>0.00%</c:formatCode>
                <c:ptCount val="12"/>
                <c:pt idx="0">
                  <c:v>0.30412371134020616</c:v>
                </c:pt>
                <c:pt idx="1">
                  <c:v>4.1237113402061855E-2</c:v>
                </c:pt>
                <c:pt idx="2">
                  <c:v>7.2164948453608241E-2</c:v>
                </c:pt>
                <c:pt idx="3">
                  <c:v>0.15463917525773196</c:v>
                </c:pt>
                <c:pt idx="4">
                  <c:v>1.5463917525773196E-2</c:v>
                </c:pt>
                <c:pt idx="5">
                  <c:v>0</c:v>
                </c:pt>
                <c:pt idx="6">
                  <c:v>0.17010309278350516</c:v>
                </c:pt>
                <c:pt idx="7">
                  <c:v>7.2164948453608241E-2</c:v>
                </c:pt>
                <c:pt idx="8">
                  <c:v>0.15463917525773196</c:v>
                </c:pt>
                <c:pt idx="9">
                  <c:v>1.5463917525773196E-2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F2F-4319-A1B1-A94A163849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'18.10 SSEMBABULE-KANONI-24h'!$AE$9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'18.10 SSEMBABULE-KANONI-24h'!$R$10:$R$33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'18.10 SSEMBABULE-KANONI-24h'!$AE$10:$AE$33</c:f>
              <c:numCache>
                <c:formatCode>0</c:formatCode>
                <c:ptCount val="24"/>
                <c:pt idx="0">
                  <c:v>14</c:v>
                </c:pt>
                <c:pt idx="1">
                  <c:v>18</c:v>
                </c:pt>
                <c:pt idx="2">
                  <c:v>14</c:v>
                </c:pt>
                <c:pt idx="3">
                  <c:v>15</c:v>
                </c:pt>
                <c:pt idx="4">
                  <c:v>14</c:v>
                </c:pt>
                <c:pt idx="5">
                  <c:v>7</c:v>
                </c:pt>
                <c:pt idx="6">
                  <c:v>27</c:v>
                </c:pt>
                <c:pt idx="7">
                  <c:v>11</c:v>
                </c:pt>
                <c:pt idx="8">
                  <c:v>18</c:v>
                </c:pt>
                <c:pt idx="9">
                  <c:v>6</c:v>
                </c:pt>
                <c:pt idx="10">
                  <c:v>18</c:v>
                </c:pt>
                <c:pt idx="11">
                  <c:v>18</c:v>
                </c:pt>
                <c:pt idx="12">
                  <c:v>15</c:v>
                </c:pt>
                <c:pt idx="13">
                  <c:v>11</c:v>
                </c:pt>
                <c:pt idx="14">
                  <c:v>7</c:v>
                </c:pt>
                <c:pt idx="15">
                  <c:v>8</c:v>
                </c:pt>
                <c:pt idx="16">
                  <c:v>3</c:v>
                </c:pt>
                <c:pt idx="17">
                  <c:v>4</c:v>
                </c:pt>
                <c:pt idx="18">
                  <c:v>14</c:v>
                </c:pt>
                <c:pt idx="19">
                  <c:v>4</c:v>
                </c:pt>
                <c:pt idx="20">
                  <c:v>7</c:v>
                </c:pt>
                <c:pt idx="21">
                  <c:v>11</c:v>
                </c:pt>
                <c:pt idx="22">
                  <c:v>4</c:v>
                </c:pt>
                <c:pt idx="23">
                  <c:v>14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FC2-4A7B-9B5C-FEA0112544F4}"/>
            </c:ext>
          </c:extLst>
        </c:ser>
        <c:ser>
          <c:idx val="1"/>
          <c:order val="1"/>
          <c:tx>
            <c:strRef>
              <c:f>'18.10 SSEMBABULE-KANONI-24h'!$AF$9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'18.10 SSEMBABULE-KANONI-24h'!$R$10:$R$33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'18.10 SSEMBABULE-KANONI-24h'!$AF$10:$AF$33</c:f>
              <c:numCache>
                <c:formatCode>0</c:formatCode>
                <c:ptCount val="24"/>
                <c:pt idx="0">
                  <c:v>39</c:v>
                </c:pt>
                <c:pt idx="1">
                  <c:v>36</c:v>
                </c:pt>
                <c:pt idx="2">
                  <c:v>32</c:v>
                </c:pt>
                <c:pt idx="3">
                  <c:v>45</c:v>
                </c:pt>
                <c:pt idx="4">
                  <c:v>34</c:v>
                </c:pt>
                <c:pt idx="5">
                  <c:v>17</c:v>
                </c:pt>
                <c:pt idx="6">
                  <c:v>47</c:v>
                </c:pt>
                <c:pt idx="7">
                  <c:v>36</c:v>
                </c:pt>
                <c:pt idx="8">
                  <c:v>45</c:v>
                </c:pt>
                <c:pt idx="9">
                  <c:v>31</c:v>
                </c:pt>
                <c:pt idx="10">
                  <c:v>40</c:v>
                </c:pt>
                <c:pt idx="11">
                  <c:v>31</c:v>
                </c:pt>
                <c:pt idx="12">
                  <c:v>66</c:v>
                </c:pt>
                <c:pt idx="13">
                  <c:v>29</c:v>
                </c:pt>
                <c:pt idx="14">
                  <c:v>18</c:v>
                </c:pt>
                <c:pt idx="15">
                  <c:v>10</c:v>
                </c:pt>
                <c:pt idx="16">
                  <c:v>3</c:v>
                </c:pt>
                <c:pt idx="17">
                  <c:v>7</c:v>
                </c:pt>
                <c:pt idx="18">
                  <c:v>17</c:v>
                </c:pt>
                <c:pt idx="19">
                  <c:v>5</c:v>
                </c:pt>
                <c:pt idx="20">
                  <c:v>7</c:v>
                </c:pt>
                <c:pt idx="21">
                  <c:v>13</c:v>
                </c:pt>
                <c:pt idx="22">
                  <c:v>5</c:v>
                </c:pt>
                <c:pt idx="23">
                  <c:v>24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FC2-4A7B-9B5C-FEA0112544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3521792"/>
        <c:axId val="113522944"/>
      </c:lineChart>
      <c:catAx>
        <c:axId val="11352179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3522944"/>
        <c:crosses val="autoZero"/>
        <c:auto val="1"/>
        <c:lblAlgn val="ctr"/>
        <c:lblOffset val="100"/>
        <c:noMultiLvlLbl val="0"/>
      </c:catAx>
      <c:valAx>
        <c:axId val="11352294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3521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43B-4B95-BFC1-AB46B6A1DAB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43B-4B95-BFC1-AB46B6A1DAB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43B-4B95-BFC1-AB46B6A1DAB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43B-4B95-BFC1-AB46B6A1DAB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43B-4B95-BFC1-AB46B6A1DAB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43B-4B95-BFC1-AB46B6A1DAB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43B-4B95-BFC1-AB46B6A1DAB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43B-4B95-BFC1-AB46B6A1DAB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43B-4B95-BFC1-AB46B6A1DAB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43B-4B95-BFC1-AB46B6A1DAB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43B-4B95-BFC1-AB46B6A1DAB2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43B-4B95-BFC1-AB46B6A1DAB2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43B-4B95-BFC1-AB46B6A1DAB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'18.10 SSEMBABULE-KANONI-24h'!$C$9:$N$9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'18.10 SSEMBABULE-KANONI-24h'!$C$107:$N$107</c:f>
              <c:numCache>
                <c:formatCode>0.0%</c:formatCode>
                <c:ptCount val="12"/>
                <c:pt idx="0">
                  <c:v>8.7912087912087919E-2</c:v>
                </c:pt>
                <c:pt idx="1">
                  <c:v>9.2621664050235475E-2</c:v>
                </c:pt>
                <c:pt idx="2">
                  <c:v>2.6687598116169546E-2</c:v>
                </c:pt>
                <c:pt idx="3">
                  <c:v>4.709576138147567E-2</c:v>
                </c:pt>
                <c:pt idx="4">
                  <c:v>1.8838304552590265E-2</c:v>
                </c:pt>
                <c:pt idx="5">
                  <c:v>3.1397174254317113E-3</c:v>
                </c:pt>
                <c:pt idx="6">
                  <c:v>8.0062794348508631E-2</c:v>
                </c:pt>
                <c:pt idx="7">
                  <c:v>5.1805337519623233E-2</c:v>
                </c:pt>
                <c:pt idx="8">
                  <c:v>2.3547880690737835E-2</c:v>
                </c:pt>
                <c:pt idx="9">
                  <c:v>9.4191522762951327E-3</c:v>
                </c:pt>
                <c:pt idx="10">
                  <c:v>0.55729984301412872</c:v>
                </c:pt>
                <c:pt idx="11">
                  <c:v>1.5698587127158557E-3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43B-4B95-BFC1-AB46B6A1DA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889-4F07-A028-107AA614C72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889-4F07-A028-107AA614C72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889-4F07-A028-107AA614C72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889-4F07-A028-107AA614C72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889-4F07-A028-107AA614C72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889-4F07-A028-107AA614C72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889-4F07-A028-107AA614C72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889-4F07-A028-107AA614C72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889-4F07-A028-107AA614C72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889-4F07-A028-107AA614C72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889-4F07-A028-107AA614C72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889-4F07-A028-107AA614C720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889-4F07-A028-107AA614C72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'18.10 SSEMBABULE-KANONI-24h'!$C$9:$N$9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'18.10 SSEMBABULE-KANONI-24h'!$C$108:$N$108</c:f>
              <c:numCache>
                <c:formatCode>0.00%</c:formatCode>
                <c:ptCount val="12"/>
                <c:pt idx="0">
                  <c:v>0.19858156028368795</c:v>
                </c:pt>
                <c:pt idx="1">
                  <c:v>0.20921985815602837</c:v>
                </c:pt>
                <c:pt idx="2">
                  <c:v>6.0283687943262408E-2</c:v>
                </c:pt>
                <c:pt idx="3">
                  <c:v>0.10638297872340426</c:v>
                </c:pt>
                <c:pt idx="4">
                  <c:v>4.2553191489361701E-2</c:v>
                </c:pt>
                <c:pt idx="5">
                  <c:v>7.0921985815602835E-3</c:v>
                </c:pt>
                <c:pt idx="6">
                  <c:v>0.18085106382978725</c:v>
                </c:pt>
                <c:pt idx="7">
                  <c:v>0.11702127659574468</c:v>
                </c:pt>
                <c:pt idx="8">
                  <c:v>5.3191489361702128E-2</c:v>
                </c:pt>
                <c:pt idx="9">
                  <c:v>2.1276595744680851E-2</c:v>
                </c:pt>
                <c:pt idx="11">
                  <c:v>3.5460992907801418E-3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889-4F07-A028-107AA614C7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'18.10 KANONI-SSEMBABULE-24h'!$AE$9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'18.10 KANONI-SSEMBABULE-24h'!$R$10:$R$33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'18.10 KANONI-SSEMBABULE-24h'!$AE$10:$AE$33</c:f>
              <c:numCache>
                <c:formatCode>0</c:formatCode>
                <c:ptCount val="24"/>
                <c:pt idx="0">
                  <c:v>19</c:v>
                </c:pt>
                <c:pt idx="1">
                  <c:v>15</c:v>
                </c:pt>
                <c:pt idx="2">
                  <c:v>12</c:v>
                </c:pt>
                <c:pt idx="3">
                  <c:v>8</c:v>
                </c:pt>
                <c:pt idx="4">
                  <c:v>12</c:v>
                </c:pt>
                <c:pt idx="5">
                  <c:v>12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12</c:v>
                </c:pt>
                <c:pt idx="10">
                  <c:v>17</c:v>
                </c:pt>
                <c:pt idx="11">
                  <c:v>12</c:v>
                </c:pt>
                <c:pt idx="12">
                  <c:v>19</c:v>
                </c:pt>
                <c:pt idx="13">
                  <c:v>20</c:v>
                </c:pt>
                <c:pt idx="14">
                  <c:v>14</c:v>
                </c:pt>
                <c:pt idx="15">
                  <c:v>3</c:v>
                </c:pt>
                <c:pt idx="16">
                  <c:v>7</c:v>
                </c:pt>
                <c:pt idx="17">
                  <c:v>14</c:v>
                </c:pt>
                <c:pt idx="18">
                  <c:v>8</c:v>
                </c:pt>
                <c:pt idx="19">
                  <c:v>9</c:v>
                </c:pt>
                <c:pt idx="20">
                  <c:v>9</c:v>
                </c:pt>
                <c:pt idx="21">
                  <c:v>15</c:v>
                </c:pt>
                <c:pt idx="22">
                  <c:v>6</c:v>
                </c:pt>
                <c:pt idx="23">
                  <c:v>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D7C-43E4-8D98-AF01AC8ABB92}"/>
            </c:ext>
          </c:extLst>
        </c:ser>
        <c:ser>
          <c:idx val="1"/>
          <c:order val="1"/>
          <c:tx>
            <c:strRef>
              <c:f>'18.10 KANONI-SSEMBABULE-24h'!$AF$9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'18.10 KANONI-SSEMBABULE-24h'!$R$10:$R$33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'18.10 KANONI-SSEMBABULE-24h'!$AF$10:$AF$33</c:f>
              <c:numCache>
                <c:formatCode>0</c:formatCode>
                <c:ptCount val="24"/>
                <c:pt idx="0">
                  <c:v>38</c:v>
                </c:pt>
                <c:pt idx="1">
                  <c:v>32</c:v>
                </c:pt>
                <c:pt idx="2">
                  <c:v>31</c:v>
                </c:pt>
                <c:pt idx="3">
                  <c:v>30</c:v>
                </c:pt>
                <c:pt idx="4">
                  <c:v>41</c:v>
                </c:pt>
                <c:pt idx="5">
                  <c:v>40</c:v>
                </c:pt>
                <c:pt idx="6">
                  <c:v>35</c:v>
                </c:pt>
                <c:pt idx="7">
                  <c:v>34</c:v>
                </c:pt>
                <c:pt idx="8">
                  <c:v>37</c:v>
                </c:pt>
                <c:pt idx="9">
                  <c:v>31</c:v>
                </c:pt>
                <c:pt idx="10">
                  <c:v>42</c:v>
                </c:pt>
                <c:pt idx="11">
                  <c:v>35</c:v>
                </c:pt>
                <c:pt idx="12">
                  <c:v>55</c:v>
                </c:pt>
                <c:pt idx="13">
                  <c:v>38</c:v>
                </c:pt>
                <c:pt idx="14">
                  <c:v>23</c:v>
                </c:pt>
                <c:pt idx="15">
                  <c:v>4</c:v>
                </c:pt>
                <c:pt idx="16">
                  <c:v>8</c:v>
                </c:pt>
                <c:pt idx="17">
                  <c:v>18</c:v>
                </c:pt>
                <c:pt idx="18">
                  <c:v>13</c:v>
                </c:pt>
                <c:pt idx="19">
                  <c:v>10</c:v>
                </c:pt>
                <c:pt idx="20">
                  <c:v>9</c:v>
                </c:pt>
                <c:pt idx="21">
                  <c:v>15</c:v>
                </c:pt>
                <c:pt idx="22">
                  <c:v>7</c:v>
                </c:pt>
                <c:pt idx="23">
                  <c:v>17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D7C-43E4-8D98-AF01AC8ABB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3789952"/>
        <c:axId val="113820032"/>
      </c:lineChart>
      <c:catAx>
        <c:axId val="11378995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3820032"/>
        <c:crosses val="autoZero"/>
        <c:auto val="1"/>
        <c:lblAlgn val="ctr"/>
        <c:lblOffset val="100"/>
        <c:noMultiLvlLbl val="0"/>
      </c:catAx>
      <c:valAx>
        <c:axId val="11382003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3789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533-467E-9052-E80B684A022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533-467E-9052-E80B684A022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B533-467E-9052-E80B684A022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B533-467E-9052-E80B684A022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B533-467E-9052-E80B684A022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B533-467E-9052-E80B684A022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B533-467E-9052-E80B684A022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B533-467E-9052-E80B684A022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B533-467E-9052-E80B684A022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B533-467E-9052-E80B684A022A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B533-467E-9052-E80B684A022A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B533-467E-9052-E80B684A022A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B533-467E-9052-E80B684A022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'18.10 KANONI-SSEMBABULE-24h'!$C$9:$N$9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'18.10 KANONI-SSEMBABULE-24h'!$C$107:$N$107</c:f>
              <c:numCache>
                <c:formatCode>0.0%</c:formatCode>
                <c:ptCount val="12"/>
                <c:pt idx="0">
                  <c:v>0.10108864696734059</c:v>
                </c:pt>
                <c:pt idx="1">
                  <c:v>9.1757387247278388E-2</c:v>
                </c:pt>
                <c:pt idx="2">
                  <c:v>9.3312597200622092E-3</c:v>
                </c:pt>
                <c:pt idx="3">
                  <c:v>4.821150855365474E-2</c:v>
                </c:pt>
                <c:pt idx="4">
                  <c:v>1.7107309486780714E-2</c:v>
                </c:pt>
                <c:pt idx="5">
                  <c:v>6.2208398133748056E-3</c:v>
                </c:pt>
                <c:pt idx="6">
                  <c:v>6.6874027993779159E-2</c:v>
                </c:pt>
                <c:pt idx="7">
                  <c:v>5.5987558320373249E-2</c:v>
                </c:pt>
                <c:pt idx="8">
                  <c:v>2.4883359253499222E-2</c:v>
                </c:pt>
                <c:pt idx="9">
                  <c:v>1.5552099533437015E-2</c:v>
                </c:pt>
                <c:pt idx="10">
                  <c:v>0.56143079315707622</c:v>
                </c:pt>
                <c:pt idx="11">
                  <c:v>1.5552099533437014E-3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B533-467E-9052-E80B684A02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529-4064-B18B-726F86F6119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529-4064-B18B-726F86F6119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529-4064-B18B-726F86F6119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529-4064-B18B-726F86F6119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529-4064-B18B-726F86F6119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529-4064-B18B-726F86F6119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529-4064-B18B-726F86F6119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529-4064-B18B-726F86F6119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529-4064-B18B-726F86F6119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529-4064-B18B-726F86F6119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529-4064-B18B-726F86F6119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529-4064-B18B-726F86F6119F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529-4064-B18B-726F86F6119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'18.10 KANONI-SSEMBABULE-24h'!$C$9:$N$9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'18.10 KANONI-SSEMBABULE-24h'!$C$108:$N$108</c:f>
              <c:numCache>
                <c:formatCode>0.00%</c:formatCode>
                <c:ptCount val="12"/>
                <c:pt idx="0">
                  <c:v>0.23049645390070922</c:v>
                </c:pt>
                <c:pt idx="1">
                  <c:v>0.20921985815602837</c:v>
                </c:pt>
                <c:pt idx="2">
                  <c:v>2.1276595744680851E-2</c:v>
                </c:pt>
                <c:pt idx="3">
                  <c:v>0.1099290780141844</c:v>
                </c:pt>
                <c:pt idx="4">
                  <c:v>3.9007092198581561E-2</c:v>
                </c:pt>
                <c:pt idx="5">
                  <c:v>1.4184397163120567E-2</c:v>
                </c:pt>
                <c:pt idx="6">
                  <c:v>0.1524822695035461</c:v>
                </c:pt>
                <c:pt idx="7">
                  <c:v>0.1276595744680851</c:v>
                </c:pt>
                <c:pt idx="8">
                  <c:v>5.6737588652482268E-2</c:v>
                </c:pt>
                <c:pt idx="9">
                  <c:v>3.5460992907801421E-2</c:v>
                </c:pt>
                <c:pt idx="11">
                  <c:v>3.5460992907801418E-3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529-4064-B18B-726F86F611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'19.10  SSEMBABULE- KANONI-24h'!$AE$9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'19.10  SSEMBABULE- KANONI-24h'!$R$10:$R$33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'19.10  SSEMBABULE- KANONI-24h'!$AE$10:$AE$33</c:f>
              <c:numCache>
                <c:formatCode>0</c:formatCode>
                <c:ptCount val="24"/>
                <c:pt idx="0">
                  <c:v>16</c:v>
                </c:pt>
                <c:pt idx="1">
                  <c:v>15</c:v>
                </c:pt>
                <c:pt idx="2">
                  <c:v>12</c:v>
                </c:pt>
                <c:pt idx="3">
                  <c:v>9</c:v>
                </c:pt>
                <c:pt idx="4">
                  <c:v>14</c:v>
                </c:pt>
                <c:pt idx="5">
                  <c:v>18</c:v>
                </c:pt>
                <c:pt idx="6">
                  <c:v>18</c:v>
                </c:pt>
                <c:pt idx="7">
                  <c:v>14</c:v>
                </c:pt>
                <c:pt idx="8">
                  <c:v>11</c:v>
                </c:pt>
                <c:pt idx="9">
                  <c:v>10</c:v>
                </c:pt>
                <c:pt idx="10">
                  <c:v>21</c:v>
                </c:pt>
                <c:pt idx="11">
                  <c:v>28</c:v>
                </c:pt>
                <c:pt idx="12">
                  <c:v>18</c:v>
                </c:pt>
                <c:pt idx="13">
                  <c:v>15</c:v>
                </c:pt>
                <c:pt idx="14">
                  <c:v>9</c:v>
                </c:pt>
                <c:pt idx="15">
                  <c:v>5</c:v>
                </c:pt>
                <c:pt idx="16">
                  <c:v>11</c:v>
                </c:pt>
                <c:pt idx="17">
                  <c:v>10</c:v>
                </c:pt>
                <c:pt idx="18">
                  <c:v>3</c:v>
                </c:pt>
                <c:pt idx="19">
                  <c:v>4</c:v>
                </c:pt>
                <c:pt idx="20">
                  <c:v>8</c:v>
                </c:pt>
                <c:pt idx="21">
                  <c:v>2</c:v>
                </c:pt>
                <c:pt idx="22">
                  <c:v>3</c:v>
                </c:pt>
                <c:pt idx="23">
                  <c:v>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B9B-4793-84FD-99A5405B7AD3}"/>
            </c:ext>
          </c:extLst>
        </c:ser>
        <c:ser>
          <c:idx val="1"/>
          <c:order val="1"/>
          <c:tx>
            <c:strRef>
              <c:f>'19.10  SSEMBABULE- KANONI-24h'!$AF$9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'19.10  SSEMBABULE- KANONI-24h'!$R$10:$R$33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'19.10  SSEMBABULE- KANONI-24h'!$AF$10:$AF$33</c:f>
              <c:numCache>
                <c:formatCode>0</c:formatCode>
                <c:ptCount val="24"/>
                <c:pt idx="0">
                  <c:v>42</c:v>
                </c:pt>
                <c:pt idx="1">
                  <c:v>29</c:v>
                </c:pt>
                <c:pt idx="2">
                  <c:v>38</c:v>
                </c:pt>
                <c:pt idx="3">
                  <c:v>33</c:v>
                </c:pt>
                <c:pt idx="4">
                  <c:v>40</c:v>
                </c:pt>
                <c:pt idx="5">
                  <c:v>41</c:v>
                </c:pt>
                <c:pt idx="6">
                  <c:v>50</c:v>
                </c:pt>
                <c:pt idx="7">
                  <c:v>35</c:v>
                </c:pt>
                <c:pt idx="8">
                  <c:v>41</c:v>
                </c:pt>
                <c:pt idx="9">
                  <c:v>39</c:v>
                </c:pt>
                <c:pt idx="10">
                  <c:v>52</c:v>
                </c:pt>
                <c:pt idx="11">
                  <c:v>56</c:v>
                </c:pt>
                <c:pt idx="12">
                  <c:v>67</c:v>
                </c:pt>
                <c:pt idx="13">
                  <c:v>31</c:v>
                </c:pt>
                <c:pt idx="14">
                  <c:v>16</c:v>
                </c:pt>
                <c:pt idx="15">
                  <c:v>17</c:v>
                </c:pt>
                <c:pt idx="16">
                  <c:v>16</c:v>
                </c:pt>
                <c:pt idx="17">
                  <c:v>15</c:v>
                </c:pt>
                <c:pt idx="18">
                  <c:v>6</c:v>
                </c:pt>
                <c:pt idx="19">
                  <c:v>5</c:v>
                </c:pt>
                <c:pt idx="20">
                  <c:v>8</c:v>
                </c:pt>
                <c:pt idx="21">
                  <c:v>3</c:v>
                </c:pt>
                <c:pt idx="22">
                  <c:v>7</c:v>
                </c:pt>
                <c:pt idx="23">
                  <c:v>17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B9B-4793-84FD-99A5405B7A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4410240"/>
        <c:axId val="114411776"/>
      </c:lineChart>
      <c:catAx>
        <c:axId val="11441024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4411776"/>
        <c:crosses val="autoZero"/>
        <c:auto val="1"/>
        <c:lblAlgn val="ctr"/>
        <c:lblOffset val="100"/>
        <c:noMultiLvlLbl val="0"/>
      </c:catAx>
      <c:valAx>
        <c:axId val="11441177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4410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C19-40B6-88F6-F149CBCFBC0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C19-40B6-88F6-F149CBCFBC0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C19-40B6-88F6-F149CBCFBC0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C19-40B6-88F6-F149CBCFBC0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C19-40B6-88F6-F149CBCFBC0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C19-40B6-88F6-F149CBCFBC0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C19-40B6-88F6-F149CBCFBC0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C19-40B6-88F6-F149CBCFBC0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C19-40B6-88F6-F149CBCFBC0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C19-40B6-88F6-F149CBCFBC0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C19-40B6-88F6-F149CBCFBC0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C19-40B6-88F6-F149CBCFBC0F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C19-40B6-88F6-F149CBCFBC0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'19.10  SSEMBABULE- KANONI-24h'!$C$9:$N$9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'19.10  SSEMBABULE- KANONI-24h'!$C$107:$N$107</c:f>
              <c:numCache>
                <c:formatCode>0.0%</c:formatCode>
                <c:ptCount val="12"/>
                <c:pt idx="0">
                  <c:v>9.6590909090909088E-2</c:v>
                </c:pt>
                <c:pt idx="1">
                  <c:v>7.1022727272727279E-2</c:v>
                </c:pt>
                <c:pt idx="2">
                  <c:v>2.130681818181818E-2</c:v>
                </c:pt>
                <c:pt idx="3">
                  <c:v>4.261363636363636E-2</c:v>
                </c:pt>
                <c:pt idx="4">
                  <c:v>1.5625E-2</c:v>
                </c:pt>
                <c:pt idx="5">
                  <c:v>1.4204545454545455E-3</c:v>
                </c:pt>
                <c:pt idx="6">
                  <c:v>6.9602272727272721E-2</c:v>
                </c:pt>
                <c:pt idx="7">
                  <c:v>2.4147727272727272E-2</c:v>
                </c:pt>
                <c:pt idx="8">
                  <c:v>4.6875E-2</c:v>
                </c:pt>
                <c:pt idx="9">
                  <c:v>1.1363636363636364E-2</c:v>
                </c:pt>
                <c:pt idx="10">
                  <c:v>0.59801136363636365</c:v>
                </c:pt>
                <c:pt idx="11">
                  <c:v>1.4204545454545455E-3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C19-40B6-88F6-F149CBCFBC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F34-448D-935B-A3D0702D351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F34-448D-935B-A3D0702D351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F34-448D-935B-A3D0702D351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F34-448D-935B-A3D0702D351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F34-448D-935B-A3D0702D351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6F34-448D-935B-A3D0702D351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6F34-448D-935B-A3D0702D3518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6F34-448D-935B-A3D0702D3518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6F34-448D-935B-A3D0702D3518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6F34-448D-935B-A3D0702D3518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6F34-448D-935B-A3D0702D3518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6F34-448D-935B-A3D0702D3518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F34-448D-935B-A3D0702D351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'19.10  SSEMBABULE- KANONI-24h'!$C$9:$N$9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'19.10  SSEMBABULE- KANONI-24h'!$C$108:$N$108</c:f>
              <c:numCache>
                <c:formatCode>0.00%</c:formatCode>
                <c:ptCount val="12"/>
                <c:pt idx="0">
                  <c:v>0.24028268551236748</c:v>
                </c:pt>
                <c:pt idx="1">
                  <c:v>0.17667844522968199</c:v>
                </c:pt>
                <c:pt idx="2">
                  <c:v>5.3003533568904596E-2</c:v>
                </c:pt>
                <c:pt idx="3">
                  <c:v>0.10600706713780919</c:v>
                </c:pt>
                <c:pt idx="4">
                  <c:v>3.8869257950530034E-2</c:v>
                </c:pt>
                <c:pt idx="5">
                  <c:v>3.5335689045936395E-3</c:v>
                </c:pt>
                <c:pt idx="6">
                  <c:v>0.17314487632508835</c:v>
                </c:pt>
                <c:pt idx="7">
                  <c:v>6.0070671378091869E-2</c:v>
                </c:pt>
                <c:pt idx="8">
                  <c:v>0.1166077738515901</c:v>
                </c:pt>
                <c:pt idx="9">
                  <c:v>2.8268551236749116E-2</c:v>
                </c:pt>
                <c:pt idx="11">
                  <c:v>3.5335689045936395E-3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6F34-448D-935B-A3D0702D35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'19.10 KANONI-SSEMBABULE-24h'!$AE$9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'19.10 KANONI-SSEMBABULE-24h'!$R$10:$R$33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'19.10 KANONI-SSEMBABULE-24h'!$AE$10:$AE$33</c:f>
              <c:numCache>
                <c:formatCode>0</c:formatCode>
                <c:ptCount val="24"/>
                <c:pt idx="0">
                  <c:v>19</c:v>
                </c:pt>
                <c:pt idx="1">
                  <c:v>8</c:v>
                </c:pt>
                <c:pt idx="2">
                  <c:v>10</c:v>
                </c:pt>
                <c:pt idx="3">
                  <c:v>20</c:v>
                </c:pt>
                <c:pt idx="4">
                  <c:v>15</c:v>
                </c:pt>
                <c:pt idx="5">
                  <c:v>11</c:v>
                </c:pt>
                <c:pt idx="6">
                  <c:v>7</c:v>
                </c:pt>
                <c:pt idx="7">
                  <c:v>10</c:v>
                </c:pt>
                <c:pt idx="8">
                  <c:v>15</c:v>
                </c:pt>
                <c:pt idx="9">
                  <c:v>12</c:v>
                </c:pt>
                <c:pt idx="10">
                  <c:v>14</c:v>
                </c:pt>
                <c:pt idx="11">
                  <c:v>15</c:v>
                </c:pt>
                <c:pt idx="12">
                  <c:v>24</c:v>
                </c:pt>
                <c:pt idx="13">
                  <c:v>17</c:v>
                </c:pt>
                <c:pt idx="14">
                  <c:v>9</c:v>
                </c:pt>
                <c:pt idx="15">
                  <c:v>7</c:v>
                </c:pt>
                <c:pt idx="16">
                  <c:v>7</c:v>
                </c:pt>
                <c:pt idx="17">
                  <c:v>7</c:v>
                </c:pt>
                <c:pt idx="18">
                  <c:v>4</c:v>
                </c:pt>
                <c:pt idx="19">
                  <c:v>5</c:v>
                </c:pt>
                <c:pt idx="20">
                  <c:v>4</c:v>
                </c:pt>
                <c:pt idx="21">
                  <c:v>2</c:v>
                </c:pt>
                <c:pt idx="22">
                  <c:v>3</c:v>
                </c:pt>
                <c:pt idx="23">
                  <c:v>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3B5-43D7-8A8D-1950D8303871}"/>
            </c:ext>
          </c:extLst>
        </c:ser>
        <c:ser>
          <c:idx val="1"/>
          <c:order val="1"/>
          <c:tx>
            <c:strRef>
              <c:f>'19.10 KANONI-SSEMBABULE-24h'!$AF$9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'19.10 KANONI-SSEMBABULE-24h'!$R$10:$R$33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'19.10 KANONI-SSEMBABULE-24h'!$AF$10:$AF$33</c:f>
              <c:numCache>
                <c:formatCode>0</c:formatCode>
                <c:ptCount val="24"/>
                <c:pt idx="0">
                  <c:v>37</c:v>
                </c:pt>
                <c:pt idx="1">
                  <c:v>25</c:v>
                </c:pt>
                <c:pt idx="2">
                  <c:v>33</c:v>
                </c:pt>
                <c:pt idx="3">
                  <c:v>63</c:v>
                </c:pt>
                <c:pt idx="4">
                  <c:v>53</c:v>
                </c:pt>
                <c:pt idx="5">
                  <c:v>50</c:v>
                </c:pt>
                <c:pt idx="6">
                  <c:v>43</c:v>
                </c:pt>
                <c:pt idx="7">
                  <c:v>47</c:v>
                </c:pt>
                <c:pt idx="8">
                  <c:v>48</c:v>
                </c:pt>
                <c:pt idx="9">
                  <c:v>36</c:v>
                </c:pt>
                <c:pt idx="10">
                  <c:v>51</c:v>
                </c:pt>
                <c:pt idx="11">
                  <c:v>52</c:v>
                </c:pt>
                <c:pt idx="12">
                  <c:v>59</c:v>
                </c:pt>
                <c:pt idx="13">
                  <c:v>41</c:v>
                </c:pt>
                <c:pt idx="14">
                  <c:v>18</c:v>
                </c:pt>
                <c:pt idx="15">
                  <c:v>19</c:v>
                </c:pt>
                <c:pt idx="16">
                  <c:v>10</c:v>
                </c:pt>
                <c:pt idx="17">
                  <c:v>11</c:v>
                </c:pt>
                <c:pt idx="18">
                  <c:v>6</c:v>
                </c:pt>
                <c:pt idx="19">
                  <c:v>7</c:v>
                </c:pt>
                <c:pt idx="20">
                  <c:v>4</c:v>
                </c:pt>
                <c:pt idx="21">
                  <c:v>3</c:v>
                </c:pt>
                <c:pt idx="22">
                  <c:v>3</c:v>
                </c:pt>
                <c:pt idx="23">
                  <c:v>18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3B5-43D7-8A8D-1950D83038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866240"/>
        <c:axId val="115888512"/>
      </c:lineChart>
      <c:catAx>
        <c:axId val="11586624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5888512"/>
        <c:crosses val="autoZero"/>
        <c:auto val="1"/>
        <c:lblAlgn val="ctr"/>
        <c:lblOffset val="100"/>
        <c:noMultiLvlLbl val="0"/>
      </c:catAx>
      <c:valAx>
        <c:axId val="11588851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5866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CC2-41FB-AB6C-D0315A687D3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CC2-41FB-AB6C-D0315A687D3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CC2-41FB-AB6C-D0315A687D3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CC2-41FB-AB6C-D0315A687D3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CC2-41FB-AB6C-D0315A687D3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CC2-41FB-AB6C-D0315A687D3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CC2-41FB-AB6C-D0315A687D3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CC2-41FB-AB6C-D0315A687D3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CC2-41FB-AB6C-D0315A687D3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CC2-41FB-AB6C-D0315A687D3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CC2-41FB-AB6C-D0315A687D35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CC2-41FB-AB6C-D0315A687D35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CC2-41FB-AB6C-D0315A687D3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'19.10 KANONI-SSEMBABULE-24h'!$C$9:$N$9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'19.10 KANONI-SSEMBABULE-24h'!$C$107:$N$107</c:f>
              <c:numCache>
                <c:formatCode>0.0%</c:formatCode>
                <c:ptCount val="12"/>
                <c:pt idx="0">
                  <c:v>6.6485753052917235E-2</c:v>
                </c:pt>
                <c:pt idx="1">
                  <c:v>6.7842605156037988E-2</c:v>
                </c:pt>
                <c:pt idx="2">
                  <c:v>1.4925373134328358E-2</c:v>
                </c:pt>
                <c:pt idx="3">
                  <c:v>4.4776119402985072E-2</c:v>
                </c:pt>
                <c:pt idx="4">
                  <c:v>0</c:v>
                </c:pt>
                <c:pt idx="5">
                  <c:v>1.3568521031207597E-3</c:v>
                </c:pt>
                <c:pt idx="6">
                  <c:v>4.4776119402985072E-2</c:v>
                </c:pt>
                <c:pt idx="7">
                  <c:v>3.2564450474898234E-2</c:v>
                </c:pt>
                <c:pt idx="8">
                  <c:v>5.8344640434192671E-2</c:v>
                </c:pt>
                <c:pt idx="9">
                  <c:v>1.3568521031207599E-2</c:v>
                </c:pt>
                <c:pt idx="10">
                  <c:v>0.65535956580732702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CC2-41FB-AB6C-D0315A687D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77A-4202-BB82-6DE350EE311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77A-4202-BB82-6DE350EE311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77A-4202-BB82-6DE350EE311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77A-4202-BB82-6DE350EE311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77A-4202-BB82-6DE350EE311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77A-4202-BB82-6DE350EE311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77A-4202-BB82-6DE350EE311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77A-4202-BB82-6DE350EE311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77A-4202-BB82-6DE350EE311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77A-4202-BB82-6DE350EE311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77A-4202-BB82-6DE350EE311C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77A-4202-BB82-6DE350EE311C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77A-4202-BB82-6DE350EE31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'19.10 KANONI-SSEMBABULE-24h'!$C$9:$N$9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'19.10 KANONI-SSEMBABULE-24h'!$C$108:$N$108</c:f>
              <c:numCache>
                <c:formatCode>0.00%</c:formatCode>
                <c:ptCount val="12"/>
                <c:pt idx="0">
                  <c:v>0.19291338582677164</c:v>
                </c:pt>
                <c:pt idx="1">
                  <c:v>0.19685039370078741</c:v>
                </c:pt>
                <c:pt idx="2">
                  <c:v>4.3307086614173228E-2</c:v>
                </c:pt>
                <c:pt idx="3">
                  <c:v>0.12992125984251968</c:v>
                </c:pt>
                <c:pt idx="4">
                  <c:v>0</c:v>
                </c:pt>
                <c:pt idx="5">
                  <c:v>3.937007874015748E-3</c:v>
                </c:pt>
                <c:pt idx="6">
                  <c:v>0.12992125984251968</c:v>
                </c:pt>
                <c:pt idx="7">
                  <c:v>9.4488188976377951E-2</c:v>
                </c:pt>
                <c:pt idx="8">
                  <c:v>0.16929133858267717</c:v>
                </c:pt>
                <c:pt idx="9">
                  <c:v>3.937007874015748E-2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77A-4202-BB82-6DE350EE31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'20.10 SSEMBABULE-KANONI'!$AE$9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'20.10 SSEMBABULE-KANONI'!$R$10:$R$21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'20.10 SSEMBABULE-KANONI'!$AE$10:$AE$21</c:f>
              <c:numCache>
                <c:formatCode>0</c:formatCode>
                <c:ptCount val="12"/>
                <c:pt idx="0">
                  <c:v>12</c:v>
                </c:pt>
                <c:pt idx="1">
                  <c:v>13</c:v>
                </c:pt>
                <c:pt idx="2">
                  <c:v>13</c:v>
                </c:pt>
                <c:pt idx="3">
                  <c:v>8</c:v>
                </c:pt>
                <c:pt idx="4">
                  <c:v>23</c:v>
                </c:pt>
                <c:pt idx="5">
                  <c:v>9</c:v>
                </c:pt>
                <c:pt idx="6">
                  <c:v>11</c:v>
                </c:pt>
                <c:pt idx="7">
                  <c:v>18</c:v>
                </c:pt>
                <c:pt idx="8">
                  <c:v>12</c:v>
                </c:pt>
                <c:pt idx="9">
                  <c:v>13</c:v>
                </c:pt>
                <c:pt idx="10">
                  <c:v>18</c:v>
                </c:pt>
                <c:pt idx="11">
                  <c:v>20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6D6-4B77-8026-30DBF41B753F}"/>
            </c:ext>
          </c:extLst>
        </c:ser>
        <c:ser>
          <c:idx val="1"/>
          <c:order val="1"/>
          <c:tx>
            <c:strRef>
              <c:f>'20.10 SSEMBABULE-KANONI'!$AF$9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'20.10 SSEMBABULE-KANONI'!$R$10:$R$21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'20.10 SSEMBABULE-KANONI'!$AF$10:$AF$21</c:f>
              <c:numCache>
                <c:formatCode>0</c:formatCode>
                <c:ptCount val="12"/>
                <c:pt idx="0">
                  <c:v>47</c:v>
                </c:pt>
                <c:pt idx="1">
                  <c:v>45</c:v>
                </c:pt>
                <c:pt idx="2">
                  <c:v>53</c:v>
                </c:pt>
                <c:pt idx="3">
                  <c:v>46</c:v>
                </c:pt>
                <c:pt idx="4">
                  <c:v>76</c:v>
                </c:pt>
                <c:pt idx="5">
                  <c:v>51</c:v>
                </c:pt>
                <c:pt idx="6">
                  <c:v>30</c:v>
                </c:pt>
                <c:pt idx="7">
                  <c:v>46</c:v>
                </c:pt>
                <c:pt idx="8">
                  <c:v>48</c:v>
                </c:pt>
                <c:pt idx="9">
                  <c:v>49</c:v>
                </c:pt>
                <c:pt idx="10">
                  <c:v>57</c:v>
                </c:pt>
                <c:pt idx="11">
                  <c:v>68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6D6-4B77-8026-30DBF41B75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9203456"/>
        <c:axId val="89204992"/>
      </c:lineChart>
      <c:catAx>
        <c:axId val="8920345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9204992"/>
        <c:crosses val="autoZero"/>
        <c:auto val="1"/>
        <c:lblAlgn val="ctr"/>
        <c:lblOffset val="100"/>
        <c:noMultiLvlLbl val="0"/>
      </c:catAx>
      <c:valAx>
        <c:axId val="8920499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9203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5BA-447C-A3CB-236E1F2B31F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5BA-447C-A3CB-236E1F2B31F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5BA-447C-A3CB-236E1F2B31F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5BA-447C-A3CB-236E1F2B31F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5BA-447C-A3CB-236E1F2B31F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F5BA-447C-A3CB-236E1F2B31F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F5BA-447C-A3CB-236E1F2B31F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F5BA-447C-A3CB-236E1F2B31F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F5BA-447C-A3CB-236E1F2B31F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F5BA-447C-A3CB-236E1F2B31F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F5BA-447C-A3CB-236E1F2B31F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F5BA-447C-A3CB-236E1F2B31F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F5BA-447C-A3CB-236E1F2B31F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'20.10 SSEMBABULE-KANONI'!$C$9:$N$9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'20.10 SSEMBABULE-KANONI'!$C$59:$N$59</c:f>
              <c:numCache>
                <c:formatCode>0.0%</c:formatCode>
                <c:ptCount val="12"/>
                <c:pt idx="0">
                  <c:v>0.1038961038961039</c:v>
                </c:pt>
                <c:pt idx="1">
                  <c:v>2.7597402597402596E-2</c:v>
                </c:pt>
                <c:pt idx="2">
                  <c:v>1.948051948051948E-2</c:v>
                </c:pt>
                <c:pt idx="3">
                  <c:v>2.922077922077922E-2</c:v>
                </c:pt>
                <c:pt idx="4">
                  <c:v>3.246753246753247E-3</c:v>
                </c:pt>
                <c:pt idx="5">
                  <c:v>1.6233766233766235E-3</c:v>
                </c:pt>
                <c:pt idx="6">
                  <c:v>4.2207792207792208E-2</c:v>
                </c:pt>
                <c:pt idx="7">
                  <c:v>2.4350649350649352E-2</c:v>
                </c:pt>
                <c:pt idx="8">
                  <c:v>1.948051948051948E-2</c:v>
                </c:pt>
                <c:pt idx="9">
                  <c:v>4.87012987012987E-3</c:v>
                </c:pt>
                <c:pt idx="10">
                  <c:v>0.72402597402597402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F5BA-447C-A3CB-236E1F2B3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'20.10 SSEMBABULE-KANONI'!$S$9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'20.10 SSEMBABULE-KANONI'!$R$10:$R$21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'20.10 SSEMBABULE-KANONI'!$S$10:$S$21</c:f>
              <c:numCache>
                <c:formatCode>0</c:formatCode>
                <c:ptCount val="12"/>
                <c:pt idx="0">
                  <c:v>3</c:v>
                </c:pt>
                <c:pt idx="1">
                  <c:v>4</c:v>
                </c:pt>
                <c:pt idx="2">
                  <c:v>2</c:v>
                </c:pt>
                <c:pt idx="3">
                  <c:v>3</c:v>
                </c:pt>
                <c:pt idx="4">
                  <c:v>8</c:v>
                </c:pt>
                <c:pt idx="5">
                  <c:v>2</c:v>
                </c:pt>
                <c:pt idx="6">
                  <c:v>3</c:v>
                </c:pt>
                <c:pt idx="7">
                  <c:v>8</c:v>
                </c:pt>
                <c:pt idx="8">
                  <c:v>7</c:v>
                </c:pt>
                <c:pt idx="9">
                  <c:v>9</c:v>
                </c:pt>
                <c:pt idx="10">
                  <c:v>4</c:v>
                </c:pt>
                <c:pt idx="11">
                  <c:v>11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D54-447E-B68D-E1368766DED9}"/>
            </c:ext>
          </c:extLst>
        </c:ser>
        <c:ser>
          <c:idx val="1"/>
          <c:order val="1"/>
          <c:tx>
            <c:strRef>
              <c:f>'20.10 SSEMBABULE-KANONI'!$T$9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'20.10 SSEMBABULE-KANONI'!$R$10:$R$21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'20.10 SSEMBABULE-KANONI'!$T$10:$T$21</c:f>
              <c:numCache>
                <c:formatCode>0</c:formatCode>
                <c:ptCount val="12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2</c:v>
                </c:pt>
                <c:pt idx="7">
                  <c:v>2</c:v>
                </c:pt>
                <c:pt idx="8">
                  <c:v>0</c:v>
                </c:pt>
                <c:pt idx="9">
                  <c:v>0</c:v>
                </c:pt>
                <c:pt idx="10">
                  <c:v>3</c:v>
                </c:pt>
                <c:pt idx="11">
                  <c:v>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D54-447E-B68D-E1368766DED9}"/>
            </c:ext>
          </c:extLst>
        </c:ser>
        <c:ser>
          <c:idx val="2"/>
          <c:order val="2"/>
          <c:tx>
            <c:strRef>
              <c:f>'20.10 SSEMBABULE-KANONI'!$U$9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'20.10 SSEMBABULE-KANONI'!$U$10:$U$21</c:f>
              <c:numCache>
                <c:formatCode>0</c:formatCode>
                <c:ptCount val="12"/>
                <c:pt idx="0">
                  <c:v>2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4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D54-447E-B68D-E1368766DED9}"/>
            </c:ext>
          </c:extLst>
        </c:ser>
        <c:ser>
          <c:idx val="3"/>
          <c:order val="3"/>
          <c:tx>
            <c:strRef>
              <c:f>'20.10 SSEMBABULE-KANONI'!$V$9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'20.10 SSEMBABULE-KANONI'!$V$10:$V$21</c:f>
              <c:numCache>
                <c:formatCode>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4</c:v>
                </c:pt>
                <c:pt idx="8">
                  <c:v>2</c:v>
                </c:pt>
                <c:pt idx="9">
                  <c:v>1</c:v>
                </c:pt>
                <c:pt idx="10">
                  <c:v>4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D54-447E-B68D-E1368766DED9}"/>
            </c:ext>
          </c:extLst>
        </c:ser>
        <c:ser>
          <c:idx val="4"/>
          <c:order val="4"/>
          <c:tx>
            <c:strRef>
              <c:f>'20.10 SSEMBABULE-KANONI'!$W$9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'20.10 SSEMBABULE-KANONI'!$W$10:$W$21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D54-447E-B68D-E1368766DED9}"/>
            </c:ext>
          </c:extLst>
        </c:ser>
        <c:ser>
          <c:idx val="5"/>
          <c:order val="5"/>
          <c:tx>
            <c:strRef>
              <c:f>'20.10 SSEMBABULE-KANONI'!$X$9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'20.10 SSEMBABULE-KANONI'!$X$10:$X$21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D54-447E-B68D-E1368766DED9}"/>
            </c:ext>
          </c:extLst>
        </c:ser>
        <c:ser>
          <c:idx val="6"/>
          <c:order val="6"/>
          <c:tx>
            <c:strRef>
              <c:f>'20.10 SSEMBABULE-KANONI'!$Y$9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'20.10 SSEMBABULE-KANONI'!$Y$10:$Y$21</c:f>
              <c:numCache>
                <c:formatCode>0</c:formatCode>
                <c:ptCount val="12"/>
                <c:pt idx="0">
                  <c:v>1</c:v>
                </c:pt>
                <c:pt idx="1">
                  <c:v>3</c:v>
                </c:pt>
                <c:pt idx="2">
                  <c:v>2</c:v>
                </c:pt>
                <c:pt idx="3">
                  <c:v>1</c:v>
                </c:pt>
                <c:pt idx="4">
                  <c:v>6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2</c:v>
                </c:pt>
                <c:pt idx="9">
                  <c:v>1</c:v>
                </c:pt>
                <c:pt idx="10">
                  <c:v>3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D54-447E-B68D-E1368766DED9}"/>
            </c:ext>
          </c:extLst>
        </c:ser>
        <c:ser>
          <c:idx val="7"/>
          <c:order val="7"/>
          <c:tx>
            <c:strRef>
              <c:f>'20.10 SSEMBABULE-KANONI'!$Z$9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'20.10 SSEMBABULE-KANONI'!$Z$10:$Z$21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0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0</c:v>
                </c:pt>
                <c:pt idx="9">
                  <c:v>2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D54-447E-B68D-E1368766DED9}"/>
            </c:ext>
          </c:extLst>
        </c:ser>
        <c:ser>
          <c:idx val="8"/>
          <c:order val="8"/>
          <c:tx>
            <c:strRef>
              <c:f>'20.10 SSEMBABULE-KANONI'!$AA$9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'20.10 SSEMBABULE-KANONI'!$AA$10:$AA$21</c:f>
              <c:numCache>
                <c:formatCode>0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2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3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D54-447E-B68D-E1368766DED9}"/>
            </c:ext>
          </c:extLst>
        </c:ser>
        <c:ser>
          <c:idx val="9"/>
          <c:order val="9"/>
          <c:tx>
            <c:strRef>
              <c:f>'20.10 SSEMBABULE-KANONI'!$AB$9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'20.10 SSEMBABULE-KANONI'!$AB$10:$AB$21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D54-447E-B68D-E1368766DED9}"/>
            </c:ext>
          </c:extLst>
        </c:ser>
        <c:ser>
          <c:idx val="10"/>
          <c:order val="10"/>
          <c:tx>
            <c:strRef>
              <c:f>'20.10 SSEMBABULE-KANONI'!$AC$9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'20.10 SSEMBABULE-KANONI'!$AC$10:$AC$21</c:f>
              <c:numCache>
                <c:formatCode>0</c:formatCode>
                <c:ptCount val="12"/>
                <c:pt idx="0">
                  <c:v>35</c:v>
                </c:pt>
                <c:pt idx="1">
                  <c:v>32</c:v>
                </c:pt>
                <c:pt idx="2">
                  <c:v>40</c:v>
                </c:pt>
                <c:pt idx="3">
                  <c:v>38</c:v>
                </c:pt>
                <c:pt idx="4">
                  <c:v>53</c:v>
                </c:pt>
                <c:pt idx="5">
                  <c:v>42</c:v>
                </c:pt>
                <c:pt idx="6">
                  <c:v>19</c:v>
                </c:pt>
                <c:pt idx="7">
                  <c:v>28</c:v>
                </c:pt>
                <c:pt idx="8">
                  <c:v>36</c:v>
                </c:pt>
                <c:pt idx="9">
                  <c:v>36</c:v>
                </c:pt>
                <c:pt idx="10">
                  <c:v>39</c:v>
                </c:pt>
                <c:pt idx="11">
                  <c:v>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D54-447E-B68D-E1368766DED9}"/>
            </c:ext>
          </c:extLst>
        </c:ser>
        <c:ser>
          <c:idx val="11"/>
          <c:order val="11"/>
          <c:tx>
            <c:strRef>
              <c:f>'20.10 SSEMBABULE-KANONI'!$AD$9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'20.10 SSEMBABULE-KANONI'!$AD$10:$AD$21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6D54-447E-B68D-E1368766DE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9287296"/>
        <c:axId val="89297280"/>
      </c:lineChart>
      <c:catAx>
        <c:axId val="89287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9297280"/>
        <c:crosses val="autoZero"/>
        <c:auto val="1"/>
        <c:lblAlgn val="ctr"/>
        <c:lblOffset val="100"/>
        <c:noMultiLvlLbl val="0"/>
      </c:catAx>
      <c:valAx>
        <c:axId val="89297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9287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B73-46DF-8DE2-8B27C2F90D1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B73-46DF-8DE2-8B27C2F90D1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B73-46DF-8DE2-8B27C2F90D1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B73-46DF-8DE2-8B27C2F90D1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B73-46DF-8DE2-8B27C2F90D1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B73-46DF-8DE2-8B27C2F90D1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B73-46DF-8DE2-8B27C2F90D1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B73-46DF-8DE2-8B27C2F90D1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B73-46DF-8DE2-8B27C2F90D1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B73-46DF-8DE2-8B27C2F90D1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B73-46DF-8DE2-8B27C2F90D1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B73-46DF-8DE2-8B27C2F90D10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B73-46DF-8DE2-8B27C2F90D1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'20.10 SSEMBABULE-KANONI'!$C$9:$N$9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'20.10 SSEMBABULE-KANONI'!$C$60:$N$60</c:f>
              <c:numCache>
                <c:formatCode>0.00%</c:formatCode>
                <c:ptCount val="12"/>
                <c:pt idx="0">
                  <c:v>0.37647058823529411</c:v>
                </c:pt>
                <c:pt idx="1">
                  <c:v>0.1</c:v>
                </c:pt>
                <c:pt idx="2">
                  <c:v>7.0588235294117646E-2</c:v>
                </c:pt>
                <c:pt idx="3">
                  <c:v>0.10588235294117647</c:v>
                </c:pt>
                <c:pt idx="4">
                  <c:v>1.1764705882352941E-2</c:v>
                </c:pt>
                <c:pt idx="5">
                  <c:v>5.8823529411764705E-3</c:v>
                </c:pt>
                <c:pt idx="6">
                  <c:v>0.15294117647058825</c:v>
                </c:pt>
                <c:pt idx="7">
                  <c:v>8.8235294117647065E-2</c:v>
                </c:pt>
                <c:pt idx="8">
                  <c:v>7.0588235294117646E-2</c:v>
                </c:pt>
                <c:pt idx="9">
                  <c:v>1.7647058823529412E-2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B73-46DF-8DE2-8B27C2F90D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'20.10 KANONI-SSEMBABULE'!$AE$9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'20.10 KANONI-SSEMBABULE'!$R$10:$R$21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'20.10 KANONI-SSEMBABULE'!$AE$10:$AE$21</c:f>
              <c:numCache>
                <c:formatCode>0</c:formatCode>
                <c:ptCount val="12"/>
                <c:pt idx="0">
                  <c:v>10</c:v>
                </c:pt>
                <c:pt idx="1">
                  <c:v>10</c:v>
                </c:pt>
                <c:pt idx="2">
                  <c:v>20</c:v>
                </c:pt>
                <c:pt idx="3">
                  <c:v>11</c:v>
                </c:pt>
                <c:pt idx="4">
                  <c:v>21</c:v>
                </c:pt>
                <c:pt idx="5">
                  <c:v>21</c:v>
                </c:pt>
                <c:pt idx="6">
                  <c:v>19</c:v>
                </c:pt>
                <c:pt idx="7">
                  <c:v>33</c:v>
                </c:pt>
                <c:pt idx="8">
                  <c:v>9</c:v>
                </c:pt>
                <c:pt idx="9">
                  <c:v>10</c:v>
                </c:pt>
                <c:pt idx="10">
                  <c:v>9</c:v>
                </c:pt>
                <c:pt idx="11">
                  <c:v>13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D5F-499C-8247-FFF3D6EFDA44}"/>
            </c:ext>
          </c:extLst>
        </c:ser>
        <c:ser>
          <c:idx val="1"/>
          <c:order val="1"/>
          <c:tx>
            <c:strRef>
              <c:f>'20.10 KANONI-SSEMBABULE'!$AF$9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'20.10 KANONI-SSEMBABULE'!$R$10:$R$21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'20.10 KANONI-SSEMBABULE'!$AF$10:$AF$21</c:f>
              <c:numCache>
                <c:formatCode>0</c:formatCode>
                <c:ptCount val="12"/>
                <c:pt idx="0">
                  <c:v>35</c:v>
                </c:pt>
                <c:pt idx="1">
                  <c:v>54</c:v>
                </c:pt>
                <c:pt idx="2">
                  <c:v>63</c:v>
                </c:pt>
                <c:pt idx="3">
                  <c:v>58</c:v>
                </c:pt>
                <c:pt idx="4">
                  <c:v>74</c:v>
                </c:pt>
                <c:pt idx="5">
                  <c:v>76</c:v>
                </c:pt>
                <c:pt idx="6">
                  <c:v>52</c:v>
                </c:pt>
                <c:pt idx="7">
                  <c:v>57</c:v>
                </c:pt>
                <c:pt idx="8">
                  <c:v>47</c:v>
                </c:pt>
                <c:pt idx="9">
                  <c:v>50</c:v>
                </c:pt>
                <c:pt idx="10">
                  <c:v>57</c:v>
                </c:pt>
                <c:pt idx="11">
                  <c:v>59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D5F-499C-8247-FFF3D6EFDA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888832"/>
        <c:axId val="110890368"/>
      </c:lineChart>
      <c:catAx>
        <c:axId val="11088883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0890368"/>
        <c:crosses val="autoZero"/>
        <c:auto val="1"/>
        <c:lblAlgn val="ctr"/>
        <c:lblOffset val="100"/>
        <c:noMultiLvlLbl val="0"/>
      </c:catAx>
      <c:valAx>
        <c:axId val="11089036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0888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AD9-43D2-B994-F66788B4CE1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AD9-43D2-B994-F66788B4CE1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AD9-43D2-B994-F66788B4CE1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AD9-43D2-B994-F66788B4CE1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AD9-43D2-B994-F66788B4CE1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AD9-43D2-B994-F66788B4CE1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AD9-43D2-B994-F66788B4CE1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AD9-43D2-B994-F66788B4CE1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AD9-43D2-B994-F66788B4CE1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AD9-43D2-B994-F66788B4CE1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AD9-43D2-B994-F66788B4CE12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AD9-43D2-B994-F66788B4CE12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AD9-43D2-B994-F66788B4CE1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'20.10 KANONI-SSEMBABULE'!$C$9:$N$9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'20.10 KANONI-SSEMBABULE'!$C$59:$N$59</c:f>
              <c:numCache>
                <c:formatCode>0.0%</c:formatCode>
                <c:ptCount val="12"/>
                <c:pt idx="0">
                  <c:v>9.5307917888563048E-2</c:v>
                </c:pt>
                <c:pt idx="1">
                  <c:v>3.0791788856304986E-2</c:v>
                </c:pt>
                <c:pt idx="2">
                  <c:v>3.3724340175953077E-2</c:v>
                </c:pt>
                <c:pt idx="3">
                  <c:v>2.7859237536656891E-2</c:v>
                </c:pt>
                <c:pt idx="4">
                  <c:v>7.331378299120235E-3</c:v>
                </c:pt>
                <c:pt idx="5">
                  <c:v>0</c:v>
                </c:pt>
                <c:pt idx="6">
                  <c:v>4.1055718475073312E-2</c:v>
                </c:pt>
                <c:pt idx="7">
                  <c:v>2.0527859237536656E-2</c:v>
                </c:pt>
                <c:pt idx="8">
                  <c:v>1.466275659824047E-2</c:v>
                </c:pt>
                <c:pt idx="9">
                  <c:v>1.4662756598240469E-3</c:v>
                </c:pt>
                <c:pt idx="10">
                  <c:v>0.72727272727272729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AD9-43D2-B994-F66788B4CE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'20.10 KANONI-SSEMBABULE'!$S$9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'20.10 KANONI-SSEMBABULE'!$R$10:$R$21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'20.10 KANONI-SSEMBABULE'!$S$10:$S$21</c:f>
              <c:numCache>
                <c:formatCode>0</c:formatCode>
                <c:ptCount val="12"/>
                <c:pt idx="0">
                  <c:v>5</c:v>
                </c:pt>
                <c:pt idx="1">
                  <c:v>6</c:v>
                </c:pt>
                <c:pt idx="2">
                  <c:v>4</c:v>
                </c:pt>
                <c:pt idx="3">
                  <c:v>4</c:v>
                </c:pt>
                <c:pt idx="4">
                  <c:v>8</c:v>
                </c:pt>
                <c:pt idx="5">
                  <c:v>7</c:v>
                </c:pt>
                <c:pt idx="6">
                  <c:v>5</c:v>
                </c:pt>
                <c:pt idx="7">
                  <c:v>9</c:v>
                </c:pt>
                <c:pt idx="8">
                  <c:v>4</c:v>
                </c:pt>
                <c:pt idx="9">
                  <c:v>3</c:v>
                </c:pt>
                <c:pt idx="10">
                  <c:v>5</c:v>
                </c:pt>
                <c:pt idx="11">
                  <c:v>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232-4340-AED5-CD3F6DAF145D}"/>
            </c:ext>
          </c:extLst>
        </c:ser>
        <c:ser>
          <c:idx val="1"/>
          <c:order val="1"/>
          <c:tx>
            <c:strRef>
              <c:f>'20.10 KANONI-SSEMBABULE'!$T$9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'20.10 KANONI-SSEMBABULE'!$R$10:$R$21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'20.10 KANONI-SSEMBABULE'!$T$10:$T$21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3</c:v>
                </c:pt>
                <c:pt idx="3">
                  <c:v>0</c:v>
                </c:pt>
                <c:pt idx="4">
                  <c:v>3</c:v>
                </c:pt>
                <c:pt idx="5">
                  <c:v>2</c:v>
                </c:pt>
                <c:pt idx="6">
                  <c:v>0</c:v>
                </c:pt>
                <c:pt idx="7">
                  <c:v>8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232-4340-AED5-CD3F6DAF145D}"/>
            </c:ext>
          </c:extLst>
        </c:ser>
        <c:ser>
          <c:idx val="2"/>
          <c:order val="2"/>
          <c:tx>
            <c:strRef>
              <c:f>'20.10 KANONI-SSEMBABULE'!$U$9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'20.10 KANONI-SSEMBABULE'!$U$10:$U$21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2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5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232-4340-AED5-CD3F6DAF145D}"/>
            </c:ext>
          </c:extLst>
        </c:ser>
        <c:ser>
          <c:idx val="3"/>
          <c:order val="3"/>
          <c:tx>
            <c:strRef>
              <c:f>'20.10 KANONI-SSEMBABULE'!$V$9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'20.10 KANONI-SSEMBABULE'!$V$10:$V$21</c:f>
              <c:numCache>
                <c:formatCode>0</c:formatCode>
                <c:ptCount val="12"/>
                <c:pt idx="0">
                  <c:v>2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4</c:v>
                </c:pt>
                <c:pt idx="6">
                  <c:v>0</c:v>
                </c:pt>
                <c:pt idx="7">
                  <c:v>2</c:v>
                </c:pt>
                <c:pt idx="8">
                  <c:v>3</c:v>
                </c:pt>
                <c:pt idx="9">
                  <c:v>1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232-4340-AED5-CD3F6DAF145D}"/>
            </c:ext>
          </c:extLst>
        </c:ser>
        <c:ser>
          <c:idx val="4"/>
          <c:order val="4"/>
          <c:tx>
            <c:strRef>
              <c:f>'20.10 KANONI-SSEMBABULE'!$W$9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'20.10 KANONI-SSEMBABULE'!$W$10:$W$21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232-4340-AED5-CD3F6DAF145D}"/>
            </c:ext>
          </c:extLst>
        </c:ser>
        <c:ser>
          <c:idx val="5"/>
          <c:order val="5"/>
          <c:tx>
            <c:strRef>
              <c:f>'20.10 KANONI-SSEMBABULE'!$X$9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'20.10 KANONI-SSEMBABULE'!$X$10:$X$21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232-4340-AED5-CD3F6DAF145D}"/>
            </c:ext>
          </c:extLst>
        </c:ser>
        <c:ser>
          <c:idx val="6"/>
          <c:order val="6"/>
          <c:tx>
            <c:strRef>
              <c:f>'20.10 KANONI-SSEMBABULE'!$Y$9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'20.10 KANONI-SSEMBABULE'!$Y$10:$Y$21</c:f>
              <c:numCache>
                <c:formatCode>0</c:formatCode>
                <c:ptCount val="12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1</c:v>
                </c:pt>
                <c:pt idx="4">
                  <c:v>4</c:v>
                </c:pt>
                <c:pt idx="5">
                  <c:v>3</c:v>
                </c:pt>
                <c:pt idx="6">
                  <c:v>4</c:v>
                </c:pt>
                <c:pt idx="7">
                  <c:v>4</c:v>
                </c:pt>
                <c:pt idx="8">
                  <c:v>0</c:v>
                </c:pt>
                <c:pt idx="9">
                  <c:v>1</c:v>
                </c:pt>
                <c:pt idx="10">
                  <c:v>2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232-4340-AED5-CD3F6DAF145D}"/>
            </c:ext>
          </c:extLst>
        </c:ser>
        <c:ser>
          <c:idx val="7"/>
          <c:order val="7"/>
          <c:tx>
            <c:strRef>
              <c:f>'20.10 KANONI-SSEMBABULE'!$Z$9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'20.10 KANONI-SSEMBABULE'!$Z$10:$Z$21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5</c:v>
                </c:pt>
                <c:pt idx="7">
                  <c:v>2</c:v>
                </c:pt>
                <c:pt idx="8">
                  <c:v>1</c:v>
                </c:pt>
                <c:pt idx="9">
                  <c:v>3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232-4340-AED5-CD3F6DAF145D}"/>
            </c:ext>
          </c:extLst>
        </c:ser>
        <c:ser>
          <c:idx val="8"/>
          <c:order val="8"/>
          <c:tx>
            <c:strRef>
              <c:f>'20.10 KANONI-SSEMBABULE'!$AA$9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'20.10 KANONI-SSEMBABULE'!$AA$10:$AA$21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3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232-4340-AED5-CD3F6DAF145D}"/>
            </c:ext>
          </c:extLst>
        </c:ser>
        <c:ser>
          <c:idx val="9"/>
          <c:order val="9"/>
          <c:tx>
            <c:strRef>
              <c:f>'20.10 KANONI-SSEMBABULE'!$AB$9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'20.10 KANONI-SSEMBABULE'!$AB$10:$AB$21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232-4340-AED5-CD3F6DAF145D}"/>
            </c:ext>
          </c:extLst>
        </c:ser>
        <c:ser>
          <c:idx val="10"/>
          <c:order val="10"/>
          <c:tx>
            <c:strRef>
              <c:f>'20.10 KANONI-SSEMBABULE'!$AC$9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'20.10 KANONI-SSEMBABULE'!$AC$10:$AC$21</c:f>
              <c:numCache>
                <c:formatCode>0</c:formatCode>
                <c:ptCount val="12"/>
                <c:pt idx="0">
                  <c:v>25</c:v>
                </c:pt>
                <c:pt idx="1">
                  <c:v>44</c:v>
                </c:pt>
                <c:pt idx="2">
                  <c:v>43</c:v>
                </c:pt>
                <c:pt idx="3">
                  <c:v>47</c:v>
                </c:pt>
                <c:pt idx="4">
                  <c:v>53</c:v>
                </c:pt>
                <c:pt idx="5">
                  <c:v>55</c:v>
                </c:pt>
                <c:pt idx="6">
                  <c:v>33</c:v>
                </c:pt>
                <c:pt idx="7">
                  <c:v>24</c:v>
                </c:pt>
                <c:pt idx="8">
                  <c:v>38</c:v>
                </c:pt>
                <c:pt idx="9">
                  <c:v>40</c:v>
                </c:pt>
                <c:pt idx="10">
                  <c:v>48</c:v>
                </c:pt>
                <c:pt idx="11">
                  <c:v>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232-4340-AED5-CD3F6DAF145D}"/>
            </c:ext>
          </c:extLst>
        </c:ser>
        <c:ser>
          <c:idx val="11"/>
          <c:order val="11"/>
          <c:tx>
            <c:strRef>
              <c:f>'20.10 KANONI-SSEMBABULE'!$AD$9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'20.10 KANONI-SSEMBABULE'!$AD$10:$AD$21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232-4340-AED5-CD3F6DAF14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1140864"/>
        <c:axId val="111142400"/>
      </c:lineChart>
      <c:catAx>
        <c:axId val="111140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1142400"/>
        <c:crosses val="autoZero"/>
        <c:auto val="1"/>
        <c:lblAlgn val="ctr"/>
        <c:lblOffset val="100"/>
        <c:noMultiLvlLbl val="0"/>
      </c:catAx>
      <c:valAx>
        <c:axId val="111142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1140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496-4C9C-BA89-19C872160E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496-4C9C-BA89-19C872160E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496-4C9C-BA89-19C872160E0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496-4C9C-BA89-19C872160E0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496-4C9C-BA89-19C872160E0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496-4C9C-BA89-19C872160E0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496-4C9C-BA89-19C872160E0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496-4C9C-BA89-19C872160E0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496-4C9C-BA89-19C872160E0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496-4C9C-BA89-19C872160E0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496-4C9C-BA89-19C872160E0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496-4C9C-BA89-19C872160E0D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496-4C9C-BA89-19C872160E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'20.10 KANONI-SSEMBABULE'!$C$9:$N$9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'20.10 KANONI-SSEMBABULE'!$C$60:$N$60</c:f>
              <c:numCache>
                <c:formatCode>0.00%</c:formatCode>
                <c:ptCount val="12"/>
                <c:pt idx="0">
                  <c:v>0.34946236559139787</c:v>
                </c:pt>
                <c:pt idx="1">
                  <c:v>0.11290322580645161</c:v>
                </c:pt>
                <c:pt idx="2">
                  <c:v>0.12365591397849462</c:v>
                </c:pt>
                <c:pt idx="3">
                  <c:v>0.10215053763440861</c:v>
                </c:pt>
                <c:pt idx="4">
                  <c:v>2.6881720430107527E-2</c:v>
                </c:pt>
                <c:pt idx="5">
                  <c:v>0</c:v>
                </c:pt>
                <c:pt idx="6">
                  <c:v>0.15053763440860216</c:v>
                </c:pt>
                <c:pt idx="7">
                  <c:v>7.5268817204301078E-2</c:v>
                </c:pt>
                <c:pt idx="8">
                  <c:v>5.3763440860215055E-2</c:v>
                </c:pt>
                <c:pt idx="9">
                  <c:v>5.3763440860215058E-3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496-4C9C-BA89-19C872160E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'21.10 SSEMBABULE-KANONI'!$AE$9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'21.10 SSEMBABULE-KANONI'!$R$10:$R$21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'21.10 SSEMBABULE-KANONI'!$AE$10:$AE$21</c:f>
              <c:numCache>
                <c:formatCode>0</c:formatCode>
                <c:ptCount val="12"/>
                <c:pt idx="0">
                  <c:v>7</c:v>
                </c:pt>
                <c:pt idx="1">
                  <c:v>9</c:v>
                </c:pt>
                <c:pt idx="2">
                  <c:v>11</c:v>
                </c:pt>
                <c:pt idx="3">
                  <c:v>13</c:v>
                </c:pt>
                <c:pt idx="4">
                  <c:v>22</c:v>
                </c:pt>
                <c:pt idx="5">
                  <c:v>14</c:v>
                </c:pt>
                <c:pt idx="6">
                  <c:v>14</c:v>
                </c:pt>
                <c:pt idx="7">
                  <c:v>20</c:v>
                </c:pt>
                <c:pt idx="8">
                  <c:v>17</c:v>
                </c:pt>
                <c:pt idx="9">
                  <c:v>19</c:v>
                </c:pt>
                <c:pt idx="10">
                  <c:v>16</c:v>
                </c:pt>
                <c:pt idx="11">
                  <c:v>20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E57-4E01-B444-33D7FA1808CD}"/>
            </c:ext>
          </c:extLst>
        </c:ser>
        <c:ser>
          <c:idx val="1"/>
          <c:order val="1"/>
          <c:tx>
            <c:strRef>
              <c:f>'21.10 SSEMBABULE-KANONI'!$AF$9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'21.10 SSEMBABULE-KANONI'!$R$10:$R$21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'21.10 SSEMBABULE-KANONI'!$AF$10:$AF$21</c:f>
              <c:numCache>
                <c:formatCode>0</c:formatCode>
                <c:ptCount val="12"/>
                <c:pt idx="0">
                  <c:v>33</c:v>
                </c:pt>
                <c:pt idx="1">
                  <c:v>40</c:v>
                </c:pt>
                <c:pt idx="2">
                  <c:v>40</c:v>
                </c:pt>
                <c:pt idx="3">
                  <c:v>43</c:v>
                </c:pt>
                <c:pt idx="4">
                  <c:v>49</c:v>
                </c:pt>
                <c:pt idx="5">
                  <c:v>55</c:v>
                </c:pt>
                <c:pt idx="6">
                  <c:v>46</c:v>
                </c:pt>
                <c:pt idx="7">
                  <c:v>50</c:v>
                </c:pt>
                <c:pt idx="8">
                  <c:v>55</c:v>
                </c:pt>
                <c:pt idx="9">
                  <c:v>68</c:v>
                </c:pt>
                <c:pt idx="10">
                  <c:v>65</c:v>
                </c:pt>
                <c:pt idx="11">
                  <c:v>69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E57-4E01-B444-33D7FA1808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841664"/>
        <c:axId val="111843200"/>
      </c:lineChart>
      <c:catAx>
        <c:axId val="11184166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1843200"/>
        <c:crosses val="autoZero"/>
        <c:auto val="1"/>
        <c:lblAlgn val="ctr"/>
        <c:lblOffset val="100"/>
        <c:noMultiLvlLbl val="0"/>
      </c:catAx>
      <c:valAx>
        <c:axId val="11184320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1841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161-4E7D-9CEC-CABF73E743E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161-4E7D-9CEC-CABF73E743E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161-4E7D-9CEC-CABF73E743E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161-4E7D-9CEC-CABF73E743E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161-4E7D-9CEC-CABF73E743E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161-4E7D-9CEC-CABF73E743E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161-4E7D-9CEC-CABF73E743E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161-4E7D-9CEC-CABF73E743E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161-4E7D-9CEC-CABF73E743E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161-4E7D-9CEC-CABF73E743E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161-4E7D-9CEC-CABF73E743EC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161-4E7D-9CEC-CABF73E743EC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161-4E7D-9CEC-CABF73E743E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'21.10 SSEMBABULE-KANONI'!$C$9:$N$9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'21.10 SSEMBABULE-KANONI'!$C$59:$N$59</c:f>
              <c:numCache>
                <c:formatCode>0.0%</c:formatCode>
                <c:ptCount val="12"/>
                <c:pt idx="0">
                  <c:v>9.7879282218597069E-2</c:v>
                </c:pt>
                <c:pt idx="1">
                  <c:v>2.7732463295269169E-2</c:v>
                </c:pt>
                <c:pt idx="2">
                  <c:v>2.7732463295269169E-2</c:v>
                </c:pt>
                <c:pt idx="3">
                  <c:v>2.1207177814029365E-2</c:v>
                </c:pt>
                <c:pt idx="4">
                  <c:v>1.6313213703099511E-3</c:v>
                </c:pt>
                <c:pt idx="5">
                  <c:v>0</c:v>
                </c:pt>
                <c:pt idx="6">
                  <c:v>5.2202283849918436E-2</c:v>
                </c:pt>
                <c:pt idx="7">
                  <c:v>1.6313213703099509E-2</c:v>
                </c:pt>
                <c:pt idx="8">
                  <c:v>4.730831973898858E-2</c:v>
                </c:pt>
                <c:pt idx="9">
                  <c:v>3.2626427406199023E-3</c:v>
                </c:pt>
                <c:pt idx="10">
                  <c:v>0.70309951060358888</c:v>
                </c:pt>
                <c:pt idx="11">
                  <c:v>1.6313213703099511E-3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161-4E7D-9CEC-CABF73E743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E42-4CDD-86E3-A4C2F2E44AF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E42-4CDD-86E3-A4C2F2E44AF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E42-4CDD-86E3-A4C2F2E44AF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E42-4CDD-86E3-A4C2F2E44AF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E42-4CDD-86E3-A4C2F2E44AF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6E42-4CDD-86E3-A4C2F2E44AF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6E42-4CDD-86E3-A4C2F2E44AF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6E42-4CDD-86E3-A4C2F2E44AF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6E42-4CDD-86E3-A4C2F2E44AF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6E42-4CDD-86E3-A4C2F2E44AF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6E42-4CDD-86E3-A4C2F2E44AF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6E42-4CDD-86E3-A4C2F2E44AF9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E42-4CDD-86E3-A4C2F2E44AF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'21.10 SSEMBABULE-KANONI'!$C$9:$N$9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'21.10 SSEMBABULE-KANONI'!$C$60:$N$60</c:f>
              <c:numCache>
                <c:formatCode>0.00%</c:formatCode>
                <c:ptCount val="12"/>
                <c:pt idx="0">
                  <c:v>0.32967032967032966</c:v>
                </c:pt>
                <c:pt idx="1">
                  <c:v>9.3406593406593408E-2</c:v>
                </c:pt>
                <c:pt idx="2">
                  <c:v>9.3406593406593408E-2</c:v>
                </c:pt>
                <c:pt idx="3">
                  <c:v>7.1428571428571425E-2</c:v>
                </c:pt>
                <c:pt idx="4">
                  <c:v>5.4945054945054949E-3</c:v>
                </c:pt>
                <c:pt idx="5">
                  <c:v>0</c:v>
                </c:pt>
                <c:pt idx="6">
                  <c:v>0.17582417582417584</c:v>
                </c:pt>
                <c:pt idx="7">
                  <c:v>5.4945054945054944E-2</c:v>
                </c:pt>
                <c:pt idx="8">
                  <c:v>0.15934065934065933</c:v>
                </c:pt>
                <c:pt idx="9">
                  <c:v>1.098901098901099E-2</c:v>
                </c:pt>
                <c:pt idx="11">
                  <c:v>5.4945054945054949E-3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6E42-4CDD-86E3-A4C2F2E44A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'21.10 KANONI-SSEMBABULE'!$AE$9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'21.10 KANONI-SSEMBABULE'!$R$10:$R$21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'21.10 KANONI-SSEMBABULE'!$AE$10:$AE$21</c:f>
              <c:numCache>
                <c:formatCode>0</c:formatCode>
                <c:ptCount val="12"/>
                <c:pt idx="0">
                  <c:v>11</c:v>
                </c:pt>
                <c:pt idx="1">
                  <c:v>9</c:v>
                </c:pt>
                <c:pt idx="2">
                  <c:v>12</c:v>
                </c:pt>
                <c:pt idx="3">
                  <c:v>14</c:v>
                </c:pt>
                <c:pt idx="4">
                  <c:v>16</c:v>
                </c:pt>
                <c:pt idx="5">
                  <c:v>16</c:v>
                </c:pt>
                <c:pt idx="6">
                  <c:v>19</c:v>
                </c:pt>
                <c:pt idx="7">
                  <c:v>12</c:v>
                </c:pt>
                <c:pt idx="8">
                  <c:v>18</c:v>
                </c:pt>
                <c:pt idx="9">
                  <c:v>19</c:v>
                </c:pt>
                <c:pt idx="10">
                  <c:v>15</c:v>
                </c:pt>
                <c:pt idx="11">
                  <c:v>20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6D8-486C-94F6-6CD386BE52F0}"/>
            </c:ext>
          </c:extLst>
        </c:ser>
        <c:ser>
          <c:idx val="1"/>
          <c:order val="1"/>
          <c:tx>
            <c:strRef>
              <c:f>'21.10 KANONI-SSEMBABULE'!$AF$9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'21.10 KANONI-SSEMBABULE'!$R$10:$R$21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'21.10 KANONI-SSEMBABULE'!$AF$10:$AF$21</c:f>
              <c:numCache>
                <c:formatCode>0</c:formatCode>
                <c:ptCount val="12"/>
                <c:pt idx="0">
                  <c:v>37</c:v>
                </c:pt>
                <c:pt idx="1">
                  <c:v>40</c:v>
                </c:pt>
                <c:pt idx="2">
                  <c:v>41</c:v>
                </c:pt>
                <c:pt idx="3">
                  <c:v>47</c:v>
                </c:pt>
                <c:pt idx="4">
                  <c:v>44</c:v>
                </c:pt>
                <c:pt idx="5">
                  <c:v>47</c:v>
                </c:pt>
                <c:pt idx="6">
                  <c:v>60</c:v>
                </c:pt>
                <c:pt idx="7">
                  <c:v>49</c:v>
                </c:pt>
                <c:pt idx="8">
                  <c:v>61</c:v>
                </c:pt>
                <c:pt idx="9">
                  <c:v>66</c:v>
                </c:pt>
                <c:pt idx="10">
                  <c:v>59</c:v>
                </c:pt>
                <c:pt idx="11">
                  <c:v>73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6D8-486C-94F6-6CD386BE52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352832"/>
        <c:axId val="111403776"/>
      </c:lineChart>
      <c:catAx>
        <c:axId val="11135283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1403776"/>
        <c:crosses val="autoZero"/>
        <c:auto val="1"/>
        <c:lblAlgn val="ctr"/>
        <c:lblOffset val="100"/>
        <c:noMultiLvlLbl val="0"/>
      </c:catAx>
      <c:valAx>
        <c:axId val="11140377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1352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B3F-4B31-952A-3E8EFBAD12A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B3F-4B31-952A-3E8EFBAD12A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7B3F-4B31-952A-3E8EFBAD12A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7B3F-4B31-952A-3E8EFBAD12A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7B3F-4B31-952A-3E8EFBAD12A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7B3F-4B31-952A-3E8EFBAD12A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7B3F-4B31-952A-3E8EFBAD12A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7B3F-4B31-952A-3E8EFBAD12A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7B3F-4B31-952A-3E8EFBAD12A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7B3F-4B31-952A-3E8EFBAD12A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7B3F-4B31-952A-3E8EFBAD12A4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7B3F-4B31-952A-3E8EFBAD12A4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7B3F-4B31-952A-3E8EFBAD12A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'21.10 KANONI-SSEMBABULE'!$C$9:$N$9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'21.10 KANONI-SSEMBABULE'!$C$59:$N$59</c:f>
              <c:numCache>
                <c:formatCode>0.0%</c:formatCode>
                <c:ptCount val="12"/>
                <c:pt idx="0">
                  <c:v>7.8525641025641024E-2</c:v>
                </c:pt>
                <c:pt idx="1">
                  <c:v>1.6025641025641024E-2</c:v>
                </c:pt>
                <c:pt idx="2">
                  <c:v>2.564102564102564E-2</c:v>
                </c:pt>
                <c:pt idx="3">
                  <c:v>2.403846153846154E-2</c:v>
                </c:pt>
                <c:pt idx="4">
                  <c:v>3.205128205128205E-3</c:v>
                </c:pt>
                <c:pt idx="5">
                  <c:v>0</c:v>
                </c:pt>
                <c:pt idx="6">
                  <c:v>5.2884615384615384E-2</c:v>
                </c:pt>
                <c:pt idx="7">
                  <c:v>3.8461538461538464E-2</c:v>
                </c:pt>
                <c:pt idx="8">
                  <c:v>4.807692307692308E-2</c:v>
                </c:pt>
                <c:pt idx="9">
                  <c:v>3.205128205128205E-3</c:v>
                </c:pt>
                <c:pt idx="10">
                  <c:v>0.70993589743589747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7B3F-4B31-952A-3E8EFBAD12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'21.10 KANONI-SSEMBABULE'!$S$9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'21.10 KANONI-SSEMBABULE'!$R$10:$R$21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'21.10 KANONI-SSEMBABULE'!$S$10:$S$21</c:f>
              <c:numCache>
                <c:formatCode>0</c:formatCode>
                <c:ptCount val="12"/>
                <c:pt idx="0">
                  <c:v>3</c:v>
                </c:pt>
                <c:pt idx="1">
                  <c:v>3</c:v>
                </c:pt>
                <c:pt idx="2">
                  <c:v>2</c:v>
                </c:pt>
                <c:pt idx="3">
                  <c:v>5</c:v>
                </c:pt>
                <c:pt idx="4">
                  <c:v>3</c:v>
                </c:pt>
                <c:pt idx="5">
                  <c:v>4</c:v>
                </c:pt>
                <c:pt idx="6">
                  <c:v>3</c:v>
                </c:pt>
                <c:pt idx="7">
                  <c:v>8</c:v>
                </c:pt>
                <c:pt idx="8">
                  <c:v>6</c:v>
                </c:pt>
                <c:pt idx="9">
                  <c:v>5</c:v>
                </c:pt>
                <c:pt idx="10">
                  <c:v>4</c:v>
                </c:pt>
                <c:pt idx="11">
                  <c:v>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EE7-484C-BD81-92E397547986}"/>
            </c:ext>
          </c:extLst>
        </c:ser>
        <c:ser>
          <c:idx val="1"/>
          <c:order val="1"/>
          <c:tx>
            <c:strRef>
              <c:f>'21.10 KANONI-SSEMBABULE'!$T$9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'21.10 KANONI-SSEMBABULE'!$R$10:$R$21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'21.10 KANONI-SSEMBABULE'!$T$10:$T$21</c:f>
              <c:numCache>
                <c:formatCode>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2</c:v>
                </c:pt>
                <c:pt idx="6">
                  <c:v>1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EE7-484C-BD81-92E397547986}"/>
            </c:ext>
          </c:extLst>
        </c:ser>
        <c:ser>
          <c:idx val="2"/>
          <c:order val="2"/>
          <c:tx>
            <c:strRef>
              <c:f>'21.10 KANONI-SSEMBABULE'!$U$9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'21.10 KANONI-SSEMBABULE'!$U$10:$U$21</c:f>
              <c:numCache>
                <c:formatCode>0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0</c:v>
                </c:pt>
                <c:pt idx="3">
                  <c:v>3</c:v>
                </c:pt>
                <c:pt idx="4">
                  <c:v>5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  <c:pt idx="10">
                  <c:v>2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EE7-484C-BD81-92E397547986}"/>
            </c:ext>
          </c:extLst>
        </c:ser>
        <c:ser>
          <c:idx val="3"/>
          <c:order val="3"/>
          <c:tx>
            <c:strRef>
              <c:f>'21.10 KANONI-SSEMBABULE'!$V$9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'21.10 KANONI-SSEMBABULE'!$V$10:$V$21</c:f>
              <c:numCache>
                <c:formatCode>0</c:formatCode>
                <c:ptCount val="12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EE7-484C-BD81-92E397547986}"/>
            </c:ext>
          </c:extLst>
        </c:ser>
        <c:ser>
          <c:idx val="4"/>
          <c:order val="4"/>
          <c:tx>
            <c:strRef>
              <c:f>'21.10 KANONI-SSEMBABULE'!$W$9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'21.10 KANONI-SSEMBABULE'!$W$10:$W$21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EE7-484C-BD81-92E397547986}"/>
            </c:ext>
          </c:extLst>
        </c:ser>
        <c:ser>
          <c:idx val="5"/>
          <c:order val="5"/>
          <c:tx>
            <c:strRef>
              <c:f>'21.10 KANONI-SSEMBABULE'!$X$9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'21.10 KANONI-SSEMBABULE'!$X$10:$X$21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EE7-484C-BD81-92E397547986}"/>
            </c:ext>
          </c:extLst>
        </c:ser>
        <c:ser>
          <c:idx val="6"/>
          <c:order val="6"/>
          <c:tx>
            <c:strRef>
              <c:f>'21.10 KANONI-SSEMBABULE'!$Y$9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'21.10 KANONI-SSEMBABULE'!$Y$10:$Y$21</c:f>
              <c:numCache>
                <c:formatCode>0</c:formatCode>
                <c:ptCount val="12"/>
                <c:pt idx="0">
                  <c:v>3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2</c:v>
                </c:pt>
                <c:pt idx="5">
                  <c:v>4</c:v>
                </c:pt>
                <c:pt idx="6">
                  <c:v>5</c:v>
                </c:pt>
                <c:pt idx="7">
                  <c:v>0</c:v>
                </c:pt>
                <c:pt idx="8">
                  <c:v>3</c:v>
                </c:pt>
                <c:pt idx="9">
                  <c:v>4</c:v>
                </c:pt>
                <c:pt idx="10">
                  <c:v>3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EE7-484C-BD81-92E397547986}"/>
            </c:ext>
          </c:extLst>
        </c:ser>
        <c:ser>
          <c:idx val="7"/>
          <c:order val="7"/>
          <c:tx>
            <c:strRef>
              <c:f>'21.10 KANONI-SSEMBABULE'!$Z$9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'21.10 KANONI-SSEMBABULE'!$Z$10:$Z$21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0</c:v>
                </c:pt>
                <c:pt idx="4">
                  <c:v>2</c:v>
                </c:pt>
                <c:pt idx="5">
                  <c:v>0</c:v>
                </c:pt>
                <c:pt idx="6">
                  <c:v>2</c:v>
                </c:pt>
                <c:pt idx="7">
                  <c:v>0</c:v>
                </c:pt>
                <c:pt idx="8">
                  <c:v>4</c:v>
                </c:pt>
                <c:pt idx="9">
                  <c:v>10</c:v>
                </c:pt>
                <c:pt idx="10">
                  <c:v>1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EE7-484C-BD81-92E397547986}"/>
            </c:ext>
          </c:extLst>
        </c:ser>
        <c:ser>
          <c:idx val="8"/>
          <c:order val="8"/>
          <c:tx>
            <c:strRef>
              <c:f>'21.10 KANONI-SSEMBABULE'!$AA$9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'21.10 KANONI-SSEMBABULE'!$AA$10:$AA$21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3</c:v>
                </c:pt>
                <c:pt idx="3">
                  <c:v>2</c:v>
                </c:pt>
                <c:pt idx="4">
                  <c:v>2</c:v>
                </c:pt>
                <c:pt idx="5">
                  <c:v>4</c:v>
                </c:pt>
                <c:pt idx="6">
                  <c:v>6</c:v>
                </c:pt>
                <c:pt idx="7">
                  <c:v>3</c:v>
                </c:pt>
                <c:pt idx="8">
                  <c:v>3</c:v>
                </c:pt>
                <c:pt idx="9">
                  <c:v>0</c:v>
                </c:pt>
                <c:pt idx="10">
                  <c:v>2</c:v>
                </c:pt>
                <c:pt idx="1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EE7-484C-BD81-92E397547986}"/>
            </c:ext>
          </c:extLst>
        </c:ser>
        <c:ser>
          <c:idx val="9"/>
          <c:order val="9"/>
          <c:tx>
            <c:strRef>
              <c:f>'21.10 KANONI-SSEMBABULE'!$AB$9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'21.10 KANONI-SSEMBABULE'!$AB$10:$AB$21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EE7-484C-BD81-92E397547986}"/>
            </c:ext>
          </c:extLst>
        </c:ser>
        <c:ser>
          <c:idx val="10"/>
          <c:order val="10"/>
          <c:tx>
            <c:strRef>
              <c:f>'21.10 KANONI-SSEMBABULE'!$AC$9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'21.10 KANONI-SSEMBABULE'!$AC$10:$AC$21</c:f>
              <c:numCache>
                <c:formatCode>0</c:formatCode>
                <c:ptCount val="12"/>
                <c:pt idx="0">
                  <c:v>26</c:v>
                </c:pt>
                <c:pt idx="1">
                  <c:v>31</c:v>
                </c:pt>
                <c:pt idx="2">
                  <c:v>29</c:v>
                </c:pt>
                <c:pt idx="3">
                  <c:v>33</c:v>
                </c:pt>
                <c:pt idx="4">
                  <c:v>28</c:v>
                </c:pt>
                <c:pt idx="5">
                  <c:v>31</c:v>
                </c:pt>
                <c:pt idx="6">
                  <c:v>41</c:v>
                </c:pt>
                <c:pt idx="7">
                  <c:v>37</c:v>
                </c:pt>
                <c:pt idx="8">
                  <c:v>43</c:v>
                </c:pt>
                <c:pt idx="9">
                  <c:v>47</c:v>
                </c:pt>
                <c:pt idx="10">
                  <c:v>44</c:v>
                </c:pt>
                <c:pt idx="11">
                  <c:v>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EE7-484C-BD81-92E397547986}"/>
            </c:ext>
          </c:extLst>
        </c:ser>
        <c:ser>
          <c:idx val="11"/>
          <c:order val="11"/>
          <c:tx>
            <c:strRef>
              <c:f>'21.10 KANONI-SSEMBABULE'!$AD$9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'21.10 KANONI-SSEMBABULE'!$AD$10:$AD$21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EEE7-484C-BD81-92E3975479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1752320"/>
        <c:axId val="111753856"/>
      </c:lineChart>
      <c:catAx>
        <c:axId val="111752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1753856"/>
        <c:crosses val="autoZero"/>
        <c:auto val="1"/>
        <c:lblAlgn val="ctr"/>
        <c:lblOffset val="100"/>
        <c:noMultiLvlLbl val="0"/>
      </c:catAx>
      <c:valAx>
        <c:axId val="111753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175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13E-4D2A-8551-63DD0883CC0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13E-4D2A-8551-63DD0883CC0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13E-4D2A-8551-63DD0883CC0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13E-4D2A-8551-63DD0883CC0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13E-4D2A-8551-63DD0883CC0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13E-4D2A-8551-63DD0883CC0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13E-4D2A-8551-63DD0883CC0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13E-4D2A-8551-63DD0883CC0B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13E-4D2A-8551-63DD0883CC0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13E-4D2A-8551-63DD0883CC0B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13E-4D2A-8551-63DD0883CC0B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13E-4D2A-8551-63DD0883CC0B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13E-4D2A-8551-63DD0883CC0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'21.10 KANONI-SSEMBABULE'!$C$9:$N$9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'21.10 KANONI-SSEMBABULE'!$C$60:$N$60</c:f>
              <c:numCache>
                <c:formatCode>0.00%</c:formatCode>
                <c:ptCount val="12"/>
                <c:pt idx="0">
                  <c:v>0.27071823204419887</c:v>
                </c:pt>
                <c:pt idx="1">
                  <c:v>5.5248618784530384E-2</c:v>
                </c:pt>
                <c:pt idx="2">
                  <c:v>8.8397790055248615E-2</c:v>
                </c:pt>
                <c:pt idx="3">
                  <c:v>8.2872928176795577E-2</c:v>
                </c:pt>
                <c:pt idx="4">
                  <c:v>1.1049723756906077E-2</c:v>
                </c:pt>
                <c:pt idx="5">
                  <c:v>0</c:v>
                </c:pt>
                <c:pt idx="6">
                  <c:v>0.18232044198895028</c:v>
                </c:pt>
                <c:pt idx="7">
                  <c:v>0.13259668508287292</c:v>
                </c:pt>
                <c:pt idx="8">
                  <c:v>0.16574585635359115</c:v>
                </c:pt>
                <c:pt idx="9">
                  <c:v>1.1049723756906077E-2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13E-4D2A-8551-63DD0883CC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'22.10 SSEMBABULE-KANONI'!$AE$9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'22.10 SSEMBABULE-KANONI'!$R$10:$R$21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'22.10 SSEMBABULE-KANONI'!$AE$10:$AE$21</c:f>
              <c:numCache>
                <c:formatCode>0</c:formatCode>
                <c:ptCount val="12"/>
                <c:pt idx="0">
                  <c:v>9</c:v>
                </c:pt>
                <c:pt idx="1">
                  <c:v>10</c:v>
                </c:pt>
                <c:pt idx="2">
                  <c:v>14</c:v>
                </c:pt>
                <c:pt idx="3">
                  <c:v>12</c:v>
                </c:pt>
                <c:pt idx="4">
                  <c:v>14</c:v>
                </c:pt>
                <c:pt idx="5">
                  <c:v>8</c:v>
                </c:pt>
                <c:pt idx="6">
                  <c:v>12</c:v>
                </c:pt>
                <c:pt idx="7">
                  <c:v>20</c:v>
                </c:pt>
                <c:pt idx="8">
                  <c:v>14</c:v>
                </c:pt>
                <c:pt idx="9">
                  <c:v>23</c:v>
                </c:pt>
                <c:pt idx="10">
                  <c:v>29</c:v>
                </c:pt>
                <c:pt idx="11">
                  <c:v>13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C61-4EFF-B3FE-B7ED65A6BB38}"/>
            </c:ext>
          </c:extLst>
        </c:ser>
        <c:ser>
          <c:idx val="1"/>
          <c:order val="1"/>
          <c:tx>
            <c:strRef>
              <c:f>'22.10 SSEMBABULE-KANONI'!$AF$9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'22.10 SSEMBABULE-KANONI'!$R$10:$R$21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'22.10 SSEMBABULE-KANONI'!$AF$10:$AF$21</c:f>
              <c:numCache>
                <c:formatCode>0</c:formatCode>
                <c:ptCount val="12"/>
                <c:pt idx="0">
                  <c:v>35</c:v>
                </c:pt>
                <c:pt idx="1">
                  <c:v>40</c:v>
                </c:pt>
                <c:pt idx="2">
                  <c:v>38</c:v>
                </c:pt>
                <c:pt idx="3">
                  <c:v>48</c:v>
                </c:pt>
                <c:pt idx="4">
                  <c:v>46</c:v>
                </c:pt>
                <c:pt idx="5">
                  <c:v>47</c:v>
                </c:pt>
                <c:pt idx="6">
                  <c:v>36</c:v>
                </c:pt>
                <c:pt idx="7">
                  <c:v>49</c:v>
                </c:pt>
                <c:pt idx="8">
                  <c:v>49</c:v>
                </c:pt>
                <c:pt idx="9">
                  <c:v>52</c:v>
                </c:pt>
                <c:pt idx="10">
                  <c:v>70</c:v>
                </c:pt>
                <c:pt idx="11">
                  <c:v>67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C61-4EFF-B3FE-B7ED65A6BB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530944"/>
        <c:axId val="112532480"/>
      </c:lineChart>
      <c:catAx>
        <c:axId val="11253094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2532480"/>
        <c:crosses val="autoZero"/>
        <c:auto val="1"/>
        <c:lblAlgn val="ctr"/>
        <c:lblOffset val="100"/>
        <c:noMultiLvlLbl val="0"/>
      </c:catAx>
      <c:valAx>
        <c:axId val="11253248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2530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385-42DE-9260-DCACDBA6D28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385-42DE-9260-DCACDBA6D28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385-42DE-9260-DCACDBA6D28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385-42DE-9260-DCACDBA6D28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385-42DE-9260-DCACDBA6D28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385-42DE-9260-DCACDBA6D28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385-42DE-9260-DCACDBA6D28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385-42DE-9260-DCACDBA6D28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385-42DE-9260-DCACDBA6D28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385-42DE-9260-DCACDBA6D28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385-42DE-9260-DCACDBA6D28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385-42DE-9260-DCACDBA6D289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385-42DE-9260-DCACDBA6D28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'22.10 SSEMBABULE-KANONI'!$C$9:$N$9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'22.10 SSEMBABULE-KANONI'!$C$59:$N$59</c:f>
              <c:numCache>
                <c:formatCode>0.0%</c:formatCode>
                <c:ptCount val="12"/>
                <c:pt idx="0">
                  <c:v>0.11438474870017332</c:v>
                </c:pt>
                <c:pt idx="1">
                  <c:v>2.0797227036395149E-2</c:v>
                </c:pt>
                <c:pt idx="2">
                  <c:v>3.292894280762565E-2</c:v>
                </c:pt>
                <c:pt idx="3">
                  <c:v>3.4662045060658578E-2</c:v>
                </c:pt>
                <c:pt idx="4">
                  <c:v>1.7331022530329288E-3</c:v>
                </c:pt>
                <c:pt idx="5">
                  <c:v>0</c:v>
                </c:pt>
                <c:pt idx="6">
                  <c:v>4.852686308492201E-2</c:v>
                </c:pt>
                <c:pt idx="7">
                  <c:v>1.7331022530329289E-2</c:v>
                </c:pt>
                <c:pt idx="8">
                  <c:v>3.292894280762565E-2</c:v>
                </c:pt>
                <c:pt idx="9">
                  <c:v>5.1993067590987872E-3</c:v>
                </c:pt>
                <c:pt idx="10">
                  <c:v>0.6915077989601387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385-42DE-9260-DCACDBA6D2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'22.10 SSEMBABULE-KANONI'!$S$9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'22.10 SSEMBABULE-KANONI'!$R$10:$R$21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'22.10 SSEMBABULE-KANONI'!$S$10:$S$21</c:f>
              <c:numCache>
                <c:formatCode>0</c:formatCode>
                <c:ptCount val="12"/>
                <c:pt idx="0">
                  <c:v>6</c:v>
                </c:pt>
                <c:pt idx="1">
                  <c:v>2</c:v>
                </c:pt>
                <c:pt idx="2">
                  <c:v>4</c:v>
                </c:pt>
                <c:pt idx="3">
                  <c:v>2</c:v>
                </c:pt>
                <c:pt idx="4">
                  <c:v>6</c:v>
                </c:pt>
                <c:pt idx="5">
                  <c:v>5</c:v>
                </c:pt>
                <c:pt idx="6">
                  <c:v>3</c:v>
                </c:pt>
                <c:pt idx="7">
                  <c:v>4</c:v>
                </c:pt>
                <c:pt idx="8">
                  <c:v>4</c:v>
                </c:pt>
                <c:pt idx="9">
                  <c:v>5</c:v>
                </c:pt>
                <c:pt idx="10">
                  <c:v>15</c:v>
                </c:pt>
                <c:pt idx="11">
                  <c:v>10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565-49B4-8ABB-8A67B7CF0463}"/>
            </c:ext>
          </c:extLst>
        </c:ser>
        <c:ser>
          <c:idx val="1"/>
          <c:order val="1"/>
          <c:tx>
            <c:strRef>
              <c:f>'22.10 SSEMBABULE-KANONI'!$T$9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'22.10 SSEMBABULE-KANONI'!$R$10:$R$21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'22.10 SSEMBABULE-KANONI'!$T$10:$T$21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2</c:v>
                </c:pt>
                <c:pt idx="9">
                  <c:v>3</c:v>
                </c:pt>
                <c:pt idx="10">
                  <c:v>2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565-49B4-8ABB-8A67B7CF0463}"/>
            </c:ext>
          </c:extLst>
        </c:ser>
        <c:ser>
          <c:idx val="2"/>
          <c:order val="2"/>
          <c:tx>
            <c:strRef>
              <c:f>'22.10 SSEMBABULE-KANONI'!$U$9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'22.10 SSEMBABULE-KANONI'!$U$10:$U$21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4</c:v>
                </c:pt>
                <c:pt idx="3">
                  <c:v>3</c:v>
                </c:pt>
                <c:pt idx="4">
                  <c:v>2</c:v>
                </c:pt>
                <c:pt idx="5">
                  <c:v>0</c:v>
                </c:pt>
                <c:pt idx="6">
                  <c:v>2</c:v>
                </c:pt>
                <c:pt idx="7">
                  <c:v>3</c:v>
                </c:pt>
                <c:pt idx="8">
                  <c:v>1</c:v>
                </c:pt>
                <c:pt idx="9">
                  <c:v>0</c:v>
                </c:pt>
                <c:pt idx="10">
                  <c:v>3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565-49B4-8ABB-8A67B7CF0463}"/>
            </c:ext>
          </c:extLst>
        </c:ser>
        <c:ser>
          <c:idx val="3"/>
          <c:order val="3"/>
          <c:tx>
            <c:strRef>
              <c:f>'22.10 SSEMBABULE-KANONI'!$V$9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'22.10 SSEMBABULE-KANONI'!$V$10:$V$21</c:f>
              <c:numCache>
                <c:formatCode>0</c:formatCode>
                <c:ptCount val="12"/>
                <c:pt idx="0">
                  <c:v>2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0</c:v>
                </c:pt>
                <c:pt idx="6">
                  <c:v>1</c:v>
                </c:pt>
                <c:pt idx="7">
                  <c:v>3</c:v>
                </c:pt>
                <c:pt idx="8">
                  <c:v>0</c:v>
                </c:pt>
                <c:pt idx="9">
                  <c:v>6</c:v>
                </c:pt>
                <c:pt idx="10">
                  <c:v>3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565-49B4-8ABB-8A67B7CF0463}"/>
            </c:ext>
          </c:extLst>
        </c:ser>
        <c:ser>
          <c:idx val="4"/>
          <c:order val="4"/>
          <c:tx>
            <c:strRef>
              <c:f>'22.10 SSEMBABULE-KANONI'!$W$9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'22.10 SSEMBABULE-KANONI'!$W$10:$W$21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565-49B4-8ABB-8A67B7CF0463}"/>
            </c:ext>
          </c:extLst>
        </c:ser>
        <c:ser>
          <c:idx val="5"/>
          <c:order val="5"/>
          <c:tx>
            <c:strRef>
              <c:f>'22.10 SSEMBABULE-KANONI'!$X$9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'22.10 SSEMBABULE-KANONI'!$X$10:$X$21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565-49B4-8ABB-8A67B7CF0463}"/>
            </c:ext>
          </c:extLst>
        </c:ser>
        <c:ser>
          <c:idx val="6"/>
          <c:order val="6"/>
          <c:tx>
            <c:strRef>
              <c:f>'22.10 SSEMBABULE-KANONI'!$Y$9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'22.10 SSEMBABULE-KANONI'!$Y$10:$Y$21</c:f>
              <c:numCache>
                <c:formatCode>0</c:formatCode>
                <c:ptCount val="12"/>
                <c:pt idx="0">
                  <c:v>0</c:v>
                </c:pt>
                <c:pt idx="1">
                  <c:v>4</c:v>
                </c:pt>
                <c:pt idx="2">
                  <c:v>1</c:v>
                </c:pt>
                <c:pt idx="3">
                  <c:v>2</c:v>
                </c:pt>
                <c:pt idx="4">
                  <c:v>0</c:v>
                </c:pt>
                <c:pt idx="5">
                  <c:v>2</c:v>
                </c:pt>
                <c:pt idx="6">
                  <c:v>4</c:v>
                </c:pt>
                <c:pt idx="7">
                  <c:v>3</c:v>
                </c:pt>
                <c:pt idx="8">
                  <c:v>4</c:v>
                </c:pt>
                <c:pt idx="9">
                  <c:v>5</c:v>
                </c:pt>
                <c:pt idx="10">
                  <c:v>2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565-49B4-8ABB-8A67B7CF0463}"/>
            </c:ext>
          </c:extLst>
        </c:ser>
        <c:ser>
          <c:idx val="7"/>
          <c:order val="7"/>
          <c:tx>
            <c:strRef>
              <c:f>'22.10 SSEMBABULE-KANONI'!$Z$9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'22.10 SSEMBABULE-KANONI'!$Z$10:$Z$21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0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565-49B4-8ABB-8A67B7CF0463}"/>
            </c:ext>
          </c:extLst>
        </c:ser>
        <c:ser>
          <c:idx val="8"/>
          <c:order val="8"/>
          <c:tx>
            <c:strRef>
              <c:f>'22.10 SSEMBABULE-KANONI'!$AA$9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'22.10 SSEMBABULE-KANONI'!$AA$10:$AA$21</c:f>
              <c:numCache>
                <c:formatCode>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2</c:v>
                </c:pt>
                <c:pt idx="7">
                  <c:v>4</c:v>
                </c:pt>
                <c:pt idx="8">
                  <c:v>1</c:v>
                </c:pt>
                <c:pt idx="9">
                  <c:v>1</c:v>
                </c:pt>
                <c:pt idx="10">
                  <c:v>3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565-49B4-8ABB-8A67B7CF0463}"/>
            </c:ext>
          </c:extLst>
        </c:ser>
        <c:ser>
          <c:idx val="9"/>
          <c:order val="9"/>
          <c:tx>
            <c:strRef>
              <c:f>'22.10 SSEMBABULE-KANONI'!$AB$9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'22.10 SSEMBABULE-KANONI'!$AB$10:$AB$21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565-49B4-8ABB-8A67B7CF0463}"/>
            </c:ext>
          </c:extLst>
        </c:ser>
        <c:ser>
          <c:idx val="10"/>
          <c:order val="10"/>
          <c:tx>
            <c:strRef>
              <c:f>'22.10 SSEMBABULE-KANONI'!$AC$9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'22.10 SSEMBABULE-KANONI'!$AC$10:$AC$21</c:f>
              <c:numCache>
                <c:formatCode>0</c:formatCode>
                <c:ptCount val="12"/>
                <c:pt idx="0">
                  <c:v>26</c:v>
                </c:pt>
                <c:pt idx="1">
                  <c:v>30</c:v>
                </c:pt>
                <c:pt idx="2">
                  <c:v>24</c:v>
                </c:pt>
                <c:pt idx="3">
                  <c:v>36</c:v>
                </c:pt>
                <c:pt idx="4">
                  <c:v>32</c:v>
                </c:pt>
                <c:pt idx="5">
                  <c:v>39</c:v>
                </c:pt>
                <c:pt idx="6">
                  <c:v>24</c:v>
                </c:pt>
                <c:pt idx="7">
                  <c:v>29</c:v>
                </c:pt>
                <c:pt idx="8">
                  <c:v>35</c:v>
                </c:pt>
                <c:pt idx="9">
                  <c:v>29</c:v>
                </c:pt>
                <c:pt idx="10">
                  <c:v>41</c:v>
                </c:pt>
                <c:pt idx="11">
                  <c:v>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565-49B4-8ABB-8A67B7CF0463}"/>
            </c:ext>
          </c:extLst>
        </c:ser>
        <c:ser>
          <c:idx val="11"/>
          <c:order val="11"/>
          <c:tx>
            <c:strRef>
              <c:f>'22.10 SSEMBABULE-KANONI'!$AD$9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'22.10 SSEMBABULE-KANONI'!$AD$10:$AD$21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F565-49B4-8ABB-8A67B7CF04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2680320"/>
        <c:axId val="112702592"/>
      </c:lineChart>
      <c:catAx>
        <c:axId val="112680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2702592"/>
        <c:crosses val="autoZero"/>
        <c:auto val="1"/>
        <c:lblAlgn val="ctr"/>
        <c:lblOffset val="100"/>
        <c:noMultiLvlLbl val="0"/>
      </c:catAx>
      <c:valAx>
        <c:axId val="112702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2680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7C5-4DCE-BEC7-0690C330694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7C5-4DCE-BEC7-0690C330694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7C5-4DCE-BEC7-0690C330694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7C5-4DCE-BEC7-0690C330694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7C5-4DCE-BEC7-0690C330694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F7C5-4DCE-BEC7-0690C330694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F7C5-4DCE-BEC7-0690C330694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F7C5-4DCE-BEC7-0690C330694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F7C5-4DCE-BEC7-0690C330694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F7C5-4DCE-BEC7-0690C330694A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F7C5-4DCE-BEC7-0690C330694A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F7C5-4DCE-BEC7-0690C330694A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F7C5-4DCE-BEC7-0690C330694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'22.10 SSEMBABULE-KANONI'!$C$9:$N$9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'22.10 SSEMBABULE-KANONI'!$C$60:$N$60</c:f>
              <c:numCache>
                <c:formatCode>0.00%</c:formatCode>
                <c:ptCount val="12"/>
                <c:pt idx="0">
                  <c:v>0.3707865168539326</c:v>
                </c:pt>
                <c:pt idx="1">
                  <c:v>6.741573033707865E-2</c:v>
                </c:pt>
                <c:pt idx="2">
                  <c:v>0.10674157303370786</c:v>
                </c:pt>
                <c:pt idx="3">
                  <c:v>0.11235955056179775</c:v>
                </c:pt>
                <c:pt idx="4">
                  <c:v>5.6179775280898875E-3</c:v>
                </c:pt>
                <c:pt idx="5">
                  <c:v>0</c:v>
                </c:pt>
                <c:pt idx="6">
                  <c:v>0.15730337078651685</c:v>
                </c:pt>
                <c:pt idx="7">
                  <c:v>5.6179775280898875E-2</c:v>
                </c:pt>
                <c:pt idx="8">
                  <c:v>0.10674157303370786</c:v>
                </c:pt>
                <c:pt idx="9">
                  <c:v>1.6853932584269662E-2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F7C5-4DCE-BEC7-0690C33069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'22.10 KANONI-SSEMBABULE'!$AE$9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'22.10 KANONI-SSEMBABULE'!$R$10:$R$21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'22.10 KANONI-SSEMBABULE'!$AE$10:$AE$21</c:f>
              <c:numCache>
                <c:formatCode>0</c:formatCode>
                <c:ptCount val="12"/>
                <c:pt idx="0">
                  <c:v>6</c:v>
                </c:pt>
                <c:pt idx="1">
                  <c:v>14</c:v>
                </c:pt>
                <c:pt idx="2">
                  <c:v>11</c:v>
                </c:pt>
                <c:pt idx="3">
                  <c:v>19</c:v>
                </c:pt>
                <c:pt idx="4">
                  <c:v>13</c:v>
                </c:pt>
                <c:pt idx="5">
                  <c:v>30</c:v>
                </c:pt>
                <c:pt idx="6">
                  <c:v>15</c:v>
                </c:pt>
                <c:pt idx="7">
                  <c:v>7</c:v>
                </c:pt>
                <c:pt idx="8">
                  <c:v>9</c:v>
                </c:pt>
                <c:pt idx="9">
                  <c:v>13</c:v>
                </c:pt>
                <c:pt idx="10">
                  <c:v>10</c:v>
                </c:pt>
                <c:pt idx="11">
                  <c:v>19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463-4278-A5CC-74015684B17F}"/>
            </c:ext>
          </c:extLst>
        </c:ser>
        <c:ser>
          <c:idx val="1"/>
          <c:order val="1"/>
          <c:tx>
            <c:strRef>
              <c:f>'22.10 KANONI-SSEMBABULE'!$AF$9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'22.10 KANONI-SSEMBABULE'!$R$10:$R$21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'22.10 KANONI-SSEMBABULE'!$AF$10:$AF$21</c:f>
              <c:numCache>
                <c:formatCode>0</c:formatCode>
                <c:ptCount val="12"/>
                <c:pt idx="0">
                  <c:v>30</c:v>
                </c:pt>
                <c:pt idx="1">
                  <c:v>42</c:v>
                </c:pt>
                <c:pt idx="2">
                  <c:v>51</c:v>
                </c:pt>
                <c:pt idx="3">
                  <c:v>42</c:v>
                </c:pt>
                <c:pt idx="4">
                  <c:v>55</c:v>
                </c:pt>
                <c:pt idx="5">
                  <c:v>65</c:v>
                </c:pt>
                <c:pt idx="6">
                  <c:v>57</c:v>
                </c:pt>
                <c:pt idx="7">
                  <c:v>37</c:v>
                </c:pt>
                <c:pt idx="8">
                  <c:v>46</c:v>
                </c:pt>
                <c:pt idx="9">
                  <c:v>51</c:v>
                </c:pt>
                <c:pt idx="10">
                  <c:v>53</c:v>
                </c:pt>
                <c:pt idx="11">
                  <c:v>51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463-4278-A5CC-74015684B1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921216"/>
        <c:axId val="112931200"/>
      </c:lineChart>
      <c:catAx>
        <c:axId val="11292121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2931200"/>
        <c:crosses val="autoZero"/>
        <c:auto val="1"/>
        <c:lblAlgn val="ctr"/>
        <c:lblOffset val="100"/>
        <c:noMultiLvlLbl val="0"/>
      </c:catAx>
      <c:valAx>
        <c:axId val="11293120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2921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838-4AD2-B02D-63FE1AB93A1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838-4AD2-B02D-63FE1AB93A1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838-4AD2-B02D-63FE1AB93A1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838-4AD2-B02D-63FE1AB93A1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838-4AD2-B02D-63FE1AB93A1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838-4AD2-B02D-63FE1AB93A1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838-4AD2-B02D-63FE1AB93A1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838-4AD2-B02D-63FE1AB93A1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838-4AD2-B02D-63FE1AB93A1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838-4AD2-B02D-63FE1AB93A1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838-4AD2-B02D-63FE1AB93A14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838-4AD2-B02D-63FE1AB93A14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838-4AD2-B02D-63FE1AB93A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'22.10 KANONI-SSEMBABULE'!$C$9:$N$9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'22.10 KANONI-SSEMBABULE'!$C$59:$N$59</c:f>
              <c:numCache>
                <c:formatCode>0.0%</c:formatCode>
                <c:ptCount val="12"/>
                <c:pt idx="0">
                  <c:v>9.8275862068965519E-2</c:v>
                </c:pt>
                <c:pt idx="1">
                  <c:v>2.0689655172413793E-2</c:v>
                </c:pt>
                <c:pt idx="2">
                  <c:v>2.9310344827586206E-2</c:v>
                </c:pt>
                <c:pt idx="3">
                  <c:v>4.3103448275862072E-2</c:v>
                </c:pt>
                <c:pt idx="4">
                  <c:v>1.7241379310344827E-3</c:v>
                </c:pt>
                <c:pt idx="5">
                  <c:v>5.1724137931034482E-3</c:v>
                </c:pt>
                <c:pt idx="6">
                  <c:v>4.4827586206896551E-2</c:v>
                </c:pt>
                <c:pt idx="7">
                  <c:v>1.2068965517241379E-2</c:v>
                </c:pt>
                <c:pt idx="8">
                  <c:v>2.9310344827586206E-2</c:v>
                </c:pt>
                <c:pt idx="9">
                  <c:v>1.7241379310344827E-3</c:v>
                </c:pt>
                <c:pt idx="10">
                  <c:v>0.71379310344827585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838-4AD2-B02D-63FE1AB93A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'22.10 KANONI-SSEMBABULE'!$S$9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'22.10 KANONI-SSEMBABULE'!$R$10:$R$21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'22.10 KANONI-SSEMBABULE'!$S$10:$S$21</c:f>
              <c:numCache>
                <c:formatCode>0</c:formatCode>
                <c:ptCount val="12"/>
                <c:pt idx="0">
                  <c:v>1</c:v>
                </c:pt>
                <c:pt idx="1">
                  <c:v>6</c:v>
                </c:pt>
                <c:pt idx="2">
                  <c:v>6</c:v>
                </c:pt>
                <c:pt idx="3">
                  <c:v>8</c:v>
                </c:pt>
                <c:pt idx="4">
                  <c:v>5</c:v>
                </c:pt>
                <c:pt idx="5">
                  <c:v>8</c:v>
                </c:pt>
                <c:pt idx="6">
                  <c:v>7</c:v>
                </c:pt>
                <c:pt idx="7">
                  <c:v>3</c:v>
                </c:pt>
                <c:pt idx="8">
                  <c:v>3</c:v>
                </c:pt>
                <c:pt idx="9">
                  <c:v>2</c:v>
                </c:pt>
                <c:pt idx="10">
                  <c:v>4</c:v>
                </c:pt>
                <c:pt idx="11">
                  <c:v>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ACD-4E4E-9939-9E943A18B54F}"/>
            </c:ext>
          </c:extLst>
        </c:ser>
        <c:ser>
          <c:idx val="1"/>
          <c:order val="1"/>
          <c:tx>
            <c:strRef>
              <c:f>'22.10 KANONI-SSEMBABULE'!$T$9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'22.10 KANONI-SSEMBABULE'!$R$10:$R$21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'22.10 KANONI-SSEMBABULE'!$T$10:$T$21</c:f>
              <c:numCache>
                <c:formatCode>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3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4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ACD-4E4E-9939-9E943A18B54F}"/>
            </c:ext>
          </c:extLst>
        </c:ser>
        <c:ser>
          <c:idx val="2"/>
          <c:order val="2"/>
          <c:tx>
            <c:strRef>
              <c:f>'22.10 KANONI-SSEMBABULE'!$U$9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'22.10 KANONI-SSEMBABULE'!$U$10:$U$21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5</c:v>
                </c:pt>
                <c:pt idx="4">
                  <c:v>0</c:v>
                </c:pt>
                <c:pt idx="5">
                  <c:v>3</c:v>
                </c:pt>
                <c:pt idx="6">
                  <c:v>3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ACD-4E4E-9939-9E943A18B54F}"/>
            </c:ext>
          </c:extLst>
        </c:ser>
        <c:ser>
          <c:idx val="3"/>
          <c:order val="3"/>
          <c:tx>
            <c:strRef>
              <c:f>'22.10 KANONI-SSEMBABULE'!$V$9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'22.10 KANONI-SSEMBABULE'!$V$10:$V$21</c:f>
              <c:numCache>
                <c:formatCode>0</c:formatCode>
                <c:ptCount val="12"/>
                <c:pt idx="0">
                  <c:v>0</c:v>
                </c:pt>
                <c:pt idx="1">
                  <c:v>6</c:v>
                </c:pt>
                <c:pt idx="2">
                  <c:v>1</c:v>
                </c:pt>
                <c:pt idx="3">
                  <c:v>0</c:v>
                </c:pt>
                <c:pt idx="4">
                  <c:v>5</c:v>
                </c:pt>
                <c:pt idx="5">
                  <c:v>8</c:v>
                </c:pt>
                <c:pt idx="6">
                  <c:v>2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ACD-4E4E-9939-9E943A18B54F}"/>
            </c:ext>
          </c:extLst>
        </c:ser>
        <c:ser>
          <c:idx val="4"/>
          <c:order val="4"/>
          <c:tx>
            <c:strRef>
              <c:f>'22.10 KANONI-SSEMBABULE'!$W$9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'22.10 KANONI-SSEMBABULE'!$W$10:$W$21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ACD-4E4E-9939-9E943A18B54F}"/>
            </c:ext>
          </c:extLst>
        </c:ser>
        <c:ser>
          <c:idx val="5"/>
          <c:order val="5"/>
          <c:tx>
            <c:strRef>
              <c:f>'22.10 KANONI-SSEMBABULE'!$X$9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'22.10 KANONI-SSEMBABULE'!$X$10:$X$21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ACD-4E4E-9939-9E943A18B54F}"/>
            </c:ext>
          </c:extLst>
        </c:ser>
        <c:ser>
          <c:idx val="6"/>
          <c:order val="6"/>
          <c:tx>
            <c:strRef>
              <c:f>'22.10 KANONI-SSEMBABULE'!$Y$9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'22.10 KANONI-SSEMBABULE'!$Y$10:$Y$21</c:f>
              <c:numCache>
                <c:formatCode>0</c:formatCode>
                <c:ptCount val="12"/>
                <c:pt idx="0">
                  <c:v>3</c:v>
                </c:pt>
                <c:pt idx="1">
                  <c:v>0</c:v>
                </c:pt>
                <c:pt idx="2">
                  <c:v>1</c:v>
                </c:pt>
                <c:pt idx="3">
                  <c:v>3</c:v>
                </c:pt>
                <c:pt idx="4">
                  <c:v>0</c:v>
                </c:pt>
                <c:pt idx="5">
                  <c:v>5</c:v>
                </c:pt>
                <c:pt idx="6">
                  <c:v>1</c:v>
                </c:pt>
                <c:pt idx="7">
                  <c:v>0</c:v>
                </c:pt>
                <c:pt idx="8">
                  <c:v>4</c:v>
                </c:pt>
                <c:pt idx="9">
                  <c:v>2</c:v>
                </c:pt>
                <c:pt idx="10">
                  <c:v>3</c:v>
                </c:pt>
                <c:pt idx="1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ACD-4E4E-9939-9E943A18B54F}"/>
            </c:ext>
          </c:extLst>
        </c:ser>
        <c:ser>
          <c:idx val="7"/>
          <c:order val="7"/>
          <c:tx>
            <c:strRef>
              <c:f>'22.10 KANONI-SSEMBABULE'!$Z$9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'22.10 KANONI-SSEMBABULE'!$Z$10:$Z$21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</c:v>
                </c:pt>
                <c:pt idx="10">
                  <c:v>0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ACD-4E4E-9939-9E943A18B54F}"/>
            </c:ext>
          </c:extLst>
        </c:ser>
        <c:ser>
          <c:idx val="8"/>
          <c:order val="8"/>
          <c:tx>
            <c:strRef>
              <c:f>'22.10 KANONI-SSEMBABULE'!$AA$9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'22.10 KANONI-SSEMBABULE'!$AA$10:$AA$21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2</c:v>
                </c:pt>
                <c:pt idx="7">
                  <c:v>1</c:v>
                </c:pt>
                <c:pt idx="8">
                  <c:v>2</c:v>
                </c:pt>
                <c:pt idx="9">
                  <c:v>2</c:v>
                </c:pt>
                <c:pt idx="10">
                  <c:v>1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ACD-4E4E-9939-9E943A18B54F}"/>
            </c:ext>
          </c:extLst>
        </c:ser>
        <c:ser>
          <c:idx val="9"/>
          <c:order val="9"/>
          <c:tx>
            <c:strRef>
              <c:f>'22.10 KANONI-SSEMBABULE'!$AB$9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'22.10 KANONI-SSEMBABULE'!$AB$10:$AB$21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ACD-4E4E-9939-9E943A18B54F}"/>
            </c:ext>
          </c:extLst>
        </c:ser>
        <c:ser>
          <c:idx val="10"/>
          <c:order val="10"/>
          <c:tx>
            <c:strRef>
              <c:f>'22.10 KANONI-SSEMBABULE'!$AC$9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'22.10 KANONI-SSEMBABULE'!$AC$10:$AC$21</c:f>
              <c:numCache>
                <c:formatCode>0</c:formatCode>
                <c:ptCount val="12"/>
                <c:pt idx="0">
                  <c:v>24</c:v>
                </c:pt>
                <c:pt idx="1">
                  <c:v>28</c:v>
                </c:pt>
                <c:pt idx="2">
                  <c:v>40</c:v>
                </c:pt>
                <c:pt idx="3">
                  <c:v>23</c:v>
                </c:pt>
                <c:pt idx="4">
                  <c:v>42</c:v>
                </c:pt>
                <c:pt idx="5">
                  <c:v>35</c:v>
                </c:pt>
                <c:pt idx="6">
                  <c:v>42</c:v>
                </c:pt>
                <c:pt idx="7">
                  <c:v>30</c:v>
                </c:pt>
                <c:pt idx="8">
                  <c:v>37</c:v>
                </c:pt>
                <c:pt idx="9">
                  <c:v>38</c:v>
                </c:pt>
                <c:pt idx="10">
                  <c:v>43</c:v>
                </c:pt>
                <c:pt idx="11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ACD-4E4E-9939-9E943A18B54F}"/>
            </c:ext>
          </c:extLst>
        </c:ser>
        <c:ser>
          <c:idx val="11"/>
          <c:order val="11"/>
          <c:tx>
            <c:strRef>
              <c:f>'22.10 KANONI-SSEMBABULE'!$AD$9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'22.10 KANONI-SSEMBABULE'!$AD$10:$AD$21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8ACD-4E4E-9939-9E943A18B5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218304"/>
        <c:axId val="113219840"/>
      </c:lineChart>
      <c:catAx>
        <c:axId val="113218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3219840"/>
        <c:crosses val="autoZero"/>
        <c:auto val="1"/>
        <c:lblAlgn val="ctr"/>
        <c:lblOffset val="100"/>
        <c:noMultiLvlLbl val="0"/>
      </c:catAx>
      <c:valAx>
        <c:axId val="113219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3218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B51-4D84-891B-06C3FCEF433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B51-4D84-891B-06C3FCEF433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B51-4D84-891B-06C3FCEF433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B51-4D84-891B-06C3FCEF433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B51-4D84-891B-06C3FCEF433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B51-4D84-891B-06C3FCEF433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B51-4D84-891B-06C3FCEF433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B51-4D84-891B-06C3FCEF433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B51-4D84-891B-06C3FCEF433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B51-4D84-891B-06C3FCEF433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B51-4D84-891B-06C3FCEF433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B51-4D84-891B-06C3FCEF4330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B51-4D84-891B-06C3FCEF433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'22.10 KANONI-SSEMBABULE'!$C$9:$N$9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'22.10 KANONI-SSEMBABULE'!$C$60:$N$60</c:f>
              <c:numCache>
                <c:formatCode>0.00%</c:formatCode>
                <c:ptCount val="12"/>
                <c:pt idx="0">
                  <c:v>0.34337349397590361</c:v>
                </c:pt>
                <c:pt idx="1">
                  <c:v>7.2289156626506021E-2</c:v>
                </c:pt>
                <c:pt idx="2">
                  <c:v>0.10240963855421686</c:v>
                </c:pt>
                <c:pt idx="3">
                  <c:v>0.15060240963855423</c:v>
                </c:pt>
                <c:pt idx="4">
                  <c:v>6.024096385542169E-3</c:v>
                </c:pt>
                <c:pt idx="5">
                  <c:v>1.8072289156626505E-2</c:v>
                </c:pt>
                <c:pt idx="6">
                  <c:v>0.15662650602409639</c:v>
                </c:pt>
                <c:pt idx="7">
                  <c:v>4.2168674698795178E-2</c:v>
                </c:pt>
                <c:pt idx="8">
                  <c:v>0.10240963855421686</c:v>
                </c:pt>
                <c:pt idx="9">
                  <c:v>6.024096385542169E-3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B51-4D84-891B-06C3FCEF43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'23.10 SSEMBABULE-KANONI'!$AE$9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'23.10 SSEMBABULE-KANONI'!$R$10:$R$21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'23.10 SSEMBABULE-KANONI'!$AE$10:$AE$21</c:f>
              <c:numCache>
                <c:formatCode>0</c:formatCode>
                <c:ptCount val="12"/>
                <c:pt idx="0">
                  <c:v>12</c:v>
                </c:pt>
                <c:pt idx="1">
                  <c:v>8</c:v>
                </c:pt>
                <c:pt idx="2">
                  <c:v>15</c:v>
                </c:pt>
                <c:pt idx="3">
                  <c:v>14</c:v>
                </c:pt>
                <c:pt idx="4">
                  <c:v>8</c:v>
                </c:pt>
                <c:pt idx="5">
                  <c:v>11</c:v>
                </c:pt>
                <c:pt idx="6">
                  <c:v>11</c:v>
                </c:pt>
                <c:pt idx="7">
                  <c:v>15</c:v>
                </c:pt>
                <c:pt idx="8">
                  <c:v>13</c:v>
                </c:pt>
                <c:pt idx="9">
                  <c:v>10</c:v>
                </c:pt>
                <c:pt idx="10">
                  <c:v>17</c:v>
                </c:pt>
                <c:pt idx="11">
                  <c:v>24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5C8-45AB-8CEF-A7108B6754B8}"/>
            </c:ext>
          </c:extLst>
        </c:ser>
        <c:ser>
          <c:idx val="1"/>
          <c:order val="1"/>
          <c:tx>
            <c:strRef>
              <c:f>'23.10 SSEMBABULE-KANONI'!$AF$9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'23.10 SSEMBABULE-KANONI'!$R$10:$R$21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'23.10 SSEMBABULE-KANONI'!$AF$10:$AF$21</c:f>
              <c:numCache>
                <c:formatCode>0</c:formatCode>
                <c:ptCount val="12"/>
                <c:pt idx="0">
                  <c:v>44</c:v>
                </c:pt>
                <c:pt idx="1">
                  <c:v>36</c:v>
                </c:pt>
                <c:pt idx="2">
                  <c:v>59</c:v>
                </c:pt>
                <c:pt idx="3">
                  <c:v>50</c:v>
                </c:pt>
                <c:pt idx="4">
                  <c:v>37</c:v>
                </c:pt>
                <c:pt idx="5">
                  <c:v>49</c:v>
                </c:pt>
                <c:pt idx="6">
                  <c:v>57</c:v>
                </c:pt>
                <c:pt idx="7">
                  <c:v>39</c:v>
                </c:pt>
                <c:pt idx="8">
                  <c:v>54</c:v>
                </c:pt>
                <c:pt idx="9">
                  <c:v>44</c:v>
                </c:pt>
                <c:pt idx="10">
                  <c:v>62</c:v>
                </c:pt>
                <c:pt idx="11">
                  <c:v>65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5C8-45AB-8CEF-A7108B6754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6314112"/>
        <c:axId val="116315648"/>
      </c:lineChart>
      <c:catAx>
        <c:axId val="11631411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6315648"/>
        <c:crosses val="autoZero"/>
        <c:auto val="1"/>
        <c:lblAlgn val="ctr"/>
        <c:lblOffset val="100"/>
        <c:noMultiLvlLbl val="0"/>
      </c:catAx>
      <c:valAx>
        <c:axId val="11631564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6314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085-4D7B-92D4-0FE0B8706BF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085-4D7B-92D4-0FE0B8706BF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085-4D7B-92D4-0FE0B8706BF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085-4D7B-92D4-0FE0B8706BF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085-4D7B-92D4-0FE0B8706BF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085-4D7B-92D4-0FE0B8706BF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085-4D7B-92D4-0FE0B8706BF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085-4D7B-92D4-0FE0B8706BF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085-4D7B-92D4-0FE0B8706BF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085-4D7B-92D4-0FE0B8706BF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085-4D7B-92D4-0FE0B8706BF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085-4D7B-92D4-0FE0B8706BF0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085-4D7B-92D4-0FE0B8706BF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'23.10 SSEMBABULE-KANONI'!$C$9:$N$9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'23.10 SSEMBABULE-KANONI'!$C$59:$N$59</c:f>
              <c:numCache>
                <c:formatCode>0.0%</c:formatCode>
                <c:ptCount val="12"/>
                <c:pt idx="0">
                  <c:v>9.3959731543624164E-2</c:v>
                </c:pt>
                <c:pt idx="1">
                  <c:v>1.5100671140939598E-2</c:v>
                </c:pt>
                <c:pt idx="2">
                  <c:v>4.0268456375838924E-2</c:v>
                </c:pt>
                <c:pt idx="3">
                  <c:v>2.0134228187919462E-2</c:v>
                </c:pt>
                <c:pt idx="4">
                  <c:v>1.6778523489932886E-3</c:v>
                </c:pt>
                <c:pt idx="5">
                  <c:v>3.3557046979865771E-3</c:v>
                </c:pt>
                <c:pt idx="6">
                  <c:v>3.5234899328859058E-2</c:v>
                </c:pt>
                <c:pt idx="7">
                  <c:v>1.5100671140939598E-2</c:v>
                </c:pt>
                <c:pt idx="8">
                  <c:v>3.6912751677852351E-2</c:v>
                </c:pt>
                <c:pt idx="9">
                  <c:v>3.3557046979865771E-3</c:v>
                </c:pt>
                <c:pt idx="10">
                  <c:v>0.7348993288590604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085-4D7B-92D4-0FE0B8706B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'23.10 SSEMBABULE-KANONI'!$S$9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'23.10 SSEMBABULE-KANONI'!$R$10:$R$21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'23.10 SSEMBABULE-KANONI'!$S$10:$S$21</c:f>
              <c:numCache>
                <c:formatCode>0</c:formatCode>
                <c:ptCount val="12"/>
                <c:pt idx="0">
                  <c:v>6</c:v>
                </c:pt>
                <c:pt idx="1">
                  <c:v>0</c:v>
                </c:pt>
                <c:pt idx="2">
                  <c:v>3</c:v>
                </c:pt>
                <c:pt idx="3">
                  <c:v>3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4</c:v>
                </c:pt>
                <c:pt idx="8">
                  <c:v>6</c:v>
                </c:pt>
                <c:pt idx="9">
                  <c:v>3</c:v>
                </c:pt>
                <c:pt idx="10">
                  <c:v>8</c:v>
                </c:pt>
                <c:pt idx="11">
                  <c:v>16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28B-46B4-90C5-4BE58AC1B7CD}"/>
            </c:ext>
          </c:extLst>
        </c:ser>
        <c:ser>
          <c:idx val="1"/>
          <c:order val="1"/>
          <c:tx>
            <c:strRef>
              <c:f>'23.10 SSEMBABULE-KANONI'!$T$9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'23.10 SSEMBABULE-KANONI'!$R$10:$R$21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'23.10 SSEMBABULE-KANONI'!$T$10:$T$21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</c:v>
                </c:pt>
                <c:pt idx="10">
                  <c:v>3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28B-46B4-90C5-4BE58AC1B7CD}"/>
            </c:ext>
          </c:extLst>
        </c:ser>
        <c:ser>
          <c:idx val="2"/>
          <c:order val="2"/>
          <c:tx>
            <c:strRef>
              <c:f>'23.10 SSEMBABULE-KANONI'!$U$9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'23.10 SSEMBABULE-KANONI'!$U$10:$U$21</c:f>
              <c:numCache>
                <c:formatCode>0</c:formatCode>
                <c:ptCount val="12"/>
                <c:pt idx="0">
                  <c:v>1</c:v>
                </c:pt>
                <c:pt idx="1">
                  <c:v>4</c:v>
                </c:pt>
                <c:pt idx="2">
                  <c:v>3</c:v>
                </c:pt>
                <c:pt idx="3">
                  <c:v>3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3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28B-46B4-90C5-4BE58AC1B7CD}"/>
            </c:ext>
          </c:extLst>
        </c:ser>
        <c:ser>
          <c:idx val="3"/>
          <c:order val="3"/>
          <c:tx>
            <c:strRef>
              <c:f>'23.10 SSEMBABULE-KANONI'!$V$9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'23.10 SSEMBABULE-KANONI'!$V$10:$V$21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3</c:v>
                </c:pt>
                <c:pt idx="8">
                  <c:v>1</c:v>
                </c:pt>
                <c:pt idx="9">
                  <c:v>2</c:v>
                </c:pt>
                <c:pt idx="10">
                  <c:v>0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28B-46B4-90C5-4BE58AC1B7CD}"/>
            </c:ext>
          </c:extLst>
        </c:ser>
        <c:ser>
          <c:idx val="4"/>
          <c:order val="4"/>
          <c:tx>
            <c:strRef>
              <c:f>'23.10 SSEMBABULE-KANONI'!$W$9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'23.10 SSEMBABULE-KANONI'!$W$10:$W$21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28B-46B4-90C5-4BE58AC1B7CD}"/>
            </c:ext>
          </c:extLst>
        </c:ser>
        <c:ser>
          <c:idx val="5"/>
          <c:order val="5"/>
          <c:tx>
            <c:strRef>
              <c:f>'23.10 SSEMBABULE-KANONI'!$X$9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'23.10 SSEMBABULE-KANONI'!$X$10:$X$21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28B-46B4-90C5-4BE58AC1B7CD}"/>
            </c:ext>
          </c:extLst>
        </c:ser>
        <c:ser>
          <c:idx val="6"/>
          <c:order val="6"/>
          <c:tx>
            <c:strRef>
              <c:f>'23.10 SSEMBABULE-KANONI'!$Y$9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'23.10 SSEMBABULE-KANONI'!$Y$10:$Y$21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3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2</c:v>
                </c:pt>
                <c:pt idx="7">
                  <c:v>3</c:v>
                </c:pt>
                <c:pt idx="8">
                  <c:v>3</c:v>
                </c:pt>
                <c:pt idx="9">
                  <c:v>1</c:v>
                </c:pt>
                <c:pt idx="10">
                  <c:v>3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28B-46B4-90C5-4BE58AC1B7CD}"/>
            </c:ext>
          </c:extLst>
        </c:ser>
        <c:ser>
          <c:idx val="7"/>
          <c:order val="7"/>
          <c:tx>
            <c:strRef>
              <c:f>'23.10 SSEMBABULE-KANONI'!$Z$9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'23.10 SSEMBABULE-KANONI'!$Z$10:$Z$21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28B-46B4-90C5-4BE58AC1B7CD}"/>
            </c:ext>
          </c:extLst>
        </c:ser>
        <c:ser>
          <c:idx val="8"/>
          <c:order val="8"/>
          <c:tx>
            <c:strRef>
              <c:f>'23.10 SSEMBABULE-KANONI'!$AA$9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'23.10 SSEMBABULE-KANONI'!$AA$10:$AA$21</c:f>
              <c:numCache>
                <c:formatCode>0</c:formatCode>
                <c:ptCount val="12"/>
                <c:pt idx="0">
                  <c:v>3</c:v>
                </c:pt>
                <c:pt idx="1">
                  <c:v>2</c:v>
                </c:pt>
                <c:pt idx="2">
                  <c:v>2</c:v>
                </c:pt>
                <c:pt idx="3">
                  <c:v>4</c:v>
                </c:pt>
                <c:pt idx="4">
                  <c:v>2</c:v>
                </c:pt>
                <c:pt idx="5">
                  <c:v>2</c:v>
                </c:pt>
                <c:pt idx="6">
                  <c:v>3</c:v>
                </c:pt>
                <c:pt idx="7">
                  <c:v>2</c:v>
                </c:pt>
                <c:pt idx="8">
                  <c:v>0</c:v>
                </c:pt>
                <c:pt idx="9">
                  <c:v>0</c:v>
                </c:pt>
                <c:pt idx="10">
                  <c:v>2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28B-46B4-90C5-4BE58AC1B7CD}"/>
            </c:ext>
          </c:extLst>
        </c:ser>
        <c:ser>
          <c:idx val="9"/>
          <c:order val="9"/>
          <c:tx>
            <c:strRef>
              <c:f>'23.10 SSEMBABULE-KANONI'!$AB$9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'23.10 SSEMBABULE-KANONI'!$AB$10:$AB$21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28B-46B4-90C5-4BE58AC1B7CD}"/>
            </c:ext>
          </c:extLst>
        </c:ser>
        <c:ser>
          <c:idx val="10"/>
          <c:order val="10"/>
          <c:tx>
            <c:strRef>
              <c:f>'23.10 SSEMBABULE-KANONI'!$AC$9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'23.10 SSEMBABULE-KANONI'!$AC$10:$AC$21</c:f>
              <c:numCache>
                <c:formatCode>0</c:formatCode>
                <c:ptCount val="12"/>
                <c:pt idx="0">
                  <c:v>32</c:v>
                </c:pt>
                <c:pt idx="1">
                  <c:v>28</c:v>
                </c:pt>
                <c:pt idx="2">
                  <c:v>44</c:v>
                </c:pt>
                <c:pt idx="3">
                  <c:v>36</c:v>
                </c:pt>
                <c:pt idx="4">
                  <c:v>29</c:v>
                </c:pt>
                <c:pt idx="5">
                  <c:v>38</c:v>
                </c:pt>
                <c:pt idx="6">
                  <c:v>46</c:v>
                </c:pt>
                <c:pt idx="7">
                  <c:v>24</c:v>
                </c:pt>
                <c:pt idx="8">
                  <c:v>41</c:v>
                </c:pt>
                <c:pt idx="9">
                  <c:v>34</c:v>
                </c:pt>
                <c:pt idx="10">
                  <c:v>45</c:v>
                </c:pt>
                <c:pt idx="11">
                  <c:v>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28B-46B4-90C5-4BE58AC1B7CD}"/>
            </c:ext>
          </c:extLst>
        </c:ser>
        <c:ser>
          <c:idx val="11"/>
          <c:order val="11"/>
          <c:tx>
            <c:strRef>
              <c:f>'23.10 SSEMBABULE-KANONI'!$AD$9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'23.10 SSEMBABULE-KANONI'!$AD$10:$AD$21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28B-46B4-90C5-4BE58AC1B7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6397952"/>
        <c:axId val="116399488"/>
      </c:lineChart>
      <c:catAx>
        <c:axId val="116397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6399488"/>
        <c:crosses val="autoZero"/>
        <c:auto val="1"/>
        <c:lblAlgn val="ctr"/>
        <c:lblOffset val="100"/>
        <c:noMultiLvlLbl val="0"/>
      </c:catAx>
      <c:valAx>
        <c:axId val="116399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6397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C12-4217-8AB6-47C18865D9D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C12-4217-8AB6-47C18865D9D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C12-4217-8AB6-47C18865D9D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C12-4217-8AB6-47C18865D9D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C12-4217-8AB6-47C18865D9D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C12-4217-8AB6-47C18865D9D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C12-4217-8AB6-47C18865D9D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C12-4217-8AB6-47C18865D9D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C12-4217-8AB6-47C18865D9D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C12-4217-8AB6-47C18865D9D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C12-4217-8AB6-47C18865D9D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C12-4217-8AB6-47C18865D9D7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C12-4217-8AB6-47C18865D9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'23.10 SSEMBABULE-KANONI'!$C$9:$N$9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'23.10 SSEMBABULE-KANONI'!$C$60:$N$60</c:f>
              <c:numCache>
                <c:formatCode>0.00%</c:formatCode>
                <c:ptCount val="12"/>
                <c:pt idx="0">
                  <c:v>0.35443037974683544</c:v>
                </c:pt>
                <c:pt idx="1">
                  <c:v>5.6962025316455694E-2</c:v>
                </c:pt>
                <c:pt idx="2">
                  <c:v>0.15189873417721519</c:v>
                </c:pt>
                <c:pt idx="3">
                  <c:v>7.5949367088607597E-2</c:v>
                </c:pt>
                <c:pt idx="4">
                  <c:v>6.3291139240506328E-3</c:v>
                </c:pt>
                <c:pt idx="5">
                  <c:v>1.2658227848101266E-2</c:v>
                </c:pt>
                <c:pt idx="6">
                  <c:v>0.13291139240506328</c:v>
                </c:pt>
                <c:pt idx="7">
                  <c:v>5.6962025316455694E-2</c:v>
                </c:pt>
                <c:pt idx="8">
                  <c:v>0.13924050632911392</c:v>
                </c:pt>
                <c:pt idx="9">
                  <c:v>1.2658227848101266E-2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C12-4217-8AB6-47C18865D9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'23.10 KANONI-SSEMBABULE'!$AE$9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'23.10 KANONI-SSEMBABULE'!$R$10:$R$21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'23.10 KANONI-SSEMBABULE'!$AE$10:$AE$21</c:f>
              <c:numCache>
                <c:formatCode>0</c:formatCode>
                <c:ptCount val="12"/>
                <c:pt idx="0">
                  <c:v>9</c:v>
                </c:pt>
                <c:pt idx="1">
                  <c:v>15</c:v>
                </c:pt>
                <c:pt idx="2">
                  <c:v>11</c:v>
                </c:pt>
                <c:pt idx="3">
                  <c:v>7</c:v>
                </c:pt>
                <c:pt idx="4">
                  <c:v>22</c:v>
                </c:pt>
                <c:pt idx="5">
                  <c:v>12</c:v>
                </c:pt>
                <c:pt idx="6">
                  <c:v>8</c:v>
                </c:pt>
                <c:pt idx="7">
                  <c:v>19</c:v>
                </c:pt>
                <c:pt idx="8">
                  <c:v>16</c:v>
                </c:pt>
                <c:pt idx="9">
                  <c:v>11</c:v>
                </c:pt>
                <c:pt idx="10">
                  <c:v>11</c:v>
                </c:pt>
                <c:pt idx="11">
                  <c:v>21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9DE-43FB-B018-4B429EDDE76A}"/>
            </c:ext>
          </c:extLst>
        </c:ser>
        <c:ser>
          <c:idx val="1"/>
          <c:order val="1"/>
          <c:tx>
            <c:strRef>
              <c:f>'23.10 KANONI-SSEMBABULE'!$AF$9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'23.10 KANONI-SSEMBABULE'!$R$10:$R$21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'23.10 KANONI-SSEMBABULE'!$AF$10:$AF$21</c:f>
              <c:numCache>
                <c:formatCode>0</c:formatCode>
                <c:ptCount val="12"/>
                <c:pt idx="0">
                  <c:v>39</c:v>
                </c:pt>
                <c:pt idx="1">
                  <c:v>44</c:v>
                </c:pt>
                <c:pt idx="2">
                  <c:v>47</c:v>
                </c:pt>
                <c:pt idx="3">
                  <c:v>53</c:v>
                </c:pt>
                <c:pt idx="4">
                  <c:v>63</c:v>
                </c:pt>
                <c:pt idx="5">
                  <c:v>44</c:v>
                </c:pt>
                <c:pt idx="6">
                  <c:v>55</c:v>
                </c:pt>
                <c:pt idx="7">
                  <c:v>55</c:v>
                </c:pt>
                <c:pt idx="8">
                  <c:v>57</c:v>
                </c:pt>
                <c:pt idx="9">
                  <c:v>36</c:v>
                </c:pt>
                <c:pt idx="10">
                  <c:v>46</c:v>
                </c:pt>
                <c:pt idx="11">
                  <c:v>70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9DE-43FB-B018-4B429EDDE7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6638848"/>
        <c:axId val="116640384"/>
      </c:lineChart>
      <c:catAx>
        <c:axId val="11663884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6640384"/>
        <c:crosses val="autoZero"/>
        <c:auto val="1"/>
        <c:lblAlgn val="ctr"/>
        <c:lblOffset val="100"/>
        <c:noMultiLvlLbl val="0"/>
      </c:catAx>
      <c:valAx>
        <c:axId val="11664038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6638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85F-4049-90B5-622F08A1EAA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85F-4049-90B5-622F08A1EAA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85F-4049-90B5-622F08A1EAA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85F-4049-90B5-622F08A1EAA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A85F-4049-90B5-622F08A1EAA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A85F-4049-90B5-622F08A1EAA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A85F-4049-90B5-622F08A1EAA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A85F-4049-90B5-622F08A1EAA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A85F-4049-90B5-622F08A1EAA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A85F-4049-90B5-622F08A1EAA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A85F-4049-90B5-622F08A1EAA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A85F-4049-90B5-622F08A1EAA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A85F-4049-90B5-622F08A1EAA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'23.10 KANONI-SSEMBABULE'!$C$9:$N$9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'23.10 KANONI-SSEMBABULE'!$C$59:$N$59</c:f>
              <c:numCache>
                <c:formatCode>0.0%</c:formatCode>
                <c:ptCount val="12"/>
                <c:pt idx="0">
                  <c:v>8.5385878489326772E-2</c:v>
                </c:pt>
                <c:pt idx="1">
                  <c:v>1.4778325123152709E-2</c:v>
                </c:pt>
                <c:pt idx="2">
                  <c:v>3.7766830870279149E-2</c:v>
                </c:pt>
                <c:pt idx="3">
                  <c:v>2.1346469622331693E-2</c:v>
                </c:pt>
                <c:pt idx="4">
                  <c:v>1.6420361247947454E-3</c:v>
                </c:pt>
                <c:pt idx="5">
                  <c:v>3.2840722495894909E-3</c:v>
                </c:pt>
                <c:pt idx="6">
                  <c:v>3.7766830870279149E-2</c:v>
                </c:pt>
                <c:pt idx="7">
                  <c:v>2.6272577996715927E-2</c:v>
                </c:pt>
                <c:pt idx="8">
                  <c:v>3.6124794745484398E-2</c:v>
                </c:pt>
                <c:pt idx="9">
                  <c:v>1.6420361247947454E-3</c:v>
                </c:pt>
                <c:pt idx="10">
                  <c:v>0.73399014778325122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A85F-4049-90B5-622F08A1EA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'23.10 KANONI-SSEMBABULE'!$S$9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'23.10 KANONI-SSEMBABULE'!$R$10:$R$21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'23.10 KANONI-SSEMBABULE'!$S$10:$S$21</c:f>
              <c:numCache>
                <c:formatCode>0</c:formatCode>
                <c:ptCount val="12"/>
                <c:pt idx="0">
                  <c:v>4</c:v>
                </c:pt>
                <c:pt idx="1">
                  <c:v>5</c:v>
                </c:pt>
                <c:pt idx="2">
                  <c:v>2</c:v>
                </c:pt>
                <c:pt idx="3">
                  <c:v>0</c:v>
                </c:pt>
                <c:pt idx="4">
                  <c:v>10</c:v>
                </c:pt>
                <c:pt idx="5">
                  <c:v>3</c:v>
                </c:pt>
                <c:pt idx="6">
                  <c:v>5</c:v>
                </c:pt>
                <c:pt idx="7">
                  <c:v>4</c:v>
                </c:pt>
                <c:pt idx="8">
                  <c:v>5</c:v>
                </c:pt>
                <c:pt idx="9">
                  <c:v>1</c:v>
                </c:pt>
                <c:pt idx="10">
                  <c:v>4</c:v>
                </c:pt>
                <c:pt idx="11">
                  <c:v>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793-4957-A836-ECDA67D2C747}"/>
            </c:ext>
          </c:extLst>
        </c:ser>
        <c:ser>
          <c:idx val="1"/>
          <c:order val="1"/>
          <c:tx>
            <c:strRef>
              <c:f>'23.10 KANONI-SSEMBABULE'!$T$9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'23.10 KANONI-SSEMBABULE'!$R$10:$R$21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'23.10 KANONI-SSEMBABULE'!$T$10:$T$21</c:f>
              <c:numCache>
                <c:formatCode>0</c:formatCode>
                <c:ptCount val="12"/>
                <c:pt idx="0">
                  <c:v>0</c:v>
                </c:pt>
                <c:pt idx="1">
                  <c:v>3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793-4957-A836-ECDA67D2C747}"/>
            </c:ext>
          </c:extLst>
        </c:ser>
        <c:ser>
          <c:idx val="2"/>
          <c:order val="2"/>
          <c:tx>
            <c:strRef>
              <c:f>'23.10 KANONI-SSEMBABULE'!$U$9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'23.10 KANONI-SSEMBABULE'!$U$10:$U$21</c:f>
              <c:numCache>
                <c:formatCode>0</c:formatCode>
                <c:ptCount val="12"/>
                <c:pt idx="0">
                  <c:v>2</c:v>
                </c:pt>
                <c:pt idx="1">
                  <c:v>1</c:v>
                </c:pt>
                <c:pt idx="2">
                  <c:v>2</c:v>
                </c:pt>
                <c:pt idx="3">
                  <c:v>1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4</c:v>
                </c:pt>
                <c:pt idx="8">
                  <c:v>0</c:v>
                </c:pt>
                <c:pt idx="9">
                  <c:v>1</c:v>
                </c:pt>
                <c:pt idx="10">
                  <c:v>2</c:v>
                </c:pt>
                <c:pt idx="1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793-4957-A836-ECDA67D2C747}"/>
            </c:ext>
          </c:extLst>
        </c:ser>
        <c:ser>
          <c:idx val="3"/>
          <c:order val="3"/>
          <c:tx>
            <c:strRef>
              <c:f>'23.10 KANONI-SSEMBABULE'!$V$9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'23.10 KANONI-SSEMBABULE'!$V$10:$V$21</c:f>
              <c:numCache>
                <c:formatCode>0</c:formatCode>
                <c:ptCount val="12"/>
                <c:pt idx="0">
                  <c:v>0</c:v>
                </c:pt>
                <c:pt idx="1">
                  <c:v>5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2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3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793-4957-A836-ECDA67D2C747}"/>
            </c:ext>
          </c:extLst>
        </c:ser>
        <c:ser>
          <c:idx val="4"/>
          <c:order val="4"/>
          <c:tx>
            <c:strRef>
              <c:f>'23.10 KANONI-SSEMBABULE'!$W$9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'23.10 KANONI-SSEMBABULE'!$W$10:$W$21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793-4957-A836-ECDA67D2C747}"/>
            </c:ext>
          </c:extLst>
        </c:ser>
        <c:ser>
          <c:idx val="5"/>
          <c:order val="5"/>
          <c:tx>
            <c:strRef>
              <c:f>'23.10 KANONI-SSEMBABULE'!$X$9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'23.10 KANONI-SSEMBABULE'!$X$10:$X$21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793-4957-A836-ECDA67D2C747}"/>
            </c:ext>
          </c:extLst>
        </c:ser>
        <c:ser>
          <c:idx val="6"/>
          <c:order val="6"/>
          <c:tx>
            <c:strRef>
              <c:f>'23.10 KANONI-SSEMBABULE'!$Y$9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'23.10 KANONI-SSEMBABULE'!$Y$10:$Y$21</c:f>
              <c:numCache>
                <c:formatCode>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3</c:v>
                </c:pt>
                <c:pt idx="4">
                  <c:v>2</c:v>
                </c:pt>
                <c:pt idx="5">
                  <c:v>1</c:v>
                </c:pt>
                <c:pt idx="6">
                  <c:v>0</c:v>
                </c:pt>
                <c:pt idx="7">
                  <c:v>2</c:v>
                </c:pt>
                <c:pt idx="8">
                  <c:v>5</c:v>
                </c:pt>
                <c:pt idx="9">
                  <c:v>2</c:v>
                </c:pt>
                <c:pt idx="10">
                  <c:v>5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793-4957-A836-ECDA67D2C747}"/>
            </c:ext>
          </c:extLst>
        </c:ser>
        <c:ser>
          <c:idx val="7"/>
          <c:order val="7"/>
          <c:tx>
            <c:strRef>
              <c:f>'23.10 KANONI-SSEMBABULE'!$Z$9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'23.10 KANONI-SSEMBABULE'!$Z$10:$Z$21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0</c:v>
                </c:pt>
                <c:pt idx="7">
                  <c:v>2</c:v>
                </c:pt>
                <c:pt idx="8">
                  <c:v>3</c:v>
                </c:pt>
                <c:pt idx="9">
                  <c:v>3</c:v>
                </c:pt>
                <c:pt idx="10">
                  <c:v>0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793-4957-A836-ECDA67D2C747}"/>
            </c:ext>
          </c:extLst>
        </c:ser>
        <c:ser>
          <c:idx val="8"/>
          <c:order val="8"/>
          <c:tx>
            <c:strRef>
              <c:f>'23.10 KANONI-SSEMBABULE'!$AA$9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'23.10 KANONI-SSEMBABULE'!$AA$10:$AA$21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5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  <c:pt idx="6">
                  <c:v>0</c:v>
                </c:pt>
                <c:pt idx="7">
                  <c:v>5</c:v>
                </c:pt>
                <c:pt idx="8">
                  <c:v>3</c:v>
                </c:pt>
                <c:pt idx="9">
                  <c:v>0</c:v>
                </c:pt>
                <c:pt idx="10">
                  <c:v>0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793-4957-A836-ECDA67D2C747}"/>
            </c:ext>
          </c:extLst>
        </c:ser>
        <c:ser>
          <c:idx val="9"/>
          <c:order val="9"/>
          <c:tx>
            <c:strRef>
              <c:f>'23.10 KANONI-SSEMBABULE'!$AB$9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'23.10 KANONI-SSEMBABULE'!$AB$10:$AB$21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793-4957-A836-ECDA67D2C747}"/>
            </c:ext>
          </c:extLst>
        </c:ser>
        <c:ser>
          <c:idx val="10"/>
          <c:order val="10"/>
          <c:tx>
            <c:strRef>
              <c:f>'23.10 KANONI-SSEMBABULE'!$AC$9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'23.10 KANONI-SSEMBABULE'!$AC$10:$AC$21</c:f>
              <c:numCache>
                <c:formatCode>0</c:formatCode>
                <c:ptCount val="12"/>
                <c:pt idx="0">
                  <c:v>30</c:v>
                </c:pt>
                <c:pt idx="1">
                  <c:v>29</c:v>
                </c:pt>
                <c:pt idx="2">
                  <c:v>36</c:v>
                </c:pt>
                <c:pt idx="3">
                  <c:v>46</c:v>
                </c:pt>
                <c:pt idx="4">
                  <c:v>41</c:v>
                </c:pt>
                <c:pt idx="5">
                  <c:v>32</c:v>
                </c:pt>
                <c:pt idx="6">
                  <c:v>47</c:v>
                </c:pt>
                <c:pt idx="7">
                  <c:v>36</c:v>
                </c:pt>
                <c:pt idx="8">
                  <c:v>41</c:v>
                </c:pt>
                <c:pt idx="9">
                  <c:v>25</c:v>
                </c:pt>
                <c:pt idx="10">
                  <c:v>35</c:v>
                </c:pt>
                <c:pt idx="11">
                  <c:v>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793-4957-A836-ECDA67D2C747}"/>
            </c:ext>
          </c:extLst>
        </c:ser>
        <c:ser>
          <c:idx val="11"/>
          <c:order val="11"/>
          <c:tx>
            <c:strRef>
              <c:f>'23.10 KANONI-SSEMBABULE'!$AD$9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'23.10 KANONI-SSEMBABULE'!$AD$10:$AD$21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793-4957-A836-ECDA67D2C7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6866048"/>
        <c:axId val="116880128"/>
      </c:lineChart>
      <c:catAx>
        <c:axId val="116866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6880128"/>
        <c:crosses val="autoZero"/>
        <c:auto val="1"/>
        <c:lblAlgn val="ctr"/>
        <c:lblOffset val="100"/>
        <c:noMultiLvlLbl val="0"/>
      </c:catAx>
      <c:valAx>
        <c:axId val="116880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6866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CB0-4F20-A91A-77634015494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CB0-4F20-A91A-77634015494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CB0-4F20-A91A-77634015494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CB0-4F20-A91A-77634015494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ACB0-4F20-A91A-77634015494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ACB0-4F20-A91A-77634015494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ACB0-4F20-A91A-77634015494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ACB0-4F20-A91A-77634015494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ACB0-4F20-A91A-77634015494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ACB0-4F20-A91A-77634015494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ACB0-4F20-A91A-77634015494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ACB0-4F20-A91A-77634015494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ACB0-4F20-A91A-77634015494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'23.10 KANONI-SSEMBABULE'!$C$9:$N$9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'23.10 KANONI-SSEMBABULE'!$C$60:$N$60</c:f>
              <c:numCache>
                <c:formatCode>0.00%</c:formatCode>
                <c:ptCount val="12"/>
                <c:pt idx="0">
                  <c:v>0.32098765432098764</c:v>
                </c:pt>
                <c:pt idx="1">
                  <c:v>5.5555555555555552E-2</c:v>
                </c:pt>
                <c:pt idx="2">
                  <c:v>0.1419753086419753</c:v>
                </c:pt>
                <c:pt idx="3">
                  <c:v>8.0246913580246909E-2</c:v>
                </c:pt>
                <c:pt idx="4">
                  <c:v>6.1728395061728392E-3</c:v>
                </c:pt>
                <c:pt idx="5">
                  <c:v>1.2345679012345678E-2</c:v>
                </c:pt>
                <c:pt idx="6">
                  <c:v>0.1419753086419753</c:v>
                </c:pt>
                <c:pt idx="7">
                  <c:v>9.8765432098765427E-2</c:v>
                </c:pt>
                <c:pt idx="8">
                  <c:v>0.13580246913580246</c:v>
                </c:pt>
                <c:pt idx="9">
                  <c:v>6.1728395061728392E-3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ACB0-4F20-A91A-7763401549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Week Ssembabule-Kanoni'!$AE$9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Week Ssembabule-Kanoni'!$R$10:$R$33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Ssembabule-Kanoni'!$AE$10:$AE$33</c:f>
              <c:numCache>
                <c:formatCode>0</c:formatCode>
                <c:ptCount val="24"/>
                <c:pt idx="0">
                  <c:v>12.428571428571427</c:v>
                </c:pt>
                <c:pt idx="1">
                  <c:v>12.999999999999998</c:v>
                </c:pt>
                <c:pt idx="2">
                  <c:v>13.857142857142856</c:v>
                </c:pt>
                <c:pt idx="3">
                  <c:v>12.428571428571427</c:v>
                </c:pt>
                <c:pt idx="4">
                  <c:v>15.857142857142858</c:v>
                </c:pt>
                <c:pt idx="5">
                  <c:v>11.571428571428571</c:v>
                </c:pt>
                <c:pt idx="6">
                  <c:v>15.142857142857142</c:v>
                </c:pt>
                <c:pt idx="7">
                  <c:v>15.714285714285714</c:v>
                </c:pt>
                <c:pt idx="8">
                  <c:v>13.428571428571429</c:v>
                </c:pt>
                <c:pt idx="9">
                  <c:v>13.142857142857144</c:v>
                </c:pt>
                <c:pt idx="10">
                  <c:v>21.857142857142858</c:v>
                </c:pt>
                <c:pt idx="11">
                  <c:v>21.142857142857142</c:v>
                </c:pt>
                <c:pt idx="12">
                  <c:v>16.5</c:v>
                </c:pt>
                <c:pt idx="13">
                  <c:v>13</c:v>
                </c:pt>
                <c:pt idx="14">
                  <c:v>8</c:v>
                </c:pt>
                <c:pt idx="15">
                  <c:v>6.5</c:v>
                </c:pt>
                <c:pt idx="16">
                  <c:v>7</c:v>
                </c:pt>
                <c:pt idx="17">
                  <c:v>7</c:v>
                </c:pt>
                <c:pt idx="18">
                  <c:v>8.5</c:v>
                </c:pt>
                <c:pt idx="19">
                  <c:v>4</c:v>
                </c:pt>
                <c:pt idx="20">
                  <c:v>7.5</c:v>
                </c:pt>
                <c:pt idx="21">
                  <c:v>6.5</c:v>
                </c:pt>
                <c:pt idx="22">
                  <c:v>3.5</c:v>
                </c:pt>
                <c:pt idx="23">
                  <c:v>11.5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E85-422C-8502-C8D950B820C5}"/>
            </c:ext>
          </c:extLst>
        </c:ser>
        <c:ser>
          <c:idx val="1"/>
          <c:order val="1"/>
          <c:tx>
            <c:strRef>
              <c:f>'Avg Week Ssembabule-Kanoni'!$AF$9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'Avg Week Ssembabule-Kanoni'!$R$10:$R$33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Ssembabule-Kanoni'!$AF$10:$AF$33</c:f>
              <c:numCache>
                <c:formatCode>0</c:formatCode>
                <c:ptCount val="24"/>
                <c:pt idx="0">
                  <c:v>39.714285714285722</c:v>
                </c:pt>
                <c:pt idx="1">
                  <c:v>38</c:v>
                </c:pt>
                <c:pt idx="2">
                  <c:v>44</c:v>
                </c:pt>
                <c:pt idx="3">
                  <c:v>44.142857142857139</c:v>
                </c:pt>
                <c:pt idx="4">
                  <c:v>46.857142857142861</c:v>
                </c:pt>
                <c:pt idx="5">
                  <c:v>43.571428571428569</c:v>
                </c:pt>
                <c:pt idx="6">
                  <c:v>44.857142857142854</c:v>
                </c:pt>
                <c:pt idx="7">
                  <c:v>43.571428571428569</c:v>
                </c:pt>
                <c:pt idx="8">
                  <c:v>47.142857142857139</c:v>
                </c:pt>
                <c:pt idx="9">
                  <c:v>46.571428571428569</c:v>
                </c:pt>
                <c:pt idx="10">
                  <c:v>60.571428571428569</c:v>
                </c:pt>
                <c:pt idx="11">
                  <c:v>61.428571428571431</c:v>
                </c:pt>
                <c:pt idx="12">
                  <c:v>66.5</c:v>
                </c:pt>
                <c:pt idx="13">
                  <c:v>30</c:v>
                </c:pt>
                <c:pt idx="14">
                  <c:v>17</c:v>
                </c:pt>
                <c:pt idx="15">
                  <c:v>13.5</c:v>
                </c:pt>
                <c:pt idx="16">
                  <c:v>9.5</c:v>
                </c:pt>
                <c:pt idx="17">
                  <c:v>11</c:v>
                </c:pt>
                <c:pt idx="18">
                  <c:v>11.5</c:v>
                </c:pt>
                <c:pt idx="19">
                  <c:v>5</c:v>
                </c:pt>
                <c:pt idx="20">
                  <c:v>7.5</c:v>
                </c:pt>
                <c:pt idx="21">
                  <c:v>8</c:v>
                </c:pt>
                <c:pt idx="22">
                  <c:v>6</c:v>
                </c:pt>
                <c:pt idx="23">
                  <c:v>20.5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E85-422C-8502-C8D950B82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7094656"/>
        <c:axId val="117243904"/>
      </c:lineChart>
      <c:catAx>
        <c:axId val="11709465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7243904"/>
        <c:crosses val="autoZero"/>
        <c:auto val="1"/>
        <c:lblAlgn val="ctr"/>
        <c:lblOffset val="100"/>
        <c:noMultiLvlLbl val="0"/>
      </c:catAx>
      <c:valAx>
        <c:axId val="11724390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7094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5E7-413A-BC41-2C6194EF8EC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5E7-413A-BC41-2C6194EF8EC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15E7-413A-BC41-2C6194EF8EC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15E7-413A-BC41-2C6194EF8EC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15E7-413A-BC41-2C6194EF8EC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15E7-413A-BC41-2C6194EF8EC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15E7-413A-BC41-2C6194EF8EC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15E7-413A-BC41-2C6194EF8EC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15E7-413A-BC41-2C6194EF8EC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15E7-413A-BC41-2C6194EF8EC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15E7-413A-BC41-2C6194EF8EC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15E7-413A-BC41-2C6194EF8EC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15E7-413A-BC41-2C6194EF8EC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Ssembabule-Kanoni'!$C$9:$N$9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Ssembabule-Kanoni'!$C$107:$N$107</c:f>
              <c:numCache>
                <c:formatCode>0.0%</c:formatCode>
                <c:ptCount val="12"/>
                <c:pt idx="0">
                  <c:v>0.10782851817334578</c:v>
                </c:pt>
                <c:pt idx="1">
                  <c:v>3.9981360671015861E-2</c:v>
                </c:pt>
                <c:pt idx="2">
                  <c:v>2.7772600186393291E-2</c:v>
                </c:pt>
                <c:pt idx="3">
                  <c:v>4.0633737185461337E-2</c:v>
                </c:pt>
                <c:pt idx="4">
                  <c:v>7.9217148182665429E-3</c:v>
                </c:pt>
                <c:pt idx="5">
                  <c:v>1.5843429636533087E-3</c:v>
                </c:pt>
                <c:pt idx="6">
                  <c:v>5.8807082945013994E-2</c:v>
                </c:pt>
                <c:pt idx="7">
                  <c:v>3.1314072693383044E-2</c:v>
                </c:pt>
                <c:pt idx="8">
                  <c:v>3.8024231127679421E-2</c:v>
                </c:pt>
                <c:pt idx="9">
                  <c:v>9.6924510717614192E-3</c:v>
                </c:pt>
                <c:pt idx="10">
                  <c:v>0.6358807082945015</c:v>
                </c:pt>
                <c:pt idx="11">
                  <c:v>5.5917986952469729E-4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15E7-413A-BC41-2C6194EF8E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80A-4F64-9F70-B5B6C796803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80A-4F64-9F70-B5B6C796803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80A-4F64-9F70-B5B6C796803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80A-4F64-9F70-B5B6C796803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80A-4F64-9F70-B5B6C796803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80A-4F64-9F70-B5B6C796803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80A-4F64-9F70-B5B6C796803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80A-4F64-9F70-B5B6C796803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80A-4F64-9F70-B5B6C796803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80A-4F64-9F70-B5B6C796803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80A-4F64-9F70-B5B6C796803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80A-4F64-9F70-B5B6C796803E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80A-4F64-9F70-B5B6C796803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Ssembabule-Kanoni'!$C$9:$N$9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Ssembabule-Kanoni'!$C$108:$N$108</c:f>
              <c:numCache>
                <c:formatCode>0.00%</c:formatCode>
                <c:ptCount val="12"/>
                <c:pt idx="0">
                  <c:v>0.2961351420527259</c:v>
                </c:pt>
                <c:pt idx="1">
                  <c:v>0.10980291783977478</c:v>
                </c:pt>
                <c:pt idx="2">
                  <c:v>7.6273355515740965E-2</c:v>
                </c:pt>
                <c:pt idx="3">
                  <c:v>0.11159457384182239</c:v>
                </c:pt>
                <c:pt idx="4">
                  <c:v>2.1755822882006653E-2</c:v>
                </c:pt>
                <c:pt idx="5">
                  <c:v>4.3511645764013306E-3</c:v>
                </c:pt>
                <c:pt idx="6">
                  <c:v>0.16150499104172</c:v>
                </c:pt>
                <c:pt idx="7">
                  <c:v>8.5999488098285129E-2</c:v>
                </c:pt>
                <c:pt idx="8">
                  <c:v>0.10442794983363196</c:v>
                </c:pt>
                <c:pt idx="9">
                  <c:v>2.6618889173278731E-2</c:v>
                </c:pt>
                <c:pt idx="11">
                  <c:v>1.5357051446122344E-3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80A-4F64-9F70-B5B6C79680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Week Kanoni-Ssembabule'!$AE$9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Week Kanoni-Ssembabule'!$R$10:$R$33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Kanoni-Ssembabule'!$AE$10:$AE$33</c:f>
              <c:numCache>
                <c:formatCode>0</c:formatCode>
                <c:ptCount val="24"/>
                <c:pt idx="0">
                  <c:v>12.428571428571427</c:v>
                </c:pt>
                <c:pt idx="1">
                  <c:v>11.571428571428571</c:v>
                </c:pt>
                <c:pt idx="2">
                  <c:v>12.571428571428571</c:v>
                </c:pt>
                <c:pt idx="3">
                  <c:v>12.571428571428571</c:v>
                </c:pt>
                <c:pt idx="4">
                  <c:v>16.142857142857139</c:v>
                </c:pt>
                <c:pt idx="5">
                  <c:v>18.285714285714285</c:v>
                </c:pt>
                <c:pt idx="6">
                  <c:v>14.571428571428569</c:v>
                </c:pt>
                <c:pt idx="7">
                  <c:v>16.142857142857142</c:v>
                </c:pt>
                <c:pt idx="8">
                  <c:v>12.999999999999998</c:v>
                </c:pt>
                <c:pt idx="9">
                  <c:v>12.999999999999998</c:v>
                </c:pt>
                <c:pt idx="10">
                  <c:v>13.571428571428573</c:v>
                </c:pt>
                <c:pt idx="11">
                  <c:v>16.714285714285712</c:v>
                </c:pt>
                <c:pt idx="12">
                  <c:v>21.5</c:v>
                </c:pt>
                <c:pt idx="13">
                  <c:v>18.5</c:v>
                </c:pt>
                <c:pt idx="14">
                  <c:v>11.5</c:v>
                </c:pt>
                <c:pt idx="15">
                  <c:v>5</c:v>
                </c:pt>
                <c:pt idx="16">
                  <c:v>7</c:v>
                </c:pt>
                <c:pt idx="17">
                  <c:v>10.5</c:v>
                </c:pt>
                <c:pt idx="18">
                  <c:v>6</c:v>
                </c:pt>
                <c:pt idx="19">
                  <c:v>7</c:v>
                </c:pt>
                <c:pt idx="20">
                  <c:v>6.5</c:v>
                </c:pt>
                <c:pt idx="21">
                  <c:v>8.5</c:v>
                </c:pt>
                <c:pt idx="22">
                  <c:v>4.5</c:v>
                </c:pt>
                <c:pt idx="23">
                  <c:v>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6F8-46F1-A26B-8380F37E487A}"/>
            </c:ext>
          </c:extLst>
        </c:ser>
        <c:ser>
          <c:idx val="1"/>
          <c:order val="1"/>
          <c:tx>
            <c:strRef>
              <c:f>'Avg Week Kanoni-Ssembabule'!$AF$9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'Avg Week Kanoni-Ssembabule'!$R$10:$R$33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Kanoni-Ssembabule'!$AF$10:$AF$33</c:f>
              <c:numCache>
                <c:formatCode>0</c:formatCode>
                <c:ptCount val="24"/>
                <c:pt idx="0">
                  <c:v>36.571428571428569</c:v>
                </c:pt>
                <c:pt idx="1">
                  <c:v>38.285714285714292</c:v>
                </c:pt>
                <c:pt idx="2">
                  <c:v>43.857142857142854</c:v>
                </c:pt>
                <c:pt idx="3">
                  <c:v>47.285714285714285</c:v>
                </c:pt>
                <c:pt idx="4">
                  <c:v>54.428571428571431</c:v>
                </c:pt>
                <c:pt idx="5">
                  <c:v>55.285714285714278</c:v>
                </c:pt>
                <c:pt idx="6">
                  <c:v>52.571428571428569</c:v>
                </c:pt>
                <c:pt idx="7">
                  <c:v>48.714285714285715</c:v>
                </c:pt>
                <c:pt idx="8">
                  <c:v>50.285714285714285</c:v>
                </c:pt>
                <c:pt idx="9">
                  <c:v>45.428571428571431</c:v>
                </c:pt>
                <c:pt idx="10">
                  <c:v>51.714285714285722</c:v>
                </c:pt>
                <c:pt idx="11">
                  <c:v>58.857142857142854</c:v>
                </c:pt>
                <c:pt idx="12">
                  <c:v>57</c:v>
                </c:pt>
                <c:pt idx="13">
                  <c:v>39.5</c:v>
                </c:pt>
                <c:pt idx="14">
                  <c:v>20.5</c:v>
                </c:pt>
                <c:pt idx="15">
                  <c:v>11.5</c:v>
                </c:pt>
                <c:pt idx="16">
                  <c:v>9</c:v>
                </c:pt>
                <c:pt idx="17">
                  <c:v>14.5</c:v>
                </c:pt>
                <c:pt idx="18">
                  <c:v>9.5</c:v>
                </c:pt>
                <c:pt idx="19">
                  <c:v>8.5</c:v>
                </c:pt>
                <c:pt idx="20">
                  <c:v>6.5</c:v>
                </c:pt>
                <c:pt idx="21">
                  <c:v>9</c:v>
                </c:pt>
                <c:pt idx="22">
                  <c:v>5</c:v>
                </c:pt>
                <c:pt idx="23">
                  <c:v>17.5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6F8-46F1-A26B-8380F37E48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7988736"/>
        <c:axId val="117998720"/>
      </c:lineChart>
      <c:catAx>
        <c:axId val="11798873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7998720"/>
        <c:crosses val="autoZero"/>
        <c:auto val="1"/>
        <c:lblAlgn val="ctr"/>
        <c:lblOffset val="100"/>
        <c:noMultiLvlLbl val="0"/>
      </c:catAx>
      <c:valAx>
        <c:axId val="11799872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7988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3B84-4A7D-9CBD-0C2ADBE1B04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3B84-4A7D-9CBD-0C2ADBE1B04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3B84-4A7D-9CBD-0C2ADBE1B04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3B84-4A7D-9CBD-0C2ADBE1B04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3B84-4A7D-9CBD-0C2ADBE1B04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3B84-4A7D-9CBD-0C2ADBE1B04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3B84-4A7D-9CBD-0C2ADBE1B04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3B84-4A7D-9CBD-0C2ADBE1B04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3B84-4A7D-9CBD-0C2ADBE1B04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3B84-4A7D-9CBD-0C2ADBE1B04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3B84-4A7D-9CBD-0C2ADBE1B04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3B84-4A7D-9CBD-0C2ADBE1B04D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3B84-4A7D-9CBD-0C2ADBE1B04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Kanoni-Ssembabule'!$C$9:$N$9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Kanoni-Ssembabule'!$C$107:$N$107</c:f>
              <c:numCache>
                <c:formatCode>0.0%</c:formatCode>
                <c:ptCount val="12"/>
                <c:pt idx="0">
                  <c:v>9.2706264668712762E-2</c:v>
                </c:pt>
                <c:pt idx="1">
                  <c:v>4.9467412890413419E-2</c:v>
                </c:pt>
                <c:pt idx="2">
                  <c:v>2.4823975446831553E-2</c:v>
                </c:pt>
                <c:pt idx="3">
                  <c:v>3.9898898718180156E-2</c:v>
                </c:pt>
                <c:pt idx="4">
                  <c:v>8.2144791478606233E-3</c:v>
                </c:pt>
                <c:pt idx="5">
                  <c:v>4.062105073117891E-3</c:v>
                </c:pt>
                <c:pt idx="6">
                  <c:v>5.3078172955407121E-2</c:v>
                </c:pt>
                <c:pt idx="7">
                  <c:v>3.7912980682433643E-2</c:v>
                </c:pt>
                <c:pt idx="8">
                  <c:v>4.0259974724679549E-2</c:v>
                </c:pt>
                <c:pt idx="9">
                  <c:v>1.0922549196605883E-2</c:v>
                </c:pt>
                <c:pt idx="10">
                  <c:v>0.63847264849250751</c:v>
                </c:pt>
                <c:pt idx="11">
                  <c:v>1.8053800324968402E-4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3B84-4A7D-9CBD-0C2ADBE1B0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8B8A-48E6-9C2F-F83D2727468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8B8A-48E6-9C2F-F83D2727468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8B8A-48E6-9C2F-F83D2727468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8B8A-48E6-9C2F-F83D2727468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8B8A-48E6-9C2F-F83D2727468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8B8A-48E6-9C2F-F83D2727468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8B8A-48E6-9C2F-F83D2727468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8B8A-48E6-9C2F-F83D2727468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8B8A-48E6-9C2F-F83D2727468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8B8A-48E6-9C2F-F83D2727468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8B8A-48E6-9C2F-F83D2727468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8B8A-48E6-9C2F-F83D2727468E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8B8A-48E6-9C2F-F83D2727468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Kanoni-Ssembabule'!$C$9:$N$9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Kanoni-Ssembabule'!$C$108:$N$108</c:f>
              <c:numCache>
                <c:formatCode>0.00%</c:formatCode>
                <c:ptCount val="12"/>
                <c:pt idx="0">
                  <c:v>0.25642946317103626</c:v>
                </c:pt>
                <c:pt idx="1">
                  <c:v>0.13682896379525591</c:v>
                </c:pt>
                <c:pt idx="2">
                  <c:v>6.8664169787765295E-2</c:v>
                </c:pt>
                <c:pt idx="3">
                  <c:v>0.11036204744069911</c:v>
                </c:pt>
                <c:pt idx="4">
                  <c:v>2.272159800249688E-2</c:v>
                </c:pt>
                <c:pt idx="5">
                  <c:v>1.1235955056179777E-2</c:v>
                </c:pt>
                <c:pt idx="6">
                  <c:v>0.14681647940074913</c:v>
                </c:pt>
                <c:pt idx="7">
                  <c:v>0.10486891385767791</c:v>
                </c:pt>
                <c:pt idx="8">
                  <c:v>0.11136079900124847</c:v>
                </c:pt>
                <c:pt idx="9">
                  <c:v>3.0212234706616728E-2</c:v>
                </c:pt>
                <c:pt idx="11">
                  <c:v>4.9937578027465666E-4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8B8A-48E6-9C2F-F83D272746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9B1-462A-9165-7345BB81096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9B1-462A-9165-7345BB81096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9B1-462A-9165-7345BB81096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9B1-462A-9165-7345BB81096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9B1-462A-9165-7345BB81096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9B1-462A-9165-7345BB81096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9B1-462A-9165-7345BB81096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9B1-462A-9165-7345BB81096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9B1-462A-9165-7345BB81096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9B1-462A-9165-7345BB81096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9B1-462A-9165-7345BB81096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9B1-462A-9165-7345BB81096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9B1-462A-9165-7345BB81096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Ssembabule-Kanoni-2Dir'!$C$9:$N$9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Ssembabule-Kanoni-2Dir'!$C$107:$N$107</c:f>
              <c:numCache>
                <c:formatCode>0.0%</c:formatCode>
                <c:ptCount val="12"/>
                <c:pt idx="0">
                  <c:v>0.10014673514306678</c:v>
                </c:pt>
                <c:pt idx="1">
                  <c:v>4.4800073367571518E-2</c:v>
                </c:pt>
                <c:pt idx="2">
                  <c:v>2.6274761555392514E-2</c:v>
                </c:pt>
                <c:pt idx="3">
                  <c:v>4.0260454878943502E-2</c:v>
                </c:pt>
                <c:pt idx="4">
                  <c:v>8.0704328686720447E-3</c:v>
                </c:pt>
                <c:pt idx="5">
                  <c:v>2.8429933969185616E-3</c:v>
                </c:pt>
                <c:pt idx="6">
                  <c:v>5.5896918561995586E-2</c:v>
                </c:pt>
                <c:pt idx="7">
                  <c:v>3.46661775495231E-2</c:v>
                </c:pt>
                <c:pt idx="8">
                  <c:v>3.9159941305942768E-2</c:v>
                </c:pt>
                <c:pt idx="9">
                  <c:v>1.0317314746881875E-2</c:v>
                </c:pt>
                <c:pt idx="10">
                  <c:v>0.63719735876742478</c:v>
                </c:pt>
                <c:pt idx="11">
                  <c:v>3.6683785766691114E-4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9B1-462A-9165-7345BB8109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EAD-440A-938B-73199DDCAD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EAD-440A-938B-73199DDCAD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EAD-440A-938B-73199DDCAD0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EAD-440A-938B-73199DDCAD0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0EAD-440A-938B-73199DDCAD0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0EAD-440A-938B-73199DDCAD0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0EAD-440A-938B-73199DDCAD0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0EAD-440A-938B-73199DDCAD0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0EAD-440A-938B-73199DDCAD0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0EAD-440A-938B-73199DDCAD0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0EAD-440A-938B-73199DDCAD0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0EAD-440A-938B-73199DDCAD0D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0EAD-440A-938B-73199DDCAD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Ssembabule-Kanoni-2Dir'!$C$9:$N$9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Ssembabule-Kanoni-2Dir'!$C$108:$N$108</c:f>
              <c:numCache>
                <c:formatCode>0.00%</c:formatCode>
                <c:ptCount val="12"/>
                <c:pt idx="0">
                  <c:v>0.27603640040444904</c:v>
                </c:pt>
                <c:pt idx="1">
                  <c:v>0.12348331648129422</c:v>
                </c:pt>
                <c:pt idx="2">
                  <c:v>7.2421638018200216E-2</c:v>
                </c:pt>
                <c:pt idx="3">
                  <c:v>0.11097067745197171</c:v>
                </c:pt>
                <c:pt idx="4">
                  <c:v>2.2244691607684528E-2</c:v>
                </c:pt>
                <c:pt idx="5">
                  <c:v>7.8361981799797784E-3</c:v>
                </c:pt>
                <c:pt idx="6">
                  <c:v>0.15406976744186046</c:v>
                </c:pt>
                <c:pt idx="7">
                  <c:v>9.5551061678463084E-2</c:v>
                </c:pt>
                <c:pt idx="8">
                  <c:v>0.10793731041456017</c:v>
                </c:pt>
                <c:pt idx="9">
                  <c:v>2.8437815975733062E-2</c:v>
                </c:pt>
                <c:pt idx="11">
                  <c:v>1.0111223458038423E-3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0EAD-440A-938B-73199DDCAD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Week Ssembabule-Kanoni-2Dir'!$AE$9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Week Ssembabule-Kanoni-2Dir'!$R$10:$R$33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Ssembabule-Kanoni-2Dir'!$AE$10:$AE$33</c:f>
              <c:numCache>
                <c:formatCode>0</c:formatCode>
                <c:ptCount val="24"/>
                <c:pt idx="0">
                  <c:v>24.857142857142858</c:v>
                </c:pt>
                <c:pt idx="1">
                  <c:v>24.571428571428573</c:v>
                </c:pt>
                <c:pt idx="2">
                  <c:v>26.428571428571423</c:v>
                </c:pt>
                <c:pt idx="3">
                  <c:v>25</c:v>
                </c:pt>
                <c:pt idx="4">
                  <c:v>31.999999999999996</c:v>
                </c:pt>
                <c:pt idx="5">
                  <c:v>29.857142857142861</c:v>
                </c:pt>
                <c:pt idx="6">
                  <c:v>29.714285714285715</c:v>
                </c:pt>
                <c:pt idx="7">
                  <c:v>31.857142857142854</c:v>
                </c:pt>
                <c:pt idx="8">
                  <c:v>26.428571428571431</c:v>
                </c:pt>
                <c:pt idx="9">
                  <c:v>26.142857142857142</c:v>
                </c:pt>
                <c:pt idx="10">
                  <c:v>35.428571428571431</c:v>
                </c:pt>
                <c:pt idx="11">
                  <c:v>37.857142857142854</c:v>
                </c:pt>
                <c:pt idx="12">
                  <c:v>38</c:v>
                </c:pt>
                <c:pt idx="13">
                  <c:v>31.5</c:v>
                </c:pt>
                <c:pt idx="14">
                  <c:v>19.5</c:v>
                </c:pt>
                <c:pt idx="15">
                  <c:v>11.5</c:v>
                </c:pt>
                <c:pt idx="16">
                  <c:v>14</c:v>
                </c:pt>
                <c:pt idx="17">
                  <c:v>17.5</c:v>
                </c:pt>
                <c:pt idx="18">
                  <c:v>14.5</c:v>
                </c:pt>
                <c:pt idx="19">
                  <c:v>11</c:v>
                </c:pt>
                <c:pt idx="20">
                  <c:v>14</c:v>
                </c:pt>
                <c:pt idx="21">
                  <c:v>15</c:v>
                </c:pt>
                <c:pt idx="22">
                  <c:v>8</c:v>
                </c:pt>
                <c:pt idx="23">
                  <c:v>20.5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728-48D3-8A43-94B736B29075}"/>
            </c:ext>
          </c:extLst>
        </c:ser>
        <c:ser>
          <c:idx val="1"/>
          <c:order val="1"/>
          <c:tx>
            <c:strRef>
              <c:f>'Avg Week Ssembabule-Kanoni-2Dir'!$AF$9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'Avg Week Ssembabule-Kanoni-2Dir'!$R$10:$R$33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Ssembabule-Kanoni-2Dir'!$AF$10:$AF$33</c:f>
              <c:numCache>
                <c:formatCode>0</c:formatCode>
                <c:ptCount val="24"/>
                <c:pt idx="0">
                  <c:v>76.285714285714292</c:v>
                </c:pt>
                <c:pt idx="1">
                  <c:v>76.285714285714278</c:v>
                </c:pt>
                <c:pt idx="2">
                  <c:v>87.857142857142847</c:v>
                </c:pt>
                <c:pt idx="3">
                  <c:v>91.428571428571445</c:v>
                </c:pt>
                <c:pt idx="4">
                  <c:v>101.28571428571428</c:v>
                </c:pt>
                <c:pt idx="5">
                  <c:v>98.857142857142861</c:v>
                </c:pt>
                <c:pt idx="6">
                  <c:v>97.428571428571445</c:v>
                </c:pt>
                <c:pt idx="7">
                  <c:v>92.285714285714292</c:v>
                </c:pt>
                <c:pt idx="8">
                  <c:v>97.428571428571431</c:v>
                </c:pt>
                <c:pt idx="9">
                  <c:v>92</c:v>
                </c:pt>
                <c:pt idx="10">
                  <c:v>112.28571428571428</c:v>
                </c:pt>
                <c:pt idx="11">
                  <c:v>120.28571428571428</c:v>
                </c:pt>
                <c:pt idx="12">
                  <c:v>123.5</c:v>
                </c:pt>
                <c:pt idx="13">
                  <c:v>69.5</c:v>
                </c:pt>
                <c:pt idx="14">
                  <c:v>37.5</c:v>
                </c:pt>
                <c:pt idx="15">
                  <c:v>25</c:v>
                </c:pt>
                <c:pt idx="16">
                  <c:v>18.5</c:v>
                </c:pt>
                <c:pt idx="17">
                  <c:v>25.5</c:v>
                </c:pt>
                <c:pt idx="18">
                  <c:v>21</c:v>
                </c:pt>
                <c:pt idx="19">
                  <c:v>13.5</c:v>
                </c:pt>
                <c:pt idx="20">
                  <c:v>14</c:v>
                </c:pt>
                <c:pt idx="21">
                  <c:v>17</c:v>
                </c:pt>
                <c:pt idx="22">
                  <c:v>11</c:v>
                </c:pt>
                <c:pt idx="23">
                  <c:v>38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728-48D3-8A43-94B736B29075}"/>
            </c:ext>
          </c:extLst>
        </c:ser>
        <c:ser>
          <c:idx val="5"/>
          <c:order val="2"/>
          <c:tx>
            <c:strRef>
              <c:f>'Avg Week Ssembabule-Kanoni-2Dir'!$AC$9</c:f>
              <c:strCache>
                <c:ptCount val="1"/>
                <c:pt idx="0">
                  <c:v>11. Motorcycles</c:v>
                </c:pt>
              </c:strCache>
            </c:strRef>
          </c:tx>
          <c:cat>
            <c:strRef>
              <c:f>'Avg Week Ssembabule-Kanoni-2Dir'!$R$10:$R$33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Ssembabule-Kanoni-2Dir'!$AC$10:$AC$33</c:f>
              <c:numCache>
                <c:formatCode>0</c:formatCode>
                <c:ptCount val="24"/>
                <c:pt idx="0">
                  <c:v>51.428571428571431</c:v>
                </c:pt>
                <c:pt idx="1">
                  <c:v>51.714285714285708</c:v>
                </c:pt>
                <c:pt idx="2">
                  <c:v>61.428571428571431</c:v>
                </c:pt>
                <c:pt idx="3">
                  <c:v>66.428571428571445</c:v>
                </c:pt>
                <c:pt idx="4">
                  <c:v>69.285714285714278</c:v>
                </c:pt>
                <c:pt idx="5">
                  <c:v>69</c:v>
                </c:pt>
                <c:pt idx="6">
                  <c:v>67.714285714285722</c:v>
                </c:pt>
                <c:pt idx="7">
                  <c:v>60.428571428571431</c:v>
                </c:pt>
                <c:pt idx="8">
                  <c:v>71</c:v>
                </c:pt>
                <c:pt idx="9">
                  <c:v>65.857142857142861</c:v>
                </c:pt>
                <c:pt idx="10">
                  <c:v>76.857142857142861</c:v>
                </c:pt>
                <c:pt idx="11">
                  <c:v>82.428571428571416</c:v>
                </c:pt>
                <c:pt idx="12">
                  <c:v>85.5</c:v>
                </c:pt>
                <c:pt idx="13">
                  <c:v>38</c:v>
                </c:pt>
                <c:pt idx="14">
                  <c:v>18</c:v>
                </c:pt>
                <c:pt idx="15">
                  <c:v>13.5</c:v>
                </c:pt>
                <c:pt idx="16">
                  <c:v>4.5</c:v>
                </c:pt>
                <c:pt idx="17">
                  <c:v>8</c:v>
                </c:pt>
                <c:pt idx="18">
                  <c:v>6.5</c:v>
                </c:pt>
                <c:pt idx="19">
                  <c:v>2.5</c:v>
                </c:pt>
                <c:pt idx="20">
                  <c:v>0</c:v>
                </c:pt>
                <c:pt idx="21">
                  <c:v>2</c:v>
                </c:pt>
                <c:pt idx="22">
                  <c:v>3</c:v>
                </c:pt>
                <c:pt idx="23">
                  <c:v>17.5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728-48D3-8A43-94B736B290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1253088"/>
        <c:axId val="811254720"/>
      </c:lineChart>
      <c:catAx>
        <c:axId val="81125308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11254720"/>
        <c:crosses val="autoZero"/>
        <c:auto val="1"/>
        <c:lblAlgn val="ctr"/>
        <c:lblOffset val="100"/>
        <c:noMultiLvlLbl val="0"/>
      </c:catAx>
      <c:valAx>
        <c:axId val="81125472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11253088"/>
        <c:crosses val="autoZero"/>
        <c:crossBetween val="between"/>
        <c:majorUnit val="2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Average Daily Traffic (ADT)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'Avg Week Ssembabule-Kanoni-2Dir'!$S$9:$AF$9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'Avg Week Ssembabule-Kanoni-2Dir'!$S$41:$AF$41</c:f>
              <c:numCache>
                <c:formatCode>_(* #,##0_);_(* \(#,##0\);_(* "-"_);_(@_)</c:formatCode>
                <c:ptCount val="14"/>
                <c:pt idx="0">
                  <c:v>156</c:v>
                </c:pt>
                <c:pt idx="1">
                  <c:v>69.785714285714278</c:v>
                </c:pt>
                <c:pt idx="2">
                  <c:v>40.928571428571423</c:v>
                </c:pt>
                <c:pt idx="3">
                  <c:v>62.714285714285715</c:v>
                </c:pt>
                <c:pt idx="4">
                  <c:v>12.571428571428571</c:v>
                </c:pt>
                <c:pt idx="5">
                  <c:v>4.4285714285714288</c:v>
                </c:pt>
                <c:pt idx="6">
                  <c:v>87.071428571428569</c:v>
                </c:pt>
                <c:pt idx="7">
                  <c:v>54</c:v>
                </c:pt>
                <c:pt idx="8">
                  <c:v>60.999999999999993</c:v>
                </c:pt>
                <c:pt idx="9">
                  <c:v>16.071428571428569</c:v>
                </c:pt>
                <c:pt idx="10">
                  <c:v>992.57142857142867</c:v>
                </c:pt>
                <c:pt idx="11">
                  <c:v>0.5714285714285714</c:v>
                </c:pt>
                <c:pt idx="12">
                  <c:v>565.14285714285711</c:v>
                </c:pt>
                <c:pt idx="13">
                  <c:v>1557.7142857142858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2D-4ABA-AFFB-932659520C9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613522704"/>
        <c:axId val="613520736"/>
      </c:barChart>
      <c:catAx>
        <c:axId val="61352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520736"/>
        <c:crosses val="autoZero"/>
        <c:auto val="1"/>
        <c:lblAlgn val="ctr"/>
        <c:lblOffset val="100"/>
        <c:noMultiLvlLbl val="0"/>
      </c:catAx>
      <c:valAx>
        <c:axId val="613520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522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Night Equivalent Factors (NEF)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'Avg Week Ssembabule-Kanoni-2Dir'!$S$9:$AF$9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'Avg Week Ssembabule-Kanoni-2Dir'!$S$42:$AF$42</c:f>
              <c:numCache>
                <c:formatCode>0.000</c:formatCode>
                <c:ptCount val="14"/>
                <c:pt idx="0">
                  <c:v>1.4857142857142855</c:v>
                </c:pt>
                <c:pt idx="1">
                  <c:v>1.6503378378378377</c:v>
                </c:pt>
                <c:pt idx="2">
                  <c:v>1.3450704225352113</c:v>
                </c:pt>
                <c:pt idx="3">
                  <c:v>1.6199261992619927</c:v>
                </c:pt>
                <c:pt idx="4">
                  <c:v>2.2564102564102564</c:v>
                </c:pt>
                <c:pt idx="5">
                  <c:v>3.1000000000000005</c:v>
                </c:pt>
                <c:pt idx="6">
                  <c:v>1.5391414141414141</c:v>
                </c:pt>
                <c:pt idx="7">
                  <c:v>2.0769230769230771</c:v>
                </c:pt>
                <c:pt idx="8">
                  <c:v>1.5641025641025641</c:v>
                </c:pt>
                <c:pt idx="9">
                  <c:v>3.5156250000000004</c:v>
                </c:pt>
                <c:pt idx="10">
                  <c:v>1.2507650765076508</c:v>
                </c:pt>
                <c:pt idx="11">
                  <c:v>1</c:v>
                </c:pt>
                <c:pt idx="12">
                  <c:v>1.6140350877192979</c:v>
                </c:pt>
                <c:pt idx="13">
                  <c:v>1.3619785161129152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85-4E34-8E8C-BCD5EC51692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613522704"/>
        <c:axId val="613520736"/>
      </c:barChart>
      <c:catAx>
        <c:axId val="61352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520736"/>
        <c:crosses val="autoZero"/>
        <c:auto val="1"/>
        <c:lblAlgn val="ctr"/>
        <c:lblOffset val="100"/>
        <c:noMultiLvlLbl val="0"/>
      </c:catAx>
      <c:valAx>
        <c:axId val="613520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522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" Type="http://schemas.openxmlformats.org/officeDocument/2006/relationships/chart" Target="../charts/chart1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3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7.xml"/><Relationship Id="rId1" Type="http://schemas.openxmlformats.org/officeDocument/2006/relationships/chart" Target="../charts/chart4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6.xml"/><Relationship Id="rId10" Type="http://schemas.openxmlformats.org/officeDocument/2006/relationships/image" Target="../media/image13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6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png"/><Relationship Id="rId2" Type="http://schemas.openxmlformats.org/officeDocument/2006/relationships/image" Target="../media/image1.emf"/><Relationship Id="rId1" Type="http://schemas.openxmlformats.org/officeDocument/2006/relationships/chart" Target="../charts/chart8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10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8.jpeg"/><Relationship Id="rId2" Type="http://schemas.openxmlformats.org/officeDocument/2006/relationships/image" Target="../media/image1.emf"/><Relationship Id="rId1" Type="http://schemas.openxmlformats.org/officeDocument/2006/relationships/chart" Target="../charts/chart11.xml"/><Relationship Id="rId6" Type="http://schemas.openxmlformats.org/officeDocument/2006/relationships/image" Target="../media/image5.emf"/><Relationship Id="rId11" Type="http://schemas.openxmlformats.org/officeDocument/2006/relationships/image" Target="../media/image17.jpeg"/><Relationship Id="rId5" Type="http://schemas.openxmlformats.org/officeDocument/2006/relationships/image" Target="../media/image4.emf"/><Relationship Id="rId15" Type="http://schemas.openxmlformats.org/officeDocument/2006/relationships/chart" Target="../charts/chart13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8.jpeg"/><Relationship Id="rId2" Type="http://schemas.openxmlformats.org/officeDocument/2006/relationships/image" Target="../media/image1.emf"/><Relationship Id="rId1" Type="http://schemas.openxmlformats.org/officeDocument/2006/relationships/chart" Target="../charts/chart14.xml"/><Relationship Id="rId6" Type="http://schemas.openxmlformats.org/officeDocument/2006/relationships/image" Target="../media/image5.emf"/><Relationship Id="rId11" Type="http://schemas.openxmlformats.org/officeDocument/2006/relationships/image" Target="../media/image17.jpeg"/><Relationship Id="rId5" Type="http://schemas.openxmlformats.org/officeDocument/2006/relationships/image" Target="../media/image4.emf"/><Relationship Id="rId15" Type="http://schemas.openxmlformats.org/officeDocument/2006/relationships/chart" Target="../charts/chart16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15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8.jpeg"/><Relationship Id="rId2" Type="http://schemas.openxmlformats.org/officeDocument/2006/relationships/image" Target="../media/image1.emf"/><Relationship Id="rId1" Type="http://schemas.openxmlformats.org/officeDocument/2006/relationships/chart" Target="../charts/chart17.xml"/><Relationship Id="rId6" Type="http://schemas.openxmlformats.org/officeDocument/2006/relationships/image" Target="../media/image5.emf"/><Relationship Id="rId11" Type="http://schemas.openxmlformats.org/officeDocument/2006/relationships/image" Target="../media/image19.jpeg"/><Relationship Id="rId5" Type="http://schemas.openxmlformats.org/officeDocument/2006/relationships/image" Target="../media/image4.emf"/><Relationship Id="rId15" Type="http://schemas.openxmlformats.org/officeDocument/2006/relationships/chart" Target="../charts/chart19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18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23.xml"/><Relationship Id="rId1" Type="http://schemas.openxmlformats.org/officeDocument/2006/relationships/chart" Target="../charts/chart20.xml"/><Relationship Id="rId6" Type="http://schemas.openxmlformats.org/officeDocument/2006/relationships/image" Target="../media/image5.emf"/><Relationship Id="rId11" Type="http://schemas.openxmlformats.org/officeDocument/2006/relationships/image" Target="../media/image19.jpeg"/><Relationship Id="rId5" Type="http://schemas.openxmlformats.org/officeDocument/2006/relationships/image" Target="../media/image4.emf"/><Relationship Id="rId15" Type="http://schemas.openxmlformats.org/officeDocument/2006/relationships/chart" Target="../charts/chart22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1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6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8.jpeg"/><Relationship Id="rId2" Type="http://schemas.openxmlformats.org/officeDocument/2006/relationships/image" Target="../media/image1.emf"/><Relationship Id="rId16" Type="http://schemas.openxmlformats.org/officeDocument/2006/relationships/chart" Target="../charts/chart27.xml"/><Relationship Id="rId1" Type="http://schemas.openxmlformats.org/officeDocument/2006/relationships/chart" Target="../charts/chart24.xml"/><Relationship Id="rId6" Type="http://schemas.openxmlformats.org/officeDocument/2006/relationships/image" Target="../media/image5.emf"/><Relationship Id="rId11" Type="http://schemas.openxmlformats.org/officeDocument/2006/relationships/image" Target="../media/image19.jpeg"/><Relationship Id="rId5" Type="http://schemas.openxmlformats.org/officeDocument/2006/relationships/image" Target="../media/image4.emf"/><Relationship Id="rId15" Type="http://schemas.openxmlformats.org/officeDocument/2006/relationships/chart" Target="../charts/chart26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5.xml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png"/><Relationship Id="rId2" Type="http://schemas.openxmlformats.org/officeDocument/2006/relationships/image" Target="../media/image1.emf"/><Relationship Id="rId1" Type="http://schemas.openxmlformats.org/officeDocument/2006/relationships/chart" Target="../charts/chart28.xml"/><Relationship Id="rId6" Type="http://schemas.openxmlformats.org/officeDocument/2006/relationships/image" Target="../media/image5.emf"/><Relationship Id="rId11" Type="http://schemas.openxmlformats.org/officeDocument/2006/relationships/image" Target="../media/image19.jpeg"/><Relationship Id="rId5" Type="http://schemas.openxmlformats.org/officeDocument/2006/relationships/image" Target="../media/image4.emf"/><Relationship Id="rId15" Type="http://schemas.openxmlformats.org/officeDocument/2006/relationships/chart" Target="../charts/chart30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9.xml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8.jpeg"/><Relationship Id="rId2" Type="http://schemas.openxmlformats.org/officeDocument/2006/relationships/image" Target="../media/image1.emf"/><Relationship Id="rId16" Type="http://schemas.openxmlformats.org/officeDocument/2006/relationships/chart" Target="../charts/chart34.xml"/><Relationship Id="rId1" Type="http://schemas.openxmlformats.org/officeDocument/2006/relationships/chart" Target="../charts/chart31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33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32.xml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38.xml"/><Relationship Id="rId1" Type="http://schemas.openxmlformats.org/officeDocument/2006/relationships/chart" Target="../charts/chart35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37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36.xml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png"/><Relationship Id="rId2" Type="http://schemas.openxmlformats.org/officeDocument/2006/relationships/image" Target="../media/image1.emf"/><Relationship Id="rId16" Type="http://schemas.openxmlformats.org/officeDocument/2006/relationships/chart" Target="../charts/chart42.xml"/><Relationship Id="rId1" Type="http://schemas.openxmlformats.org/officeDocument/2006/relationships/chart" Target="../charts/chart39.xml"/><Relationship Id="rId6" Type="http://schemas.openxmlformats.org/officeDocument/2006/relationships/image" Target="../media/image5.emf"/><Relationship Id="rId11" Type="http://schemas.openxmlformats.org/officeDocument/2006/relationships/image" Target="../media/image19.jpeg"/><Relationship Id="rId5" Type="http://schemas.openxmlformats.org/officeDocument/2006/relationships/image" Target="../media/image4.emf"/><Relationship Id="rId15" Type="http://schemas.openxmlformats.org/officeDocument/2006/relationships/chart" Target="../charts/chart41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40.xml"/></Relationships>
</file>

<file path=xl/drawings/_rels/drawing13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8.jpeg"/><Relationship Id="rId2" Type="http://schemas.openxmlformats.org/officeDocument/2006/relationships/image" Target="../media/image1.emf"/><Relationship Id="rId16" Type="http://schemas.openxmlformats.org/officeDocument/2006/relationships/chart" Target="../charts/chart46.xml"/><Relationship Id="rId1" Type="http://schemas.openxmlformats.org/officeDocument/2006/relationships/chart" Target="../charts/chart43.xml"/><Relationship Id="rId6" Type="http://schemas.openxmlformats.org/officeDocument/2006/relationships/image" Target="../media/image5.emf"/><Relationship Id="rId11" Type="http://schemas.openxmlformats.org/officeDocument/2006/relationships/image" Target="../media/image19.jpeg"/><Relationship Id="rId5" Type="http://schemas.openxmlformats.org/officeDocument/2006/relationships/image" Target="../media/image4.emf"/><Relationship Id="rId15" Type="http://schemas.openxmlformats.org/officeDocument/2006/relationships/chart" Target="../charts/chart45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44.xml"/></Relationships>
</file>

<file path=xl/drawings/_rels/drawing14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8.jpeg"/><Relationship Id="rId2" Type="http://schemas.openxmlformats.org/officeDocument/2006/relationships/image" Target="../media/image1.emf"/><Relationship Id="rId16" Type="http://schemas.openxmlformats.org/officeDocument/2006/relationships/chart" Target="../charts/chart50.xml"/><Relationship Id="rId1" Type="http://schemas.openxmlformats.org/officeDocument/2006/relationships/chart" Target="../charts/chart47.xml"/><Relationship Id="rId6" Type="http://schemas.openxmlformats.org/officeDocument/2006/relationships/image" Target="../media/image5.emf"/><Relationship Id="rId11" Type="http://schemas.openxmlformats.org/officeDocument/2006/relationships/image" Target="../media/image19.jpeg"/><Relationship Id="rId5" Type="http://schemas.openxmlformats.org/officeDocument/2006/relationships/image" Target="../media/image4.emf"/><Relationship Id="rId15" Type="http://schemas.openxmlformats.org/officeDocument/2006/relationships/chart" Target="../charts/chart49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48.xml"/></Relationships>
</file>

<file path=xl/drawings/_rels/drawing15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8.jpeg"/><Relationship Id="rId2" Type="http://schemas.openxmlformats.org/officeDocument/2006/relationships/image" Target="../media/image1.emf"/><Relationship Id="rId1" Type="http://schemas.openxmlformats.org/officeDocument/2006/relationships/chart" Target="../charts/chart51.xml"/><Relationship Id="rId6" Type="http://schemas.openxmlformats.org/officeDocument/2006/relationships/image" Target="../media/image5.emf"/><Relationship Id="rId11" Type="http://schemas.openxmlformats.org/officeDocument/2006/relationships/image" Target="../media/image19.jpeg"/><Relationship Id="rId5" Type="http://schemas.openxmlformats.org/officeDocument/2006/relationships/image" Target="../media/image4.emf"/><Relationship Id="rId15" Type="http://schemas.openxmlformats.org/officeDocument/2006/relationships/chart" Target="../charts/chart53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52.xml"/></Relationships>
</file>

<file path=xl/drawings/_rels/drawing16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8.jpeg"/><Relationship Id="rId2" Type="http://schemas.openxmlformats.org/officeDocument/2006/relationships/image" Target="../media/image1.emf"/><Relationship Id="rId1" Type="http://schemas.openxmlformats.org/officeDocument/2006/relationships/chart" Target="../charts/chart54.xml"/><Relationship Id="rId6" Type="http://schemas.openxmlformats.org/officeDocument/2006/relationships/image" Target="../media/image5.emf"/><Relationship Id="rId11" Type="http://schemas.openxmlformats.org/officeDocument/2006/relationships/image" Target="../media/image19.jpeg"/><Relationship Id="rId5" Type="http://schemas.openxmlformats.org/officeDocument/2006/relationships/image" Target="../media/image4.emf"/><Relationship Id="rId15" Type="http://schemas.openxmlformats.org/officeDocument/2006/relationships/chart" Target="../charts/chart56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55.xml"/></Relationships>
</file>

<file path=xl/drawings/_rels/drawing17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chart" Target="../charts/chart57.xml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20.jpeg"/><Relationship Id="rId17" Type="http://schemas.openxmlformats.org/officeDocument/2006/relationships/chart" Target="../charts/chart61.xml"/><Relationship Id="rId2" Type="http://schemas.openxmlformats.org/officeDocument/2006/relationships/image" Target="../media/image2.emf"/><Relationship Id="rId16" Type="http://schemas.openxmlformats.org/officeDocument/2006/relationships/chart" Target="../charts/chart60.xml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5.png"/><Relationship Id="rId5" Type="http://schemas.openxmlformats.org/officeDocument/2006/relationships/image" Target="../media/image5.emf"/><Relationship Id="rId15" Type="http://schemas.openxmlformats.org/officeDocument/2006/relationships/chart" Target="../charts/chart59.xml"/><Relationship Id="rId10" Type="http://schemas.openxmlformats.org/officeDocument/2006/relationships/image" Target="../media/image19.jpeg"/><Relationship Id="rId4" Type="http://schemas.openxmlformats.org/officeDocument/2006/relationships/image" Target="../media/image4.emf"/><Relationship Id="rId9" Type="http://schemas.openxmlformats.org/officeDocument/2006/relationships/image" Target="../media/image9.jpeg"/><Relationship Id="rId14" Type="http://schemas.openxmlformats.org/officeDocument/2006/relationships/chart" Target="../charts/chart5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1CFC8F-8205-41F9-9B66-3FB509C1B3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9668C2-2D94-4C8C-96DE-2CD1278FFA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33500" y="1673906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C5BC59C-7E3C-4E1F-91A2-6F538DE49D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117311" y="1670737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B6741EE-101A-4A6F-997F-922F9E44B8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025475" y="1687514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1DAA80F-C131-44FF-BDF1-CA9E99769D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627613" y="1691935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7F46918-8C1C-4569-909D-FD12E8C597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469001" y="1736837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F735D66-9CA4-4254-B9CE-F7C19D9AC2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170720" y="1702028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F74CF17-906F-46A6-B2D3-E4FB5B997C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042565" y="1674812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A836CBE-E43B-4747-B456-ED2BC6AB95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510155" y="1646689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3D52FEC-A071-4566-B75B-A8B46F3354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4861479" y="1693368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9522811C-AE7E-45C3-999C-EFC5CE53D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797259" y="1646690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3FAFA0F-5253-46F9-B5E5-09FCA768E3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163548" y="1666875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5E2D3460-AF99-4CF8-B315-BC15BD18C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237448" y="1615168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7CCF053B-5EE4-4D1D-9765-55AB84E67D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9D8383C4-2A7E-4FD9-8219-0A81ADCB04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2C0347-031E-41BF-9698-B9D2F9703D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4A14BA3-34AF-404D-9061-B4634F44D4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BFC2162-A6BC-4391-9A69-3D8C5544F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E3FA3AE-9984-4154-B374-4610ED1E6D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2528374-C385-4D0B-BC3C-A1B06CB69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3FE29D3-8F89-4F3F-84DA-37414C1B5B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2C67768-AB9B-43C5-9CF9-EED2366D95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F28159B-FC13-4FCA-ADF6-4FEC6C3824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30E89F1-CD3B-4869-AE97-8EFA49009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16B891E8-B6FF-4446-BB0E-8326D5C83C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F3A3F91A-FB1F-4FA7-8EC9-86727745CB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C9AAF4C-3770-465C-8BD4-005CF82346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95FF5EB-DAD7-4CB9-A84F-7E6DCE4CA1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C3A10EFF-54D3-42C6-A641-4F2C5D8BB0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2897E610-198F-4797-B1DD-819E571F08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98581BB7-4A56-4ADF-96B2-6F63A98F5A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A5A00-3F3E-4DBA-AD14-690787A24F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95E51A4-0F43-47FB-BCAE-F51F8BAACF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630DFB9-D4D4-4CDE-A91B-F1DC724995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932A2E4-E7EE-409F-AC15-01426DB593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FE05EDC-131A-4C10-9500-FACF491A9A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5C7BC54-4C0E-49B3-A8E3-B116B62A4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51489E6-558E-4134-87C8-4C1F569F60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9A18647-F6CB-4D27-8E90-6AF05A1712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690289A6-A003-456F-90CE-D799661B1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90214C5D-5BBD-405E-BE0F-3B23F9C84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92887784-3C03-4F6B-9C5B-394BAA31B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3BBA41DC-5511-41C0-B5A4-3930BD242F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A733BC1-F32D-4BE4-972B-658A1C0D2B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30AC53BB-20A6-473E-8FE0-88E6F885D6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709E55AF-4406-4A38-AA5A-2F1F9B7080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E5B84F-E7F9-4888-8364-5155D46635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B9F8FE3-434C-498C-B69C-5D6653FA2A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92E213C-AC12-4AB2-8177-5988196C59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6E9F966-108A-437A-BA82-30567CD847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33210A5-3608-4FA6-A870-15F7A148EC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D2E9C6A-86FC-43C8-ACC5-4E8F1D7C16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3849C80-1C79-4E58-BCA0-DADFCCC7DD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1F0B3A3-2D65-4925-A130-ACE32C1696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5C815D1-3DC3-49D4-8EC4-F0F9844C71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7392CC8-C478-4740-9F98-E794DD0671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F394D704-B477-44ED-9B81-731CE82146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D99B64C7-FCB5-4657-9490-6332A3AC50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180EDBA-E56F-4F40-8629-7FA88E9F3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41715DD5-608D-41A8-9BD9-0CBABB14A2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418EF71-2456-4AC3-8C28-8D9EEDDA71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000981-BCC2-455D-92B1-84DD7DCCBD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067BD92-CB62-48CA-9DD0-D7D774A437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9B28062-6AFE-4011-AC68-49C6148E77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6BBE398-A56C-48CA-BFC1-610BFA1F68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E16943D-B516-40D0-9F97-98CDF8795F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3D749C9-5906-4CCA-B152-603DD1B861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11ACD35-E8D5-49D7-8A70-A0EE7F2387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3A3C7FF-69D9-458C-90FE-961D7820FC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36C6BECF-838E-467B-9866-1751A3FA86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48C437B6-5E45-41B7-A976-1F2FE4714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4B44EA52-C439-4105-8E19-92FF5E0EEE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92DAE31-610C-4B7C-92D5-87E8242420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BC5A4F1F-083B-416F-92CC-4CB874426E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28D37E80-8382-43D6-89E4-90052E5CA7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9B672CC8-D710-48E5-AB41-49A38A9B5F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90FA51-49AF-4CA3-893F-A6307CD377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F387249-FF27-4F30-987E-FC22E7B52B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A32569C-9E75-463F-ACBE-CF56B22E1B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92D3384-2668-4564-822A-662D7C8E54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13CE831-D300-49E1-8F9A-D08884AEE1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9E34F9B-964E-4D0D-A88C-FC65CFB865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D160651-F549-4C3F-909F-ED55905A27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F2A909-B6DE-424E-A030-5AE73C58F1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73ED4A3-7329-4B47-96A7-1D4BAF08AB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8E7A2BB-1E98-4723-BFA1-4F9AE59328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88646930-FD6D-4C3B-BCD4-B71CD49281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E787FB74-CC8A-46EC-9323-5806E88426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A5AD1D5-6AEB-4429-B00D-A6CE4C8EDD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5F200170-D06E-4657-AE7F-2C965A096B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D7BEA8A8-6B06-44C3-9B82-A3448FA4E5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D83B4B-FDF8-4F87-8F75-60637E0F59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F2E341C-99E0-4E94-B000-EF651B159E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357BF90-5E78-4CE9-8F6D-17919CF931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2510501-ECDE-4C26-91A3-A96646FDA7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27C0573-D332-492A-A3A7-3FE018587C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F8BE280-8189-4E91-A8F8-A2BBBB1D1F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908D9BF-8405-4431-A904-8C08188A36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D73E152-1E1E-4B07-9426-D9D662F02C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F81ADE5-C017-481D-AC00-CAB3F2681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BA66D135-723A-4789-B7B4-ECA20A0FFC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8A303E91-D188-4198-9869-D6544838D9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B3035FD1-0A58-44C6-B7CB-2E208566C2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414DE2D-8B57-4FC6-B505-2EE9020AA5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B1441D28-4BFD-464B-AA5C-64C94D1712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4812AF20-09AA-4DDA-9975-7AE7B3E294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E2C644DC-E669-4020-AC88-491A3FEAB6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E50EFE-1DE0-4F36-B48C-A69FF36114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5EBDA1F-EC34-4EA9-976D-6289DE0FB9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8A6D516-6369-4DF7-976B-FBD3A1EF04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2BF08E9-0317-45DF-9764-5E2AFD153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8647EFF-C4C1-44C3-AC8E-F40BB82E12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484C3A2-0AA3-4E8E-A647-EBD805BB49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2C3E48D-2F03-4F5E-8402-482EEA7BC3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7F25959-7B9A-4DD0-8D16-556A4E809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A704E06-1314-4D2D-8CBA-81BD622C6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F8145C8-FE4D-4244-A206-AA0C05319B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79485777-7D50-46B6-965E-65B58F2D54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656E12E-5B01-4152-825E-79993A11E0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957C12B-D8EF-4055-B4D0-7E0011F8E1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F5C02A8-A5EC-4B9F-85CB-E1BEE4C52D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D6B69222-0397-44E0-9C74-708D4A6DBD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2A5628F-C824-44D7-A41E-75796BEF00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B00FFE-DD09-45A9-B33F-4C450DB096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173AE11-444F-4EC3-B71E-F539F0647A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FD4C580-EC77-4048-AC2B-2BD67560D2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9518047-B158-4835-92F8-EAC36AEE48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97311B7-08BF-42A8-ACEC-0D016FD3D5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A0F041C-2D0D-4BAC-ACDD-966BB38494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FD4D835-662A-4596-8863-F9E128B037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DCEF17B-C14E-47EA-AF5C-30EE46F71D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CA8A7C0-DB2A-4BCE-8988-68C272C05D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10A3017-8013-4BF0-B56E-544ABCD026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A2E5C341-0FBD-4FBD-A30D-34D8094520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41FAE38C-A41A-46F2-AA04-7F38CF91F9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486FF56-DA39-420A-9E58-7B3F931CC9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2313355F-B328-417E-8CC5-FCD157B1FE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F5BCD592-340E-492C-96BD-36C9FC5425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61C7AC-8404-4FB2-9E2A-96A3009AB2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685E319-E1D8-4517-B949-556C3CE302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BB457DF-B5A1-410D-9BB1-A95BB7E5D9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30BB277-1955-4EDC-9A5C-BC7DCD1244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E017E93-72EF-48E2-831E-CD7D7EEB4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DFF92E4-C563-4536-987C-D24D1C7463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9BCA9A5-16A1-413D-8FBC-CB7CC854FD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408C7D7-F161-4A8D-ACEC-EB041736E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97CD0D3-73F8-42EC-85C5-3E1C385FA7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3FD549FA-B008-417E-BF85-75D96392B8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0D5A0C7D-7BAB-4935-8EE1-FEC5A375CD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1C839DE-231F-4ACD-86F3-F59FB50EF0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2D641106-2317-4F80-87C7-C13B5FB048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4D0AED3-3098-4D8D-B25D-9F5581AA5D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3CB3AE0-43BD-4850-9667-0DE1DC5258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EEA84219-10C6-4B19-97B2-1D4D595AB4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078940-D67E-4802-9FBB-4F55C4BD16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0530FB7-75AB-4825-A797-D7AA75235D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35A41DF-59D0-4AD7-92C6-E962F44A87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CCC58F1-3EDC-423C-B2A6-04BAD9A48C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DBBFF5B-347F-438A-8A35-2E65D31C3D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A571D3F-AFC5-4A01-A84E-8CEB978B6B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6F93436-8CDE-45F1-868D-1F76FB4087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F520AE7-EC71-4888-B58B-81185D1654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92A2E0E-4AE9-4466-BC9C-5763893482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D090FDE7-E4CB-4E22-B076-5707B6D0E8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F4AD34A0-4ABD-4539-AB95-A0B25A4F58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D73990A3-EB40-4A65-9507-E2A0F49D17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E3078063-06B0-4C57-8381-301B07C378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F4096C3F-CC05-4533-A944-12E0A90C97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A82EA7F7-7ED0-4466-A41A-9E4F7CA51E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D05ED10C-2476-4BCE-8984-47C0B6FAA0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FDDE2E-EA38-4B4D-8F37-64E25CE883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2A60D40-9565-4BE5-885C-69774B7BDB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8DA518A-CF2C-4098-A02A-1FEED12B5F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D7427E8-FCCB-4B05-902E-94004146B6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457C5FA-4230-45D3-9BEA-5E77FB0BF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0933819-0678-4844-93F6-365B817E19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2CCF32F-F899-4E8E-B169-C557ED0E33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923289F-04AC-42EC-BEB0-F19B76801E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C56928B-5F6F-4CA9-95A8-F399437D49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FF91CBE-F1A9-4733-8633-AD10A781A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C6E00A70-5769-4FF4-BE23-24F31F7307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6B68D07-B3D3-4201-B269-156425BE3D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C49B6ACB-2E8A-4F79-8D8F-272D6FB94C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81D804CD-FF7D-4398-800E-A1697F34FD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124A468D-B7E9-45D8-994D-4AB3845E96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B99EDFE-EFBB-4B74-9F4F-C15AA0D8AF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769D03-56A4-48BA-B708-B148277AB3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2B164D1-D3A6-4F49-9915-40FB592F1B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CE22DE1-2830-460C-AD37-672B9EDF9D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4B4FF9F-7500-457A-A8E0-459FE0B6B5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0ABC7C4-EBC7-43FB-81F4-8FD3DD6945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1605433-CB66-4379-9010-6F98A56B22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9160004-F210-483C-B162-76455BE521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1BE1DF2-A9D8-4961-907D-55040170AD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B691F47-86A4-4229-906C-ECE96BF798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DDFCDC9-1F96-4F74-B537-4F2AFC05E9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D5EF5D29-A47E-4AF8-85B3-1374B4F6A7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CABD53E-2D47-4AB7-9914-01C65DBFFA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0D1C830-FF5D-4624-ABBF-4B163D9A5D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FCDC906-6885-45D8-83E7-FFBB67A632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E1C5C6E-100B-42E3-92B6-502B45D5AB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A8EE9ABE-75B0-4BCE-B434-CB5CBADB77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4D07F7-A505-4739-B386-7B6D7DD089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0BBC979-15AA-4A11-9224-18E0E7CF6E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1B8E3D4-7E5F-418C-BBAF-8F5F6270B8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144566</xdr:colOff>
      <xdr:row>7</xdr:row>
      <xdr:rowOff>185739</xdr:rowOff>
    </xdr:from>
    <xdr:to>
      <xdr:col>6</xdr:col>
      <xdr:colOff>12745</xdr:colOff>
      <xdr:row>7</xdr:row>
      <xdr:rowOff>586462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D05A13E-1128-4A13-B522-6EF66121E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72066" y="19954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07A79A5-DE2C-43B6-93E8-029BEE79CC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335A27C-6117-4ADE-BAD3-8B5E13539C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099A6C3-B976-4FB8-8A58-5E45F6D0F1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EA27B75-11E2-47C3-92D0-E1274591C9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DE68A34-6B83-4CE1-B89D-93C3D05F7C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A6CD2C4-2193-49F0-A361-74A7AAA290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89D090DF-78EB-40DF-8A6D-54E8002AB2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8CC2D505-B814-4153-9006-3734F69121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849053B-C2A2-4B10-B63A-9FD0112A14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F75497C2-F34C-49E6-A4E9-41E13AD164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944922A7-8790-46BB-B71A-6BD4B4C9DF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7F0904D3-4B8A-474B-86E5-F1190B2850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4086</xdr:colOff>
      <xdr:row>43</xdr:row>
      <xdr:rowOff>22224</xdr:rowOff>
    </xdr:from>
    <xdr:to>
      <xdr:col>27</xdr:col>
      <xdr:colOff>698500</xdr:colOff>
      <xdr:row>59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6C45E2-77C7-4510-884F-FEF0715DDB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19AEE80-7130-4FE5-8DCD-05DF10B8C2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3E1E659-91F2-4594-978C-33DD6417A5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2B73A80-E2E3-4174-B73D-D61B63E600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E46CF73-4595-47F7-B47F-2B24A9AA94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7AF59A5-69EA-4554-923B-279A64D6C4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00AE0E0-9A4F-45E2-BBB2-010A32C6E9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7AD0C11-87DE-4860-AEB0-7F2EB944A6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B53AA64-9B63-48C4-86C6-C93F947459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FA31503D-49F8-4886-9D79-D1CF778316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D89B662C-1BD4-43B0-ACB7-D5C2088AE0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2C04AF1-D698-4B62-BF42-BE1F9D58FB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06F0358-DE0D-42DF-9D85-A89ACE8339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31751</xdr:colOff>
      <xdr:row>59</xdr:row>
      <xdr:rowOff>279401</xdr:rowOff>
    </xdr:from>
    <xdr:to>
      <xdr:col>23</xdr:col>
      <xdr:colOff>1</xdr:colOff>
      <xdr:row>73</xdr:row>
      <xdr:rowOff>254001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872B518F-3318-457A-AD2F-F257EB81D5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15875</xdr:colOff>
      <xdr:row>59</xdr:row>
      <xdr:rowOff>269875</xdr:rowOff>
    </xdr:from>
    <xdr:to>
      <xdr:col>31</xdr:col>
      <xdr:colOff>15876</xdr:colOff>
      <xdr:row>74</xdr:row>
      <xdr:rowOff>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F07B1E9E-4942-4AD4-98C8-E1AF836600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43</xdr:row>
      <xdr:rowOff>6349</xdr:rowOff>
    </xdr:from>
    <xdr:to>
      <xdr:col>24</xdr:col>
      <xdr:colOff>460376</xdr:colOff>
      <xdr:row>57</xdr:row>
      <xdr:rowOff>269875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B270C2-815D-4851-AC3C-4EA46B2C64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A68EABE-F73F-486D-BB3C-5805225122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9A39479-5D94-439F-AAAE-4B1288B89B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A639D45-A3C5-49D6-8FD7-337DBA8703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32685D6-892C-43F5-AFA8-62F9167E79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B110D7-9219-4421-AE6E-5DABBB7FCC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CC9CC16-C5B8-4879-9435-5E3796BA4A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9D0DABC-8D47-4952-A548-79AF3DF1FA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F999087-E9AB-4F93-B9EF-BE24ADD193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963AAD9-4121-45A3-93F6-094DAF14FE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9B7D99CA-796E-4A36-B9D3-FD180F1A83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C936931-6EFD-4A74-AEA9-47EEB365E2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200DC7B-A120-4F30-A5FF-185ED29C03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15876</xdr:colOff>
      <xdr:row>58</xdr:row>
      <xdr:rowOff>279401</xdr:rowOff>
    </xdr:from>
    <xdr:to>
      <xdr:col>23</xdr:col>
      <xdr:colOff>15876</xdr:colOff>
      <xdr:row>72</xdr:row>
      <xdr:rowOff>1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57033F9A-A642-43E1-B688-5FBA3AD22A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15875</xdr:colOff>
      <xdr:row>58</xdr:row>
      <xdr:rowOff>254001</xdr:rowOff>
    </xdr:from>
    <xdr:to>
      <xdr:col>30</xdr:col>
      <xdr:colOff>682625</xdr:colOff>
      <xdr:row>71</xdr:row>
      <xdr:rowOff>254001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288892E-53EA-4DAD-967C-F738DF767C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092412C-BA1C-4D34-B971-DE0C21045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13F6493-22B5-43D3-89E3-9CBBD5F672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6A6F653-AFF5-4987-B236-C85A1CE131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B621B9F-62A3-4E5A-AFD4-DC12703D4B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AE15982-C002-4BDF-96C3-22A45DA5C7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3C3AB7B-75D5-418A-958E-EACBF65A12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0CF7CE4-A85A-4C22-9DC3-5893508098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90AC934-2ABE-477D-8A15-38EFC09415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E53BA24-BE44-430F-9803-6A8B6CB29F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11BA8E67-A1DD-42EA-85BC-CB4649F507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FAA7FF40-C1FE-4D4D-88B0-F8E6F92136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165D294B-6A53-4A12-9BC4-B2A9462DB2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15875</xdr:colOff>
      <xdr:row>58</xdr:row>
      <xdr:rowOff>279400</xdr:rowOff>
    </xdr:from>
    <xdr:to>
      <xdr:col>23</xdr:col>
      <xdr:colOff>650874</xdr:colOff>
      <xdr:row>74</xdr:row>
      <xdr:rowOff>269875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829EB85-A50A-4379-94F7-6C2E31DC19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17</xdr:col>
      <xdr:colOff>15874</xdr:colOff>
      <xdr:row>74</xdr:row>
      <xdr:rowOff>285749</xdr:rowOff>
    </xdr:from>
    <xdr:to>
      <xdr:col>23</xdr:col>
      <xdr:colOff>634999</xdr:colOff>
      <xdr:row>91</xdr:row>
      <xdr:rowOff>47624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03DD9D7-E468-486E-B0CF-46B1770E47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17</xdr:col>
      <xdr:colOff>15875</xdr:colOff>
      <xdr:row>43</xdr:row>
      <xdr:rowOff>0</xdr:rowOff>
    </xdr:from>
    <xdr:to>
      <xdr:col>28</xdr:col>
      <xdr:colOff>202289</xdr:colOff>
      <xdr:row>58</xdr:row>
      <xdr:rowOff>269875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A85DC476-FF43-4BEF-A622-7593109FEA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23</xdr:col>
      <xdr:colOff>666750</xdr:colOff>
      <xdr:row>59</xdr:row>
      <xdr:rowOff>0</xdr:rowOff>
    </xdr:from>
    <xdr:to>
      <xdr:col>30</xdr:col>
      <xdr:colOff>650875</xdr:colOff>
      <xdr:row>74</xdr:row>
      <xdr:rowOff>284163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EE80DAE3-FAAF-41D1-9D6E-EC0F8D183F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23</xdr:col>
      <xdr:colOff>635000</xdr:colOff>
      <xdr:row>75</xdr:row>
      <xdr:rowOff>0</xdr:rowOff>
    </xdr:from>
    <xdr:to>
      <xdr:col>30</xdr:col>
      <xdr:colOff>619125</xdr:colOff>
      <xdr:row>91</xdr:row>
      <xdr:rowOff>14288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FE1E962E-4A48-4222-AADA-C4CFB7285E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="90" zoomScaleSheetLayoutView="90" workbookViewId="0">
      <selection activeCell="G5" sqref="G5:H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1" t="s">
        <v>23</v>
      </c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</row>
    <row r="2" spans="2:32" ht="20.100000000000001" customHeight="1" x14ac:dyDescent="0.25">
      <c r="B2" s="62" t="s">
        <v>95</v>
      </c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</row>
    <row r="3" spans="2:32" ht="20.100000000000001" customHeight="1" x14ac:dyDescent="0.25">
      <c r="B3" s="21" t="s">
        <v>96</v>
      </c>
      <c r="C3" s="63" t="s">
        <v>182</v>
      </c>
      <c r="D3" s="63"/>
      <c r="E3" s="63"/>
      <c r="F3" s="63"/>
      <c r="G3" s="63"/>
      <c r="H3" s="21"/>
      <c r="I3" s="21"/>
      <c r="J3" s="21"/>
      <c r="K3" s="21"/>
      <c r="L3" s="21"/>
      <c r="M3" s="21"/>
      <c r="N3" s="21"/>
      <c r="O3" s="21"/>
      <c r="P3" s="21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51" t="s">
        <v>165</v>
      </c>
      <c r="E5" s="3"/>
      <c r="F5" s="41" t="s">
        <v>1</v>
      </c>
      <c r="G5" s="58" t="s">
        <v>166</v>
      </c>
      <c r="H5" s="59"/>
      <c r="I5" s="14"/>
      <c r="J5" s="2" t="s">
        <v>5</v>
      </c>
      <c r="K5" s="58" t="s">
        <v>169</v>
      </c>
      <c r="L5" s="59"/>
      <c r="M5" s="10"/>
      <c r="N5" s="10"/>
      <c r="O5" s="3"/>
      <c r="P5" s="3"/>
    </row>
    <row r="6" spans="2:32" ht="23.25" customHeight="1" x14ac:dyDescent="0.25">
      <c r="C6" s="2" t="s">
        <v>4</v>
      </c>
      <c r="D6" s="58" t="s">
        <v>167</v>
      </c>
      <c r="E6" s="59"/>
      <c r="F6" s="2" t="s">
        <v>2</v>
      </c>
      <c r="G6" s="58" t="s">
        <v>168</v>
      </c>
      <c r="H6" s="59"/>
      <c r="J6" s="2" t="s">
        <v>21</v>
      </c>
      <c r="K6" s="58" t="s">
        <v>170</v>
      </c>
      <c r="L6" s="59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0" t="s">
        <v>88</v>
      </c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1</v>
      </c>
      <c r="D10" s="50">
        <v>0</v>
      </c>
      <c r="E10" s="50">
        <v>0</v>
      </c>
      <c r="F10" s="50">
        <v>1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5</v>
      </c>
      <c r="N10" s="50">
        <v>0</v>
      </c>
      <c r="O10" s="15">
        <f t="shared" ref="O10:O57" si="0">SUM(C10:L10,N10)</f>
        <v>2</v>
      </c>
      <c r="P10" s="15">
        <f t="shared" ref="P10:P57" si="1">SUM(C10:N10)</f>
        <v>7</v>
      </c>
      <c r="R10" s="1" t="s">
        <v>6</v>
      </c>
      <c r="S10" s="17">
        <f t="shared" ref="S10:AF10" si="2">SUM(C10:C13)</f>
        <v>8</v>
      </c>
      <c r="T10" s="17">
        <f t="shared" si="2"/>
        <v>2</v>
      </c>
      <c r="U10" s="17">
        <f t="shared" si="2"/>
        <v>1</v>
      </c>
      <c r="V10" s="17">
        <f t="shared" si="2"/>
        <v>1</v>
      </c>
      <c r="W10" s="17">
        <f t="shared" si="2"/>
        <v>0</v>
      </c>
      <c r="X10" s="17">
        <f t="shared" si="2"/>
        <v>0</v>
      </c>
      <c r="Y10" s="17">
        <f t="shared" si="2"/>
        <v>3</v>
      </c>
      <c r="Z10" s="17">
        <f t="shared" si="2"/>
        <v>0</v>
      </c>
      <c r="AA10" s="17">
        <f t="shared" si="2"/>
        <v>2</v>
      </c>
      <c r="AB10" s="17">
        <f t="shared" si="2"/>
        <v>0</v>
      </c>
      <c r="AC10" s="17">
        <f t="shared" si="2"/>
        <v>21</v>
      </c>
      <c r="AD10" s="17">
        <f t="shared" si="2"/>
        <v>0</v>
      </c>
      <c r="AE10" s="31">
        <f t="shared" si="2"/>
        <v>17</v>
      </c>
      <c r="AF10" s="31">
        <f t="shared" si="2"/>
        <v>38</v>
      </c>
    </row>
    <row r="11" spans="2:32" s="6" customFormat="1" ht="23.1" customHeight="1" x14ac:dyDescent="0.25">
      <c r="B11" s="23" t="s">
        <v>38</v>
      </c>
      <c r="C11" s="50">
        <v>6</v>
      </c>
      <c r="D11" s="50">
        <v>1</v>
      </c>
      <c r="E11" s="50">
        <v>1</v>
      </c>
      <c r="F11" s="50">
        <v>0</v>
      </c>
      <c r="G11" s="50">
        <v>0</v>
      </c>
      <c r="H11" s="50">
        <v>0</v>
      </c>
      <c r="I11" s="50">
        <v>1</v>
      </c>
      <c r="J11" s="50">
        <v>0</v>
      </c>
      <c r="K11" s="50">
        <v>1</v>
      </c>
      <c r="L11" s="50">
        <v>0</v>
      </c>
      <c r="M11" s="50">
        <v>2</v>
      </c>
      <c r="N11" s="50">
        <v>0</v>
      </c>
      <c r="O11" s="15">
        <f t="shared" si="0"/>
        <v>10</v>
      </c>
      <c r="P11" s="15">
        <f t="shared" si="1"/>
        <v>12</v>
      </c>
      <c r="R11" s="1" t="s">
        <v>7</v>
      </c>
      <c r="S11" s="17">
        <f t="shared" ref="S11:AF11" si="3">SUM(C14:C17)</f>
        <v>3</v>
      </c>
      <c r="T11" s="17">
        <f t="shared" si="3"/>
        <v>1</v>
      </c>
      <c r="U11" s="17">
        <f t="shared" si="3"/>
        <v>3</v>
      </c>
      <c r="V11" s="17">
        <f t="shared" si="3"/>
        <v>1</v>
      </c>
      <c r="W11" s="17">
        <f t="shared" si="3"/>
        <v>0</v>
      </c>
      <c r="X11" s="17">
        <f t="shared" si="3"/>
        <v>0</v>
      </c>
      <c r="Y11" s="17">
        <f t="shared" si="3"/>
        <v>4</v>
      </c>
      <c r="Z11" s="17">
        <f t="shared" si="3"/>
        <v>2</v>
      </c>
      <c r="AA11" s="17">
        <f t="shared" si="3"/>
        <v>4</v>
      </c>
      <c r="AB11" s="17">
        <f t="shared" si="3"/>
        <v>0</v>
      </c>
      <c r="AC11" s="17">
        <f t="shared" si="3"/>
        <v>22</v>
      </c>
      <c r="AD11" s="17">
        <f t="shared" si="3"/>
        <v>0</v>
      </c>
      <c r="AE11" s="31">
        <f t="shared" si="3"/>
        <v>18</v>
      </c>
      <c r="AF11" s="31">
        <f t="shared" si="3"/>
        <v>40</v>
      </c>
    </row>
    <row r="12" spans="2:32" ht="23.1" customHeight="1" x14ac:dyDescent="0.25">
      <c r="B12" s="23" t="s">
        <v>39</v>
      </c>
      <c r="C12" s="50">
        <v>0</v>
      </c>
      <c r="D12" s="50">
        <v>1</v>
      </c>
      <c r="E12" s="50">
        <v>0</v>
      </c>
      <c r="F12" s="50">
        <v>0</v>
      </c>
      <c r="G12" s="50">
        <v>0</v>
      </c>
      <c r="H12" s="50">
        <v>0</v>
      </c>
      <c r="I12" s="50">
        <v>2</v>
      </c>
      <c r="J12" s="50">
        <v>0</v>
      </c>
      <c r="K12" s="50">
        <v>0</v>
      </c>
      <c r="L12" s="50">
        <v>0</v>
      </c>
      <c r="M12" s="50">
        <v>5</v>
      </c>
      <c r="N12" s="50">
        <v>0</v>
      </c>
      <c r="O12" s="15">
        <f t="shared" si="0"/>
        <v>3</v>
      </c>
      <c r="P12" s="15">
        <f t="shared" si="1"/>
        <v>8</v>
      </c>
      <c r="R12" s="1" t="s">
        <v>8</v>
      </c>
      <c r="S12" s="17">
        <f t="shared" ref="S12:AF12" si="4">SUM(C18:C21)</f>
        <v>4</v>
      </c>
      <c r="T12" s="17">
        <f t="shared" si="4"/>
        <v>3</v>
      </c>
      <c r="U12" s="17">
        <f t="shared" si="4"/>
        <v>2</v>
      </c>
      <c r="V12" s="17">
        <f t="shared" si="4"/>
        <v>2</v>
      </c>
      <c r="W12" s="17">
        <f t="shared" si="4"/>
        <v>0</v>
      </c>
      <c r="X12" s="17">
        <f t="shared" si="4"/>
        <v>0</v>
      </c>
      <c r="Y12" s="17">
        <f t="shared" si="4"/>
        <v>3</v>
      </c>
      <c r="Z12" s="17">
        <f t="shared" si="4"/>
        <v>2</v>
      </c>
      <c r="AA12" s="17">
        <f t="shared" si="4"/>
        <v>2</v>
      </c>
      <c r="AB12" s="17">
        <f t="shared" si="4"/>
        <v>0</v>
      </c>
      <c r="AC12" s="17">
        <f t="shared" si="4"/>
        <v>30</v>
      </c>
      <c r="AD12" s="17">
        <f t="shared" si="4"/>
        <v>0</v>
      </c>
      <c r="AE12" s="31">
        <f t="shared" si="4"/>
        <v>18</v>
      </c>
      <c r="AF12" s="31">
        <f t="shared" si="4"/>
        <v>48</v>
      </c>
    </row>
    <row r="13" spans="2:32" ht="23.1" customHeight="1" x14ac:dyDescent="0.25">
      <c r="B13" s="23" t="s">
        <v>40</v>
      </c>
      <c r="C13" s="50">
        <v>1</v>
      </c>
      <c r="D13" s="50">
        <v>0</v>
      </c>
      <c r="E13" s="50">
        <v>0</v>
      </c>
      <c r="F13" s="50">
        <v>0</v>
      </c>
      <c r="G13" s="50">
        <v>0</v>
      </c>
      <c r="H13" s="50">
        <v>0</v>
      </c>
      <c r="I13" s="50">
        <v>0</v>
      </c>
      <c r="J13" s="50">
        <v>0</v>
      </c>
      <c r="K13" s="50">
        <v>1</v>
      </c>
      <c r="L13" s="50">
        <v>0</v>
      </c>
      <c r="M13" s="50">
        <v>9</v>
      </c>
      <c r="N13" s="50">
        <v>0</v>
      </c>
      <c r="O13" s="15">
        <f t="shared" si="0"/>
        <v>2</v>
      </c>
      <c r="P13" s="15">
        <f t="shared" si="1"/>
        <v>11</v>
      </c>
      <c r="R13" s="1" t="s">
        <v>9</v>
      </c>
      <c r="S13" s="17">
        <f t="shared" ref="S13:AF13" si="5">SUM(C22:C25)</f>
        <v>4</v>
      </c>
      <c r="T13" s="17">
        <f t="shared" si="5"/>
        <v>1</v>
      </c>
      <c r="U13" s="17">
        <f t="shared" si="5"/>
        <v>5</v>
      </c>
      <c r="V13" s="17">
        <f t="shared" si="5"/>
        <v>1</v>
      </c>
      <c r="W13" s="17">
        <f t="shared" si="5"/>
        <v>0</v>
      </c>
      <c r="X13" s="17">
        <f t="shared" si="5"/>
        <v>0</v>
      </c>
      <c r="Y13" s="17">
        <f t="shared" si="5"/>
        <v>3</v>
      </c>
      <c r="Z13" s="17">
        <f t="shared" si="5"/>
        <v>1</v>
      </c>
      <c r="AA13" s="17">
        <f t="shared" si="5"/>
        <v>1</v>
      </c>
      <c r="AB13" s="17">
        <f t="shared" si="5"/>
        <v>0</v>
      </c>
      <c r="AC13" s="17">
        <f t="shared" si="5"/>
        <v>28</v>
      </c>
      <c r="AD13" s="17">
        <f t="shared" si="5"/>
        <v>0</v>
      </c>
      <c r="AE13" s="31">
        <f t="shared" si="5"/>
        <v>16</v>
      </c>
      <c r="AF13" s="31">
        <f t="shared" si="5"/>
        <v>44</v>
      </c>
    </row>
    <row r="14" spans="2:32" ht="23.1" customHeight="1" x14ac:dyDescent="0.25">
      <c r="B14" s="23" t="s">
        <v>41</v>
      </c>
      <c r="C14" s="50">
        <v>1</v>
      </c>
      <c r="D14" s="50">
        <v>1</v>
      </c>
      <c r="E14" s="50">
        <v>0</v>
      </c>
      <c r="F14" s="50">
        <v>0</v>
      </c>
      <c r="G14" s="50">
        <v>0</v>
      </c>
      <c r="H14" s="50">
        <v>0</v>
      </c>
      <c r="I14" s="50">
        <v>2</v>
      </c>
      <c r="J14" s="50">
        <v>1</v>
      </c>
      <c r="K14" s="50">
        <v>2</v>
      </c>
      <c r="L14" s="50">
        <v>0</v>
      </c>
      <c r="M14" s="50">
        <v>5</v>
      </c>
      <c r="N14" s="50">
        <v>0</v>
      </c>
      <c r="O14" s="15">
        <f t="shared" si="0"/>
        <v>7</v>
      </c>
      <c r="P14" s="15">
        <f t="shared" si="1"/>
        <v>12</v>
      </c>
      <c r="R14" s="1" t="s">
        <v>10</v>
      </c>
      <c r="S14" s="17">
        <f t="shared" ref="S14:AF14" si="6">SUM(C26:C29)</f>
        <v>4</v>
      </c>
      <c r="T14" s="17">
        <f t="shared" si="6"/>
        <v>1</v>
      </c>
      <c r="U14" s="17">
        <f t="shared" si="6"/>
        <v>2</v>
      </c>
      <c r="V14" s="17">
        <f t="shared" si="6"/>
        <v>1</v>
      </c>
      <c r="W14" s="17">
        <f t="shared" si="6"/>
        <v>0</v>
      </c>
      <c r="X14" s="17">
        <f t="shared" si="6"/>
        <v>0</v>
      </c>
      <c r="Y14" s="17">
        <f t="shared" si="6"/>
        <v>4</v>
      </c>
      <c r="Z14" s="17">
        <f t="shared" si="6"/>
        <v>0</v>
      </c>
      <c r="AA14" s="17">
        <f t="shared" si="6"/>
        <v>4</v>
      </c>
      <c r="AB14" s="17">
        <f t="shared" si="6"/>
        <v>0</v>
      </c>
      <c r="AC14" s="17">
        <f t="shared" si="6"/>
        <v>30</v>
      </c>
      <c r="AD14" s="17">
        <f t="shared" si="6"/>
        <v>0</v>
      </c>
      <c r="AE14" s="31">
        <f t="shared" si="6"/>
        <v>16</v>
      </c>
      <c r="AF14" s="31">
        <f t="shared" si="6"/>
        <v>46</v>
      </c>
    </row>
    <row r="15" spans="2:32" ht="23.1" customHeight="1" x14ac:dyDescent="0.25">
      <c r="B15" s="23" t="s">
        <v>42</v>
      </c>
      <c r="C15" s="50">
        <v>1</v>
      </c>
      <c r="D15" s="50">
        <v>0</v>
      </c>
      <c r="E15" s="50">
        <v>2</v>
      </c>
      <c r="F15" s="50">
        <v>0</v>
      </c>
      <c r="G15" s="50">
        <v>0</v>
      </c>
      <c r="H15" s="50">
        <v>0</v>
      </c>
      <c r="I15" s="50">
        <v>0</v>
      </c>
      <c r="J15" s="50">
        <v>0</v>
      </c>
      <c r="K15" s="50">
        <v>1</v>
      </c>
      <c r="L15" s="50">
        <v>0</v>
      </c>
      <c r="M15" s="50">
        <v>8</v>
      </c>
      <c r="N15" s="50">
        <v>0</v>
      </c>
      <c r="O15" s="15">
        <f t="shared" si="0"/>
        <v>4</v>
      </c>
      <c r="P15" s="15">
        <f t="shared" si="1"/>
        <v>12</v>
      </c>
      <c r="R15" s="1" t="s">
        <v>11</v>
      </c>
      <c r="S15" s="17">
        <f t="shared" ref="S15:AF15" si="7">SUM(C30:C33)</f>
        <v>10</v>
      </c>
      <c r="T15" s="17">
        <f t="shared" si="7"/>
        <v>0</v>
      </c>
      <c r="U15" s="17">
        <f t="shared" si="7"/>
        <v>2</v>
      </c>
      <c r="V15" s="17">
        <f t="shared" si="7"/>
        <v>1</v>
      </c>
      <c r="W15" s="17">
        <f t="shared" si="7"/>
        <v>0</v>
      </c>
      <c r="X15" s="17">
        <f t="shared" si="7"/>
        <v>0</v>
      </c>
      <c r="Y15" s="17">
        <f t="shared" si="7"/>
        <v>0</v>
      </c>
      <c r="Z15" s="17">
        <f t="shared" si="7"/>
        <v>0</v>
      </c>
      <c r="AA15" s="17">
        <f t="shared" si="7"/>
        <v>1</v>
      </c>
      <c r="AB15" s="17">
        <f t="shared" si="7"/>
        <v>0</v>
      </c>
      <c r="AC15" s="17">
        <f t="shared" si="7"/>
        <v>31</v>
      </c>
      <c r="AD15" s="17">
        <f t="shared" si="7"/>
        <v>0</v>
      </c>
      <c r="AE15" s="31">
        <f t="shared" si="7"/>
        <v>14</v>
      </c>
      <c r="AF15" s="31">
        <f t="shared" si="7"/>
        <v>45</v>
      </c>
    </row>
    <row r="16" spans="2:32" ht="23.1" customHeight="1" x14ac:dyDescent="0.25">
      <c r="B16" s="23" t="s">
        <v>43</v>
      </c>
      <c r="C16" s="50">
        <v>0</v>
      </c>
      <c r="D16" s="50">
        <v>0</v>
      </c>
      <c r="E16" s="50">
        <v>0</v>
      </c>
      <c r="F16" s="50">
        <v>0</v>
      </c>
      <c r="G16" s="50">
        <v>0</v>
      </c>
      <c r="H16" s="50">
        <v>0</v>
      </c>
      <c r="I16" s="50">
        <v>1</v>
      </c>
      <c r="J16" s="50">
        <v>0</v>
      </c>
      <c r="K16" s="50">
        <v>0</v>
      </c>
      <c r="L16" s="50">
        <v>0</v>
      </c>
      <c r="M16" s="50">
        <v>3</v>
      </c>
      <c r="N16" s="50">
        <v>0</v>
      </c>
      <c r="O16" s="15">
        <f t="shared" si="0"/>
        <v>1</v>
      </c>
      <c r="P16" s="15">
        <f t="shared" si="1"/>
        <v>4</v>
      </c>
      <c r="R16" s="1" t="s">
        <v>12</v>
      </c>
      <c r="S16" s="17">
        <f t="shared" ref="S16:AF16" si="8">SUM(C34:C37)</f>
        <v>10</v>
      </c>
      <c r="T16" s="17">
        <f t="shared" si="8"/>
        <v>0</v>
      </c>
      <c r="U16" s="17">
        <f t="shared" si="8"/>
        <v>1</v>
      </c>
      <c r="V16" s="17">
        <f t="shared" si="8"/>
        <v>0</v>
      </c>
      <c r="W16" s="17">
        <f t="shared" si="8"/>
        <v>0</v>
      </c>
      <c r="X16" s="17">
        <f t="shared" si="8"/>
        <v>0</v>
      </c>
      <c r="Y16" s="17">
        <f t="shared" si="8"/>
        <v>0</v>
      </c>
      <c r="Z16" s="17">
        <f t="shared" si="8"/>
        <v>1</v>
      </c>
      <c r="AA16" s="17">
        <f t="shared" si="8"/>
        <v>1</v>
      </c>
      <c r="AB16" s="17">
        <f t="shared" si="8"/>
        <v>0</v>
      </c>
      <c r="AC16" s="17">
        <f t="shared" si="8"/>
        <v>35</v>
      </c>
      <c r="AD16" s="17">
        <f t="shared" si="8"/>
        <v>0</v>
      </c>
      <c r="AE16" s="31">
        <f t="shared" si="8"/>
        <v>13</v>
      </c>
      <c r="AF16" s="31">
        <f t="shared" si="8"/>
        <v>48</v>
      </c>
    </row>
    <row r="17" spans="2:32" ht="23.1" customHeight="1" x14ac:dyDescent="0.25">
      <c r="B17" s="23" t="s">
        <v>44</v>
      </c>
      <c r="C17" s="50">
        <v>1</v>
      </c>
      <c r="D17" s="50">
        <v>0</v>
      </c>
      <c r="E17" s="50">
        <v>1</v>
      </c>
      <c r="F17" s="50">
        <v>1</v>
      </c>
      <c r="G17" s="50">
        <v>0</v>
      </c>
      <c r="H17" s="50">
        <v>0</v>
      </c>
      <c r="I17" s="50">
        <v>1</v>
      </c>
      <c r="J17" s="50">
        <v>1</v>
      </c>
      <c r="K17" s="50">
        <v>1</v>
      </c>
      <c r="L17" s="50">
        <v>0</v>
      </c>
      <c r="M17" s="50">
        <v>6</v>
      </c>
      <c r="N17" s="50">
        <v>0</v>
      </c>
      <c r="O17" s="15">
        <f t="shared" si="0"/>
        <v>6</v>
      </c>
      <c r="P17" s="15">
        <f t="shared" si="1"/>
        <v>12</v>
      </c>
      <c r="R17" s="1" t="s">
        <v>13</v>
      </c>
      <c r="S17" s="17">
        <f t="shared" ref="S17:AF17" si="9">SUM(C38:C41)</f>
        <v>3</v>
      </c>
      <c r="T17" s="17">
        <f t="shared" si="9"/>
        <v>1</v>
      </c>
      <c r="U17" s="17">
        <f t="shared" si="9"/>
        <v>0</v>
      </c>
      <c r="V17" s="17">
        <f t="shared" si="9"/>
        <v>4</v>
      </c>
      <c r="W17" s="17">
        <f t="shared" si="9"/>
        <v>0</v>
      </c>
      <c r="X17" s="17">
        <f t="shared" si="9"/>
        <v>0</v>
      </c>
      <c r="Y17" s="17">
        <f t="shared" si="9"/>
        <v>2</v>
      </c>
      <c r="Z17" s="17">
        <f t="shared" si="9"/>
        <v>0</v>
      </c>
      <c r="AA17" s="17">
        <f t="shared" si="9"/>
        <v>1</v>
      </c>
      <c r="AB17" s="17">
        <f t="shared" si="9"/>
        <v>1</v>
      </c>
      <c r="AC17" s="17">
        <f t="shared" si="9"/>
        <v>38</v>
      </c>
      <c r="AD17" s="17">
        <f t="shared" si="9"/>
        <v>0</v>
      </c>
      <c r="AE17" s="31">
        <f t="shared" si="9"/>
        <v>12</v>
      </c>
      <c r="AF17" s="31">
        <f t="shared" si="9"/>
        <v>50</v>
      </c>
    </row>
    <row r="18" spans="2:32" ht="23.1" customHeight="1" x14ac:dyDescent="0.25">
      <c r="B18" s="23" t="s">
        <v>45</v>
      </c>
      <c r="C18" s="50">
        <v>2</v>
      </c>
      <c r="D18" s="50">
        <v>0</v>
      </c>
      <c r="E18" s="50">
        <v>1</v>
      </c>
      <c r="F18" s="50">
        <v>1</v>
      </c>
      <c r="G18" s="50">
        <v>0</v>
      </c>
      <c r="H18" s="50">
        <v>0</v>
      </c>
      <c r="I18" s="50">
        <v>0</v>
      </c>
      <c r="J18" s="50">
        <v>1</v>
      </c>
      <c r="K18" s="50">
        <v>1</v>
      </c>
      <c r="L18" s="50">
        <v>0</v>
      </c>
      <c r="M18" s="50">
        <v>11</v>
      </c>
      <c r="N18" s="50">
        <v>0</v>
      </c>
      <c r="O18" s="15">
        <f t="shared" si="0"/>
        <v>6</v>
      </c>
      <c r="P18" s="15">
        <f t="shared" si="1"/>
        <v>17</v>
      </c>
      <c r="R18" s="1" t="s">
        <v>14</v>
      </c>
      <c r="S18" s="17">
        <f t="shared" ref="S18:AF18" si="10">SUM(C42:C45)</f>
        <v>3</v>
      </c>
      <c r="T18" s="17">
        <f t="shared" si="10"/>
        <v>0</v>
      </c>
      <c r="U18" s="17">
        <f t="shared" si="10"/>
        <v>1</v>
      </c>
      <c r="V18" s="17">
        <f t="shared" si="10"/>
        <v>3</v>
      </c>
      <c r="W18" s="17">
        <f t="shared" si="10"/>
        <v>0</v>
      </c>
      <c r="X18" s="17">
        <f t="shared" si="10"/>
        <v>0</v>
      </c>
      <c r="Y18" s="17">
        <f t="shared" si="10"/>
        <v>1</v>
      </c>
      <c r="Z18" s="17">
        <f t="shared" si="10"/>
        <v>0</v>
      </c>
      <c r="AA18" s="17">
        <f t="shared" si="10"/>
        <v>0</v>
      </c>
      <c r="AB18" s="17">
        <f t="shared" si="10"/>
        <v>1</v>
      </c>
      <c r="AC18" s="17">
        <f t="shared" si="10"/>
        <v>29</v>
      </c>
      <c r="AD18" s="17">
        <f t="shared" si="10"/>
        <v>0</v>
      </c>
      <c r="AE18" s="31">
        <f t="shared" si="10"/>
        <v>9</v>
      </c>
      <c r="AF18" s="31">
        <f t="shared" si="10"/>
        <v>38</v>
      </c>
    </row>
    <row r="19" spans="2:32" ht="23.1" customHeight="1" x14ac:dyDescent="0.25">
      <c r="B19" s="23" t="s">
        <v>46</v>
      </c>
      <c r="C19" s="50">
        <v>1</v>
      </c>
      <c r="D19" s="50">
        <v>1</v>
      </c>
      <c r="E19" s="50">
        <v>1</v>
      </c>
      <c r="F19" s="50">
        <v>1</v>
      </c>
      <c r="G19" s="50">
        <v>0</v>
      </c>
      <c r="H19" s="50">
        <v>0</v>
      </c>
      <c r="I19" s="50">
        <v>2</v>
      </c>
      <c r="J19" s="50">
        <v>0</v>
      </c>
      <c r="K19" s="50">
        <v>1</v>
      </c>
      <c r="L19" s="50">
        <v>0</v>
      </c>
      <c r="M19" s="50">
        <v>6</v>
      </c>
      <c r="N19" s="50">
        <v>0</v>
      </c>
      <c r="O19" s="15">
        <f t="shared" si="0"/>
        <v>7</v>
      </c>
      <c r="P19" s="15">
        <f t="shared" si="1"/>
        <v>13</v>
      </c>
      <c r="R19" s="1" t="s">
        <v>15</v>
      </c>
      <c r="S19" s="17">
        <f t="shared" ref="S19:AF19" si="11">SUM(C46:C49)</f>
        <v>5</v>
      </c>
      <c r="T19" s="17">
        <f t="shared" si="11"/>
        <v>0</v>
      </c>
      <c r="U19" s="17">
        <f t="shared" si="11"/>
        <v>1</v>
      </c>
      <c r="V19" s="17">
        <f t="shared" si="11"/>
        <v>1</v>
      </c>
      <c r="W19" s="17">
        <f t="shared" si="11"/>
        <v>0</v>
      </c>
      <c r="X19" s="17">
        <f t="shared" si="11"/>
        <v>0</v>
      </c>
      <c r="Y19" s="17">
        <f t="shared" si="11"/>
        <v>2</v>
      </c>
      <c r="Z19" s="17">
        <f t="shared" si="11"/>
        <v>0</v>
      </c>
      <c r="AA19" s="17">
        <f t="shared" si="11"/>
        <v>2</v>
      </c>
      <c r="AB19" s="17">
        <f t="shared" si="11"/>
        <v>0</v>
      </c>
      <c r="AC19" s="17">
        <f t="shared" si="11"/>
        <v>32</v>
      </c>
      <c r="AD19" s="17">
        <f t="shared" si="11"/>
        <v>0</v>
      </c>
      <c r="AE19" s="31">
        <f t="shared" si="11"/>
        <v>11</v>
      </c>
      <c r="AF19" s="31">
        <f t="shared" si="11"/>
        <v>43</v>
      </c>
    </row>
    <row r="20" spans="2:32" ht="23.1" customHeight="1" x14ac:dyDescent="0.25">
      <c r="B20" s="23" t="s">
        <v>47</v>
      </c>
      <c r="C20" s="50">
        <v>1</v>
      </c>
      <c r="D20" s="50">
        <v>0</v>
      </c>
      <c r="E20" s="50">
        <v>0</v>
      </c>
      <c r="F20" s="50">
        <v>0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50">
        <v>5</v>
      </c>
      <c r="N20" s="50">
        <v>0</v>
      </c>
      <c r="O20" s="15">
        <f t="shared" si="0"/>
        <v>1</v>
      </c>
      <c r="P20" s="15">
        <f t="shared" si="1"/>
        <v>6</v>
      </c>
      <c r="R20" s="1" t="s">
        <v>16</v>
      </c>
      <c r="S20" s="17">
        <f t="shared" ref="S20:AF20" si="12">SUM(C50:C53)</f>
        <v>13</v>
      </c>
      <c r="T20" s="17">
        <f t="shared" si="12"/>
        <v>2</v>
      </c>
      <c r="U20" s="17">
        <f t="shared" si="12"/>
        <v>2</v>
      </c>
      <c r="V20" s="17">
        <f t="shared" si="12"/>
        <v>9</v>
      </c>
      <c r="W20" s="17">
        <f t="shared" si="12"/>
        <v>1</v>
      </c>
      <c r="X20" s="17">
        <f t="shared" si="12"/>
        <v>0</v>
      </c>
      <c r="Y20" s="17">
        <f t="shared" si="12"/>
        <v>3</v>
      </c>
      <c r="Z20" s="17">
        <f t="shared" si="12"/>
        <v>2</v>
      </c>
      <c r="AA20" s="17">
        <f t="shared" si="12"/>
        <v>1</v>
      </c>
      <c r="AB20" s="17">
        <f t="shared" si="12"/>
        <v>1</v>
      </c>
      <c r="AC20" s="17">
        <f t="shared" si="12"/>
        <v>44</v>
      </c>
      <c r="AD20" s="17">
        <f t="shared" si="12"/>
        <v>0</v>
      </c>
      <c r="AE20" s="31">
        <f t="shared" si="12"/>
        <v>34</v>
      </c>
      <c r="AF20" s="31">
        <f t="shared" si="12"/>
        <v>78</v>
      </c>
    </row>
    <row r="21" spans="2:32" ht="23.1" customHeight="1" x14ac:dyDescent="0.25">
      <c r="B21" s="23" t="s">
        <v>48</v>
      </c>
      <c r="C21" s="50">
        <v>0</v>
      </c>
      <c r="D21" s="50">
        <v>2</v>
      </c>
      <c r="E21" s="50">
        <v>0</v>
      </c>
      <c r="F21" s="50">
        <v>0</v>
      </c>
      <c r="G21" s="50">
        <v>0</v>
      </c>
      <c r="H21" s="50">
        <v>0</v>
      </c>
      <c r="I21" s="50">
        <v>1</v>
      </c>
      <c r="J21" s="50">
        <v>1</v>
      </c>
      <c r="K21" s="50">
        <v>0</v>
      </c>
      <c r="L21" s="50">
        <v>0</v>
      </c>
      <c r="M21" s="50">
        <v>8</v>
      </c>
      <c r="N21" s="50">
        <v>0</v>
      </c>
      <c r="O21" s="15">
        <f t="shared" si="0"/>
        <v>4</v>
      </c>
      <c r="P21" s="15">
        <f t="shared" si="1"/>
        <v>12</v>
      </c>
      <c r="R21" s="36" t="s">
        <v>20</v>
      </c>
      <c r="S21" s="34">
        <f t="shared" ref="S21:AF21" si="13">SUM(C54:C57)</f>
        <v>4</v>
      </c>
      <c r="T21" s="17">
        <f t="shared" si="13"/>
        <v>7</v>
      </c>
      <c r="U21" s="17">
        <f t="shared" si="13"/>
        <v>0</v>
      </c>
      <c r="V21" s="17">
        <f t="shared" si="13"/>
        <v>6</v>
      </c>
      <c r="W21" s="17">
        <f t="shared" si="13"/>
        <v>1</v>
      </c>
      <c r="X21" s="17">
        <f t="shared" si="13"/>
        <v>0</v>
      </c>
      <c r="Y21" s="17">
        <f t="shared" si="13"/>
        <v>6</v>
      </c>
      <c r="Z21" s="17">
        <f t="shared" si="13"/>
        <v>1</v>
      </c>
      <c r="AA21" s="17">
        <f t="shared" si="13"/>
        <v>0</v>
      </c>
      <c r="AB21" s="17">
        <f t="shared" si="13"/>
        <v>0</v>
      </c>
      <c r="AC21" s="17">
        <f t="shared" si="13"/>
        <v>49</v>
      </c>
      <c r="AD21" s="17">
        <f t="shared" si="13"/>
        <v>0</v>
      </c>
      <c r="AE21" s="31">
        <f t="shared" si="13"/>
        <v>25</v>
      </c>
      <c r="AF21" s="31">
        <f t="shared" si="13"/>
        <v>74</v>
      </c>
    </row>
    <row r="22" spans="2:32" ht="23.1" customHeight="1" x14ac:dyDescent="0.25">
      <c r="B22" s="23" t="s">
        <v>49</v>
      </c>
      <c r="C22" s="50">
        <v>2</v>
      </c>
      <c r="D22" s="50">
        <v>0</v>
      </c>
      <c r="E22" s="50">
        <v>1</v>
      </c>
      <c r="F22" s="50">
        <v>0</v>
      </c>
      <c r="G22" s="50">
        <v>0</v>
      </c>
      <c r="H22" s="50">
        <v>0</v>
      </c>
      <c r="I22" s="50">
        <v>0</v>
      </c>
      <c r="J22" s="50">
        <v>0</v>
      </c>
      <c r="K22" s="50">
        <v>0</v>
      </c>
      <c r="L22" s="50">
        <v>0</v>
      </c>
      <c r="M22" s="50">
        <v>8</v>
      </c>
      <c r="N22" s="50">
        <v>0</v>
      </c>
      <c r="O22" s="15">
        <f t="shared" si="0"/>
        <v>3</v>
      </c>
      <c r="P22" s="15">
        <f t="shared" si="1"/>
        <v>11</v>
      </c>
      <c r="R22" s="38" t="s">
        <v>90</v>
      </c>
      <c r="S22" s="39">
        <f>MAX(S10:S12)</f>
        <v>8</v>
      </c>
      <c r="T22" s="39">
        <f t="shared" ref="T22:AF22" si="14">MAX(T10:T12)</f>
        <v>3</v>
      </c>
      <c r="U22" s="39">
        <f t="shared" si="14"/>
        <v>3</v>
      </c>
      <c r="V22" s="39">
        <f t="shared" si="14"/>
        <v>2</v>
      </c>
      <c r="W22" s="39">
        <f t="shared" si="14"/>
        <v>0</v>
      </c>
      <c r="X22" s="39">
        <f t="shared" si="14"/>
        <v>0</v>
      </c>
      <c r="Y22" s="39">
        <f t="shared" si="14"/>
        <v>4</v>
      </c>
      <c r="Z22" s="39">
        <f t="shared" si="14"/>
        <v>2</v>
      </c>
      <c r="AA22" s="39">
        <f t="shared" si="14"/>
        <v>4</v>
      </c>
      <c r="AB22" s="39">
        <f t="shared" si="14"/>
        <v>0</v>
      </c>
      <c r="AC22" s="39">
        <f t="shared" si="14"/>
        <v>30</v>
      </c>
      <c r="AD22" s="39">
        <f t="shared" si="14"/>
        <v>0</v>
      </c>
      <c r="AE22" s="40">
        <f t="shared" si="14"/>
        <v>18</v>
      </c>
      <c r="AF22" s="40">
        <f t="shared" si="14"/>
        <v>48</v>
      </c>
    </row>
    <row r="23" spans="2:32" ht="23.1" customHeight="1" x14ac:dyDescent="0.25">
      <c r="B23" s="23" t="s">
        <v>50</v>
      </c>
      <c r="C23" s="50">
        <v>1</v>
      </c>
      <c r="D23" s="50">
        <v>0</v>
      </c>
      <c r="E23" s="50">
        <v>2</v>
      </c>
      <c r="F23" s="50">
        <v>1</v>
      </c>
      <c r="G23" s="50">
        <v>0</v>
      </c>
      <c r="H23" s="50">
        <v>0</v>
      </c>
      <c r="I23" s="50">
        <v>0</v>
      </c>
      <c r="J23" s="50">
        <v>1</v>
      </c>
      <c r="K23" s="50">
        <v>1</v>
      </c>
      <c r="L23" s="50">
        <v>0</v>
      </c>
      <c r="M23" s="50">
        <v>10</v>
      </c>
      <c r="N23" s="50">
        <v>0</v>
      </c>
      <c r="O23" s="15">
        <f t="shared" si="0"/>
        <v>6</v>
      </c>
      <c r="P23" s="15">
        <f t="shared" si="1"/>
        <v>16</v>
      </c>
      <c r="R23" s="38" t="s">
        <v>91</v>
      </c>
      <c r="S23" s="39">
        <f>MAX(S13:S18)</f>
        <v>10</v>
      </c>
      <c r="T23" s="39">
        <f t="shared" ref="T23:AF23" si="15">MAX(T13:T18)</f>
        <v>1</v>
      </c>
      <c r="U23" s="39">
        <f t="shared" si="15"/>
        <v>5</v>
      </c>
      <c r="V23" s="39">
        <f t="shared" si="15"/>
        <v>4</v>
      </c>
      <c r="W23" s="39">
        <f t="shared" si="15"/>
        <v>0</v>
      </c>
      <c r="X23" s="39">
        <f t="shared" si="15"/>
        <v>0</v>
      </c>
      <c r="Y23" s="39">
        <f t="shared" si="15"/>
        <v>4</v>
      </c>
      <c r="Z23" s="39">
        <f t="shared" si="15"/>
        <v>1</v>
      </c>
      <c r="AA23" s="39">
        <f t="shared" si="15"/>
        <v>4</v>
      </c>
      <c r="AB23" s="39">
        <f t="shared" si="15"/>
        <v>1</v>
      </c>
      <c r="AC23" s="39">
        <f t="shared" si="15"/>
        <v>38</v>
      </c>
      <c r="AD23" s="39">
        <f t="shared" si="15"/>
        <v>0</v>
      </c>
      <c r="AE23" s="40">
        <f t="shared" si="15"/>
        <v>16</v>
      </c>
      <c r="AF23" s="40">
        <f t="shared" si="15"/>
        <v>50</v>
      </c>
    </row>
    <row r="24" spans="2:32" ht="23.1" customHeight="1" x14ac:dyDescent="0.25">
      <c r="B24" s="23" t="s">
        <v>51</v>
      </c>
      <c r="C24" s="50">
        <v>1</v>
      </c>
      <c r="D24" s="50">
        <v>1</v>
      </c>
      <c r="E24" s="50">
        <v>0</v>
      </c>
      <c r="F24" s="50">
        <v>0</v>
      </c>
      <c r="G24" s="50">
        <v>0</v>
      </c>
      <c r="H24" s="50">
        <v>0</v>
      </c>
      <c r="I24" s="50">
        <v>0</v>
      </c>
      <c r="J24" s="50">
        <v>0</v>
      </c>
      <c r="K24" s="50">
        <v>0</v>
      </c>
      <c r="L24" s="50">
        <v>0</v>
      </c>
      <c r="M24" s="50">
        <v>5</v>
      </c>
      <c r="N24" s="50">
        <v>0</v>
      </c>
      <c r="O24" s="15">
        <f t="shared" si="0"/>
        <v>2</v>
      </c>
      <c r="P24" s="15">
        <f t="shared" si="1"/>
        <v>7</v>
      </c>
      <c r="R24" s="38" t="s">
        <v>92</v>
      </c>
      <c r="S24" s="39">
        <f>MAX(S19:S21)</f>
        <v>13</v>
      </c>
      <c r="T24" s="39">
        <f t="shared" ref="T24:AF24" si="16">MAX(T19:T21)</f>
        <v>7</v>
      </c>
      <c r="U24" s="39">
        <f t="shared" si="16"/>
        <v>2</v>
      </c>
      <c r="V24" s="39">
        <f t="shared" si="16"/>
        <v>9</v>
      </c>
      <c r="W24" s="39">
        <f t="shared" si="16"/>
        <v>1</v>
      </c>
      <c r="X24" s="39">
        <f t="shared" si="16"/>
        <v>0</v>
      </c>
      <c r="Y24" s="39">
        <f t="shared" si="16"/>
        <v>6</v>
      </c>
      <c r="Z24" s="39">
        <f t="shared" si="16"/>
        <v>2</v>
      </c>
      <c r="AA24" s="39">
        <f t="shared" si="16"/>
        <v>2</v>
      </c>
      <c r="AB24" s="39">
        <f t="shared" si="16"/>
        <v>1</v>
      </c>
      <c r="AC24" s="39">
        <f t="shared" si="16"/>
        <v>49</v>
      </c>
      <c r="AD24" s="39">
        <f t="shared" si="16"/>
        <v>0</v>
      </c>
      <c r="AE24" s="40">
        <f t="shared" si="16"/>
        <v>34</v>
      </c>
      <c r="AF24" s="40">
        <f t="shared" si="16"/>
        <v>78</v>
      </c>
    </row>
    <row r="25" spans="2:32" ht="23.1" customHeight="1" x14ac:dyDescent="0.25">
      <c r="B25" s="23" t="s">
        <v>52</v>
      </c>
      <c r="C25" s="50">
        <v>0</v>
      </c>
      <c r="D25" s="50">
        <v>0</v>
      </c>
      <c r="E25" s="50">
        <v>2</v>
      </c>
      <c r="F25" s="50">
        <v>0</v>
      </c>
      <c r="G25" s="50">
        <v>0</v>
      </c>
      <c r="H25" s="50">
        <v>0</v>
      </c>
      <c r="I25" s="50">
        <v>3</v>
      </c>
      <c r="J25" s="50">
        <v>0</v>
      </c>
      <c r="K25" s="50">
        <v>0</v>
      </c>
      <c r="L25" s="50">
        <v>0</v>
      </c>
      <c r="M25" s="50">
        <v>5</v>
      </c>
      <c r="N25" s="50">
        <v>0</v>
      </c>
      <c r="O25" s="15">
        <f t="shared" si="0"/>
        <v>5</v>
      </c>
      <c r="P25" s="15">
        <f t="shared" si="1"/>
        <v>10</v>
      </c>
      <c r="R25" s="37" t="s">
        <v>85</v>
      </c>
      <c r="S25" s="35">
        <f t="shared" ref="S25:AF25" si="17">SUM(S10:S12)</f>
        <v>15</v>
      </c>
      <c r="T25" s="16">
        <f t="shared" si="17"/>
        <v>6</v>
      </c>
      <c r="U25" s="16">
        <f t="shared" si="17"/>
        <v>6</v>
      </c>
      <c r="V25" s="16">
        <f t="shared" si="17"/>
        <v>4</v>
      </c>
      <c r="W25" s="16">
        <f t="shared" si="17"/>
        <v>0</v>
      </c>
      <c r="X25" s="16">
        <f t="shared" si="17"/>
        <v>0</v>
      </c>
      <c r="Y25" s="16">
        <f t="shared" si="17"/>
        <v>10</v>
      </c>
      <c r="Z25" s="16">
        <f t="shared" si="17"/>
        <v>4</v>
      </c>
      <c r="AA25" s="16">
        <f t="shared" si="17"/>
        <v>8</v>
      </c>
      <c r="AB25" s="16">
        <f t="shared" si="17"/>
        <v>0</v>
      </c>
      <c r="AC25" s="16">
        <f t="shared" si="17"/>
        <v>73</v>
      </c>
      <c r="AD25" s="16">
        <f t="shared" si="17"/>
        <v>0</v>
      </c>
      <c r="AE25" s="32">
        <f t="shared" si="17"/>
        <v>53</v>
      </c>
      <c r="AF25" s="32">
        <f t="shared" si="17"/>
        <v>126</v>
      </c>
    </row>
    <row r="26" spans="2:32" ht="23.1" customHeight="1" x14ac:dyDescent="0.25">
      <c r="B26" s="23" t="s">
        <v>53</v>
      </c>
      <c r="C26" s="50">
        <v>0</v>
      </c>
      <c r="D26" s="50">
        <v>1</v>
      </c>
      <c r="E26" s="50">
        <v>0</v>
      </c>
      <c r="F26" s="50">
        <v>0</v>
      </c>
      <c r="G26" s="50">
        <v>0</v>
      </c>
      <c r="H26" s="50">
        <v>0</v>
      </c>
      <c r="I26" s="50">
        <v>2</v>
      </c>
      <c r="J26" s="50">
        <v>0</v>
      </c>
      <c r="K26" s="50">
        <v>1</v>
      </c>
      <c r="L26" s="50">
        <v>0</v>
      </c>
      <c r="M26" s="50">
        <v>6</v>
      </c>
      <c r="N26" s="50">
        <v>0</v>
      </c>
      <c r="O26" s="15">
        <f t="shared" si="0"/>
        <v>4</v>
      </c>
      <c r="P26" s="15">
        <f t="shared" si="1"/>
        <v>10</v>
      </c>
      <c r="R26" s="28" t="s">
        <v>86</v>
      </c>
      <c r="S26" s="16">
        <f t="shared" ref="S26:AF26" si="18">SUM(S13:S18)</f>
        <v>34</v>
      </c>
      <c r="T26" s="16">
        <f t="shared" si="18"/>
        <v>3</v>
      </c>
      <c r="U26" s="16">
        <f t="shared" si="18"/>
        <v>11</v>
      </c>
      <c r="V26" s="16">
        <f t="shared" si="18"/>
        <v>10</v>
      </c>
      <c r="W26" s="16">
        <f t="shared" si="18"/>
        <v>0</v>
      </c>
      <c r="X26" s="16">
        <f t="shared" si="18"/>
        <v>0</v>
      </c>
      <c r="Y26" s="16">
        <f t="shared" si="18"/>
        <v>10</v>
      </c>
      <c r="Z26" s="16">
        <f t="shared" si="18"/>
        <v>2</v>
      </c>
      <c r="AA26" s="16">
        <f t="shared" si="18"/>
        <v>8</v>
      </c>
      <c r="AB26" s="16">
        <f t="shared" si="18"/>
        <v>2</v>
      </c>
      <c r="AC26" s="16">
        <f t="shared" si="18"/>
        <v>191</v>
      </c>
      <c r="AD26" s="16">
        <f t="shared" si="18"/>
        <v>0</v>
      </c>
      <c r="AE26" s="32">
        <f t="shared" si="18"/>
        <v>80</v>
      </c>
      <c r="AF26" s="32">
        <f t="shared" si="18"/>
        <v>271</v>
      </c>
    </row>
    <row r="27" spans="2:32" ht="23.1" customHeight="1" x14ac:dyDescent="0.25">
      <c r="B27" s="23" t="s">
        <v>54</v>
      </c>
      <c r="C27" s="50">
        <v>2</v>
      </c>
      <c r="D27" s="50">
        <v>0</v>
      </c>
      <c r="E27" s="50">
        <v>1</v>
      </c>
      <c r="F27" s="50">
        <v>1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0</v>
      </c>
      <c r="M27" s="50">
        <v>10</v>
      </c>
      <c r="N27" s="50">
        <v>0</v>
      </c>
      <c r="O27" s="15">
        <f t="shared" si="0"/>
        <v>4</v>
      </c>
      <c r="P27" s="15">
        <f t="shared" si="1"/>
        <v>14</v>
      </c>
      <c r="R27" s="29" t="s">
        <v>87</v>
      </c>
      <c r="S27" s="16">
        <f t="shared" ref="S27:AF27" si="19">SUM(S19:S21)</f>
        <v>22</v>
      </c>
      <c r="T27" s="16">
        <f t="shared" si="19"/>
        <v>9</v>
      </c>
      <c r="U27" s="16">
        <f t="shared" si="19"/>
        <v>3</v>
      </c>
      <c r="V27" s="16">
        <f t="shared" si="19"/>
        <v>16</v>
      </c>
      <c r="W27" s="16">
        <f t="shared" si="19"/>
        <v>2</v>
      </c>
      <c r="X27" s="16">
        <f t="shared" si="19"/>
        <v>0</v>
      </c>
      <c r="Y27" s="16">
        <f t="shared" si="19"/>
        <v>11</v>
      </c>
      <c r="Z27" s="16">
        <f t="shared" si="19"/>
        <v>3</v>
      </c>
      <c r="AA27" s="16">
        <f t="shared" si="19"/>
        <v>3</v>
      </c>
      <c r="AB27" s="16">
        <f t="shared" si="19"/>
        <v>1</v>
      </c>
      <c r="AC27" s="16">
        <f t="shared" si="19"/>
        <v>125</v>
      </c>
      <c r="AD27" s="16">
        <f t="shared" si="19"/>
        <v>0</v>
      </c>
      <c r="AE27" s="32">
        <f t="shared" si="19"/>
        <v>70</v>
      </c>
      <c r="AF27" s="32">
        <f t="shared" si="19"/>
        <v>195</v>
      </c>
    </row>
    <row r="28" spans="2:32" ht="23.1" customHeight="1" x14ac:dyDescent="0.25">
      <c r="B28" s="23" t="s">
        <v>55</v>
      </c>
      <c r="C28" s="50">
        <v>0</v>
      </c>
      <c r="D28" s="50">
        <v>0</v>
      </c>
      <c r="E28" s="50">
        <v>1</v>
      </c>
      <c r="F28" s="50">
        <v>0</v>
      </c>
      <c r="G28" s="50">
        <v>0</v>
      </c>
      <c r="H28" s="50">
        <v>0</v>
      </c>
      <c r="I28" s="50">
        <v>2</v>
      </c>
      <c r="J28" s="50">
        <v>0</v>
      </c>
      <c r="K28" s="50">
        <v>2</v>
      </c>
      <c r="L28" s="50">
        <v>0</v>
      </c>
      <c r="M28" s="50">
        <v>9</v>
      </c>
      <c r="N28" s="50">
        <v>0</v>
      </c>
      <c r="O28" s="15">
        <f t="shared" si="0"/>
        <v>5</v>
      </c>
      <c r="P28" s="15">
        <f t="shared" si="1"/>
        <v>14</v>
      </c>
      <c r="R28" s="5" t="s">
        <v>17</v>
      </c>
      <c r="S28" s="16">
        <f t="shared" ref="S28:AF28" si="20">SUM(S10:S21)</f>
        <v>71</v>
      </c>
      <c r="T28" s="16">
        <f t="shared" si="20"/>
        <v>18</v>
      </c>
      <c r="U28" s="16">
        <f t="shared" si="20"/>
        <v>20</v>
      </c>
      <c r="V28" s="16">
        <f t="shared" si="20"/>
        <v>30</v>
      </c>
      <c r="W28" s="16">
        <f t="shared" si="20"/>
        <v>2</v>
      </c>
      <c r="X28" s="16">
        <f t="shared" si="20"/>
        <v>0</v>
      </c>
      <c r="Y28" s="16">
        <f t="shared" si="20"/>
        <v>31</v>
      </c>
      <c r="Z28" s="16">
        <f t="shared" si="20"/>
        <v>9</v>
      </c>
      <c r="AA28" s="16">
        <f t="shared" si="20"/>
        <v>19</v>
      </c>
      <c r="AB28" s="16">
        <f t="shared" si="20"/>
        <v>3</v>
      </c>
      <c r="AC28" s="16">
        <f t="shared" si="20"/>
        <v>389</v>
      </c>
      <c r="AD28" s="16">
        <f t="shared" si="20"/>
        <v>0</v>
      </c>
      <c r="AE28" s="32">
        <f t="shared" si="20"/>
        <v>203</v>
      </c>
      <c r="AF28" s="32">
        <f t="shared" si="20"/>
        <v>592</v>
      </c>
    </row>
    <row r="29" spans="2:32" ht="23.1" customHeight="1" x14ac:dyDescent="0.25">
      <c r="B29" s="23" t="s">
        <v>56</v>
      </c>
      <c r="C29" s="50">
        <v>2</v>
      </c>
      <c r="D29" s="50">
        <v>0</v>
      </c>
      <c r="E29" s="50">
        <v>0</v>
      </c>
      <c r="F29" s="50">
        <v>0</v>
      </c>
      <c r="G29" s="50">
        <v>0</v>
      </c>
      <c r="H29" s="50">
        <v>0</v>
      </c>
      <c r="I29" s="50">
        <v>0</v>
      </c>
      <c r="J29" s="50">
        <v>0</v>
      </c>
      <c r="K29" s="50">
        <v>1</v>
      </c>
      <c r="L29" s="50">
        <v>0</v>
      </c>
      <c r="M29" s="50">
        <v>5</v>
      </c>
      <c r="N29" s="50">
        <v>0</v>
      </c>
      <c r="O29" s="15">
        <f t="shared" si="0"/>
        <v>3</v>
      </c>
      <c r="P29" s="15">
        <f t="shared" si="1"/>
        <v>8</v>
      </c>
      <c r="R29"/>
      <c r="S29" s="20"/>
      <c r="T29" s="19"/>
    </row>
    <row r="30" spans="2:32" ht="23.1" customHeight="1" x14ac:dyDescent="0.25">
      <c r="B30" s="23" t="s">
        <v>57</v>
      </c>
      <c r="C30" s="50">
        <v>2</v>
      </c>
      <c r="D30" s="50">
        <v>0</v>
      </c>
      <c r="E30" s="50">
        <v>0</v>
      </c>
      <c r="F30" s="50">
        <v>1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0</v>
      </c>
      <c r="M30" s="50">
        <v>7</v>
      </c>
      <c r="N30" s="50">
        <v>0</v>
      </c>
      <c r="O30" s="15">
        <f t="shared" si="0"/>
        <v>3</v>
      </c>
      <c r="P30" s="15">
        <f t="shared" si="1"/>
        <v>10</v>
      </c>
    </row>
    <row r="31" spans="2:32" ht="23.1" customHeight="1" x14ac:dyDescent="0.25">
      <c r="B31" s="24" t="s">
        <v>58</v>
      </c>
      <c r="C31" s="50">
        <v>5</v>
      </c>
      <c r="D31" s="50">
        <v>0</v>
      </c>
      <c r="E31" s="50">
        <v>0</v>
      </c>
      <c r="F31" s="50">
        <v>0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50">
        <v>10</v>
      </c>
      <c r="N31" s="50">
        <v>0</v>
      </c>
      <c r="O31" s="15">
        <f t="shared" si="0"/>
        <v>5</v>
      </c>
      <c r="P31" s="15">
        <f t="shared" si="1"/>
        <v>15</v>
      </c>
    </row>
    <row r="32" spans="2:32" ht="23.1" customHeight="1" x14ac:dyDescent="0.25">
      <c r="B32" s="24" t="s">
        <v>59</v>
      </c>
      <c r="C32" s="50">
        <v>1</v>
      </c>
      <c r="D32" s="50">
        <v>0</v>
      </c>
      <c r="E32" s="50">
        <v>1</v>
      </c>
      <c r="F32" s="50">
        <v>0</v>
      </c>
      <c r="G32" s="50">
        <v>0</v>
      </c>
      <c r="H32" s="50">
        <v>0</v>
      </c>
      <c r="I32" s="50">
        <v>0</v>
      </c>
      <c r="J32" s="50">
        <v>0</v>
      </c>
      <c r="K32" s="50">
        <v>1</v>
      </c>
      <c r="L32" s="50">
        <v>0</v>
      </c>
      <c r="M32" s="50">
        <v>6</v>
      </c>
      <c r="N32" s="50">
        <v>0</v>
      </c>
      <c r="O32" s="15">
        <f t="shared" si="0"/>
        <v>3</v>
      </c>
      <c r="P32" s="15">
        <f t="shared" si="1"/>
        <v>9</v>
      </c>
    </row>
    <row r="33" spans="2:20" ht="23.1" customHeight="1" x14ac:dyDescent="0.25">
      <c r="B33" s="23" t="s">
        <v>60</v>
      </c>
      <c r="C33" s="50">
        <v>2</v>
      </c>
      <c r="D33" s="50">
        <v>0</v>
      </c>
      <c r="E33" s="50">
        <v>1</v>
      </c>
      <c r="F33" s="50">
        <v>0</v>
      </c>
      <c r="G33" s="50">
        <v>0</v>
      </c>
      <c r="H33" s="50">
        <v>0</v>
      </c>
      <c r="I33" s="50">
        <v>0</v>
      </c>
      <c r="J33" s="50">
        <v>0</v>
      </c>
      <c r="K33" s="50">
        <v>0</v>
      </c>
      <c r="L33" s="50">
        <v>0</v>
      </c>
      <c r="M33" s="50">
        <v>8</v>
      </c>
      <c r="N33" s="50">
        <v>0</v>
      </c>
      <c r="O33" s="15">
        <f t="shared" si="0"/>
        <v>3</v>
      </c>
      <c r="P33" s="15">
        <f t="shared" si="1"/>
        <v>11</v>
      </c>
    </row>
    <row r="34" spans="2:20" ht="23.1" customHeight="1" x14ac:dyDescent="0.25">
      <c r="B34" s="24" t="s">
        <v>61</v>
      </c>
      <c r="C34" s="50">
        <v>3</v>
      </c>
      <c r="D34" s="50">
        <v>0</v>
      </c>
      <c r="E34" s="50">
        <v>0</v>
      </c>
      <c r="F34" s="50">
        <v>0</v>
      </c>
      <c r="G34" s="50">
        <v>0</v>
      </c>
      <c r="H34" s="50">
        <v>0</v>
      </c>
      <c r="I34" s="50">
        <v>0</v>
      </c>
      <c r="J34" s="50">
        <v>0</v>
      </c>
      <c r="K34" s="50">
        <v>0</v>
      </c>
      <c r="L34" s="50">
        <v>0</v>
      </c>
      <c r="M34" s="50">
        <v>5</v>
      </c>
      <c r="N34" s="50">
        <v>0</v>
      </c>
      <c r="O34" s="15">
        <f t="shared" si="0"/>
        <v>3</v>
      </c>
      <c r="P34" s="15">
        <f t="shared" si="1"/>
        <v>8</v>
      </c>
    </row>
    <row r="35" spans="2:20" ht="23.1" customHeight="1" x14ac:dyDescent="0.25">
      <c r="B35" s="24" t="s">
        <v>62</v>
      </c>
      <c r="C35" s="50">
        <v>2</v>
      </c>
      <c r="D35" s="50">
        <v>0</v>
      </c>
      <c r="E35" s="50">
        <v>0</v>
      </c>
      <c r="F35" s="50">
        <v>0</v>
      </c>
      <c r="G35" s="50">
        <v>0</v>
      </c>
      <c r="H35" s="50">
        <v>0</v>
      </c>
      <c r="I35" s="50">
        <v>0</v>
      </c>
      <c r="J35" s="50">
        <v>1</v>
      </c>
      <c r="K35" s="50">
        <v>0</v>
      </c>
      <c r="L35" s="50">
        <v>0</v>
      </c>
      <c r="M35" s="50">
        <v>6</v>
      </c>
      <c r="N35" s="50">
        <v>0</v>
      </c>
      <c r="O35" s="15">
        <f t="shared" si="0"/>
        <v>3</v>
      </c>
      <c r="P35" s="15">
        <f t="shared" si="1"/>
        <v>9</v>
      </c>
    </row>
    <row r="36" spans="2:20" ht="23.1" customHeight="1" x14ac:dyDescent="0.25">
      <c r="B36" s="24" t="s">
        <v>63</v>
      </c>
      <c r="C36" s="50">
        <v>4</v>
      </c>
      <c r="D36" s="50">
        <v>0</v>
      </c>
      <c r="E36" s="50">
        <v>1</v>
      </c>
      <c r="F36" s="50">
        <v>0</v>
      </c>
      <c r="G36" s="50">
        <v>0</v>
      </c>
      <c r="H36" s="50">
        <v>0</v>
      </c>
      <c r="I36" s="50">
        <v>0</v>
      </c>
      <c r="J36" s="50">
        <v>0</v>
      </c>
      <c r="K36" s="50">
        <v>0</v>
      </c>
      <c r="L36" s="50">
        <v>0</v>
      </c>
      <c r="M36" s="50">
        <v>15</v>
      </c>
      <c r="N36" s="50">
        <v>0</v>
      </c>
      <c r="O36" s="15">
        <f t="shared" si="0"/>
        <v>5</v>
      </c>
      <c r="P36" s="15">
        <f t="shared" si="1"/>
        <v>20</v>
      </c>
    </row>
    <row r="37" spans="2:20" ht="23.1" customHeight="1" x14ac:dyDescent="0.25">
      <c r="B37" s="23" t="s">
        <v>64</v>
      </c>
      <c r="C37" s="50">
        <v>1</v>
      </c>
      <c r="D37" s="50">
        <v>0</v>
      </c>
      <c r="E37" s="50">
        <v>0</v>
      </c>
      <c r="F37" s="50">
        <v>0</v>
      </c>
      <c r="G37" s="50">
        <v>0</v>
      </c>
      <c r="H37" s="50">
        <v>0</v>
      </c>
      <c r="I37" s="50">
        <v>0</v>
      </c>
      <c r="J37" s="50">
        <v>0</v>
      </c>
      <c r="K37" s="50">
        <v>1</v>
      </c>
      <c r="L37" s="50">
        <v>0</v>
      </c>
      <c r="M37" s="50">
        <v>9</v>
      </c>
      <c r="N37" s="50">
        <v>0</v>
      </c>
      <c r="O37" s="15">
        <f t="shared" si="0"/>
        <v>2</v>
      </c>
      <c r="P37" s="15">
        <f t="shared" si="1"/>
        <v>11</v>
      </c>
    </row>
    <row r="38" spans="2:20" ht="23.1" customHeight="1" x14ac:dyDescent="0.25">
      <c r="B38" s="24" t="s">
        <v>65</v>
      </c>
      <c r="C38" s="50">
        <v>0</v>
      </c>
      <c r="D38" s="50">
        <v>1</v>
      </c>
      <c r="E38" s="50">
        <v>0</v>
      </c>
      <c r="F38" s="50">
        <v>2</v>
      </c>
      <c r="G38" s="50">
        <v>0</v>
      </c>
      <c r="H38" s="50">
        <v>0</v>
      </c>
      <c r="I38" s="50">
        <v>1</v>
      </c>
      <c r="J38" s="50">
        <v>0</v>
      </c>
      <c r="K38" s="50">
        <v>0</v>
      </c>
      <c r="L38" s="50">
        <v>1</v>
      </c>
      <c r="M38" s="50">
        <v>12</v>
      </c>
      <c r="N38" s="50">
        <v>0</v>
      </c>
      <c r="O38" s="15">
        <f t="shared" si="0"/>
        <v>5</v>
      </c>
      <c r="P38" s="15">
        <f t="shared" si="1"/>
        <v>17</v>
      </c>
    </row>
    <row r="39" spans="2:20" ht="23.1" customHeight="1" x14ac:dyDescent="0.25">
      <c r="B39" s="24" t="s">
        <v>66</v>
      </c>
      <c r="C39" s="50">
        <v>1</v>
      </c>
      <c r="D39" s="50">
        <v>0</v>
      </c>
      <c r="E39" s="50">
        <v>0</v>
      </c>
      <c r="F39" s="50">
        <v>0</v>
      </c>
      <c r="G39" s="50">
        <v>0</v>
      </c>
      <c r="H39" s="50">
        <v>0</v>
      </c>
      <c r="I39" s="50">
        <v>0</v>
      </c>
      <c r="J39" s="50">
        <v>0</v>
      </c>
      <c r="K39" s="50">
        <v>0</v>
      </c>
      <c r="L39" s="50">
        <v>0</v>
      </c>
      <c r="M39" s="50">
        <v>4</v>
      </c>
      <c r="N39" s="50">
        <v>0</v>
      </c>
      <c r="O39" s="15">
        <f t="shared" si="0"/>
        <v>1</v>
      </c>
      <c r="P39" s="15">
        <f t="shared" si="1"/>
        <v>5</v>
      </c>
    </row>
    <row r="40" spans="2:20" ht="23.1" customHeight="1" x14ac:dyDescent="0.25">
      <c r="B40" s="24" t="s">
        <v>67</v>
      </c>
      <c r="C40" s="50">
        <v>1</v>
      </c>
      <c r="D40" s="50">
        <v>0</v>
      </c>
      <c r="E40" s="50">
        <v>0</v>
      </c>
      <c r="F40" s="50">
        <v>1</v>
      </c>
      <c r="G40" s="50">
        <v>0</v>
      </c>
      <c r="H40" s="50">
        <v>0</v>
      </c>
      <c r="I40" s="50">
        <v>0</v>
      </c>
      <c r="J40" s="50">
        <v>0</v>
      </c>
      <c r="K40" s="50">
        <v>0</v>
      </c>
      <c r="L40" s="50">
        <v>0</v>
      </c>
      <c r="M40" s="50">
        <v>8</v>
      </c>
      <c r="N40" s="50">
        <v>0</v>
      </c>
      <c r="O40" s="15">
        <f t="shared" si="0"/>
        <v>2</v>
      </c>
      <c r="P40" s="15">
        <f t="shared" si="1"/>
        <v>10</v>
      </c>
    </row>
    <row r="41" spans="2:20" ht="23.1" customHeight="1" x14ac:dyDescent="0.25">
      <c r="B41" s="23" t="s">
        <v>68</v>
      </c>
      <c r="C41" s="50">
        <v>1</v>
      </c>
      <c r="D41" s="50">
        <v>0</v>
      </c>
      <c r="E41" s="50">
        <v>0</v>
      </c>
      <c r="F41" s="50">
        <v>1</v>
      </c>
      <c r="G41" s="50">
        <v>0</v>
      </c>
      <c r="H41" s="50">
        <v>0</v>
      </c>
      <c r="I41" s="50">
        <v>1</v>
      </c>
      <c r="J41" s="50">
        <v>0</v>
      </c>
      <c r="K41" s="50">
        <v>1</v>
      </c>
      <c r="L41" s="50">
        <v>0</v>
      </c>
      <c r="M41" s="50">
        <v>14</v>
      </c>
      <c r="N41" s="50">
        <v>0</v>
      </c>
      <c r="O41" s="15">
        <f t="shared" si="0"/>
        <v>4</v>
      </c>
      <c r="P41" s="15">
        <f t="shared" si="1"/>
        <v>18</v>
      </c>
    </row>
    <row r="42" spans="2:20" ht="23.1" customHeight="1" x14ac:dyDescent="0.25">
      <c r="B42" s="24" t="s">
        <v>69</v>
      </c>
      <c r="C42" s="50">
        <v>0</v>
      </c>
      <c r="D42" s="50">
        <v>0</v>
      </c>
      <c r="E42" s="50">
        <v>0</v>
      </c>
      <c r="F42" s="50">
        <v>1</v>
      </c>
      <c r="G42" s="50">
        <v>0</v>
      </c>
      <c r="H42" s="50">
        <v>0</v>
      </c>
      <c r="I42" s="50">
        <v>1</v>
      </c>
      <c r="J42" s="50">
        <v>0</v>
      </c>
      <c r="K42" s="50">
        <v>0</v>
      </c>
      <c r="L42" s="50">
        <v>1</v>
      </c>
      <c r="M42" s="50">
        <v>4</v>
      </c>
      <c r="N42" s="50">
        <v>0</v>
      </c>
      <c r="O42" s="15">
        <f t="shared" si="0"/>
        <v>3</v>
      </c>
      <c r="P42" s="15">
        <f t="shared" si="1"/>
        <v>7</v>
      </c>
    </row>
    <row r="43" spans="2:20" ht="23.1" customHeight="1" x14ac:dyDescent="0.25">
      <c r="B43" s="23" t="s">
        <v>70</v>
      </c>
      <c r="C43" s="50">
        <v>1</v>
      </c>
      <c r="D43" s="50">
        <v>0</v>
      </c>
      <c r="E43" s="50">
        <v>1</v>
      </c>
      <c r="F43" s="50">
        <v>1</v>
      </c>
      <c r="G43" s="50">
        <v>0</v>
      </c>
      <c r="H43" s="50">
        <v>0</v>
      </c>
      <c r="I43" s="50">
        <v>0</v>
      </c>
      <c r="J43" s="50">
        <v>0</v>
      </c>
      <c r="K43" s="50">
        <v>0</v>
      </c>
      <c r="L43" s="50">
        <v>0</v>
      </c>
      <c r="M43" s="50">
        <v>6</v>
      </c>
      <c r="N43" s="50">
        <v>0</v>
      </c>
      <c r="O43" s="15">
        <f t="shared" si="0"/>
        <v>3</v>
      </c>
      <c r="P43" s="15">
        <f t="shared" si="1"/>
        <v>9</v>
      </c>
    </row>
    <row r="44" spans="2:20" ht="23.1" customHeight="1" x14ac:dyDescent="0.25">
      <c r="B44" s="25" t="s">
        <v>71</v>
      </c>
      <c r="C44" s="50">
        <v>1</v>
      </c>
      <c r="D44" s="50">
        <v>0</v>
      </c>
      <c r="E44" s="50">
        <v>0</v>
      </c>
      <c r="F44" s="50">
        <v>1</v>
      </c>
      <c r="G44" s="50">
        <v>0</v>
      </c>
      <c r="H44" s="50">
        <v>0</v>
      </c>
      <c r="I44" s="50">
        <v>0</v>
      </c>
      <c r="J44" s="50">
        <v>0</v>
      </c>
      <c r="K44" s="50">
        <v>0</v>
      </c>
      <c r="L44" s="50">
        <v>0</v>
      </c>
      <c r="M44" s="50">
        <v>9</v>
      </c>
      <c r="N44" s="50">
        <v>0</v>
      </c>
      <c r="O44" s="15">
        <f t="shared" si="0"/>
        <v>2</v>
      </c>
      <c r="P44" s="15">
        <f t="shared" si="1"/>
        <v>11</v>
      </c>
    </row>
    <row r="45" spans="2:20" ht="23.1" customHeight="1" x14ac:dyDescent="0.25">
      <c r="B45" s="23" t="s">
        <v>72</v>
      </c>
      <c r="C45" s="50">
        <v>1</v>
      </c>
      <c r="D45" s="50">
        <v>0</v>
      </c>
      <c r="E45" s="50">
        <v>0</v>
      </c>
      <c r="F45" s="50">
        <v>0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0</v>
      </c>
      <c r="M45" s="50">
        <v>10</v>
      </c>
      <c r="N45" s="50">
        <v>0</v>
      </c>
      <c r="O45" s="15">
        <f t="shared" si="0"/>
        <v>1</v>
      </c>
      <c r="P45" s="15">
        <f t="shared" si="1"/>
        <v>11</v>
      </c>
    </row>
    <row r="46" spans="2:20" ht="23.1" customHeight="1" x14ac:dyDescent="0.25">
      <c r="B46" s="24" t="s">
        <v>73</v>
      </c>
      <c r="C46" s="50">
        <v>3</v>
      </c>
      <c r="D46" s="50">
        <v>0</v>
      </c>
      <c r="E46" s="50">
        <v>0</v>
      </c>
      <c r="F46" s="50">
        <v>1</v>
      </c>
      <c r="G46" s="50">
        <v>0</v>
      </c>
      <c r="H46" s="50">
        <v>0</v>
      </c>
      <c r="I46" s="50">
        <v>0</v>
      </c>
      <c r="J46" s="50">
        <v>0</v>
      </c>
      <c r="K46" s="50">
        <v>1</v>
      </c>
      <c r="L46" s="50">
        <v>0</v>
      </c>
      <c r="M46" s="50">
        <v>14</v>
      </c>
      <c r="N46" s="50">
        <v>0</v>
      </c>
      <c r="O46" s="15">
        <f t="shared" si="0"/>
        <v>5</v>
      </c>
      <c r="P46" s="15">
        <f t="shared" si="1"/>
        <v>19</v>
      </c>
      <c r="R46" s="8"/>
      <c r="T46"/>
    </row>
    <row r="47" spans="2:20" ht="23.1" customHeight="1" x14ac:dyDescent="0.25">
      <c r="B47" s="24" t="s">
        <v>74</v>
      </c>
      <c r="C47" s="50">
        <v>1</v>
      </c>
      <c r="D47" s="50">
        <v>0</v>
      </c>
      <c r="E47" s="50">
        <v>0</v>
      </c>
      <c r="F47" s="50">
        <v>0</v>
      </c>
      <c r="G47" s="50">
        <v>0</v>
      </c>
      <c r="H47" s="50">
        <v>0</v>
      </c>
      <c r="I47" s="50">
        <v>0</v>
      </c>
      <c r="J47" s="50">
        <v>0</v>
      </c>
      <c r="K47" s="50">
        <v>0</v>
      </c>
      <c r="L47" s="50">
        <v>0</v>
      </c>
      <c r="M47" s="50">
        <v>6</v>
      </c>
      <c r="N47" s="50">
        <v>0</v>
      </c>
      <c r="O47" s="15">
        <f t="shared" si="0"/>
        <v>1</v>
      </c>
      <c r="P47" s="15">
        <f t="shared" si="1"/>
        <v>7</v>
      </c>
      <c r="R47" s="8"/>
      <c r="T47"/>
    </row>
    <row r="48" spans="2:20" ht="23.1" customHeight="1" x14ac:dyDescent="0.25">
      <c r="B48" s="24" t="s">
        <v>75</v>
      </c>
      <c r="C48" s="50">
        <v>0</v>
      </c>
      <c r="D48" s="50">
        <v>0</v>
      </c>
      <c r="E48" s="50">
        <v>1</v>
      </c>
      <c r="F48" s="50">
        <v>0</v>
      </c>
      <c r="G48" s="50">
        <v>0</v>
      </c>
      <c r="H48" s="50">
        <v>0</v>
      </c>
      <c r="I48" s="50">
        <v>1</v>
      </c>
      <c r="J48" s="50">
        <v>0</v>
      </c>
      <c r="K48" s="50">
        <v>0</v>
      </c>
      <c r="L48" s="50">
        <v>0</v>
      </c>
      <c r="M48" s="50">
        <v>8</v>
      </c>
      <c r="N48" s="50">
        <v>0</v>
      </c>
      <c r="O48" s="15">
        <f t="shared" si="0"/>
        <v>2</v>
      </c>
      <c r="P48" s="15">
        <f t="shared" si="1"/>
        <v>10</v>
      </c>
      <c r="R48" s="8"/>
      <c r="T48"/>
    </row>
    <row r="49" spans="2:20" ht="23.1" customHeight="1" x14ac:dyDescent="0.25">
      <c r="B49" s="23" t="s">
        <v>76</v>
      </c>
      <c r="C49" s="50">
        <v>1</v>
      </c>
      <c r="D49" s="50">
        <v>0</v>
      </c>
      <c r="E49" s="50">
        <v>0</v>
      </c>
      <c r="F49" s="50">
        <v>0</v>
      </c>
      <c r="G49" s="50">
        <v>0</v>
      </c>
      <c r="H49" s="50">
        <v>0</v>
      </c>
      <c r="I49" s="50">
        <v>1</v>
      </c>
      <c r="J49" s="50">
        <v>0</v>
      </c>
      <c r="K49" s="50">
        <v>1</v>
      </c>
      <c r="L49" s="50">
        <v>0</v>
      </c>
      <c r="M49" s="50">
        <v>4</v>
      </c>
      <c r="N49" s="50">
        <v>0</v>
      </c>
      <c r="O49" s="15">
        <f t="shared" si="0"/>
        <v>3</v>
      </c>
      <c r="P49" s="15">
        <f t="shared" si="1"/>
        <v>7</v>
      </c>
      <c r="R49" s="8"/>
      <c r="T49"/>
    </row>
    <row r="50" spans="2:20" ht="23.1" customHeight="1" x14ac:dyDescent="0.25">
      <c r="B50" s="24" t="s">
        <v>77</v>
      </c>
      <c r="C50" s="50">
        <v>2</v>
      </c>
      <c r="D50" s="50">
        <v>0</v>
      </c>
      <c r="E50" s="50">
        <v>1</v>
      </c>
      <c r="F50" s="50">
        <v>2</v>
      </c>
      <c r="G50" s="50">
        <v>0</v>
      </c>
      <c r="H50" s="50">
        <v>0</v>
      </c>
      <c r="I50" s="50">
        <v>0</v>
      </c>
      <c r="J50" s="50">
        <v>0</v>
      </c>
      <c r="K50" s="50">
        <v>0</v>
      </c>
      <c r="L50" s="50">
        <v>0</v>
      </c>
      <c r="M50" s="50">
        <v>9</v>
      </c>
      <c r="N50" s="50">
        <v>0</v>
      </c>
      <c r="O50" s="15">
        <f t="shared" si="0"/>
        <v>5</v>
      </c>
      <c r="P50" s="15">
        <f t="shared" si="1"/>
        <v>14</v>
      </c>
      <c r="R50" s="8"/>
      <c r="T50"/>
    </row>
    <row r="51" spans="2:20" ht="23.1" customHeight="1" x14ac:dyDescent="0.25">
      <c r="B51" s="24" t="s">
        <v>78</v>
      </c>
      <c r="C51" s="50">
        <v>4</v>
      </c>
      <c r="D51" s="50">
        <v>0</v>
      </c>
      <c r="E51" s="50">
        <v>0</v>
      </c>
      <c r="F51" s="50">
        <v>0</v>
      </c>
      <c r="G51" s="50">
        <v>0</v>
      </c>
      <c r="H51" s="50">
        <v>0</v>
      </c>
      <c r="I51" s="50">
        <v>0</v>
      </c>
      <c r="J51" s="50">
        <v>1</v>
      </c>
      <c r="K51" s="50">
        <v>1</v>
      </c>
      <c r="L51" s="50">
        <v>0</v>
      </c>
      <c r="M51" s="50">
        <v>8</v>
      </c>
      <c r="N51" s="50">
        <v>0</v>
      </c>
      <c r="O51" s="15">
        <f t="shared" si="0"/>
        <v>6</v>
      </c>
      <c r="P51" s="15">
        <f t="shared" si="1"/>
        <v>14</v>
      </c>
      <c r="R51" s="8"/>
      <c r="T51"/>
    </row>
    <row r="52" spans="2:20" ht="23.1" customHeight="1" x14ac:dyDescent="0.25">
      <c r="B52" s="24" t="s">
        <v>79</v>
      </c>
      <c r="C52" s="50">
        <v>4</v>
      </c>
      <c r="D52" s="50">
        <v>1</v>
      </c>
      <c r="E52" s="50">
        <v>0</v>
      </c>
      <c r="F52" s="50">
        <v>4</v>
      </c>
      <c r="G52" s="50">
        <v>0</v>
      </c>
      <c r="H52" s="50">
        <v>0</v>
      </c>
      <c r="I52" s="50">
        <v>1</v>
      </c>
      <c r="J52" s="50">
        <v>0</v>
      </c>
      <c r="K52" s="50">
        <v>0</v>
      </c>
      <c r="L52" s="50">
        <v>0</v>
      </c>
      <c r="M52" s="50">
        <v>19</v>
      </c>
      <c r="N52" s="50">
        <v>0</v>
      </c>
      <c r="O52" s="15">
        <f t="shared" si="0"/>
        <v>10</v>
      </c>
      <c r="P52" s="15">
        <f t="shared" si="1"/>
        <v>29</v>
      </c>
      <c r="R52" s="8"/>
      <c r="T52"/>
    </row>
    <row r="53" spans="2:20" ht="23.1" customHeight="1" x14ac:dyDescent="0.25">
      <c r="B53" s="23" t="s">
        <v>80</v>
      </c>
      <c r="C53" s="50">
        <v>3</v>
      </c>
      <c r="D53" s="50">
        <v>1</v>
      </c>
      <c r="E53" s="50">
        <v>1</v>
      </c>
      <c r="F53" s="50">
        <v>3</v>
      </c>
      <c r="G53" s="50">
        <v>1</v>
      </c>
      <c r="H53" s="50">
        <v>0</v>
      </c>
      <c r="I53" s="50">
        <v>2</v>
      </c>
      <c r="J53" s="50">
        <v>1</v>
      </c>
      <c r="K53" s="50">
        <v>0</v>
      </c>
      <c r="L53" s="50">
        <v>1</v>
      </c>
      <c r="M53" s="50">
        <v>8</v>
      </c>
      <c r="N53" s="50">
        <v>0</v>
      </c>
      <c r="O53" s="15">
        <f t="shared" si="0"/>
        <v>13</v>
      </c>
      <c r="P53" s="15">
        <f t="shared" si="1"/>
        <v>21</v>
      </c>
      <c r="R53" s="8"/>
      <c r="T53"/>
    </row>
    <row r="54" spans="2:20" ht="23.1" customHeight="1" x14ac:dyDescent="0.25">
      <c r="B54" s="23" t="s">
        <v>81</v>
      </c>
      <c r="C54" s="50">
        <v>2</v>
      </c>
      <c r="D54" s="50">
        <v>3</v>
      </c>
      <c r="E54" s="50">
        <v>0</v>
      </c>
      <c r="F54" s="50">
        <v>3</v>
      </c>
      <c r="G54" s="50">
        <v>1</v>
      </c>
      <c r="H54" s="50">
        <v>0</v>
      </c>
      <c r="I54" s="50">
        <v>1</v>
      </c>
      <c r="J54" s="50">
        <v>0</v>
      </c>
      <c r="K54" s="50">
        <v>0</v>
      </c>
      <c r="L54" s="50">
        <v>0</v>
      </c>
      <c r="M54" s="50">
        <v>12</v>
      </c>
      <c r="N54" s="50">
        <v>0</v>
      </c>
      <c r="O54" s="15">
        <f t="shared" si="0"/>
        <v>10</v>
      </c>
      <c r="P54" s="15">
        <f t="shared" si="1"/>
        <v>22</v>
      </c>
      <c r="R54" s="8"/>
      <c r="T54"/>
    </row>
    <row r="55" spans="2:20" ht="23.1" customHeight="1" x14ac:dyDescent="0.25">
      <c r="B55" s="23" t="s">
        <v>82</v>
      </c>
      <c r="C55" s="50">
        <v>1</v>
      </c>
      <c r="D55" s="50">
        <v>1</v>
      </c>
      <c r="E55" s="50">
        <v>0</v>
      </c>
      <c r="F55" s="50">
        <v>1</v>
      </c>
      <c r="G55" s="50">
        <v>0</v>
      </c>
      <c r="H55" s="50">
        <v>0</v>
      </c>
      <c r="I55" s="50">
        <v>3</v>
      </c>
      <c r="J55" s="50">
        <v>0</v>
      </c>
      <c r="K55" s="50">
        <v>0</v>
      </c>
      <c r="L55" s="50">
        <v>0</v>
      </c>
      <c r="M55" s="50">
        <v>12</v>
      </c>
      <c r="N55" s="50">
        <v>0</v>
      </c>
      <c r="O55" s="15">
        <f t="shared" si="0"/>
        <v>6</v>
      </c>
      <c r="P55" s="15">
        <f t="shared" si="1"/>
        <v>18</v>
      </c>
      <c r="R55" s="8"/>
      <c r="T55"/>
    </row>
    <row r="56" spans="2:20" ht="23.1" customHeight="1" x14ac:dyDescent="0.25">
      <c r="B56" s="23" t="s">
        <v>83</v>
      </c>
      <c r="C56" s="50">
        <v>0</v>
      </c>
      <c r="D56" s="50">
        <v>1</v>
      </c>
      <c r="E56" s="50">
        <v>0</v>
      </c>
      <c r="F56" s="50">
        <v>1</v>
      </c>
      <c r="G56" s="50">
        <v>0</v>
      </c>
      <c r="H56" s="50">
        <v>0</v>
      </c>
      <c r="I56" s="50">
        <v>1</v>
      </c>
      <c r="J56" s="50">
        <v>0</v>
      </c>
      <c r="K56" s="50">
        <v>0</v>
      </c>
      <c r="L56" s="50">
        <v>0</v>
      </c>
      <c r="M56" s="50">
        <v>19</v>
      </c>
      <c r="N56" s="50">
        <v>0</v>
      </c>
      <c r="O56" s="15">
        <f t="shared" si="0"/>
        <v>3</v>
      </c>
      <c r="P56" s="15">
        <f t="shared" si="1"/>
        <v>22</v>
      </c>
      <c r="R56" s="8"/>
      <c r="T56"/>
    </row>
    <row r="57" spans="2:20" ht="23.1" customHeight="1" x14ac:dyDescent="0.25">
      <c r="B57" s="23" t="s">
        <v>84</v>
      </c>
      <c r="C57" s="50">
        <v>1</v>
      </c>
      <c r="D57" s="50">
        <v>2</v>
      </c>
      <c r="E57" s="50">
        <v>0</v>
      </c>
      <c r="F57" s="50">
        <v>1</v>
      </c>
      <c r="G57" s="50">
        <v>0</v>
      </c>
      <c r="H57" s="50">
        <v>0</v>
      </c>
      <c r="I57" s="50">
        <v>1</v>
      </c>
      <c r="J57" s="50">
        <v>1</v>
      </c>
      <c r="K57" s="50">
        <v>0</v>
      </c>
      <c r="L57" s="50">
        <v>0</v>
      </c>
      <c r="M57" s="50">
        <v>6</v>
      </c>
      <c r="N57" s="50">
        <v>0</v>
      </c>
      <c r="O57" s="15">
        <f t="shared" si="0"/>
        <v>6</v>
      </c>
      <c r="P57" s="15">
        <f t="shared" si="1"/>
        <v>12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71</v>
      </c>
      <c r="D58" s="16">
        <f t="shared" si="21"/>
        <v>18</v>
      </c>
      <c r="E58" s="16">
        <f t="shared" si="21"/>
        <v>20</v>
      </c>
      <c r="F58" s="16">
        <f t="shared" si="21"/>
        <v>30</v>
      </c>
      <c r="G58" s="16">
        <f t="shared" si="21"/>
        <v>2</v>
      </c>
      <c r="H58" s="16">
        <f t="shared" si="21"/>
        <v>0</v>
      </c>
      <c r="I58" s="16">
        <f t="shared" si="21"/>
        <v>31</v>
      </c>
      <c r="J58" s="16">
        <f t="shared" si="21"/>
        <v>9</v>
      </c>
      <c r="K58" s="16">
        <f t="shared" si="21"/>
        <v>19</v>
      </c>
      <c r="L58" s="16">
        <f t="shared" si="21"/>
        <v>3</v>
      </c>
      <c r="M58" s="16">
        <f t="shared" si="21"/>
        <v>389</v>
      </c>
      <c r="N58" s="16">
        <f t="shared" si="21"/>
        <v>0</v>
      </c>
      <c r="O58" s="16">
        <f t="shared" si="21"/>
        <v>203</v>
      </c>
      <c r="P58" s="16">
        <f t="shared" si="21"/>
        <v>592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0.11993243243243243</v>
      </c>
      <c r="D59" s="43">
        <f t="shared" si="22"/>
        <v>3.0405405405405407E-2</v>
      </c>
      <c r="E59" s="43">
        <f t="shared" si="22"/>
        <v>3.3783783783783786E-2</v>
      </c>
      <c r="F59" s="43">
        <f t="shared" si="22"/>
        <v>5.0675675675675678E-2</v>
      </c>
      <c r="G59" s="43">
        <f t="shared" si="22"/>
        <v>3.3783783783783786E-3</v>
      </c>
      <c r="H59" s="43">
        <f t="shared" si="22"/>
        <v>0</v>
      </c>
      <c r="I59" s="43">
        <f t="shared" si="22"/>
        <v>5.2364864864864864E-2</v>
      </c>
      <c r="J59" s="43">
        <f t="shared" si="22"/>
        <v>1.5202702702702704E-2</v>
      </c>
      <c r="K59" s="43">
        <f t="shared" si="22"/>
        <v>3.2094594594594593E-2</v>
      </c>
      <c r="L59" s="43">
        <f t="shared" si="22"/>
        <v>5.0675675675675678E-3</v>
      </c>
      <c r="M59" s="43">
        <f t="shared" si="22"/>
        <v>0.65709459459459463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0.34975369458128081</v>
      </c>
      <c r="D60" s="44">
        <f t="shared" ref="D60:N60" si="23">D58/$O$58</f>
        <v>8.8669950738916259E-2</v>
      </c>
      <c r="E60" s="44">
        <f t="shared" si="23"/>
        <v>9.8522167487684734E-2</v>
      </c>
      <c r="F60" s="44">
        <f t="shared" si="23"/>
        <v>0.14778325123152711</v>
      </c>
      <c r="G60" s="44">
        <f t="shared" si="23"/>
        <v>9.852216748768473E-3</v>
      </c>
      <c r="H60" s="44">
        <f t="shared" si="23"/>
        <v>0</v>
      </c>
      <c r="I60" s="44">
        <f t="shared" si="23"/>
        <v>0.15270935960591134</v>
      </c>
      <c r="J60" s="44">
        <f t="shared" si="23"/>
        <v>4.4334975369458129E-2</v>
      </c>
      <c r="K60" s="44">
        <f t="shared" si="23"/>
        <v>9.3596059113300489E-2</v>
      </c>
      <c r="L60" s="44">
        <f t="shared" si="23"/>
        <v>1.4778325123152709E-2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G5:H5"/>
    <mergeCell ref="G6:H6"/>
    <mergeCell ref="R8:AF8"/>
    <mergeCell ref="B1:AE1"/>
    <mergeCell ref="B2:AE2"/>
    <mergeCell ref="C3:G3"/>
    <mergeCell ref="D6:E6"/>
    <mergeCell ref="K6:L6"/>
    <mergeCell ref="K5:L5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topLeftCell="A2" zoomScale="80" zoomScaleSheetLayoutView="80" workbookViewId="0">
      <selection activeCell="D19" sqref="D19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1" t="s">
        <v>23</v>
      </c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</row>
    <row r="2" spans="2:32" ht="20.100000000000001" customHeight="1" x14ac:dyDescent="0.25">
      <c r="B2" s="62" t="s">
        <v>95</v>
      </c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</row>
    <row r="3" spans="2:32" ht="20.100000000000001" customHeight="1" x14ac:dyDescent="0.25">
      <c r="B3" s="22" t="s">
        <v>96</v>
      </c>
      <c r="C3" s="63" t="str">
        <f>'17.10 SSEMBABULE-KANONI'!C3:G3</f>
        <v>SSEMBABULE-KABULASOKE ROAD</v>
      </c>
      <c r="D3" s="63"/>
      <c r="E3" s="63"/>
      <c r="F3" s="63"/>
      <c r="G3" s="63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51" t="str">
        <f>'17.10 SSEMBABULE-KANONI'!D5</f>
        <v>17.10.2019</v>
      </c>
      <c r="E5" s="3"/>
      <c r="F5" s="41" t="s">
        <v>1</v>
      </c>
      <c r="G5" s="58" t="str">
        <f>'17.10 SSEMBABULE-KANONI'!G5:H5</f>
        <v>KYABI</v>
      </c>
      <c r="H5" s="59"/>
      <c r="I5" s="14"/>
      <c r="J5" s="2" t="s">
        <v>5</v>
      </c>
      <c r="K5" s="58" t="s">
        <v>171</v>
      </c>
      <c r="L5" s="59"/>
      <c r="M5" s="10"/>
      <c r="N5" s="10"/>
      <c r="O5" s="3"/>
      <c r="P5" s="3"/>
    </row>
    <row r="6" spans="2:32" ht="23.25" customHeight="1" x14ac:dyDescent="0.25">
      <c r="C6" s="2" t="s">
        <v>4</v>
      </c>
      <c r="D6" s="58" t="s">
        <v>163</v>
      </c>
      <c r="E6" s="59"/>
      <c r="F6" s="2" t="s">
        <v>2</v>
      </c>
      <c r="G6" s="58" t="s">
        <v>162</v>
      </c>
      <c r="H6" s="59"/>
      <c r="J6" s="2" t="s">
        <v>21</v>
      </c>
      <c r="K6" s="58" t="str">
        <f>'17.10 SSEMBABULE-KANONI'!K6:L6</f>
        <v>ONYUTI BETTY</v>
      </c>
      <c r="L6" s="59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0" t="s">
        <v>88</v>
      </c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0</v>
      </c>
      <c r="D10" s="50">
        <v>0</v>
      </c>
      <c r="E10" s="50">
        <v>0</v>
      </c>
      <c r="F10" s="50">
        <v>0</v>
      </c>
      <c r="G10" s="50">
        <v>0</v>
      </c>
      <c r="H10" s="50">
        <v>0</v>
      </c>
      <c r="I10" s="50">
        <v>1</v>
      </c>
      <c r="J10" s="50">
        <v>0</v>
      </c>
      <c r="K10" s="50">
        <v>0</v>
      </c>
      <c r="L10" s="50">
        <v>0</v>
      </c>
      <c r="M10" s="50">
        <v>6</v>
      </c>
      <c r="N10" s="50">
        <v>0</v>
      </c>
      <c r="O10" s="15">
        <f t="shared" ref="O10:O57" si="0">SUM(C10:L10,N10)</f>
        <v>1</v>
      </c>
      <c r="P10" s="15">
        <f t="shared" ref="P10:P57" si="1">SUM(C10:N10)</f>
        <v>7</v>
      </c>
      <c r="R10" s="1" t="s">
        <v>6</v>
      </c>
      <c r="S10" s="17">
        <f t="shared" ref="S10:AF10" si="2">SUM(C10:C13)</f>
        <v>3</v>
      </c>
      <c r="T10" s="17">
        <f t="shared" si="2"/>
        <v>1</v>
      </c>
      <c r="U10" s="17">
        <f t="shared" si="2"/>
        <v>2</v>
      </c>
      <c r="V10" s="17">
        <f t="shared" si="2"/>
        <v>1</v>
      </c>
      <c r="W10" s="17">
        <f t="shared" si="2"/>
        <v>0</v>
      </c>
      <c r="X10" s="17">
        <f t="shared" si="2"/>
        <v>0</v>
      </c>
      <c r="Y10" s="17">
        <f t="shared" si="2"/>
        <v>5</v>
      </c>
      <c r="Z10" s="17">
        <f t="shared" si="2"/>
        <v>1</v>
      </c>
      <c r="AA10" s="17">
        <f t="shared" si="2"/>
        <v>0</v>
      </c>
      <c r="AB10" s="17">
        <f t="shared" si="2"/>
        <v>0</v>
      </c>
      <c r="AC10" s="17">
        <f t="shared" si="2"/>
        <v>27</v>
      </c>
      <c r="AD10" s="17">
        <f t="shared" si="2"/>
        <v>0</v>
      </c>
      <c r="AE10" s="31">
        <f t="shared" si="2"/>
        <v>13</v>
      </c>
      <c r="AF10" s="31">
        <f t="shared" si="2"/>
        <v>40</v>
      </c>
    </row>
    <row r="11" spans="2:32" s="6" customFormat="1" ht="23.1" customHeight="1" x14ac:dyDescent="0.25">
      <c r="B11" s="23" t="s">
        <v>38</v>
      </c>
      <c r="C11" s="50">
        <v>0</v>
      </c>
      <c r="D11" s="50">
        <v>0</v>
      </c>
      <c r="E11" s="50">
        <v>0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2</v>
      </c>
      <c r="N11" s="50">
        <v>0</v>
      </c>
      <c r="O11" s="15">
        <f t="shared" si="0"/>
        <v>0</v>
      </c>
      <c r="P11" s="15">
        <f t="shared" si="1"/>
        <v>2</v>
      </c>
      <c r="R11" s="1" t="s">
        <v>7</v>
      </c>
      <c r="S11" s="17">
        <f t="shared" ref="S11:AF11" si="3">SUM(C14:C17)</f>
        <v>3</v>
      </c>
      <c r="T11" s="17">
        <f t="shared" si="3"/>
        <v>0</v>
      </c>
      <c r="U11" s="17">
        <f t="shared" si="3"/>
        <v>0</v>
      </c>
      <c r="V11" s="17">
        <f t="shared" si="3"/>
        <v>7</v>
      </c>
      <c r="W11" s="17">
        <f t="shared" si="3"/>
        <v>0</v>
      </c>
      <c r="X11" s="17">
        <f t="shared" si="3"/>
        <v>0</v>
      </c>
      <c r="Y11" s="17">
        <f t="shared" si="3"/>
        <v>0</v>
      </c>
      <c r="Z11" s="17">
        <f t="shared" si="3"/>
        <v>0</v>
      </c>
      <c r="AA11" s="17">
        <f t="shared" si="3"/>
        <v>0</v>
      </c>
      <c r="AB11" s="17">
        <f t="shared" si="3"/>
        <v>0</v>
      </c>
      <c r="AC11" s="17">
        <f t="shared" si="3"/>
        <v>21</v>
      </c>
      <c r="AD11" s="17">
        <f t="shared" si="3"/>
        <v>0</v>
      </c>
      <c r="AE11" s="31">
        <f t="shared" si="3"/>
        <v>10</v>
      </c>
      <c r="AF11" s="31">
        <f t="shared" si="3"/>
        <v>31</v>
      </c>
    </row>
    <row r="12" spans="2:32" ht="23.1" customHeight="1" x14ac:dyDescent="0.25">
      <c r="B12" s="23" t="s">
        <v>39</v>
      </c>
      <c r="C12" s="50">
        <v>2</v>
      </c>
      <c r="D12" s="50">
        <v>0</v>
      </c>
      <c r="E12" s="50">
        <v>2</v>
      </c>
      <c r="F12" s="50">
        <v>0</v>
      </c>
      <c r="G12" s="50">
        <v>0</v>
      </c>
      <c r="H12" s="50">
        <v>0</v>
      </c>
      <c r="I12" s="50">
        <v>2</v>
      </c>
      <c r="J12" s="50">
        <v>1</v>
      </c>
      <c r="K12" s="50">
        <v>0</v>
      </c>
      <c r="L12" s="50">
        <v>0</v>
      </c>
      <c r="M12" s="50">
        <v>10</v>
      </c>
      <c r="N12" s="50">
        <v>0</v>
      </c>
      <c r="O12" s="15">
        <f t="shared" si="0"/>
        <v>7</v>
      </c>
      <c r="P12" s="15">
        <f t="shared" si="1"/>
        <v>17</v>
      </c>
      <c r="R12" s="1" t="s">
        <v>8</v>
      </c>
      <c r="S12" s="17">
        <f t="shared" ref="S12:AF12" si="4">SUM(C18:C21)</f>
        <v>3</v>
      </c>
      <c r="T12" s="17">
        <f t="shared" si="4"/>
        <v>0</v>
      </c>
      <c r="U12" s="17">
        <f t="shared" si="4"/>
        <v>2</v>
      </c>
      <c r="V12" s="17">
        <f t="shared" si="4"/>
        <v>2</v>
      </c>
      <c r="W12" s="17">
        <f t="shared" si="4"/>
        <v>0</v>
      </c>
      <c r="X12" s="17">
        <f t="shared" si="4"/>
        <v>0</v>
      </c>
      <c r="Y12" s="17">
        <f t="shared" si="4"/>
        <v>1</v>
      </c>
      <c r="Z12" s="17">
        <f t="shared" si="4"/>
        <v>0</v>
      </c>
      <c r="AA12" s="17">
        <f t="shared" si="4"/>
        <v>4</v>
      </c>
      <c r="AB12" s="17">
        <f t="shared" si="4"/>
        <v>0</v>
      </c>
      <c r="AC12" s="17">
        <f t="shared" si="4"/>
        <v>29</v>
      </c>
      <c r="AD12" s="17">
        <f t="shared" si="4"/>
        <v>0</v>
      </c>
      <c r="AE12" s="31">
        <f t="shared" si="4"/>
        <v>12</v>
      </c>
      <c r="AF12" s="31">
        <f t="shared" si="4"/>
        <v>41</v>
      </c>
    </row>
    <row r="13" spans="2:32" ht="23.1" customHeight="1" x14ac:dyDescent="0.25">
      <c r="B13" s="23" t="s">
        <v>40</v>
      </c>
      <c r="C13" s="50">
        <v>1</v>
      </c>
      <c r="D13" s="50">
        <v>1</v>
      </c>
      <c r="E13" s="50">
        <v>0</v>
      </c>
      <c r="F13" s="50">
        <v>1</v>
      </c>
      <c r="G13" s="50">
        <v>0</v>
      </c>
      <c r="H13" s="50">
        <v>0</v>
      </c>
      <c r="I13" s="50">
        <v>2</v>
      </c>
      <c r="J13" s="50">
        <v>0</v>
      </c>
      <c r="K13" s="50">
        <v>0</v>
      </c>
      <c r="L13" s="50">
        <v>0</v>
      </c>
      <c r="M13" s="50">
        <v>9</v>
      </c>
      <c r="N13" s="50">
        <v>0</v>
      </c>
      <c r="O13" s="15">
        <f t="shared" si="0"/>
        <v>5</v>
      </c>
      <c r="P13" s="15">
        <f t="shared" si="1"/>
        <v>14</v>
      </c>
      <c r="R13" s="1" t="s">
        <v>9</v>
      </c>
      <c r="S13" s="17">
        <f t="shared" ref="S13:AF13" si="5">SUM(C22:C25)</f>
        <v>2</v>
      </c>
      <c r="T13" s="17">
        <f t="shared" si="5"/>
        <v>2</v>
      </c>
      <c r="U13" s="17">
        <f t="shared" si="5"/>
        <v>0</v>
      </c>
      <c r="V13" s="17">
        <f t="shared" si="5"/>
        <v>0</v>
      </c>
      <c r="W13" s="17">
        <f t="shared" si="5"/>
        <v>0</v>
      </c>
      <c r="X13" s="17">
        <f t="shared" si="5"/>
        <v>0</v>
      </c>
      <c r="Y13" s="17">
        <f t="shared" si="5"/>
        <v>1</v>
      </c>
      <c r="Z13" s="17">
        <f t="shared" si="5"/>
        <v>0</v>
      </c>
      <c r="AA13" s="17">
        <f t="shared" si="5"/>
        <v>4</v>
      </c>
      <c r="AB13" s="17">
        <f t="shared" si="5"/>
        <v>0</v>
      </c>
      <c r="AC13" s="17">
        <f t="shared" si="5"/>
        <v>29</v>
      </c>
      <c r="AD13" s="17">
        <f t="shared" si="5"/>
        <v>0</v>
      </c>
      <c r="AE13" s="31">
        <f t="shared" si="5"/>
        <v>9</v>
      </c>
      <c r="AF13" s="31">
        <f t="shared" si="5"/>
        <v>38</v>
      </c>
    </row>
    <row r="14" spans="2:32" ht="23.1" customHeight="1" x14ac:dyDescent="0.25">
      <c r="B14" s="23" t="s">
        <v>41</v>
      </c>
      <c r="C14" s="50">
        <v>1</v>
      </c>
      <c r="D14" s="50">
        <v>0</v>
      </c>
      <c r="E14" s="50">
        <v>0</v>
      </c>
      <c r="F14" s="50">
        <v>2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6</v>
      </c>
      <c r="N14" s="50">
        <v>0</v>
      </c>
      <c r="O14" s="15">
        <f t="shared" si="0"/>
        <v>3</v>
      </c>
      <c r="P14" s="15">
        <f t="shared" si="1"/>
        <v>9</v>
      </c>
      <c r="R14" s="1" t="s">
        <v>10</v>
      </c>
      <c r="S14" s="17">
        <f t="shared" ref="S14:AF14" si="6">SUM(C26:C29)</f>
        <v>6</v>
      </c>
      <c r="T14" s="17">
        <f t="shared" si="6"/>
        <v>2</v>
      </c>
      <c r="U14" s="17">
        <f t="shared" si="6"/>
        <v>1</v>
      </c>
      <c r="V14" s="17">
        <f t="shared" si="6"/>
        <v>4</v>
      </c>
      <c r="W14" s="17">
        <f t="shared" si="6"/>
        <v>0</v>
      </c>
      <c r="X14" s="17">
        <f t="shared" si="6"/>
        <v>0</v>
      </c>
      <c r="Y14" s="17">
        <f t="shared" si="6"/>
        <v>1</v>
      </c>
      <c r="Z14" s="17">
        <f t="shared" si="6"/>
        <v>0</v>
      </c>
      <c r="AA14" s="17">
        <f t="shared" si="6"/>
        <v>0</v>
      </c>
      <c r="AB14" s="17">
        <f t="shared" si="6"/>
        <v>0</v>
      </c>
      <c r="AC14" s="17">
        <f t="shared" si="6"/>
        <v>37</v>
      </c>
      <c r="AD14" s="17">
        <f t="shared" si="6"/>
        <v>0</v>
      </c>
      <c r="AE14" s="31">
        <f t="shared" si="6"/>
        <v>14</v>
      </c>
      <c r="AF14" s="31">
        <f t="shared" si="6"/>
        <v>51</v>
      </c>
    </row>
    <row r="15" spans="2:32" ht="23.1" customHeight="1" x14ac:dyDescent="0.25">
      <c r="B15" s="23" t="s">
        <v>42</v>
      </c>
      <c r="C15" s="50">
        <v>1</v>
      </c>
      <c r="D15" s="50">
        <v>0</v>
      </c>
      <c r="E15" s="50">
        <v>0</v>
      </c>
      <c r="F15" s="50">
        <v>2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5</v>
      </c>
      <c r="N15" s="50">
        <v>0</v>
      </c>
      <c r="O15" s="15">
        <f t="shared" si="0"/>
        <v>3</v>
      </c>
      <c r="P15" s="15">
        <f t="shared" si="1"/>
        <v>8</v>
      </c>
      <c r="R15" s="1" t="s">
        <v>11</v>
      </c>
      <c r="S15" s="17">
        <f t="shared" ref="S15:AF15" si="7">SUM(C30:C33)</f>
        <v>13</v>
      </c>
      <c r="T15" s="17">
        <f t="shared" si="7"/>
        <v>0</v>
      </c>
      <c r="U15" s="17">
        <f t="shared" si="7"/>
        <v>2</v>
      </c>
      <c r="V15" s="17">
        <f t="shared" si="7"/>
        <v>3</v>
      </c>
      <c r="W15" s="17">
        <f t="shared" si="7"/>
        <v>0</v>
      </c>
      <c r="X15" s="17">
        <f t="shared" si="7"/>
        <v>0</v>
      </c>
      <c r="Y15" s="17">
        <f t="shared" si="7"/>
        <v>2</v>
      </c>
      <c r="Z15" s="17">
        <f t="shared" si="7"/>
        <v>2</v>
      </c>
      <c r="AA15" s="17">
        <f t="shared" si="7"/>
        <v>4</v>
      </c>
      <c r="AB15" s="17">
        <f t="shared" si="7"/>
        <v>0</v>
      </c>
      <c r="AC15" s="17">
        <f t="shared" si="7"/>
        <v>39</v>
      </c>
      <c r="AD15" s="17">
        <f t="shared" si="7"/>
        <v>0</v>
      </c>
      <c r="AE15" s="31">
        <f t="shared" si="7"/>
        <v>26</v>
      </c>
      <c r="AF15" s="31">
        <f t="shared" si="7"/>
        <v>65</v>
      </c>
    </row>
    <row r="16" spans="2:32" ht="23.1" customHeight="1" x14ac:dyDescent="0.25">
      <c r="B16" s="23" t="s">
        <v>43</v>
      </c>
      <c r="C16" s="50">
        <v>0</v>
      </c>
      <c r="D16" s="50">
        <v>0</v>
      </c>
      <c r="E16" s="50">
        <v>0</v>
      </c>
      <c r="F16" s="50">
        <v>1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4</v>
      </c>
      <c r="N16" s="50">
        <v>0</v>
      </c>
      <c r="O16" s="15">
        <f t="shared" si="0"/>
        <v>1</v>
      </c>
      <c r="P16" s="15">
        <f t="shared" si="1"/>
        <v>5</v>
      </c>
      <c r="R16" s="1" t="s">
        <v>12</v>
      </c>
      <c r="S16" s="17">
        <f t="shared" ref="S16:AF16" si="8">SUM(C34:C37)</f>
        <v>9</v>
      </c>
      <c r="T16" s="17">
        <f t="shared" si="8"/>
        <v>0</v>
      </c>
      <c r="U16" s="17">
        <f t="shared" si="8"/>
        <v>2</v>
      </c>
      <c r="V16" s="17">
        <f t="shared" si="8"/>
        <v>5</v>
      </c>
      <c r="W16" s="17">
        <f t="shared" si="8"/>
        <v>1</v>
      </c>
      <c r="X16" s="17">
        <f t="shared" si="8"/>
        <v>0</v>
      </c>
      <c r="Y16" s="17">
        <f t="shared" si="8"/>
        <v>4</v>
      </c>
      <c r="Z16" s="17">
        <f t="shared" si="8"/>
        <v>2</v>
      </c>
      <c r="AA16" s="17">
        <f t="shared" si="8"/>
        <v>0</v>
      </c>
      <c r="AB16" s="17">
        <f t="shared" si="8"/>
        <v>1</v>
      </c>
      <c r="AC16" s="17">
        <f t="shared" si="8"/>
        <v>42</v>
      </c>
      <c r="AD16" s="17">
        <f t="shared" si="8"/>
        <v>0</v>
      </c>
      <c r="AE16" s="31">
        <f t="shared" si="8"/>
        <v>24</v>
      </c>
      <c r="AF16" s="31">
        <f t="shared" si="8"/>
        <v>66</v>
      </c>
    </row>
    <row r="17" spans="2:32" ht="23.1" customHeight="1" x14ac:dyDescent="0.25">
      <c r="B17" s="23" t="s">
        <v>44</v>
      </c>
      <c r="C17" s="50">
        <v>1</v>
      </c>
      <c r="D17" s="50">
        <v>0</v>
      </c>
      <c r="E17" s="50">
        <v>0</v>
      </c>
      <c r="F17" s="50">
        <v>2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6</v>
      </c>
      <c r="N17" s="50">
        <v>0</v>
      </c>
      <c r="O17" s="15">
        <f t="shared" si="0"/>
        <v>3</v>
      </c>
      <c r="P17" s="15">
        <f t="shared" si="1"/>
        <v>9</v>
      </c>
      <c r="R17" s="1" t="s">
        <v>13</v>
      </c>
      <c r="S17" s="17">
        <f t="shared" ref="S17:AF17" si="9">SUM(C38:C41)</f>
        <v>2</v>
      </c>
      <c r="T17" s="17">
        <f t="shared" si="9"/>
        <v>0</v>
      </c>
      <c r="U17" s="17">
        <f t="shared" si="9"/>
        <v>1</v>
      </c>
      <c r="V17" s="17">
        <f t="shared" si="9"/>
        <v>2</v>
      </c>
      <c r="W17" s="17">
        <f t="shared" si="9"/>
        <v>0</v>
      </c>
      <c r="X17" s="17">
        <f t="shared" si="9"/>
        <v>0</v>
      </c>
      <c r="Y17" s="17">
        <f t="shared" si="9"/>
        <v>3</v>
      </c>
      <c r="Z17" s="17">
        <f t="shared" si="9"/>
        <v>0</v>
      </c>
      <c r="AA17" s="17">
        <f t="shared" si="9"/>
        <v>13</v>
      </c>
      <c r="AB17" s="17">
        <f t="shared" si="9"/>
        <v>1</v>
      </c>
      <c r="AC17" s="17">
        <f t="shared" si="9"/>
        <v>40</v>
      </c>
      <c r="AD17" s="17">
        <f t="shared" si="9"/>
        <v>0</v>
      </c>
      <c r="AE17" s="31">
        <f t="shared" si="9"/>
        <v>22</v>
      </c>
      <c r="AF17" s="31">
        <f t="shared" si="9"/>
        <v>62</v>
      </c>
    </row>
    <row r="18" spans="2:32" ht="23.1" customHeight="1" x14ac:dyDescent="0.25">
      <c r="B18" s="23" t="s">
        <v>45</v>
      </c>
      <c r="C18" s="50">
        <v>1</v>
      </c>
      <c r="D18" s="50">
        <v>0</v>
      </c>
      <c r="E18" s="50">
        <v>1</v>
      </c>
      <c r="F18" s="50">
        <v>1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0</v>
      </c>
      <c r="M18" s="50">
        <v>6</v>
      </c>
      <c r="N18" s="50">
        <v>0</v>
      </c>
      <c r="O18" s="15">
        <f t="shared" si="0"/>
        <v>3</v>
      </c>
      <c r="P18" s="15">
        <f t="shared" si="1"/>
        <v>9</v>
      </c>
      <c r="R18" s="1" t="s">
        <v>14</v>
      </c>
      <c r="S18" s="17">
        <f t="shared" ref="S18:AF18" si="10">SUM(C42:C45)</f>
        <v>6</v>
      </c>
      <c r="T18" s="17">
        <f t="shared" si="10"/>
        <v>0</v>
      </c>
      <c r="U18" s="17">
        <f t="shared" si="10"/>
        <v>2</v>
      </c>
      <c r="V18" s="17">
        <f t="shared" si="10"/>
        <v>1</v>
      </c>
      <c r="W18" s="17">
        <f t="shared" si="10"/>
        <v>0</v>
      </c>
      <c r="X18" s="17">
        <f t="shared" si="10"/>
        <v>0</v>
      </c>
      <c r="Y18" s="17">
        <f t="shared" si="10"/>
        <v>2</v>
      </c>
      <c r="Z18" s="17">
        <f t="shared" si="10"/>
        <v>1</v>
      </c>
      <c r="AA18" s="17">
        <f t="shared" si="10"/>
        <v>2</v>
      </c>
      <c r="AB18" s="17">
        <f t="shared" si="10"/>
        <v>0</v>
      </c>
      <c r="AC18" s="17">
        <f t="shared" si="10"/>
        <v>42</v>
      </c>
      <c r="AD18" s="17">
        <f t="shared" si="10"/>
        <v>0</v>
      </c>
      <c r="AE18" s="31">
        <f t="shared" si="10"/>
        <v>14</v>
      </c>
      <c r="AF18" s="31">
        <f t="shared" si="10"/>
        <v>56</v>
      </c>
    </row>
    <row r="19" spans="2:32" ht="23.1" customHeight="1" x14ac:dyDescent="0.25">
      <c r="B19" s="23" t="s">
        <v>46</v>
      </c>
      <c r="C19" s="50">
        <v>1</v>
      </c>
      <c r="D19" s="50">
        <v>0</v>
      </c>
      <c r="E19" s="50">
        <v>1</v>
      </c>
      <c r="F19" s="50">
        <v>0</v>
      </c>
      <c r="G19" s="50">
        <v>0</v>
      </c>
      <c r="H19" s="50">
        <v>0</v>
      </c>
      <c r="I19" s="50">
        <v>1</v>
      </c>
      <c r="J19" s="50">
        <v>0</v>
      </c>
      <c r="K19" s="50">
        <v>0</v>
      </c>
      <c r="L19" s="50">
        <v>0</v>
      </c>
      <c r="M19" s="50">
        <v>5</v>
      </c>
      <c r="N19" s="50">
        <v>0</v>
      </c>
      <c r="O19" s="15">
        <f t="shared" si="0"/>
        <v>3</v>
      </c>
      <c r="P19" s="15">
        <f t="shared" si="1"/>
        <v>8</v>
      </c>
      <c r="R19" s="1" t="s">
        <v>15</v>
      </c>
      <c r="S19" s="17">
        <f t="shared" ref="S19:AF19" si="11">SUM(C46:C49)</f>
        <v>3</v>
      </c>
      <c r="T19" s="17">
        <f t="shared" si="11"/>
        <v>2</v>
      </c>
      <c r="U19" s="17">
        <f t="shared" si="11"/>
        <v>1</v>
      </c>
      <c r="V19" s="17">
        <f t="shared" si="11"/>
        <v>0</v>
      </c>
      <c r="W19" s="17">
        <f t="shared" si="11"/>
        <v>1</v>
      </c>
      <c r="X19" s="17">
        <f t="shared" si="11"/>
        <v>0</v>
      </c>
      <c r="Y19" s="17">
        <f t="shared" si="11"/>
        <v>3</v>
      </c>
      <c r="Z19" s="17">
        <f t="shared" si="11"/>
        <v>1</v>
      </c>
      <c r="AA19" s="17">
        <f t="shared" si="11"/>
        <v>3</v>
      </c>
      <c r="AB19" s="17">
        <f t="shared" si="11"/>
        <v>0</v>
      </c>
      <c r="AC19" s="17">
        <f t="shared" si="11"/>
        <v>34</v>
      </c>
      <c r="AD19" s="17">
        <f t="shared" si="11"/>
        <v>0</v>
      </c>
      <c r="AE19" s="31">
        <f t="shared" si="11"/>
        <v>14</v>
      </c>
      <c r="AF19" s="31">
        <f t="shared" si="11"/>
        <v>48</v>
      </c>
    </row>
    <row r="20" spans="2:32" ht="23.1" customHeight="1" x14ac:dyDescent="0.25">
      <c r="B20" s="23" t="s">
        <v>47</v>
      </c>
      <c r="C20" s="50">
        <v>0</v>
      </c>
      <c r="D20" s="50">
        <v>0</v>
      </c>
      <c r="E20" s="50">
        <v>0</v>
      </c>
      <c r="F20" s="50">
        <v>1</v>
      </c>
      <c r="G20" s="50">
        <v>0</v>
      </c>
      <c r="H20" s="50">
        <v>0</v>
      </c>
      <c r="I20" s="50">
        <v>0</v>
      </c>
      <c r="J20" s="50">
        <v>0</v>
      </c>
      <c r="K20" s="50">
        <v>3</v>
      </c>
      <c r="L20" s="50">
        <v>0</v>
      </c>
      <c r="M20" s="50">
        <v>9</v>
      </c>
      <c r="N20" s="50">
        <v>0</v>
      </c>
      <c r="O20" s="15">
        <f t="shared" si="0"/>
        <v>4</v>
      </c>
      <c r="P20" s="15">
        <f t="shared" si="1"/>
        <v>13</v>
      </c>
      <c r="R20" s="1" t="s">
        <v>16</v>
      </c>
      <c r="S20" s="17">
        <f t="shared" ref="S20:AF20" si="12">SUM(C50:C53)</f>
        <v>7</v>
      </c>
      <c r="T20" s="17">
        <f t="shared" si="12"/>
        <v>0</v>
      </c>
      <c r="U20" s="17">
        <f t="shared" si="12"/>
        <v>0</v>
      </c>
      <c r="V20" s="17">
        <f t="shared" si="12"/>
        <v>1</v>
      </c>
      <c r="W20" s="17">
        <f t="shared" si="12"/>
        <v>0</v>
      </c>
      <c r="X20" s="17">
        <f t="shared" si="12"/>
        <v>0</v>
      </c>
      <c r="Y20" s="17">
        <f t="shared" si="12"/>
        <v>6</v>
      </c>
      <c r="Z20" s="17">
        <f t="shared" si="12"/>
        <v>5</v>
      </c>
      <c r="AA20" s="17">
        <f t="shared" si="12"/>
        <v>0</v>
      </c>
      <c r="AB20" s="17">
        <f t="shared" si="12"/>
        <v>0</v>
      </c>
      <c r="AC20" s="17">
        <f t="shared" si="12"/>
        <v>35</v>
      </c>
      <c r="AD20" s="17">
        <f t="shared" si="12"/>
        <v>0</v>
      </c>
      <c r="AE20" s="31">
        <f t="shared" si="12"/>
        <v>19</v>
      </c>
      <c r="AF20" s="31">
        <f t="shared" si="12"/>
        <v>54</v>
      </c>
    </row>
    <row r="21" spans="2:32" ht="23.1" customHeight="1" x14ac:dyDescent="0.25">
      <c r="B21" s="23" t="s">
        <v>48</v>
      </c>
      <c r="C21" s="50">
        <v>1</v>
      </c>
      <c r="D21" s="50">
        <v>0</v>
      </c>
      <c r="E21" s="50">
        <v>0</v>
      </c>
      <c r="F21" s="50">
        <v>0</v>
      </c>
      <c r="G21" s="50">
        <v>0</v>
      </c>
      <c r="H21" s="50">
        <v>0</v>
      </c>
      <c r="I21" s="50">
        <v>0</v>
      </c>
      <c r="J21" s="50">
        <v>0</v>
      </c>
      <c r="K21" s="50">
        <v>1</v>
      </c>
      <c r="L21" s="50">
        <v>0</v>
      </c>
      <c r="M21" s="50">
        <v>9</v>
      </c>
      <c r="N21" s="50">
        <v>0</v>
      </c>
      <c r="O21" s="15">
        <f t="shared" si="0"/>
        <v>2</v>
      </c>
      <c r="P21" s="15">
        <f t="shared" si="1"/>
        <v>11</v>
      </c>
      <c r="R21" s="36" t="s">
        <v>20</v>
      </c>
      <c r="S21" s="34">
        <f t="shared" ref="S21:AF21" si="13">SUM(C54:C57)</f>
        <v>2</v>
      </c>
      <c r="T21" s="17">
        <f t="shared" si="13"/>
        <v>1</v>
      </c>
      <c r="U21" s="17">
        <f t="shared" si="13"/>
        <v>1</v>
      </c>
      <c r="V21" s="17">
        <f t="shared" si="13"/>
        <v>4</v>
      </c>
      <c r="W21" s="17">
        <f t="shared" si="13"/>
        <v>1</v>
      </c>
      <c r="X21" s="17">
        <f t="shared" si="13"/>
        <v>0</v>
      </c>
      <c r="Y21" s="17">
        <f t="shared" si="13"/>
        <v>5</v>
      </c>
      <c r="Z21" s="17">
        <f t="shared" si="13"/>
        <v>2</v>
      </c>
      <c r="AA21" s="17">
        <f t="shared" si="13"/>
        <v>0</v>
      </c>
      <c r="AB21" s="17">
        <f t="shared" si="13"/>
        <v>1</v>
      </c>
      <c r="AC21" s="17">
        <f t="shared" si="13"/>
        <v>55</v>
      </c>
      <c r="AD21" s="17">
        <f t="shared" si="13"/>
        <v>0</v>
      </c>
      <c r="AE21" s="31">
        <f t="shared" si="13"/>
        <v>17</v>
      </c>
      <c r="AF21" s="31">
        <f t="shared" si="13"/>
        <v>72</v>
      </c>
    </row>
    <row r="22" spans="2:32" ht="23.1" customHeight="1" x14ac:dyDescent="0.25">
      <c r="B22" s="23" t="s">
        <v>49</v>
      </c>
      <c r="C22" s="50">
        <v>0</v>
      </c>
      <c r="D22" s="50">
        <v>0</v>
      </c>
      <c r="E22" s="50">
        <v>0</v>
      </c>
      <c r="F22" s="50">
        <v>0</v>
      </c>
      <c r="G22" s="50">
        <v>0</v>
      </c>
      <c r="H22" s="50">
        <v>0</v>
      </c>
      <c r="I22" s="50">
        <v>0</v>
      </c>
      <c r="J22" s="50">
        <v>0</v>
      </c>
      <c r="K22" s="50">
        <v>2</v>
      </c>
      <c r="L22" s="50">
        <v>0</v>
      </c>
      <c r="M22" s="50">
        <v>11</v>
      </c>
      <c r="N22" s="50">
        <v>0</v>
      </c>
      <c r="O22" s="15">
        <f t="shared" si="0"/>
        <v>2</v>
      </c>
      <c r="P22" s="15">
        <f t="shared" si="1"/>
        <v>13</v>
      </c>
      <c r="R22" s="38" t="s">
        <v>90</v>
      </c>
      <c r="S22" s="39">
        <f>MAX(S10:S12)</f>
        <v>3</v>
      </c>
      <c r="T22" s="39">
        <f t="shared" ref="T22:AF22" si="14">MAX(T10:T12)</f>
        <v>1</v>
      </c>
      <c r="U22" s="39">
        <f t="shared" si="14"/>
        <v>2</v>
      </c>
      <c r="V22" s="39">
        <f t="shared" si="14"/>
        <v>7</v>
      </c>
      <c r="W22" s="39">
        <f t="shared" si="14"/>
        <v>0</v>
      </c>
      <c r="X22" s="39">
        <f t="shared" si="14"/>
        <v>0</v>
      </c>
      <c r="Y22" s="39">
        <f t="shared" si="14"/>
        <v>5</v>
      </c>
      <c r="Z22" s="39">
        <f t="shared" si="14"/>
        <v>1</v>
      </c>
      <c r="AA22" s="39">
        <f t="shared" si="14"/>
        <v>4</v>
      </c>
      <c r="AB22" s="39">
        <f t="shared" si="14"/>
        <v>0</v>
      </c>
      <c r="AC22" s="39">
        <f t="shared" si="14"/>
        <v>29</v>
      </c>
      <c r="AD22" s="39">
        <f t="shared" si="14"/>
        <v>0</v>
      </c>
      <c r="AE22" s="40">
        <f t="shared" si="14"/>
        <v>13</v>
      </c>
      <c r="AF22" s="40">
        <f t="shared" si="14"/>
        <v>41</v>
      </c>
    </row>
    <row r="23" spans="2:32" ht="23.1" customHeight="1" x14ac:dyDescent="0.25">
      <c r="B23" s="23" t="s">
        <v>50</v>
      </c>
      <c r="C23" s="50">
        <v>0</v>
      </c>
      <c r="D23" s="50">
        <v>1</v>
      </c>
      <c r="E23" s="50">
        <v>0</v>
      </c>
      <c r="F23" s="50">
        <v>0</v>
      </c>
      <c r="G23" s="50">
        <v>0</v>
      </c>
      <c r="H23" s="50">
        <v>0</v>
      </c>
      <c r="I23" s="50">
        <v>0</v>
      </c>
      <c r="J23" s="50">
        <v>0</v>
      </c>
      <c r="K23" s="50">
        <v>1</v>
      </c>
      <c r="L23" s="50">
        <v>0</v>
      </c>
      <c r="M23" s="50">
        <v>6</v>
      </c>
      <c r="N23" s="50">
        <v>0</v>
      </c>
      <c r="O23" s="15">
        <f t="shared" si="0"/>
        <v>2</v>
      </c>
      <c r="P23" s="15">
        <f t="shared" si="1"/>
        <v>8</v>
      </c>
      <c r="R23" s="38" t="s">
        <v>91</v>
      </c>
      <c r="S23" s="39">
        <f>MAX(S13:S18)</f>
        <v>13</v>
      </c>
      <c r="T23" s="39">
        <f t="shared" ref="T23:AF23" si="15">MAX(T13:T18)</f>
        <v>2</v>
      </c>
      <c r="U23" s="39">
        <f t="shared" si="15"/>
        <v>2</v>
      </c>
      <c r="V23" s="39">
        <f t="shared" si="15"/>
        <v>5</v>
      </c>
      <c r="W23" s="39">
        <f t="shared" si="15"/>
        <v>1</v>
      </c>
      <c r="X23" s="39">
        <f t="shared" si="15"/>
        <v>0</v>
      </c>
      <c r="Y23" s="39">
        <f t="shared" si="15"/>
        <v>4</v>
      </c>
      <c r="Z23" s="39">
        <f t="shared" si="15"/>
        <v>2</v>
      </c>
      <c r="AA23" s="39">
        <f t="shared" si="15"/>
        <v>13</v>
      </c>
      <c r="AB23" s="39">
        <f t="shared" si="15"/>
        <v>1</v>
      </c>
      <c r="AC23" s="39">
        <f t="shared" si="15"/>
        <v>42</v>
      </c>
      <c r="AD23" s="39">
        <f t="shared" si="15"/>
        <v>0</v>
      </c>
      <c r="AE23" s="40">
        <f t="shared" si="15"/>
        <v>26</v>
      </c>
      <c r="AF23" s="40">
        <f t="shared" si="15"/>
        <v>66</v>
      </c>
    </row>
    <row r="24" spans="2:32" ht="23.1" customHeight="1" x14ac:dyDescent="0.25">
      <c r="B24" s="23" t="s">
        <v>51</v>
      </c>
      <c r="C24" s="50">
        <v>1</v>
      </c>
      <c r="D24" s="50">
        <v>0</v>
      </c>
      <c r="E24" s="50">
        <v>0</v>
      </c>
      <c r="F24" s="50">
        <v>0</v>
      </c>
      <c r="G24" s="50">
        <v>0</v>
      </c>
      <c r="H24" s="50">
        <v>0</v>
      </c>
      <c r="I24" s="50">
        <v>0</v>
      </c>
      <c r="J24" s="50">
        <v>0</v>
      </c>
      <c r="K24" s="50">
        <v>1</v>
      </c>
      <c r="L24" s="50">
        <v>0</v>
      </c>
      <c r="M24" s="50">
        <v>7</v>
      </c>
      <c r="N24" s="50">
        <v>0</v>
      </c>
      <c r="O24" s="15">
        <f t="shared" si="0"/>
        <v>2</v>
      </c>
      <c r="P24" s="15">
        <f t="shared" si="1"/>
        <v>9</v>
      </c>
      <c r="R24" s="38" t="s">
        <v>92</v>
      </c>
      <c r="S24" s="39">
        <f>MAX(S19:S21)</f>
        <v>7</v>
      </c>
      <c r="T24" s="39">
        <f t="shared" ref="T24:AF24" si="16">MAX(T19:T21)</f>
        <v>2</v>
      </c>
      <c r="U24" s="39">
        <f t="shared" si="16"/>
        <v>1</v>
      </c>
      <c r="V24" s="39">
        <f t="shared" si="16"/>
        <v>4</v>
      </c>
      <c r="W24" s="39">
        <f t="shared" si="16"/>
        <v>1</v>
      </c>
      <c r="X24" s="39">
        <f t="shared" si="16"/>
        <v>0</v>
      </c>
      <c r="Y24" s="39">
        <f t="shared" si="16"/>
        <v>6</v>
      </c>
      <c r="Z24" s="39">
        <f t="shared" si="16"/>
        <v>5</v>
      </c>
      <c r="AA24" s="39">
        <f t="shared" si="16"/>
        <v>3</v>
      </c>
      <c r="AB24" s="39">
        <f t="shared" si="16"/>
        <v>1</v>
      </c>
      <c r="AC24" s="39">
        <f t="shared" si="16"/>
        <v>55</v>
      </c>
      <c r="AD24" s="39">
        <f t="shared" si="16"/>
        <v>0</v>
      </c>
      <c r="AE24" s="40">
        <f t="shared" si="16"/>
        <v>19</v>
      </c>
      <c r="AF24" s="40">
        <f t="shared" si="16"/>
        <v>72</v>
      </c>
    </row>
    <row r="25" spans="2:32" ht="23.1" customHeight="1" x14ac:dyDescent="0.25">
      <c r="B25" s="23" t="s">
        <v>52</v>
      </c>
      <c r="C25" s="50">
        <v>1</v>
      </c>
      <c r="D25" s="50">
        <v>1</v>
      </c>
      <c r="E25" s="50">
        <v>0</v>
      </c>
      <c r="F25" s="50">
        <v>0</v>
      </c>
      <c r="G25" s="50">
        <v>0</v>
      </c>
      <c r="H25" s="50">
        <v>0</v>
      </c>
      <c r="I25" s="50">
        <v>1</v>
      </c>
      <c r="J25" s="50">
        <v>0</v>
      </c>
      <c r="K25" s="50">
        <v>0</v>
      </c>
      <c r="L25" s="50">
        <v>0</v>
      </c>
      <c r="M25" s="50">
        <v>5</v>
      </c>
      <c r="N25" s="50">
        <v>0</v>
      </c>
      <c r="O25" s="15">
        <f t="shared" si="0"/>
        <v>3</v>
      </c>
      <c r="P25" s="15">
        <f t="shared" si="1"/>
        <v>8</v>
      </c>
      <c r="R25" s="37" t="s">
        <v>85</v>
      </c>
      <c r="S25" s="35">
        <f t="shared" ref="S25:AF25" si="17">SUM(S10:S12)</f>
        <v>9</v>
      </c>
      <c r="T25" s="16">
        <f t="shared" si="17"/>
        <v>1</v>
      </c>
      <c r="U25" s="16">
        <f t="shared" si="17"/>
        <v>4</v>
      </c>
      <c r="V25" s="16">
        <f t="shared" si="17"/>
        <v>10</v>
      </c>
      <c r="W25" s="16">
        <f t="shared" si="17"/>
        <v>0</v>
      </c>
      <c r="X25" s="16">
        <f t="shared" si="17"/>
        <v>0</v>
      </c>
      <c r="Y25" s="16">
        <f t="shared" si="17"/>
        <v>6</v>
      </c>
      <c r="Z25" s="16">
        <f t="shared" si="17"/>
        <v>1</v>
      </c>
      <c r="AA25" s="16">
        <f t="shared" si="17"/>
        <v>4</v>
      </c>
      <c r="AB25" s="16">
        <f t="shared" si="17"/>
        <v>0</v>
      </c>
      <c r="AC25" s="16">
        <f t="shared" si="17"/>
        <v>77</v>
      </c>
      <c r="AD25" s="16">
        <f t="shared" si="17"/>
        <v>0</v>
      </c>
      <c r="AE25" s="32">
        <f t="shared" si="17"/>
        <v>35</v>
      </c>
      <c r="AF25" s="32">
        <f t="shared" si="17"/>
        <v>112</v>
      </c>
    </row>
    <row r="26" spans="2:32" ht="23.1" customHeight="1" x14ac:dyDescent="0.25">
      <c r="B26" s="23" t="s">
        <v>53</v>
      </c>
      <c r="C26" s="50">
        <v>1</v>
      </c>
      <c r="D26" s="50">
        <v>1</v>
      </c>
      <c r="E26" s="50">
        <v>0</v>
      </c>
      <c r="F26" s="50">
        <v>1</v>
      </c>
      <c r="G26" s="50">
        <v>0</v>
      </c>
      <c r="H26" s="50">
        <v>0</v>
      </c>
      <c r="I26" s="50">
        <v>0</v>
      </c>
      <c r="J26" s="50">
        <v>0</v>
      </c>
      <c r="K26" s="50">
        <v>0</v>
      </c>
      <c r="L26" s="50">
        <v>0</v>
      </c>
      <c r="M26" s="50">
        <v>10</v>
      </c>
      <c r="N26" s="50">
        <v>0</v>
      </c>
      <c r="O26" s="15">
        <f t="shared" si="0"/>
        <v>3</v>
      </c>
      <c r="P26" s="15">
        <f t="shared" si="1"/>
        <v>13</v>
      </c>
      <c r="R26" s="28" t="s">
        <v>86</v>
      </c>
      <c r="S26" s="16">
        <f t="shared" ref="S26:AF26" si="18">SUM(S13:S18)</f>
        <v>38</v>
      </c>
      <c r="T26" s="16">
        <f t="shared" si="18"/>
        <v>4</v>
      </c>
      <c r="U26" s="16">
        <f t="shared" si="18"/>
        <v>8</v>
      </c>
      <c r="V26" s="16">
        <f t="shared" si="18"/>
        <v>15</v>
      </c>
      <c r="W26" s="16">
        <f t="shared" si="18"/>
        <v>1</v>
      </c>
      <c r="X26" s="16">
        <f t="shared" si="18"/>
        <v>0</v>
      </c>
      <c r="Y26" s="16">
        <f t="shared" si="18"/>
        <v>13</v>
      </c>
      <c r="Z26" s="16">
        <f t="shared" si="18"/>
        <v>5</v>
      </c>
      <c r="AA26" s="16">
        <f t="shared" si="18"/>
        <v>23</v>
      </c>
      <c r="AB26" s="16">
        <f t="shared" si="18"/>
        <v>2</v>
      </c>
      <c r="AC26" s="16">
        <f t="shared" si="18"/>
        <v>229</v>
      </c>
      <c r="AD26" s="16">
        <f t="shared" si="18"/>
        <v>0</v>
      </c>
      <c r="AE26" s="32">
        <f t="shared" si="18"/>
        <v>109</v>
      </c>
      <c r="AF26" s="32">
        <f t="shared" si="18"/>
        <v>338</v>
      </c>
    </row>
    <row r="27" spans="2:32" ht="23.1" customHeight="1" x14ac:dyDescent="0.25">
      <c r="B27" s="23" t="s">
        <v>54</v>
      </c>
      <c r="C27" s="50">
        <v>1</v>
      </c>
      <c r="D27" s="50">
        <v>1</v>
      </c>
      <c r="E27" s="50">
        <v>0</v>
      </c>
      <c r="F27" s="50">
        <v>0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0</v>
      </c>
      <c r="M27" s="50">
        <v>13</v>
      </c>
      <c r="N27" s="50">
        <v>0</v>
      </c>
      <c r="O27" s="15">
        <f t="shared" si="0"/>
        <v>2</v>
      </c>
      <c r="P27" s="15">
        <f t="shared" si="1"/>
        <v>15</v>
      </c>
      <c r="R27" s="29" t="s">
        <v>87</v>
      </c>
      <c r="S27" s="16">
        <f t="shared" ref="S27:AF27" si="19">SUM(S19:S21)</f>
        <v>12</v>
      </c>
      <c r="T27" s="16">
        <f t="shared" si="19"/>
        <v>3</v>
      </c>
      <c r="U27" s="16">
        <f t="shared" si="19"/>
        <v>2</v>
      </c>
      <c r="V27" s="16">
        <f t="shared" si="19"/>
        <v>5</v>
      </c>
      <c r="W27" s="16">
        <f t="shared" si="19"/>
        <v>2</v>
      </c>
      <c r="X27" s="16">
        <f t="shared" si="19"/>
        <v>0</v>
      </c>
      <c r="Y27" s="16">
        <f t="shared" si="19"/>
        <v>14</v>
      </c>
      <c r="Z27" s="16">
        <f t="shared" si="19"/>
        <v>8</v>
      </c>
      <c r="AA27" s="16">
        <f t="shared" si="19"/>
        <v>3</v>
      </c>
      <c r="AB27" s="16">
        <f t="shared" si="19"/>
        <v>1</v>
      </c>
      <c r="AC27" s="16">
        <f t="shared" si="19"/>
        <v>124</v>
      </c>
      <c r="AD27" s="16">
        <f t="shared" si="19"/>
        <v>0</v>
      </c>
      <c r="AE27" s="32">
        <f t="shared" si="19"/>
        <v>50</v>
      </c>
      <c r="AF27" s="32">
        <f t="shared" si="19"/>
        <v>174</v>
      </c>
    </row>
    <row r="28" spans="2:32" ht="23.1" customHeight="1" x14ac:dyDescent="0.25">
      <c r="B28" s="23" t="s">
        <v>55</v>
      </c>
      <c r="C28" s="50">
        <v>3</v>
      </c>
      <c r="D28" s="50">
        <v>0</v>
      </c>
      <c r="E28" s="50">
        <v>0</v>
      </c>
      <c r="F28" s="50">
        <v>0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5</v>
      </c>
      <c r="N28" s="50">
        <v>0</v>
      </c>
      <c r="O28" s="15">
        <f t="shared" si="0"/>
        <v>3</v>
      </c>
      <c r="P28" s="15">
        <f t="shared" si="1"/>
        <v>8</v>
      </c>
      <c r="R28" s="5" t="s">
        <v>17</v>
      </c>
      <c r="S28" s="16">
        <f t="shared" ref="S28:AF28" si="20">SUM(S10:S21)</f>
        <v>59</v>
      </c>
      <c r="T28" s="16">
        <f t="shared" si="20"/>
        <v>8</v>
      </c>
      <c r="U28" s="16">
        <f t="shared" si="20"/>
        <v>14</v>
      </c>
      <c r="V28" s="16">
        <f t="shared" si="20"/>
        <v>30</v>
      </c>
      <c r="W28" s="16">
        <f t="shared" si="20"/>
        <v>3</v>
      </c>
      <c r="X28" s="16">
        <f t="shared" si="20"/>
        <v>0</v>
      </c>
      <c r="Y28" s="16">
        <f t="shared" si="20"/>
        <v>33</v>
      </c>
      <c r="Z28" s="16">
        <f t="shared" si="20"/>
        <v>14</v>
      </c>
      <c r="AA28" s="16">
        <f t="shared" si="20"/>
        <v>30</v>
      </c>
      <c r="AB28" s="16">
        <f t="shared" si="20"/>
        <v>3</v>
      </c>
      <c r="AC28" s="16">
        <f t="shared" si="20"/>
        <v>430</v>
      </c>
      <c r="AD28" s="16">
        <f t="shared" si="20"/>
        <v>0</v>
      </c>
      <c r="AE28" s="32">
        <f t="shared" si="20"/>
        <v>194</v>
      </c>
      <c r="AF28" s="32">
        <f t="shared" si="20"/>
        <v>624</v>
      </c>
    </row>
    <row r="29" spans="2:32" ht="23.1" customHeight="1" x14ac:dyDescent="0.25">
      <c r="B29" s="23" t="s">
        <v>56</v>
      </c>
      <c r="C29" s="50">
        <v>1</v>
      </c>
      <c r="D29" s="50">
        <v>0</v>
      </c>
      <c r="E29" s="50">
        <v>1</v>
      </c>
      <c r="F29" s="50">
        <v>3</v>
      </c>
      <c r="G29" s="50">
        <v>0</v>
      </c>
      <c r="H29" s="50">
        <v>0</v>
      </c>
      <c r="I29" s="50">
        <v>1</v>
      </c>
      <c r="J29" s="50">
        <v>0</v>
      </c>
      <c r="K29" s="50">
        <v>0</v>
      </c>
      <c r="L29" s="50">
        <v>0</v>
      </c>
      <c r="M29" s="50">
        <v>9</v>
      </c>
      <c r="N29" s="50">
        <v>0</v>
      </c>
      <c r="O29" s="15">
        <f t="shared" si="0"/>
        <v>6</v>
      </c>
      <c r="P29" s="15">
        <f t="shared" si="1"/>
        <v>15</v>
      </c>
      <c r="R29"/>
      <c r="S29" s="20"/>
      <c r="T29" s="19"/>
    </row>
    <row r="30" spans="2:32" ht="23.1" customHeight="1" x14ac:dyDescent="0.25">
      <c r="B30" s="23" t="s">
        <v>57</v>
      </c>
      <c r="C30" s="50">
        <v>2</v>
      </c>
      <c r="D30" s="50">
        <v>0</v>
      </c>
      <c r="E30" s="50">
        <v>0</v>
      </c>
      <c r="F30" s="50">
        <v>2</v>
      </c>
      <c r="G30" s="50">
        <v>0</v>
      </c>
      <c r="H30" s="50">
        <v>0</v>
      </c>
      <c r="I30" s="50">
        <v>0</v>
      </c>
      <c r="J30" s="50">
        <v>0</v>
      </c>
      <c r="K30" s="50">
        <v>1</v>
      </c>
      <c r="L30" s="50">
        <v>0</v>
      </c>
      <c r="M30" s="50">
        <v>5</v>
      </c>
      <c r="N30" s="50">
        <v>0</v>
      </c>
      <c r="O30" s="15">
        <f t="shared" si="0"/>
        <v>5</v>
      </c>
      <c r="P30" s="15">
        <f t="shared" si="1"/>
        <v>10</v>
      </c>
    </row>
    <row r="31" spans="2:32" ht="23.1" customHeight="1" x14ac:dyDescent="0.25">
      <c r="B31" s="24" t="s">
        <v>58</v>
      </c>
      <c r="C31" s="50">
        <v>5</v>
      </c>
      <c r="D31" s="50">
        <v>0</v>
      </c>
      <c r="E31" s="50">
        <v>2</v>
      </c>
      <c r="F31" s="50">
        <v>0</v>
      </c>
      <c r="G31" s="50">
        <v>0</v>
      </c>
      <c r="H31" s="50">
        <v>0</v>
      </c>
      <c r="I31" s="50">
        <v>0</v>
      </c>
      <c r="J31" s="50">
        <v>1</v>
      </c>
      <c r="K31" s="50">
        <v>2</v>
      </c>
      <c r="L31" s="50">
        <v>0</v>
      </c>
      <c r="M31" s="50">
        <v>13</v>
      </c>
      <c r="N31" s="50">
        <v>0</v>
      </c>
      <c r="O31" s="15">
        <f t="shared" si="0"/>
        <v>10</v>
      </c>
      <c r="P31" s="15">
        <f t="shared" si="1"/>
        <v>23</v>
      </c>
    </row>
    <row r="32" spans="2:32" ht="23.1" customHeight="1" x14ac:dyDescent="0.25">
      <c r="B32" s="24" t="s">
        <v>59</v>
      </c>
      <c r="C32" s="50">
        <v>2</v>
      </c>
      <c r="D32" s="50">
        <v>0</v>
      </c>
      <c r="E32" s="50">
        <v>0</v>
      </c>
      <c r="F32" s="50">
        <v>1</v>
      </c>
      <c r="G32" s="50">
        <v>0</v>
      </c>
      <c r="H32" s="50">
        <v>0</v>
      </c>
      <c r="I32" s="50">
        <v>0</v>
      </c>
      <c r="J32" s="50">
        <v>0</v>
      </c>
      <c r="K32" s="50">
        <v>1</v>
      </c>
      <c r="L32" s="50">
        <v>0</v>
      </c>
      <c r="M32" s="50">
        <v>6</v>
      </c>
      <c r="N32" s="50">
        <v>0</v>
      </c>
      <c r="O32" s="15">
        <f t="shared" si="0"/>
        <v>4</v>
      </c>
      <c r="P32" s="15">
        <f t="shared" si="1"/>
        <v>10</v>
      </c>
    </row>
    <row r="33" spans="2:20" ht="23.1" customHeight="1" x14ac:dyDescent="0.25">
      <c r="B33" s="23" t="s">
        <v>60</v>
      </c>
      <c r="C33" s="50">
        <v>4</v>
      </c>
      <c r="D33" s="50">
        <v>0</v>
      </c>
      <c r="E33" s="50">
        <v>0</v>
      </c>
      <c r="F33" s="50">
        <v>0</v>
      </c>
      <c r="G33" s="50">
        <v>0</v>
      </c>
      <c r="H33" s="50">
        <v>0</v>
      </c>
      <c r="I33" s="50">
        <v>2</v>
      </c>
      <c r="J33" s="50">
        <v>1</v>
      </c>
      <c r="K33" s="50">
        <v>0</v>
      </c>
      <c r="L33" s="50">
        <v>0</v>
      </c>
      <c r="M33" s="50">
        <v>15</v>
      </c>
      <c r="N33" s="50">
        <v>0</v>
      </c>
      <c r="O33" s="15">
        <f t="shared" si="0"/>
        <v>7</v>
      </c>
      <c r="P33" s="15">
        <f t="shared" si="1"/>
        <v>22</v>
      </c>
    </row>
    <row r="34" spans="2:20" ht="23.1" customHeight="1" x14ac:dyDescent="0.25">
      <c r="B34" s="24" t="s">
        <v>61</v>
      </c>
      <c r="C34" s="50">
        <v>1</v>
      </c>
      <c r="D34" s="50">
        <v>0</v>
      </c>
      <c r="E34" s="50">
        <v>1</v>
      </c>
      <c r="F34" s="50">
        <v>0</v>
      </c>
      <c r="G34" s="50">
        <v>0</v>
      </c>
      <c r="H34" s="50">
        <v>0</v>
      </c>
      <c r="I34" s="50">
        <v>0</v>
      </c>
      <c r="J34" s="50">
        <v>1</v>
      </c>
      <c r="K34" s="50">
        <v>0</v>
      </c>
      <c r="L34" s="50">
        <v>0</v>
      </c>
      <c r="M34" s="50">
        <v>11</v>
      </c>
      <c r="N34" s="50">
        <v>0</v>
      </c>
      <c r="O34" s="15">
        <f t="shared" si="0"/>
        <v>3</v>
      </c>
      <c r="P34" s="15">
        <f t="shared" si="1"/>
        <v>14</v>
      </c>
    </row>
    <row r="35" spans="2:20" ht="23.1" customHeight="1" x14ac:dyDescent="0.25">
      <c r="B35" s="24" t="s">
        <v>62</v>
      </c>
      <c r="C35" s="50">
        <v>3</v>
      </c>
      <c r="D35" s="50">
        <v>0</v>
      </c>
      <c r="E35" s="50">
        <v>0</v>
      </c>
      <c r="F35" s="50">
        <v>0</v>
      </c>
      <c r="G35" s="50">
        <v>1</v>
      </c>
      <c r="H35" s="50">
        <v>0</v>
      </c>
      <c r="I35" s="50">
        <v>0</v>
      </c>
      <c r="J35" s="50">
        <v>1</v>
      </c>
      <c r="K35" s="50">
        <v>0</v>
      </c>
      <c r="L35" s="50">
        <v>0</v>
      </c>
      <c r="M35" s="50">
        <v>6</v>
      </c>
      <c r="N35" s="50">
        <v>0</v>
      </c>
      <c r="O35" s="15">
        <f t="shared" si="0"/>
        <v>5</v>
      </c>
      <c r="P35" s="15">
        <f t="shared" si="1"/>
        <v>11</v>
      </c>
    </row>
    <row r="36" spans="2:20" ht="23.1" customHeight="1" x14ac:dyDescent="0.25">
      <c r="B36" s="24" t="s">
        <v>63</v>
      </c>
      <c r="C36" s="50">
        <v>4</v>
      </c>
      <c r="D36" s="50">
        <v>0</v>
      </c>
      <c r="E36" s="50">
        <v>0</v>
      </c>
      <c r="F36" s="50">
        <v>2</v>
      </c>
      <c r="G36" s="50">
        <v>0</v>
      </c>
      <c r="H36" s="50">
        <v>0</v>
      </c>
      <c r="I36" s="50">
        <v>2</v>
      </c>
      <c r="J36" s="50">
        <v>0</v>
      </c>
      <c r="K36" s="50">
        <v>0</v>
      </c>
      <c r="L36" s="50">
        <v>1</v>
      </c>
      <c r="M36" s="50">
        <v>12</v>
      </c>
      <c r="N36" s="50">
        <v>0</v>
      </c>
      <c r="O36" s="15">
        <f t="shared" si="0"/>
        <v>9</v>
      </c>
      <c r="P36" s="15">
        <f t="shared" si="1"/>
        <v>21</v>
      </c>
    </row>
    <row r="37" spans="2:20" ht="23.1" customHeight="1" x14ac:dyDescent="0.25">
      <c r="B37" s="23" t="s">
        <v>64</v>
      </c>
      <c r="C37" s="50">
        <v>1</v>
      </c>
      <c r="D37" s="50">
        <v>0</v>
      </c>
      <c r="E37" s="50">
        <v>1</v>
      </c>
      <c r="F37" s="50">
        <v>3</v>
      </c>
      <c r="G37" s="50">
        <v>0</v>
      </c>
      <c r="H37" s="50">
        <v>0</v>
      </c>
      <c r="I37" s="50">
        <v>2</v>
      </c>
      <c r="J37" s="50">
        <v>0</v>
      </c>
      <c r="K37" s="50">
        <v>0</v>
      </c>
      <c r="L37" s="50">
        <v>0</v>
      </c>
      <c r="M37" s="50">
        <v>13</v>
      </c>
      <c r="N37" s="50">
        <v>0</v>
      </c>
      <c r="O37" s="15">
        <f t="shared" si="0"/>
        <v>7</v>
      </c>
      <c r="P37" s="15">
        <f t="shared" si="1"/>
        <v>20</v>
      </c>
    </row>
    <row r="38" spans="2:20" ht="23.1" customHeight="1" x14ac:dyDescent="0.25">
      <c r="B38" s="24" t="s">
        <v>65</v>
      </c>
      <c r="C38" s="50">
        <v>1</v>
      </c>
      <c r="D38" s="50">
        <v>0</v>
      </c>
      <c r="E38" s="50">
        <v>0</v>
      </c>
      <c r="F38" s="50">
        <v>1</v>
      </c>
      <c r="G38" s="50">
        <v>0</v>
      </c>
      <c r="H38" s="50">
        <v>0</v>
      </c>
      <c r="I38" s="50">
        <v>1</v>
      </c>
      <c r="J38" s="50">
        <v>0</v>
      </c>
      <c r="K38" s="50">
        <v>11</v>
      </c>
      <c r="L38" s="50">
        <v>1</v>
      </c>
      <c r="M38" s="50">
        <v>6</v>
      </c>
      <c r="N38" s="50">
        <v>0</v>
      </c>
      <c r="O38" s="15">
        <f t="shared" si="0"/>
        <v>15</v>
      </c>
      <c r="P38" s="15">
        <f t="shared" si="1"/>
        <v>21</v>
      </c>
    </row>
    <row r="39" spans="2:20" ht="23.1" customHeight="1" x14ac:dyDescent="0.25">
      <c r="B39" s="24" t="s">
        <v>66</v>
      </c>
      <c r="C39" s="50">
        <v>1</v>
      </c>
      <c r="D39" s="50">
        <v>0</v>
      </c>
      <c r="E39" s="50">
        <v>0</v>
      </c>
      <c r="F39" s="50">
        <v>1</v>
      </c>
      <c r="G39" s="50">
        <v>0</v>
      </c>
      <c r="H39" s="50">
        <v>0</v>
      </c>
      <c r="I39" s="50">
        <v>0</v>
      </c>
      <c r="J39" s="50">
        <v>0</v>
      </c>
      <c r="K39" s="50">
        <v>0</v>
      </c>
      <c r="L39" s="50">
        <v>0</v>
      </c>
      <c r="M39" s="50">
        <v>11</v>
      </c>
      <c r="N39" s="50">
        <v>0</v>
      </c>
      <c r="O39" s="15">
        <f t="shared" si="0"/>
        <v>2</v>
      </c>
      <c r="P39" s="15">
        <f t="shared" si="1"/>
        <v>13</v>
      </c>
    </row>
    <row r="40" spans="2:20" ht="23.1" customHeight="1" x14ac:dyDescent="0.25">
      <c r="B40" s="24" t="s">
        <v>67</v>
      </c>
      <c r="C40" s="50">
        <v>0</v>
      </c>
      <c r="D40" s="50">
        <v>0</v>
      </c>
      <c r="E40" s="50">
        <v>0</v>
      </c>
      <c r="F40" s="50">
        <v>0</v>
      </c>
      <c r="G40" s="50">
        <v>0</v>
      </c>
      <c r="H40" s="50">
        <v>0</v>
      </c>
      <c r="I40" s="50">
        <v>0</v>
      </c>
      <c r="J40" s="50">
        <v>0</v>
      </c>
      <c r="K40" s="50">
        <v>1</v>
      </c>
      <c r="L40" s="50">
        <v>0</v>
      </c>
      <c r="M40" s="50">
        <v>7</v>
      </c>
      <c r="N40" s="50">
        <v>0</v>
      </c>
      <c r="O40" s="15">
        <f t="shared" si="0"/>
        <v>1</v>
      </c>
      <c r="P40" s="15">
        <f t="shared" si="1"/>
        <v>8</v>
      </c>
    </row>
    <row r="41" spans="2:20" ht="23.1" customHeight="1" x14ac:dyDescent="0.25">
      <c r="B41" s="23" t="s">
        <v>68</v>
      </c>
      <c r="C41" s="50">
        <v>0</v>
      </c>
      <c r="D41" s="50">
        <v>0</v>
      </c>
      <c r="E41" s="50">
        <v>1</v>
      </c>
      <c r="F41" s="50">
        <v>0</v>
      </c>
      <c r="G41" s="50">
        <v>0</v>
      </c>
      <c r="H41" s="50">
        <v>0</v>
      </c>
      <c r="I41" s="50">
        <v>2</v>
      </c>
      <c r="J41" s="50">
        <v>0</v>
      </c>
      <c r="K41" s="50">
        <v>1</v>
      </c>
      <c r="L41" s="50">
        <v>0</v>
      </c>
      <c r="M41" s="50">
        <v>16</v>
      </c>
      <c r="N41" s="50">
        <v>0</v>
      </c>
      <c r="O41" s="15">
        <f t="shared" si="0"/>
        <v>4</v>
      </c>
      <c r="P41" s="15">
        <f t="shared" si="1"/>
        <v>20</v>
      </c>
    </row>
    <row r="42" spans="2:20" ht="23.1" customHeight="1" x14ac:dyDescent="0.25">
      <c r="B42" s="24" t="s">
        <v>69</v>
      </c>
      <c r="C42" s="50">
        <v>2</v>
      </c>
      <c r="D42" s="50">
        <v>0</v>
      </c>
      <c r="E42" s="50">
        <v>1</v>
      </c>
      <c r="F42" s="50">
        <v>0</v>
      </c>
      <c r="G42" s="50">
        <v>0</v>
      </c>
      <c r="H42" s="50">
        <v>0</v>
      </c>
      <c r="I42" s="50">
        <v>1</v>
      </c>
      <c r="J42" s="50">
        <v>0</v>
      </c>
      <c r="K42" s="50">
        <v>1</v>
      </c>
      <c r="L42" s="50">
        <v>0</v>
      </c>
      <c r="M42" s="50">
        <v>11</v>
      </c>
      <c r="N42" s="50">
        <v>0</v>
      </c>
      <c r="O42" s="15">
        <f t="shared" si="0"/>
        <v>5</v>
      </c>
      <c r="P42" s="15">
        <f t="shared" si="1"/>
        <v>16</v>
      </c>
    </row>
    <row r="43" spans="2:20" ht="23.1" customHeight="1" x14ac:dyDescent="0.25">
      <c r="B43" s="23" t="s">
        <v>70</v>
      </c>
      <c r="C43" s="50">
        <v>0</v>
      </c>
      <c r="D43" s="50">
        <v>0</v>
      </c>
      <c r="E43" s="50">
        <v>1</v>
      </c>
      <c r="F43" s="50">
        <v>0</v>
      </c>
      <c r="G43" s="50">
        <v>0</v>
      </c>
      <c r="H43" s="50">
        <v>0</v>
      </c>
      <c r="I43" s="50">
        <v>1</v>
      </c>
      <c r="J43" s="50">
        <v>0</v>
      </c>
      <c r="K43" s="50">
        <v>0</v>
      </c>
      <c r="L43" s="50">
        <v>0</v>
      </c>
      <c r="M43" s="50">
        <v>11</v>
      </c>
      <c r="N43" s="50">
        <v>0</v>
      </c>
      <c r="O43" s="15">
        <f t="shared" si="0"/>
        <v>2</v>
      </c>
      <c r="P43" s="15">
        <f t="shared" si="1"/>
        <v>13</v>
      </c>
    </row>
    <row r="44" spans="2:20" ht="23.1" customHeight="1" x14ac:dyDescent="0.25">
      <c r="B44" s="25" t="s">
        <v>71</v>
      </c>
      <c r="C44" s="50">
        <v>1</v>
      </c>
      <c r="D44" s="50">
        <v>0</v>
      </c>
      <c r="E44" s="50">
        <v>0</v>
      </c>
      <c r="F44" s="50">
        <v>1</v>
      </c>
      <c r="G44" s="50">
        <v>0</v>
      </c>
      <c r="H44" s="50">
        <v>0</v>
      </c>
      <c r="I44" s="50">
        <v>0</v>
      </c>
      <c r="J44" s="50">
        <v>0</v>
      </c>
      <c r="K44" s="50">
        <v>0</v>
      </c>
      <c r="L44" s="50">
        <v>0</v>
      </c>
      <c r="M44" s="50">
        <v>2</v>
      </c>
      <c r="N44" s="50">
        <v>0</v>
      </c>
      <c r="O44" s="15">
        <f t="shared" si="0"/>
        <v>2</v>
      </c>
      <c r="P44" s="15">
        <f t="shared" si="1"/>
        <v>4</v>
      </c>
    </row>
    <row r="45" spans="2:20" ht="23.1" customHeight="1" x14ac:dyDescent="0.25">
      <c r="B45" s="23" t="s">
        <v>72</v>
      </c>
      <c r="C45" s="50">
        <v>3</v>
      </c>
      <c r="D45" s="50">
        <v>0</v>
      </c>
      <c r="E45" s="50">
        <v>0</v>
      </c>
      <c r="F45" s="50">
        <v>0</v>
      </c>
      <c r="G45" s="50">
        <v>0</v>
      </c>
      <c r="H45" s="50">
        <v>0</v>
      </c>
      <c r="I45" s="50">
        <v>0</v>
      </c>
      <c r="J45" s="50">
        <v>1</v>
      </c>
      <c r="K45" s="50">
        <v>1</v>
      </c>
      <c r="L45" s="50">
        <v>0</v>
      </c>
      <c r="M45" s="50">
        <v>18</v>
      </c>
      <c r="N45" s="50">
        <v>0</v>
      </c>
      <c r="O45" s="15">
        <f t="shared" si="0"/>
        <v>5</v>
      </c>
      <c r="P45" s="15">
        <f t="shared" si="1"/>
        <v>23</v>
      </c>
    </row>
    <row r="46" spans="2:20" ht="23.1" customHeight="1" x14ac:dyDescent="0.25">
      <c r="B46" s="24" t="s">
        <v>73</v>
      </c>
      <c r="C46" s="50">
        <v>0</v>
      </c>
      <c r="D46" s="50">
        <v>0</v>
      </c>
      <c r="E46" s="50">
        <v>0</v>
      </c>
      <c r="F46" s="50">
        <v>0</v>
      </c>
      <c r="G46" s="50">
        <v>0</v>
      </c>
      <c r="H46" s="50">
        <v>0</v>
      </c>
      <c r="I46" s="50">
        <v>0</v>
      </c>
      <c r="J46" s="50">
        <v>0</v>
      </c>
      <c r="K46" s="50">
        <v>0</v>
      </c>
      <c r="L46" s="50">
        <v>0</v>
      </c>
      <c r="M46" s="50">
        <v>14</v>
      </c>
      <c r="N46" s="50">
        <v>0</v>
      </c>
      <c r="O46" s="15">
        <f t="shared" si="0"/>
        <v>0</v>
      </c>
      <c r="P46" s="15">
        <f t="shared" si="1"/>
        <v>14</v>
      </c>
      <c r="R46" s="8"/>
      <c r="T46"/>
    </row>
    <row r="47" spans="2:20" ht="23.1" customHeight="1" x14ac:dyDescent="0.25">
      <c r="B47" s="24" t="s">
        <v>74</v>
      </c>
      <c r="C47" s="50">
        <v>2</v>
      </c>
      <c r="D47" s="50">
        <v>1</v>
      </c>
      <c r="E47" s="50">
        <v>0</v>
      </c>
      <c r="F47" s="50">
        <v>0</v>
      </c>
      <c r="G47" s="50">
        <v>0</v>
      </c>
      <c r="H47" s="50">
        <v>0</v>
      </c>
      <c r="I47" s="50">
        <v>1</v>
      </c>
      <c r="J47" s="50">
        <v>0</v>
      </c>
      <c r="K47" s="50">
        <v>0</v>
      </c>
      <c r="L47" s="50">
        <v>0</v>
      </c>
      <c r="M47" s="50">
        <v>9</v>
      </c>
      <c r="N47" s="50">
        <v>0</v>
      </c>
      <c r="O47" s="15">
        <f t="shared" si="0"/>
        <v>4</v>
      </c>
      <c r="P47" s="15">
        <f t="shared" si="1"/>
        <v>13</v>
      </c>
      <c r="R47" s="8"/>
      <c r="T47"/>
    </row>
    <row r="48" spans="2:20" ht="23.1" customHeight="1" x14ac:dyDescent="0.25">
      <c r="B48" s="24" t="s">
        <v>75</v>
      </c>
      <c r="C48" s="50">
        <v>1</v>
      </c>
      <c r="D48" s="50">
        <v>1</v>
      </c>
      <c r="E48" s="50">
        <v>1</v>
      </c>
      <c r="F48" s="50">
        <v>0</v>
      </c>
      <c r="G48" s="50">
        <v>0</v>
      </c>
      <c r="H48" s="50">
        <v>0</v>
      </c>
      <c r="I48" s="50">
        <v>1</v>
      </c>
      <c r="J48" s="50">
        <v>0</v>
      </c>
      <c r="K48" s="50">
        <v>1</v>
      </c>
      <c r="L48" s="50">
        <v>0</v>
      </c>
      <c r="M48" s="50">
        <v>2</v>
      </c>
      <c r="N48" s="50">
        <v>0</v>
      </c>
      <c r="O48" s="15">
        <f t="shared" si="0"/>
        <v>5</v>
      </c>
      <c r="P48" s="15">
        <f t="shared" si="1"/>
        <v>7</v>
      </c>
      <c r="R48" s="8"/>
      <c r="T48"/>
    </row>
    <row r="49" spans="2:20" ht="23.1" customHeight="1" x14ac:dyDescent="0.25">
      <c r="B49" s="23" t="s">
        <v>76</v>
      </c>
      <c r="C49" s="50">
        <v>0</v>
      </c>
      <c r="D49" s="50">
        <v>0</v>
      </c>
      <c r="E49" s="50">
        <v>0</v>
      </c>
      <c r="F49" s="50">
        <v>0</v>
      </c>
      <c r="G49" s="50">
        <v>1</v>
      </c>
      <c r="H49" s="50">
        <v>0</v>
      </c>
      <c r="I49" s="50">
        <v>1</v>
      </c>
      <c r="J49" s="50">
        <v>1</v>
      </c>
      <c r="K49" s="50">
        <v>2</v>
      </c>
      <c r="L49" s="50">
        <v>0</v>
      </c>
      <c r="M49" s="50">
        <v>9</v>
      </c>
      <c r="N49" s="50">
        <v>0</v>
      </c>
      <c r="O49" s="15">
        <f t="shared" si="0"/>
        <v>5</v>
      </c>
      <c r="P49" s="15">
        <f t="shared" si="1"/>
        <v>14</v>
      </c>
      <c r="R49" s="8"/>
      <c r="T49"/>
    </row>
    <row r="50" spans="2:20" ht="23.1" customHeight="1" x14ac:dyDescent="0.25">
      <c r="B50" s="24" t="s">
        <v>77</v>
      </c>
      <c r="C50" s="50">
        <v>3</v>
      </c>
      <c r="D50" s="50">
        <v>0</v>
      </c>
      <c r="E50" s="50">
        <v>0</v>
      </c>
      <c r="F50" s="50">
        <v>1</v>
      </c>
      <c r="G50" s="50">
        <v>0</v>
      </c>
      <c r="H50" s="50">
        <v>0</v>
      </c>
      <c r="I50" s="50">
        <v>2</v>
      </c>
      <c r="J50" s="50">
        <v>3</v>
      </c>
      <c r="K50" s="50">
        <v>0</v>
      </c>
      <c r="L50" s="50">
        <v>0</v>
      </c>
      <c r="M50" s="50">
        <v>8</v>
      </c>
      <c r="N50" s="50">
        <v>0</v>
      </c>
      <c r="O50" s="15">
        <f t="shared" si="0"/>
        <v>9</v>
      </c>
      <c r="P50" s="15">
        <f t="shared" si="1"/>
        <v>17</v>
      </c>
      <c r="R50" s="8"/>
      <c r="T50"/>
    </row>
    <row r="51" spans="2:20" ht="23.1" customHeight="1" x14ac:dyDescent="0.25">
      <c r="B51" s="24" t="s">
        <v>78</v>
      </c>
      <c r="C51" s="50">
        <v>1</v>
      </c>
      <c r="D51" s="50">
        <v>0</v>
      </c>
      <c r="E51" s="50">
        <v>0</v>
      </c>
      <c r="F51" s="50">
        <v>0</v>
      </c>
      <c r="G51" s="50">
        <v>0</v>
      </c>
      <c r="H51" s="50">
        <v>0</v>
      </c>
      <c r="I51" s="50">
        <v>0</v>
      </c>
      <c r="J51" s="50">
        <v>1</v>
      </c>
      <c r="K51" s="50">
        <v>0</v>
      </c>
      <c r="L51" s="50">
        <v>0</v>
      </c>
      <c r="M51" s="50">
        <v>11</v>
      </c>
      <c r="N51" s="50">
        <v>0</v>
      </c>
      <c r="O51" s="15">
        <f t="shared" si="0"/>
        <v>2</v>
      </c>
      <c r="P51" s="15">
        <f t="shared" si="1"/>
        <v>13</v>
      </c>
      <c r="R51" s="8"/>
      <c r="T51"/>
    </row>
    <row r="52" spans="2:20" ht="23.1" customHeight="1" x14ac:dyDescent="0.25">
      <c r="B52" s="24" t="s">
        <v>79</v>
      </c>
      <c r="C52" s="50">
        <v>2</v>
      </c>
      <c r="D52" s="50">
        <v>0</v>
      </c>
      <c r="E52" s="50">
        <v>0</v>
      </c>
      <c r="F52" s="50">
        <v>0</v>
      </c>
      <c r="G52" s="50">
        <v>0</v>
      </c>
      <c r="H52" s="50">
        <v>0</v>
      </c>
      <c r="I52" s="50">
        <v>2</v>
      </c>
      <c r="J52" s="50">
        <v>1</v>
      </c>
      <c r="K52" s="50">
        <v>0</v>
      </c>
      <c r="L52" s="50">
        <v>0</v>
      </c>
      <c r="M52" s="50">
        <v>10</v>
      </c>
      <c r="N52" s="50">
        <v>0</v>
      </c>
      <c r="O52" s="15">
        <f t="shared" si="0"/>
        <v>5</v>
      </c>
      <c r="P52" s="15">
        <f t="shared" si="1"/>
        <v>15</v>
      </c>
      <c r="R52" s="8"/>
      <c r="T52"/>
    </row>
    <row r="53" spans="2:20" ht="23.1" customHeight="1" x14ac:dyDescent="0.25">
      <c r="B53" s="23" t="s">
        <v>80</v>
      </c>
      <c r="C53" s="50">
        <v>1</v>
      </c>
      <c r="D53" s="50">
        <v>0</v>
      </c>
      <c r="E53" s="50">
        <v>0</v>
      </c>
      <c r="F53" s="50">
        <v>0</v>
      </c>
      <c r="G53" s="50">
        <v>0</v>
      </c>
      <c r="H53" s="50">
        <v>0</v>
      </c>
      <c r="I53" s="50">
        <v>2</v>
      </c>
      <c r="J53" s="50">
        <v>0</v>
      </c>
      <c r="K53" s="50">
        <v>0</v>
      </c>
      <c r="L53" s="50">
        <v>0</v>
      </c>
      <c r="M53" s="50">
        <v>6</v>
      </c>
      <c r="N53" s="50">
        <v>0</v>
      </c>
      <c r="O53" s="15">
        <f t="shared" si="0"/>
        <v>3</v>
      </c>
      <c r="P53" s="15">
        <f t="shared" si="1"/>
        <v>9</v>
      </c>
      <c r="R53" s="8"/>
      <c r="T53"/>
    </row>
    <row r="54" spans="2:20" ht="23.1" customHeight="1" x14ac:dyDescent="0.25">
      <c r="B54" s="23" t="s">
        <v>81</v>
      </c>
      <c r="C54" s="50">
        <v>2</v>
      </c>
      <c r="D54" s="50">
        <v>0</v>
      </c>
      <c r="E54" s="50">
        <v>0</v>
      </c>
      <c r="F54" s="50">
        <v>2</v>
      </c>
      <c r="G54" s="50">
        <v>0</v>
      </c>
      <c r="H54" s="50">
        <v>0</v>
      </c>
      <c r="I54" s="50">
        <v>4</v>
      </c>
      <c r="J54" s="50">
        <v>1</v>
      </c>
      <c r="K54" s="50">
        <v>0</v>
      </c>
      <c r="L54" s="50">
        <v>0</v>
      </c>
      <c r="M54" s="50">
        <v>12</v>
      </c>
      <c r="N54" s="50">
        <v>0</v>
      </c>
      <c r="O54" s="15">
        <f t="shared" si="0"/>
        <v>9</v>
      </c>
      <c r="P54" s="15">
        <f t="shared" si="1"/>
        <v>21</v>
      </c>
      <c r="R54" s="8"/>
      <c r="T54"/>
    </row>
    <row r="55" spans="2:20" ht="23.1" customHeight="1" x14ac:dyDescent="0.25">
      <c r="B55" s="23" t="s">
        <v>82</v>
      </c>
      <c r="C55" s="50">
        <v>0</v>
      </c>
      <c r="D55" s="50">
        <v>1</v>
      </c>
      <c r="E55" s="50">
        <v>1</v>
      </c>
      <c r="F55" s="50">
        <v>2</v>
      </c>
      <c r="G55" s="50">
        <v>1</v>
      </c>
      <c r="H55" s="50">
        <v>0</v>
      </c>
      <c r="I55" s="50">
        <v>1</v>
      </c>
      <c r="J55" s="50">
        <v>1</v>
      </c>
      <c r="K55" s="50">
        <v>0</v>
      </c>
      <c r="L55" s="50">
        <v>1</v>
      </c>
      <c r="M55" s="50">
        <v>12</v>
      </c>
      <c r="N55" s="50">
        <v>0</v>
      </c>
      <c r="O55" s="15">
        <f t="shared" si="0"/>
        <v>8</v>
      </c>
      <c r="P55" s="15">
        <f t="shared" si="1"/>
        <v>20</v>
      </c>
      <c r="R55" s="8"/>
      <c r="T55"/>
    </row>
    <row r="56" spans="2:20" ht="23.1" customHeight="1" x14ac:dyDescent="0.25">
      <c r="B56" s="23" t="s">
        <v>83</v>
      </c>
      <c r="C56" s="50">
        <v>0</v>
      </c>
      <c r="D56" s="50">
        <v>0</v>
      </c>
      <c r="E56" s="50">
        <v>0</v>
      </c>
      <c r="F56" s="50">
        <v>0</v>
      </c>
      <c r="G56" s="50">
        <v>0</v>
      </c>
      <c r="H56" s="50">
        <v>0</v>
      </c>
      <c r="I56" s="50">
        <v>0</v>
      </c>
      <c r="J56" s="50">
        <v>0</v>
      </c>
      <c r="K56" s="50">
        <v>0</v>
      </c>
      <c r="L56" s="50">
        <v>0</v>
      </c>
      <c r="M56" s="50">
        <v>15</v>
      </c>
      <c r="N56" s="50">
        <v>0</v>
      </c>
      <c r="O56" s="15">
        <f t="shared" si="0"/>
        <v>0</v>
      </c>
      <c r="P56" s="15">
        <f t="shared" si="1"/>
        <v>15</v>
      </c>
      <c r="R56" s="8"/>
      <c r="T56"/>
    </row>
    <row r="57" spans="2:20" ht="23.1" customHeight="1" x14ac:dyDescent="0.25">
      <c r="B57" s="23" t="s">
        <v>84</v>
      </c>
      <c r="C57" s="50">
        <v>0</v>
      </c>
      <c r="D57" s="50">
        <v>0</v>
      </c>
      <c r="E57" s="50">
        <v>0</v>
      </c>
      <c r="F57" s="50">
        <v>0</v>
      </c>
      <c r="G57" s="50">
        <v>0</v>
      </c>
      <c r="H57" s="50">
        <v>0</v>
      </c>
      <c r="I57" s="50">
        <v>0</v>
      </c>
      <c r="J57" s="50">
        <v>0</v>
      </c>
      <c r="K57" s="50">
        <v>0</v>
      </c>
      <c r="L57" s="50">
        <v>0</v>
      </c>
      <c r="M57" s="50">
        <v>16</v>
      </c>
      <c r="N57" s="50">
        <v>0</v>
      </c>
      <c r="O57" s="15">
        <f t="shared" si="0"/>
        <v>0</v>
      </c>
      <c r="P57" s="15">
        <f t="shared" si="1"/>
        <v>16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59</v>
      </c>
      <c r="D58" s="16">
        <f t="shared" si="21"/>
        <v>8</v>
      </c>
      <c r="E58" s="16">
        <f t="shared" si="21"/>
        <v>14</v>
      </c>
      <c r="F58" s="16">
        <f t="shared" si="21"/>
        <v>30</v>
      </c>
      <c r="G58" s="16">
        <f t="shared" si="21"/>
        <v>3</v>
      </c>
      <c r="H58" s="16">
        <f t="shared" si="21"/>
        <v>0</v>
      </c>
      <c r="I58" s="16">
        <f t="shared" si="21"/>
        <v>33</v>
      </c>
      <c r="J58" s="16">
        <f t="shared" si="21"/>
        <v>14</v>
      </c>
      <c r="K58" s="16">
        <f t="shared" si="21"/>
        <v>30</v>
      </c>
      <c r="L58" s="16">
        <f t="shared" si="21"/>
        <v>3</v>
      </c>
      <c r="M58" s="16">
        <f t="shared" si="21"/>
        <v>430</v>
      </c>
      <c r="N58" s="16">
        <f t="shared" si="21"/>
        <v>0</v>
      </c>
      <c r="O58" s="16">
        <f t="shared" si="21"/>
        <v>194</v>
      </c>
      <c r="P58" s="16">
        <f t="shared" si="21"/>
        <v>624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9.4551282051282048E-2</v>
      </c>
      <c r="D59" s="43">
        <f t="shared" si="22"/>
        <v>1.282051282051282E-2</v>
      </c>
      <c r="E59" s="43">
        <f t="shared" si="22"/>
        <v>2.2435897435897436E-2</v>
      </c>
      <c r="F59" s="43">
        <f t="shared" si="22"/>
        <v>4.807692307692308E-2</v>
      </c>
      <c r="G59" s="43">
        <f t="shared" si="22"/>
        <v>4.807692307692308E-3</v>
      </c>
      <c r="H59" s="43">
        <f t="shared" si="22"/>
        <v>0</v>
      </c>
      <c r="I59" s="43">
        <f t="shared" si="22"/>
        <v>5.2884615384615384E-2</v>
      </c>
      <c r="J59" s="43">
        <f t="shared" si="22"/>
        <v>2.2435897435897436E-2</v>
      </c>
      <c r="K59" s="43">
        <f t="shared" si="22"/>
        <v>4.807692307692308E-2</v>
      </c>
      <c r="L59" s="43">
        <f t="shared" si="22"/>
        <v>4.807692307692308E-3</v>
      </c>
      <c r="M59" s="43">
        <f t="shared" si="22"/>
        <v>0.6891025641025641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0.30412371134020616</v>
      </c>
      <c r="D60" s="44">
        <f t="shared" ref="D60:N60" si="23">D58/$O$58</f>
        <v>4.1237113402061855E-2</v>
      </c>
      <c r="E60" s="44">
        <f t="shared" si="23"/>
        <v>7.2164948453608241E-2</v>
      </c>
      <c r="F60" s="44">
        <f t="shared" si="23"/>
        <v>0.15463917525773196</v>
      </c>
      <c r="G60" s="44">
        <f t="shared" si="23"/>
        <v>1.5463917525773196E-2</v>
      </c>
      <c r="H60" s="44">
        <f t="shared" si="23"/>
        <v>0</v>
      </c>
      <c r="I60" s="44">
        <f t="shared" si="23"/>
        <v>0.17010309278350516</v>
      </c>
      <c r="J60" s="44">
        <f t="shared" si="23"/>
        <v>7.2164948453608241E-2</v>
      </c>
      <c r="K60" s="44">
        <f t="shared" si="23"/>
        <v>0.15463917525773196</v>
      </c>
      <c r="L60" s="44">
        <f t="shared" si="23"/>
        <v>1.5463917525773196E-2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6:L6"/>
    <mergeCell ref="K5:L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249977111117893"/>
  </sheetPr>
  <dimension ref="B1:AF174"/>
  <sheetViews>
    <sheetView view="pageBreakPreview" topLeftCell="A49" zoomScale="80" zoomScaleSheetLayoutView="80" workbookViewId="0">
      <selection activeCell="K59" sqref="K59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1" t="s">
        <v>23</v>
      </c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</row>
    <row r="2" spans="2:32" ht="20.100000000000001" customHeight="1" x14ac:dyDescent="0.25">
      <c r="B2" s="62" t="s">
        <v>95</v>
      </c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</row>
    <row r="3" spans="2:32" ht="20.100000000000001" customHeight="1" x14ac:dyDescent="0.25">
      <c r="B3" s="22" t="s">
        <v>96</v>
      </c>
      <c r="C3" s="63" t="str">
        <f>'17.10 SSEMBABULE-KANONI'!C3:G3</f>
        <v>SSEMBABULE-KABULASOKE ROAD</v>
      </c>
      <c r="D3" s="63"/>
      <c r="E3" s="63"/>
      <c r="F3" s="63"/>
      <c r="G3" s="63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51" t="s">
        <v>172</v>
      </c>
      <c r="E5" s="3"/>
      <c r="F5" s="41" t="s">
        <v>1</v>
      </c>
      <c r="G5" s="58" t="str">
        <f>'22.10 KANONI-SSEMBABULE'!G5:H5</f>
        <v>KYABI</v>
      </c>
      <c r="H5" s="59"/>
      <c r="I5" s="14"/>
      <c r="J5" s="2" t="s">
        <v>5</v>
      </c>
      <c r="K5" s="58" t="s">
        <v>173</v>
      </c>
      <c r="L5" s="59"/>
      <c r="M5" s="10"/>
      <c r="N5" s="10"/>
      <c r="O5" s="3"/>
      <c r="P5" s="3"/>
    </row>
    <row r="6" spans="2:32" ht="23.25" customHeight="1" x14ac:dyDescent="0.25">
      <c r="C6" s="2" t="s">
        <v>4</v>
      </c>
      <c r="D6" s="58" t="str">
        <f>'17.10 SSEMBABULE-KANONI'!D6:E6</f>
        <v>SSEMBABULE</v>
      </c>
      <c r="E6" s="59"/>
      <c r="F6" s="2" t="s">
        <v>2</v>
      </c>
      <c r="G6" s="58" t="str">
        <f>'17.10 SSEMBABULE-KANONI'!G6:H6</f>
        <v>KANONI</v>
      </c>
      <c r="H6" s="59"/>
      <c r="J6" s="2" t="s">
        <v>21</v>
      </c>
      <c r="K6" s="58" t="str">
        <f>'22.10 KANONI-SSEMBABULE'!K6:L6</f>
        <v>ONYUTI BETTY</v>
      </c>
      <c r="L6" s="59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0" t="s">
        <v>88</v>
      </c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1</v>
      </c>
      <c r="D10" s="50">
        <v>1</v>
      </c>
      <c r="E10" s="50">
        <v>0</v>
      </c>
      <c r="F10" s="50">
        <v>3</v>
      </c>
      <c r="G10" s="50">
        <v>0</v>
      </c>
      <c r="H10" s="50">
        <v>0</v>
      </c>
      <c r="I10" s="50">
        <v>1</v>
      </c>
      <c r="J10" s="50">
        <v>0</v>
      </c>
      <c r="K10" s="50">
        <v>0</v>
      </c>
      <c r="L10" s="50">
        <v>0</v>
      </c>
      <c r="M10" s="50">
        <v>8</v>
      </c>
      <c r="N10" s="50">
        <v>0</v>
      </c>
      <c r="O10" s="15">
        <f t="shared" ref="O10:O57" si="0">SUM(C10:L10,N10)</f>
        <v>6</v>
      </c>
      <c r="P10" s="15">
        <f t="shared" ref="P10:P57" si="1">SUM(C10:N10)</f>
        <v>14</v>
      </c>
      <c r="R10" s="1" t="s">
        <v>6</v>
      </c>
      <c r="S10" s="17">
        <f t="shared" ref="S10:AF10" si="2">SUM(C10:C13)</f>
        <v>3</v>
      </c>
      <c r="T10" s="17">
        <f t="shared" si="2"/>
        <v>3</v>
      </c>
      <c r="U10" s="17">
        <f t="shared" si="2"/>
        <v>1</v>
      </c>
      <c r="V10" s="17">
        <f t="shared" si="2"/>
        <v>5</v>
      </c>
      <c r="W10" s="17">
        <f t="shared" si="2"/>
        <v>0</v>
      </c>
      <c r="X10" s="17">
        <f t="shared" si="2"/>
        <v>0</v>
      </c>
      <c r="Y10" s="17">
        <f t="shared" si="2"/>
        <v>2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25</v>
      </c>
      <c r="AD10" s="17">
        <f t="shared" si="2"/>
        <v>0</v>
      </c>
      <c r="AE10" s="31">
        <f t="shared" si="2"/>
        <v>14</v>
      </c>
      <c r="AF10" s="31">
        <f t="shared" si="2"/>
        <v>39</v>
      </c>
    </row>
    <row r="11" spans="2:32" s="6" customFormat="1" ht="23.1" customHeight="1" x14ac:dyDescent="0.25">
      <c r="B11" s="45" t="s">
        <v>38</v>
      </c>
      <c r="C11" s="50">
        <v>0</v>
      </c>
      <c r="D11" s="50">
        <v>0</v>
      </c>
      <c r="E11" s="50">
        <v>1</v>
      </c>
      <c r="F11" s="50">
        <v>1</v>
      </c>
      <c r="G11" s="50">
        <v>0</v>
      </c>
      <c r="H11" s="50">
        <v>0</v>
      </c>
      <c r="I11" s="50">
        <v>1</v>
      </c>
      <c r="J11" s="50">
        <v>0</v>
      </c>
      <c r="K11" s="50">
        <v>0</v>
      </c>
      <c r="L11" s="50">
        <v>0</v>
      </c>
      <c r="M11" s="50">
        <v>8</v>
      </c>
      <c r="N11" s="50">
        <v>0</v>
      </c>
      <c r="O11" s="15">
        <f t="shared" si="0"/>
        <v>3</v>
      </c>
      <c r="P11" s="15">
        <f t="shared" si="1"/>
        <v>11</v>
      </c>
      <c r="R11" s="1" t="s">
        <v>7</v>
      </c>
      <c r="S11" s="17">
        <f t="shared" ref="S11:AF11" si="3">SUM(C14:C17)</f>
        <v>4</v>
      </c>
      <c r="T11" s="17">
        <f t="shared" si="3"/>
        <v>3</v>
      </c>
      <c r="U11" s="17">
        <f t="shared" si="3"/>
        <v>0</v>
      </c>
      <c r="V11" s="17">
        <f t="shared" si="3"/>
        <v>2</v>
      </c>
      <c r="W11" s="17">
        <f t="shared" si="3"/>
        <v>2</v>
      </c>
      <c r="X11" s="17">
        <f t="shared" si="3"/>
        <v>0</v>
      </c>
      <c r="Y11" s="17">
        <f t="shared" si="3"/>
        <v>4</v>
      </c>
      <c r="Z11" s="17">
        <f t="shared" si="3"/>
        <v>2</v>
      </c>
      <c r="AA11" s="17">
        <f t="shared" si="3"/>
        <v>1</v>
      </c>
      <c r="AB11" s="17">
        <f t="shared" si="3"/>
        <v>0</v>
      </c>
      <c r="AC11" s="17">
        <f t="shared" si="3"/>
        <v>18</v>
      </c>
      <c r="AD11" s="17">
        <f t="shared" si="3"/>
        <v>0</v>
      </c>
      <c r="AE11" s="31">
        <f t="shared" si="3"/>
        <v>18</v>
      </c>
      <c r="AF11" s="31">
        <f t="shared" si="3"/>
        <v>36</v>
      </c>
    </row>
    <row r="12" spans="2:32" ht="23.1" customHeight="1" x14ac:dyDescent="0.25">
      <c r="B12" s="45" t="s">
        <v>39</v>
      </c>
      <c r="C12" s="50">
        <v>0</v>
      </c>
      <c r="D12" s="50">
        <v>2</v>
      </c>
      <c r="E12" s="50">
        <v>0</v>
      </c>
      <c r="F12" s="50">
        <v>1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5</v>
      </c>
      <c r="N12" s="50">
        <v>0</v>
      </c>
      <c r="O12" s="15">
        <f t="shared" si="0"/>
        <v>3</v>
      </c>
      <c r="P12" s="15">
        <f t="shared" si="1"/>
        <v>8</v>
      </c>
      <c r="R12" s="1" t="s">
        <v>8</v>
      </c>
      <c r="S12" s="17">
        <f t="shared" ref="S12:AF12" si="4">SUM(C18:C21)</f>
        <v>1</v>
      </c>
      <c r="T12" s="17">
        <f t="shared" si="4"/>
        <v>2</v>
      </c>
      <c r="U12" s="17">
        <f t="shared" si="4"/>
        <v>1</v>
      </c>
      <c r="V12" s="17">
        <f t="shared" si="4"/>
        <v>2</v>
      </c>
      <c r="W12" s="17">
        <f t="shared" si="4"/>
        <v>2</v>
      </c>
      <c r="X12" s="17">
        <f t="shared" si="4"/>
        <v>0</v>
      </c>
      <c r="Y12" s="17">
        <f t="shared" si="4"/>
        <v>3</v>
      </c>
      <c r="Z12" s="17">
        <f t="shared" si="4"/>
        <v>0</v>
      </c>
      <c r="AA12" s="17">
        <f t="shared" si="4"/>
        <v>2</v>
      </c>
      <c r="AB12" s="17">
        <f t="shared" si="4"/>
        <v>1</v>
      </c>
      <c r="AC12" s="17">
        <f t="shared" si="4"/>
        <v>18</v>
      </c>
      <c r="AD12" s="17">
        <f t="shared" si="4"/>
        <v>0</v>
      </c>
      <c r="AE12" s="31">
        <f t="shared" si="4"/>
        <v>14</v>
      </c>
      <c r="AF12" s="31">
        <f t="shared" si="4"/>
        <v>32</v>
      </c>
    </row>
    <row r="13" spans="2:32" ht="23.1" customHeight="1" x14ac:dyDescent="0.25">
      <c r="B13" s="45" t="s">
        <v>40</v>
      </c>
      <c r="C13" s="50">
        <v>2</v>
      </c>
      <c r="D13" s="50">
        <v>0</v>
      </c>
      <c r="E13" s="50">
        <v>0</v>
      </c>
      <c r="F13" s="50">
        <v>0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4</v>
      </c>
      <c r="N13" s="50">
        <v>0</v>
      </c>
      <c r="O13" s="15">
        <f t="shared" si="0"/>
        <v>2</v>
      </c>
      <c r="P13" s="15">
        <f t="shared" si="1"/>
        <v>6</v>
      </c>
      <c r="R13" s="1" t="s">
        <v>9</v>
      </c>
      <c r="S13" s="17">
        <f t="shared" ref="S13:AF13" si="5">SUM(C22:C25)</f>
        <v>2</v>
      </c>
      <c r="T13" s="17">
        <f t="shared" si="5"/>
        <v>7</v>
      </c>
      <c r="U13" s="17">
        <f t="shared" si="5"/>
        <v>1</v>
      </c>
      <c r="V13" s="17">
        <f t="shared" si="5"/>
        <v>0</v>
      </c>
      <c r="W13" s="17">
        <f t="shared" si="5"/>
        <v>0</v>
      </c>
      <c r="X13" s="17">
        <f t="shared" si="5"/>
        <v>0</v>
      </c>
      <c r="Y13" s="17">
        <f t="shared" si="5"/>
        <v>4</v>
      </c>
      <c r="Z13" s="17">
        <f t="shared" si="5"/>
        <v>1</v>
      </c>
      <c r="AA13" s="17">
        <f t="shared" si="5"/>
        <v>0</v>
      </c>
      <c r="AB13" s="17">
        <f t="shared" si="5"/>
        <v>0</v>
      </c>
      <c r="AC13" s="17">
        <f t="shared" si="5"/>
        <v>30</v>
      </c>
      <c r="AD13" s="17">
        <f t="shared" si="5"/>
        <v>0</v>
      </c>
      <c r="AE13" s="31">
        <f t="shared" si="5"/>
        <v>15</v>
      </c>
      <c r="AF13" s="31">
        <f t="shared" si="5"/>
        <v>45</v>
      </c>
    </row>
    <row r="14" spans="2:32" ht="23.1" customHeight="1" x14ac:dyDescent="0.25">
      <c r="B14" s="45" t="s">
        <v>41</v>
      </c>
      <c r="C14" s="50">
        <v>0</v>
      </c>
      <c r="D14" s="50">
        <v>0</v>
      </c>
      <c r="E14" s="50">
        <v>0</v>
      </c>
      <c r="F14" s="50">
        <v>0</v>
      </c>
      <c r="G14" s="50">
        <v>0</v>
      </c>
      <c r="H14" s="50">
        <v>0</v>
      </c>
      <c r="I14" s="50">
        <v>0</v>
      </c>
      <c r="J14" s="50">
        <v>0</v>
      </c>
      <c r="K14" s="50">
        <v>1</v>
      </c>
      <c r="L14" s="50">
        <v>0</v>
      </c>
      <c r="M14" s="50">
        <v>4</v>
      </c>
      <c r="N14" s="50">
        <v>0</v>
      </c>
      <c r="O14" s="15">
        <f t="shared" si="0"/>
        <v>1</v>
      </c>
      <c r="P14" s="15">
        <f t="shared" si="1"/>
        <v>5</v>
      </c>
      <c r="R14" s="1" t="s">
        <v>10</v>
      </c>
      <c r="S14" s="17">
        <f t="shared" ref="S14:AF14" si="6">SUM(C26:C29)</f>
        <v>5</v>
      </c>
      <c r="T14" s="17">
        <f t="shared" si="6"/>
        <v>2</v>
      </c>
      <c r="U14" s="17">
        <f t="shared" si="6"/>
        <v>1</v>
      </c>
      <c r="V14" s="17">
        <f t="shared" si="6"/>
        <v>0</v>
      </c>
      <c r="W14" s="17">
        <f t="shared" si="6"/>
        <v>0</v>
      </c>
      <c r="X14" s="17">
        <f t="shared" si="6"/>
        <v>0</v>
      </c>
      <c r="Y14" s="17">
        <f t="shared" si="6"/>
        <v>4</v>
      </c>
      <c r="Z14" s="17">
        <f t="shared" si="6"/>
        <v>2</v>
      </c>
      <c r="AA14" s="17">
        <f t="shared" si="6"/>
        <v>0</v>
      </c>
      <c r="AB14" s="17">
        <f t="shared" si="6"/>
        <v>0</v>
      </c>
      <c r="AC14" s="17">
        <f t="shared" si="6"/>
        <v>20</v>
      </c>
      <c r="AD14" s="17">
        <f t="shared" si="6"/>
        <v>0</v>
      </c>
      <c r="AE14" s="31">
        <f t="shared" si="6"/>
        <v>14</v>
      </c>
      <c r="AF14" s="31">
        <f t="shared" si="6"/>
        <v>34</v>
      </c>
    </row>
    <row r="15" spans="2:32" ht="23.1" customHeight="1" x14ac:dyDescent="0.25">
      <c r="B15" s="45" t="s">
        <v>42</v>
      </c>
      <c r="C15" s="50">
        <v>2</v>
      </c>
      <c r="D15" s="50">
        <v>0</v>
      </c>
      <c r="E15" s="50">
        <v>0</v>
      </c>
      <c r="F15" s="50">
        <v>1</v>
      </c>
      <c r="G15" s="50">
        <v>0</v>
      </c>
      <c r="H15" s="50">
        <v>0</v>
      </c>
      <c r="I15" s="50">
        <v>2</v>
      </c>
      <c r="J15" s="50">
        <v>1</v>
      </c>
      <c r="K15" s="50">
        <v>0</v>
      </c>
      <c r="L15" s="50">
        <v>0</v>
      </c>
      <c r="M15" s="50">
        <v>5</v>
      </c>
      <c r="N15" s="50">
        <v>0</v>
      </c>
      <c r="O15" s="15">
        <f t="shared" si="0"/>
        <v>6</v>
      </c>
      <c r="P15" s="15">
        <f t="shared" si="1"/>
        <v>11</v>
      </c>
      <c r="R15" s="1" t="s">
        <v>11</v>
      </c>
      <c r="S15" s="17">
        <f t="shared" ref="S15:AF15" si="7">SUM(C30:C33)</f>
        <v>3</v>
      </c>
      <c r="T15" s="17">
        <f t="shared" si="7"/>
        <v>1</v>
      </c>
      <c r="U15" s="17">
        <f t="shared" si="7"/>
        <v>0</v>
      </c>
      <c r="V15" s="17">
        <f t="shared" si="7"/>
        <v>0</v>
      </c>
      <c r="W15" s="17">
        <f t="shared" si="7"/>
        <v>0</v>
      </c>
      <c r="X15" s="17">
        <f t="shared" si="7"/>
        <v>0</v>
      </c>
      <c r="Y15" s="17">
        <f t="shared" si="7"/>
        <v>0</v>
      </c>
      <c r="Z15" s="17">
        <f t="shared" si="7"/>
        <v>1</v>
      </c>
      <c r="AA15" s="17">
        <f t="shared" si="7"/>
        <v>1</v>
      </c>
      <c r="AB15" s="17">
        <f t="shared" si="7"/>
        <v>1</v>
      </c>
      <c r="AC15" s="17">
        <f t="shared" si="7"/>
        <v>10</v>
      </c>
      <c r="AD15" s="17">
        <f t="shared" si="7"/>
        <v>0</v>
      </c>
      <c r="AE15" s="31">
        <f t="shared" si="7"/>
        <v>7</v>
      </c>
      <c r="AF15" s="31">
        <f t="shared" si="7"/>
        <v>17</v>
      </c>
    </row>
    <row r="16" spans="2:32" ht="23.1" customHeight="1" x14ac:dyDescent="0.25">
      <c r="B16" s="45" t="s">
        <v>43</v>
      </c>
      <c r="C16" s="50">
        <v>2</v>
      </c>
      <c r="D16" s="50">
        <v>3</v>
      </c>
      <c r="E16" s="50">
        <v>0</v>
      </c>
      <c r="F16" s="50">
        <v>0</v>
      </c>
      <c r="G16" s="50">
        <v>0</v>
      </c>
      <c r="H16" s="50">
        <v>0</v>
      </c>
      <c r="I16" s="50">
        <v>1</v>
      </c>
      <c r="J16" s="50">
        <v>1</v>
      </c>
      <c r="K16" s="50">
        <v>0</v>
      </c>
      <c r="L16" s="50">
        <v>0</v>
      </c>
      <c r="M16" s="50">
        <v>5</v>
      </c>
      <c r="N16" s="50">
        <v>0</v>
      </c>
      <c r="O16" s="15">
        <f t="shared" si="0"/>
        <v>7</v>
      </c>
      <c r="P16" s="15">
        <f t="shared" si="1"/>
        <v>12</v>
      </c>
      <c r="R16" s="1" t="s">
        <v>12</v>
      </c>
      <c r="S16" s="17">
        <f t="shared" ref="S16:AF16" si="8">SUM(C34:C37)</f>
        <v>4</v>
      </c>
      <c r="T16" s="17">
        <f t="shared" si="8"/>
        <v>14</v>
      </c>
      <c r="U16" s="17">
        <f t="shared" si="8"/>
        <v>1</v>
      </c>
      <c r="V16" s="17">
        <f t="shared" si="8"/>
        <v>2</v>
      </c>
      <c r="W16" s="17">
        <f t="shared" si="8"/>
        <v>0</v>
      </c>
      <c r="X16" s="17">
        <f t="shared" si="8"/>
        <v>0</v>
      </c>
      <c r="Y16" s="17">
        <f t="shared" si="8"/>
        <v>5</v>
      </c>
      <c r="Z16" s="17">
        <f t="shared" si="8"/>
        <v>0</v>
      </c>
      <c r="AA16" s="17">
        <f t="shared" si="8"/>
        <v>0</v>
      </c>
      <c r="AB16" s="17">
        <f t="shared" si="8"/>
        <v>0</v>
      </c>
      <c r="AC16" s="17">
        <f t="shared" si="8"/>
        <v>20</v>
      </c>
      <c r="AD16" s="17">
        <f t="shared" si="8"/>
        <v>1</v>
      </c>
      <c r="AE16" s="31">
        <f t="shared" si="8"/>
        <v>27</v>
      </c>
      <c r="AF16" s="31">
        <f t="shared" si="8"/>
        <v>47</v>
      </c>
    </row>
    <row r="17" spans="2:32" ht="23.1" customHeight="1" x14ac:dyDescent="0.25">
      <c r="B17" s="45" t="s">
        <v>44</v>
      </c>
      <c r="C17" s="50">
        <v>0</v>
      </c>
      <c r="D17" s="50">
        <v>0</v>
      </c>
      <c r="E17" s="50">
        <v>0</v>
      </c>
      <c r="F17" s="50">
        <v>1</v>
      </c>
      <c r="G17" s="50">
        <v>2</v>
      </c>
      <c r="H17" s="50">
        <v>0</v>
      </c>
      <c r="I17" s="50">
        <v>1</v>
      </c>
      <c r="J17" s="50">
        <v>0</v>
      </c>
      <c r="K17" s="50">
        <v>0</v>
      </c>
      <c r="L17" s="50">
        <v>0</v>
      </c>
      <c r="M17" s="50">
        <v>4</v>
      </c>
      <c r="N17" s="50">
        <v>0</v>
      </c>
      <c r="O17" s="15">
        <f t="shared" si="0"/>
        <v>4</v>
      </c>
      <c r="P17" s="15">
        <f t="shared" si="1"/>
        <v>8</v>
      </c>
      <c r="R17" s="1" t="s">
        <v>13</v>
      </c>
      <c r="S17" s="17">
        <f t="shared" ref="S17:AF17" si="9">SUM(C38:C41)</f>
        <v>6</v>
      </c>
      <c r="T17" s="17">
        <f t="shared" si="9"/>
        <v>2</v>
      </c>
      <c r="U17" s="17">
        <f t="shared" si="9"/>
        <v>0</v>
      </c>
      <c r="V17" s="17">
        <f t="shared" si="9"/>
        <v>1</v>
      </c>
      <c r="W17" s="17">
        <f t="shared" si="9"/>
        <v>0</v>
      </c>
      <c r="X17" s="17">
        <f t="shared" si="9"/>
        <v>0</v>
      </c>
      <c r="Y17" s="17">
        <f t="shared" si="9"/>
        <v>2</v>
      </c>
      <c r="Z17" s="17">
        <f t="shared" si="9"/>
        <v>0</v>
      </c>
      <c r="AA17" s="17">
        <f t="shared" si="9"/>
        <v>0</v>
      </c>
      <c r="AB17" s="17">
        <f t="shared" si="9"/>
        <v>0</v>
      </c>
      <c r="AC17" s="17">
        <f t="shared" si="9"/>
        <v>25</v>
      </c>
      <c r="AD17" s="17">
        <f t="shared" si="9"/>
        <v>0</v>
      </c>
      <c r="AE17" s="31">
        <f t="shared" si="9"/>
        <v>11</v>
      </c>
      <c r="AF17" s="31">
        <f t="shared" si="9"/>
        <v>36</v>
      </c>
    </row>
    <row r="18" spans="2:32" ht="23.1" customHeight="1" x14ac:dyDescent="0.25">
      <c r="B18" s="45" t="s">
        <v>45</v>
      </c>
      <c r="C18" s="50">
        <v>0</v>
      </c>
      <c r="D18" s="50">
        <v>1</v>
      </c>
      <c r="E18" s="50">
        <v>0</v>
      </c>
      <c r="F18" s="50">
        <v>0</v>
      </c>
      <c r="G18" s="50">
        <v>0</v>
      </c>
      <c r="H18" s="50">
        <v>0</v>
      </c>
      <c r="I18" s="50">
        <v>1</v>
      </c>
      <c r="J18" s="50">
        <v>0</v>
      </c>
      <c r="K18" s="50">
        <v>0</v>
      </c>
      <c r="L18" s="50">
        <v>0</v>
      </c>
      <c r="M18" s="50">
        <v>5</v>
      </c>
      <c r="N18" s="50">
        <v>0</v>
      </c>
      <c r="O18" s="15">
        <f t="shared" si="0"/>
        <v>2</v>
      </c>
      <c r="P18" s="15">
        <f t="shared" si="1"/>
        <v>7</v>
      </c>
      <c r="R18" s="1" t="s">
        <v>14</v>
      </c>
      <c r="S18" s="17">
        <f t="shared" ref="S18:AF18" si="10">SUM(C42:C45)</f>
        <v>2</v>
      </c>
      <c r="T18" s="17">
        <f t="shared" si="10"/>
        <v>5</v>
      </c>
      <c r="U18" s="17">
        <f t="shared" si="10"/>
        <v>2</v>
      </c>
      <c r="V18" s="17">
        <f t="shared" si="10"/>
        <v>3</v>
      </c>
      <c r="W18" s="17">
        <f t="shared" si="10"/>
        <v>0</v>
      </c>
      <c r="X18" s="17">
        <f t="shared" si="10"/>
        <v>0</v>
      </c>
      <c r="Y18" s="17">
        <f t="shared" si="10"/>
        <v>3</v>
      </c>
      <c r="Z18" s="17">
        <f t="shared" si="10"/>
        <v>3</v>
      </c>
      <c r="AA18" s="17">
        <f t="shared" si="10"/>
        <v>0</v>
      </c>
      <c r="AB18" s="17">
        <f t="shared" si="10"/>
        <v>0</v>
      </c>
      <c r="AC18" s="17">
        <f t="shared" si="10"/>
        <v>27</v>
      </c>
      <c r="AD18" s="17">
        <f t="shared" si="10"/>
        <v>0</v>
      </c>
      <c r="AE18" s="31">
        <f t="shared" si="10"/>
        <v>18</v>
      </c>
      <c r="AF18" s="31">
        <f t="shared" si="10"/>
        <v>45</v>
      </c>
    </row>
    <row r="19" spans="2:32" ht="23.1" customHeight="1" x14ac:dyDescent="0.25">
      <c r="B19" s="45" t="s">
        <v>46</v>
      </c>
      <c r="C19" s="50">
        <v>1</v>
      </c>
      <c r="D19" s="50">
        <v>0</v>
      </c>
      <c r="E19" s="50">
        <v>0</v>
      </c>
      <c r="F19" s="50">
        <v>2</v>
      </c>
      <c r="G19" s="50">
        <v>2</v>
      </c>
      <c r="H19" s="50">
        <v>0</v>
      </c>
      <c r="I19" s="50">
        <v>1</v>
      </c>
      <c r="J19" s="50">
        <v>0</v>
      </c>
      <c r="K19" s="50">
        <v>0</v>
      </c>
      <c r="L19" s="50">
        <v>0</v>
      </c>
      <c r="M19" s="50">
        <v>6</v>
      </c>
      <c r="N19" s="50">
        <v>0</v>
      </c>
      <c r="O19" s="15">
        <f t="shared" si="0"/>
        <v>6</v>
      </c>
      <c r="P19" s="15">
        <f t="shared" si="1"/>
        <v>12</v>
      </c>
      <c r="R19" s="1" t="s">
        <v>15</v>
      </c>
      <c r="S19" s="17">
        <f t="shared" ref="S19:AF19" si="11">SUM(C46:C49)</f>
        <v>0</v>
      </c>
      <c r="T19" s="17">
        <f t="shared" si="11"/>
        <v>1</v>
      </c>
      <c r="U19" s="17">
        <f t="shared" si="11"/>
        <v>0</v>
      </c>
      <c r="V19" s="17">
        <f t="shared" si="11"/>
        <v>1</v>
      </c>
      <c r="W19" s="17">
        <f t="shared" si="11"/>
        <v>0</v>
      </c>
      <c r="X19" s="17">
        <f t="shared" si="11"/>
        <v>2</v>
      </c>
      <c r="Y19" s="17">
        <f t="shared" si="11"/>
        <v>1</v>
      </c>
      <c r="Z19" s="17">
        <f t="shared" si="11"/>
        <v>1</v>
      </c>
      <c r="AA19" s="17">
        <f t="shared" si="11"/>
        <v>0</v>
      </c>
      <c r="AB19" s="17">
        <f t="shared" si="11"/>
        <v>0</v>
      </c>
      <c r="AC19" s="17">
        <f t="shared" si="11"/>
        <v>25</v>
      </c>
      <c r="AD19" s="17">
        <f t="shared" si="11"/>
        <v>0</v>
      </c>
      <c r="AE19" s="31">
        <f t="shared" si="11"/>
        <v>6</v>
      </c>
      <c r="AF19" s="31">
        <f t="shared" si="11"/>
        <v>31</v>
      </c>
    </row>
    <row r="20" spans="2:32" ht="23.1" customHeight="1" x14ac:dyDescent="0.25">
      <c r="B20" s="45" t="s">
        <v>47</v>
      </c>
      <c r="C20" s="50">
        <v>0</v>
      </c>
      <c r="D20" s="50">
        <v>0</v>
      </c>
      <c r="E20" s="50">
        <v>0</v>
      </c>
      <c r="F20" s="50">
        <v>0</v>
      </c>
      <c r="G20" s="50">
        <v>0</v>
      </c>
      <c r="H20" s="50">
        <v>0</v>
      </c>
      <c r="I20" s="50">
        <v>0</v>
      </c>
      <c r="J20" s="50">
        <v>0</v>
      </c>
      <c r="K20" s="50">
        <v>1</v>
      </c>
      <c r="L20" s="50">
        <v>0</v>
      </c>
      <c r="M20" s="50">
        <v>6</v>
      </c>
      <c r="N20" s="50">
        <v>0</v>
      </c>
      <c r="O20" s="15">
        <f t="shared" si="0"/>
        <v>1</v>
      </c>
      <c r="P20" s="15">
        <f t="shared" si="1"/>
        <v>7</v>
      </c>
      <c r="R20" s="1" t="s">
        <v>16</v>
      </c>
      <c r="S20" s="17">
        <f t="shared" ref="S20:AF20" si="12">SUM(C50:C53)</f>
        <v>3</v>
      </c>
      <c r="T20" s="17">
        <f t="shared" si="12"/>
        <v>6</v>
      </c>
      <c r="U20" s="17">
        <f t="shared" si="12"/>
        <v>4</v>
      </c>
      <c r="V20" s="17">
        <f t="shared" si="12"/>
        <v>0</v>
      </c>
      <c r="W20" s="17">
        <f t="shared" si="12"/>
        <v>2</v>
      </c>
      <c r="X20" s="17">
        <f t="shared" si="12"/>
        <v>0</v>
      </c>
      <c r="Y20" s="17">
        <f t="shared" si="12"/>
        <v>1</v>
      </c>
      <c r="Z20" s="17">
        <f t="shared" si="12"/>
        <v>2</v>
      </c>
      <c r="AA20" s="17">
        <f t="shared" si="12"/>
        <v>0</v>
      </c>
      <c r="AB20" s="17">
        <f t="shared" si="12"/>
        <v>0</v>
      </c>
      <c r="AC20" s="17">
        <f t="shared" si="12"/>
        <v>22</v>
      </c>
      <c r="AD20" s="17">
        <f t="shared" si="12"/>
        <v>0</v>
      </c>
      <c r="AE20" s="31">
        <f t="shared" si="12"/>
        <v>18</v>
      </c>
      <c r="AF20" s="31">
        <f t="shared" si="12"/>
        <v>40</v>
      </c>
    </row>
    <row r="21" spans="2:32" ht="23.1" customHeight="1" x14ac:dyDescent="0.25">
      <c r="B21" s="45" t="s">
        <v>48</v>
      </c>
      <c r="C21" s="50">
        <v>0</v>
      </c>
      <c r="D21" s="50">
        <v>1</v>
      </c>
      <c r="E21" s="50">
        <v>1</v>
      </c>
      <c r="F21" s="50">
        <v>0</v>
      </c>
      <c r="G21" s="50">
        <v>0</v>
      </c>
      <c r="H21" s="50">
        <v>0</v>
      </c>
      <c r="I21" s="50">
        <v>1</v>
      </c>
      <c r="J21" s="50">
        <v>0</v>
      </c>
      <c r="K21" s="50">
        <v>1</v>
      </c>
      <c r="L21" s="50">
        <v>1</v>
      </c>
      <c r="M21" s="50">
        <v>1</v>
      </c>
      <c r="N21" s="50">
        <v>0</v>
      </c>
      <c r="O21" s="15">
        <f t="shared" si="0"/>
        <v>5</v>
      </c>
      <c r="P21" s="15">
        <f t="shared" si="1"/>
        <v>6</v>
      </c>
      <c r="R21" s="36" t="s">
        <v>20</v>
      </c>
      <c r="S21" s="34">
        <f t="shared" ref="S21:AF21" si="13">SUM(C54:C57)</f>
        <v>2</v>
      </c>
      <c r="T21" s="17">
        <f t="shared" si="13"/>
        <v>6</v>
      </c>
      <c r="U21" s="17">
        <f t="shared" si="13"/>
        <v>0</v>
      </c>
      <c r="V21" s="17">
        <f t="shared" si="13"/>
        <v>2</v>
      </c>
      <c r="W21" s="17">
        <f t="shared" si="13"/>
        <v>1</v>
      </c>
      <c r="X21" s="17">
        <f t="shared" si="13"/>
        <v>0</v>
      </c>
      <c r="Y21" s="17">
        <f t="shared" si="13"/>
        <v>1</v>
      </c>
      <c r="Z21" s="17">
        <f t="shared" si="13"/>
        <v>4</v>
      </c>
      <c r="AA21" s="17">
        <f t="shared" si="13"/>
        <v>0</v>
      </c>
      <c r="AB21" s="17">
        <f t="shared" si="13"/>
        <v>2</v>
      </c>
      <c r="AC21" s="17">
        <f t="shared" si="13"/>
        <v>13</v>
      </c>
      <c r="AD21" s="17">
        <f t="shared" si="13"/>
        <v>0</v>
      </c>
      <c r="AE21" s="31">
        <f t="shared" si="13"/>
        <v>18</v>
      </c>
      <c r="AF21" s="31">
        <f t="shared" si="13"/>
        <v>31</v>
      </c>
    </row>
    <row r="22" spans="2:32" ht="23.1" customHeight="1" x14ac:dyDescent="0.25">
      <c r="B22" s="45" t="s">
        <v>49</v>
      </c>
      <c r="C22" s="50">
        <v>0</v>
      </c>
      <c r="D22" s="50">
        <v>1</v>
      </c>
      <c r="E22" s="50">
        <v>0</v>
      </c>
      <c r="F22" s="50">
        <v>0</v>
      </c>
      <c r="G22" s="50">
        <v>0</v>
      </c>
      <c r="H22" s="50">
        <v>0</v>
      </c>
      <c r="I22" s="50">
        <v>0</v>
      </c>
      <c r="J22" s="50">
        <v>0</v>
      </c>
      <c r="K22" s="50">
        <v>0</v>
      </c>
      <c r="L22" s="50">
        <v>0</v>
      </c>
      <c r="M22" s="50">
        <v>6</v>
      </c>
      <c r="N22" s="50">
        <v>0</v>
      </c>
      <c r="O22" s="15">
        <f t="shared" si="0"/>
        <v>1</v>
      </c>
      <c r="P22" s="15">
        <f t="shared" si="1"/>
        <v>7</v>
      </c>
      <c r="R22" s="36" t="s">
        <v>146</v>
      </c>
      <c r="S22" s="34">
        <f>SUM(C58:C61)</f>
        <v>6</v>
      </c>
      <c r="T22" s="34">
        <f t="shared" ref="T22:AF22" si="14">SUM(D58:D61)</f>
        <v>0</v>
      </c>
      <c r="U22" s="34">
        <f t="shared" si="14"/>
        <v>2</v>
      </c>
      <c r="V22" s="34">
        <f t="shared" si="14"/>
        <v>2</v>
      </c>
      <c r="W22" s="34">
        <f t="shared" si="14"/>
        <v>0</v>
      </c>
      <c r="X22" s="34">
        <f t="shared" si="14"/>
        <v>0</v>
      </c>
      <c r="Y22" s="34">
        <f t="shared" si="14"/>
        <v>3</v>
      </c>
      <c r="Z22" s="34">
        <f t="shared" si="14"/>
        <v>2</v>
      </c>
      <c r="AA22" s="34">
        <f t="shared" si="14"/>
        <v>0</v>
      </c>
      <c r="AB22" s="34">
        <f t="shared" si="14"/>
        <v>0</v>
      </c>
      <c r="AC22" s="34">
        <f t="shared" si="14"/>
        <v>51</v>
      </c>
      <c r="AD22" s="34">
        <f t="shared" si="14"/>
        <v>0</v>
      </c>
      <c r="AE22" s="31">
        <f t="shared" si="14"/>
        <v>15</v>
      </c>
      <c r="AF22" s="31">
        <f t="shared" si="14"/>
        <v>66</v>
      </c>
    </row>
    <row r="23" spans="2:32" ht="23.1" customHeight="1" x14ac:dyDescent="0.25">
      <c r="B23" s="45" t="s">
        <v>50</v>
      </c>
      <c r="C23" s="50">
        <v>1</v>
      </c>
      <c r="D23" s="50">
        <v>1</v>
      </c>
      <c r="E23" s="50">
        <v>0</v>
      </c>
      <c r="F23" s="50">
        <v>0</v>
      </c>
      <c r="G23" s="50">
        <v>0</v>
      </c>
      <c r="H23" s="50">
        <v>0</v>
      </c>
      <c r="I23" s="50">
        <v>2</v>
      </c>
      <c r="J23" s="50">
        <v>0</v>
      </c>
      <c r="K23" s="50">
        <v>0</v>
      </c>
      <c r="L23" s="50">
        <v>0</v>
      </c>
      <c r="M23" s="50">
        <v>9</v>
      </c>
      <c r="N23" s="50">
        <v>0</v>
      </c>
      <c r="O23" s="15">
        <f t="shared" si="0"/>
        <v>4</v>
      </c>
      <c r="P23" s="15">
        <f t="shared" si="1"/>
        <v>13</v>
      </c>
      <c r="R23" s="36" t="s">
        <v>147</v>
      </c>
      <c r="S23" s="34">
        <f>SUM(C62:C65)</f>
        <v>4</v>
      </c>
      <c r="T23" s="34">
        <f t="shared" ref="T23:AF23" si="15">SUM(D62:D65)</f>
        <v>1</v>
      </c>
      <c r="U23" s="34">
        <f t="shared" si="15"/>
        <v>0</v>
      </c>
      <c r="V23" s="34">
        <f t="shared" si="15"/>
        <v>0</v>
      </c>
      <c r="W23" s="34">
        <f t="shared" si="15"/>
        <v>0</v>
      </c>
      <c r="X23" s="34">
        <f t="shared" si="15"/>
        <v>0</v>
      </c>
      <c r="Y23" s="34">
        <f t="shared" si="15"/>
        <v>3</v>
      </c>
      <c r="Z23" s="34">
        <f t="shared" si="15"/>
        <v>0</v>
      </c>
      <c r="AA23" s="34">
        <f t="shared" si="15"/>
        <v>1</v>
      </c>
      <c r="AB23" s="34">
        <f t="shared" si="15"/>
        <v>2</v>
      </c>
      <c r="AC23" s="34">
        <f t="shared" si="15"/>
        <v>18</v>
      </c>
      <c r="AD23" s="34">
        <f t="shared" si="15"/>
        <v>0</v>
      </c>
      <c r="AE23" s="31">
        <f t="shared" si="15"/>
        <v>11</v>
      </c>
      <c r="AF23" s="31">
        <f t="shared" si="15"/>
        <v>29</v>
      </c>
    </row>
    <row r="24" spans="2:32" ht="23.1" customHeight="1" x14ac:dyDescent="0.25">
      <c r="B24" s="45" t="s">
        <v>51</v>
      </c>
      <c r="C24" s="50">
        <v>0</v>
      </c>
      <c r="D24" s="50">
        <v>1</v>
      </c>
      <c r="E24" s="50">
        <v>1</v>
      </c>
      <c r="F24" s="50">
        <v>0</v>
      </c>
      <c r="G24" s="50">
        <v>0</v>
      </c>
      <c r="H24" s="50">
        <v>0</v>
      </c>
      <c r="I24" s="50">
        <v>1</v>
      </c>
      <c r="J24" s="50">
        <v>0</v>
      </c>
      <c r="K24" s="50">
        <v>0</v>
      </c>
      <c r="L24" s="50">
        <v>0</v>
      </c>
      <c r="M24" s="50">
        <v>8</v>
      </c>
      <c r="N24" s="50">
        <v>0</v>
      </c>
      <c r="O24" s="15">
        <f t="shared" si="0"/>
        <v>3</v>
      </c>
      <c r="P24" s="15">
        <f t="shared" si="1"/>
        <v>11</v>
      </c>
      <c r="R24" s="36" t="s">
        <v>148</v>
      </c>
      <c r="S24" s="34">
        <f>SUM(C66:C69)</f>
        <v>1</v>
      </c>
      <c r="T24" s="34">
        <f t="shared" ref="T24:AF24" si="16">SUM(D66:D69)</f>
        <v>0</v>
      </c>
      <c r="U24" s="34">
        <f t="shared" si="16"/>
        <v>0</v>
      </c>
      <c r="V24" s="34">
        <f t="shared" si="16"/>
        <v>1</v>
      </c>
      <c r="W24" s="34">
        <f t="shared" si="16"/>
        <v>0</v>
      </c>
      <c r="X24" s="34">
        <f t="shared" si="16"/>
        <v>0</v>
      </c>
      <c r="Y24" s="34">
        <f t="shared" si="16"/>
        <v>1</v>
      </c>
      <c r="Z24" s="34">
        <f t="shared" si="16"/>
        <v>4</v>
      </c>
      <c r="AA24" s="34">
        <f t="shared" si="16"/>
        <v>0</v>
      </c>
      <c r="AB24" s="34">
        <f t="shared" si="16"/>
        <v>0</v>
      </c>
      <c r="AC24" s="34">
        <f t="shared" si="16"/>
        <v>11</v>
      </c>
      <c r="AD24" s="34">
        <f t="shared" si="16"/>
        <v>0</v>
      </c>
      <c r="AE24" s="31">
        <f t="shared" si="16"/>
        <v>7</v>
      </c>
      <c r="AF24" s="31">
        <f t="shared" si="16"/>
        <v>18</v>
      </c>
    </row>
    <row r="25" spans="2:32" ht="23.1" customHeight="1" x14ac:dyDescent="0.25">
      <c r="B25" s="45" t="s">
        <v>52</v>
      </c>
      <c r="C25" s="50">
        <v>1</v>
      </c>
      <c r="D25" s="50">
        <v>4</v>
      </c>
      <c r="E25" s="50">
        <v>0</v>
      </c>
      <c r="F25" s="50">
        <v>0</v>
      </c>
      <c r="G25" s="50">
        <v>0</v>
      </c>
      <c r="H25" s="50">
        <v>0</v>
      </c>
      <c r="I25" s="50">
        <v>1</v>
      </c>
      <c r="J25" s="50">
        <v>1</v>
      </c>
      <c r="K25" s="50">
        <v>0</v>
      </c>
      <c r="L25" s="50">
        <v>0</v>
      </c>
      <c r="M25" s="50">
        <v>7</v>
      </c>
      <c r="N25" s="50">
        <v>0</v>
      </c>
      <c r="O25" s="15">
        <f t="shared" si="0"/>
        <v>7</v>
      </c>
      <c r="P25" s="15">
        <f t="shared" si="1"/>
        <v>14</v>
      </c>
      <c r="R25" s="36" t="s">
        <v>149</v>
      </c>
      <c r="S25" s="34">
        <f>SUM(C70:C73)</f>
        <v>1</v>
      </c>
      <c r="T25" s="34">
        <f t="shared" ref="T25:AF25" si="17">SUM(D70:D73)</f>
        <v>0</v>
      </c>
      <c r="U25" s="34">
        <f t="shared" si="17"/>
        <v>2</v>
      </c>
      <c r="V25" s="34">
        <f t="shared" si="17"/>
        <v>1</v>
      </c>
      <c r="W25" s="34">
        <f t="shared" si="17"/>
        <v>0</v>
      </c>
      <c r="X25" s="34">
        <f t="shared" si="17"/>
        <v>0</v>
      </c>
      <c r="Y25" s="34">
        <f t="shared" si="17"/>
        <v>1</v>
      </c>
      <c r="Z25" s="34">
        <f t="shared" si="17"/>
        <v>3</v>
      </c>
      <c r="AA25" s="34">
        <f t="shared" si="17"/>
        <v>0</v>
      </c>
      <c r="AB25" s="34">
        <f t="shared" si="17"/>
        <v>0</v>
      </c>
      <c r="AC25" s="34">
        <f t="shared" si="17"/>
        <v>2</v>
      </c>
      <c r="AD25" s="34">
        <f t="shared" si="17"/>
        <v>0</v>
      </c>
      <c r="AE25" s="31">
        <f t="shared" si="17"/>
        <v>8</v>
      </c>
      <c r="AF25" s="31">
        <f t="shared" si="17"/>
        <v>10</v>
      </c>
    </row>
    <row r="26" spans="2:32" ht="23.1" customHeight="1" x14ac:dyDescent="0.25">
      <c r="B26" s="45" t="s">
        <v>53</v>
      </c>
      <c r="C26" s="50">
        <v>3</v>
      </c>
      <c r="D26" s="50">
        <v>1</v>
      </c>
      <c r="E26" s="50">
        <v>0</v>
      </c>
      <c r="F26" s="50">
        <v>0</v>
      </c>
      <c r="G26" s="50">
        <v>0</v>
      </c>
      <c r="H26" s="50">
        <v>0</v>
      </c>
      <c r="I26" s="50">
        <v>0</v>
      </c>
      <c r="J26" s="50">
        <v>1</v>
      </c>
      <c r="K26" s="50">
        <v>0</v>
      </c>
      <c r="L26" s="50">
        <v>0</v>
      </c>
      <c r="M26" s="50">
        <v>7</v>
      </c>
      <c r="N26" s="50">
        <v>0</v>
      </c>
      <c r="O26" s="15">
        <f t="shared" si="0"/>
        <v>5</v>
      </c>
      <c r="P26" s="15">
        <f t="shared" si="1"/>
        <v>12</v>
      </c>
      <c r="R26" s="36" t="s">
        <v>150</v>
      </c>
      <c r="S26" s="34">
        <f>SUM(C74:C77)</f>
        <v>1</v>
      </c>
      <c r="T26" s="34">
        <f t="shared" ref="T26:AF26" si="18">SUM(D74:D77)</f>
        <v>0</v>
      </c>
      <c r="U26" s="34">
        <f t="shared" si="18"/>
        <v>0</v>
      </c>
      <c r="V26" s="34">
        <f t="shared" si="18"/>
        <v>1</v>
      </c>
      <c r="W26" s="34">
        <f t="shared" si="18"/>
        <v>0</v>
      </c>
      <c r="X26" s="34">
        <f t="shared" si="18"/>
        <v>0</v>
      </c>
      <c r="Y26" s="34">
        <f t="shared" si="18"/>
        <v>0</v>
      </c>
      <c r="Z26" s="34">
        <f t="shared" si="18"/>
        <v>1</v>
      </c>
      <c r="AA26" s="34">
        <f t="shared" si="18"/>
        <v>0</v>
      </c>
      <c r="AB26" s="34">
        <f t="shared" si="18"/>
        <v>0</v>
      </c>
      <c r="AC26" s="34">
        <f t="shared" si="18"/>
        <v>0</v>
      </c>
      <c r="AD26" s="34">
        <f t="shared" si="18"/>
        <v>0</v>
      </c>
      <c r="AE26" s="31">
        <f t="shared" si="18"/>
        <v>3</v>
      </c>
      <c r="AF26" s="31">
        <f t="shared" si="18"/>
        <v>3</v>
      </c>
    </row>
    <row r="27" spans="2:32" ht="23.1" customHeight="1" x14ac:dyDescent="0.25">
      <c r="B27" s="45" t="s">
        <v>54</v>
      </c>
      <c r="C27" s="50">
        <v>0</v>
      </c>
      <c r="D27" s="50">
        <v>0</v>
      </c>
      <c r="E27" s="50">
        <v>1</v>
      </c>
      <c r="F27" s="50">
        <v>0</v>
      </c>
      <c r="G27" s="50">
        <v>0</v>
      </c>
      <c r="H27" s="50">
        <v>0</v>
      </c>
      <c r="I27" s="50">
        <v>0</v>
      </c>
      <c r="J27" s="50">
        <v>1</v>
      </c>
      <c r="K27" s="50">
        <v>0</v>
      </c>
      <c r="L27" s="50">
        <v>0</v>
      </c>
      <c r="M27" s="50">
        <v>8</v>
      </c>
      <c r="N27" s="50">
        <v>0</v>
      </c>
      <c r="O27" s="15">
        <f t="shared" si="0"/>
        <v>2</v>
      </c>
      <c r="P27" s="15">
        <f t="shared" si="1"/>
        <v>10</v>
      </c>
      <c r="R27" s="36" t="s">
        <v>151</v>
      </c>
      <c r="S27" s="34">
        <f>SUM(C78:C81)</f>
        <v>1</v>
      </c>
      <c r="T27" s="34">
        <f t="shared" ref="T27:AF27" si="19">SUM(D78:D81)</f>
        <v>0</v>
      </c>
      <c r="U27" s="34">
        <f t="shared" si="19"/>
        <v>0</v>
      </c>
      <c r="V27" s="34">
        <f t="shared" si="19"/>
        <v>0</v>
      </c>
      <c r="W27" s="34">
        <f t="shared" si="19"/>
        <v>0</v>
      </c>
      <c r="X27" s="34">
        <f t="shared" si="19"/>
        <v>0</v>
      </c>
      <c r="Y27" s="34">
        <f t="shared" si="19"/>
        <v>2</v>
      </c>
      <c r="Z27" s="34">
        <f t="shared" si="19"/>
        <v>0</v>
      </c>
      <c r="AA27" s="34">
        <f t="shared" si="19"/>
        <v>1</v>
      </c>
      <c r="AB27" s="34">
        <f t="shared" si="19"/>
        <v>0</v>
      </c>
      <c r="AC27" s="34">
        <f t="shared" si="19"/>
        <v>3</v>
      </c>
      <c r="AD27" s="34">
        <f t="shared" si="19"/>
        <v>0</v>
      </c>
      <c r="AE27" s="31">
        <f t="shared" si="19"/>
        <v>4</v>
      </c>
      <c r="AF27" s="31">
        <f t="shared" si="19"/>
        <v>7</v>
      </c>
    </row>
    <row r="28" spans="2:32" ht="23.1" customHeight="1" x14ac:dyDescent="0.25">
      <c r="B28" s="45" t="s">
        <v>55</v>
      </c>
      <c r="C28" s="50">
        <v>2</v>
      </c>
      <c r="D28" s="50">
        <v>0</v>
      </c>
      <c r="E28" s="50">
        <v>0</v>
      </c>
      <c r="F28" s="50">
        <v>0</v>
      </c>
      <c r="G28" s="50">
        <v>0</v>
      </c>
      <c r="H28" s="50">
        <v>0</v>
      </c>
      <c r="I28" s="50">
        <v>1</v>
      </c>
      <c r="J28" s="50">
        <v>0</v>
      </c>
      <c r="K28" s="50">
        <v>0</v>
      </c>
      <c r="L28" s="50">
        <v>0</v>
      </c>
      <c r="M28" s="50">
        <v>4</v>
      </c>
      <c r="N28" s="50">
        <v>0</v>
      </c>
      <c r="O28" s="15">
        <f t="shared" si="0"/>
        <v>3</v>
      </c>
      <c r="P28" s="15">
        <f t="shared" si="1"/>
        <v>7</v>
      </c>
      <c r="R28" s="36" t="s">
        <v>152</v>
      </c>
      <c r="S28" s="34">
        <f>SUM(C82:C85)</f>
        <v>0</v>
      </c>
      <c r="T28" s="34">
        <f t="shared" ref="T28:AF28" si="20">SUM(D82:D85)</f>
        <v>2</v>
      </c>
      <c r="U28" s="34">
        <f t="shared" si="20"/>
        <v>1</v>
      </c>
      <c r="V28" s="34">
        <f t="shared" si="20"/>
        <v>0</v>
      </c>
      <c r="W28" s="34">
        <f t="shared" si="20"/>
        <v>1</v>
      </c>
      <c r="X28" s="34">
        <f t="shared" si="20"/>
        <v>0</v>
      </c>
      <c r="Y28" s="34">
        <f t="shared" si="20"/>
        <v>3</v>
      </c>
      <c r="Z28" s="34">
        <f t="shared" si="20"/>
        <v>4</v>
      </c>
      <c r="AA28" s="34">
        <f t="shared" si="20"/>
        <v>3</v>
      </c>
      <c r="AB28" s="34">
        <f t="shared" si="20"/>
        <v>0</v>
      </c>
      <c r="AC28" s="34">
        <f t="shared" si="20"/>
        <v>3</v>
      </c>
      <c r="AD28" s="34">
        <f t="shared" si="20"/>
        <v>0</v>
      </c>
      <c r="AE28" s="31">
        <f t="shared" si="20"/>
        <v>14</v>
      </c>
      <c r="AF28" s="31">
        <f t="shared" si="20"/>
        <v>17</v>
      </c>
    </row>
    <row r="29" spans="2:32" ht="23.1" customHeight="1" x14ac:dyDescent="0.25">
      <c r="B29" s="45" t="s">
        <v>56</v>
      </c>
      <c r="C29" s="50">
        <v>0</v>
      </c>
      <c r="D29" s="50">
        <v>1</v>
      </c>
      <c r="E29" s="50">
        <v>0</v>
      </c>
      <c r="F29" s="50">
        <v>0</v>
      </c>
      <c r="G29" s="50">
        <v>0</v>
      </c>
      <c r="H29" s="50">
        <v>0</v>
      </c>
      <c r="I29" s="50">
        <v>3</v>
      </c>
      <c r="J29" s="50">
        <v>0</v>
      </c>
      <c r="K29" s="50">
        <v>0</v>
      </c>
      <c r="L29" s="50">
        <v>0</v>
      </c>
      <c r="M29" s="50">
        <v>1</v>
      </c>
      <c r="N29" s="50">
        <v>0</v>
      </c>
      <c r="O29" s="15">
        <f t="shared" si="0"/>
        <v>4</v>
      </c>
      <c r="P29" s="15">
        <f t="shared" si="1"/>
        <v>5</v>
      </c>
      <c r="R29" s="36" t="s">
        <v>153</v>
      </c>
      <c r="S29" s="34">
        <f>SUM(C86:C89)</f>
        <v>0</v>
      </c>
      <c r="T29" s="34">
        <f t="shared" ref="T29:AF29" si="21">SUM(D86:D89)</f>
        <v>0</v>
      </c>
      <c r="U29" s="34">
        <f t="shared" si="21"/>
        <v>0</v>
      </c>
      <c r="V29" s="34">
        <f t="shared" si="21"/>
        <v>0</v>
      </c>
      <c r="W29" s="34">
        <f t="shared" si="21"/>
        <v>0</v>
      </c>
      <c r="X29" s="34">
        <f t="shared" si="21"/>
        <v>0</v>
      </c>
      <c r="Y29" s="34">
        <f t="shared" si="21"/>
        <v>2</v>
      </c>
      <c r="Z29" s="34">
        <f t="shared" si="21"/>
        <v>1</v>
      </c>
      <c r="AA29" s="34">
        <f t="shared" si="21"/>
        <v>1</v>
      </c>
      <c r="AB29" s="34">
        <f t="shared" si="21"/>
        <v>0</v>
      </c>
      <c r="AC29" s="34">
        <f t="shared" si="21"/>
        <v>1</v>
      </c>
      <c r="AD29" s="34">
        <f t="shared" si="21"/>
        <v>0</v>
      </c>
      <c r="AE29" s="31">
        <f t="shared" si="21"/>
        <v>4</v>
      </c>
      <c r="AF29" s="31">
        <f t="shared" si="21"/>
        <v>5</v>
      </c>
    </row>
    <row r="30" spans="2:32" ht="23.1" customHeight="1" x14ac:dyDescent="0.25">
      <c r="B30" s="45" t="s">
        <v>57</v>
      </c>
      <c r="C30" s="50">
        <v>1</v>
      </c>
      <c r="D30" s="50">
        <v>0</v>
      </c>
      <c r="E30" s="50">
        <v>0</v>
      </c>
      <c r="F30" s="50">
        <v>0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0</v>
      </c>
      <c r="M30" s="50">
        <v>3</v>
      </c>
      <c r="N30" s="50">
        <v>0</v>
      </c>
      <c r="O30" s="15">
        <f t="shared" si="0"/>
        <v>1</v>
      </c>
      <c r="P30" s="15">
        <f t="shared" si="1"/>
        <v>4</v>
      </c>
      <c r="R30" s="36" t="s">
        <v>154</v>
      </c>
      <c r="S30" s="34">
        <f>SUM(C90:C93)</f>
        <v>1</v>
      </c>
      <c r="T30" s="34">
        <f t="shared" ref="T30:AF30" si="22">SUM(D90:D93)</f>
        <v>1</v>
      </c>
      <c r="U30" s="34">
        <f t="shared" si="22"/>
        <v>0</v>
      </c>
      <c r="V30" s="34">
        <f t="shared" si="22"/>
        <v>1</v>
      </c>
      <c r="W30" s="34">
        <f t="shared" si="22"/>
        <v>2</v>
      </c>
      <c r="X30" s="34">
        <f t="shared" si="22"/>
        <v>0</v>
      </c>
      <c r="Y30" s="34">
        <f t="shared" si="22"/>
        <v>1</v>
      </c>
      <c r="Z30" s="34">
        <f t="shared" si="22"/>
        <v>1</v>
      </c>
      <c r="AA30" s="34">
        <f t="shared" si="22"/>
        <v>0</v>
      </c>
      <c r="AB30" s="34">
        <f t="shared" si="22"/>
        <v>0</v>
      </c>
      <c r="AC30" s="34">
        <f t="shared" si="22"/>
        <v>0</v>
      </c>
      <c r="AD30" s="34">
        <f t="shared" si="22"/>
        <v>0</v>
      </c>
      <c r="AE30" s="31">
        <f t="shared" si="22"/>
        <v>7</v>
      </c>
      <c r="AF30" s="31">
        <f t="shared" si="22"/>
        <v>7</v>
      </c>
    </row>
    <row r="31" spans="2:32" ht="23.1" customHeight="1" x14ac:dyDescent="0.25">
      <c r="B31" s="46" t="s">
        <v>58</v>
      </c>
      <c r="C31" s="50">
        <v>2</v>
      </c>
      <c r="D31" s="50">
        <v>0</v>
      </c>
      <c r="E31" s="50">
        <v>0</v>
      </c>
      <c r="F31" s="50">
        <v>0</v>
      </c>
      <c r="G31" s="50">
        <v>0</v>
      </c>
      <c r="H31" s="50">
        <v>0</v>
      </c>
      <c r="I31" s="50">
        <v>0</v>
      </c>
      <c r="J31" s="50">
        <v>1</v>
      </c>
      <c r="K31" s="50">
        <v>1</v>
      </c>
      <c r="L31" s="50">
        <v>1</v>
      </c>
      <c r="M31" s="50">
        <v>1</v>
      </c>
      <c r="N31" s="50">
        <v>0</v>
      </c>
      <c r="O31" s="15">
        <f t="shared" si="0"/>
        <v>5</v>
      </c>
      <c r="P31" s="15">
        <f t="shared" si="1"/>
        <v>6</v>
      </c>
      <c r="R31" s="36" t="s">
        <v>155</v>
      </c>
      <c r="S31" s="34">
        <f>SUM(C94:C97)</f>
        <v>1</v>
      </c>
      <c r="T31" s="34">
        <f t="shared" ref="T31:AF31" si="23">SUM(D94:D97)</f>
        <v>2</v>
      </c>
      <c r="U31" s="34">
        <f t="shared" si="23"/>
        <v>0</v>
      </c>
      <c r="V31" s="34">
        <f t="shared" si="23"/>
        <v>0</v>
      </c>
      <c r="W31" s="34">
        <f t="shared" si="23"/>
        <v>1</v>
      </c>
      <c r="X31" s="34">
        <f t="shared" si="23"/>
        <v>0</v>
      </c>
      <c r="Y31" s="34">
        <f t="shared" si="23"/>
        <v>2</v>
      </c>
      <c r="Z31" s="34">
        <f t="shared" si="23"/>
        <v>0</v>
      </c>
      <c r="AA31" s="34">
        <f t="shared" si="23"/>
        <v>5</v>
      </c>
      <c r="AB31" s="34">
        <f t="shared" si="23"/>
        <v>0</v>
      </c>
      <c r="AC31" s="34">
        <f t="shared" si="23"/>
        <v>2</v>
      </c>
      <c r="AD31" s="34">
        <f t="shared" si="23"/>
        <v>0</v>
      </c>
      <c r="AE31" s="31">
        <f t="shared" si="23"/>
        <v>11</v>
      </c>
      <c r="AF31" s="31">
        <f t="shared" si="23"/>
        <v>13</v>
      </c>
    </row>
    <row r="32" spans="2:32" ht="23.1" customHeight="1" x14ac:dyDescent="0.25">
      <c r="B32" s="46" t="s">
        <v>59</v>
      </c>
      <c r="C32" s="50">
        <v>0</v>
      </c>
      <c r="D32" s="50">
        <v>0</v>
      </c>
      <c r="E32" s="50">
        <v>0</v>
      </c>
      <c r="F32" s="50">
        <v>0</v>
      </c>
      <c r="G32" s="50">
        <v>0</v>
      </c>
      <c r="H32" s="50">
        <v>0</v>
      </c>
      <c r="I32" s="50">
        <v>0</v>
      </c>
      <c r="J32" s="50">
        <v>0</v>
      </c>
      <c r="K32" s="50">
        <v>0</v>
      </c>
      <c r="L32" s="50">
        <v>0</v>
      </c>
      <c r="M32" s="50">
        <v>3</v>
      </c>
      <c r="N32" s="50">
        <v>0</v>
      </c>
      <c r="O32" s="15">
        <f t="shared" si="0"/>
        <v>0</v>
      </c>
      <c r="P32" s="15">
        <f t="shared" si="1"/>
        <v>3</v>
      </c>
      <c r="R32" s="33" t="s">
        <v>156</v>
      </c>
      <c r="S32" s="34">
        <f>SUM(C98:C101)</f>
        <v>1</v>
      </c>
      <c r="T32" s="34">
        <f t="shared" ref="T32:AF32" si="24">SUM(D98:D101)</f>
        <v>0</v>
      </c>
      <c r="U32" s="34">
        <f t="shared" si="24"/>
        <v>0</v>
      </c>
      <c r="V32" s="34">
        <f t="shared" si="24"/>
        <v>0</v>
      </c>
      <c r="W32" s="34">
        <f t="shared" si="24"/>
        <v>0</v>
      </c>
      <c r="X32" s="34">
        <f t="shared" si="24"/>
        <v>0</v>
      </c>
      <c r="Y32" s="34">
        <f t="shared" si="24"/>
        <v>3</v>
      </c>
      <c r="Z32" s="34">
        <f t="shared" si="24"/>
        <v>0</v>
      </c>
      <c r="AA32" s="34">
        <f t="shared" si="24"/>
        <v>0</v>
      </c>
      <c r="AB32" s="34">
        <f t="shared" si="24"/>
        <v>0</v>
      </c>
      <c r="AC32" s="34">
        <f t="shared" si="24"/>
        <v>1</v>
      </c>
      <c r="AD32" s="34">
        <f t="shared" si="24"/>
        <v>0</v>
      </c>
      <c r="AE32" s="31">
        <f t="shared" si="24"/>
        <v>4</v>
      </c>
      <c r="AF32" s="31">
        <f t="shared" si="24"/>
        <v>5</v>
      </c>
    </row>
    <row r="33" spans="2:32" ht="23.1" customHeight="1" x14ac:dyDescent="0.25">
      <c r="B33" s="45" t="s">
        <v>60</v>
      </c>
      <c r="C33" s="50">
        <v>0</v>
      </c>
      <c r="D33" s="50">
        <v>1</v>
      </c>
      <c r="E33" s="50">
        <v>0</v>
      </c>
      <c r="F33" s="50">
        <v>0</v>
      </c>
      <c r="G33" s="50">
        <v>0</v>
      </c>
      <c r="H33" s="50">
        <v>0</v>
      </c>
      <c r="I33" s="50">
        <v>0</v>
      </c>
      <c r="J33" s="50">
        <v>0</v>
      </c>
      <c r="K33" s="50">
        <v>0</v>
      </c>
      <c r="L33" s="50">
        <v>0</v>
      </c>
      <c r="M33" s="50">
        <v>3</v>
      </c>
      <c r="N33" s="50">
        <v>0</v>
      </c>
      <c r="O33" s="15">
        <f t="shared" si="0"/>
        <v>1</v>
      </c>
      <c r="P33" s="15">
        <f t="shared" si="1"/>
        <v>4</v>
      </c>
      <c r="R33" s="33" t="s">
        <v>157</v>
      </c>
      <c r="S33" s="34">
        <f>SUM(C102:C105)</f>
        <v>4</v>
      </c>
      <c r="T33" s="34">
        <f t="shared" ref="T33:AF33" si="25">SUM(D102:D105)</f>
        <v>1</v>
      </c>
      <c r="U33" s="34">
        <f t="shared" si="25"/>
        <v>1</v>
      </c>
      <c r="V33" s="34">
        <f t="shared" si="25"/>
        <v>6</v>
      </c>
      <c r="W33" s="34">
        <f t="shared" si="25"/>
        <v>1</v>
      </c>
      <c r="X33" s="34">
        <f t="shared" si="25"/>
        <v>0</v>
      </c>
      <c r="Y33" s="34">
        <f t="shared" si="25"/>
        <v>0</v>
      </c>
      <c r="Z33" s="34">
        <f t="shared" si="25"/>
        <v>1</v>
      </c>
      <c r="AA33" s="34">
        <f t="shared" si="25"/>
        <v>0</v>
      </c>
      <c r="AB33" s="34">
        <f t="shared" si="25"/>
        <v>0</v>
      </c>
      <c r="AC33" s="34">
        <f t="shared" si="25"/>
        <v>10</v>
      </c>
      <c r="AD33" s="34">
        <f t="shared" si="25"/>
        <v>0</v>
      </c>
      <c r="AE33" s="31">
        <f t="shared" si="25"/>
        <v>14</v>
      </c>
      <c r="AF33" s="31">
        <f t="shared" si="25"/>
        <v>24</v>
      </c>
    </row>
    <row r="34" spans="2:32" ht="23.1" customHeight="1" x14ac:dyDescent="0.25">
      <c r="B34" s="46" t="s">
        <v>61</v>
      </c>
      <c r="C34" s="50">
        <v>1</v>
      </c>
      <c r="D34" s="50">
        <v>8</v>
      </c>
      <c r="E34" s="50">
        <v>0</v>
      </c>
      <c r="F34" s="50">
        <v>1</v>
      </c>
      <c r="G34" s="50">
        <v>0</v>
      </c>
      <c r="H34" s="50">
        <v>0</v>
      </c>
      <c r="I34" s="50">
        <v>2</v>
      </c>
      <c r="J34" s="50">
        <v>0</v>
      </c>
      <c r="K34" s="50">
        <v>0</v>
      </c>
      <c r="L34" s="50">
        <v>0</v>
      </c>
      <c r="M34" s="50">
        <v>10</v>
      </c>
      <c r="N34" s="50">
        <v>0</v>
      </c>
      <c r="O34" s="15">
        <f t="shared" si="0"/>
        <v>12</v>
      </c>
      <c r="P34" s="15">
        <f t="shared" si="1"/>
        <v>22</v>
      </c>
      <c r="R34" s="38" t="s">
        <v>90</v>
      </c>
      <c r="S34" s="39">
        <f t="shared" ref="S34:AF34" si="26">MAX(S10:S12)</f>
        <v>4</v>
      </c>
      <c r="T34" s="39">
        <f t="shared" si="26"/>
        <v>3</v>
      </c>
      <c r="U34" s="39">
        <f t="shared" si="26"/>
        <v>1</v>
      </c>
      <c r="V34" s="39">
        <f t="shared" si="26"/>
        <v>5</v>
      </c>
      <c r="W34" s="39">
        <f t="shared" si="26"/>
        <v>2</v>
      </c>
      <c r="X34" s="39">
        <f t="shared" si="26"/>
        <v>0</v>
      </c>
      <c r="Y34" s="39">
        <f t="shared" si="26"/>
        <v>4</v>
      </c>
      <c r="Z34" s="39">
        <f t="shared" si="26"/>
        <v>2</v>
      </c>
      <c r="AA34" s="39">
        <f t="shared" si="26"/>
        <v>2</v>
      </c>
      <c r="AB34" s="39">
        <f t="shared" si="26"/>
        <v>1</v>
      </c>
      <c r="AC34" s="39">
        <f t="shared" si="26"/>
        <v>25</v>
      </c>
      <c r="AD34" s="39">
        <f t="shared" si="26"/>
        <v>0</v>
      </c>
      <c r="AE34" s="40">
        <f t="shared" si="26"/>
        <v>18</v>
      </c>
      <c r="AF34" s="40">
        <f t="shared" si="26"/>
        <v>39</v>
      </c>
    </row>
    <row r="35" spans="2:32" ht="23.1" customHeight="1" x14ac:dyDescent="0.25">
      <c r="B35" s="46" t="s">
        <v>62</v>
      </c>
      <c r="C35" s="50">
        <v>2</v>
      </c>
      <c r="D35" s="50">
        <v>3</v>
      </c>
      <c r="E35" s="50">
        <v>1</v>
      </c>
      <c r="F35" s="50">
        <v>1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0</v>
      </c>
      <c r="N35" s="50">
        <v>0</v>
      </c>
      <c r="O35" s="15">
        <f t="shared" si="0"/>
        <v>7</v>
      </c>
      <c r="P35" s="15">
        <f t="shared" si="1"/>
        <v>7</v>
      </c>
      <c r="R35" s="38" t="s">
        <v>91</v>
      </c>
      <c r="S35" s="39">
        <f t="shared" ref="S35:AF35" si="27">MAX(S13:S18)</f>
        <v>6</v>
      </c>
      <c r="T35" s="39">
        <f t="shared" si="27"/>
        <v>14</v>
      </c>
      <c r="U35" s="39">
        <f t="shared" si="27"/>
        <v>2</v>
      </c>
      <c r="V35" s="39">
        <f t="shared" si="27"/>
        <v>3</v>
      </c>
      <c r="W35" s="39">
        <f t="shared" si="27"/>
        <v>0</v>
      </c>
      <c r="X35" s="39">
        <f t="shared" si="27"/>
        <v>0</v>
      </c>
      <c r="Y35" s="39">
        <f t="shared" si="27"/>
        <v>5</v>
      </c>
      <c r="Z35" s="39">
        <f t="shared" si="27"/>
        <v>3</v>
      </c>
      <c r="AA35" s="39">
        <f t="shared" si="27"/>
        <v>1</v>
      </c>
      <c r="AB35" s="39">
        <f t="shared" si="27"/>
        <v>1</v>
      </c>
      <c r="AC35" s="39">
        <f t="shared" si="27"/>
        <v>30</v>
      </c>
      <c r="AD35" s="39">
        <f t="shared" si="27"/>
        <v>1</v>
      </c>
      <c r="AE35" s="40">
        <f t="shared" si="27"/>
        <v>27</v>
      </c>
      <c r="AF35" s="40">
        <f t="shared" si="27"/>
        <v>47</v>
      </c>
    </row>
    <row r="36" spans="2:32" ht="23.1" customHeight="1" x14ac:dyDescent="0.25">
      <c r="B36" s="46" t="s">
        <v>63</v>
      </c>
      <c r="C36" s="50">
        <v>0</v>
      </c>
      <c r="D36" s="50">
        <v>1</v>
      </c>
      <c r="E36" s="50">
        <v>0</v>
      </c>
      <c r="F36" s="50">
        <v>0</v>
      </c>
      <c r="G36" s="50">
        <v>0</v>
      </c>
      <c r="H36" s="50">
        <v>0</v>
      </c>
      <c r="I36" s="50">
        <v>0</v>
      </c>
      <c r="J36" s="50">
        <v>0</v>
      </c>
      <c r="K36" s="50">
        <v>0</v>
      </c>
      <c r="L36" s="50">
        <v>0</v>
      </c>
      <c r="M36" s="50">
        <v>3</v>
      </c>
      <c r="N36" s="50">
        <v>0</v>
      </c>
      <c r="O36" s="15">
        <f t="shared" si="0"/>
        <v>1</v>
      </c>
      <c r="P36" s="15">
        <f t="shared" si="1"/>
        <v>4</v>
      </c>
      <c r="R36" s="38" t="s">
        <v>92</v>
      </c>
      <c r="S36" s="39">
        <f t="shared" ref="S36:AF36" si="28">MAX(S19:S21)</f>
        <v>3</v>
      </c>
      <c r="T36" s="39">
        <f t="shared" si="28"/>
        <v>6</v>
      </c>
      <c r="U36" s="39">
        <f t="shared" si="28"/>
        <v>4</v>
      </c>
      <c r="V36" s="39">
        <f t="shared" si="28"/>
        <v>2</v>
      </c>
      <c r="W36" s="39">
        <f t="shared" si="28"/>
        <v>2</v>
      </c>
      <c r="X36" s="39">
        <f t="shared" si="28"/>
        <v>2</v>
      </c>
      <c r="Y36" s="39">
        <f t="shared" si="28"/>
        <v>1</v>
      </c>
      <c r="Z36" s="39">
        <f t="shared" si="28"/>
        <v>4</v>
      </c>
      <c r="AA36" s="39">
        <f t="shared" si="28"/>
        <v>0</v>
      </c>
      <c r="AB36" s="39">
        <f t="shared" si="28"/>
        <v>2</v>
      </c>
      <c r="AC36" s="39">
        <f t="shared" si="28"/>
        <v>25</v>
      </c>
      <c r="AD36" s="39">
        <f t="shared" si="28"/>
        <v>0</v>
      </c>
      <c r="AE36" s="40">
        <f t="shared" si="28"/>
        <v>18</v>
      </c>
      <c r="AF36" s="40">
        <f t="shared" si="28"/>
        <v>40</v>
      </c>
    </row>
    <row r="37" spans="2:32" ht="23.1" customHeight="1" x14ac:dyDescent="0.25">
      <c r="B37" s="45" t="s">
        <v>64</v>
      </c>
      <c r="C37" s="50">
        <v>1</v>
      </c>
      <c r="D37" s="50">
        <v>2</v>
      </c>
      <c r="E37" s="50">
        <v>0</v>
      </c>
      <c r="F37" s="50">
        <v>0</v>
      </c>
      <c r="G37" s="50">
        <v>0</v>
      </c>
      <c r="H37" s="50">
        <v>0</v>
      </c>
      <c r="I37" s="50">
        <v>3</v>
      </c>
      <c r="J37" s="50">
        <v>0</v>
      </c>
      <c r="K37" s="50">
        <v>0</v>
      </c>
      <c r="L37" s="50">
        <v>0</v>
      </c>
      <c r="M37" s="50">
        <v>7</v>
      </c>
      <c r="N37" s="50">
        <v>1</v>
      </c>
      <c r="O37" s="15">
        <f t="shared" si="0"/>
        <v>7</v>
      </c>
      <c r="P37" s="15">
        <f t="shared" si="1"/>
        <v>14</v>
      </c>
      <c r="R37" s="37" t="s">
        <v>85</v>
      </c>
      <c r="S37" s="35">
        <f t="shared" ref="S37:AF37" si="29">SUM(S10:S12)</f>
        <v>8</v>
      </c>
      <c r="T37" s="16">
        <f t="shared" si="29"/>
        <v>8</v>
      </c>
      <c r="U37" s="16">
        <f t="shared" si="29"/>
        <v>2</v>
      </c>
      <c r="V37" s="16">
        <f t="shared" si="29"/>
        <v>9</v>
      </c>
      <c r="W37" s="16">
        <f t="shared" si="29"/>
        <v>4</v>
      </c>
      <c r="X37" s="16">
        <f t="shared" si="29"/>
        <v>0</v>
      </c>
      <c r="Y37" s="16">
        <f t="shared" si="29"/>
        <v>9</v>
      </c>
      <c r="Z37" s="16">
        <f t="shared" si="29"/>
        <v>2</v>
      </c>
      <c r="AA37" s="16">
        <f t="shared" si="29"/>
        <v>3</v>
      </c>
      <c r="AB37" s="16">
        <f t="shared" si="29"/>
        <v>1</v>
      </c>
      <c r="AC37" s="16">
        <f t="shared" si="29"/>
        <v>61</v>
      </c>
      <c r="AD37" s="16">
        <f t="shared" si="29"/>
        <v>0</v>
      </c>
      <c r="AE37" s="32">
        <f t="shared" si="29"/>
        <v>46</v>
      </c>
      <c r="AF37" s="32">
        <f t="shared" si="29"/>
        <v>107</v>
      </c>
    </row>
    <row r="38" spans="2:32" ht="23.1" customHeight="1" x14ac:dyDescent="0.25">
      <c r="B38" s="46" t="s">
        <v>65</v>
      </c>
      <c r="C38" s="50">
        <v>0</v>
      </c>
      <c r="D38" s="50">
        <v>1</v>
      </c>
      <c r="E38" s="50">
        <v>0</v>
      </c>
      <c r="F38" s="50">
        <v>0</v>
      </c>
      <c r="G38" s="50">
        <v>0</v>
      </c>
      <c r="H38" s="50">
        <v>0</v>
      </c>
      <c r="I38" s="50">
        <v>0</v>
      </c>
      <c r="J38" s="50">
        <v>0</v>
      </c>
      <c r="K38" s="50">
        <v>0</v>
      </c>
      <c r="L38" s="50">
        <v>0</v>
      </c>
      <c r="M38" s="50">
        <v>12</v>
      </c>
      <c r="N38" s="50">
        <v>0</v>
      </c>
      <c r="O38" s="15">
        <f t="shared" si="0"/>
        <v>1</v>
      </c>
      <c r="P38" s="15">
        <f t="shared" si="1"/>
        <v>13</v>
      </c>
      <c r="R38" s="28" t="s">
        <v>86</v>
      </c>
      <c r="S38" s="16">
        <f t="shared" ref="S38:AF38" si="30">SUM(S13:S18)</f>
        <v>22</v>
      </c>
      <c r="T38" s="16">
        <f t="shared" si="30"/>
        <v>31</v>
      </c>
      <c r="U38" s="16">
        <f t="shared" si="30"/>
        <v>5</v>
      </c>
      <c r="V38" s="16">
        <f t="shared" si="30"/>
        <v>6</v>
      </c>
      <c r="W38" s="16">
        <f t="shared" si="30"/>
        <v>0</v>
      </c>
      <c r="X38" s="16">
        <f t="shared" si="30"/>
        <v>0</v>
      </c>
      <c r="Y38" s="16">
        <f t="shared" si="30"/>
        <v>18</v>
      </c>
      <c r="Z38" s="16">
        <f t="shared" si="30"/>
        <v>7</v>
      </c>
      <c r="AA38" s="16">
        <f t="shared" si="30"/>
        <v>1</v>
      </c>
      <c r="AB38" s="16">
        <f t="shared" si="30"/>
        <v>1</v>
      </c>
      <c r="AC38" s="16">
        <f t="shared" si="30"/>
        <v>132</v>
      </c>
      <c r="AD38" s="16">
        <f t="shared" si="30"/>
        <v>1</v>
      </c>
      <c r="AE38" s="32">
        <f t="shared" si="30"/>
        <v>92</v>
      </c>
      <c r="AF38" s="32">
        <f t="shared" si="30"/>
        <v>224</v>
      </c>
    </row>
    <row r="39" spans="2:32" ht="23.1" customHeight="1" x14ac:dyDescent="0.25">
      <c r="B39" s="46" t="s">
        <v>66</v>
      </c>
      <c r="C39" s="50">
        <v>1</v>
      </c>
      <c r="D39" s="50">
        <v>0</v>
      </c>
      <c r="E39" s="50">
        <v>0</v>
      </c>
      <c r="F39" s="50">
        <v>1</v>
      </c>
      <c r="G39" s="50">
        <v>0</v>
      </c>
      <c r="H39" s="50">
        <v>0</v>
      </c>
      <c r="I39" s="50">
        <v>1</v>
      </c>
      <c r="J39" s="50">
        <v>0</v>
      </c>
      <c r="K39" s="50">
        <v>0</v>
      </c>
      <c r="L39" s="50">
        <v>0</v>
      </c>
      <c r="M39" s="50">
        <v>7</v>
      </c>
      <c r="N39" s="50">
        <v>0</v>
      </c>
      <c r="O39" s="15">
        <f t="shared" si="0"/>
        <v>3</v>
      </c>
      <c r="P39" s="15">
        <f t="shared" si="1"/>
        <v>10</v>
      </c>
      <c r="R39" s="29" t="s">
        <v>87</v>
      </c>
      <c r="S39" s="16">
        <f t="shared" ref="S39:AF39" si="31">SUM(S19:S21)</f>
        <v>5</v>
      </c>
      <c r="T39" s="16">
        <f t="shared" si="31"/>
        <v>13</v>
      </c>
      <c r="U39" s="16">
        <f t="shared" si="31"/>
        <v>4</v>
      </c>
      <c r="V39" s="16">
        <f t="shared" si="31"/>
        <v>3</v>
      </c>
      <c r="W39" s="16">
        <f t="shared" si="31"/>
        <v>3</v>
      </c>
      <c r="X39" s="16">
        <f t="shared" si="31"/>
        <v>2</v>
      </c>
      <c r="Y39" s="16">
        <f t="shared" si="31"/>
        <v>3</v>
      </c>
      <c r="Z39" s="16">
        <f t="shared" si="31"/>
        <v>7</v>
      </c>
      <c r="AA39" s="16">
        <f t="shared" si="31"/>
        <v>0</v>
      </c>
      <c r="AB39" s="16">
        <f t="shared" si="31"/>
        <v>2</v>
      </c>
      <c r="AC39" s="16">
        <f t="shared" si="31"/>
        <v>60</v>
      </c>
      <c r="AD39" s="16">
        <f t="shared" si="31"/>
        <v>0</v>
      </c>
      <c r="AE39" s="32">
        <f t="shared" si="31"/>
        <v>42</v>
      </c>
      <c r="AF39" s="32">
        <f t="shared" si="31"/>
        <v>102</v>
      </c>
    </row>
    <row r="40" spans="2:32" ht="23.1" customHeight="1" x14ac:dyDescent="0.25">
      <c r="B40" s="46" t="s">
        <v>67</v>
      </c>
      <c r="C40" s="50">
        <v>1</v>
      </c>
      <c r="D40" s="50">
        <v>0</v>
      </c>
      <c r="E40" s="50">
        <v>0</v>
      </c>
      <c r="F40" s="50">
        <v>0</v>
      </c>
      <c r="G40" s="50">
        <v>0</v>
      </c>
      <c r="H40" s="50">
        <v>0</v>
      </c>
      <c r="I40" s="50">
        <v>0</v>
      </c>
      <c r="J40" s="50">
        <v>0</v>
      </c>
      <c r="K40" s="50">
        <v>0</v>
      </c>
      <c r="L40" s="50">
        <v>0</v>
      </c>
      <c r="M40" s="50">
        <v>1</v>
      </c>
      <c r="N40" s="50">
        <v>0</v>
      </c>
      <c r="O40" s="15">
        <f t="shared" si="0"/>
        <v>1</v>
      </c>
      <c r="P40" s="15">
        <f t="shared" si="1"/>
        <v>2</v>
      </c>
      <c r="R40" s="5" t="s">
        <v>17</v>
      </c>
      <c r="S40" s="16">
        <f t="shared" ref="S40:AF40" si="32">SUM(S10:S21)</f>
        <v>35</v>
      </c>
      <c r="T40" s="16">
        <f t="shared" si="32"/>
        <v>52</v>
      </c>
      <c r="U40" s="16">
        <f t="shared" si="32"/>
        <v>11</v>
      </c>
      <c r="V40" s="16">
        <f t="shared" si="32"/>
        <v>18</v>
      </c>
      <c r="W40" s="16">
        <f t="shared" si="32"/>
        <v>7</v>
      </c>
      <c r="X40" s="16">
        <f t="shared" si="32"/>
        <v>2</v>
      </c>
      <c r="Y40" s="16">
        <f t="shared" si="32"/>
        <v>30</v>
      </c>
      <c r="Z40" s="16">
        <f t="shared" si="32"/>
        <v>16</v>
      </c>
      <c r="AA40" s="16">
        <f t="shared" si="32"/>
        <v>4</v>
      </c>
      <c r="AB40" s="16">
        <f t="shared" si="32"/>
        <v>4</v>
      </c>
      <c r="AC40" s="16">
        <f t="shared" si="32"/>
        <v>253</v>
      </c>
      <c r="AD40" s="16">
        <f t="shared" si="32"/>
        <v>1</v>
      </c>
      <c r="AE40" s="32">
        <f t="shared" si="32"/>
        <v>180</v>
      </c>
      <c r="AF40" s="32">
        <f t="shared" si="32"/>
        <v>433</v>
      </c>
    </row>
    <row r="41" spans="2:32" ht="23.1" customHeight="1" x14ac:dyDescent="0.25">
      <c r="B41" s="45" t="s">
        <v>68</v>
      </c>
      <c r="C41" s="50">
        <v>4</v>
      </c>
      <c r="D41" s="50">
        <v>1</v>
      </c>
      <c r="E41" s="50">
        <v>0</v>
      </c>
      <c r="F41" s="50">
        <v>0</v>
      </c>
      <c r="G41" s="50">
        <v>0</v>
      </c>
      <c r="H41" s="50">
        <v>0</v>
      </c>
      <c r="I41" s="50">
        <v>1</v>
      </c>
      <c r="J41" s="50">
        <v>0</v>
      </c>
      <c r="K41" s="50">
        <v>0</v>
      </c>
      <c r="L41" s="50">
        <v>0</v>
      </c>
      <c r="M41" s="50">
        <v>5</v>
      </c>
      <c r="N41" s="50">
        <v>0</v>
      </c>
      <c r="O41" s="15">
        <f t="shared" si="0"/>
        <v>6</v>
      </c>
      <c r="P41" s="15">
        <f t="shared" si="1"/>
        <v>11</v>
      </c>
      <c r="R41" s="5" t="s">
        <v>159</v>
      </c>
      <c r="S41" s="16">
        <f>SUM(S10:S33)</f>
        <v>56</v>
      </c>
      <c r="T41" s="16">
        <f t="shared" ref="T41:AF41" si="33">SUM(T10:T33)</f>
        <v>59</v>
      </c>
      <c r="U41" s="16">
        <f t="shared" si="33"/>
        <v>17</v>
      </c>
      <c r="V41" s="16">
        <f t="shared" si="33"/>
        <v>30</v>
      </c>
      <c r="W41" s="16">
        <f t="shared" si="33"/>
        <v>12</v>
      </c>
      <c r="X41" s="16">
        <f t="shared" si="33"/>
        <v>2</v>
      </c>
      <c r="Y41" s="16">
        <f t="shared" si="33"/>
        <v>51</v>
      </c>
      <c r="Z41" s="16">
        <f t="shared" si="33"/>
        <v>33</v>
      </c>
      <c r="AA41" s="16">
        <f t="shared" si="33"/>
        <v>15</v>
      </c>
      <c r="AB41" s="16">
        <f t="shared" si="33"/>
        <v>6</v>
      </c>
      <c r="AC41" s="16">
        <f t="shared" si="33"/>
        <v>355</v>
      </c>
      <c r="AD41" s="16">
        <f t="shared" si="33"/>
        <v>1</v>
      </c>
      <c r="AE41" s="32">
        <f t="shared" si="33"/>
        <v>282</v>
      </c>
      <c r="AF41" s="32">
        <f t="shared" si="33"/>
        <v>637</v>
      </c>
    </row>
    <row r="42" spans="2:32" ht="23.1" customHeight="1" x14ac:dyDescent="0.25">
      <c r="B42" s="46" t="s">
        <v>69</v>
      </c>
      <c r="C42" s="50">
        <v>1</v>
      </c>
      <c r="D42" s="50">
        <v>1</v>
      </c>
      <c r="E42" s="50">
        <v>0</v>
      </c>
      <c r="F42" s="50">
        <v>1</v>
      </c>
      <c r="G42" s="50">
        <v>0</v>
      </c>
      <c r="H42" s="50">
        <v>0</v>
      </c>
      <c r="I42" s="50">
        <v>1</v>
      </c>
      <c r="J42" s="50">
        <v>0</v>
      </c>
      <c r="K42" s="50">
        <v>0</v>
      </c>
      <c r="L42" s="50">
        <v>0</v>
      </c>
      <c r="M42" s="50">
        <v>5</v>
      </c>
      <c r="N42" s="50">
        <v>0</v>
      </c>
      <c r="O42" s="15">
        <f t="shared" si="0"/>
        <v>4</v>
      </c>
      <c r="P42" s="15">
        <f t="shared" si="1"/>
        <v>9</v>
      </c>
      <c r="R42" s="5" t="s">
        <v>160</v>
      </c>
      <c r="S42" s="48">
        <f>S41/S40</f>
        <v>1.6</v>
      </c>
      <c r="T42" s="48">
        <f t="shared" ref="T42:AF42" si="34">T41/T40</f>
        <v>1.1346153846153846</v>
      </c>
      <c r="U42" s="48">
        <f t="shared" si="34"/>
        <v>1.5454545454545454</v>
      </c>
      <c r="V42" s="48">
        <f t="shared" si="34"/>
        <v>1.6666666666666667</v>
      </c>
      <c r="W42" s="48">
        <f t="shared" si="34"/>
        <v>1.7142857142857142</v>
      </c>
      <c r="X42" s="48">
        <f t="shared" si="34"/>
        <v>1</v>
      </c>
      <c r="Y42" s="48">
        <f t="shared" si="34"/>
        <v>1.7</v>
      </c>
      <c r="Z42" s="48">
        <f t="shared" si="34"/>
        <v>2.0625</v>
      </c>
      <c r="AA42" s="48">
        <f t="shared" si="34"/>
        <v>3.75</v>
      </c>
      <c r="AB42" s="48">
        <f t="shared" si="34"/>
        <v>1.5</v>
      </c>
      <c r="AC42" s="48">
        <f t="shared" si="34"/>
        <v>1.4031620553359683</v>
      </c>
      <c r="AD42" s="48">
        <f t="shared" si="34"/>
        <v>1</v>
      </c>
      <c r="AE42" s="48">
        <f t="shared" si="34"/>
        <v>1.5666666666666667</v>
      </c>
      <c r="AF42" s="48">
        <f t="shared" si="34"/>
        <v>1.4711316397228638</v>
      </c>
    </row>
    <row r="43" spans="2:32" ht="23.1" customHeight="1" x14ac:dyDescent="0.25">
      <c r="B43" s="45" t="s">
        <v>70</v>
      </c>
      <c r="C43" s="50">
        <v>0</v>
      </c>
      <c r="D43" s="50">
        <v>2</v>
      </c>
      <c r="E43" s="50">
        <v>0</v>
      </c>
      <c r="F43" s="50">
        <v>1</v>
      </c>
      <c r="G43" s="50">
        <v>0</v>
      </c>
      <c r="H43" s="50">
        <v>0</v>
      </c>
      <c r="I43" s="50">
        <v>0</v>
      </c>
      <c r="J43" s="50">
        <v>3</v>
      </c>
      <c r="K43" s="50">
        <v>0</v>
      </c>
      <c r="L43" s="50">
        <v>0</v>
      </c>
      <c r="M43" s="50">
        <v>11</v>
      </c>
      <c r="N43" s="50">
        <v>0</v>
      </c>
      <c r="O43" s="15">
        <f t="shared" si="0"/>
        <v>6</v>
      </c>
      <c r="P43" s="15">
        <f t="shared" si="1"/>
        <v>17</v>
      </c>
    </row>
    <row r="44" spans="2:32" ht="23.1" customHeight="1" x14ac:dyDescent="0.25">
      <c r="B44" s="47" t="s">
        <v>71</v>
      </c>
      <c r="C44" s="50">
        <v>0</v>
      </c>
      <c r="D44" s="50">
        <v>0</v>
      </c>
      <c r="E44" s="50">
        <v>0</v>
      </c>
      <c r="F44" s="50">
        <v>0</v>
      </c>
      <c r="G44" s="50">
        <v>0</v>
      </c>
      <c r="H44" s="50">
        <v>0</v>
      </c>
      <c r="I44" s="50">
        <v>1</v>
      </c>
      <c r="J44" s="50">
        <v>0</v>
      </c>
      <c r="K44" s="50">
        <v>0</v>
      </c>
      <c r="L44" s="50">
        <v>0</v>
      </c>
      <c r="M44" s="50">
        <v>5</v>
      </c>
      <c r="N44" s="50">
        <v>0</v>
      </c>
      <c r="O44" s="15">
        <f t="shared" si="0"/>
        <v>1</v>
      </c>
      <c r="P44" s="15">
        <f t="shared" si="1"/>
        <v>6</v>
      </c>
    </row>
    <row r="45" spans="2:32" ht="23.1" customHeight="1" x14ac:dyDescent="0.25">
      <c r="B45" s="45" t="s">
        <v>72</v>
      </c>
      <c r="C45" s="50">
        <v>1</v>
      </c>
      <c r="D45" s="50">
        <v>2</v>
      </c>
      <c r="E45" s="50">
        <v>2</v>
      </c>
      <c r="F45" s="50">
        <v>1</v>
      </c>
      <c r="G45" s="50">
        <v>0</v>
      </c>
      <c r="H45" s="50">
        <v>0</v>
      </c>
      <c r="I45" s="50">
        <v>1</v>
      </c>
      <c r="J45" s="50">
        <v>0</v>
      </c>
      <c r="K45" s="50">
        <v>0</v>
      </c>
      <c r="L45" s="50">
        <v>0</v>
      </c>
      <c r="M45" s="50">
        <v>6</v>
      </c>
      <c r="N45" s="50">
        <v>0</v>
      </c>
      <c r="O45" s="15">
        <f t="shared" si="0"/>
        <v>7</v>
      </c>
      <c r="P45" s="15">
        <f t="shared" si="1"/>
        <v>13</v>
      </c>
    </row>
    <row r="46" spans="2:32" ht="23.1" customHeight="1" x14ac:dyDescent="0.25">
      <c r="B46" s="46" t="s">
        <v>73</v>
      </c>
      <c r="C46" s="50">
        <v>0</v>
      </c>
      <c r="D46" s="50">
        <v>0</v>
      </c>
      <c r="E46" s="50">
        <v>0</v>
      </c>
      <c r="F46" s="50">
        <v>1</v>
      </c>
      <c r="G46" s="50">
        <v>0</v>
      </c>
      <c r="H46" s="50">
        <v>0</v>
      </c>
      <c r="I46" s="50">
        <v>1</v>
      </c>
      <c r="J46" s="50">
        <v>1</v>
      </c>
      <c r="K46" s="50">
        <v>0</v>
      </c>
      <c r="L46" s="50">
        <v>0</v>
      </c>
      <c r="M46" s="50">
        <v>6</v>
      </c>
      <c r="N46" s="50">
        <v>0</v>
      </c>
      <c r="O46" s="15">
        <f t="shared" si="0"/>
        <v>3</v>
      </c>
      <c r="P46" s="15">
        <f t="shared" si="1"/>
        <v>9</v>
      </c>
      <c r="R46" s="8"/>
      <c r="T46"/>
    </row>
    <row r="47" spans="2:32" ht="23.1" customHeight="1" x14ac:dyDescent="0.25">
      <c r="B47" s="46" t="s">
        <v>74</v>
      </c>
      <c r="C47" s="50">
        <v>0</v>
      </c>
      <c r="D47" s="50">
        <v>0</v>
      </c>
      <c r="E47" s="50">
        <v>0</v>
      </c>
      <c r="F47" s="50">
        <v>0</v>
      </c>
      <c r="G47" s="50">
        <v>0</v>
      </c>
      <c r="H47" s="50">
        <v>0</v>
      </c>
      <c r="I47" s="50">
        <v>0</v>
      </c>
      <c r="J47" s="50">
        <v>0</v>
      </c>
      <c r="K47" s="50">
        <v>0</v>
      </c>
      <c r="L47" s="50">
        <v>0</v>
      </c>
      <c r="M47" s="50">
        <v>4</v>
      </c>
      <c r="N47" s="50">
        <v>0</v>
      </c>
      <c r="O47" s="15">
        <f t="shared" si="0"/>
        <v>0</v>
      </c>
      <c r="P47" s="15">
        <f t="shared" si="1"/>
        <v>4</v>
      </c>
      <c r="R47" s="8"/>
      <c r="T47"/>
    </row>
    <row r="48" spans="2:32" ht="23.1" customHeight="1" x14ac:dyDescent="0.25">
      <c r="B48" s="46" t="s">
        <v>75</v>
      </c>
      <c r="C48" s="50">
        <v>0</v>
      </c>
      <c r="D48" s="50">
        <v>0</v>
      </c>
      <c r="E48" s="50">
        <v>0</v>
      </c>
      <c r="F48" s="50">
        <v>0</v>
      </c>
      <c r="G48" s="50">
        <v>0</v>
      </c>
      <c r="H48" s="50">
        <v>0</v>
      </c>
      <c r="I48" s="50">
        <v>0</v>
      </c>
      <c r="J48" s="50">
        <v>0</v>
      </c>
      <c r="K48" s="50">
        <v>0</v>
      </c>
      <c r="L48" s="50">
        <v>0</v>
      </c>
      <c r="M48" s="50">
        <v>2</v>
      </c>
      <c r="N48" s="50">
        <v>0</v>
      </c>
      <c r="O48" s="15">
        <f t="shared" si="0"/>
        <v>0</v>
      </c>
      <c r="P48" s="15">
        <f t="shared" si="1"/>
        <v>2</v>
      </c>
      <c r="R48" s="8"/>
      <c r="T48"/>
    </row>
    <row r="49" spans="2:20" ht="23.1" customHeight="1" x14ac:dyDescent="0.25">
      <c r="B49" s="45" t="s">
        <v>76</v>
      </c>
      <c r="C49" s="50">
        <v>0</v>
      </c>
      <c r="D49" s="50">
        <v>1</v>
      </c>
      <c r="E49" s="50">
        <v>0</v>
      </c>
      <c r="F49" s="50">
        <v>0</v>
      </c>
      <c r="G49" s="50">
        <v>0</v>
      </c>
      <c r="H49" s="50">
        <v>2</v>
      </c>
      <c r="I49" s="50">
        <v>0</v>
      </c>
      <c r="J49" s="50">
        <v>0</v>
      </c>
      <c r="K49" s="50">
        <v>0</v>
      </c>
      <c r="L49" s="50">
        <v>0</v>
      </c>
      <c r="M49" s="50">
        <v>13</v>
      </c>
      <c r="N49" s="50">
        <v>0</v>
      </c>
      <c r="O49" s="15">
        <f t="shared" si="0"/>
        <v>3</v>
      </c>
      <c r="P49" s="15">
        <f t="shared" si="1"/>
        <v>16</v>
      </c>
      <c r="R49" s="8"/>
      <c r="T49"/>
    </row>
    <row r="50" spans="2:20" ht="23.1" customHeight="1" x14ac:dyDescent="0.25">
      <c r="B50" s="46" t="s">
        <v>77</v>
      </c>
      <c r="C50" s="50">
        <v>0</v>
      </c>
      <c r="D50" s="50">
        <v>0</v>
      </c>
      <c r="E50" s="50">
        <v>0</v>
      </c>
      <c r="F50" s="50">
        <v>0</v>
      </c>
      <c r="G50" s="50">
        <v>0</v>
      </c>
      <c r="H50" s="50">
        <v>0</v>
      </c>
      <c r="I50" s="50">
        <v>1</v>
      </c>
      <c r="J50" s="50">
        <v>0</v>
      </c>
      <c r="K50" s="50">
        <v>0</v>
      </c>
      <c r="L50" s="50">
        <v>0</v>
      </c>
      <c r="M50" s="50">
        <v>5</v>
      </c>
      <c r="N50" s="50">
        <v>0</v>
      </c>
      <c r="O50" s="15">
        <f t="shared" si="0"/>
        <v>1</v>
      </c>
      <c r="P50" s="15">
        <f t="shared" si="1"/>
        <v>6</v>
      </c>
      <c r="R50" s="8"/>
      <c r="T50"/>
    </row>
    <row r="51" spans="2:20" ht="23.1" customHeight="1" x14ac:dyDescent="0.25">
      <c r="B51" s="46" t="s">
        <v>78</v>
      </c>
      <c r="C51" s="50">
        <v>0</v>
      </c>
      <c r="D51" s="50">
        <v>2</v>
      </c>
      <c r="E51" s="50">
        <v>1</v>
      </c>
      <c r="F51" s="50">
        <v>0</v>
      </c>
      <c r="G51" s="50">
        <v>1</v>
      </c>
      <c r="H51" s="50">
        <v>0</v>
      </c>
      <c r="I51" s="50">
        <v>0</v>
      </c>
      <c r="J51" s="50">
        <v>0</v>
      </c>
      <c r="K51" s="50">
        <v>0</v>
      </c>
      <c r="L51" s="50">
        <v>0</v>
      </c>
      <c r="M51" s="50">
        <v>8</v>
      </c>
      <c r="N51" s="50">
        <v>0</v>
      </c>
      <c r="O51" s="15">
        <f t="shared" si="0"/>
        <v>4</v>
      </c>
      <c r="P51" s="15">
        <f t="shared" si="1"/>
        <v>12</v>
      </c>
      <c r="R51" s="8"/>
      <c r="T51"/>
    </row>
    <row r="52" spans="2:20" ht="23.1" customHeight="1" x14ac:dyDescent="0.25">
      <c r="B52" s="46" t="s">
        <v>79</v>
      </c>
      <c r="C52" s="50">
        <v>1</v>
      </c>
      <c r="D52" s="50">
        <v>0</v>
      </c>
      <c r="E52" s="50">
        <v>1</v>
      </c>
      <c r="F52" s="50">
        <v>0</v>
      </c>
      <c r="G52" s="50">
        <v>1</v>
      </c>
      <c r="H52" s="50">
        <v>0</v>
      </c>
      <c r="I52" s="50">
        <v>0</v>
      </c>
      <c r="J52" s="50">
        <v>1</v>
      </c>
      <c r="K52" s="50">
        <v>0</v>
      </c>
      <c r="L52" s="50">
        <v>0</v>
      </c>
      <c r="M52" s="50">
        <v>2</v>
      </c>
      <c r="N52" s="50">
        <v>0</v>
      </c>
      <c r="O52" s="15">
        <f t="shared" si="0"/>
        <v>4</v>
      </c>
      <c r="P52" s="15">
        <f t="shared" si="1"/>
        <v>6</v>
      </c>
      <c r="R52" s="8"/>
      <c r="T52"/>
    </row>
    <row r="53" spans="2:20" ht="23.1" customHeight="1" x14ac:dyDescent="0.25">
      <c r="B53" s="45" t="s">
        <v>80</v>
      </c>
      <c r="C53" s="50">
        <v>2</v>
      </c>
      <c r="D53" s="50">
        <v>4</v>
      </c>
      <c r="E53" s="50">
        <v>2</v>
      </c>
      <c r="F53" s="50">
        <v>0</v>
      </c>
      <c r="G53" s="50">
        <v>0</v>
      </c>
      <c r="H53" s="50">
        <v>0</v>
      </c>
      <c r="I53" s="50">
        <v>0</v>
      </c>
      <c r="J53" s="50">
        <v>1</v>
      </c>
      <c r="K53" s="50">
        <v>0</v>
      </c>
      <c r="L53" s="50">
        <v>0</v>
      </c>
      <c r="M53" s="50">
        <v>7</v>
      </c>
      <c r="N53" s="50">
        <v>0</v>
      </c>
      <c r="O53" s="15">
        <f t="shared" si="0"/>
        <v>9</v>
      </c>
      <c r="P53" s="15">
        <f t="shared" si="1"/>
        <v>16</v>
      </c>
      <c r="R53" s="8"/>
      <c r="T53"/>
    </row>
    <row r="54" spans="2:20" ht="23.1" customHeight="1" x14ac:dyDescent="0.25">
      <c r="B54" s="45" t="s">
        <v>81</v>
      </c>
      <c r="C54" s="50">
        <v>1</v>
      </c>
      <c r="D54" s="50">
        <v>0</v>
      </c>
      <c r="E54" s="50">
        <v>0</v>
      </c>
      <c r="F54" s="50">
        <v>1</v>
      </c>
      <c r="G54" s="50">
        <v>0</v>
      </c>
      <c r="H54" s="50">
        <v>0</v>
      </c>
      <c r="I54" s="50">
        <v>0</v>
      </c>
      <c r="J54" s="50">
        <v>0</v>
      </c>
      <c r="K54" s="50">
        <v>0</v>
      </c>
      <c r="L54" s="50">
        <v>0</v>
      </c>
      <c r="M54" s="50">
        <v>1</v>
      </c>
      <c r="N54" s="50">
        <v>0</v>
      </c>
      <c r="O54" s="15">
        <f t="shared" si="0"/>
        <v>2</v>
      </c>
      <c r="P54" s="15">
        <f t="shared" si="1"/>
        <v>3</v>
      </c>
      <c r="R54" s="8"/>
      <c r="T54"/>
    </row>
    <row r="55" spans="2:20" ht="23.1" customHeight="1" x14ac:dyDescent="0.25">
      <c r="B55" s="45" t="s">
        <v>82</v>
      </c>
      <c r="C55" s="50">
        <v>0</v>
      </c>
      <c r="D55" s="50">
        <v>2</v>
      </c>
      <c r="E55" s="50">
        <v>0</v>
      </c>
      <c r="F55" s="50">
        <v>0</v>
      </c>
      <c r="G55" s="50">
        <v>0</v>
      </c>
      <c r="H55" s="50">
        <v>0</v>
      </c>
      <c r="I55" s="50">
        <v>0</v>
      </c>
      <c r="J55" s="50">
        <v>3</v>
      </c>
      <c r="K55" s="50">
        <v>0</v>
      </c>
      <c r="L55" s="50">
        <v>1</v>
      </c>
      <c r="M55" s="50">
        <v>4</v>
      </c>
      <c r="N55" s="50">
        <v>0</v>
      </c>
      <c r="O55" s="15">
        <f t="shared" si="0"/>
        <v>6</v>
      </c>
      <c r="P55" s="15">
        <f t="shared" si="1"/>
        <v>10</v>
      </c>
      <c r="R55" s="8"/>
      <c r="T55"/>
    </row>
    <row r="56" spans="2:20" ht="23.1" customHeight="1" x14ac:dyDescent="0.25">
      <c r="B56" s="45" t="s">
        <v>83</v>
      </c>
      <c r="C56" s="50">
        <v>1</v>
      </c>
      <c r="D56" s="50">
        <v>1</v>
      </c>
      <c r="E56" s="50">
        <v>0</v>
      </c>
      <c r="F56" s="50">
        <v>0</v>
      </c>
      <c r="G56" s="50">
        <v>1</v>
      </c>
      <c r="H56" s="50">
        <v>0</v>
      </c>
      <c r="I56" s="50">
        <v>1</v>
      </c>
      <c r="J56" s="50">
        <v>1</v>
      </c>
      <c r="K56" s="50">
        <v>0</v>
      </c>
      <c r="L56" s="50">
        <v>0</v>
      </c>
      <c r="M56" s="50">
        <v>5</v>
      </c>
      <c r="N56" s="50">
        <v>0</v>
      </c>
      <c r="O56" s="15">
        <f t="shared" si="0"/>
        <v>5</v>
      </c>
      <c r="P56" s="15">
        <f t="shared" si="1"/>
        <v>10</v>
      </c>
      <c r="R56" s="8"/>
      <c r="T56"/>
    </row>
    <row r="57" spans="2:20" ht="23.1" customHeight="1" x14ac:dyDescent="0.25">
      <c r="B57" s="45" t="s">
        <v>84</v>
      </c>
      <c r="C57" s="50">
        <v>0</v>
      </c>
      <c r="D57" s="50">
        <v>3</v>
      </c>
      <c r="E57" s="50">
        <v>0</v>
      </c>
      <c r="F57" s="50">
        <v>1</v>
      </c>
      <c r="G57" s="50">
        <v>0</v>
      </c>
      <c r="H57" s="50">
        <v>0</v>
      </c>
      <c r="I57" s="50">
        <v>0</v>
      </c>
      <c r="J57" s="50">
        <v>0</v>
      </c>
      <c r="K57" s="50">
        <v>0</v>
      </c>
      <c r="L57" s="50">
        <v>1</v>
      </c>
      <c r="M57" s="50">
        <v>3</v>
      </c>
      <c r="N57" s="50">
        <v>0</v>
      </c>
      <c r="O57" s="15">
        <f t="shared" si="0"/>
        <v>5</v>
      </c>
      <c r="P57" s="15">
        <f t="shared" si="1"/>
        <v>8</v>
      </c>
      <c r="R57" s="8"/>
      <c r="T57"/>
    </row>
    <row r="58" spans="2:20" ht="23.1" customHeight="1" x14ac:dyDescent="0.25">
      <c r="B58" s="45" t="s">
        <v>99</v>
      </c>
      <c r="C58" s="50">
        <v>0</v>
      </c>
      <c r="D58" s="50">
        <v>0</v>
      </c>
      <c r="E58" s="50">
        <v>2</v>
      </c>
      <c r="F58" s="50">
        <v>0</v>
      </c>
      <c r="G58" s="50">
        <v>0</v>
      </c>
      <c r="H58" s="50">
        <v>0</v>
      </c>
      <c r="I58" s="50">
        <v>2</v>
      </c>
      <c r="J58" s="50">
        <v>0</v>
      </c>
      <c r="K58" s="50">
        <v>0</v>
      </c>
      <c r="L58" s="50">
        <v>0</v>
      </c>
      <c r="M58" s="50">
        <v>12</v>
      </c>
      <c r="N58" s="50">
        <v>0</v>
      </c>
      <c r="O58" s="15">
        <f t="shared" ref="O58:O105" si="35">SUM(C58:L58,N58)</f>
        <v>4</v>
      </c>
      <c r="P58" s="15">
        <f t="shared" ref="P58:P105" si="36">SUM(C58:N58)</f>
        <v>16</v>
      </c>
      <c r="R58" s="8"/>
      <c r="T58"/>
    </row>
    <row r="59" spans="2:20" ht="23.1" customHeight="1" x14ac:dyDescent="0.25">
      <c r="B59" s="45" t="s">
        <v>100</v>
      </c>
      <c r="C59" s="50">
        <v>2</v>
      </c>
      <c r="D59" s="50">
        <v>0</v>
      </c>
      <c r="E59" s="50">
        <v>0</v>
      </c>
      <c r="F59" s="50">
        <v>1</v>
      </c>
      <c r="G59" s="50">
        <v>0</v>
      </c>
      <c r="H59" s="50">
        <v>0</v>
      </c>
      <c r="I59" s="50">
        <v>1</v>
      </c>
      <c r="J59" s="50">
        <v>1</v>
      </c>
      <c r="K59" s="50">
        <v>0</v>
      </c>
      <c r="L59" s="50">
        <v>0</v>
      </c>
      <c r="M59" s="50">
        <v>9</v>
      </c>
      <c r="N59" s="50">
        <v>0</v>
      </c>
      <c r="O59" s="15">
        <f t="shared" si="35"/>
        <v>5</v>
      </c>
      <c r="P59" s="15">
        <f t="shared" si="36"/>
        <v>14</v>
      </c>
      <c r="R59" s="8"/>
      <c r="T59"/>
    </row>
    <row r="60" spans="2:20" ht="23.1" customHeight="1" x14ac:dyDescent="0.25">
      <c r="B60" s="45" t="s">
        <v>101</v>
      </c>
      <c r="C60" s="50">
        <v>2</v>
      </c>
      <c r="D60" s="50">
        <v>0</v>
      </c>
      <c r="E60" s="50">
        <v>0</v>
      </c>
      <c r="F60" s="50">
        <v>0</v>
      </c>
      <c r="G60" s="50">
        <v>0</v>
      </c>
      <c r="H60" s="50">
        <v>0</v>
      </c>
      <c r="I60" s="50">
        <v>0</v>
      </c>
      <c r="J60" s="50">
        <v>1</v>
      </c>
      <c r="K60" s="50">
        <v>0</v>
      </c>
      <c r="L60" s="50">
        <v>0</v>
      </c>
      <c r="M60" s="50">
        <v>19</v>
      </c>
      <c r="N60" s="50">
        <v>0</v>
      </c>
      <c r="O60" s="15">
        <f t="shared" si="35"/>
        <v>3</v>
      </c>
      <c r="P60" s="15">
        <f t="shared" si="36"/>
        <v>22</v>
      </c>
      <c r="R60" s="8"/>
      <c r="T60"/>
    </row>
    <row r="61" spans="2:20" ht="23.1" customHeight="1" x14ac:dyDescent="0.25">
      <c r="B61" s="45" t="s">
        <v>102</v>
      </c>
      <c r="C61" s="50">
        <v>2</v>
      </c>
      <c r="D61" s="50">
        <v>0</v>
      </c>
      <c r="E61" s="50">
        <v>0</v>
      </c>
      <c r="F61" s="50">
        <v>1</v>
      </c>
      <c r="G61" s="50">
        <v>0</v>
      </c>
      <c r="H61" s="50">
        <v>0</v>
      </c>
      <c r="I61" s="50">
        <v>0</v>
      </c>
      <c r="J61" s="50">
        <v>0</v>
      </c>
      <c r="K61" s="50">
        <v>0</v>
      </c>
      <c r="L61" s="50">
        <v>0</v>
      </c>
      <c r="M61" s="50">
        <v>11</v>
      </c>
      <c r="N61" s="50">
        <v>0</v>
      </c>
      <c r="O61" s="15">
        <f t="shared" si="35"/>
        <v>3</v>
      </c>
      <c r="P61" s="15">
        <f t="shared" si="36"/>
        <v>14</v>
      </c>
      <c r="R61" s="8"/>
      <c r="T61"/>
    </row>
    <row r="62" spans="2:20" ht="23.1" customHeight="1" x14ac:dyDescent="0.25">
      <c r="B62" s="45" t="s">
        <v>107</v>
      </c>
      <c r="C62" s="50">
        <v>2</v>
      </c>
      <c r="D62" s="50">
        <v>1</v>
      </c>
      <c r="E62" s="50">
        <v>0</v>
      </c>
      <c r="F62" s="50">
        <v>0</v>
      </c>
      <c r="G62" s="50">
        <v>0</v>
      </c>
      <c r="H62" s="50">
        <v>0</v>
      </c>
      <c r="I62" s="50">
        <v>1</v>
      </c>
      <c r="J62" s="50">
        <v>0</v>
      </c>
      <c r="K62" s="50">
        <v>1</v>
      </c>
      <c r="L62" s="50">
        <v>2</v>
      </c>
      <c r="M62" s="50">
        <v>9</v>
      </c>
      <c r="N62" s="50">
        <v>0</v>
      </c>
      <c r="O62" s="15">
        <f t="shared" si="35"/>
        <v>7</v>
      </c>
      <c r="P62" s="15">
        <f t="shared" si="36"/>
        <v>16</v>
      </c>
      <c r="R62" s="8"/>
      <c r="T62"/>
    </row>
    <row r="63" spans="2:20" ht="23.1" customHeight="1" x14ac:dyDescent="0.25">
      <c r="B63" s="45" t="s">
        <v>108</v>
      </c>
      <c r="C63" s="50">
        <v>1</v>
      </c>
      <c r="D63" s="50">
        <v>0</v>
      </c>
      <c r="E63" s="50">
        <v>0</v>
      </c>
      <c r="F63" s="50">
        <v>0</v>
      </c>
      <c r="G63" s="50">
        <v>0</v>
      </c>
      <c r="H63" s="50">
        <v>0</v>
      </c>
      <c r="I63" s="50">
        <v>1</v>
      </c>
      <c r="J63" s="50">
        <v>0</v>
      </c>
      <c r="K63" s="50">
        <v>0</v>
      </c>
      <c r="L63" s="50">
        <v>0</v>
      </c>
      <c r="M63" s="50">
        <v>4</v>
      </c>
      <c r="N63" s="50">
        <v>0</v>
      </c>
      <c r="O63" s="15">
        <f t="shared" si="35"/>
        <v>2</v>
      </c>
      <c r="P63" s="15">
        <f t="shared" si="36"/>
        <v>6</v>
      </c>
      <c r="R63" s="8"/>
      <c r="T63"/>
    </row>
    <row r="64" spans="2:20" ht="23.1" customHeight="1" x14ac:dyDescent="0.25">
      <c r="B64" s="45" t="s">
        <v>109</v>
      </c>
      <c r="C64" s="50">
        <v>1</v>
      </c>
      <c r="D64" s="50">
        <v>0</v>
      </c>
      <c r="E64" s="50">
        <v>0</v>
      </c>
      <c r="F64" s="50">
        <v>0</v>
      </c>
      <c r="G64" s="50">
        <v>0</v>
      </c>
      <c r="H64" s="50">
        <v>0</v>
      </c>
      <c r="I64" s="50">
        <v>1</v>
      </c>
      <c r="J64" s="50">
        <v>0</v>
      </c>
      <c r="K64" s="50">
        <v>0</v>
      </c>
      <c r="L64" s="50">
        <v>0</v>
      </c>
      <c r="M64" s="50">
        <v>4</v>
      </c>
      <c r="N64" s="50">
        <v>0</v>
      </c>
      <c r="O64" s="15">
        <f t="shared" si="35"/>
        <v>2</v>
      </c>
      <c r="P64" s="15">
        <f t="shared" si="36"/>
        <v>6</v>
      </c>
      <c r="R64" s="8"/>
      <c r="T64"/>
    </row>
    <row r="65" spans="2:20" ht="23.1" customHeight="1" x14ac:dyDescent="0.25">
      <c r="B65" s="45" t="s">
        <v>158</v>
      </c>
      <c r="C65" s="50">
        <v>0</v>
      </c>
      <c r="D65" s="50">
        <v>0</v>
      </c>
      <c r="E65" s="50">
        <v>0</v>
      </c>
      <c r="F65" s="50">
        <v>0</v>
      </c>
      <c r="G65" s="50">
        <v>0</v>
      </c>
      <c r="H65" s="50">
        <v>0</v>
      </c>
      <c r="I65" s="50">
        <v>0</v>
      </c>
      <c r="J65" s="50">
        <v>0</v>
      </c>
      <c r="K65" s="50">
        <v>0</v>
      </c>
      <c r="L65" s="50">
        <v>0</v>
      </c>
      <c r="M65" s="50">
        <v>1</v>
      </c>
      <c r="N65" s="50">
        <v>0</v>
      </c>
      <c r="O65" s="15">
        <f t="shared" si="35"/>
        <v>0</v>
      </c>
      <c r="P65" s="15">
        <f t="shared" si="36"/>
        <v>1</v>
      </c>
      <c r="R65" s="8"/>
      <c r="T65"/>
    </row>
    <row r="66" spans="2:20" ht="23.1" customHeight="1" x14ac:dyDescent="0.25">
      <c r="B66" s="45" t="s">
        <v>103</v>
      </c>
      <c r="C66" s="50">
        <v>0</v>
      </c>
      <c r="D66" s="50">
        <v>0</v>
      </c>
      <c r="E66" s="50">
        <v>0</v>
      </c>
      <c r="F66" s="50">
        <v>0</v>
      </c>
      <c r="G66" s="50">
        <v>0</v>
      </c>
      <c r="H66" s="50">
        <v>0</v>
      </c>
      <c r="I66" s="50">
        <v>1</v>
      </c>
      <c r="J66" s="50">
        <v>1</v>
      </c>
      <c r="K66" s="50">
        <v>0</v>
      </c>
      <c r="L66" s="50">
        <v>0</v>
      </c>
      <c r="M66" s="50">
        <v>5</v>
      </c>
      <c r="N66" s="50">
        <v>0</v>
      </c>
      <c r="O66" s="15">
        <f t="shared" si="35"/>
        <v>2</v>
      </c>
      <c r="P66" s="15">
        <f t="shared" si="36"/>
        <v>7</v>
      </c>
      <c r="R66" s="8"/>
      <c r="T66"/>
    </row>
    <row r="67" spans="2:20" ht="23.1" customHeight="1" x14ac:dyDescent="0.25">
      <c r="B67" s="45" t="s">
        <v>104</v>
      </c>
      <c r="C67" s="50">
        <v>1</v>
      </c>
      <c r="D67" s="50">
        <v>0</v>
      </c>
      <c r="E67" s="50">
        <v>0</v>
      </c>
      <c r="F67" s="50">
        <v>0</v>
      </c>
      <c r="G67" s="50">
        <v>0</v>
      </c>
      <c r="H67" s="50">
        <v>0</v>
      </c>
      <c r="I67" s="50">
        <v>0</v>
      </c>
      <c r="J67" s="50">
        <v>1</v>
      </c>
      <c r="K67" s="50">
        <v>0</v>
      </c>
      <c r="L67" s="50">
        <v>0</v>
      </c>
      <c r="M67" s="50">
        <v>2</v>
      </c>
      <c r="N67" s="50">
        <v>0</v>
      </c>
      <c r="O67" s="15">
        <f t="shared" si="35"/>
        <v>2</v>
      </c>
      <c r="P67" s="15">
        <f t="shared" si="36"/>
        <v>4</v>
      </c>
      <c r="R67" s="8"/>
      <c r="T67"/>
    </row>
    <row r="68" spans="2:20" ht="23.1" customHeight="1" x14ac:dyDescent="0.25">
      <c r="B68" s="45" t="s">
        <v>105</v>
      </c>
      <c r="C68" s="50">
        <v>0</v>
      </c>
      <c r="D68" s="50">
        <v>0</v>
      </c>
      <c r="E68" s="50">
        <v>0</v>
      </c>
      <c r="F68" s="50">
        <v>0</v>
      </c>
      <c r="G68" s="50">
        <v>0</v>
      </c>
      <c r="H68" s="50">
        <v>0</v>
      </c>
      <c r="I68" s="50">
        <v>0</v>
      </c>
      <c r="J68" s="50">
        <v>0</v>
      </c>
      <c r="K68" s="50">
        <v>0</v>
      </c>
      <c r="L68" s="50">
        <v>0</v>
      </c>
      <c r="M68" s="50">
        <v>4</v>
      </c>
      <c r="N68" s="50">
        <v>0</v>
      </c>
      <c r="O68" s="15">
        <f t="shared" si="35"/>
        <v>0</v>
      </c>
      <c r="P68" s="15">
        <f t="shared" si="36"/>
        <v>4</v>
      </c>
      <c r="R68" s="8"/>
      <c r="T68"/>
    </row>
    <row r="69" spans="2:20" ht="23.1" customHeight="1" x14ac:dyDescent="0.25">
      <c r="B69" s="45" t="s">
        <v>106</v>
      </c>
      <c r="C69" s="50">
        <v>0</v>
      </c>
      <c r="D69" s="50">
        <v>0</v>
      </c>
      <c r="E69" s="50">
        <v>0</v>
      </c>
      <c r="F69" s="50">
        <v>1</v>
      </c>
      <c r="G69" s="50">
        <v>0</v>
      </c>
      <c r="H69" s="50">
        <v>0</v>
      </c>
      <c r="I69" s="50">
        <v>0</v>
      </c>
      <c r="J69" s="50">
        <v>2</v>
      </c>
      <c r="K69" s="50">
        <v>0</v>
      </c>
      <c r="L69" s="50">
        <v>0</v>
      </c>
      <c r="M69" s="50">
        <v>0</v>
      </c>
      <c r="N69" s="50">
        <v>0</v>
      </c>
      <c r="O69" s="15">
        <f t="shared" si="35"/>
        <v>3</v>
      </c>
      <c r="P69" s="15">
        <f t="shared" si="36"/>
        <v>3</v>
      </c>
      <c r="R69" s="8"/>
      <c r="T69"/>
    </row>
    <row r="70" spans="2:20" ht="23.1" customHeight="1" x14ac:dyDescent="0.25">
      <c r="B70" s="45" t="s">
        <v>110</v>
      </c>
      <c r="C70" s="50">
        <v>0</v>
      </c>
      <c r="D70" s="50">
        <v>0</v>
      </c>
      <c r="E70" s="50">
        <v>0</v>
      </c>
      <c r="F70" s="50">
        <v>1</v>
      </c>
      <c r="G70" s="50">
        <v>0</v>
      </c>
      <c r="H70" s="50">
        <v>0</v>
      </c>
      <c r="I70" s="50">
        <v>0</v>
      </c>
      <c r="J70" s="50">
        <v>1</v>
      </c>
      <c r="K70" s="50">
        <v>0</v>
      </c>
      <c r="L70" s="50">
        <v>0</v>
      </c>
      <c r="M70" s="50">
        <v>0</v>
      </c>
      <c r="N70" s="50">
        <v>0</v>
      </c>
      <c r="O70" s="15">
        <f t="shared" si="35"/>
        <v>2</v>
      </c>
      <c r="P70" s="15">
        <f t="shared" si="36"/>
        <v>2</v>
      </c>
      <c r="R70" s="8"/>
      <c r="T70"/>
    </row>
    <row r="71" spans="2:20" ht="23.1" customHeight="1" x14ac:dyDescent="0.25">
      <c r="B71" s="45" t="s">
        <v>111</v>
      </c>
      <c r="C71" s="50">
        <v>0</v>
      </c>
      <c r="D71" s="50">
        <v>0</v>
      </c>
      <c r="E71" s="50">
        <v>1</v>
      </c>
      <c r="F71" s="50">
        <v>0</v>
      </c>
      <c r="G71" s="50">
        <v>0</v>
      </c>
      <c r="H71" s="50">
        <v>0</v>
      </c>
      <c r="I71" s="50">
        <v>0</v>
      </c>
      <c r="J71" s="50">
        <v>0</v>
      </c>
      <c r="K71" s="50">
        <v>0</v>
      </c>
      <c r="L71" s="50">
        <v>0</v>
      </c>
      <c r="M71" s="50">
        <v>0</v>
      </c>
      <c r="N71" s="50">
        <v>0</v>
      </c>
      <c r="O71" s="15">
        <f t="shared" si="35"/>
        <v>1</v>
      </c>
      <c r="P71" s="15">
        <f t="shared" si="36"/>
        <v>1</v>
      </c>
      <c r="R71" s="8"/>
      <c r="T71"/>
    </row>
    <row r="72" spans="2:20" ht="23.1" customHeight="1" x14ac:dyDescent="0.25">
      <c r="B72" s="45" t="s">
        <v>112</v>
      </c>
      <c r="C72" s="50">
        <v>1</v>
      </c>
      <c r="D72" s="50">
        <v>0</v>
      </c>
      <c r="E72" s="50">
        <v>0</v>
      </c>
      <c r="F72" s="50">
        <v>0</v>
      </c>
      <c r="G72" s="50">
        <v>0</v>
      </c>
      <c r="H72" s="50">
        <v>0</v>
      </c>
      <c r="I72" s="50">
        <v>1</v>
      </c>
      <c r="J72" s="50">
        <v>1</v>
      </c>
      <c r="K72" s="50">
        <v>0</v>
      </c>
      <c r="L72" s="50">
        <v>0</v>
      </c>
      <c r="M72" s="50">
        <v>1</v>
      </c>
      <c r="N72" s="50">
        <v>0</v>
      </c>
      <c r="O72" s="15">
        <f t="shared" si="35"/>
        <v>3</v>
      </c>
      <c r="P72" s="15">
        <f t="shared" si="36"/>
        <v>4</v>
      </c>
      <c r="R72" s="8"/>
      <c r="T72"/>
    </row>
    <row r="73" spans="2:20" ht="23.1" customHeight="1" x14ac:dyDescent="0.25">
      <c r="B73" s="45" t="s">
        <v>113</v>
      </c>
      <c r="C73" s="50">
        <v>0</v>
      </c>
      <c r="D73" s="50">
        <v>0</v>
      </c>
      <c r="E73" s="50">
        <v>1</v>
      </c>
      <c r="F73" s="50">
        <v>0</v>
      </c>
      <c r="G73" s="50">
        <v>0</v>
      </c>
      <c r="H73" s="50">
        <v>0</v>
      </c>
      <c r="I73" s="50">
        <v>0</v>
      </c>
      <c r="J73" s="50">
        <v>1</v>
      </c>
      <c r="K73" s="50">
        <v>0</v>
      </c>
      <c r="L73" s="50">
        <v>0</v>
      </c>
      <c r="M73" s="50">
        <v>1</v>
      </c>
      <c r="N73" s="50">
        <v>0</v>
      </c>
      <c r="O73" s="15">
        <f t="shared" si="35"/>
        <v>2</v>
      </c>
      <c r="P73" s="15">
        <f t="shared" si="36"/>
        <v>3</v>
      </c>
      <c r="R73" s="8"/>
      <c r="T73"/>
    </row>
    <row r="74" spans="2:20" ht="23.1" customHeight="1" x14ac:dyDescent="0.25">
      <c r="B74" s="45" t="s">
        <v>114</v>
      </c>
      <c r="C74" s="50">
        <v>0</v>
      </c>
      <c r="D74" s="50">
        <v>0</v>
      </c>
      <c r="E74" s="50">
        <v>0</v>
      </c>
      <c r="F74" s="50">
        <v>1</v>
      </c>
      <c r="G74" s="50">
        <v>0</v>
      </c>
      <c r="H74" s="50">
        <v>0</v>
      </c>
      <c r="I74" s="50">
        <v>0</v>
      </c>
      <c r="J74" s="50">
        <v>0</v>
      </c>
      <c r="K74" s="50">
        <v>0</v>
      </c>
      <c r="L74" s="50">
        <v>0</v>
      </c>
      <c r="M74" s="50">
        <v>0</v>
      </c>
      <c r="N74" s="50">
        <v>0</v>
      </c>
      <c r="O74" s="15">
        <f t="shared" si="35"/>
        <v>1</v>
      </c>
      <c r="P74" s="15">
        <f t="shared" si="36"/>
        <v>1</v>
      </c>
      <c r="R74" s="8"/>
      <c r="T74"/>
    </row>
    <row r="75" spans="2:20" ht="23.1" customHeight="1" x14ac:dyDescent="0.25">
      <c r="B75" s="45" t="s">
        <v>115</v>
      </c>
      <c r="C75" s="50">
        <v>0</v>
      </c>
      <c r="D75" s="50">
        <v>0</v>
      </c>
      <c r="E75" s="50">
        <v>0</v>
      </c>
      <c r="F75" s="50">
        <v>0</v>
      </c>
      <c r="G75" s="50">
        <v>0</v>
      </c>
      <c r="H75" s="50">
        <v>0</v>
      </c>
      <c r="I75" s="50">
        <v>0</v>
      </c>
      <c r="J75" s="50">
        <v>0</v>
      </c>
      <c r="K75" s="50">
        <v>0</v>
      </c>
      <c r="L75" s="50">
        <v>0</v>
      </c>
      <c r="M75" s="50">
        <v>0</v>
      </c>
      <c r="N75" s="50">
        <v>0</v>
      </c>
      <c r="O75" s="15">
        <f t="shared" si="35"/>
        <v>0</v>
      </c>
      <c r="P75" s="15">
        <f t="shared" si="36"/>
        <v>0</v>
      </c>
      <c r="R75" s="8"/>
      <c r="T75"/>
    </row>
    <row r="76" spans="2:20" ht="23.1" customHeight="1" x14ac:dyDescent="0.25">
      <c r="B76" s="45" t="s">
        <v>116</v>
      </c>
      <c r="C76" s="50">
        <v>0</v>
      </c>
      <c r="D76" s="50">
        <v>0</v>
      </c>
      <c r="E76" s="50">
        <v>0</v>
      </c>
      <c r="F76" s="50">
        <v>0</v>
      </c>
      <c r="G76" s="50">
        <v>0</v>
      </c>
      <c r="H76" s="50">
        <v>0</v>
      </c>
      <c r="I76" s="50">
        <v>0</v>
      </c>
      <c r="J76" s="50">
        <v>1</v>
      </c>
      <c r="K76" s="50">
        <v>0</v>
      </c>
      <c r="L76" s="50">
        <v>0</v>
      </c>
      <c r="M76" s="50">
        <v>0</v>
      </c>
      <c r="N76" s="50">
        <v>0</v>
      </c>
      <c r="O76" s="15">
        <f t="shared" si="35"/>
        <v>1</v>
      </c>
      <c r="P76" s="15">
        <f t="shared" si="36"/>
        <v>1</v>
      </c>
      <c r="R76" s="8"/>
      <c r="T76"/>
    </row>
    <row r="77" spans="2:20" ht="23.1" customHeight="1" x14ac:dyDescent="0.25">
      <c r="B77" s="45" t="s">
        <v>117</v>
      </c>
      <c r="C77" s="50">
        <v>1</v>
      </c>
      <c r="D77" s="50">
        <v>0</v>
      </c>
      <c r="E77" s="50">
        <v>0</v>
      </c>
      <c r="F77" s="50">
        <v>0</v>
      </c>
      <c r="G77" s="50">
        <v>0</v>
      </c>
      <c r="H77" s="50">
        <v>0</v>
      </c>
      <c r="I77" s="50">
        <v>0</v>
      </c>
      <c r="J77" s="50">
        <v>0</v>
      </c>
      <c r="K77" s="50">
        <v>0</v>
      </c>
      <c r="L77" s="50">
        <v>0</v>
      </c>
      <c r="M77" s="50">
        <v>0</v>
      </c>
      <c r="N77" s="50">
        <v>0</v>
      </c>
      <c r="O77" s="15">
        <f t="shared" si="35"/>
        <v>1</v>
      </c>
      <c r="P77" s="15">
        <f t="shared" si="36"/>
        <v>1</v>
      </c>
      <c r="R77" s="8"/>
      <c r="T77"/>
    </row>
    <row r="78" spans="2:20" ht="23.1" customHeight="1" x14ac:dyDescent="0.25">
      <c r="B78" s="46" t="s">
        <v>118</v>
      </c>
      <c r="C78" s="50">
        <v>1</v>
      </c>
      <c r="D78" s="50">
        <v>0</v>
      </c>
      <c r="E78" s="50">
        <v>0</v>
      </c>
      <c r="F78" s="50">
        <v>0</v>
      </c>
      <c r="G78" s="50">
        <v>0</v>
      </c>
      <c r="H78" s="50">
        <v>0</v>
      </c>
      <c r="I78" s="50">
        <v>0</v>
      </c>
      <c r="J78" s="50">
        <v>0</v>
      </c>
      <c r="K78" s="50">
        <v>1</v>
      </c>
      <c r="L78" s="50">
        <v>0</v>
      </c>
      <c r="M78" s="50">
        <v>0</v>
      </c>
      <c r="N78" s="50">
        <v>0</v>
      </c>
      <c r="O78" s="15">
        <f t="shared" si="35"/>
        <v>2</v>
      </c>
      <c r="P78" s="15">
        <f t="shared" si="36"/>
        <v>2</v>
      </c>
      <c r="R78" s="8"/>
      <c r="T78"/>
    </row>
    <row r="79" spans="2:20" ht="23.1" customHeight="1" x14ac:dyDescent="0.25">
      <c r="B79" s="45" t="s">
        <v>119</v>
      </c>
      <c r="C79" s="50">
        <v>0</v>
      </c>
      <c r="D79" s="50">
        <v>0</v>
      </c>
      <c r="E79" s="50">
        <v>0</v>
      </c>
      <c r="F79" s="50">
        <v>0</v>
      </c>
      <c r="G79" s="50">
        <v>0</v>
      </c>
      <c r="H79" s="50">
        <v>0</v>
      </c>
      <c r="I79" s="50">
        <v>0</v>
      </c>
      <c r="J79" s="50">
        <v>0</v>
      </c>
      <c r="K79" s="50">
        <v>0</v>
      </c>
      <c r="L79" s="50">
        <v>0</v>
      </c>
      <c r="M79" s="50">
        <v>0</v>
      </c>
      <c r="N79" s="50">
        <v>0</v>
      </c>
      <c r="O79" s="15">
        <f t="shared" si="35"/>
        <v>0</v>
      </c>
      <c r="P79" s="15">
        <f t="shared" si="36"/>
        <v>0</v>
      </c>
      <c r="R79" s="8"/>
      <c r="T79"/>
    </row>
    <row r="80" spans="2:20" ht="23.1" customHeight="1" x14ac:dyDescent="0.25">
      <c r="B80" s="47" t="s">
        <v>120</v>
      </c>
      <c r="C80" s="50">
        <v>0</v>
      </c>
      <c r="D80" s="50">
        <v>0</v>
      </c>
      <c r="E80" s="50">
        <v>0</v>
      </c>
      <c r="F80" s="50">
        <v>0</v>
      </c>
      <c r="G80" s="50">
        <v>0</v>
      </c>
      <c r="H80" s="50">
        <v>0</v>
      </c>
      <c r="I80" s="50">
        <v>2</v>
      </c>
      <c r="J80" s="50">
        <v>0</v>
      </c>
      <c r="K80" s="50">
        <v>0</v>
      </c>
      <c r="L80" s="50">
        <v>0</v>
      </c>
      <c r="M80" s="50">
        <v>3</v>
      </c>
      <c r="N80" s="50">
        <v>0</v>
      </c>
      <c r="O80" s="15">
        <f t="shared" si="35"/>
        <v>2</v>
      </c>
      <c r="P80" s="15">
        <f t="shared" si="36"/>
        <v>5</v>
      </c>
      <c r="R80" s="8"/>
      <c r="T80"/>
    </row>
    <row r="81" spans="2:20" ht="23.1" customHeight="1" x14ac:dyDescent="0.25">
      <c r="B81" s="45" t="s">
        <v>121</v>
      </c>
      <c r="C81" s="50">
        <v>0</v>
      </c>
      <c r="D81" s="50">
        <v>0</v>
      </c>
      <c r="E81" s="50">
        <v>0</v>
      </c>
      <c r="F81" s="50">
        <v>0</v>
      </c>
      <c r="G81" s="50">
        <v>0</v>
      </c>
      <c r="H81" s="50">
        <v>0</v>
      </c>
      <c r="I81" s="50">
        <v>0</v>
      </c>
      <c r="J81" s="50">
        <v>0</v>
      </c>
      <c r="K81" s="50">
        <v>0</v>
      </c>
      <c r="L81" s="50">
        <v>0</v>
      </c>
      <c r="M81" s="50">
        <v>0</v>
      </c>
      <c r="N81" s="50">
        <v>0</v>
      </c>
      <c r="O81" s="15">
        <f t="shared" si="35"/>
        <v>0</v>
      </c>
      <c r="P81" s="15">
        <f t="shared" si="36"/>
        <v>0</v>
      </c>
      <c r="R81" s="8"/>
      <c r="T81"/>
    </row>
    <row r="82" spans="2:20" ht="23.1" customHeight="1" x14ac:dyDescent="0.25">
      <c r="B82" s="46" t="s">
        <v>122</v>
      </c>
      <c r="C82" s="50">
        <v>0</v>
      </c>
      <c r="D82" s="50">
        <v>0</v>
      </c>
      <c r="E82" s="50">
        <v>0</v>
      </c>
      <c r="F82" s="50">
        <v>0</v>
      </c>
      <c r="G82" s="50">
        <v>1</v>
      </c>
      <c r="H82" s="50">
        <v>0</v>
      </c>
      <c r="I82" s="50">
        <v>0</v>
      </c>
      <c r="J82" s="50">
        <v>3</v>
      </c>
      <c r="K82" s="50">
        <v>0</v>
      </c>
      <c r="L82" s="50">
        <v>0</v>
      </c>
      <c r="M82" s="50">
        <v>3</v>
      </c>
      <c r="N82" s="50">
        <v>0</v>
      </c>
      <c r="O82" s="15">
        <f t="shared" si="35"/>
        <v>4</v>
      </c>
      <c r="P82" s="15">
        <f t="shared" si="36"/>
        <v>7</v>
      </c>
      <c r="R82" s="8"/>
      <c r="T82"/>
    </row>
    <row r="83" spans="2:20" ht="23.1" customHeight="1" x14ac:dyDescent="0.25">
      <c r="B83" s="45" t="s">
        <v>123</v>
      </c>
      <c r="C83" s="50">
        <v>0</v>
      </c>
      <c r="D83" s="50">
        <v>0</v>
      </c>
      <c r="E83" s="50">
        <v>1</v>
      </c>
      <c r="F83" s="50">
        <v>0</v>
      </c>
      <c r="G83" s="50">
        <v>0</v>
      </c>
      <c r="H83" s="50">
        <v>0</v>
      </c>
      <c r="I83" s="50">
        <v>0</v>
      </c>
      <c r="J83" s="50">
        <v>1</v>
      </c>
      <c r="K83" s="50">
        <v>3</v>
      </c>
      <c r="L83" s="50">
        <v>0</v>
      </c>
      <c r="M83" s="50">
        <v>0</v>
      </c>
      <c r="N83" s="50">
        <v>0</v>
      </c>
      <c r="O83" s="15">
        <f t="shared" si="35"/>
        <v>5</v>
      </c>
      <c r="P83" s="15">
        <f t="shared" si="36"/>
        <v>5</v>
      </c>
      <c r="R83" s="8"/>
      <c r="T83"/>
    </row>
    <row r="84" spans="2:20" ht="23.1" customHeight="1" x14ac:dyDescent="0.25">
      <c r="B84" s="47" t="s">
        <v>124</v>
      </c>
      <c r="C84" s="50">
        <v>0</v>
      </c>
      <c r="D84" s="50">
        <v>0</v>
      </c>
      <c r="E84" s="50">
        <v>0</v>
      </c>
      <c r="F84" s="50">
        <v>0</v>
      </c>
      <c r="G84" s="50">
        <v>0</v>
      </c>
      <c r="H84" s="50">
        <v>0</v>
      </c>
      <c r="I84" s="50">
        <v>3</v>
      </c>
      <c r="J84" s="50">
        <v>0</v>
      </c>
      <c r="K84" s="50">
        <v>0</v>
      </c>
      <c r="L84" s="50">
        <v>0</v>
      </c>
      <c r="M84" s="50">
        <v>0</v>
      </c>
      <c r="N84" s="50">
        <v>0</v>
      </c>
      <c r="O84" s="15">
        <f t="shared" si="35"/>
        <v>3</v>
      </c>
      <c r="P84" s="15">
        <f t="shared" si="36"/>
        <v>3</v>
      </c>
      <c r="R84" s="8"/>
      <c r="T84"/>
    </row>
    <row r="85" spans="2:20" ht="23.1" customHeight="1" x14ac:dyDescent="0.25">
      <c r="B85" s="45" t="s">
        <v>125</v>
      </c>
      <c r="C85" s="50">
        <v>0</v>
      </c>
      <c r="D85" s="50">
        <v>2</v>
      </c>
      <c r="E85" s="50">
        <v>0</v>
      </c>
      <c r="F85" s="50">
        <v>0</v>
      </c>
      <c r="G85" s="50">
        <v>0</v>
      </c>
      <c r="H85" s="50">
        <v>0</v>
      </c>
      <c r="I85" s="50">
        <v>0</v>
      </c>
      <c r="J85" s="50">
        <v>0</v>
      </c>
      <c r="K85" s="50">
        <v>0</v>
      </c>
      <c r="L85" s="50">
        <v>0</v>
      </c>
      <c r="M85" s="50">
        <v>0</v>
      </c>
      <c r="N85" s="50">
        <v>0</v>
      </c>
      <c r="O85" s="15">
        <f t="shared" si="35"/>
        <v>2</v>
      </c>
      <c r="P85" s="15">
        <f t="shared" si="36"/>
        <v>2</v>
      </c>
      <c r="R85" s="8"/>
      <c r="T85"/>
    </row>
    <row r="86" spans="2:20" ht="23.1" customHeight="1" x14ac:dyDescent="0.25">
      <c r="B86" s="46" t="s">
        <v>126</v>
      </c>
      <c r="C86" s="50">
        <v>0</v>
      </c>
      <c r="D86" s="50">
        <v>0</v>
      </c>
      <c r="E86" s="50">
        <v>0</v>
      </c>
      <c r="F86" s="50">
        <v>0</v>
      </c>
      <c r="G86" s="50">
        <v>0</v>
      </c>
      <c r="H86" s="50">
        <v>0</v>
      </c>
      <c r="I86" s="50">
        <v>0</v>
      </c>
      <c r="J86" s="50">
        <v>0</v>
      </c>
      <c r="K86" s="50">
        <v>0</v>
      </c>
      <c r="L86" s="50">
        <v>0</v>
      </c>
      <c r="M86" s="50">
        <v>0</v>
      </c>
      <c r="N86" s="50">
        <v>0</v>
      </c>
      <c r="O86" s="15">
        <f t="shared" si="35"/>
        <v>0</v>
      </c>
      <c r="P86" s="15">
        <f t="shared" si="36"/>
        <v>0</v>
      </c>
      <c r="R86" s="8"/>
      <c r="T86"/>
    </row>
    <row r="87" spans="2:20" ht="23.1" customHeight="1" x14ac:dyDescent="0.25">
      <c r="B87" s="45" t="s">
        <v>127</v>
      </c>
      <c r="C87" s="50">
        <v>0</v>
      </c>
      <c r="D87" s="50">
        <v>0</v>
      </c>
      <c r="E87" s="50">
        <v>0</v>
      </c>
      <c r="F87" s="50">
        <v>0</v>
      </c>
      <c r="G87" s="50">
        <v>0</v>
      </c>
      <c r="H87" s="50">
        <v>0</v>
      </c>
      <c r="I87" s="50">
        <v>2</v>
      </c>
      <c r="J87" s="50">
        <v>0</v>
      </c>
      <c r="K87" s="50">
        <v>0</v>
      </c>
      <c r="L87" s="50">
        <v>0</v>
      </c>
      <c r="M87" s="50">
        <v>0</v>
      </c>
      <c r="N87" s="50">
        <v>0</v>
      </c>
      <c r="O87" s="15">
        <f t="shared" si="35"/>
        <v>2</v>
      </c>
      <c r="P87" s="15">
        <f t="shared" si="36"/>
        <v>2</v>
      </c>
      <c r="R87" s="8"/>
      <c r="T87"/>
    </row>
    <row r="88" spans="2:20" ht="23.1" customHeight="1" x14ac:dyDescent="0.25">
      <c r="B88" s="47" t="s">
        <v>128</v>
      </c>
      <c r="C88" s="50">
        <v>0</v>
      </c>
      <c r="D88" s="50">
        <v>0</v>
      </c>
      <c r="E88" s="50">
        <v>0</v>
      </c>
      <c r="F88" s="50">
        <v>0</v>
      </c>
      <c r="G88" s="50">
        <v>0</v>
      </c>
      <c r="H88" s="50">
        <v>0</v>
      </c>
      <c r="I88" s="50">
        <v>0</v>
      </c>
      <c r="J88" s="50">
        <v>0</v>
      </c>
      <c r="K88" s="50">
        <v>0</v>
      </c>
      <c r="L88" s="50">
        <v>0</v>
      </c>
      <c r="M88" s="50">
        <v>0</v>
      </c>
      <c r="N88" s="50">
        <v>0</v>
      </c>
      <c r="O88" s="15">
        <f t="shared" si="35"/>
        <v>0</v>
      </c>
      <c r="P88" s="15">
        <f t="shared" si="36"/>
        <v>0</v>
      </c>
      <c r="R88" s="8"/>
      <c r="T88"/>
    </row>
    <row r="89" spans="2:20" ht="23.1" customHeight="1" x14ac:dyDescent="0.25">
      <c r="B89" s="45" t="s">
        <v>129</v>
      </c>
      <c r="C89" s="50">
        <v>0</v>
      </c>
      <c r="D89" s="50">
        <v>0</v>
      </c>
      <c r="E89" s="50">
        <v>0</v>
      </c>
      <c r="F89" s="50">
        <v>0</v>
      </c>
      <c r="G89" s="50">
        <v>0</v>
      </c>
      <c r="H89" s="50">
        <v>0</v>
      </c>
      <c r="I89" s="50">
        <v>0</v>
      </c>
      <c r="J89" s="50">
        <v>1</v>
      </c>
      <c r="K89" s="50">
        <v>1</v>
      </c>
      <c r="L89" s="50">
        <v>0</v>
      </c>
      <c r="M89" s="50">
        <v>1</v>
      </c>
      <c r="N89" s="50">
        <v>0</v>
      </c>
      <c r="O89" s="15">
        <f t="shared" si="35"/>
        <v>2</v>
      </c>
      <c r="P89" s="15">
        <f t="shared" si="36"/>
        <v>3</v>
      </c>
      <c r="R89" s="8"/>
      <c r="T89"/>
    </row>
    <row r="90" spans="2:20" ht="23.1" customHeight="1" x14ac:dyDescent="0.25">
      <c r="B90" s="46" t="s">
        <v>130</v>
      </c>
      <c r="C90" s="50">
        <v>1</v>
      </c>
      <c r="D90" s="50">
        <v>0</v>
      </c>
      <c r="E90" s="50">
        <v>0</v>
      </c>
      <c r="F90" s="50">
        <v>0</v>
      </c>
      <c r="G90" s="50">
        <v>0</v>
      </c>
      <c r="H90" s="50">
        <v>0</v>
      </c>
      <c r="I90" s="50">
        <v>1</v>
      </c>
      <c r="J90" s="50">
        <v>0</v>
      </c>
      <c r="K90" s="50">
        <v>0</v>
      </c>
      <c r="L90" s="50">
        <v>0</v>
      </c>
      <c r="M90" s="50">
        <v>0</v>
      </c>
      <c r="N90" s="50">
        <v>0</v>
      </c>
      <c r="O90" s="15">
        <f t="shared" si="35"/>
        <v>2</v>
      </c>
      <c r="P90" s="15">
        <f t="shared" si="36"/>
        <v>2</v>
      </c>
      <c r="R90" s="8"/>
      <c r="T90"/>
    </row>
    <row r="91" spans="2:20" ht="23.1" customHeight="1" x14ac:dyDescent="0.25">
      <c r="B91" s="45" t="s">
        <v>131</v>
      </c>
      <c r="C91" s="50">
        <v>0</v>
      </c>
      <c r="D91" s="50">
        <v>1</v>
      </c>
      <c r="E91" s="50">
        <v>0</v>
      </c>
      <c r="F91" s="50">
        <v>0</v>
      </c>
      <c r="G91" s="50">
        <v>2</v>
      </c>
      <c r="H91" s="50">
        <v>0</v>
      </c>
      <c r="I91" s="50">
        <v>0</v>
      </c>
      <c r="J91" s="50">
        <v>1</v>
      </c>
      <c r="K91" s="50">
        <v>0</v>
      </c>
      <c r="L91" s="50">
        <v>0</v>
      </c>
      <c r="M91" s="50">
        <v>0</v>
      </c>
      <c r="N91" s="50">
        <v>0</v>
      </c>
      <c r="O91" s="15">
        <f t="shared" si="35"/>
        <v>4</v>
      </c>
      <c r="P91" s="15">
        <f t="shared" si="36"/>
        <v>4</v>
      </c>
      <c r="R91" s="8"/>
      <c r="T91"/>
    </row>
    <row r="92" spans="2:20" ht="23.1" customHeight="1" x14ac:dyDescent="0.25">
      <c r="B92" s="47" t="s">
        <v>132</v>
      </c>
      <c r="C92" s="50">
        <v>0</v>
      </c>
      <c r="D92" s="50">
        <v>0</v>
      </c>
      <c r="E92" s="50">
        <v>0</v>
      </c>
      <c r="F92" s="50">
        <v>0</v>
      </c>
      <c r="G92" s="50">
        <v>0</v>
      </c>
      <c r="H92" s="50">
        <v>0</v>
      </c>
      <c r="I92" s="50">
        <v>0</v>
      </c>
      <c r="J92" s="50">
        <v>0</v>
      </c>
      <c r="K92" s="50">
        <v>0</v>
      </c>
      <c r="L92" s="50">
        <v>0</v>
      </c>
      <c r="M92" s="50">
        <v>0</v>
      </c>
      <c r="N92" s="50">
        <v>0</v>
      </c>
      <c r="O92" s="15">
        <f t="shared" si="35"/>
        <v>0</v>
      </c>
      <c r="P92" s="15">
        <f t="shared" si="36"/>
        <v>0</v>
      </c>
      <c r="R92" s="8"/>
      <c r="T92"/>
    </row>
    <row r="93" spans="2:20" ht="23.1" customHeight="1" x14ac:dyDescent="0.25">
      <c r="B93" s="45" t="s">
        <v>133</v>
      </c>
      <c r="C93" s="50">
        <v>0</v>
      </c>
      <c r="D93" s="50">
        <v>0</v>
      </c>
      <c r="E93" s="50">
        <v>0</v>
      </c>
      <c r="F93" s="50">
        <v>1</v>
      </c>
      <c r="G93" s="50">
        <v>0</v>
      </c>
      <c r="H93" s="50">
        <v>0</v>
      </c>
      <c r="I93" s="50">
        <v>0</v>
      </c>
      <c r="J93" s="50">
        <v>0</v>
      </c>
      <c r="K93" s="50">
        <v>0</v>
      </c>
      <c r="L93" s="50">
        <v>0</v>
      </c>
      <c r="M93" s="50">
        <v>0</v>
      </c>
      <c r="N93" s="50">
        <v>0</v>
      </c>
      <c r="O93" s="15">
        <f t="shared" si="35"/>
        <v>1</v>
      </c>
      <c r="P93" s="15">
        <f t="shared" si="36"/>
        <v>1</v>
      </c>
      <c r="R93" s="8"/>
      <c r="T93"/>
    </row>
    <row r="94" spans="2:20" ht="23.1" customHeight="1" x14ac:dyDescent="0.25">
      <c r="B94" s="46" t="s">
        <v>134</v>
      </c>
      <c r="C94" s="50">
        <v>0</v>
      </c>
      <c r="D94" s="50">
        <v>0</v>
      </c>
      <c r="E94" s="50">
        <v>0</v>
      </c>
      <c r="F94" s="50">
        <v>0</v>
      </c>
      <c r="G94" s="50">
        <v>0</v>
      </c>
      <c r="H94" s="50">
        <v>0</v>
      </c>
      <c r="I94" s="50">
        <v>1</v>
      </c>
      <c r="J94" s="50">
        <v>0</v>
      </c>
      <c r="K94" s="50">
        <v>4</v>
      </c>
      <c r="L94" s="50">
        <v>0</v>
      </c>
      <c r="M94" s="50">
        <v>0</v>
      </c>
      <c r="N94" s="50">
        <v>0</v>
      </c>
      <c r="O94" s="15">
        <f t="shared" si="35"/>
        <v>5</v>
      </c>
      <c r="P94" s="15">
        <f t="shared" si="36"/>
        <v>5</v>
      </c>
      <c r="R94" s="8"/>
      <c r="T94"/>
    </row>
    <row r="95" spans="2:20" ht="23.1" customHeight="1" x14ac:dyDescent="0.25">
      <c r="B95" s="45" t="s">
        <v>135</v>
      </c>
      <c r="C95" s="50">
        <v>0</v>
      </c>
      <c r="D95" s="50">
        <v>2</v>
      </c>
      <c r="E95" s="50">
        <v>0</v>
      </c>
      <c r="F95" s="50">
        <v>0</v>
      </c>
      <c r="G95" s="50">
        <v>0</v>
      </c>
      <c r="H95" s="50">
        <v>0</v>
      </c>
      <c r="I95" s="50">
        <v>0</v>
      </c>
      <c r="J95" s="50">
        <v>0</v>
      </c>
      <c r="K95" s="50">
        <v>0</v>
      </c>
      <c r="L95" s="50">
        <v>0</v>
      </c>
      <c r="M95" s="50">
        <v>2</v>
      </c>
      <c r="N95" s="50">
        <v>0</v>
      </c>
      <c r="O95" s="15">
        <f t="shared" si="35"/>
        <v>2</v>
      </c>
      <c r="P95" s="15">
        <f t="shared" si="36"/>
        <v>4</v>
      </c>
      <c r="R95" s="8"/>
      <c r="T95"/>
    </row>
    <row r="96" spans="2:20" ht="23.1" customHeight="1" x14ac:dyDescent="0.25">
      <c r="B96" s="47" t="s">
        <v>136</v>
      </c>
      <c r="C96" s="50">
        <v>0</v>
      </c>
      <c r="D96" s="50">
        <v>0</v>
      </c>
      <c r="E96" s="50">
        <v>0</v>
      </c>
      <c r="F96" s="50">
        <v>0</v>
      </c>
      <c r="G96" s="50">
        <v>1</v>
      </c>
      <c r="H96" s="50">
        <v>0</v>
      </c>
      <c r="I96" s="50">
        <v>1</v>
      </c>
      <c r="J96" s="50">
        <v>0</v>
      </c>
      <c r="K96" s="50">
        <v>1</v>
      </c>
      <c r="L96" s="50">
        <v>0</v>
      </c>
      <c r="M96" s="50">
        <v>0</v>
      </c>
      <c r="N96" s="50">
        <v>0</v>
      </c>
      <c r="O96" s="15">
        <f t="shared" si="35"/>
        <v>3</v>
      </c>
      <c r="P96" s="15">
        <f t="shared" si="36"/>
        <v>3</v>
      </c>
      <c r="R96" s="8"/>
      <c r="T96"/>
    </row>
    <row r="97" spans="2:20" ht="23.1" customHeight="1" x14ac:dyDescent="0.25">
      <c r="B97" s="45" t="s">
        <v>137</v>
      </c>
      <c r="C97" s="50">
        <v>1</v>
      </c>
      <c r="D97" s="50">
        <v>0</v>
      </c>
      <c r="E97" s="50">
        <v>0</v>
      </c>
      <c r="F97" s="50">
        <v>0</v>
      </c>
      <c r="G97" s="50">
        <v>0</v>
      </c>
      <c r="H97" s="50">
        <v>0</v>
      </c>
      <c r="I97" s="50">
        <v>0</v>
      </c>
      <c r="J97" s="50">
        <v>0</v>
      </c>
      <c r="K97" s="50">
        <v>0</v>
      </c>
      <c r="L97" s="50">
        <v>0</v>
      </c>
      <c r="M97" s="50">
        <v>0</v>
      </c>
      <c r="N97" s="50">
        <v>0</v>
      </c>
      <c r="O97" s="15">
        <f t="shared" si="35"/>
        <v>1</v>
      </c>
      <c r="P97" s="15">
        <f t="shared" si="36"/>
        <v>1</v>
      </c>
      <c r="R97" s="8"/>
      <c r="T97"/>
    </row>
    <row r="98" spans="2:20" ht="23.1" customHeight="1" x14ac:dyDescent="0.25">
      <c r="B98" s="46" t="s">
        <v>138</v>
      </c>
      <c r="C98" s="50">
        <v>1</v>
      </c>
      <c r="D98" s="50">
        <v>0</v>
      </c>
      <c r="E98" s="50">
        <v>0</v>
      </c>
      <c r="F98" s="50">
        <v>0</v>
      </c>
      <c r="G98" s="50">
        <v>0</v>
      </c>
      <c r="H98" s="50">
        <v>0</v>
      </c>
      <c r="I98" s="50">
        <v>3</v>
      </c>
      <c r="J98" s="50">
        <v>0</v>
      </c>
      <c r="K98" s="50">
        <v>0</v>
      </c>
      <c r="L98" s="50">
        <v>0</v>
      </c>
      <c r="M98" s="50">
        <v>0</v>
      </c>
      <c r="N98" s="50">
        <v>0</v>
      </c>
      <c r="O98" s="15">
        <f t="shared" si="35"/>
        <v>4</v>
      </c>
      <c r="P98" s="15">
        <f t="shared" si="36"/>
        <v>4</v>
      </c>
      <c r="R98" s="8"/>
      <c r="T98"/>
    </row>
    <row r="99" spans="2:20" ht="23.1" customHeight="1" x14ac:dyDescent="0.25">
      <c r="B99" s="45" t="s">
        <v>139</v>
      </c>
      <c r="C99" s="50">
        <v>0</v>
      </c>
      <c r="D99" s="50">
        <v>0</v>
      </c>
      <c r="E99" s="50">
        <v>0</v>
      </c>
      <c r="F99" s="50">
        <v>0</v>
      </c>
      <c r="G99" s="50">
        <v>0</v>
      </c>
      <c r="H99" s="50">
        <v>0</v>
      </c>
      <c r="I99" s="50">
        <v>0</v>
      </c>
      <c r="J99" s="50">
        <v>0</v>
      </c>
      <c r="K99" s="50">
        <v>0</v>
      </c>
      <c r="L99" s="50">
        <v>0</v>
      </c>
      <c r="M99" s="50">
        <v>0</v>
      </c>
      <c r="N99" s="50">
        <v>0</v>
      </c>
      <c r="O99" s="15">
        <f t="shared" si="35"/>
        <v>0</v>
      </c>
      <c r="P99" s="15">
        <f t="shared" si="36"/>
        <v>0</v>
      </c>
      <c r="R99" s="8"/>
      <c r="T99"/>
    </row>
    <row r="100" spans="2:20" ht="23.1" customHeight="1" x14ac:dyDescent="0.25">
      <c r="B100" s="47" t="s">
        <v>140</v>
      </c>
      <c r="C100" s="50">
        <v>0</v>
      </c>
      <c r="D100" s="50">
        <v>0</v>
      </c>
      <c r="E100" s="50">
        <v>0</v>
      </c>
      <c r="F100" s="50">
        <v>0</v>
      </c>
      <c r="G100" s="50">
        <v>0</v>
      </c>
      <c r="H100" s="50">
        <v>0</v>
      </c>
      <c r="I100" s="50">
        <v>0</v>
      </c>
      <c r="J100" s="50">
        <v>0</v>
      </c>
      <c r="K100" s="50">
        <v>0</v>
      </c>
      <c r="L100" s="50">
        <v>0</v>
      </c>
      <c r="M100" s="50">
        <v>0</v>
      </c>
      <c r="N100" s="50">
        <v>0</v>
      </c>
      <c r="O100" s="15">
        <f t="shared" si="35"/>
        <v>0</v>
      </c>
      <c r="P100" s="15">
        <f t="shared" si="36"/>
        <v>0</v>
      </c>
      <c r="R100" s="8"/>
      <c r="T100"/>
    </row>
    <row r="101" spans="2:20" ht="23.1" customHeight="1" x14ac:dyDescent="0.25">
      <c r="B101" s="45" t="s">
        <v>141</v>
      </c>
      <c r="C101" s="50">
        <v>0</v>
      </c>
      <c r="D101" s="50">
        <v>0</v>
      </c>
      <c r="E101" s="50">
        <v>0</v>
      </c>
      <c r="F101" s="50">
        <v>0</v>
      </c>
      <c r="G101" s="50">
        <v>0</v>
      </c>
      <c r="H101" s="50">
        <v>0</v>
      </c>
      <c r="I101" s="50">
        <v>0</v>
      </c>
      <c r="J101" s="50">
        <v>0</v>
      </c>
      <c r="K101" s="50">
        <v>0</v>
      </c>
      <c r="L101" s="50">
        <v>0</v>
      </c>
      <c r="M101" s="50">
        <v>1</v>
      </c>
      <c r="N101" s="50">
        <v>0</v>
      </c>
      <c r="O101" s="15">
        <f t="shared" si="35"/>
        <v>0</v>
      </c>
      <c r="P101" s="15">
        <f t="shared" si="36"/>
        <v>1</v>
      </c>
      <c r="R101" s="8"/>
      <c r="T101"/>
    </row>
    <row r="102" spans="2:20" ht="23.1" customHeight="1" x14ac:dyDescent="0.25">
      <c r="B102" s="46" t="s">
        <v>142</v>
      </c>
      <c r="C102" s="50">
        <v>0</v>
      </c>
      <c r="D102" s="50">
        <v>0</v>
      </c>
      <c r="E102" s="50">
        <v>0</v>
      </c>
      <c r="F102" s="50">
        <v>3</v>
      </c>
      <c r="G102" s="50">
        <v>0</v>
      </c>
      <c r="H102" s="50">
        <v>0</v>
      </c>
      <c r="I102" s="50">
        <v>0</v>
      </c>
      <c r="J102" s="50">
        <v>0</v>
      </c>
      <c r="K102" s="50">
        <v>0</v>
      </c>
      <c r="L102" s="50">
        <v>0</v>
      </c>
      <c r="M102" s="50">
        <v>0</v>
      </c>
      <c r="N102" s="50">
        <v>0</v>
      </c>
      <c r="O102" s="15">
        <f t="shared" si="35"/>
        <v>3</v>
      </c>
      <c r="P102" s="15">
        <f t="shared" si="36"/>
        <v>3</v>
      </c>
      <c r="R102" s="8"/>
      <c r="T102"/>
    </row>
    <row r="103" spans="2:20" ht="23.1" customHeight="1" x14ac:dyDescent="0.25">
      <c r="B103" s="45" t="s">
        <v>143</v>
      </c>
      <c r="C103" s="50">
        <v>1</v>
      </c>
      <c r="D103" s="50">
        <v>0</v>
      </c>
      <c r="E103" s="50">
        <v>0</v>
      </c>
      <c r="F103" s="50">
        <v>1</v>
      </c>
      <c r="G103" s="50">
        <v>0</v>
      </c>
      <c r="H103" s="50">
        <v>0</v>
      </c>
      <c r="I103" s="50">
        <v>0</v>
      </c>
      <c r="J103" s="50">
        <v>0</v>
      </c>
      <c r="K103" s="50">
        <v>0</v>
      </c>
      <c r="L103" s="50">
        <v>0</v>
      </c>
      <c r="M103" s="50">
        <v>0</v>
      </c>
      <c r="N103" s="50">
        <v>0</v>
      </c>
      <c r="O103" s="15">
        <f t="shared" si="35"/>
        <v>2</v>
      </c>
      <c r="P103" s="15">
        <f t="shared" si="36"/>
        <v>2</v>
      </c>
      <c r="R103" s="8"/>
      <c r="T103"/>
    </row>
    <row r="104" spans="2:20" ht="23.1" customHeight="1" x14ac:dyDescent="0.25">
      <c r="B104" s="47" t="s">
        <v>144</v>
      </c>
      <c r="C104" s="50">
        <v>1</v>
      </c>
      <c r="D104" s="50">
        <v>0</v>
      </c>
      <c r="E104" s="50">
        <v>0</v>
      </c>
      <c r="F104" s="50">
        <v>0</v>
      </c>
      <c r="G104" s="50">
        <v>1</v>
      </c>
      <c r="H104" s="50">
        <v>0</v>
      </c>
      <c r="I104" s="50">
        <v>0</v>
      </c>
      <c r="J104" s="50">
        <v>0</v>
      </c>
      <c r="K104" s="50">
        <v>0</v>
      </c>
      <c r="L104" s="50">
        <v>0</v>
      </c>
      <c r="M104" s="50">
        <v>1</v>
      </c>
      <c r="N104" s="50">
        <v>0</v>
      </c>
      <c r="O104" s="15">
        <f t="shared" si="35"/>
        <v>2</v>
      </c>
      <c r="P104" s="15">
        <f t="shared" si="36"/>
        <v>3</v>
      </c>
      <c r="R104" s="8"/>
      <c r="T104"/>
    </row>
    <row r="105" spans="2:20" ht="23.1" customHeight="1" x14ac:dyDescent="0.25">
      <c r="B105" s="45" t="s">
        <v>145</v>
      </c>
      <c r="C105" s="50">
        <v>2</v>
      </c>
      <c r="D105" s="50">
        <v>1</v>
      </c>
      <c r="E105" s="50">
        <v>1</v>
      </c>
      <c r="F105" s="50">
        <v>2</v>
      </c>
      <c r="G105" s="50">
        <v>0</v>
      </c>
      <c r="H105" s="50">
        <v>0</v>
      </c>
      <c r="I105" s="50">
        <v>0</v>
      </c>
      <c r="J105" s="50">
        <v>1</v>
      </c>
      <c r="K105" s="50">
        <v>0</v>
      </c>
      <c r="L105" s="50">
        <v>0</v>
      </c>
      <c r="M105" s="50">
        <v>9</v>
      </c>
      <c r="N105" s="50">
        <v>0</v>
      </c>
      <c r="O105" s="15">
        <f t="shared" si="35"/>
        <v>7</v>
      </c>
      <c r="P105" s="15">
        <f t="shared" si="36"/>
        <v>16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56</v>
      </c>
      <c r="D106" s="16">
        <f t="shared" ref="D106:P106" si="37">SUM(D10:D105)</f>
        <v>59</v>
      </c>
      <c r="E106" s="16">
        <f t="shared" si="37"/>
        <v>17</v>
      </c>
      <c r="F106" s="16">
        <f t="shared" si="37"/>
        <v>30</v>
      </c>
      <c r="G106" s="16">
        <f t="shared" si="37"/>
        <v>12</v>
      </c>
      <c r="H106" s="16">
        <f t="shared" si="37"/>
        <v>2</v>
      </c>
      <c r="I106" s="16">
        <f t="shared" si="37"/>
        <v>51</v>
      </c>
      <c r="J106" s="16">
        <f t="shared" si="37"/>
        <v>33</v>
      </c>
      <c r="K106" s="16">
        <f t="shared" si="37"/>
        <v>15</v>
      </c>
      <c r="L106" s="16">
        <f t="shared" si="37"/>
        <v>6</v>
      </c>
      <c r="M106" s="16">
        <f t="shared" si="37"/>
        <v>355</v>
      </c>
      <c r="N106" s="16">
        <f t="shared" si="37"/>
        <v>1</v>
      </c>
      <c r="O106" s="16">
        <f t="shared" si="37"/>
        <v>282</v>
      </c>
      <c r="P106" s="16">
        <f t="shared" si="37"/>
        <v>637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8.7912087912087919E-2</v>
      </c>
      <c r="D107" s="43">
        <f t="shared" si="38"/>
        <v>9.2621664050235475E-2</v>
      </c>
      <c r="E107" s="43">
        <f t="shared" si="38"/>
        <v>2.6687598116169546E-2</v>
      </c>
      <c r="F107" s="43">
        <f t="shared" si="38"/>
        <v>4.709576138147567E-2</v>
      </c>
      <c r="G107" s="43">
        <f t="shared" si="38"/>
        <v>1.8838304552590265E-2</v>
      </c>
      <c r="H107" s="43">
        <f t="shared" si="38"/>
        <v>3.1397174254317113E-3</v>
      </c>
      <c r="I107" s="43">
        <f t="shared" si="38"/>
        <v>8.0062794348508631E-2</v>
      </c>
      <c r="J107" s="43">
        <f t="shared" si="38"/>
        <v>5.1805337519623233E-2</v>
      </c>
      <c r="K107" s="43">
        <f t="shared" si="38"/>
        <v>2.3547880690737835E-2</v>
      </c>
      <c r="L107" s="43">
        <f t="shared" si="38"/>
        <v>9.4191522762951327E-3</v>
      </c>
      <c r="M107" s="43">
        <f t="shared" si="38"/>
        <v>0.55729984301412872</v>
      </c>
      <c r="N107" s="43">
        <f t="shared" si="38"/>
        <v>1.5698587127158557E-3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0.19858156028368795</v>
      </c>
      <c r="D108" s="44">
        <f t="shared" ref="D108:N108" si="39">D106/$O$106</f>
        <v>0.20921985815602837</v>
      </c>
      <c r="E108" s="44">
        <f t="shared" si="39"/>
        <v>6.0283687943262408E-2</v>
      </c>
      <c r="F108" s="44">
        <f t="shared" si="39"/>
        <v>0.10638297872340426</v>
      </c>
      <c r="G108" s="44">
        <f t="shared" si="39"/>
        <v>4.2553191489361701E-2</v>
      </c>
      <c r="H108" s="44">
        <f t="shared" si="39"/>
        <v>7.0921985815602835E-3</v>
      </c>
      <c r="I108" s="44">
        <f t="shared" si="39"/>
        <v>0.18085106382978725</v>
      </c>
      <c r="J108" s="44">
        <f t="shared" si="39"/>
        <v>0.11702127659574468</v>
      </c>
      <c r="K108" s="44">
        <f t="shared" si="39"/>
        <v>5.3191489361702128E-2</v>
      </c>
      <c r="L108" s="44">
        <f t="shared" si="39"/>
        <v>2.1276595744680851E-2</v>
      </c>
      <c r="M108" s="44"/>
      <c r="N108" s="44">
        <f t="shared" si="39"/>
        <v>3.5460992907801418E-3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honeticPr fontId="14" type="noConversion"/>
  <pageMargins left="0" right="0" top="0" bottom="0" header="0.15748031496063" footer="0.118110236220472"/>
  <pageSetup paperSize="9" scale="4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249977111117893"/>
  </sheetPr>
  <dimension ref="B1:AF174"/>
  <sheetViews>
    <sheetView view="pageBreakPreview" topLeftCell="A43" zoomScale="70" zoomScaleSheetLayoutView="70" workbookViewId="0">
      <selection activeCell="D10" sqref="D10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1" t="s">
        <v>23</v>
      </c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</row>
    <row r="2" spans="2:32" ht="20.100000000000001" customHeight="1" x14ac:dyDescent="0.25">
      <c r="B2" s="62" t="s">
        <v>95</v>
      </c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</row>
    <row r="3" spans="2:32" ht="20.100000000000001" customHeight="1" x14ac:dyDescent="0.25">
      <c r="B3" s="22" t="s">
        <v>96</v>
      </c>
      <c r="C3" s="63" t="str">
        <f>'17.10 SSEMBABULE-KANONI'!C3:G3</f>
        <v>SSEMBABULE-KABULASOKE ROAD</v>
      </c>
      <c r="D3" s="63"/>
      <c r="E3" s="63"/>
      <c r="F3" s="63"/>
      <c r="G3" s="63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51" t="str">
        <f>'18.10 SSEMBABULE-KANONI-24h'!D5</f>
        <v>18.10.2019</v>
      </c>
      <c r="E5" s="3"/>
      <c r="F5" s="41" t="s">
        <v>1</v>
      </c>
      <c r="G5" s="58" t="str">
        <f>'18.10 SSEMBABULE-KANONI-24h'!G5:H5</f>
        <v>KYABI</v>
      </c>
      <c r="H5" s="59"/>
      <c r="I5" s="14"/>
      <c r="J5" s="2" t="s">
        <v>5</v>
      </c>
      <c r="K5" s="58" t="s">
        <v>174</v>
      </c>
      <c r="L5" s="59"/>
      <c r="M5" s="10"/>
      <c r="N5" s="10"/>
      <c r="O5" s="3"/>
      <c r="P5" s="3"/>
    </row>
    <row r="6" spans="2:32" ht="23.25" customHeight="1" x14ac:dyDescent="0.25">
      <c r="C6" s="2" t="s">
        <v>4</v>
      </c>
      <c r="D6" s="58" t="s">
        <v>168</v>
      </c>
      <c r="E6" s="59"/>
      <c r="F6" s="2" t="s">
        <v>2</v>
      </c>
      <c r="G6" s="58" t="s">
        <v>167</v>
      </c>
      <c r="H6" s="59"/>
      <c r="J6" s="2" t="s">
        <v>21</v>
      </c>
      <c r="K6" s="58" t="str">
        <f>'18.10 SSEMBABULE-KANONI-24h'!K6:L6</f>
        <v>ONYUTI BETTY</v>
      </c>
      <c r="L6" s="59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0" t="s">
        <v>88</v>
      </c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0</v>
      </c>
      <c r="D10" s="50">
        <v>0</v>
      </c>
      <c r="E10" s="50">
        <v>0</v>
      </c>
      <c r="F10" s="50">
        <v>2</v>
      </c>
      <c r="G10" s="50">
        <v>1</v>
      </c>
      <c r="H10" s="50">
        <v>0</v>
      </c>
      <c r="I10" s="50">
        <v>2</v>
      </c>
      <c r="J10" s="50">
        <v>1</v>
      </c>
      <c r="K10" s="50">
        <v>0</v>
      </c>
      <c r="L10" s="50">
        <v>0</v>
      </c>
      <c r="M10" s="50">
        <v>6</v>
      </c>
      <c r="N10" s="50">
        <v>0</v>
      </c>
      <c r="O10" s="15">
        <f t="shared" ref="O10:O73" si="0">SUM(C10:L10,N10)</f>
        <v>6</v>
      </c>
      <c r="P10" s="15">
        <f t="shared" ref="P10:P73" si="1">SUM(C10:N10)</f>
        <v>12</v>
      </c>
      <c r="R10" s="1" t="s">
        <v>6</v>
      </c>
      <c r="S10" s="17">
        <f t="shared" ref="S10:AF10" si="2">SUM(C10:C13)</f>
        <v>2</v>
      </c>
      <c r="T10" s="17">
        <f t="shared" si="2"/>
        <v>1</v>
      </c>
      <c r="U10" s="17">
        <f t="shared" si="2"/>
        <v>0</v>
      </c>
      <c r="V10" s="17">
        <f t="shared" si="2"/>
        <v>6</v>
      </c>
      <c r="W10" s="17">
        <f t="shared" si="2"/>
        <v>1</v>
      </c>
      <c r="X10" s="17">
        <f t="shared" si="2"/>
        <v>0</v>
      </c>
      <c r="Y10" s="17">
        <f t="shared" si="2"/>
        <v>7</v>
      </c>
      <c r="Z10" s="17">
        <f t="shared" si="2"/>
        <v>2</v>
      </c>
      <c r="AA10" s="17">
        <f t="shared" si="2"/>
        <v>0</v>
      </c>
      <c r="AB10" s="17">
        <f t="shared" si="2"/>
        <v>0</v>
      </c>
      <c r="AC10" s="17">
        <f t="shared" si="2"/>
        <v>19</v>
      </c>
      <c r="AD10" s="17">
        <f t="shared" si="2"/>
        <v>0</v>
      </c>
      <c r="AE10" s="31">
        <f t="shared" si="2"/>
        <v>19</v>
      </c>
      <c r="AF10" s="31">
        <f t="shared" si="2"/>
        <v>38</v>
      </c>
    </row>
    <row r="11" spans="2:32" s="6" customFormat="1" ht="23.1" customHeight="1" x14ac:dyDescent="0.25">
      <c r="B11" s="45" t="s">
        <v>38</v>
      </c>
      <c r="C11" s="50">
        <v>2</v>
      </c>
      <c r="D11" s="50">
        <v>0</v>
      </c>
      <c r="E11" s="50">
        <v>0</v>
      </c>
      <c r="F11" s="50">
        <v>2</v>
      </c>
      <c r="G11" s="50">
        <v>0</v>
      </c>
      <c r="H11" s="50">
        <v>0</v>
      </c>
      <c r="I11" s="50">
        <v>2</v>
      </c>
      <c r="J11" s="50">
        <v>0</v>
      </c>
      <c r="K11" s="50">
        <v>0</v>
      </c>
      <c r="L11" s="50">
        <v>0</v>
      </c>
      <c r="M11" s="50">
        <v>11</v>
      </c>
      <c r="N11" s="50">
        <v>0</v>
      </c>
      <c r="O11" s="15">
        <f t="shared" si="0"/>
        <v>6</v>
      </c>
      <c r="P11" s="15">
        <f t="shared" si="1"/>
        <v>17</v>
      </c>
      <c r="R11" s="1" t="s">
        <v>7</v>
      </c>
      <c r="S11" s="17">
        <f t="shared" ref="S11:AF11" si="3">SUM(C14:C17)</f>
        <v>8</v>
      </c>
      <c r="T11" s="17">
        <f t="shared" si="3"/>
        <v>2</v>
      </c>
      <c r="U11" s="17">
        <f t="shared" si="3"/>
        <v>0</v>
      </c>
      <c r="V11" s="17">
        <f t="shared" si="3"/>
        <v>3</v>
      </c>
      <c r="W11" s="17">
        <f t="shared" si="3"/>
        <v>0</v>
      </c>
      <c r="X11" s="17">
        <f t="shared" si="3"/>
        <v>0</v>
      </c>
      <c r="Y11" s="17">
        <f t="shared" si="3"/>
        <v>1</v>
      </c>
      <c r="Z11" s="17">
        <f t="shared" si="3"/>
        <v>1</v>
      </c>
      <c r="AA11" s="17">
        <f t="shared" si="3"/>
        <v>0</v>
      </c>
      <c r="AB11" s="17">
        <f t="shared" si="3"/>
        <v>0</v>
      </c>
      <c r="AC11" s="17">
        <f t="shared" si="3"/>
        <v>17</v>
      </c>
      <c r="AD11" s="17">
        <f t="shared" si="3"/>
        <v>0</v>
      </c>
      <c r="AE11" s="31">
        <f t="shared" si="3"/>
        <v>15</v>
      </c>
      <c r="AF11" s="31">
        <f t="shared" si="3"/>
        <v>32</v>
      </c>
    </row>
    <row r="12" spans="2:32" ht="23.1" customHeight="1" x14ac:dyDescent="0.25">
      <c r="B12" s="45" t="s">
        <v>39</v>
      </c>
      <c r="C12" s="50">
        <v>0</v>
      </c>
      <c r="D12" s="50">
        <v>1</v>
      </c>
      <c r="E12" s="50">
        <v>0</v>
      </c>
      <c r="F12" s="50">
        <v>0</v>
      </c>
      <c r="G12" s="50">
        <v>0</v>
      </c>
      <c r="H12" s="50">
        <v>0</v>
      </c>
      <c r="I12" s="50">
        <v>2</v>
      </c>
      <c r="J12" s="50">
        <v>1</v>
      </c>
      <c r="K12" s="50">
        <v>0</v>
      </c>
      <c r="L12" s="50">
        <v>0</v>
      </c>
      <c r="M12" s="50">
        <v>1</v>
      </c>
      <c r="N12" s="50">
        <v>0</v>
      </c>
      <c r="O12" s="15">
        <f t="shared" si="0"/>
        <v>4</v>
      </c>
      <c r="P12" s="15">
        <f t="shared" si="1"/>
        <v>5</v>
      </c>
      <c r="R12" s="1" t="s">
        <v>8</v>
      </c>
      <c r="S12" s="17">
        <f t="shared" ref="S12:AF12" si="4">SUM(C18:C21)</f>
        <v>6</v>
      </c>
      <c r="T12" s="17">
        <f t="shared" si="4"/>
        <v>1</v>
      </c>
      <c r="U12" s="17">
        <f t="shared" si="4"/>
        <v>0</v>
      </c>
      <c r="V12" s="17">
        <f t="shared" si="4"/>
        <v>1</v>
      </c>
      <c r="W12" s="17">
        <f t="shared" si="4"/>
        <v>0</v>
      </c>
      <c r="X12" s="17">
        <f t="shared" si="4"/>
        <v>0</v>
      </c>
      <c r="Y12" s="17">
        <f t="shared" si="4"/>
        <v>1</v>
      </c>
      <c r="Z12" s="17">
        <f t="shared" si="4"/>
        <v>1</v>
      </c>
      <c r="AA12" s="17">
        <f t="shared" si="4"/>
        <v>2</v>
      </c>
      <c r="AB12" s="17">
        <f t="shared" si="4"/>
        <v>0</v>
      </c>
      <c r="AC12" s="17">
        <f t="shared" si="4"/>
        <v>19</v>
      </c>
      <c r="AD12" s="17">
        <f t="shared" si="4"/>
        <v>0</v>
      </c>
      <c r="AE12" s="31">
        <f t="shared" si="4"/>
        <v>12</v>
      </c>
      <c r="AF12" s="31">
        <f t="shared" si="4"/>
        <v>31</v>
      </c>
    </row>
    <row r="13" spans="2:32" ht="23.1" customHeight="1" x14ac:dyDescent="0.25">
      <c r="B13" s="45" t="s">
        <v>40</v>
      </c>
      <c r="C13" s="50">
        <v>0</v>
      </c>
      <c r="D13" s="50">
        <v>0</v>
      </c>
      <c r="E13" s="50">
        <v>0</v>
      </c>
      <c r="F13" s="50">
        <v>2</v>
      </c>
      <c r="G13" s="50">
        <v>0</v>
      </c>
      <c r="H13" s="50">
        <v>0</v>
      </c>
      <c r="I13" s="50">
        <v>1</v>
      </c>
      <c r="J13" s="50">
        <v>0</v>
      </c>
      <c r="K13" s="50">
        <v>0</v>
      </c>
      <c r="L13" s="50">
        <v>0</v>
      </c>
      <c r="M13" s="50">
        <v>1</v>
      </c>
      <c r="N13" s="50">
        <v>0</v>
      </c>
      <c r="O13" s="15">
        <f t="shared" si="0"/>
        <v>3</v>
      </c>
      <c r="P13" s="15">
        <f t="shared" si="1"/>
        <v>4</v>
      </c>
      <c r="R13" s="1" t="s">
        <v>9</v>
      </c>
      <c r="S13" s="17">
        <f t="shared" ref="S13:AF13" si="5">SUM(C22:C25)</f>
        <v>3</v>
      </c>
      <c r="T13" s="17">
        <f t="shared" si="5"/>
        <v>2</v>
      </c>
      <c r="U13" s="17">
        <f t="shared" si="5"/>
        <v>0</v>
      </c>
      <c r="V13" s="17">
        <f t="shared" si="5"/>
        <v>1</v>
      </c>
      <c r="W13" s="17">
        <f t="shared" si="5"/>
        <v>0</v>
      </c>
      <c r="X13" s="17">
        <f t="shared" si="5"/>
        <v>0</v>
      </c>
      <c r="Y13" s="17">
        <f t="shared" si="5"/>
        <v>0</v>
      </c>
      <c r="Z13" s="17">
        <f t="shared" si="5"/>
        <v>0</v>
      </c>
      <c r="AA13" s="17">
        <f t="shared" si="5"/>
        <v>1</v>
      </c>
      <c r="AB13" s="17">
        <f t="shared" si="5"/>
        <v>0</v>
      </c>
      <c r="AC13" s="17">
        <f t="shared" si="5"/>
        <v>22</v>
      </c>
      <c r="AD13" s="17">
        <f t="shared" si="5"/>
        <v>1</v>
      </c>
      <c r="AE13" s="31">
        <f t="shared" si="5"/>
        <v>8</v>
      </c>
      <c r="AF13" s="31">
        <f t="shared" si="5"/>
        <v>30</v>
      </c>
    </row>
    <row r="14" spans="2:32" ht="23.1" customHeight="1" x14ac:dyDescent="0.25">
      <c r="B14" s="45" t="s">
        <v>41</v>
      </c>
      <c r="C14" s="50">
        <v>0</v>
      </c>
      <c r="D14" s="50">
        <v>0</v>
      </c>
      <c r="E14" s="50">
        <v>0</v>
      </c>
      <c r="F14" s="50">
        <v>1</v>
      </c>
      <c r="G14" s="50">
        <v>0</v>
      </c>
      <c r="H14" s="50">
        <v>0</v>
      </c>
      <c r="I14" s="50">
        <v>0</v>
      </c>
      <c r="J14" s="50">
        <v>1</v>
      </c>
      <c r="K14" s="50">
        <v>0</v>
      </c>
      <c r="L14" s="50">
        <v>0</v>
      </c>
      <c r="M14" s="50">
        <v>8</v>
      </c>
      <c r="N14" s="50">
        <v>0</v>
      </c>
      <c r="O14" s="15">
        <f t="shared" si="0"/>
        <v>2</v>
      </c>
      <c r="P14" s="15">
        <f t="shared" si="1"/>
        <v>10</v>
      </c>
      <c r="R14" s="1" t="s">
        <v>10</v>
      </c>
      <c r="S14" s="17">
        <f t="shared" ref="S14:AF14" si="6">SUM(C26:C29)</f>
        <v>3</v>
      </c>
      <c r="T14" s="17">
        <f t="shared" si="6"/>
        <v>5</v>
      </c>
      <c r="U14" s="17">
        <f t="shared" si="6"/>
        <v>0</v>
      </c>
      <c r="V14" s="17">
        <f t="shared" si="6"/>
        <v>1</v>
      </c>
      <c r="W14" s="17">
        <f t="shared" si="6"/>
        <v>0</v>
      </c>
      <c r="X14" s="17">
        <f t="shared" si="6"/>
        <v>0</v>
      </c>
      <c r="Y14" s="17">
        <f t="shared" si="6"/>
        <v>2</v>
      </c>
      <c r="Z14" s="17">
        <f t="shared" si="6"/>
        <v>0</v>
      </c>
      <c r="AA14" s="17">
        <f t="shared" si="6"/>
        <v>0</v>
      </c>
      <c r="AB14" s="17">
        <f t="shared" si="6"/>
        <v>1</v>
      </c>
      <c r="AC14" s="17">
        <f t="shared" si="6"/>
        <v>29</v>
      </c>
      <c r="AD14" s="17">
        <f t="shared" si="6"/>
        <v>0</v>
      </c>
      <c r="AE14" s="31">
        <f t="shared" si="6"/>
        <v>12</v>
      </c>
      <c r="AF14" s="31">
        <f t="shared" si="6"/>
        <v>41</v>
      </c>
    </row>
    <row r="15" spans="2:32" ht="23.1" customHeight="1" x14ac:dyDescent="0.25">
      <c r="B15" s="45" t="s">
        <v>42</v>
      </c>
      <c r="C15" s="50">
        <v>0</v>
      </c>
      <c r="D15" s="50">
        <v>1</v>
      </c>
      <c r="E15" s="50">
        <v>0</v>
      </c>
      <c r="F15" s="50">
        <v>1</v>
      </c>
      <c r="G15" s="50">
        <v>0</v>
      </c>
      <c r="H15" s="50">
        <v>0</v>
      </c>
      <c r="I15" s="50">
        <v>1</v>
      </c>
      <c r="J15" s="50">
        <v>0</v>
      </c>
      <c r="K15" s="50">
        <v>0</v>
      </c>
      <c r="L15" s="50">
        <v>0</v>
      </c>
      <c r="M15" s="50">
        <v>3</v>
      </c>
      <c r="N15" s="50">
        <v>0</v>
      </c>
      <c r="O15" s="15">
        <f t="shared" si="0"/>
        <v>3</v>
      </c>
      <c r="P15" s="15">
        <f t="shared" si="1"/>
        <v>6</v>
      </c>
      <c r="R15" s="1" t="s">
        <v>11</v>
      </c>
      <c r="S15" s="17">
        <f t="shared" ref="S15:AF15" si="7">SUM(C30:C33)</f>
        <v>6</v>
      </c>
      <c r="T15" s="17">
        <f t="shared" si="7"/>
        <v>3</v>
      </c>
      <c r="U15" s="17">
        <f t="shared" si="7"/>
        <v>0</v>
      </c>
      <c r="V15" s="17">
        <f t="shared" si="7"/>
        <v>1</v>
      </c>
      <c r="W15" s="17">
        <f t="shared" si="7"/>
        <v>0</v>
      </c>
      <c r="X15" s="17">
        <f t="shared" si="7"/>
        <v>0</v>
      </c>
      <c r="Y15" s="17">
        <f t="shared" si="7"/>
        <v>1</v>
      </c>
      <c r="Z15" s="17">
        <f t="shared" si="7"/>
        <v>1</v>
      </c>
      <c r="AA15" s="17">
        <f t="shared" si="7"/>
        <v>0</v>
      </c>
      <c r="AB15" s="17">
        <f t="shared" si="7"/>
        <v>0</v>
      </c>
      <c r="AC15" s="17">
        <f t="shared" si="7"/>
        <v>28</v>
      </c>
      <c r="AD15" s="17">
        <f t="shared" si="7"/>
        <v>0</v>
      </c>
      <c r="AE15" s="31">
        <f t="shared" si="7"/>
        <v>12</v>
      </c>
      <c r="AF15" s="31">
        <f t="shared" si="7"/>
        <v>40</v>
      </c>
    </row>
    <row r="16" spans="2:32" ht="23.1" customHeight="1" x14ac:dyDescent="0.25">
      <c r="B16" s="45" t="s">
        <v>43</v>
      </c>
      <c r="C16" s="50">
        <v>5</v>
      </c>
      <c r="D16" s="50">
        <v>1</v>
      </c>
      <c r="E16" s="50">
        <v>0</v>
      </c>
      <c r="F16" s="50">
        <v>1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0</v>
      </c>
      <c r="N16" s="50">
        <v>0</v>
      </c>
      <c r="O16" s="15">
        <f t="shared" si="0"/>
        <v>7</v>
      </c>
      <c r="P16" s="15">
        <f t="shared" si="1"/>
        <v>7</v>
      </c>
      <c r="R16" s="1" t="s">
        <v>12</v>
      </c>
      <c r="S16" s="17">
        <f t="shared" ref="S16:AF16" si="8">SUM(C34:C37)</f>
        <v>3</v>
      </c>
      <c r="T16" s="17">
        <f t="shared" si="8"/>
        <v>0</v>
      </c>
      <c r="U16" s="17">
        <f t="shared" si="8"/>
        <v>0</v>
      </c>
      <c r="V16" s="17">
        <f t="shared" si="8"/>
        <v>2</v>
      </c>
      <c r="W16" s="17">
        <f t="shared" si="8"/>
        <v>0</v>
      </c>
      <c r="X16" s="17">
        <f t="shared" si="8"/>
        <v>0</v>
      </c>
      <c r="Y16" s="17">
        <f t="shared" si="8"/>
        <v>5</v>
      </c>
      <c r="Z16" s="17">
        <f t="shared" si="8"/>
        <v>0</v>
      </c>
      <c r="AA16" s="17">
        <f t="shared" si="8"/>
        <v>0</v>
      </c>
      <c r="AB16" s="17">
        <f t="shared" si="8"/>
        <v>0</v>
      </c>
      <c r="AC16" s="17">
        <f t="shared" si="8"/>
        <v>25</v>
      </c>
      <c r="AD16" s="17">
        <f t="shared" si="8"/>
        <v>0</v>
      </c>
      <c r="AE16" s="31">
        <f t="shared" si="8"/>
        <v>10</v>
      </c>
      <c r="AF16" s="31">
        <f t="shared" si="8"/>
        <v>35</v>
      </c>
    </row>
    <row r="17" spans="2:32" ht="23.1" customHeight="1" x14ac:dyDescent="0.25">
      <c r="B17" s="45" t="s">
        <v>44</v>
      </c>
      <c r="C17" s="50">
        <v>3</v>
      </c>
      <c r="D17" s="50">
        <v>0</v>
      </c>
      <c r="E17" s="50">
        <v>0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6</v>
      </c>
      <c r="N17" s="50">
        <v>0</v>
      </c>
      <c r="O17" s="15">
        <f t="shared" si="0"/>
        <v>3</v>
      </c>
      <c r="P17" s="15">
        <f t="shared" si="1"/>
        <v>9</v>
      </c>
      <c r="R17" s="1" t="s">
        <v>13</v>
      </c>
      <c r="S17" s="17">
        <f t="shared" ref="S17:AF17" si="9">SUM(C38:C41)</f>
        <v>2</v>
      </c>
      <c r="T17" s="17">
        <f t="shared" si="9"/>
        <v>3</v>
      </c>
      <c r="U17" s="17">
        <f t="shared" si="9"/>
        <v>0</v>
      </c>
      <c r="V17" s="17">
        <f t="shared" si="9"/>
        <v>0</v>
      </c>
      <c r="W17" s="17">
        <f t="shared" si="9"/>
        <v>0</v>
      </c>
      <c r="X17" s="17">
        <f t="shared" si="9"/>
        <v>0</v>
      </c>
      <c r="Y17" s="17">
        <f t="shared" si="9"/>
        <v>2</v>
      </c>
      <c r="Z17" s="17">
        <f t="shared" si="9"/>
        <v>2</v>
      </c>
      <c r="AA17" s="17">
        <f t="shared" si="9"/>
        <v>1</v>
      </c>
      <c r="AB17" s="17">
        <f t="shared" si="9"/>
        <v>0</v>
      </c>
      <c r="AC17" s="17">
        <f t="shared" si="9"/>
        <v>24</v>
      </c>
      <c r="AD17" s="17">
        <f t="shared" si="9"/>
        <v>0</v>
      </c>
      <c r="AE17" s="31">
        <f t="shared" si="9"/>
        <v>10</v>
      </c>
      <c r="AF17" s="31">
        <f t="shared" si="9"/>
        <v>34</v>
      </c>
    </row>
    <row r="18" spans="2:32" ht="23.1" customHeight="1" x14ac:dyDescent="0.25">
      <c r="B18" s="45" t="s">
        <v>45</v>
      </c>
      <c r="C18" s="50">
        <v>0</v>
      </c>
      <c r="D18" s="50">
        <v>1</v>
      </c>
      <c r="E18" s="50">
        <v>0</v>
      </c>
      <c r="F18" s="50">
        <v>1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0</v>
      </c>
      <c r="M18" s="50">
        <v>2</v>
      </c>
      <c r="N18" s="50">
        <v>0</v>
      </c>
      <c r="O18" s="15">
        <f t="shared" si="0"/>
        <v>2</v>
      </c>
      <c r="P18" s="15">
        <f t="shared" si="1"/>
        <v>4</v>
      </c>
      <c r="R18" s="1" t="s">
        <v>14</v>
      </c>
      <c r="S18" s="17">
        <f t="shared" ref="S18:AF18" si="10">SUM(C42:C45)</f>
        <v>1</v>
      </c>
      <c r="T18" s="17">
        <f t="shared" si="10"/>
        <v>4</v>
      </c>
      <c r="U18" s="17">
        <f t="shared" si="10"/>
        <v>1</v>
      </c>
      <c r="V18" s="17">
        <f t="shared" si="10"/>
        <v>0</v>
      </c>
      <c r="W18" s="17">
        <f t="shared" si="10"/>
        <v>0</v>
      </c>
      <c r="X18" s="17">
        <f t="shared" si="10"/>
        <v>0</v>
      </c>
      <c r="Y18" s="17">
        <f t="shared" si="10"/>
        <v>0</v>
      </c>
      <c r="Z18" s="17">
        <f t="shared" si="10"/>
        <v>4</v>
      </c>
      <c r="AA18" s="17">
        <f t="shared" si="10"/>
        <v>0</v>
      </c>
      <c r="AB18" s="17">
        <f t="shared" si="10"/>
        <v>0</v>
      </c>
      <c r="AC18" s="17">
        <f t="shared" si="10"/>
        <v>27</v>
      </c>
      <c r="AD18" s="17">
        <f t="shared" si="10"/>
        <v>0</v>
      </c>
      <c r="AE18" s="31">
        <f t="shared" si="10"/>
        <v>10</v>
      </c>
      <c r="AF18" s="31">
        <f t="shared" si="10"/>
        <v>37</v>
      </c>
    </row>
    <row r="19" spans="2:32" ht="23.1" customHeight="1" x14ac:dyDescent="0.25">
      <c r="B19" s="45" t="s">
        <v>46</v>
      </c>
      <c r="C19" s="50">
        <v>1</v>
      </c>
      <c r="D19" s="50">
        <v>0</v>
      </c>
      <c r="E19" s="50">
        <v>0</v>
      </c>
      <c r="F19" s="50">
        <v>0</v>
      </c>
      <c r="G19" s="50">
        <v>0</v>
      </c>
      <c r="H19" s="50">
        <v>0</v>
      </c>
      <c r="I19" s="50">
        <v>0</v>
      </c>
      <c r="J19" s="50">
        <v>1</v>
      </c>
      <c r="K19" s="50">
        <v>0</v>
      </c>
      <c r="L19" s="50">
        <v>0</v>
      </c>
      <c r="M19" s="50">
        <v>6</v>
      </c>
      <c r="N19" s="50">
        <v>0</v>
      </c>
      <c r="O19" s="15">
        <f t="shared" si="0"/>
        <v>2</v>
      </c>
      <c r="P19" s="15">
        <f t="shared" si="1"/>
        <v>8</v>
      </c>
      <c r="R19" s="1" t="s">
        <v>15</v>
      </c>
      <c r="S19" s="17">
        <f t="shared" ref="S19:AF19" si="11">SUM(C46:C49)</f>
        <v>2</v>
      </c>
      <c r="T19" s="17">
        <f t="shared" si="11"/>
        <v>4</v>
      </c>
      <c r="U19" s="17">
        <f t="shared" si="11"/>
        <v>0</v>
      </c>
      <c r="V19" s="17">
        <f t="shared" si="11"/>
        <v>1</v>
      </c>
      <c r="W19" s="17">
        <f t="shared" si="11"/>
        <v>0</v>
      </c>
      <c r="X19" s="17">
        <f t="shared" si="11"/>
        <v>0</v>
      </c>
      <c r="Y19" s="17">
        <f t="shared" si="11"/>
        <v>0</v>
      </c>
      <c r="Z19" s="17">
        <f t="shared" si="11"/>
        <v>2</v>
      </c>
      <c r="AA19" s="17">
        <f t="shared" si="11"/>
        <v>1</v>
      </c>
      <c r="AB19" s="17">
        <f t="shared" si="11"/>
        <v>2</v>
      </c>
      <c r="AC19" s="17">
        <f t="shared" si="11"/>
        <v>19</v>
      </c>
      <c r="AD19" s="17">
        <f t="shared" si="11"/>
        <v>0</v>
      </c>
      <c r="AE19" s="31">
        <f t="shared" si="11"/>
        <v>12</v>
      </c>
      <c r="AF19" s="31">
        <f t="shared" si="11"/>
        <v>31</v>
      </c>
    </row>
    <row r="20" spans="2:32" ht="23.1" customHeight="1" x14ac:dyDescent="0.25">
      <c r="B20" s="45" t="s">
        <v>47</v>
      </c>
      <c r="C20" s="50">
        <v>5</v>
      </c>
      <c r="D20" s="50">
        <v>0</v>
      </c>
      <c r="E20" s="50">
        <v>0</v>
      </c>
      <c r="F20" s="50">
        <v>0</v>
      </c>
      <c r="G20" s="50">
        <v>0</v>
      </c>
      <c r="H20" s="50">
        <v>0</v>
      </c>
      <c r="I20" s="50">
        <v>0</v>
      </c>
      <c r="J20" s="50">
        <v>0</v>
      </c>
      <c r="K20" s="50">
        <v>2</v>
      </c>
      <c r="L20" s="50">
        <v>0</v>
      </c>
      <c r="M20" s="50">
        <v>5</v>
      </c>
      <c r="N20" s="50">
        <v>0</v>
      </c>
      <c r="O20" s="15">
        <f t="shared" si="0"/>
        <v>7</v>
      </c>
      <c r="P20" s="15">
        <f t="shared" si="1"/>
        <v>12</v>
      </c>
      <c r="R20" s="1" t="s">
        <v>16</v>
      </c>
      <c r="S20" s="17">
        <f t="shared" ref="S20:AF20" si="12">SUM(C50:C53)</f>
        <v>0</v>
      </c>
      <c r="T20" s="17">
        <f t="shared" si="12"/>
        <v>6</v>
      </c>
      <c r="U20" s="17">
        <f t="shared" si="12"/>
        <v>1</v>
      </c>
      <c r="V20" s="17">
        <f t="shared" si="12"/>
        <v>4</v>
      </c>
      <c r="W20" s="17">
        <f t="shared" si="12"/>
        <v>1</v>
      </c>
      <c r="X20" s="17">
        <f t="shared" si="12"/>
        <v>0</v>
      </c>
      <c r="Y20" s="17">
        <f t="shared" si="12"/>
        <v>2</v>
      </c>
      <c r="Z20" s="17">
        <f t="shared" si="12"/>
        <v>2</v>
      </c>
      <c r="AA20" s="17">
        <f t="shared" si="12"/>
        <v>1</v>
      </c>
      <c r="AB20" s="17">
        <f t="shared" si="12"/>
        <v>0</v>
      </c>
      <c r="AC20" s="17">
        <f t="shared" si="12"/>
        <v>25</v>
      </c>
      <c r="AD20" s="17">
        <f t="shared" si="12"/>
        <v>0</v>
      </c>
      <c r="AE20" s="31">
        <f t="shared" si="12"/>
        <v>17</v>
      </c>
      <c r="AF20" s="31">
        <f t="shared" si="12"/>
        <v>42</v>
      </c>
    </row>
    <row r="21" spans="2:32" ht="23.1" customHeight="1" x14ac:dyDescent="0.25">
      <c r="B21" s="45" t="s">
        <v>48</v>
      </c>
      <c r="C21" s="50">
        <v>0</v>
      </c>
      <c r="D21" s="50">
        <v>0</v>
      </c>
      <c r="E21" s="50">
        <v>0</v>
      </c>
      <c r="F21" s="50">
        <v>0</v>
      </c>
      <c r="G21" s="50">
        <v>0</v>
      </c>
      <c r="H21" s="50">
        <v>0</v>
      </c>
      <c r="I21" s="50">
        <v>1</v>
      </c>
      <c r="J21" s="50">
        <v>0</v>
      </c>
      <c r="K21" s="50">
        <v>0</v>
      </c>
      <c r="L21" s="50">
        <v>0</v>
      </c>
      <c r="M21" s="50">
        <v>6</v>
      </c>
      <c r="N21" s="50">
        <v>0</v>
      </c>
      <c r="O21" s="15">
        <f t="shared" si="0"/>
        <v>1</v>
      </c>
      <c r="P21" s="15">
        <f t="shared" si="1"/>
        <v>7</v>
      </c>
      <c r="R21" s="36" t="s">
        <v>20</v>
      </c>
      <c r="S21" s="34">
        <f t="shared" ref="S21:AF21" si="13">SUM(C54:C57)</f>
        <v>4</v>
      </c>
      <c r="T21" s="17">
        <f t="shared" si="13"/>
        <v>0</v>
      </c>
      <c r="U21" s="17">
        <f t="shared" si="13"/>
        <v>2</v>
      </c>
      <c r="V21" s="17">
        <f t="shared" si="13"/>
        <v>0</v>
      </c>
      <c r="W21" s="17">
        <f t="shared" si="13"/>
        <v>0</v>
      </c>
      <c r="X21" s="17">
        <f t="shared" si="13"/>
        <v>0</v>
      </c>
      <c r="Y21" s="17">
        <f t="shared" si="13"/>
        <v>1</v>
      </c>
      <c r="Z21" s="17">
        <f t="shared" si="13"/>
        <v>1</v>
      </c>
      <c r="AA21" s="17">
        <f t="shared" si="13"/>
        <v>2</v>
      </c>
      <c r="AB21" s="17">
        <f t="shared" si="13"/>
        <v>2</v>
      </c>
      <c r="AC21" s="17">
        <f t="shared" si="13"/>
        <v>23</v>
      </c>
      <c r="AD21" s="17">
        <f t="shared" si="13"/>
        <v>0</v>
      </c>
      <c r="AE21" s="31">
        <f t="shared" si="13"/>
        <v>12</v>
      </c>
      <c r="AF21" s="31">
        <f t="shared" si="13"/>
        <v>35</v>
      </c>
    </row>
    <row r="22" spans="2:32" ht="23.1" customHeight="1" x14ac:dyDescent="0.25">
      <c r="B22" s="45" t="s">
        <v>49</v>
      </c>
      <c r="C22" s="50">
        <v>2</v>
      </c>
      <c r="D22" s="50">
        <v>1</v>
      </c>
      <c r="E22" s="50">
        <v>0</v>
      </c>
      <c r="F22" s="50">
        <v>0</v>
      </c>
      <c r="G22" s="50">
        <v>0</v>
      </c>
      <c r="H22" s="50">
        <v>0</v>
      </c>
      <c r="I22" s="50">
        <v>0</v>
      </c>
      <c r="J22" s="50">
        <v>0</v>
      </c>
      <c r="K22" s="50">
        <v>1</v>
      </c>
      <c r="L22" s="50">
        <v>0</v>
      </c>
      <c r="M22" s="50">
        <v>6</v>
      </c>
      <c r="N22" s="50">
        <v>1</v>
      </c>
      <c r="O22" s="15">
        <f t="shared" si="0"/>
        <v>5</v>
      </c>
      <c r="P22" s="15">
        <f t="shared" si="1"/>
        <v>11</v>
      </c>
      <c r="R22" s="36" t="s">
        <v>146</v>
      </c>
      <c r="S22" s="34">
        <f>SUM(C58:C61)</f>
        <v>6</v>
      </c>
      <c r="T22" s="34">
        <f t="shared" ref="T22:AF22" si="14">SUM(D58:D61)</f>
        <v>7</v>
      </c>
      <c r="U22" s="34">
        <f t="shared" si="14"/>
        <v>2</v>
      </c>
      <c r="V22" s="34">
        <f t="shared" si="14"/>
        <v>1</v>
      </c>
      <c r="W22" s="34">
        <f t="shared" si="14"/>
        <v>1</v>
      </c>
      <c r="X22" s="34">
        <f t="shared" si="14"/>
        <v>0</v>
      </c>
      <c r="Y22" s="34">
        <f t="shared" si="14"/>
        <v>1</v>
      </c>
      <c r="Z22" s="34">
        <f t="shared" si="14"/>
        <v>1</v>
      </c>
      <c r="AA22" s="34">
        <f t="shared" si="14"/>
        <v>0</v>
      </c>
      <c r="AB22" s="34">
        <f t="shared" si="14"/>
        <v>0</v>
      </c>
      <c r="AC22" s="34">
        <f t="shared" si="14"/>
        <v>36</v>
      </c>
      <c r="AD22" s="34">
        <f t="shared" si="14"/>
        <v>0</v>
      </c>
      <c r="AE22" s="31">
        <f t="shared" si="14"/>
        <v>19</v>
      </c>
      <c r="AF22" s="31">
        <f t="shared" si="14"/>
        <v>55</v>
      </c>
    </row>
    <row r="23" spans="2:32" ht="23.1" customHeight="1" x14ac:dyDescent="0.25">
      <c r="B23" s="45" t="s">
        <v>50</v>
      </c>
      <c r="C23" s="50">
        <v>0</v>
      </c>
      <c r="D23" s="50">
        <v>0</v>
      </c>
      <c r="E23" s="50">
        <v>0</v>
      </c>
      <c r="F23" s="50">
        <v>1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50">
        <v>5</v>
      </c>
      <c r="N23" s="50">
        <v>0</v>
      </c>
      <c r="O23" s="15">
        <f t="shared" si="0"/>
        <v>1</v>
      </c>
      <c r="P23" s="15">
        <f t="shared" si="1"/>
        <v>6</v>
      </c>
      <c r="R23" s="36" t="s">
        <v>147</v>
      </c>
      <c r="S23" s="34">
        <f>SUM(C62:C65)</f>
        <v>6</v>
      </c>
      <c r="T23" s="34">
        <f t="shared" ref="T23:AF23" si="15">SUM(D62:D65)</f>
        <v>5</v>
      </c>
      <c r="U23" s="34">
        <f t="shared" si="15"/>
        <v>0</v>
      </c>
      <c r="V23" s="34">
        <f t="shared" si="15"/>
        <v>1</v>
      </c>
      <c r="W23" s="34">
        <f t="shared" si="15"/>
        <v>0</v>
      </c>
      <c r="X23" s="34">
        <f t="shared" si="15"/>
        <v>0</v>
      </c>
      <c r="Y23" s="34">
        <f t="shared" si="15"/>
        <v>3</v>
      </c>
      <c r="Z23" s="34">
        <f t="shared" si="15"/>
        <v>4</v>
      </c>
      <c r="AA23" s="34">
        <f t="shared" si="15"/>
        <v>1</v>
      </c>
      <c r="AB23" s="34">
        <f t="shared" si="15"/>
        <v>0</v>
      </c>
      <c r="AC23" s="34">
        <f t="shared" si="15"/>
        <v>18</v>
      </c>
      <c r="AD23" s="34">
        <f t="shared" si="15"/>
        <v>0</v>
      </c>
      <c r="AE23" s="31">
        <f t="shared" si="15"/>
        <v>20</v>
      </c>
      <c r="AF23" s="31">
        <f t="shared" si="15"/>
        <v>38</v>
      </c>
    </row>
    <row r="24" spans="2:32" ht="23.1" customHeight="1" x14ac:dyDescent="0.25">
      <c r="B24" s="45" t="s">
        <v>51</v>
      </c>
      <c r="C24" s="50">
        <v>0</v>
      </c>
      <c r="D24" s="50">
        <v>0</v>
      </c>
      <c r="E24" s="50">
        <v>0</v>
      </c>
      <c r="F24" s="50">
        <v>0</v>
      </c>
      <c r="G24" s="50">
        <v>0</v>
      </c>
      <c r="H24" s="50">
        <v>0</v>
      </c>
      <c r="I24" s="50">
        <v>0</v>
      </c>
      <c r="J24" s="50">
        <v>0</v>
      </c>
      <c r="K24" s="50">
        <v>0</v>
      </c>
      <c r="L24" s="50">
        <v>0</v>
      </c>
      <c r="M24" s="50">
        <v>6</v>
      </c>
      <c r="N24" s="50">
        <v>0</v>
      </c>
      <c r="O24" s="15">
        <f t="shared" si="0"/>
        <v>0</v>
      </c>
      <c r="P24" s="15">
        <f t="shared" si="1"/>
        <v>6</v>
      </c>
      <c r="R24" s="36" t="s">
        <v>148</v>
      </c>
      <c r="S24" s="34">
        <f>SUM(C66:C69)</f>
        <v>4</v>
      </c>
      <c r="T24" s="34">
        <f t="shared" ref="T24:AF24" si="16">SUM(D66:D69)</f>
        <v>4</v>
      </c>
      <c r="U24" s="34">
        <f t="shared" si="16"/>
        <v>0</v>
      </c>
      <c r="V24" s="34">
        <f t="shared" si="16"/>
        <v>1</v>
      </c>
      <c r="W24" s="34">
        <f t="shared" si="16"/>
        <v>0</v>
      </c>
      <c r="X24" s="34">
        <f t="shared" si="16"/>
        <v>0</v>
      </c>
      <c r="Y24" s="34">
        <f t="shared" si="16"/>
        <v>0</v>
      </c>
      <c r="Z24" s="34">
        <f t="shared" si="16"/>
        <v>3</v>
      </c>
      <c r="AA24" s="34">
        <f t="shared" si="16"/>
        <v>1</v>
      </c>
      <c r="AB24" s="34">
        <f t="shared" si="16"/>
        <v>1</v>
      </c>
      <c r="AC24" s="34">
        <f t="shared" si="16"/>
        <v>9</v>
      </c>
      <c r="AD24" s="34">
        <f t="shared" si="16"/>
        <v>0</v>
      </c>
      <c r="AE24" s="31">
        <f t="shared" si="16"/>
        <v>14</v>
      </c>
      <c r="AF24" s="31">
        <f t="shared" si="16"/>
        <v>23</v>
      </c>
    </row>
    <row r="25" spans="2:32" ht="23.1" customHeight="1" x14ac:dyDescent="0.25">
      <c r="B25" s="45" t="s">
        <v>52</v>
      </c>
      <c r="C25" s="50">
        <v>1</v>
      </c>
      <c r="D25" s="50">
        <v>1</v>
      </c>
      <c r="E25" s="50">
        <v>0</v>
      </c>
      <c r="F25" s="50">
        <v>0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50">
        <v>5</v>
      </c>
      <c r="N25" s="50">
        <v>0</v>
      </c>
      <c r="O25" s="15">
        <f t="shared" si="0"/>
        <v>2</v>
      </c>
      <c r="P25" s="15">
        <f t="shared" si="1"/>
        <v>7</v>
      </c>
      <c r="R25" s="36" t="s">
        <v>149</v>
      </c>
      <c r="S25" s="34">
        <f>SUM(C70:C73)</f>
        <v>0</v>
      </c>
      <c r="T25" s="34">
        <f t="shared" ref="T25:AF25" si="17">SUM(D70:D73)</f>
        <v>0</v>
      </c>
      <c r="U25" s="34">
        <f t="shared" si="17"/>
        <v>0</v>
      </c>
      <c r="V25" s="34">
        <f t="shared" si="17"/>
        <v>1</v>
      </c>
      <c r="W25" s="34">
        <f t="shared" si="17"/>
        <v>0</v>
      </c>
      <c r="X25" s="34">
        <f t="shared" si="17"/>
        <v>0</v>
      </c>
      <c r="Y25" s="34">
        <f t="shared" si="17"/>
        <v>1</v>
      </c>
      <c r="Z25" s="34">
        <f t="shared" si="17"/>
        <v>0</v>
      </c>
      <c r="AA25" s="34">
        <f t="shared" si="17"/>
        <v>1</v>
      </c>
      <c r="AB25" s="34">
        <f t="shared" si="17"/>
        <v>0</v>
      </c>
      <c r="AC25" s="34">
        <f t="shared" si="17"/>
        <v>1</v>
      </c>
      <c r="AD25" s="34">
        <f t="shared" si="17"/>
        <v>0</v>
      </c>
      <c r="AE25" s="31">
        <f t="shared" si="17"/>
        <v>3</v>
      </c>
      <c r="AF25" s="31">
        <f t="shared" si="17"/>
        <v>4</v>
      </c>
    </row>
    <row r="26" spans="2:32" ht="23.1" customHeight="1" x14ac:dyDescent="0.25">
      <c r="B26" s="45" t="s">
        <v>53</v>
      </c>
      <c r="C26" s="50">
        <v>1</v>
      </c>
      <c r="D26" s="50">
        <v>1</v>
      </c>
      <c r="E26" s="50">
        <v>0</v>
      </c>
      <c r="F26" s="50">
        <v>1</v>
      </c>
      <c r="G26" s="50">
        <v>0</v>
      </c>
      <c r="H26" s="50">
        <v>0</v>
      </c>
      <c r="I26" s="50">
        <v>0</v>
      </c>
      <c r="J26" s="50">
        <v>0</v>
      </c>
      <c r="K26" s="50">
        <v>0</v>
      </c>
      <c r="L26" s="50">
        <v>0</v>
      </c>
      <c r="M26" s="50">
        <v>13</v>
      </c>
      <c r="N26" s="50">
        <v>0</v>
      </c>
      <c r="O26" s="15">
        <f t="shared" si="0"/>
        <v>3</v>
      </c>
      <c r="P26" s="15">
        <f t="shared" si="1"/>
        <v>16</v>
      </c>
      <c r="R26" s="36" t="s">
        <v>150</v>
      </c>
      <c r="S26" s="34">
        <f>SUM(C74:C77)</f>
        <v>3</v>
      </c>
      <c r="T26" s="34">
        <f t="shared" ref="T26:AF26" si="18">SUM(D74:D77)</f>
        <v>0</v>
      </c>
      <c r="U26" s="34">
        <f t="shared" si="18"/>
        <v>0</v>
      </c>
      <c r="V26" s="34">
        <f t="shared" si="18"/>
        <v>2</v>
      </c>
      <c r="W26" s="34">
        <f t="shared" si="18"/>
        <v>0</v>
      </c>
      <c r="X26" s="34">
        <f t="shared" si="18"/>
        <v>0</v>
      </c>
      <c r="Y26" s="34">
        <f t="shared" si="18"/>
        <v>0</v>
      </c>
      <c r="Z26" s="34">
        <f t="shared" si="18"/>
        <v>0</v>
      </c>
      <c r="AA26" s="34">
        <f t="shared" si="18"/>
        <v>2</v>
      </c>
      <c r="AB26" s="34">
        <f t="shared" si="18"/>
        <v>0</v>
      </c>
      <c r="AC26" s="34">
        <f t="shared" si="18"/>
        <v>1</v>
      </c>
      <c r="AD26" s="34">
        <f t="shared" si="18"/>
        <v>0</v>
      </c>
      <c r="AE26" s="31">
        <f t="shared" si="18"/>
        <v>7</v>
      </c>
      <c r="AF26" s="31">
        <f t="shared" si="18"/>
        <v>8</v>
      </c>
    </row>
    <row r="27" spans="2:32" ht="23.1" customHeight="1" x14ac:dyDescent="0.25">
      <c r="B27" s="45" t="s">
        <v>54</v>
      </c>
      <c r="C27" s="50">
        <v>1</v>
      </c>
      <c r="D27" s="50">
        <v>1</v>
      </c>
      <c r="E27" s="50">
        <v>0</v>
      </c>
      <c r="F27" s="50">
        <v>0</v>
      </c>
      <c r="G27" s="50">
        <v>0</v>
      </c>
      <c r="H27" s="50">
        <v>0</v>
      </c>
      <c r="I27" s="50">
        <v>1</v>
      </c>
      <c r="J27" s="50">
        <v>0</v>
      </c>
      <c r="K27" s="50">
        <v>0</v>
      </c>
      <c r="L27" s="50">
        <v>0</v>
      </c>
      <c r="M27" s="50">
        <v>6</v>
      </c>
      <c r="N27" s="50">
        <v>0</v>
      </c>
      <c r="O27" s="15">
        <f t="shared" si="0"/>
        <v>3</v>
      </c>
      <c r="P27" s="15">
        <f t="shared" si="1"/>
        <v>9</v>
      </c>
      <c r="R27" s="36" t="s">
        <v>151</v>
      </c>
      <c r="S27" s="34">
        <f>SUM(C78:C81)</f>
        <v>2</v>
      </c>
      <c r="T27" s="34">
        <f t="shared" ref="T27:AF27" si="19">SUM(D78:D81)</f>
        <v>5</v>
      </c>
      <c r="U27" s="34">
        <f t="shared" si="19"/>
        <v>0</v>
      </c>
      <c r="V27" s="34">
        <f t="shared" si="19"/>
        <v>1</v>
      </c>
      <c r="W27" s="34">
        <f t="shared" si="19"/>
        <v>2</v>
      </c>
      <c r="X27" s="34">
        <f t="shared" si="19"/>
        <v>0</v>
      </c>
      <c r="Y27" s="34">
        <f t="shared" si="19"/>
        <v>2</v>
      </c>
      <c r="Z27" s="34">
        <f t="shared" si="19"/>
        <v>2</v>
      </c>
      <c r="AA27" s="34">
        <f t="shared" si="19"/>
        <v>0</v>
      </c>
      <c r="AB27" s="34">
        <f t="shared" si="19"/>
        <v>0</v>
      </c>
      <c r="AC27" s="34">
        <f t="shared" si="19"/>
        <v>4</v>
      </c>
      <c r="AD27" s="34">
        <f t="shared" si="19"/>
        <v>0</v>
      </c>
      <c r="AE27" s="31">
        <f t="shared" si="19"/>
        <v>14</v>
      </c>
      <c r="AF27" s="31">
        <f t="shared" si="19"/>
        <v>18</v>
      </c>
    </row>
    <row r="28" spans="2:32" ht="23.1" customHeight="1" x14ac:dyDescent="0.25">
      <c r="B28" s="45" t="s">
        <v>55</v>
      </c>
      <c r="C28" s="50">
        <v>0</v>
      </c>
      <c r="D28" s="50">
        <v>0</v>
      </c>
      <c r="E28" s="50">
        <v>0</v>
      </c>
      <c r="F28" s="50">
        <v>0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6</v>
      </c>
      <c r="N28" s="50">
        <v>0</v>
      </c>
      <c r="O28" s="15">
        <f t="shared" si="0"/>
        <v>0</v>
      </c>
      <c r="P28" s="15">
        <f t="shared" si="1"/>
        <v>6</v>
      </c>
      <c r="R28" s="36" t="s">
        <v>152</v>
      </c>
      <c r="S28" s="34">
        <f>SUM(C82:C85)</f>
        <v>1</v>
      </c>
      <c r="T28" s="34">
        <f t="shared" ref="T28:AF28" si="20">SUM(D82:D85)</f>
        <v>0</v>
      </c>
      <c r="U28" s="34">
        <f t="shared" si="20"/>
        <v>0</v>
      </c>
      <c r="V28" s="34">
        <f t="shared" si="20"/>
        <v>0</v>
      </c>
      <c r="W28" s="34">
        <f t="shared" si="20"/>
        <v>1</v>
      </c>
      <c r="X28" s="34">
        <f t="shared" si="20"/>
        <v>1</v>
      </c>
      <c r="Y28" s="34">
        <f t="shared" si="20"/>
        <v>5</v>
      </c>
      <c r="Z28" s="34">
        <f t="shared" si="20"/>
        <v>0</v>
      </c>
      <c r="AA28" s="34">
        <f t="shared" si="20"/>
        <v>0</v>
      </c>
      <c r="AB28" s="34">
        <f t="shared" si="20"/>
        <v>0</v>
      </c>
      <c r="AC28" s="34">
        <f t="shared" si="20"/>
        <v>5</v>
      </c>
      <c r="AD28" s="34">
        <f t="shared" si="20"/>
        <v>0</v>
      </c>
      <c r="AE28" s="31">
        <f t="shared" si="20"/>
        <v>8</v>
      </c>
      <c r="AF28" s="31">
        <f t="shared" si="20"/>
        <v>13</v>
      </c>
    </row>
    <row r="29" spans="2:32" ht="23.1" customHeight="1" x14ac:dyDescent="0.25">
      <c r="B29" s="45" t="s">
        <v>56</v>
      </c>
      <c r="C29" s="50">
        <v>1</v>
      </c>
      <c r="D29" s="50">
        <v>3</v>
      </c>
      <c r="E29" s="50">
        <v>0</v>
      </c>
      <c r="F29" s="50">
        <v>0</v>
      </c>
      <c r="G29" s="50">
        <v>0</v>
      </c>
      <c r="H29" s="50">
        <v>0</v>
      </c>
      <c r="I29" s="50">
        <v>1</v>
      </c>
      <c r="J29" s="50">
        <v>0</v>
      </c>
      <c r="K29" s="50">
        <v>0</v>
      </c>
      <c r="L29" s="50">
        <v>1</v>
      </c>
      <c r="M29" s="50">
        <v>4</v>
      </c>
      <c r="N29" s="50">
        <v>0</v>
      </c>
      <c r="O29" s="15">
        <f t="shared" si="0"/>
        <v>6</v>
      </c>
      <c r="P29" s="15">
        <f t="shared" si="1"/>
        <v>10</v>
      </c>
      <c r="R29" s="36" t="s">
        <v>153</v>
      </c>
      <c r="S29" s="34">
        <f>SUM(C86:C89)</f>
        <v>2</v>
      </c>
      <c r="T29" s="34">
        <f t="shared" ref="T29:AF29" si="21">SUM(D86:D89)</f>
        <v>0</v>
      </c>
      <c r="U29" s="34">
        <f t="shared" si="21"/>
        <v>0</v>
      </c>
      <c r="V29" s="34">
        <f t="shared" si="21"/>
        <v>0</v>
      </c>
      <c r="W29" s="34">
        <f t="shared" si="21"/>
        <v>0</v>
      </c>
      <c r="X29" s="34">
        <f t="shared" si="21"/>
        <v>1</v>
      </c>
      <c r="Y29" s="34">
        <f t="shared" si="21"/>
        <v>1</v>
      </c>
      <c r="Z29" s="34">
        <f t="shared" si="21"/>
        <v>4</v>
      </c>
      <c r="AA29" s="34">
        <f t="shared" si="21"/>
        <v>1</v>
      </c>
      <c r="AB29" s="34">
        <f t="shared" si="21"/>
        <v>0</v>
      </c>
      <c r="AC29" s="34">
        <f t="shared" si="21"/>
        <v>1</v>
      </c>
      <c r="AD29" s="34">
        <f t="shared" si="21"/>
        <v>0</v>
      </c>
      <c r="AE29" s="31">
        <f t="shared" si="21"/>
        <v>9</v>
      </c>
      <c r="AF29" s="31">
        <f t="shared" si="21"/>
        <v>10</v>
      </c>
    </row>
    <row r="30" spans="2:32" ht="23.1" customHeight="1" x14ac:dyDescent="0.25">
      <c r="B30" s="45" t="s">
        <v>57</v>
      </c>
      <c r="C30" s="50">
        <v>1</v>
      </c>
      <c r="D30" s="50">
        <v>1</v>
      </c>
      <c r="E30" s="50">
        <v>0</v>
      </c>
      <c r="F30" s="50">
        <v>1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0</v>
      </c>
      <c r="M30" s="50">
        <v>4</v>
      </c>
      <c r="N30" s="50">
        <v>0</v>
      </c>
      <c r="O30" s="15">
        <f t="shared" si="0"/>
        <v>3</v>
      </c>
      <c r="P30" s="15">
        <f t="shared" si="1"/>
        <v>7</v>
      </c>
      <c r="R30" s="36" t="s">
        <v>154</v>
      </c>
      <c r="S30" s="34">
        <f>SUM(C90:C93)</f>
        <v>0</v>
      </c>
      <c r="T30" s="34">
        <f t="shared" ref="T30:AF30" si="22">SUM(D90:D93)</f>
        <v>2</v>
      </c>
      <c r="U30" s="34">
        <f t="shared" si="22"/>
        <v>0</v>
      </c>
      <c r="V30" s="34">
        <f t="shared" si="22"/>
        <v>0</v>
      </c>
      <c r="W30" s="34">
        <f t="shared" si="22"/>
        <v>0</v>
      </c>
      <c r="X30" s="34">
        <f t="shared" si="22"/>
        <v>0</v>
      </c>
      <c r="Y30" s="34">
        <f t="shared" si="22"/>
        <v>2</v>
      </c>
      <c r="Z30" s="34">
        <f t="shared" si="22"/>
        <v>3</v>
      </c>
      <c r="AA30" s="34">
        <f t="shared" si="22"/>
        <v>1</v>
      </c>
      <c r="AB30" s="34">
        <f t="shared" si="22"/>
        <v>1</v>
      </c>
      <c r="AC30" s="34">
        <f t="shared" si="22"/>
        <v>0</v>
      </c>
      <c r="AD30" s="34">
        <f t="shared" si="22"/>
        <v>0</v>
      </c>
      <c r="AE30" s="31">
        <f t="shared" si="22"/>
        <v>9</v>
      </c>
      <c r="AF30" s="31">
        <f t="shared" si="22"/>
        <v>9</v>
      </c>
    </row>
    <row r="31" spans="2:32" ht="23.1" customHeight="1" x14ac:dyDescent="0.25">
      <c r="B31" s="46" t="s">
        <v>58</v>
      </c>
      <c r="C31" s="50">
        <v>0</v>
      </c>
      <c r="D31" s="50">
        <v>1</v>
      </c>
      <c r="E31" s="50">
        <v>0</v>
      </c>
      <c r="F31" s="50">
        <v>0</v>
      </c>
      <c r="G31" s="50">
        <v>0</v>
      </c>
      <c r="H31" s="50">
        <v>0</v>
      </c>
      <c r="I31" s="50">
        <v>1</v>
      </c>
      <c r="J31" s="50">
        <v>1</v>
      </c>
      <c r="K31" s="50">
        <v>0</v>
      </c>
      <c r="L31" s="50">
        <v>0</v>
      </c>
      <c r="M31" s="50">
        <v>7</v>
      </c>
      <c r="N31" s="50">
        <v>0</v>
      </c>
      <c r="O31" s="15">
        <f t="shared" si="0"/>
        <v>3</v>
      </c>
      <c r="P31" s="15">
        <f t="shared" si="1"/>
        <v>10</v>
      </c>
      <c r="R31" s="36" t="s">
        <v>155</v>
      </c>
      <c r="S31" s="34">
        <f>SUM(C94:C97)</f>
        <v>1</v>
      </c>
      <c r="T31" s="34">
        <f t="shared" ref="T31:AF31" si="23">SUM(D94:D97)</f>
        <v>3</v>
      </c>
      <c r="U31" s="34">
        <f t="shared" si="23"/>
        <v>0</v>
      </c>
      <c r="V31" s="34">
        <f t="shared" si="23"/>
        <v>0</v>
      </c>
      <c r="W31" s="34">
        <f t="shared" si="23"/>
        <v>3</v>
      </c>
      <c r="X31" s="34">
        <f t="shared" si="23"/>
        <v>1</v>
      </c>
      <c r="Y31" s="34">
        <f t="shared" si="23"/>
        <v>3</v>
      </c>
      <c r="Z31" s="34">
        <f t="shared" si="23"/>
        <v>1</v>
      </c>
      <c r="AA31" s="34">
        <f t="shared" si="23"/>
        <v>0</v>
      </c>
      <c r="AB31" s="34">
        <f t="shared" si="23"/>
        <v>3</v>
      </c>
      <c r="AC31" s="34">
        <f t="shared" si="23"/>
        <v>0</v>
      </c>
      <c r="AD31" s="34">
        <f t="shared" si="23"/>
        <v>0</v>
      </c>
      <c r="AE31" s="31">
        <f t="shared" si="23"/>
        <v>15</v>
      </c>
      <c r="AF31" s="31">
        <f t="shared" si="23"/>
        <v>15</v>
      </c>
    </row>
    <row r="32" spans="2:32" ht="23.1" customHeight="1" x14ac:dyDescent="0.25">
      <c r="B32" s="46" t="s">
        <v>59</v>
      </c>
      <c r="C32" s="50">
        <v>2</v>
      </c>
      <c r="D32" s="50">
        <v>1</v>
      </c>
      <c r="E32" s="50">
        <v>0</v>
      </c>
      <c r="F32" s="50">
        <v>0</v>
      </c>
      <c r="G32" s="50">
        <v>0</v>
      </c>
      <c r="H32" s="50">
        <v>0</v>
      </c>
      <c r="I32" s="50">
        <v>0</v>
      </c>
      <c r="J32" s="50">
        <v>0</v>
      </c>
      <c r="K32" s="50">
        <v>0</v>
      </c>
      <c r="L32" s="50">
        <v>0</v>
      </c>
      <c r="M32" s="50">
        <v>7</v>
      </c>
      <c r="N32" s="50">
        <v>0</v>
      </c>
      <c r="O32" s="15">
        <f t="shared" si="0"/>
        <v>3</v>
      </c>
      <c r="P32" s="15">
        <f t="shared" si="1"/>
        <v>10</v>
      </c>
      <c r="R32" s="33" t="s">
        <v>156</v>
      </c>
      <c r="S32" s="34">
        <f>SUM(C98:C101)</f>
        <v>0</v>
      </c>
      <c r="T32" s="34">
        <f t="shared" ref="T32:AF32" si="24">SUM(D98:D101)</f>
        <v>0</v>
      </c>
      <c r="U32" s="34">
        <f t="shared" si="24"/>
        <v>0</v>
      </c>
      <c r="V32" s="34">
        <f t="shared" si="24"/>
        <v>2</v>
      </c>
      <c r="W32" s="34">
        <f t="shared" si="24"/>
        <v>0</v>
      </c>
      <c r="X32" s="34">
        <f t="shared" si="24"/>
        <v>0</v>
      </c>
      <c r="Y32" s="34">
        <f t="shared" si="24"/>
        <v>1</v>
      </c>
      <c r="Z32" s="34">
        <f t="shared" si="24"/>
        <v>2</v>
      </c>
      <c r="AA32" s="34">
        <f t="shared" si="24"/>
        <v>1</v>
      </c>
      <c r="AB32" s="34">
        <f t="shared" si="24"/>
        <v>0</v>
      </c>
      <c r="AC32" s="34">
        <f t="shared" si="24"/>
        <v>1</v>
      </c>
      <c r="AD32" s="34">
        <f t="shared" si="24"/>
        <v>0</v>
      </c>
      <c r="AE32" s="31">
        <f t="shared" si="24"/>
        <v>6</v>
      </c>
      <c r="AF32" s="31">
        <f t="shared" si="24"/>
        <v>7</v>
      </c>
    </row>
    <row r="33" spans="2:32" ht="23.1" customHeight="1" x14ac:dyDescent="0.25">
      <c r="B33" s="45" t="s">
        <v>60</v>
      </c>
      <c r="C33" s="50">
        <v>3</v>
      </c>
      <c r="D33" s="50">
        <v>0</v>
      </c>
      <c r="E33" s="50">
        <v>0</v>
      </c>
      <c r="F33" s="50">
        <v>0</v>
      </c>
      <c r="G33" s="50">
        <v>0</v>
      </c>
      <c r="H33" s="50">
        <v>0</v>
      </c>
      <c r="I33" s="50">
        <v>0</v>
      </c>
      <c r="J33" s="50">
        <v>0</v>
      </c>
      <c r="K33" s="50">
        <v>0</v>
      </c>
      <c r="L33" s="50">
        <v>0</v>
      </c>
      <c r="M33" s="50">
        <v>10</v>
      </c>
      <c r="N33" s="50">
        <v>0</v>
      </c>
      <c r="O33" s="15">
        <f t="shared" si="0"/>
        <v>3</v>
      </c>
      <c r="P33" s="15">
        <f t="shared" si="1"/>
        <v>13</v>
      </c>
      <c r="R33" s="33" t="s">
        <v>157</v>
      </c>
      <c r="S33" s="34">
        <f>SUM(C102:C105)</f>
        <v>0</v>
      </c>
      <c r="T33" s="34">
        <f t="shared" ref="T33:AF33" si="25">SUM(D102:D105)</f>
        <v>2</v>
      </c>
      <c r="U33" s="34">
        <f t="shared" si="25"/>
        <v>0</v>
      </c>
      <c r="V33" s="34">
        <f t="shared" si="25"/>
        <v>2</v>
      </c>
      <c r="W33" s="34">
        <f t="shared" si="25"/>
        <v>2</v>
      </c>
      <c r="X33" s="34">
        <f t="shared" si="25"/>
        <v>1</v>
      </c>
      <c r="Y33" s="34">
        <f t="shared" si="25"/>
        <v>2</v>
      </c>
      <c r="Z33" s="34">
        <f t="shared" si="25"/>
        <v>0</v>
      </c>
      <c r="AA33" s="34">
        <f t="shared" si="25"/>
        <v>0</v>
      </c>
      <c r="AB33" s="34">
        <f t="shared" si="25"/>
        <v>0</v>
      </c>
      <c r="AC33" s="34">
        <f t="shared" si="25"/>
        <v>8</v>
      </c>
      <c r="AD33" s="34">
        <f t="shared" si="25"/>
        <v>0</v>
      </c>
      <c r="AE33" s="31">
        <f t="shared" si="25"/>
        <v>9</v>
      </c>
      <c r="AF33" s="31">
        <f t="shared" si="25"/>
        <v>17</v>
      </c>
    </row>
    <row r="34" spans="2:32" ht="23.1" customHeight="1" x14ac:dyDescent="0.25">
      <c r="B34" s="46" t="s">
        <v>61</v>
      </c>
      <c r="C34" s="50">
        <v>2</v>
      </c>
      <c r="D34" s="50">
        <v>0</v>
      </c>
      <c r="E34" s="50">
        <v>0</v>
      </c>
      <c r="F34" s="50">
        <v>0</v>
      </c>
      <c r="G34" s="50">
        <v>0</v>
      </c>
      <c r="H34" s="50">
        <v>0</v>
      </c>
      <c r="I34" s="50">
        <v>1</v>
      </c>
      <c r="J34" s="50">
        <v>0</v>
      </c>
      <c r="K34" s="50">
        <v>0</v>
      </c>
      <c r="L34" s="50">
        <v>0</v>
      </c>
      <c r="M34" s="50">
        <v>6</v>
      </c>
      <c r="N34" s="50">
        <v>0</v>
      </c>
      <c r="O34" s="15">
        <f t="shared" si="0"/>
        <v>3</v>
      </c>
      <c r="P34" s="15">
        <f t="shared" si="1"/>
        <v>9</v>
      </c>
      <c r="R34" s="38" t="s">
        <v>90</v>
      </c>
      <c r="S34" s="39">
        <f t="shared" ref="S34:AF34" si="26">MAX(S10:S12)</f>
        <v>8</v>
      </c>
      <c r="T34" s="39">
        <f t="shared" si="26"/>
        <v>2</v>
      </c>
      <c r="U34" s="39">
        <f t="shared" si="26"/>
        <v>0</v>
      </c>
      <c r="V34" s="39">
        <f t="shared" si="26"/>
        <v>6</v>
      </c>
      <c r="W34" s="39">
        <f t="shared" si="26"/>
        <v>1</v>
      </c>
      <c r="X34" s="39">
        <f t="shared" si="26"/>
        <v>0</v>
      </c>
      <c r="Y34" s="39">
        <f t="shared" si="26"/>
        <v>7</v>
      </c>
      <c r="Z34" s="39">
        <f t="shared" si="26"/>
        <v>2</v>
      </c>
      <c r="AA34" s="39">
        <f t="shared" si="26"/>
        <v>2</v>
      </c>
      <c r="AB34" s="39">
        <f t="shared" si="26"/>
        <v>0</v>
      </c>
      <c r="AC34" s="39">
        <f t="shared" si="26"/>
        <v>19</v>
      </c>
      <c r="AD34" s="39">
        <f t="shared" si="26"/>
        <v>0</v>
      </c>
      <c r="AE34" s="40">
        <f t="shared" si="26"/>
        <v>19</v>
      </c>
      <c r="AF34" s="40">
        <f t="shared" si="26"/>
        <v>38</v>
      </c>
    </row>
    <row r="35" spans="2:32" ht="23.1" customHeight="1" x14ac:dyDescent="0.25">
      <c r="B35" s="46" t="s">
        <v>62</v>
      </c>
      <c r="C35" s="50">
        <v>1</v>
      </c>
      <c r="D35" s="50">
        <v>0</v>
      </c>
      <c r="E35" s="50">
        <v>0</v>
      </c>
      <c r="F35" s="50">
        <v>0</v>
      </c>
      <c r="G35" s="50">
        <v>0</v>
      </c>
      <c r="H35" s="50">
        <v>0</v>
      </c>
      <c r="I35" s="50">
        <v>1</v>
      </c>
      <c r="J35" s="50">
        <v>0</v>
      </c>
      <c r="K35" s="50">
        <v>0</v>
      </c>
      <c r="L35" s="50">
        <v>0</v>
      </c>
      <c r="M35" s="50">
        <v>5</v>
      </c>
      <c r="N35" s="50">
        <v>0</v>
      </c>
      <c r="O35" s="15">
        <f t="shared" si="0"/>
        <v>2</v>
      </c>
      <c r="P35" s="15">
        <f t="shared" si="1"/>
        <v>7</v>
      </c>
      <c r="R35" s="38" t="s">
        <v>91</v>
      </c>
      <c r="S35" s="39">
        <f t="shared" ref="S35:AF35" si="27">MAX(S13:S18)</f>
        <v>6</v>
      </c>
      <c r="T35" s="39">
        <f t="shared" si="27"/>
        <v>5</v>
      </c>
      <c r="U35" s="39">
        <f t="shared" si="27"/>
        <v>1</v>
      </c>
      <c r="V35" s="39">
        <f t="shared" si="27"/>
        <v>2</v>
      </c>
      <c r="W35" s="39">
        <f t="shared" si="27"/>
        <v>0</v>
      </c>
      <c r="X35" s="39">
        <f t="shared" si="27"/>
        <v>0</v>
      </c>
      <c r="Y35" s="39">
        <f t="shared" si="27"/>
        <v>5</v>
      </c>
      <c r="Z35" s="39">
        <f t="shared" si="27"/>
        <v>4</v>
      </c>
      <c r="AA35" s="39">
        <f t="shared" si="27"/>
        <v>1</v>
      </c>
      <c r="AB35" s="39">
        <f t="shared" si="27"/>
        <v>1</v>
      </c>
      <c r="AC35" s="39">
        <f t="shared" si="27"/>
        <v>29</v>
      </c>
      <c r="AD35" s="39">
        <f t="shared" si="27"/>
        <v>1</v>
      </c>
      <c r="AE35" s="40">
        <f t="shared" si="27"/>
        <v>12</v>
      </c>
      <c r="AF35" s="40">
        <f t="shared" si="27"/>
        <v>41</v>
      </c>
    </row>
    <row r="36" spans="2:32" ht="23.1" customHeight="1" x14ac:dyDescent="0.25">
      <c r="B36" s="46" t="s">
        <v>63</v>
      </c>
      <c r="C36" s="50">
        <v>0</v>
      </c>
      <c r="D36" s="50">
        <v>0</v>
      </c>
      <c r="E36" s="50">
        <v>0</v>
      </c>
      <c r="F36" s="50">
        <v>1</v>
      </c>
      <c r="G36" s="50">
        <v>0</v>
      </c>
      <c r="H36" s="50">
        <v>0</v>
      </c>
      <c r="I36" s="50">
        <v>1</v>
      </c>
      <c r="J36" s="50">
        <v>0</v>
      </c>
      <c r="K36" s="50">
        <v>0</v>
      </c>
      <c r="L36" s="50">
        <v>0</v>
      </c>
      <c r="M36" s="50">
        <v>10</v>
      </c>
      <c r="N36" s="50">
        <v>0</v>
      </c>
      <c r="O36" s="15">
        <f t="shared" si="0"/>
        <v>2</v>
      </c>
      <c r="P36" s="15">
        <f t="shared" si="1"/>
        <v>12</v>
      </c>
      <c r="R36" s="38" t="s">
        <v>92</v>
      </c>
      <c r="S36" s="39">
        <f t="shared" ref="S36:AF36" si="28">MAX(S19:S21)</f>
        <v>4</v>
      </c>
      <c r="T36" s="39">
        <f t="shared" si="28"/>
        <v>6</v>
      </c>
      <c r="U36" s="39">
        <f t="shared" si="28"/>
        <v>2</v>
      </c>
      <c r="V36" s="39">
        <f t="shared" si="28"/>
        <v>4</v>
      </c>
      <c r="W36" s="39">
        <f t="shared" si="28"/>
        <v>1</v>
      </c>
      <c r="X36" s="39">
        <f t="shared" si="28"/>
        <v>0</v>
      </c>
      <c r="Y36" s="39">
        <f t="shared" si="28"/>
        <v>2</v>
      </c>
      <c r="Z36" s="39">
        <f t="shared" si="28"/>
        <v>2</v>
      </c>
      <c r="AA36" s="39">
        <f t="shared" si="28"/>
        <v>2</v>
      </c>
      <c r="AB36" s="39">
        <f t="shared" si="28"/>
        <v>2</v>
      </c>
      <c r="AC36" s="39">
        <f t="shared" si="28"/>
        <v>25</v>
      </c>
      <c r="AD36" s="39">
        <f t="shared" si="28"/>
        <v>0</v>
      </c>
      <c r="AE36" s="40">
        <f t="shared" si="28"/>
        <v>17</v>
      </c>
      <c r="AF36" s="40">
        <f t="shared" si="28"/>
        <v>42</v>
      </c>
    </row>
    <row r="37" spans="2:32" ht="23.1" customHeight="1" x14ac:dyDescent="0.25">
      <c r="B37" s="45" t="s">
        <v>64</v>
      </c>
      <c r="C37" s="50">
        <v>0</v>
      </c>
      <c r="D37" s="50">
        <v>0</v>
      </c>
      <c r="E37" s="50">
        <v>0</v>
      </c>
      <c r="F37" s="50">
        <v>1</v>
      </c>
      <c r="G37" s="50">
        <v>0</v>
      </c>
      <c r="H37" s="50">
        <v>0</v>
      </c>
      <c r="I37" s="50">
        <v>2</v>
      </c>
      <c r="J37" s="50">
        <v>0</v>
      </c>
      <c r="K37" s="50">
        <v>0</v>
      </c>
      <c r="L37" s="50">
        <v>0</v>
      </c>
      <c r="M37" s="50">
        <v>4</v>
      </c>
      <c r="N37" s="50">
        <v>0</v>
      </c>
      <c r="O37" s="15">
        <f t="shared" si="0"/>
        <v>3</v>
      </c>
      <c r="P37" s="15">
        <f t="shared" si="1"/>
        <v>7</v>
      </c>
      <c r="R37" s="37" t="s">
        <v>85</v>
      </c>
      <c r="S37" s="35">
        <f t="shared" ref="S37:AF37" si="29">SUM(S10:S12)</f>
        <v>16</v>
      </c>
      <c r="T37" s="16">
        <f t="shared" si="29"/>
        <v>4</v>
      </c>
      <c r="U37" s="16">
        <f t="shared" si="29"/>
        <v>0</v>
      </c>
      <c r="V37" s="16">
        <f t="shared" si="29"/>
        <v>10</v>
      </c>
      <c r="W37" s="16">
        <f t="shared" si="29"/>
        <v>1</v>
      </c>
      <c r="X37" s="16">
        <f t="shared" si="29"/>
        <v>0</v>
      </c>
      <c r="Y37" s="16">
        <f t="shared" si="29"/>
        <v>9</v>
      </c>
      <c r="Z37" s="16">
        <f t="shared" si="29"/>
        <v>4</v>
      </c>
      <c r="AA37" s="16">
        <f t="shared" si="29"/>
        <v>2</v>
      </c>
      <c r="AB37" s="16">
        <f t="shared" si="29"/>
        <v>0</v>
      </c>
      <c r="AC37" s="16">
        <f t="shared" si="29"/>
        <v>55</v>
      </c>
      <c r="AD37" s="16">
        <f t="shared" si="29"/>
        <v>0</v>
      </c>
      <c r="AE37" s="32">
        <f t="shared" si="29"/>
        <v>46</v>
      </c>
      <c r="AF37" s="32">
        <f t="shared" si="29"/>
        <v>101</v>
      </c>
    </row>
    <row r="38" spans="2:32" ht="23.1" customHeight="1" x14ac:dyDescent="0.25">
      <c r="B38" s="46" t="s">
        <v>65</v>
      </c>
      <c r="C38" s="50">
        <v>0</v>
      </c>
      <c r="D38" s="50">
        <v>1</v>
      </c>
      <c r="E38" s="50">
        <v>0</v>
      </c>
      <c r="F38" s="50">
        <v>0</v>
      </c>
      <c r="G38" s="50">
        <v>0</v>
      </c>
      <c r="H38" s="50">
        <v>0</v>
      </c>
      <c r="I38" s="50">
        <v>2</v>
      </c>
      <c r="J38" s="50">
        <v>1</v>
      </c>
      <c r="K38" s="50">
        <v>0</v>
      </c>
      <c r="L38" s="50">
        <v>0</v>
      </c>
      <c r="M38" s="50">
        <v>6</v>
      </c>
      <c r="N38" s="50">
        <v>0</v>
      </c>
      <c r="O38" s="15">
        <f t="shared" si="0"/>
        <v>4</v>
      </c>
      <c r="P38" s="15">
        <f t="shared" si="1"/>
        <v>10</v>
      </c>
      <c r="R38" s="28" t="s">
        <v>86</v>
      </c>
      <c r="S38" s="16">
        <f t="shared" ref="S38:AF38" si="30">SUM(S13:S18)</f>
        <v>18</v>
      </c>
      <c r="T38" s="16">
        <f t="shared" si="30"/>
        <v>17</v>
      </c>
      <c r="U38" s="16">
        <f t="shared" si="30"/>
        <v>1</v>
      </c>
      <c r="V38" s="16">
        <f t="shared" si="30"/>
        <v>5</v>
      </c>
      <c r="W38" s="16">
        <f t="shared" si="30"/>
        <v>0</v>
      </c>
      <c r="X38" s="16">
        <f t="shared" si="30"/>
        <v>0</v>
      </c>
      <c r="Y38" s="16">
        <f t="shared" si="30"/>
        <v>10</v>
      </c>
      <c r="Z38" s="16">
        <f t="shared" si="30"/>
        <v>7</v>
      </c>
      <c r="AA38" s="16">
        <f t="shared" si="30"/>
        <v>2</v>
      </c>
      <c r="AB38" s="16">
        <f t="shared" si="30"/>
        <v>1</v>
      </c>
      <c r="AC38" s="16">
        <f t="shared" si="30"/>
        <v>155</v>
      </c>
      <c r="AD38" s="16">
        <f t="shared" si="30"/>
        <v>1</v>
      </c>
      <c r="AE38" s="32">
        <f t="shared" si="30"/>
        <v>62</v>
      </c>
      <c r="AF38" s="32">
        <f t="shared" si="30"/>
        <v>217</v>
      </c>
    </row>
    <row r="39" spans="2:32" ht="23.1" customHeight="1" x14ac:dyDescent="0.25">
      <c r="B39" s="46" t="s">
        <v>66</v>
      </c>
      <c r="C39" s="50">
        <v>1</v>
      </c>
      <c r="D39" s="50">
        <v>1</v>
      </c>
      <c r="E39" s="50">
        <v>0</v>
      </c>
      <c r="F39" s="50">
        <v>0</v>
      </c>
      <c r="G39" s="50">
        <v>0</v>
      </c>
      <c r="H39" s="50">
        <v>0</v>
      </c>
      <c r="I39" s="50">
        <v>0</v>
      </c>
      <c r="J39" s="50">
        <v>1</v>
      </c>
      <c r="K39" s="50">
        <v>0</v>
      </c>
      <c r="L39" s="50">
        <v>0</v>
      </c>
      <c r="M39" s="50">
        <v>10</v>
      </c>
      <c r="N39" s="50">
        <v>0</v>
      </c>
      <c r="O39" s="15">
        <f t="shared" si="0"/>
        <v>3</v>
      </c>
      <c r="P39" s="15">
        <f t="shared" si="1"/>
        <v>13</v>
      </c>
      <c r="R39" s="29" t="s">
        <v>87</v>
      </c>
      <c r="S39" s="16">
        <f t="shared" ref="S39:AF39" si="31">SUM(S19:S21)</f>
        <v>6</v>
      </c>
      <c r="T39" s="16">
        <f t="shared" si="31"/>
        <v>10</v>
      </c>
      <c r="U39" s="16">
        <f t="shared" si="31"/>
        <v>3</v>
      </c>
      <c r="V39" s="16">
        <f t="shared" si="31"/>
        <v>5</v>
      </c>
      <c r="W39" s="16">
        <f t="shared" si="31"/>
        <v>1</v>
      </c>
      <c r="X39" s="16">
        <f t="shared" si="31"/>
        <v>0</v>
      </c>
      <c r="Y39" s="16">
        <f t="shared" si="31"/>
        <v>3</v>
      </c>
      <c r="Z39" s="16">
        <f t="shared" si="31"/>
        <v>5</v>
      </c>
      <c r="AA39" s="16">
        <f t="shared" si="31"/>
        <v>4</v>
      </c>
      <c r="AB39" s="16">
        <f t="shared" si="31"/>
        <v>4</v>
      </c>
      <c r="AC39" s="16">
        <f t="shared" si="31"/>
        <v>67</v>
      </c>
      <c r="AD39" s="16">
        <f t="shared" si="31"/>
        <v>0</v>
      </c>
      <c r="AE39" s="32">
        <f t="shared" si="31"/>
        <v>41</v>
      </c>
      <c r="AF39" s="32">
        <f t="shared" si="31"/>
        <v>108</v>
      </c>
    </row>
    <row r="40" spans="2:32" ht="23.1" customHeight="1" x14ac:dyDescent="0.25">
      <c r="B40" s="46" t="s">
        <v>67</v>
      </c>
      <c r="C40" s="50">
        <v>1</v>
      </c>
      <c r="D40" s="50">
        <v>1</v>
      </c>
      <c r="E40" s="50">
        <v>0</v>
      </c>
      <c r="F40" s="50">
        <v>0</v>
      </c>
      <c r="G40" s="50">
        <v>0</v>
      </c>
      <c r="H40" s="50">
        <v>0</v>
      </c>
      <c r="I40" s="50">
        <v>0</v>
      </c>
      <c r="J40" s="50">
        <v>0</v>
      </c>
      <c r="K40" s="50">
        <v>1</v>
      </c>
      <c r="L40" s="50">
        <v>0</v>
      </c>
      <c r="M40" s="50">
        <v>8</v>
      </c>
      <c r="N40" s="50">
        <v>0</v>
      </c>
      <c r="O40" s="15">
        <f t="shared" si="0"/>
        <v>3</v>
      </c>
      <c r="P40" s="15">
        <f t="shared" si="1"/>
        <v>11</v>
      </c>
      <c r="R40" s="5" t="s">
        <v>17</v>
      </c>
      <c r="S40" s="16">
        <f t="shared" ref="S40:AF40" si="32">SUM(S10:S21)</f>
        <v>40</v>
      </c>
      <c r="T40" s="16">
        <f t="shared" si="32"/>
        <v>31</v>
      </c>
      <c r="U40" s="16">
        <f t="shared" si="32"/>
        <v>4</v>
      </c>
      <c r="V40" s="16">
        <f t="shared" si="32"/>
        <v>20</v>
      </c>
      <c r="W40" s="16">
        <f t="shared" si="32"/>
        <v>2</v>
      </c>
      <c r="X40" s="16">
        <f t="shared" si="32"/>
        <v>0</v>
      </c>
      <c r="Y40" s="16">
        <f t="shared" si="32"/>
        <v>22</v>
      </c>
      <c r="Z40" s="16">
        <f t="shared" si="32"/>
        <v>16</v>
      </c>
      <c r="AA40" s="16">
        <f t="shared" si="32"/>
        <v>8</v>
      </c>
      <c r="AB40" s="16">
        <f t="shared" si="32"/>
        <v>5</v>
      </c>
      <c r="AC40" s="16">
        <f t="shared" si="32"/>
        <v>277</v>
      </c>
      <c r="AD40" s="16">
        <f t="shared" si="32"/>
        <v>1</v>
      </c>
      <c r="AE40" s="32">
        <f t="shared" si="32"/>
        <v>149</v>
      </c>
      <c r="AF40" s="32">
        <f t="shared" si="32"/>
        <v>426</v>
      </c>
    </row>
    <row r="41" spans="2:32" ht="23.1" customHeight="1" x14ac:dyDescent="0.25">
      <c r="B41" s="45" t="s">
        <v>68</v>
      </c>
      <c r="C41" s="50">
        <v>0</v>
      </c>
      <c r="D41" s="50">
        <v>0</v>
      </c>
      <c r="E41" s="50">
        <v>0</v>
      </c>
      <c r="F41" s="50">
        <v>0</v>
      </c>
      <c r="G41" s="50">
        <v>0</v>
      </c>
      <c r="H41" s="50">
        <v>0</v>
      </c>
      <c r="I41" s="50">
        <v>0</v>
      </c>
      <c r="J41" s="50">
        <v>0</v>
      </c>
      <c r="K41" s="50">
        <v>0</v>
      </c>
      <c r="L41" s="50">
        <v>0</v>
      </c>
      <c r="M41" s="50">
        <v>0</v>
      </c>
      <c r="N41" s="50">
        <v>0</v>
      </c>
      <c r="O41" s="15">
        <f t="shared" si="0"/>
        <v>0</v>
      </c>
      <c r="P41" s="15">
        <f t="shared" si="1"/>
        <v>0</v>
      </c>
      <c r="R41" s="5" t="s">
        <v>159</v>
      </c>
      <c r="S41" s="16">
        <f>SUM(S10:S33)</f>
        <v>65</v>
      </c>
      <c r="T41" s="16">
        <f t="shared" ref="T41:AF41" si="33">SUM(T10:T33)</f>
        <v>59</v>
      </c>
      <c r="U41" s="16">
        <f t="shared" si="33"/>
        <v>6</v>
      </c>
      <c r="V41" s="16">
        <f t="shared" si="33"/>
        <v>31</v>
      </c>
      <c r="W41" s="16">
        <f t="shared" si="33"/>
        <v>11</v>
      </c>
      <c r="X41" s="16">
        <f t="shared" si="33"/>
        <v>4</v>
      </c>
      <c r="Y41" s="16">
        <f t="shared" si="33"/>
        <v>43</v>
      </c>
      <c r="Z41" s="16">
        <f t="shared" si="33"/>
        <v>36</v>
      </c>
      <c r="AA41" s="16">
        <f t="shared" si="33"/>
        <v>16</v>
      </c>
      <c r="AB41" s="16">
        <f t="shared" si="33"/>
        <v>10</v>
      </c>
      <c r="AC41" s="16">
        <f t="shared" si="33"/>
        <v>361</v>
      </c>
      <c r="AD41" s="16">
        <f t="shared" si="33"/>
        <v>1</v>
      </c>
      <c r="AE41" s="32">
        <f t="shared" si="33"/>
        <v>282</v>
      </c>
      <c r="AF41" s="32">
        <f t="shared" si="33"/>
        <v>643</v>
      </c>
    </row>
    <row r="42" spans="2:32" ht="23.1" customHeight="1" x14ac:dyDescent="0.25">
      <c r="B42" s="46" t="s">
        <v>69</v>
      </c>
      <c r="C42" s="50">
        <v>0</v>
      </c>
      <c r="D42" s="50">
        <v>0</v>
      </c>
      <c r="E42" s="50">
        <v>0</v>
      </c>
      <c r="F42" s="50">
        <v>0</v>
      </c>
      <c r="G42" s="50">
        <v>0</v>
      </c>
      <c r="H42" s="50">
        <v>0</v>
      </c>
      <c r="I42" s="50">
        <v>0</v>
      </c>
      <c r="J42" s="50">
        <v>0</v>
      </c>
      <c r="K42" s="50">
        <v>0</v>
      </c>
      <c r="L42" s="50">
        <v>0</v>
      </c>
      <c r="M42" s="50">
        <v>3</v>
      </c>
      <c r="N42" s="50">
        <v>0</v>
      </c>
      <c r="O42" s="15">
        <f t="shared" si="0"/>
        <v>0</v>
      </c>
      <c r="P42" s="15">
        <f t="shared" si="1"/>
        <v>3</v>
      </c>
      <c r="R42" s="5" t="s">
        <v>160</v>
      </c>
      <c r="S42" s="48">
        <f>S41/S40</f>
        <v>1.625</v>
      </c>
      <c r="T42" s="48">
        <f t="shared" ref="T42:AF42" si="34">T41/T40</f>
        <v>1.903225806451613</v>
      </c>
      <c r="U42" s="48">
        <f t="shared" si="34"/>
        <v>1.5</v>
      </c>
      <c r="V42" s="48">
        <f t="shared" si="34"/>
        <v>1.55</v>
      </c>
      <c r="W42" s="48">
        <f t="shared" si="34"/>
        <v>5.5</v>
      </c>
      <c r="X42" s="48" t="e">
        <f t="shared" si="34"/>
        <v>#DIV/0!</v>
      </c>
      <c r="Y42" s="48">
        <f t="shared" si="34"/>
        <v>1.9545454545454546</v>
      </c>
      <c r="Z42" s="48">
        <f t="shared" si="34"/>
        <v>2.25</v>
      </c>
      <c r="AA42" s="48">
        <f t="shared" si="34"/>
        <v>2</v>
      </c>
      <c r="AB42" s="48">
        <f t="shared" si="34"/>
        <v>2</v>
      </c>
      <c r="AC42" s="48">
        <f t="shared" si="34"/>
        <v>1.3032490974729243</v>
      </c>
      <c r="AD42" s="48">
        <f t="shared" si="34"/>
        <v>1</v>
      </c>
      <c r="AE42" s="48">
        <f t="shared" si="34"/>
        <v>1.8926174496644295</v>
      </c>
      <c r="AF42" s="48">
        <f t="shared" si="34"/>
        <v>1.5093896713615023</v>
      </c>
    </row>
    <row r="43" spans="2:32" ht="23.1" customHeight="1" x14ac:dyDescent="0.25">
      <c r="B43" s="45" t="s">
        <v>70</v>
      </c>
      <c r="C43" s="50">
        <v>1</v>
      </c>
      <c r="D43" s="50">
        <v>1</v>
      </c>
      <c r="E43" s="50">
        <v>0</v>
      </c>
      <c r="F43" s="50">
        <v>0</v>
      </c>
      <c r="G43" s="50">
        <v>0</v>
      </c>
      <c r="H43" s="50">
        <v>0</v>
      </c>
      <c r="I43" s="50">
        <v>0</v>
      </c>
      <c r="J43" s="50">
        <v>2</v>
      </c>
      <c r="K43" s="50">
        <v>0</v>
      </c>
      <c r="L43" s="50">
        <v>0</v>
      </c>
      <c r="M43" s="50">
        <v>8</v>
      </c>
      <c r="N43" s="50">
        <v>0</v>
      </c>
      <c r="O43" s="15">
        <f t="shared" si="0"/>
        <v>4</v>
      </c>
      <c r="P43" s="15">
        <f t="shared" si="1"/>
        <v>12</v>
      </c>
    </row>
    <row r="44" spans="2:32" ht="23.1" customHeight="1" x14ac:dyDescent="0.25">
      <c r="B44" s="47" t="s">
        <v>71</v>
      </c>
      <c r="C44" s="50">
        <v>0</v>
      </c>
      <c r="D44" s="50">
        <v>2</v>
      </c>
      <c r="E44" s="50">
        <v>0</v>
      </c>
      <c r="F44" s="50">
        <v>0</v>
      </c>
      <c r="G44" s="50">
        <v>0</v>
      </c>
      <c r="H44" s="50">
        <v>0</v>
      </c>
      <c r="I44" s="50">
        <v>0</v>
      </c>
      <c r="J44" s="50">
        <v>2</v>
      </c>
      <c r="K44" s="50">
        <v>0</v>
      </c>
      <c r="L44" s="50">
        <v>0</v>
      </c>
      <c r="M44" s="50">
        <v>11</v>
      </c>
      <c r="N44" s="50">
        <v>0</v>
      </c>
      <c r="O44" s="15">
        <f t="shared" si="0"/>
        <v>4</v>
      </c>
      <c r="P44" s="15">
        <f t="shared" si="1"/>
        <v>15</v>
      </c>
    </row>
    <row r="45" spans="2:32" ht="23.1" customHeight="1" x14ac:dyDescent="0.25">
      <c r="B45" s="45" t="s">
        <v>72</v>
      </c>
      <c r="C45" s="50">
        <v>0</v>
      </c>
      <c r="D45" s="50">
        <v>1</v>
      </c>
      <c r="E45" s="50">
        <v>1</v>
      </c>
      <c r="F45" s="50">
        <v>0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0</v>
      </c>
      <c r="M45" s="50">
        <v>5</v>
      </c>
      <c r="N45" s="50">
        <v>0</v>
      </c>
      <c r="O45" s="15">
        <f t="shared" si="0"/>
        <v>2</v>
      </c>
      <c r="P45" s="15">
        <f t="shared" si="1"/>
        <v>7</v>
      </c>
    </row>
    <row r="46" spans="2:32" ht="23.1" customHeight="1" x14ac:dyDescent="0.25">
      <c r="B46" s="46" t="s">
        <v>73</v>
      </c>
      <c r="C46" s="50">
        <v>1</v>
      </c>
      <c r="D46" s="50">
        <v>0</v>
      </c>
      <c r="E46" s="50">
        <v>0</v>
      </c>
      <c r="F46" s="50">
        <v>1</v>
      </c>
      <c r="G46" s="50">
        <v>0</v>
      </c>
      <c r="H46" s="50">
        <v>0</v>
      </c>
      <c r="I46" s="50">
        <v>0</v>
      </c>
      <c r="J46" s="50">
        <v>1</v>
      </c>
      <c r="K46" s="50">
        <v>0</v>
      </c>
      <c r="L46" s="50">
        <v>0</v>
      </c>
      <c r="M46" s="50">
        <v>2</v>
      </c>
      <c r="N46" s="50">
        <v>0</v>
      </c>
      <c r="O46" s="15">
        <f t="shared" si="0"/>
        <v>3</v>
      </c>
      <c r="P46" s="15">
        <f t="shared" si="1"/>
        <v>5</v>
      </c>
      <c r="R46" s="8"/>
      <c r="T46"/>
    </row>
    <row r="47" spans="2:32" ht="23.1" customHeight="1" x14ac:dyDescent="0.25">
      <c r="B47" s="46" t="s">
        <v>74</v>
      </c>
      <c r="C47" s="50">
        <v>1</v>
      </c>
      <c r="D47" s="50">
        <v>0</v>
      </c>
      <c r="E47" s="50">
        <v>0</v>
      </c>
      <c r="F47" s="50">
        <v>0</v>
      </c>
      <c r="G47" s="50">
        <v>0</v>
      </c>
      <c r="H47" s="50">
        <v>0</v>
      </c>
      <c r="I47" s="50">
        <v>0</v>
      </c>
      <c r="J47" s="50">
        <v>1</v>
      </c>
      <c r="K47" s="50">
        <v>0</v>
      </c>
      <c r="L47" s="50">
        <v>1</v>
      </c>
      <c r="M47" s="50">
        <v>5</v>
      </c>
      <c r="N47" s="50">
        <v>0</v>
      </c>
      <c r="O47" s="15">
        <f t="shared" si="0"/>
        <v>3</v>
      </c>
      <c r="P47" s="15">
        <f t="shared" si="1"/>
        <v>8</v>
      </c>
      <c r="R47" s="8"/>
      <c r="T47"/>
    </row>
    <row r="48" spans="2:32" ht="23.1" customHeight="1" x14ac:dyDescent="0.25">
      <c r="B48" s="46" t="s">
        <v>75</v>
      </c>
      <c r="C48" s="50">
        <v>0</v>
      </c>
      <c r="D48" s="50">
        <v>2</v>
      </c>
      <c r="E48" s="50">
        <v>0</v>
      </c>
      <c r="F48" s="50">
        <v>0</v>
      </c>
      <c r="G48" s="50">
        <v>0</v>
      </c>
      <c r="H48" s="50">
        <v>0</v>
      </c>
      <c r="I48" s="50">
        <v>0</v>
      </c>
      <c r="J48" s="50">
        <v>0</v>
      </c>
      <c r="K48" s="50">
        <v>1</v>
      </c>
      <c r="L48" s="50">
        <v>1</v>
      </c>
      <c r="M48" s="50">
        <v>4</v>
      </c>
      <c r="N48" s="50">
        <v>0</v>
      </c>
      <c r="O48" s="15">
        <f t="shared" si="0"/>
        <v>4</v>
      </c>
      <c r="P48" s="15">
        <f t="shared" si="1"/>
        <v>8</v>
      </c>
      <c r="R48" s="8"/>
      <c r="T48"/>
    </row>
    <row r="49" spans="2:20" ht="23.1" customHeight="1" x14ac:dyDescent="0.25">
      <c r="B49" s="45" t="s">
        <v>76</v>
      </c>
      <c r="C49" s="50">
        <v>0</v>
      </c>
      <c r="D49" s="50">
        <v>2</v>
      </c>
      <c r="E49" s="50">
        <v>0</v>
      </c>
      <c r="F49" s="50">
        <v>0</v>
      </c>
      <c r="G49" s="50">
        <v>0</v>
      </c>
      <c r="H49" s="50">
        <v>0</v>
      </c>
      <c r="I49" s="50">
        <v>0</v>
      </c>
      <c r="J49" s="50">
        <v>0</v>
      </c>
      <c r="K49" s="50">
        <v>0</v>
      </c>
      <c r="L49" s="50">
        <v>0</v>
      </c>
      <c r="M49" s="50">
        <v>8</v>
      </c>
      <c r="N49" s="50">
        <v>0</v>
      </c>
      <c r="O49" s="15">
        <f t="shared" si="0"/>
        <v>2</v>
      </c>
      <c r="P49" s="15">
        <f t="shared" si="1"/>
        <v>10</v>
      </c>
      <c r="R49" s="8"/>
      <c r="T49"/>
    </row>
    <row r="50" spans="2:20" ht="23.1" customHeight="1" x14ac:dyDescent="0.25">
      <c r="B50" s="46" t="s">
        <v>77</v>
      </c>
      <c r="C50" s="50">
        <v>0</v>
      </c>
      <c r="D50" s="50">
        <v>3</v>
      </c>
      <c r="E50" s="50">
        <v>0</v>
      </c>
      <c r="F50" s="50">
        <v>1</v>
      </c>
      <c r="G50" s="50">
        <v>0</v>
      </c>
      <c r="H50" s="50">
        <v>0</v>
      </c>
      <c r="I50" s="50">
        <v>0</v>
      </c>
      <c r="J50" s="50">
        <v>0</v>
      </c>
      <c r="K50" s="50">
        <v>0</v>
      </c>
      <c r="L50" s="50">
        <v>0</v>
      </c>
      <c r="M50" s="50">
        <v>4</v>
      </c>
      <c r="N50" s="50">
        <v>0</v>
      </c>
      <c r="O50" s="15">
        <f t="shared" si="0"/>
        <v>4</v>
      </c>
      <c r="P50" s="15">
        <f t="shared" si="1"/>
        <v>8</v>
      </c>
      <c r="R50" s="8"/>
      <c r="T50"/>
    </row>
    <row r="51" spans="2:20" ht="23.1" customHeight="1" x14ac:dyDescent="0.25">
      <c r="B51" s="46" t="s">
        <v>78</v>
      </c>
      <c r="C51" s="50">
        <v>0</v>
      </c>
      <c r="D51" s="50">
        <v>1</v>
      </c>
      <c r="E51" s="50">
        <v>1</v>
      </c>
      <c r="F51" s="50">
        <v>1</v>
      </c>
      <c r="G51" s="50">
        <v>0</v>
      </c>
      <c r="H51" s="50">
        <v>0</v>
      </c>
      <c r="I51" s="50">
        <v>2</v>
      </c>
      <c r="J51" s="50">
        <v>1</v>
      </c>
      <c r="K51" s="50">
        <v>0</v>
      </c>
      <c r="L51" s="50">
        <v>0</v>
      </c>
      <c r="M51" s="50">
        <v>9</v>
      </c>
      <c r="N51" s="50">
        <v>0</v>
      </c>
      <c r="O51" s="15">
        <f t="shared" si="0"/>
        <v>6</v>
      </c>
      <c r="P51" s="15">
        <f t="shared" si="1"/>
        <v>15</v>
      </c>
      <c r="R51" s="8"/>
      <c r="T51"/>
    </row>
    <row r="52" spans="2:20" ht="23.1" customHeight="1" x14ac:dyDescent="0.25">
      <c r="B52" s="46" t="s">
        <v>79</v>
      </c>
      <c r="C52" s="50">
        <v>0</v>
      </c>
      <c r="D52" s="50">
        <v>1</v>
      </c>
      <c r="E52" s="50">
        <v>0</v>
      </c>
      <c r="F52" s="50">
        <v>1</v>
      </c>
      <c r="G52" s="50">
        <v>0</v>
      </c>
      <c r="H52" s="50">
        <v>0</v>
      </c>
      <c r="I52" s="50">
        <v>0</v>
      </c>
      <c r="J52" s="50">
        <v>0</v>
      </c>
      <c r="K52" s="50">
        <v>0</v>
      </c>
      <c r="L52" s="50">
        <v>0</v>
      </c>
      <c r="M52" s="50">
        <v>7</v>
      </c>
      <c r="N52" s="50">
        <v>0</v>
      </c>
      <c r="O52" s="15">
        <f t="shared" si="0"/>
        <v>2</v>
      </c>
      <c r="P52" s="15">
        <f t="shared" si="1"/>
        <v>9</v>
      </c>
      <c r="R52" s="8"/>
      <c r="T52"/>
    </row>
    <row r="53" spans="2:20" ht="23.1" customHeight="1" x14ac:dyDescent="0.25">
      <c r="B53" s="45" t="s">
        <v>80</v>
      </c>
      <c r="C53" s="50">
        <v>0</v>
      </c>
      <c r="D53" s="50">
        <v>1</v>
      </c>
      <c r="E53" s="50">
        <v>0</v>
      </c>
      <c r="F53" s="50">
        <v>1</v>
      </c>
      <c r="G53" s="50">
        <v>1</v>
      </c>
      <c r="H53" s="50">
        <v>0</v>
      </c>
      <c r="I53" s="50">
        <v>0</v>
      </c>
      <c r="J53" s="50">
        <v>1</v>
      </c>
      <c r="K53" s="50">
        <v>1</v>
      </c>
      <c r="L53" s="50">
        <v>0</v>
      </c>
      <c r="M53" s="50">
        <v>5</v>
      </c>
      <c r="N53" s="50">
        <v>0</v>
      </c>
      <c r="O53" s="15">
        <f t="shared" si="0"/>
        <v>5</v>
      </c>
      <c r="P53" s="15">
        <f t="shared" si="1"/>
        <v>10</v>
      </c>
      <c r="R53" s="8"/>
      <c r="T53"/>
    </row>
    <row r="54" spans="2:20" ht="23.1" customHeight="1" x14ac:dyDescent="0.25">
      <c r="B54" s="45" t="s">
        <v>81</v>
      </c>
      <c r="C54" s="50">
        <v>1</v>
      </c>
      <c r="D54" s="50">
        <v>0</v>
      </c>
      <c r="E54" s="50">
        <v>0</v>
      </c>
      <c r="F54" s="50">
        <v>0</v>
      </c>
      <c r="G54" s="50">
        <v>0</v>
      </c>
      <c r="H54" s="50">
        <v>0</v>
      </c>
      <c r="I54" s="50">
        <v>0</v>
      </c>
      <c r="J54" s="50">
        <v>0</v>
      </c>
      <c r="K54" s="50">
        <v>0</v>
      </c>
      <c r="L54" s="50">
        <v>0</v>
      </c>
      <c r="M54" s="50">
        <v>3</v>
      </c>
      <c r="N54" s="50">
        <v>0</v>
      </c>
      <c r="O54" s="15">
        <f t="shared" si="0"/>
        <v>1</v>
      </c>
      <c r="P54" s="15">
        <f t="shared" si="1"/>
        <v>4</v>
      </c>
      <c r="R54" s="8"/>
      <c r="T54"/>
    </row>
    <row r="55" spans="2:20" ht="23.1" customHeight="1" x14ac:dyDescent="0.25">
      <c r="B55" s="45" t="s">
        <v>82</v>
      </c>
      <c r="C55" s="50">
        <v>1</v>
      </c>
      <c r="D55" s="50">
        <v>0</v>
      </c>
      <c r="E55" s="50">
        <v>1</v>
      </c>
      <c r="F55" s="50">
        <v>0</v>
      </c>
      <c r="G55" s="50">
        <v>0</v>
      </c>
      <c r="H55" s="50">
        <v>0</v>
      </c>
      <c r="I55" s="50">
        <v>1</v>
      </c>
      <c r="J55" s="50">
        <v>1</v>
      </c>
      <c r="K55" s="50">
        <v>0</v>
      </c>
      <c r="L55" s="50">
        <v>1</v>
      </c>
      <c r="M55" s="50">
        <v>5</v>
      </c>
      <c r="N55" s="50">
        <v>0</v>
      </c>
      <c r="O55" s="15">
        <f t="shared" si="0"/>
        <v>5</v>
      </c>
      <c r="P55" s="15">
        <f t="shared" si="1"/>
        <v>10</v>
      </c>
      <c r="R55" s="8"/>
      <c r="T55"/>
    </row>
    <row r="56" spans="2:20" ht="23.1" customHeight="1" x14ac:dyDescent="0.25">
      <c r="B56" s="45" t="s">
        <v>83</v>
      </c>
      <c r="C56" s="50">
        <v>0</v>
      </c>
      <c r="D56" s="50">
        <v>0</v>
      </c>
      <c r="E56" s="50">
        <v>1</v>
      </c>
      <c r="F56" s="50">
        <v>0</v>
      </c>
      <c r="G56" s="50">
        <v>0</v>
      </c>
      <c r="H56" s="50">
        <v>0</v>
      </c>
      <c r="I56" s="50">
        <v>0</v>
      </c>
      <c r="J56" s="50">
        <v>0</v>
      </c>
      <c r="K56" s="50">
        <v>1</v>
      </c>
      <c r="L56" s="50">
        <v>1</v>
      </c>
      <c r="M56" s="50">
        <v>6</v>
      </c>
      <c r="N56" s="50">
        <v>0</v>
      </c>
      <c r="O56" s="15">
        <f t="shared" si="0"/>
        <v>3</v>
      </c>
      <c r="P56" s="15">
        <f t="shared" si="1"/>
        <v>9</v>
      </c>
      <c r="R56" s="8"/>
      <c r="T56"/>
    </row>
    <row r="57" spans="2:20" ht="23.1" customHeight="1" x14ac:dyDescent="0.25">
      <c r="B57" s="45" t="s">
        <v>84</v>
      </c>
      <c r="C57" s="50">
        <v>2</v>
      </c>
      <c r="D57" s="50">
        <v>0</v>
      </c>
      <c r="E57" s="50">
        <v>0</v>
      </c>
      <c r="F57" s="50">
        <v>0</v>
      </c>
      <c r="G57" s="50">
        <v>0</v>
      </c>
      <c r="H57" s="50">
        <v>0</v>
      </c>
      <c r="I57" s="50">
        <v>0</v>
      </c>
      <c r="J57" s="50">
        <v>0</v>
      </c>
      <c r="K57" s="50">
        <v>1</v>
      </c>
      <c r="L57" s="50">
        <v>0</v>
      </c>
      <c r="M57" s="50">
        <v>9</v>
      </c>
      <c r="N57" s="50">
        <v>0</v>
      </c>
      <c r="O57" s="15">
        <f t="shared" si="0"/>
        <v>3</v>
      </c>
      <c r="P57" s="15">
        <f t="shared" si="1"/>
        <v>12</v>
      </c>
      <c r="R57" s="8"/>
      <c r="T57"/>
    </row>
    <row r="58" spans="2:20" ht="23.1" customHeight="1" x14ac:dyDescent="0.25">
      <c r="B58" s="45" t="s">
        <v>99</v>
      </c>
      <c r="C58" s="50">
        <v>2</v>
      </c>
      <c r="D58" s="50">
        <v>2</v>
      </c>
      <c r="E58" s="50">
        <v>1</v>
      </c>
      <c r="F58" s="50">
        <v>1</v>
      </c>
      <c r="G58" s="50">
        <v>1</v>
      </c>
      <c r="H58" s="50">
        <v>0</v>
      </c>
      <c r="I58" s="50">
        <v>1</v>
      </c>
      <c r="J58" s="50">
        <v>0</v>
      </c>
      <c r="K58" s="50">
        <v>0</v>
      </c>
      <c r="L58" s="50">
        <v>0</v>
      </c>
      <c r="M58" s="50">
        <v>9</v>
      </c>
      <c r="N58" s="50">
        <v>0</v>
      </c>
      <c r="O58" s="15">
        <f t="shared" si="0"/>
        <v>8</v>
      </c>
      <c r="P58" s="15">
        <f t="shared" si="1"/>
        <v>17</v>
      </c>
      <c r="R58" s="8"/>
      <c r="T58"/>
    </row>
    <row r="59" spans="2:20" ht="23.1" customHeight="1" x14ac:dyDescent="0.25">
      <c r="B59" s="45" t="s">
        <v>100</v>
      </c>
      <c r="C59" s="50">
        <v>2</v>
      </c>
      <c r="D59" s="50">
        <v>0</v>
      </c>
      <c r="E59" s="50">
        <v>1</v>
      </c>
      <c r="F59" s="50">
        <v>0</v>
      </c>
      <c r="G59" s="50">
        <v>0</v>
      </c>
      <c r="H59" s="50">
        <v>0</v>
      </c>
      <c r="I59" s="50">
        <v>0</v>
      </c>
      <c r="J59" s="50">
        <v>0</v>
      </c>
      <c r="K59" s="50">
        <v>0</v>
      </c>
      <c r="L59" s="50">
        <v>0</v>
      </c>
      <c r="M59" s="50">
        <v>10</v>
      </c>
      <c r="N59" s="50">
        <v>0</v>
      </c>
      <c r="O59" s="15">
        <f t="shared" si="0"/>
        <v>3</v>
      </c>
      <c r="P59" s="15">
        <f t="shared" si="1"/>
        <v>13</v>
      </c>
      <c r="R59" s="8"/>
      <c r="T59"/>
    </row>
    <row r="60" spans="2:20" ht="23.1" customHeight="1" x14ac:dyDescent="0.25">
      <c r="B60" s="45" t="s">
        <v>101</v>
      </c>
      <c r="C60" s="50">
        <v>1</v>
      </c>
      <c r="D60" s="50">
        <v>1</v>
      </c>
      <c r="E60" s="50">
        <v>0</v>
      </c>
      <c r="F60" s="50">
        <v>0</v>
      </c>
      <c r="G60" s="50">
        <v>0</v>
      </c>
      <c r="H60" s="50">
        <v>0</v>
      </c>
      <c r="I60" s="50">
        <v>0</v>
      </c>
      <c r="J60" s="50">
        <v>1</v>
      </c>
      <c r="K60" s="50">
        <v>0</v>
      </c>
      <c r="L60" s="50">
        <v>0</v>
      </c>
      <c r="M60" s="50">
        <v>10</v>
      </c>
      <c r="N60" s="50">
        <v>0</v>
      </c>
      <c r="O60" s="15">
        <f t="shared" si="0"/>
        <v>3</v>
      </c>
      <c r="P60" s="15">
        <f t="shared" si="1"/>
        <v>13</v>
      </c>
      <c r="R60" s="8"/>
      <c r="T60"/>
    </row>
    <row r="61" spans="2:20" ht="23.1" customHeight="1" x14ac:dyDescent="0.25">
      <c r="B61" s="45" t="s">
        <v>102</v>
      </c>
      <c r="C61" s="50">
        <v>1</v>
      </c>
      <c r="D61" s="50">
        <v>4</v>
      </c>
      <c r="E61" s="50">
        <v>0</v>
      </c>
      <c r="F61" s="50">
        <v>0</v>
      </c>
      <c r="G61" s="50">
        <v>0</v>
      </c>
      <c r="H61" s="50">
        <v>0</v>
      </c>
      <c r="I61" s="50">
        <v>0</v>
      </c>
      <c r="J61" s="50">
        <v>0</v>
      </c>
      <c r="K61" s="50">
        <v>0</v>
      </c>
      <c r="L61" s="50">
        <v>0</v>
      </c>
      <c r="M61" s="50">
        <v>7</v>
      </c>
      <c r="N61" s="50">
        <v>0</v>
      </c>
      <c r="O61" s="15">
        <f t="shared" si="0"/>
        <v>5</v>
      </c>
      <c r="P61" s="15">
        <f t="shared" si="1"/>
        <v>12</v>
      </c>
      <c r="R61" s="8"/>
      <c r="T61"/>
    </row>
    <row r="62" spans="2:20" ht="23.1" customHeight="1" x14ac:dyDescent="0.25">
      <c r="B62" s="45" t="s">
        <v>107</v>
      </c>
      <c r="C62" s="50">
        <v>1</v>
      </c>
      <c r="D62" s="50">
        <v>4</v>
      </c>
      <c r="E62" s="50">
        <v>0</v>
      </c>
      <c r="F62" s="50">
        <v>1</v>
      </c>
      <c r="G62" s="50">
        <v>0</v>
      </c>
      <c r="H62" s="50">
        <v>0</v>
      </c>
      <c r="I62" s="50">
        <v>1</v>
      </c>
      <c r="J62" s="50">
        <v>1</v>
      </c>
      <c r="K62" s="50">
        <v>0</v>
      </c>
      <c r="L62" s="50">
        <v>0</v>
      </c>
      <c r="M62" s="50">
        <v>9</v>
      </c>
      <c r="N62" s="50">
        <v>0</v>
      </c>
      <c r="O62" s="15">
        <f t="shared" si="0"/>
        <v>8</v>
      </c>
      <c r="P62" s="15">
        <f t="shared" si="1"/>
        <v>17</v>
      </c>
      <c r="R62" s="8"/>
      <c r="T62"/>
    </row>
    <row r="63" spans="2:20" ht="23.1" customHeight="1" x14ac:dyDescent="0.25">
      <c r="B63" s="45" t="s">
        <v>108</v>
      </c>
      <c r="C63" s="50">
        <v>4</v>
      </c>
      <c r="D63" s="50">
        <v>0</v>
      </c>
      <c r="E63" s="50">
        <v>0</v>
      </c>
      <c r="F63" s="50">
        <v>0</v>
      </c>
      <c r="G63" s="50">
        <v>0</v>
      </c>
      <c r="H63" s="50">
        <v>0</v>
      </c>
      <c r="I63" s="50">
        <v>1</v>
      </c>
      <c r="J63" s="50">
        <v>2</v>
      </c>
      <c r="K63" s="50">
        <v>0</v>
      </c>
      <c r="L63" s="50">
        <v>0</v>
      </c>
      <c r="M63" s="50">
        <v>2</v>
      </c>
      <c r="N63" s="50">
        <v>0</v>
      </c>
      <c r="O63" s="15">
        <f t="shared" si="0"/>
        <v>7</v>
      </c>
      <c r="P63" s="15">
        <f t="shared" si="1"/>
        <v>9</v>
      </c>
      <c r="R63" s="8"/>
      <c r="T63"/>
    </row>
    <row r="64" spans="2:20" ht="23.1" customHeight="1" x14ac:dyDescent="0.25">
      <c r="B64" s="45" t="s">
        <v>109</v>
      </c>
      <c r="C64" s="50">
        <v>1</v>
      </c>
      <c r="D64" s="50">
        <v>0</v>
      </c>
      <c r="E64" s="50">
        <v>0</v>
      </c>
      <c r="F64" s="50">
        <v>0</v>
      </c>
      <c r="G64" s="50">
        <v>0</v>
      </c>
      <c r="H64" s="50">
        <v>0</v>
      </c>
      <c r="I64" s="50">
        <v>0</v>
      </c>
      <c r="J64" s="50">
        <v>1</v>
      </c>
      <c r="K64" s="50">
        <v>1</v>
      </c>
      <c r="L64" s="50">
        <v>0</v>
      </c>
      <c r="M64" s="50">
        <v>4</v>
      </c>
      <c r="N64" s="50">
        <v>0</v>
      </c>
      <c r="O64" s="15">
        <f t="shared" si="0"/>
        <v>3</v>
      </c>
      <c r="P64" s="15">
        <f t="shared" si="1"/>
        <v>7</v>
      </c>
      <c r="R64" s="8"/>
      <c r="T64"/>
    </row>
    <row r="65" spans="2:20" ht="23.1" customHeight="1" x14ac:dyDescent="0.25">
      <c r="B65" s="45" t="s">
        <v>158</v>
      </c>
      <c r="C65" s="50">
        <v>0</v>
      </c>
      <c r="D65" s="50">
        <v>1</v>
      </c>
      <c r="E65" s="50">
        <v>0</v>
      </c>
      <c r="F65" s="50">
        <v>0</v>
      </c>
      <c r="G65" s="50">
        <v>0</v>
      </c>
      <c r="H65" s="50">
        <v>0</v>
      </c>
      <c r="I65" s="50">
        <v>1</v>
      </c>
      <c r="J65" s="50">
        <v>0</v>
      </c>
      <c r="K65" s="50">
        <v>0</v>
      </c>
      <c r="L65" s="50">
        <v>0</v>
      </c>
      <c r="M65" s="50">
        <v>3</v>
      </c>
      <c r="N65" s="50">
        <v>0</v>
      </c>
      <c r="O65" s="15">
        <f t="shared" si="0"/>
        <v>2</v>
      </c>
      <c r="P65" s="15">
        <f t="shared" si="1"/>
        <v>5</v>
      </c>
      <c r="R65" s="8"/>
      <c r="T65"/>
    </row>
    <row r="66" spans="2:20" ht="23.1" customHeight="1" x14ac:dyDescent="0.25">
      <c r="B66" s="45" t="s">
        <v>103</v>
      </c>
      <c r="C66" s="50">
        <v>1</v>
      </c>
      <c r="D66" s="50">
        <v>3</v>
      </c>
      <c r="E66" s="50">
        <v>0</v>
      </c>
      <c r="F66" s="50">
        <v>1</v>
      </c>
      <c r="G66" s="50">
        <v>0</v>
      </c>
      <c r="H66" s="50">
        <v>0</v>
      </c>
      <c r="I66" s="50">
        <v>0</v>
      </c>
      <c r="J66" s="50">
        <v>0</v>
      </c>
      <c r="K66" s="50">
        <v>0</v>
      </c>
      <c r="L66" s="50">
        <v>0</v>
      </c>
      <c r="M66" s="50">
        <v>5</v>
      </c>
      <c r="N66" s="50">
        <v>0</v>
      </c>
      <c r="O66" s="15">
        <f t="shared" si="0"/>
        <v>5</v>
      </c>
      <c r="P66" s="15">
        <f t="shared" si="1"/>
        <v>10</v>
      </c>
      <c r="R66" s="8"/>
      <c r="T66"/>
    </row>
    <row r="67" spans="2:20" ht="23.1" customHeight="1" x14ac:dyDescent="0.25">
      <c r="B67" s="45" t="s">
        <v>104</v>
      </c>
      <c r="C67" s="50">
        <v>2</v>
      </c>
      <c r="D67" s="50">
        <v>0</v>
      </c>
      <c r="E67" s="50">
        <v>0</v>
      </c>
      <c r="F67" s="50">
        <v>0</v>
      </c>
      <c r="G67" s="50">
        <v>0</v>
      </c>
      <c r="H67" s="50">
        <v>0</v>
      </c>
      <c r="I67" s="50">
        <v>0</v>
      </c>
      <c r="J67" s="50">
        <v>0</v>
      </c>
      <c r="K67" s="50">
        <v>1</v>
      </c>
      <c r="L67" s="50">
        <v>1</v>
      </c>
      <c r="M67" s="50">
        <v>1</v>
      </c>
      <c r="N67" s="50">
        <v>0</v>
      </c>
      <c r="O67" s="15">
        <f t="shared" si="0"/>
        <v>4</v>
      </c>
      <c r="P67" s="15">
        <f t="shared" si="1"/>
        <v>5</v>
      </c>
      <c r="R67" s="8"/>
      <c r="T67"/>
    </row>
    <row r="68" spans="2:20" ht="23.1" customHeight="1" x14ac:dyDescent="0.25">
      <c r="B68" s="45" t="s">
        <v>105</v>
      </c>
      <c r="C68" s="50">
        <v>0</v>
      </c>
      <c r="D68" s="50">
        <v>0</v>
      </c>
      <c r="E68" s="50">
        <v>0</v>
      </c>
      <c r="F68" s="50">
        <v>0</v>
      </c>
      <c r="G68" s="50">
        <v>0</v>
      </c>
      <c r="H68" s="50">
        <v>0</v>
      </c>
      <c r="I68" s="50">
        <v>0</v>
      </c>
      <c r="J68" s="50">
        <v>2</v>
      </c>
      <c r="K68" s="50">
        <v>0</v>
      </c>
      <c r="L68" s="50">
        <v>0</v>
      </c>
      <c r="M68" s="50">
        <v>3</v>
      </c>
      <c r="N68" s="50">
        <v>0</v>
      </c>
      <c r="O68" s="15">
        <f t="shared" si="0"/>
        <v>2</v>
      </c>
      <c r="P68" s="15">
        <f t="shared" si="1"/>
        <v>5</v>
      </c>
      <c r="R68" s="8"/>
      <c r="T68"/>
    </row>
    <row r="69" spans="2:20" ht="23.1" customHeight="1" x14ac:dyDescent="0.25">
      <c r="B69" s="45" t="s">
        <v>106</v>
      </c>
      <c r="C69" s="50">
        <v>1</v>
      </c>
      <c r="D69" s="50">
        <v>1</v>
      </c>
      <c r="E69" s="50">
        <v>0</v>
      </c>
      <c r="F69" s="50">
        <v>0</v>
      </c>
      <c r="G69" s="50">
        <v>0</v>
      </c>
      <c r="H69" s="50">
        <v>0</v>
      </c>
      <c r="I69" s="50">
        <v>0</v>
      </c>
      <c r="J69" s="50">
        <v>1</v>
      </c>
      <c r="K69" s="50">
        <v>0</v>
      </c>
      <c r="L69" s="50">
        <v>0</v>
      </c>
      <c r="M69" s="50">
        <v>0</v>
      </c>
      <c r="N69" s="50">
        <v>0</v>
      </c>
      <c r="O69" s="15">
        <f t="shared" si="0"/>
        <v>3</v>
      </c>
      <c r="P69" s="15">
        <f t="shared" si="1"/>
        <v>3</v>
      </c>
      <c r="R69" s="8"/>
      <c r="T69"/>
    </row>
    <row r="70" spans="2:20" ht="23.1" customHeight="1" x14ac:dyDescent="0.25">
      <c r="B70" s="45" t="s">
        <v>110</v>
      </c>
      <c r="C70" s="50">
        <v>0</v>
      </c>
      <c r="D70" s="50">
        <v>0</v>
      </c>
      <c r="E70" s="50">
        <v>0</v>
      </c>
      <c r="F70" s="50">
        <v>0</v>
      </c>
      <c r="G70" s="50">
        <v>0</v>
      </c>
      <c r="H70" s="50">
        <v>0</v>
      </c>
      <c r="I70" s="50">
        <v>0</v>
      </c>
      <c r="J70" s="50">
        <v>0</v>
      </c>
      <c r="K70" s="50">
        <v>0</v>
      </c>
      <c r="L70" s="50">
        <v>0</v>
      </c>
      <c r="M70" s="50">
        <v>1</v>
      </c>
      <c r="N70" s="50">
        <v>0</v>
      </c>
      <c r="O70" s="15">
        <f t="shared" si="0"/>
        <v>0</v>
      </c>
      <c r="P70" s="15">
        <f t="shared" si="1"/>
        <v>1</v>
      </c>
      <c r="R70" s="8"/>
      <c r="T70"/>
    </row>
    <row r="71" spans="2:20" ht="23.1" customHeight="1" x14ac:dyDescent="0.25">
      <c r="B71" s="45" t="s">
        <v>111</v>
      </c>
      <c r="C71" s="50">
        <v>0</v>
      </c>
      <c r="D71" s="50">
        <v>0</v>
      </c>
      <c r="E71" s="50">
        <v>0</v>
      </c>
      <c r="F71" s="50">
        <v>0</v>
      </c>
      <c r="G71" s="50">
        <v>0</v>
      </c>
      <c r="H71" s="50">
        <v>0</v>
      </c>
      <c r="I71" s="50">
        <v>0</v>
      </c>
      <c r="J71" s="50">
        <v>0</v>
      </c>
      <c r="K71" s="50">
        <v>0</v>
      </c>
      <c r="L71" s="50">
        <v>0</v>
      </c>
      <c r="M71" s="50">
        <v>0</v>
      </c>
      <c r="N71" s="50">
        <v>0</v>
      </c>
      <c r="O71" s="15">
        <f t="shared" si="0"/>
        <v>0</v>
      </c>
      <c r="P71" s="15">
        <f t="shared" si="1"/>
        <v>0</v>
      </c>
      <c r="R71" s="8"/>
      <c r="T71"/>
    </row>
    <row r="72" spans="2:20" ht="23.1" customHeight="1" x14ac:dyDescent="0.25">
      <c r="B72" s="45" t="s">
        <v>112</v>
      </c>
      <c r="C72" s="50">
        <v>0</v>
      </c>
      <c r="D72" s="50">
        <v>0</v>
      </c>
      <c r="E72" s="50">
        <v>0</v>
      </c>
      <c r="F72" s="50">
        <v>1</v>
      </c>
      <c r="G72" s="50">
        <v>0</v>
      </c>
      <c r="H72" s="50">
        <v>0</v>
      </c>
      <c r="I72" s="50">
        <v>0</v>
      </c>
      <c r="J72" s="50">
        <v>0</v>
      </c>
      <c r="K72" s="50">
        <v>0</v>
      </c>
      <c r="L72" s="50">
        <v>0</v>
      </c>
      <c r="M72" s="50">
        <v>0</v>
      </c>
      <c r="N72" s="50">
        <v>0</v>
      </c>
      <c r="O72" s="15">
        <f t="shared" si="0"/>
        <v>1</v>
      </c>
      <c r="P72" s="15">
        <f t="shared" si="1"/>
        <v>1</v>
      </c>
      <c r="R72" s="8"/>
      <c r="T72"/>
    </row>
    <row r="73" spans="2:20" ht="23.1" customHeight="1" x14ac:dyDescent="0.25">
      <c r="B73" s="45" t="s">
        <v>113</v>
      </c>
      <c r="C73" s="50">
        <v>0</v>
      </c>
      <c r="D73" s="50">
        <v>0</v>
      </c>
      <c r="E73" s="50">
        <v>0</v>
      </c>
      <c r="F73" s="50">
        <v>0</v>
      </c>
      <c r="G73" s="50">
        <v>0</v>
      </c>
      <c r="H73" s="50">
        <v>0</v>
      </c>
      <c r="I73" s="50">
        <v>1</v>
      </c>
      <c r="J73" s="50">
        <v>0</v>
      </c>
      <c r="K73" s="50">
        <v>1</v>
      </c>
      <c r="L73" s="50">
        <v>0</v>
      </c>
      <c r="M73" s="50">
        <v>0</v>
      </c>
      <c r="N73" s="50">
        <v>0</v>
      </c>
      <c r="O73" s="15">
        <f t="shared" si="0"/>
        <v>2</v>
      </c>
      <c r="P73" s="15">
        <f t="shared" si="1"/>
        <v>2</v>
      </c>
      <c r="R73" s="8"/>
      <c r="T73"/>
    </row>
    <row r="74" spans="2:20" ht="23.1" customHeight="1" x14ac:dyDescent="0.25">
      <c r="B74" s="45" t="s">
        <v>114</v>
      </c>
      <c r="C74" s="50">
        <v>0</v>
      </c>
      <c r="D74" s="50">
        <v>0</v>
      </c>
      <c r="E74" s="50">
        <v>0</v>
      </c>
      <c r="F74" s="50">
        <v>0</v>
      </c>
      <c r="G74" s="50">
        <v>0</v>
      </c>
      <c r="H74" s="50">
        <v>0</v>
      </c>
      <c r="I74" s="50">
        <v>0</v>
      </c>
      <c r="J74" s="50">
        <v>0</v>
      </c>
      <c r="K74" s="50">
        <v>0</v>
      </c>
      <c r="L74" s="50">
        <v>0</v>
      </c>
      <c r="M74" s="50">
        <v>0</v>
      </c>
      <c r="N74" s="50">
        <v>0</v>
      </c>
      <c r="O74" s="15">
        <f t="shared" ref="O74:O105" si="35">SUM(C74:L74,N74)</f>
        <v>0</v>
      </c>
      <c r="P74" s="15">
        <f t="shared" ref="P74:P105" si="36">SUM(C74:N74)</f>
        <v>0</v>
      </c>
      <c r="R74" s="8"/>
      <c r="T74"/>
    </row>
    <row r="75" spans="2:20" ht="23.1" customHeight="1" x14ac:dyDescent="0.25">
      <c r="B75" s="45" t="s">
        <v>115</v>
      </c>
      <c r="C75" s="50">
        <v>1</v>
      </c>
      <c r="D75" s="50">
        <v>0</v>
      </c>
      <c r="E75" s="50">
        <v>0</v>
      </c>
      <c r="F75" s="50">
        <v>1</v>
      </c>
      <c r="G75" s="50">
        <v>0</v>
      </c>
      <c r="H75" s="50">
        <v>0</v>
      </c>
      <c r="I75" s="50">
        <v>0</v>
      </c>
      <c r="J75" s="50">
        <v>0</v>
      </c>
      <c r="K75" s="50">
        <v>0</v>
      </c>
      <c r="L75" s="50">
        <v>0</v>
      </c>
      <c r="M75" s="50">
        <v>1</v>
      </c>
      <c r="N75" s="50">
        <v>0</v>
      </c>
      <c r="O75" s="15">
        <f t="shared" si="35"/>
        <v>2</v>
      </c>
      <c r="P75" s="15">
        <f t="shared" si="36"/>
        <v>3</v>
      </c>
      <c r="R75" s="8"/>
      <c r="T75"/>
    </row>
    <row r="76" spans="2:20" ht="23.1" customHeight="1" x14ac:dyDescent="0.25">
      <c r="B76" s="45" t="s">
        <v>116</v>
      </c>
      <c r="C76" s="50">
        <v>2</v>
      </c>
      <c r="D76" s="50">
        <v>0</v>
      </c>
      <c r="E76" s="50">
        <v>0</v>
      </c>
      <c r="F76" s="50">
        <v>1</v>
      </c>
      <c r="G76" s="50">
        <v>0</v>
      </c>
      <c r="H76" s="50">
        <v>0</v>
      </c>
      <c r="I76" s="50">
        <v>0</v>
      </c>
      <c r="J76" s="50">
        <v>0</v>
      </c>
      <c r="K76" s="50">
        <v>2</v>
      </c>
      <c r="L76" s="50">
        <v>0</v>
      </c>
      <c r="M76" s="50">
        <v>0</v>
      </c>
      <c r="N76" s="50">
        <v>0</v>
      </c>
      <c r="O76" s="15">
        <f t="shared" si="35"/>
        <v>5</v>
      </c>
      <c r="P76" s="15">
        <f t="shared" si="36"/>
        <v>5</v>
      </c>
      <c r="R76" s="8"/>
      <c r="T76"/>
    </row>
    <row r="77" spans="2:20" ht="23.1" customHeight="1" x14ac:dyDescent="0.25">
      <c r="B77" s="45" t="s">
        <v>117</v>
      </c>
      <c r="C77" s="50">
        <v>0</v>
      </c>
      <c r="D77" s="50">
        <v>0</v>
      </c>
      <c r="E77" s="50">
        <v>0</v>
      </c>
      <c r="F77" s="50">
        <v>0</v>
      </c>
      <c r="G77" s="50">
        <v>0</v>
      </c>
      <c r="H77" s="50">
        <v>0</v>
      </c>
      <c r="I77" s="50">
        <v>0</v>
      </c>
      <c r="J77" s="50">
        <v>0</v>
      </c>
      <c r="K77" s="50">
        <v>0</v>
      </c>
      <c r="L77" s="50">
        <v>0</v>
      </c>
      <c r="M77" s="50">
        <v>0</v>
      </c>
      <c r="N77" s="50">
        <v>0</v>
      </c>
      <c r="O77" s="15">
        <f t="shared" si="35"/>
        <v>0</v>
      </c>
      <c r="P77" s="15">
        <f t="shared" si="36"/>
        <v>0</v>
      </c>
      <c r="R77" s="8"/>
      <c r="T77"/>
    </row>
    <row r="78" spans="2:20" ht="23.1" customHeight="1" x14ac:dyDescent="0.25">
      <c r="B78" s="46" t="s">
        <v>118</v>
      </c>
      <c r="C78" s="50">
        <v>2</v>
      </c>
      <c r="D78" s="50">
        <v>5</v>
      </c>
      <c r="E78" s="50">
        <v>0</v>
      </c>
      <c r="F78" s="50">
        <v>1</v>
      </c>
      <c r="G78" s="50">
        <v>0</v>
      </c>
      <c r="H78" s="50">
        <v>0</v>
      </c>
      <c r="I78" s="50">
        <v>2</v>
      </c>
      <c r="J78" s="50">
        <v>0</v>
      </c>
      <c r="K78" s="50">
        <v>0</v>
      </c>
      <c r="L78" s="50">
        <v>0</v>
      </c>
      <c r="M78" s="50">
        <v>0</v>
      </c>
      <c r="N78" s="50">
        <v>0</v>
      </c>
      <c r="O78" s="15">
        <f t="shared" si="35"/>
        <v>10</v>
      </c>
      <c r="P78" s="15">
        <f t="shared" si="36"/>
        <v>10</v>
      </c>
      <c r="R78" s="8"/>
      <c r="T78"/>
    </row>
    <row r="79" spans="2:20" ht="23.1" customHeight="1" x14ac:dyDescent="0.25">
      <c r="B79" s="45" t="s">
        <v>119</v>
      </c>
      <c r="C79" s="50">
        <v>0</v>
      </c>
      <c r="D79" s="50">
        <v>0</v>
      </c>
      <c r="E79" s="50">
        <v>0</v>
      </c>
      <c r="F79" s="50">
        <v>0</v>
      </c>
      <c r="G79" s="50">
        <v>1</v>
      </c>
      <c r="H79" s="50">
        <v>0</v>
      </c>
      <c r="I79" s="50">
        <v>0</v>
      </c>
      <c r="J79" s="50">
        <v>2</v>
      </c>
      <c r="K79" s="50">
        <v>0</v>
      </c>
      <c r="L79" s="50">
        <v>0</v>
      </c>
      <c r="M79" s="50">
        <v>4</v>
      </c>
      <c r="N79" s="50">
        <v>0</v>
      </c>
      <c r="O79" s="15">
        <f t="shared" si="35"/>
        <v>3</v>
      </c>
      <c r="P79" s="15">
        <f t="shared" si="36"/>
        <v>7</v>
      </c>
      <c r="R79" s="8"/>
      <c r="T79"/>
    </row>
    <row r="80" spans="2:20" ht="23.1" customHeight="1" x14ac:dyDescent="0.25">
      <c r="B80" s="47" t="s">
        <v>120</v>
      </c>
      <c r="C80" s="50">
        <v>0</v>
      </c>
      <c r="D80" s="50">
        <v>0</v>
      </c>
      <c r="E80" s="50">
        <v>0</v>
      </c>
      <c r="F80" s="50">
        <v>0</v>
      </c>
      <c r="G80" s="50">
        <v>1</v>
      </c>
      <c r="H80" s="50">
        <v>0</v>
      </c>
      <c r="I80" s="50">
        <v>0</v>
      </c>
      <c r="J80" s="50">
        <v>0</v>
      </c>
      <c r="K80" s="50">
        <v>0</v>
      </c>
      <c r="L80" s="50">
        <v>0</v>
      </c>
      <c r="M80" s="50">
        <v>0</v>
      </c>
      <c r="N80" s="50">
        <v>0</v>
      </c>
      <c r="O80" s="15">
        <f t="shared" si="35"/>
        <v>1</v>
      </c>
      <c r="P80" s="15">
        <f t="shared" si="36"/>
        <v>1</v>
      </c>
      <c r="R80" s="8"/>
      <c r="T80"/>
    </row>
    <row r="81" spans="2:20" ht="23.1" customHeight="1" x14ac:dyDescent="0.25">
      <c r="B81" s="45" t="s">
        <v>121</v>
      </c>
      <c r="C81" s="50">
        <v>0</v>
      </c>
      <c r="D81" s="50">
        <v>0</v>
      </c>
      <c r="E81" s="50">
        <v>0</v>
      </c>
      <c r="F81" s="50">
        <v>0</v>
      </c>
      <c r="G81" s="50">
        <v>0</v>
      </c>
      <c r="H81" s="50">
        <v>0</v>
      </c>
      <c r="I81" s="50">
        <v>0</v>
      </c>
      <c r="J81" s="50">
        <v>0</v>
      </c>
      <c r="K81" s="50">
        <v>0</v>
      </c>
      <c r="L81" s="50">
        <v>0</v>
      </c>
      <c r="M81" s="50">
        <v>0</v>
      </c>
      <c r="N81" s="50">
        <v>0</v>
      </c>
      <c r="O81" s="15">
        <f t="shared" si="35"/>
        <v>0</v>
      </c>
      <c r="P81" s="15">
        <f t="shared" si="36"/>
        <v>0</v>
      </c>
      <c r="R81" s="8"/>
      <c r="T81"/>
    </row>
    <row r="82" spans="2:20" ht="23.1" customHeight="1" x14ac:dyDescent="0.25">
      <c r="B82" s="46" t="s">
        <v>122</v>
      </c>
      <c r="C82" s="50">
        <v>0</v>
      </c>
      <c r="D82" s="50">
        <v>0</v>
      </c>
      <c r="E82" s="50">
        <v>0</v>
      </c>
      <c r="F82" s="50">
        <v>0</v>
      </c>
      <c r="G82" s="50">
        <v>0</v>
      </c>
      <c r="H82" s="50">
        <v>0</v>
      </c>
      <c r="I82" s="50">
        <v>5</v>
      </c>
      <c r="J82" s="50">
        <v>0</v>
      </c>
      <c r="K82" s="50">
        <v>0</v>
      </c>
      <c r="L82" s="50">
        <v>0</v>
      </c>
      <c r="M82" s="50">
        <v>0</v>
      </c>
      <c r="N82" s="50">
        <v>0</v>
      </c>
      <c r="O82" s="15">
        <f t="shared" si="35"/>
        <v>5</v>
      </c>
      <c r="P82" s="15">
        <f t="shared" si="36"/>
        <v>5</v>
      </c>
      <c r="R82" s="8"/>
      <c r="T82"/>
    </row>
    <row r="83" spans="2:20" ht="23.1" customHeight="1" x14ac:dyDescent="0.25">
      <c r="B83" s="45" t="s">
        <v>123</v>
      </c>
      <c r="C83" s="50">
        <v>0</v>
      </c>
      <c r="D83" s="50">
        <v>0</v>
      </c>
      <c r="E83" s="50">
        <v>0</v>
      </c>
      <c r="F83" s="50">
        <v>0</v>
      </c>
      <c r="G83" s="50">
        <v>0</v>
      </c>
      <c r="H83" s="50">
        <v>1</v>
      </c>
      <c r="I83" s="50">
        <v>0</v>
      </c>
      <c r="J83" s="50">
        <v>0</v>
      </c>
      <c r="K83" s="50">
        <v>0</v>
      </c>
      <c r="L83" s="50">
        <v>0</v>
      </c>
      <c r="M83" s="50">
        <v>2</v>
      </c>
      <c r="N83" s="50">
        <v>0</v>
      </c>
      <c r="O83" s="15">
        <f t="shared" si="35"/>
        <v>1</v>
      </c>
      <c r="P83" s="15">
        <f t="shared" si="36"/>
        <v>3</v>
      </c>
      <c r="R83" s="8"/>
      <c r="T83"/>
    </row>
    <row r="84" spans="2:20" ht="23.1" customHeight="1" x14ac:dyDescent="0.25">
      <c r="B84" s="47" t="s">
        <v>124</v>
      </c>
      <c r="C84" s="50">
        <v>0</v>
      </c>
      <c r="D84" s="50">
        <v>0</v>
      </c>
      <c r="E84" s="50">
        <v>0</v>
      </c>
      <c r="F84" s="50">
        <v>0</v>
      </c>
      <c r="G84" s="50">
        <v>0</v>
      </c>
      <c r="H84" s="50">
        <v>0</v>
      </c>
      <c r="I84" s="50">
        <v>0</v>
      </c>
      <c r="J84" s="50">
        <v>0</v>
      </c>
      <c r="K84" s="50">
        <v>0</v>
      </c>
      <c r="L84" s="50">
        <v>0</v>
      </c>
      <c r="M84" s="50">
        <v>0</v>
      </c>
      <c r="N84" s="50">
        <v>0</v>
      </c>
      <c r="O84" s="15">
        <f t="shared" si="35"/>
        <v>0</v>
      </c>
      <c r="P84" s="15">
        <f t="shared" si="36"/>
        <v>0</v>
      </c>
      <c r="R84" s="8"/>
      <c r="T84"/>
    </row>
    <row r="85" spans="2:20" ht="23.1" customHeight="1" x14ac:dyDescent="0.25">
      <c r="B85" s="45" t="s">
        <v>125</v>
      </c>
      <c r="C85" s="50">
        <v>1</v>
      </c>
      <c r="D85" s="50">
        <v>0</v>
      </c>
      <c r="E85" s="50">
        <v>0</v>
      </c>
      <c r="F85" s="50">
        <v>0</v>
      </c>
      <c r="G85" s="50">
        <v>1</v>
      </c>
      <c r="H85" s="50">
        <v>0</v>
      </c>
      <c r="I85" s="50">
        <v>0</v>
      </c>
      <c r="J85" s="50">
        <v>0</v>
      </c>
      <c r="K85" s="50">
        <v>0</v>
      </c>
      <c r="L85" s="50">
        <v>0</v>
      </c>
      <c r="M85" s="50">
        <v>3</v>
      </c>
      <c r="N85" s="50">
        <v>0</v>
      </c>
      <c r="O85" s="15">
        <f t="shared" si="35"/>
        <v>2</v>
      </c>
      <c r="P85" s="15">
        <f t="shared" si="36"/>
        <v>5</v>
      </c>
      <c r="R85" s="8"/>
      <c r="T85"/>
    </row>
    <row r="86" spans="2:20" ht="23.1" customHeight="1" x14ac:dyDescent="0.25">
      <c r="B86" s="46" t="s">
        <v>126</v>
      </c>
      <c r="C86" s="50">
        <v>1</v>
      </c>
      <c r="D86" s="50">
        <v>0</v>
      </c>
      <c r="E86" s="50">
        <v>0</v>
      </c>
      <c r="F86" s="50">
        <v>0</v>
      </c>
      <c r="G86" s="50">
        <v>0</v>
      </c>
      <c r="H86" s="50">
        <v>0</v>
      </c>
      <c r="I86" s="50">
        <v>1</v>
      </c>
      <c r="J86" s="50">
        <v>4</v>
      </c>
      <c r="K86" s="50">
        <v>1</v>
      </c>
      <c r="L86" s="50">
        <v>0</v>
      </c>
      <c r="M86" s="50">
        <v>1</v>
      </c>
      <c r="N86" s="50">
        <v>0</v>
      </c>
      <c r="O86" s="15">
        <f t="shared" si="35"/>
        <v>7</v>
      </c>
      <c r="P86" s="15">
        <f t="shared" si="36"/>
        <v>8</v>
      </c>
      <c r="R86" s="8"/>
      <c r="T86"/>
    </row>
    <row r="87" spans="2:20" ht="23.1" customHeight="1" x14ac:dyDescent="0.25">
      <c r="B87" s="45" t="s">
        <v>127</v>
      </c>
      <c r="C87" s="50">
        <v>0</v>
      </c>
      <c r="D87" s="50">
        <v>0</v>
      </c>
      <c r="E87" s="50">
        <v>0</v>
      </c>
      <c r="F87" s="50">
        <v>0</v>
      </c>
      <c r="G87" s="50">
        <v>0</v>
      </c>
      <c r="H87" s="50">
        <v>0</v>
      </c>
      <c r="I87" s="50">
        <v>0</v>
      </c>
      <c r="J87" s="50">
        <v>0</v>
      </c>
      <c r="K87" s="50">
        <v>0</v>
      </c>
      <c r="L87" s="50">
        <v>0</v>
      </c>
      <c r="M87" s="50">
        <v>0</v>
      </c>
      <c r="N87" s="50">
        <v>0</v>
      </c>
      <c r="O87" s="15">
        <f t="shared" si="35"/>
        <v>0</v>
      </c>
      <c r="P87" s="15">
        <f t="shared" si="36"/>
        <v>0</v>
      </c>
      <c r="R87" s="8"/>
      <c r="T87"/>
    </row>
    <row r="88" spans="2:20" ht="23.1" customHeight="1" x14ac:dyDescent="0.25">
      <c r="B88" s="47" t="s">
        <v>128</v>
      </c>
      <c r="C88" s="50">
        <v>0</v>
      </c>
      <c r="D88" s="50">
        <v>0</v>
      </c>
      <c r="E88" s="50">
        <v>0</v>
      </c>
      <c r="F88" s="50">
        <v>0</v>
      </c>
      <c r="G88" s="50">
        <v>0</v>
      </c>
      <c r="H88" s="50">
        <v>0</v>
      </c>
      <c r="I88" s="50">
        <v>0</v>
      </c>
      <c r="J88" s="50">
        <v>0</v>
      </c>
      <c r="K88" s="50">
        <v>0</v>
      </c>
      <c r="L88" s="50">
        <v>0</v>
      </c>
      <c r="M88" s="50">
        <v>0</v>
      </c>
      <c r="N88" s="50">
        <v>0</v>
      </c>
      <c r="O88" s="15">
        <f t="shared" si="35"/>
        <v>0</v>
      </c>
      <c r="P88" s="15">
        <f t="shared" si="36"/>
        <v>0</v>
      </c>
      <c r="R88" s="8"/>
      <c r="T88"/>
    </row>
    <row r="89" spans="2:20" ht="23.1" customHeight="1" x14ac:dyDescent="0.25">
      <c r="B89" s="45" t="s">
        <v>129</v>
      </c>
      <c r="C89" s="50">
        <v>1</v>
      </c>
      <c r="D89" s="50">
        <v>0</v>
      </c>
      <c r="E89" s="50">
        <v>0</v>
      </c>
      <c r="F89" s="50">
        <v>0</v>
      </c>
      <c r="G89" s="50">
        <v>0</v>
      </c>
      <c r="H89" s="50">
        <v>1</v>
      </c>
      <c r="I89" s="50">
        <v>0</v>
      </c>
      <c r="J89" s="50">
        <v>0</v>
      </c>
      <c r="K89" s="50">
        <v>0</v>
      </c>
      <c r="L89" s="50">
        <v>0</v>
      </c>
      <c r="M89" s="50">
        <v>0</v>
      </c>
      <c r="N89" s="50">
        <v>0</v>
      </c>
      <c r="O89" s="15">
        <f t="shared" si="35"/>
        <v>2</v>
      </c>
      <c r="P89" s="15">
        <f t="shared" si="36"/>
        <v>2</v>
      </c>
      <c r="R89" s="8"/>
      <c r="T89"/>
    </row>
    <row r="90" spans="2:20" ht="23.1" customHeight="1" x14ac:dyDescent="0.25">
      <c r="B90" s="46" t="s">
        <v>130</v>
      </c>
      <c r="C90" s="50">
        <v>0</v>
      </c>
      <c r="D90" s="50">
        <v>0</v>
      </c>
      <c r="E90" s="50">
        <v>0</v>
      </c>
      <c r="F90" s="50">
        <v>0</v>
      </c>
      <c r="G90" s="50">
        <v>0</v>
      </c>
      <c r="H90" s="50">
        <v>0</v>
      </c>
      <c r="I90" s="50">
        <v>2</v>
      </c>
      <c r="J90" s="50">
        <v>0</v>
      </c>
      <c r="K90" s="50">
        <v>0</v>
      </c>
      <c r="L90" s="50">
        <v>0</v>
      </c>
      <c r="M90" s="50">
        <v>0</v>
      </c>
      <c r="N90" s="50">
        <v>0</v>
      </c>
      <c r="O90" s="15">
        <f t="shared" si="35"/>
        <v>2</v>
      </c>
      <c r="P90" s="15">
        <f t="shared" si="36"/>
        <v>2</v>
      </c>
      <c r="R90" s="8"/>
      <c r="T90"/>
    </row>
    <row r="91" spans="2:20" ht="23.1" customHeight="1" x14ac:dyDescent="0.25">
      <c r="B91" s="45" t="s">
        <v>131</v>
      </c>
      <c r="C91" s="50">
        <v>0</v>
      </c>
      <c r="D91" s="50">
        <v>2</v>
      </c>
      <c r="E91" s="50">
        <v>0</v>
      </c>
      <c r="F91" s="50">
        <v>0</v>
      </c>
      <c r="G91" s="50">
        <v>0</v>
      </c>
      <c r="H91" s="50">
        <v>0</v>
      </c>
      <c r="I91" s="50">
        <v>0</v>
      </c>
      <c r="J91" s="50">
        <v>2</v>
      </c>
      <c r="K91" s="50">
        <v>1</v>
      </c>
      <c r="L91" s="50">
        <v>0</v>
      </c>
      <c r="M91" s="50">
        <v>0</v>
      </c>
      <c r="N91" s="50">
        <v>0</v>
      </c>
      <c r="O91" s="15">
        <f t="shared" si="35"/>
        <v>5</v>
      </c>
      <c r="P91" s="15">
        <f t="shared" si="36"/>
        <v>5</v>
      </c>
      <c r="R91" s="8"/>
      <c r="T91"/>
    </row>
    <row r="92" spans="2:20" ht="23.1" customHeight="1" x14ac:dyDescent="0.25">
      <c r="B92" s="47" t="s">
        <v>132</v>
      </c>
      <c r="C92" s="50">
        <v>0</v>
      </c>
      <c r="D92" s="50">
        <v>0</v>
      </c>
      <c r="E92" s="50">
        <v>0</v>
      </c>
      <c r="F92" s="50">
        <v>0</v>
      </c>
      <c r="G92" s="50">
        <v>0</v>
      </c>
      <c r="H92" s="50">
        <v>0</v>
      </c>
      <c r="I92" s="50">
        <v>0</v>
      </c>
      <c r="J92" s="50">
        <v>0</v>
      </c>
      <c r="K92" s="50">
        <v>0</v>
      </c>
      <c r="L92" s="50">
        <v>0</v>
      </c>
      <c r="M92" s="50">
        <v>0</v>
      </c>
      <c r="N92" s="50">
        <v>0</v>
      </c>
      <c r="O92" s="15">
        <f t="shared" si="35"/>
        <v>0</v>
      </c>
      <c r="P92" s="15">
        <f t="shared" si="36"/>
        <v>0</v>
      </c>
      <c r="R92" s="8"/>
      <c r="T92"/>
    </row>
    <row r="93" spans="2:20" ht="23.1" customHeight="1" x14ac:dyDescent="0.25">
      <c r="B93" s="45" t="s">
        <v>133</v>
      </c>
      <c r="C93" s="50">
        <v>0</v>
      </c>
      <c r="D93" s="50">
        <v>0</v>
      </c>
      <c r="E93" s="50">
        <v>0</v>
      </c>
      <c r="F93" s="50">
        <v>0</v>
      </c>
      <c r="G93" s="50">
        <v>0</v>
      </c>
      <c r="H93" s="50">
        <v>0</v>
      </c>
      <c r="I93" s="50">
        <v>0</v>
      </c>
      <c r="J93" s="50">
        <v>1</v>
      </c>
      <c r="K93" s="50">
        <v>0</v>
      </c>
      <c r="L93" s="50">
        <v>1</v>
      </c>
      <c r="M93" s="50">
        <v>0</v>
      </c>
      <c r="N93" s="50">
        <v>0</v>
      </c>
      <c r="O93" s="15">
        <f t="shared" si="35"/>
        <v>2</v>
      </c>
      <c r="P93" s="15">
        <f t="shared" si="36"/>
        <v>2</v>
      </c>
      <c r="R93" s="8"/>
      <c r="T93"/>
    </row>
    <row r="94" spans="2:20" ht="23.1" customHeight="1" x14ac:dyDescent="0.25">
      <c r="B94" s="46" t="s">
        <v>134</v>
      </c>
      <c r="C94" s="50">
        <v>1</v>
      </c>
      <c r="D94" s="50">
        <v>2</v>
      </c>
      <c r="E94" s="50">
        <v>0</v>
      </c>
      <c r="F94" s="50">
        <v>0</v>
      </c>
      <c r="G94" s="50">
        <v>0</v>
      </c>
      <c r="H94" s="50">
        <v>1</v>
      </c>
      <c r="I94" s="50">
        <v>0</v>
      </c>
      <c r="J94" s="50">
        <v>1</v>
      </c>
      <c r="K94" s="50">
        <v>0</v>
      </c>
      <c r="L94" s="50">
        <v>1</v>
      </c>
      <c r="M94" s="50">
        <v>0</v>
      </c>
      <c r="N94" s="50">
        <v>0</v>
      </c>
      <c r="O94" s="15">
        <f t="shared" si="35"/>
        <v>6</v>
      </c>
      <c r="P94" s="15">
        <f t="shared" si="36"/>
        <v>6</v>
      </c>
      <c r="R94" s="8"/>
      <c r="T94"/>
    </row>
    <row r="95" spans="2:20" ht="23.1" customHeight="1" x14ac:dyDescent="0.25">
      <c r="B95" s="45" t="s">
        <v>135</v>
      </c>
      <c r="C95" s="50">
        <v>0</v>
      </c>
      <c r="D95" s="50">
        <v>0</v>
      </c>
      <c r="E95" s="50">
        <v>0</v>
      </c>
      <c r="F95" s="50">
        <v>0</v>
      </c>
      <c r="G95" s="50">
        <v>0</v>
      </c>
      <c r="H95" s="50">
        <v>0</v>
      </c>
      <c r="I95" s="50">
        <v>3</v>
      </c>
      <c r="J95" s="50">
        <v>0</v>
      </c>
      <c r="K95" s="50">
        <v>0</v>
      </c>
      <c r="L95" s="50">
        <v>1</v>
      </c>
      <c r="M95" s="50">
        <v>0</v>
      </c>
      <c r="N95" s="50">
        <v>0</v>
      </c>
      <c r="O95" s="15">
        <f t="shared" si="35"/>
        <v>4</v>
      </c>
      <c r="P95" s="15">
        <f t="shared" si="36"/>
        <v>4</v>
      </c>
      <c r="R95" s="8"/>
      <c r="T95"/>
    </row>
    <row r="96" spans="2:20" ht="23.1" customHeight="1" x14ac:dyDescent="0.25">
      <c r="B96" s="47" t="s">
        <v>136</v>
      </c>
      <c r="C96" s="50">
        <v>0</v>
      </c>
      <c r="D96" s="50">
        <v>0</v>
      </c>
      <c r="E96" s="50">
        <v>0</v>
      </c>
      <c r="F96" s="50">
        <v>0</v>
      </c>
      <c r="G96" s="50">
        <v>3</v>
      </c>
      <c r="H96" s="50">
        <v>0</v>
      </c>
      <c r="I96" s="50">
        <v>0</v>
      </c>
      <c r="J96" s="50">
        <v>0</v>
      </c>
      <c r="K96" s="50">
        <v>0</v>
      </c>
      <c r="L96" s="50">
        <v>1</v>
      </c>
      <c r="M96" s="50">
        <v>0</v>
      </c>
      <c r="N96" s="50">
        <v>0</v>
      </c>
      <c r="O96" s="15">
        <f t="shared" si="35"/>
        <v>4</v>
      </c>
      <c r="P96" s="15">
        <f t="shared" si="36"/>
        <v>4</v>
      </c>
      <c r="R96" s="8"/>
      <c r="T96"/>
    </row>
    <row r="97" spans="2:20" ht="23.1" customHeight="1" x14ac:dyDescent="0.25">
      <c r="B97" s="45" t="s">
        <v>137</v>
      </c>
      <c r="C97" s="50">
        <v>0</v>
      </c>
      <c r="D97" s="50">
        <v>1</v>
      </c>
      <c r="E97" s="50">
        <v>0</v>
      </c>
      <c r="F97" s="50">
        <v>0</v>
      </c>
      <c r="G97" s="50">
        <v>0</v>
      </c>
      <c r="H97" s="50">
        <v>0</v>
      </c>
      <c r="I97" s="50">
        <v>0</v>
      </c>
      <c r="J97" s="50">
        <v>0</v>
      </c>
      <c r="K97" s="50">
        <v>0</v>
      </c>
      <c r="L97" s="50">
        <v>0</v>
      </c>
      <c r="M97" s="50">
        <v>0</v>
      </c>
      <c r="N97" s="50">
        <v>0</v>
      </c>
      <c r="O97" s="15">
        <f t="shared" si="35"/>
        <v>1</v>
      </c>
      <c r="P97" s="15">
        <f t="shared" si="36"/>
        <v>1</v>
      </c>
      <c r="R97" s="8"/>
      <c r="T97"/>
    </row>
    <row r="98" spans="2:20" ht="23.1" customHeight="1" x14ac:dyDescent="0.25">
      <c r="B98" s="46" t="s">
        <v>138</v>
      </c>
      <c r="C98" s="50">
        <v>0</v>
      </c>
      <c r="D98" s="50">
        <v>0</v>
      </c>
      <c r="E98" s="50">
        <v>0</v>
      </c>
      <c r="F98" s="50">
        <v>2</v>
      </c>
      <c r="G98" s="50">
        <v>0</v>
      </c>
      <c r="H98" s="50">
        <v>0</v>
      </c>
      <c r="I98" s="50">
        <v>1</v>
      </c>
      <c r="J98" s="50">
        <v>0</v>
      </c>
      <c r="K98" s="50">
        <v>1</v>
      </c>
      <c r="L98" s="50">
        <v>0</v>
      </c>
      <c r="M98" s="50">
        <v>0</v>
      </c>
      <c r="N98" s="50">
        <v>0</v>
      </c>
      <c r="O98" s="15">
        <f t="shared" si="35"/>
        <v>4</v>
      </c>
      <c r="P98" s="15">
        <f t="shared" si="36"/>
        <v>4</v>
      </c>
      <c r="R98" s="8"/>
      <c r="T98"/>
    </row>
    <row r="99" spans="2:20" ht="23.1" customHeight="1" x14ac:dyDescent="0.25">
      <c r="B99" s="45" t="s">
        <v>139</v>
      </c>
      <c r="C99" s="50">
        <v>0</v>
      </c>
      <c r="D99" s="50">
        <v>0</v>
      </c>
      <c r="E99" s="50">
        <v>0</v>
      </c>
      <c r="F99" s="50">
        <v>0</v>
      </c>
      <c r="G99" s="50">
        <v>0</v>
      </c>
      <c r="H99" s="50">
        <v>0</v>
      </c>
      <c r="I99" s="50">
        <v>0</v>
      </c>
      <c r="J99" s="50">
        <v>2</v>
      </c>
      <c r="K99" s="50">
        <v>0</v>
      </c>
      <c r="L99" s="50">
        <v>0</v>
      </c>
      <c r="M99" s="50">
        <v>0</v>
      </c>
      <c r="N99" s="50">
        <v>0</v>
      </c>
      <c r="O99" s="15">
        <f t="shared" si="35"/>
        <v>2</v>
      </c>
      <c r="P99" s="15">
        <f t="shared" si="36"/>
        <v>2</v>
      </c>
      <c r="R99" s="8"/>
      <c r="T99"/>
    </row>
    <row r="100" spans="2:20" ht="23.1" customHeight="1" x14ac:dyDescent="0.25">
      <c r="B100" s="47" t="s">
        <v>140</v>
      </c>
      <c r="C100" s="50">
        <v>0</v>
      </c>
      <c r="D100" s="50">
        <v>0</v>
      </c>
      <c r="E100" s="50">
        <v>0</v>
      </c>
      <c r="F100" s="50">
        <v>0</v>
      </c>
      <c r="G100" s="50">
        <v>0</v>
      </c>
      <c r="H100" s="50">
        <v>0</v>
      </c>
      <c r="I100" s="50">
        <v>0</v>
      </c>
      <c r="J100" s="50">
        <v>0</v>
      </c>
      <c r="K100" s="50">
        <v>0</v>
      </c>
      <c r="L100" s="50">
        <v>0</v>
      </c>
      <c r="M100" s="50">
        <v>0</v>
      </c>
      <c r="N100" s="50">
        <v>0</v>
      </c>
      <c r="O100" s="15">
        <f t="shared" si="35"/>
        <v>0</v>
      </c>
      <c r="P100" s="15">
        <f t="shared" si="36"/>
        <v>0</v>
      </c>
      <c r="R100" s="8"/>
      <c r="T100"/>
    </row>
    <row r="101" spans="2:20" ht="23.1" customHeight="1" x14ac:dyDescent="0.25">
      <c r="B101" s="45" t="s">
        <v>141</v>
      </c>
      <c r="C101" s="50">
        <v>0</v>
      </c>
      <c r="D101" s="50">
        <v>0</v>
      </c>
      <c r="E101" s="50">
        <v>0</v>
      </c>
      <c r="F101" s="50">
        <v>0</v>
      </c>
      <c r="G101" s="50">
        <v>0</v>
      </c>
      <c r="H101" s="50">
        <v>0</v>
      </c>
      <c r="I101" s="50">
        <v>0</v>
      </c>
      <c r="J101" s="50">
        <v>0</v>
      </c>
      <c r="K101" s="50">
        <v>0</v>
      </c>
      <c r="L101" s="50">
        <v>0</v>
      </c>
      <c r="M101" s="50">
        <v>1</v>
      </c>
      <c r="N101" s="50">
        <v>0</v>
      </c>
      <c r="O101" s="15">
        <f t="shared" si="35"/>
        <v>0</v>
      </c>
      <c r="P101" s="15">
        <f t="shared" si="36"/>
        <v>1</v>
      </c>
      <c r="R101" s="8"/>
      <c r="T101"/>
    </row>
    <row r="102" spans="2:20" ht="23.1" customHeight="1" x14ac:dyDescent="0.25">
      <c r="B102" s="46" t="s">
        <v>142</v>
      </c>
      <c r="C102" s="50">
        <v>0</v>
      </c>
      <c r="D102" s="50">
        <v>0</v>
      </c>
      <c r="E102" s="50">
        <v>0</v>
      </c>
      <c r="F102" s="50">
        <v>0</v>
      </c>
      <c r="G102" s="50">
        <v>2</v>
      </c>
      <c r="H102" s="50">
        <v>0</v>
      </c>
      <c r="I102" s="50">
        <v>0</v>
      </c>
      <c r="J102" s="50">
        <v>0</v>
      </c>
      <c r="K102" s="50">
        <v>0</v>
      </c>
      <c r="L102" s="50">
        <v>0</v>
      </c>
      <c r="M102" s="50">
        <v>0</v>
      </c>
      <c r="N102" s="50">
        <v>0</v>
      </c>
      <c r="O102" s="15">
        <f t="shared" si="35"/>
        <v>2</v>
      </c>
      <c r="P102" s="15">
        <f t="shared" si="36"/>
        <v>2</v>
      </c>
      <c r="R102" s="8"/>
      <c r="T102"/>
    </row>
    <row r="103" spans="2:20" ht="23.1" customHeight="1" x14ac:dyDescent="0.25">
      <c r="B103" s="45" t="s">
        <v>143</v>
      </c>
      <c r="C103" s="50">
        <v>0</v>
      </c>
      <c r="D103" s="50">
        <v>0</v>
      </c>
      <c r="E103" s="50">
        <v>0</v>
      </c>
      <c r="F103" s="50">
        <v>0</v>
      </c>
      <c r="G103" s="50">
        <v>0</v>
      </c>
      <c r="H103" s="50">
        <v>0</v>
      </c>
      <c r="I103" s="50">
        <v>0</v>
      </c>
      <c r="J103" s="50">
        <v>0</v>
      </c>
      <c r="K103" s="50">
        <v>0</v>
      </c>
      <c r="L103" s="50">
        <v>0</v>
      </c>
      <c r="M103" s="50">
        <v>0</v>
      </c>
      <c r="N103" s="50">
        <v>0</v>
      </c>
      <c r="O103" s="15">
        <f t="shared" si="35"/>
        <v>0</v>
      </c>
      <c r="P103" s="15">
        <f t="shared" si="36"/>
        <v>0</v>
      </c>
      <c r="R103" s="8"/>
      <c r="T103"/>
    </row>
    <row r="104" spans="2:20" ht="23.1" customHeight="1" x14ac:dyDescent="0.25">
      <c r="B104" s="47" t="s">
        <v>144</v>
      </c>
      <c r="C104" s="50">
        <v>0</v>
      </c>
      <c r="D104" s="50">
        <v>1</v>
      </c>
      <c r="E104" s="50">
        <v>0</v>
      </c>
      <c r="F104" s="50">
        <v>2</v>
      </c>
      <c r="G104" s="50">
        <v>0</v>
      </c>
      <c r="H104" s="50">
        <v>1</v>
      </c>
      <c r="I104" s="50">
        <v>0</v>
      </c>
      <c r="J104" s="50">
        <v>0</v>
      </c>
      <c r="K104" s="50">
        <v>0</v>
      </c>
      <c r="L104" s="50">
        <v>0</v>
      </c>
      <c r="M104" s="50">
        <v>2</v>
      </c>
      <c r="N104" s="50">
        <v>0</v>
      </c>
      <c r="O104" s="15">
        <f t="shared" si="35"/>
        <v>4</v>
      </c>
      <c r="P104" s="15">
        <f t="shared" si="36"/>
        <v>6</v>
      </c>
      <c r="R104" s="8"/>
      <c r="T104"/>
    </row>
    <row r="105" spans="2:20" ht="23.1" customHeight="1" x14ac:dyDescent="0.25">
      <c r="B105" s="45" t="s">
        <v>145</v>
      </c>
      <c r="C105" s="50">
        <v>0</v>
      </c>
      <c r="D105" s="50">
        <v>1</v>
      </c>
      <c r="E105" s="50">
        <v>0</v>
      </c>
      <c r="F105" s="50">
        <v>0</v>
      </c>
      <c r="G105" s="50">
        <v>0</v>
      </c>
      <c r="H105" s="50">
        <v>0</v>
      </c>
      <c r="I105" s="50">
        <v>2</v>
      </c>
      <c r="J105" s="50">
        <v>0</v>
      </c>
      <c r="K105" s="50">
        <v>0</v>
      </c>
      <c r="L105" s="50">
        <v>0</v>
      </c>
      <c r="M105" s="50">
        <v>6</v>
      </c>
      <c r="N105" s="50">
        <v>0</v>
      </c>
      <c r="O105" s="15">
        <f t="shared" si="35"/>
        <v>3</v>
      </c>
      <c r="P105" s="15">
        <f t="shared" si="36"/>
        <v>9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65</v>
      </c>
      <c r="D106" s="16">
        <f t="shared" ref="D106:P106" si="37">SUM(D10:D105)</f>
        <v>59</v>
      </c>
      <c r="E106" s="16">
        <f t="shared" si="37"/>
        <v>6</v>
      </c>
      <c r="F106" s="16">
        <f t="shared" si="37"/>
        <v>31</v>
      </c>
      <c r="G106" s="16">
        <f t="shared" si="37"/>
        <v>11</v>
      </c>
      <c r="H106" s="16">
        <f t="shared" si="37"/>
        <v>4</v>
      </c>
      <c r="I106" s="16">
        <f t="shared" si="37"/>
        <v>43</v>
      </c>
      <c r="J106" s="16">
        <f t="shared" si="37"/>
        <v>36</v>
      </c>
      <c r="K106" s="16">
        <f t="shared" si="37"/>
        <v>16</v>
      </c>
      <c r="L106" s="16">
        <f t="shared" si="37"/>
        <v>10</v>
      </c>
      <c r="M106" s="16">
        <f t="shared" si="37"/>
        <v>361</v>
      </c>
      <c r="N106" s="16">
        <f t="shared" si="37"/>
        <v>1</v>
      </c>
      <c r="O106" s="16">
        <f t="shared" si="37"/>
        <v>282</v>
      </c>
      <c r="P106" s="16">
        <f t="shared" si="37"/>
        <v>643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0.10108864696734059</v>
      </c>
      <c r="D107" s="43">
        <f t="shared" si="38"/>
        <v>9.1757387247278388E-2</v>
      </c>
      <c r="E107" s="43">
        <f t="shared" si="38"/>
        <v>9.3312597200622092E-3</v>
      </c>
      <c r="F107" s="43">
        <f t="shared" si="38"/>
        <v>4.821150855365474E-2</v>
      </c>
      <c r="G107" s="43">
        <f t="shared" si="38"/>
        <v>1.7107309486780714E-2</v>
      </c>
      <c r="H107" s="43">
        <f t="shared" si="38"/>
        <v>6.2208398133748056E-3</v>
      </c>
      <c r="I107" s="43">
        <f t="shared" si="38"/>
        <v>6.6874027993779159E-2</v>
      </c>
      <c r="J107" s="43">
        <f t="shared" si="38"/>
        <v>5.5987558320373249E-2</v>
      </c>
      <c r="K107" s="43">
        <f t="shared" si="38"/>
        <v>2.4883359253499222E-2</v>
      </c>
      <c r="L107" s="43">
        <f t="shared" si="38"/>
        <v>1.5552099533437015E-2</v>
      </c>
      <c r="M107" s="43">
        <f t="shared" si="38"/>
        <v>0.56143079315707622</v>
      </c>
      <c r="N107" s="43">
        <f t="shared" si="38"/>
        <v>1.5552099533437014E-3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0.23049645390070922</v>
      </c>
      <c r="D108" s="44">
        <f t="shared" ref="D108:N108" si="39">D106/$O$106</f>
        <v>0.20921985815602837</v>
      </c>
      <c r="E108" s="44">
        <f t="shared" si="39"/>
        <v>2.1276595744680851E-2</v>
      </c>
      <c r="F108" s="44">
        <f t="shared" si="39"/>
        <v>0.1099290780141844</v>
      </c>
      <c r="G108" s="44">
        <f t="shared" si="39"/>
        <v>3.9007092198581561E-2</v>
      </c>
      <c r="H108" s="44">
        <f t="shared" si="39"/>
        <v>1.4184397163120567E-2</v>
      </c>
      <c r="I108" s="44">
        <f t="shared" si="39"/>
        <v>0.1524822695035461</v>
      </c>
      <c r="J108" s="44">
        <f t="shared" si="39"/>
        <v>0.1276595744680851</v>
      </c>
      <c r="K108" s="44">
        <f t="shared" si="39"/>
        <v>5.6737588652482268E-2</v>
      </c>
      <c r="L108" s="44">
        <f t="shared" si="39"/>
        <v>3.5460992907801421E-2</v>
      </c>
      <c r="M108" s="44"/>
      <c r="N108" s="44">
        <f t="shared" si="39"/>
        <v>3.5460992907801418E-3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249977111117893"/>
  </sheetPr>
  <dimension ref="B1:AF174"/>
  <sheetViews>
    <sheetView view="pageBreakPreview" topLeftCell="A46" zoomScale="70" zoomScaleSheetLayoutView="70" workbookViewId="0">
      <selection activeCell="D5" sqref="D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1" t="s">
        <v>23</v>
      </c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</row>
    <row r="2" spans="2:32" ht="20.100000000000001" customHeight="1" x14ac:dyDescent="0.25">
      <c r="B2" s="62" t="s">
        <v>95</v>
      </c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</row>
    <row r="3" spans="2:32" ht="20.100000000000001" customHeight="1" x14ac:dyDescent="0.25">
      <c r="B3" s="22" t="s">
        <v>96</v>
      </c>
      <c r="C3" s="63" t="str">
        <f>'17.10 SSEMBABULE-KANONI'!C3:G3</f>
        <v>SSEMBABULE-KABULASOKE ROAD</v>
      </c>
      <c r="D3" s="63"/>
      <c r="E3" s="63"/>
      <c r="F3" s="63"/>
      <c r="G3" s="63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51" t="s">
        <v>181</v>
      </c>
      <c r="E5" s="3"/>
      <c r="F5" s="41" t="s">
        <v>1</v>
      </c>
      <c r="G5" s="58" t="str">
        <f>'18.10 KANONI-SSEMBABULE-24h'!G5:H5</f>
        <v>KYABI</v>
      </c>
      <c r="H5" s="59"/>
      <c r="I5" s="14"/>
      <c r="J5" s="2" t="s">
        <v>5</v>
      </c>
      <c r="K5" s="58" t="s">
        <v>173</v>
      </c>
      <c r="L5" s="59"/>
      <c r="M5" s="10"/>
      <c r="N5" s="10"/>
      <c r="O5" s="3"/>
      <c r="P5" s="3"/>
    </row>
    <row r="6" spans="2:32" ht="23.25" customHeight="1" x14ac:dyDescent="0.25">
      <c r="C6" s="2" t="s">
        <v>4</v>
      </c>
      <c r="D6" s="58" t="s">
        <v>167</v>
      </c>
      <c r="E6" s="59"/>
      <c r="F6" s="2" t="s">
        <v>2</v>
      </c>
      <c r="G6" s="58" t="str">
        <f>'17.10 SSEMBABULE-KANONI'!G6:H6</f>
        <v>KANONI</v>
      </c>
      <c r="H6" s="59"/>
      <c r="J6" s="2" t="s">
        <v>21</v>
      </c>
      <c r="K6" s="58" t="str">
        <f>'18.10 KANONI-SSEMBABULE-24h'!K6:L6</f>
        <v>ONYUTI BETTY</v>
      </c>
      <c r="L6" s="59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0" t="s">
        <v>88</v>
      </c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2</v>
      </c>
      <c r="D10" s="50">
        <v>2</v>
      </c>
      <c r="E10" s="50">
        <v>1</v>
      </c>
      <c r="F10" s="50">
        <v>3</v>
      </c>
      <c r="G10" s="50">
        <v>0</v>
      </c>
      <c r="H10" s="50">
        <v>0</v>
      </c>
      <c r="I10" s="50">
        <v>1</v>
      </c>
      <c r="J10" s="50">
        <v>0</v>
      </c>
      <c r="K10" s="50">
        <v>1</v>
      </c>
      <c r="L10" s="50">
        <v>0</v>
      </c>
      <c r="M10" s="50">
        <v>3</v>
      </c>
      <c r="N10" s="50">
        <v>0</v>
      </c>
      <c r="O10" s="15">
        <f t="shared" ref="O10:O73" si="0">SUM(C10:L10,N10)</f>
        <v>10</v>
      </c>
      <c r="P10" s="15">
        <f t="shared" ref="P10:P73" si="1">SUM(C10:N10)</f>
        <v>13</v>
      </c>
      <c r="R10" s="1" t="s">
        <v>6</v>
      </c>
      <c r="S10" s="17">
        <f t="shared" ref="S10:AF10" si="2">SUM(C10:C13)</f>
        <v>2</v>
      </c>
      <c r="T10" s="17">
        <f t="shared" si="2"/>
        <v>2</v>
      </c>
      <c r="U10" s="17">
        <f t="shared" si="2"/>
        <v>2</v>
      </c>
      <c r="V10" s="17">
        <f t="shared" si="2"/>
        <v>3</v>
      </c>
      <c r="W10" s="17">
        <f t="shared" si="2"/>
        <v>0</v>
      </c>
      <c r="X10" s="17">
        <f t="shared" si="2"/>
        <v>0</v>
      </c>
      <c r="Y10" s="17">
        <f t="shared" si="2"/>
        <v>3</v>
      </c>
      <c r="Z10" s="17">
        <f t="shared" si="2"/>
        <v>0</v>
      </c>
      <c r="AA10" s="17">
        <f t="shared" si="2"/>
        <v>4</v>
      </c>
      <c r="AB10" s="17">
        <f t="shared" si="2"/>
        <v>0</v>
      </c>
      <c r="AC10" s="17">
        <f t="shared" si="2"/>
        <v>26</v>
      </c>
      <c r="AD10" s="17">
        <f t="shared" si="2"/>
        <v>0</v>
      </c>
      <c r="AE10" s="31">
        <f t="shared" si="2"/>
        <v>16</v>
      </c>
      <c r="AF10" s="31">
        <f t="shared" si="2"/>
        <v>42</v>
      </c>
    </row>
    <row r="11" spans="2:32" s="6" customFormat="1" ht="23.1" customHeight="1" x14ac:dyDescent="0.25">
      <c r="B11" s="45" t="s">
        <v>38</v>
      </c>
      <c r="C11" s="50">
        <v>0</v>
      </c>
      <c r="D11" s="50">
        <v>0</v>
      </c>
      <c r="E11" s="50">
        <v>0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7</v>
      </c>
      <c r="N11" s="50">
        <v>0</v>
      </c>
      <c r="O11" s="15">
        <f t="shared" si="0"/>
        <v>0</v>
      </c>
      <c r="P11" s="15">
        <f t="shared" si="1"/>
        <v>7</v>
      </c>
      <c r="R11" s="1" t="s">
        <v>7</v>
      </c>
      <c r="S11" s="17">
        <f t="shared" ref="S11:AF11" si="3">SUM(C14:C17)</f>
        <v>2</v>
      </c>
      <c r="T11" s="17">
        <f t="shared" si="3"/>
        <v>4</v>
      </c>
      <c r="U11" s="17">
        <f t="shared" si="3"/>
        <v>1</v>
      </c>
      <c r="V11" s="17">
        <f t="shared" si="3"/>
        <v>0</v>
      </c>
      <c r="W11" s="17">
        <f t="shared" si="3"/>
        <v>0</v>
      </c>
      <c r="X11" s="17">
        <f t="shared" si="3"/>
        <v>0</v>
      </c>
      <c r="Y11" s="17">
        <f t="shared" si="3"/>
        <v>1</v>
      </c>
      <c r="Z11" s="17">
        <f t="shared" si="3"/>
        <v>1</v>
      </c>
      <c r="AA11" s="17">
        <f t="shared" si="3"/>
        <v>6</v>
      </c>
      <c r="AB11" s="17">
        <f t="shared" si="3"/>
        <v>0</v>
      </c>
      <c r="AC11" s="17">
        <f t="shared" si="3"/>
        <v>14</v>
      </c>
      <c r="AD11" s="17">
        <f t="shared" si="3"/>
        <v>0</v>
      </c>
      <c r="AE11" s="31">
        <f t="shared" si="3"/>
        <v>15</v>
      </c>
      <c r="AF11" s="31">
        <f t="shared" si="3"/>
        <v>29</v>
      </c>
    </row>
    <row r="12" spans="2:32" ht="23.1" customHeight="1" x14ac:dyDescent="0.25">
      <c r="B12" s="45" t="s">
        <v>39</v>
      </c>
      <c r="C12" s="50">
        <v>0</v>
      </c>
      <c r="D12" s="50">
        <v>0</v>
      </c>
      <c r="E12" s="50">
        <v>1</v>
      </c>
      <c r="F12" s="50">
        <v>0</v>
      </c>
      <c r="G12" s="50">
        <v>0</v>
      </c>
      <c r="H12" s="50">
        <v>0</v>
      </c>
      <c r="I12" s="50">
        <v>2</v>
      </c>
      <c r="J12" s="50">
        <v>0</v>
      </c>
      <c r="K12" s="50">
        <v>0</v>
      </c>
      <c r="L12" s="50">
        <v>0</v>
      </c>
      <c r="M12" s="50">
        <v>1</v>
      </c>
      <c r="N12" s="50">
        <v>0</v>
      </c>
      <c r="O12" s="15">
        <f t="shared" si="0"/>
        <v>3</v>
      </c>
      <c r="P12" s="15">
        <f t="shared" si="1"/>
        <v>4</v>
      </c>
      <c r="R12" s="1" t="s">
        <v>8</v>
      </c>
      <c r="S12" s="17">
        <f t="shared" ref="S12:AF12" si="4">SUM(C18:C21)</f>
        <v>1</v>
      </c>
      <c r="T12" s="17">
        <f t="shared" si="4"/>
        <v>3</v>
      </c>
      <c r="U12" s="17">
        <f t="shared" si="4"/>
        <v>0</v>
      </c>
      <c r="V12" s="17">
        <f t="shared" si="4"/>
        <v>3</v>
      </c>
      <c r="W12" s="17">
        <f t="shared" si="4"/>
        <v>0</v>
      </c>
      <c r="X12" s="17">
        <f t="shared" si="4"/>
        <v>0</v>
      </c>
      <c r="Y12" s="17">
        <f t="shared" si="4"/>
        <v>5</v>
      </c>
      <c r="Z12" s="17">
        <f t="shared" si="4"/>
        <v>0</v>
      </c>
      <c r="AA12" s="17">
        <f t="shared" si="4"/>
        <v>0</v>
      </c>
      <c r="AB12" s="17">
        <f t="shared" si="4"/>
        <v>0</v>
      </c>
      <c r="AC12" s="17">
        <f t="shared" si="4"/>
        <v>26</v>
      </c>
      <c r="AD12" s="17">
        <f t="shared" si="4"/>
        <v>0</v>
      </c>
      <c r="AE12" s="31">
        <f t="shared" si="4"/>
        <v>12</v>
      </c>
      <c r="AF12" s="31">
        <f t="shared" si="4"/>
        <v>38</v>
      </c>
    </row>
    <row r="13" spans="2:32" ht="23.1" customHeight="1" x14ac:dyDescent="0.25">
      <c r="B13" s="45" t="s">
        <v>40</v>
      </c>
      <c r="C13" s="50">
        <v>0</v>
      </c>
      <c r="D13" s="50">
        <v>0</v>
      </c>
      <c r="E13" s="50">
        <v>0</v>
      </c>
      <c r="F13" s="50">
        <v>0</v>
      </c>
      <c r="G13" s="50">
        <v>0</v>
      </c>
      <c r="H13" s="50">
        <v>0</v>
      </c>
      <c r="I13" s="50">
        <v>0</v>
      </c>
      <c r="J13" s="50">
        <v>0</v>
      </c>
      <c r="K13" s="50">
        <v>3</v>
      </c>
      <c r="L13" s="50">
        <v>0</v>
      </c>
      <c r="M13" s="50">
        <v>15</v>
      </c>
      <c r="N13" s="50">
        <v>0</v>
      </c>
      <c r="O13" s="15">
        <f t="shared" si="0"/>
        <v>3</v>
      </c>
      <c r="P13" s="15">
        <f t="shared" si="1"/>
        <v>18</v>
      </c>
      <c r="R13" s="1" t="s">
        <v>9</v>
      </c>
      <c r="S13" s="17">
        <f t="shared" ref="S13:AF13" si="5">SUM(C22:C25)</f>
        <v>1</v>
      </c>
      <c r="T13" s="17">
        <f t="shared" si="5"/>
        <v>0</v>
      </c>
      <c r="U13" s="17">
        <f t="shared" si="5"/>
        <v>4</v>
      </c>
      <c r="V13" s="17">
        <f t="shared" si="5"/>
        <v>0</v>
      </c>
      <c r="W13" s="17">
        <f t="shared" si="5"/>
        <v>0</v>
      </c>
      <c r="X13" s="17">
        <f t="shared" si="5"/>
        <v>0</v>
      </c>
      <c r="Y13" s="17">
        <f t="shared" si="5"/>
        <v>2</v>
      </c>
      <c r="Z13" s="17">
        <f t="shared" si="5"/>
        <v>0</v>
      </c>
      <c r="AA13" s="17">
        <f t="shared" si="5"/>
        <v>1</v>
      </c>
      <c r="AB13" s="17">
        <f t="shared" si="5"/>
        <v>0</v>
      </c>
      <c r="AC13" s="17">
        <f t="shared" si="5"/>
        <v>24</v>
      </c>
      <c r="AD13" s="17">
        <f t="shared" si="5"/>
        <v>1</v>
      </c>
      <c r="AE13" s="31">
        <f t="shared" si="5"/>
        <v>9</v>
      </c>
      <c r="AF13" s="31">
        <f t="shared" si="5"/>
        <v>33</v>
      </c>
    </row>
    <row r="14" spans="2:32" ht="23.1" customHeight="1" x14ac:dyDescent="0.25">
      <c r="B14" s="45" t="s">
        <v>41</v>
      </c>
      <c r="C14" s="50">
        <v>0</v>
      </c>
      <c r="D14" s="50">
        <v>1</v>
      </c>
      <c r="E14" s="50">
        <v>1</v>
      </c>
      <c r="F14" s="50">
        <v>0</v>
      </c>
      <c r="G14" s="50">
        <v>0</v>
      </c>
      <c r="H14" s="50">
        <v>0</v>
      </c>
      <c r="I14" s="50">
        <v>1</v>
      </c>
      <c r="J14" s="50">
        <v>0</v>
      </c>
      <c r="K14" s="50">
        <v>2</v>
      </c>
      <c r="L14" s="50">
        <v>0</v>
      </c>
      <c r="M14" s="50">
        <v>4</v>
      </c>
      <c r="N14" s="50">
        <v>0</v>
      </c>
      <c r="O14" s="15">
        <f t="shared" si="0"/>
        <v>5</v>
      </c>
      <c r="P14" s="15">
        <f t="shared" si="1"/>
        <v>9</v>
      </c>
      <c r="R14" s="1" t="s">
        <v>10</v>
      </c>
      <c r="S14" s="17">
        <f t="shared" ref="S14:AF14" si="6">SUM(C26:C29)</f>
        <v>1</v>
      </c>
      <c r="T14" s="17">
        <f t="shared" si="6"/>
        <v>7</v>
      </c>
      <c r="U14" s="17">
        <f t="shared" si="6"/>
        <v>0</v>
      </c>
      <c r="V14" s="17">
        <f t="shared" si="6"/>
        <v>0</v>
      </c>
      <c r="W14" s="17">
        <f t="shared" si="6"/>
        <v>2</v>
      </c>
      <c r="X14" s="17">
        <f t="shared" si="6"/>
        <v>0</v>
      </c>
      <c r="Y14" s="17">
        <f t="shared" si="6"/>
        <v>4</v>
      </c>
      <c r="Z14" s="17">
        <f t="shared" si="6"/>
        <v>0</v>
      </c>
      <c r="AA14" s="17">
        <f t="shared" si="6"/>
        <v>0</v>
      </c>
      <c r="AB14" s="17">
        <f t="shared" si="6"/>
        <v>0</v>
      </c>
      <c r="AC14" s="17">
        <f t="shared" si="6"/>
        <v>26</v>
      </c>
      <c r="AD14" s="17">
        <f t="shared" si="6"/>
        <v>0</v>
      </c>
      <c r="AE14" s="31">
        <f t="shared" si="6"/>
        <v>14</v>
      </c>
      <c r="AF14" s="31">
        <f t="shared" si="6"/>
        <v>40</v>
      </c>
    </row>
    <row r="15" spans="2:32" ht="23.1" customHeight="1" x14ac:dyDescent="0.25">
      <c r="B15" s="45" t="s">
        <v>42</v>
      </c>
      <c r="C15" s="50">
        <v>2</v>
      </c>
      <c r="D15" s="50">
        <v>2</v>
      </c>
      <c r="E15" s="50">
        <v>0</v>
      </c>
      <c r="F15" s="50">
        <v>0</v>
      </c>
      <c r="G15" s="50">
        <v>0</v>
      </c>
      <c r="H15" s="50">
        <v>0</v>
      </c>
      <c r="I15" s="50">
        <v>0</v>
      </c>
      <c r="J15" s="50">
        <v>0</v>
      </c>
      <c r="K15" s="50">
        <v>1</v>
      </c>
      <c r="L15" s="50">
        <v>0</v>
      </c>
      <c r="M15" s="50">
        <v>6</v>
      </c>
      <c r="N15" s="50">
        <v>0</v>
      </c>
      <c r="O15" s="15">
        <f t="shared" si="0"/>
        <v>5</v>
      </c>
      <c r="P15" s="15">
        <f t="shared" si="1"/>
        <v>11</v>
      </c>
      <c r="R15" s="1" t="s">
        <v>11</v>
      </c>
      <c r="S15" s="17">
        <f t="shared" ref="S15:AF15" si="7">SUM(C30:C33)</f>
        <v>1</v>
      </c>
      <c r="T15" s="17">
        <f t="shared" si="7"/>
        <v>5</v>
      </c>
      <c r="U15" s="17">
        <f t="shared" si="7"/>
        <v>3</v>
      </c>
      <c r="V15" s="17">
        <f t="shared" si="7"/>
        <v>2</v>
      </c>
      <c r="W15" s="17">
        <f t="shared" si="7"/>
        <v>1</v>
      </c>
      <c r="X15" s="17">
        <f t="shared" si="7"/>
        <v>0</v>
      </c>
      <c r="Y15" s="17">
        <f t="shared" si="7"/>
        <v>2</v>
      </c>
      <c r="Z15" s="17">
        <f t="shared" si="7"/>
        <v>2</v>
      </c>
      <c r="AA15" s="17">
        <f t="shared" si="7"/>
        <v>2</v>
      </c>
      <c r="AB15" s="17">
        <f t="shared" si="7"/>
        <v>0</v>
      </c>
      <c r="AC15" s="17">
        <f t="shared" si="7"/>
        <v>23</v>
      </c>
      <c r="AD15" s="17">
        <f t="shared" si="7"/>
        <v>0</v>
      </c>
      <c r="AE15" s="31">
        <f t="shared" si="7"/>
        <v>18</v>
      </c>
      <c r="AF15" s="31">
        <f t="shared" si="7"/>
        <v>41</v>
      </c>
    </row>
    <row r="16" spans="2:32" ht="23.1" customHeight="1" x14ac:dyDescent="0.25">
      <c r="B16" s="45" t="s">
        <v>43</v>
      </c>
      <c r="C16" s="50">
        <v>0</v>
      </c>
      <c r="D16" s="50">
        <v>1</v>
      </c>
      <c r="E16" s="50">
        <v>0</v>
      </c>
      <c r="F16" s="50">
        <v>0</v>
      </c>
      <c r="G16" s="50">
        <v>0</v>
      </c>
      <c r="H16" s="50">
        <v>0</v>
      </c>
      <c r="I16" s="50">
        <v>0</v>
      </c>
      <c r="J16" s="50">
        <v>1</v>
      </c>
      <c r="K16" s="50">
        <v>3</v>
      </c>
      <c r="L16" s="50">
        <v>0</v>
      </c>
      <c r="M16" s="50">
        <v>2</v>
      </c>
      <c r="N16" s="50">
        <v>0</v>
      </c>
      <c r="O16" s="15">
        <f t="shared" si="0"/>
        <v>5</v>
      </c>
      <c r="P16" s="15">
        <f t="shared" si="1"/>
        <v>7</v>
      </c>
      <c r="R16" s="1" t="s">
        <v>12</v>
      </c>
      <c r="S16" s="17">
        <f t="shared" ref="S16:AF16" si="8">SUM(C34:C37)</f>
        <v>4</v>
      </c>
      <c r="T16" s="17">
        <f t="shared" si="8"/>
        <v>4</v>
      </c>
      <c r="U16" s="17">
        <f t="shared" si="8"/>
        <v>0</v>
      </c>
      <c r="V16" s="17">
        <f t="shared" si="8"/>
        <v>2</v>
      </c>
      <c r="W16" s="17">
        <f t="shared" si="8"/>
        <v>0</v>
      </c>
      <c r="X16" s="17">
        <f t="shared" si="8"/>
        <v>0</v>
      </c>
      <c r="Y16" s="17">
        <f t="shared" si="8"/>
        <v>2</v>
      </c>
      <c r="Z16" s="17">
        <f t="shared" si="8"/>
        <v>2</v>
      </c>
      <c r="AA16" s="17">
        <f t="shared" si="8"/>
        <v>4</v>
      </c>
      <c r="AB16" s="17">
        <f t="shared" si="8"/>
        <v>0</v>
      </c>
      <c r="AC16" s="17">
        <f t="shared" si="8"/>
        <v>32</v>
      </c>
      <c r="AD16" s="17">
        <f t="shared" si="8"/>
        <v>0</v>
      </c>
      <c r="AE16" s="31">
        <f t="shared" si="8"/>
        <v>18</v>
      </c>
      <c r="AF16" s="31">
        <f t="shared" si="8"/>
        <v>50</v>
      </c>
    </row>
    <row r="17" spans="2:32" ht="23.1" customHeight="1" x14ac:dyDescent="0.25">
      <c r="B17" s="45" t="s">
        <v>44</v>
      </c>
      <c r="C17" s="50">
        <v>0</v>
      </c>
      <c r="D17" s="50">
        <v>0</v>
      </c>
      <c r="E17" s="50">
        <v>0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2</v>
      </c>
      <c r="N17" s="50">
        <v>0</v>
      </c>
      <c r="O17" s="15">
        <f t="shared" si="0"/>
        <v>0</v>
      </c>
      <c r="P17" s="15">
        <f t="shared" si="1"/>
        <v>2</v>
      </c>
      <c r="R17" s="1" t="s">
        <v>13</v>
      </c>
      <c r="S17" s="17">
        <f t="shared" ref="S17:AF17" si="9">SUM(C38:C41)</f>
        <v>3</v>
      </c>
      <c r="T17" s="17">
        <f t="shared" si="9"/>
        <v>3</v>
      </c>
      <c r="U17" s="17">
        <f t="shared" si="9"/>
        <v>0</v>
      </c>
      <c r="V17" s="17">
        <f t="shared" si="9"/>
        <v>2</v>
      </c>
      <c r="W17" s="17">
        <f t="shared" si="9"/>
        <v>2</v>
      </c>
      <c r="X17" s="17">
        <f t="shared" si="9"/>
        <v>0</v>
      </c>
      <c r="Y17" s="17">
        <f t="shared" si="9"/>
        <v>3</v>
      </c>
      <c r="Z17" s="17">
        <f t="shared" si="9"/>
        <v>1</v>
      </c>
      <c r="AA17" s="17">
        <f t="shared" si="9"/>
        <v>0</v>
      </c>
      <c r="AB17" s="17">
        <f t="shared" si="9"/>
        <v>0</v>
      </c>
      <c r="AC17" s="17">
        <f t="shared" si="9"/>
        <v>21</v>
      </c>
      <c r="AD17" s="17">
        <f t="shared" si="9"/>
        <v>0</v>
      </c>
      <c r="AE17" s="31">
        <f t="shared" si="9"/>
        <v>14</v>
      </c>
      <c r="AF17" s="31">
        <f t="shared" si="9"/>
        <v>35</v>
      </c>
    </row>
    <row r="18" spans="2:32" ht="23.1" customHeight="1" x14ac:dyDescent="0.25">
      <c r="B18" s="45" t="s">
        <v>45</v>
      </c>
      <c r="C18" s="50">
        <v>0</v>
      </c>
      <c r="D18" s="50">
        <v>0</v>
      </c>
      <c r="E18" s="50">
        <v>0</v>
      </c>
      <c r="F18" s="50">
        <v>2</v>
      </c>
      <c r="G18" s="50">
        <v>0</v>
      </c>
      <c r="H18" s="50">
        <v>0</v>
      </c>
      <c r="I18" s="50">
        <v>2</v>
      </c>
      <c r="J18" s="50">
        <v>0</v>
      </c>
      <c r="K18" s="50">
        <v>0</v>
      </c>
      <c r="L18" s="50">
        <v>0</v>
      </c>
      <c r="M18" s="50">
        <v>9</v>
      </c>
      <c r="N18" s="50">
        <v>0</v>
      </c>
      <c r="O18" s="15">
        <f t="shared" si="0"/>
        <v>4</v>
      </c>
      <c r="P18" s="15">
        <f t="shared" si="1"/>
        <v>13</v>
      </c>
      <c r="R18" s="1" t="s">
        <v>14</v>
      </c>
      <c r="S18" s="17">
        <f t="shared" ref="S18:AF18" si="10">SUM(C42:C45)</f>
        <v>4</v>
      </c>
      <c r="T18" s="17">
        <f t="shared" si="10"/>
        <v>2</v>
      </c>
      <c r="U18" s="17">
        <f t="shared" si="10"/>
        <v>0</v>
      </c>
      <c r="V18" s="17">
        <f t="shared" si="10"/>
        <v>1</v>
      </c>
      <c r="W18" s="17">
        <f t="shared" si="10"/>
        <v>0</v>
      </c>
      <c r="X18" s="17">
        <f t="shared" si="10"/>
        <v>0</v>
      </c>
      <c r="Y18" s="17">
        <f t="shared" si="10"/>
        <v>4</v>
      </c>
      <c r="Z18" s="17">
        <f t="shared" si="10"/>
        <v>0</v>
      </c>
      <c r="AA18" s="17">
        <f t="shared" si="10"/>
        <v>0</v>
      </c>
      <c r="AB18" s="17">
        <f t="shared" si="10"/>
        <v>0</v>
      </c>
      <c r="AC18" s="17">
        <f t="shared" si="10"/>
        <v>30</v>
      </c>
      <c r="AD18" s="17">
        <f t="shared" si="10"/>
        <v>0</v>
      </c>
      <c r="AE18" s="31">
        <f t="shared" si="10"/>
        <v>11</v>
      </c>
      <c r="AF18" s="31">
        <f t="shared" si="10"/>
        <v>41</v>
      </c>
    </row>
    <row r="19" spans="2:32" ht="23.1" customHeight="1" x14ac:dyDescent="0.25">
      <c r="B19" s="45" t="s">
        <v>46</v>
      </c>
      <c r="C19" s="50">
        <v>1</v>
      </c>
      <c r="D19" s="50">
        <v>2</v>
      </c>
      <c r="E19" s="50">
        <v>0</v>
      </c>
      <c r="F19" s="50">
        <v>1</v>
      </c>
      <c r="G19" s="50">
        <v>0</v>
      </c>
      <c r="H19" s="50">
        <v>0</v>
      </c>
      <c r="I19" s="50">
        <v>0</v>
      </c>
      <c r="J19" s="50">
        <v>0</v>
      </c>
      <c r="K19" s="50">
        <v>0</v>
      </c>
      <c r="L19" s="50">
        <v>0</v>
      </c>
      <c r="M19" s="50">
        <v>9</v>
      </c>
      <c r="N19" s="50">
        <v>0</v>
      </c>
      <c r="O19" s="15">
        <f t="shared" si="0"/>
        <v>4</v>
      </c>
      <c r="P19" s="15">
        <f t="shared" si="1"/>
        <v>13</v>
      </c>
      <c r="R19" s="1" t="s">
        <v>15</v>
      </c>
      <c r="S19" s="17">
        <f t="shared" ref="S19:AF19" si="11">SUM(C46:C49)</f>
        <v>4</v>
      </c>
      <c r="T19" s="17">
        <f t="shared" si="11"/>
        <v>3</v>
      </c>
      <c r="U19" s="17">
        <f t="shared" si="11"/>
        <v>0</v>
      </c>
      <c r="V19" s="17">
        <f t="shared" si="11"/>
        <v>0</v>
      </c>
      <c r="W19" s="17">
        <f t="shared" si="11"/>
        <v>0</v>
      </c>
      <c r="X19" s="17">
        <f t="shared" si="11"/>
        <v>0</v>
      </c>
      <c r="Y19" s="17">
        <f t="shared" si="11"/>
        <v>2</v>
      </c>
      <c r="Z19" s="17">
        <f t="shared" si="11"/>
        <v>0</v>
      </c>
      <c r="AA19" s="17">
        <f t="shared" si="11"/>
        <v>1</v>
      </c>
      <c r="AB19" s="17">
        <f t="shared" si="11"/>
        <v>0</v>
      </c>
      <c r="AC19" s="17">
        <f t="shared" si="11"/>
        <v>29</v>
      </c>
      <c r="AD19" s="17">
        <f t="shared" si="11"/>
        <v>0</v>
      </c>
      <c r="AE19" s="31">
        <f t="shared" si="11"/>
        <v>10</v>
      </c>
      <c r="AF19" s="31">
        <f t="shared" si="11"/>
        <v>39</v>
      </c>
    </row>
    <row r="20" spans="2:32" ht="23.1" customHeight="1" x14ac:dyDescent="0.25">
      <c r="B20" s="45" t="s">
        <v>47</v>
      </c>
      <c r="C20" s="50">
        <v>0</v>
      </c>
      <c r="D20" s="50">
        <v>1</v>
      </c>
      <c r="E20" s="50">
        <v>0</v>
      </c>
      <c r="F20" s="50">
        <v>0</v>
      </c>
      <c r="G20" s="50">
        <v>0</v>
      </c>
      <c r="H20" s="50">
        <v>0</v>
      </c>
      <c r="I20" s="50">
        <v>3</v>
      </c>
      <c r="J20" s="50">
        <v>0</v>
      </c>
      <c r="K20" s="50">
        <v>0</v>
      </c>
      <c r="L20" s="50">
        <v>0</v>
      </c>
      <c r="M20" s="50">
        <v>6</v>
      </c>
      <c r="N20" s="50">
        <v>0</v>
      </c>
      <c r="O20" s="15">
        <f t="shared" si="0"/>
        <v>4</v>
      </c>
      <c r="P20" s="15">
        <f t="shared" si="1"/>
        <v>10</v>
      </c>
      <c r="R20" s="1" t="s">
        <v>16</v>
      </c>
      <c r="S20" s="17">
        <f t="shared" ref="S20:AF20" si="12">SUM(C50:C53)</f>
        <v>5</v>
      </c>
      <c r="T20" s="17">
        <f t="shared" si="12"/>
        <v>6</v>
      </c>
      <c r="U20" s="17">
        <f t="shared" si="12"/>
        <v>0</v>
      </c>
      <c r="V20" s="17">
        <f t="shared" si="12"/>
        <v>2</v>
      </c>
      <c r="W20" s="17">
        <f t="shared" si="12"/>
        <v>2</v>
      </c>
      <c r="X20" s="17">
        <f t="shared" si="12"/>
        <v>0</v>
      </c>
      <c r="Y20" s="17">
        <f t="shared" si="12"/>
        <v>5</v>
      </c>
      <c r="Z20" s="17">
        <f t="shared" si="12"/>
        <v>0</v>
      </c>
      <c r="AA20" s="17">
        <f t="shared" si="12"/>
        <v>1</v>
      </c>
      <c r="AB20" s="17">
        <f t="shared" si="12"/>
        <v>0</v>
      </c>
      <c r="AC20" s="17">
        <f t="shared" si="12"/>
        <v>31</v>
      </c>
      <c r="AD20" s="17">
        <f t="shared" si="12"/>
        <v>0</v>
      </c>
      <c r="AE20" s="31">
        <f t="shared" si="12"/>
        <v>21</v>
      </c>
      <c r="AF20" s="31">
        <f t="shared" si="12"/>
        <v>52</v>
      </c>
    </row>
    <row r="21" spans="2:32" ht="23.1" customHeight="1" x14ac:dyDescent="0.25">
      <c r="B21" s="45" t="s">
        <v>48</v>
      </c>
      <c r="C21" s="50">
        <v>0</v>
      </c>
      <c r="D21" s="50">
        <v>0</v>
      </c>
      <c r="E21" s="50">
        <v>0</v>
      </c>
      <c r="F21" s="50">
        <v>0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v>2</v>
      </c>
      <c r="N21" s="50">
        <v>0</v>
      </c>
      <c r="O21" s="15">
        <f t="shared" si="0"/>
        <v>0</v>
      </c>
      <c r="P21" s="15">
        <f t="shared" si="1"/>
        <v>2</v>
      </c>
      <c r="R21" s="36" t="s">
        <v>20</v>
      </c>
      <c r="S21" s="34">
        <f t="shared" ref="S21:AF21" si="13">SUM(C54:C57)</f>
        <v>6</v>
      </c>
      <c r="T21" s="17">
        <f t="shared" si="13"/>
        <v>5</v>
      </c>
      <c r="U21" s="17">
        <f t="shared" si="13"/>
        <v>1</v>
      </c>
      <c r="V21" s="17">
        <f t="shared" si="13"/>
        <v>1</v>
      </c>
      <c r="W21" s="17">
        <f t="shared" si="13"/>
        <v>4</v>
      </c>
      <c r="X21" s="17">
        <f t="shared" si="13"/>
        <v>0</v>
      </c>
      <c r="Y21" s="17">
        <f t="shared" si="13"/>
        <v>6</v>
      </c>
      <c r="Z21" s="17">
        <f t="shared" si="13"/>
        <v>2</v>
      </c>
      <c r="AA21" s="17">
        <f t="shared" si="13"/>
        <v>3</v>
      </c>
      <c r="AB21" s="17">
        <f t="shared" si="13"/>
        <v>0</v>
      </c>
      <c r="AC21" s="17">
        <f t="shared" si="13"/>
        <v>28</v>
      </c>
      <c r="AD21" s="17">
        <f t="shared" si="13"/>
        <v>0</v>
      </c>
      <c r="AE21" s="31">
        <f t="shared" si="13"/>
        <v>28</v>
      </c>
      <c r="AF21" s="31">
        <f t="shared" si="13"/>
        <v>56</v>
      </c>
    </row>
    <row r="22" spans="2:32" ht="23.1" customHeight="1" x14ac:dyDescent="0.25">
      <c r="B22" s="45" t="s">
        <v>49</v>
      </c>
      <c r="C22" s="50">
        <v>0</v>
      </c>
      <c r="D22" s="50">
        <v>0</v>
      </c>
      <c r="E22" s="50">
        <v>1</v>
      </c>
      <c r="F22" s="50">
        <v>0</v>
      </c>
      <c r="G22" s="50">
        <v>0</v>
      </c>
      <c r="H22" s="50">
        <v>0</v>
      </c>
      <c r="I22" s="50">
        <v>0</v>
      </c>
      <c r="J22" s="50">
        <v>0</v>
      </c>
      <c r="K22" s="50">
        <v>1</v>
      </c>
      <c r="L22" s="50">
        <v>0</v>
      </c>
      <c r="M22" s="50">
        <v>5</v>
      </c>
      <c r="N22" s="50">
        <v>0</v>
      </c>
      <c r="O22" s="15">
        <f t="shared" si="0"/>
        <v>2</v>
      </c>
      <c r="P22" s="15">
        <f t="shared" si="1"/>
        <v>7</v>
      </c>
      <c r="R22" s="36" t="s">
        <v>146</v>
      </c>
      <c r="S22" s="34">
        <f>SUM(C58:C61)</f>
        <v>8</v>
      </c>
      <c r="T22" s="34">
        <f t="shared" ref="T22:AF22" si="14">SUM(D58:D61)</f>
        <v>1</v>
      </c>
      <c r="U22" s="34">
        <f t="shared" si="14"/>
        <v>0</v>
      </c>
      <c r="V22" s="34">
        <f t="shared" si="14"/>
        <v>3</v>
      </c>
      <c r="W22" s="34">
        <f t="shared" si="14"/>
        <v>0</v>
      </c>
      <c r="X22" s="34">
        <f t="shared" si="14"/>
        <v>0</v>
      </c>
      <c r="Y22" s="34">
        <f t="shared" si="14"/>
        <v>2</v>
      </c>
      <c r="Z22" s="34">
        <f t="shared" si="14"/>
        <v>4</v>
      </c>
      <c r="AA22" s="34">
        <f t="shared" si="14"/>
        <v>0</v>
      </c>
      <c r="AB22" s="34">
        <f t="shared" si="14"/>
        <v>0</v>
      </c>
      <c r="AC22" s="34">
        <f t="shared" si="14"/>
        <v>49</v>
      </c>
      <c r="AD22" s="34">
        <f t="shared" si="14"/>
        <v>0</v>
      </c>
      <c r="AE22" s="31">
        <f t="shared" si="14"/>
        <v>18</v>
      </c>
      <c r="AF22" s="31">
        <f t="shared" si="14"/>
        <v>67</v>
      </c>
    </row>
    <row r="23" spans="2:32" ht="23.1" customHeight="1" x14ac:dyDescent="0.25">
      <c r="B23" s="45" t="s">
        <v>50</v>
      </c>
      <c r="C23" s="50">
        <v>0</v>
      </c>
      <c r="D23" s="50">
        <v>0</v>
      </c>
      <c r="E23" s="50">
        <v>0</v>
      </c>
      <c r="F23" s="50">
        <v>0</v>
      </c>
      <c r="G23" s="50">
        <v>0</v>
      </c>
      <c r="H23" s="50">
        <v>0</v>
      </c>
      <c r="I23" s="50">
        <v>1</v>
      </c>
      <c r="J23" s="50">
        <v>0</v>
      </c>
      <c r="K23" s="50">
        <v>0</v>
      </c>
      <c r="L23" s="50">
        <v>0</v>
      </c>
      <c r="M23" s="50">
        <v>8</v>
      </c>
      <c r="N23" s="50">
        <v>0</v>
      </c>
      <c r="O23" s="15">
        <f t="shared" si="0"/>
        <v>1</v>
      </c>
      <c r="P23" s="15">
        <f t="shared" si="1"/>
        <v>9</v>
      </c>
      <c r="R23" s="36" t="s">
        <v>147</v>
      </c>
      <c r="S23" s="34">
        <f>SUM(C62:C65)</f>
        <v>5</v>
      </c>
      <c r="T23" s="34">
        <f t="shared" ref="T23:AF23" si="15">SUM(D62:D65)</f>
        <v>0</v>
      </c>
      <c r="U23" s="34">
        <f t="shared" si="15"/>
        <v>1</v>
      </c>
      <c r="V23" s="34">
        <f t="shared" si="15"/>
        <v>2</v>
      </c>
      <c r="W23" s="34">
        <f t="shared" si="15"/>
        <v>0</v>
      </c>
      <c r="X23" s="34">
        <f t="shared" si="15"/>
        <v>0</v>
      </c>
      <c r="Y23" s="34">
        <f t="shared" si="15"/>
        <v>3</v>
      </c>
      <c r="Z23" s="34">
        <f t="shared" si="15"/>
        <v>3</v>
      </c>
      <c r="AA23" s="34">
        <f t="shared" si="15"/>
        <v>1</v>
      </c>
      <c r="AB23" s="34">
        <f t="shared" si="15"/>
        <v>0</v>
      </c>
      <c r="AC23" s="34">
        <f t="shared" si="15"/>
        <v>16</v>
      </c>
      <c r="AD23" s="34">
        <f t="shared" si="15"/>
        <v>0</v>
      </c>
      <c r="AE23" s="31">
        <f t="shared" si="15"/>
        <v>15</v>
      </c>
      <c r="AF23" s="31">
        <f t="shared" si="15"/>
        <v>31</v>
      </c>
    </row>
    <row r="24" spans="2:32" ht="23.1" customHeight="1" x14ac:dyDescent="0.25">
      <c r="B24" s="45" t="s">
        <v>51</v>
      </c>
      <c r="C24" s="50">
        <v>0</v>
      </c>
      <c r="D24" s="50">
        <v>0</v>
      </c>
      <c r="E24" s="50">
        <v>0</v>
      </c>
      <c r="F24" s="50">
        <v>0</v>
      </c>
      <c r="G24" s="50">
        <v>0</v>
      </c>
      <c r="H24" s="50">
        <v>0</v>
      </c>
      <c r="I24" s="50">
        <v>1</v>
      </c>
      <c r="J24" s="50">
        <v>0</v>
      </c>
      <c r="K24" s="50">
        <v>0</v>
      </c>
      <c r="L24" s="50">
        <v>0</v>
      </c>
      <c r="M24" s="50">
        <v>7</v>
      </c>
      <c r="N24" s="50">
        <v>1</v>
      </c>
      <c r="O24" s="15">
        <f t="shared" si="0"/>
        <v>2</v>
      </c>
      <c r="P24" s="15">
        <f t="shared" si="1"/>
        <v>9</v>
      </c>
      <c r="R24" s="36" t="s">
        <v>148</v>
      </c>
      <c r="S24" s="34">
        <f>SUM(C66:C69)</f>
        <v>5</v>
      </c>
      <c r="T24" s="34">
        <f t="shared" ref="T24:AF24" si="16">SUM(D66:D69)</f>
        <v>1</v>
      </c>
      <c r="U24" s="34">
        <f t="shared" si="16"/>
        <v>0</v>
      </c>
      <c r="V24" s="34">
        <f t="shared" si="16"/>
        <v>1</v>
      </c>
      <c r="W24" s="34">
        <f t="shared" si="16"/>
        <v>0</v>
      </c>
      <c r="X24" s="34">
        <f t="shared" si="16"/>
        <v>0</v>
      </c>
      <c r="Y24" s="34">
        <f t="shared" si="16"/>
        <v>2</v>
      </c>
      <c r="Z24" s="34">
        <f t="shared" si="16"/>
        <v>0</v>
      </c>
      <c r="AA24" s="34">
        <f t="shared" si="16"/>
        <v>0</v>
      </c>
      <c r="AB24" s="34">
        <f t="shared" si="16"/>
        <v>0</v>
      </c>
      <c r="AC24" s="34">
        <f t="shared" si="16"/>
        <v>7</v>
      </c>
      <c r="AD24" s="34">
        <f t="shared" si="16"/>
        <v>0</v>
      </c>
      <c r="AE24" s="31">
        <f t="shared" si="16"/>
        <v>9</v>
      </c>
      <c r="AF24" s="31">
        <f t="shared" si="16"/>
        <v>16</v>
      </c>
    </row>
    <row r="25" spans="2:32" ht="23.1" customHeight="1" x14ac:dyDescent="0.25">
      <c r="B25" s="45" t="s">
        <v>52</v>
      </c>
      <c r="C25" s="50">
        <v>1</v>
      </c>
      <c r="D25" s="50">
        <v>0</v>
      </c>
      <c r="E25" s="50">
        <v>3</v>
      </c>
      <c r="F25" s="50">
        <v>0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50">
        <v>4</v>
      </c>
      <c r="N25" s="50">
        <v>0</v>
      </c>
      <c r="O25" s="15">
        <f t="shared" si="0"/>
        <v>4</v>
      </c>
      <c r="P25" s="15">
        <f t="shared" si="1"/>
        <v>8</v>
      </c>
      <c r="R25" s="36" t="s">
        <v>149</v>
      </c>
      <c r="S25" s="34">
        <f>SUM(C70:C73)</f>
        <v>1</v>
      </c>
      <c r="T25" s="34">
        <f t="shared" ref="T25:AF25" si="17">SUM(D70:D73)</f>
        <v>0</v>
      </c>
      <c r="U25" s="34">
        <f t="shared" si="17"/>
        <v>0</v>
      </c>
      <c r="V25" s="34">
        <f t="shared" si="17"/>
        <v>0</v>
      </c>
      <c r="W25" s="34">
        <f t="shared" si="17"/>
        <v>0</v>
      </c>
      <c r="X25" s="34">
        <f t="shared" si="17"/>
        <v>0</v>
      </c>
      <c r="Y25" s="34">
        <f t="shared" si="17"/>
        <v>2</v>
      </c>
      <c r="Z25" s="34">
        <f t="shared" si="17"/>
        <v>2</v>
      </c>
      <c r="AA25" s="34">
        <f t="shared" si="17"/>
        <v>0</v>
      </c>
      <c r="AB25" s="34">
        <f t="shared" si="17"/>
        <v>0</v>
      </c>
      <c r="AC25" s="34">
        <f t="shared" si="17"/>
        <v>12</v>
      </c>
      <c r="AD25" s="34">
        <f t="shared" si="17"/>
        <v>0</v>
      </c>
      <c r="AE25" s="31">
        <f t="shared" si="17"/>
        <v>5</v>
      </c>
      <c r="AF25" s="31">
        <f t="shared" si="17"/>
        <v>17</v>
      </c>
    </row>
    <row r="26" spans="2:32" ht="23.1" customHeight="1" x14ac:dyDescent="0.25">
      <c r="B26" s="45" t="s">
        <v>53</v>
      </c>
      <c r="C26" s="50">
        <v>0</v>
      </c>
      <c r="D26" s="50">
        <v>3</v>
      </c>
      <c r="E26" s="50">
        <v>0</v>
      </c>
      <c r="F26" s="50">
        <v>0</v>
      </c>
      <c r="G26" s="50">
        <v>1</v>
      </c>
      <c r="H26" s="50">
        <v>0</v>
      </c>
      <c r="I26" s="50">
        <v>2</v>
      </c>
      <c r="J26" s="50">
        <v>0</v>
      </c>
      <c r="K26" s="50">
        <v>0</v>
      </c>
      <c r="L26" s="50">
        <v>0</v>
      </c>
      <c r="M26" s="50">
        <v>2</v>
      </c>
      <c r="N26" s="50">
        <v>0</v>
      </c>
      <c r="O26" s="15">
        <f t="shared" si="0"/>
        <v>6</v>
      </c>
      <c r="P26" s="15">
        <f t="shared" si="1"/>
        <v>8</v>
      </c>
      <c r="R26" s="36" t="s">
        <v>150</v>
      </c>
      <c r="S26" s="34">
        <f>SUM(C74:C77)</f>
        <v>4</v>
      </c>
      <c r="T26" s="34">
        <f t="shared" ref="T26:AF26" si="18">SUM(D74:D77)</f>
        <v>0</v>
      </c>
      <c r="U26" s="34">
        <f t="shared" si="18"/>
        <v>0</v>
      </c>
      <c r="V26" s="34">
        <f t="shared" si="18"/>
        <v>1</v>
      </c>
      <c r="W26" s="34">
        <f t="shared" si="18"/>
        <v>0</v>
      </c>
      <c r="X26" s="34">
        <f t="shared" si="18"/>
        <v>0</v>
      </c>
      <c r="Y26" s="34">
        <f t="shared" si="18"/>
        <v>1</v>
      </c>
      <c r="Z26" s="34">
        <f t="shared" si="18"/>
        <v>0</v>
      </c>
      <c r="AA26" s="34">
        <f t="shared" si="18"/>
        <v>1</v>
      </c>
      <c r="AB26" s="34">
        <f t="shared" si="18"/>
        <v>4</v>
      </c>
      <c r="AC26" s="34">
        <f t="shared" si="18"/>
        <v>5</v>
      </c>
      <c r="AD26" s="34">
        <f t="shared" si="18"/>
        <v>0</v>
      </c>
      <c r="AE26" s="31">
        <f t="shared" si="18"/>
        <v>11</v>
      </c>
      <c r="AF26" s="31">
        <f t="shared" si="18"/>
        <v>16</v>
      </c>
    </row>
    <row r="27" spans="2:32" ht="23.1" customHeight="1" x14ac:dyDescent="0.25">
      <c r="B27" s="45" t="s">
        <v>54</v>
      </c>
      <c r="C27" s="50">
        <v>0</v>
      </c>
      <c r="D27" s="50">
        <v>1</v>
      </c>
      <c r="E27" s="50">
        <v>0</v>
      </c>
      <c r="F27" s="50">
        <v>0</v>
      </c>
      <c r="G27" s="50">
        <v>0</v>
      </c>
      <c r="H27" s="50">
        <v>0</v>
      </c>
      <c r="I27" s="50">
        <v>2</v>
      </c>
      <c r="J27" s="50">
        <v>0</v>
      </c>
      <c r="K27" s="50">
        <v>0</v>
      </c>
      <c r="L27" s="50">
        <v>0</v>
      </c>
      <c r="M27" s="50">
        <v>3</v>
      </c>
      <c r="N27" s="50">
        <v>0</v>
      </c>
      <c r="O27" s="15">
        <f t="shared" si="0"/>
        <v>3</v>
      </c>
      <c r="P27" s="15">
        <f t="shared" si="1"/>
        <v>6</v>
      </c>
      <c r="R27" s="36" t="s">
        <v>151</v>
      </c>
      <c r="S27" s="34">
        <f>SUM(C78:C81)</f>
        <v>2</v>
      </c>
      <c r="T27" s="34">
        <f t="shared" ref="T27:AF27" si="19">SUM(D78:D81)</f>
        <v>2</v>
      </c>
      <c r="U27" s="34">
        <f t="shared" si="19"/>
        <v>0</v>
      </c>
      <c r="V27" s="34">
        <f t="shared" si="19"/>
        <v>1</v>
      </c>
      <c r="W27" s="34">
        <f t="shared" si="19"/>
        <v>0</v>
      </c>
      <c r="X27" s="34">
        <f t="shared" si="19"/>
        <v>0</v>
      </c>
      <c r="Y27" s="34">
        <f t="shared" si="19"/>
        <v>0</v>
      </c>
      <c r="Z27" s="34">
        <f t="shared" si="19"/>
        <v>0</v>
      </c>
      <c r="AA27" s="34">
        <f t="shared" si="19"/>
        <v>5</v>
      </c>
      <c r="AB27" s="34">
        <f t="shared" si="19"/>
        <v>0</v>
      </c>
      <c r="AC27" s="34">
        <f t="shared" si="19"/>
        <v>5</v>
      </c>
      <c r="AD27" s="34">
        <f t="shared" si="19"/>
        <v>0</v>
      </c>
      <c r="AE27" s="31">
        <f t="shared" si="19"/>
        <v>10</v>
      </c>
      <c r="AF27" s="31">
        <f t="shared" si="19"/>
        <v>15</v>
      </c>
    </row>
    <row r="28" spans="2:32" ht="23.1" customHeight="1" x14ac:dyDescent="0.25">
      <c r="B28" s="45" t="s">
        <v>55</v>
      </c>
      <c r="C28" s="50">
        <v>1</v>
      </c>
      <c r="D28" s="50">
        <v>3</v>
      </c>
      <c r="E28" s="50">
        <v>0</v>
      </c>
      <c r="F28" s="50">
        <v>0</v>
      </c>
      <c r="G28" s="50">
        <v>1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15</v>
      </c>
      <c r="N28" s="50">
        <v>0</v>
      </c>
      <c r="O28" s="15">
        <f t="shared" si="0"/>
        <v>5</v>
      </c>
      <c r="P28" s="15">
        <f t="shared" si="1"/>
        <v>20</v>
      </c>
      <c r="R28" s="36" t="s">
        <v>152</v>
      </c>
      <c r="S28" s="34">
        <f>SUM(C82:C85)</f>
        <v>0</v>
      </c>
      <c r="T28" s="34">
        <f t="shared" ref="T28:AF28" si="20">SUM(D82:D85)</f>
        <v>1</v>
      </c>
      <c r="U28" s="34">
        <f t="shared" si="20"/>
        <v>0</v>
      </c>
      <c r="V28" s="34">
        <f t="shared" si="20"/>
        <v>0</v>
      </c>
      <c r="W28" s="34">
        <f t="shared" si="20"/>
        <v>0</v>
      </c>
      <c r="X28" s="34">
        <f t="shared" si="20"/>
        <v>0</v>
      </c>
      <c r="Y28" s="34">
        <f t="shared" si="20"/>
        <v>0</v>
      </c>
      <c r="Z28" s="34">
        <f t="shared" si="20"/>
        <v>0</v>
      </c>
      <c r="AA28" s="34">
        <f t="shared" si="20"/>
        <v>1</v>
      </c>
      <c r="AB28" s="34">
        <f t="shared" si="20"/>
        <v>1</v>
      </c>
      <c r="AC28" s="34">
        <f t="shared" si="20"/>
        <v>3</v>
      </c>
      <c r="AD28" s="34">
        <f t="shared" si="20"/>
        <v>0</v>
      </c>
      <c r="AE28" s="31">
        <f t="shared" si="20"/>
        <v>3</v>
      </c>
      <c r="AF28" s="31">
        <f t="shared" si="20"/>
        <v>6</v>
      </c>
    </row>
    <row r="29" spans="2:32" ht="23.1" customHeight="1" x14ac:dyDescent="0.25">
      <c r="B29" s="45" t="s">
        <v>56</v>
      </c>
      <c r="C29" s="50">
        <v>0</v>
      </c>
      <c r="D29" s="50">
        <v>0</v>
      </c>
      <c r="E29" s="50">
        <v>0</v>
      </c>
      <c r="F29" s="50">
        <v>0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50">
        <v>6</v>
      </c>
      <c r="N29" s="50">
        <v>0</v>
      </c>
      <c r="O29" s="15">
        <f t="shared" si="0"/>
        <v>0</v>
      </c>
      <c r="P29" s="15">
        <f t="shared" si="1"/>
        <v>6</v>
      </c>
      <c r="R29" s="36" t="s">
        <v>153</v>
      </c>
      <c r="S29" s="34">
        <f>SUM(C86:C89)</f>
        <v>1</v>
      </c>
      <c r="T29" s="34">
        <f t="shared" ref="T29:AF29" si="21">SUM(D86:D89)</f>
        <v>0</v>
      </c>
      <c r="U29" s="34">
        <f t="shared" si="21"/>
        <v>0</v>
      </c>
      <c r="V29" s="34">
        <f t="shared" si="21"/>
        <v>0</v>
      </c>
      <c r="W29" s="34">
        <f t="shared" si="21"/>
        <v>0</v>
      </c>
      <c r="X29" s="34">
        <f t="shared" si="21"/>
        <v>0</v>
      </c>
      <c r="Y29" s="34">
        <f t="shared" si="21"/>
        <v>0</v>
      </c>
      <c r="Z29" s="34">
        <f t="shared" si="21"/>
        <v>0</v>
      </c>
      <c r="AA29" s="34">
        <f t="shared" si="21"/>
        <v>1</v>
      </c>
      <c r="AB29" s="34">
        <f t="shared" si="21"/>
        <v>2</v>
      </c>
      <c r="AC29" s="34">
        <f t="shared" si="21"/>
        <v>1</v>
      </c>
      <c r="AD29" s="34">
        <f t="shared" si="21"/>
        <v>0</v>
      </c>
      <c r="AE29" s="31">
        <f t="shared" si="21"/>
        <v>4</v>
      </c>
      <c r="AF29" s="31">
        <f t="shared" si="21"/>
        <v>5</v>
      </c>
    </row>
    <row r="30" spans="2:32" ht="23.1" customHeight="1" x14ac:dyDescent="0.25">
      <c r="B30" s="45" t="s">
        <v>57</v>
      </c>
      <c r="C30" s="50">
        <v>1</v>
      </c>
      <c r="D30" s="50">
        <v>0</v>
      </c>
      <c r="E30" s="50">
        <v>0</v>
      </c>
      <c r="F30" s="50">
        <v>0</v>
      </c>
      <c r="G30" s="50">
        <v>1</v>
      </c>
      <c r="H30" s="50">
        <v>0</v>
      </c>
      <c r="I30" s="50">
        <v>1</v>
      </c>
      <c r="J30" s="50">
        <v>0</v>
      </c>
      <c r="K30" s="50">
        <v>0</v>
      </c>
      <c r="L30" s="50">
        <v>0</v>
      </c>
      <c r="M30" s="50">
        <v>7</v>
      </c>
      <c r="N30" s="50">
        <v>0</v>
      </c>
      <c r="O30" s="15">
        <f t="shared" si="0"/>
        <v>3</v>
      </c>
      <c r="P30" s="15">
        <f t="shared" si="1"/>
        <v>10</v>
      </c>
      <c r="R30" s="36" t="s">
        <v>154</v>
      </c>
      <c r="S30" s="34">
        <f>SUM(C90:C93)</f>
        <v>4</v>
      </c>
      <c r="T30" s="34">
        <f t="shared" ref="T30:AF30" si="22">SUM(D90:D93)</f>
        <v>0</v>
      </c>
      <c r="U30" s="34">
        <f t="shared" si="22"/>
        <v>1</v>
      </c>
      <c r="V30" s="34">
        <f t="shared" si="22"/>
        <v>0</v>
      </c>
      <c r="W30" s="34">
        <f t="shared" si="22"/>
        <v>0</v>
      </c>
      <c r="X30" s="34">
        <f t="shared" si="22"/>
        <v>0</v>
      </c>
      <c r="Y30" s="34">
        <f t="shared" si="22"/>
        <v>0</v>
      </c>
      <c r="Z30" s="34">
        <f t="shared" si="22"/>
        <v>0</v>
      </c>
      <c r="AA30" s="34">
        <f t="shared" si="22"/>
        <v>2</v>
      </c>
      <c r="AB30" s="34">
        <f t="shared" si="22"/>
        <v>1</v>
      </c>
      <c r="AC30" s="34">
        <f t="shared" si="22"/>
        <v>0</v>
      </c>
      <c r="AD30" s="34">
        <f t="shared" si="22"/>
        <v>0</v>
      </c>
      <c r="AE30" s="31">
        <f t="shared" si="22"/>
        <v>8</v>
      </c>
      <c r="AF30" s="31">
        <f t="shared" si="22"/>
        <v>8</v>
      </c>
    </row>
    <row r="31" spans="2:32" ht="23.1" customHeight="1" x14ac:dyDescent="0.25">
      <c r="B31" s="46" t="s">
        <v>58</v>
      </c>
      <c r="C31" s="50">
        <v>0</v>
      </c>
      <c r="D31" s="50">
        <v>2</v>
      </c>
      <c r="E31" s="50">
        <v>0</v>
      </c>
      <c r="F31" s="50">
        <v>0</v>
      </c>
      <c r="G31" s="50">
        <v>0</v>
      </c>
      <c r="H31" s="50">
        <v>0</v>
      </c>
      <c r="I31" s="50">
        <v>0</v>
      </c>
      <c r="J31" s="50">
        <v>2</v>
      </c>
      <c r="K31" s="50">
        <v>1</v>
      </c>
      <c r="L31" s="50">
        <v>0</v>
      </c>
      <c r="M31" s="50">
        <v>5</v>
      </c>
      <c r="N31" s="50">
        <v>0</v>
      </c>
      <c r="O31" s="15">
        <f t="shared" si="0"/>
        <v>5</v>
      </c>
      <c r="P31" s="15">
        <f t="shared" si="1"/>
        <v>10</v>
      </c>
      <c r="R31" s="36" t="s">
        <v>155</v>
      </c>
      <c r="S31" s="34">
        <f>SUM(C94:C97)</f>
        <v>0</v>
      </c>
      <c r="T31" s="34">
        <f t="shared" ref="T31:AF31" si="23">SUM(D94:D97)</f>
        <v>0</v>
      </c>
      <c r="U31" s="34">
        <f t="shared" si="23"/>
        <v>0</v>
      </c>
      <c r="V31" s="34">
        <f t="shared" si="23"/>
        <v>2</v>
      </c>
      <c r="W31" s="34">
        <f t="shared" si="23"/>
        <v>0</v>
      </c>
      <c r="X31" s="34">
        <f t="shared" si="23"/>
        <v>0</v>
      </c>
      <c r="Y31" s="34">
        <f t="shared" si="23"/>
        <v>0</v>
      </c>
      <c r="Z31" s="34">
        <f t="shared" si="23"/>
        <v>0</v>
      </c>
      <c r="AA31" s="34">
        <f t="shared" si="23"/>
        <v>0</v>
      </c>
      <c r="AB31" s="34">
        <f t="shared" si="23"/>
        <v>0</v>
      </c>
      <c r="AC31" s="34">
        <f t="shared" si="23"/>
        <v>1</v>
      </c>
      <c r="AD31" s="34">
        <f t="shared" si="23"/>
        <v>0</v>
      </c>
      <c r="AE31" s="31">
        <f t="shared" si="23"/>
        <v>2</v>
      </c>
      <c r="AF31" s="31">
        <f t="shared" si="23"/>
        <v>3</v>
      </c>
    </row>
    <row r="32" spans="2:32" ht="23.1" customHeight="1" x14ac:dyDescent="0.25">
      <c r="B32" s="46" t="s">
        <v>59</v>
      </c>
      <c r="C32" s="50">
        <v>0</v>
      </c>
      <c r="D32" s="50">
        <v>1</v>
      </c>
      <c r="E32" s="50">
        <v>2</v>
      </c>
      <c r="F32" s="50">
        <v>2</v>
      </c>
      <c r="G32" s="50">
        <v>0</v>
      </c>
      <c r="H32" s="50">
        <v>0</v>
      </c>
      <c r="I32" s="50">
        <v>1</v>
      </c>
      <c r="J32" s="50">
        <v>0</v>
      </c>
      <c r="K32" s="50">
        <v>0</v>
      </c>
      <c r="L32" s="50">
        <v>0</v>
      </c>
      <c r="M32" s="50">
        <v>5</v>
      </c>
      <c r="N32" s="50">
        <v>0</v>
      </c>
      <c r="O32" s="15">
        <f t="shared" si="0"/>
        <v>6</v>
      </c>
      <c r="P32" s="15">
        <f t="shared" si="1"/>
        <v>11</v>
      </c>
      <c r="R32" s="33" t="s">
        <v>156</v>
      </c>
      <c r="S32" s="34">
        <f>SUM(C98:C101)</f>
        <v>2</v>
      </c>
      <c r="T32" s="34">
        <f t="shared" ref="T32:AF32" si="24">SUM(D98:D101)</f>
        <v>0</v>
      </c>
      <c r="U32" s="34">
        <f t="shared" si="24"/>
        <v>0</v>
      </c>
      <c r="V32" s="34">
        <f t="shared" si="24"/>
        <v>1</v>
      </c>
      <c r="W32" s="34">
        <f t="shared" si="24"/>
        <v>0</v>
      </c>
      <c r="X32" s="34">
        <f t="shared" si="24"/>
        <v>0</v>
      </c>
      <c r="Y32" s="34">
        <f t="shared" si="24"/>
        <v>0</v>
      </c>
      <c r="Z32" s="34">
        <f t="shared" si="24"/>
        <v>0</v>
      </c>
      <c r="AA32" s="34">
        <f t="shared" si="24"/>
        <v>0</v>
      </c>
      <c r="AB32" s="34">
        <f t="shared" si="24"/>
        <v>0</v>
      </c>
      <c r="AC32" s="34">
        <f t="shared" si="24"/>
        <v>4</v>
      </c>
      <c r="AD32" s="34">
        <f t="shared" si="24"/>
        <v>0</v>
      </c>
      <c r="AE32" s="31">
        <f t="shared" si="24"/>
        <v>3</v>
      </c>
      <c r="AF32" s="31">
        <f t="shared" si="24"/>
        <v>7</v>
      </c>
    </row>
    <row r="33" spans="2:32" ht="23.1" customHeight="1" x14ac:dyDescent="0.25">
      <c r="B33" s="45" t="s">
        <v>60</v>
      </c>
      <c r="C33" s="50">
        <v>0</v>
      </c>
      <c r="D33" s="50">
        <v>2</v>
      </c>
      <c r="E33" s="50">
        <v>1</v>
      </c>
      <c r="F33" s="50">
        <v>0</v>
      </c>
      <c r="G33" s="50">
        <v>0</v>
      </c>
      <c r="H33" s="50">
        <v>0</v>
      </c>
      <c r="I33" s="50">
        <v>0</v>
      </c>
      <c r="J33" s="50">
        <v>0</v>
      </c>
      <c r="K33" s="50">
        <v>1</v>
      </c>
      <c r="L33" s="50">
        <v>0</v>
      </c>
      <c r="M33" s="50">
        <v>6</v>
      </c>
      <c r="N33" s="50">
        <v>0</v>
      </c>
      <c r="O33" s="15">
        <f t="shared" si="0"/>
        <v>4</v>
      </c>
      <c r="P33" s="15">
        <f t="shared" si="1"/>
        <v>10</v>
      </c>
      <c r="R33" s="33" t="s">
        <v>157</v>
      </c>
      <c r="S33" s="34">
        <f>SUM(C102:C105)</f>
        <v>2</v>
      </c>
      <c r="T33" s="34">
        <f t="shared" ref="T33:AF33" si="25">SUM(D102:D105)</f>
        <v>1</v>
      </c>
      <c r="U33" s="34">
        <f t="shared" si="25"/>
        <v>2</v>
      </c>
      <c r="V33" s="34">
        <f t="shared" si="25"/>
        <v>3</v>
      </c>
      <c r="W33" s="34">
        <f t="shared" si="25"/>
        <v>0</v>
      </c>
      <c r="X33" s="34">
        <f t="shared" si="25"/>
        <v>1</v>
      </c>
      <c r="Y33" s="34">
        <f t="shared" si="25"/>
        <v>0</v>
      </c>
      <c r="Z33" s="34">
        <f t="shared" si="25"/>
        <v>0</v>
      </c>
      <c r="AA33" s="34">
        <f t="shared" si="25"/>
        <v>0</v>
      </c>
      <c r="AB33" s="34">
        <f t="shared" si="25"/>
        <v>0</v>
      </c>
      <c r="AC33" s="34">
        <f t="shared" si="25"/>
        <v>8</v>
      </c>
      <c r="AD33" s="34">
        <f t="shared" si="25"/>
        <v>0</v>
      </c>
      <c r="AE33" s="31">
        <f t="shared" si="25"/>
        <v>9</v>
      </c>
      <c r="AF33" s="31">
        <f t="shared" si="25"/>
        <v>17</v>
      </c>
    </row>
    <row r="34" spans="2:32" ht="23.1" customHeight="1" x14ac:dyDescent="0.25">
      <c r="B34" s="46" t="s">
        <v>61</v>
      </c>
      <c r="C34" s="50">
        <v>0</v>
      </c>
      <c r="D34" s="50">
        <v>1</v>
      </c>
      <c r="E34" s="50">
        <v>0</v>
      </c>
      <c r="F34" s="50">
        <v>0</v>
      </c>
      <c r="G34" s="50">
        <v>0</v>
      </c>
      <c r="H34" s="50">
        <v>0</v>
      </c>
      <c r="I34" s="50">
        <v>1</v>
      </c>
      <c r="J34" s="50">
        <v>0</v>
      </c>
      <c r="K34" s="50">
        <v>1</v>
      </c>
      <c r="L34" s="50">
        <v>0</v>
      </c>
      <c r="M34" s="50">
        <v>13</v>
      </c>
      <c r="N34" s="50">
        <v>0</v>
      </c>
      <c r="O34" s="15">
        <f t="shared" si="0"/>
        <v>3</v>
      </c>
      <c r="P34" s="15">
        <f t="shared" si="1"/>
        <v>16</v>
      </c>
      <c r="R34" s="38" t="s">
        <v>90</v>
      </c>
      <c r="S34" s="39">
        <f t="shared" ref="S34:AF34" si="26">MAX(S10:S12)</f>
        <v>2</v>
      </c>
      <c r="T34" s="39">
        <f t="shared" si="26"/>
        <v>4</v>
      </c>
      <c r="U34" s="39">
        <f t="shared" si="26"/>
        <v>2</v>
      </c>
      <c r="V34" s="39">
        <f t="shared" si="26"/>
        <v>3</v>
      </c>
      <c r="W34" s="39">
        <f t="shared" si="26"/>
        <v>0</v>
      </c>
      <c r="X34" s="39">
        <f t="shared" si="26"/>
        <v>0</v>
      </c>
      <c r="Y34" s="39">
        <f t="shared" si="26"/>
        <v>5</v>
      </c>
      <c r="Z34" s="39">
        <f t="shared" si="26"/>
        <v>1</v>
      </c>
      <c r="AA34" s="39">
        <f t="shared" si="26"/>
        <v>6</v>
      </c>
      <c r="AB34" s="39">
        <f t="shared" si="26"/>
        <v>0</v>
      </c>
      <c r="AC34" s="39">
        <f t="shared" si="26"/>
        <v>26</v>
      </c>
      <c r="AD34" s="39">
        <f t="shared" si="26"/>
        <v>0</v>
      </c>
      <c r="AE34" s="40">
        <f t="shared" si="26"/>
        <v>16</v>
      </c>
      <c r="AF34" s="40">
        <f t="shared" si="26"/>
        <v>42</v>
      </c>
    </row>
    <row r="35" spans="2:32" ht="23.1" customHeight="1" x14ac:dyDescent="0.25">
      <c r="B35" s="46" t="s">
        <v>62</v>
      </c>
      <c r="C35" s="50">
        <v>1</v>
      </c>
      <c r="D35" s="50">
        <v>0</v>
      </c>
      <c r="E35" s="50">
        <v>0</v>
      </c>
      <c r="F35" s="50">
        <v>1</v>
      </c>
      <c r="G35" s="50">
        <v>0</v>
      </c>
      <c r="H35" s="50">
        <v>0</v>
      </c>
      <c r="I35" s="50">
        <v>0</v>
      </c>
      <c r="J35" s="50">
        <v>1</v>
      </c>
      <c r="K35" s="50">
        <v>0</v>
      </c>
      <c r="L35" s="50">
        <v>0</v>
      </c>
      <c r="M35" s="50">
        <v>6</v>
      </c>
      <c r="N35" s="50">
        <v>0</v>
      </c>
      <c r="O35" s="15">
        <f t="shared" si="0"/>
        <v>3</v>
      </c>
      <c r="P35" s="15">
        <f t="shared" si="1"/>
        <v>9</v>
      </c>
      <c r="R35" s="38" t="s">
        <v>91</v>
      </c>
      <c r="S35" s="39">
        <f t="shared" ref="S35:AF35" si="27">MAX(S13:S18)</f>
        <v>4</v>
      </c>
      <c r="T35" s="39">
        <f t="shared" si="27"/>
        <v>7</v>
      </c>
      <c r="U35" s="39">
        <f t="shared" si="27"/>
        <v>4</v>
      </c>
      <c r="V35" s="39">
        <f t="shared" si="27"/>
        <v>2</v>
      </c>
      <c r="W35" s="39">
        <f t="shared" si="27"/>
        <v>2</v>
      </c>
      <c r="X35" s="39">
        <f t="shared" si="27"/>
        <v>0</v>
      </c>
      <c r="Y35" s="39">
        <f t="shared" si="27"/>
        <v>4</v>
      </c>
      <c r="Z35" s="39">
        <f t="shared" si="27"/>
        <v>2</v>
      </c>
      <c r="AA35" s="39">
        <f t="shared" si="27"/>
        <v>4</v>
      </c>
      <c r="AB35" s="39">
        <f t="shared" si="27"/>
        <v>0</v>
      </c>
      <c r="AC35" s="39">
        <f t="shared" si="27"/>
        <v>32</v>
      </c>
      <c r="AD35" s="39">
        <f t="shared" si="27"/>
        <v>1</v>
      </c>
      <c r="AE35" s="40">
        <f t="shared" si="27"/>
        <v>18</v>
      </c>
      <c r="AF35" s="40">
        <f t="shared" si="27"/>
        <v>50</v>
      </c>
    </row>
    <row r="36" spans="2:32" ht="23.1" customHeight="1" x14ac:dyDescent="0.25">
      <c r="B36" s="46" t="s">
        <v>63</v>
      </c>
      <c r="C36" s="50">
        <v>2</v>
      </c>
      <c r="D36" s="50">
        <v>0</v>
      </c>
      <c r="E36" s="50">
        <v>0</v>
      </c>
      <c r="F36" s="50">
        <v>0</v>
      </c>
      <c r="G36" s="50">
        <v>0</v>
      </c>
      <c r="H36" s="50">
        <v>0</v>
      </c>
      <c r="I36" s="50">
        <v>0</v>
      </c>
      <c r="J36" s="50">
        <v>0</v>
      </c>
      <c r="K36" s="50">
        <v>2</v>
      </c>
      <c r="L36" s="50">
        <v>0</v>
      </c>
      <c r="M36" s="50">
        <v>2</v>
      </c>
      <c r="N36" s="50">
        <v>0</v>
      </c>
      <c r="O36" s="15">
        <f t="shared" si="0"/>
        <v>4</v>
      </c>
      <c r="P36" s="15">
        <f t="shared" si="1"/>
        <v>6</v>
      </c>
      <c r="R36" s="38" t="s">
        <v>92</v>
      </c>
      <c r="S36" s="39">
        <f t="shared" ref="S36:AF36" si="28">MAX(S19:S21)</f>
        <v>6</v>
      </c>
      <c r="T36" s="39">
        <f t="shared" si="28"/>
        <v>6</v>
      </c>
      <c r="U36" s="39">
        <f t="shared" si="28"/>
        <v>1</v>
      </c>
      <c r="V36" s="39">
        <f t="shared" si="28"/>
        <v>2</v>
      </c>
      <c r="W36" s="39">
        <f t="shared" si="28"/>
        <v>4</v>
      </c>
      <c r="X36" s="39">
        <f t="shared" si="28"/>
        <v>0</v>
      </c>
      <c r="Y36" s="39">
        <f t="shared" si="28"/>
        <v>6</v>
      </c>
      <c r="Z36" s="39">
        <f t="shared" si="28"/>
        <v>2</v>
      </c>
      <c r="AA36" s="39">
        <f t="shared" si="28"/>
        <v>3</v>
      </c>
      <c r="AB36" s="39">
        <f t="shared" si="28"/>
        <v>0</v>
      </c>
      <c r="AC36" s="39">
        <f t="shared" si="28"/>
        <v>31</v>
      </c>
      <c r="AD36" s="39">
        <f t="shared" si="28"/>
        <v>0</v>
      </c>
      <c r="AE36" s="40">
        <f t="shared" si="28"/>
        <v>28</v>
      </c>
      <c r="AF36" s="40">
        <f t="shared" si="28"/>
        <v>56</v>
      </c>
    </row>
    <row r="37" spans="2:32" ht="23.1" customHeight="1" x14ac:dyDescent="0.25">
      <c r="B37" s="45" t="s">
        <v>64</v>
      </c>
      <c r="C37" s="50">
        <v>1</v>
      </c>
      <c r="D37" s="50">
        <v>3</v>
      </c>
      <c r="E37" s="50">
        <v>0</v>
      </c>
      <c r="F37" s="50">
        <v>1</v>
      </c>
      <c r="G37" s="50">
        <v>0</v>
      </c>
      <c r="H37" s="50">
        <v>0</v>
      </c>
      <c r="I37" s="50">
        <v>1</v>
      </c>
      <c r="J37" s="50">
        <v>1</v>
      </c>
      <c r="K37" s="50">
        <v>1</v>
      </c>
      <c r="L37" s="50">
        <v>0</v>
      </c>
      <c r="M37" s="50">
        <v>11</v>
      </c>
      <c r="N37" s="50">
        <v>0</v>
      </c>
      <c r="O37" s="15">
        <f t="shared" si="0"/>
        <v>8</v>
      </c>
      <c r="P37" s="15">
        <f t="shared" si="1"/>
        <v>19</v>
      </c>
      <c r="R37" s="37" t="s">
        <v>85</v>
      </c>
      <c r="S37" s="35">
        <f t="shared" ref="S37:AF37" si="29">SUM(S10:S12)</f>
        <v>5</v>
      </c>
      <c r="T37" s="16">
        <f t="shared" si="29"/>
        <v>9</v>
      </c>
      <c r="U37" s="16">
        <f t="shared" si="29"/>
        <v>3</v>
      </c>
      <c r="V37" s="16">
        <f t="shared" si="29"/>
        <v>6</v>
      </c>
      <c r="W37" s="16">
        <f t="shared" si="29"/>
        <v>0</v>
      </c>
      <c r="X37" s="16">
        <f t="shared" si="29"/>
        <v>0</v>
      </c>
      <c r="Y37" s="16">
        <f t="shared" si="29"/>
        <v>9</v>
      </c>
      <c r="Z37" s="16">
        <f t="shared" si="29"/>
        <v>1</v>
      </c>
      <c r="AA37" s="16">
        <f t="shared" si="29"/>
        <v>10</v>
      </c>
      <c r="AB37" s="16">
        <f t="shared" si="29"/>
        <v>0</v>
      </c>
      <c r="AC37" s="16">
        <f t="shared" si="29"/>
        <v>66</v>
      </c>
      <c r="AD37" s="16">
        <f t="shared" si="29"/>
        <v>0</v>
      </c>
      <c r="AE37" s="32">
        <f t="shared" si="29"/>
        <v>43</v>
      </c>
      <c r="AF37" s="32">
        <f t="shared" si="29"/>
        <v>109</v>
      </c>
    </row>
    <row r="38" spans="2:32" ht="23.1" customHeight="1" x14ac:dyDescent="0.25">
      <c r="B38" s="46" t="s">
        <v>65</v>
      </c>
      <c r="C38" s="50">
        <v>1</v>
      </c>
      <c r="D38" s="50">
        <v>1</v>
      </c>
      <c r="E38" s="50">
        <v>0</v>
      </c>
      <c r="F38" s="50">
        <v>1</v>
      </c>
      <c r="G38" s="50">
        <v>0</v>
      </c>
      <c r="H38" s="50">
        <v>0</v>
      </c>
      <c r="I38" s="50">
        <v>0</v>
      </c>
      <c r="J38" s="50">
        <v>1</v>
      </c>
      <c r="K38" s="50">
        <v>0</v>
      </c>
      <c r="L38" s="50">
        <v>0</v>
      </c>
      <c r="M38" s="50">
        <v>8</v>
      </c>
      <c r="N38" s="50">
        <v>0</v>
      </c>
      <c r="O38" s="15">
        <f t="shared" si="0"/>
        <v>4</v>
      </c>
      <c r="P38" s="15">
        <f t="shared" si="1"/>
        <v>12</v>
      </c>
      <c r="R38" s="28" t="s">
        <v>86</v>
      </c>
      <c r="S38" s="16">
        <f t="shared" ref="S38:AF38" si="30">SUM(S13:S18)</f>
        <v>14</v>
      </c>
      <c r="T38" s="16">
        <f t="shared" si="30"/>
        <v>21</v>
      </c>
      <c r="U38" s="16">
        <f t="shared" si="30"/>
        <v>7</v>
      </c>
      <c r="V38" s="16">
        <f t="shared" si="30"/>
        <v>7</v>
      </c>
      <c r="W38" s="16">
        <f t="shared" si="30"/>
        <v>5</v>
      </c>
      <c r="X38" s="16">
        <f t="shared" si="30"/>
        <v>0</v>
      </c>
      <c r="Y38" s="16">
        <f t="shared" si="30"/>
        <v>17</v>
      </c>
      <c r="Z38" s="16">
        <f t="shared" si="30"/>
        <v>5</v>
      </c>
      <c r="AA38" s="16">
        <f t="shared" si="30"/>
        <v>7</v>
      </c>
      <c r="AB38" s="16">
        <f t="shared" si="30"/>
        <v>0</v>
      </c>
      <c r="AC38" s="16">
        <f t="shared" si="30"/>
        <v>156</v>
      </c>
      <c r="AD38" s="16">
        <f t="shared" si="30"/>
        <v>1</v>
      </c>
      <c r="AE38" s="32">
        <f t="shared" si="30"/>
        <v>84</v>
      </c>
      <c r="AF38" s="32">
        <f t="shared" si="30"/>
        <v>240</v>
      </c>
    </row>
    <row r="39" spans="2:32" ht="23.1" customHeight="1" x14ac:dyDescent="0.25">
      <c r="B39" s="46" t="s">
        <v>66</v>
      </c>
      <c r="C39" s="50">
        <v>1</v>
      </c>
      <c r="D39" s="50">
        <v>1</v>
      </c>
      <c r="E39" s="50">
        <v>0</v>
      </c>
      <c r="F39" s="50">
        <v>1</v>
      </c>
      <c r="G39" s="50">
        <v>0</v>
      </c>
      <c r="H39" s="50">
        <v>0</v>
      </c>
      <c r="I39" s="50">
        <v>0</v>
      </c>
      <c r="J39" s="50">
        <v>0</v>
      </c>
      <c r="K39" s="50">
        <v>0</v>
      </c>
      <c r="L39" s="50">
        <v>0</v>
      </c>
      <c r="M39" s="50">
        <v>5</v>
      </c>
      <c r="N39" s="50">
        <v>0</v>
      </c>
      <c r="O39" s="15">
        <f t="shared" si="0"/>
        <v>3</v>
      </c>
      <c r="P39" s="15">
        <f t="shared" si="1"/>
        <v>8</v>
      </c>
      <c r="R39" s="29" t="s">
        <v>87</v>
      </c>
      <c r="S39" s="16">
        <f t="shared" ref="S39:AF39" si="31">SUM(S19:S21)</f>
        <v>15</v>
      </c>
      <c r="T39" s="16">
        <f t="shared" si="31"/>
        <v>14</v>
      </c>
      <c r="U39" s="16">
        <f t="shared" si="31"/>
        <v>1</v>
      </c>
      <c r="V39" s="16">
        <f t="shared" si="31"/>
        <v>3</v>
      </c>
      <c r="W39" s="16">
        <f t="shared" si="31"/>
        <v>6</v>
      </c>
      <c r="X39" s="16">
        <f t="shared" si="31"/>
        <v>0</v>
      </c>
      <c r="Y39" s="16">
        <f t="shared" si="31"/>
        <v>13</v>
      </c>
      <c r="Z39" s="16">
        <f t="shared" si="31"/>
        <v>2</v>
      </c>
      <c r="AA39" s="16">
        <f t="shared" si="31"/>
        <v>5</v>
      </c>
      <c r="AB39" s="16">
        <f t="shared" si="31"/>
        <v>0</v>
      </c>
      <c r="AC39" s="16">
        <f t="shared" si="31"/>
        <v>88</v>
      </c>
      <c r="AD39" s="16">
        <f t="shared" si="31"/>
        <v>0</v>
      </c>
      <c r="AE39" s="32">
        <f t="shared" si="31"/>
        <v>59</v>
      </c>
      <c r="AF39" s="32">
        <f t="shared" si="31"/>
        <v>147</v>
      </c>
    </row>
    <row r="40" spans="2:32" ht="23.1" customHeight="1" x14ac:dyDescent="0.25">
      <c r="B40" s="46" t="s">
        <v>67</v>
      </c>
      <c r="C40" s="50">
        <v>1</v>
      </c>
      <c r="D40" s="50">
        <v>0</v>
      </c>
      <c r="E40" s="50">
        <v>0</v>
      </c>
      <c r="F40" s="50">
        <v>0</v>
      </c>
      <c r="G40" s="50">
        <v>0</v>
      </c>
      <c r="H40" s="50">
        <v>0</v>
      </c>
      <c r="I40" s="50">
        <v>3</v>
      </c>
      <c r="J40" s="50">
        <v>0</v>
      </c>
      <c r="K40" s="50">
        <v>0</v>
      </c>
      <c r="L40" s="50">
        <v>0</v>
      </c>
      <c r="M40" s="50">
        <v>2</v>
      </c>
      <c r="N40" s="50">
        <v>0</v>
      </c>
      <c r="O40" s="15">
        <f t="shared" si="0"/>
        <v>4</v>
      </c>
      <c r="P40" s="15">
        <f t="shared" si="1"/>
        <v>6</v>
      </c>
      <c r="R40" s="5" t="s">
        <v>17</v>
      </c>
      <c r="S40" s="16">
        <f t="shared" ref="S40:AF40" si="32">SUM(S10:S21)</f>
        <v>34</v>
      </c>
      <c r="T40" s="16">
        <f t="shared" si="32"/>
        <v>44</v>
      </c>
      <c r="U40" s="16">
        <f t="shared" si="32"/>
        <v>11</v>
      </c>
      <c r="V40" s="16">
        <f t="shared" si="32"/>
        <v>16</v>
      </c>
      <c r="W40" s="16">
        <f t="shared" si="32"/>
        <v>11</v>
      </c>
      <c r="X40" s="16">
        <f t="shared" si="32"/>
        <v>0</v>
      </c>
      <c r="Y40" s="16">
        <f t="shared" si="32"/>
        <v>39</v>
      </c>
      <c r="Z40" s="16">
        <f t="shared" si="32"/>
        <v>8</v>
      </c>
      <c r="AA40" s="16">
        <f t="shared" si="32"/>
        <v>22</v>
      </c>
      <c r="AB40" s="16">
        <f t="shared" si="32"/>
        <v>0</v>
      </c>
      <c r="AC40" s="16">
        <f t="shared" si="32"/>
        <v>310</v>
      </c>
      <c r="AD40" s="16">
        <f t="shared" si="32"/>
        <v>1</v>
      </c>
      <c r="AE40" s="32">
        <f t="shared" si="32"/>
        <v>186</v>
      </c>
      <c r="AF40" s="32">
        <f t="shared" si="32"/>
        <v>496</v>
      </c>
    </row>
    <row r="41" spans="2:32" ht="23.1" customHeight="1" x14ac:dyDescent="0.25">
      <c r="B41" s="45" t="s">
        <v>68</v>
      </c>
      <c r="C41" s="50">
        <v>0</v>
      </c>
      <c r="D41" s="50">
        <v>1</v>
      </c>
      <c r="E41" s="50">
        <v>0</v>
      </c>
      <c r="F41" s="50">
        <v>0</v>
      </c>
      <c r="G41" s="50">
        <v>2</v>
      </c>
      <c r="H41" s="50">
        <v>0</v>
      </c>
      <c r="I41" s="50">
        <v>0</v>
      </c>
      <c r="J41" s="50">
        <v>0</v>
      </c>
      <c r="K41" s="50">
        <v>0</v>
      </c>
      <c r="L41" s="50">
        <v>0</v>
      </c>
      <c r="M41" s="50">
        <v>6</v>
      </c>
      <c r="N41" s="50">
        <v>0</v>
      </c>
      <c r="O41" s="15">
        <f t="shared" si="0"/>
        <v>3</v>
      </c>
      <c r="P41" s="15">
        <f t="shared" si="1"/>
        <v>9</v>
      </c>
      <c r="R41" s="5" t="s">
        <v>159</v>
      </c>
      <c r="S41" s="16">
        <f>SUM(S10:S33)</f>
        <v>68</v>
      </c>
      <c r="T41" s="16">
        <f t="shared" ref="T41:AF41" si="33">SUM(T10:T33)</f>
        <v>50</v>
      </c>
      <c r="U41" s="16">
        <f t="shared" si="33"/>
        <v>15</v>
      </c>
      <c r="V41" s="16">
        <f t="shared" si="33"/>
        <v>30</v>
      </c>
      <c r="W41" s="16">
        <f t="shared" si="33"/>
        <v>11</v>
      </c>
      <c r="X41" s="16">
        <f t="shared" si="33"/>
        <v>1</v>
      </c>
      <c r="Y41" s="16">
        <f t="shared" si="33"/>
        <v>49</v>
      </c>
      <c r="Z41" s="16">
        <f t="shared" si="33"/>
        <v>17</v>
      </c>
      <c r="AA41" s="16">
        <f t="shared" si="33"/>
        <v>33</v>
      </c>
      <c r="AB41" s="16">
        <f t="shared" si="33"/>
        <v>8</v>
      </c>
      <c r="AC41" s="16">
        <f t="shared" si="33"/>
        <v>421</v>
      </c>
      <c r="AD41" s="16">
        <f t="shared" si="33"/>
        <v>1</v>
      </c>
      <c r="AE41" s="32">
        <f t="shared" si="33"/>
        <v>283</v>
      </c>
      <c r="AF41" s="32">
        <f t="shared" si="33"/>
        <v>704</v>
      </c>
    </row>
    <row r="42" spans="2:32" ht="23.1" customHeight="1" x14ac:dyDescent="0.25">
      <c r="B42" s="46" t="s">
        <v>69</v>
      </c>
      <c r="C42" s="50">
        <v>0</v>
      </c>
      <c r="D42" s="50">
        <v>1</v>
      </c>
      <c r="E42" s="50">
        <v>0</v>
      </c>
      <c r="F42" s="50">
        <v>0</v>
      </c>
      <c r="G42" s="50">
        <v>0</v>
      </c>
      <c r="H42" s="50">
        <v>0</v>
      </c>
      <c r="I42" s="50">
        <v>0</v>
      </c>
      <c r="J42" s="50">
        <v>0</v>
      </c>
      <c r="K42" s="50">
        <v>0</v>
      </c>
      <c r="L42" s="50">
        <v>0</v>
      </c>
      <c r="M42" s="50">
        <v>6</v>
      </c>
      <c r="N42" s="50">
        <v>0</v>
      </c>
      <c r="O42" s="15">
        <f t="shared" si="0"/>
        <v>1</v>
      </c>
      <c r="P42" s="15">
        <f t="shared" si="1"/>
        <v>7</v>
      </c>
      <c r="R42" s="5" t="s">
        <v>160</v>
      </c>
      <c r="S42" s="48">
        <f>S41/S40</f>
        <v>2</v>
      </c>
      <c r="T42" s="48">
        <f t="shared" ref="T42:AF42" si="34">T41/T40</f>
        <v>1.1363636363636365</v>
      </c>
      <c r="U42" s="48">
        <f t="shared" si="34"/>
        <v>1.3636363636363635</v>
      </c>
      <c r="V42" s="48">
        <f t="shared" si="34"/>
        <v>1.875</v>
      </c>
      <c r="W42" s="48">
        <f t="shared" si="34"/>
        <v>1</v>
      </c>
      <c r="X42" s="48" t="e">
        <f t="shared" si="34"/>
        <v>#DIV/0!</v>
      </c>
      <c r="Y42" s="48">
        <f t="shared" si="34"/>
        <v>1.2564102564102564</v>
      </c>
      <c r="Z42" s="48">
        <f t="shared" si="34"/>
        <v>2.125</v>
      </c>
      <c r="AA42" s="48">
        <f t="shared" si="34"/>
        <v>1.5</v>
      </c>
      <c r="AB42" s="48" t="e">
        <f t="shared" si="34"/>
        <v>#DIV/0!</v>
      </c>
      <c r="AC42" s="48">
        <f t="shared" si="34"/>
        <v>1.3580645161290323</v>
      </c>
      <c r="AD42" s="48">
        <f t="shared" si="34"/>
        <v>1</v>
      </c>
      <c r="AE42" s="48">
        <f t="shared" si="34"/>
        <v>1.521505376344086</v>
      </c>
      <c r="AF42" s="48">
        <f t="shared" si="34"/>
        <v>1.4193548387096775</v>
      </c>
    </row>
    <row r="43" spans="2:32" ht="23.1" customHeight="1" x14ac:dyDescent="0.25">
      <c r="B43" s="45" t="s">
        <v>70</v>
      </c>
      <c r="C43" s="50">
        <v>2</v>
      </c>
      <c r="D43" s="50">
        <v>1</v>
      </c>
      <c r="E43" s="50">
        <v>0</v>
      </c>
      <c r="F43" s="50">
        <v>0</v>
      </c>
      <c r="G43" s="50">
        <v>0</v>
      </c>
      <c r="H43" s="50">
        <v>0</v>
      </c>
      <c r="I43" s="50">
        <v>1</v>
      </c>
      <c r="J43" s="50">
        <v>0</v>
      </c>
      <c r="K43" s="50">
        <v>0</v>
      </c>
      <c r="L43" s="50">
        <v>0</v>
      </c>
      <c r="M43" s="50">
        <v>6</v>
      </c>
      <c r="N43" s="50">
        <v>0</v>
      </c>
      <c r="O43" s="15">
        <f t="shared" si="0"/>
        <v>4</v>
      </c>
      <c r="P43" s="15">
        <f t="shared" si="1"/>
        <v>10</v>
      </c>
    </row>
    <row r="44" spans="2:32" ht="23.1" customHeight="1" x14ac:dyDescent="0.25">
      <c r="B44" s="47" t="s">
        <v>71</v>
      </c>
      <c r="C44" s="50">
        <v>1</v>
      </c>
      <c r="D44" s="50">
        <v>0</v>
      </c>
      <c r="E44" s="50">
        <v>0</v>
      </c>
      <c r="F44" s="50">
        <v>1</v>
      </c>
      <c r="G44" s="50">
        <v>0</v>
      </c>
      <c r="H44" s="50">
        <v>0</v>
      </c>
      <c r="I44" s="50">
        <v>1</v>
      </c>
      <c r="J44" s="50">
        <v>0</v>
      </c>
      <c r="K44" s="50">
        <v>0</v>
      </c>
      <c r="L44" s="50">
        <v>0</v>
      </c>
      <c r="M44" s="50">
        <v>10</v>
      </c>
      <c r="N44" s="50">
        <v>0</v>
      </c>
      <c r="O44" s="15">
        <f t="shared" si="0"/>
        <v>3</v>
      </c>
      <c r="P44" s="15">
        <f t="shared" si="1"/>
        <v>13</v>
      </c>
    </row>
    <row r="45" spans="2:32" ht="23.1" customHeight="1" x14ac:dyDescent="0.25">
      <c r="B45" s="45" t="s">
        <v>72</v>
      </c>
      <c r="C45" s="50">
        <v>1</v>
      </c>
      <c r="D45" s="50">
        <v>0</v>
      </c>
      <c r="E45" s="50">
        <v>0</v>
      </c>
      <c r="F45" s="50">
        <v>0</v>
      </c>
      <c r="G45" s="50">
        <v>0</v>
      </c>
      <c r="H45" s="50">
        <v>0</v>
      </c>
      <c r="I45" s="50">
        <v>2</v>
      </c>
      <c r="J45" s="50">
        <v>0</v>
      </c>
      <c r="K45" s="50">
        <v>0</v>
      </c>
      <c r="L45" s="50">
        <v>0</v>
      </c>
      <c r="M45" s="50">
        <v>8</v>
      </c>
      <c r="N45" s="50">
        <v>0</v>
      </c>
      <c r="O45" s="15">
        <f t="shared" si="0"/>
        <v>3</v>
      </c>
      <c r="P45" s="15">
        <f t="shared" si="1"/>
        <v>11</v>
      </c>
    </row>
    <row r="46" spans="2:32" ht="23.1" customHeight="1" x14ac:dyDescent="0.25">
      <c r="B46" s="46" t="s">
        <v>73</v>
      </c>
      <c r="C46" s="50">
        <v>1</v>
      </c>
      <c r="D46" s="50">
        <v>2</v>
      </c>
      <c r="E46" s="50">
        <v>0</v>
      </c>
      <c r="F46" s="50">
        <v>0</v>
      </c>
      <c r="G46" s="50">
        <v>0</v>
      </c>
      <c r="H46" s="50">
        <v>0</v>
      </c>
      <c r="I46" s="50">
        <v>1</v>
      </c>
      <c r="J46" s="50">
        <v>0</v>
      </c>
      <c r="K46" s="50">
        <v>0</v>
      </c>
      <c r="L46" s="50">
        <v>0</v>
      </c>
      <c r="M46" s="50">
        <v>4</v>
      </c>
      <c r="N46" s="50">
        <v>0</v>
      </c>
      <c r="O46" s="15">
        <f t="shared" si="0"/>
        <v>4</v>
      </c>
      <c r="P46" s="15">
        <f t="shared" si="1"/>
        <v>8</v>
      </c>
      <c r="R46" s="8"/>
      <c r="T46"/>
    </row>
    <row r="47" spans="2:32" ht="23.1" customHeight="1" x14ac:dyDescent="0.25">
      <c r="B47" s="46" t="s">
        <v>74</v>
      </c>
      <c r="C47" s="50">
        <v>1</v>
      </c>
      <c r="D47" s="50">
        <v>0</v>
      </c>
      <c r="E47" s="50">
        <v>0</v>
      </c>
      <c r="F47" s="50">
        <v>0</v>
      </c>
      <c r="G47" s="50">
        <v>0</v>
      </c>
      <c r="H47" s="50">
        <v>0</v>
      </c>
      <c r="I47" s="50">
        <v>0</v>
      </c>
      <c r="J47" s="50">
        <v>0</v>
      </c>
      <c r="K47" s="50">
        <v>0</v>
      </c>
      <c r="L47" s="50">
        <v>0</v>
      </c>
      <c r="M47" s="50">
        <v>19</v>
      </c>
      <c r="N47" s="50">
        <v>0</v>
      </c>
      <c r="O47" s="15">
        <f t="shared" si="0"/>
        <v>1</v>
      </c>
      <c r="P47" s="15">
        <f t="shared" si="1"/>
        <v>20</v>
      </c>
      <c r="R47" s="8"/>
      <c r="T47"/>
    </row>
    <row r="48" spans="2:32" ht="23.1" customHeight="1" x14ac:dyDescent="0.25">
      <c r="B48" s="46" t="s">
        <v>75</v>
      </c>
      <c r="C48" s="50">
        <v>2</v>
      </c>
      <c r="D48" s="50">
        <v>1</v>
      </c>
      <c r="E48" s="50">
        <v>0</v>
      </c>
      <c r="F48" s="50">
        <v>0</v>
      </c>
      <c r="G48" s="50">
        <v>0</v>
      </c>
      <c r="H48" s="50">
        <v>0</v>
      </c>
      <c r="I48" s="50">
        <v>1</v>
      </c>
      <c r="J48" s="50">
        <v>0</v>
      </c>
      <c r="K48" s="50">
        <v>1</v>
      </c>
      <c r="L48" s="50">
        <v>0</v>
      </c>
      <c r="M48" s="50">
        <v>4</v>
      </c>
      <c r="N48" s="50">
        <v>0</v>
      </c>
      <c r="O48" s="15">
        <f t="shared" si="0"/>
        <v>5</v>
      </c>
      <c r="P48" s="15">
        <f t="shared" si="1"/>
        <v>9</v>
      </c>
      <c r="R48" s="8"/>
      <c r="T48"/>
    </row>
    <row r="49" spans="2:20" ht="23.1" customHeight="1" x14ac:dyDescent="0.25">
      <c r="B49" s="45" t="s">
        <v>76</v>
      </c>
      <c r="C49" s="50">
        <v>0</v>
      </c>
      <c r="D49" s="50">
        <v>0</v>
      </c>
      <c r="E49" s="50">
        <v>0</v>
      </c>
      <c r="F49" s="50">
        <v>0</v>
      </c>
      <c r="G49" s="50">
        <v>0</v>
      </c>
      <c r="H49" s="50">
        <v>0</v>
      </c>
      <c r="I49" s="50">
        <v>0</v>
      </c>
      <c r="J49" s="50">
        <v>0</v>
      </c>
      <c r="K49" s="50">
        <v>0</v>
      </c>
      <c r="L49" s="50">
        <v>0</v>
      </c>
      <c r="M49" s="50">
        <v>2</v>
      </c>
      <c r="N49" s="50">
        <v>0</v>
      </c>
      <c r="O49" s="15">
        <f t="shared" si="0"/>
        <v>0</v>
      </c>
      <c r="P49" s="15">
        <f t="shared" si="1"/>
        <v>2</v>
      </c>
      <c r="R49" s="8"/>
      <c r="T49"/>
    </row>
    <row r="50" spans="2:20" ht="23.1" customHeight="1" x14ac:dyDescent="0.25">
      <c r="B50" s="46" t="s">
        <v>77</v>
      </c>
      <c r="C50" s="50">
        <v>0</v>
      </c>
      <c r="D50" s="50">
        <v>0</v>
      </c>
      <c r="E50" s="50">
        <v>0</v>
      </c>
      <c r="F50" s="50">
        <v>1</v>
      </c>
      <c r="G50" s="50">
        <v>1</v>
      </c>
      <c r="H50" s="50">
        <v>0</v>
      </c>
      <c r="I50" s="50">
        <v>2</v>
      </c>
      <c r="J50" s="50">
        <v>0</v>
      </c>
      <c r="K50" s="50">
        <v>1</v>
      </c>
      <c r="L50" s="50">
        <v>0</v>
      </c>
      <c r="M50" s="50">
        <v>9</v>
      </c>
      <c r="N50" s="50">
        <v>0</v>
      </c>
      <c r="O50" s="15">
        <f t="shared" si="0"/>
        <v>5</v>
      </c>
      <c r="P50" s="15">
        <f t="shared" si="1"/>
        <v>14</v>
      </c>
      <c r="R50" s="8"/>
      <c r="T50"/>
    </row>
    <row r="51" spans="2:20" ht="23.1" customHeight="1" x14ac:dyDescent="0.25">
      <c r="B51" s="46" t="s">
        <v>78</v>
      </c>
      <c r="C51" s="50">
        <v>3</v>
      </c>
      <c r="D51" s="50">
        <v>2</v>
      </c>
      <c r="E51" s="50">
        <v>0</v>
      </c>
      <c r="F51" s="50">
        <v>1</v>
      </c>
      <c r="G51" s="50">
        <v>0</v>
      </c>
      <c r="H51" s="50">
        <v>0</v>
      </c>
      <c r="I51" s="50">
        <v>0</v>
      </c>
      <c r="J51" s="50">
        <v>0</v>
      </c>
      <c r="K51" s="50">
        <v>0</v>
      </c>
      <c r="L51" s="50">
        <v>0</v>
      </c>
      <c r="M51" s="50">
        <v>11</v>
      </c>
      <c r="N51" s="50">
        <v>0</v>
      </c>
      <c r="O51" s="15">
        <f t="shared" si="0"/>
        <v>6</v>
      </c>
      <c r="P51" s="15">
        <f t="shared" si="1"/>
        <v>17</v>
      </c>
      <c r="R51" s="8"/>
      <c r="T51"/>
    </row>
    <row r="52" spans="2:20" ht="23.1" customHeight="1" x14ac:dyDescent="0.25">
      <c r="B52" s="46" t="s">
        <v>79</v>
      </c>
      <c r="C52" s="50">
        <v>0</v>
      </c>
      <c r="D52" s="50">
        <v>0</v>
      </c>
      <c r="E52" s="50">
        <v>0</v>
      </c>
      <c r="F52" s="50">
        <v>0</v>
      </c>
      <c r="G52" s="50">
        <v>0</v>
      </c>
      <c r="H52" s="50">
        <v>0</v>
      </c>
      <c r="I52" s="50">
        <v>0</v>
      </c>
      <c r="J52" s="50">
        <v>0</v>
      </c>
      <c r="K52" s="50">
        <v>0</v>
      </c>
      <c r="L52" s="50">
        <v>0</v>
      </c>
      <c r="M52" s="50">
        <v>3</v>
      </c>
      <c r="N52" s="50">
        <v>0</v>
      </c>
      <c r="O52" s="15">
        <f t="shared" si="0"/>
        <v>0</v>
      </c>
      <c r="P52" s="15">
        <f t="shared" si="1"/>
        <v>3</v>
      </c>
      <c r="R52" s="8"/>
      <c r="T52"/>
    </row>
    <row r="53" spans="2:20" ht="23.1" customHeight="1" x14ac:dyDescent="0.25">
      <c r="B53" s="45" t="s">
        <v>80</v>
      </c>
      <c r="C53" s="50">
        <v>2</v>
      </c>
      <c r="D53" s="50">
        <v>4</v>
      </c>
      <c r="E53" s="50">
        <v>0</v>
      </c>
      <c r="F53" s="50">
        <v>0</v>
      </c>
      <c r="G53" s="50">
        <v>1</v>
      </c>
      <c r="H53" s="50">
        <v>0</v>
      </c>
      <c r="I53" s="50">
        <v>3</v>
      </c>
      <c r="J53" s="50">
        <v>0</v>
      </c>
      <c r="K53" s="50">
        <v>0</v>
      </c>
      <c r="L53" s="50">
        <v>0</v>
      </c>
      <c r="M53" s="50">
        <v>8</v>
      </c>
      <c r="N53" s="50">
        <v>0</v>
      </c>
      <c r="O53" s="15">
        <f t="shared" si="0"/>
        <v>10</v>
      </c>
      <c r="P53" s="15">
        <f t="shared" si="1"/>
        <v>18</v>
      </c>
      <c r="R53" s="8"/>
      <c r="T53"/>
    </row>
    <row r="54" spans="2:20" ht="23.1" customHeight="1" x14ac:dyDescent="0.25">
      <c r="B54" s="45" t="s">
        <v>81</v>
      </c>
      <c r="C54" s="50">
        <v>2</v>
      </c>
      <c r="D54" s="50">
        <v>0</v>
      </c>
      <c r="E54" s="50">
        <v>1</v>
      </c>
      <c r="F54" s="50">
        <v>0</v>
      </c>
      <c r="G54" s="50">
        <v>1</v>
      </c>
      <c r="H54" s="50">
        <v>0</v>
      </c>
      <c r="I54" s="50">
        <v>0</v>
      </c>
      <c r="J54" s="50">
        <v>0</v>
      </c>
      <c r="K54" s="50">
        <v>0</v>
      </c>
      <c r="L54" s="50">
        <v>0</v>
      </c>
      <c r="M54" s="50">
        <v>9</v>
      </c>
      <c r="N54" s="50">
        <v>0</v>
      </c>
      <c r="O54" s="15">
        <f t="shared" si="0"/>
        <v>4</v>
      </c>
      <c r="P54" s="15">
        <f t="shared" si="1"/>
        <v>13</v>
      </c>
      <c r="R54" s="8"/>
      <c r="T54"/>
    </row>
    <row r="55" spans="2:20" ht="23.1" customHeight="1" x14ac:dyDescent="0.25">
      <c r="B55" s="45" t="s">
        <v>82</v>
      </c>
      <c r="C55" s="50">
        <v>2</v>
      </c>
      <c r="D55" s="50">
        <v>0</v>
      </c>
      <c r="E55" s="50">
        <v>0</v>
      </c>
      <c r="F55" s="50">
        <v>0</v>
      </c>
      <c r="G55" s="50">
        <v>0</v>
      </c>
      <c r="H55" s="50">
        <v>0</v>
      </c>
      <c r="I55" s="50">
        <v>2</v>
      </c>
      <c r="J55" s="50">
        <v>1</v>
      </c>
      <c r="K55" s="50">
        <v>3</v>
      </c>
      <c r="L55" s="50">
        <v>0</v>
      </c>
      <c r="M55" s="50">
        <v>4</v>
      </c>
      <c r="N55" s="50">
        <v>0</v>
      </c>
      <c r="O55" s="15">
        <f t="shared" si="0"/>
        <v>8</v>
      </c>
      <c r="P55" s="15">
        <f t="shared" si="1"/>
        <v>12</v>
      </c>
      <c r="R55" s="8"/>
      <c r="T55"/>
    </row>
    <row r="56" spans="2:20" ht="23.1" customHeight="1" x14ac:dyDescent="0.25">
      <c r="B56" s="45" t="s">
        <v>83</v>
      </c>
      <c r="C56" s="50">
        <v>0</v>
      </c>
      <c r="D56" s="50">
        <v>1</v>
      </c>
      <c r="E56" s="50">
        <v>0</v>
      </c>
      <c r="F56" s="50">
        <v>0</v>
      </c>
      <c r="G56" s="50">
        <v>0</v>
      </c>
      <c r="H56" s="50">
        <v>0</v>
      </c>
      <c r="I56" s="50">
        <v>1</v>
      </c>
      <c r="J56" s="50">
        <v>1</v>
      </c>
      <c r="K56" s="50">
        <v>0</v>
      </c>
      <c r="L56" s="50">
        <v>0</v>
      </c>
      <c r="M56" s="50">
        <v>6</v>
      </c>
      <c r="N56" s="50">
        <v>0</v>
      </c>
      <c r="O56" s="15">
        <f t="shared" si="0"/>
        <v>3</v>
      </c>
      <c r="P56" s="15">
        <f t="shared" si="1"/>
        <v>9</v>
      </c>
      <c r="R56" s="8"/>
      <c r="T56"/>
    </row>
    <row r="57" spans="2:20" ht="23.1" customHeight="1" x14ac:dyDescent="0.25">
      <c r="B57" s="45" t="s">
        <v>84</v>
      </c>
      <c r="C57" s="50">
        <v>2</v>
      </c>
      <c r="D57" s="50">
        <v>4</v>
      </c>
      <c r="E57" s="50">
        <v>0</v>
      </c>
      <c r="F57" s="50">
        <v>1</v>
      </c>
      <c r="G57" s="50">
        <v>3</v>
      </c>
      <c r="H57" s="50">
        <v>0</v>
      </c>
      <c r="I57" s="50">
        <v>3</v>
      </c>
      <c r="J57" s="50">
        <v>0</v>
      </c>
      <c r="K57" s="50">
        <v>0</v>
      </c>
      <c r="L57" s="50">
        <v>0</v>
      </c>
      <c r="M57" s="50">
        <v>9</v>
      </c>
      <c r="N57" s="50">
        <v>0</v>
      </c>
      <c r="O57" s="15">
        <f t="shared" si="0"/>
        <v>13</v>
      </c>
      <c r="P57" s="15">
        <f t="shared" si="1"/>
        <v>22</v>
      </c>
      <c r="R57" s="8"/>
      <c r="T57"/>
    </row>
    <row r="58" spans="2:20" ht="23.1" customHeight="1" x14ac:dyDescent="0.25">
      <c r="B58" s="45" t="s">
        <v>99</v>
      </c>
      <c r="C58" s="50">
        <v>2</v>
      </c>
      <c r="D58" s="50">
        <v>0</v>
      </c>
      <c r="E58" s="50">
        <v>0</v>
      </c>
      <c r="F58" s="50">
        <v>0</v>
      </c>
      <c r="G58" s="50">
        <v>0</v>
      </c>
      <c r="H58" s="50">
        <v>0</v>
      </c>
      <c r="I58" s="50">
        <v>0</v>
      </c>
      <c r="J58" s="50">
        <v>1</v>
      </c>
      <c r="K58" s="50">
        <v>0</v>
      </c>
      <c r="L58" s="50">
        <v>0</v>
      </c>
      <c r="M58" s="50">
        <v>19</v>
      </c>
      <c r="N58" s="50">
        <v>0</v>
      </c>
      <c r="O58" s="15">
        <f t="shared" si="0"/>
        <v>3</v>
      </c>
      <c r="P58" s="15">
        <f t="shared" si="1"/>
        <v>22</v>
      </c>
      <c r="R58" s="8"/>
      <c r="T58"/>
    </row>
    <row r="59" spans="2:20" ht="23.1" customHeight="1" x14ac:dyDescent="0.25">
      <c r="B59" s="45" t="s">
        <v>100</v>
      </c>
      <c r="C59" s="50">
        <v>4</v>
      </c>
      <c r="D59" s="50">
        <v>1</v>
      </c>
      <c r="E59" s="50">
        <v>0</v>
      </c>
      <c r="F59" s="50">
        <v>2</v>
      </c>
      <c r="G59" s="50">
        <v>0</v>
      </c>
      <c r="H59" s="50">
        <v>0</v>
      </c>
      <c r="I59" s="50">
        <v>1</v>
      </c>
      <c r="J59" s="50">
        <v>2</v>
      </c>
      <c r="K59" s="50">
        <v>0</v>
      </c>
      <c r="L59" s="50">
        <v>0</v>
      </c>
      <c r="M59" s="50">
        <v>12</v>
      </c>
      <c r="N59" s="50">
        <v>0</v>
      </c>
      <c r="O59" s="15">
        <f t="shared" si="0"/>
        <v>10</v>
      </c>
      <c r="P59" s="15">
        <f t="shared" si="1"/>
        <v>22</v>
      </c>
      <c r="R59" s="8"/>
      <c r="T59"/>
    </row>
    <row r="60" spans="2:20" ht="23.1" customHeight="1" x14ac:dyDescent="0.25">
      <c r="B60" s="45" t="s">
        <v>101</v>
      </c>
      <c r="C60" s="50">
        <v>2</v>
      </c>
      <c r="D60" s="50">
        <v>0</v>
      </c>
      <c r="E60" s="50">
        <v>0</v>
      </c>
      <c r="F60" s="50">
        <v>0</v>
      </c>
      <c r="G60" s="50">
        <v>0</v>
      </c>
      <c r="H60" s="50">
        <v>0</v>
      </c>
      <c r="I60" s="50">
        <v>1</v>
      </c>
      <c r="J60" s="50">
        <v>1</v>
      </c>
      <c r="K60" s="50">
        <v>0</v>
      </c>
      <c r="L60" s="50">
        <v>0</v>
      </c>
      <c r="M60" s="50">
        <v>8</v>
      </c>
      <c r="N60" s="50">
        <v>0</v>
      </c>
      <c r="O60" s="15">
        <f t="shared" si="0"/>
        <v>4</v>
      </c>
      <c r="P60" s="15">
        <f t="shared" si="1"/>
        <v>12</v>
      </c>
      <c r="R60" s="8"/>
      <c r="T60"/>
    </row>
    <row r="61" spans="2:20" ht="23.1" customHeight="1" x14ac:dyDescent="0.25">
      <c r="B61" s="45" t="s">
        <v>102</v>
      </c>
      <c r="C61" s="50">
        <v>0</v>
      </c>
      <c r="D61" s="50">
        <v>0</v>
      </c>
      <c r="E61" s="50">
        <v>0</v>
      </c>
      <c r="F61" s="50">
        <v>1</v>
      </c>
      <c r="G61" s="50">
        <v>0</v>
      </c>
      <c r="H61" s="50">
        <v>0</v>
      </c>
      <c r="I61" s="50">
        <v>0</v>
      </c>
      <c r="J61" s="50">
        <v>0</v>
      </c>
      <c r="K61" s="50">
        <v>0</v>
      </c>
      <c r="L61" s="50">
        <v>0</v>
      </c>
      <c r="M61" s="50">
        <v>10</v>
      </c>
      <c r="N61" s="50">
        <v>0</v>
      </c>
      <c r="O61" s="15">
        <f t="shared" si="0"/>
        <v>1</v>
      </c>
      <c r="P61" s="15">
        <f t="shared" si="1"/>
        <v>11</v>
      </c>
      <c r="R61" s="8"/>
      <c r="T61"/>
    </row>
    <row r="62" spans="2:20" ht="23.1" customHeight="1" x14ac:dyDescent="0.25">
      <c r="B62" s="45" t="s">
        <v>107</v>
      </c>
      <c r="C62" s="50">
        <v>1</v>
      </c>
      <c r="D62" s="50">
        <v>0</v>
      </c>
      <c r="E62" s="50">
        <v>1</v>
      </c>
      <c r="F62" s="50">
        <v>2</v>
      </c>
      <c r="G62" s="50">
        <v>0</v>
      </c>
      <c r="H62" s="50">
        <v>0</v>
      </c>
      <c r="I62" s="50">
        <v>0</v>
      </c>
      <c r="J62" s="50">
        <v>1</v>
      </c>
      <c r="K62" s="50">
        <v>0</v>
      </c>
      <c r="L62" s="50">
        <v>0</v>
      </c>
      <c r="M62" s="50">
        <v>3</v>
      </c>
      <c r="N62" s="50">
        <v>0</v>
      </c>
      <c r="O62" s="15">
        <f t="shared" si="0"/>
        <v>5</v>
      </c>
      <c r="P62" s="15">
        <f t="shared" si="1"/>
        <v>8</v>
      </c>
      <c r="R62" s="8"/>
      <c r="T62"/>
    </row>
    <row r="63" spans="2:20" ht="23.1" customHeight="1" x14ac:dyDescent="0.25">
      <c r="B63" s="45" t="s">
        <v>108</v>
      </c>
      <c r="C63" s="50">
        <v>2</v>
      </c>
      <c r="D63" s="50">
        <v>0</v>
      </c>
      <c r="E63" s="50">
        <v>0</v>
      </c>
      <c r="F63" s="50">
        <v>0</v>
      </c>
      <c r="G63" s="50">
        <v>0</v>
      </c>
      <c r="H63" s="50">
        <v>0</v>
      </c>
      <c r="I63" s="50">
        <v>1</v>
      </c>
      <c r="J63" s="50">
        <v>2</v>
      </c>
      <c r="K63" s="50">
        <v>0</v>
      </c>
      <c r="L63" s="50">
        <v>0</v>
      </c>
      <c r="M63" s="50">
        <v>7</v>
      </c>
      <c r="N63" s="50">
        <v>0</v>
      </c>
      <c r="O63" s="15">
        <f t="shared" si="0"/>
        <v>5</v>
      </c>
      <c r="P63" s="15">
        <f t="shared" si="1"/>
        <v>12</v>
      </c>
      <c r="R63" s="8"/>
      <c r="T63"/>
    </row>
    <row r="64" spans="2:20" ht="23.1" customHeight="1" x14ac:dyDescent="0.25">
      <c r="B64" s="45" t="s">
        <v>109</v>
      </c>
      <c r="C64" s="50">
        <v>1</v>
      </c>
      <c r="D64" s="50">
        <v>0</v>
      </c>
      <c r="E64" s="50">
        <v>0</v>
      </c>
      <c r="F64" s="50">
        <v>0</v>
      </c>
      <c r="G64" s="50">
        <v>0</v>
      </c>
      <c r="H64" s="50">
        <v>0</v>
      </c>
      <c r="I64" s="50">
        <v>1</v>
      </c>
      <c r="J64" s="50" t="s">
        <v>175</v>
      </c>
      <c r="K64" s="50">
        <v>1</v>
      </c>
      <c r="L64" s="50">
        <v>0</v>
      </c>
      <c r="M64" s="50">
        <v>3</v>
      </c>
      <c r="N64" s="50">
        <v>0</v>
      </c>
      <c r="O64" s="15">
        <f t="shared" si="0"/>
        <v>3</v>
      </c>
      <c r="P64" s="15">
        <f t="shared" si="1"/>
        <v>6</v>
      </c>
      <c r="R64" s="8"/>
      <c r="T64"/>
    </row>
    <row r="65" spans="2:20" ht="23.1" customHeight="1" x14ac:dyDescent="0.25">
      <c r="B65" s="45" t="s">
        <v>158</v>
      </c>
      <c r="C65" s="50">
        <v>1</v>
      </c>
      <c r="D65" s="50">
        <v>0</v>
      </c>
      <c r="E65" s="50">
        <v>0</v>
      </c>
      <c r="F65" s="50">
        <v>0</v>
      </c>
      <c r="G65" s="50">
        <v>0</v>
      </c>
      <c r="H65" s="50">
        <v>0</v>
      </c>
      <c r="I65" s="50">
        <v>1</v>
      </c>
      <c r="J65" s="50">
        <v>0</v>
      </c>
      <c r="K65" s="50">
        <v>0</v>
      </c>
      <c r="L65" s="50">
        <v>0</v>
      </c>
      <c r="M65" s="50">
        <v>3</v>
      </c>
      <c r="N65" s="50">
        <v>0</v>
      </c>
      <c r="O65" s="15">
        <f t="shared" si="0"/>
        <v>2</v>
      </c>
      <c r="P65" s="15">
        <f t="shared" si="1"/>
        <v>5</v>
      </c>
      <c r="R65" s="8"/>
      <c r="T65"/>
    </row>
    <row r="66" spans="2:20" ht="23.1" customHeight="1" x14ac:dyDescent="0.25">
      <c r="B66" s="45" t="s">
        <v>103</v>
      </c>
      <c r="C66" s="50">
        <v>2</v>
      </c>
      <c r="D66" s="50">
        <v>1</v>
      </c>
      <c r="E66" s="50">
        <v>0</v>
      </c>
      <c r="F66" s="50">
        <v>0</v>
      </c>
      <c r="G66" s="50">
        <v>0</v>
      </c>
      <c r="H66" s="50">
        <v>0</v>
      </c>
      <c r="I66" s="50">
        <v>1</v>
      </c>
      <c r="J66" s="50">
        <v>0</v>
      </c>
      <c r="K66" s="50">
        <v>0</v>
      </c>
      <c r="L66" s="50">
        <v>0</v>
      </c>
      <c r="M66" s="50">
        <v>3</v>
      </c>
      <c r="N66" s="50">
        <v>0</v>
      </c>
      <c r="O66" s="15">
        <f t="shared" si="0"/>
        <v>4</v>
      </c>
      <c r="P66" s="15">
        <f t="shared" si="1"/>
        <v>7</v>
      </c>
      <c r="R66" s="8"/>
      <c r="T66"/>
    </row>
    <row r="67" spans="2:20" ht="23.1" customHeight="1" x14ac:dyDescent="0.25">
      <c r="B67" s="45" t="s">
        <v>104</v>
      </c>
      <c r="C67" s="50">
        <v>1</v>
      </c>
      <c r="D67" s="50">
        <v>0</v>
      </c>
      <c r="E67" s="50">
        <v>0</v>
      </c>
      <c r="F67" s="50">
        <v>0</v>
      </c>
      <c r="G67" s="50">
        <v>0</v>
      </c>
      <c r="H67" s="50">
        <v>0</v>
      </c>
      <c r="I67" s="50">
        <v>0</v>
      </c>
      <c r="J67" s="50">
        <v>0</v>
      </c>
      <c r="K67" s="50">
        <v>0</v>
      </c>
      <c r="L67" s="50">
        <v>0</v>
      </c>
      <c r="M67" s="50">
        <v>0</v>
      </c>
      <c r="N67" s="50">
        <v>0</v>
      </c>
      <c r="O67" s="15">
        <f t="shared" si="0"/>
        <v>1</v>
      </c>
      <c r="P67" s="15">
        <f t="shared" si="1"/>
        <v>1</v>
      </c>
      <c r="R67" s="8"/>
      <c r="T67"/>
    </row>
    <row r="68" spans="2:20" ht="23.1" customHeight="1" x14ac:dyDescent="0.25">
      <c r="B68" s="45" t="s">
        <v>105</v>
      </c>
      <c r="C68" s="50">
        <v>2</v>
      </c>
      <c r="D68" s="50">
        <v>0</v>
      </c>
      <c r="E68" s="50">
        <v>0</v>
      </c>
      <c r="F68" s="50">
        <v>1</v>
      </c>
      <c r="G68" s="50">
        <v>0</v>
      </c>
      <c r="H68" s="50">
        <v>0</v>
      </c>
      <c r="I68" s="50">
        <v>1</v>
      </c>
      <c r="J68" s="50">
        <v>0</v>
      </c>
      <c r="K68" s="50">
        <v>0</v>
      </c>
      <c r="L68" s="50">
        <v>0</v>
      </c>
      <c r="M68" s="50">
        <v>2</v>
      </c>
      <c r="N68" s="50">
        <v>0</v>
      </c>
      <c r="O68" s="15">
        <f t="shared" si="0"/>
        <v>4</v>
      </c>
      <c r="P68" s="15">
        <f t="shared" si="1"/>
        <v>6</v>
      </c>
      <c r="R68" s="8"/>
      <c r="T68"/>
    </row>
    <row r="69" spans="2:20" ht="23.1" customHeight="1" x14ac:dyDescent="0.25">
      <c r="B69" s="45" t="s">
        <v>106</v>
      </c>
      <c r="C69" s="50">
        <v>0</v>
      </c>
      <c r="D69" s="50">
        <v>0</v>
      </c>
      <c r="E69" s="50">
        <v>0</v>
      </c>
      <c r="F69" s="50">
        <v>0</v>
      </c>
      <c r="G69" s="50">
        <v>0</v>
      </c>
      <c r="H69" s="50">
        <v>0</v>
      </c>
      <c r="I69" s="50">
        <v>0</v>
      </c>
      <c r="J69" s="50">
        <v>0</v>
      </c>
      <c r="K69" s="50">
        <v>0</v>
      </c>
      <c r="L69" s="50">
        <v>0</v>
      </c>
      <c r="M69" s="50">
        <v>2</v>
      </c>
      <c r="N69" s="50">
        <v>0</v>
      </c>
      <c r="O69" s="15">
        <f t="shared" si="0"/>
        <v>0</v>
      </c>
      <c r="P69" s="15">
        <f t="shared" si="1"/>
        <v>2</v>
      </c>
      <c r="R69" s="8"/>
      <c r="T69"/>
    </row>
    <row r="70" spans="2:20" ht="23.1" customHeight="1" x14ac:dyDescent="0.25">
      <c r="B70" s="45" t="s">
        <v>110</v>
      </c>
      <c r="C70" s="50">
        <v>0</v>
      </c>
      <c r="D70" s="50">
        <v>0</v>
      </c>
      <c r="E70" s="50">
        <v>0</v>
      </c>
      <c r="F70" s="50">
        <v>0</v>
      </c>
      <c r="G70" s="50">
        <v>0</v>
      </c>
      <c r="H70" s="50">
        <v>0</v>
      </c>
      <c r="I70" s="50">
        <v>1</v>
      </c>
      <c r="J70" s="50">
        <v>0</v>
      </c>
      <c r="K70" s="50">
        <v>0</v>
      </c>
      <c r="L70" s="50">
        <v>0</v>
      </c>
      <c r="M70" s="50">
        <v>5</v>
      </c>
      <c r="N70" s="50">
        <v>0</v>
      </c>
      <c r="O70" s="15">
        <f t="shared" si="0"/>
        <v>1</v>
      </c>
      <c r="P70" s="15">
        <f t="shared" si="1"/>
        <v>6</v>
      </c>
      <c r="R70" s="8"/>
      <c r="T70"/>
    </row>
    <row r="71" spans="2:20" ht="23.1" customHeight="1" x14ac:dyDescent="0.25">
      <c r="B71" s="45" t="s">
        <v>111</v>
      </c>
      <c r="C71" s="50">
        <v>0</v>
      </c>
      <c r="D71" s="50">
        <v>0</v>
      </c>
      <c r="E71" s="50">
        <v>0</v>
      </c>
      <c r="F71" s="50">
        <v>0</v>
      </c>
      <c r="G71" s="50">
        <v>0</v>
      </c>
      <c r="H71" s="50">
        <v>0</v>
      </c>
      <c r="I71" s="50">
        <v>1</v>
      </c>
      <c r="J71" s="50">
        <v>0</v>
      </c>
      <c r="K71" s="50">
        <v>0</v>
      </c>
      <c r="L71" s="50">
        <v>0</v>
      </c>
      <c r="M71" s="50">
        <v>2</v>
      </c>
      <c r="N71" s="50">
        <v>0</v>
      </c>
      <c r="O71" s="15">
        <f t="shared" si="0"/>
        <v>1</v>
      </c>
      <c r="P71" s="15">
        <f t="shared" si="1"/>
        <v>3</v>
      </c>
      <c r="R71" s="8"/>
      <c r="T71"/>
    </row>
    <row r="72" spans="2:20" ht="23.1" customHeight="1" x14ac:dyDescent="0.25">
      <c r="B72" s="45" t="s">
        <v>112</v>
      </c>
      <c r="C72" s="50">
        <v>0</v>
      </c>
      <c r="D72" s="50">
        <v>0</v>
      </c>
      <c r="E72" s="50">
        <v>0</v>
      </c>
      <c r="F72" s="50">
        <v>0</v>
      </c>
      <c r="G72" s="50">
        <v>0</v>
      </c>
      <c r="H72" s="50">
        <v>0</v>
      </c>
      <c r="I72" s="50">
        <v>0</v>
      </c>
      <c r="J72" s="50">
        <v>2</v>
      </c>
      <c r="K72" s="50">
        <v>0</v>
      </c>
      <c r="L72" s="50">
        <v>0</v>
      </c>
      <c r="M72" s="50">
        <v>2</v>
      </c>
      <c r="N72" s="50">
        <v>0</v>
      </c>
      <c r="O72" s="15">
        <f t="shared" si="0"/>
        <v>2</v>
      </c>
      <c r="P72" s="15">
        <f t="shared" si="1"/>
        <v>4</v>
      </c>
      <c r="R72" s="8"/>
      <c r="T72"/>
    </row>
    <row r="73" spans="2:20" ht="23.1" customHeight="1" x14ac:dyDescent="0.25">
      <c r="B73" s="45" t="s">
        <v>113</v>
      </c>
      <c r="C73" s="50">
        <v>1</v>
      </c>
      <c r="D73" s="50">
        <v>0</v>
      </c>
      <c r="E73" s="50">
        <v>0</v>
      </c>
      <c r="F73" s="50">
        <v>0</v>
      </c>
      <c r="G73" s="50">
        <v>0</v>
      </c>
      <c r="H73" s="50">
        <v>0</v>
      </c>
      <c r="I73" s="50">
        <v>0</v>
      </c>
      <c r="J73" s="50">
        <v>0</v>
      </c>
      <c r="K73" s="50">
        <v>0</v>
      </c>
      <c r="L73" s="50">
        <v>0</v>
      </c>
      <c r="M73" s="50">
        <v>3</v>
      </c>
      <c r="N73" s="50">
        <v>0</v>
      </c>
      <c r="O73" s="15">
        <f t="shared" si="0"/>
        <v>1</v>
      </c>
      <c r="P73" s="15">
        <f t="shared" si="1"/>
        <v>4</v>
      </c>
      <c r="R73" s="8"/>
      <c r="T73"/>
    </row>
    <row r="74" spans="2:20" ht="23.1" customHeight="1" x14ac:dyDescent="0.25">
      <c r="B74" s="45" t="s">
        <v>114</v>
      </c>
      <c r="C74" s="50">
        <v>1</v>
      </c>
      <c r="D74" s="50">
        <v>0</v>
      </c>
      <c r="E74" s="50">
        <v>0</v>
      </c>
      <c r="F74" s="50">
        <v>0</v>
      </c>
      <c r="G74" s="50">
        <v>0</v>
      </c>
      <c r="H74" s="50">
        <v>0</v>
      </c>
      <c r="I74" s="50">
        <v>0</v>
      </c>
      <c r="J74" s="50">
        <v>0</v>
      </c>
      <c r="K74" s="50">
        <v>0</v>
      </c>
      <c r="L74" s="50">
        <v>2</v>
      </c>
      <c r="M74" s="50">
        <v>3</v>
      </c>
      <c r="N74" s="50">
        <v>0</v>
      </c>
      <c r="O74" s="15">
        <f t="shared" ref="O74:O105" si="35">SUM(C74:L74,N74)</f>
        <v>3</v>
      </c>
      <c r="P74" s="15">
        <f t="shared" ref="P74:P105" si="36">SUM(C74:N74)</f>
        <v>6</v>
      </c>
      <c r="R74" s="8"/>
      <c r="T74"/>
    </row>
    <row r="75" spans="2:20" ht="23.1" customHeight="1" x14ac:dyDescent="0.25">
      <c r="B75" s="45" t="s">
        <v>115</v>
      </c>
      <c r="C75" s="50">
        <v>1</v>
      </c>
      <c r="D75" s="50">
        <v>0</v>
      </c>
      <c r="E75" s="50">
        <v>0</v>
      </c>
      <c r="F75" s="50">
        <v>0</v>
      </c>
      <c r="G75" s="50">
        <v>0</v>
      </c>
      <c r="H75" s="50">
        <v>0</v>
      </c>
      <c r="I75" s="50">
        <v>1</v>
      </c>
      <c r="J75" s="50">
        <v>0</v>
      </c>
      <c r="K75" s="50">
        <v>1</v>
      </c>
      <c r="L75" s="50">
        <v>1</v>
      </c>
      <c r="M75" s="50">
        <v>1</v>
      </c>
      <c r="N75" s="50">
        <v>0</v>
      </c>
      <c r="O75" s="15">
        <f t="shared" si="35"/>
        <v>4</v>
      </c>
      <c r="P75" s="15">
        <f t="shared" si="36"/>
        <v>5</v>
      </c>
      <c r="R75" s="8"/>
      <c r="T75"/>
    </row>
    <row r="76" spans="2:20" ht="23.1" customHeight="1" x14ac:dyDescent="0.25">
      <c r="B76" s="45" t="s">
        <v>116</v>
      </c>
      <c r="C76" s="50">
        <v>1</v>
      </c>
      <c r="D76" s="50">
        <v>0</v>
      </c>
      <c r="E76" s="50">
        <v>0</v>
      </c>
      <c r="F76" s="50">
        <v>1</v>
      </c>
      <c r="G76" s="50">
        <v>0</v>
      </c>
      <c r="H76" s="50">
        <v>0</v>
      </c>
      <c r="I76" s="50">
        <v>0</v>
      </c>
      <c r="J76" s="50">
        <v>0</v>
      </c>
      <c r="K76" s="50">
        <v>0</v>
      </c>
      <c r="L76" s="50">
        <v>0</v>
      </c>
      <c r="M76" s="50">
        <v>0</v>
      </c>
      <c r="N76" s="50">
        <v>0</v>
      </c>
      <c r="O76" s="15">
        <f t="shared" si="35"/>
        <v>2</v>
      </c>
      <c r="P76" s="15">
        <f t="shared" si="36"/>
        <v>2</v>
      </c>
      <c r="R76" s="8"/>
      <c r="T76"/>
    </row>
    <row r="77" spans="2:20" ht="23.1" customHeight="1" x14ac:dyDescent="0.25">
      <c r="B77" s="45" t="s">
        <v>117</v>
      </c>
      <c r="C77" s="50">
        <v>1</v>
      </c>
      <c r="D77" s="50">
        <v>0</v>
      </c>
      <c r="E77" s="50">
        <v>0</v>
      </c>
      <c r="F77" s="50">
        <v>0</v>
      </c>
      <c r="G77" s="50">
        <v>0</v>
      </c>
      <c r="H77" s="50">
        <v>0</v>
      </c>
      <c r="I77" s="50">
        <v>0</v>
      </c>
      <c r="J77" s="50">
        <v>0</v>
      </c>
      <c r="K77" s="50">
        <v>0</v>
      </c>
      <c r="L77" s="50">
        <v>1</v>
      </c>
      <c r="M77" s="50">
        <v>1</v>
      </c>
      <c r="N77" s="50">
        <v>0</v>
      </c>
      <c r="O77" s="15">
        <f t="shared" si="35"/>
        <v>2</v>
      </c>
      <c r="P77" s="15">
        <f t="shared" si="36"/>
        <v>3</v>
      </c>
      <c r="R77" s="8"/>
      <c r="T77"/>
    </row>
    <row r="78" spans="2:20" ht="23.1" customHeight="1" x14ac:dyDescent="0.25">
      <c r="B78" s="46" t="s">
        <v>118</v>
      </c>
      <c r="C78" s="50">
        <v>2</v>
      </c>
      <c r="D78" s="50">
        <v>1</v>
      </c>
      <c r="E78" s="50">
        <v>0</v>
      </c>
      <c r="F78" s="50">
        <v>1</v>
      </c>
      <c r="G78" s="50">
        <v>0</v>
      </c>
      <c r="H78" s="50">
        <v>0</v>
      </c>
      <c r="I78" s="50">
        <v>0</v>
      </c>
      <c r="J78" s="50">
        <v>0</v>
      </c>
      <c r="K78" s="50">
        <v>0</v>
      </c>
      <c r="L78" s="50">
        <v>0</v>
      </c>
      <c r="M78" s="50">
        <v>2</v>
      </c>
      <c r="N78" s="50">
        <v>0</v>
      </c>
      <c r="O78" s="15">
        <f t="shared" si="35"/>
        <v>4</v>
      </c>
      <c r="P78" s="15">
        <f t="shared" si="36"/>
        <v>6</v>
      </c>
      <c r="R78" s="8"/>
      <c r="T78"/>
    </row>
    <row r="79" spans="2:20" ht="23.1" customHeight="1" x14ac:dyDescent="0.25">
      <c r="B79" s="45" t="s">
        <v>119</v>
      </c>
      <c r="C79" s="50">
        <v>0</v>
      </c>
      <c r="D79" s="50">
        <v>1</v>
      </c>
      <c r="E79" s="50">
        <v>0</v>
      </c>
      <c r="F79" s="50">
        <v>0</v>
      </c>
      <c r="G79" s="50">
        <v>0</v>
      </c>
      <c r="H79" s="50">
        <v>0</v>
      </c>
      <c r="I79" s="50">
        <v>0</v>
      </c>
      <c r="J79" s="50">
        <v>0</v>
      </c>
      <c r="K79" s="50">
        <v>2</v>
      </c>
      <c r="L79" s="50">
        <v>0</v>
      </c>
      <c r="M79" s="50">
        <v>1</v>
      </c>
      <c r="N79" s="50">
        <v>0</v>
      </c>
      <c r="O79" s="15">
        <f t="shared" si="35"/>
        <v>3</v>
      </c>
      <c r="P79" s="15">
        <f t="shared" si="36"/>
        <v>4</v>
      </c>
      <c r="R79" s="8"/>
      <c r="T79"/>
    </row>
    <row r="80" spans="2:20" ht="23.1" customHeight="1" x14ac:dyDescent="0.25">
      <c r="B80" s="47" t="s">
        <v>120</v>
      </c>
      <c r="C80" s="50">
        <v>0</v>
      </c>
      <c r="D80" s="50">
        <v>0</v>
      </c>
      <c r="E80" s="50">
        <v>0</v>
      </c>
      <c r="F80" s="50">
        <v>0</v>
      </c>
      <c r="G80" s="50">
        <v>0</v>
      </c>
      <c r="H80" s="50">
        <v>0</v>
      </c>
      <c r="I80" s="50">
        <v>0</v>
      </c>
      <c r="J80" s="50">
        <v>0</v>
      </c>
      <c r="K80" s="50">
        <v>2</v>
      </c>
      <c r="L80" s="50">
        <v>0</v>
      </c>
      <c r="M80" s="50">
        <v>1</v>
      </c>
      <c r="N80" s="50">
        <v>0</v>
      </c>
      <c r="O80" s="15">
        <f t="shared" si="35"/>
        <v>2</v>
      </c>
      <c r="P80" s="15">
        <f t="shared" si="36"/>
        <v>3</v>
      </c>
      <c r="R80" s="8"/>
      <c r="T80"/>
    </row>
    <row r="81" spans="2:20" ht="23.1" customHeight="1" x14ac:dyDescent="0.25">
      <c r="B81" s="45" t="s">
        <v>121</v>
      </c>
      <c r="C81" s="50">
        <v>0</v>
      </c>
      <c r="D81" s="50">
        <v>0</v>
      </c>
      <c r="E81" s="50">
        <v>0</v>
      </c>
      <c r="F81" s="50">
        <v>0</v>
      </c>
      <c r="G81" s="50">
        <v>0</v>
      </c>
      <c r="H81" s="50">
        <v>0</v>
      </c>
      <c r="I81" s="50">
        <v>0</v>
      </c>
      <c r="J81" s="50">
        <v>0</v>
      </c>
      <c r="K81" s="50">
        <v>1</v>
      </c>
      <c r="L81" s="50">
        <v>0</v>
      </c>
      <c r="M81" s="50">
        <v>1</v>
      </c>
      <c r="N81" s="50">
        <v>0</v>
      </c>
      <c r="O81" s="15">
        <f t="shared" si="35"/>
        <v>1</v>
      </c>
      <c r="P81" s="15">
        <f t="shared" si="36"/>
        <v>2</v>
      </c>
      <c r="R81" s="8"/>
      <c r="T81"/>
    </row>
    <row r="82" spans="2:20" ht="23.1" customHeight="1" x14ac:dyDescent="0.25">
      <c r="B82" s="46" t="s">
        <v>122</v>
      </c>
      <c r="C82" s="50">
        <v>0</v>
      </c>
      <c r="D82" s="50">
        <v>1</v>
      </c>
      <c r="E82" s="50">
        <v>0</v>
      </c>
      <c r="F82" s="50">
        <v>0</v>
      </c>
      <c r="G82" s="50">
        <v>0</v>
      </c>
      <c r="H82" s="50">
        <v>0</v>
      </c>
      <c r="I82" s="50">
        <v>0</v>
      </c>
      <c r="J82" s="50">
        <v>0</v>
      </c>
      <c r="K82" s="50">
        <v>0</v>
      </c>
      <c r="L82" s="50">
        <v>1</v>
      </c>
      <c r="M82" s="50">
        <v>1</v>
      </c>
      <c r="N82" s="50">
        <v>0</v>
      </c>
      <c r="O82" s="15">
        <f t="shared" si="35"/>
        <v>2</v>
      </c>
      <c r="P82" s="15">
        <f t="shared" si="36"/>
        <v>3</v>
      </c>
      <c r="R82" s="8"/>
      <c r="T82"/>
    </row>
    <row r="83" spans="2:20" ht="23.1" customHeight="1" x14ac:dyDescent="0.25">
      <c r="B83" s="45" t="s">
        <v>123</v>
      </c>
      <c r="C83" s="50">
        <v>0</v>
      </c>
      <c r="D83" s="50">
        <v>0</v>
      </c>
      <c r="E83" s="50">
        <v>0</v>
      </c>
      <c r="F83" s="50">
        <v>0</v>
      </c>
      <c r="G83" s="50">
        <v>0</v>
      </c>
      <c r="H83" s="50">
        <v>0</v>
      </c>
      <c r="I83" s="50">
        <v>0</v>
      </c>
      <c r="J83" s="50">
        <v>0</v>
      </c>
      <c r="K83" s="50">
        <v>0</v>
      </c>
      <c r="L83" s="50">
        <v>0</v>
      </c>
      <c r="M83" s="50">
        <v>1</v>
      </c>
      <c r="N83" s="50">
        <v>0</v>
      </c>
      <c r="O83" s="15">
        <f t="shared" si="35"/>
        <v>0</v>
      </c>
      <c r="P83" s="15">
        <f t="shared" si="36"/>
        <v>1</v>
      </c>
      <c r="R83" s="8"/>
      <c r="T83"/>
    </row>
    <row r="84" spans="2:20" ht="23.1" customHeight="1" x14ac:dyDescent="0.25">
      <c r="B84" s="47" t="s">
        <v>124</v>
      </c>
      <c r="C84" s="50">
        <v>0</v>
      </c>
      <c r="D84" s="50">
        <v>0</v>
      </c>
      <c r="E84" s="50">
        <v>0</v>
      </c>
      <c r="F84" s="50">
        <v>0</v>
      </c>
      <c r="G84" s="50">
        <v>0</v>
      </c>
      <c r="H84" s="50">
        <v>0</v>
      </c>
      <c r="I84" s="50">
        <v>0</v>
      </c>
      <c r="J84" s="50">
        <v>0</v>
      </c>
      <c r="K84" s="50">
        <v>0</v>
      </c>
      <c r="L84" s="50">
        <v>0</v>
      </c>
      <c r="M84" s="50">
        <v>1</v>
      </c>
      <c r="N84" s="50">
        <v>0</v>
      </c>
      <c r="O84" s="15">
        <f t="shared" si="35"/>
        <v>0</v>
      </c>
      <c r="P84" s="15">
        <f t="shared" si="36"/>
        <v>1</v>
      </c>
      <c r="R84" s="8"/>
      <c r="T84"/>
    </row>
    <row r="85" spans="2:20" ht="23.1" customHeight="1" x14ac:dyDescent="0.25">
      <c r="B85" s="45" t="s">
        <v>125</v>
      </c>
      <c r="C85" s="50">
        <v>0</v>
      </c>
      <c r="D85" s="50">
        <v>0</v>
      </c>
      <c r="E85" s="50">
        <v>0</v>
      </c>
      <c r="F85" s="50">
        <v>0</v>
      </c>
      <c r="G85" s="50">
        <v>0</v>
      </c>
      <c r="H85" s="50">
        <v>0</v>
      </c>
      <c r="I85" s="50">
        <v>0</v>
      </c>
      <c r="J85" s="50">
        <v>0</v>
      </c>
      <c r="K85" s="50">
        <v>1</v>
      </c>
      <c r="L85" s="50">
        <v>0</v>
      </c>
      <c r="M85" s="50">
        <v>0</v>
      </c>
      <c r="N85" s="50">
        <v>0</v>
      </c>
      <c r="O85" s="15">
        <f t="shared" si="35"/>
        <v>1</v>
      </c>
      <c r="P85" s="15">
        <f t="shared" si="36"/>
        <v>1</v>
      </c>
      <c r="R85" s="8"/>
      <c r="T85"/>
    </row>
    <row r="86" spans="2:20" ht="23.1" customHeight="1" x14ac:dyDescent="0.25">
      <c r="B86" s="46" t="s">
        <v>126</v>
      </c>
      <c r="C86" s="50">
        <v>0</v>
      </c>
      <c r="D86" s="50">
        <v>0</v>
      </c>
      <c r="E86" s="50">
        <v>0</v>
      </c>
      <c r="F86" s="50">
        <v>0</v>
      </c>
      <c r="G86" s="50">
        <v>0</v>
      </c>
      <c r="H86" s="50">
        <v>0</v>
      </c>
      <c r="I86" s="50">
        <v>0</v>
      </c>
      <c r="J86" s="50">
        <v>0</v>
      </c>
      <c r="K86" s="50">
        <v>0</v>
      </c>
      <c r="L86" s="50">
        <v>1</v>
      </c>
      <c r="M86" s="50">
        <v>0</v>
      </c>
      <c r="N86" s="50">
        <v>0</v>
      </c>
      <c r="O86" s="15">
        <f t="shared" si="35"/>
        <v>1</v>
      </c>
      <c r="P86" s="15">
        <f t="shared" si="36"/>
        <v>1</v>
      </c>
      <c r="R86" s="8"/>
      <c r="T86"/>
    </row>
    <row r="87" spans="2:20" ht="23.1" customHeight="1" x14ac:dyDescent="0.25">
      <c r="B87" s="45" t="s">
        <v>127</v>
      </c>
      <c r="C87" s="50">
        <v>1</v>
      </c>
      <c r="D87" s="50">
        <v>0</v>
      </c>
      <c r="E87" s="50">
        <v>0</v>
      </c>
      <c r="F87" s="50">
        <v>0</v>
      </c>
      <c r="G87" s="50">
        <v>0</v>
      </c>
      <c r="H87" s="50">
        <v>0</v>
      </c>
      <c r="I87" s="50">
        <v>0</v>
      </c>
      <c r="J87" s="50">
        <v>0</v>
      </c>
      <c r="K87" s="50">
        <v>1</v>
      </c>
      <c r="L87" s="50">
        <v>0</v>
      </c>
      <c r="M87" s="50">
        <v>0</v>
      </c>
      <c r="N87" s="50">
        <v>0</v>
      </c>
      <c r="O87" s="15">
        <f t="shared" si="35"/>
        <v>2</v>
      </c>
      <c r="P87" s="15">
        <f t="shared" si="36"/>
        <v>2</v>
      </c>
      <c r="R87" s="8"/>
      <c r="T87"/>
    </row>
    <row r="88" spans="2:20" ht="23.1" customHeight="1" x14ac:dyDescent="0.25">
      <c r="B88" s="47" t="s">
        <v>128</v>
      </c>
      <c r="C88" s="50">
        <v>0</v>
      </c>
      <c r="D88" s="50">
        <v>0</v>
      </c>
      <c r="E88" s="50">
        <v>0</v>
      </c>
      <c r="F88" s="50">
        <v>0</v>
      </c>
      <c r="G88" s="50">
        <v>0</v>
      </c>
      <c r="H88" s="50">
        <v>0</v>
      </c>
      <c r="I88" s="50">
        <v>0</v>
      </c>
      <c r="J88" s="50">
        <v>0</v>
      </c>
      <c r="K88" s="50">
        <v>0</v>
      </c>
      <c r="L88" s="50">
        <v>0</v>
      </c>
      <c r="M88" s="50">
        <v>1</v>
      </c>
      <c r="N88" s="50">
        <v>0</v>
      </c>
      <c r="O88" s="15">
        <f t="shared" si="35"/>
        <v>0</v>
      </c>
      <c r="P88" s="15">
        <f t="shared" si="36"/>
        <v>1</v>
      </c>
      <c r="R88" s="8"/>
      <c r="T88"/>
    </row>
    <row r="89" spans="2:20" ht="23.1" customHeight="1" x14ac:dyDescent="0.25">
      <c r="B89" s="45" t="s">
        <v>129</v>
      </c>
      <c r="C89" s="50">
        <v>0</v>
      </c>
      <c r="D89" s="50">
        <v>0</v>
      </c>
      <c r="E89" s="50">
        <v>0</v>
      </c>
      <c r="F89" s="50">
        <v>0</v>
      </c>
      <c r="G89" s="50">
        <v>0</v>
      </c>
      <c r="H89" s="50">
        <v>0</v>
      </c>
      <c r="I89" s="50">
        <v>0</v>
      </c>
      <c r="J89" s="50">
        <v>0</v>
      </c>
      <c r="K89" s="50">
        <v>0</v>
      </c>
      <c r="L89" s="50">
        <v>1</v>
      </c>
      <c r="M89" s="50">
        <v>0</v>
      </c>
      <c r="N89" s="50">
        <v>0</v>
      </c>
      <c r="O89" s="15">
        <f t="shared" si="35"/>
        <v>1</v>
      </c>
      <c r="P89" s="15">
        <f t="shared" si="36"/>
        <v>1</v>
      </c>
      <c r="R89" s="8"/>
      <c r="T89"/>
    </row>
    <row r="90" spans="2:20" ht="23.1" customHeight="1" x14ac:dyDescent="0.25">
      <c r="B90" s="46" t="s">
        <v>130</v>
      </c>
      <c r="C90" s="50">
        <v>0</v>
      </c>
      <c r="D90" s="50">
        <v>0</v>
      </c>
      <c r="E90" s="50">
        <v>1</v>
      </c>
      <c r="F90" s="50">
        <v>0</v>
      </c>
      <c r="G90" s="50">
        <v>0</v>
      </c>
      <c r="H90" s="50">
        <v>0</v>
      </c>
      <c r="I90" s="50">
        <v>0</v>
      </c>
      <c r="J90" s="50">
        <v>0</v>
      </c>
      <c r="K90" s="50">
        <v>1</v>
      </c>
      <c r="L90" s="50">
        <v>0</v>
      </c>
      <c r="M90" s="50">
        <v>0</v>
      </c>
      <c r="N90" s="50">
        <v>0</v>
      </c>
      <c r="O90" s="15">
        <f t="shared" si="35"/>
        <v>2</v>
      </c>
      <c r="P90" s="15">
        <f t="shared" si="36"/>
        <v>2</v>
      </c>
      <c r="R90" s="8"/>
      <c r="T90"/>
    </row>
    <row r="91" spans="2:20" ht="23.1" customHeight="1" x14ac:dyDescent="0.25">
      <c r="B91" s="45" t="s">
        <v>131</v>
      </c>
      <c r="C91" s="50">
        <v>1</v>
      </c>
      <c r="D91" s="50">
        <v>0</v>
      </c>
      <c r="E91" s="50">
        <v>0</v>
      </c>
      <c r="F91" s="50">
        <v>0</v>
      </c>
      <c r="G91" s="50">
        <v>0</v>
      </c>
      <c r="H91" s="50">
        <v>0</v>
      </c>
      <c r="I91" s="50">
        <v>0</v>
      </c>
      <c r="J91" s="50">
        <v>0</v>
      </c>
      <c r="K91" s="50">
        <v>1</v>
      </c>
      <c r="L91" s="50">
        <v>0</v>
      </c>
      <c r="M91" s="50">
        <v>0</v>
      </c>
      <c r="N91" s="50">
        <v>0</v>
      </c>
      <c r="O91" s="15">
        <f t="shared" si="35"/>
        <v>2</v>
      </c>
      <c r="P91" s="15">
        <f t="shared" si="36"/>
        <v>2</v>
      </c>
      <c r="R91" s="8"/>
      <c r="T91"/>
    </row>
    <row r="92" spans="2:20" ht="23.1" customHeight="1" x14ac:dyDescent="0.25">
      <c r="B92" s="47" t="s">
        <v>132</v>
      </c>
      <c r="C92" s="50">
        <v>0</v>
      </c>
      <c r="D92" s="50">
        <v>0</v>
      </c>
      <c r="E92" s="50">
        <v>0</v>
      </c>
      <c r="F92" s="50">
        <v>0</v>
      </c>
      <c r="G92" s="50">
        <v>0</v>
      </c>
      <c r="H92" s="50">
        <v>0</v>
      </c>
      <c r="I92" s="50">
        <v>0</v>
      </c>
      <c r="J92" s="50">
        <v>0</v>
      </c>
      <c r="K92" s="50">
        <v>0</v>
      </c>
      <c r="L92" s="50">
        <v>1</v>
      </c>
      <c r="M92" s="50">
        <v>0</v>
      </c>
      <c r="N92" s="50">
        <v>0</v>
      </c>
      <c r="O92" s="15">
        <f t="shared" si="35"/>
        <v>1</v>
      </c>
      <c r="P92" s="15">
        <f t="shared" si="36"/>
        <v>1</v>
      </c>
      <c r="R92" s="8"/>
      <c r="T92"/>
    </row>
    <row r="93" spans="2:20" ht="23.1" customHeight="1" x14ac:dyDescent="0.25">
      <c r="B93" s="45" t="s">
        <v>133</v>
      </c>
      <c r="C93" s="50">
        <v>3</v>
      </c>
      <c r="D93" s="50">
        <v>0</v>
      </c>
      <c r="E93" s="50">
        <v>0</v>
      </c>
      <c r="F93" s="50">
        <v>0</v>
      </c>
      <c r="G93" s="50">
        <v>0</v>
      </c>
      <c r="H93" s="50">
        <v>0</v>
      </c>
      <c r="I93" s="50">
        <v>0</v>
      </c>
      <c r="J93" s="50">
        <v>0</v>
      </c>
      <c r="K93" s="50">
        <v>0</v>
      </c>
      <c r="L93" s="50">
        <v>0</v>
      </c>
      <c r="M93" s="50">
        <v>0</v>
      </c>
      <c r="N93" s="50">
        <v>0</v>
      </c>
      <c r="O93" s="15">
        <f t="shared" si="35"/>
        <v>3</v>
      </c>
      <c r="P93" s="15">
        <f t="shared" si="36"/>
        <v>3</v>
      </c>
      <c r="R93" s="8"/>
      <c r="T93"/>
    </row>
    <row r="94" spans="2:20" ht="23.1" customHeight="1" x14ac:dyDescent="0.25">
      <c r="B94" s="46" t="s">
        <v>134</v>
      </c>
      <c r="C94" s="50">
        <v>0</v>
      </c>
      <c r="D94" s="50">
        <v>0</v>
      </c>
      <c r="E94" s="50">
        <v>0</v>
      </c>
      <c r="F94" s="50">
        <v>0</v>
      </c>
      <c r="G94" s="50">
        <v>0</v>
      </c>
      <c r="H94" s="50">
        <v>0</v>
      </c>
      <c r="I94" s="50">
        <v>0</v>
      </c>
      <c r="J94" s="50">
        <v>0</v>
      </c>
      <c r="K94" s="50">
        <v>0</v>
      </c>
      <c r="L94" s="50">
        <v>0</v>
      </c>
      <c r="M94" s="50">
        <v>1</v>
      </c>
      <c r="N94" s="50">
        <v>0</v>
      </c>
      <c r="O94" s="15">
        <f t="shared" si="35"/>
        <v>0</v>
      </c>
      <c r="P94" s="15">
        <f t="shared" si="36"/>
        <v>1</v>
      </c>
      <c r="R94" s="8"/>
      <c r="T94"/>
    </row>
    <row r="95" spans="2:20" ht="23.1" customHeight="1" x14ac:dyDescent="0.25">
      <c r="B95" s="45" t="s">
        <v>135</v>
      </c>
      <c r="C95" s="50">
        <v>0</v>
      </c>
      <c r="D95" s="50">
        <v>0</v>
      </c>
      <c r="E95" s="50">
        <v>0</v>
      </c>
      <c r="F95" s="50">
        <v>1</v>
      </c>
      <c r="G95" s="50">
        <v>0</v>
      </c>
      <c r="H95" s="50">
        <v>0</v>
      </c>
      <c r="I95" s="50">
        <v>0</v>
      </c>
      <c r="J95" s="50">
        <v>0</v>
      </c>
      <c r="K95" s="50">
        <v>0</v>
      </c>
      <c r="L95" s="50">
        <v>0</v>
      </c>
      <c r="M95" s="50">
        <v>0</v>
      </c>
      <c r="N95" s="50">
        <v>0</v>
      </c>
      <c r="O95" s="15">
        <f t="shared" si="35"/>
        <v>1</v>
      </c>
      <c r="P95" s="15">
        <f t="shared" si="36"/>
        <v>1</v>
      </c>
      <c r="R95" s="8"/>
      <c r="T95"/>
    </row>
    <row r="96" spans="2:20" ht="23.1" customHeight="1" x14ac:dyDescent="0.25">
      <c r="B96" s="47" t="s">
        <v>136</v>
      </c>
      <c r="C96" s="50">
        <v>0</v>
      </c>
      <c r="D96" s="50">
        <v>0</v>
      </c>
      <c r="E96" s="50">
        <v>0</v>
      </c>
      <c r="F96" s="50">
        <v>0</v>
      </c>
      <c r="G96" s="50">
        <v>0</v>
      </c>
      <c r="H96" s="50">
        <v>0</v>
      </c>
      <c r="I96" s="50">
        <v>0</v>
      </c>
      <c r="J96" s="50">
        <v>0</v>
      </c>
      <c r="K96" s="50">
        <v>0</v>
      </c>
      <c r="L96" s="50">
        <v>0</v>
      </c>
      <c r="M96" s="50">
        <v>0</v>
      </c>
      <c r="N96" s="50">
        <v>0</v>
      </c>
      <c r="O96" s="15">
        <f t="shared" si="35"/>
        <v>0</v>
      </c>
      <c r="P96" s="15">
        <f t="shared" si="36"/>
        <v>0</v>
      </c>
      <c r="R96" s="8"/>
      <c r="T96"/>
    </row>
    <row r="97" spans="2:20" ht="23.1" customHeight="1" x14ac:dyDescent="0.25">
      <c r="B97" s="45" t="s">
        <v>137</v>
      </c>
      <c r="C97" s="50">
        <v>0</v>
      </c>
      <c r="D97" s="50">
        <v>0</v>
      </c>
      <c r="E97" s="50">
        <v>0</v>
      </c>
      <c r="F97" s="50">
        <v>1</v>
      </c>
      <c r="G97" s="50">
        <v>0</v>
      </c>
      <c r="H97" s="50">
        <v>0</v>
      </c>
      <c r="I97" s="50">
        <v>0</v>
      </c>
      <c r="J97" s="50">
        <v>0</v>
      </c>
      <c r="K97" s="50">
        <v>0</v>
      </c>
      <c r="L97" s="50">
        <v>0</v>
      </c>
      <c r="M97" s="50">
        <v>0</v>
      </c>
      <c r="N97" s="50">
        <v>0</v>
      </c>
      <c r="O97" s="15">
        <f t="shared" si="35"/>
        <v>1</v>
      </c>
      <c r="P97" s="15">
        <f t="shared" si="36"/>
        <v>1</v>
      </c>
      <c r="R97" s="8"/>
      <c r="T97"/>
    </row>
    <row r="98" spans="2:20" ht="23.1" customHeight="1" x14ac:dyDescent="0.25">
      <c r="B98" s="46" t="s">
        <v>138</v>
      </c>
      <c r="C98" s="50">
        <v>1</v>
      </c>
      <c r="D98" s="50">
        <v>0</v>
      </c>
      <c r="E98" s="50">
        <v>0</v>
      </c>
      <c r="F98" s="50">
        <v>0</v>
      </c>
      <c r="G98" s="50">
        <v>0</v>
      </c>
      <c r="H98" s="50">
        <v>0</v>
      </c>
      <c r="I98" s="50">
        <v>0</v>
      </c>
      <c r="J98" s="50">
        <v>0</v>
      </c>
      <c r="K98" s="50">
        <v>0</v>
      </c>
      <c r="L98" s="50">
        <v>0</v>
      </c>
      <c r="M98" s="50">
        <v>0</v>
      </c>
      <c r="N98" s="50">
        <v>0</v>
      </c>
      <c r="O98" s="15">
        <f t="shared" si="35"/>
        <v>1</v>
      </c>
      <c r="P98" s="15">
        <f t="shared" si="36"/>
        <v>1</v>
      </c>
      <c r="R98" s="8"/>
      <c r="T98"/>
    </row>
    <row r="99" spans="2:20" ht="23.1" customHeight="1" x14ac:dyDescent="0.25">
      <c r="B99" s="45" t="s">
        <v>139</v>
      </c>
      <c r="C99" s="50">
        <v>1</v>
      </c>
      <c r="D99" s="50">
        <v>0</v>
      </c>
      <c r="E99" s="50">
        <v>0</v>
      </c>
      <c r="F99" s="50">
        <v>0</v>
      </c>
      <c r="G99" s="50">
        <v>0</v>
      </c>
      <c r="H99" s="50">
        <v>0</v>
      </c>
      <c r="I99" s="50">
        <v>0</v>
      </c>
      <c r="J99" s="50">
        <v>0</v>
      </c>
      <c r="K99" s="50">
        <v>0</v>
      </c>
      <c r="L99" s="50">
        <v>0</v>
      </c>
      <c r="M99" s="50">
        <v>1</v>
      </c>
      <c r="N99" s="50">
        <v>0</v>
      </c>
      <c r="O99" s="15">
        <f t="shared" si="35"/>
        <v>1</v>
      </c>
      <c r="P99" s="15">
        <f t="shared" si="36"/>
        <v>2</v>
      </c>
      <c r="R99" s="8"/>
      <c r="T99"/>
    </row>
    <row r="100" spans="2:20" ht="23.1" customHeight="1" x14ac:dyDescent="0.25">
      <c r="B100" s="47" t="s">
        <v>140</v>
      </c>
      <c r="C100" s="50">
        <v>0</v>
      </c>
      <c r="D100" s="50">
        <v>0</v>
      </c>
      <c r="E100" s="50">
        <v>0</v>
      </c>
      <c r="F100" s="50">
        <v>0</v>
      </c>
      <c r="G100" s="50">
        <v>0</v>
      </c>
      <c r="H100" s="50">
        <v>0</v>
      </c>
      <c r="I100" s="50">
        <v>0</v>
      </c>
      <c r="J100" s="50">
        <v>0</v>
      </c>
      <c r="K100" s="50">
        <v>0</v>
      </c>
      <c r="L100" s="50">
        <v>0</v>
      </c>
      <c r="M100" s="50">
        <v>0</v>
      </c>
      <c r="N100" s="50">
        <v>0</v>
      </c>
      <c r="O100" s="15">
        <f t="shared" si="35"/>
        <v>0</v>
      </c>
      <c r="P100" s="15">
        <f t="shared" si="36"/>
        <v>0</v>
      </c>
      <c r="R100" s="8"/>
      <c r="T100"/>
    </row>
    <row r="101" spans="2:20" ht="23.1" customHeight="1" x14ac:dyDescent="0.25">
      <c r="B101" s="45" t="s">
        <v>141</v>
      </c>
      <c r="C101" s="50">
        <v>0</v>
      </c>
      <c r="D101" s="50">
        <v>0</v>
      </c>
      <c r="E101" s="50">
        <v>0</v>
      </c>
      <c r="F101" s="50">
        <v>1</v>
      </c>
      <c r="G101" s="50">
        <v>0</v>
      </c>
      <c r="H101" s="50">
        <v>0</v>
      </c>
      <c r="I101" s="50">
        <v>0</v>
      </c>
      <c r="J101" s="50">
        <v>0</v>
      </c>
      <c r="K101" s="50">
        <v>0</v>
      </c>
      <c r="L101" s="50">
        <v>0</v>
      </c>
      <c r="M101" s="50">
        <v>3</v>
      </c>
      <c r="N101" s="50">
        <v>0</v>
      </c>
      <c r="O101" s="15">
        <f t="shared" si="35"/>
        <v>1</v>
      </c>
      <c r="P101" s="15">
        <f t="shared" si="36"/>
        <v>4</v>
      </c>
      <c r="R101" s="8"/>
      <c r="T101"/>
    </row>
    <row r="102" spans="2:20" ht="23.1" customHeight="1" x14ac:dyDescent="0.25">
      <c r="B102" s="46" t="s">
        <v>142</v>
      </c>
      <c r="C102" s="50">
        <v>1</v>
      </c>
      <c r="D102" s="50">
        <v>0</v>
      </c>
      <c r="E102" s="50">
        <v>0</v>
      </c>
      <c r="F102" s="50">
        <v>0</v>
      </c>
      <c r="G102" s="50">
        <v>0</v>
      </c>
      <c r="H102" s="50">
        <v>0</v>
      </c>
      <c r="I102" s="50">
        <v>0</v>
      </c>
      <c r="J102" s="50">
        <v>0</v>
      </c>
      <c r="K102" s="50">
        <v>0</v>
      </c>
      <c r="L102" s="50">
        <v>0</v>
      </c>
      <c r="M102" s="50">
        <v>1</v>
      </c>
      <c r="N102" s="50">
        <v>0</v>
      </c>
      <c r="O102" s="15">
        <f t="shared" si="35"/>
        <v>1</v>
      </c>
      <c r="P102" s="15">
        <f t="shared" si="36"/>
        <v>2</v>
      </c>
      <c r="R102" s="8"/>
      <c r="T102"/>
    </row>
    <row r="103" spans="2:20" ht="23.1" customHeight="1" x14ac:dyDescent="0.25">
      <c r="B103" s="45" t="s">
        <v>143</v>
      </c>
      <c r="C103" s="50">
        <v>1</v>
      </c>
      <c r="D103" s="50">
        <v>0</v>
      </c>
      <c r="E103" s="50">
        <v>0</v>
      </c>
      <c r="F103" s="50">
        <v>0</v>
      </c>
      <c r="G103" s="50">
        <v>0</v>
      </c>
      <c r="H103" s="50">
        <v>0</v>
      </c>
      <c r="I103" s="50">
        <v>0</v>
      </c>
      <c r="J103" s="50">
        <v>0</v>
      </c>
      <c r="K103" s="50">
        <v>0</v>
      </c>
      <c r="L103" s="50">
        <v>0</v>
      </c>
      <c r="M103" s="50">
        <v>0</v>
      </c>
      <c r="N103" s="50">
        <v>0</v>
      </c>
      <c r="O103" s="15">
        <f t="shared" si="35"/>
        <v>1</v>
      </c>
      <c r="P103" s="15">
        <f t="shared" si="36"/>
        <v>1</v>
      </c>
      <c r="R103" s="8"/>
      <c r="T103"/>
    </row>
    <row r="104" spans="2:20" ht="23.1" customHeight="1" x14ac:dyDescent="0.25">
      <c r="B104" s="47" t="s">
        <v>144</v>
      </c>
      <c r="C104" s="50">
        <v>0</v>
      </c>
      <c r="D104" s="50">
        <v>1</v>
      </c>
      <c r="E104" s="50">
        <v>2</v>
      </c>
      <c r="F104" s="50">
        <v>2</v>
      </c>
      <c r="G104" s="50">
        <v>0</v>
      </c>
      <c r="H104" s="50">
        <v>0</v>
      </c>
      <c r="I104" s="50">
        <v>0</v>
      </c>
      <c r="J104" s="50">
        <v>0</v>
      </c>
      <c r="K104" s="50">
        <v>0</v>
      </c>
      <c r="L104" s="50">
        <v>0</v>
      </c>
      <c r="M104" s="50">
        <v>6</v>
      </c>
      <c r="N104" s="50">
        <v>0</v>
      </c>
      <c r="O104" s="15">
        <f t="shared" si="35"/>
        <v>5</v>
      </c>
      <c r="P104" s="15">
        <f t="shared" si="36"/>
        <v>11</v>
      </c>
      <c r="R104" s="8"/>
      <c r="T104"/>
    </row>
    <row r="105" spans="2:20" ht="23.1" customHeight="1" x14ac:dyDescent="0.25">
      <c r="B105" s="45" t="s">
        <v>145</v>
      </c>
      <c r="C105" s="50">
        <v>0</v>
      </c>
      <c r="D105" s="50">
        <v>0</v>
      </c>
      <c r="E105" s="50">
        <v>0</v>
      </c>
      <c r="F105" s="50">
        <v>1</v>
      </c>
      <c r="G105" s="50">
        <v>0</v>
      </c>
      <c r="H105" s="50">
        <v>1</v>
      </c>
      <c r="I105" s="50">
        <v>0</v>
      </c>
      <c r="J105" s="50">
        <v>0</v>
      </c>
      <c r="K105" s="50">
        <v>0</v>
      </c>
      <c r="L105" s="50">
        <v>0</v>
      </c>
      <c r="M105" s="50">
        <v>1</v>
      </c>
      <c r="N105" s="50">
        <v>0</v>
      </c>
      <c r="O105" s="15">
        <f t="shared" si="35"/>
        <v>2</v>
      </c>
      <c r="P105" s="15">
        <f t="shared" si="36"/>
        <v>3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68</v>
      </c>
      <c r="D106" s="16">
        <f t="shared" ref="D106:P106" si="37">SUM(D10:D105)</f>
        <v>50</v>
      </c>
      <c r="E106" s="16">
        <f t="shared" si="37"/>
        <v>15</v>
      </c>
      <c r="F106" s="16">
        <f t="shared" si="37"/>
        <v>30</v>
      </c>
      <c r="G106" s="16">
        <f t="shared" si="37"/>
        <v>11</v>
      </c>
      <c r="H106" s="16">
        <f t="shared" si="37"/>
        <v>1</v>
      </c>
      <c r="I106" s="16">
        <f t="shared" si="37"/>
        <v>49</v>
      </c>
      <c r="J106" s="16">
        <f t="shared" si="37"/>
        <v>17</v>
      </c>
      <c r="K106" s="16">
        <f t="shared" si="37"/>
        <v>33</v>
      </c>
      <c r="L106" s="16">
        <f t="shared" si="37"/>
        <v>8</v>
      </c>
      <c r="M106" s="16">
        <f t="shared" si="37"/>
        <v>421</v>
      </c>
      <c r="N106" s="16">
        <f t="shared" si="37"/>
        <v>1</v>
      </c>
      <c r="O106" s="16">
        <f t="shared" si="37"/>
        <v>283</v>
      </c>
      <c r="P106" s="16">
        <f t="shared" si="37"/>
        <v>704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9.6590909090909088E-2</v>
      </c>
      <c r="D107" s="43">
        <f t="shared" si="38"/>
        <v>7.1022727272727279E-2</v>
      </c>
      <c r="E107" s="43">
        <f t="shared" si="38"/>
        <v>2.130681818181818E-2</v>
      </c>
      <c r="F107" s="43">
        <f t="shared" si="38"/>
        <v>4.261363636363636E-2</v>
      </c>
      <c r="G107" s="43">
        <f t="shared" si="38"/>
        <v>1.5625E-2</v>
      </c>
      <c r="H107" s="43">
        <f t="shared" si="38"/>
        <v>1.4204545454545455E-3</v>
      </c>
      <c r="I107" s="43">
        <f t="shared" si="38"/>
        <v>6.9602272727272721E-2</v>
      </c>
      <c r="J107" s="43">
        <f t="shared" si="38"/>
        <v>2.4147727272727272E-2</v>
      </c>
      <c r="K107" s="43">
        <f t="shared" si="38"/>
        <v>4.6875E-2</v>
      </c>
      <c r="L107" s="43">
        <f t="shared" si="38"/>
        <v>1.1363636363636364E-2</v>
      </c>
      <c r="M107" s="43">
        <f t="shared" si="38"/>
        <v>0.59801136363636365</v>
      </c>
      <c r="N107" s="43">
        <f t="shared" si="38"/>
        <v>1.4204545454545455E-3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0.24028268551236748</v>
      </c>
      <c r="D108" s="44">
        <f t="shared" ref="D108:N108" si="39">D106/$O$106</f>
        <v>0.17667844522968199</v>
      </c>
      <c r="E108" s="44">
        <f t="shared" si="39"/>
        <v>5.3003533568904596E-2</v>
      </c>
      <c r="F108" s="44">
        <f t="shared" si="39"/>
        <v>0.10600706713780919</v>
      </c>
      <c r="G108" s="44">
        <f t="shared" si="39"/>
        <v>3.8869257950530034E-2</v>
      </c>
      <c r="H108" s="44">
        <f t="shared" si="39"/>
        <v>3.5335689045936395E-3</v>
      </c>
      <c r="I108" s="44">
        <f t="shared" si="39"/>
        <v>0.17314487632508835</v>
      </c>
      <c r="J108" s="44">
        <f t="shared" si="39"/>
        <v>6.0070671378091869E-2</v>
      </c>
      <c r="K108" s="44">
        <f t="shared" si="39"/>
        <v>0.1166077738515901</v>
      </c>
      <c r="L108" s="44">
        <f t="shared" si="39"/>
        <v>2.8268551236749116E-2</v>
      </c>
      <c r="M108" s="44"/>
      <c r="N108" s="44">
        <f t="shared" si="39"/>
        <v>3.5335689045936395E-3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249977111117893"/>
  </sheetPr>
  <dimension ref="B1:AF174"/>
  <sheetViews>
    <sheetView view="pageBreakPreview" topLeftCell="A46" zoomScaleSheetLayoutView="100" workbookViewId="0">
      <selection activeCell="G17" sqref="G1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1" t="s">
        <v>23</v>
      </c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</row>
    <row r="2" spans="2:32" ht="20.100000000000001" customHeight="1" x14ac:dyDescent="0.25">
      <c r="B2" s="62" t="s">
        <v>95</v>
      </c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</row>
    <row r="3" spans="2:32" ht="20.100000000000001" customHeight="1" x14ac:dyDescent="0.25">
      <c r="B3" s="22" t="s">
        <v>96</v>
      </c>
      <c r="C3" s="63" t="str">
        <f>'17.10 SSEMBABULE-KANONI'!C3:G3</f>
        <v>SSEMBABULE-KABULASOKE ROAD</v>
      </c>
      <c r="D3" s="63"/>
      <c r="E3" s="63"/>
      <c r="F3" s="63"/>
      <c r="G3" s="63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51" t="str">
        <f>'19.10  SSEMBABULE- KANONI-24h'!D5</f>
        <v>19.10.2019</v>
      </c>
      <c r="E5" s="3"/>
      <c r="F5" s="41" t="s">
        <v>1</v>
      </c>
      <c r="G5" s="58" t="str">
        <f>'19.10  SSEMBABULE- KANONI-24h'!G5:H5</f>
        <v>KYABI</v>
      </c>
      <c r="H5" s="59"/>
      <c r="I5" s="14"/>
      <c r="J5" s="2" t="s">
        <v>5</v>
      </c>
      <c r="K5" s="58" t="s">
        <v>174</v>
      </c>
      <c r="L5" s="59"/>
      <c r="M5" s="10"/>
      <c r="N5" s="10"/>
      <c r="O5" s="3"/>
      <c r="P5" s="3"/>
    </row>
    <row r="6" spans="2:32" ht="23.25" customHeight="1" x14ac:dyDescent="0.25">
      <c r="C6" s="2" t="s">
        <v>4</v>
      </c>
      <c r="D6" s="58" t="s">
        <v>168</v>
      </c>
      <c r="E6" s="59"/>
      <c r="F6" s="2" t="s">
        <v>2</v>
      </c>
      <c r="G6" s="58" t="s">
        <v>167</v>
      </c>
      <c r="H6" s="59"/>
      <c r="J6" s="2" t="s">
        <v>21</v>
      </c>
      <c r="K6" s="58" t="str">
        <f>'19.10  SSEMBABULE- KANONI-24h'!K6:L6</f>
        <v>ONYUTI BETTY</v>
      </c>
      <c r="L6" s="59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0" t="s">
        <v>88</v>
      </c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0</v>
      </c>
      <c r="D10" s="50">
        <v>0</v>
      </c>
      <c r="E10" s="50">
        <v>0</v>
      </c>
      <c r="F10" s="50">
        <v>3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3</v>
      </c>
      <c r="N10" s="50">
        <v>0</v>
      </c>
      <c r="O10" s="15">
        <f t="shared" ref="O10:O73" si="0">SUM(C10:L10,N10)</f>
        <v>3</v>
      </c>
      <c r="P10" s="15">
        <f t="shared" ref="P10:P73" si="1">SUM(C10:N10)</f>
        <v>6</v>
      </c>
      <c r="R10" s="1" t="s">
        <v>6</v>
      </c>
      <c r="S10" s="17">
        <f t="shared" ref="S10:AF10" si="2">SUM(C10:C13)</f>
        <v>5</v>
      </c>
      <c r="T10" s="17">
        <f t="shared" si="2"/>
        <v>0</v>
      </c>
      <c r="U10" s="17">
        <f t="shared" si="2"/>
        <v>0</v>
      </c>
      <c r="V10" s="17">
        <f t="shared" si="2"/>
        <v>5</v>
      </c>
      <c r="W10" s="17">
        <f t="shared" si="2"/>
        <v>0</v>
      </c>
      <c r="X10" s="17">
        <f t="shared" si="2"/>
        <v>0</v>
      </c>
      <c r="Y10" s="17">
        <f t="shared" si="2"/>
        <v>4</v>
      </c>
      <c r="Z10" s="17">
        <f t="shared" si="2"/>
        <v>5</v>
      </c>
      <c r="AA10" s="17">
        <f t="shared" si="2"/>
        <v>0</v>
      </c>
      <c r="AB10" s="17">
        <f t="shared" si="2"/>
        <v>0</v>
      </c>
      <c r="AC10" s="17">
        <f t="shared" si="2"/>
        <v>18</v>
      </c>
      <c r="AD10" s="17">
        <f t="shared" si="2"/>
        <v>0</v>
      </c>
      <c r="AE10" s="31">
        <f t="shared" si="2"/>
        <v>19</v>
      </c>
      <c r="AF10" s="31">
        <f t="shared" si="2"/>
        <v>37</v>
      </c>
    </row>
    <row r="11" spans="2:32" s="6" customFormat="1" ht="23.1" customHeight="1" x14ac:dyDescent="0.25">
      <c r="B11" s="45" t="s">
        <v>38</v>
      </c>
      <c r="C11" s="50">
        <v>0</v>
      </c>
      <c r="D11" s="50">
        <v>0</v>
      </c>
      <c r="E11" s="50">
        <v>0</v>
      </c>
      <c r="F11" s="50">
        <v>0</v>
      </c>
      <c r="G11" s="50">
        <v>0</v>
      </c>
      <c r="H11" s="50">
        <v>0</v>
      </c>
      <c r="I11" s="50">
        <v>2</v>
      </c>
      <c r="J11" s="50">
        <v>0</v>
      </c>
      <c r="K11" s="50">
        <v>0</v>
      </c>
      <c r="L11" s="50">
        <v>0</v>
      </c>
      <c r="M11" s="50">
        <v>6</v>
      </c>
      <c r="N11" s="50">
        <v>0</v>
      </c>
      <c r="O11" s="15">
        <f t="shared" si="0"/>
        <v>2</v>
      </c>
      <c r="P11" s="15">
        <f t="shared" si="1"/>
        <v>8</v>
      </c>
      <c r="R11" s="1" t="s">
        <v>7</v>
      </c>
      <c r="S11" s="17">
        <f t="shared" ref="S11:AF11" si="3">SUM(C14:C17)</f>
        <v>2</v>
      </c>
      <c r="T11" s="17">
        <f t="shared" si="3"/>
        <v>2</v>
      </c>
      <c r="U11" s="17">
        <f t="shared" si="3"/>
        <v>0</v>
      </c>
      <c r="V11" s="17">
        <f t="shared" si="3"/>
        <v>3</v>
      </c>
      <c r="W11" s="17">
        <f t="shared" si="3"/>
        <v>0</v>
      </c>
      <c r="X11" s="17">
        <f t="shared" si="3"/>
        <v>0</v>
      </c>
      <c r="Y11" s="17">
        <f t="shared" si="3"/>
        <v>1</v>
      </c>
      <c r="Z11" s="17">
        <f t="shared" si="3"/>
        <v>0</v>
      </c>
      <c r="AA11" s="17">
        <f t="shared" si="3"/>
        <v>0</v>
      </c>
      <c r="AB11" s="17">
        <f t="shared" si="3"/>
        <v>0</v>
      </c>
      <c r="AC11" s="17">
        <f t="shared" si="3"/>
        <v>17</v>
      </c>
      <c r="AD11" s="17">
        <f t="shared" si="3"/>
        <v>0</v>
      </c>
      <c r="AE11" s="31">
        <f t="shared" si="3"/>
        <v>8</v>
      </c>
      <c r="AF11" s="31">
        <f t="shared" si="3"/>
        <v>25</v>
      </c>
    </row>
    <row r="12" spans="2:32" ht="23.1" customHeight="1" x14ac:dyDescent="0.25">
      <c r="B12" s="45" t="s">
        <v>39</v>
      </c>
      <c r="C12" s="50">
        <v>5</v>
      </c>
      <c r="D12" s="50">
        <v>0</v>
      </c>
      <c r="E12" s="50">
        <v>0</v>
      </c>
      <c r="F12" s="50">
        <v>0</v>
      </c>
      <c r="G12" s="50">
        <v>0</v>
      </c>
      <c r="H12" s="50">
        <v>0</v>
      </c>
      <c r="I12" s="50">
        <v>1</v>
      </c>
      <c r="J12" s="50">
        <v>4</v>
      </c>
      <c r="K12" s="50">
        <v>0</v>
      </c>
      <c r="L12" s="50">
        <v>0</v>
      </c>
      <c r="M12" s="50">
        <v>4</v>
      </c>
      <c r="N12" s="50">
        <v>0</v>
      </c>
      <c r="O12" s="15">
        <f t="shared" si="0"/>
        <v>10</v>
      </c>
      <c r="P12" s="15">
        <f t="shared" si="1"/>
        <v>14</v>
      </c>
      <c r="R12" s="1" t="s">
        <v>8</v>
      </c>
      <c r="S12" s="17">
        <f t="shared" ref="S12:AF12" si="4">SUM(C18:C21)</f>
        <v>2</v>
      </c>
      <c r="T12" s="17">
        <f t="shared" si="4"/>
        <v>2</v>
      </c>
      <c r="U12" s="17">
        <f t="shared" si="4"/>
        <v>0</v>
      </c>
      <c r="V12" s="17">
        <f t="shared" si="4"/>
        <v>1</v>
      </c>
      <c r="W12" s="17">
        <f t="shared" si="4"/>
        <v>0</v>
      </c>
      <c r="X12" s="17">
        <f t="shared" si="4"/>
        <v>0</v>
      </c>
      <c r="Y12" s="17">
        <f t="shared" si="4"/>
        <v>2</v>
      </c>
      <c r="Z12" s="17">
        <f t="shared" si="4"/>
        <v>0</v>
      </c>
      <c r="AA12" s="17">
        <f t="shared" si="4"/>
        <v>2</v>
      </c>
      <c r="AB12" s="17">
        <f t="shared" si="4"/>
        <v>1</v>
      </c>
      <c r="AC12" s="17">
        <f t="shared" si="4"/>
        <v>23</v>
      </c>
      <c r="AD12" s="17">
        <f t="shared" si="4"/>
        <v>0</v>
      </c>
      <c r="AE12" s="31">
        <f t="shared" si="4"/>
        <v>10</v>
      </c>
      <c r="AF12" s="31">
        <f t="shared" si="4"/>
        <v>33</v>
      </c>
    </row>
    <row r="13" spans="2:32" ht="23.1" customHeight="1" x14ac:dyDescent="0.25">
      <c r="B13" s="45" t="s">
        <v>40</v>
      </c>
      <c r="C13" s="50">
        <v>0</v>
      </c>
      <c r="D13" s="50">
        <v>0</v>
      </c>
      <c r="E13" s="50">
        <v>0</v>
      </c>
      <c r="F13" s="50">
        <v>2</v>
      </c>
      <c r="G13" s="50">
        <v>0</v>
      </c>
      <c r="H13" s="50">
        <v>0</v>
      </c>
      <c r="I13" s="50">
        <v>1</v>
      </c>
      <c r="J13" s="50">
        <v>1</v>
      </c>
      <c r="K13" s="50">
        <v>0</v>
      </c>
      <c r="L13" s="50">
        <v>0</v>
      </c>
      <c r="M13" s="50">
        <v>5</v>
      </c>
      <c r="N13" s="50">
        <v>0</v>
      </c>
      <c r="O13" s="15">
        <f t="shared" si="0"/>
        <v>4</v>
      </c>
      <c r="P13" s="15">
        <f t="shared" si="1"/>
        <v>9</v>
      </c>
      <c r="R13" s="1" t="s">
        <v>9</v>
      </c>
      <c r="S13" s="17">
        <f t="shared" ref="S13:AF13" si="5">SUM(C22:C25)</f>
        <v>2</v>
      </c>
      <c r="T13" s="17">
        <f t="shared" si="5"/>
        <v>9</v>
      </c>
      <c r="U13" s="17">
        <f t="shared" si="5"/>
        <v>0</v>
      </c>
      <c r="V13" s="17">
        <f t="shared" si="5"/>
        <v>0</v>
      </c>
      <c r="W13" s="17">
        <f t="shared" si="5"/>
        <v>0</v>
      </c>
      <c r="X13" s="17">
        <f t="shared" si="5"/>
        <v>0</v>
      </c>
      <c r="Y13" s="17">
        <f t="shared" si="5"/>
        <v>0</v>
      </c>
      <c r="Z13" s="17">
        <f t="shared" si="5"/>
        <v>0</v>
      </c>
      <c r="AA13" s="17">
        <f t="shared" si="5"/>
        <v>9</v>
      </c>
      <c r="AB13" s="17">
        <f t="shared" si="5"/>
        <v>0</v>
      </c>
      <c r="AC13" s="17">
        <f t="shared" si="5"/>
        <v>43</v>
      </c>
      <c r="AD13" s="17">
        <f t="shared" si="5"/>
        <v>0</v>
      </c>
      <c r="AE13" s="31">
        <f t="shared" si="5"/>
        <v>20</v>
      </c>
      <c r="AF13" s="31">
        <f t="shared" si="5"/>
        <v>63</v>
      </c>
    </row>
    <row r="14" spans="2:32" ht="23.1" customHeight="1" x14ac:dyDescent="0.25">
      <c r="B14" s="45" t="s">
        <v>41</v>
      </c>
      <c r="C14" s="50">
        <v>1</v>
      </c>
      <c r="D14" s="50">
        <v>1</v>
      </c>
      <c r="E14" s="50">
        <v>0</v>
      </c>
      <c r="F14" s="50">
        <v>0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5</v>
      </c>
      <c r="N14" s="50">
        <v>0</v>
      </c>
      <c r="O14" s="15">
        <f t="shared" si="0"/>
        <v>2</v>
      </c>
      <c r="P14" s="15">
        <f t="shared" si="1"/>
        <v>7</v>
      </c>
      <c r="R14" s="1" t="s">
        <v>10</v>
      </c>
      <c r="S14" s="17">
        <f t="shared" ref="S14:AF14" si="6">SUM(C26:C29)</f>
        <v>1</v>
      </c>
      <c r="T14" s="17">
        <f t="shared" si="6"/>
        <v>5</v>
      </c>
      <c r="U14" s="17">
        <f t="shared" si="6"/>
        <v>0</v>
      </c>
      <c r="V14" s="17">
        <f t="shared" si="6"/>
        <v>4</v>
      </c>
      <c r="W14" s="17">
        <f t="shared" si="6"/>
        <v>0</v>
      </c>
      <c r="X14" s="17">
        <f t="shared" si="6"/>
        <v>0</v>
      </c>
      <c r="Y14" s="17">
        <f t="shared" si="6"/>
        <v>0</v>
      </c>
      <c r="Z14" s="17">
        <f t="shared" si="6"/>
        <v>2</v>
      </c>
      <c r="AA14" s="17">
        <f t="shared" si="6"/>
        <v>3</v>
      </c>
      <c r="AB14" s="17">
        <f t="shared" si="6"/>
        <v>0</v>
      </c>
      <c r="AC14" s="17">
        <f t="shared" si="6"/>
        <v>38</v>
      </c>
      <c r="AD14" s="17">
        <f t="shared" si="6"/>
        <v>0</v>
      </c>
      <c r="AE14" s="31">
        <f t="shared" si="6"/>
        <v>15</v>
      </c>
      <c r="AF14" s="31">
        <f t="shared" si="6"/>
        <v>53</v>
      </c>
    </row>
    <row r="15" spans="2:32" ht="23.1" customHeight="1" x14ac:dyDescent="0.25">
      <c r="B15" s="45" t="s">
        <v>42</v>
      </c>
      <c r="C15" s="50">
        <v>0</v>
      </c>
      <c r="D15" s="50">
        <v>1</v>
      </c>
      <c r="E15" s="50">
        <v>0</v>
      </c>
      <c r="F15" s="50">
        <v>1</v>
      </c>
      <c r="G15" s="50">
        <v>0</v>
      </c>
      <c r="H15" s="50">
        <v>0</v>
      </c>
      <c r="I15" s="50">
        <v>1</v>
      </c>
      <c r="J15" s="50">
        <v>0</v>
      </c>
      <c r="K15" s="50">
        <v>0</v>
      </c>
      <c r="L15" s="50">
        <v>0</v>
      </c>
      <c r="M15" s="50">
        <v>4</v>
      </c>
      <c r="N15" s="50">
        <v>0</v>
      </c>
      <c r="O15" s="15">
        <f t="shared" si="0"/>
        <v>3</v>
      </c>
      <c r="P15" s="15">
        <f t="shared" si="1"/>
        <v>7</v>
      </c>
      <c r="R15" s="1" t="s">
        <v>11</v>
      </c>
      <c r="S15" s="17">
        <f t="shared" ref="S15:AF15" si="7">SUM(C30:C33)</f>
        <v>4</v>
      </c>
      <c r="T15" s="17">
        <f t="shared" si="7"/>
        <v>4</v>
      </c>
      <c r="U15" s="17">
        <f t="shared" si="7"/>
        <v>0</v>
      </c>
      <c r="V15" s="17">
        <f t="shared" si="7"/>
        <v>2</v>
      </c>
      <c r="W15" s="17">
        <f t="shared" si="7"/>
        <v>0</v>
      </c>
      <c r="X15" s="17">
        <f t="shared" si="7"/>
        <v>0</v>
      </c>
      <c r="Y15" s="17">
        <f t="shared" si="7"/>
        <v>0</v>
      </c>
      <c r="Z15" s="17">
        <f t="shared" si="7"/>
        <v>0</v>
      </c>
      <c r="AA15" s="17">
        <f t="shared" si="7"/>
        <v>1</v>
      </c>
      <c r="AB15" s="17">
        <f t="shared" si="7"/>
        <v>0</v>
      </c>
      <c r="AC15" s="17">
        <f t="shared" si="7"/>
        <v>39</v>
      </c>
      <c r="AD15" s="17">
        <f t="shared" si="7"/>
        <v>0</v>
      </c>
      <c r="AE15" s="31">
        <f t="shared" si="7"/>
        <v>11</v>
      </c>
      <c r="AF15" s="31">
        <f t="shared" si="7"/>
        <v>50</v>
      </c>
    </row>
    <row r="16" spans="2:32" ht="23.1" customHeight="1" x14ac:dyDescent="0.25">
      <c r="B16" s="45" t="s">
        <v>43</v>
      </c>
      <c r="C16" s="50">
        <v>1</v>
      </c>
      <c r="D16" s="50">
        <v>0</v>
      </c>
      <c r="E16" s="50">
        <v>0</v>
      </c>
      <c r="F16" s="50">
        <v>2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4</v>
      </c>
      <c r="N16" s="50">
        <v>0</v>
      </c>
      <c r="O16" s="15">
        <f t="shared" si="0"/>
        <v>3</v>
      </c>
      <c r="P16" s="15">
        <f t="shared" si="1"/>
        <v>7</v>
      </c>
      <c r="R16" s="1" t="s">
        <v>12</v>
      </c>
      <c r="S16" s="17">
        <f t="shared" ref="S16:AF16" si="8">SUM(C34:C37)</f>
        <v>2</v>
      </c>
      <c r="T16" s="17">
        <f t="shared" si="8"/>
        <v>0</v>
      </c>
      <c r="U16" s="17">
        <f t="shared" si="8"/>
        <v>1</v>
      </c>
      <c r="V16" s="17">
        <f t="shared" si="8"/>
        <v>1</v>
      </c>
      <c r="W16" s="17">
        <f t="shared" si="8"/>
        <v>0</v>
      </c>
      <c r="X16" s="17">
        <f t="shared" si="8"/>
        <v>0</v>
      </c>
      <c r="Y16" s="17">
        <f t="shared" si="8"/>
        <v>1</v>
      </c>
      <c r="Z16" s="17">
        <f t="shared" si="8"/>
        <v>0</v>
      </c>
      <c r="AA16" s="17">
        <f t="shared" si="8"/>
        <v>2</v>
      </c>
      <c r="AB16" s="17">
        <f t="shared" si="8"/>
        <v>0</v>
      </c>
      <c r="AC16" s="17">
        <f t="shared" si="8"/>
        <v>36</v>
      </c>
      <c r="AD16" s="17">
        <f t="shared" si="8"/>
        <v>0</v>
      </c>
      <c r="AE16" s="31">
        <f t="shared" si="8"/>
        <v>7</v>
      </c>
      <c r="AF16" s="31">
        <f t="shared" si="8"/>
        <v>43</v>
      </c>
    </row>
    <row r="17" spans="2:32" ht="23.1" customHeight="1" x14ac:dyDescent="0.25">
      <c r="B17" s="45" t="s">
        <v>44</v>
      </c>
      <c r="C17" s="50">
        <v>0</v>
      </c>
      <c r="D17" s="50">
        <v>0</v>
      </c>
      <c r="E17" s="50">
        <v>0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4</v>
      </c>
      <c r="N17" s="50">
        <v>0</v>
      </c>
      <c r="O17" s="15">
        <f t="shared" si="0"/>
        <v>0</v>
      </c>
      <c r="P17" s="15">
        <f t="shared" si="1"/>
        <v>4</v>
      </c>
      <c r="R17" s="1" t="s">
        <v>13</v>
      </c>
      <c r="S17" s="17">
        <f t="shared" ref="S17:AF17" si="9">SUM(C38:C41)</f>
        <v>2</v>
      </c>
      <c r="T17" s="17">
        <f t="shared" si="9"/>
        <v>4</v>
      </c>
      <c r="U17" s="17">
        <f t="shared" si="9"/>
        <v>0</v>
      </c>
      <c r="V17" s="17">
        <f t="shared" si="9"/>
        <v>1</v>
      </c>
      <c r="W17" s="17">
        <f t="shared" si="9"/>
        <v>0</v>
      </c>
      <c r="X17" s="17">
        <f t="shared" si="9"/>
        <v>0</v>
      </c>
      <c r="Y17" s="17">
        <f t="shared" si="9"/>
        <v>0</v>
      </c>
      <c r="Z17" s="17">
        <f t="shared" si="9"/>
        <v>2</v>
      </c>
      <c r="AA17" s="17">
        <f t="shared" si="9"/>
        <v>1</v>
      </c>
      <c r="AB17" s="17">
        <f t="shared" si="9"/>
        <v>0</v>
      </c>
      <c r="AC17" s="17">
        <f t="shared" si="9"/>
        <v>37</v>
      </c>
      <c r="AD17" s="17">
        <f t="shared" si="9"/>
        <v>0</v>
      </c>
      <c r="AE17" s="31">
        <f t="shared" si="9"/>
        <v>10</v>
      </c>
      <c r="AF17" s="31">
        <f t="shared" si="9"/>
        <v>47</v>
      </c>
    </row>
    <row r="18" spans="2:32" ht="23.1" customHeight="1" x14ac:dyDescent="0.25">
      <c r="B18" s="45" t="s">
        <v>45</v>
      </c>
      <c r="C18" s="50">
        <v>0</v>
      </c>
      <c r="D18" s="50">
        <v>0</v>
      </c>
      <c r="E18" s="50">
        <v>0</v>
      </c>
      <c r="F18" s="50">
        <v>0</v>
      </c>
      <c r="G18" s="50">
        <v>0</v>
      </c>
      <c r="H18" s="50">
        <v>0</v>
      </c>
      <c r="I18" s="50">
        <v>2</v>
      </c>
      <c r="J18" s="50">
        <v>0</v>
      </c>
      <c r="K18" s="50">
        <v>0</v>
      </c>
      <c r="L18" s="50">
        <v>0</v>
      </c>
      <c r="M18" s="50">
        <v>4</v>
      </c>
      <c r="N18" s="50">
        <v>0</v>
      </c>
      <c r="O18" s="15">
        <f t="shared" si="0"/>
        <v>2</v>
      </c>
      <c r="P18" s="15">
        <f t="shared" si="1"/>
        <v>6</v>
      </c>
      <c r="R18" s="1" t="s">
        <v>14</v>
      </c>
      <c r="S18" s="17">
        <f t="shared" ref="S18:AF18" si="10">SUM(C42:C45)</f>
        <v>3</v>
      </c>
      <c r="T18" s="17">
        <f t="shared" si="10"/>
        <v>3</v>
      </c>
      <c r="U18" s="17">
        <f t="shared" si="10"/>
        <v>0</v>
      </c>
      <c r="V18" s="17">
        <f t="shared" si="10"/>
        <v>0</v>
      </c>
      <c r="W18" s="17">
        <f t="shared" si="10"/>
        <v>0</v>
      </c>
      <c r="X18" s="17">
        <f t="shared" si="10"/>
        <v>0</v>
      </c>
      <c r="Y18" s="17">
        <f t="shared" si="10"/>
        <v>6</v>
      </c>
      <c r="Z18" s="17">
        <f t="shared" si="10"/>
        <v>0</v>
      </c>
      <c r="AA18" s="17">
        <f t="shared" si="10"/>
        <v>3</v>
      </c>
      <c r="AB18" s="17">
        <f t="shared" si="10"/>
        <v>0</v>
      </c>
      <c r="AC18" s="17">
        <f t="shared" si="10"/>
        <v>33</v>
      </c>
      <c r="AD18" s="17">
        <f t="shared" si="10"/>
        <v>0</v>
      </c>
      <c r="AE18" s="31">
        <f t="shared" si="10"/>
        <v>15</v>
      </c>
      <c r="AF18" s="31">
        <f t="shared" si="10"/>
        <v>48</v>
      </c>
    </row>
    <row r="19" spans="2:32" ht="23.1" customHeight="1" x14ac:dyDescent="0.25">
      <c r="B19" s="45" t="s">
        <v>46</v>
      </c>
      <c r="C19" s="50">
        <v>1</v>
      </c>
      <c r="D19" s="50">
        <v>1</v>
      </c>
      <c r="E19" s="50">
        <v>0</v>
      </c>
      <c r="F19" s="50">
        <v>0</v>
      </c>
      <c r="G19" s="50">
        <v>0</v>
      </c>
      <c r="H19" s="50">
        <v>0</v>
      </c>
      <c r="I19" s="50">
        <v>0</v>
      </c>
      <c r="J19" s="50">
        <v>0</v>
      </c>
      <c r="K19" s="50">
        <v>1</v>
      </c>
      <c r="L19" s="50">
        <v>0</v>
      </c>
      <c r="M19" s="50">
        <v>5</v>
      </c>
      <c r="N19" s="50">
        <v>0</v>
      </c>
      <c r="O19" s="15">
        <f t="shared" si="0"/>
        <v>3</v>
      </c>
      <c r="P19" s="15">
        <f t="shared" si="1"/>
        <v>8</v>
      </c>
      <c r="R19" s="1" t="s">
        <v>15</v>
      </c>
      <c r="S19" s="17">
        <f t="shared" ref="S19:AF19" si="11">SUM(C46:C49)</f>
        <v>0</v>
      </c>
      <c r="T19" s="17">
        <f t="shared" si="11"/>
        <v>1</v>
      </c>
      <c r="U19" s="17">
        <f t="shared" si="11"/>
        <v>0</v>
      </c>
      <c r="V19" s="17">
        <f t="shared" si="11"/>
        <v>2</v>
      </c>
      <c r="W19" s="17">
        <f t="shared" si="11"/>
        <v>0</v>
      </c>
      <c r="X19" s="17">
        <f t="shared" si="11"/>
        <v>0</v>
      </c>
      <c r="Y19" s="17">
        <f t="shared" si="11"/>
        <v>3</v>
      </c>
      <c r="Z19" s="17">
        <f t="shared" si="11"/>
        <v>2</v>
      </c>
      <c r="AA19" s="17">
        <f t="shared" si="11"/>
        <v>4</v>
      </c>
      <c r="AB19" s="17">
        <f t="shared" si="11"/>
        <v>0</v>
      </c>
      <c r="AC19" s="17">
        <f t="shared" si="11"/>
        <v>24</v>
      </c>
      <c r="AD19" s="17">
        <f t="shared" si="11"/>
        <v>0</v>
      </c>
      <c r="AE19" s="31">
        <f t="shared" si="11"/>
        <v>12</v>
      </c>
      <c r="AF19" s="31">
        <f t="shared" si="11"/>
        <v>36</v>
      </c>
    </row>
    <row r="20" spans="2:32" ht="23.1" customHeight="1" x14ac:dyDescent="0.25">
      <c r="B20" s="45" t="s">
        <v>47</v>
      </c>
      <c r="C20" s="50">
        <v>0</v>
      </c>
      <c r="D20" s="50">
        <v>1</v>
      </c>
      <c r="E20" s="50">
        <v>0</v>
      </c>
      <c r="F20" s="50">
        <v>1</v>
      </c>
      <c r="G20" s="50">
        <v>0</v>
      </c>
      <c r="H20" s="50">
        <v>0</v>
      </c>
      <c r="I20" s="50">
        <v>0</v>
      </c>
      <c r="J20" s="50">
        <v>0</v>
      </c>
      <c r="K20" s="50">
        <v>1</v>
      </c>
      <c r="L20" s="50">
        <v>0</v>
      </c>
      <c r="M20" s="50">
        <v>3</v>
      </c>
      <c r="N20" s="50">
        <v>0</v>
      </c>
      <c r="O20" s="15">
        <f t="shared" si="0"/>
        <v>3</v>
      </c>
      <c r="P20" s="15">
        <f t="shared" si="1"/>
        <v>6</v>
      </c>
      <c r="R20" s="1" t="s">
        <v>16</v>
      </c>
      <c r="S20" s="17">
        <f t="shared" ref="S20:AF20" si="12">SUM(C50:C53)</f>
        <v>0</v>
      </c>
      <c r="T20" s="17">
        <f t="shared" si="12"/>
        <v>4</v>
      </c>
      <c r="U20" s="17">
        <f t="shared" si="12"/>
        <v>0</v>
      </c>
      <c r="V20" s="17">
        <f t="shared" si="12"/>
        <v>1</v>
      </c>
      <c r="W20" s="17">
        <f t="shared" si="12"/>
        <v>0</v>
      </c>
      <c r="X20" s="17">
        <f t="shared" si="12"/>
        <v>0</v>
      </c>
      <c r="Y20" s="17">
        <f t="shared" si="12"/>
        <v>5</v>
      </c>
      <c r="Z20" s="17">
        <f t="shared" si="12"/>
        <v>1</v>
      </c>
      <c r="AA20" s="17">
        <f t="shared" si="12"/>
        <v>3</v>
      </c>
      <c r="AB20" s="17">
        <f t="shared" si="12"/>
        <v>0</v>
      </c>
      <c r="AC20" s="17">
        <f t="shared" si="12"/>
        <v>37</v>
      </c>
      <c r="AD20" s="17">
        <f t="shared" si="12"/>
        <v>0</v>
      </c>
      <c r="AE20" s="31">
        <f t="shared" si="12"/>
        <v>14</v>
      </c>
      <c r="AF20" s="31">
        <f t="shared" si="12"/>
        <v>51</v>
      </c>
    </row>
    <row r="21" spans="2:32" ht="23.1" customHeight="1" x14ac:dyDescent="0.25">
      <c r="B21" s="45" t="s">
        <v>48</v>
      </c>
      <c r="C21" s="50">
        <v>1</v>
      </c>
      <c r="D21" s="50">
        <v>0</v>
      </c>
      <c r="E21" s="50">
        <v>0</v>
      </c>
      <c r="F21" s="50">
        <v>0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1</v>
      </c>
      <c r="M21" s="50">
        <v>11</v>
      </c>
      <c r="N21" s="50">
        <v>0</v>
      </c>
      <c r="O21" s="15">
        <f t="shared" si="0"/>
        <v>2</v>
      </c>
      <c r="P21" s="15">
        <f t="shared" si="1"/>
        <v>13</v>
      </c>
      <c r="R21" s="36" t="s">
        <v>20</v>
      </c>
      <c r="S21" s="34">
        <f t="shared" ref="S21:AF21" si="13">SUM(C54:C57)</f>
        <v>4</v>
      </c>
      <c r="T21" s="17">
        <f t="shared" si="13"/>
        <v>2</v>
      </c>
      <c r="U21" s="17">
        <f t="shared" si="13"/>
        <v>1</v>
      </c>
      <c r="V21" s="17">
        <f t="shared" si="13"/>
        <v>2</v>
      </c>
      <c r="W21" s="17">
        <f t="shared" si="13"/>
        <v>0</v>
      </c>
      <c r="X21" s="17">
        <f t="shared" si="13"/>
        <v>0</v>
      </c>
      <c r="Y21" s="17">
        <f t="shared" si="13"/>
        <v>2</v>
      </c>
      <c r="Z21" s="17">
        <f t="shared" si="13"/>
        <v>2</v>
      </c>
      <c r="AA21" s="17">
        <f t="shared" si="13"/>
        <v>1</v>
      </c>
      <c r="AB21" s="17">
        <f t="shared" si="13"/>
        <v>1</v>
      </c>
      <c r="AC21" s="17">
        <f t="shared" si="13"/>
        <v>37</v>
      </c>
      <c r="AD21" s="17">
        <f t="shared" si="13"/>
        <v>0</v>
      </c>
      <c r="AE21" s="31">
        <f t="shared" si="13"/>
        <v>15</v>
      </c>
      <c r="AF21" s="31">
        <f t="shared" si="13"/>
        <v>52</v>
      </c>
    </row>
    <row r="22" spans="2:32" ht="23.1" customHeight="1" x14ac:dyDescent="0.25">
      <c r="B22" s="45" t="s">
        <v>49</v>
      </c>
      <c r="C22" s="50">
        <v>0</v>
      </c>
      <c r="D22" s="50">
        <v>2</v>
      </c>
      <c r="E22" s="50">
        <v>0</v>
      </c>
      <c r="F22" s="50">
        <v>0</v>
      </c>
      <c r="G22" s="50">
        <v>0</v>
      </c>
      <c r="H22" s="50">
        <v>0</v>
      </c>
      <c r="I22" s="50">
        <v>0</v>
      </c>
      <c r="J22" s="50">
        <v>0</v>
      </c>
      <c r="K22" s="50">
        <v>0</v>
      </c>
      <c r="L22" s="50">
        <v>0</v>
      </c>
      <c r="M22" s="50">
        <v>2</v>
      </c>
      <c r="N22" s="50">
        <v>0</v>
      </c>
      <c r="O22" s="15">
        <f t="shared" si="0"/>
        <v>2</v>
      </c>
      <c r="P22" s="15">
        <f t="shared" si="1"/>
        <v>4</v>
      </c>
      <c r="R22" s="36" t="s">
        <v>146</v>
      </c>
      <c r="S22" s="34">
        <f>SUM(C58:C61)</f>
        <v>8</v>
      </c>
      <c r="T22" s="34">
        <f t="shared" ref="T22:AF22" si="14">SUM(D58:D61)</f>
        <v>5</v>
      </c>
      <c r="U22" s="34">
        <f t="shared" si="14"/>
        <v>1</v>
      </c>
      <c r="V22" s="34">
        <f t="shared" si="14"/>
        <v>2</v>
      </c>
      <c r="W22" s="34">
        <f t="shared" si="14"/>
        <v>0</v>
      </c>
      <c r="X22" s="34">
        <f t="shared" si="14"/>
        <v>0</v>
      </c>
      <c r="Y22" s="34">
        <f t="shared" si="14"/>
        <v>2</v>
      </c>
      <c r="Z22" s="34">
        <f t="shared" si="14"/>
        <v>5</v>
      </c>
      <c r="AA22" s="34">
        <f t="shared" si="14"/>
        <v>1</v>
      </c>
      <c r="AB22" s="34">
        <f t="shared" si="14"/>
        <v>0</v>
      </c>
      <c r="AC22" s="34">
        <f t="shared" si="14"/>
        <v>35</v>
      </c>
      <c r="AD22" s="34">
        <f t="shared" si="14"/>
        <v>0</v>
      </c>
      <c r="AE22" s="31">
        <f t="shared" si="14"/>
        <v>24</v>
      </c>
      <c r="AF22" s="31">
        <f t="shared" si="14"/>
        <v>59</v>
      </c>
    </row>
    <row r="23" spans="2:32" ht="23.1" customHeight="1" x14ac:dyDescent="0.25">
      <c r="B23" s="45" t="s">
        <v>50</v>
      </c>
      <c r="C23" s="50">
        <v>0</v>
      </c>
      <c r="D23" s="50">
        <v>0</v>
      </c>
      <c r="E23" s="50">
        <v>0</v>
      </c>
      <c r="F23" s="50">
        <v>0</v>
      </c>
      <c r="G23" s="50">
        <v>0</v>
      </c>
      <c r="H23" s="50">
        <v>0</v>
      </c>
      <c r="I23" s="50">
        <v>0</v>
      </c>
      <c r="J23" s="50">
        <v>0</v>
      </c>
      <c r="K23" s="50">
        <v>3</v>
      </c>
      <c r="L23" s="50">
        <v>0</v>
      </c>
      <c r="M23" s="50">
        <v>15</v>
      </c>
      <c r="N23" s="50">
        <v>0</v>
      </c>
      <c r="O23" s="15">
        <f t="shared" si="0"/>
        <v>3</v>
      </c>
      <c r="P23" s="15">
        <f t="shared" si="1"/>
        <v>18</v>
      </c>
      <c r="R23" s="36" t="s">
        <v>147</v>
      </c>
      <c r="S23" s="34">
        <f>SUM(C62:C65)</f>
        <v>3</v>
      </c>
      <c r="T23" s="34">
        <f t="shared" ref="T23:AF23" si="15">SUM(D62:D65)</f>
        <v>2</v>
      </c>
      <c r="U23" s="34">
        <f t="shared" si="15"/>
        <v>3</v>
      </c>
      <c r="V23" s="34">
        <f t="shared" si="15"/>
        <v>5</v>
      </c>
      <c r="W23" s="34">
        <f t="shared" si="15"/>
        <v>0</v>
      </c>
      <c r="X23" s="34">
        <f t="shared" si="15"/>
        <v>0</v>
      </c>
      <c r="Y23" s="34">
        <f t="shared" si="15"/>
        <v>3</v>
      </c>
      <c r="Z23" s="34">
        <f t="shared" si="15"/>
        <v>1</v>
      </c>
      <c r="AA23" s="34">
        <f t="shared" si="15"/>
        <v>0</v>
      </c>
      <c r="AB23" s="34">
        <f t="shared" si="15"/>
        <v>0</v>
      </c>
      <c r="AC23" s="34">
        <f t="shared" si="15"/>
        <v>24</v>
      </c>
      <c r="AD23" s="34">
        <f t="shared" si="15"/>
        <v>0</v>
      </c>
      <c r="AE23" s="31">
        <f t="shared" si="15"/>
        <v>17</v>
      </c>
      <c r="AF23" s="31">
        <f t="shared" si="15"/>
        <v>41</v>
      </c>
    </row>
    <row r="24" spans="2:32" ht="23.1" customHeight="1" x14ac:dyDescent="0.25">
      <c r="B24" s="45" t="s">
        <v>51</v>
      </c>
      <c r="C24" s="50">
        <v>1</v>
      </c>
      <c r="D24" s="50">
        <v>1</v>
      </c>
      <c r="E24" s="50">
        <v>0</v>
      </c>
      <c r="F24" s="50">
        <v>0</v>
      </c>
      <c r="G24" s="50">
        <v>0</v>
      </c>
      <c r="H24" s="50">
        <v>0</v>
      </c>
      <c r="I24" s="50">
        <v>0</v>
      </c>
      <c r="J24" s="50">
        <v>0</v>
      </c>
      <c r="K24" s="50">
        <v>5</v>
      </c>
      <c r="L24" s="50">
        <v>0</v>
      </c>
      <c r="M24" s="50">
        <v>13</v>
      </c>
      <c r="N24" s="50">
        <v>0</v>
      </c>
      <c r="O24" s="15">
        <f t="shared" si="0"/>
        <v>7</v>
      </c>
      <c r="P24" s="15">
        <f t="shared" si="1"/>
        <v>20</v>
      </c>
      <c r="R24" s="36" t="s">
        <v>148</v>
      </c>
      <c r="S24" s="34">
        <f>SUM(C66:C69)</f>
        <v>2</v>
      </c>
      <c r="T24" s="34">
        <f t="shared" ref="T24:AF24" si="16">SUM(D66:D69)</f>
        <v>4</v>
      </c>
      <c r="U24" s="34">
        <f t="shared" si="16"/>
        <v>0</v>
      </c>
      <c r="V24" s="34">
        <f t="shared" si="16"/>
        <v>0</v>
      </c>
      <c r="W24" s="34">
        <f t="shared" si="16"/>
        <v>0</v>
      </c>
      <c r="X24" s="34">
        <f t="shared" si="16"/>
        <v>0</v>
      </c>
      <c r="Y24" s="34">
        <f t="shared" si="16"/>
        <v>0</v>
      </c>
      <c r="Z24" s="34">
        <f t="shared" si="16"/>
        <v>1</v>
      </c>
      <c r="AA24" s="34">
        <f t="shared" si="16"/>
        <v>2</v>
      </c>
      <c r="AB24" s="34">
        <f t="shared" si="16"/>
        <v>0</v>
      </c>
      <c r="AC24" s="34">
        <f t="shared" si="16"/>
        <v>9</v>
      </c>
      <c r="AD24" s="34">
        <f t="shared" si="16"/>
        <v>0</v>
      </c>
      <c r="AE24" s="31">
        <f t="shared" si="16"/>
        <v>9</v>
      </c>
      <c r="AF24" s="31">
        <f t="shared" si="16"/>
        <v>18</v>
      </c>
    </row>
    <row r="25" spans="2:32" ht="23.1" customHeight="1" x14ac:dyDescent="0.25">
      <c r="B25" s="45" t="s">
        <v>52</v>
      </c>
      <c r="C25" s="50">
        <v>1</v>
      </c>
      <c r="D25" s="50">
        <v>6</v>
      </c>
      <c r="E25" s="50">
        <v>0</v>
      </c>
      <c r="F25" s="50">
        <v>0</v>
      </c>
      <c r="G25" s="50">
        <v>0</v>
      </c>
      <c r="H25" s="50">
        <v>0</v>
      </c>
      <c r="I25" s="50">
        <v>0</v>
      </c>
      <c r="J25" s="50">
        <v>0</v>
      </c>
      <c r="K25" s="50">
        <v>1</v>
      </c>
      <c r="L25" s="50">
        <v>0</v>
      </c>
      <c r="M25" s="50">
        <v>13</v>
      </c>
      <c r="N25" s="50">
        <v>0</v>
      </c>
      <c r="O25" s="15">
        <f t="shared" si="0"/>
        <v>8</v>
      </c>
      <c r="P25" s="15">
        <f t="shared" si="1"/>
        <v>21</v>
      </c>
      <c r="R25" s="36" t="s">
        <v>149</v>
      </c>
      <c r="S25" s="34">
        <f>SUM(C70:C73)</f>
        <v>1</v>
      </c>
      <c r="T25" s="34">
        <f t="shared" ref="T25:AF25" si="17">SUM(D70:D73)</f>
        <v>2</v>
      </c>
      <c r="U25" s="34">
        <f t="shared" si="17"/>
        <v>0</v>
      </c>
      <c r="V25" s="34">
        <f t="shared" si="17"/>
        <v>0</v>
      </c>
      <c r="W25" s="34">
        <f t="shared" si="17"/>
        <v>0</v>
      </c>
      <c r="X25" s="34">
        <f t="shared" si="17"/>
        <v>0</v>
      </c>
      <c r="Y25" s="34">
        <f t="shared" si="17"/>
        <v>2</v>
      </c>
      <c r="Z25" s="34">
        <f t="shared" si="17"/>
        <v>0</v>
      </c>
      <c r="AA25" s="34">
        <f t="shared" si="17"/>
        <v>1</v>
      </c>
      <c r="AB25" s="34">
        <f t="shared" si="17"/>
        <v>1</v>
      </c>
      <c r="AC25" s="34">
        <f t="shared" si="17"/>
        <v>12</v>
      </c>
      <c r="AD25" s="34">
        <f t="shared" si="17"/>
        <v>0</v>
      </c>
      <c r="AE25" s="31">
        <f t="shared" si="17"/>
        <v>7</v>
      </c>
      <c r="AF25" s="31">
        <f t="shared" si="17"/>
        <v>19</v>
      </c>
    </row>
    <row r="26" spans="2:32" ht="23.1" customHeight="1" x14ac:dyDescent="0.25">
      <c r="B26" s="45" t="s">
        <v>53</v>
      </c>
      <c r="C26" s="50">
        <v>0</v>
      </c>
      <c r="D26" s="50">
        <v>0</v>
      </c>
      <c r="E26" s="50">
        <v>0</v>
      </c>
      <c r="F26" s="50">
        <v>0</v>
      </c>
      <c r="G26" s="50">
        <v>0</v>
      </c>
      <c r="H26" s="50">
        <v>0</v>
      </c>
      <c r="I26" s="50">
        <v>0</v>
      </c>
      <c r="J26" s="50">
        <v>0</v>
      </c>
      <c r="K26" s="50">
        <v>1</v>
      </c>
      <c r="L26" s="50">
        <v>0</v>
      </c>
      <c r="M26" s="50">
        <v>10</v>
      </c>
      <c r="N26" s="50">
        <v>0</v>
      </c>
      <c r="O26" s="15">
        <f t="shared" si="0"/>
        <v>1</v>
      </c>
      <c r="P26" s="15">
        <f t="shared" si="1"/>
        <v>11</v>
      </c>
      <c r="R26" s="36" t="s">
        <v>150</v>
      </c>
      <c r="S26" s="34">
        <f>SUM(C74:C77)</f>
        <v>0</v>
      </c>
      <c r="T26" s="34">
        <f t="shared" ref="T26:AF26" si="18">SUM(D74:D77)</f>
        <v>0</v>
      </c>
      <c r="U26" s="34">
        <f t="shared" si="18"/>
        <v>0</v>
      </c>
      <c r="V26" s="34">
        <f t="shared" si="18"/>
        <v>1</v>
      </c>
      <c r="W26" s="34">
        <f t="shared" si="18"/>
        <v>0</v>
      </c>
      <c r="X26" s="34">
        <f t="shared" si="18"/>
        <v>0</v>
      </c>
      <c r="Y26" s="34">
        <f t="shared" si="18"/>
        <v>2</v>
      </c>
      <c r="Z26" s="34">
        <f t="shared" si="18"/>
        <v>1</v>
      </c>
      <c r="AA26" s="34">
        <f t="shared" si="18"/>
        <v>2</v>
      </c>
      <c r="AB26" s="34">
        <f t="shared" si="18"/>
        <v>1</v>
      </c>
      <c r="AC26" s="34">
        <f t="shared" si="18"/>
        <v>3</v>
      </c>
      <c r="AD26" s="34">
        <f t="shared" si="18"/>
        <v>0</v>
      </c>
      <c r="AE26" s="31">
        <f t="shared" si="18"/>
        <v>7</v>
      </c>
      <c r="AF26" s="31">
        <f t="shared" si="18"/>
        <v>10</v>
      </c>
    </row>
    <row r="27" spans="2:32" ht="23.1" customHeight="1" x14ac:dyDescent="0.25">
      <c r="B27" s="45" t="s">
        <v>54</v>
      </c>
      <c r="C27" s="50">
        <v>0</v>
      </c>
      <c r="D27" s="50">
        <v>1</v>
      </c>
      <c r="E27" s="50">
        <v>0</v>
      </c>
      <c r="F27" s="50">
        <v>0</v>
      </c>
      <c r="G27" s="50">
        <v>0</v>
      </c>
      <c r="H27" s="50">
        <v>0</v>
      </c>
      <c r="I27" s="50">
        <v>0</v>
      </c>
      <c r="J27" s="50">
        <v>1</v>
      </c>
      <c r="K27" s="50">
        <v>0</v>
      </c>
      <c r="L27" s="50">
        <v>0</v>
      </c>
      <c r="M27" s="50">
        <v>11</v>
      </c>
      <c r="N27" s="50">
        <v>0</v>
      </c>
      <c r="O27" s="15">
        <f t="shared" si="0"/>
        <v>2</v>
      </c>
      <c r="P27" s="15">
        <f t="shared" si="1"/>
        <v>13</v>
      </c>
      <c r="R27" s="36" t="s">
        <v>151</v>
      </c>
      <c r="S27" s="34">
        <f>SUM(C78:C81)</f>
        <v>1</v>
      </c>
      <c r="T27" s="34">
        <f t="shared" ref="T27:AF27" si="19">SUM(D78:D81)</f>
        <v>0</v>
      </c>
      <c r="U27" s="34">
        <f t="shared" si="19"/>
        <v>0</v>
      </c>
      <c r="V27" s="34">
        <f t="shared" si="19"/>
        <v>0</v>
      </c>
      <c r="W27" s="34">
        <f t="shared" si="19"/>
        <v>0</v>
      </c>
      <c r="X27" s="34">
        <f t="shared" si="19"/>
        <v>0</v>
      </c>
      <c r="Y27" s="34">
        <f t="shared" si="19"/>
        <v>0</v>
      </c>
      <c r="Z27" s="34">
        <f t="shared" si="19"/>
        <v>0</v>
      </c>
      <c r="AA27" s="34">
        <f t="shared" si="19"/>
        <v>2</v>
      </c>
      <c r="AB27" s="34">
        <f t="shared" si="19"/>
        <v>4</v>
      </c>
      <c r="AC27" s="34">
        <f t="shared" si="19"/>
        <v>4</v>
      </c>
      <c r="AD27" s="34">
        <f t="shared" si="19"/>
        <v>0</v>
      </c>
      <c r="AE27" s="31">
        <f t="shared" si="19"/>
        <v>7</v>
      </c>
      <c r="AF27" s="31">
        <f t="shared" si="19"/>
        <v>11</v>
      </c>
    </row>
    <row r="28" spans="2:32" ht="23.1" customHeight="1" x14ac:dyDescent="0.25">
      <c r="B28" s="45" t="s">
        <v>55</v>
      </c>
      <c r="C28" s="50">
        <v>0</v>
      </c>
      <c r="D28" s="50">
        <v>3</v>
      </c>
      <c r="E28" s="50">
        <v>0</v>
      </c>
      <c r="F28" s="50">
        <v>3</v>
      </c>
      <c r="G28" s="50">
        <v>0</v>
      </c>
      <c r="H28" s="50">
        <v>0</v>
      </c>
      <c r="I28" s="50">
        <v>0</v>
      </c>
      <c r="J28" s="50">
        <v>1</v>
      </c>
      <c r="K28" s="50">
        <v>2</v>
      </c>
      <c r="L28" s="50">
        <v>0</v>
      </c>
      <c r="M28" s="50">
        <v>9</v>
      </c>
      <c r="N28" s="50">
        <v>0</v>
      </c>
      <c r="O28" s="15">
        <f t="shared" si="0"/>
        <v>9</v>
      </c>
      <c r="P28" s="15">
        <f t="shared" si="1"/>
        <v>18</v>
      </c>
      <c r="R28" s="36" t="s">
        <v>152</v>
      </c>
      <c r="S28" s="34">
        <f>SUM(C82:C85)</f>
        <v>1</v>
      </c>
      <c r="T28" s="34">
        <f t="shared" ref="T28:AF28" si="20">SUM(D82:D85)</f>
        <v>0</v>
      </c>
      <c r="U28" s="34">
        <f t="shared" si="20"/>
        <v>0</v>
      </c>
      <c r="V28" s="34">
        <f t="shared" si="20"/>
        <v>0</v>
      </c>
      <c r="W28" s="34">
        <f t="shared" si="20"/>
        <v>0</v>
      </c>
      <c r="X28" s="34">
        <f t="shared" si="20"/>
        <v>0</v>
      </c>
      <c r="Y28" s="34">
        <f t="shared" si="20"/>
        <v>0</v>
      </c>
      <c r="Z28" s="34">
        <f t="shared" si="20"/>
        <v>0</v>
      </c>
      <c r="AA28" s="34">
        <f t="shared" si="20"/>
        <v>3</v>
      </c>
      <c r="AB28" s="34">
        <f t="shared" si="20"/>
        <v>0</v>
      </c>
      <c r="AC28" s="34">
        <f t="shared" si="20"/>
        <v>2</v>
      </c>
      <c r="AD28" s="34">
        <f t="shared" si="20"/>
        <v>0</v>
      </c>
      <c r="AE28" s="31">
        <f t="shared" si="20"/>
        <v>4</v>
      </c>
      <c r="AF28" s="31">
        <f t="shared" si="20"/>
        <v>6</v>
      </c>
    </row>
    <row r="29" spans="2:32" ht="23.1" customHeight="1" x14ac:dyDescent="0.25">
      <c r="B29" s="45" t="s">
        <v>56</v>
      </c>
      <c r="C29" s="50">
        <v>1</v>
      </c>
      <c r="D29" s="50">
        <v>1</v>
      </c>
      <c r="E29" s="50">
        <v>0</v>
      </c>
      <c r="F29" s="50">
        <v>1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50">
        <v>8</v>
      </c>
      <c r="N29" s="50">
        <v>0</v>
      </c>
      <c r="O29" s="15">
        <f t="shared" si="0"/>
        <v>3</v>
      </c>
      <c r="P29" s="15">
        <f t="shared" si="1"/>
        <v>11</v>
      </c>
      <c r="R29" s="36" t="s">
        <v>153</v>
      </c>
      <c r="S29" s="34">
        <f>SUM(C86:C89)</f>
        <v>1</v>
      </c>
      <c r="T29" s="34">
        <f t="shared" ref="T29:AF29" si="21">SUM(D86:D89)</f>
        <v>0</v>
      </c>
      <c r="U29" s="34">
        <f t="shared" si="21"/>
        <v>0</v>
      </c>
      <c r="V29" s="34">
        <f t="shared" si="21"/>
        <v>0</v>
      </c>
      <c r="W29" s="34">
        <f t="shared" si="21"/>
        <v>0</v>
      </c>
      <c r="X29" s="34">
        <f t="shared" si="21"/>
        <v>1</v>
      </c>
      <c r="Y29" s="34">
        <f t="shared" si="21"/>
        <v>0</v>
      </c>
      <c r="Z29" s="34">
        <f t="shared" si="21"/>
        <v>0</v>
      </c>
      <c r="AA29" s="34">
        <f t="shared" si="21"/>
        <v>2</v>
      </c>
      <c r="AB29" s="34">
        <f t="shared" si="21"/>
        <v>1</v>
      </c>
      <c r="AC29" s="34">
        <f t="shared" si="21"/>
        <v>2</v>
      </c>
      <c r="AD29" s="34">
        <f t="shared" si="21"/>
        <v>0</v>
      </c>
      <c r="AE29" s="31">
        <f t="shared" si="21"/>
        <v>5</v>
      </c>
      <c r="AF29" s="31">
        <f t="shared" si="21"/>
        <v>7</v>
      </c>
    </row>
    <row r="30" spans="2:32" ht="23.1" customHeight="1" x14ac:dyDescent="0.25">
      <c r="B30" s="45" t="s">
        <v>57</v>
      </c>
      <c r="C30" s="50">
        <v>1</v>
      </c>
      <c r="D30" s="50">
        <v>0</v>
      </c>
      <c r="E30" s="50">
        <v>0</v>
      </c>
      <c r="F30" s="50">
        <v>1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0</v>
      </c>
      <c r="M30" s="50">
        <v>4</v>
      </c>
      <c r="N30" s="50">
        <v>0</v>
      </c>
      <c r="O30" s="15">
        <f t="shared" si="0"/>
        <v>2</v>
      </c>
      <c r="P30" s="15">
        <f t="shared" si="1"/>
        <v>6</v>
      </c>
      <c r="R30" s="36" t="s">
        <v>154</v>
      </c>
      <c r="S30" s="34">
        <f>SUM(C90:C93)</f>
        <v>2</v>
      </c>
      <c r="T30" s="34">
        <f t="shared" ref="T30:AF30" si="22">SUM(D90:D93)</f>
        <v>0</v>
      </c>
      <c r="U30" s="34">
        <f t="shared" si="22"/>
        <v>0</v>
      </c>
      <c r="V30" s="34">
        <f t="shared" si="22"/>
        <v>0</v>
      </c>
      <c r="W30" s="34">
        <f t="shared" si="22"/>
        <v>0</v>
      </c>
      <c r="X30" s="34">
        <f t="shared" si="22"/>
        <v>0</v>
      </c>
      <c r="Y30" s="34">
        <f t="shared" si="22"/>
        <v>0</v>
      </c>
      <c r="Z30" s="34">
        <f t="shared" si="22"/>
        <v>0</v>
      </c>
      <c r="AA30" s="34">
        <f t="shared" si="22"/>
        <v>1</v>
      </c>
      <c r="AB30" s="34">
        <f t="shared" si="22"/>
        <v>1</v>
      </c>
      <c r="AC30" s="34">
        <f t="shared" si="22"/>
        <v>0</v>
      </c>
      <c r="AD30" s="34">
        <f t="shared" si="22"/>
        <v>0</v>
      </c>
      <c r="AE30" s="31">
        <f t="shared" si="22"/>
        <v>4</v>
      </c>
      <c r="AF30" s="31">
        <f t="shared" si="22"/>
        <v>4</v>
      </c>
    </row>
    <row r="31" spans="2:32" ht="23.1" customHeight="1" x14ac:dyDescent="0.25">
      <c r="B31" s="46" t="s">
        <v>58</v>
      </c>
      <c r="C31" s="50">
        <v>0</v>
      </c>
      <c r="D31" s="50">
        <v>1</v>
      </c>
      <c r="E31" s="50">
        <v>0</v>
      </c>
      <c r="F31" s="50">
        <v>0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50">
        <v>9</v>
      </c>
      <c r="N31" s="50">
        <v>0</v>
      </c>
      <c r="O31" s="15">
        <f t="shared" si="0"/>
        <v>1</v>
      </c>
      <c r="P31" s="15">
        <f t="shared" si="1"/>
        <v>10</v>
      </c>
      <c r="R31" s="36" t="s">
        <v>155</v>
      </c>
      <c r="S31" s="34">
        <f>SUM(C94:C97)</f>
        <v>1</v>
      </c>
      <c r="T31" s="34">
        <f t="shared" ref="T31:AF31" si="23">SUM(D94:D97)</f>
        <v>0</v>
      </c>
      <c r="U31" s="34">
        <f t="shared" si="23"/>
        <v>0</v>
      </c>
      <c r="V31" s="34">
        <f t="shared" si="23"/>
        <v>1</v>
      </c>
      <c r="W31" s="34">
        <f t="shared" si="23"/>
        <v>0</v>
      </c>
      <c r="X31" s="34">
        <f t="shared" si="23"/>
        <v>0</v>
      </c>
      <c r="Y31" s="34">
        <f t="shared" si="23"/>
        <v>0</v>
      </c>
      <c r="Z31" s="34">
        <f t="shared" si="23"/>
        <v>0</v>
      </c>
      <c r="AA31" s="34">
        <f t="shared" si="23"/>
        <v>0</v>
      </c>
      <c r="AB31" s="34">
        <f t="shared" si="23"/>
        <v>0</v>
      </c>
      <c r="AC31" s="34">
        <f t="shared" si="23"/>
        <v>1</v>
      </c>
      <c r="AD31" s="34">
        <f t="shared" si="23"/>
        <v>0</v>
      </c>
      <c r="AE31" s="31">
        <f t="shared" si="23"/>
        <v>2</v>
      </c>
      <c r="AF31" s="31">
        <f t="shared" si="23"/>
        <v>3</v>
      </c>
    </row>
    <row r="32" spans="2:32" ht="23.1" customHeight="1" x14ac:dyDescent="0.25">
      <c r="B32" s="46" t="s">
        <v>59</v>
      </c>
      <c r="C32" s="50">
        <v>2</v>
      </c>
      <c r="D32" s="50">
        <v>3</v>
      </c>
      <c r="E32" s="50">
        <v>0</v>
      </c>
      <c r="F32" s="50">
        <v>1</v>
      </c>
      <c r="G32" s="50">
        <v>0</v>
      </c>
      <c r="H32" s="50">
        <v>0</v>
      </c>
      <c r="I32" s="50">
        <v>0</v>
      </c>
      <c r="J32" s="50">
        <v>0</v>
      </c>
      <c r="K32" s="50">
        <v>0</v>
      </c>
      <c r="L32" s="50">
        <v>0</v>
      </c>
      <c r="M32" s="50">
        <v>14</v>
      </c>
      <c r="N32" s="50">
        <v>0</v>
      </c>
      <c r="O32" s="15">
        <f t="shared" si="0"/>
        <v>6</v>
      </c>
      <c r="P32" s="15">
        <f t="shared" si="1"/>
        <v>20</v>
      </c>
      <c r="R32" s="33" t="s">
        <v>156</v>
      </c>
      <c r="S32" s="34">
        <f>SUM(C98:C101)</f>
        <v>2</v>
      </c>
      <c r="T32" s="34">
        <f t="shared" ref="T32:AF32" si="24">SUM(D98:D101)</f>
        <v>0</v>
      </c>
      <c r="U32" s="34">
        <f t="shared" si="24"/>
        <v>0</v>
      </c>
      <c r="V32" s="34">
        <f t="shared" si="24"/>
        <v>1</v>
      </c>
      <c r="W32" s="34">
        <f t="shared" si="24"/>
        <v>0</v>
      </c>
      <c r="X32" s="34">
        <f t="shared" si="24"/>
        <v>0</v>
      </c>
      <c r="Y32" s="34">
        <f t="shared" si="24"/>
        <v>0</v>
      </c>
      <c r="Z32" s="34">
        <f t="shared" si="24"/>
        <v>0</v>
      </c>
      <c r="AA32" s="34">
        <f t="shared" si="24"/>
        <v>0</v>
      </c>
      <c r="AB32" s="34">
        <f t="shared" si="24"/>
        <v>0</v>
      </c>
      <c r="AC32" s="34">
        <f t="shared" si="24"/>
        <v>0</v>
      </c>
      <c r="AD32" s="34">
        <f t="shared" si="24"/>
        <v>0</v>
      </c>
      <c r="AE32" s="31">
        <f t="shared" si="24"/>
        <v>3</v>
      </c>
      <c r="AF32" s="31">
        <f t="shared" si="24"/>
        <v>3</v>
      </c>
    </row>
    <row r="33" spans="2:32" ht="23.1" customHeight="1" x14ac:dyDescent="0.25">
      <c r="B33" s="45" t="s">
        <v>60</v>
      </c>
      <c r="C33" s="50">
        <v>1</v>
      </c>
      <c r="D33" s="50">
        <v>0</v>
      </c>
      <c r="E33" s="50">
        <v>0</v>
      </c>
      <c r="F33" s="50">
        <v>0</v>
      </c>
      <c r="G33" s="50">
        <v>0</v>
      </c>
      <c r="H33" s="50">
        <v>0</v>
      </c>
      <c r="I33" s="50">
        <v>0</v>
      </c>
      <c r="J33" s="50">
        <v>0</v>
      </c>
      <c r="K33" s="50">
        <v>1</v>
      </c>
      <c r="L33" s="50">
        <v>0</v>
      </c>
      <c r="M33" s="50">
        <v>12</v>
      </c>
      <c r="N33" s="50">
        <v>0</v>
      </c>
      <c r="O33" s="15">
        <f t="shared" si="0"/>
        <v>2</v>
      </c>
      <c r="P33" s="15">
        <f t="shared" si="1"/>
        <v>14</v>
      </c>
      <c r="R33" s="33" t="s">
        <v>157</v>
      </c>
      <c r="S33" s="34">
        <f>SUM(C102:C105)</f>
        <v>0</v>
      </c>
      <c r="T33" s="34">
        <f t="shared" ref="T33:AF33" si="25">SUM(D102:D105)</f>
        <v>1</v>
      </c>
      <c r="U33" s="34">
        <f t="shared" si="25"/>
        <v>5</v>
      </c>
      <c r="V33" s="34">
        <f t="shared" si="25"/>
        <v>1</v>
      </c>
      <c r="W33" s="34">
        <f t="shared" si="25"/>
        <v>0</v>
      </c>
      <c r="X33" s="34">
        <f t="shared" si="25"/>
        <v>0</v>
      </c>
      <c r="Y33" s="34">
        <f t="shared" si="25"/>
        <v>0</v>
      </c>
      <c r="Z33" s="34">
        <f t="shared" si="25"/>
        <v>2</v>
      </c>
      <c r="AA33" s="34">
        <f t="shared" si="25"/>
        <v>0</v>
      </c>
      <c r="AB33" s="34">
        <f t="shared" si="25"/>
        <v>0</v>
      </c>
      <c r="AC33" s="34">
        <f t="shared" si="25"/>
        <v>9</v>
      </c>
      <c r="AD33" s="34">
        <f t="shared" si="25"/>
        <v>0</v>
      </c>
      <c r="AE33" s="31">
        <f t="shared" si="25"/>
        <v>9</v>
      </c>
      <c r="AF33" s="31">
        <f t="shared" si="25"/>
        <v>18</v>
      </c>
    </row>
    <row r="34" spans="2:32" ht="23.1" customHeight="1" x14ac:dyDescent="0.25">
      <c r="B34" s="46" t="s">
        <v>61</v>
      </c>
      <c r="C34" s="50">
        <v>1</v>
      </c>
      <c r="D34" s="50">
        <v>0</v>
      </c>
      <c r="E34" s="50">
        <v>0</v>
      </c>
      <c r="F34" s="50">
        <v>1</v>
      </c>
      <c r="G34" s="50">
        <v>0</v>
      </c>
      <c r="H34" s="50">
        <v>0</v>
      </c>
      <c r="I34" s="50">
        <v>0</v>
      </c>
      <c r="J34" s="50">
        <v>0</v>
      </c>
      <c r="K34" s="50">
        <v>0</v>
      </c>
      <c r="L34" s="50">
        <v>0</v>
      </c>
      <c r="M34" s="50">
        <v>10</v>
      </c>
      <c r="N34" s="50">
        <v>0</v>
      </c>
      <c r="O34" s="15">
        <f t="shared" si="0"/>
        <v>2</v>
      </c>
      <c r="P34" s="15">
        <f t="shared" si="1"/>
        <v>12</v>
      </c>
      <c r="R34" s="38" t="s">
        <v>90</v>
      </c>
      <c r="S34" s="39">
        <f t="shared" ref="S34:AF34" si="26">MAX(S10:S12)</f>
        <v>5</v>
      </c>
      <c r="T34" s="39">
        <f t="shared" si="26"/>
        <v>2</v>
      </c>
      <c r="U34" s="39">
        <f t="shared" si="26"/>
        <v>0</v>
      </c>
      <c r="V34" s="39">
        <f t="shared" si="26"/>
        <v>5</v>
      </c>
      <c r="W34" s="39">
        <f t="shared" si="26"/>
        <v>0</v>
      </c>
      <c r="X34" s="39">
        <f t="shared" si="26"/>
        <v>0</v>
      </c>
      <c r="Y34" s="39">
        <f t="shared" si="26"/>
        <v>4</v>
      </c>
      <c r="Z34" s="39">
        <f t="shared" si="26"/>
        <v>5</v>
      </c>
      <c r="AA34" s="39">
        <f t="shared" si="26"/>
        <v>2</v>
      </c>
      <c r="AB34" s="39">
        <f t="shared" si="26"/>
        <v>1</v>
      </c>
      <c r="AC34" s="39">
        <f t="shared" si="26"/>
        <v>23</v>
      </c>
      <c r="AD34" s="39">
        <f t="shared" si="26"/>
        <v>0</v>
      </c>
      <c r="AE34" s="40">
        <f t="shared" si="26"/>
        <v>19</v>
      </c>
      <c r="AF34" s="40">
        <f t="shared" si="26"/>
        <v>37</v>
      </c>
    </row>
    <row r="35" spans="2:32" ht="23.1" customHeight="1" x14ac:dyDescent="0.25">
      <c r="B35" s="46" t="s">
        <v>62</v>
      </c>
      <c r="C35" s="50">
        <v>0</v>
      </c>
      <c r="D35" s="50">
        <v>0</v>
      </c>
      <c r="E35" s="50">
        <v>1</v>
      </c>
      <c r="F35" s="50">
        <v>0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16</v>
      </c>
      <c r="N35" s="50">
        <v>0</v>
      </c>
      <c r="O35" s="15">
        <f t="shared" si="0"/>
        <v>1</v>
      </c>
      <c r="P35" s="15">
        <f t="shared" si="1"/>
        <v>17</v>
      </c>
      <c r="R35" s="38" t="s">
        <v>91</v>
      </c>
      <c r="S35" s="39">
        <f t="shared" ref="S35:AF35" si="27">MAX(S13:S18)</f>
        <v>4</v>
      </c>
      <c r="T35" s="39">
        <f t="shared" si="27"/>
        <v>9</v>
      </c>
      <c r="U35" s="39">
        <f t="shared" si="27"/>
        <v>1</v>
      </c>
      <c r="V35" s="39">
        <f t="shared" si="27"/>
        <v>4</v>
      </c>
      <c r="W35" s="39">
        <f t="shared" si="27"/>
        <v>0</v>
      </c>
      <c r="X35" s="39">
        <f t="shared" si="27"/>
        <v>0</v>
      </c>
      <c r="Y35" s="39">
        <f t="shared" si="27"/>
        <v>6</v>
      </c>
      <c r="Z35" s="39">
        <f t="shared" si="27"/>
        <v>2</v>
      </c>
      <c r="AA35" s="39">
        <f t="shared" si="27"/>
        <v>9</v>
      </c>
      <c r="AB35" s="39">
        <f t="shared" si="27"/>
        <v>0</v>
      </c>
      <c r="AC35" s="39">
        <f t="shared" si="27"/>
        <v>43</v>
      </c>
      <c r="AD35" s="39">
        <f t="shared" si="27"/>
        <v>0</v>
      </c>
      <c r="AE35" s="40">
        <f t="shared" si="27"/>
        <v>20</v>
      </c>
      <c r="AF35" s="40">
        <f t="shared" si="27"/>
        <v>63</v>
      </c>
    </row>
    <row r="36" spans="2:32" ht="23.1" customHeight="1" x14ac:dyDescent="0.25">
      <c r="B36" s="46" t="s">
        <v>63</v>
      </c>
      <c r="C36" s="50">
        <v>1</v>
      </c>
      <c r="D36" s="50">
        <v>0</v>
      </c>
      <c r="E36" s="50">
        <v>0</v>
      </c>
      <c r="F36" s="50">
        <v>0</v>
      </c>
      <c r="G36" s="50">
        <v>0</v>
      </c>
      <c r="H36" s="50">
        <v>0</v>
      </c>
      <c r="I36" s="50">
        <v>0</v>
      </c>
      <c r="J36" s="50">
        <v>0</v>
      </c>
      <c r="K36" s="50">
        <v>1</v>
      </c>
      <c r="L36" s="50">
        <v>0</v>
      </c>
      <c r="M36" s="50">
        <v>6</v>
      </c>
      <c r="N36" s="50">
        <v>0</v>
      </c>
      <c r="O36" s="15">
        <f t="shared" si="0"/>
        <v>2</v>
      </c>
      <c r="P36" s="15">
        <f t="shared" si="1"/>
        <v>8</v>
      </c>
      <c r="R36" s="38" t="s">
        <v>92</v>
      </c>
      <c r="S36" s="39">
        <f t="shared" ref="S36:AF36" si="28">MAX(S19:S21)</f>
        <v>4</v>
      </c>
      <c r="T36" s="39">
        <f t="shared" si="28"/>
        <v>4</v>
      </c>
      <c r="U36" s="39">
        <f t="shared" si="28"/>
        <v>1</v>
      </c>
      <c r="V36" s="39">
        <f t="shared" si="28"/>
        <v>2</v>
      </c>
      <c r="W36" s="39">
        <f t="shared" si="28"/>
        <v>0</v>
      </c>
      <c r="X36" s="39">
        <f t="shared" si="28"/>
        <v>0</v>
      </c>
      <c r="Y36" s="39">
        <f t="shared" si="28"/>
        <v>5</v>
      </c>
      <c r="Z36" s="39">
        <f t="shared" si="28"/>
        <v>2</v>
      </c>
      <c r="AA36" s="39">
        <f t="shared" si="28"/>
        <v>4</v>
      </c>
      <c r="AB36" s="39">
        <f t="shared" si="28"/>
        <v>1</v>
      </c>
      <c r="AC36" s="39">
        <f t="shared" si="28"/>
        <v>37</v>
      </c>
      <c r="AD36" s="39">
        <f t="shared" si="28"/>
        <v>0</v>
      </c>
      <c r="AE36" s="40">
        <f t="shared" si="28"/>
        <v>15</v>
      </c>
      <c r="AF36" s="40">
        <f t="shared" si="28"/>
        <v>52</v>
      </c>
    </row>
    <row r="37" spans="2:32" ht="23.1" customHeight="1" x14ac:dyDescent="0.25">
      <c r="B37" s="45" t="s">
        <v>64</v>
      </c>
      <c r="C37" s="50">
        <v>0</v>
      </c>
      <c r="D37" s="50">
        <v>0</v>
      </c>
      <c r="E37" s="50">
        <v>0</v>
      </c>
      <c r="F37" s="50">
        <v>0</v>
      </c>
      <c r="G37" s="50">
        <v>0</v>
      </c>
      <c r="H37" s="50">
        <v>0</v>
      </c>
      <c r="I37" s="50">
        <v>1</v>
      </c>
      <c r="J37" s="50">
        <v>0</v>
      </c>
      <c r="K37" s="50">
        <v>1</v>
      </c>
      <c r="L37" s="50">
        <v>0</v>
      </c>
      <c r="M37" s="50">
        <v>4</v>
      </c>
      <c r="N37" s="50">
        <v>0</v>
      </c>
      <c r="O37" s="15">
        <f t="shared" si="0"/>
        <v>2</v>
      </c>
      <c r="P37" s="15">
        <f t="shared" si="1"/>
        <v>6</v>
      </c>
      <c r="R37" s="37" t="s">
        <v>85</v>
      </c>
      <c r="S37" s="35">
        <f t="shared" ref="S37:AF37" si="29">SUM(S10:S12)</f>
        <v>9</v>
      </c>
      <c r="T37" s="16">
        <f t="shared" si="29"/>
        <v>4</v>
      </c>
      <c r="U37" s="16">
        <f t="shared" si="29"/>
        <v>0</v>
      </c>
      <c r="V37" s="16">
        <f t="shared" si="29"/>
        <v>9</v>
      </c>
      <c r="W37" s="16">
        <f t="shared" si="29"/>
        <v>0</v>
      </c>
      <c r="X37" s="16">
        <f t="shared" si="29"/>
        <v>0</v>
      </c>
      <c r="Y37" s="16">
        <f t="shared" si="29"/>
        <v>7</v>
      </c>
      <c r="Z37" s="16">
        <f t="shared" si="29"/>
        <v>5</v>
      </c>
      <c r="AA37" s="16">
        <f t="shared" si="29"/>
        <v>2</v>
      </c>
      <c r="AB37" s="16">
        <f t="shared" si="29"/>
        <v>1</v>
      </c>
      <c r="AC37" s="16">
        <f t="shared" si="29"/>
        <v>58</v>
      </c>
      <c r="AD37" s="16">
        <f t="shared" si="29"/>
        <v>0</v>
      </c>
      <c r="AE37" s="32">
        <f t="shared" si="29"/>
        <v>37</v>
      </c>
      <c r="AF37" s="32">
        <f t="shared" si="29"/>
        <v>95</v>
      </c>
    </row>
    <row r="38" spans="2:32" ht="23.1" customHeight="1" x14ac:dyDescent="0.25">
      <c r="B38" s="46" t="s">
        <v>65</v>
      </c>
      <c r="C38" s="50">
        <v>1</v>
      </c>
      <c r="D38" s="50">
        <v>1</v>
      </c>
      <c r="E38" s="50">
        <v>0</v>
      </c>
      <c r="F38" s="50">
        <v>1</v>
      </c>
      <c r="G38" s="50">
        <v>0</v>
      </c>
      <c r="H38" s="50">
        <v>0</v>
      </c>
      <c r="I38" s="50">
        <v>0</v>
      </c>
      <c r="J38" s="50">
        <v>0</v>
      </c>
      <c r="K38" s="50">
        <v>0</v>
      </c>
      <c r="L38" s="50">
        <v>0</v>
      </c>
      <c r="M38" s="50">
        <v>6</v>
      </c>
      <c r="N38" s="50">
        <v>0</v>
      </c>
      <c r="O38" s="15">
        <f t="shared" si="0"/>
        <v>3</v>
      </c>
      <c r="P38" s="15">
        <f t="shared" si="1"/>
        <v>9</v>
      </c>
      <c r="R38" s="28" t="s">
        <v>86</v>
      </c>
      <c r="S38" s="16">
        <f t="shared" ref="S38:AF38" si="30">SUM(S13:S18)</f>
        <v>14</v>
      </c>
      <c r="T38" s="16">
        <f t="shared" si="30"/>
        <v>25</v>
      </c>
      <c r="U38" s="16">
        <f t="shared" si="30"/>
        <v>1</v>
      </c>
      <c r="V38" s="16">
        <f t="shared" si="30"/>
        <v>8</v>
      </c>
      <c r="W38" s="16">
        <f t="shared" si="30"/>
        <v>0</v>
      </c>
      <c r="X38" s="16">
        <f t="shared" si="30"/>
        <v>0</v>
      </c>
      <c r="Y38" s="16">
        <f t="shared" si="30"/>
        <v>7</v>
      </c>
      <c r="Z38" s="16">
        <f t="shared" si="30"/>
        <v>4</v>
      </c>
      <c r="AA38" s="16">
        <f t="shared" si="30"/>
        <v>19</v>
      </c>
      <c r="AB38" s="16">
        <f t="shared" si="30"/>
        <v>0</v>
      </c>
      <c r="AC38" s="16">
        <f t="shared" si="30"/>
        <v>226</v>
      </c>
      <c r="AD38" s="16">
        <f t="shared" si="30"/>
        <v>0</v>
      </c>
      <c r="AE38" s="32">
        <f t="shared" si="30"/>
        <v>78</v>
      </c>
      <c r="AF38" s="32">
        <f t="shared" si="30"/>
        <v>304</v>
      </c>
    </row>
    <row r="39" spans="2:32" ht="23.1" customHeight="1" x14ac:dyDescent="0.25">
      <c r="B39" s="46" t="s">
        <v>66</v>
      </c>
      <c r="C39" s="50">
        <v>1</v>
      </c>
      <c r="D39" s="50">
        <v>3</v>
      </c>
      <c r="E39" s="50">
        <v>0</v>
      </c>
      <c r="F39" s="50">
        <v>0</v>
      </c>
      <c r="G39" s="50">
        <v>0</v>
      </c>
      <c r="H39" s="50">
        <v>0</v>
      </c>
      <c r="I39" s="50">
        <v>0</v>
      </c>
      <c r="J39" s="50">
        <v>0</v>
      </c>
      <c r="K39" s="50">
        <v>0</v>
      </c>
      <c r="L39" s="50">
        <v>0</v>
      </c>
      <c r="M39" s="50">
        <v>14</v>
      </c>
      <c r="N39" s="50">
        <v>0</v>
      </c>
      <c r="O39" s="15">
        <f t="shared" si="0"/>
        <v>4</v>
      </c>
      <c r="P39" s="15">
        <f t="shared" si="1"/>
        <v>18</v>
      </c>
      <c r="R39" s="29" t="s">
        <v>87</v>
      </c>
      <c r="S39" s="16">
        <f t="shared" ref="S39:AF39" si="31">SUM(S19:S21)</f>
        <v>4</v>
      </c>
      <c r="T39" s="16">
        <f t="shared" si="31"/>
        <v>7</v>
      </c>
      <c r="U39" s="16">
        <f t="shared" si="31"/>
        <v>1</v>
      </c>
      <c r="V39" s="16">
        <f t="shared" si="31"/>
        <v>5</v>
      </c>
      <c r="W39" s="16">
        <f t="shared" si="31"/>
        <v>0</v>
      </c>
      <c r="X39" s="16">
        <f t="shared" si="31"/>
        <v>0</v>
      </c>
      <c r="Y39" s="16">
        <f t="shared" si="31"/>
        <v>10</v>
      </c>
      <c r="Z39" s="16">
        <f t="shared" si="31"/>
        <v>5</v>
      </c>
      <c r="AA39" s="16">
        <f t="shared" si="31"/>
        <v>8</v>
      </c>
      <c r="AB39" s="16">
        <f t="shared" si="31"/>
        <v>1</v>
      </c>
      <c r="AC39" s="16">
        <f t="shared" si="31"/>
        <v>98</v>
      </c>
      <c r="AD39" s="16">
        <f t="shared" si="31"/>
        <v>0</v>
      </c>
      <c r="AE39" s="32">
        <f t="shared" si="31"/>
        <v>41</v>
      </c>
      <c r="AF39" s="32">
        <f t="shared" si="31"/>
        <v>139</v>
      </c>
    </row>
    <row r="40" spans="2:32" ht="23.1" customHeight="1" x14ac:dyDescent="0.25">
      <c r="B40" s="46" t="s">
        <v>67</v>
      </c>
      <c r="C40" s="50">
        <v>0</v>
      </c>
      <c r="D40" s="50">
        <v>0</v>
      </c>
      <c r="E40" s="50">
        <v>0</v>
      </c>
      <c r="F40" s="50">
        <v>0</v>
      </c>
      <c r="G40" s="50">
        <v>0</v>
      </c>
      <c r="H40" s="50">
        <v>0</v>
      </c>
      <c r="I40" s="50">
        <v>0</v>
      </c>
      <c r="J40" s="50">
        <v>2</v>
      </c>
      <c r="K40" s="50">
        <v>0</v>
      </c>
      <c r="L40" s="50">
        <v>0</v>
      </c>
      <c r="M40" s="50">
        <v>13</v>
      </c>
      <c r="N40" s="50">
        <v>0</v>
      </c>
      <c r="O40" s="15">
        <f t="shared" si="0"/>
        <v>2</v>
      </c>
      <c r="P40" s="15">
        <f t="shared" si="1"/>
        <v>15</v>
      </c>
      <c r="R40" s="5" t="s">
        <v>17</v>
      </c>
      <c r="S40" s="16">
        <f t="shared" ref="S40:AF40" si="32">SUM(S10:S21)</f>
        <v>27</v>
      </c>
      <c r="T40" s="16">
        <f t="shared" si="32"/>
        <v>36</v>
      </c>
      <c r="U40" s="16">
        <f t="shared" si="32"/>
        <v>2</v>
      </c>
      <c r="V40" s="16">
        <f t="shared" si="32"/>
        <v>22</v>
      </c>
      <c r="W40" s="16">
        <f t="shared" si="32"/>
        <v>0</v>
      </c>
      <c r="X40" s="16">
        <f t="shared" si="32"/>
        <v>0</v>
      </c>
      <c r="Y40" s="16">
        <f t="shared" si="32"/>
        <v>24</v>
      </c>
      <c r="Z40" s="16">
        <f t="shared" si="32"/>
        <v>14</v>
      </c>
      <c r="AA40" s="16">
        <f t="shared" si="32"/>
        <v>29</v>
      </c>
      <c r="AB40" s="16">
        <f t="shared" si="32"/>
        <v>2</v>
      </c>
      <c r="AC40" s="16">
        <f t="shared" si="32"/>
        <v>382</v>
      </c>
      <c r="AD40" s="16">
        <f t="shared" si="32"/>
        <v>0</v>
      </c>
      <c r="AE40" s="32">
        <f t="shared" si="32"/>
        <v>156</v>
      </c>
      <c r="AF40" s="32">
        <f t="shared" si="32"/>
        <v>538</v>
      </c>
    </row>
    <row r="41" spans="2:32" ht="23.1" customHeight="1" x14ac:dyDescent="0.25">
      <c r="B41" s="45" t="s">
        <v>68</v>
      </c>
      <c r="C41" s="50">
        <v>0</v>
      </c>
      <c r="D41" s="50">
        <v>0</v>
      </c>
      <c r="E41" s="50">
        <v>0</v>
      </c>
      <c r="F41" s="50">
        <v>0</v>
      </c>
      <c r="G41" s="50">
        <v>0</v>
      </c>
      <c r="H41" s="50">
        <v>0</v>
      </c>
      <c r="I41" s="50">
        <v>0</v>
      </c>
      <c r="J41" s="50">
        <v>0</v>
      </c>
      <c r="K41" s="50">
        <v>1</v>
      </c>
      <c r="L41" s="50">
        <v>0</v>
      </c>
      <c r="M41" s="50">
        <v>4</v>
      </c>
      <c r="N41" s="50">
        <v>0</v>
      </c>
      <c r="O41" s="15">
        <f t="shared" si="0"/>
        <v>1</v>
      </c>
      <c r="P41" s="15">
        <f t="shared" si="1"/>
        <v>5</v>
      </c>
      <c r="R41" s="5" t="s">
        <v>159</v>
      </c>
      <c r="S41" s="16">
        <f>SUM(S10:S33)</f>
        <v>49</v>
      </c>
      <c r="T41" s="16">
        <f t="shared" ref="T41:AF41" si="33">SUM(T10:T33)</f>
        <v>50</v>
      </c>
      <c r="U41" s="16">
        <f t="shared" si="33"/>
        <v>11</v>
      </c>
      <c r="V41" s="16">
        <f t="shared" si="33"/>
        <v>33</v>
      </c>
      <c r="W41" s="16">
        <f t="shared" si="33"/>
        <v>0</v>
      </c>
      <c r="X41" s="16">
        <f t="shared" si="33"/>
        <v>1</v>
      </c>
      <c r="Y41" s="16">
        <f t="shared" si="33"/>
        <v>33</v>
      </c>
      <c r="Z41" s="16">
        <f t="shared" si="33"/>
        <v>24</v>
      </c>
      <c r="AA41" s="16">
        <f t="shared" si="33"/>
        <v>43</v>
      </c>
      <c r="AB41" s="16">
        <f t="shared" si="33"/>
        <v>10</v>
      </c>
      <c r="AC41" s="16">
        <f t="shared" si="33"/>
        <v>483</v>
      </c>
      <c r="AD41" s="16">
        <f t="shared" si="33"/>
        <v>0</v>
      </c>
      <c r="AE41" s="32">
        <f t="shared" si="33"/>
        <v>254</v>
      </c>
      <c r="AF41" s="32">
        <f t="shared" si="33"/>
        <v>737</v>
      </c>
    </row>
    <row r="42" spans="2:32" ht="23.1" customHeight="1" x14ac:dyDescent="0.25">
      <c r="B42" s="46" t="s">
        <v>69</v>
      </c>
      <c r="C42" s="50">
        <v>2</v>
      </c>
      <c r="D42" s="50">
        <v>0</v>
      </c>
      <c r="E42" s="50">
        <v>0</v>
      </c>
      <c r="F42" s="50">
        <v>0</v>
      </c>
      <c r="G42" s="50">
        <v>0</v>
      </c>
      <c r="H42" s="50">
        <v>0</v>
      </c>
      <c r="I42" s="50">
        <v>1</v>
      </c>
      <c r="J42" s="50">
        <v>0</v>
      </c>
      <c r="K42" s="50">
        <v>3</v>
      </c>
      <c r="L42" s="50">
        <v>0</v>
      </c>
      <c r="M42" s="50">
        <v>12</v>
      </c>
      <c r="N42" s="50">
        <v>0</v>
      </c>
      <c r="O42" s="15">
        <f t="shared" si="0"/>
        <v>6</v>
      </c>
      <c r="P42" s="15">
        <f t="shared" si="1"/>
        <v>18</v>
      </c>
      <c r="R42" s="5" t="s">
        <v>160</v>
      </c>
      <c r="S42" s="48">
        <f>S41/S40</f>
        <v>1.8148148148148149</v>
      </c>
      <c r="T42" s="48">
        <f t="shared" ref="T42:AF42" si="34">T41/T40</f>
        <v>1.3888888888888888</v>
      </c>
      <c r="U42" s="48">
        <f t="shared" si="34"/>
        <v>5.5</v>
      </c>
      <c r="V42" s="48">
        <f t="shared" si="34"/>
        <v>1.5</v>
      </c>
      <c r="W42" s="48" t="e">
        <f t="shared" si="34"/>
        <v>#DIV/0!</v>
      </c>
      <c r="X42" s="48" t="e">
        <f t="shared" si="34"/>
        <v>#DIV/0!</v>
      </c>
      <c r="Y42" s="48">
        <f t="shared" si="34"/>
        <v>1.375</v>
      </c>
      <c r="Z42" s="48">
        <f t="shared" si="34"/>
        <v>1.7142857142857142</v>
      </c>
      <c r="AA42" s="48">
        <f t="shared" si="34"/>
        <v>1.4827586206896552</v>
      </c>
      <c r="AB42" s="48">
        <f t="shared" si="34"/>
        <v>5</v>
      </c>
      <c r="AC42" s="48">
        <f t="shared" si="34"/>
        <v>1.2643979057591623</v>
      </c>
      <c r="AD42" s="48" t="e">
        <f t="shared" si="34"/>
        <v>#DIV/0!</v>
      </c>
      <c r="AE42" s="48">
        <f t="shared" si="34"/>
        <v>1.6282051282051282</v>
      </c>
      <c r="AF42" s="48">
        <f t="shared" si="34"/>
        <v>1.3698884758364311</v>
      </c>
    </row>
    <row r="43" spans="2:32" ht="23.1" customHeight="1" x14ac:dyDescent="0.25">
      <c r="B43" s="45" t="s">
        <v>70</v>
      </c>
      <c r="C43" s="50">
        <v>0</v>
      </c>
      <c r="D43" s="50">
        <v>0</v>
      </c>
      <c r="E43" s="50">
        <v>0</v>
      </c>
      <c r="F43" s="50">
        <v>0</v>
      </c>
      <c r="G43" s="50">
        <v>0</v>
      </c>
      <c r="H43" s="50">
        <v>0</v>
      </c>
      <c r="I43" s="50">
        <v>0</v>
      </c>
      <c r="J43" s="50">
        <v>0</v>
      </c>
      <c r="K43" s="50">
        <v>0</v>
      </c>
      <c r="L43" s="50">
        <v>0</v>
      </c>
      <c r="M43" s="50">
        <v>9</v>
      </c>
      <c r="N43" s="50">
        <v>0</v>
      </c>
      <c r="O43" s="15">
        <f t="shared" si="0"/>
        <v>0</v>
      </c>
      <c r="P43" s="15">
        <f t="shared" si="1"/>
        <v>9</v>
      </c>
    </row>
    <row r="44" spans="2:32" ht="23.1" customHeight="1" x14ac:dyDescent="0.25">
      <c r="B44" s="47" t="s">
        <v>71</v>
      </c>
      <c r="C44" s="50">
        <v>0</v>
      </c>
      <c r="D44" s="50">
        <v>0</v>
      </c>
      <c r="E44" s="50">
        <v>0</v>
      </c>
      <c r="F44" s="50">
        <v>0</v>
      </c>
      <c r="G44" s="50">
        <v>0</v>
      </c>
      <c r="H44" s="50">
        <v>0</v>
      </c>
      <c r="I44" s="50">
        <v>0</v>
      </c>
      <c r="J44" s="50">
        <v>0</v>
      </c>
      <c r="K44" s="50">
        <v>0</v>
      </c>
      <c r="L44" s="50">
        <v>0</v>
      </c>
      <c r="M44" s="50">
        <v>6</v>
      </c>
      <c r="N44" s="50">
        <v>0</v>
      </c>
      <c r="O44" s="15">
        <f t="shared" si="0"/>
        <v>0</v>
      </c>
      <c r="P44" s="15">
        <f t="shared" si="1"/>
        <v>6</v>
      </c>
    </row>
    <row r="45" spans="2:32" ht="23.1" customHeight="1" x14ac:dyDescent="0.25">
      <c r="B45" s="45" t="s">
        <v>72</v>
      </c>
      <c r="C45" s="50">
        <v>1</v>
      </c>
      <c r="D45" s="50">
        <v>3</v>
      </c>
      <c r="E45" s="50">
        <v>0</v>
      </c>
      <c r="F45" s="50">
        <v>0</v>
      </c>
      <c r="G45" s="50">
        <v>0</v>
      </c>
      <c r="H45" s="50">
        <v>0</v>
      </c>
      <c r="I45" s="50">
        <v>5</v>
      </c>
      <c r="J45" s="50">
        <v>0</v>
      </c>
      <c r="K45" s="50">
        <v>0</v>
      </c>
      <c r="L45" s="50">
        <v>0</v>
      </c>
      <c r="M45" s="50">
        <v>6</v>
      </c>
      <c r="N45" s="50">
        <v>0</v>
      </c>
      <c r="O45" s="15">
        <f t="shared" si="0"/>
        <v>9</v>
      </c>
      <c r="P45" s="15">
        <f t="shared" si="1"/>
        <v>15</v>
      </c>
    </row>
    <row r="46" spans="2:32" ht="23.1" customHeight="1" x14ac:dyDescent="0.25">
      <c r="B46" s="46" t="s">
        <v>73</v>
      </c>
      <c r="C46" s="50">
        <v>0</v>
      </c>
      <c r="D46" s="50">
        <v>0</v>
      </c>
      <c r="E46" s="50">
        <v>0</v>
      </c>
      <c r="F46" s="50">
        <v>1</v>
      </c>
      <c r="G46" s="50">
        <v>0</v>
      </c>
      <c r="H46" s="50">
        <v>0</v>
      </c>
      <c r="I46" s="50">
        <v>3</v>
      </c>
      <c r="J46" s="50">
        <v>1</v>
      </c>
      <c r="K46" s="50">
        <v>0</v>
      </c>
      <c r="L46" s="50">
        <v>0</v>
      </c>
      <c r="M46" s="50">
        <v>6</v>
      </c>
      <c r="N46" s="50">
        <v>0</v>
      </c>
      <c r="O46" s="15">
        <f t="shared" si="0"/>
        <v>5</v>
      </c>
      <c r="P46" s="15">
        <f t="shared" si="1"/>
        <v>11</v>
      </c>
      <c r="R46" s="8"/>
      <c r="T46"/>
    </row>
    <row r="47" spans="2:32" ht="23.1" customHeight="1" x14ac:dyDescent="0.25">
      <c r="B47" s="46" t="s">
        <v>74</v>
      </c>
      <c r="C47" s="50">
        <v>0</v>
      </c>
      <c r="D47" s="50">
        <v>1</v>
      </c>
      <c r="E47" s="50">
        <v>0</v>
      </c>
      <c r="F47" s="50">
        <v>0</v>
      </c>
      <c r="G47" s="50">
        <v>0</v>
      </c>
      <c r="H47" s="50">
        <v>0</v>
      </c>
      <c r="I47" s="50">
        <v>0</v>
      </c>
      <c r="J47" s="50">
        <v>1</v>
      </c>
      <c r="K47" s="50">
        <v>0</v>
      </c>
      <c r="L47" s="50">
        <v>0</v>
      </c>
      <c r="M47" s="50">
        <v>5</v>
      </c>
      <c r="N47" s="50">
        <v>0</v>
      </c>
      <c r="O47" s="15">
        <f t="shared" si="0"/>
        <v>2</v>
      </c>
      <c r="P47" s="15">
        <f t="shared" si="1"/>
        <v>7</v>
      </c>
      <c r="R47" s="8"/>
      <c r="T47"/>
    </row>
    <row r="48" spans="2:32" ht="23.1" customHeight="1" x14ac:dyDescent="0.25">
      <c r="B48" s="46" t="s">
        <v>75</v>
      </c>
      <c r="C48" s="50">
        <v>0</v>
      </c>
      <c r="D48" s="50">
        <v>0</v>
      </c>
      <c r="E48" s="50">
        <v>0</v>
      </c>
      <c r="F48" s="50">
        <v>1</v>
      </c>
      <c r="G48" s="50">
        <v>0</v>
      </c>
      <c r="H48" s="50">
        <v>0</v>
      </c>
      <c r="I48" s="50">
        <v>0</v>
      </c>
      <c r="J48" s="50">
        <v>0</v>
      </c>
      <c r="K48" s="50">
        <v>2</v>
      </c>
      <c r="L48" s="50">
        <v>0</v>
      </c>
      <c r="M48" s="50">
        <v>10</v>
      </c>
      <c r="N48" s="50">
        <v>0</v>
      </c>
      <c r="O48" s="15">
        <f t="shared" si="0"/>
        <v>3</v>
      </c>
      <c r="P48" s="15">
        <f t="shared" si="1"/>
        <v>13</v>
      </c>
      <c r="R48" s="8"/>
      <c r="T48"/>
    </row>
    <row r="49" spans="2:20" ht="23.1" customHeight="1" x14ac:dyDescent="0.25">
      <c r="B49" s="45" t="s">
        <v>76</v>
      </c>
      <c r="C49" s="50">
        <v>0</v>
      </c>
      <c r="D49" s="50">
        <v>0</v>
      </c>
      <c r="E49" s="50">
        <v>0</v>
      </c>
      <c r="F49" s="50">
        <v>0</v>
      </c>
      <c r="G49" s="50">
        <v>0</v>
      </c>
      <c r="H49" s="50">
        <v>0</v>
      </c>
      <c r="I49" s="50">
        <v>0</v>
      </c>
      <c r="J49" s="50">
        <v>0</v>
      </c>
      <c r="K49" s="50">
        <v>2</v>
      </c>
      <c r="L49" s="50">
        <v>0</v>
      </c>
      <c r="M49" s="50">
        <v>3</v>
      </c>
      <c r="N49" s="50">
        <v>0</v>
      </c>
      <c r="O49" s="15">
        <f t="shared" si="0"/>
        <v>2</v>
      </c>
      <c r="P49" s="15">
        <f t="shared" si="1"/>
        <v>5</v>
      </c>
      <c r="R49" s="8"/>
      <c r="T49"/>
    </row>
    <row r="50" spans="2:20" ht="23.1" customHeight="1" x14ac:dyDescent="0.25">
      <c r="B50" s="46" t="s">
        <v>77</v>
      </c>
      <c r="C50" s="50">
        <v>0</v>
      </c>
      <c r="D50" s="50">
        <v>0</v>
      </c>
      <c r="E50" s="50">
        <v>0</v>
      </c>
      <c r="F50" s="50">
        <v>0</v>
      </c>
      <c r="G50" s="50">
        <v>0</v>
      </c>
      <c r="H50" s="50">
        <v>0</v>
      </c>
      <c r="I50" s="50">
        <v>0</v>
      </c>
      <c r="J50" s="50">
        <v>1</v>
      </c>
      <c r="K50" s="50">
        <v>1</v>
      </c>
      <c r="L50" s="50">
        <v>0</v>
      </c>
      <c r="M50" s="50">
        <v>12</v>
      </c>
      <c r="N50" s="50">
        <v>0</v>
      </c>
      <c r="O50" s="15">
        <f t="shared" si="0"/>
        <v>2</v>
      </c>
      <c r="P50" s="15">
        <f t="shared" si="1"/>
        <v>14</v>
      </c>
      <c r="R50" s="8"/>
      <c r="T50"/>
    </row>
    <row r="51" spans="2:20" ht="23.1" customHeight="1" x14ac:dyDescent="0.25">
      <c r="B51" s="46" t="s">
        <v>78</v>
      </c>
      <c r="C51" s="50">
        <v>0</v>
      </c>
      <c r="D51" s="50">
        <v>1</v>
      </c>
      <c r="E51" s="50">
        <v>0</v>
      </c>
      <c r="F51" s="50">
        <v>0</v>
      </c>
      <c r="G51" s="50">
        <v>0</v>
      </c>
      <c r="H51" s="50">
        <v>0</v>
      </c>
      <c r="I51" s="50">
        <v>0</v>
      </c>
      <c r="J51" s="50">
        <v>0</v>
      </c>
      <c r="K51" s="50">
        <v>0</v>
      </c>
      <c r="L51" s="50">
        <v>0</v>
      </c>
      <c r="M51" s="50">
        <v>8</v>
      </c>
      <c r="N51" s="50">
        <v>0</v>
      </c>
      <c r="O51" s="15">
        <f t="shared" si="0"/>
        <v>1</v>
      </c>
      <c r="P51" s="15">
        <f t="shared" si="1"/>
        <v>9</v>
      </c>
      <c r="R51" s="8"/>
      <c r="T51"/>
    </row>
    <row r="52" spans="2:20" ht="23.1" customHeight="1" x14ac:dyDescent="0.25">
      <c r="B52" s="46" t="s">
        <v>79</v>
      </c>
      <c r="C52" s="50">
        <v>0</v>
      </c>
      <c r="D52" s="50">
        <v>0</v>
      </c>
      <c r="E52" s="50">
        <v>0</v>
      </c>
      <c r="F52" s="50">
        <v>1</v>
      </c>
      <c r="G52" s="50">
        <v>0</v>
      </c>
      <c r="H52" s="50">
        <v>0</v>
      </c>
      <c r="I52" s="50">
        <v>0</v>
      </c>
      <c r="J52" s="50">
        <v>0</v>
      </c>
      <c r="K52" s="50">
        <v>1</v>
      </c>
      <c r="L52" s="50">
        <v>0</v>
      </c>
      <c r="M52" s="50">
        <v>12</v>
      </c>
      <c r="N52" s="50">
        <v>0</v>
      </c>
      <c r="O52" s="15">
        <f t="shared" si="0"/>
        <v>2</v>
      </c>
      <c r="P52" s="15">
        <f t="shared" si="1"/>
        <v>14</v>
      </c>
      <c r="R52" s="8"/>
      <c r="T52"/>
    </row>
    <row r="53" spans="2:20" ht="23.1" customHeight="1" x14ac:dyDescent="0.25">
      <c r="B53" s="45" t="s">
        <v>80</v>
      </c>
      <c r="C53" s="50">
        <v>0</v>
      </c>
      <c r="D53" s="50">
        <v>3</v>
      </c>
      <c r="E53" s="50">
        <v>0</v>
      </c>
      <c r="F53" s="50">
        <v>0</v>
      </c>
      <c r="G53" s="50">
        <v>0</v>
      </c>
      <c r="H53" s="50">
        <v>0</v>
      </c>
      <c r="I53" s="50">
        <v>5</v>
      </c>
      <c r="J53" s="50">
        <v>0</v>
      </c>
      <c r="K53" s="50">
        <v>1</v>
      </c>
      <c r="L53" s="50">
        <v>0</v>
      </c>
      <c r="M53" s="50">
        <v>5</v>
      </c>
      <c r="N53" s="50">
        <v>0</v>
      </c>
      <c r="O53" s="15">
        <f t="shared" si="0"/>
        <v>9</v>
      </c>
      <c r="P53" s="15">
        <f t="shared" si="1"/>
        <v>14</v>
      </c>
      <c r="R53" s="8"/>
      <c r="T53"/>
    </row>
    <row r="54" spans="2:20" ht="23.1" customHeight="1" x14ac:dyDescent="0.25">
      <c r="B54" s="45" t="s">
        <v>81</v>
      </c>
      <c r="C54" s="50">
        <v>1</v>
      </c>
      <c r="D54" s="50">
        <v>0</v>
      </c>
      <c r="E54" s="50">
        <v>1</v>
      </c>
      <c r="F54" s="50">
        <v>0</v>
      </c>
      <c r="G54" s="50">
        <v>0</v>
      </c>
      <c r="H54" s="50">
        <v>0</v>
      </c>
      <c r="I54" s="50">
        <v>0</v>
      </c>
      <c r="J54" s="50">
        <v>0</v>
      </c>
      <c r="K54" s="50">
        <v>0</v>
      </c>
      <c r="L54" s="50">
        <v>0</v>
      </c>
      <c r="M54" s="50">
        <v>10</v>
      </c>
      <c r="N54" s="50">
        <v>0</v>
      </c>
      <c r="O54" s="15">
        <f t="shared" si="0"/>
        <v>2</v>
      </c>
      <c r="P54" s="15">
        <f t="shared" si="1"/>
        <v>12</v>
      </c>
      <c r="R54" s="8"/>
      <c r="T54"/>
    </row>
    <row r="55" spans="2:20" ht="23.1" customHeight="1" x14ac:dyDescent="0.25">
      <c r="B55" s="45" t="s">
        <v>82</v>
      </c>
      <c r="C55" s="50">
        <v>1</v>
      </c>
      <c r="D55" s="50">
        <v>0</v>
      </c>
      <c r="E55" s="50">
        <v>0</v>
      </c>
      <c r="F55" s="50">
        <v>1</v>
      </c>
      <c r="G55" s="50">
        <v>0</v>
      </c>
      <c r="H55" s="50">
        <v>0</v>
      </c>
      <c r="I55" s="50">
        <v>1</v>
      </c>
      <c r="J55" s="50">
        <v>1</v>
      </c>
      <c r="K55" s="50">
        <v>1</v>
      </c>
      <c r="L55" s="50">
        <v>1</v>
      </c>
      <c r="M55" s="50">
        <v>8</v>
      </c>
      <c r="N55" s="50">
        <v>0</v>
      </c>
      <c r="O55" s="15">
        <f t="shared" si="0"/>
        <v>6</v>
      </c>
      <c r="P55" s="15">
        <f t="shared" si="1"/>
        <v>14</v>
      </c>
      <c r="R55" s="8"/>
      <c r="T55"/>
    </row>
    <row r="56" spans="2:20" ht="23.1" customHeight="1" x14ac:dyDescent="0.25">
      <c r="B56" s="45" t="s">
        <v>83</v>
      </c>
      <c r="C56" s="50">
        <v>1</v>
      </c>
      <c r="D56" s="50">
        <v>2</v>
      </c>
      <c r="E56" s="50">
        <v>0</v>
      </c>
      <c r="F56" s="50">
        <v>0</v>
      </c>
      <c r="G56" s="50">
        <v>0</v>
      </c>
      <c r="H56" s="50">
        <v>0</v>
      </c>
      <c r="I56" s="50">
        <v>1</v>
      </c>
      <c r="J56" s="50">
        <v>0</v>
      </c>
      <c r="K56" s="50">
        <v>0</v>
      </c>
      <c r="L56" s="50">
        <v>0</v>
      </c>
      <c r="M56" s="50">
        <v>12</v>
      </c>
      <c r="N56" s="50">
        <v>0</v>
      </c>
      <c r="O56" s="15">
        <f t="shared" si="0"/>
        <v>4</v>
      </c>
      <c r="P56" s="15">
        <f t="shared" si="1"/>
        <v>16</v>
      </c>
      <c r="R56" s="8"/>
      <c r="T56"/>
    </row>
    <row r="57" spans="2:20" ht="23.1" customHeight="1" x14ac:dyDescent="0.25">
      <c r="B57" s="45" t="s">
        <v>84</v>
      </c>
      <c r="C57" s="50">
        <v>1</v>
      </c>
      <c r="D57" s="50">
        <v>0</v>
      </c>
      <c r="E57" s="50">
        <v>0</v>
      </c>
      <c r="F57" s="50">
        <v>1</v>
      </c>
      <c r="G57" s="50">
        <v>0</v>
      </c>
      <c r="H57" s="50">
        <v>0</v>
      </c>
      <c r="I57" s="50">
        <v>0</v>
      </c>
      <c r="J57" s="50">
        <v>1</v>
      </c>
      <c r="K57" s="50">
        <v>0</v>
      </c>
      <c r="L57" s="50">
        <v>0</v>
      </c>
      <c r="M57" s="50">
        <v>7</v>
      </c>
      <c r="N57" s="50">
        <v>0</v>
      </c>
      <c r="O57" s="15">
        <f t="shared" si="0"/>
        <v>3</v>
      </c>
      <c r="P57" s="15">
        <f t="shared" si="1"/>
        <v>10</v>
      </c>
      <c r="R57" s="8"/>
      <c r="T57"/>
    </row>
    <row r="58" spans="2:20" ht="23.1" customHeight="1" x14ac:dyDescent="0.25">
      <c r="B58" s="45" t="s">
        <v>99</v>
      </c>
      <c r="C58" s="50">
        <v>2</v>
      </c>
      <c r="D58" s="50">
        <v>3</v>
      </c>
      <c r="E58" s="50">
        <v>0</v>
      </c>
      <c r="F58" s="50">
        <v>1</v>
      </c>
      <c r="G58" s="50">
        <v>0</v>
      </c>
      <c r="H58" s="50">
        <v>0</v>
      </c>
      <c r="I58" s="50">
        <v>0</v>
      </c>
      <c r="J58" s="50">
        <v>2</v>
      </c>
      <c r="K58" s="50">
        <v>0</v>
      </c>
      <c r="L58" s="50">
        <v>0</v>
      </c>
      <c r="M58" s="50">
        <v>6</v>
      </c>
      <c r="N58" s="50">
        <v>0</v>
      </c>
      <c r="O58" s="15">
        <f t="shared" si="0"/>
        <v>8</v>
      </c>
      <c r="P58" s="15">
        <f t="shared" si="1"/>
        <v>14</v>
      </c>
      <c r="R58" s="8"/>
      <c r="T58"/>
    </row>
    <row r="59" spans="2:20" ht="23.1" customHeight="1" x14ac:dyDescent="0.25">
      <c r="B59" s="45" t="s">
        <v>100</v>
      </c>
      <c r="C59" s="50">
        <v>2</v>
      </c>
      <c r="D59" s="50">
        <v>1</v>
      </c>
      <c r="E59" s="50">
        <v>0</v>
      </c>
      <c r="F59" s="50">
        <v>0</v>
      </c>
      <c r="G59" s="50">
        <v>0</v>
      </c>
      <c r="H59" s="50">
        <v>0</v>
      </c>
      <c r="I59" s="50">
        <v>1</v>
      </c>
      <c r="J59" s="50">
        <v>0</v>
      </c>
      <c r="K59" s="50">
        <v>1</v>
      </c>
      <c r="L59" s="50">
        <v>0</v>
      </c>
      <c r="M59" s="50">
        <v>8</v>
      </c>
      <c r="N59" s="50">
        <v>0</v>
      </c>
      <c r="O59" s="15">
        <f t="shared" si="0"/>
        <v>5</v>
      </c>
      <c r="P59" s="15">
        <f t="shared" si="1"/>
        <v>13</v>
      </c>
      <c r="R59" s="8"/>
      <c r="T59"/>
    </row>
    <row r="60" spans="2:20" ht="23.1" customHeight="1" x14ac:dyDescent="0.25">
      <c r="B60" s="45" t="s">
        <v>101</v>
      </c>
      <c r="C60" s="50">
        <v>1</v>
      </c>
      <c r="D60" s="50">
        <v>0</v>
      </c>
      <c r="E60" s="50">
        <v>0</v>
      </c>
      <c r="F60" s="50">
        <v>0</v>
      </c>
      <c r="G60" s="50">
        <v>0</v>
      </c>
      <c r="H60" s="50">
        <v>0</v>
      </c>
      <c r="I60" s="50">
        <v>0</v>
      </c>
      <c r="J60" s="50">
        <v>1</v>
      </c>
      <c r="K60" s="50">
        <v>0</v>
      </c>
      <c r="L60" s="50">
        <v>0</v>
      </c>
      <c r="M60" s="50">
        <v>13</v>
      </c>
      <c r="N60" s="50">
        <v>0</v>
      </c>
      <c r="O60" s="15">
        <f t="shared" si="0"/>
        <v>2</v>
      </c>
      <c r="P60" s="15">
        <f t="shared" si="1"/>
        <v>15</v>
      </c>
      <c r="R60" s="8"/>
      <c r="T60"/>
    </row>
    <row r="61" spans="2:20" ht="23.1" customHeight="1" x14ac:dyDescent="0.25">
      <c r="B61" s="45" t="s">
        <v>102</v>
      </c>
      <c r="C61" s="50">
        <v>3</v>
      </c>
      <c r="D61" s="50">
        <v>1</v>
      </c>
      <c r="E61" s="50">
        <v>1</v>
      </c>
      <c r="F61" s="50">
        <v>1</v>
      </c>
      <c r="G61" s="50">
        <v>0</v>
      </c>
      <c r="H61" s="50">
        <v>0</v>
      </c>
      <c r="I61" s="50">
        <v>1</v>
      </c>
      <c r="J61" s="50">
        <v>2</v>
      </c>
      <c r="K61" s="50">
        <v>0</v>
      </c>
      <c r="L61" s="50">
        <v>0</v>
      </c>
      <c r="M61" s="50">
        <v>8</v>
      </c>
      <c r="N61" s="50">
        <v>0</v>
      </c>
      <c r="O61" s="15">
        <f t="shared" si="0"/>
        <v>9</v>
      </c>
      <c r="P61" s="15">
        <f t="shared" si="1"/>
        <v>17</v>
      </c>
      <c r="R61" s="8"/>
      <c r="T61"/>
    </row>
    <row r="62" spans="2:20" ht="23.1" customHeight="1" x14ac:dyDescent="0.25">
      <c r="B62" s="45" t="s">
        <v>107</v>
      </c>
      <c r="C62" s="50">
        <v>0</v>
      </c>
      <c r="D62" s="50">
        <v>0</v>
      </c>
      <c r="E62" s="50">
        <v>1</v>
      </c>
      <c r="F62" s="50">
        <v>1</v>
      </c>
      <c r="G62" s="50">
        <v>0</v>
      </c>
      <c r="H62" s="50">
        <v>0</v>
      </c>
      <c r="I62" s="50">
        <v>0</v>
      </c>
      <c r="J62" s="50">
        <v>0</v>
      </c>
      <c r="K62" s="50">
        <v>0</v>
      </c>
      <c r="L62" s="50">
        <v>0</v>
      </c>
      <c r="M62" s="50">
        <v>8</v>
      </c>
      <c r="N62" s="50">
        <v>0</v>
      </c>
      <c r="O62" s="15">
        <f t="shared" si="0"/>
        <v>2</v>
      </c>
      <c r="P62" s="15">
        <f t="shared" si="1"/>
        <v>10</v>
      </c>
      <c r="R62" s="8"/>
      <c r="T62"/>
    </row>
    <row r="63" spans="2:20" ht="23.1" customHeight="1" x14ac:dyDescent="0.25">
      <c r="B63" s="45" t="s">
        <v>108</v>
      </c>
      <c r="C63" s="50">
        <v>1</v>
      </c>
      <c r="D63" s="50">
        <v>1</v>
      </c>
      <c r="E63" s="50">
        <v>2</v>
      </c>
      <c r="F63" s="50">
        <v>1</v>
      </c>
      <c r="G63" s="50">
        <v>0</v>
      </c>
      <c r="H63" s="50">
        <v>0</v>
      </c>
      <c r="I63" s="50">
        <v>1</v>
      </c>
      <c r="J63" s="50">
        <v>1</v>
      </c>
      <c r="K63" s="50">
        <v>0</v>
      </c>
      <c r="L63" s="50">
        <v>0</v>
      </c>
      <c r="M63" s="50">
        <v>6</v>
      </c>
      <c r="N63" s="50">
        <v>0</v>
      </c>
      <c r="O63" s="15">
        <f t="shared" si="0"/>
        <v>7</v>
      </c>
      <c r="P63" s="15">
        <f t="shared" si="1"/>
        <v>13</v>
      </c>
      <c r="R63" s="8"/>
      <c r="T63"/>
    </row>
    <row r="64" spans="2:20" ht="23.1" customHeight="1" x14ac:dyDescent="0.25">
      <c r="B64" s="45" t="s">
        <v>109</v>
      </c>
      <c r="C64" s="50">
        <v>1</v>
      </c>
      <c r="D64" s="50">
        <v>1</v>
      </c>
      <c r="E64" s="50">
        <v>0</v>
      </c>
      <c r="F64" s="50">
        <v>3</v>
      </c>
      <c r="G64" s="50">
        <v>0</v>
      </c>
      <c r="H64" s="50">
        <v>0</v>
      </c>
      <c r="I64" s="50">
        <v>1</v>
      </c>
      <c r="J64" s="50">
        <v>0</v>
      </c>
      <c r="K64" s="50">
        <v>0</v>
      </c>
      <c r="L64" s="50">
        <v>0</v>
      </c>
      <c r="M64" s="50">
        <v>5</v>
      </c>
      <c r="N64" s="50">
        <v>0</v>
      </c>
      <c r="O64" s="15">
        <f t="shared" si="0"/>
        <v>6</v>
      </c>
      <c r="P64" s="15">
        <f t="shared" si="1"/>
        <v>11</v>
      </c>
      <c r="R64" s="8"/>
      <c r="T64"/>
    </row>
    <row r="65" spans="2:20" ht="23.1" customHeight="1" x14ac:dyDescent="0.25">
      <c r="B65" s="45" t="s">
        <v>158</v>
      </c>
      <c r="C65" s="50">
        <v>1</v>
      </c>
      <c r="D65" s="50">
        <v>0</v>
      </c>
      <c r="E65" s="50">
        <v>0</v>
      </c>
      <c r="F65" s="50">
        <v>0</v>
      </c>
      <c r="G65" s="50">
        <v>0</v>
      </c>
      <c r="H65" s="50">
        <v>0</v>
      </c>
      <c r="I65" s="50">
        <v>1</v>
      </c>
      <c r="J65" s="50">
        <v>0</v>
      </c>
      <c r="K65" s="50">
        <v>0</v>
      </c>
      <c r="L65" s="50">
        <v>0</v>
      </c>
      <c r="M65" s="50">
        <v>5</v>
      </c>
      <c r="N65" s="50">
        <v>0</v>
      </c>
      <c r="O65" s="15">
        <f t="shared" si="0"/>
        <v>2</v>
      </c>
      <c r="P65" s="15">
        <f t="shared" si="1"/>
        <v>7</v>
      </c>
      <c r="R65" s="8"/>
      <c r="T65"/>
    </row>
    <row r="66" spans="2:20" ht="23.1" customHeight="1" x14ac:dyDescent="0.25">
      <c r="B66" s="45" t="s">
        <v>103</v>
      </c>
      <c r="C66" s="50">
        <v>0</v>
      </c>
      <c r="D66" s="50">
        <v>3</v>
      </c>
      <c r="E66" s="50">
        <v>0</v>
      </c>
      <c r="F66" s="50">
        <v>0</v>
      </c>
      <c r="G66" s="50">
        <v>0</v>
      </c>
      <c r="H66" s="50">
        <v>0</v>
      </c>
      <c r="I66" s="50">
        <v>0</v>
      </c>
      <c r="J66" s="50">
        <v>0</v>
      </c>
      <c r="K66" s="50">
        <v>1</v>
      </c>
      <c r="L66" s="50">
        <v>0</v>
      </c>
      <c r="M66" s="50">
        <v>4</v>
      </c>
      <c r="N66" s="50">
        <v>0</v>
      </c>
      <c r="O66" s="15">
        <f t="shared" si="0"/>
        <v>4</v>
      </c>
      <c r="P66" s="15">
        <f t="shared" si="1"/>
        <v>8</v>
      </c>
      <c r="R66" s="8"/>
      <c r="T66"/>
    </row>
    <row r="67" spans="2:20" ht="23.1" customHeight="1" x14ac:dyDescent="0.25">
      <c r="B67" s="45" t="s">
        <v>104</v>
      </c>
      <c r="C67" s="50">
        <v>0</v>
      </c>
      <c r="D67" s="50">
        <v>0</v>
      </c>
      <c r="E67" s="50">
        <v>0</v>
      </c>
      <c r="F67" s="50">
        <v>0</v>
      </c>
      <c r="G67" s="50">
        <v>0</v>
      </c>
      <c r="H67" s="50">
        <v>0</v>
      </c>
      <c r="I67" s="50">
        <v>0</v>
      </c>
      <c r="J67" s="50">
        <v>0</v>
      </c>
      <c r="K67" s="50">
        <v>1</v>
      </c>
      <c r="L67" s="50">
        <v>0</v>
      </c>
      <c r="M67" s="50">
        <v>0</v>
      </c>
      <c r="N67" s="50">
        <v>0</v>
      </c>
      <c r="O67" s="15">
        <f t="shared" si="0"/>
        <v>1</v>
      </c>
      <c r="P67" s="15">
        <f t="shared" si="1"/>
        <v>1</v>
      </c>
      <c r="R67" s="8"/>
      <c r="T67"/>
    </row>
    <row r="68" spans="2:20" ht="23.1" customHeight="1" x14ac:dyDescent="0.25">
      <c r="B68" s="45" t="s">
        <v>105</v>
      </c>
      <c r="C68" s="50">
        <v>2</v>
      </c>
      <c r="D68" s="50">
        <v>1</v>
      </c>
      <c r="E68" s="50">
        <v>0</v>
      </c>
      <c r="F68" s="50">
        <v>0</v>
      </c>
      <c r="G68" s="50">
        <v>0</v>
      </c>
      <c r="H68" s="50">
        <v>0</v>
      </c>
      <c r="I68" s="50">
        <v>0</v>
      </c>
      <c r="J68" s="50">
        <v>1</v>
      </c>
      <c r="K68" s="50">
        <v>0</v>
      </c>
      <c r="L68" s="50">
        <v>0</v>
      </c>
      <c r="M68" s="50">
        <v>2</v>
      </c>
      <c r="N68" s="50">
        <v>0</v>
      </c>
      <c r="O68" s="15">
        <f t="shared" si="0"/>
        <v>4</v>
      </c>
      <c r="P68" s="15">
        <f t="shared" si="1"/>
        <v>6</v>
      </c>
      <c r="R68" s="8"/>
      <c r="T68"/>
    </row>
    <row r="69" spans="2:20" ht="23.1" customHeight="1" x14ac:dyDescent="0.25">
      <c r="B69" s="45" t="s">
        <v>106</v>
      </c>
      <c r="C69" s="50">
        <v>0</v>
      </c>
      <c r="D69" s="50">
        <v>0</v>
      </c>
      <c r="E69" s="50">
        <v>0</v>
      </c>
      <c r="F69" s="50">
        <v>0</v>
      </c>
      <c r="G69" s="50">
        <v>0</v>
      </c>
      <c r="H69" s="50">
        <v>0</v>
      </c>
      <c r="I69" s="50">
        <v>0</v>
      </c>
      <c r="J69" s="50">
        <v>0</v>
      </c>
      <c r="K69" s="50">
        <v>0</v>
      </c>
      <c r="L69" s="50">
        <v>0</v>
      </c>
      <c r="M69" s="50">
        <v>3</v>
      </c>
      <c r="N69" s="50">
        <v>0</v>
      </c>
      <c r="O69" s="15">
        <f t="shared" si="0"/>
        <v>0</v>
      </c>
      <c r="P69" s="15">
        <f t="shared" si="1"/>
        <v>3</v>
      </c>
      <c r="R69" s="8"/>
      <c r="T69"/>
    </row>
    <row r="70" spans="2:20" ht="23.1" customHeight="1" x14ac:dyDescent="0.25">
      <c r="B70" s="45" t="s">
        <v>110</v>
      </c>
      <c r="C70" s="50">
        <v>1</v>
      </c>
      <c r="D70" s="50">
        <v>1</v>
      </c>
      <c r="E70" s="50">
        <v>0</v>
      </c>
      <c r="F70" s="50">
        <v>0</v>
      </c>
      <c r="G70" s="50">
        <v>0</v>
      </c>
      <c r="H70" s="50">
        <v>0</v>
      </c>
      <c r="I70" s="50">
        <v>1</v>
      </c>
      <c r="J70" s="50">
        <v>0</v>
      </c>
      <c r="K70" s="50">
        <v>0</v>
      </c>
      <c r="L70" s="50">
        <v>1</v>
      </c>
      <c r="M70" s="50">
        <v>2</v>
      </c>
      <c r="N70" s="50">
        <v>0</v>
      </c>
      <c r="O70" s="15">
        <f t="shared" si="0"/>
        <v>4</v>
      </c>
      <c r="P70" s="15">
        <f t="shared" si="1"/>
        <v>6</v>
      </c>
      <c r="R70" s="8"/>
      <c r="T70"/>
    </row>
    <row r="71" spans="2:20" ht="23.1" customHeight="1" x14ac:dyDescent="0.25">
      <c r="B71" s="45" t="s">
        <v>111</v>
      </c>
      <c r="C71" s="50">
        <v>0</v>
      </c>
      <c r="D71" s="50">
        <v>0</v>
      </c>
      <c r="E71" s="50">
        <v>0</v>
      </c>
      <c r="F71" s="50">
        <v>0</v>
      </c>
      <c r="G71" s="50">
        <v>0</v>
      </c>
      <c r="H71" s="50">
        <v>0</v>
      </c>
      <c r="I71" s="50">
        <v>0</v>
      </c>
      <c r="J71" s="50">
        <v>0</v>
      </c>
      <c r="K71" s="50">
        <v>0</v>
      </c>
      <c r="L71" s="50">
        <v>0</v>
      </c>
      <c r="M71" s="50">
        <v>2</v>
      </c>
      <c r="N71" s="50">
        <v>0</v>
      </c>
      <c r="O71" s="15">
        <f t="shared" si="0"/>
        <v>0</v>
      </c>
      <c r="P71" s="15">
        <f t="shared" si="1"/>
        <v>2</v>
      </c>
      <c r="R71" s="8"/>
      <c r="T71"/>
    </row>
    <row r="72" spans="2:20" ht="23.1" customHeight="1" x14ac:dyDescent="0.25">
      <c r="B72" s="45" t="s">
        <v>112</v>
      </c>
      <c r="C72" s="50">
        <v>0</v>
      </c>
      <c r="D72" s="50">
        <v>0</v>
      </c>
      <c r="E72" s="50">
        <v>0</v>
      </c>
      <c r="F72" s="50">
        <v>0</v>
      </c>
      <c r="G72" s="50">
        <v>0</v>
      </c>
      <c r="H72" s="50">
        <v>0</v>
      </c>
      <c r="I72" s="50">
        <v>0</v>
      </c>
      <c r="J72" s="50">
        <v>0</v>
      </c>
      <c r="K72" s="50">
        <v>0</v>
      </c>
      <c r="L72" s="50">
        <v>0</v>
      </c>
      <c r="M72" s="50">
        <v>3</v>
      </c>
      <c r="N72" s="50">
        <v>0</v>
      </c>
      <c r="O72" s="15">
        <f t="shared" si="0"/>
        <v>0</v>
      </c>
      <c r="P72" s="15">
        <f t="shared" si="1"/>
        <v>3</v>
      </c>
      <c r="R72" s="8"/>
      <c r="T72"/>
    </row>
    <row r="73" spans="2:20" ht="23.1" customHeight="1" x14ac:dyDescent="0.25">
      <c r="B73" s="45" t="s">
        <v>113</v>
      </c>
      <c r="C73" s="50">
        <v>0</v>
      </c>
      <c r="D73" s="50">
        <v>1</v>
      </c>
      <c r="E73" s="50">
        <v>0</v>
      </c>
      <c r="F73" s="50">
        <v>0</v>
      </c>
      <c r="G73" s="50">
        <v>0</v>
      </c>
      <c r="H73" s="50">
        <v>0</v>
      </c>
      <c r="I73" s="50">
        <v>1</v>
      </c>
      <c r="J73" s="50">
        <v>0</v>
      </c>
      <c r="K73" s="50">
        <v>1</v>
      </c>
      <c r="L73" s="50">
        <v>0</v>
      </c>
      <c r="M73" s="50">
        <v>5</v>
      </c>
      <c r="N73" s="50">
        <v>0</v>
      </c>
      <c r="O73" s="15">
        <f t="shared" si="0"/>
        <v>3</v>
      </c>
      <c r="P73" s="15">
        <f t="shared" si="1"/>
        <v>8</v>
      </c>
      <c r="R73" s="8"/>
      <c r="T73"/>
    </row>
    <row r="74" spans="2:20" ht="23.1" customHeight="1" x14ac:dyDescent="0.25">
      <c r="B74" s="45" t="s">
        <v>114</v>
      </c>
      <c r="C74" s="50">
        <v>0</v>
      </c>
      <c r="D74" s="50">
        <v>0</v>
      </c>
      <c r="E74" s="50">
        <v>0</v>
      </c>
      <c r="F74" s="50">
        <v>0</v>
      </c>
      <c r="G74" s="50">
        <v>0</v>
      </c>
      <c r="H74" s="50">
        <v>0</v>
      </c>
      <c r="I74" s="50">
        <v>0</v>
      </c>
      <c r="J74" s="50">
        <v>0</v>
      </c>
      <c r="K74" s="50">
        <v>2</v>
      </c>
      <c r="L74" s="50">
        <v>0</v>
      </c>
      <c r="M74" s="50">
        <v>1</v>
      </c>
      <c r="N74" s="50">
        <v>0</v>
      </c>
      <c r="O74" s="15">
        <f t="shared" ref="O74:O105" si="35">SUM(C74:L74,N74)</f>
        <v>2</v>
      </c>
      <c r="P74" s="15">
        <f t="shared" ref="P74:P105" si="36">SUM(C74:N74)</f>
        <v>3</v>
      </c>
      <c r="R74" s="8"/>
      <c r="T74"/>
    </row>
    <row r="75" spans="2:20" ht="23.1" customHeight="1" x14ac:dyDescent="0.25">
      <c r="B75" s="45" t="s">
        <v>115</v>
      </c>
      <c r="C75" s="50">
        <v>0</v>
      </c>
      <c r="D75" s="50">
        <v>0</v>
      </c>
      <c r="E75" s="50">
        <v>0</v>
      </c>
      <c r="F75" s="50">
        <v>0</v>
      </c>
      <c r="G75" s="50">
        <v>0</v>
      </c>
      <c r="H75" s="50">
        <v>0</v>
      </c>
      <c r="I75" s="50">
        <v>2</v>
      </c>
      <c r="J75" s="50">
        <v>0</v>
      </c>
      <c r="K75" s="50">
        <v>0</v>
      </c>
      <c r="L75" s="50">
        <v>1</v>
      </c>
      <c r="M75" s="50">
        <v>1</v>
      </c>
      <c r="N75" s="50">
        <v>0</v>
      </c>
      <c r="O75" s="15">
        <f t="shared" si="35"/>
        <v>3</v>
      </c>
      <c r="P75" s="15">
        <f t="shared" si="36"/>
        <v>4</v>
      </c>
      <c r="R75" s="8"/>
      <c r="T75"/>
    </row>
    <row r="76" spans="2:20" ht="23.1" customHeight="1" x14ac:dyDescent="0.25">
      <c r="B76" s="45" t="s">
        <v>116</v>
      </c>
      <c r="C76" s="50">
        <v>0</v>
      </c>
      <c r="D76" s="50">
        <v>0</v>
      </c>
      <c r="E76" s="50">
        <v>0</v>
      </c>
      <c r="F76" s="50">
        <v>1</v>
      </c>
      <c r="G76" s="50">
        <v>0</v>
      </c>
      <c r="H76" s="50">
        <v>0</v>
      </c>
      <c r="I76" s="50">
        <v>0</v>
      </c>
      <c r="J76" s="50">
        <v>0</v>
      </c>
      <c r="K76" s="50">
        <v>0</v>
      </c>
      <c r="L76" s="50">
        <v>0</v>
      </c>
      <c r="M76" s="50">
        <v>0</v>
      </c>
      <c r="N76" s="50">
        <v>0</v>
      </c>
      <c r="O76" s="15">
        <f t="shared" si="35"/>
        <v>1</v>
      </c>
      <c r="P76" s="15">
        <f t="shared" si="36"/>
        <v>1</v>
      </c>
      <c r="R76" s="8"/>
      <c r="T76"/>
    </row>
    <row r="77" spans="2:20" ht="23.1" customHeight="1" x14ac:dyDescent="0.25">
      <c r="B77" s="45" t="s">
        <v>117</v>
      </c>
      <c r="C77" s="50">
        <v>0</v>
      </c>
      <c r="D77" s="50">
        <v>0</v>
      </c>
      <c r="E77" s="50">
        <v>0</v>
      </c>
      <c r="F77" s="50">
        <v>0</v>
      </c>
      <c r="G77" s="50">
        <v>0</v>
      </c>
      <c r="H77" s="50">
        <v>0</v>
      </c>
      <c r="I77" s="50">
        <v>0</v>
      </c>
      <c r="J77" s="50">
        <v>1</v>
      </c>
      <c r="K77" s="50">
        <v>0</v>
      </c>
      <c r="L77" s="50">
        <v>0</v>
      </c>
      <c r="M77" s="50">
        <v>1</v>
      </c>
      <c r="N77" s="50">
        <v>0</v>
      </c>
      <c r="O77" s="15">
        <f t="shared" si="35"/>
        <v>1</v>
      </c>
      <c r="P77" s="15">
        <f t="shared" si="36"/>
        <v>2</v>
      </c>
      <c r="R77" s="8"/>
      <c r="T77"/>
    </row>
    <row r="78" spans="2:20" ht="23.1" customHeight="1" x14ac:dyDescent="0.25">
      <c r="B78" s="46" t="s">
        <v>118</v>
      </c>
      <c r="C78" s="50">
        <v>1</v>
      </c>
      <c r="D78" s="50">
        <v>0</v>
      </c>
      <c r="E78" s="50">
        <v>0</v>
      </c>
      <c r="F78" s="50">
        <v>0</v>
      </c>
      <c r="G78" s="50">
        <v>0</v>
      </c>
      <c r="H78" s="50">
        <v>0</v>
      </c>
      <c r="I78" s="50">
        <v>0</v>
      </c>
      <c r="J78" s="50">
        <v>0</v>
      </c>
      <c r="K78" s="50">
        <v>0</v>
      </c>
      <c r="L78" s="50">
        <v>1</v>
      </c>
      <c r="M78" s="50">
        <v>2</v>
      </c>
      <c r="N78" s="50">
        <v>0</v>
      </c>
      <c r="O78" s="15">
        <f t="shared" si="35"/>
        <v>2</v>
      </c>
      <c r="P78" s="15">
        <f t="shared" si="36"/>
        <v>4</v>
      </c>
      <c r="R78" s="8"/>
      <c r="T78"/>
    </row>
    <row r="79" spans="2:20" ht="23.1" customHeight="1" x14ac:dyDescent="0.25">
      <c r="B79" s="45" t="s">
        <v>119</v>
      </c>
      <c r="C79" s="50">
        <v>0</v>
      </c>
      <c r="D79" s="50">
        <v>0</v>
      </c>
      <c r="E79" s="50">
        <v>0</v>
      </c>
      <c r="F79" s="50">
        <v>0</v>
      </c>
      <c r="G79" s="50">
        <v>0</v>
      </c>
      <c r="H79" s="50">
        <v>0</v>
      </c>
      <c r="I79" s="50">
        <v>0</v>
      </c>
      <c r="J79" s="50">
        <v>0</v>
      </c>
      <c r="K79" s="50">
        <v>1</v>
      </c>
      <c r="L79" s="50">
        <v>2</v>
      </c>
      <c r="M79" s="50">
        <v>0</v>
      </c>
      <c r="N79" s="50">
        <v>0</v>
      </c>
      <c r="O79" s="15">
        <f t="shared" si="35"/>
        <v>3</v>
      </c>
      <c r="P79" s="15">
        <f t="shared" si="36"/>
        <v>3</v>
      </c>
      <c r="R79" s="8"/>
      <c r="T79"/>
    </row>
    <row r="80" spans="2:20" ht="23.1" customHeight="1" x14ac:dyDescent="0.25">
      <c r="B80" s="47" t="s">
        <v>120</v>
      </c>
      <c r="C80" s="50">
        <v>0</v>
      </c>
      <c r="D80" s="50">
        <v>0</v>
      </c>
      <c r="E80" s="50">
        <v>0</v>
      </c>
      <c r="F80" s="50">
        <v>0</v>
      </c>
      <c r="G80" s="50">
        <v>0</v>
      </c>
      <c r="H80" s="50">
        <v>0</v>
      </c>
      <c r="I80" s="50">
        <v>0</v>
      </c>
      <c r="J80" s="50">
        <v>0</v>
      </c>
      <c r="K80" s="50">
        <v>1</v>
      </c>
      <c r="L80" s="50">
        <v>1</v>
      </c>
      <c r="M80" s="50">
        <v>1</v>
      </c>
      <c r="N80" s="50">
        <v>0</v>
      </c>
      <c r="O80" s="15">
        <f t="shared" si="35"/>
        <v>2</v>
      </c>
      <c r="P80" s="15">
        <f t="shared" si="36"/>
        <v>3</v>
      </c>
      <c r="R80" s="8"/>
      <c r="T80"/>
    </row>
    <row r="81" spans="2:20" ht="23.1" customHeight="1" x14ac:dyDescent="0.25">
      <c r="B81" s="45" t="s">
        <v>121</v>
      </c>
      <c r="C81" s="50">
        <v>0</v>
      </c>
      <c r="D81" s="50">
        <v>0</v>
      </c>
      <c r="E81" s="50">
        <v>0</v>
      </c>
      <c r="F81" s="50">
        <v>0</v>
      </c>
      <c r="G81" s="50">
        <v>0</v>
      </c>
      <c r="H81" s="50">
        <v>0</v>
      </c>
      <c r="I81" s="50">
        <v>0</v>
      </c>
      <c r="J81" s="50">
        <v>0</v>
      </c>
      <c r="K81" s="50">
        <v>0</v>
      </c>
      <c r="L81" s="50">
        <v>0</v>
      </c>
      <c r="M81" s="50">
        <v>1</v>
      </c>
      <c r="N81" s="50">
        <v>0</v>
      </c>
      <c r="O81" s="15">
        <f t="shared" si="35"/>
        <v>0</v>
      </c>
      <c r="P81" s="15">
        <f t="shared" si="36"/>
        <v>1</v>
      </c>
      <c r="R81" s="8"/>
      <c r="T81"/>
    </row>
    <row r="82" spans="2:20" ht="23.1" customHeight="1" x14ac:dyDescent="0.25">
      <c r="B82" s="46" t="s">
        <v>122</v>
      </c>
      <c r="C82" s="50">
        <v>0</v>
      </c>
      <c r="D82" s="50">
        <v>0</v>
      </c>
      <c r="E82" s="50">
        <v>0</v>
      </c>
      <c r="F82" s="50">
        <v>0</v>
      </c>
      <c r="G82" s="50">
        <v>0</v>
      </c>
      <c r="H82" s="50">
        <v>0</v>
      </c>
      <c r="I82" s="50">
        <v>0</v>
      </c>
      <c r="J82" s="50">
        <v>0</v>
      </c>
      <c r="K82" s="50">
        <v>1</v>
      </c>
      <c r="L82" s="50">
        <v>0</v>
      </c>
      <c r="M82" s="50">
        <v>2</v>
      </c>
      <c r="N82" s="50">
        <v>0</v>
      </c>
      <c r="O82" s="15">
        <f t="shared" si="35"/>
        <v>1</v>
      </c>
      <c r="P82" s="15">
        <f t="shared" si="36"/>
        <v>3</v>
      </c>
      <c r="R82" s="8"/>
      <c r="T82"/>
    </row>
    <row r="83" spans="2:20" ht="23.1" customHeight="1" x14ac:dyDescent="0.25">
      <c r="B83" s="45" t="s">
        <v>123</v>
      </c>
      <c r="C83" s="50">
        <v>1</v>
      </c>
      <c r="D83" s="50">
        <v>0</v>
      </c>
      <c r="E83" s="50">
        <v>0</v>
      </c>
      <c r="F83" s="50">
        <v>0</v>
      </c>
      <c r="G83" s="50">
        <v>0</v>
      </c>
      <c r="H83" s="50">
        <v>0</v>
      </c>
      <c r="I83" s="50">
        <v>0</v>
      </c>
      <c r="J83" s="50">
        <v>0</v>
      </c>
      <c r="K83" s="50">
        <v>0</v>
      </c>
      <c r="L83" s="50">
        <v>0</v>
      </c>
      <c r="M83" s="50">
        <v>0</v>
      </c>
      <c r="N83" s="50">
        <v>0</v>
      </c>
      <c r="O83" s="15">
        <f t="shared" si="35"/>
        <v>1</v>
      </c>
      <c r="P83" s="15">
        <f t="shared" si="36"/>
        <v>1</v>
      </c>
      <c r="R83" s="8"/>
      <c r="T83"/>
    </row>
    <row r="84" spans="2:20" ht="23.1" customHeight="1" x14ac:dyDescent="0.25">
      <c r="B84" s="47" t="s">
        <v>124</v>
      </c>
      <c r="C84" s="50">
        <v>0</v>
      </c>
      <c r="D84" s="50">
        <v>0</v>
      </c>
      <c r="E84" s="50">
        <v>0</v>
      </c>
      <c r="F84" s="50">
        <v>0</v>
      </c>
      <c r="G84" s="50">
        <v>0</v>
      </c>
      <c r="H84" s="50">
        <v>0</v>
      </c>
      <c r="I84" s="50">
        <v>0</v>
      </c>
      <c r="J84" s="50">
        <v>0</v>
      </c>
      <c r="K84" s="50">
        <v>0</v>
      </c>
      <c r="L84" s="50">
        <v>0</v>
      </c>
      <c r="M84" s="50">
        <v>0</v>
      </c>
      <c r="N84" s="50">
        <v>0</v>
      </c>
      <c r="O84" s="15">
        <f t="shared" si="35"/>
        <v>0</v>
      </c>
      <c r="P84" s="15">
        <f t="shared" si="36"/>
        <v>0</v>
      </c>
      <c r="R84" s="8"/>
      <c r="T84"/>
    </row>
    <row r="85" spans="2:20" ht="23.1" customHeight="1" x14ac:dyDescent="0.25">
      <c r="B85" s="45" t="s">
        <v>125</v>
      </c>
      <c r="C85" s="50">
        <v>0</v>
      </c>
      <c r="D85" s="50">
        <v>0</v>
      </c>
      <c r="E85" s="50">
        <v>0</v>
      </c>
      <c r="F85" s="50">
        <v>0</v>
      </c>
      <c r="G85" s="50">
        <v>0</v>
      </c>
      <c r="H85" s="50">
        <v>0</v>
      </c>
      <c r="I85" s="50">
        <v>0</v>
      </c>
      <c r="J85" s="50">
        <v>0</v>
      </c>
      <c r="K85" s="50">
        <v>2</v>
      </c>
      <c r="L85" s="50">
        <v>0</v>
      </c>
      <c r="M85" s="50">
        <v>0</v>
      </c>
      <c r="N85" s="50">
        <v>0</v>
      </c>
      <c r="O85" s="15">
        <f t="shared" si="35"/>
        <v>2</v>
      </c>
      <c r="P85" s="15">
        <f t="shared" si="36"/>
        <v>2</v>
      </c>
      <c r="R85" s="8"/>
      <c r="T85"/>
    </row>
    <row r="86" spans="2:20" ht="23.1" customHeight="1" x14ac:dyDescent="0.25">
      <c r="B86" s="46" t="s">
        <v>126</v>
      </c>
      <c r="C86" s="50">
        <v>0</v>
      </c>
      <c r="D86" s="50">
        <v>0</v>
      </c>
      <c r="E86" s="50">
        <v>0</v>
      </c>
      <c r="F86" s="50">
        <v>0</v>
      </c>
      <c r="G86" s="50">
        <v>0</v>
      </c>
      <c r="H86" s="50">
        <v>0</v>
      </c>
      <c r="I86" s="50">
        <v>0</v>
      </c>
      <c r="J86" s="50">
        <v>0</v>
      </c>
      <c r="K86" s="50">
        <v>1</v>
      </c>
      <c r="L86" s="50">
        <v>0</v>
      </c>
      <c r="M86" s="50">
        <v>0</v>
      </c>
      <c r="N86" s="50">
        <v>0</v>
      </c>
      <c r="O86" s="15">
        <f t="shared" si="35"/>
        <v>1</v>
      </c>
      <c r="P86" s="15">
        <f t="shared" si="36"/>
        <v>1</v>
      </c>
      <c r="R86" s="8"/>
      <c r="T86"/>
    </row>
    <row r="87" spans="2:20" ht="23.1" customHeight="1" x14ac:dyDescent="0.25">
      <c r="B87" s="45" t="s">
        <v>127</v>
      </c>
      <c r="C87" s="50">
        <v>1</v>
      </c>
      <c r="D87" s="50">
        <v>0</v>
      </c>
      <c r="E87" s="50">
        <v>0</v>
      </c>
      <c r="F87" s="50">
        <v>0</v>
      </c>
      <c r="G87" s="50">
        <v>0</v>
      </c>
      <c r="H87" s="50">
        <v>0</v>
      </c>
      <c r="I87" s="50">
        <v>0</v>
      </c>
      <c r="J87" s="50">
        <v>0</v>
      </c>
      <c r="K87" s="50">
        <v>1</v>
      </c>
      <c r="L87" s="50">
        <v>1</v>
      </c>
      <c r="M87" s="50">
        <v>1</v>
      </c>
      <c r="N87" s="50">
        <v>0</v>
      </c>
      <c r="O87" s="15">
        <f t="shared" si="35"/>
        <v>3</v>
      </c>
      <c r="P87" s="15">
        <f t="shared" si="36"/>
        <v>4</v>
      </c>
      <c r="R87" s="8"/>
      <c r="T87"/>
    </row>
    <row r="88" spans="2:20" ht="23.1" customHeight="1" x14ac:dyDescent="0.25">
      <c r="B88" s="47" t="s">
        <v>128</v>
      </c>
      <c r="C88" s="50">
        <v>0</v>
      </c>
      <c r="D88" s="50">
        <v>0</v>
      </c>
      <c r="E88" s="50">
        <v>0</v>
      </c>
      <c r="F88" s="50">
        <v>0</v>
      </c>
      <c r="G88" s="50">
        <v>0</v>
      </c>
      <c r="H88" s="50">
        <v>0</v>
      </c>
      <c r="I88" s="50">
        <v>0</v>
      </c>
      <c r="J88" s="50">
        <v>0</v>
      </c>
      <c r="K88" s="50">
        <v>0</v>
      </c>
      <c r="L88" s="50">
        <v>0</v>
      </c>
      <c r="M88" s="50">
        <v>1</v>
      </c>
      <c r="N88" s="50">
        <v>0</v>
      </c>
      <c r="O88" s="15">
        <f t="shared" si="35"/>
        <v>0</v>
      </c>
      <c r="P88" s="15">
        <f t="shared" si="36"/>
        <v>1</v>
      </c>
      <c r="R88" s="8"/>
      <c r="T88"/>
    </row>
    <row r="89" spans="2:20" ht="23.1" customHeight="1" x14ac:dyDescent="0.25">
      <c r="B89" s="45" t="s">
        <v>129</v>
      </c>
      <c r="C89" s="50">
        <v>0</v>
      </c>
      <c r="D89" s="50">
        <v>0</v>
      </c>
      <c r="E89" s="50">
        <v>0</v>
      </c>
      <c r="F89" s="50">
        <v>0</v>
      </c>
      <c r="G89" s="50">
        <v>0</v>
      </c>
      <c r="H89" s="50">
        <v>1</v>
      </c>
      <c r="I89" s="50">
        <v>0</v>
      </c>
      <c r="J89" s="50">
        <v>0</v>
      </c>
      <c r="K89" s="50">
        <v>0</v>
      </c>
      <c r="L89" s="50">
        <v>0</v>
      </c>
      <c r="M89" s="50">
        <v>0</v>
      </c>
      <c r="N89" s="50">
        <v>0</v>
      </c>
      <c r="O89" s="15">
        <f t="shared" si="35"/>
        <v>1</v>
      </c>
      <c r="P89" s="15">
        <f t="shared" si="36"/>
        <v>1</v>
      </c>
      <c r="R89" s="8"/>
      <c r="T89"/>
    </row>
    <row r="90" spans="2:20" ht="23.1" customHeight="1" x14ac:dyDescent="0.25">
      <c r="B90" s="46" t="s">
        <v>130</v>
      </c>
      <c r="C90" s="50">
        <v>0</v>
      </c>
      <c r="D90" s="50">
        <v>0</v>
      </c>
      <c r="E90" s="50">
        <v>0</v>
      </c>
      <c r="F90" s="50">
        <v>0</v>
      </c>
      <c r="G90" s="50">
        <v>0</v>
      </c>
      <c r="H90" s="50">
        <v>0</v>
      </c>
      <c r="I90" s="50">
        <v>0</v>
      </c>
      <c r="J90" s="50">
        <v>0</v>
      </c>
      <c r="K90" s="50">
        <v>0</v>
      </c>
      <c r="L90" s="50">
        <v>1</v>
      </c>
      <c r="M90" s="50">
        <v>0</v>
      </c>
      <c r="N90" s="50">
        <v>0</v>
      </c>
      <c r="O90" s="15">
        <f t="shared" si="35"/>
        <v>1</v>
      </c>
      <c r="P90" s="15">
        <f t="shared" si="36"/>
        <v>1</v>
      </c>
      <c r="R90" s="8"/>
      <c r="T90"/>
    </row>
    <row r="91" spans="2:20" ht="23.1" customHeight="1" x14ac:dyDescent="0.25">
      <c r="B91" s="45" t="s">
        <v>131</v>
      </c>
      <c r="C91" s="50">
        <v>0</v>
      </c>
      <c r="D91" s="50">
        <v>0</v>
      </c>
      <c r="E91" s="50">
        <v>0</v>
      </c>
      <c r="F91" s="50">
        <v>0</v>
      </c>
      <c r="G91" s="50">
        <v>0</v>
      </c>
      <c r="H91" s="50">
        <v>0</v>
      </c>
      <c r="I91" s="50">
        <v>0</v>
      </c>
      <c r="J91" s="50">
        <v>0</v>
      </c>
      <c r="K91" s="50">
        <v>1</v>
      </c>
      <c r="L91" s="50">
        <v>0</v>
      </c>
      <c r="M91" s="50">
        <v>0</v>
      </c>
      <c r="N91" s="50">
        <v>0</v>
      </c>
      <c r="O91" s="15">
        <f t="shared" si="35"/>
        <v>1</v>
      </c>
      <c r="P91" s="15">
        <f t="shared" si="36"/>
        <v>1</v>
      </c>
      <c r="R91" s="8"/>
      <c r="T91"/>
    </row>
    <row r="92" spans="2:20" ht="23.1" customHeight="1" x14ac:dyDescent="0.25">
      <c r="B92" s="47" t="s">
        <v>132</v>
      </c>
      <c r="C92" s="50">
        <v>0</v>
      </c>
      <c r="D92" s="50">
        <v>0</v>
      </c>
      <c r="E92" s="50">
        <v>0</v>
      </c>
      <c r="F92" s="50">
        <v>0</v>
      </c>
      <c r="G92" s="50">
        <v>0</v>
      </c>
      <c r="H92" s="50">
        <v>0</v>
      </c>
      <c r="I92" s="50">
        <v>0</v>
      </c>
      <c r="J92" s="50">
        <v>0</v>
      </c>
      <c r="K92" s="50">
        <v>0</v>
      </c>
      <c r="L92" s="50">
        <v>0</v>
      </c>
      <c r="M92" s="50">
        <v>0</v>
      </c>
      <c r="N92" s="50">
        <v>0</v>
      </c>
      <c r="O92" s="15">
        <f t="shared" si="35"/>
        <v>0</v>
      </c>
      <c r="P92" s="15">
        <f t="shared" si="36"/>
        <v>0</v>
      </c>
      <c r="R92" s="8"/>
      <c r="T92"/>
    </row>
    <row r="93" spans="2:20" ht="23.1" customHeight="1" x14ac:dyDescent="0.25">
      <c r="B93" s="45" t="s">
        <v>133</v>
      </c>
      <c r="C93" s="50">
        <v>2</v>
      </c>
      <c r="D93" s="50">
        <v>0</v>
      </c>
      <c r="E93" s="50">
        <v>0</v>
      </c>
      <c r="F93" s="50">
        <v>0</v>
      </c>
      <c r="G93" s="50">
        <v>0</v>
      </c>
      <c r="H93" s="50">
        <v>0</v>
      </c>
      <c r="I93" s="50">
        <v>0</v>
      </c>
      <c r="J93" s="50">
        <v>0</v>
      </c>
      <c r="K93" s="50">
        <v>0</v>
      </c>
      <c r="L93" s="50">
        <v>0</v>
      </c>
      <c r="M93" s="50">
        <v>0</v>
      </c>
      <c r="N93" s="50">
        <v>0</v>
      </c>
      <c r="O93" s="15">
        <f t="shared" si="35"/>
        <v>2</v>
      </c>
      <c r="P93" s="15">
        <f t="shared" si="36"/>
        <v>2</v>
      </c>
      <c r="R93" s="8"/>
      <c r="T93"/>
    </row>
    <row r="94" spans="2:20" ht="23.1" customHeight="1" x14ac:dyDescent="0.25">
      <c r="B94" s="46" t="s">
        <v>134</v>
      </c>
      <c r="C94" s="50">
        <v>1</v>
      </c>
      <c r="D94" s="50">
        <v>0</v>
      </c>
      <c r="E94" s="50">
        <v>0</v>
      </c>
      <c r="F94" s="50">
        <v>1</v>
      </c>
      <c r="G94" s="50">
        <v>0</v>
      </c>
      <c r="H94" s="50">
        <v>0</v>
      </c>
      <c r="I94" s="50">
        <v>0</v>
      </c>
      <c r="J94" s="50">
        <v>0</v>
      </c>
      <c r="K94" s="50">
        <v>0</v>
      </c>
      <c r="L94" s="50">
        <v>0</v>
      </c>
      <c r="M94" s="50">
        <v>1</v>
      </c>
      <c r="N94" s="50">
        <v>0</v>
      </c>
      <c r="O94" s="15">
        <f t="shared" si="35"/>
        <v>2</v>
      </c>
      <c r="P94" s="15">
        <f t="shared" si="36"/>
        <v>3</v>
      </c>
      <c r="R94" s="8"/>
      <c r="T94"/>
    </row>
    <row r="95" spans="2:20" ht="23.1" customHeight="1" x14ac:dyDescent="0.25">
      <c r="B95" s="45" t="s">
        <v>135</v>
      </c>
      <c r="C95" s="50">
        <v>0</v>
      </c>
      <c r="D95" s="50">
        <v>0</v>
      </c>
      <c r="E95" s="50">
        <v>0</v>
      </c>
      <c r="F95" s="50">
        <v>0</v>
      </c>
      <c r="G95" s="50">
        <v>0</v>
      </c>
      <c r="H95" s="50">
        <v>0</v>
      </c>
      <c r="I95" s="50">
        <v>0</v>
      </c>
      <c r="J95" s="50">
        <v>0</v>
      </c>
      <c r="K95" s="50">
        <v>0</v>
      </c>
      <c r="L95" s="50">
        <v>0</v>
      </c>
      <c r="M95" s="50">
        <v>0</v>
      </c>
      <c r="N95" s="50">
        <v>0</v>
      </c>
      <c r="O95" s="15">
        <f t="shared" si="35"/>
        <v>0</v>
      </c>
      <c r="P95" s="15">
        <f t="shared" si="36"/>
        <v>0</v>
      </c>
      <c r="R95" s="8"/>
      <c r="T95"/>
    </row>
    <row r="96" spans="2:20" ht="23.1" customHeight="1" x14ac:dyDescent="0.25">
      <c r="B96" s="47" t="s">
        <v>136</v>
      </c>
      <c r="C96" s="50">
        <v>0</v>
      </c>
      <c r="D96" s="50">
        <v>0</v>
      </c>
      <c r="E96" s="50">
        <v>0</v>
      </c>
      <c r="F96" s="50">
        <v>0</v>
      </c>
      <c r="G96" s="50">
        <v>0</v>
      </c>
      <c r="H96" s="50">
        <v>0</v>
      </c>
      <c r="I96" s="50">
        <v>0</v>
      </c>
      <c r="J96" s="50">
        <v>0</v>
      </c>
      <c r="K96" s="50">
        <v>0</v>
      </c>
      <c r="L96" s="50">
        <v>0</v>
      </c>
      <c r="M96" s="50">
        <v>0</v>
      </c>
      <c r="N96" s="50">
        <v>0</v>
      </c>
      <c r="O96" s="15">
        <f t="shared" si="35"/>
        <v>0</v>
      </c>
      <c r="P96" s="15">
        <f t="shared" si="36"/>
        <v>0</v>
      </c>
      <c r="R96" s="8"/>
      <c r="T96"/>
    </row>
    <row r="97" spans="2:20" ht="23.1" customHeight="1" x14ac:dyDescent="0.25">
      <c r="B97" s="45" t="s">
        <v>137</v>
      </c>
      <c r="C97" s="50">
        <v>0</v>
      </c>
      <c r="D97" s="50">
        <v>0</v>
      </c>
      <c r="E97" s="50">
        <v>0</v>
      </c>
      <c r="F97" s="50">
        <v>0</v>
      </c>
      <c r="G97" s="50">
        <v>0</v>
      </c>
      <c r="H97" s="50">
        <v>0</v>
      </c>
      <c r="I97" s="50">
        <v>0</v>
      </c>
      <c r="J97" s="50">
        <v>0</v>
      </c>
      <c r="K97" s="50">
        <v>0</v>
      </c>
      <c r="L97" s="50">
        <v>0</v>
      </c>
      <c r="M97" s="50">
        <v>0</v>
      </c>
      <c r="N97" s="50">
        <v>0</v>
      </c>
      <c r="O97" s="15">
        <f t="shared" si="35"/>
        <v>0</v>
      </c>
      <c r="P97" s="15">
        <f t="shared" si="36"/>
        <v>0</v>
      </c>
      <c r="R97" s="8"/>
      <c r="T97"/>
    </row>
    <row r="98" spans="2:20" ht="23.1" customHeight="1" x14ac:dyDescent="0.25">
      <c r="B98" s="46" t="s">
        <v>138</v>
      </c>
      <c r="C98" s="50">
        <v>0</v>
      </c>
      <c r="D98" s="50">
        <v>0</v>
      </c>
      <c r="E98" s="50">
        <v>0</v>
      </c>
      <c r="F98" s="50">
        <v>0</v>
      </c>
      <c r="G98" s="50">
        <v>0</v>
      </c>
      <c r="H98" s="50">
        <v>0</v>
      </c>
      <c r="I98" s="50">
        <v>0</v>
      </c>
      <c r="J98" s="50">
        <v>0</v>
      </c>
      <c r="K98" s="50">
        <v>0</v>
      </c>
      <c r="L98" s="50">
        <v>0</v>
      </c>
      <c r="M98" s="50">
        <v>0</v>
      </c>
      <c r="N98" s="50">
        <v>0</v>
      </c>
      <c r="O98" s="15">
        <f t="shared" si="35"/>
        <v>0</v>
      </c>
      <c r="P98" s="15">
        <f t="shared" si="36"/>
        <v>0</v>
      </c>
      <c r="R98" s="8"/>
      <c r="T98"/>
    </row>
    <row r="99" spans="2:20" ht="23.1" customHeight="1" x14ac:dyDescent="0.25">
      <c r="B99" s="45" t="s">
        <v>139</v>
      </c>
      <c r="C99" s="50">
        <v>1</v>
      </c>
      <c r="D99" s="50">
        <v>0</v>
      </c>
      <c r="E99" s="50">
        <v>0</v>
      </c>
      <c r="F99" s="50">
        <v>0</v>
      </c>
      <c r="G99" s="50">
        <v>0</v>
      </c>
      <c r="H99" s="50">
        <v>0</v>
      </c>
      <c r="I99" s="50">
        <v>0</v>
      </c>
      <c r="J99" s="50">
        <v>0</v>
      </c>
      <c r="K99" s="50">
        <v>0</v>
      </c>
      <c r="L99" s="50">
        <v>0</v>
      </c>
      <c r="M99" s="50">
        <v>0</v>
      </c>
      <c r="N99" s="50">
        <v>0</v>
      </c>
      <c r="O99" s="15">
        <f t="shared" si="35"/>
        <v>1</v>
      </c>
      <c r="P99" s="15">
        <f t="shared" si="36"/>
        <v>1</v>
      </c>
      <c r="R99" s="8"/>
      <c r="T99"/>
    </row>
    <row r="100" spans="2:20" ht="23.1" customHeight="1" x14ac:dyDescent="0.25">
      <c r="B100" s="47" t="s">
        <v>140</v>
      </c>
      <c r="C100" s="50">
        <v>0</v>
      </c>
      <c r="D100" s="50">
        <v>0</v>
      </c>
      <c r="E100" s="50">
        <v>0</v>
      </c>
      <c r="F100" s="50">
        <v>0</v>
      </c>
      <c r="G100" s="50">
        <v>0</v>
      </c>
      <c r="H100" s="50">
        <v>0</v>
      </c>
      <c r="I100" s="50">
        <v>0</v>
      </c>
      <c r="J100" s="50">
        <v>0</v>
      </c>
      <c r="K100" s="50">
        <v>0</v>
      </c>
      <c r="L100" s="50">
        <v>0</v>
      </c>
      <c r="M100" s="50">
        <v>0</v>
      </c>
      <c r="N100" s="50">
        <v>0</v>
      </c>
      <c r="O100" s="15">
        <f t="shared" si="35"/>
        <v>0</v>
      </c>
      <c r="P100" s="15">
        <f t="shared" si="36"/>
        <v>0</v>
      </c>
      <c r="R100" s="8"/>
      <c r="T100"/>
    </row>
    <row r="101" spans="2:20" ht="23.1" customHeight="1" x14ac:dyDescent="0.25">
      <c r="B101" s="45" t="s">
        <v>141</v>
      </c>
      <c r="C101" s="50">
        <v>1</v>
      </c>
      <c r="D101" s="50">
        <v>0</v>
      </c>
      <c r="E101" s="50">
        <v>0</v>
      </c>
      <c r="F101" s="50">
        <v>1</v>
      </c>
      <c r="G101" s="50">
        <v>0</v>
      </c>
      <c r="H101" s="50">
        <v>0</v>
      </c>
      <c r="I101" s="50">
        <v>0</v>
      </c>
      <c r="J101" s="50">
        <v>0</v>
      </c>
      <c r="K101" s="50">
        <v>0</v>
      </c>
      <c r="L101" s="50">
        <v>0</v>
      </c>
      <c r="M101" s="50">
        <v>0</v>
      </c>
      <c r="N101" s="50">
        <v>0</v>
      </c>
      <c r="O101" s="15">
        <f t="shared" si="35"/>
        <v>2</v>
      </c>
      <c r="P101" s="15">
        <f t="shared" si="36"/>
        <v>2</v>
      </c>
      <c r="R101" s="8"/>
      <c r="T101"/>
    </row>
    <row r="102" spans="2:20" ht="23.1" customHeight="1" x14ac:dyDescent="0.25">
      <c r="B102" s="46" t="s">
        <v>142</v>
      </c>
      <c r="C102" s="50">
        <v>0</v>
      </c>
      <c r="D102" s="50">
        <v>0</v>
      </c>
      <c r="E102" s="50">
        <v>0</v>
      </c>
      <c r="F102" s="50">
        <v>1</v>
      </c>
      <c r="G102" s="50">
        <v>0</v>
      </c>
      <c r="H102" s="50">
        <v>0</v>
      </c>
      <c r="I102" s="50">
        <v>0</v>
      </c>
      <c r="J102" s="50">
        <v>0</v>
      </c>
      <c r="K102" s="50">
        <v>0</v>
      </c>
      <c r="L102" s="50">
        <v>0</v>
      </c>
      <c r="M102" s="50">
        <v>0</v>
      </c>
      <c r="N102" s="50">
        <v>0</v>
      </c>
      <c r="O102" s="15">
        <f t="shared" si="35"/>
        <v>1</v>
      </c>
      <c r="P102" s="15">
        <f t="shared" si="36"/>
        <v>1</v>
      </c>
      <c r="R102" s="8"/>
      <c r="T102"/>
    </row>
    <row r="103" spans="2:20" ht="23.1" customHeight="1" x14ac:dyDescent="0.25">
      <c r="B103" s="45" t="s">
        <v>143</v>
      </c>
      <c r="C103" s="50">
        <v>0</v>
      </c>
      <c r="D103" s="50">
        <v>0</v>
      </c>
      <c r="E103" s="50">
        <v>0</v>
      </c>
      <c r="F103" s="50">
        <v>0</v>
      </c>
      <c r="G103" s="50">
        <v>0</v>
      </c>
      <c r="H103" s="50">
        <v>0</v>
      </c>
      <c r="I103" s="50">
        <v>0</v>
      </c>
      <c r="J103" s="50">
        <v>2</v>
      </c>
      <c r="K103" s="50">
        <v>0</v>
      </c>
      <c r="L103" s="50">
        <v>0</v>
      </c>
      <c r="M103" s="50">
        <v>0</v>
      </c>
      <c r="N103" s="50">
        <v>0</v>
      </c>
      <c r="O103" s="15">
        <f t="shared" si="35"/>
        <v>2</v>
      </c>
      <c r="P103" s="15">
        <f t="shared" si="36"/>
        <v>2</v>
      </c>
      <c r="R103" s="8"/>
      <c r="T103"/>
    </row>
    <row r="104" spans="2:20" ht="23.1" customHeight="1" x14ac:dyDescent="0.25">
      <c r="B104" s="47" t="s">
        <v>144</v>
      </c>
      <c r="C104" s="50">
        <v>0</v>
      </c>
      <c r="D104" s="50">
        <v>0</v>
      </c>
      <c r="E104" s="50">
        <v>0</v>
      </c>
      <c r="F104" s="50">
        <v>0</v>
      </c>
      <c r="G104" s="50">
        <v>0</v>
      </c>
      <c r="H104" s="50">
        <v>0</v>
      </c>
      <c r="I104" s="50">
        <v>0</v>
      </c>
      <c r="J104" s="50">
        <v>0</v>
      </c>
      <c r="K104" s="50">
        <v>0</v>
      </c>
      <c r="L104" s="50">
        <v>0</v>
      </c>
      <c r="M104" s="50">
        <v>5</v>
      </c>
      <c r="N104" s="50">
        <v>0</v>
      </c>
      <c r="O104" s="15">
        <f t="shared" si="35"/>
        <v>0</v>
      </c>
      <c r="P104" s="15">
        <f t="shared" si="36"/>
        <v>5</v>
      </c>
      <c r="R104" s="8"/>
      <c r="T104"/>
    </row>
    <row r="105" spans="2:20" ht="23.1" customHeight="1" x14ac:dyDescent="0.25">
      <c r="B105" s="45" t="s">
        <v>145</v>
      </c>
      <c r="C105" s="50">
        <v>0</v>
      </c>
      <c r="D105" s="50">
        <v>1</v>
      </c>
      <c r="E105" s="50">
        <v>5</v>
      </c>
      <c r="F105" s="50">
        <v>0</v>
      </c>
      <c r="G105" s="50">
        <v>0</v>
      </c>
      <c r="H105" s="50">
        <v>0</v>
      </c>
      <c r="I105" s="50">
        <v>0</v>
      </c>
      <c r="J105" s="50">
        <v>0</v>
      </c>
      <c r="K105" s="50">
        <v>0</v>
      </c>
      <c r="L105" s="50">
        <v>0</v>
      </c>
      <c r="M105" s="50">
        <v>4</v>
      </c>
      <c r="N105" s="50">
        <v>0</v>
      </c>
      <c r="O105" s="15">
        <f t="shared" si="35"/>
        <v>6</v>
      </c>
      <c r="P105" s="15">
        <f t="shared" si="36"/>
        <v>10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49</v>
      </c>
      <c r="D106" s="16">
        <f t="shared" ref="D106:P106" si="37">SUM(D10:D105)</f>
        <v>50</v>
      </c>
      <c r="E106" s="16">
        <f t="shared" si="37"/>
        <v>11</v>
      </c>
      <c r="F106" s="16">
        <f t="shared" si="37"/>
        <v>33</v>
      </c>
      <c r="G106" s="16">
        <f t="shared" si="37"/>
        <v>0</v>
      </c>
      <c r="H106" s="16">
        <f t="shared" si="37"/>
        <v>1</v>
      </c>
      <c r="I106" s="16">
        <f t="shared" si="37"/>
        <v>33</v>
      </c>
      <c r="J106" s="16">
        <f t="shared" si="37"/>
        <v>24</v>
      </c>
      <c r="K106" s="16">
        <f t="shared" si="37"/>
        <v>43</v>
      </c>
      <c r="L106" s="16">
        <f t="shared" si="37"/>
        <v>10</v>
      </c>
      <c r="M106" s="16">
        <f t="shared" si="37"/>
        <v>483</v>
      </c>
      <c r="N106" s="16">
        <f t="shared" si="37"/>
        <v>0</v>
      </c>
      <c r="O106" s="16">
        <f t="shared" si="37"/>
        <v>254</v>
      </c>
      <c r="P106" s="16">
        <f t="shared" si="37"/>
        <v>737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6.6485753052917235E-2</v>
      </c>
      <c r="D107" s="43">
        <f t="shared" si="38"/>
        <v>6.7842605156037988E-2</v>
      </c>
      <c r="E107" s="43">
        <f t="shared" si="38"/>
        <v>1.4925373134328358E-2</v>
      </c>
      <c r="F107" s="43">
        <f t="shared" si="38"/>
        <v>4.4776119402985072E-2</v>
      </c>
      <c r="G107" s="43">
        <f t="shared" si="38"/>
        <v>0</v>
      </c>
      <c r="H107" s="43">
        <f t="shared" si="38"/>
        <v>1.3568521031207597E-3</v>
      </c>
      <c r="I107" s="43">
        <f t="shared" si="38"/>
        <v>4.4776119402985072E-2</v>
      </c>
      <c r="J107" s="43">
        <f t="shared" si="38"/>
        <v>3.2564450474898234E-2</v>
      </c>
      <c r="K107" s="43">
        <f t="shared" si="38"/>
        <v>5.8344640434192671E-2</v>
      </c>
      <c r="L107" s="43">
        <f t="shared" si="38"/>
        <v>1.3568521031207599E-2</v>
      </c>
      <c r="M107" s="43">
        <f t="shared" si="38"/>
        <v>0.65535956580732702</v>
      </c>
      <c r="N107" s="43">
        <f t="shared" si="38"/>
        <v>0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0.19291338582677164</v>
      </c>
      <c r="D108" s="44">
        <f t="shared" ref="D108:N108" si="39">D106/$O$106</f>
        <v>0.19685039370078741</v>
      </c>
      <c r="E108" s="44">
        <f t="shared" si="39"/>
        <v>4.3307086614173228E-2</v>
      </c>
      <c r="F108" s="44">
        <f t="shared" si="39"/>
        <v>0.12992125984251968</v>
      </c>
      <c r="G108" s="44">
        <f t="shared" si="39"/>
        <v>0</v>
      </c>
      <c r="H108" s="44">
        <f t="shared" si="39"/>
        <v>3.937007874015748E-3</v>
      </c>
      <c r="I108" s="44">
        <f t="shared" si="39"/>
        <v>0.12992125984251968</v>
      </c>
      <c r="J108" s="44">
        <f t="shared" si="39"/>
        <v>9.4488188976377951E-2</v>
      </c>
      <c r="K108" s="44">
        <f t="shared" si="39"/>
        <v>0.16929133858267717</v>
      </c>
      <c r="L108" s="44">
        <f t="shared" si="39"/>
        <v>3.937007874015748E-2</v>
      </c>
      <c r="M108" s="44"/>
      <c r="N108" s="44">
        <f t="shared" si="39"/>
        <v>0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="90" zoomScaleSheetLayoutView="90" workbookViewId="0">
      <selection activeCell="D5" sqref="D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1" t="s">
        <v>23</v>
      </c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</row>
    <row r="2" spans="2:32" ht="20.100000000000001" customHeight="1" x14ac:dyDescent="0.25">
      <c r="B2" s="62" t="s">
        <v>95</v>
      </c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</row>
    <row r="3" spans="2:32" ht="20.100000000000001" customHeight="1" x14ac:dyDescent="0.25">
      <c r="B3" s="22" t="s">
        <v>96</v>
      </c>
      <c r="C3" s="63" t="str">
        <f>'17.10 SSEMBABULE-KANONI'!C3:G3</f>
        <v>SSEMBABULE-KABULASOKE ROAD</v>
      </c>
      <c r="D3" s="63"/>
      <c r="E3" s="63"/>
      <c r="F3" s="63"/>
      <c r="G3" s="63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51" t="s">
        <v>177</v>
      </c>
      <c r="E5" s="3"/>
      <c r="F5" s="41" t="s">
        <v>1</v>
      </c>
      <c r="G5" s="58" t="str">
        <f>'17.10 SSEMBABULE-KANONI'!G5:H5</f>
        <v>KYABI</v>
      </c>
      <c r="H5" s="59"/>
      <c r="I5" s="14"/>
      <c r="J5" s="2" t="s">
        <v>5</v>
      </c>
      <c r="K5" s="58" t="s">
        <v>176</v>
      </c>
      <c r="L5" s="59"/>
      <c r="M5" s="10"/>
      <c r="N5" s="10"/>
      <c r="O5" s="3"/>
      <c r="P5" s="3"/>
    </row>
    <row r="6" spans="2:32" ht="23.25" customHeight="1" x14ac:dyDescent="0.25">
      <c r="C6" s="2" t="s">
        <v>4</v>
      </c>
      <c r="D6" s="58" t="str">
        <f>'17.10 SSEMBABULE-KANONI'!D6:E6</f>
        <v>SSEMBABULE</v>
      </c>
      <c r="E6" s="59"/>
      <c r="F6" s="2" t="s">
        <v>2</v>
      </c>
      <c r="G6" s="58" t="str">
        <f>'17.10 SSEMBABULE-KANONI'!G6:H6</f>
        <v>KANONI</v>
      </c>
      <c r="H6" s="59"/>
      <c r="J6" s="2" t="s">
        <v>21</v>
      </c>
      <c r="K6" s="58" t="str">
        <f>'17.10 SSEMBABULE-KANONI'!K6:L6</f>
        <v>ONYUTI BETTY</v>
      </c>
      <c r="L6" s="59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0" t="s">
        <v>88</v>
      </c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1</v>
      </c>
      <c r="D10" s="50">
        <v>0</v>
      </c>
      <c r="E10" s="50">
        <v>0</v>
      </c>
      <c r="F10" s="50">
        <v>0</v>
      </c>
      <c r="G10" s="50">
        <v>1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8</v>
      </c>
      <c r="N10" s="50">
        <v>0</v>
      </c>
      <c r="O10" s="15">
        <f t="shared" ref="O10:O57" si="0">SUM(C10:L10,N10)</f>
        <v>2</v>
      </c>
      <c r="P10" s="15">
        <f t="shared" ref="P10:P57" si="1">SUM(C10:N10)</f>
        <v>10</v>
      </c>
      <c r="R10" s="1" t="s">
        <v>6</v>
      </c>
      <c r="S10" s="17">
        <f t="shared" ref="S10:AF10" si="2">SUM(C10:C13)</f>
        <v>3</v>
      </c>
      <c r="T10" s="17">
        <f t="shared" si="2"/>
        <v>2</v>
      </c>
      <c r="U10" s="17">
        <f t="shared" si="2"/>
        <v>2</v>
      </c>
      <c r="V10" s="17">
        <f t="shared" si="2"/>
        <v>1</v>
      </c>
      <c r="W10" s="17">
        <f t="shared" si="2"/>
        <v>1</v>
      </c>
      <c r="X10" s="17">
        <f t="shared" si="2"/>
        <v>1</v>
      </c>
      <c r="Y10" s="17">
        <f t="shared" si="2"/>
        <v>1</v>
      </c>
      <c r="Z10" s="17">
        <f t="shared" si="2"/>
        <v>0</v>
      </c>
      <c r="AA10" s="17">
        <f t="shared" si="2"/>
        <v>1</v>
      </c>
      <c r="AB10" s="17">
        <f t="shared" si="2"/>
        <v>0</v>
      </c>
      <c r="AC10" s="17">
        <f t="shared" si="2"/>
        <v>35</v>
      </c>
      <c r="AD10" s="17">
        <f t="shared" si="2"/>
        <v>0</v>
      </c>
      <c r="AE10" s="31">
        <f t="shared" si="2"/>
        <v>12</v>
      </c>
      <c r="AF10" s="31">
        <f t="shared" si="2"/>
        <v>47</v>
      </c>
    </row>
    <row r="11" spans="2:32" s="6" customFormat="1" ht="23.1" customHeight="1" x14ac:dyDescent="0.25">
      <c r="B11" s="23" t="s">
        <v>38</v>
      </c>
      <c r="C11" s="50">
        <v>1</v>
      </c>
      <c r="D11" s="50">
        <v>0</v>
      </c>
      <c r="E11" s="50">
        <v>2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10</v>
      </c>
      <c r="N11" s="50">
        <v>0</v>
      </c>
      <c r="O11" s="15">
        <f t="shared" si="0"/>
        <v>3</v>
      </c>
      <c r="P11" s="15">
        <f t="shared" si="1"/>
        <v>13</v>
      </c>
      <c r="R11" s="1" t="s">
        <v>7</v>
      </c>
      <c r="S11" s="17">
        <f t="shared" ref="S11:AF11" si="3">SUM(C14:C17)</f>
        <v>4</v>
      </c>
      <c r="T11" s="17">
        <f t="shared" si="3"/>
        <v>1</v>
      </c>
      <c r="U11" s="17">
        <f t="shared" si="3"/>
        <v>0</v>
      </c>
      <c r="V11" s="17">
        <f t="shared" si="3"/>
        <v>1</v>
      </c>
      <c r="W11" s="17">
        <f t="shared" si="3"/>
        <v>0</v>
      </c>
      <c r="X11" s="17">
        <f t="shared" si="3"/>
        <v>0</v>
      </c>
      <c r="Y11" s="17">
        <f t="shared" si="3"/>
        <v>3</v>
      </c>
      <c r="Z11" s="17">
        <f t="shared" si="3"/>
        <v>1</v>
      </c>
      <c r="AA11" s="17">
        <f t="shared" si="3"/>
        <v>2</v>
      </c>
      <c r="AB11" s="17">
        <f t="shared" si="3"/>
        <v>1</v>
      </c>
      <c r="AC11" s="17">
        <f t="shared" si="3"/>
        <v>32</v>
      </c>
      <c r="AD11" s="17">
        <f t="shared" si="3"/>
        <v>0</v>
      </c>
      <c r="AE11" s="31">
        <f t="shared" si="3"/>
        <v>13</v>
      </c>
      <c r="AF11" s="31">
        <f t="shared" si="3"/>
        <v>45</v>
      </c>
    </row>
    <row r="12" spans="2:32" ht="23.1" customHeight="1" x14ac:dyDescent="0.25">
      <c r="B12" s="23" t="s">
        <v>39</v>
      </c>
      <c r="C12" s="50">
        <v>0</v>
      </c>
      <c r="D12" s="50">
        <v>2</v>
      </c>
      <c r="E12" s="50">
        <v>0</v>
      </c>
      <c r="F12" s="50">
        <v>1</v>
      </c>
      <c r="G12" s="50">
        <v>0</v>
      </c>
      <c r="H12" s="50">
        <v>1</v>
      </c>
      <c r="I12" s="50">
        <v>1</v>
      </c>
      <c r="J12" s="50">
        <v>0</v>
      </c>
      <c r="K12" s="50">
        <v>0</v>
      </c>
      <c r="L12" s="50">
        <v>0</v>
      </c>
      <c r="M12" s="50">
        <v>9</v>
      </c>
      <c r="N12" s="50">
        <v>0</v>
      </c>
      <c r="O12" s="15">
        <f t="shared" si="0"/>
        <v>5</v>
      </c>
      <c r="P12" s="15">
        <f t="shared" si="1"/>
        <v>14</v>
      </c>
      <c r="R12" s="1" t="s">
        <v>8</v>
      </c>
      <c r="S12" s="17">
        <f t="shared" ref="S12:AF12" si="4">SUM(C18:C21)</f>
        <v>2</v>
      </c>
      <c r="T12" s="17">
        <f t="shared" si="4"/>
        <v>1</v>
      </c>
      <c r="U12" s="17">
        <f t="shared" si="4"/>
        <v>1</v>
      </c>
      <c r="V12" s="17">
        <f t="shared" si="4"/>
        <v>1</v>
      </c>
      <c r="W12" s="17">
        <f t="shared" si="4"/>
        <v>1</v>
      </c>
      <c r="X12" s="17">
        <f t="shared" si="4"/>
        <v>0</v>
      </c>
      <c r="Y12" s="17">
        <f t="shared" si="4"/>
        <v>2</v>
      </c>
      <c r="Z12" s="17">
        <f t="shared" si="4"/>
        <v>3</v>
      </c>
      <c r="AA12" s="17">
        <f t="shared" si="4"/>
        <v>1</v>
      </c>
      <c r="AB12" s="17">
        <f t="shared" si="4"/>
        <v>1</v>
      </c>
      <c r="AC12" s="17">
        <f t="shared" si="4"/>
        <v>40</v>
      </c>
      <c r="AD12" s="17">
        <f t="shared" si="4"/>
        <v>0</v>
      </c>
      <c r="AE12" s="31">
        <f t="shared" si="4"/>
        <v>13</v>
      </c>
      <c r="AF12" s="31">
        <f t="shared" si="4"/>
        <v>53</v>
      </c>
    </row>
    <row r="13" spans="2:32" ht="23.1" customHeight="1" x14ac:dyDescent="0.25">
      <c r="B13" s="23" t="s">
        <v>40</v>
      </c>
      <c r="C13" s="50">
        <v>1</v>
      </c>
      <c r="D13" s="50">
        <v>0</v>
      </c>
      <c r="E13" s="50">
        <v>0</v>
      </c>
      <c r="F13" s="50">
        <v>0</v>
      </c>
      <c r="G13" s="50">
        <v>0</v>
      </c>
      <c r="H13" s="50">
        <v>0</v>
      </c>
      <c r="I13" s="50">
        <v>0</v>
      </c>
      <c r="J13" s="50">
        <v>0</v>
      </c>
      <c r="K13" s="50">
        <v>1</v>
      </c>
      <c r="L13" s="50">
        <v>0</v>
      </c>
      <c r="M13" s="50">
        <v>8</v>
      </c>
      <c r="N13" s="50">
        <v>0</v>
      </c>
      <c r="O13" s="15">
        <f t="shared" si="0"/>
        <v>2</v>
      </c>
      <c r="P13" s="15">
        <f t="shared" si="1"/>
        <v>10</v>
      </c>
      <c r="R13" s="1" t="s">
        <v>9</v>
      </c>
      <c r="S13" s="17">
        <f t="shared" ref="S13:AF13" si="5">SUM(C22:C25)</f>
        <v>3</v>
      </c>
      <c r="T13" s="17">
        <f t="shared" si="5"/>
        <v>1</v>
      </c>
      <c r="U13" s="17">
        <f t="shared" si="5"/>
        <v>1</v>
      </c>
      <c r="V13" s="17">
        <f t="shared" si="5"/>
        <v>1</v>
      </c>
      <c r="W13" s="17">
        <f t="shared" si="5"/>
        <v>0</v>
      </c>
      <c r="X13" s="17">
        <f t="shared" si="5"/>
        <v>0</v>
      </c>
      <c r="Y13" s="17">
        <f t="shared" si="5"/>
        <v>1</v>
      </c>
      <c r="Z13" s="17">
        <f t="shared" si="5"/>
        <v>0</v>
      </c>
      <c r="AA13" s="17">
        <f t="shared" si="5"/>
        <v>0</v>
      </c>
      <c r="AB13" s="17">
        <f t="shared" si="5"/>
        <v>1</v>
      </c>
      <c r="AC13" s="17">
        <f t="shared" si="5"/>
        <v>38</v>
      </c>
      <c r="AD13" s="17">
        <f t="shared" si="5"/>
        <v>0</v>
      </c>
      <c r="AE13" s="31">
        <f t="shared" si="5"/>
        <v>8</v>
      </c>
      <c r="AF13" s="31">
        <f t="shared" si="5"/>
        <v>46</v>
      </c>
    </row>
    <row r="14" spans="2:32" ht="23.1" customHeight="1" x14ac:dyDescent="0.25">
      <c r="B14" s="23" t="s">
        <v>41</v>
      </c>
      <c r="C14" s="50">
        <v>1</v>
      </c>
      <c r="D14" s="50">
        <v>0</v>
      </c>
      <c r="E14" s="50">
        <v>0</v>
      </c>
      <c r="F14" s="50">
        <v>0</v>
      </c>
      <c r="G14" s="50">
        <v>0</v>
      </c>
      <c r="H14" s="50">
        <v>0</v>
      </c>
      <c r="I14" s="50">
        <v>2</v>
      </c>
      <c r="J14" s="50">
        <v>0</v>
      </c>
      <c r="K14" s="50">
        <v>1</v>
      </c>
      <c r="L14" s="50">
        <v>0</v>
      </c>
      <c r="M14" s="50">
        <v>10</v>
      </c>
      <c r="N14" s="50">
        <v>0</v>
      </c>
      <c r="O14" s="15">
        <f t="shared" si="0"/>
        <v>4</v>
      </c>
      <c r="P14" s="15">
        <f t="shared" si="1"/>
        <v>14</v>
      </c>
      <c r="R14" s="1" t="s">
        <v>10</v>
      </c>
      <c r="S14" s="17">
        <f t="shared" ref="S14:AF14" si="6">SUM(C26:C29)</f>
        <v>8</v>
      </c>
      <c r="T14" s="17">
        <f t="shared" si="6"/>
        <v>2</v>
      </c>
      <c r="U14" s="17">
        <f t="shared" si="6"/>
        <v>4</v>
      </c>
      <c r="V14" s="17">
        <f t="shared" si="6"/>
        <v>0</v>
      </c>
      <c r="W14" s="17">
        <f t="shared" si="6"/>
        <v>0</v>
      </c>
      <c r="X14" s="17">
        <f t="shared" si="6"/>
        <v>0</v>
      </c>
      <c r="Y14" s="17">
        <f t="shared" si="6"/>
        <v>6</v>
      </c>
      <c r="Z14" s="17">
        <f t="shared" si="6"/>
        <v>2</v>
      </c>
      <c r="AA14" s="17">
        <f t="shared" si="6"/>
        <v>1</v>
      </c>
      <c r="AB14" s="17">
        <f t="shared" si="6"/>
        <v>0</v>
      </c>
      <c r="AC14" s="17">
        <f t="shared" si="6"/>
        <v>53</v>
      </c>
      <c r="AD14" s="17">
        <f t="shared" si="6"/>
        <v>0</v>
      </c>
      <c r="AE14" s="31">
        <f t="shared" si="6"/>
        <v>23</v>
      </c>
      <c r="AF14" s="31">
        <f t="shared" si="6"/>
        <v>76</v>
      </c>
    </row>
    <row r="15" spans="2:32" ht="23.1" customHeight="1" x14ac:dyDescent="0.25">
      <c r="B15" s="23" t="s">
        <v>42</v>
      </c>
      <c r="C15" s="50">
        <v>1</v>
      </c>
      <c r="D15" s="50">
        <v>0</v>
      </c>
      <c r="E15" s="50">
        <v>0</v>
      </c>
      <c r="F15" s="50">
        <v>0</v>
      </c>
      <c r="G15" s="50">
        <v>0</v>
      </c>
      <c r="H15" s="50">
        <v>0</v>
      </c>
      <c r="I15" s="50">
        <v>0</v>
      </c>
      <c r="J15" s="50">
        <v>1</v>
      </c>
      <c r="K15" s="50">
        <v>0</v>
      </c>
      <c r="L15" s="50">
        <v>0</v>
      </c>
      <c r="M15" s="50">
        <v>7</v>
      </c>
      <c r="N15" s="50">
        <v>0</v>
      </c>
      <c r="O15" s="15">
        <f t="shared" si="0"/>
        <v>2</v>
      </c>
      <c r="P15" s="15">
        <f t="shared" si="1"/>
        <v>9</v>
      </c>
      <c r="R15" s="1" t="s">
        <v>11</v>
      </c>
      <c r="S15" s="17">
        <f t="shared" ref="S15:AF15" si="7">SUM(C30:C33)</f>
        <v>2</v>
      </c>
      <c r="T15" s="17">
        <f t="shared" si="7"/>
        <v>1</v>
      </c>
      <c r="U15" s="17">
        <f t="shared" si="7"/>
        <v>1</v>
      </c>
      <c r="V15" s="17">
        <f t="shared" si="7"/>
        <v>0</v>
      </c>
      <c r="W15" s="17">
        <f t="shared" si="7"/>
        <v>0</v>
      </c>
      <c r="X15" s="17">
        <f t="shared" si="7"/>
        <v>0</v>
      </c>
      <c r="Y15" s="17">
        <f t="shared" si="7"/>
        <v>1</v>
      </c>
      <c r="Z15" s="17">
        <f t="shared" si="7"/>
        <v>2</v>
      </c>
      <c r="AA15" s="17">
        <f t="shared" si="7"/>
        <v>2</v>
      </c>
      <c r="AB15" s="17">
        <f t="shared" si="7"/>
        <v>0</v>
      </c>
      <c r="AC15" s="17">
        <f t="shared" si="7"/>
        <v>42</v>
      </c>
      <c r="AD15" s="17">
        <f t="shared" si="7"/>
        <v>0</v>
      </c>
      <c r="AE15" s="31">
        <f t="shared" si="7"/>
        <v>9</v>
      </c>
      <c r="AF15" s="31">
        <f t="shared" si="7"/>
        <v>51</v>
      </c>
    </row>
    <row r="16" spans="2:32" ht="23.1" customHeight="1" x14ac:dyDescent="0.25">
      <c r="B16" s="23" t="s">
        <v>43</v>
      </c>
      <c r="C16" s="50">
        <v>1</v>
      </c>
      <c r="D16" s="50">
        <v>0</v>
      </c>
      <c r="E16" s="50">
        <v>0</v>
      </c>
      <c r="F16" s="50">
        <v>1</v>
      </c>
      <c r="G16" s="50">
        <v>0</v>
      </c>
      <c r="H16" s="50">
        <v>0</v>
      </c>
      <c r="I16" s="50">
        <v>1</v>
      </c>
      <c r="J16" s="50">
        <v>0</v>
      </c>
      <c r="K16" s="50">
        <v>1</v>
      </c>
      <c r="L16" s="50">
        <v>0</v>
      </c>
      <c r="M16" s="50">
        <v>4</v>
      </c>
      <c r="N16" s="50">
        <v>0</v>
      </c>
      <c r="O16" s="15">
        <f t="shared" si="0"/>
        <v>4</v>
      </c>
      <c r="P16" s="15">
        <f t="shared" si="1"/>
        <v>8</v>
      </c>
      <c r="R16" s="1" t="s">
        <v>12</v>
      </c>
      <c r="S16" s="17">
        <f t="shared" ref="S16:AF16" si="8">SUM(C34:C37)</f>
        <v>3</v>
      </c>
      <c r="T16" s="17">
        <f t="shared" si="8"/>
        <v>2</v>
      </c>
      <c r="U16" s="17">
        <f t="shared" si="8"/>
        <v>1</v>
      </c>
      <c r="V16" s="17">
        <f t="shared" si="8"/>
        <v>1</v>
      </c>
      <c r="W16" s="17">
        <f t="shared" si="8"/>
        <v>0</v>
      </c>
      <c r="X16" s="17">
        <f t="shared" si="8"/>
        <v>0</v>
      </c>
      <c r="Y16" s="17">
        <f t="shared" si="8"/>
        <v>1</v>
      </c>
      <c r="Z16" s="17">
        <f t="shared" si="8"/>
        <v>2</v>
      </c>
      <c r="AA16" s="17">
        <f t="shared" si="8"/>
        <v>1</v>
      </c>
      <c r="AB16" s="17">
        <f t="shared" si="8"/>
        <v>0</v>
      </c>
      <c r="AC16" s="17">
        <f t="shared" si="8"/>
        <v>19</v>
      </c>
      <c r="AD16" s="17">
        <f t="shared" si="8"/>
        <v>0</v>
      </c>
      <c r="AE16" s="31">
        <f t="shared" si="8"/>
        <v>11</v>
      </c>
      <c r="AF16" s="31">
        <f t="shared" si="8"/>
        <v>30</v>
      </c>
    </row>
    <row r="17" spans="2:32" ht="23.1" customHeight="1" x14ac:dyDescent="0.25">
      <c r="B17" s="23" t="s">
        <v>44</v>
      </c>
      <c r="C17" s="50">
        <v>1</v>
      </c>
      <c r="D17" s="50">
        <v>1</v>
      </c>
      <c r="E17" s="50">
        <v>0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1</v>
      </c>
      <c r="M17" s="50">
        <v>11</v>
      </c>
      <c r="N17" s="50">
        <v>0</v>
      </c>
      <c r="O17" s="15">
        <f t="shared" si="0"/>
        <v>3</v>
      </c>
      <c r="P17" s="15">
        <f t="shared" si="1"/>
        <v>14</v>
      </c>
      <c r="R17" s="1" t="s">
        <v>13</v>
      </c>
      <c r="S17" s="17">
        <f t="shared" ref="S17:AF17" si="9">SUM(C38:C41)</f>
        <v>8</v>
      </c>
      <c r="T17" s="17">
        <f t="shared" si="9"/>
        <v>2</v>
      </c>
      <c r="U17" s="17">
        <f t="shared" si="9"/>
        <v>0</v>
      </c>
      <c r="V17" s="17">
        <f t="shared" si="9"/>
        <v>4</v>
      </c>
      <c r="W17" s="17">
        <f t="shared" si="9"/>
        <v>0</v>
      </c>
      <c r="X17" s="17">
        <f t="shared" si="9"/>
        <v>0</v>
      </c>
      <c r="Y17" s="17">
        <f t="shared" si="9"/>
        <v>2</v>
      </c>
      <c r="Z17" s="17">
        <f t="shared" si="9"/>
        <v>2</v>
      </c>
      <c r="AA17" s="17">
        <f t="shared" si="9"/>
        <v>0</v>
      </c>
      <c r="AB17" s="17">
        <f t="shared" si="9"/>
        <v>0</v>
      </c>
      <c r="AC17" s="17">
        <f t="shared" si="9"/>
        <v>28</v>
      </c>
      <c r="AD17" s="17">
        <f t="shared" si="9"/>
        <v>0</v>
      </c>
      <c r="AE17" s="31">
        <f t="shared" si="9"/>
        <v>18</v>
      </c>
      <c r="AF17" s="31">
        <f t="shared" si="9"/>
        <v>46</v>
      </c>
    </row>
    <row r="18" spans="2:32" ht="23.1" customHeight="1" x14ac:dyDescent="0.25">
      <c r="B18" s="23" t="s">
        <v>45</v>
      </c>
      <c r="C18" s="50">
        <v>0</v>
      </c>
      <c r="D18" s="50">
        <v>0</v>
      </c>
      <c r="E18" s="50">
        <v>0</v>
      </c>
      <c r="F18" s="50">
        <v>0</v>
      </c>
      <c r="G18" s="50">
        <v>1</v>
      </c>
      <c r="H18" s="50">
        <v>0</v>
      </c>
      <c r="I18" s="50">
        <v>1</v>
      </c>
      <c r="J18" s="50">
        <v>0</v>
      </c>
      <c r="K18" s="50">
        <v>1</v>
      </c>
      <c r="L18" s="50">
        <v>0</v>
      </c>
      <c r="M18" s="50">
        <v>13</v>
      </c>
      <c r="N18" s="50">
        <v>0</v>
      </c>
      <c r="O18" s="15">
        <f t="shared" si="0"/>
        <v>3</v>
      </c>
      <c r="P18" s="15">
        <f t="shared" si="1"/>
        <v>16</v>
      </c>
      <c r="R18" s="1" t="s">
        <v>14</v>
      </c>
      <c r="S18" s="17">
        <f t="shared" ref="S18:AF18" si="10">SUM(C42:C45)</f>
        <v>7</v>
      </c>
      <c r="T18" s="17">
        <f t="shared" si="10"/>
        <v>0</v>
      </c>
      <c r="U18" s="17">
        <f t="shared" si="10"/>
        <v>1</v>
      </c>
      <c r="V18" s="17">
        <f t="shared" si="10"/>
        <v>2</v>
      </c>
      <c r="W18" s="17">
        <f t="shared" si="10"/>
        <v>0</v>
      </c>
      <c r="X18" s="17">
        <f t="shared" si="10"/>
        <v>0</v>
      </c>
      <c r="Y18" s="17">
        <f t="shared" si="10"/>
        <v>2</v>
      </c>
      <c r="Z18" s="17">
        <f t="shared" si="10"/>
        <v>0</v>
      </c>
      <c r="AA18" s="17">
        <f t="shared" si="10"/>
        <v>0</v>
      </c>
      <c r="AB18" s="17">
        <f t="shared" si="10"/>
        <v>0</v>
      </c>
      <c r="AC18" s="17">
        <f t="shared" si="10"/>
        <v>36</v>
      </c>
      <c r="AD18" s="17">
        <f t="shared" si="10"/>
        <v>0</v>
      </c>
      <c r="AE18" s="31">
        <f t="shared" si="10"/>
        <v>12</v>
      </c>
      <c r="AF18" s="31">
        <f t="shared" si="10"/>
        <v>48</v>
      </c>
    </row>
    <row r="19" spans="2:32" ht="23.1" customHeight="1" x14ac:dyDescent="0.25">
      <c r="B19" s="23" t="s">
        <v>46</v>
      </c>
      <c r="C19" s="50">
        <v>2</v>
      </c>
      <c r="D19" s="50">
        <v>0</v>
      </c>
      <c r="E19" s="50">
        <v>0</v>
      </c>
      <c r="F19" s="50">
        <v>0</v>
      </c>
      <c r="G19" s="50">
        <v>0</v>
      </c>
      <c r="H19" s="50">
        <v>0</v>
      </c>
      <c r="I19" s="50">
        <v>0</v>
      </c>
      <c r="J19" s="50">
        <v>0</v>
      </c>
      <c r="K19" s="50">
        <v>0</v>
      </c>
      <c r="L19" s="50">
        <v>0</v>
      </c>
      <c r="M19" s="50">
        <v>8</v>
      </c>
      <c r="N19" s="50">
        <v>0</v>
      </c>
      <c r="O19" s="15">
        <f t="shared" si="0"/>
        <v>2</v>
      </c>
      <c r="P19" s="15">
        <f t="shared" si="1"/>
        <v>10</v>
      </c>
      <c r="R19" s="1" t="s">
        <v>15</v>
      </c>
      <c r="S19" s="17">
        <f t="shared" ref="S19:AF19" si="11">SUM(C46:C49)</f>
        <v>9</v>
      </c>
      <c r="T19" s="17">
        <f t="shared" si="11"/>
        <v>0</v>
      </c>
      <c r="U19" s="17">
        <f t="shared" si="11"/>
        <v>0</v>
      </c>
      <c r="V19" s="17">
        <f t="shared" si="11"/>
        <v>1</v>
      </c>
      <c r="W19" s="17">
        <f t="shared" si="11"/>
        <v>0</v>
      </c>
      <c r="X19" s="17">
        <f t="shared" si="11"/>
        <v>0</v>
      </c>
      <c r="Y19" s="17">
        <f t="shared" si="11"/>
        <v>1</v>
      </c>
      <c r="Z19" s="17">
        <f t="shared" si="11"/>
        <v>2</v>
      </c>
      <c r="AA19" s="17">
        <f t="shared" si="11"/>
        <v>0</v>
      </c>
      <c r="AB19" s="17">
        <f t="shared" si="11"/>
        <v>0</v>
      </c>
      <c r="AC19" s="17">
        <f t="shared" si="11"/>
        <v>36</v>
      </c>
      <c r="AD19" s="17">
        <f t="shared" si="11"/>
        <v>0</v>
      </c>
      <c r="AE19" s="31">
        <f t="shared" si="11"/>
        <v>13</v>
      </c>
      <c r="AF19" s="31">
        <f t="shared" si="11"/>
        <v>49</v>
      </c>
    </row>
    <row r="20" spans="2:32" ht="23.1" customHeight="1" x14ac:dyDescent="0.25">
      <c r="B20" s="23" t="s">
        <v>47</v>
      </c>
      <c r="C20" s="50">
        <v>0</v>
      </c>
      <c r="D20" s="50">
        <v>0</v>
      </c>
      <c r="E20" s="50">
        <v>0</v>
      </c>
      <c r="F20" s="50">
        <v>1</v>
      </c>
      <c r="G20" s="50">
        <v>0</v>
      </c>
      <c r="H20" s="50">
        <v>0</v>
      </c>
      <c r="I20" s="50">
        <v>0</v>
      </c>
      <c r="J20" s="50">
        <v>1</v>
      </c>
      <c r="K20" s="50">
        <v>0</v>
      </c>
      <c r="L20" s="50">
        <v>1</v>
      </c>
      <c r="M20" s="50">
        <v>8</v>
      </c>
      <c r="N20" s="50">
        <v>0</v>
      </c>
      <c r="O20" s="15">
        <f t="shared" si="0"/>
        <v>3</v>
      </c>
      <c r="P20" s="15">
        <f t="shared" si="1"/>
        <v>11</v>
      </c>
      <c r="R20" s="1" t="s">
        <v>16</v>
      </c>
      <c r="S20" s="17">
        <f t="shared" ref="S20:AF20" si="12">SUM(C50:C53)</f>
        <v>4</v>
      </c>
      <c r="T20" s="17">
        <f t="shared" si="12"/>
        <v>3</v>
      </c>
      <c r="U20" s="17">
        <f t="shared" si="12"/>
        <v>1</v>
      </c>
      <c r="V20" s="17">
        <f t="shared" si="12"/>
        <v>4</v>
      </c>
      <c r="W20" s="17">
        <f t="shared" si="12"/>
        <v>0</v>
      </c>
      <c r="X20" s="17">
        <f t="shared" si="12"/>
        <v>0</v>
      </c>
      <c r="Y20" s="17">
        <f t="shared" si="12"/>
        <v>3</v>
      </c>
      <c r="Z20" s="17">
        <f t="shared" si="12"/>
        <v>0</v>
      </c>
      <c r="AA20" s="17">
        <f t="shared" si="12"/>
        <v>3</v>
      </c>
      <c r="AB20" s="17">
        <f t="shared" si="12"/>
        <v>0</v>
      </c>
      <c r="AC20" s="17">
        <f t="shared" si="12"/>
        <v>39</v>
      </c>
      <c r="AD20" s="17">
        <f t="shared" si="12"/>
        <v>0</v>
      </c>
      <c r="AE20" s="31">
        <f t="shared" si="12"/>
        <v>18</v>
      </c>
      <c r="AF20" s="31">
        <f t="shared" si="12"/>
        <v>57</v>
      </c>
    </row>
    <row r="21" spans="2:32" ht="23.1" customHeight="1" x14ac:dyDescent="0.25">
      <c r="B21" s="23" t="s">
        <v>48</v>
      </c>
      <c r="C21" s="50">
        <v>0</v>
      </c>
      <c r="D21" s="50">
        <v>1</v>
      </c>
      <c r="E21" s="50">
        <v>1</v>
      </c>
      <c r="F21" s="50">
        <v>0</v>
      </c>
      <c r="G21" s="50">
        <v>0</v>
      </c>
      <c r="H21" s="50">
        <v>0</v>
      </c>
      <c r="I21" s="50">
        <v>1</v>
      </c>
      <c r="J21" s="50">
        <v>2</v>
      </c>
      <c r="K21" s="50">
        <v>0</v>
      </c>
      <c r="L21" s="50">
        <v>0</v>
      </c>
      <c r="M21" s="50">
        <v>11</v>
      </c>
      <c r="N21" s="50">
        <v>0</v>
      </c>
      <c r="O21" s="15">
        <f t="shared" si="0"/>
        <v>5</v>
      </c>
      <c r="P21" s="15">
        <f t="shared" si="1"/>
        <v>16</v>
      </c>
      <c r="R21" s="36" t="s">
        <v>20</v>
      </c>
      <c r="S21" s="34">
        <f t="shared" ref="S21:AF21" si="13">SUM(C54:C57)</f>
        <v>11</v>
      </c>
      <c r="T21" s="17">
        <f t="shared" si="13"/>
        <v>2</v>
      </c>
      <c r="U21" s="17">
        <f t="shared" si="13"/>
        <v>0</v>
      </c>
      <c r="V21" s="17">
        <f t="shared" si="13"/>
        <v>2</v>
      </c>
      <c r="W21" s="17">
        <f t="shared" si="13"/>
        <v>0</v>
      </c>
      <c r="X21" s="17">
        <f t="shared" si="13"/>
        <v>0</v>
      </c>
      <c r="Y21" s="17">
        <f t="shared" si="13"/>
        <v>3</v>
      </c>
      <c r="Z21" s="17">
        <f t="shared" si="13"/>
        <v>1</v>
      </c>
      <c r="AA21" s="17">
        <f t="shared" si="13"/>
        <v>1</v>
      </c>
      <c r="AB21" s="17">
        <f t="shared" si="13"/>
        <v>0</v>
      </c>
      <c r="AC21" s="17">
        <f t="shared" si="13"/>
        <v>48</v>
      </c>
      <c r="AD21" s="17">
        <f t="shared" si="13"/>
        <v>0</v>
      </c>
      <c r="AE21" s="31">
        <f t="shared" si="13"/>
        <v>20</v>
      </c>
      <c r="AF21" s="31">
        <f t="shared" si="13"/>
        <v>68</v>
      </c>
    </row>
    <row r="22" spans="2:32" ht="23.1" customHeight="1" x14ac:dyDescent="0.25">
      <c r="B22" s="23" t="s">
        <v>49</v>
      </c>
      <c r="C22" s="50">
        <v>0</v>
      </c>
      <c r="D22" s="50">
        <v>1</v>
      </c>
      <c r="E22" s="50">
        <v>0</v>
      </c>
      <c r="F22" s="50">
        <v>1</v>
      </c>
      <c r="G22" s="50">
        <v>0</v>
      </c>
      <c r="H22" s="50">
        <v>0</v>
      </c>
      <c r="I22" s="50">
        <v>0</v>
      </c>
      <c r="J22" s="50">
        <v>0</v>
      </c>
      <c r="K22" s="50">
        <v>0</v>
      </c>
      <c r="L22" s="50">
        <v>0</v>
      </c>
      <c r="M22" s="50">
        <v>13</v>
      </c>
      <c r="N22" s="50">
        <v>0</v>
      </c>
      <c r="O22" s="15">
        <f t="shared" si="0"/>
        <v>2</v>
      </c>
      <c r="P22" s="15">
        <f t="shared" si="1"/>
        <v>15</v>
      </c>
      <c r="R22" s="38" t="s">
        <v>90</v>
      </c>
      <c r="S22" s="39">
        <f>MAX(S10:S12)</f>
        <v>4</v>
      </c>
      <c r="T22" s="39">
        <f t="shared" ref="T22:AF22" si="14">MAX(T10:T12)</f>
        <v>2</v>
      </c>
      <c r="U22" s="39">
        <f t="shared" si="14"/>
        <v>2</v>
      </c>
      <c r="V22" s="39">
        <f t="shared" si="14"/>
        <v>1</v>
      </c>
      <c r="W22" s="39">
        <f t="shared" si="14"/>
        <v>1</v>
      </c>
      <c r="X22" s="39">
        <f t="shared" si="14"/>
        <v>1</v>
      </c>
      <c r="Y22" s="39">
        <f t="shared" si="14"/>
        <v>3</v>
      </c>
      <c r="Z22" s="39">
        <f t="shared" si="14"/>
        <v>3</v>
      </c>
      <c r="AA22" s="39">
        <f t="shared" si="14"/>
        <v>2</v>
      </c>
      <c r="AB22" s="39">
        <f t="shared" si="14"/>
        <v>1</v>
      </c>
      <c r="AC22" s="39">
        <f t="shared" si="14"/>
        <v>40</v>
      </c>
      <c r="AD22" s="39">
        <f t="shared" si="14"/>
        <v>0</v>
      </c>
      <c r="AE22" s="40">
        <f t="shared" si="14"/>
        <v>13</v>
      </c>
      <c r="AF22" s="40">
        <f t="shared" si="14"/>
        <v>53</v>
      </c>
    </row>
    <row r="23" spans="2:32" ht="23.1" customHeight="1" x14ac:dyDescent="0.25">
      <c r="B23" s="23" t="s">
        <v>50</v>
      </c>
      <c r="C23" s="50">
        <v>1</v>
      </c>
      <c r="D23" s="50">
        <v>0</v>
      </c>
      <c r="E23" s="50">
        <v>0</v>
      </c>
      <c r="F23" s="50">
        <v>0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50">
        <v>3</v>
      </c>
      <c r="N23" s="50">
        <v>0</v>
      </c>
      <c r="O23" s="15">
        <f t="shared" si="0"/>
        <v>1</v>
      </c>
      <c r="P23" s="15">
        <f t="shared" si="1"/>
        <v>4</v>
      </c>
      <c r="R23" s="38" t="s">
        <v>91</v>
      </c>
      <c r="S23" s="39">
        <f>MAX(S13:S18)</f>
        <v>8</v>
      </c>
      <c r="T23" s="39">
        <f t="shared" ref="T23:AF23" si="15">MAX(T13:T18)</f>
        <v>2</v>
      </c>
      <c r="U23" s="39">
        <f t="shared" si="15"/>
        <v>4</v>
      </c>
      <c r="V23" s="39">
        <f t="shared" si="15"/>
        <v>4</v>
      </c>
      <c r="W23" s="39">
        <f t="shared" si="15"/>
        <v>0</v>
      </c>
      <c r="X23" s="39">
        <f t="shared" si="15"/>
        <v>0</v>
      </c>
      <c r="Y23" s="39">
        <f t="shared" si="15"/>
        <v>6</v>
      </c>
      <c r="Z23" s="39">
        <f t="shared" si="15"/>
        <v>2</v>
      </c>
      <c r="AA23" s="39">
        <f t="shared" si="15"/>
        <v>2</v>
      </c>
      <c r="AB23" s="39">
        <f t="shared" si="15"/>
        <v>1</v>
      </c>
      <c r="AC23" s="39">
        <f t="shared" si="15"/>
        <v>53</v>
      </c>
      <c r="AD23" s="39">
        <f t="shared" si="15"/>
        <v>0</v>
      </c>
      <c r="AE23" s="40">
        <f t="shared" si="15"/>
        <v>23</v>
      </c>
      <c r="AF23" s="40">
        <f t="shared" si="15"/>
        <v>76</v>
      </c>
    </row>
    <row r="24" spans="2:32" ht="23.1" customHeight="1" x14ac:dyDescent="0.25">
      <c r="B24" s="23" t="s">
        <v>51</v>
      </c>
      <c r="C24" s="50">
        <v>0</v>
      </c>
      <c r="D24" s="50">
        <v>0</v>
      </c>
      <c r="E24" s="50">
        <v>1</v>
      </c>
      <c r="F24" s="50">
        <v>0</v>
      </c>
      <c r="G24" s="50">
        <v>0</v>
      </c>
      <c r="H24" s="50">
        <v>0</v>
      </c>
      <c r="I24" s="50">
        <v>1</v>
      </c>
      <c r="J24" s="50">
        <v>0</v>
      </c>
      <c r="K24" s="50">
        <v>0</v>
      </c>
      <c r="L24" s="50">
        <v>0</v>
      </c>
      <c r="M24" s="50">
        <v>9</v>
      </c>
      <c r="N24" s="50">
        <v>0</v>
      </c>
      <c r="O24" s="15">
        <f t="shared" si="0"/>
        <v>2</v>
      </c>
      <c r="P24" s="15">
        <f t="shared" si="1"/>
        <v>11</v>
      </c>
      <c r="R24" s="38" t="s">
        <v>92</v>
      </c>
      <c r="S24" s="39">
        <f>MAX(S19:S21)</f>
        <v>11</v>
      </c>
      <c r="T24" s="39">
        <f t="shared" ref="T24:AF24" si="16">MAX(T19:T21)</f>
        <v>3</v>
      </c>
      <c r="U24" s="39">
        <f t="shared" si="16"/>
        <v>1</v>
      </c>
      <c r="V24" s="39">
        <f t="shared" si="16"/>
        <v>4</v>
      </c>
      <c r="W24" s="39">
        <f t="shared" si="16"/>
        <v>0</v>
      </c>
      <c r="X24" s="39">
        <f t="shared" si="16"/>
        <v>0</v>
      </c>
      <c r="Y24" s="39">
        <f t="shared" si="16"/>
        <v>3</v>
      </c>
      <c r="Z24" s="39">
        <f t="shared" si="16"/>
        <v>2</v>
      </c>
      <c r="AA24" s="39">
        <f t="shared" si="16"/>
        <v>3</v>
      </c>
      <c r="AB24" s="39">
        <f t="shared" si="16"/>
        <v>0</v>
      </c>
      <c r="AC24" s="39">
        <f t="shared" si="16"/>
        <v>48</v>
      </c>
      <c r="AD24" s="39">
        <f t="shared" si="16"/>
        <v>0</v>
      </c>
      <c r="AE24" s="40">
        <f t="shared" si="16"/>
        <v>20</v>
      </c>
      <c r="AF24" s="40">
        <f t="shared" si="16"/>
        <v>68</v>
      </c>
    </row>
    <row r="25" spans="2:32" ht="23.1" customHeight="1" x14ac:dyDescent="0.25">
      <c r="B25" s="23" t="s">
        <v>52</v>
      </c>
      <c r="C25" s="50">
        <v>2</v>
      </c>
      <c r="D25" s="50">
        <v>0</v>
      </c>
      <c r="E25" s="50">
        <v>0</v>
      </c>
      <c r="F25" s="50">
        <v>0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1</v>
      </c>
      <c r="M25" s="50">
        <v>13</v>
      </c>
      <c r="N25" s="50">
        <v>0</v>
      </c>
      <c r="O25" s="15">
        <f t="shared" si="0"/>
        <v>3</v>
      </c>
      <c r="P25" s="15">
        <f t="shared" si="1"/>
        <v>16</v>
      </c>
      <c r="R25" s="37" t="s">
        <v>85</v>
      </c>
      <c r="S25" s="35">
        <f t="shared" ref="S25:AF25" si="17">SUM(S10:S12)</f>
        <v>9</v>
      </c>
      <c r="T25" s="16">
        <f t="shared" si="17"/>
        <v>4</v>
      </c>
      <c r="U25" s="16">
        <f t="shared" si="17"/>
        <v>3</v>
      </c>
      <c r="V25" s="16">
        <f t="shared" si="17"/>
        <v>3</v>
      </c>
      <c r="W25" s="16">
        <f t="shared" si="17"/>
        <v>2</v>
      </c>
      <c r="X25" s="16">
        <f t="shared" si="17"/>
        <v>1</v>
      </c>
      <c r="Y25" s="16">
        <f t="shared" si="17"/>
        <v>6</v>
      </c>
      <c r="Z25" s="16">
        <f t="shared" si="17"/>
        <v>4</v>
      </c>
      <c r="AA25" s="16">
        <f t="shared" si="17"/>
        <v>4</v>
      </c>
      <c r="AB25" s="16">
        <f t="shared" si="17"/>
        <v>2</v>
      </c>
      <c r="AC25" s="16">
        <f t="shared" si="17"/>
        <v>107</v>
      </c>
      <c r="AD25" s="16">
        <f t="shared" si="17"/>
        <v>0</v>
      </c>
      <c r="AE25" s="32">
        <f t="shared" si="17"/>
        <v>38</v>
      </c>
      <c r="AF25" s="32">
        <f t="shared" si="17"/>
        <v>145</v>
      </c>
    </row>
    <row r="26" spans="2:32" ht="23.1" customHeight="1" x14ac:dyDescent="0.25">
      <c r="B26" s="23" t="s">
        <v>53</v>
      </c>
      <c r="C26" s="50">
        <v>3</v>
      </c>
      <c r="D26" s="50">
        <v>1</v>
      </c>
      <c r="E26" s="50">
        <v>0</v>
      </c>
      <c r="F26" s="50">
        <v>0</v>
      </c>
      <c r="G26" s="50">
        <v>0</v>
      </c>
      <c r="H26" s="50">
        <v>0</v>
      </c>
      <c r="I26" s="50">
        <v>2</v>
      </c>
      <c r="J26" s="50">
        <v>1</v>
      </c>
      <c r="K26" s="50">
        <v>0</v>
      </c>
      <c r="L26" s="50">
        <v>0</v>
      </c>
      <c r="M26" s="50">
        <v>8</v>
      </c>
      <c r="N26" s="50">
        <v>0</v>
      </c>
      <c r="O26" s="15">
        <f t="shared" si="0"/>
        <v>7</v>
      </c>
      <c r="P26" s="15">
        <f t="shared" si="1"/>
        <v>15</v>
      </c>
      <c r="R26" s="28" t="s">
        <v>86</v>
      </c>
      <c r="S26" s="16">
        <f t="shared" ref="S26:AF26" si="18">SUM(S13:S18)</f>
        <v>31</v>
      </c>
      <c r="T26" s="16">
        <f t="shared" si="18"/>
        <v>8</v>
      </c>
      <c r="U26" s="16">
        <f t="shared" si="18"/>
        <v>8</v>
      </c>
      <c r="V26" s="16">
        <f t="shared" si="18"/>
        <v>8</v>
      </c>
      <c r="W26" s="16">
        <f t="shared" si="18"/>
        <v>0</v>
      </c>
      <c r="X26" s="16">
        <f t="shared" si="18"/>
        <v>0</v>
      </c>
      <c r="Y26" s="16">
        <f t="shared" si="18"/>
        <v>13</v>
      </c>
      <c r="Z26" s="16">
        <f t="shared" si="18"/>
        <v>8</v>
      </c>
      <c r="AA26" s="16">
        <f t="shared" si="18"/>
        <v>4</v>
      </c>
      <c r="AB26" s="16">
        <f t="shared" si="18"/>
        <v>1</v>
      </c>
      <c r="AC26" s="16">
        <f t="shared" si="18"/>
        <v>216</v>
      </c>
      <c r="AD26" s="16">
        <f t="shared" si="18"/>
        <v>0</v>
      </c>
      <c r="AE26" s="32">
        <f t="shared" si="18"/>
        <v>81</v>
      </c>
      <c r="AF26" s="32">
        <f t="shared" si="18"/>
        <v>297</v>
      </c>
    </row>
    <row r="27" spans="2:32" ht="23.1" customHeight="1" x14ac:dyDescent="0.25">
      <c r="B27" s="23" t="s">
        <v>54</v>
      </c>
      <c r="C27" s="50">
        <v>1</v>
      </c>
      <c r="D27" s="50">
        <v>0</v>
      </c>
      <c r="E27" s="50">
        <v>1</v>
      </c>
      <c r="F27" s="50">
        <v>0</v>
      </c>
      <c r="G27" s="50">
        <v>0</v>
      </c>
      <c r="H27" s="50">
        <v>0</v>
      </c>
      <c r="I27" s="50">
        <v>1</v>
      </c>
      <c r="J27" s="50">
        <v>0</v>
      </c>
      <c r="K27" s="50">
        <v>1</v>
      </c>
      <c r="L27" s="50">
        <v>0</v>
      </c>
      <c r="M27" s="50">
        <v>18</v>
      </c>
      <c r="N27" s="50">
        <v>0</v>
      </c>
      <c r="O27" s="15">
        <f t="shared" si="0"/>
        <v>4</v>
      </c>
      <c r="P27" s="15">
        <f t="shared" si="1"/>
        <v>22</v>
      </c>
      <c r="R27" s="29" t="s">
        <v>87</v>
      </c>
      <c r="S27" s="16">
        <f t="shared" ref="S27:AF27" si="19">SUM(S19:S21)</f>
        <v>24</v>
      </c>
      <c r="T27" s="16">
        <f t="shared" si="19"/>
        <v>5</v>
      </c>
      <c r="U27" s="16">
        <f t="shared" si="19"/>
        <v>1</v>
      </c>
      <c r="V27" s="16">
        <f t="shared" si="19"/>
        <v>7</v>
      </c>
      <c r="W27" s="16">
        <f t="shared" si="19"/>
        <v>0</v>
      </c>
      <c r="X27" s="16">
        <f t="shared" si="19"/>
        <v>0</v>
      </c>
      <c r="Y27" s="16">
        <f t="shared" si="19"/>
        <v>7</v>
      </c>
      <c r="Z27" s="16">
        <f t="shared" si="19"/>
        <v>3</v>
      </c>
      <c r="AA27" s="16">
        <f t="shared" si="19"/>
        <v>4</v>
      </c>
      <c r="AB27" s="16">
        <f t="shared" si="19"/>
        <v>0</v>
      </c>
      <c r="AC27" s="16">
        <f t="shared" si="19"/>
        <v>123</v>
      </c>
      <c r="AD27" s="16">
        <f t="shared" si="19"/>
        <v>0</v>
      </c>
      <c r="AE27" s="32">
        <f t="shared" si="19"/>
        <v>51</v>
      </c>
      <c r="AF27" s="32">
        <f t="shared" si="19"/>
        <v>174</v>
      </c>
    </row>
    <row r="28" spans="2:32" ht="23.1" customHeight="1" x14ac:dyDescent="0.25">
      <c r="B28" s="23" t="s">
        <v>55</v>
      </c>
      <c r="C28" s="50">
        <v>2</v>
      </c>
      <c r="D28" s="50">
        <v>1</v>
      </c>
      <c r="E28" s="50">
        <v>2</v>
      </c>
      <c r="F28" s="50">
        <v>0</v>
      </c>
      <c r="G28" s="50">
        <v>0</v>
      </c>
      <c r="H28" s="50">
        <v>0</v>
      </c>
      <c r="I28" s="50">
        <v>0</v>
      </c>
      <c r="J28" s="50">
        <v>1</v>
      </c>
      <c r="K28" s="50">
        <v>0</v>
      </c>
      <c r="L28" s="50">
        <v>0</v>
      </c>
      <c r="M28" s="50">
        <v>12</v>
      </c>
      <c r="N28" s="50">
        <v>0</v>
      </c>
      <c r="O28" s="15">
        <f t="shared" si="0"/>
        <v>6</v>
      </c>
      <c r="P28" s="15">
        <f t="shared" si="1"/>
        <v>18</v>
      </c>
      <c r="R28" s="5" t="s">
        <v>17</v>
      </c>
      <c r="S28" s="16">
        <f t="shared" ref="S28:AF28" si="20">SUM(S10:S21)</f>
        <v>64</v>
      </c>
      <c r="T28" s="16">
        <f t="shared" si="20"/>
        <v>17</v>
      </c>
      <c r="U28" s="16">
        <f t="shared" si="20"/>
        <v>12</v>
      </c>
      <c r="V28" s="16">
        <f t="shared" si="20"/>
        <v>18</v>
      </c>
      <c r="W28" s="16">
        <f t="shared" si="20"/>
        <v>2</v>
      </c>
      <c r="X28" s="16">
        <f t="shared" si="20"/>
        <v>1</v>
      </c>
      <c r="Y28" s="16">
        <f t="shared" si="20"/>
        <v>26</v>
      </c>
      <c r="Z28" s="16">
        <f t="shared" si="20"/>
        <v>15</v>
      </c>
      <c r="AA28" s="16">
        <f t="shared" si="20"/>
        <v>12</v>
      </c>
      <c r="AB28" s="16">
        <f t="shared" si="20"/>
        <v>3</v>
      </c>
      <c r="AC28" s="16">
        <f t="shared" si="20"/>
        <v>446</v>
      </c>
      <c r="AD28" s="16">
        <f t="shared" si="20"/>
        <v>0</v>
      </c>
      <c r="AE28" s="32">
        <f t="shared" si="20"/>
        <v>170</v>
      </c>
      <c r="AF28" s="32">
        <f t="shared" si="20"/>
        <v>616</v>
      </c>
    </row>
    <row r="29" spans="2:32" ht="23.1" customHeight="1" x14ac:dyDescent="0.25">
      <c r="B29" s="23" t="s">
        <v>56</v>
      </c>
      <c r="C29" s="50">
        <v>2</v>
      </c>
      <c r="D29" s="50">
        <v>0</v>
      </c>
      <c r="E29" s="50">
        <v>1</v>
      </c>
      <c r="F29" s="50">
        <v>0</v>
      </c>
      <c r="G29" s="50">
        <v>0</v>
      </c>
      <c r="H29" s="50">
        <v>0</v>
      </c>
      <c r="I29" s="50">
        <v>3</v>
      </c>
      <c r="J29" s="50">
        <v>0</v>
      </c>
      <c r="K29" s="50">
        <v>0</v>
      </c>
      <c r="L29" s="50">
        <v>0</v>
      </c>
      <c r="M29" s="50">
        <v>15</v>
      </c>
      <c r="N29" s="50">
        <v>0</v>
      </c>
      <c r="O29" s="15">
        <f t="shared" si="0"/>
        <v>6</v>
      </c>
      <c r="P29" s="15">
        <f t="shared" si="1"/>
        <v>21</v>
      </c>
      <c r="R29"/>
      <c r="S29" s="20"/>
      <c r="T29" s="19"/>
    </row>
    <row r="30" spans="2:32" ht="23.1" customHeight="1" x14ac:dyDescent="0.25">
      <c r="B30" s="23" t="s">
        <v>57</v>
      </c>
      <c r="C30" s="50">
        <v>1</v>
      </c>
      <c r="D30" s="50">
        <v>0</v>
      </c>
      <c r="E30" s="50">
        <v>0</v>
      </c>
      <c r="F30" s="50">
        <v>0</v>
      </c>
      <c r="G30" s="50">
        <v>0</v>
      </c>
      <c r="H30" s="50">
        <v>0</v>
      </c>
      <c r="I30" s="50">
        <v>0</v>
      </c>
      <c r="J30" s="50">
        <v>1</v>
      </c>
      <c r="K30" s="50">
        <v>0</v>
      </c>
      <c r="L30" s="50">
        <v>0</v>
      </c>
      <c r="M30" s="50">
        <v>10</v>
      </c>
      <c r="N30" s="50">
        <v>0</v>
      </c>
      <c r="O30" s="15">
        <f t="shared" si="0"/>
        <v>2</v>
      </c>
      <c r="P30" s="15">
        <f t="shared" si="1"/>
        <v>12</v>
      </c>
    </row>
    <row r="31" spans="2:32" ht="23.1" customHeight="1" x14ac:dyDescent="0.25">
      <c r="B31" s="24" t="s">
        <v>58</v>
      </c>
      <c r="C31" s="50">
        <v>0</v>
      </c>
      <c r="D31" s="50">
        <v>0</v>
      </c>
      <c r="E31" s="50">
        <v>1</v>
      </c>
      <c r="F31" s="50">
        <v>0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50">
        <v>14</v>
      </c>
      <c r="N31" s="50">
        <v>0</v>
      </c>
      <c r="O31" s="15">
        <f t="shared" si="0"/>
        <v>1</v>
      </c>
      <c r="P31" s="15">
        <f t="shared" si="1"/>
        <v>15</v>
      </c>
    </row>
    <row r="32" spans="2:32" ht="23.1" customHeight="1" x14ac:dyDescent="0.25">
      <c r="B32" s="24" t="s">
        <v>59</v>
      </c>
      <c r="C32" s="50">
        <v>1</v>
      </c>
      <c r="D32" s="50">
        <v>0</v>
      </c>
      <c r="E32" s="50">
        <v>0</v>
      </c>
      <c r="F32" s="50">
        <v>0</v>
      </c>
      <c r="G32" s="50">
        <v>0</v>
      </c>
      <c r="H32" s="50">
        <v>0</v>
      </c>
      <c r="I32" s="50">
        <v>1</v>
      </c>
      <c r="J32" s="50">
        <v>1</v>
      </c>
      <c r="K32" s="50">
        <v>1</v>
      </c>
      <c r="L32" s="50">
        <v>0</v>
      </c>
      <c r="M32" s="50">
        <v>12</v>
      </c>
      <c r="N32" s="50">
        <v>0</v>
      </c>
      <c r="O32" s="15">
        <f t="shared" si="0"/>
        <v>4</v>
      </c>
      <c r="P32" s="15">
        <f t="shared" si="1"/>
        <v>16</v>
      </c>
    </row>
    <row r="33" spans="2:20" ht="23.1" customHeight="1" x14ac:dyDescent="0.25">
      <c r="B33" s="23" t="s">
        <v>60</v>
      </c>
      <c r="C33" s="50">
        <v>0</v>
      </c>
      <c r="D33" s="50">
        <v>1</v>
      </c>
      <c r="E33" s="50">
        <v>0</v>
      </c>
      <c r="F33" s="50">
        <v>0</v>
      </c>
      <c r="G33" s="50">
        <v>0</v>
      </c>
      <c r="H33" s="50">
        <v>0</v>
      </c>
      <c r="I33" s="50">
        <v>0</v>
      </c>
      <c r="J33" s="50">
        <v>0</v>
      </c>
      <c r="K33" s="50">
        <v>1</v>
      </c>
      <c r="L33" s="50">
        <v>0</v>
      </c>
      <c r="M33" s="50">
        <v>6</v>
      </c>
      <c r="N33" s="50">
        <v>0</v>
      </c>
      <c r="O33" s="15">
        <f t="shared" si="0"/>
        <v>2</v>
      </c>
      <c r="P33" s="15">
        <f t="shared" si="1"/>
        <v>8</v>
      </c>
    </row>
    <row r="34" spans="2:20" ht="23.1" customHeight="1" x14ac:dyDescent="0.25">
      <c r="B34" s="24" t="s">
        <v>61</v>
      </c>
      <c r="C34" s="50">
        <v>1</v>
      </c>
      <c r="D34" s="50">
        <v>1</v>
      </c>
      <c r="E34" s="50">
        <v>1</v>
      </c>
      <c r="F34" s="50">
        <v>1</v>
      </c>
      <c r="G34" s="50">
        <v>0</v>
      </c>
      <c r="H34" s="50">
        <v>0</v>
      </c>
      <c r="I34" s="50">
        <v>0</v>
      </c>
      <c r="J34" s="50">
        <v>1</v>
      </c>
      <c r="K34" s="50">
        <v>0</v>
      </c>
      <c r="L34" s="50">
        <v>0</v>
      </c>
      <c r="M34" s="50">
        <v>0</v>
      </c>
      <c r="N34" s="50">
        <v>0</v>
      </c>
      <c r="O34" s="15">
        <f t="shared" si="0"/>
        <v>5</v>
      </c>
      <c r="P34" s="15">
        <f t="shared" si="1"/>
        <v>5</v>
      </c>
    </row>
    <row r="35" spans="2:20" ht="23.1" customHeight="1" x14ac:dyDescent="0.25">
      <c r="B35" s="24" t="s">
        <v>62</v>
      </c>
      <c r="C35" s="50">
        <v>1</v>
      </c>
      <c r="D35" s="50">
        <v>0</v>
      </c>
      <c r="E35" s="50">
        <v>0</v>
      </c>
      <c r="F35" s="50">
        <v>0</v>
      </c>
      <c r="G35" s="50">
        <v>0</v>
      </c>
      <c r="H35" s="50">
        <v>0</v>
      </c>
      <c r="I35" s="50">
        <v>1</v>
      </c>
      <c r="J35" s="50">
        <v>0</v>
      </c>
      <c r="K35" s="50">
        <v>1</v>
      </c>
      <c r="L35" s="50">
        <v>0</v>
      </c>
      <c r="M35" s="50">
        <v>7</v>
      </c>
      <c r="N35" s="50">
        <v>0</v>
      </c>
      <c r="O35" s="15">
        <f t="shared" si="0"/>
        <v>3</v>
      </c>
      <c r="P35" s="15">
        <f t="shared" si="1"/>
        <v>10</v>
      </c>
    </row>
    <row r="36" spans="2:20" ht="23.1" customHeight="1" x14ac:dyDescent="0.25">
      <c r="B36" s="24" t="s">
        <v>63</v>
      </c>
      <c r="C36" s="50">
        <v>1</v>
      </c>
      <c r="D36" s="50">
        <v>1</v>
      </c>
      <c r="E36" s="50">
        <v>0</v>
      </c>
      <c r="F36" s="50">
        <v>0</v>
      </c>
      <c r="G36" s="50">
        <v>0</v>
      </c>
      <c r="H36" s="50">
        <v>0</v>
      </c>
      <c r="I36" s="50">
        <v>0</v>
      </c>
      <c r="J36" s="50">
        <v>1</v>
      </c>
      <c r="K36" s="50">
        <v>0</v>
      </c>
      <c r="L36" s="50">
        <v>0</v>
      </c>
      <c r="M36" s="50">
        <v>9</v>
      </c>
      <c r="N36" s="50">
        <v>0</v>
      </c>
      <c r="O36" s="15">
        <f t="shared" si="0"/>
        <v>3</v>
      </c>
      <c r="P36" s="15">
        <f t="shared" si="1"/>
        <v>12</v>
      </c>
    </row>
    <row r="37" spans="2:20" ht="23.1" customHeight="1" x14ac:dyDescent="0.25">
      <c r="B37" s="23" t="s">
        <v>64</v>
      </c>
      <c r="C37" s="50">
        <v>0</v>
      </c>
      <c r="D37" s="50">
        <v>0</v>
      </c>
      <c r="E37" s="50">
        <v>0</v>
      </c>
      <c r="F37" s="50">
        <v>0</v>
      </c>
      <c r="G37" s="50">
        <v>0</v>
      </c>
      <c r="H37" s="50">
        <v>0</v>
      </c>
      <c r="I37" s="50">
        <v>0</v>
      </c>
      <c r="J37" s="50">
        <v>0</v>
      </c>
      <c r="K37" s="50">
        <v>0</v>
      </c>
      <c r="L37" s="50">
        <v>0</v>
      </c>
      <c r="M37" s="50">
        <v>3</v>
      </c>
      <c r="N37" s="50">
        <v>0</v>
      </c>
      <c r="O37" s="15">
        <f t="shared" si="0"/>
        <v>0</v>
      </c>
      <c r="P37" s="15">
        <f t="shared" si="1"/>
        <v>3</v>
      </c>
    </row>
    <row r="38" spans="2:20" ht="23.1" customHeight="1" x14ac:dyDescent="0.25">
      <c r="B38" s="24" t="s">
        <v>65</v>
      </c>
      <c r="C38" s="50">
        <v>1</v>
      </c>
      <c r="D38" s="50">
        <v>0</v>
      </c>
      <c r="E38" s="50">
        <v>0</v>
      </c>
      <c r="F38" s="50">
        <v>0</v>
      </c>
      <c r="G38" s="50">
        <v>0</v>
      </c>
      <c r="H38" s="50">
        <v>0</v>
      </c>
      <c r="I38" s="50">
        <v>1</v>
      </c>
      <c r="J38" s="50">
        <v>0</v>
      </c>
      <c r="K38" s="50">
        <v>0</v>
      </c>
      <c r="L38" s="50">
        <v>0</v>
      </c>
      <c r="M38" s="50">
        <v>1</v>
      </c>
      <c r="N38" s="50">
        <v>0</v>
      </c>
      <c r="O38" s="15">
        <f t="shared" si="0"/>
        <v>2</v>
      </c>
      <c r="P38" s="15">
        <f t="shared" si="1"/>
        <v>3</v>
      </c>
    </row>
    <row r="39" spans="2:20" ht="23.1" customHeight="1" x14ac:dyDescent="0.25">
      <c r="B39" s="24" t="s">
        <v>66</v>
      </c>
      <c r="C39" s="50">
        <v>1</v>
      </c>
      <c r="D39" s="50">
        <v>2</v>
      </c>
      <c r="E39" s="50">
        <v>0</v>
      </c>
      <c r="F39" s="50">
        <v>1</v>
      </c>
      <c r="G39" s="50">
        <v>0</v>
      </c>
      <c r="H39" s="50">
        <v>0</v>
      </c>
      <c r="I39" s="50">
        <v>0</v>
      </c>
      <c r="J39" s="50">
        <v>1</v>
      </c>
      <c r="K39" s="50">
        <v>0</v>
      </c>
      <c r="L39" s="50">
        <v>0</v>
      </c>
      <c r="M39" s="50">
        <v>3</v>
      </c>
      <c r="N39" s="50">
        <v>0</v>
      </c>
      <c r="O39" s="15">
        <f t="shared" si="0"/>
        <v>5</v>
      </c>
      <c r="P39" s="15">
        <f t="shared" si="1"/>
        <v>8</v>
      </c>
    </row>
    <row r="40" spans="2:20" ht="23.1" customHeight="1" x14ac:dyDescent="0.25">
      <c r="B40" s="24" t="s">
        <v>67</v>
      </c>
      <c r="C40" s="50">
        <v>4</v>
      </c>
      <c r="D40" s="50">
        <v>0</v>
      </c>
      <c r="E40" s="50">
        <v>0</v>
      </c>
      <c r="F40" s="50">
        <v>1</v>
      </c>
      <c r="G40" s="50">
        <v>0</v>
      </c>
      <c r="H40" s="50">
        <v>0</v>
      </c>
      <c r="I40" s="50">
        <v>0</v>
      </c>
      <c r="J40" s="50">
        <v>1</v>
      </c>
      <c r="K40" s="50">
        <v>0</v>
      </c>
      <c r="L40" s="50">
        <v>0</v>
      </c>
      <c r="M40" s="50">
        <v>11</v>
      </c>
      <c r="N40" s="50">
        <v>0</v>
      </c>
      <c r="O40" s="15">
        <f t="shared" si="0"/>
        <v>6</v>
      </c>
      <c r="P40" s="15">
        <f t="shared" si="1"/>
        <v>17</v>
      </c>
    </row>
    <row r="41" spans="2:20" ht="23.1" customHeight="1" x14ac:dyDescent="0.25">
      <c r="B41" s="23" t="s">
        <v>68</v>
      </c>
      <c r="C41" s="50">
        <v>2</v>
      </c>
      <c r="D41" s="50">
        <v>0</v>
      </c>
      <c r="E41" s="50">
        <v>0</v>
      </c>
      <c r="F41" s="50">
        <v>2</v>
      </c>
      <c r="G41" s="50">
        <v>0</v>
      </c>
      <c r="H41" s="50">
        <v>0</v>
      </c>
      <c r="I41" s="50">
        <v>1</v>
      </c>
      <c r="J41" s="50">
        <v>0</v>
      </c>
      <c r="K41" s="50">
        <v>0</v>
      </c>
      <c r="L41" s="50">
        <v>0</v>
      </c>
      <c r="M41" s="50">
        <v>13</v>
      </c>
      <c r="N41" s="50">
        <v>0</v>
      </c>
      <c r="O41" s="15">
        <f t="shared" si="0"/>
        <v>5</v>
      </c>
      <c r="P41" s="15">
        <f t="shared" si="1"/>
        <v>18</v>
      </c>
    </row>
    <row r="42" spans="2:20" ht="23.1" customHeight="1" x14ac:dyDescent="0.25">
      <c r="B42" s="24" t="s">
        <v>69</v>
      </c>
      <c r="C42" s="50">
        <v>3</v>
      </c>
      <c r="D42" s="50">
        <v>0</v>
      </c>
      <c r="E42" s="50">
        <v>1</v>
      </c>
      <c r="F42" s="50">
        <v>0</v>
      </c>
      <c r="G42" s="50">
        <v>0</v>
      </c>
      <c r="H42" s="50">
        <v>0</v>
      </c>
      <c r="I42" s="50">
        <v>0</v>
      </c>
      <c r="J42" s="50">
        <v>0</v>
      </c>
      <c r="K42" s="50">
        <v>0</v>
      </c>
      <c r="L42" s="50">
        <v>0</v>
      </c>
      <c r="M42" s="50">
        <v>15</v>
      </c>
      <c r="N42" s="50">
        <v>0</v>
      </c>
      <c r="O42" s="15">
        <f t="shared" si="0"/>
        <v>4</v>
      </c>
      <c r="P42" s="15">
        <f t="shared" si="1"/>
        <v>19</v>
      </c>
    </row>
    <row r="43" spans="2:20" ht="23.1" customHeight="1" x14ac:dyDescent="0.25">
      <c r="B43" s="23" t="s">
        <v>70</v>
      </c>
      <c r="C43" s="50">
        <v>2</v>
      </c>
      <c r="D43" s="50">
        <v>0</v>
      </c>
      <c r="E43" s="50">
        <v>0</v>
      </c>
      <c r="F43" s="50">
        <v>0</v>
      </c>
      <c r="G43" s="50">
        <v>0</v>
      </c>
      <c r="H43" s="50">
        <v>0</v>
      </c>
      <c r="I43" s="50">
        <v>1</v>
      </c>
      <c r="J43" s="50">
        <v>0</v>
      </c>
      <c r="K43" s="50">
        <v>0</v>
      </c>
      <c r="L43" s="50">
        <v>0</v>
      </c>
      <c r="M43" s="50">
        <v>6</v>
      </c>
      <c r="N43" s="50">
        <v>0</v>
      </c>
      <c r="O43" s="15">
        <f t="shared" si="0"/>
        <v>3</v>
      </c>
      <c r="P43" s="15">
        <f t="shared" si="1"/>
        <v>9</v>
      </c>
    </row>
    <row r="44" spans="2:20" ht="23.1" customHeight="1" x14ac:dyDescent="0.25">
      <c r="B44" s="25" t="s">
        <v>71</v>
      </c>
      <c r="C44" s="50">
        <v>2</v>
      </c>
      <c r="D44" s="50">
        <v>0</v>
      </c>
      <c r="E44" s="50">
        <v>0</v>
      </c>
      <c r="F44" s="50">
        <v>1</v>
      </c>
      <c r="G44" s="50">
        <v>0</v>
      </c>
      <c r="H44" s="50">
        <v>0</v>
      </c>
      <c r="I44" s="50">
        <v>1</v>
      </c>
      <c r="J44" s="50">
        <v>0</v>
      </c>
      <c r="K44" s="50">
        <v>0</v>
      </c>
      <c r="L44" s="50">
        <v>0</v>
      </c>
      <c r="M44" s="50">
        <v>9</v>
      </c>
      <c r="N44" s="50">
        <v>0</v>
      </c>
      <c r="O44" s="15">
        <f t="shared" si="0"/>
        <v>4</v>
      </c>
      <c r="P44" s="15">
        <f t="shared" si="1"/>
        <v>13</v>
      </c>
    </row>
    <row r="45" spans="2:20" ht="23.1" customHeight="1" x14ac:dyDescent="0.25">
      <c r="B45" s="23" t="s">
        <v>72</v>
      </c>
      <c r="C45" s="50">
        <v>0</v>
      </c>
      <c r="D45" s="50">
        <v>0</v>
      </c>
      <c r="E45" s="50">
        <v>0</v>
      </c>
      <c r="F45" s="50">
        <v>1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0</v>
      </c>
      <c r="M45" s="50">
        <v>6</v>
      </c>
      <c r="N45" s="50">
        <v>0</v>
      </c>
      <c r="O45" s="15">
        <f t="shared" si="0"/>
        <v>1</v>
      </c>
      <c r="P45" s="15">
        <f t="shared" si="1"/>
        <v>7</v>
      </c>
    </row>
    <row r="46" spans="2:20" ht="23.1" customHeight="1" x14ac:dyDescent="0.25">
      <c r="B46" s="24" t="s">
        <v>73</v>
      </c>
      <c r="C46" s="50">
        <v>2</v>
      </c>
      <c r="D46" s="50">
        <v>0</v>
      </c>
      <c r="E46" s="50">
        <v>0</v>
      </c>
      <c r="F46" s="50">
        <v>1</v>
      </c>
      <c r="G46" s="50">
        <v>0</v>
      </c>
      <c r="H46" s="50">
        <v>0</v>
      </c>
      <c r="I46" s="50">
        <v>0</v>
      </c>
      <c r="J46" s="50">
        <v>0</v>
      </c>
      <c r="K46" s="50">
        <v>0</v>
      </c>
      <c r="L46" s="50">
        <v>0</v>
      </c>
      <c r="M46" s="50">
        <v>6</v>
      </c>
      <c r="N46" s="50">
        <v>0</v>
      </c>
      <c r="O46" s="15">
        <f t="shared" si="0"/>
        <v>3</v>
      </c>
      <c r="P46" s="15">
        <f t="shared" si="1"/>
        <v>9</v>
      </c>
      <c r="R46" s="8"/>
      <c r="T46"/>
    </row>
    <row r="47" spans="2:20" ht="23.1" customHeight="1" x14ac:dyDescent="0.25">
      <c r="B47" s="24" t="s">
        <v>74</v>
      </c>
      <c r="C47" s="50">
        <v>0</v>
      </c>
      <c r="D47" s="50">
        <v>0</v>
      </c>
      <c r="E47" s="50">
        <v>0</v>
      </c>
      <c r="F47" s="50">
        <v>0</v>
      </c>
      <c r="G47" s="50">
        <v>0</v>
      </c>
      <c r="H47" s="50">
        <v>0</v>
      </c>
      <c r="I47" s="50">
        <v>0</v>
      </c>
      <c r="J47" s="50">
        <v>1</v>
      </c>
      <c r="K47" s="50">
        <v>0</v>
      </c>
      <c r="L47" s="50">
        <v>0</v>
      </c>
      <c r="M47" s="50">
        <v>12</v>
      </c>
      <c r="N47" s="50">
        <v>0</v>
      </c>
      <c r="O47" s="15">
        <f t="shared" si="0"/>
        <v>1</v>
      </c>
      <c r="P47" s="15">
        <f t="shared" si="1"/>
        <v>13</v>
      </c>
      <c r="R47" s="8"/>
      <c r="T47"/>
    </row>
    <row r="48" spans="2:20" ht="23.1" customHeight="1" x14ac:dyDescent="0.25">
      <c r="B48" s="24" t="s">
        <v>75</v>
      </c>
      <c r="C48" s="50">
        <v>3</v>
      </c>
      <c r="D48" s="50">
        <v>0</v>
      </c>
      <c r="E48" s="50">
        <v>0</v>
      </c>
      <c r="F48" s="50">
        <v>0</v>
      </c>
      <c r="G48" s="50">
        <v>0</v>
      </c>
      <c r="H48" s="50">
        <v>0</v>
      </c>
      <c r="I48" s="50">
        <v>0</v>
      </c>
      <c r="J48" s="50">
        <v>1</v>
      </c>
      <c r="K48" s="50">
        <v>0</v>
      </c>
      <c r="L48" s="50">
        <v>0</v>
      </c>
      <c r="M48" s="50">
        <v>8</v>
      </c>
      <c r="N48" s="50">
        <v>0</v>
      </c>
      <c r="O48" s="15">
        <f t="shared" si="0"/>
        <v>4</v>
      </c>
      <c r="P48" s="15">
        <f t="shared" si="1"/>
        <v>12</v>
      </c>
      <c r="R48" s="8"/>
      <c r="T48"/>
    </row>
    <row r="49" spans="2:20" ht="23.1" customHeight="1" x14ac:dyDescent="0.25">
      <c r="B49" s="23" t="s">
        <v>76</v>
      </c>
      <c r="C49" s="50">
        <v>4</v>
      </c>
      <c r="D49" s="50">
        <v>0</v>
      </c>
      <c r="E49" s="50">
        <v>0</v>
      </c>
      <c r="F49" s="50">
        <v>0</v>
      </c>
      <c r="G49" s="50">
        <v>0</v>
      </c>
      <c r="H49" s="50">
        <v>0</v>
      </c>
      <c r="I49" s="50">
        <v>1</v>
      </c>
      <c r="J49" s="50">
        <v>0</v>
      </c>
      <c r="K49" s="50">
        <v>0</v>
      </c>
      <c r="L49" s="50">
        <v>0</v>
      </c>
      <c r="M49" s="50">
        <v>10</v>
      </c>
      <c r="N49" s="50">
        <v>0</v>
      </c>
      <c r="O49" s="15">
        <f t="shared" si="0"/>
        <v>5</v>
      </c>
      <c r="P49" s="15">
        <f t="shared" si="1"/>
        <v>15</v>
      </c>
      <c r="R49" s="8"/>
      <c r="T49"/>
    </row>
    <row r="50" spans="2:20" ht="23.1" customHeight="1" x14ac:dyDescent="0.25">
      <c r="B50" s="24" t="s">
        <v>77</v>
      </c>
      <c r="C50" s="50">
        <v>0</v>
      </c>
      <c r="D50" s="50">
        <v>1</v>
      </c>
      <c r="E50" s="50">
        <v>0</v>
      </c>
      <c r="F50" s="50">
        <v>2</v>
      </c>
      <c r="G50" s="50">
        <v>0</v>
      </c>
      <c r="H50" s="50">
        <v>0</v>
      </c>
      <c r="I50" s="50">
        <v>0</v>
      </c>
      <c r="J50" s="50">
        <v>0</v>
      </c>
      <c r="K50" s="50">
        <v>2</v>
      </c>
      <c r="L50" s="50">
        <v>0</v>
      </c>
      <c r="M50" s="50">
        <v>9</v>
      </c>
      <c r="N50" s="50">
        <v>0</v>
      </c>
      <c r="O50" s="15">
        <f t="shared" si="0"/>
        <v>5</v>
      </c>
      <c r="P50" s="15">
        <f t="shared" si="1"/>
        <v>14</v>
      </c>
      <c r="R50" s="8"/>
      <c r="T50"/>
    </row>
    <row r="51" spans="2:20" ht="23.1" customHeight="1" x14ac:dyDescent="0.25">
      <c r="B51" s="24" t="s">
        <v>78</v>
      </c>
      <c r="C51" s="50">
        <v>2</v>
      </c>
      <c r="D51" s="50">
        <v>0</v>
      </c>
      <c r="E51" s="50">
        <v>1</v>
      </c>
      <c r="F51" s="50">
        <v>0</v>
      </c>
      <c r="G51" s="50">
        <v>0</v>
      </c>
      <c r="H51" s="50">
        <v>0</v>
      </c>
      <c r="I51" s="50">
        <v>0</v>
      </c>
      <c r="J51" s="50">
        <v>0</v>
      </c>
      <c r="K51" s="50">
        <v>1</v>
      </c>
      <c r="L51" s="50">
        <v>0</v>
      </c>
      <c r="M51" s="50">
        <v>11</v>
      </c>
      <c r="N51" s="50">
        <v>0</v>
      </c>
      <c r="O51" s="15">
        <f t="shared" si="0"/>
        <v>4</v>
      </c>
      <c r="P51" s="15">
        <f t="shared" si="1"/>
        <v>15</v>
      </c>
      <c r="R51" s="8"/>
      <c r="T51"/>
    </row>
    <row r="52" spans="2:20" ht="23.1" customHeight="1" x14ac:dyDescent="0.25">
      <c r="B52" s="24" t="s">
        <v>79</v>
      </c>
      <c r="C52" s="50">
        <v>1</v>
      </c>
      <c r="D52" s="50">
        <v>0</v>
      </c>
      <c r="E52" s="50">
        <v>0</v>
      </c>
      <c r="F52" s="50">
        <v>0</v>
      </c>
      <c r="G52" s="50">
        <v>0</v>
      </c>
      <c r="H52" s="50">
        <v>0</v>
      </c>
      <c r="I52" s="50">
        <v>1</v>
      </c>
      <c r="J52" s="50">
        <v>0</v>
      </c>
      <c r="K52" s="50">
        <v>0</v>
      </c>
      <c r="L52" s="50">
        <v>0</v>
      </c>
      <c r="M52" s="50">
        <v>11</v>
      </c>
      <c r="N52" s="50">
        <v>0</v>
      </c>
      <c r="O52" s="15">
        <f t="shared" si="0"/>
        <v>2</v>
      </c>
      <c r="P52" s="15">
        <f t="shared" si="1"/>
        <v>13</v>
      </c>
      <c r="R52" s="8"/>
      <c r="T52"/>
    </row>
    <row r="53" spans="2:20" ht="23.1" customHeight="1" x14ac:dyDescent="0.25">
      <c r="B53" s="23" t="s">
        <v>80</v>
      </c>
      <c r="C53" s="50">
        <v>1</v>
      </c>
      <c r="D53" s="50">
        <v>2</v>
      </c>
      <c r="E53" s="50">
        <v>0</v>
      </c>
      <c r="F53" s="50">
        <v>2</v>
      </c>
      <c r="G53" s="50">
        <v>0</v>
      </c>
      <c r="H53" s="50">
        <v>0</v>
      </c>
      <c r="I53" s="50">
        <v>2</v>
      </c>
      <c r="J53" s="50">
        <v>0</v>
      </c>
      <c r="K53" s="50">
        <v>0</v>
      </c>
      <c r="L53" s="50">
        <v>0</v>
      </c>
      <c r="M53" s="50">
        <v>8</v>
      </c>
      <c r="N53" s="50">
        <v>0</v>
      </c>
      <c r="O53" s="15">
        <f t="shared" si="0"/>
        <v>7</v>
      </c>
      <c r="P53" s="15">
        <f t="shared" si="1"/>
        <v>15</v>
      </c>
      <c r="R53" s="8"/>
      <c r="T53"/>
    </row>
    <row r="54" spans="2:20" ht="23.1" customHeight="1" x14ac:dyDescent="0.25">
      <c r="B54" s="23" t="s">
        <v>81</v>
      </c>
      <c r="C54" s="50">
        <v>2</v>
      </c>
      <c r="D54" s="50">
        <v>0</v>
      </c>
      <c r="E54" s="50">
        <v>0</v>
      </c>
      <c r="F54" s="50">
        <v>0</v>
      </c>
      <c r="G54" s="50">
        <v>0</v>
      </c>
      <c r="H54" s="50">
        <v>0</v>
      </c>
      <c r="I54" s="50">
        <v>1</v>
      </c>
      <c r="J54" s="50">
        <v>0</v>
      </c>
      <c r="K54" s="50">
        <v>0</v>
      </c>
      <c r="L54" s="50">
        <v>0</v>
      </c>
      <c r="M54" s="50">
        <v>11</v>
      </c>
      <c r="N54" s="50">
        <v>0</v>
      </c>
      <c r="O54" s="15">
        <f t="shared" si="0"/>
        <v>3</v>
      </c>
      <c r="P54" s="15">
        <f t="shared" si="1"/>
        <v>14</v>
      </c>
      <c r="R54" s="8"/>
      <c r="T54"/>
    </row>
    <row r="55" spans="2:20" ht="23.1" customHeight="1" x14ac:dyDescent="0.25">
      <c r="B55" s="23" t="s">
        <v>82</v>
      </c>
      <c r="C55" s="50">
        <v>5</v>
      </c>
      <c r="D55" s="50">
        <v>1</v>
      </c>
      <c r="E55" s="50">
        <v>0</v>
      </c>
      <c r="F55" s="50">
        <v>2</v>
      </c>
      <c r="G55" s="50">
        <v>0</v>
      </c>
      <c r="H55" s="50">
        <v>0</v>
      </c>
      <c r="I55" s="50">
        <v>2</v>
      </c>
      <c r="J55" s="50">
        <v>0</v>
      </c>
      <c r="K55" s="50">
        <v>0</v>
      </c>
      <c r="L55" s="50">
        <v>0</v>
      </c>
      <c r="M55" s="50">
        <v>12</v>
      </c>
      <c r="N55" s="50">
        <v>0</v>
      </c>
      <c r="O55" s="15">
        <f t="shared" si="0"/>
        <v>10</v>
      </c>
      <c r="P55" s="15">
        <f t="shared" si="1"/>
        <v>22</v>
      </c>
      <c r="R55" s="8"/>
      <c r="T55"/>
    </row>
    <row r="56" spans="2:20" ht="23.1" customHeight="1" x14ac:dyDescent="0.25">
      <c r="B56" s="23" t="s">
        <v>83</v>
      </c>
      <c r="C56" s="50">
        <v>3</v>
      </c>
      <c r="D56" s="50">
        <v>1</v>
      </c>
      <c r="E56" s="50">
        <v>0</v>
      </c>
      <c r="F56" s="50">
        <v>0</v>
      </c>
      <c r="G56" s="50">
        <v>0</v>
      </c>
      <c r="H56" s="50">
        <v>0</v>
      </c>
      <c r="I56" s="50">
        <v>0</v>
      </c>
      <c r="J56" s="50">
        <v>0</v>
      </c>
      <c r="K56" s="50">
        <v>0</v>
      </c>
      <c r="L56" s="50">
        <v>0</v>
      </c>
      <c r="M56" s="50">
        <v>7</v>
      </c>
      <c r="N56" s="50">
        <v>0</v>
      </c>
      <c r="O56" s="15">
        <f t="shared" si="0"/>
        <v>4</v>
      </c>
      <c r="P56" s="15">
        <f t="shared" si="1"/>
        <v>11</v>
      </c>
      <c r="R56" s="8"/>
      <c r="T56"/>
    </row>
    <row r="57" spans="2:20" ht="23.1" customHeight="1" x14ac:dyDescent="0.25">
      <c r="B57" s="23" t="s">
        <v>84</v>
      </c>
      <c r="C57" s="50">
        <v>1</v>
      </c>
      <c r="D57" s="50">
        <v>0</v>
      </c>
      <c r="E57" s="50">
        <v>0</v>
      </c>
      <c r="F57" s="50">
        <v>0</v>
      </c>
      <c r="G57" s="50">
        <v>0</v>
      </c>
      <c r="H57" s="50">
        <v>0</v>
      </c>
      <c r="I57" s="50">
        <v>0</v>
      </c>
      <c r="J57" s="50">
        <v>1</v>
      </c>
      <c r="K57" s="50">
        <v>1</v>
      </c>
      <c r="L57" s="50">
        <v>0</v>
      </c>
      <c r="M57" s="50">
        <v>18</v>
      </c>
      <c r="N57" s="50">
        <v>0</v>
      </c>
      <c r="O57" s="15">
        <f t="shared" si="0"/>
        <v>3</v>
      </c>
      <c r="P57" s="15">
        <f t="shared" si="1"/>
        <v>21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64</v>
      </c>
      <c r="D58" s="16">
        <f t="shared" si="21"/>
        <v>17</v>
      </c>
      <c r="E58" s="16">
        <f t="shared" si="21"/>
        <v>12</v>
      </c>
      <c r="F58" s="16">
        <f t="shared" si="21"/>
        <v>18</v>
      </c>
      <c r="G58" s="16">
        <f t="shared" si="21"/>
        <v>2</v>
      </c>
      <c r="H58" s="16">
        <f t="shared" si="21"/>
        <v>1</v>
      </c>
      <c r="I58" s="16">
        <f t="shared" si="21"/>
        <v>26</v>
      </c>
      <c r="J58" s="16">
        <f t="shared" si="21"/>
        <v>15</v>
      </c>
      <c r="K58" s="16">
        <f t="shared" si="21"/>
        <v>12</v>
      </c>
      <c r="L58" s="16">
        <f t="shared" si="21"/>
        <v>3</v>
      </c>
      <c r="M58" s="16">
        <f t="shared" si="21"/>
        <v>446</v>
      </c>
      <c r="N58" s="16">
        <f t="shared" si="21"/>
        <v>0</v>
      </c>
      <c r="O58" s="16">
        <f t="shared" si="21"/>
        <v>170</v>
      </c>
      <c r="P58" s="16">
        <f t="shared" si="21"/>
        <v>616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0.1038961038961039</v>
      </c>
      <c r="D59" s="43">
        <f t="shared" si="22"/>
        <v>2.7597402597402596E-2</v>
      </c>
      <c r="E59" s="43">
        <f t="shared" si="22"/>
        <v>1.948051948051948E-2</v>
      </c>
      <c r="F59" s="43">
        <f t="shared" si="22"/>
        <v>2.922077922077922E-2</v>
      </c>
      <c r="G59" s="43">
        <f t="shared" si="22"/>
        <v>3.246753246753247E-3</v>
      </c>
      <c r="H59" s="43">
        <f t="shared" si="22"/>
        <v>1.6233766233766235E-3</v>
      </c>
      <c r="I59" s="43">
        <f t="shared" si="22"/>
        <v>4.2207792207792208E-2</v>
      </c>
      <c r="J59" s="43">
        <f t="shared" si="22"/>
        <v>2.4350649350649352E-2</v>
      </c>
      <c r="K59" s="43">
        <f t="shared" si="22"/>
        <v>1.948051948051948E-2</v>
      </c>
      <c r="L59" s="43">
        <f t="shared" si="22"/>
        <v>4.87012987012987E-3</v>
      </c>
      <c r="M59" s="43">
        <f t="shared" si="22"/>
        <v>0.72402597402597402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0.37647058823529411</v>
      </c>
      <c r="D60" s="44">
        <f t="shared" ref="D60:N60" si="23">D58/$O$58</f>
        <v>0.1</v>
      </c>
      <c r="E60" s="44">
        <f t="shared" si="23"/>
        <v>7.0588235294117646E-2</v>
      </c>
      <c r="F60" s="44">
        <f t="shared" si="23"/>
        <v>0.10588235294117647</v>
      </c>
      <c r="G60" s="44">
        <f t="shared" si="23"/>
        <v>1.1764705882352941E-2</v>
      </c>
      <c r="H60" s="44">
        <f t="shared" si="23"/>
        <v>5.8823529411764705E-3</v>
      </c>
      <c r="I60" s="44">
        <f t="shared" si="23"/>
        <v>0.15294117647058825</v>
      </c>
      <c r="J60" s="44">
        <f t="shared" si="23"/>
        <v>8.8235294117647065E-2</v>
      </c>
      <c r="K60" s="44">
        <f t="shared" si="23"/>
        <v>7.0588235294117646E-2</v>
      </c>
      <c r="L60" s="44">
        <f t="shared" si="23"/>
        <v>1.7647058823529412E-2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SheetLayoutView="100" workbookViewId="0">
      <selection activeCell="K13" sqref="K13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1" t="s">
        <v>23</v>
      </c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</row>
    <row r="2" spans="2:32" ht="20.100000000000001" customHeight="1" x14ac:dyDescent="0.25">
      <c r="B2" s="62" t="s">
        <v>95</v>
      </c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</row>
    <row r="3" spans="2:32" ht="20.100000000000001" customHeight="1" x14ac:dyDescent="0.25">
      <c r="B3" s="22" t="s">
        <v>96</v>
      </c>
      <c r="C3" s="63" t="str">
        <f>'17.10 KANONI-SSEMBABULE'!C3:G3</f>
        <v>SSEMBABULE-KABULASOKE ROAD</v>
      </c>
      <c r="D3" s="63"/>
      <c r="E3" s="63"/>
      <c r="F3" s="63"/>
      <c r="G3" s="63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51" t="s">
        <v>177</v>
      </c>
      <c r="E5" s="3"/>
      <c r="F5" s="41" t="s">
        <v>1</v>
      </c>
      <c r="G5" s="58" t="str">
        <f>'17.10 SSEMBABULE-KANONI'!G5:H5</f>
        <v>KYABI</v>
      </c>
      <c r="H5" s="59"/>
      <c r="I5" s="14"/>
      <c r="J5" s="2" t="s">
        <v>5</v>
      </c>
      <c r="K5" s="58" t="s">
        <v>173</v>
      </c>
      <c r="L5" s="59"/>
      <c r="M5" s="10"/>
      <c r="N5" s="10"/>
      <c r="O5" s="3"/>
      <c r="P5" s="3"/>
    </row>
    <row r="6" spans="2:32" ht="23.25" customHeight="1" x14ac:dyDescent="0.25">
      <c r="C6" s="2" t="s">
        <v>4</v>
      </c>
      <c r="D6" s="58" t="s">
        <v>168</v>
      </c>
      <c r="E6" s="59"/>
      <c r="F6" s="2" t="s">
        <v>2</v>
      </c>
      <c r="G6" s="58" t="s">
        <v>167</v>
      </c>
      <c r="H6" s="59"/>
      <c r="J6" s="2" t="s">
        <v>21</v>
      </c>
      <c r="K6" s="58" t="str">
        <f>'17.10 SSEMBABULE-KANONI'!K6:L6</f>
        <v>ONYUTI BETTY</v>
      </c>
      <c r="L6" s="59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0" t="s">
        <v>88</v>
      </c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1</v>
      </c>
      <c r="D10" s="50">
        <v>0</v>
      </c>
      <c r="E10" s="50">
        <v>0</v>
      </c>
      <c r="F10" s="50">
        <v>0</v>
      </c>
      <c r="G10" s="50">
        <v>0</v>
      </c>
      <c r="H10" s="50">
        <v>0</v>
      </c>
      <c r="I10" s="50">
        <v>1</v>
      </c>
      <c r="J10" s="50">
        <v>0</v>
      </c>
      <c r="K10" s="50">
        <v>0</v>
      </c>
      <c r="L10" s="50">
        <v>0</v>
      </c>
      <c r="M10" s="50">
        <v>5</v>
      </c>
      <c r="N10" s="50">
        <v>0</v>
      </c>
      <c r="O10" s="15">
        <f t="shared" ref="O10:O57" si="0">SUM(C10:L10,N10)</f>
        <v>2</v>
      </c>
      <c r="P10" s="15">
        <f t="shared" ref="P10:P57" si="1">SUM(C10:N10)</f>
        <v>7</v>
      </c>
      <c r="R10" s="1" t="s">
        <v>6</v>
      </c>
      <c r="S10" s="17">
        <f t="shared" ref="S10:AF10" si="2">SUM(C10:C13)</f>
        <v>5</v>
      </c>
      <c r="T10" s="17">
        <f t="shared" si="2"/>
        <v>0</v>
      </c>
      <c r="U10" s="17">
        <f t="shared" si="2"/>
        <v>0</v>
      </c>
      <c r="V10" s="17">
        <f t="shared" si="2"/>
        <v>2</v>
      </c>
      <c r="W10" s="17">
        <f t="shared" si="2"/>
        <v>1</v>
      </c>
      <c r="X10" s="17">
        <f t="shared" si="2"/>
        <v>0</v>
      </c>
      <c r="Y10" s="17">
        <f t="shared" si="2"/>
        <v>2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25</v>
      </c>
      <c r="AD10" s="17">
        <f t="shared" si="2"/>
        <v>0</v>
      </c>
      <c r="AE10" s="31">
        <f t="shared" si="2"/>
        <v>10</v>
      </c>
      <c r="AF10" s="31">
        <f t="shared" si="2"/>
        <v>35</v>
      </c>
    </row>
    <row r="11" spans="2:32" s="6" customFormat="1" ht="23.1" customHeight="1" x14ac:dyDescent="0.25">
      <c r="B11" s="23" t="s">
        <v>38</v>
      </c>
      <c r="C11" s="50">
        <v>0</v>
      </c>
      <c r="D11" s="50">
        <v>0</v>
      </c>
      <c r="E11" s="50">
        <v>0</v>
      </c>
      <c r="F11" s="50">
        <v>0</v>
      </c>
      <c r="G11" s="50">
        <v>0</v>
      </c>
      <c r="H11" s="50">
        <v>0</v>
      </c>
      <c r="I11" s="50">
        <v>1</v>
      </c>
      <c r="J11" s="50">
        <v>0</v>
      </c>
      <c r="K11" s="50">
        <v>0</v>
      </c>
      <c r="L11" s="50">
        <v>0</v>
      </c>
      <c r="M11" s="50">
        <v>6</v>
      </c>
      <c r="N11" s="50">
        <v>0</v>
      </c>
      <c r="O11" s="15">
        <f t="shared" si="0"/>
        <v>1</v>
      </c>
      <c r="P11" s="15">
        <f t="shared" si="1"/>
        <v>7</v>
      </c>
      <c r="R11" s="1" t="s">
        <v>7</v>
      </c>
      <c r="S11" s="17">
        <f t="shared" ref="S11:AF11" si="3">SUM(C14:C17)</f>
        <v>6</v>
      </c>
      <c r="T11" s="17">
        <f t="shared" si="3"/>
        <v>0</v>
      </c>
      <c r="U11" s="17">
        <f t="shared" si="3"/>
        <v>0</v>
      </c>
      <c r="V11" s="17">
        <f t="shared" si="3"/>
        <v>2</v>
      </c>
      <c r="W11" s="17">
        <f t="shared" si="3"/>
        <v>0</v>
      </c>
      <c r="X11" s="17">
        <f t="shared" si="3"/>
        <v>0</v>
      </c>
      <c r="Y11" s="17">
        <f t="shared" si="3"/>
        <v>2</v>
      </c>
      <c r="Z11" s="17">
        <f t="shared" si="3"/>
        <v>0</v>
      </c>
      <c r="AA11" s="17">
        <f t="shared" si="3"/>
        <v>0</v>
      </c>
      <c r="AB11" s="17">
        <f t="shared" si="3"/>
        <v>0</v>
      </c>
      <c r="AC11" s="17">
        <f t="shared" si="3"/>
        <v>44</v>
      </c>
      <c r="AD11" s="17">
        <f t="shared" si="3"/>
        <v>0</v>
      </c>
      <c r="AE11" s="31">
        <f t="shared" si="3"/>
        <v>10</v>
      </c>
      <c r="AF11" s="31">
        <f t="shared" si="3"/>
        <v>54</v>
      </c>
    </row>
    <row r="12" spans="2:32" ht="23.1" customHeight="1" x14ac:dyDescent="0.25">
      <c r="B12" s="23" t="s">
        <v>39</v>
      </c>
      <c r="C12" s="50">
        <v>3</v>
      </c>
      <c r="D12" s="50">
        <v>0</v>
      </c>
      <c r="E12" s="50">
        <v>0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6</v>
      </c>
      <c r="N12" s="50">
        <v>0</v>
      </c>
      <c r="O12" s="15">
        <f t="shared" si="0"/>
        <v>3</v>
      </c>
      <c r="P12" s="15">
        <f t="shared" si="1"/>
        <v>9</v>
      </c>
      <c r="R12" s="1" t="s">
        <v>8</v>
      </c>
      <c r="S12" s="17">
        <f t="shared" ref="S12:AF12" si="4">SUM(C18:C21)</f>
        <v>4</v>
      </c>
      <c r="T12" s="17">
        <f t="shared" si="4"/>
        <v>3</v>
      </c>
      <c r="U12" s="17">
        <f t="shared" si="4"/>
        <v>2</v>
      </c>
      <c r="V12" s="17">
        <f t="shared" si="4"/>
        <v>1</v>
      </c>
      <c r="W12" s="17">
        <f t="shared" si="4"/>
        <v>1</v>
      </c>
      <c r="X12" s="17">
        <f t="shared" si="4"/>
        <v>0</v>
      </c>
      <c r="Y12" s="17">
        <f t="shared" si="4"/>
        <v>3</v>
      </c>
      <c r="Z12" s="17">
        <f t="shared" si="4"/>
        <v>3</v>
      </c>
      <c r="AA12" s="17">
        <f t="shared" si="4"/>
        <v>3</v>
      </c>
      <c r="AB12" s="17">
        <f t="shared" si="4"/>
        <v>0</v>
      </c>
      <c r="AC12" s="17">
        <f t="shared" si="4"/>
        <v>43</v>
      </c>
      <c r="AD12" s="17">
        <f t="shared" si="4"/>
        <v>0</v>
      </c>
      <c r="AE12" s="31">
        <f t="shared" si="4"/>
        <v>20</v>
      </c>
      <c r="AF12" s="31">
        <f t="shared" si="4"/>
        <v>63</v>
      </c>
    </row>
    <row r="13" spans="2:32" ht="23.1" customHeight="1" x14ac:dyDescent="0.25">
      <c r="B13" s="23" t="s">
        <v>40</v>
      </c>
      <c r="C13" s="50">
        <v>1</v>
      </c>
      <c r="D13" s="50">
        <v>0</v>
      </c>
      <c r="E13" s="50">
        <v>0</v>
      </c>
      <c r="F13" s="50">
        <v>2</v>
      </c>
      <c r="G13" s="50">
        <v>1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8</v>
      </c>
      <c r="N13" s="50">
        <v>0</v>
      </c>
      <c r="O13" s="15">
        <f t="shared" si="0"/>
        <v>4</v>
      </c>
      <c r="P13" s="15">
        <f t="shared" si="1"/>
        <v>12</v>
      </c>
      <c r="R13" s="1" t="s">
        <v>9</v>
      </c>
      <c r="S13" s="17">
        <f t="shared" ref="S13:AF13" si="5">SUM(C22:C25)</f>
        <v>4</v>
      </c>
      <c r="T13" s="17">
        <f t="shared" si="5"/>
        <v>0</v>
      </c>
      <c r="U13" s="17">
        <f t="shared" si="5"/>
        <v>2</v>
      </c>
      <c r="V13" s="17">
        <f t="shared" si="5"/>
        <v>1</v>
      </c>
      <c r="W13" s="17">
        <f t="shared" si="5"/>
        <v>2</v>
      </c>
      <c r="X13" s="17">
        <f t="shared" si="5"/>
        <v>0</v>
      </c>
      <c r="Y13" s="17">
        <f t="shared" si="5"/>
        <v>1</v>
      </c>
      <c r="Z13" s="17">
        <f t="shared" si="5"/>
        <v>0</v>
      </c>
      <c r="AA13" s="17">
        <f t="shared" si="5"/>
        <v>1</v>
      </c>
      <c r="AB13" s="17">
        <f t="shared" si="5"/>
        <v>0</v>
      </c>
      <c r="AC13" s="17">
        <f t="shared" si="5"/>
        <v>47</v>
      </c>
      <c r="AD13" s="17">
        <f t="shared" si="5"/>
        <v>0</v>
      </c>
      <c r="AE13" s="31">
        <f t="shared" si="5"/>
        <v>11</v>
      </c>
      <c r="AF13" s="31">
        <f t="shared" si="5"/>
        <v>58</v>
      </c>
    </row>
    <row r="14" spans="2:32" ht="23.1" customHeight="1" x14ac:dyDescent="0.25">
      <c r="B14" s="23" t="s">
        <v>41</v>
      </c>
      <c r="C14" s="50">
        <v>2</v>
      </c>
      <c r="D14" s="50">
        <v>0</v>
      </c>
      <c r="E14" s="50">
        <v>0</v>
      </c>
      <c r="F14" s="50">
        <v>0</v>
      </c>
      <c r="G14" s="50">
        <v>0</v>
      </c>
      <c r="H14" s="50">
        <v>0</v>
      </c>
      <c r="I14" s="50">
        <v>1</v>
      </c>
      <c r="J14" s="50">
        <v>0</v>
      </c>
      <c r="K14" s="50">
        <v>0</v>
      </c>
      <c r="L14" s="50">
        <v>0</v>
      </c>
      <c r="M14" s="50">
        <v>10</v>
      </c>
      <c r="N14" s="50">
        <v>0</v>
      </c>
      <c r="O14" s="15">
        <f t="shared" si="0"/>
        <v>3</v>
      </c>
      <c r="P14" s="15">
        <f t="shared" si="1"/>
        <v>13</v>
      </c>
      <c r="R14" s="1" t="s">
        <v>10</v>
      </c>
      <c r="S14" s="17">
        <f t="shared" ref="S14:AF14" si="6">SUM(C26:C29)</f>
        <v>8</v>
      </c>
      <c r="T14" s="17">
        <f t="shared" si="6"/>
        <v>3</v>
      </c>
      <c r="U14" s="17">
        <f t="shared" si="6"/>
        <v>4</v>
      </c>
      <c r="V14" s="17">
        <f t="shared" si="6"/>
        <v>2</v>
      </c>
      <c r="W14" s="17">
        <f t="shared" si="6"/>
        <v>0</v>
      </c>
      <c r="X14" s="17">
        <f t="shared" si="6"/>
        <v>0</v>
      </c>
      <c r="Y14" s="17">
        <f t="shared" si="6"/>
        <v>4</v>
      </c>
      <c r="Z14" s="17">
        <f t="shared" si="6"/>
        <v>0</v>
      </c>
      <c r="AA14" s="17">
        <f t="shared" si="6"/>
        <v>0</v>
      </c>
      <c r="AB14" s="17">
        <f t="shared" si="6"/>
        <v>0</v>
      </c>
      <c r="AC14" s="17">
        <f t="shared" si="6"/>
        <v>53</v>
      </c>
      <c r="AD14" s="17">
        <f t="shared" si="6"/>
        <v>0</v>
      </c>
      <c r="AE14" s="31">
        <f t="shared" si="6"/>
        <v>21</v>
      </c>
      <c r="AF14" s="31">
        <f t="shared" si="6"/>
        <v>74</v>
      </c>
    </row>
    <row r="15" spans="2:32" ht="23.1" customHeight="1" x14ac:dyDescent="0.25">
      <c r="B15" s="23" t="s">
        <v>42</v>
      </c>
      <c r="C15" s="50">
        <v>1</v>
      </c>
      <c r="D15" s="50">
        <v>0</v>
      </c>
      <c r="E15" s="50">
        <v>0</v>
      </c>
      <c r="F15" s="50">
        <v>1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8</v>
      </c>
      <c r="N15" s="50">
        <v>0</v>
      </c>
      <c r="O15" s="15">
        <f t="shared" si="0"/>
        <v>2</v>
      </c>
      <c r="P15" s="15">
        <f t="shared" si="1"/>
        <v>10</v>
      </c>
      <c r="R15" s="1" t="s">
        <v>11</v>
      </c>
      <c r="S15" s="17">
        <f t="shared" ref="S15:AF15" si="7">SUM(C30:C33)</f>
        <v>7</v>
      </c>
      <c r="T15" s="17">
        <f t="shared" si="7"/>
        <v>2</v>
      </c>
      <c r="U15" s="17">
        <f t="shared" si="7"/>
        <v>4</v>
      </c>
      <c r="V15" s="17">
        <f t="shared" si="7"/>
        <v>4</v>
      </c>
      <c r="W15" s="17">
        <f t="shared" si="7"/>
        <v>1</v>
      </c>
      <c r="X15" s="17">
        <f t="shared" si="7"/>
        <v>0</v>
      </c>
      <c r="Y15" s="17">
        <f t="shared" si="7"/>
        <v>3</v>
      </c>
      <c r="Z15" s="17">
        <f t="shared" si="7"/>
        <v>0</v>
      </c>
      <c r="AA15" s="17">
        <f t="shared" si="7"/>
        <v>0</v>
      </c>
      <c r="AB15" s="17">
        <f t="shared" si="7"/>
        <v>0</v>
      </c>
      <c r="AC15" s="17">
        <f t="shared" si="7"/>
        <v>55</v>
      </c>
      <c r="AD15" s="17">
        <f t="shared" si="7"/>
        <v>0</v>
      </c>
      <c r="AE15" s="31">
        <f t="shared" si="7"/>
        <v>21</v>
      </c>
      <c r="AF15" s="31">
        <f t="shared" si="7"/>
        <v>76</v>
      </c>
    </row>
    <row r="16" spans="2:32" ht="23.1" customHeight="1" x14ac:dyDescent="0.25">
      <c r="B16" s="23" t="s">
        <v>43</v>
      </c>
      <c r="C16" s="50">
        <v>1</v>
      </c>
      <c r="D16" s="50">
        <v>0</v>
      </c>
      <c r="E16" s="50">
        <v>0</v>
      </c>
      <c r="F16" s="50">
        <v>1</v>
      </c>
      <c r="G16" s="50">
        <v>0</v>
      </c>
      <c r="H16" s="50">
        <v>0</v>
      </c>
      <c r="I16" s="50">
        <v>1</v>
      </c>
      <c r="J16" s="50">
        <v>0</v>
      </c>
      <c r="K16" s="50">
        <v>0</v>
      </c>
      <c r="L16" s="50">
        <v>0</v>
      </c>
      <c r="M16" s="50">
        <v>11</v>
      </c>
      <c r="N16" s="50">
        <v>0</v>
      </c>
      <c r="O16" s="15">
        <f t="shared" si="0"/>
        <v>3</v>
      </c>
      <c r="P16" s="15">
        <f t="shared" si="1"/>
        <v>14</v>
      </c>
      <c r="R16" s="1" t="s">
        <v>12</v>
      </c>
      <c r="S16" s="17">
        <f t="shared" ref="S16:AF16" si="8">SUM(C34:C37)</f>
        <v>5</v>
      </c>
      <c r="T16" s="17">
        <f t="shared" si="8"/>
        <v>0</v>
      </c>
      <c r="U16" s="17">
        <f t="shared" si="8"/>
        <v>4</v>
      </c>
      <c r="V16" s="17">
        <f t="shared" si="8"/>
        <v>0</v>
      </c>
      <c r="W16" s="17">
        <f t="shared" si="8"/>
        <v>0</v>
      </c>
      <c r="X16" s="17">
        <f t="shared" si="8"/>
        <v>0</v>
      </c>
      <c r="Y16" s="17">
        <f t="shared" si="8"/>
        <v>4</v>
      </c>
      <c r="Z16" s="17">
        <f t="shared" si="8"/>
        <v>5</v>
      </c>
      <c r="AA16" s="17">
        <f t="shared" si="8"/>
        <v>0</v>
      </c>
      <c r="AB16" s="17">
        <f t="shared" si="8"/>
        <v>1</v>
      </c>
      <c r="AC16" s="17">
        <f t="shared" si="8"/>
        <v>33</v>
      </c>
      <c r="AD16" s="17">
        <f t="shared" si="8"/>
        <v>0</v>
      </c>
      <c r="AE16" s="31">
        <f t="shared" si="8"/>
        <v>19</v>
      </c>
      <c r="AF16" s="31">
        <f t="shared" si="8"/>
        <v>52</v>
      </c>
    </row>
    <row r="17" spans="2:32" ht="23.1" customHeight="1" x14ac:dyDescent="0.25">
      <c r="B17" s="23" t="s">
        <v>44</v>
      </c>
      <c r="C17" s="50">
        <v>2</v>
      </c>
      <c r="D17" s="50">
        <v>0</v>
      </c>
      <c r="E17" s="50">
        <v>0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15</v>
      </c>
      <c r="N17" s="50">
        <v>0</v>
      </c>
      <c r="O17" s="15">
        <f t="shared" si="0"/>
        <v>2</v>
      </c>
      <c r="P17" s="15">
        <f t="shared" si="1"/>
        <v>17</v>
      </c>
      <c r="R17" s="1" t="s">
        <v>13</v>
      </c>
      <c r="S17" s="17">
        <f t="shared" ref="S17:AF17" si="9">SUM(C38:C41)</f>
        <v>9</v>
      </c>
      <c r="T17" s="17">
        <f t="shared" si="9"/>
        <v>8</v>
      </c>
      <c r="U17" s="17">
        <f t="shared" si="9"/>
        <v>5</v>
      </c>
      <c r="V17" s="17">
        <f t="shared" si="9"/>
        <v>2</v>
      </c>
      <c r="W17" s="17">
        <f t="shared" si="9"/>
        <v>0</v>
      </c>
      <c r="X17" s="17">
        <f t="shared" si="9"/>
        <v>0</v>
      </c>
      <c r="Y17" s="17">
        <f t="shared" si="9"/>
        <v>4</v>
      </c>
      <c r="Z17" s="17">
        <f t="shared" si="9"/>
        <v>2</v>
      </c>
      <c r="AA17" s="17">
        <f t="shared" si="9"/>
        <v>3</v>
      </c>
      <c r="AB17" s="17">
        <f t="shared" si="9"/>
        <v>0</v>
      </c>
      <c r="AC17" s="17">
        <f t="shared" si="9"/>
        <v>24</v>
      </c>
      <c r="AD17" s="17">
        <f t="shared" si="9"/>
        <v>0</v>
      </c>
      <c r="AE17" s="31">
        <f t="shared" si="9"/>
        <v>33</v>
      </c>
      <c r="AF17" s="31">
        <f t="shared" si="9"/>
        <v>57</v>
      </c>
    </row>
    <row r="18" spans="2:32" ht="23.1" customHeight="1" x14ac:dyDescent="0.25">
      <c r="B18" s="23" t="s">
        <v>45</v>
      </c>
      <c r="C18" s="50">
        <v>2</v>
      </c>
      <c r="D18" s="50">
        <v>0</v>
      </c>
      <c r="E18" s="50">
        <v>0</v>
      </c>
      <c r="F18" s="50">
        <v>0</v>
      </c>
      <c r="G18" s="50">
        <v>1</v>
      </c>
      <c r="H18" s="50">
        <v>0</v>
      </c>
      <c r="I18" s="50">
        <v>1</v>
      </c>
      <c r="J18" s="50">
        <v>0</v>
      </c>
      <c r="K18" s="50">
        <v>0</v>
      </c>
      <c r="L18" s="50">
        <v>0</v>
      </c>
      <c r="M18" s="50">
        <v>9</v>
      </c>
      <c r="N18" s="50">
        <v>0</v>
      </c>
      <c r="O18" s="15">
        <f t="shared" si="0"/>
        <v>4</v>
      </c>
      <c r="P18" s="15">
        <f t="shared" si="1"/>
        <v>13</v>
      </c>
      <c r="R18" s="1" t="s">
        <v>14</v>
      </c>
      <c r="S18" s="17">
        <f t="shared" ref="S18:AF18" si="10">SUM(C42:C45)</f>
        <v>4</v>
      </c>
      <c r="T18" s="17">
        <f t="shared" si="10"/>
        <v>1</v>
      </c>
      <c r="U18" s="17">
        <f t="shared" si="10"/>
        <v>0</v>
      </c>
      <c r="V18" s="17">
        <f t="shared" si="10"/>
        <v>3</v>
      </c>
      <c r="W18" s="17">
        <f t="shared" si="10"/>
        <v>0</v>
      </c>
      <c r="X18" s="17">
        <f t="shared" si="10"/>
        <v>0</v>
      </c>
      <c r="Y18" s="17">
        <f t="shared" si="10"/>
        <v>0</v>
      </c>
      <c r="Z18" s="17">
        <f t="shared" si="10"/>
        <v>1</v>
      </c>
      <c r="AA18" s="17">
        <f t="shared" si="10"/>
        <v>0</v>
      </c>
      <c r="AB18" s="17">
        <f t="shared" si="10"/>
        <v>0</v>
      </c>
      <c r="AC18" s="17">
        <f t="shared" si="10"/>
        <v>38</v>
      </c>
      <c r="AD18" s="17">
        <f t="shared" si="10"/>
        <v>0</v>
      </c>
      <c r="AE18" s="31">
        <f t="shared" si="10"/>
        <v>9</v>
      </c>
      <c r="AF18" s="31">
        <f t="shared" si="10"/>
        <v>47</v>
      </c>
    </row>
    <row r="19" spans="2:32" ht="23.1" customHeight="1" x14ac:dyDescent="0.25">
      <c r="B19" s="23" t="s">
        <v>46</v>
      </c>
      <c r="C19" s="50">
        <v>0</v>
      </c>
      <c r="D19" s="50">
        <v>1</v>
      </c>
      <c r="E19" s="50">
        <v>0</v>
      </c>
      <c r="F19" s="50">
        <v>1</v>
      </c>
      <c r="G19" s="50">
        <v>0</v>
      </c>
      <c r="H19" s="50">
        <v>0</v>
      </c>
      <c r="I19" s="50">
        <v>0</v>
      </c>
      <c r="J19" s="50">
        <v>1</v>
      </c>
      <c r="K19" s="50">
        <v>0</v>
      </c>
      <c r="L19" s="50">
        <v>0</v>
      </c>
      <c r="M19" s="50">
        <v>6</v>
      </c>
      <c r="N19" s="50">
        <v>0</v>
      </c>
      <c r="O19" s="15">
        <f t="shared" si="0"/>
        <v>3</v>
      </c>
      <c r="P19" s="15">
        <f t="shared" si="1"/>
        <v>9</v>
      </c>
      <c r="R19" s="1" t="s">
        <v>15</v>
      </c>
      <c r="S19" s="17">
        <f t="shared" ref="S19:AF19" si="11">SUM(C46:C49)</f>
        <v>3</v>
      </c>
      <c r="T19" s="17">
        <f t="shared" si="11"/>
        <v>1</v>
      </c>
      <c r="U19" s="17">
        <f t="shared" si="11"/>
        <v>1</v>
      </c>
      <c r="V19" s="17">
        <f t="shared" si="11"/>
        <v>1</v>
      </c>
      <c r="W19" s="17">
        <f t="shared" si="11"/>
        <v>0</v>
      </c>
      <c r="X19" s="17">
        <f t="shared" si="11"/>
        <v>0</v>
      </c>
      <c r="Y19" s="17">
        <f t="shared" si="11"/>
        <v>1</v>
      </c>
      <c r="Z19" s="17">
        <f t="shared" si="11"/>
        <v>3</v>
      </c>
      <c r="AA19" s="17">
        <f t="shared" si="11"/>
        <v>0</v>
      </c>
      <c r="AB19" s="17">
        <f t="shared" si="11"/>
        <v>0</v>
      </c>
      <c r="AC19" s="17">
        <f t="shared" si="11"/>
        <v>40</v>
      </c>
      <c r="AD19" s="17">
        <f t="shared" si="11"/>
        <v>0</v>
      </c>
      <c r="AE19" s="31">
        <f t="shared" si="11"/>
        <v>10</v>
      </c>
      <c r="AF19" s="31">
        <f t="shared" si="11"/>
        <v>50</v>
      </c>
    </row>
    <row r="20" spans="2:32" ht="23.1" customHeight="1" x14ac:dyDescent="0.25">
      <c r="B20" s="23" t="s">
        <v>47</v>
      </c>
      <c r="C20" s="50">
        <v>2</v>
      </c>
      <c r="D20" s="50">
        <v>1</v>
      </c>
      <c r="E20" s="50">
        <v>1</v>
      </c>
      <c r="F20" s="50">
        <v>0</v>
      </c>
      <c r="G20" s="50">
        <v>0</v>
      </c>
      <c r="H20" s="50">
        <v>0</v>
      </c>
      <c r="I20" s="50">
        <v>1</v>
      </c>
      <c r="J20" s="50">
        <v>1</v>
      </c>
      <c r="K20" s="50">
        <v>0</v>
      </c>
      <c r="L20" s="50">
        <v>0</v>
      </c>
      <c r="M20" s="50">
        <v>9</v>
      </c>
      <c r="N20" s="50">
        <v>0</v>
      </c>
      <c r="O20" s="15">
        <f t="shared" si="0"/>
        <v>6</v>
      </c>
      <c r="P20" s="15">
        <f t="shared" si="1"/>
        <v>15</v>
      </c>
      <c r="R20" s="1" t="s">
        <v>16</v>
      </c>
      <c r="S20" s="17">
        <f t="shared" ref="S20:AF20" si="12">SUM(C50:C53)</f>
        <v>5</v>
      </c>
      <c r="T20" s="17">
        <f t="shared" si="12"/>
        <v>1</v>
      </c>
      <c r="U20" s="17">
        <f t="shared" si="12"/>
        <v>0</v>
      </c>
      <c r="V20" s="17">
        <f t="shared" si="12"/>
        <v>1</v>
      </c>
      <c r="W20" s="17">
        <f t="shared" si="12"/>
        <v>0</v>
      </c>
      <c r="X20" s="17">
        <f t="shared" si="12"/>
        <v>0</v>
      </c>
      <c r="Y20" s="17">
        <f t="shared" si="12"/>
        <v>2</v>
      </c>
      <c r="Z20" s="17">
        <f t="shared" si="12"/>
        <v>0</v>
      </c>
      <c r="AA20" s="17">
        <f t="shared" si="12"/>
        <v>0</v>
      </c>
      <c r="AB20" s="17">
        <f t="shared" si="12"/>
        <v>0</v>
      </c>
      <c r="AC20" s="17">
        <f t="shared" si="12"/>
        <v>48</v>
      </c>
      <c r="AD20" s="17">
        <f t="shared" si="12"/>
        <v>0</v>
      </c>
      <c r="AE20" s="31">
        <f t="shared" si="12"/>
        <v>9</v>
      </c>
      <c r="AF20" s="31">
        <f t="shared" si="12"/>
        <v>57</v>
      </c>
    </row>
    <row r="21" spans="2:32" ht="23.1" customHeight="1" x14ac:dyDescent="0.25">
      <c r="B21" s="23" t="s">
        <v>48</v>
      </c>
      <c r="C21" s="50">
        <v>0</v>
      </c>
      <c r="D21" s="50">
        <v>1</v>
      </c>
      <c r="E21" s="50">
        <v>1</v>
      </c>
      <c r="F21" s="50">
        <v>0</v>
      </c>
      <c r="G21" s="50">
        <v>0</v>
      </c>
      <c r="H21" s="50">
        <v>0</v>
      </c>
      <c r="I21" s="50">
        <v>1</v>
      </c>
      <c r="J21" s="50">
        <v>1</v>
      </c>
      <c r="K21" s="50">
        <v>3</v>
      </c>
      <c r="L21" s="50">
        <v>0</v>
      </c>
      <c r="M21" s="50">
        <v>19</v>
      </c>
      <c r="N21" s="50">
        <v>0</v>
      </c>
      <c r="O21" s="15">
        <f t="shared" si="0"/>
        <v>7</v>
      </c>
      <c r="P21" s="15">
        <f t="shared" si="1"/>
        <v>26</v>
      </c>
      <c r="R21" s="36" t="s">
        <v>20</v>
      </c>
      <c r="S21" s="34">
        <f t="shared" ref="S21:AF21" si="13">SUM(C54:C57)</f>
        <v>5</v>
      </c>
      <c r="T21" s="17">
        <f t="shared" si="13"/>
        <v>2</v>
      </c>
      <c r="U21" s="17">
        <f t="shared" si="13"/>
        <v>1</v>
      </c>
      <c r="V21" s="17">
        <f t="shared" si="13"/>
        <v>0</v>
      </c>
      <c r="W21" s="17">
        <f t="shared" si="13"/>
        <v>0</v>
      </c>
      <c r="X21" s="17">
        <f t="shared" si="13"/>
        <v>0</v>
      </c>
      <c r="Y21" s="17">
        <f t="shared" si="13"/>
        <v>2</v>
      </c>
      <c r="Z21" s="17">
        <f t="shared" si="13"/>
        <v>0</v>
      </c>
      <c r="AA21" s="17">
        <f t="shared" si="13"/>
        <v>3</v>
      </c>
      <c r="AB21" s="17">
        <f t="shared" si="13"/>
        <v>0</v>
      </c>
      <c r="AC21" s="17">
        <f t="shared" si="13"/>
        <v>46</v>
      </c>
      <c r="AD21" s="17">
        <f t="shared" si="13"/>
        <v>0</v>
      </c>
      <c r="AE21" s="31">
        <f t="shared" si="13"/>
        <v>13</v>
      </c>
      <c r="AF21" s="31">
        <f t="shared" si="13"/>
        <v>59</v>
      </c>
    </row>
    <row r="22" spans="2:32" ht="23.1" customHeight="1" x14ac:dyDescent="0.25">
      <c r="B22" s="23" t="s">
        <v>49</v>
      </c>
      <c r="C22" s="50">
        <v>0</v>
      </c>
      <c r="D22" s="50">
        <v>0</v>
      </c>
      <c r="E22" s="50">
        <v>0</v>
      </c>
      <c r="F22" s="50">
        <v>0</v>
      </c>
      <c r="G22" s="50">
        <v>0</v>
      </c>
      <c r="H22" s="50">
        <v>0</v>
      </c>
      <c r="I22" s="50">
        <v>0</v>
      </c>
      <c r="J22" s="50">
        <v>0</v>
      </c>
      <c r="K22" s="50">
        <v>1</v>
      </c>
      <c r="L22" s="50">
        <v>0</v>
      </c>
      <c r="M22" s="50">
        <v>15</v>
      </c>
      <c r="N22" s="50">
        <v>0</v>
      </c>
      <c r="O22" s="15">
        <f t="shared" si="0"/>
        <v>1</v>
      </c>
      <c r="P22" s="15">
        <f t="shared" si="1"/>
        <v>16</v>
      </c>
      <c r="R22" s="38" t="s">
        <v>90</v>
      </c>
      <c r="S22" s="39">
        <f>MAX(S10:S12)</f>
        <v>6</v>
      </c>
      <c r="T22" s="39">
        <f t="shared" ref="T22:AF22" si="14">MAX(T10:T12)</f>
        <v>3</v>
      </c>
      <c r="U22" s="39">
        <f t="shared" si="14"/>
        <v>2</v>
      </c>
      <c r="V22" s="39">
        <f t="shared" si="14"/>
        <v>2</v>
      </c>
      <c r="W22" s="39">
        <f t="shared" si="14"/>
        <v>1</v>
      </c>
      <c r="X22" s="39">
        <f t="shared" si="14"/>
        <v>0</v>
      </c>
      <c r="Y22" s="39">
        <f t="shared" si="14"/>
        <v>3</v>
      </c>
      <c r="Z22" s="39">
        <f t="shared" si="14"/>
        <v>3</v>
      </c>
      <c r="AA22" s="39">
        <f t="shared" si="14"/>
        <v>3</v>
      </c>
      <c r="AB22" s="39">
        <f t="shared" si="14"/>
        <v>0</v>
      </c>
      <c r="AC22" s="39">
        <f t="shared" si="14"/>
        <v>44</v>
      </c>
      <c r="AD22" s="39">
        <f t="shared" si="14"/>
        <v>0</v>
      </c>
      <c r="AE22" s="40">
        <f t="shared" si="14"/>
        <v>20</v>
      </c>
      <c r="AF22" s="40">
        <f t="shared" si="14"/>
        <v>63</v>
      </c>
    </row>
    <row r="23" spans="2:32" ht="23.1" customHeight="1" x14ac:dyDescent="0.25">
      <c r="B23" s="23" t="s">
        <v>50</v>
      </c>
      <c r="C23" s="50">
        <v>1</v>
      </c>
      <c r="D23" s="50">
        <v>0</v>
      </c>
      <c r="E23" s="50">
        <v>0</v>
      </c>
      <c r="F23" s="50">
        <v>1</v>
      </c>
      <c r="G23" s="50">
        <v>1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50">
        <v>8</v>
      </c>
      <c r="N23" s="50">
        <v>0</v>
      </c>
      <c r="O23" s="15">
        <f t="shared" si="0"/>
        <v>3</v>
      </c>
      <c r="P23" s="15">
        <f t="shared" si="1"/>
        <v>11</v>
      </c>
      <c r="R23" s="38" t="s">
        <v>91</v>
      </c>
      <c r="S23" s="39">
        <f>MAX(S13:S18)</f>
        <v>9</v>
      </c>
      <c r="T23" s="39">
        <f t="shared" ref="T23:AF23" si="15">MAX(T13:T18)</f>
        <v>8</v>
      </c>
      <c r="U23" s="39">
        <f t="shared" si="15"/>
        <v>5</v>
      </c>
      <c r="V23" s="39">
        <f t="shared" si="15"/>
        <v>4</v>
      </c>
      <c r="W23" s="39">
        <f t="shared" si="15"/>
        <v>2</v>
      </c>
      <c r="X23" s="39">
        <f t="shared" si="15"/>
        <v>0</v>
      </c>
      <c r="Y23" s="39">
        <f t="shared" si="15"/>
        <v>4</v>
      </c>
      <c r="Z23" s="39">
        <f t="shared" si="15"/>
        <v>5</v>
      </c>
      <c r="AA23" s="39">
        <f t="shared" si="15"/>
        <v>3</v>
      </c>
      <c r="AB23" s="39">
        <f t="shared" si="15"/>
        <v>1</v>
      </c>
      <c r="AC23" s="39">
        <f t="shared" si="15"/>
        <v>55</v>
      </c>
      <c r="AD23" s="39">
        <f t="shared" si="15"/>
        <v>0</v>
      </c>
      <c r="AE23" s="40">
        <f t="shared" si="15"/>
        <v>33</v>
      </c>
      <c r="AF23" s="40">
        <f t="shared" si="15"/>
        <v>76</v>
      </c>
    </row>
    <row r="24" spans="2:32" ht="23.1" customHeight="1" x14ac:dyDescent="0.25">
      <c r="B24" s="23" t="s">
        <v>51</v>
      </c>
      <c r="C24" s="50">
        <v>1</v>
      </c>
      <c r="D24" s="50">
        <v>0</v>
      </c>
      <c r="E24" s="50">
        <v>1</v>
      </c>
      <c r="F24" s="50">
        <v>0</v>
      </c>
      <c r="G24" s="50">
        <v>1</v>
      </c>
      <c r="H24" s="50">
        <v>0</v>
      </c>
      <c r="I24" s="50">
        <v>0</v>
      </c>
      <c r="J24" s="50">
        <v>0</v>
      </c>
      <c r="K24" s="50">
        <v>0</v>
      </c>
      <c r="L24" s="50">
        <v>0</v>
      </c>
      <c r="M24" s="50">
        <v>10</v>
      </c>
      <c r="N24" s="50">
        <v>0</v>
      </c>
      <c r="O24" s="15">
        <f t="shared" si="0"/>
        <v>3</v>
      </c>
      <c r="P24" s="15">
        <f t="shared" si="1"/>
        <v>13</v>
      </c>
      <c r="R24" s="38" t="s">
        <v>92</v>
      </c>
      <c r="S24" s="39">
        <f>MAX(S19:S21)</f>
        <v>5</v>
      </c>
      <c r="T24" s="39">
        <f t="shared" ref="T24:AF24" si="16">MAX(T19:T21)</f>
        <v>2</v>
      </c>
      <c r="U24" s="39">
        <f t="shared" si="16"/>
        <v>1</v>
      </c>
      <c r="V24" s="39">
        <f t="shared" si="16"/>
        <v>1</v>
      </c>
      <c r="W24" s="39">
        <f t="shared" si="16"/>
        <v>0</v>
      </c>
      <c r="X24" s="39">
        <f t="shared" si="16"/>
        <v>0</v>
      </c>
      <c r="Y24" s="39">
        <f t="shared" si="16"/>
        <v>2</v>
      </c>
      <c r="Z24" s="39">
        <f t="shared" si="16"/>
        <v>3</v>
      </c>
      <c r="AA24" s="39">
        <f t="shared" si="16"/>
        <v>3</v>
      </c>
      <c r="AB24" s="39">
        <f t="shared" si="16"/>
        <v>0</v>
      </c>
      <c r="AC24" s="39">
        <f t="shared" si="16"/>
        <v>48</v>
      </c>
      <c r="AD24" s="39">
        <f t="shared" si="16"/>
        <v>0</v>
      </c>
      <c r="AE24" s="40">
        <f t="shared" si="16"/>
        <v>13</v>
      </c>
      <c r="AF24" s="40">
        <f t="shared" si="16"/>
        <v>59</v>
      </c>
    </row>
    <row r="25" spans="2:32" ht="23.1" customHeight="1" x14ac:dyDescent="0.25">
      <c r="B25" s="23" t="s">
        <v>52</v>
      </c>
      <c r="C25" s="50">
        <v>2</v>
      </c>
      <c r="D25" s="50">
        <v>0</v>
      </c>
      <c r="E25" s="50">
        <v>1</v>
      </c>
      <c r="F25" s="50">
        <v>0</v>
      </c>
      <c r="G25" s="50">
        <v>0</v>
      </c>
      <c r="H25" s="50">
        <v>0</v>
      </c>
      <c r="I25" s="50">
        <v>1</v>
      </c>
      <c r="J25" s="50">
        <v>0</v>
      </c>
      <c r="K25" s="50">
        <v>0</v>
      </c>
      <c r="L25" s="50">
        <v>0</v>
      </c>
      <c r="M25" s="50">
        <v>14</v>
      </c>
      <c r="N25" s="50">
        <v>0</v>
      </c>
      <c r="O25" s="15">
        <f t="shared" si="0"/>
        <v>4</v>
      </c>
      <c r="P25" s="15">
        <f t="shared" si="1"/>
        <v>18</v>
      </c>
      <c r="R25" s="37" t="s">
        <v>85</v>
      </c>
      <c r="S25" s="35">
        <f t="shared" ref="S25:AF25" si="17">SUM(S10:S12)</f>
        <v>15</v>
      </c>
      <c r="T25" s="16">
        <f t="shared" si="17"/>
        <v>3</v>
      </c>
      <c r="U25" s="16">
        <f t="shared" si="17"/>
        <v>2</v>
      </c>
      <c r="V25" s="16">
        <f t="shared" si="17"/>
        <v>5</v>
      </c>
      <c r="W25" s="16">
        <f t="shared" si="17"/>
        <v>2</v>
      </c>
      <c r="X25" s="16">
        <f t="shared" si="17"/>
        <v>0</v>
      </c>
      <c r="Y25" s="16">
        <f t="shared" si="17"/>
        <v>7</v>
      </c>
      <c r="Z25" s="16">
        <f t="shared" si="17"/>
        <v>3</v>
      </c>
      <c r="AA25" s="16">
        <f t="shared" si="17"/>
        <v>3</v>
      </c>
      <c r="AB25" s="16">
        <f t="shared" si="17"/>
        <v>0</v>
      </c>
      <c r="AC25" s="16">
        <f t="shared" si="17"/>
        <v>112</v>
      </c>
      <c r="AD25" s="16">
        <f t="shared" si="17"/>
        <v>0</v>
      </c>
      <c r="AE25" s="32">
        <f t="shared" si="17"/>
        <v>40</v>
      </c>
      <c r="AF25" s="32">
        <f t="shared" si="17"/>
        <v>152</v>
      </c>
    </row>
    <row r="26" spans="2:32" ht="23.1" customHeight="1" x14ac:dyDescent="0.25">
      <c r="B26" s="23" t="s">
        <v>53</v>
      </c>
      <c r="C26" s="50">
        <v>4</v>
      </c>
      <c r="D26" s="50">
        <v>1</v>
      </c>
      <c r="E26" s="50">
        <v>1</v>
      </c>
      <c r="F26" s="50">
        <v>0</v>
      </c>
      <c r="G26" s="50">
        <v>0</v>
      </c>
      <c r="H26" s="50">
        <v>0</v>
      </c>
      <c r="I26" s="50">
        <v>0</v>
      </c>
      <c r="J26" s="50">
        <v>0</v>
      </c>
      <c r="K26" s="50">
        <v>0</v>
      </c>
      <c r="L26" s="50">
        <v>0</v>
      </c>
      <c r="M26" s="50">
        <v>12</v>
      </c>
      <c r="N26" s="50">
        <v>0</v>
      </c>
      <c r="O26" s="15">
        <f t="shared" si="0"/>
        <v>6</v>
      </c>
      <c r="P26" s="15">
        <f t="shared" si="1"/>
        <v>18</v>
      </c>
      <c r="R26" s="28" t="s">
        <v>86</v>
      </c>
      <c r="S26" s="16">
        <f t="shared" ref="S26:AF26" si="18">SUM(S13:S18)</f>
        <v>37</v>
      </c>
      <c r="T26" s="16">
        <f t="shared" si="18"/>
        <v>14</v>
      </c>
      <c r="U26" s="16">
        <f t="shared" si="18"/>
        <v>19</v>
      </c>
      <c r="V26" s="16">
        <f t="shared" si="18"/>
        <v>12</v>
      </c>
      <c r="W26" s="16">
        <f t="shared" si="18"/>
        <v>3</v>
      </c>
      <c r="X26" s="16">
        <f t="shared" si="18"/>
        <v>0</v>
      </c>
      <c r="Y26" s="16">
        <f t="shared" si="18"/>
        <v>16</v>
      </c>
      <c r="Z26" s="16">
        <f t="shared" si="18"/>
        <v>8</v>
      </c>
      <c r="AA26" s="16">
        <f t="shared" si="18"/>
        <v>4</v>
      </c>
      <c r="AB26" s="16">
        <f t="shared" si="18"/>
        <v>1</v>
      </c>
      <c r="AC26" s="16">
        <f t="shared" si="18"/>
        <v>250</v>
      </c>
      <c r="AD26" s="16">
        <f t="shared" si="18"/>
        <v>0</v>
      </c>
      <c r="AE26" s="32">
        <f t="shared" si="18"/>
        <v>114</v>
      </c>
      <c r="AF26" s="32">
        <f t="shared" si="18"/>
        <v>364</v>
      </c>
    </row>
    <row r="27" spans="2:32" ht="23.1" customHeight="1" x14ac:dyDescent="0.25">
      <c r="B27" s="23" t="s">
        <v>54</v>
      </c>
      <c r="C27" s="50">
        <v>3</v>
      </c>
      <c r="D27" s="50">
        <v>1</v>
      </c>
      <c r="E27" s="50">
        <v>1</v>
      </c>
      <c r="F27" s="50">
        <v>0</v>
      </c>
      <c r="G27" s="50">
        <v>0</v>
      </c>
      <c r="H27" s="50">
        <v>0</v>
      </c>
      <c r="I27" s="50">
        <v>1</v>
      </c>
      <c r="J27" s="50">
        <v>0</v>
      </c>
      <c r="K27" s="50">
        <v>0</v>
      </c>
      <c r="L27" s="50">
        <v>0</v>
      </c>
      <c r="M27" s="50">
        <v>10</v>
      </c>
      <c r="N27" s="50">
        <v>0</v>
      </c>
      <c r="O27" s="15">
        <f t="shared" si="0"/>
        <v>6</v>
      </c>
      <c r="P27" s="15">
        <f t="shared" si="1"/>
        <v>16</v>
      </c>
      <c r="R27" s="29" t="s">
        <v>87</v>
      </c>
      <c r="S27" s="16">
        <f t="shared" ref="S27:AF27" si="19">SUM(S19:S21)</f>
        <v>13</v>
      </c>
      <c r="T27" s="16">
        <f t="shared" si="19"/>
        <v>4</v>
      </c>
      <c r="U27" s="16">
        <f t="shared" si="19"/>
        <v>2</v>
      </c>
      <c r="V27" s="16">
        <f t="shared" si="19"/>
        <v>2</v>
      </c>
      <c r="W27" s="16">
        <f t="shared" si="19"/>
        <v>0</v>
      </c>
      <c r="X27" s="16">
        <f t="shared" si="19"/>
        <v>0</v>
      </c>
      <c r="Y27" s="16">
        <f t="shared" si="19"/>
        <v>5</v>
      </c>
      <c r="Z27" s="16">
        <f t="shared" si="19"/>
        <v>3</v>
      </c>
      <c r="AA27" s="16">
        <f t="shared" si="19"/>
        <v>3</v>
      </c>
      <c r="AB27" s="16">
        <f t="shared" si="19"/>
        <v>0</v>
      </c>
      <c r="AC27" s="16">
        <f t="shared" si="19"/>
        <v>134</v>
      </c>
      <c r="AD27" s="16">
        <f t="shared" si="19"/>
        <v>0</v>
      </c>
      <c r="AE27" s="32">
        <f t="shared" si="19"/>
        <v>32</v>
      </c>
      <c r="AF27" s="32">
        <f t="shared" si="19"/>
        <v>166</v>
      </c>
    </row>
    <row r="28" spans="2:32" ht="23.1" customHeight="1" x14ac:dyDescent="0.25">
      <c r="B28" s="23" t="s">
        <v>55</v>
      </c>
      <c r="C28" s="50">
        <v>0</v>
      </c>
      <c r="D28" s="50">
        <v>0</v>
      </c>
      <c r="E28" s="50">
        <v>0</v>
      </c>
      <c r="F28" s="50">
        <v>2</v>
      </c>
      <c r="G28" s="50">
        <v>0</v>
      </c>
      <c r="H28" s="50">
        <v>0</v>
      </c>
      <c r="I28" s="50">
        <v>1</v>
      </c>
      <c r="J28" s="50">
        <v>0</v>
      </c>
      <c r="K28" s="50">
        <v>0</v>
      </c>
      <c r="L28" s="50">
        <v>0</v>
      </c>
      <c r="M28" s="50">
        <v>11</v>
      </c>
      <c r="N28" s="50">
        <v>0</v>
      </c>
      <c r="O28" s="15">
        <f t="shared" si="0"/>
        <v>3</v>
      </c>
      <c r="P28" s="15">
        <f t="shared" si="1"/>
        <v>14</v>
      </c>
      <c r="R28" s="5" t="s">
        <v>17</v>
      </c>
      <c r="S28" s="16">
        <f t="shared" ref="S28:AF28" si="20">SUM(S10:S21)</f>
        <v>65</v>
      </c>
      <c r="T28" s="16">
        <f t="shared" si="20"/>
        <v>21</v>
      </c>
      <c r="U28" s="16">
        <f t="shared" si="20"/>
        <v>23</v>
      </c>
      <c r="V28" s="16">
        <f t="shared" si="20"/>
        <v>19</v>
      </c>
      <c r="W28" s="16">
        <f t="shared" si="20"/>
        <v>5</v>
      </c>
      <c r="X28" s="16">
        <f t="shared" si="20"/>
        <v>0</v>
      </c>
      <c r="Y28" s="16">
        <f t="shared" si="20"/>
        <v>28</v>
      </c>
      <c r="Z28" s="16">
        <f t="shared" si="20"/>
        <v>14</v>
      </c>
      <c r="AA28" s="16">
        <f t="shared" si="20"/>
        <v>10</v>
      </c>
      <c r="AB28" s="16">
        <f t="shared" si="20"/>
        <v>1</v>
      </c>
      <c r="AC28" s="16">
        <f t="shared" si="20"/>
        <v>496</v>
      </c>
      <c r="AD28" s="16">
        <f t="shared" si="20"/>
        <v>0</v>
      </c>
      <c r="AE28" s="32">
        <f t="shared" si="20"/>
        <v>186</v>
      </c>
      <c r="AF28" s="32">
        <f t="shared" si="20"/>
        <v>682</v>
      </c>
    </row>
    <row r="29" spans="2:32" ht="23.1" customHeight="1" x14ac:dyDescent="0.25">
      <c r="B29" s="23" t="s">
        <v>56</v>
      </c>
      <c r="C29" s="50">
        <v>1</v>
      </c>
      <c r="D29" s="50">
        <v>1</v>
      </c>
      <c r="E29" s="50">
        <v>2</v>
      </c>
      <c r="F29" s="50">
        <v>0</v>
      </c>
      <c r="G29" s="50">
        <v>0</v>
      </c>
      <c r="H29" s="50">
        <v>0</v>
      </c>
      <c r="I29" s="50">
        <v>2</v>
      </c>
      <c r="J29" s="50">
        <v>0</v>
      </c>
      <c r="K29" s="50">
        <v>0</v>
      </c>
      <c r="L29" s="50">
        <v>0</v>
      </c>
      <c r="M29" s="50">
        <v>20</v>
      </c>
      <c r="N29" s="50">
        <v>0</v>
      </c>
      <c r="O29" s="15">
        <f t="shared" si="0"/>
        <v>6</v>
      </c>
      <c r="P29" s="15">
        <f t="shared" si="1"/>
        <v>26</v>
      </c>
      <c r="R29"/>
      <c r="S29" s="20"/>
      <c r="T29" s="19"/>
    </row>
    <row r="30" spans="2:32" ht="23.1" customHeight="1" x14ac:dyDescent="0.25">
      <c r="B30" s="23" t="s">
        <v>57</v>
      </c>
      <c r="C30" s="50">
        <v>1</v>
      </c>
      <c r="D30" s="50">
        <v>1</v>
      </c>
      <c r="E30" s="50">
        <v>0</v>
      </c>
      <c r="F30" s="50">
        <v>1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0</v>
      </c>
      <c r="M30" s="50">
        <v>14</v>
      </c>
      <c r="N30" s="50">
        <v>0</v>
      </c>
      <c r="O30" s="15">
        <f t="shared" si="0"/>
        <v>3</v>
      </c>
      <c r="P30" s="15">
        <f t="shared" si="1"/>
        <v>17</v>
      </c>
    </row>
    <row r="31" spans="2:32" ht="23.1" customHeight="1" x14ac:dyDescent="0.25">
      <c r="B31" s="24" t="s">
        <v>58</v>
      </c>
      <c r="C31" s="50">
        <v>1</v>
      </c>
      <c r="D31" s="50">
        <v>0</v>
      </c>
      <c r="E31" s="50">
        <v>3</v>
      </c>
      <c r="F31" s="50">
        <v>2</v>
      </c>
      <c r="G31" s="50">
        <v>0</v>
      </c>
      <c r="H31" s="50">
        <v>0</v>
      </c>
      <c r="I31" s="50">
        <v>1</v>
      </c>
      <c r="J31" s="50">
        <v>0</v>
      </c>
      <c r="K31" s="50">
        <v>0</v>
      </c>
      <c r="L31" s="50">
        <v>0</v>
      </c>
      <c r="M31" s="50">
        <v>16</v>
      </c>
      <c r="N31" s="50">
        <v>0</v>
      </c>
      <c r="O31" s="15">
        <f t="shared" si="0"/>
        <v>7</v>
      </c>
      <c r="P31" s="15">
        <f t="shared" si="1"/>
        <v>23</v>
      </c>
    </row>
    <row r="32" spans="2:32" ht="23.1" customHeight="1" x14ac:dyDescent="0.25">
      <c r="B32" s="24" t="s">
        <v>59</v>
      </c>
      <c r="C32" s="50">
        <v>2</v>
      </c>
      <c r="D32" s="50">
        <v>0</v>
      </c>
      <c r="E32" s="50">
        <v>0</v>
      </c>
      <c r="F32" s="50">
        <v>1</v>
      </c>
      <c r="G32" s="50">
        <v>0</v>
      </c>
      <c r="H32" s="50">
        <v>0</v>
      </c>
      <c r="I32" s="50">
        <v>1</v>
      </c>
      <c r="J32" s="50">
        <v>0</v>
      </c>
      <c r="K32" s="50">
        <v>0</v>
      </c>
      <c r="L32" s="50">
        <v>0</v>
      </c>
      <c r="M32" s="50">
        <v>14</v>
      </c>
      <c r="N32" s="50">
        <v>0</v>
      </c>
      <c r="O32" s="15">
        <f t="shared" si="0"/>
        <v>4</v>
      </c>
      <c r="P32" s="15">
        <f t="shared" si="1"/>
        <v>18</v>
      </c>
    </row>
    <row r="33" spans="2:20" ht="23.1" customHeight="1" x14ac:dyDescent="0.25">
      <c r="B33" s="23" t="s">
        <v>60</v>
      </c>
      <c r="C33" s="50">
        <v>3</v>
      </c>
      <c r="D33" s="50">
        <v>1</v>
      </c>
      <c r="E33" s="50">
        <v>1</v>
      </c>
      <c r="F33" s="50">
        <v>0</v>
      </c>
      <c r="G33" s="50">
        <v>1</v>
      </c>
      <c r="H33" s="50">
        <v>0</v>
      </c>
      <c r="I33" s="50">
        <v>1</v>
      </c>
      <c r="J33" s="50">
        <v>0</v>
      </c>
      <c r="K33" s="50">
        <v>0</v>
      </c>
      <c r="L33" s="50">
        <v>0</v>
      </c>
      <c r="M33" s="50">
        <v>11</v>
      </c>
      <c r="N33" s="50">
        <v>0</v>
      </c>
      <c r="O33" s="15">
        <f t="shared" si="0"/>
        <v>7</v>
      </c>
      <c r="P33" s="15">
        <f t="shared" si="1"/>
        <v>18</v>
      </c>
    </row>
    <row r="34" spans="2:20" ht="23.1" customHeight="1" x14ac:dyDescent="0.25">
      <c r="B34" s="24" t="s">
        <v>61</v>
      </c>
      <c r="C34" s="50">
        <v>1</v>
      </c>
      <c r="D34" s="50">
        <v>0</v>
      </c>
      <c r="E34" s="50">
        <v>2</v>
      </c>
      <c r="F34" s="50">
        <v>0</v>
      </c>
      <c r="G34" s="50">
        <v>0</v>
      </c>
      <c r="H34" s="50">
        <v>0</v>
      </c>
      <c r="I34" s="50">
        <v>1</v>
      </c>
      <c r="J34" s="50">
        <v>1</v>
      </c>
      <c r="K34" s="50">
        <v>0</v>
      </c>
      <c r="L34" s="50">
        <v>0</v>
      </c>
      <c r="M34" s="50">
        <v>10</v>
      </c>
      <c r="N34" s="50">
        <v>0</v>
      </c>
      <c r="O34" s="15">
        <f t="shared" si="0"/>
        <v>5</v>
      </c>
      <c r="P34" s="15">
        <f t="shared" si="1"/>
        <v>15</v>
      </c>
    </row>
    <row r="35" spans="2:20" ht="23.1" customHeight="1" x14ac:dyDescent="0.25">
      <c r="B35" s="24" t="s">
        <v>62</v>
      </c>
      <c r="C35" s="50">
        <v>1</v>
      </c>
      <c r="D35" s="50">
        <v>0</v>
      </c>
      <c r="E35" s="50">
        <v>2</v>
      </c>
      <c r="F35" s="50">
        <v>0</v>
      </c>
      <c r="G35" s="50">
        <v>0</v>
      </c>
      <c r="H35" s="50">
        <v>0</v>
      </c>
      <c r="I35" s="50">
        <v>1</v>
      </c>
      <c r="J35" s="50">
        <v>2</v>
      </c>
      <c r="K35" s="50">
        <v>0</v>
      </c>
      <c r="L35" s="50">
        <v>0</v>
      </c>
      <c r="M35" s="50">
        <v>6</v>
      </c>
      <c r="N35" s="50">
        <v>0</v>
      </c>
      <c r="O35" s="15">
        <f t="shared" si="0"/>
        <v>6</v>
      </c>
      <c r="P35" s="15">
        <f t="shared" si="1"/>
        <v>12</v>
      </c>
    </row>
    <row r="36" spans="2:20" ht="23.1" customHeight="1" x14ac:dyDescent="0.25">
      <c r="B36" s="24" t="s">
        <v>63</v>
      </c>
      <c r="C36" s="50">
        <v>1</v>
      </c>
      <c r="D36" s="50">
        <v>0</v>
      </c>
      <c r="E36" s="50">
        <v>0</v>
      </c>
      <c r="F36" s="50">
        <v>0</v>
      </c>
      <c r="G36" s="50">
        <v>0</v>
      </c>
      <c r="H36" s="50">
        <v>0</v>
      </c>
      <c r="I36" s="50">
        <v>1</v>
      </c>
      <c r="J36" s="50">
        <v>2</v>
      </c>
      <c r="K36" s="50">
        <v>0</v>
      </c>
      <c r="L36" s="50">
        <v>1</v>
      </c>
      <c r="M36" s="50">
        <v>10</v>
      </c>
      <c r="N36" s="50">
        <v>0</v>
      </c>
      <c r="O36" s="15">
        <f t="shared" si="0"/>
        <v>5</v>
      </c>
      <c r="P36" s="15">
        <f t="shared" si="1"/>
        <v>15</v>
      </c>
    </row>
    <row r="37" spans="2:20" ht="23.1" customHeight="1" x14ac:dyDescent="0.25">
      <c r="B37" s="23" t="s">
        <v>64</v>
      </c>
      <c r="C37" s="50">
        <v>2</v>
      </c>
      <c r="D37" s="50">
        <v>0</v>
      </c>
      <c r="E37" s="50">
        <v>0</v>
      </c>
      <c r="F37" s="50">
        <v>0</v>
      </c>
      <c r="G37" s="50">
        <v>0</v>
      </c>
      <c r="H37" s="50">
        <v>0</v>
      </c>
      <c r="I37" s="50">
        <v>1</v>
      </c>
      <c r="J37" s="50">
        <v>0</v>
      </c>
      <c r="K37" s="50">
        <v>0</v>
      </c>
      <c r="L37" s="50">
        <v>0</v>
      </c>
      <c r="M37" s="50">
        <v>7</v>
      </c>
      <c r="N37" s="50">
        <v>0</v>
      </c>
      <c r="O37" s="15">
        <f t="shared" si="0"/>
        <v>3</v>
      </c>
      <c r="P37" s="15">
        <f t="shared" si="1"/>
        <v>10</v>
      </c>
    </row>
    <row r="38" spans="2:20" ht="23.1" customHeight="1" x14ac:dyDescent="0.25">
      <c r="B38" s="24" t="s">
        <v>65</v>
      </c>
      <c r="C38" s="50">
        <v>0</v>
      </c>
      <c r="D38" s="50">
        <v>0</v>
      </c>
      <c r="E38" s="50">
        <v>0</v>
      </c>
      <c r="F38" s="50">
        <v>0</v>
      </c>
      <c r="G38" s="50">
        <v>0</v>
      </c>
      <c r="H38" s="50">
        <v>0</v>
      </c>
      <c r="I38" s="50">
        <v>1</v>
      </c>
      <c r="J38" s="50">
        <v>1</v>
      </c>
      <c r="K38" s="50">
        <v>0</v>
      </c>
      <c r="L38" s="50">
        <v>0</v>
      </c>
      <c r="M38" s="50">
        <v>0</v>
      </c>
      <c r="N38" s="50">
        <v>0</v>
      </c>
      <c r="O38" s="15">
        <f t="shared" si="0"/>
        <v>2</v>
      </c>
      <c r="P38" s="15">
        <f t="shared" si="1"/>
        <v>2</v>
      </c>
    </row>
    <row r="39" spans="2:20" ht="23.1" customHeight="1" x14ac:dyDescent="0.25">
      <c r="B39" s="24" t="s">
        <v>66</v>
      </c>
      <c r="C39" s="50">
        <v>0</v>
      </c>
      <c r="D39" s="50">
        <v>0</v>
      </c>
      <c r="E39" s="50">
        <v>2</v>
      </c>
      <c r="F39" s="50">
        <v>0</v>
      </c>
      <c r="G39" s="50">
        <v>0</v>
      </c>
      <c r="H39" s="50">
        <v>0</v>
      </c>
      <c r="I39" s="50">
        <v>1</v>
      </c>
      <c r="J39" s="50">
        <v>0</v>
      </c>
      <c r="K39" s="50">
        <v>3</v>
      </c>
      <c r="L39" s="50">
        <v>0</v>
      </c>
      <c r="M39" s="50">
        <v>1</v>
      </c>
      <c r="N39" s="50">
        <v>0</v>
      </c>
      <c r="O39" s="15">
        <f t="shared" si="0"/>
        <v>6</v>
      </c>
      <c r="P39" s="15">
        <f t="shared" si="1"/>
        <v>7</v>
      </c>
    </row>
    <row r="40" spans="2:20" ht="23.1" customHeight="1" x14ac:dyDescent="0.25">
      <c r="B40" s="24" t="s">
        <v>67</v>
      </c>
      <c r="C40" s="50">
        <v>5</v>
      </c>
      <c r="D40" s="50">
        <v>8</v>
      </c>
      <c r="E40" s="50">
        <v>3</v>
      </c>
      <c r="F40" s="50">
        <v>2</v>
      </c>
      <c r="G40" s="50">
        <v>0</v>
      </c>
      <c r="H40" s="50">
        <v>0</v>
      </c>
      <c r="I40" s="50">
        <v>1</v>
      </c>
      <c r="J40" s="50">
        <v>1</v>
      </c>
      <c r="K40" s="50">
        <v>0</v>
      </c>
      <c r="L40" s="50">
        <v>0</v>
      </c>
      <c r="M40" s="50">
        <v>9</v>
      </c>
      <c r="N40" s="50">
        <v>0</v>
      </c>
      <c r="O40" s="15">
        <f t="shared" si="0"/>
        <v>20</v>
      </c>
      <c r="P40" s="15">
        <f t="shared" si="1"/>
        <v>29</v>
      </c>
    </row>
    <row r="41" spans="2:20" ht="23.1" customHeight="1" x14ac:dyDescent="0.25">
      <c r="B41" s="23" t="s">
        <v>68</v>
      </c>
      <c r="C41" s="50">
        <v>4</v>
      </c>
      <c r="D41" s="50">
        <v>0</v>
      </c>
      <c r="E41" s="50">
        <v>0</v>
      </c>
      <c r="F41" s="50">
        <v>0</v>
      </c>
      <c r="G41" s="50">
        <v>0</v>
      </c>
      <c r="H41" s="50">
        <v>0</v>
      </c>
      <c r="I41" s="50">
        <v>1</v>
      </c>
      <c r="J41" s="50">
        <v>0</v>
      </c>
      <c r="K41" s="50">
        <v>0</v>
      </c>
      <c r="L41" s="50">
        <v>0</v>
      </c>
      <c r="M41" s="50">
        <v>14</v>
      </c>
      <c r="N41" s="50">
        <v>0</v>
      </c>
      <c r="O41" s="15">
        <f t="shared" si="0"/>
        <v>5</v>
      </c>
      <c r="P41" s="15">
        <f t="shared" si="1"/>
        <v>19</v>
      </c>
    </row>
    <row r="42" spans="2:20" ht="23.1" customHeight="1" x14ac:dyDescent="0.25">
      <c r="B42" s="24" t="s">
        <v>69</v>
      </c>
      <c r="C42" s="50">
        <v>1</v>
      </c>
      <c r="D42" s="50">
        <v>1</v>
      </c>
      <c r="E42" s="50">
        <v>0</v>
      </c>
      <c r="F42" s="50">
        <v>1</v>
      </c>
      <c r="G42" s="50">
        <v>0</v>
      </c>
      <c r="H42" s="50">
        <v>0</v>
      </c>
      <c r="I42" s="50">
        <v>0</v>
      </c>
      <c r="J42" s="50">
        <v>0</v>
      </c>
      <c r="K42" s="50">
        <v>0</v>
      </c>
      <c r="L42" s="50">
        <v>0</v>
      </c>
      <c r="M42" s="50">
        <v>18</v>
      </c>
      <c r="N42" s="50">
        <v>0</v>
      </c>
      <c r="O42" s="15">
        <f t="shared" si="0"/>
        <v>3</v>
      </c>
      <c r="P42" s="15">
        <f t="shared" si="1"/>
        <v>21</v>
      </c>
    </row>
    <row r="43" spans="2:20" ht="23.1" customHeight="1" x14ac:dyDescent="0.25">
      <c r="B43" s="23" t="s">
        <v>70</v>
      </c>
      <c r="C43" s="50">
        <v>0</v>
      </c>
      <c r="D43" s="50">
        <v>0</v>
      </c>
      <c r="E43" s="50">
        <v>0</v>
      </c>
      <c r="F43" s="50">
        <v>0</v>
      </c>
      <c r="G43" s="50">
        <v>0</v>
      </c>
      <c r="H43" s="50">
        <v>0</v>
      </c>
      <c r="I43" s="50">
        <v>0</v>
      </c>
      <c r="J43" s="50">
        <v>0</v>
      </c>
      <c r="K43" s="50">
        <v>0</v>
      </c>
      <c r="L43" s="50">
        <v>0</v>
      </c>
      <c r="M43" s="50">
        <v>8</v>
      </c>
      <c r="N43" s="50">
        <v>0</v>
      </c>
      <c r="O43" s="15">
        <f t="shared" si="0"/>
        <v>0</v>
      </c>
      <c r="P43" s="15">
        <f t="shared" si="1"/>
        <v>8</v>
      </c>
    </row>
    <row r="44" spans="2:20" ht="23.1" customHeight="1" x14ac:dyDescent="0.25">
      <c r="B44" s="25" t="s">
        <v>71</v>
      </c>
      <c r="C44" s="50">
        <v>3</v>
      </c>
      <c r="D44" s="50">
        <v>0</v>
      </c>
      <c r="E44" s="50">
        <v>0</v>
      </c>
      <c r="F44" s="50">
        <v>1</v>
      </c>
      <c r="G44" s="50">
        <v>0</v>
      </c>
      <c r="H44" s="50">
        <v>0</v>
      </c>
      <c r="I44" s="50">
        <v>0</v>
      </c>
      <c r="J44" s="50">
        <v>0</v>
      </c>
      <c r="K44" s="50">
        <v>0</v>
      </c>
      <c r="L44" s="50">
        <v>0</v>
      </c>
      <c r="M44" s="50">
        <v>6</v>
      </c>
      <c r="N44" s="50">
        <v>0</v>
      </c>
      <c r="O44" s="15">
        <f t="shared" si="0"/>
        <v>4</v>
      </c>
      <c r="P44" s="15">
        <f t="shared" si="1"/>
        <v>10</v>
      </c>
    </row>
    <row r="45" spans="2:20" ht="23.1" customHeight="1" x14ac:dyDescent="0.25">
      <c r="B45" s="23" t="s">
        <v>72</v>
      </c>
      <c r="C45" s="50">
        <v>0</v>
      </c>
      <c r="D45" s="50">
        <v>0</v>
      </c>
      <c r="E45" s="50">
        <v>0</v>
      </c>
      <c r="F45" s="50">
        <v>1</v>
      </c>
      <c r="G45" s="50">
        <v>0</v>
      </c>
      <c r="H45" s="50">
        <v>0</v>
      </c>
      <c r="I45" s="50">
        <v>0</v>
      </c>
      <c r="J45" s="50">
        <v>1</v>
      </c>
      <c r="K45" s="50">
        <v>0</v>
      </c>
      <c r="L45" s="50">
        <v>0</v>
      </c>
      <c r="M45" s="50">
        <v>6</v>
      </c>
      <c r="N45" s="50">
        <v>0</v>
      </c>
      <c r="O45" s="15">
        <f t="shared" si="0"/>
        <v>2</v>
      </c>
      <c r="P45" s="15">
        <f t="shared" si="1"/>
        <v>8</v>
      </c>
    </row>
    <row r="46" spans="2:20" ht="23.1" customHeight="1" x14ac:dyDescent="0.25">
      <c r="B46" s="24" t="s">
        <v>73</v>
      </c>
      <c r="C46" s="50">
        <v>0</v>
      </c>
      <c r="D46" s="50">
        <v>0</v>
      </c>
      <c r="E46" s="50">
        <v>0</v>
      </c>
      <c r="F46" s="50">
        <v>0</v>
      </c>
      <c r="G46" s="50">
        <v>0</v>
      </c>
      <c r="H46" s="50">
        <v>0</v>
      </c>
      <c r="I46" s="50">
        <v>1</v>
      </c>
      <c r="J46" s="50">
        <v>0</v>
      </c>
      <c r="K46" s="50">
        <v>0</v>
      </c>
      <c r="L46" s="50">
        <v>0</v>
      </c>
      <c r="M46" s="50">
        <v>13</v>
      </c>
      <c r="N46" s="50">
        <v>0</v>
      </c>
      <c r="O46" s="15">
        <f t="shared" si="0"/>
        <v>1</v>
      </c>
      <c r="P46" s="15">
        <f t="shared" si="1"/>
        <v>14</v>
      </c>
      <c r="R46" s="8"/>
      <c r="T46"/>
    </row>
    <row r="47" spans="2:20" ht="23.1" customHeight="1" x14ac:dyDescent="0.25">
      <c r="B47" s="24" t="s">
        <v>74</v>
      </c>
      <c r="C47" s="50">
        <v>1</v>
      </c>
      <c r="D47" s="50">
        <v>1</v>
      </c>
      <c r="E47" s="50">
        <v>0</v>
      </c>
      <c r="F47" s="50">
        <v>1</v>
      </c>
      <c r="G47" s="50">
        <v>0</v>
      </c>
      <c r="H47" s="50">
        <v>0</v>
      </c>
      <c r="I47" s="50">
        <v>0</v>
      </c>
      <c r="J47" s="50">
        <v>2</v>
      </c>
      <c r="K47" s="50">
        <v>0</v>
      </c>
      <c r="L47" s="50">
        <v>0</v>
      </c>
      <c r="M47" s="50">
        <v>12</v>
      </c>
      <c r="N47" s="50">
        <v>0</v>
      </c>
      <c r="O47" s="15">
        <f t="shared" si="0"/>
        <v>5</v>
      </c>
      <c r="P47" s="15">
        <f t="shared" si="1"/>
        <v>17</v>
      </c>
      <c r="R47" s="8"/>
      <c r="T47"/>
    </row>
    <row r="48" spans="2:20" ht="23.1" customHeight="1" x14ac:dyDescent="0.25">
      <c r="B48" s="24" t="s">
        <v>75</v>
      </c>
      <c r="C48" s="50">
        <v>1</v>
      </c>
      <c r="D48" s="50">
        <v>0</v>
      </c>
      <c r="E48" s="50">
        <v>0</v>
      </c>
      <c r="F48" s="50">
        <v>0</v>
      </c>
      <c r="G48" s="50">
        <v>0</v>
      </c>
      <c r="H48" s="50">
        <v>0</v>
      </c>
      <c r="I48" s="50">
        <v>0</v>
      </c>
      <c r="J48" s="50">
        <v>1</v>
      </c>
      <c r="K48" s="50">
        <v>0</v>
      </c>
      <c r="L48" s="50">
        <v>0</v>
      </c>
      <c r="M48" s="50">
        <v>8</v>
      </c>
      <c r="N48" s="50">
        <v>0</v>
      </c>
      <c r="O48" s="15">
        <f t="shared" si="0"/>
        <v>2</v>
      </c>
      <c r="P48" s="15">
        <f t="shared" si="1"/>
        <v>10</v>
      </c>
      <c r="R48" s="8"/>
      <c r="T48"/>
    </row>
    <row r="49" spans="2:20" ht="23.1" customHeight="1" x14ac:dyDescent="0.25">
      <c r="B49" s="23" t="s">
        <v>76</v>
      </c>
      <c r="C49" s="50">
        <v>1</v>
      </c>
      <c r="D49" s="50">
        <v>0</v>
      </c>
      <c r="E49" s="50">
        <v>1</v>
      </c>
      <c r="F49" s="50">
        <v>0</v>
      </c>
      <c r="G49" s="50">
        <v>0</v>
      </c>
      <c r="H49" s="50">
        <v>0</v>
      </c>
      <c r="I49" s="50">
        <v>0</v>
      </c>
      <c r="J49" s="50">
        <v>0</v>
      </c>
      <c r="K49" s="50">
        <v>0</v>
      </c>
      <c r="L49" s="50">
        <v>0</v>
      </c>
      <c r="M49" s="50">
        <v>7</v>
      </c>
      <c r="N49" s="50">
        <v>0</v>
      </c>
      <c r="O49" s="15">
        <f t="shared" si="0"/>
        <v>2</v>
      </c>
      <c r="P49" s="15">
        <f t="shared" si="1"/>
        <v>9</v>
      </c>
      <c r="R49" s="8"/>
      <c r="T49"/>
    </row>
    <row r="50" spans="2:20" ht="23.1" customHeight="1" x14ac:dyDescent="0.25">
      <c r="B50" s="24" t="s">
        <v>77</v>
      </c>
      <c r="C50" s="50">
        <v>1</v>
      </c>
      <c r="D50" s="50">
        <v>0</v>
      </c>
      <c r="E50" s="50">
        <v>0</v>
      </c>
      <c r="F50" s="50">
        <v>0</v>
      </c>
      <c r="G50" s="50">
        <v>0</v>
      </c>
      <c r="H50" s="50">
        <v>0</v>
      </c>
      <c r="I50" s="50">
        <v>0</v>
      </c>
      <c r="J50" s="50">
        <v>0</v>
      </c>
      <c r="K50" s="50">
        <v>0</v>
      </c>
      <c r="L50" s="50">
        <v>0</v>
      </c>
      <c r="M50" s="50">
        <v>15</v>
      </c>
      <c r="N50" s="50">
        <v>0</v>
      </c>
      <c r="O50" s="15">
        <f t="shared" si="0"/>
        <v>1</v>
      </c>
      <c r="P50" s="15">
        <f t="shared" si="1"/>
        <v>16</v>
      </c>
      <c r="R50" s="8"/>
      <c r="T50"/>
    </row>
    <row r="51" spans="2:20" ht="23.1" customHeight="1" x14ac:dyDescent="0.25">
      <c r="B51" s="24" t="s">
        <v>78</v>
      </c>
      <c r="C51" s="50">
        <v>1</v>
      </c>
      <c r="D51" s="50">
        <v>1</v>
      </c>
      <c r="E51" s="50">
        <v>0</v>
      </c>
      <c r="F51" s="50">
        <v>1</v>
      </c>
      <c r="G51" s="50">
        <v>0</v>
      </c>
      <c r="H51" s="50">
        <v>0</v>
      </c>
      <c r="I51" s="50">
        <v>2</v>
      </c>
      <c r="J51" s="50">
        <v>0</v>
      </c>
      <c r="K51" s="50">
        <v>0</v>
      </c>
      <c r="L51" s="50">
        <v>0</v>
      </c>
      <c r="M51" s="50">
        <v>6</v>
      </c>
      <c r="N51" s="50">
        <v>0</v>
      </c>
      <c r="O51" s="15">
        <f t="shared" si="0"/>
        <v>5</v>
      </c>
      <c r="P51" s="15">
        <f t="shared" si="1"/>
        <v>11</v>
      </c>
      <c r="R51" s="8"/>
      <c r="T51"/>
    </row>
    <row r="52" spans="2:20" ht="23.1" customHeight="1" x14ac:dyDescent="0.25">
      <c r="B52" s="24" t="s">
        <v>79</v>
      </c>
      <c r="C52" s="50">
        <v>0</v>
      </c>
      <c r="D52" s="50">
        <v>0</v>
      </c>
      <c r="E52" s="50">
        <v>0</v>
      </c>
      <c r="F52" s="50">
        <v>0</v>
      </c>
      <c r="G52" s="50">
        <v>0</v>
      </c>
      <c r="H52" s="50">
        <v>0</v>
      </c>
      <c r="I52" s="50">
        <v>0</v>
      </c>
      <c r="J52" s="50">
        <v>0</v>
      </c>
      <c r="K52" s="50">
        <v>0</v>
      </c>
      <c r="L52" s="50">
        <v>0</v>
      </c>
      <c r="M52" s="50">
        <v>13</v>
      </c>
      <c r="N52" s="50">
        <v>0</v>
      </c>
      <c r="O52" s="15">
        <f t="shared" si="0"/>
        <v>0</v>
      </c>
      <c r="P52" s="15">
        <f t="shared" si="1"/>
        <v>13</v>
      </c>
      <c r="R52" s="8"/>
      <c r="T52"/>
    </row>
    <row r="53" spans="2:20" ht="23.1" customHeight="1" x14ac:dyDescent="0.25">
      <c r="B53" s="23" t="s">
        <v>80</v>
      </c>
      <c r="C53" s="50">
        <v>3</v>
      </c>
      <c r="D53" s="50">
        <v>0</v>
      </c>
      <c r="E53" s="50">
        <v>0</v>
      </c>
      <c r="F53" s="50">
        <v>0</v>
      </c>
      <c r="G53" s="50">
        <v>0</v>
      </c>
      <c r="H53" s="50">
        <v>0</v>
      </c>
      <c r="I53" s="50">
        <v>0</v>
      </c>
      <c r="J53" s="50">
        <v>0</v>
      </c>
      <c r="K53" s="50">
        <v>0</v>
      </c>
      <c r="L53" s="50">
        <v>0</v>
      </c>
      <c r="M53" s="50">
        <v>14</v>
      </c>
      <c r="N53" s="50">
        <v>0</v>
      </c>
      <c r="O53" s="15">
        <f t="shared" si="0"/>
        <v>3</v>
      </c>
      <c r="P53" s="15">
        <f t="shared" si="1"/>
        <v>17</v>
      </c>
      <c r="R53" s="8"/>
      <c r="T53"/>
    </row>
    <row r="54" spans="2:20" ht="23.1" customHeight="1" x14ac:dyDescent="0.25">
      <c r="B54" s="23" t="s">
        <v>81</v>
      </c>
      <c r="C54" s="50">
        <v>0</v>
      </c>
      <c r="D54" s="50">
        <v>0</v>
      </c>
      <c r="E54" s="50">
        <v>0</v>
      </c>
      <c r="F54" s="50">
        <v>0</v>
      </c>
      <c r="G54" s="50">
        <v>0</v>
      </c>
      <c r="H54" s="50">
        <v>0</v>
      </c>
      <c r="I54" s="50">
        <v>0</v>
      </c>
      <c r="J54" s="50">
        <v>0</v>
      </c>
      <c r="K54" s="50">
        <v>0</v>
      </c>
      <c r="L54" s="50">
        <v>0</v>
      </c>
      <c r="M54" s="50">
        <v>13</v>
      </c>
      <c r="N54" s="50">
        <v>0</v>
      </c>
      <c r="O54" s="15">
        <f t="shared" si="0"/>
        <v>0</v>
      </c>
      <c r="P54" s="15">
        <f t="shared" si="1"/>
        <v>13</v>
      </c>
      <c r="R54" s="8"/>
      <c r="T54"/>
    </row>
    <row r="55" spans="2:20" ht="23.1" customHeight="1" x14ac:dyDescent="0.25">
      <c r="B55" s="23" t="s">
        <v>82</v>
      </c>
      <c r="C55" s="50">
        <v>2</v>
      </c>
      <c r="D55" s="50">
        <v>1</v>
      </c>
      <c r="E55" s="50">
        <v>0</v>
      </c>
      <c r="F55" s="50">
        <v>0</v>
      </c>
      <c r="G55" s="50">
        <v>0</v>
      </c>
      <c r="H55" s="50">
        <v>0</v>
      </c>
      <c r="I55" s="50">
        <v>1</v>
      </c>
      <c r="J55" s="50">
        <v>0</v>
      </c>
      <c r="K55" s="50">
        <v>2</v>
      </c>
      <c r="L55" s="50">
        <v>0</v>
      </c>
      <c r="M55" s="50">
        <v>12</v>
      </c>
      <c r="N55" s="50">
        <v>0</v>
      </c>
      <c r="O55" s="15">
        <f t="shared" si="0"/>
        <v>6</v>
      </c>
      <c r="P55" s="15">
        <f t="shared" si="1"/>
        <v>18</v>
      </c>
      <c r="R55" s="8"/>
      <c r="T55"/>
    </row>
    <row r="56" spans="2:20" ht="23.1" customHeight="1" x14ac:dyDescent="0.25">
      <c r="B56" s="23" t="s">
        <v>83</v>
      </c>
      <c r="C56" s="50">
        <v>2</v>
      </c>
      <c r="D56" s="50">
        <v>0</v>
      </c>
      <c r="E56" s="50">
        <v>0</v>
      </c>
      <c r="F56" s="50">
        <v>0</v>
      </c>
      <c r="G56" s="50">
        <v>0</v>
      </c>
      <c r="H56" s="50">
        <v>0</v>
      </c>
      <c r="I56" s="50">
        <v>1</v>
      </c>
      <c r="J56" s="50">
        <v>0</v>
      </c>
      <c r="K56" s="50">
        <v>0</v>
      </c>
      <c r="L56" s="50">
        <v>0</v>
      </c>
      <c r="M56" s="50">
        <v>14</v>
      </c>
      <c r="N56" s="50">
        <v>0</v>
      </c>
      <c r="O56" s="15">
        <f t="shared" si="0"/>
        <v>3</v>
      </c>
      <c r="P56" s="15">
        <f t="shared" si="1"/>
        <v>17</v>
      </c>
      <c r="R56" s="8"/>
      <c r="T56"/>
    </row>
    <row r="57" spans="2:20" ht="23.1" customHeight="1" x14ac:dyDescent="0.25">
      <c r="B57" s="23" t="s">
        <v>84</v>
      </c>
      <c r="C57" s="50">
        <v>1</v>
      </c>
      <c r="D57" s="50">
        <v>1</v>
      </c>
      <c r="E57" s="50">
        <v>1</v>
      </c>
      <c r="F57" s="50">
        <v>0</v>
      </c>
      <c r="G57" s="50">
        <v>0</v>
      </c>
      <c r="H57" s="50">
        <v>0</v>
      </c>
      <c r="I57" s="50">
        <v>0</v>
      </c>
      <c r="J57" s="50">
        <v>0</v>
      </c>
      <c r="K57" s="50">
        <v>1</v>
      </c>
      <c r="L57" s="50">
        <v>0</v>
      </c>
      <c r="M57" s="50">
        <v>7</v>
      </c>
      <c r="N57" s="50">
        <v>0</v>
      </c>
      <c r="O57" s="15">
        <f t="shared" si="0"/>
        <v>4</v>
      </c>
      <c r="P57" s="15">
        <f t="shared" si="1"/>
        <v>11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65</v>
      </c>
      <c r="D58" s="16">
        <f t="shared" si="21"/>
        <v>21</v>
      </c>
      <c r="E58" s="16">
        <f t="shared" si="21"/>
        <v>23</v>
      </c>
      <c r="F58" s="16">
        <f t="shared" si="21"/>
        <v>19</v>
      </c>
      <c r="G58" s="16">
        <f t="shared" si="21"/>
        <v>5</v>
      </c>
      <c r="H58" s="16">
        <f t="shared" si="21"/>
        <v>0</v>
      </c>
      <c r="I58" s="16">
        <f t="shared" si="21"/>
        <v>28</v>
      </c>
      <c r="J58" s="16">
        <f t="shared" si="21"/>
        <v>14</v>
      </c>
      <c r="K58" s="16">
        <f t="shared" si="21"/>
        <v>10</v>
      </c>
      <c r="L58" s="16">
        <f t="shared" si="21"/>
        <v>1</v>
      </c>
      <c r="M58" s="16">
        <f t="shared" si="21"/>
        <v>496</v>
      </c>
      <c r="N58" s="16">
        <f t="shared" si="21"/>
        <v>0</v>
      </c>
      <c r="O58" s="16">
        <f t="shared" si="21"/>
        <v>186</v>
      </c>
      <c r="P58" s="16">
        <f t="shared" si="21"/>
        <v>682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9.5307917888563048E-2</v>
      </c>
      <c r="D59" s="43">
        <f t="shared" si="22"/>
        <v>3.0791788856304986E-2</v>
      </c>
      <c r="E59" s="43">
        <f t="shared" si="22"/>
        <v>3.3724340175953077E-2</v>
      </c>
      <c r="F59" s="43">
        <f t="shared" si="22"/>
        <v>2.7859237536656891E-2</v>
      </c>
      <c r="G59" s="43">
        <f t="shared" si="22"/>
        <v>7.331378299120235E-3</v>
      </c>
      <c r="H59" s="43">
        <f t="shared" si="22"/>
        <v>0</v>
      </c>
      <c r="I59" s="43">
        <f t="shared" si="22"/>
        <v>4.1055718475073312E-2</v>
      </c>
      <c r="J59" s="43">
        <f t="shared" si="22"/>
        <v>2.0527859237536656E-2</v>
      </c>
      <c r="K59" s="43">
        <f t="shared" si="22"/>
        <v>1.466275659824047E-2</v>
      </c>
      <c r="L59" s="43">
        <f t="shared" si="22"/>
        <v>1.4662756598240469E-3</v>
      </c>
      <c r="M59" s="43">
        <f t="shared" si="22"/>
        <v>0.72727272727272729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0.34946236559139787</v>
      </c>
      <c r="D60" s="44">
        <f t="shared" ref="D60:N60" si="23">D58/$O$58</f>
        <v>0.11290322580645161</v>
      </c>
      <c r="E60" s="44">
        <f t="shared" si="23"/>
        <v>0.12365591397849462</v>
      </c>
      <c r="F60" s="44">
        <f t="shared" si="23"/>
        <v>0.10215053763440861</v>
      </c>
      <c r="G60" s="44">
        <f t="shared" si="23"/>
        <v>2.6881720430107527E-2</v>
      </c>
      <c r="H60" s="44">
        <f t="shared" si="23"/>
        <v>0</v>
      </c>
      <c r="I60" s="44">
        <f t="shared" si="23"/>
        <v>0.15053763440860216</v>
      </c>
      <c r="J60" s="44">
        <f t="shared" si="23"/>
        <v>7.5268817204301078E-2</v>
      </c>
      <c r="K60" s="44">
        <f t="shared" si="23"/>
        <v>5.3763440860215055E-2</v>
      </c>
      <c r="L60" s="44">
        <f t="shared" si="23"/>
        <v>5.3763440860215058E-3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topLeftCell="B1" zoomScaleSheetLayoutView="100" workbookViewId="0">
      <selection activeCell="J18" sqref="J18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1" t="s">
        <v>23</v>
      </c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</row>
    <row r="2" spans="2:32" ht="20.100000000000001" customHeight="1" x14ac:dyDescent="0.25">
      <c r="B2" s="62" t="s">
        <v>95</v>
      </c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</row>
    <row r="3" spans="2:32" ht="20.100000000000001" customHeight="1" x14ac:dyDescent="0.25">
      <c r="B3" s="22" t="s">
        <v>96</v>
      </c>
      <c r="C3" s="63" t="str">
        <f>'17.10 KANONI-SSEMBABULE'!C3:G3</f>
        <v>SSEMBABULE-KABULASOKE ROAD</v>
      </c>
      <c r="D3" s="63"/>
      <c r="E3" s="63"/>
      <c r="F3" s="63"/>
      <c r="G3" s="63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51" t="str">
        <f>'21.10 KANONI-SSEMBABULE'!D5</f>
        <v>21.10.2019</v>
      </c>
      <c r="E5" s="3"/>
      <c r="F5" s="41" t="s">
        <v>1</v>
      </c>
      <c r="G5" s="58" t="str">
        <f>'17.10 SSEMBABULE-KANONI'!G5:H5</f>
        <v>KYABI</v>
      </c>
      <c r="H5" s="59"/>
      <c r="I5" s="14"/>
      <c r="J5" s="2" t="s">
        <v>5</v>
      </c>
      <c r="K5" s="58" t="s">
        <v>170</v>
      </c>
      <c r="L5" s="59"/>
      <c r="M5" s="10"/>
      <c r="N5" s="10"/>
      <c r="O5" s="3"/>
      <c r="P5" s="3"/>
    </row>
    <row r="6" spans="2:32" ht="23.25" customHeight="1" x14ac:dyDescent="0.25">
      <c r="C6" s="2" t="s">
        <v>4</v>
      </c>
      <c r="D6" s="58" t="s">
        <v>167</v>
      </c>
      <c r="E6" s="59"/>
      <c r="F6" s="2" t="s">
        <v>2</v>
      </c>
      <c r="G6" s="58" t="s">
        <v>168</v>
      </c>
      <c r="H6" s="59"/>
      <c r="J6" s="2" t="s">
        <v>21</v>
      </c>
      <c r="K6" s="58" t="str">
        <f>'17.10 SSEMBABULE-KANONI'!K6:L6</f>
        <v>ONYUTI BETTY</v>
      </c>
      <c r="L6" s="59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0" t="s">
        <v>88</v>
      </c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1</v>
      </c>
      <c r="D10" s="50">
        <v>0</v>
      </c>
      <c r="E10" s="50">
        <v>0</v>
      </c>
      <c r="F10" s="50">
        <v>0</v>
      </c>
      <c r="G10" s="50">
        <v>0</v>
      </c>
      <c r="H10" s="50">
        <v>0</v>
      </c>
      <c r="I10" s="50">
        <v>1</v>
      </c>
      <c r="J10" s="50">
        <v>1</v>
      </c>
      <c r="K10" s="50">
        <v>0</v>
      </c>
      <c r="L10" s="50">
        <v>0</v>
      </c>
      <c r="M10" s="50">
        <v>4</v>
      </c>
      <c r="N10" s="50">
        <v>0</v>
      </c>
      <c r="O10" s="15">
        <f t="shared" ref="O10:O57" si="0">SUM(C10:L10,N10)</f>
        <v>3</v>
      </c>
      <c r="P10" s="15">
        <f t="shared" ref="P10:P57" si="1">SUM(C10:N10)</f>
        <v>7</v>
      </c>
      <c r="R10" s="1" t="s">
        <v>6</v>
      </c>
      <c r="S10" s="17">
        <f t="shared" ref="S10:AF10" si="2">SUM(C10:C13)</f>
        <v>3</v>
      </c>
      <c r="T10" s="17">
        <f t="shared" si="2"/>
        <v>1</v>
      </c>
      <c r="U10" s="17">
        <f t="shared" si="2"/>
        <v>0</v>
      </c>
      <c r="V10" s="17">
        <f t="shared" si="2"/>
        <v>0</v>
      </c>
      <c r="W10" s="17">
        <f t="shared" si="2"/>
        <v>0</v>
      </c>
      <c r="X10" s="17">
        <f t="shared" si="2"/>
        <v>0</v>
      </c>
      <c r="Y10" s="17">
        <f t="shared" si="2"/>
        <v>1</v>
      </c>
      <c r="Z10" s="17">
        <f t="shared" si="2"/>
        <v>1</v>
      </c>
      <c r="AA10" s="17">
        <f t="shared" si="2"/>
        <v>1</v>
      </c>
      <c r="AB10" s="17">
        <f t="shared" si="2"/>
        <v>0</v>
      </c>
      <c r="AC10" s="17">
        <f t="shared" si="2"/>
        <v>26</v>
      </c>
      <c r="AD10" s="17">
        <f t="shared" si="2"/>
        <v>0</v>
      </c>
      <c r="AE10" s="31">
        <f t="shared" si="2"/>
        <v>7</v>
      </c>
      <c r="AF10" s="31">
        <f t="shared" si="2"/>
        <v>33</v>
      </c>
    </row>
    <row r="11" spans="2:32" s="6" customFormat="1" ht="23.1" customHeight="1" x14ac:dyDescent="0.25">
      <c r="B11" s="23" t="s">
        <v>38</v>
      </c>
      <c r="C11" s="50">
        <v>0</v>
      </c>
      <c r="D11" s="50">
        <v>0</v>
      </c>
      <c r="E11" s="50">
        <v>0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7</v>
      </c>
      <c r="N11" s="50">
        <v>0</v>
      </c>
      <c r="O11" s="15">
        <f t="shared" si="0"/>
        <v>0</v>
      </c>
      <c r="P11" s="15">
        <f t="shared" si="1"/>
        <v>7</v>
      </c>
      <c r="R11" s="1" t="s">
        <v>7</v>
      </c>
      <c r="S11" s="17">
        <f t="shared" ref="S11:AF11" si="3">SUM(C14:C17)</f>
        <v>1</v>
      </c>
      <c r="T11" s="17">
        <f t="shared" si="3"/>
        <v>2</v>
      </c>
      <c r="U11" s="17">
        <f t="shared" si="3"/>
        <v>2</v>
      </c>
      <c r="V11" s="17">
        <f t="shared" si="3"/>
        <v>0</v>
      </c>
      <c r="W11" s="17">
        <f t="shared" si="3"/>
        <v>0</v>
      </c>
      <c r="X11" s="17">
        <f t="shared" si="3"/>
        <v>0</v>
      </c>
      <c r="Y11" s="17">
        <f t="shared" si="3"/>
        <v>1</v>
      </c>
      <c r="Z11" s="17">
        <f t="shared" si="3"/>
        <v>1</v>
      </c>
      <c r="AA11" s="17">
        <f t="shared" si="3"/>
        <v>2</v>
      </c>
      <c r="AB11" s="17">
        <f t="shared" si="3"/>
        <v>0</v>
      </c>
      <c r="AC11" s="17">
        <f t="shared" si="3"/>
        <v>31</v>
      </c>
      <c r="AD11" s="17">
        <f t="shared" si="3"/>
        <v>0</v>
      </c>
      <c r="AE11" s="31">
        <f t="shared" si="3"/>
        <v>9</v>
      </c>
      <c r="AF11" s="31">
        <f t="shared" si="3"/>
        <v>40</v>
      </c>
    </row>
    <row r="12" spans="2:32" ht="23.1" customHeight="1" x14ac:dyDescent="0.25">
      <c r="B12" s="23" t="s">
        <v>39</v>
      </c>
      <c r="C12" s="50">
        <v>2</v>
      </c>
      <c r="D12" s="50">
        <v>1</v>
      </c>
      <c r="E12" s="50">
        <v>0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8</v>
      </c>
      <c r="N12" s="50">
        <v>0</v>
      </c>
      <c r="O12" s="15">
        <f t="shared" si="0"/>
        <v>3</v>
      </c>
      <c r="P12" s="15">
        <f t="shared" si="1"/>
        <v>11</v>
      </c>
      <c r="R12" s="1" t="s">
        <v>8</v>
      </c>
      <c r="S12" s="17">
        <f t="shared" ref="S12:AF12" si="4">SUM(C18:C21)</f>
        <v>6</v>
      </c>
      <c r="T12" s="17">
        <f t="shared" si="4"/>
        <v>0</v>
      </c>
      <c r="U12" s="17">
        <f t="shared" si="4"/>
        <v>1</v>
      </c>
      <c r="V12" s="17">
        <f t="shared" si="4"/>
        <v>1</v>
      </c>
      <c r="W12" s="17">
        <f t="shared" si="4"/>
        <v>0</v>
      </c>
      <c r="X12" s="17">
        <f t="shared" si="4"/>
        <v>0</v>
      </c>
      <c r="Y12" s="17">
        <f t="shared" si="4"/>
        <v>0</v>
      </c>
      <c r="Z12" s="17">
        <f t="shared" si="4"/>
        <v>3</v>
      </c>
      <c r="AA12" s="17">
        <f t="shared" si="4"/>
        <v>0</v>
      </c>
      <c r="AB12" s="17">
        <f t="shared" si="4"/>
        <v>0</v>
      </c>
      <c r="AC12" s="17">
        <f t="shared" si="4"/>
        <v>29</v>
      </c>
      <c r="AD12" s="17">
        <f t="shared" si="4"/>
        <v>0</v>
      </c>
      <c r="AE12" s="31">
        <f t="shared" si="4"/>
        <v>11</v>
      </c>
      <c r="AF12" s="31">
        <f t="shared" si="4"/>
        <v>40</v>
      </c>
    </row>
    <row r="13" spans="2:32" ht="23.1" customHeight="1" x14ac:dyDescent="0.25">
      <c r="B13" s="23" t="s">
        <v>40</v>
      </c>
      <c r="C13" s="50">
        <v>0</v>
      </c>
      <c r="D13" s="50">
        <v>0</v>
      </c>
      <c r="E13" s="50">
        <v>0</v>
      </c>
      <c r="F13" s="50">
        <v>0</v>
      </c>
      <c r="G13" s="50">
        <v>0</v>
      </c>
      <c r="H13" s="50">
        <v>0</v>
      </c>
      <c r="I13" s="50">
        <v>0</v>
      </c>
      <c r="J13" s="50">
        <v>0</v>
      </c>
      <c r="K13" s="50">
        <v>1</v>
      </c>
      <c r="L13" s="50">
        <v>0</v>
      </c>
      <c r="M13" s="50">
        <v>7</v>
      </c>
      <c r="N13" s="50">
        <v>0</v>
      </c>
      <c r="O13" s="15">
        <f t="shared" si="0"/>
        <v>1</v>
      </c>
      <c r="P13" s="15">
        <f t="shared" si="1"/>
        <v>8</v>
      </c>
      <c r="R13" s="1" t="s">
        <v>9</v>
      </c>
      <c r="S13" s="17">
        <f t="shared" ref="S13:AF13" si="5">SUM(C22:C25)</f>
        <v>4</v>
      </c>
      <c r="T13" s="17">
        <f t="shared" si="5"/>
        <v>2</v>
      </c>
      <c r="U13" s="17">
        <f t="shared" si="5"/>
        <v>1</v>
      </c>
      <c r="V13" s="17">
        <f t="shared" si="5"/>
        <v>1</v>
      </c>
      <c r="W13" s="17">
        <f t="shared" si="5"/>
        <v>0</v>
      </c>
      <c r="X13" s="17">
        <f t="shared" si="5"/>
        <v>0</v>
      </c>
      <c r="Y13" s="17">
        <f t="shared" si="5"/>
        <v>3</v>
      </c>
      <c r="Z13" s="17">
        <f t="shared" si="5"/>
        <v>0</v>
      </c>
      <c r="AA13" s="17">
        <f t="shared" si="5"/>
        <v>1</v>
      </c>
      <c r="AB13" s="17">
        <f t="shared" si="5"/>
        <v>1</v>
      </c>
      <c r="AC13" s="17">
        <f t="shared" si="5"/>
        <v>30</v>
      </c>
      <c r="AD13" s="17">
        <f t="shared" si="5"/>
        <v>0</v>
      </c>
      <c r="AE13" s="31">
        <f t="shared" si="5"/>
        <v>13</v>
      </c>
      <c r="AF13" s="31">
        <f t="shared" si="5"/>
        <v>43</v>
      </c>
    </row>
    <row r="14" spans="2:32" ht="23.1" customHeight="1" x14ac:dyDescent="0.25">
      <c r="B14" s="23" t="s">
        <v>41</v>
      </c>
      <c r="C14" s="50">
        <v>0</v>
      </c>
      <c r="D14" s="50">
        <v>0</v>
      </c>
      <c r="E14" s="50">
        <v>2</v>
      </c>
      <c r="F14" s="50">
        <v>0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11</v>
      </c>
      <c r="N14" s="50">
        <v>0</v>
      </c>
      <c r="O14" s="15">
        <f t="shared" si="0"/>
        <v>2</v>
      </c>
      <c r="P14" s="15">
        <f t="shared" si="1"/>
        <v>13</v>
      </c>
      <c r="R14" s="1" t="s">
        <v>10</v>
      </c>
      <c r="S14" s="17">
        <f t="shared" ref="S14:AF14" si="6">SUM(C26:C29)</f>
        <v>3</v>
      </c>
      <c r="T14" s="17">
        <f t="shared" si="6"/>
        <v>3</v>
      </c>
      <c r="U14" s="17">
        <f t="shared" si="6"/>
        <v>4</v>
      </c>
      <c r="V14" s="17">
        <f t="shared" si="6"/>
        <v>1</v>
      </c>
      <c r="W14" s="17">
        <f t="shared" si="6"/>
        <v>0</v>
      </c>
      <c r="X14" s="17">
        <f t="shared" si="6"/>
        <v>0</v>
      </c>
      <c r="Y14" s="17">
        <f t="shared" si="6"/>
        <v>2</v>
      </c>
      <c r="Z14" s="17">
        <f t="shared" si="6"/>
        <v>0</v>
      </c>
      <c r="AA14" s="17">
        <f t="shared" si="6"/>
        <v>9</v>
      </c>
      <c r="AB14" s="17">
        <f t="shared" si="6"/>
        <v>0</v>
      </c>
      <c r="AC14" s="17">
        <f t="shared" si="6"/>
        <v>27</v>
      </c>
      <c r="AD14" s="17">
        <f t="shared" si="6"/>
        <v>0</v>
      </c>
      <c r="AE14" s="31">
        <f t="shared" si="6"/>
        <v>22</v>
      </c>
      <c r="AF14" s="31">
        <f t="shared" si="6"/>
        <v>49</v>
      </c>
    </row>
    <row r="15" spans="2:32" ht="23.1" customHeight="1" x14ac:dyDescent="0.25">
      <c r="B15" s="23" t="s">
        <v>42</v>
      </c>
      <c r="C15" s="50">
        <v>1</v>
      </c>
      <c r="D15" s="50">
        <v>0</v>
      </c>
      <c r="E15" s="50">
        <v>0</v>
      </c>
      <c r="F15" s="50">
        <v>0</v>
      </c>
      <c r="G15" s="50">
        <v>0</v>
      </c>
      <c r="H15" s="50">
        <v>0</v>
      </c>
      <c r="I15" s="50">
        <v>1</v>
      </c>
      <c r="J15" s="50">
        <v>1</v>
      </c>
      <c r="K15" s="50">
        <v>1</v>
      </c>
      <c r="L15" s="50">
        <v>0</v>
      </c>
      <c r="M15" s="50">
        <v>5</v>
      </c>
      <c r="N15" s="50">
        <v>0</v>
      </c>
      <c r="O15" s="15">
        <f t="shared" si="0"/>
        <v>4</v>
      </c>
      <c r="P15" s="15">
        <f t="shared" si="1"/>
        <v>9</v>
      </c>
      <c r="R15" s="1" t="s">
        <v>11</v>
      </c>
      <c r="S15" s="17">
        <f t="shared" ref="S15:AF15" si="7">SUM(C30:C33)</f>
        <v>5</v>
      </c>
      <c r="T15" s="17">
        <f t="shared" si="7"/>
        <v>0</v>
      </c>
      <c r="U15" s="17">
        <f t="shared" si="7"/>
        <v>0</v>
      </c>
      <c r="V15" s="17">
        <f t="shared" si="7"/>
        <v>0</v>
      </c>
      <c r="W15" s="17">
        <f t="shared" si="7"/>
        <v>0</v>
      </c>
      <c r="X15" s="17">
        <f t="shared" si="7"/>
        <v>0</v>
      </c>
      <c r="Y15" s="17">
        <f t="shared" si="7"/>
        <v>5</v>
      </c>
      <c r="Z15" s="17">
        <f t="shared" si="7"/>
        <v>1</v>
      </c>
      <c r="AA15" s="17">
        <f t="shared" si="7"/>
        <v>3</v>
      </c>
      <c r="AB15" s="17">
        <f t="shared" si="7"/>
        <v>0</v>
      </c>
      <c r="AC15" s="17">
        <f t="shared" si="7"/>
        <v>41</v>
      </c>
      <c r="AD15" s="17">
        <f t="shared" si="7"/>
        <v>0</v>
      </c>
      <c r="AE15" s="31">
        <f t="shared" si="7"/>
        <v>14</v>
      </c>
      <c r="AF15" s="31">
        <f t="shared" si="7"/>
        <v>55</v>
      </c>
    </row>
    <row r="16" spans="2:32" ht="23.1" customHeight="1" x14ac:dyDescent="0.25">
      <c r="B16" s="23" t="s">
        <v>43</v>
      </c>
      <c r="C16" s="50">
        <v>0</v>
      </c>
      <c r="D16" s="50">
        <v>1</v>
      </c>
      <c r="E16" s="50">
        <v>0</v>
      </c>
      <c r="F16" s="50">
        <v>0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7</v>
      </c>
      <c r="N16" s="50">
        <v>0</v>
      </c>
      <c r="O16" s="15">
        <f t="shared" si="0"/>
        <v>1</v>
      </c>
      <c r="P16" s="15">
        <f t="shared" si="1"/>
        <v>8</v>
      </c>
      <c r="R16" s="1" t="s">
        <v>12</v>
      </c>
      <c r="S16" s="17">
        <f t="shared" ref="S16:AF16" si="8">SUM(C34:C37)</f>
        <v>5</v>
      </c>
      <c r="T16" s="17">
        <f t="shared" si="8"/>
        <v>0</v>
      </c>
      <c r="U16" s="17">
        <f t="shared" si="8"/>
        <v>2</v>
      </c>
      <c r="V16" s="17">
        <f t="shared" si="8"/>
        <v>2</v>
      </c>
      <c r="W16" s="17">
        <f t="shared" si="8"/>
        <v>0</v>
      </c>
      <c r="X16" s="17">
        <f t="shared" si="8"/>
        <v>0</v>
      </c>
      <c r="Y16" s="17">
        <f t="shared" si="8"/>
        <v>1</v>
      </c>
      <c r="Z16" s="17">
        <f t="shared" si="8"/>
        <v>1</v>
      </c>
      <c r="AA16" s="17">
        <f t="shared" si="8"/>
        <v>3</v>
      </c>
      <c r="AB16" s="17">
        <f t="shared" si="8"/>
        <v>0</v>
      </c>
      <c r="AC16" s="17">
        <f t="shared" si="8"/>
        <v>32</v>
      </c>
      <c r="AD16" s="17">
        <f t="shared" si="8"/>
        <v>0</v>
      </c>
      <c r="AE16" s="31">
        <f t="shared" si="8"/>
        <v>14</v>
      </c>
      <c r="AF16" s="31">
        <f t="shared" si="8"/>
        <v>46</v>
      </c>
    </row>
    <row r="17" spans="2:32" ht="23.1" customHeight="1" x14ac:dyDescent="0.25">
      <c r="B17" s="23" t="s">
        <v>44</v>
      </c>
      <c r="C17" s="50">
        <v>0</v>
      </c>
      <c r="D17" s="50">
        <v>1</v>
      </c>
      <c r="E17" s="50">
        <v>0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v>1</v>
      </c>
      <c r="L17" s="50">
        <v>0</v>
      </c>
      <c r="M17" s="50">
        <v>8</v>
      </c>
      <c r="N17" s="50">
        <v>0</v>
      </c>
      <c r="O17" s="15">
        <f t="shared" si="0"/>
        <v>2</v>
      </c>
      <c r="P17" s="15">
        <f t="shared" si="1"/>
        <v>10</v>
      </c>
      <c r="R17" s="1" t="s">
        <v>13</v>
      </c>
      <c r="S17" s="17">
        <f t="shared" ref="S17:AF17" si="9">SUM(C38:C41)</f>
        <v>8</v>
      </c>
      <c r="T17" s="17">
        <f t="shared" si="9"/>
        <v>4</v>
      </c>
      <c r="U17" s="17">
        <f t="shared" si="9"/>
        <v>2</v>
      </c>
      <c r="V17" s="17">
        <f t="shared" si="9"/>
        <v>2</v>
      </c>
      <c r="W17" s="17">
        <f t="shared" si="9"/>
        <v>0</v>
      </c>
      <c r="X17" s="17">
        <f t="shared" si="9"/>
        <v>0</v>
      </c>
      <c r="Y17" s="17">
        <f t="shared" si="9"/>
        <v>3</v>
      </c>
      <c r="Z17" s="17">
        <f t="shared" si="9"/>
        <v>0</v>
      </c>
      <c r="AA17" s="17">
        <f t="shared" si="9"/>
        <v>0</v>
      </c>
      <c r="AB17" s="17">
        <f t="shared" si="9"/>
        <v>0</v>
      </c>
      <c r="AC17" s="17">
        <f t="shared" si="9"/>
        <v>30</v>
      </c>
      <c r="AD17" s="17">
        <f t="shared" si="9"/>
        <v>1</v>
      </c>
      <c r="AE17" s="31">
        <f t="shared" si="9"/>
        <v>20</v>
      </c>
      <c r="AF17" s="31">
        <f t="shared" si="9"/>
        <v>50</v>
      </c>
    </row>
    <row r="18" spans="2:32" ht="23.1" customHeight="1" x14ac:dyDescent="0.25">
      <c r="B18" s="23" t="s">
        <v>45</v>
      </c>
      <c r="C18" s="50">
        <v>2</v>
      </c>
      <c r="D18" s="50">
        <v>0</v>
      </c>
      <c r="E18" s="50">
        <v>0</v>
      </c>
      <c r="F18" s="50">
        <v>0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0</v>
      </c>
      <c r="M18" s="50">
        <v>6</v>
      </c>
      <c r="N18" s="50">
        <v>0</v>
      </c>
      <c r="O18" s="15">
        <f t="shared" si="0"/>
        <v>2</v>
      </c>
      <c r="P18" s="15">
        <f t="shared" si="1"/>
        <v>8</v>
      </c>
      <c r="R18" s="1" t="s">
        <v>14</v>
      </c>
      <c r="S18" s="17">
        <f t="shared" ref="S18:AF18" si="10">SUM(C42:C45)</f>
        <v>7</v>
      </c>
      <c r="T18" s="17">
        <f t="shared" si="10"/>
        <v>0</v>
      </c>
      <c r="U18" s="17">
        <f t="shared" si="10"/>
        <v>0</v>
      </c>
      <c r="V18" s="17">
        <f t="shared" si="10"/>
        <v>3</v>
      </c>
      <c r="W18" s="17">
        <f t="shared" si="10"/>
        <v>0</v>
      </c>
      <c r="X18" s="17">
        <f t="shared" si="10"/>
        <v>0</v>
      </c>
      <c r="Y18" s="17">
        <f t="shared" si="10"/>
        <v>2</v>
      </c>
      <c r="Z18" s="17">
        <f t="shared" si="10"/>
        <v>1</v>
      </c>
      <c r="AA18" s="17">
        <f t="shared" si="10"/>
        <v>3</v>
      </c>
      <c r="AB18" s="17">
        <f t="shared" si="10"/>
        <v>1</v>
      </c>
      <c r="AC18" s="17">
        <f t="shared" si="10"/>
        <v>38</v>
      </c>
      <c r="AD18" s="17">
        <f t="shared" si="10"/>
        <v>0</v>
      </c>
      <c r="AE18" s="31">
        <f t="shared" si="10"/>
        <v>17</v>
      </c>
      <c r="AF18" s="31">
        <f t="shared" si="10"/>
        <v>55</v>
      </c>
    </row>
    <row r="19" spans="2:32" ht="23.1" customHeight="1" x14ac:dyDescent="0.25">
      <c r="B19" s="23" t="s">
        <v>46</v>
      </c>
      <c r="C19" s="50">
        <v>0</v>
      </c>
      <c r="D19" s="50">
        <v>0</v>
      </c>
      <c r="E19" s="50">
        <v>0</v>
      </c>
      <c r="F19" s="50">
        <v>1</v>
      </c>
      <c r="G19" s="50">
        <v>0</v>
      </c>
      <c r="H19" s="50">
        <v>0</v>
      </c>
      <c r="I19" s="50">
        <v>0</v>
      </c>
      <c r="J19" s="50">
        <v>0</v>
      </c>
      <c r="K19" s="50">
        <v>0</v>
      </c>
      <c r="L19" s="50">
        <v>0</v>
      </c>
      <c r="M19" s="50">
        <v>6</v>
      </c>
      <c r="N19" s="50">
        <v>0</v>
      </c>
      <c r="O19" s="15">
        <f t="shared" si="0"/>
        <v>1</v>
      </c>
      <c r="P19" s="15">
        <f t="shared" si="1"/>
        <v>7</v>
      </c>
      <c r="R19" s="1" t="s">
        <v>15</v>
      </c>
      <c r="S19" s="17">
        <f t="shared" ref="S19:AF19" si="11">SUM(C46:C49)</f>
        <v>4</v>
      </c>
      <c r="T19" s="17">
        <f t="shared" si="11"/>
        <v>2</v>
      </c>
      <c r="U19" s="17">
        <f t="shared" si="11"/>
        <v>3</v>
      </c>
      <c r="V19" s="17">
        <f t="shared" si="11"/>
        <v>1</v>
      </c>
      <c r="W19" s="17">
        <f t="shared" si="11"/>
        <v>0</v>
      </c>
      <c r="X19" s="17">
        <f t="shared" si="11"/>
        <v>0</v>
      </c>
      <c r="Y19" s="17">
        <f t="shared" si="11"/>
        <v>5</v>
      </c>
      <c r="Z19" s="17">
        <f t="shared" si="11"/>
        <v>1</v>
      </c>
      <c r="AA19" s="17">
        <f t="shared" si="11"/>
        <v>3</v>
      </c>
      <c r="AB19" s="17">
        <f t="shared" si="11"/>
        <v>0</v>
      </c>
      <c r="AC19" s="17">
        <f t="shared" si="11"/>
        <v>49</v>
      </c>
      <c r="AD19" s="17">
        <f t="shared" si="11"/>
        <v>0</v>
      </c>
      <c r="AE19" s="31">
        <f t="shared" si="11"/>
        <v>19</v>
      </c>
      <c r="AF19" s="31">
        <f t="shared" si="11"/>
        <v>68</v>
      </c>
    </row>
    <row r="20" spans="2:32" ht="23.1" customHeight="1" x14ac:dyDescent="0.25">
      <c r="B20" s="23" t="s">
        <v>47</v>
      </c>
      <c r="C20" s="50">
        <v>4</v>
      </c>
      <c r="D20" s="50">
        <v>0</v>
      </c>
      <c r="E20" s="50">
        <v>0</v>
      </c>
      <c r="F20" s="50">
        <v>0</v>
      </c>
      <c r="G20" s="50">
        <v>0</v>
      </c>
      <c r="H20" s="50">
        <v>0</v>
      </c>
      <c r="I20" s="50">
        <v>0</v>
      </c>
      <c r="J20" s="50">
        <v>2</v>
      </c>
      <c r="K20" s="50">
        <v>0</v>
      </c>
      <c r="L20" s="50">
        <v>0</v>
      </c>
      <c r="M20" s="50">
        <v>14</v>
      </c>
      <c r="N20" s="50">
        <v>0</v>
      </c>
      <c r="O20" s="15">
        <f t="shared" si="0"/>
        <v>6</v>
      </c>
      <c r="P20" s="15">
        <f t="shared" si="1"/>
        <v>20</v>
      </c>
      <c r="R20" s="1" t="s">
        <v>16</v>
      </c>
      <c r="S20" s="17">
        <f t="shared" ref="S20:AF20" si="12">SUM(C50:C53)</f>
        <v>4</v>
      </c>
      <c r="T20" s="17">
        <f t="shared" si="12"/>
        <v>2</v>
      </c>
      <c r="U20" s="17">
        <f t="shared" si="12"/>
        <v>2</v>
      </c>
      <c r="V20" s="17">
        <f t="shared" si="12"/>
        <v>1</v>
      </c>
      <c r="W20" s="17">
        <f t="shared" si="12"/>
        <v>1</v>
      </c>
      <c r="X20" s="17">
        <f t="shared" si="12"/>
        <v>0</v>
      </c>
      <c r="Y20" s="17">
        <f t="shared" si="12"/>
        <v>4</v>
      </c>
      <c r="Z20" s="17">
        <f t="shared" si="12"/>
        <v>1</v>
      </c>
      <c r="AA20" s="17">
        <f t="shared" si="12"/>
        <v>1</v>
      </c>
      <c r="AB20" s="17">
        <f t="shared" si="12"/>
        <v>0</v>
      </c>
      <c r="AC20" s="17">
        <f t="shared" si="12"/>
        <v>49</v>
      </c>
      <c r="AD20" s="17">
        <f t="shared" si="12"/>
        <v>0</v>
      </c>
      <c r="AE20" s="31">
        <f t="shared" si="12"/>
        <v>16</v>
      </c>
      <c r="AF20" s="31">
        <f t="shared" si="12"/>
        <v>65</v>
      </c>
    </row>
    <row r="21" spans="2:32" ht="23.1" customHeight="1" x14ac:dyDescent="0.25">
      <c r="B21" s="23" t="s">
        <v>48</v>
      </c>
      <c r="C21" s="50">
        <v>0</v>
      </c>
      <c r="D21" s="50">
        <v>0</v>
      </c>
      <c r="E21" s="50">
        <v>1</v>
      </c>
      <c r="F21" s="50">
        <v>0</v>
      </c>
      <c r="G21" s="50">
        <v>0</v>
      </c>
      <c r="H21" s="50">
        <v>0</v>
      </c>
      <c r="I21" s="50">
        <v>0</v>
      </c>
      <c r="J21" s="50">
        <v>1</v>
      </c>
      <c r="K21" s="50">
        <v>0</v>
      </c>
      <c r="L21" s="50">
        <v>0</v>
      </c>
      <c r="M21" s="50">
        <v>3</v>
      </c>
      <c r="N21" s="50">
        <v>0</v>
      </c>
      <c r="O21" s="15">
        <f t="shared" si="0"/>
        <v>2</v>
      </c>
      <c r="P21" s="15">
        <f t="shared" si="1"/>
        <v>5</v>
      </c>
      <c r="R21" s="36" t="s">
        <v>20</v>
      </c>
      <c r="S21" s="34">
        <f t="shared" ref="S21:AF21" si="13">SUM(C54:C57)</f>
        <v>10</v>
      </c>
      <c r="T21" s="17">
        <f t="shared" si="13"/>
        <v>1</v>
      </c>
      <c r="U21" s="17">
        <f t="shared" si="13"/>
        <v>0</v>
      </c>
      <c r="V21" s="17">
        <f t="shared" si="13"/>
        <v>1</v>
      </c>
      <c r="W21" s="17">
        <f t="shared" si="13"/>
        <v>0</v>
      </c>
      <c r="X21" s="17">
        <f t="shared" si="13"/>
        <v>0</v>
      </c>
      <c r="Y21" s="17">
        <f t="shared" si="13"/>
        <v>5</v>
      </c>
      <c r="Z21" s="17">
        <f t="shared" si="13"/>
        <v>0</v>
      </c>
      <c r="AA21" s="17">
        <f t="shared" si="13"/>
        <v>3</v>
      </c>
      <c r="AB21" s="17">
        <f t="shared" si="13"/>
        <v>0</v>
      </c>
      <c r="AC21" s="17">
        <f t="shared" si="13"/>
        <v>49</v>
      </c>
      <c r="AD21" s="17">
        <f t="shared" si="13"/>
        <v>0</v>
      </c>
      <c r="AE21" s="31">
        <f t="shared" si="13"/>
        <v>20</v>
      </c>
      <c r="AF21" s="31">
        <f t="shared" si="13"/>
        <v>69</v>
      </c>
    </row>
    <row r="22" spans="2:32" ht="23.1" customHeight="1" x14ac:dyDescent="0.25">
      <c r="B22" s="23" t="s">
        <v>49</v>
      </c>
      <c r="C22" s="50">
        <v>0</v>
      </c>
      <c r="D22" s="50">
        <v>0</v>
      </c>
      <c r="E22" s="50">
        <v>0</v>
      </c>
      <c r="F22" s="50">
        <v>1</v>
      </c>
      <c r="G22" s="50">
        <v>0</v>
      </c>
      <c r="H22" s="50">
        <v>0</v>
      </c>
      <c r="I22" s="50">
        <v>1</v>
      </c>
      <c r="J22" s="50">
        <v>0</v>
      </c>
      <c r="K22" s="50">
        <v>0</v>
      </c>
      <c r="L22" s="50">
        <v>0</v>
      </c>
      <c r="M22" s="50">
        <v>6</v>
      </c>
      <c r="N22" s="50">
        <v>0</v>
      </c>
      <c r="O22" s="15">
        <f t="shared" si="0"/>
        <v>2</v>
      </c>
      <c r="P22" s="15">
        <f t="shared" si="1"/>
        <v>8</v>
      </c>
      <c r="R22" s="38" t="s">
        <v>90</v>
      </c>
      <c r="S22" s="39">
        <f>MAX(S10:S12)</f>
        <v>6</v>
      </c>
      <c r="T22" s="39">
        <f t="shared" ref="T22:AF22" si="14">MAX(T10:T12)</f>
        <v>2</v>
      </c>
      <c r="U22" s="39">
        <f t="shared" si="14"/>
        <v>2</v>
      </c>
      <c r="V22" s="39">
        <f t="shared" si="14"/>
        <v>1</v>
      </c>
      <c r="W22" s="39">
        <f t="shared" si="14"/>
        <v>0</v>
      </c>
      <c r="X22" s="39">
        <f t="shared" si="14"/>
        <v>0</v>
      </c>
      <c r="Y22" s="39">
        <f t="shared" si="14"/>
        <v>1</v>
      </c>
      <c r="Z22" s="39">
        <f t="shared" si="14"/>
        <v>3</v>
      </c>
      <c r="AA22" s="39">
        <f t="shared" si="14"/>
        <v>2</v>
      </c>
      <c r="AB22" s="39">
        <f t="shared" si="14"/>
        <v>0</v>
      </c>
      <c r="AC22" s="39">
        <f t="shared" si="14"/>
        <v>31</v>
      </c>
      <c r="AD22" s="39">
        <f t="shared" si="14"/>
        <v>0</v>
      </c>
      <c r="AE22" s="40">
        <f t="shared" si="14"/>
        <v>11</v>
      </c>
      <c r="AF22" s="40">
        <f t="shared" si="14"/>
        <v>40</v>
      </c>
    </row>
    <row r="23" spans="2:32" ht="23.1" customHeight="1" x14ac:dyDescent="0.25">
      <c r="B23" s="23" t="s">
        <v>50</v>
      </c>
      <c r="C23" s="50">
        <v>0</v>
      </c>
      <c r="D23" s="50">
        <v>0</v>
      </c>
      <c r="E23" s="50">
        <v>1</v>
      </c>
      <c r="F23" s="50">
        <v>0</v>
      </c>
      <c r="G23" s="50">
        <v>0</v>
      </c>
      <c r="H23" s="50">
        <v>0</v>
      </c>
      <c r="I23" s="50">
        <v>1</v>
      </c>
      <c r="J23" s="50">
        <v>0</v>
      </c>
      <c r="K23" s="50">
        <v>1</v>
      </c>
      <c r="L23" s="50">
        <v>0</v>
      </c>
      <c r="M23" s="50">
        <v>8</v>
      </c>
      <c r="N23" s="50">
        <v>0</v>
      </c>
      <c r="O23" s="15">
        <f t="shared" si="0"/>
        <v>3</v>
      </c>
      <c r="P23" s="15">
        <f t="shared" si="1"/>
        <v>11</v>
      </c>
      <c r="R23" s="38" t="s">
        <v>91</v>
      </c>
      <c r="S23" s="39">
        <f>MAX(S13:S18)</f>
        <v>8</v>
      </c>
      <c r="T23" s="39">
        <f t="shared" ref="T23:AF23" si="15">MAX(T13:T18)</f>
        <v>4</v>
      </c>
      <c r="U23" s="39">
        <f t="shared" si="15"/>
        <v>4</v>
      </c>
      <c r="V23" s="39">
        <f t="shared" si="15"/>
        <v>3</v>
      </c>
      <c r="W23" s="39">
        <f t="shared" si="15"/>
        <v>0</v>
      </c>
      <c r="X23" s="39">
        <f t="shared" si="15"/>
        <v>0</v>
      </c>
      <c r="Y23" s="39">
        <f t="shared" si="15"/>
        <v>5</v>
      </c>
      <c r="Z23" s="39">
        <f t="shared" si="15"/>
        <v>1</v>
      </c>
      <c r="AA23" s="39">
        <f t="shared" si="15"/>
        <v>9</v>
      </c>
      <c r="AB23" s="39">
        <f t="shared" si="15"/>
        <v>1</v>
      </c>
      <c r="AC23" s="39">
        <f t="shared" si="15"/>
        <v>41</v>
      </c>
      <c r="AD23" s="39">
        <f t="shared" si="15"/>
        <v>1</v>
      </c>
      <c r="AE23" s="40">
        <f t="shared" si="15"/>
        <v>22</v>
      </c>
      <c r="AF23" s="40">
        <f t="shared" si="15"/>
        <v>55</v>
      </c>
    </row>
    <row r="24" spans="2:32" ht="23.1" customHeight="1" x14ac:dyDescent="0.25">
      <c r="B24" s="23" t="s">
        <v>51</v>
      </c>
      <c r="C24" s="50">
        <v>2</v>
      </c>
      <c r="D24" s="50">
        <v>2</v>
      </c>
      <c r="E24" s="50">
        <v>0</v>
      </c>
      <c r="F24" s="50">
        <v>0</v>
      </c>
      <c r="G24" s="50">
        <v>0</v>
      </c>
      <c r="H24" s="50">
        <v>0</v>
      </c>
      <c r="I24" s="50">
        <v>0</v>
      </c>
      <c r="J24" s="50">
        <v>0</v>
      </c>
      <c r="K24" s="50">
        <v>0</v>
      </c>
      <c r="L24" s="50">
        <v>0</v>
      </c>
      <c r="M24" s="50">
        <v>11</v>
      </c>
      <c r="N24" s="50">
        <v>0</v>
      </c>
      <c r="O24" s="15">
        <f t="shared" si="0"/>
        <v>4</v>
      </c>
      <c r="P24" s="15">
        <f t="shared" si="1"/>
        <v>15</v>
      </c>
      <c r="R24" s="38" t="s">
        <v>92</v>
      </c>
      <c r="S24" s="39">
        <f>MAX(S19:S21)</f>
        <v>10</v>
      </c>
      <c r="T24" s="39">
        <f t="shared" ref="T24:AF24" si="16">MAX(T19:T21)</f>
        <v>2</v>
      </c>
      <c r="U24" s="39">
        <f t="shared" si="16"/>
        <v>3</v>
      </c>
      <c r="V24" s="39">
        <f t="shared" si="16"/>
        <v>1</v>
      </c>
      <c r="W24" s="39">
        <f t="shared" si="16"/>
        <v>1</v>
      </c>
      <c r="X24" s="39">
        <f t="shared" si="16"/>
        <v>0</v>
      </c>
      <c r="Y24" s="39">
        <f t="shared" si="16"/>
        <v>5</v>
      </c>
      <c r="Z24" s="39">
        <f t="shared" si="16"/>
        <v>1</v>
      </c>
      <c r="AA24" s="39">
        <f t="shared" si="16"/>
        <v>3</v>
      </c>
      <c r="AB24" s="39">
        <f t="shared" si="16"/>
        <v>0</v>
      </c>
      <c r="AC24" s="39">
        <f t="shared" si="16"/>
        <v>49</v>
      </c>
      <c r="AD24" s="39">
        <f t="shared" si="16"/>
        <v>0</v>
      </c>
      <c r="AE24" s="40">
        <f t="shared" si="16"/>
        <v>20</v>
      </c>
      <c r="AF24" s="40">
        <f t="shared" si="16"/>
        <v>69</v>
      </c>
    </row>
    <row r="25" spans="2:32" ht="23.1" customHeight="1" x14ac:dyDescent="0.25">
      <c r="B25" s="23" t="s">
        <v>52</v>
      </c>
      <c r="C25" s="50">
        <v>2</v>
      </c>
      <c r="D25" s="50">
        <v>0</v>
      </c>
      <c r="E25" s="50">
        <v>0</v>
      </c>
      <c r="F25" s="50">
        <v>0</v>
      </c>
      <c r="G25" s="50">
        <v>0</v>
      </c>
      <c r="H25" s="50">
        <v>0</v>
      </c>
      <c r="I25" s="50">
        <v>1</v>
      </c>
      <c r="J25" s="50">
        <v>0</v>
      </c>
      <c r="K25" s="50">
        <v>0</v>
      </c>
      <c r="L25" s="50">
        <v>1</v>
      </c>
      <c r="M25" s="50">
        <v>5</v>
      </c>
      <c r="N25" s="50">
        <v>0</v>
      </c>
      <c r="O25" s="15">
        <f t="shared" si="0"/>
        <v>4</v>
      </c>
      <c r="P25" s="15">
        <f t="shared" si="1"/>
        <v>9</v>
      </c>
      <c r="R25" s="37" t="s">
        <v>85</v>
      </c>
      <c r="S25" s="35">
        <f t="shared" ref="S25:AF25" si="17">SUM(S10:S12)</f>
        <v>10</v>
      </c>
      <c r="T25" s="16">
        <f t="shared" si="17"/>
        <v>3</v>
      </c>
      <c r="U25" s="16">
        <f t="shared" si="17"/>
        <v>3</v>
      </c>
      <c r="V25" s="16">
        <f t="shared" si="17"/>
        <v>1</v>
      </c>
      <c r="W25" s="16">
        <f t="shared" si="17"/>
        <v>0</v>
      </c>
      <c r="X25" s="16">
        <f t="shared" si="17"/>
        <v>0</v>
      </c>
      <c r="Y25" s="16">
        <f t="shared" si="17"/>
        <v>2</v>
      </c>
      <c r="Z25" s="16">
        <f t="shared" si="17"/>
        <v>5</v>
      </c>
      <c r="AA25" s="16">
        <f t="shared" si="17"/>
        <v>3</v>
      </c>
      <c r="AB25" s="16">
        <f t="shared" si="17"/>
        <v>0</v>
      </c>
      <c r="AC25" s="16">
        <f t="shared" si="17"/>
        <v>86</v>
      </c>
      <c r="AD25" s="16">
        <f t="shared" si="17"/>
        <v>0</v>
      </c>
      <c r="AE25" s="32">
        <f t="shared" si="17"/>
        <v>27</v>
      </c>
      <c r="AF25" s="32">
        <f t="shared" si="17"/>
        <v>113</v>
      </c>
    </row>
    <row r="26" spans="2:32" ht="23.1" customHeight="1" x14ac:dyDescent="0.25">
      <c r="B26" s="23" t="s">
        <v>53</v>
      </c>
      <c r="C26" s="50">
        <v>1</v>
      </c>
      <c r="D26" s="50">
        <v>1</v>
      </c>
      <c r="E26" s="50">
        <v>1</v>
      </c>
      <c r="F26" s="50">
        <v>1</v>
      </c>
      <c r="G26" s="50">
        <v>0</v>
      </c>
      <c r="H26" s="50">
        <v>0</v>
      </c>
      <c r="I26" s="50">
        <v>1</v>
      </c>
      <c r="J26" s="50">
        <v>0</v>
      </c>
      <c r="K26" s="50">
        <v>2</v>
      </c>
      <c r="L26" s="50">
        <v>0</v>
      </c>
      <c r="M26" s="50">
        <v>5</v>
      </c>
      <c r="N26" s="50">
        <v>0</v>
      </c>
      <c r="O26" s="15">
        <f t="shared" si="0"/>
        <v>7</v>
      </c>
      <c r="P26" s="15">
        <f t="shared" si="1"/>
        <v>12</v>
      </c>
      <c r="R26" s="28" t="s">
        <v>86</v>
      </c>
      <c r="S26" s="16">
        <f t="shared" ref="S26:AF26" si="18">SUM(S13:S18)</f>
        <v>32</v>
      </c>
      <c r="T26" s="16">
        <f t="shared" si="18"/>
        <v>9</v>
      </c>
      <c r="U26" s="16">
        <f t="shared" si="18"/>
        <v>9</v>
      </c>
      <c r="V26" s="16">
        <f t="shared" si="18"/>
        <v>9</v>
      </c>
      <c r="W26" s="16">
        <f t="shared" si="18"/>
        <v>0</v>
      </c>
      <c r="X26" s="16">
        <f t="shared" si="18"/>
        <v>0</v>
      </c>
      <c r="Y26" s="16">
        <f t="shared" si="18"/>
        <v>16</v>
      </c>
      <c r="Z26" s="16">
        <f t="shared" si="18"/>
        <v>3</v>
      </c>
      <c r="AA26" s="16">
        <f t="shared" si="18"/>
        <v>19</v>
      </c>
      <c r="AB26" s="16">
        <f t="shared" si="18"/>
        <v>2</v>
      </c>
      <c r="AC26" s="16">
        <f t="shared" si="18"/>
        <v>198</v>
      </c>
      <c r="AD26" s="16">
        <f t="shared" si="18"/>
        <v>1</v>
      </c>
      <c r="AE26" s="32">
        <f t="shared" si="18"/>
        <v>100</v>
      </c>
      <c r="AF26" s="32">
        <f t="shared" si="18"/>
        <v>298</v>
      </c>
    </row>
    <row r="27" spans="2:32" ht="23.1" customHeight="1" x14ac:dyDescent="0.25">
      <c r="B27" s="23" t="s">
        <v>54</v>
      </c>
      <c r="C27" s="50">
        <v>0</v>
      </c>
      <c r="D27" s="50">
        <v>1</v>
      </c>
      <c r="E27" s="50">
        <v>0</v>
      </c>
      <c r="F27" s="50">
        <v>0</v>
      </c>
      <c r="G27" s="50">
        <v>0</v>
      </c>
      <c r="H27" s="50">
        <v>0</v>
      </c>
      <c r="I27" s="50">
        <v>1</v>
      </c>
      <c r="J27" s="50">
        <v>0</v>
      </c>
      <c r="K27" s="50">
        <v>1</v>
      </c>
      <c r="L27" s="50">
        <v>0</v>
      </c>
      <c r="M27" s="50">
        <v>9</v>
      </c>
      <c r="N27" s="50">
        <v>0</v>
      </c>
      <c r="O27" s="15">
        <f t="shared" si="0"/>
        <v>3</v>
      </c>
      <c r="P27" s="15">
        <f t="shared" si="1"/>
        <v>12</v>
      </c>
      <c r="R27" s="29" t="s">
        <v>87</v>
      </c>
      <c r="S27" s="16">
        <f t="shared" ref="S27:AF27" si="19">SUM(S19:S21)</f>
        <v>18</v>
      </c>
      <c r="T27" s="16">
        <f t="shared" si="19"/>
        <v>5</v>
      </c>
      <c r="U27" s="16">
        <f t="shared" si="19"/>
        <v>5</v>
      </c>
      <c r="V27" s="16">
        <f t="shared" si="19"/>
        <v>3</v>
      </c>
      <c r="W27" s="16">
        <f t="shared" si="19"/>
        <v>1</v>
      </c>
      <c r="X27" s="16">
        <f t="shared" si="19"/>
        <v>0</v>
      </c>
      <c r="Y27" s="16">
        <f t="shared" si="19"/>
        <v>14</v>
      </c>
      <c r="Z27" s="16">
        <f t="shared" si="19"/>
        <v>2</v>
      </c>
      <c r="AA27" s="16">
        <f t="shared" si="19"/>
        <v>7</v>
      </c>
      <c r="AB27" s="16">
        <f t="shared" si="19"/>
        <v>0</v>
      </c>
      <c r="AC27" s="16">
        <f t="shared" si="19"/>
        <v>147</v>
      </c>
      <c r="AD27" s="16">
        <f t="shared" si="19"/>
        <v>0</v>
      </c>
      <c r="AE27" s="32">
        <f t="shared" si="19"/>
        <v>55</v>
      </c>
      <c r="AF27" s="32">
        <f t="shared" si="19"/>
        <v>202</v>
      </c>
    </row>
    <row r="28" spans="2:32" ht="23.1" customHeight="1" x14ac:dyDescent="0.25">
      <c r="B28" s="23" t="s">
        <v>55</v>
      </c>
      <c r="C28" s="50">
        <v>1</v>
      </c>
      <c r="D28" s="50">
        <v>0</v>
      </c>
      <c r="E28" s="50">
        <v>3</v>
      </c>
      <c r="F28" s="50">
        <v>0</v>
      </c>
      <c r="G28" s="50">
        <v>0</v>
      </c>
      <c r="H28" s="50">
        <v>0</v>
      </c>
      <c r="I28" s="50">
        <v>0</v>
      </c>
      <c r="J28" s="50">
        <v>0</v>
      </c>
      <c r="K28" s="50">
        <v>4</v>
      </c>
      <c r="L28" s="50">
        <v>0</v>
      </c>
      <c r="M28" s="50">
        <v>6</v>
      </c>
      <c r="N28" s="50">
        <v>0</v>
      </c>
      <c r="O28" s="15">
        <f t="shared" si="0"/>
        <v>8</v>
      </c>
      <c r="P28" s="15">
        <f t="shared" si="1"/>
        <v>14</v>
      </c>
      <c r="R28" s="5" t="s">
        <v>17</v>
      </c>
      <c r="S28" s="16">
        <f t="shared" ref="S28:AF28" si="20">SUM(S10:S21)</f>
        <v>60</v>
      </c>
      <c r="T28" s="16">
        <f t="shared" si="20"/>
        <v>17</v>
      </c>
      <c r="U28" s="16">
        <f t="shared" si="20"/>
        <v>17</v>
      </c>
      <c r="V28" s="16">
        <f t="shared" si="20"/>
        <v>13</v>
      </c>
      <c r="W28" s="16">
        <f t="shared" si="20"/>
        <v>1</v>
      </c>
      <c r="X28" s="16">
        <f t="shared" si="20"/>
        <v>0</v>
      </c>
      <c r="Y28" s="16">
        <f t="shared" si="20"/>
        <v>32</v>
      </c>
      <c r="Z28" s="16">
        <f t="shared" si="20"/>
        <v>10</v>
      </c>
      <c r="AA28" s="16">
        <f t="shared" si="20"/>
        <v>29</v>
      </c>
      <c r="AB28" s="16">
        <f t="shared" si="20"/>
        <v>2</v>
      </c>
      <c r="AC28" s="16">
        <f t="shared" si="20"/>
        <v>431</v>
      </c>
      <c r="AD28" s="16">
        <f t="shared" si="20"/>
        <v>1</v>
      </c>
      <c r="AE28" s="32">
        <f t="shared" si="20"/>
        <v>182</v>
      </c>
      <c r="AF28" s="32">
        <f t="shared" si="20"/>
        <v>613</v>
      </c>
    </row>
    <row r="29" spans="2:32" ht="23.1" customHeight="1" x14ac:dyDescent="0.25">
      <c r="B29" s="23" t="s">
        <v>56</v>
      </c>
      <c r="C29" s="50">
        <v>1</v>
      </c>
      <c r="D29" s="50">
        <v>1</v>
      </c>
      <c r="E29" s="50">
        <v>0</v>
      </c>
      <c r="F29" s="50">
        <v>0</v>
      </c>
      <c r="G29" s="50">
        <v>0</v>
      </c>
      <c r="H29" s="50">
        <v>0</v>
      </c>
      <c r="I29" s="50">
        <v>0</v>
      </c>
      <c r="J29" s="50">
        <v>0</v>
      </c>
      <c r="K29" s="50">
        <v>2</v>
      </c>
      <c r="L29" s="50">
        <v>0</v>
      </c>
      <c r="M29" s="50">
        <v>7</v>
      </c>
      <c r="N29" s="50">
        <v>0</v>
      </c>
      <c r="O29" s="15">
        <f t="shared" si="0"/>
        <v>4</v>
      </c>
      <c r="P29" s="15">
        <f t="shared" si="1"/>
        <v>11</v>
      </c>
      <c r="R29"/>
      <c r="S29" s="20"/>
      <c r="T29" s="19"/>
    </row>
    <row r="30" spans="2:32" ht="23.1" customHeight="1" x14ac:dyDescent="0.25">
      <c r="B30" s="23" t="s">
        <v>57</v>
      </c>
      <c r="C30" s="50">
        <v>0</v>
      </c>
      <c r="D30" s="50">
        <v>0</v>
      </c>
      <c r="E30" s="50">
        <v>0</v>
      </c>
      <c r="F30" s="50">
        <v>0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0</v>
      </c>
      <c r="M30" s="50">
        <v>3</v>
      </c>
      <c r="N30" s="50">
        <v>0</v>
      </c>
      <c r="O30" s="15">
        <f t="shared" si="0"/>
        <v>0</v>
      </c>
      <c r="P30" s="15">
        <f t="shared" si="1"/>
        <v>3</v>
      </c>
    </row>
    <row r="31" spans="2:32" ht="23.1" customHeight="1" x14ac:dyDescent="0.25">
      <c r="B31" s="24" t="s">
        <v>58</v>
      </c>
      <c r="C31" s="50">
        <v>2</v>
      </c>
      <c r="D31" s="50">
        <v>0</v>
      </c>
      <c r="E31" s="50">
        <v>0</v>
      </c>
      <c r="F31" s="50">
        <v>0</v>
      </c>
      <c r="G31" s="50">
        <v>0</v>
      </c>
      <c r="H31" s="50">
        <v>0</v>
      </c>
      <c r="I31" s="50">
        <v>4</v>
      </c>
      <c r="J31" s="50">
        <v>1</v>
      </c>
      <c r="K31" s="50">
        <v>1</v>
      </c>
      <c r="L31" s="50">
        <v>0</v>
      </c>
      <c r="M31" s="50">
        <v>8</v>
      </c>
      <c r="N31" s="50">
        <v>0</v>
      </c>
      <c r="O31" s="15">
        <f t="shared" si="0"/>
        <v>8</v>
      </c>
      <c r="P31" s="15">
        <f t="shared" si="1"/>
        <v>16</v>
      </c>
    </row>
    <row r="32" spans="2:32" ht="23.1" customHeight="1" x14ac:dyDescent="0.25">
      <c r="B32" s="24" t="s">
        <v>59</v>
      </c>
      <c r="C32" s="50">
        <v>0</v>
      </c>
      <c r="D32" s="50">
        <v>0</v>
      </c>
      <c r="E32" s="50">
        <v>0</v>
      </c>
      <c r="F32" s="50">
        <v>0</v>
      </c>
      <c r="G32" s="50">
        <v>0</v>
      </c>
      <c r="H32" s="50">
        <v>0</v>
      </c>
      <c r="I32" s="50">
        <v>1</v>
      </c>
      <c r="J32" s="50">
        <v>0</v>
      </c>
      <c r="K32" s="50">
        <v>0</v>
      </c>
      <c r="L32" s="50">
        <v>0</v>
      </c>
      <c r="M32" s="50">
        <v>14</v>
      </c>
      <c r="N32" s="50">
        <v>0</v>
      </c>
      <c r="O32" s="15">
        <f t="shared" si="0"/>
        <v>1</v>
      </c>
      <c r="P32" s="15">
        <f t="shared" si="1"/>
        <v>15</v>
      </c>
    </row>
    <row r="33" spans="2:20" ht="23.1" customHeight="1" x14ac:dyDescent="0.25">
      <c r="B33" s="23" t="s">
        <v>60</v>
      </c>
      <c r="C33" s="50">
        <v>3</v>
      </c>
      <c r="D33" s="50">
        <v>0</v>
      </c>
      <c r="E33" s="50">
        <v>0</v>
      </c>
      <c r="F33" s="50">
        <v>0</v>
      </c>
      <c r="G33" s="50">
        <v>0</v>
      </c>
      <c r="H33" s="50">
        <v>0</v>
      </c>
      <c r="I33" s="50">
        <v>0</v>
      </c>
      <c r="J33" s="50">
        <v>0</v>
      </c>
      <c r="K33" s="50">
        <v>2</v>
      </c>
      <c r="L33" s="50">
        <v>0</v>
      </c>
      <c r="M33" s="50">
        <v>16</v>
      </c>
      <c r="N33" s="50">
        <v>0</v>
      </c>
      <c r="O33" s="15">
        <f t="shared" si="0"/>
        <v>5</v>
      </c>
      <c r="P33" s="15">
        <f t="shared" si="1"/>
        <v>21</v>
      </c>
    </row>
    <row r="34" spans="2:20" ht="23.1" customHeight="1" x14ac:dyDescent="0.25">
      <c r="B34" s="24" t="s">
        <v>61</v>
      </c>
      <c r="C34" s="50">
        <v>2</v>
      </c>
      <c r="D34" s="50">
        <v>0</v>
      </c>
      <c r="E34" s="50">
        <v>1</v>
      </c>
      <c r="F34" s="50">
        <v>1</v>
      </c>
      <c r="G34" s="50">
        <v>0</v>
      </c>
      <c r="H34" s="50">
        <v>0</v>
      </c>
      <c r="I34" s="50">
        <v>1</v>
      </c>
      <c r="J34" s="50">
        <v>0</v>
      </c>
      <c r="K34" s="50">
        <v>0</v>
      </c>
      <c r="L34" s="50">
        <v>0</v>
      </c>
      <c r="M34" s="50">
        <v>5</v>
      </c>
      <c r="N34" s="50">
        <v>0</v>
      </c>
      <c r="O34" s="15">
        <f t="shared" si="0"/>
        <v>5</v>
      </c>
      <c r="P34" s="15">
        <f t="shared" si="1"/>
        <v>10</v>
      </c>
    </row>
    <row r="35" spans="2:20" ht="23.1" customHeight="1" x14ac:dyDescent="0.25">
      <c r="B35" s="24" t="s">
        <v>62</v>
      </c>
      <c r="C35" s="50">
        <v>1</v>
      </c>
      <c r="D35" s="50">
        <v>0</v>
      </c>
      <c r="E35" s="50">
        <v>0</v>
      </c>
      <c r="F35" s="50">
        <v>0</v>
      </c>
      <c r="G35" s="50">
        <v>0</v>
      </c>
      <c r="H35" s="50">
        <v>0</v>
      </c>
      <c r="I35" s="50">
        <v>0</v>
      </c>
      <c r="J35" s="50">
        <v>0</v>
      </c>
      <c r="K35" s="50">
        <v>1</v>
      </c>
      <c r="L35" s="50">
        <v>0</v>
      </c>
      <c r="M35" s="50">
        <v>8</v>
      </c>
      <c r="N35" s="50">
        <v>0</v>
      </c>
      <c r="O35" s="15">
        <f t="shared" si="0"/>
        <v>2</v>
      </c>
      <c r="P35" s="15">
        <f t="shared" si="1"/>
        <v>10</v>
      </c>
    </row>
    <row r="36" spans="2:20" ht="23.1" customHeight="1" x14ac:dyDescent="0.25">
      <c r="B36" s="24" t="s">
        <v>63</v>
      </c>
      <c r="C36" s="50">
        <v>1</v>
      </c>
      <c r="D36" s="50">
        <v>0</v>
      </c>
      <c r="E36" s="50">
        <v>0</v>
      </c>
      <c r="F36" s="50">
        <v>0</v>
      </c>
      <c r="G36" s="50">
        <v>0</v>
      </c>
      <c r="H36" s="50">
        <v>0</v>
      </c>
      <c r="I36" s="50">
        <v>0</v>
      </c>
      <c r="J36" s="50">
        <v>1</v>
      </c>
      <c r="K36" s="50">
        <v>2</v>
      </c>
      <c r="L36" s="50">
        <v>0</v>
      </c>
      <c r="M36" s="50">
        <v>11</v>
      </c>
      <c r="N36" s="50">
        <v>0</v>
      </c>
      <c r="O36" s="15">
        <f t="shared" si="0"/>
        <v>4</v>
      </c>
      <c r="P36" s="15">
        <f t="shared" si="1"/>
        <v>15</v>
      </c>
    </row>
    <row r="37" spans="2:20" ht="23.1" customHeight="1" x14ac:dyDescent="0.25">
      <c r="B37" s="23" t="s">
        <v>64</v>
      </c>
      <c r="C37" s="50">
        <v>1</v>
      </c>
      <c r="D37" s="50">
        <v>0</v>
      </c>
      <c r="E37" s="50">
        <v>1</v>
      </c>
      <c r="F37" s="50">
        <v>1</v>
      </c>
      <c r="G37" s="50">
        <v>0</v>
      </c>
      <c r="H37" s="50">
        <v>0</v>
      </c>
      <c r="I37" s="50">
        <v>0</v>
      </c>
      <c r="J37" s="50">
        <v>0</v>
      </c>
      <c r="K37" s="50">
        <v>0</v>
      </c>
      <c r="L37" s="50">
        <v>0</v>
      </c>
      <c r="M37" s="50">
        <v>8</v>
      </c>
      <c r="N37" s="50">
        <v>0</v>
      </c>
      <c r="O37" s="15">
        <f t="shared" si="0"/>
        <v>3</v>
      </c>
      <c r="P37" s="15">
        <f t="shared" si="1"/>
        <v>11</v>
      </c>
    </row>
    <row r="38" spans="2:20" ht="23.1" customHeight="1" x14ac:dyDescent="0.25">
      <c r="B38" s="24" t="s">
        <v>65</v>
      </c>
      <c r="C38" s="50">
        <v>0</v>
      </c>
      <c r="D38" s="50">
        <v>1</v>
      </c>
      <c r="E38" s="50">
        <v>0</v>
      </c>
      <c r="F38" s="50">
        <v>1</v>
      </c>
      <c r="G38" s="50">
        <v>0</v>
      </c>
      <c r="H38" s="50">
        <v>0</v>
      </c>
      <c r="I38" s="50">
        <v>0</v>
      </c>
      <c r="J38" s="50">
        <v>0</v>
      </c>
      <c r="K38" s="50">
        <v>0</v>
      </c>
      <c r="L38" s="50">
        <v>0</v>
      </c>
      <c r="M38" s="50">
        <v>10</v>
      </c>
      <c r="N38" s="50">
        <v>0</v>
      </c>
      <c r="O38" s="15">
        <f t="shared" si="0"/>
        <v>2</v>
      </c>
      <c r="P38" s="15">
        <f t="shared" si="1"/>
        <v>12</v>
      </c>
    </row>
    <row r="39" spans="2:20" ht="23.1" customHeight="1" x14ac:dyDescent="0.25">
      <c r="B39" s="24" t="s">
        <v>66</v>
      </c>
      <c r="C39" s="50">
        <v>1</v>
      </c>
      <c r="D39" s="50">
        <v>0</v>
      </c>
      <c r="E39" s="50">
        <v>0</v>
      </c>
      <c r="F39" s="50">
        <v>1</v>
      </c>
      <c r="G39" s="50">
        <v>0</v>
      </c>
      <c r="H39" s="50">
        <v>0</v>
      </c>
      <c r="I39" s="50">
        <v>1</v>
      </c>
      <c r="J39" s="50">
        <v>0</v>
      </c>
      <c r="K39" s="50">
        <v>0</v>
      </c>
      <c r="L39" s="50">
        <v>0</v>
      </c>
      <c r="M39" s="50">
        <v>5</v>
      </c>
      <c r="N39" s="50">
        <v>0</v>
      </c>
      <c r="O39" s="15">
        <f t="shared" si="0"/>
        <v>3</v>
      </c>
      <c r="P39" s="15">
        <f t="shared" si="1"/>
        <v>8</v>
      </c>
    </row>
    <row r="40" spans="2:20" ht="23.1" customHeight="1" x14ac:dyDescent="0.25">
      <c r="B40" s="24" t="s">
        <v>67</v>
      </c>
      <c r="C40" s="50">
        <v>4</v>
      </c>
      <c r="D40" s="50">
        <v>2</v>
      </c>
      <c r="E40" s="50">
        <v>0</v>
      </c>
      <c r="F40" s="50">
        <v>0</v>
      </c>
      <c r="G40" s="50">
        <v>0</v>
      </c>
      <c r="H40" s="50">
        <v>0</v>
      </c>
      <c r="I40" s="50">
        <v>1</v>
      </c>
      <c r="J40" s="50">
        <v>0</v>
      </c>
      <c r="K40" s="50">
        <v>0</v>
      </c>
      <c r="L40" s="50">
        <v>0</v>
      </c>
      <c r="M40" s="50">
        <v>11</v>
      </c>
      <c r="N40" s="50">
        <v>1</v>
      </c>
      <c r="O40" s="15">
        <f t="shared" si="0"/>
        <v>8</v>
      </c>
      <c r="P40" s="15">
        <f t="shared" si="1"/>
        <v>19</v>
      </c>
    </row>
    <row r="41" spans="2:20" ht="23.1" customHeight="1" x14ac:dyDescent="0.25">
      <c r="B41" s="23" t="s">
        <v>68</v>
      </c>
      <c r="C41" s="50">
        <v>3</v>
      </c>
      <c r="D41" s="50">
        <v>1</v>
      </c>
      <c r="E41" s="50">
        <v>2</v>
      </c>
      <c r="F41" s="50">
        <v>0</v>
      </c>
      <c r="G41" s="50">
        <v>0</v>
      </c>
      <c r="H41" s="50">
        <v>0</v>
      </c>
      <c r="I41" s="50">
        <v>1</v>
      </c>
      <c r="J41" s="50">
        <v>0</v>
      </c>
      <c r="K41" s="50">
        <v>0</v>
      </c>
      <c r="L41" s="50">
        <v>0</v>
      </c>
      <c r="M41" s="50">
        <v>4</v>
      </c>
      <c r="N41" s="50">
        <v>0</v>
      </c>
      <c r="O41" s="15">
        <f t="shared" si="0"/>
        <v>7</v>
      </c>
      <c r="P41" s="15">
        <f t="shared" si="1"/>
        <v>11</v>
      </c>
    </row>
    <row r="42" spans="2:20" ht="23.1" customHeight="1" x14ac:dyDescent="0.25">
      <c r="B42" s="24" t="s">
        <v>69</v>
      </c>
      <c r="C42" s="50">
        <v>2</v>
      </c>
      <c r="D42" s="50">
        <v>0</v>
      </c>
      <c r="E42" s="50">
        <v>0</v>
      </c>
      <c r="F42" s="50">
        <v>0</v>
      </c>
      <c r="G42" s="50">
        <v>0</v>
      </c>
      <c r="H42" s="50">
        <v>0</v>
      </c>
      <c r="I42" s="50">
        <v>0</v>
      </c>
      <c r="J42" s="50">
        <v>0</v>
      </c>
      <c r="K42" s="50">
        <v>0</v>
      </c>
      <c r="L42" s="50">
        <v>0</v>
      </c>
      <c r="M42" s="50">
        <v>8</v>
      </c>
      <c r="N42" s="50">
        <v>0</v>
      </c>
      <c r="O42" s="15">
        <f t="shared" si="0"/>
        <v>2</v>
      </c>
      <c r="P42" s="15">
        <f t="shared" si="1"/>
        <v>10</v>
      </c>
    </row>
    <row r="43" spans="2:20" ht="23.1" customHeight="1" x14ac:dyDescent="0.25">
      <c r="B43" s="23" t="s">
        <v>70</v>
      </c>
      <c r="C43" s="50">
        <v>4</v>
      </c>
      <c r="D43" s="50">
        <v>0</v>
      </c>
      <c r="E43" s="50">
        <v>0</v>
      </c>
      <c r="F43" s="50">
        <v>1</v>
      </c>
      <c r="G43" s="50">
        <v>0</v>
      </c>
      <c r="H43" s="50">
        <v>0</v>
      </c>
      <c r="I43" s="50">
        <v>0</v>
      </c>
      <c r="J43" s="50">
        <v>0</v>
      </c>
      <c r="K43" s="50">
        <v>1</v>
      </c>
      <c r="L43" s="50">
        <v>1</v>
      </c>
      <c r="M43" s="50">
        <v>10</v>
      </c>
      <c r="N43" s="50">
        <v>0</v>
      </c>
      <c r="O43" s="15">
        <f t="shared" si="0"/>
        <v>7</v>
      </c>
      <c r="P43" s="15">
        <f t="shared" si="1"/>
        <v>17</v>
      </c>
    </row>
    <row r="44" spans="2:20" ht="23.1" customHeight="1" x14ac:dyDescent="0.25">
      <c r="B44" s="25" t="s">
        <v>71</v>
      </c>
      <c r="C44" s="50">
        <v>1</v>
      </c>
      <c r="D44" s="50">
        <v>0</v>
      </c>
      <c r="E44" s="50">
        <v>0</v>
      </c>
      <c r="F44" s="50">
        <v>0</v>
      </c>
      <c r="G44" s="50">
        <v>0</v>
      </c>
      <c r="H44" s="50">
        <v>0</v>
      </c>
      <c r="I44" s="50">
        <v>0</v>
      </c>
      <c r="J44" s="50">
        <v>1</v>
      </c>
      <c r="K44" s="50">
        <v>0</v>
      </c>
      <c r="L44" s="50">
        <v>0</v>
      </c>
      <c r="M44" s="50">
        <v>8</v>
      </c>
      <c r="N44" s="50">
        <v>0</v>
      </c>
      <c r="O44" s="15">
        <f t="shared" si="0"/>
        <v>2</v>
      </c>
      <c r="P44" s="15">
        <f t="shared" si="1"/>
        <v>10</v>
      </c>
    </row>
    <row r="45" spans="2:20" ht="23.1" customHeight="1" x14ac:dyDescent="0.25">
      <c r="B45" s="23" t="s">
        <v>72</v>
      </c>
      <c r="C45" s="50">
        <v>0</v>
      </c>
      <c r="D45" s="50">
        <v>0</v>
      </c>
      <c r="E45" s="50">
        <v>0</v>
      </c>
      <c r="F45" s="50">
        <v>2</v>
      </c>
      <c r="G45" s="50">
        <v>0</v>
      </c>
      <c r="H45" s="50">
        <v>0</v>
      </c>
      <c r="I45" s="50">
        <v>2</v>
      </c>
      <c r="J45" s="50">
        <v>0</v>
      </c>
      <c r="K45" s="50">
        <v>2</v>
      </c>
      <c r="L45" s="50">
        <v>0</v>
      </c>
      <c r="M45" s="50">
        <v>12</v>
      </c>
      <c r="N45" s="50">
        <v>0</v>
      </c>
      <c r="O45" s="15">
        <f t="shared" si="0"/>
        <v>6</v>
      </c>
      <c r="P45" s="15">
        <f t="shared" si="1"/>
        <v>18</v>
      </c>
    </row>
    <row r="46" spans="2:20" ht="23.1" customHeight="1" x14ac:dyDescent="0.25">
      <c r="B46" s="24" t="s">
        <v>73</v>
      </c>
      <c r="C46" s="50">
        <v>1</v>
      </c>
      <c r="D46" s="50">
        <v>1</v>
      </c>
      <c r="E46" s="50">
        <v>1</v>
      </c>
      <c r="F46" s="50">
        <v>0</v>
      </c>
      <c r="G46" s="50">
        <v>0</v>
      </c>
      <c r="H46" s="50">
        <v>0</v>
      </c>
      <c r="I46" s="50">
        <v>1</v>
      </c>
      <c r="J46" s="50">
        <v>0</v>
      </c>
      <c r="K46" s="50">
        <v>1</v>
      </c>
      <c r="L46" s="50">
        <v>0</v>
      </c>
      <c r="M46" s="50">
        <v>8</v>
      </c>
      <c r="N46" s="50">
        <v>0</v>
      </c>
      <c r="O46" s="15">
        <f t="shared" si="0"/>
        <v>5</v>
      </c>
      <c r="P46" s="15">
        <f t="shared" si="1"/>
        <v>13</v>
      </c>
      <c r="R46" s="8"/>
      <c r="T46"/>
    </row>
    <row r="47" spans="2:20" ht="23.1" customHeight="1" x14ac:dyDescent="0.25">
      <c r="B47" s="24" t="s">
        <v>74</v>
      </c>
      <c r="C47" s="50">
        <v>2</v>
      </c>
      <c r="D47" s="50">
        <v>0</v>
      </c>
      <c r="E47" s="50">
        <v>1</v>
      </c>
      <c r="F47" s="50">
        <v>1</v>
      </c>
      <c r="G47" s="50">
        <v>0</v>
      </c>
      <c r="H47" s="50">
        <v>0</v>
      </c>
      <c r="I47" s="50">
        <v>1</v>
      </c>
      <c r="J47" s="50">
        <v>0</v>
      </c>
      <c r="K47" s="50">
        <v>1</v>
      </c>
      <c r="L47" s="50">
        <v>0</v>
      </c>
      <c r="M47" s="50">
        <v>14</v>
      </c>
      <c r="N47" s="50">
        <v>0</v>
      </c>
      <c r="O47" s="15">
        <f t="shared" si="0"/>
        <v>6</v>
      </c>
      <c r="P47" s="15">
        <f t="shared" si="1"/>
        <v>20</v>
      </c>
      <c r="R47" s="8"/>
      <c r="T47"/>
    </row>
    <row r="48" spans="2:20" ht="23.1" customHeight="1" x14ac:dyDescent="0.25">
      <c r="B48" s="24" t="s">
        <v>75</v>
      </c>
      <c r="C48" s="50">
        <v>1</v>
      </c>
      <c r="D48" s="50">
        <v>1</v>
      </c>
      <c r="E48" s="50">
        <v>1</v>
      </c>
      <c r="F48" s="50">
        <v>0</v>
      </c>
      <c r="G48" s="50">
        <v>0</v>
      </c>
      <c r="H48" s="50">
        <v>0</v>
      </c>
      <c r="I48" s="50">
        <v>2</v>
      </c>
      <c r="J48" s="50">
        <v>1</v>
      </c>
      <c r="K48" s="50">
        <v>0</v>
      </c>
      <c r="L48" s="50">
        <v>0</v>
      </c>
      <c r="M48" s="50">
        <v>10</v>
      </c>
      <c r="N48" s="50">
        <v>0</v>
      </c>
      <c r="O48" s="15">
        <f t="shared" si="0"/>
        <v>6</v>
      </c>
      <c r="P48" s="15">
        <f t="shared" si="1"/>
        <v>16</v>
      </c>
      <c r="R48" s="8"/>
      <c r="T48"/>
    </row>
    <row r="49" spans="2:20" ht="23.1" customHeight="1" x14ac:dyDescent="0.25">
      <c r="B49" s="23" t="s">
        <v>76</v>
      </c>
      <c r="C49" s="50">
        <v>0</v>
      </c>
      <c r="D49" s="50">
        <v>0</v>
      </c>
      <c r="E49" s="50">
        <v>0</v>
      </c>
      <c r="F49" s="50">
        <v>0</v>
      </c>
      <c r="G49" s="50">
        <v>0</v>
      </c>
      <c r="H49" s="50">
        <v>0</v>
      </c>
      <c r="I49" s="50">
        <v>1</v>
      </c>
      <c r="J49" s="50">
        <v>0</v>
      </c>
      <c r="K49" s="50">
        <v>1</v>
      </c>
      <c r="L49" s="50">
        <v>0</v>
      </c>
      <c r="M49" s="50">
        <v>17</v>
      </c>
      <c r="N49" s="50">
        <v>0</v>
      </c>
      <c r="O49" s="15">
        <f t="shared" si="0"/>
        <v>2</v>
      </c>
      <c r="P49" s="15">
        <f t="shared" si="1"/>
        <v>19</v>
      </c>
      <c r="R49" s="8"/>
      <c r="T49"/>
    </row>
    <row r="50" spans="2:20" ht="23.1" customHeight="1" x14ac:dyDescent="0.25">
      <c r="B50" s="24" t="s">
        <v>77</v>
      </c>
      <c r="C50" s="50">
        <v>1</v>
      </c>
      <c r="D50" s="50">
        <v>0</v>
      </c>
      <c r="E50" s="50">
        <v>0</v>
      </c>
      <c r="F50" s="50">
        <v>1</v>
      </c>
      <c r="G50" s="50">
        <v>0</v>
      </c>
      <c r="H50" s="50">
        <v>0</v>
      </c>
      <c r="I50" s="50">
        <v>0</v>
      </c>
      <c r="J50" s="50">
        <v>0</v>
      </c>
      <c r="K50" s="50">
        <v>0</v>
      </c>
      <c r="L50" s="50">
        <v>0</v>
      </c>
      <c r="M50" s="50">
        <v>10</v>
      </c>
      <c r="N50" s="50">
        <v>0</v>
      </c>
      <c r="O50" s="15">
        <f t="shared" si="0"/>
        <v>2</v>
      </c>
      <c r="P50" s="15">
        <f t="shared" si="1"/>
        <v>12</v>
      </c>
      <c r="R50" s="8"/>
      <c r="T50"/>
    </row>
    <row r="51" spans="2:20" ht="23.1" customHeight="1" x14ac:dyDescent="0.25">
      <c r="B51" s="24" t="s">
        <v>78</v>
      </c>
      <c r="C51" s="50">
        <v>2</v>
      </c>
      <c r="D51" s="50">
        <v>0</v>
      </c>
      <c r="E51" s="50">
        <v>0</v>
      </c>
      <c r="F51" s="50">
        <v>0</v>
      </c>
      <c r="G51" s="50">
        <v>0</v>
      </c>
      <c r="H51" s="50">
        <v>0</v>
      </c>
      <c r="I51" s="50">
        <v>0</v>
      </c>
      <c r="J51" s="50">
        <v>0</v>
      </c>
      <c r="K51" s="50">
        <v>1</v>
      </c>
      <c r="L51" s="50">
        <v>0</v>
      </c>
      <c r="M51" s="50">
        <v>9</v>
      </c>
      <c r="N51" s="50">
        <v>0</v>
      </c>
      <c r="O51" s="15">
        <f t="shared" si="0"/>
        <v>3</v>
      </c>
      <c r="P51" s="15">
        <f t="shared" si="1"/>
        <v>12</v>
      </c>
      <c r="R51" s="8"/>
      <c r="T51"/>
    </row>
    <row r="52" spans="2:20" ht="23.1" customHeight="1" x14ac:dyDescent="0.25">
      <c r="B52" s="24" t="s">
        <v>79</v>
      </c>
      <c r="C52" s="50">
        <v>0</v>
      </c>
      <c r="D52" s="50">
        <v>0</v>
      </c>
      <c r="E52" s="50">
        <v>0</v>
      </c>
      <c r="F52" s="50">
        <v>0</v>
      </c>
      <c r="G52" s="50">
        <v>1</v>
      </c>
      <c r="H52" s="50">
        <v>0</v>
      </c>
      <c r="I52" s="50">
        <v>3</v>
      </c>
      <c r="J52" s="50">
        <v>1</v>
      </c>
      <c r="K52" s="50">
        <v>0</v>
      </c>
      <c r="L52" s="50">
        <v>0</v>
      </c>
      <c r="M52" s="50">
        <v>18</v>
      </c>
      <c r="N52" s="50">
        <v>0</v>
      </c>
      <c r="O52" s="15">
        <f t="shared" si="0"/>
        <v>5</v>
      </c>
      <c r="P52" s="15">
        <f t="shared" si="1"/>
        <v>23</v>
      </c>
      <c r="R52" s="8"/>
      <c r="T52"/>
    </row>
    <row r="53" spans="2:20" ht="23.1" customHeight="1" x14ac:dyDescent="0.25">
      <c r="B53" s="23" t="s">
        <v>80</v>
      </c>
      <c r="C53" s="50">
        <v>1</v>
      </c>
      <c r="D53" s="50">
        <v>2</v>
      </c>
      <c r="E53" s="50">
        <v>2</v>
      </c>
      <c r="F53" s="50">
        <v>0</v>
      </c>
      <c r="G53" s="50">
        <v>0</v>
      </c>
      <c r="H53" s="50">
        <v>0</v>
      </c>
      <c r="I53" s="50">
        <v>1</v>
      </c>
      <c r="J53" s="50">
        <v>0</v>
      </c>
      <c r="K53" s="50">
        <v>0</v>
      </c>
      <c r="L53" s="50">
        <v>0</v>
      </c>
      <c r="M53" s="50">
        <v>12</v>
      </c>
      <c r="N53" s="50">
        <v>0</v>
      </c>
      <c r="O53" s="15">
        <f t="shared" si="0"/>
        <v>6</v>
      </c>
      <c r="P53" s="15">
        <f t="shared" si="1"/>
        <v>18</v>
      </c>
      <c r="R53" s="8"/>
      <c r="T53"/>
    </row>
    <row r="54" spans="2:20" ht="23.1" customHeight="1" x14ac:dyDescent="0.25">
      <c r="B54" s="23" t="s">
        <v>81</v>
      </c>
      <c r="C54" s="50">
        <v>1</v>
      </c>
      <c r="D54" s="50">
        <v>1</v>
      </c>
      <c r="E54" s="50">
        <v>0</v>
      </c>
      <c r="F54" s="50">
        <v>1</v>
      </c>
      <c r="G54" s="50">
        <v>0</v>
      </c>
      <c r="H54" s="50">
        <v>0</v>
      </c>
      <c r="I54" s="50">
        <v>0</v>
      </c>
      <c r="J54" s="50">
        <v>0</v>
      </c>
      <c r="K54" s="50">
        <v>2</v>
      </c>
      <c r="L54" s="50">
        <v>0</v>
      </c>
      <c r="M54" s="50">
        <v>11</v>
      </c>
      <c r="N54" s="50">
        <v>0</v>
      </c>
      <c r="O54" s="15">
        <f t="shared" si="0"/>
        <v>5</v>
      </c>
      <c r="P54" s="15">
        <f t="shared" si="1"/>
        <v>16</v>
      </c>
      <c r="R54" s="8"/>
      <c r="T54"/>
    </row>
    <row r="55" spans="2:20" ht="23.1" customHeight="1" x14ac:dyDescent="0.25">
      <c r="B55" s="23" t="s">
        <v>82</v>
      </c>
      <c r="C55" s="50">
        <v>0</v>
      </c>
      <c r="D55" s="50">
        <v>0</v>
      </c>
      <c r="E55" s="50">
        <v>0</v>
      </c>
      <c r="F55" s="50">
        <v>0</v>
      </c>
      <c r="G55" s="50">
        <v>0</v>
      </c>
      <c r="H55" s="50">
        <v>0</v>
      </c>
      <c r="I55" s="50">
        <v>2</v>
      </c>
      <c r="J55" s="50">
        <v>0</v>
      </c>
      <c r="K55" s="50">
        <v>1</v>
      </c>
      <c r="L55" s="50">
        <v>0</v>
      </c>
      <c r="M55" s="50">
        <v>11</v>
      </c>
      <c r="N55" s="50">
        <v>0</v>
      </c>
      <c r="O55" s="15">
        <f t="shared" si="0"/>
        <v>3</v>
      </c>
      <c r="P55" s="15">
        <f t="shared" si="1"/>
        <v>14</v>
      </c>
      <c r="R55" s="8"/>
      <c r="T55"/>
    </row>
    <row r="56" spans="2:20" ht="23.1" customHeight="1" x14ac:dyDescent="0.25">
      <c r="B56" s="23" t="s">
        <v>83</v>
      </c>
      <c r="C56" s="50">
        <v>5</v>
      </c>
      <c r="D56" s="50">
        <v>0</v>
      </c>
      <c r="E56" s="50">
        <v>0</v>
      </c>
      <c r="F56" s="50">
        <v>0</v>
      </c>
      <c r="G56" s="50">
        <v>0</v>
      </c>
      <c r="H56" s="50">
        <v>0</v>
      </c>
      <c r="I56" s="50">
        <v>2</v>
      </c>
      <c r="J56" s="50">
        <v>0</v>
      </c>
      <c r="K56" s="50">
        <v>0</v>
      </c>
      <c r="L56" s="50">
        <v>0</v>
      </c>
      <c r="M56" s="50">
        <v>8</v>
      </c>
      <c r="N56" s="50">
        <v>0</v>
      </c>
      <c r="O56" s="15">
        <f t="shared" si="0"/>
        <v>7</v>
      </c>
      <c r="P56" s="15">
        <f t="shared" si="1"/>
        <v>15</v>
      </c>
      <c r="R56" s="8"/>
      <c r="T56"/>
    </row>
    <row r="57" spans="2:20" ht="23.1" customHeight="1" x14ac:dyDescent="0.25">
      <c r="B57" s="23" t="s">
        <v>84</v>
      </c>
      <c r="C57" s="50">
        <v>4</v>
      </c>
      <c r="D57" s="50">
        <v>0</v>
      </c>
      <c r="E57" s="50">
        <v>0</v>
      </c>
      <c r="F57" s="50">
        <v>0</v>
      </c>
      <c r="G57" s="50">
        <v>0</v>
      </c>
      <c r="H57" s="50">
        <v>0</v>
      </c>
      <c r="I57" s="50">
        <v>1</v>
      </c>
      <c r="J57" s="50">
        <v>0</v>
      </c>
      <c r="K57" s="50">
        <v>0</v>
      </c>
      <c r="L57" s="50">
        <v>0</v>
      </c>
      <c r="M57" s="50">
        <v>19</v>
      </c>
      <c r="N57" s="50">
        <v>0</v>
      </c>
      <c r="O57" s="15">
        <f t="shared" si="0"/>
        <v>5</v>
      </c>
      <c r="P57" s="15">
        <f t="shared" si="1"/>
        <v>24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60</v>
      </c>
      <c r="D58" s="16">
        <f t="shared" si="21"/>
        <v>17</v>
      </c>
      <c r="E58" s="16">
        <f t="shared" si="21"/>
        <v>17</v>
      </c>
      <c r="F58" s="16">
        <f t="shared" si="21"/>
        <v>13</v>
      </c>
      <c r="G58" s="16">
        <f t="shared" si="21"/>
        <v>1</v>
      </c>
      <c r="H58" s="16">
        <f t="shared" si="21"/>
        <v>0</v>
      </c>
      <c r="I58" s="16">
        <f t="shared" si="21"/>
        <v>32</v>
      </c>
      <c r="J58" s="16">
        <f t="shared" si="21"/>
        <v>10</v>
      </c>
      <c r="K58" s="16">
        <f t="shared" si="21"/>
        <v>29</v>
      </c>
      <c r="L58" s="16">
        <f t="shared" si="21"/>
        <v>2</v>
      </c>
      <c r="M58" s="16">
        <f t="shared" si="21"/>
        <v>431</v>
      </c>
      <c r="N58" s="16">
        <f t="shared" si="21"/>
        <v>1</v>
      </c>
      <c r="O58" s="16">
        <f t="shared" si="21"/>
        <v>182</v>
      </c>
      <c r="P58" s="16">
        <f t="shared" si="21"/>
        <v>613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9.7879282218597069E-2</v>
      </c>
      <c r="D59" s="43">
        <f t="shared" si="22"/>
        <v>2.7732463295269169E-2</v>
      </c>
      <c r="E59" s="43">
        <f t="shared" si="22"/>
        <v>2.7732463295269169E-2</v>
      </c>
      <c r="F59" s="43">
        <f t="shared" si="22"/>
        <v>2.1207177814029365E-2</v>
      </c>
      <c r="G59" s="43">
        <f t="shared" si="22"/>
        <v>1.6313213703099511E-3</v>
      </c>
      <c r="H59" s="43">
        <f t="shared" si="22"/>
        <v>0</v>
      </c>
      <c r="I59" s="43">
        <f t="shared" si="22"/>
        <v>5.2202283849918436E-2</v>
      </c>
      <c r="J59" s="43">
        <f t="shared" si="22"/>
        <v>1.6313213703099509E-2</v>
      </c>
      <c r="K59" s="43">
        <f t="shared" si="22"/>
        <v>4.730831973898858E-2</v>
      </c>
      <c r="L59" s="43">
        <f t="shared" si="22"/>
        <v>3.2626427406199023E-3</v>
      </c>
      <c r="M59" s="43">
        <f t="shared" si="22"/>
        <v>0.70309951060358888</v>
      </c>
      <c r="N59" s="43">
        <f t="shared" si="22"/>
        <v>1.6313213703099511E-3</v>
      </c>
      <c r="R59" s="8"/>
      <c r="T59"/>
    </row>
    <row r="60" spans="2:20" ht="23.1" customHeight="1" x14ac:dyDescent="0.25">
      <c r="B60" s="42" t="s">
        <v>94</v>
      </c>
      <c r="C60" s="44">
        <f>C58/$O$58</f>
        <v>0.32967032967032966</v>
      </c>
      <c r="D60" s="44">
        <f t="shared" ref="D60:N60" si="23">D58/$O$58</f>
        <v>9.3406593406593408E-2</v>
      </c>
      <c r="E60" s="44">
        <f t="shared" si="23"/>
        <v>9.3406593406593408E-2</v>
      </c>
      <c r="F60" s="44">
        <f t="shared" si="23"/>
        <v>7.1428571428571425E-2</v>
      </c>
      <c r="G60" s="44">
        <f t="shared" si="23"/>
        <v>5.4945054945054949E-3</v>
      </c>
      <c r="H60" s="44">
        <f t="shared" si="23"/>
        <v>0</v>
      </c>
      <c r="I60" s="44">
        <f t="shared" si="23"/>
        <v>0.17582417582417584</v>
      </c>
      <c r="J60" s="44">
        <f t="shared" si="23"/>
        <v>5.4945054945054944E-2</v>
      </c>
      <c r="K60" s="44">
        <f t="shared" si="23"/>
        <v>0.15934065934065933</v>
      </c>
      <c r="L60" s="44">
        <f t="shared" si="23"/>
        <v>1.098901098901099E-2</v>
      </c>
      <c r="M60" s="44"/>
      <c r="N60" s="44">
        <f t="shared" si="23"/>
        <v>5.4945054945054949E-3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SheetLayoutView="100" workbookViewId="0">
      <selection activeCell="D5" sqref="D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1" t="s">
        <v>23</v>
      </c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</row>
    <row r="2" spans="2:32" ht="20.100000000000001" customHeight="1" x14ac:dyDescent="0.25">
      <c r="B2" s="62" t="s">
        <v>95</v>
      </c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</row>
    <row r="3" spans="2:32" ht="20.100000000000001" customHeight="1" x14ac:dyDescent="0.25">
      <c r="B3" s="22" t="s">
        <v>96</v>
      </c>
      <c r="C3" s="63" t="str">
        <f>'17.10 SSEMBABULE-KANONI'!C3:G3</f>
        <v>SSEMBABULE-KABULASOKE ROAD</v>
      </c>
      <c r="D3" s="63"/>
      <c r="E3" s="63"/>
      <c r="F3" s="63"/>
      <c r="G3" s="63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51" t="s">
        <v>178</v>
      </c>
      <c r="E5" s="3"/>
      <c r="F5" s="41" t="s">
        <v>1</v>
      </c>
      <c r="G5" s="58" t="str">
        <f>'17.10 SSEMBABULE-KANONI'!G5:H5</f>
        <v>KYABI</v>
      </c>
      <c r="H5" s="59"/>
      <c r="I5" s="14"/>
      <c r="J5" s="2" t="s">
        <v>5</v>
      </c>
      <c r="K5" s="58" t="s">
        <v>176</v>
      </c>
      <c r="L5" s="59"/>
      <c r="M5" s="10"/>
      <c r="N5" s="10"/>
      <c r="O5" s="3"/>
      <c r="P5" s="3"/>
    </row>
    <row r="6" spans="2:32" ht="23.25" customHeight="1" x14ac:dyDescent="0.25">
      <c r="C6" s="2" t="s">
        <v>4</v>
      </c>
      <c r="D6" s="58" t="s">
        <v>168</v>
      </c>
      <c r="E6" s="59"/>
      <c r="F6" s="2" t="s">
        <v>2</v>
      </c>
      <c r="G6" s="58" t="s">
        <v>167</v>
      </c>
      <c r="H6" s="59"/>
      <c r="J6" s="2" t="s">
        <v>21</v>
      </c>
      <c r="K6" s="58" t="str">
        <f>'17.10 SSEMBABULE-KANONI'!K6:L6</f>
        <v>ONYUTI BETTY</v>
      </c>
      <c r="L6" s="59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0" t="s">
        <v>88</v>
      </c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0</v>
      </c>
      <c r="D10" s="50">
        <v>0</v>
      </c>
      <c r="E10" s="50">
        <v>0</v>
      </c>
      <c r="F10" s="50">
        <v>0</v>
      </c>
      <c r="G10" s="50">
        <v>1</v>
      </c>
      <c r="H10" s="50">
        <v>0</v>
      </c>
      <c r="I10" s="50">
        <v>1</v>
      </c>
      <c r="J10" s="50">
        <v>0</v>
      </c>
      <c r="K10" s="50">
        <v>0</v>
      </c>
      <c r="L10" s="50">
        <v>0</v>
      </c>
      <c r="M10" s="50">
        <v>5</v>
      </c>
      <c r="N10" s="50">
        <v>0</v>
      </c>
      <c r="O10" s="15">
        <f t="shared" ref="O10:O57" si="0">SUM(C10:L10,N10)</f>
        <v>2</v>
      </c>
      <c r="P10" s="15">
        <f t="shared" ref="P10:P57" si="1">SUM(C10:N10)</f>
        <v>7</v>
      </c>
      <c r="R10" s="1" t="s">
        <v>6</v>
      </c>
      <c r="S10" s="17">
        <f t="shared" ref="S10:AF10" si="2">SUM(C10:C13)</f>
        <v>3</v>
      </c>
      <c r="T10" s="17">
        <f t="shared" si="2"/>
        <v>1</v>
      </c>
      <c r="U10" s="17">
        <f t="shared" si="2"/>
        <v>1</v>
      </c>
      <c r="V10" s="17">
        <f t="shared" si="2"/>
        <v>2</v>
      </c>
      <c r="W10" s="17">
        <f t="shared" si="2"/>
        <v>1</v>
      </c>
      <c r="X10" s="17">
        <f t="shared" si="2"/>
        <v>0</v>
      </c>
      <c r="Y10" s="17">
        <f t="shared" si="2"/>
        <v>3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26</v>
      </c>
      <c r="AD10" s="17">
        <f t="shared" si="2"/>
        <v>0</v>
      </c>
      <c r="AE10" s="31">
        <f t="shared" si="2"/>
        <v>11</v>
      </c>
      <c r="AF10" s="31">
        <f t="shared" si="2"/>
        <v>37</v>
      </c>
    </row>
    <row r="11" spans="2:32" s="6" customFormat="1" ht="23.1" customHeight="1" x14ac:dyDescent="0.25">
      <c r="B11" s="23" t="s">
        <v>38</v>
      </c>
      <c r="C11" s="50">
        <v>1</v>
      </c>
      <c r="D11" s="50">
        <v>0</v>
      </c>
      <c r="E11" s="50">
        <v>0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6</v>
      </c>
      <c r="N11" s="50">
        <v>0</v>
      </c>
      <c r="O11" s="15">
        <f t="shared" si="0"/>
        <v>1</v>
      </c>
      <c r="P11" s="15">
        <f t="shared" si="1"/>
        <v>7</v>
      </c>
      <c r="R11" s="1" t="s">
        <v>7</v>
      </c>
      <c r="S11" s="17">
        <f t="shared" ref="S11:AF11" si="3">SUM(C14:C17)</f>
        <v>3</v>
      </c>
      <c r="T11" s="17">
        <f t="shared" si="3"/>
        <v>1</v>
      </c>
      <c r="U11" s="17">
        <f t="shared" si="3"/>
        <v>2</v>
      </c>
      <c r="V11" s="17">
        <f t="shared" si="3"/>
        <v>2</v>
      </c>
      <c r="W11" s="17">
        <f t="shared" si="3"/>
        <v>0</v>
      </c>
      <c r="X11" s="17">
        <f t="shared" si="3"/>
        <v>0</v>
      </c>
      <c r="Y11" s="17">
        <f t="shared" si="3"/>
        <v>1</v>
      </c>
      <c r="Z11" s="17">
        <f t="shared" si="3"/>
        <v>0</v>
      </c>
      <c r="AA11" s="17">
        <f t="shared" si="3"/>
        <v>0</v>
      </c>
      <c r="AB11" s="17">
        <f t="shared" si="3"/>
        <v>0</v>
      </c>
      <c r="AC11" s="17">
        <f t="shared" si="3"/>
        <v>31</v>
      </c>
      <c r="AD11" s="17">
        <f t="shared" si="3"/>
        <v>0</v>
      </c>
      <c r="AE11" s="31">
        <f t="shared" si="3"/>
        <v>9</v>
      </c>
      <c r="AF11" s="31">
        <f t="shared" si="3"/>
        <v>40</v>
      </c>
    </row>
    <row r="12" spans="2:32" ht="23.1" customHeight="1" x14ac:dyDescent="0.25">
      <c r="B12" s="23" t="s">
        <v>39</v>
      </c>
      <c r="C12" s="50">
        <v>1</v>
      </c>
      <c r="D12" s="50">
        <v>1</v>
      </c>
      <c r="E12" s="50">
        <v>1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6</v>
      </c>
      <c r="N12" s="50">
        <v>0</v>
      </c>
      <c r="O12" s="15">
        <f t="shared" si="0"/>
        <v>3</v>
      </c>
      <c r="P12" s="15">
        <f t="shared" si="1"/>
        <v>9</v>
      </c>
      <c r="R12" s="1" t="s">
        <v>8</v>
      </c>
      <c r="S12" s="17">
        <f t="shared" ref="S12:AF12" si="4">SUM(C18:C21)</f>
        <v>2</v>
      </c>
      <c r="T12" s="17">
        <f t="shared" si="4"/>
        <v>1</v>
      </c>
      <c r="U12" s="17">
        <f t="shared" si="4"/>
        <v>0</v>
      </c>
      <c r="V12" s="17">
        <f t="shared" si="4"/>
        <v>2</v>
      </c>
      <c r="W12" s="17">
        <f t="shared" si="4"/>
        <v>0</v>
      </c>
      <c r="X12" s="17">
        <f t="shared" si="4"/>
        <v>0</v>
      </c>
      <c r="Y12" s="17">
        <f t="shared" si="4"/>
        <v>2</v>
      </c>
      <c r="Z12" s="17">
        <f t="shared" si="4"/>
        <v>2</v>
      </c>
      <c r="AA12" s="17">
        <f t="shared" si="4"/>
        <v>3</v>
      </c>
      <c r="AB12" s="17">
        <f t="shared" si="4"/>
        <v>0</v>
      </c>
      <c r="AC12" s="17">
        <f t="shared" si="4"/>
        <v>29</v>
      </c>
      <c r="AD12" s="17">
        <f t="shared" si="4"/>
        <v>0</v>
      </c>
      <c r="AE12" s="31">
        <f t="shared" si="4"/>
        <v>12</v>
      </c>
      <c r="AF12" s="31">
        <f t="shared" si="4"/>
        <v>41</v>
      </c>
    </row>
    <row r="13" spans="2:32" ht="23.1" customHeight="1" x14ac:dyDescent="0.25">
      <c r="B13" s="23" t="s">
        <v>40</v>
      </c>
      <c r="C13" s="50">
        <v>1</v>
      </c>
      <c r="D13" s="50">
        <v>0</v>
      </c>
      <c r="E13" s="50">
        <v>0</v>
      </c>
      <c r="F13" s="50">
        <v>2</v>
      </c>
      <c r="G13" s="50">
        <v>0</v>
      </c>
      <c r="H13" s="50">
        <v>0</v>
      </c>
      <c r="I13" s="50">
        <v>2</v>
      </c>
      <c r="J13" s="50">
        <v>0</v>
      </c>
      <c r="K13" s="50">
        <v>0</v>
      </c>
      <c r="L13" s="50">
        <v>0</v>
      </c>
      <c r="M13" s="50">
        <v>9</v>
      </c>
      <c r="N13" s="50">
        <v>0</v>
      </c>
      <c r="O13" s="15">
        <f t="shared" si="0"/>
        <v>5</v>
      </c>
      <c r="P13" s="15">
        <f t="shared" si="1"/>
        <v>14</v>
      </c>
      <c r="R13" s="1" t="s">
        <v>9</v>
      </c>
      <c r="S13" s="17">
        <f t="shared" ref="S13:AF13" si="5">SUM(C22:C25)</f>
        <v>5</v>
      </c>
      <c r="T13" s="17">
        <f t="shared" si="5"/>
        <v>0</v>
      </c>
      <c r="U13" s="17">
        <f t="shared" si="5"/>
        <v>3</v>
      </c>
      <c r="V13" s="17">
        <f t="shared" si="5"/>
        <v>1</v>
      </c>
      <c r="W13" s="17">
        <f t="shared" si="5"/>
        <v>0</v>
      </c>
      <c r="X13" s="17">
        <f t="shared" si="5"/>
        <v>0</v>
      </c>
      <c r="Y13" s="17">
        <f t="shared" si="5"/>
        <v>3</v>
      </c>
      <c r="Z13" s="17">
        <f t="shared" si="5"/>
        <v>0</v>
      </c>
      <c r="AA13" s="17">
        <f t="shared" si="5"/>
        <v>2</v>
      </c>
      <c r="AB13" s="17">
        <f t="shared" si="5"/>
        <v>0</v>
      </c>
      <c r="AC13" s="17">
        <f t="shared" si="5"/>
        <v>33</v>
      </c>
      <c r="AD13" s="17">
        <f t="shared" si="5"/>
        <v>0</v>
      </c>
      <c r="AE13" s="31">
        <f t="shared" si="5"/>
        <v>14</v>
      </c>
      <c r="AF13" s="31">
        <f t="shared" si="5"/>
        <v>47</v>
      </c>
    </row>
    <row r="14" spans="2:32" ht="23.1" customHeight="1" x14ac:dyDescent="0.25">
      <c r="B14" s="23" t="s">
        <v>41</v>
      </c>
      <c r="C14" s="50">
        <v>3</v>
      </c>
      <c r="D14" s="50">
        <v>0</v>
      </c>
      <c r="E14" s="50">
        <v>0</v>
      </c>
      <c r="F14" s="50">
        <v>0</v>
      </c>
      <c r="G14" s="50">
        <v>0</v>
      </c>
      <c r="H14" s="50">
        <v>0</v>
      </c>
      <c r="I14" s="50">
        <v>1</v>
      </c>
      <c r="J14" s="50">
        <v>0</v>
      </c>
      <c r="K14" s="50">
        <v>0</v>
      </c>
      <c r="L14" s="50">
        <v>0</v>
      </c>
      <c r="M14" s="50">
        <v>8</v>
      </c>
      <c r="N14" s="50">
        <v>0</v>
      </c>
      <c r="O14" s="15">
        <f t="shared" si="0"/>
        <v>4</v>
      </c>
      <c r="P14" s="15">
        <f t="shared" si="1"/>
        <v>12</v>
      </c>
      <c r="R14" s="1" t="s">
        <v>10</v>
      </c>
      <c r="S14" s="17">
        <f t="shared" ref="S14:AF14" si="6">SUM(C26:C29)</f>
        <v>3</v>
      </c>
      <c r="T14" s="17">
        <f t="shared" si="6"/>
        <v>0</v>
      </c>
      <c r="U14" s="17">
        <f t="shared" si="6"/>
        <v>5</v>
      </c>
      <c r="V14" s="17">
        <f t="shared" si="6"/>
        <v>2</v>
      </c>
      <c r="W14" s="17">
        <f t="shared" si="6"/>
        <v>0</v>
      </c>
      <c r="X14" s="17">
        <f t="shared" si="6"/>
        <v>0</v>
      </c>
      <c r="Y14" s="17">
        <f t="shared" si="6"/>
        <v>2</v>
      </c>
      <c r="Z14" s="17">
        <f t="shared" si="6"/>
        <v>2</v>
      </c>
      <c r="AA14" s="17">
        <f t="shared" si="6"/>
        <v>2</v>
      </c>
      <c r="AB14" s="17">
        <f t="shared" si="6"/>
        <v>0</v>
      </c>
      <c r="AC14" s="17">
        <f t="shared" si="6"/>
        <v>28</v>
      </c>
      <c r="AD14" s="17">
        <f t="shared" si="6"/>
        <v>0</v>
      </c>
      <c r="AE14" s="31">
        <f t="shared" si="6"/>
        <v>16</v>
      </c>
      <c r="AF14" s="31">
        <f t="shared" si="6"/>
        <v>44</v>
      </c>
    </row>
    <row r="15" spans="2:32" ht="23.1" customHeight="1" x14ac:dyDescent="0.25">
      <c r="B15" s="23" t="s">
        <v>42</v>
      </c>
      <c r="C15" s="50">
        <v>0</v>
      </c>
      <c r="D15" s="50">
        <v>0</v>
      </c>
      <c r="E15" s="50">
        <v>1</v>
      </c>
      <c r="F15" s="50">
        <v>1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7</v>
      </c>
      <c r="N15" s="50">
        <v>0</v>
      </c>
      <c r="O15" s="15">
        <f t="shared" si="0"/>
        <v>2</v>
      </c>
      <c r="P15" s="15">
        <f t="shared" si="1"/>
        <v>9</v>
      </c>
      <c r="R15" s="1" t="s">
        <v>11</v>
      </c>
      <c r="S15" s="17">
        <f t="shared" ref="S15:AF15" si="7">SUM(C30:C33)</f>
        <v>4</v>
      </c>
      <c r="T15" s="17">
        <f t="shared" si="7"/>
        <v>2</v>
      </c>
      <c r="U15" s="17">
        <f t="shared" si="7"/>
        <v>0</v>
      </c>
      <c r="V15" s="17">
        <f t="shared" si="7"/>
        <v>1</v>
      </c>
      <c r="W15" s="17">
        <f t="shared" si="7"/>
        <v>0</v>
      </c>
      <c r="X15" s="17">
        <f t="shared" si="7"/>
        <v>0</v>
      </c>
      <c r="Y15" s="17">
        <f t="shared" si="7"/>
        <v>4</v>
      </c>
      <c r="Z15" s="17">
        <f t="shared" si="7"/>
        <v>0</v>
      </c>
      <c r="AA15" s="17">
        <f t="shared" si="7"/>
        <v>4</v>
      </c>
      <c r="AB15" s="17">
        <f t="shared" si="7"/>
        <v>1</v>
      </c>
      <c r="AC15" s="17">
        <f t="shared" si="7"/>
        <v>31</v>
      </c>
      <c r="AD15" s="17">
        <f t="shared" si="7"/>
        <v>0</v>
      </c>
      <c r="AE15" s="31">
        <f t="shared" si="7"/>
        <v>16</v>
      </c>
      <c r="AF15" s="31">
        <f t="shared" si="7"/>
        <v>47</v>
      </c>
    </row>
    <row r="16" spans="2:32" ht="23.1" customHeight="1" x14ac:dyDescent="0.25">
      <c r="B16" s="23" t="s">
        <v>43</v>
      </c>
      <c r="C16" s="50">
        <v>0</v>
      </c>
      <c r="D16" s="50">
        <v>0</v>
      </c>
      <c r="E16" s="50">
        <v>0</v>
      </c>
      <c r="F16" s="50">
        <v>1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9</v>
      </c>
      <c r="N16" s="50">
        <v>0</v>
      </c>
      <c r="O16" s="15">
        <f t="shared" si="0"/>
        <v>1</v>
      </c>
      <c r="P16" s="15">
        <f t="shared" si="1"/>
        <v>10</v>
      </c>
      <c r="R16" s="1" t="s">
        <v>12</v>
      </c>
      <c r="S16" s="17">
        <f t="shared" ref="S16:AF16" si="8">SUM(C34:C37)</f>
        <v>3</v>
      </c>
      <c r="T16" s="17">
        <f t="shared" si="8"/>
        <v>1</v>
      </c>
      <c r="U16" s="17">
        <f t="shared" si="8"/>
        <v>1</v>
      </c>
      <c r="V16" s="17">
        <f t="shared" si="8"/>
        <v>1</v>
      </c>
      <c r="W16" s="17">
        <f t="shared" si="8"/>
        <v>0</v>
      </c>
      <c r="X16" s="17">
        <f t="shared" si="8"/>
        <v>0</v>
      </c>
      <c r="Y16" s="17">
        <f t="shared" si="8"/>
        <v>5</v>
      </c>
      <c r="Z16" s="17">
        <f t="shared" si="8"/>
        <v>2</v>
      </c>
      <c r="AA16" s="17">
        <f t="shared" si="8"/>
        <v>6</v>
      </c>
      <c r="AB16" s="17">
        <f t="shared" si="8"/>
        <v>0</v>
      </c>
      <c r="AC16" s="17">
        <f t="shared" si="8"/>
        <v>41</v>
      </c>
      <c r="AD16" s="17">
        <f t="shared" si="8"/>
        <v>0</v>
      </c>
      <c r="AE16" s="31">
        <f t="shared" si="8"/>
        <v>19</v>
      </c>
      <c r="AF16" s="31">
        <f t="shared" si="8"/>
        <v>60</v>
      </c>
    </row>
    <row r="17" spans="2:32" ht="23.1" customHeight="1" x14ac:dyDescent="0.25">
      <c r="B17" s="23" t="s">
        <v>44</v>
      </c>
      <c r="C17" s="50">
        <v>0</v>
      </c>
      <c r="D17" s="50">
        <v>1</v>
      </c>
      <c r="E17" s="50">
        <v>1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7</v>
      </c>
      <c r="N17" s="50">
        <v>0</v>
      </c>
      <c r="O17" s="15">
        <f t="shared" si="0"/>
        <v>2</v>
      </c>
      <c r="P17" s="15">
        <f t="shared" si="1"/>
        <v>9</v>
      </c>
      <c r="R17" s="1" t="s">
        <v>13</v>
      </c>
      <c r="S17" s="17">
        <f t="shared" ref="S17:AF17" si="9">SUM(C38:C41)</f>
        <v>8</v>
      </c>
      <c r="T17" s="17">
        <f t="shared" si="9"/>
        <v>0</v>
      </c>
      <c r="U17" s="17">
        <f t="shared" si="9"/>
        <v>1</v>
      </c>
      <c r="V17" s="17">
        <f t="shared" si="9"/>
        <v>0</v>
      </c>
      <c r="W17" s="17">
        <f t="shared" si="9"/>
        <v>0</v>
      </c>
      <c r="X17" s="17">
        <f t="shared" si="9"/>
        <v>0</v>
      </c>
      <c r="Y17" s="17">
        <f t="shared" si="9"/>
        <v>0</v>
      </c>
      <c r="Z17" s="17">
        <f t="shared" si="9"/>
        <v>0</v>
      </c>
      <c r="AA17" s="17">
        <f t="shared" si="9"/>
        <v>3</v>
      </c>
      <c r="AB17" s="17">
        <f t="shared" si="9"/>
        <v>0</v>
      </c>
      <c r="AC17" s="17">
        <f t="shared" si="9"/>
        <v>37</v>
      </c>
      <c r="AD17" s="17">
        <f t="shared" si="9"/>
        <v>0</v>
      </c>
      <c r="AE17" s="31">
        <f t="shared" si="9"/>
        <v>12</v>
      </c>
      <c r="AF17" s="31">
        <f t="shared" si="9"/>
        <v>49</v>
      </c>
    </row>
    <row r="18" spans="2:32" ht="23.1" customHeight="1" x14ac:dyDescent="0.25">
      <c r="B18" s="23" t="s">
        <v>45</v>
      </c>
      <c r="C18" s="50">
        <v>0</v>
      </c>
      <c r="D18" s="50">
        <v>0</v>
      </c>
      <c r="E18" s="50">
        <v>0</v>
      </c>
      <c r="F18" s="50">
        <v>1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0</v>
      </c>
      <c r="M18" s="50">
        <v>8</v>
      </c>
      <c r="N18" s="50">
        <v>0</v>
      </c>
      <c r="O18" s="15">
        <f t="shared" si="0"/>
        <v>1</v>
      </c>
      <c r="P18" s="15">
        <f t="shared" si="1"/>
        <v>9</v>
      </c>
      <c r="R18" s="1" t="s">
        <v>14</v>
      </c>
      <c r="S18" s="17">
        <f t="shared" ref="S18:AF18" si="10">SUM(C42:C45)</f>
        <v>6</v>
      </c>
      <c r="T18" s="17">
        <f t="shared" si="10"/>
        <v>1</v>
      </c>
      <c r="U18" s="17">
        <f t="shared" si="10"/>
        <v>1</v>
      </c>
      <c r="V18" s="17">
        <f t="shared" si="10"/>
        <v>0</v>
      </c>
      <c r="W18" s="17">
        <f t="shared" si="10"/>
        <v>0</v>
      </c>
      <c r="X18" s="17">
        <f t="shared" si="10"/>
        <v>0</v>
      </c>
      <c r="Y18" s="17">
        <f t="shared" si="10"/>
        <v>3</v>
      </c>
      <c r="Z18" s="17">
        <f t="shared" si="10"/>
        <v>4</v>
      </c>
      <c r="AA18" s="17">
        <f t="shared" si="10"/>
        <v>3</v>
      </c>
      <c r="AB18" s="17">
        <f t="shared" si="10"/>
        <v>0</v>
      </c>
      <c r="AC18" s="17">
        <f t="shared" si="10"/>
        <v>43</v>
      </c>
      <c r="AD18" s="17">
        <f t="shared" si="10"/>
        <v>0</v>
      </c>
      <c r="AE18" s="31">
        <f t="shared" si="10"/>
        <v>18</v>
      </c>
      <c r="AF18" s="31">
        <f t="shared" si="10"/>
        <v>61</v>
      </c>
    </row>
    <row r="19" spans="2:32" ht="23.1" customHeight="1" x14ac:dyDescent="0.25">
      <c r="B19" s="23" t="s">
        <v>46</v>
      </c>
      <c r="C19" s="50">
        <v>0</v>
      </c>
      <c r="D19" s="50">
        <v>0</v>
      </c>
      <c r="E19" s="50">
        <v>0</v>
      </c>
      <c r="F19" s="50">
        <v>0</v>
      </c>
      <c r="G19" s="50">
        <v>0</v>
      </c>
      <c r="H19" s="50">
        <v>0</v>
      </c>
      <c r="I19" s="50">
        <v>1</v>
      </c>
      <c r="J19" s="50">
        <v>0</v>
      </c>
      <c r="K19" s="50">
        <v>1</v>
      </c>
      <c r="L19" s="50">
        <v>0</v>
      </c>
      <c r="M19" s="50">
        <v>11</v>
      </c>
      <c r="N19" s="50">
        <v>0</v>
      </c>
      <c r="O19" s="15">
        <f t="shared" si="0"/>
        <v>2</v>
      </c>
      <c r="P19" s="15">
        <f t="shared" si="1"/>
        <v>13</v>
      </c>
      <c r="R19" s="1" t="s">
        <v>15</v>
      </c>
      <c r="S19" s="17">
        <f t="shared" ref="S19:AF19" si="11">SUM(C46:C49)</f>
        <v>5</v>
      </c>
      <c r="T19" s="17">
        <f t="shared" si="11"/>
        <v>0</v>
      </c>
      <c r="U19" s="17">
        <f t="shared" si="11"/>
        <v>0</v>
      </c>
      <c r="V19" s="17">
        <f t="shared" si="11"/>
        <v>0</v>
      </c>
      <c r="W19" s="17">
        <f t="shared" si="11"/>
        <v>0</v>
      </c>
      <c r="X19" s="17">
        <f t="shared" si="11"/>
        <v>0</v>
      </c>
      <c r="Y19" s="17">
        <f t="shared" si="11"/>
        <v>4</v>
      </c>
      <c r="Z19" s="17">
        <f t="shared" si="11"/>
        <v>10</v>
      </c>
      <c r="AA19" s="17">
        <f t="shared" si="11"/>
        <v>0</v>
      </c>
      <c r="AB19" s="17">
        <f t="shared" si="11"/>
        <v>0</v>
      </c>
      <c r="AC19" s="17">
        <f t="shared" si="11"/>
        <v>47</v>
      </c>
      <c r="AD19" s="17">
        <f t="shared" si="11"/>
        <v>0</v>
      </c>
      <c r="AE19" s="31">
        <f t="shared" si="11"/>
        <v>19</v>
      </c>
      <c r="AF19" s="31">
        <f t="shared" si="11"/>
        <v>66</v>
      </c>
    </row>
    <row r="20" spans="2:32" ht="23.1" customHeight="1" x14ac:dyDescent="0.25">
      <c r="B20" s="23" t="s">
        <v>47</v>
      </c>
      <c r="C20" s="50">
        <v>1</v>
      </c>
      <c r="D20" s="50">
        <v>0</v>
      </c>
      <c r="E20" s="50">
        <v>0</v>
      </c>
      <c r="F20" s="50">
        <v>0</v>
      </c>
      <c r="G20" s="50">
        <v>0</v>
      </c>
      <c r="H20" s="50">
        <v>0</v>
      </c>
      <c r="I20" s="50">
        <v>1</v>
      </c>
      <c r="J20" s="50">
        <v>1</v>
      </c>
      <c r="K20" s="50">
        <v>0</v>
      </c>
      <c r="L20" s="50">
        <v>0</v>
      </c>
      <c r="M20" s="50">
        <v>3</v>
      </c>
      <c r="N20" s="50">
        <v>0</v>
      </c>
      <c r="O20" s="15">
        <f t="shared" si="0"/>
        <v>3</v>
      </c>
      <c r="P20" s="15">
        <f t="shared" si="1"/>
        <v>6</v>
      </c>
      <c r="R20" s="1" t="s">
        <v>16</v>
      </c>
      <c r="S20" s="17">
        <f t="shared" ref="S20:AF20" si="12">SUM(C50:C53)</f>
        <v>4</v>
      </c>
      <c r="T20" s="17">
        <f t="shared" si="12"/>
        <v>0</v>
      </c>
      <c r="U20" s="17">
        <f t="shared" si="12"/>
        <v>2</v>
      </c>
      <c r="V20" s="17">
        <f t="shared" si="12"/>
        <v>2</v>
      </c>
      <c r="W20" s="17">
        <f t="shared" si="12"/>
        <v>0</v>
      </c>
      <c r="X20" s="17">
        <f t="shared" si="12"/>
        <v>0</v>
      </c>
      <c r="Y20" s="17">
        <f t="shared" si="12"/>
        <v>3</v>
      </c>
      <c r="Z20" s="17">
        <f t="shared" si="12"/>
        <v>1</v>
      </c>
      <c r="AA20" s="17">
        <f t="shared" si="12"/>
        <v>2</v>
      </c>
      <c r="AB20" s="17">
        <f t="shared" si="12"/>
        <v>1</v>
      </c>
      <c r="AC20" s="17">
        <f t="shared" si="12"/>
        <v>44</v>
      </c>
      <c r="AD20" s="17">
        <f t="shared" si="12"/>
        <v>0</v>
      </c>
      <c r="AE20" s="31">
        <f t="shared" si="12"/>
        <v>15</v>
      </c>
      <c r="AF20" s="31">
        <f t="shared" si="12"/>
        <v>59</v>
      </c>
    </row>
    <row r="21" spans="2:32" ht="23.1" customHeight="1" x14ac:dyDescent="0.25">
      <c r="B21" s="23" t="s">
        <v>48</v>
      </c>
      <c r="C21" s="50">
        <v>1</v>
      </c>
      <c r="D21" s="50">
        <v>1</v>
      </c>
      <c r="E21" s="50">
        <v>0</v>
      </c>
      <c r="F21" s="50">
        <v>1</v>
      </c>
      <c r="G21" s="50">
        <v>0</v>
      </c>
      <c r="H21" s="50">
        <v>0</v>
      </c>
      <c r="I21" s="50">
        <v>0</v>
      </c>
      <c r="J21" s="50">
        <v>1</v>
      </c>
      <c r="K21" s="50">
        <v>2</v>
      </c>
      <c r="L21" s="50">
        <v>0</v>
      </c>
      <c r="M21" s="50">
        <v>7</v>
      </c>
      <c r="N21" s="50">
        <v>0</v>
      </c>
      <c r="O21" s="15">
        <f t="shared" si="0"/>
        <v>6</v>
      </c>
      <c r="P21" s="15">
        <f t="shared" si="1"/>
        <v>13</v>
      </c>
      <c r="R21" s="36" t="s">
        <v>20</v>
      </c>
      <c r="S21" s="34">
        <f t="shared" ref="S21:AF21" si="13">SUM(C54:C57)</f>
        <v>3</v>
      </c>
      <c r="T21" s="17">
        <f t="shared" si="13"/>
        <v>3</v>
      </c>
      <c r="U21" s="17">
        <f t="shared" si="13"/>
        <v>0</v>
      </c>
      <c r="V21" s="17">
        <f t="shared" si="13"/>
        <v>2</v>
      </c>
      <c r="W21" s="17">
        <f t="shared" si="13"/>
        <v>1</v>
      </c>
      <c r="X21" s="17">
        <f t="shared" si="13"/>
        <v>0</v>
      </c>
      <c r="Y21" s="17">
        <f t="shared" si="13"/>
        <v>3</v>
      </c>
      <c r="Z21" s="17">
        <f t="shared" si="13"/>
        <v>3</v>
      </c>
      <c r="AA21" s="17">
        <f t="shared" si="13"/>
        <v>5</v>
      </c>
      <c r="AB21" s="17">
        <f t="shared" si="13"/>
        <v>0</v>
      </c>
      <c r="AC21" s="17">
        <f t="shared" si="13"/>
        <v>53</v>
      </c>
      <c r="AD21" s="17">
        <f t="shared" si="13"/>
        <v>0</v>
      </c>
      <c r="AE21" s="31">
        <f t="shared" si="13"/>
        <v>20</v>
      </c>
      <c r="AF21" s="31">
        <f t="shared" si="13"/>
        <v>73</v>
      </c>
    </row>
    <row r="22" spans="2:32" ht="23.1" customHeight="1" x14ac:dyDescent="0.25">
      <c r="B22" s="23" t="s">
        <v>49</v>
      </c>
      <c r="C22" s="50">
        <v>2</v>
      </c>
      <c r="D22" s="50">
        <v>0</v>
      </c>
      <c r="E22" s="50">
        <v>1</v>
      </c>
      <c r="F22" s="50">
        <v>0</v>
      </c>
      <c r="G22" s="50">
        <v>0</v>
      </c>
      <c r="H22" s="50">
        <v>0</v>
      </c>
      <c r="I22" s="50">
        <v>1</v>
      </c>
      <c r="J22" s="50">
        <v>0</v>
      </c>
      <c r="K22" s="50">
        <v>1</v>
      </c>
      <c r="L22" s="50">
        <v>0</v>
      </c>
      <c r="M22" s="50">
        <v>8</v>
      </c>
      <c r="N22" s="50">
        <v>0</v>
      </c>
      <c r="O22" s="15">
        <f t="shared" si="0"/>
        <v>5</v>
      </c>
      <c r="P22" s="15">
        <f t="shared" si="1"/>
        <v>13</v>
      </c>
      <c r="R22" s="38" t="s">
        <v>90</v>
      </c>
      <c r="S22" s="39">
        <f>MAX(S10:S12)</f>
        <v>3</v>
      </c>
      <c r="T22" s="39">
        <f t="shared" ref="T22:AF22" si="14">MAX(T10:T12)</f>
        <v>1</v>
      </c>
      <c r="U22" s="39">
        <f t="shared" si="14"/>
        <v>2</v>
      </c>
      <c r="V22" s="39">
        <f t="shared" si="14"/>
        <v>2</v>
      </c>
      <c r="W22" s="39">
        <f t="shared" si="14"/>
        <v>1</v>
      </c>
      <c r="X22" s="39">
        <f t="shared" si="14"/>
        <v>0</v>
      </c>
      <c r="Y22" s="39">
        <f t="shared" si="14"/>
        <v>3</v>
      </c>
      <c r="Z22" s="39">
        <f t="shared" si="14"/>
        <v>2</v>
      </c>
      <c r="AA22" s="39">
        <f t="shared" si="14"/>
        <v>3</v>
      </c>
      <c r="AB22" s="39">
        <f t="shared" si="14"/>
        <v>0</v>
      </c>
      <c r="AC22" s="39">
        <f t="shared" si="14"/>
        <v>31</v>
      </c>
      <c r="AD22" s="39">
        <f t="shared" si="14"/>
        <v>0</v>
      </c>
      <c r="AE22" s="40">
        <f t="shared" si="14"/>
        <v>12</v>
      </c>
      <c r="AF22" s="40">
        <f t="shared" si="14"/>
        <v>41</v>
      </c>
    </row>
    <row r="23" spans="2:32" ht="23.1" customHeight="1" x14ac:dyDescent="0.25">
      <c r="B23" s="23" t="s">
        <v>50</v>
      </c>
      <c r="C23" s="50">
        <v>2</v>
      </c>
      <c r="D23" s="50">
        <v>0</v>
      </c>
      <c r="E23" s="50">
        <v>0</v>
      </c>
      <c r="F23" s="50">
        <v>0</v>
      </c>
      <c r="G23" s="50">
        <v>0</v>
      </c>
      <c r="H23" s="50">
        <v>0</v>
      </c>
      <c r="I23" s="50">
        <v>0</v>
      </c>
      <c r="J23" s="50">
        <v>0</v>
      </c>
      <c r="K23" s="50">
        <v>1</v>
      </c>
      <c r="L23" s="50">
        <v>0</v>
      </c>
      <c r="M23" s="50">
        <v>8</v>
      </c>
      <c r="N23" s="50">
        <v>0</v>
      </c>
      <c r="O23" s="15">
        <f t="shared" si="0"/>
        <v>3</v>
      </c>
      <c r="P23" s="15">
        <f t="shared" si="1"/>
        <v>11</v>
      </c>
      <c r="R23" s="38" t="s">
        <v>91</v>
      </c>
      <c r="S23" s="39">
        <f>MAX(S13:S18)</f>
        <v>8</v>
      </c>
      <c r="T23" s="39">
        <f t="shared" ref="T23:AF23" si="15">MAX(T13:T18)</f>
        <v>2</v>
      </c>
      <c r="U23" s="39">
        <f t="shared" si="15"/>
        <v>5</v>
      </c>
      <c r="V23" s="39">
        <f t="shared" si="15"/>
        <v>2</v>
      </c>
      <c r="W23" s="39">
        <f t="shared" si="15"/>
        <v>0</v>
      </c>
      <c r="X23" s="39">
        <f t="shared" si="15"/>
        <v>0</v>
      </c>
      <c r="Y23" s="39">
        <f t="shared" si="15"/>
        <v>5</v>
      </c>
      <c r="Z23" s="39">
        <f t="shared" si="15"/>
        <v>4</v>
      </c>
      <c r="AA23" s="39">
        <f t="shared" si="15"/>
        <v>6</v>
      </c>
      <c r="AB23" s="39">
        <f t="shared" si="15"/>
        <v>1</v>
      </c>
      <c r="AC23" s="39">
        <f t="shared" si="15"/>
        <v>43</v>
      </c>
      <c r="AD23" s="39">
        <f t="shared" si="15"/>
        <v>0</v>
      </c>
      <c r="AE23" s="40">
        <f t="shared" si="15"/>
        <v>19</v>
      </c>
      <c r="AF23" s="40">
        <f t="shared" si="15"/>
        <v>61</v>
      </c>
    </row>
    <row r="24" spans="2:32" ht="23.1" customHeight="1" x14ac:dyDescent="0.25">
      <c r="B24" s="23" t="s">
        <v>51</v>
      </c>
      <c r="C24" s="50">
        <v>1</v>
      </c>
      <c r="D24" s="50">
        <v>0</v>
      </c>
      <c r="E24" s="50">
        <v>0</v>
      </c>
      <c r="F24" s="50">
        <v>0</v>
      </c>
      <c r="G24" s="50">
        <v>0</v>
      </c>
      <c r="H24" s="50">
        <v>0</v>
      </c>
      <c r="I24" s="50">
        <v>0</v>
      </c>
      <c r="J24" s="50">
        <v>0</v>
      </c>
      <c r="K24" s="50">
        <v>0</v>
      </c>
      <c r="L24" s="50">
        <v>0</v>
      </c>
      <c r="M24" s="50">
        <v>11</v>
      </c>
      <c r="N24" s="50">
        <v>0</v>
      </c>
      <c r="O24" s="15">
        <f t="shared" si="0"/>
        <v>1</v>
      </c>
      <c r="P24" s="15">
        <f t="shared" si="1"/>
        <v>12</v>
      </c>
      <c r="R24" s="38" t="s">
        <v>92</v>
      </c>
      <c r="S24" s="39">
        <f>MAX(S19:S21)</f>
        <v>5</v>
      </c>
      <c r="T24" s="39">
        <f t="shared" ref="T24:AF24" si="16">MAX(T19:T21)</f>
        <v>3</v>
      </c>
      <c r="U24" s="39">
        <f t="shared" si="16"/>
        <v>2</v>
      </c>
      <c r="V24" s="39">
        <f t="shared" si="16"/>
        <v>2</v>
      </c>
      <c r="W24" s="39">
        <f t="shared" si="16"/>
        <v>1</v>
      </c>
      <c r="X24" s="39">
        <f t="shared" si="16"/>
        <v>0</v>
      </c>
      <c r="Y24" s="39">
        <f t="shared" si="16"/>
        <v>4</v>
      </c>
      <c r="Z24" s="39">
        <f t="shared" si="16"/>
        <v>10</v>
      </c>
      <c r="AA24" s="39">
        <f t="shared" si="16"/>
        <v>5</v>
      </c>
      <c r="AB24" s="39">
        <f t="shared" si="16"/>
        <v>1</v>
      </c>
      <c r="AC24" s="39">
        <f t="shared" si="16"/>
        <v>53</v>
      </c>
      <c r="AD24" s="39">
        <f t="shared" si="16"/>
        <v>0</v>
      </c>
      <c r="AE24" s="40">
        <f t="shared" si="16"/>
        <v>20</v>
      </c>
      <c r="AF24" s="40">
        <f t="shared" si="16"/>
        <v>73</v>
      </c>
    </row>
    <row r="25" spans="2:32" ht="23.1" customHeight="1" x14ac:dyDescent="0.25">
      <c r="B25" s="23" t="s">
        <v>52</v>
      </c>
      <c r="C25" s="50">
        <v>0</v>
      </c>
      <c r="D25" s="50">
        <v>0</v>
      </c>
      <c r="E25" s="50">
        <v>2</v>
      </c>
      <c r="F25" s="50">
        <v>1</v>
      </c>
      <c r="G25" s="50">
        <v>0</v>
      </c>
      <c r="H25" s="50">
        <v>0</v>
      </c>
      <c r="I25" s="50">
        <v>2</v>
      </c>
      <c r="J25" s="50">
        <v>0</v>
      </c>
      <c r="K25" s="50">
        <v>0</v>
      </c>
      <c r="L25" s="50">
        <v>0</v>
      </c>
      <c r="M25" s="50">
        <v>6</v>
      </c>
      <c r="N25" s="50">
        <v>0</v>
      </c>
      <c r="O25" s="15">
        <f t="shared" si="0"/>
        <v>5</v>
      </c>
      <c r="P25" s="15">
        <f t="shared" si="1"/>
        <v>11</v>
      </c>
      <c r="R25" s="37" t="s">
        <v>85</v>
      </c>
      <c r="S25" s="35">
        <f t="shared" ref="S25:AF25" si="17">SUM(S10:S12)</f>
        <v>8</v>
      </c>
      <c r="T25" s="16">
        <f t="shared" si="17"/>
        <v>3</v>
      </c>
      <c r="U25" s="16">
        <f t="shared" si="17"/>
        <v>3</v>
      </c>
      <c r="V25" s="16">
        <f t="shared" si="17"/>
        <v>6</v>
      </c>
      <c r="W25" s="16">
        <f t="shared" si="17"/>
        <v>1</v>
      </c>
      <c r="X25" s="16">
        <f t="shared" si="17"/>
        <v>0</v>
      </c>
      <c r="Y25" s="16">
        <f t="shared" si="17"/>
        <v>6</v>
      </c>
      <c r="Z25" s="16">
        <f t="shared" si="17"/>
        <v>2</v>
      </c>
      <c r="AA25" s="16">
        <f t="shared" si="17"/>
        <v>3</v>
      </c>
      <c r="AB25" s="16">
        <f t="shared" si="17"/>
        <v>0</v>
      </c>
      <c r="AC25" s="16">
        <f t="shared" si="17"/>
        <v>86</v>
      </c>
      <c r="AD25" s="16">
        <f t="shared" si="17"/>
        <v>0</v>
      </c>
      <c r="AE25" s="32">
        <f t="shared" si="17"/>
        <v>32</v>
      </c>
      <c r="AF25" s="32">
        <f t="shared" si="17"/>
        <v>118</v>
      </c>
    </row>
    <row r="26" spans="2:32" ht="23.1" customHeight="1" x14ac:dyDescent="0.25">
      <c r="B26" s="23" t="s">
        <v>53</v>
      </c>
      <c r="C26" s="50">
        <v>2</v>
      </c>
      <c r="D26" s="50">
        <v>0</v>
      </c>
      <c r="E26" s="50">
        <v>3</v>
      </c>
      <c r="F26" s="50">
        <v>1</v>
      </c>
      <c r="G26" s="50">
        <v>0</v>
      </c>
      <c r="H26" s="50">
        <v>0</v>
      </c>
      <c r="I26" s="50">
        <v>0</v>
      </c>
      <c r="J26" s="50">
        <v>1</v>
      </c>
      <c r="K26" s="50">
        <v>0</v>
      </c>
      <c r="L26" s="50">
        <v>0</v>
      </c>
      <c r="M26" s="50">
        <v>11</v>
      </c>
      <c r="N26" s="50">
        <v>0</v>
      </c>
      <c r="O26" s="15">
        <f t="shared" si="0"/>
        <v>7</v>
      </c>
      <c r="P26" s="15">
        <f t="shared" si="1"/>
        <v>18</v>
      </c>
      <c r="R26" s="28" t="s">
        <v>86</v>
      </c>
      <c r="S26" s="16">
        <f t="shared" ref="S26:AF26" si="18">SUM(S13:S18)</f>
        <v>29</v>
      </c>
      <c r="T26" s="16">
        <f t="shared" si="18"/>
        <v>4</v>
      </c>
      <c r="U26" s="16">
        <f t="shared" si="18"/>
        <v>11</v>
      </c>
      <c r="V26" s="16">
        <f t="shared" si="18"/>
        <v>5</v>
      </c>
      <c r="W26" s="16">
        <f t="shared" si="18"/>
        <v>0</v>
      </c>
      <c r="X26" s="16">
        <f t="shared" si="18"/>
        <v>0</v>
      </c>
      <c r="Y26" s="16">
        <f t="shared" si="18"/>
        <v>17</v>
      </c>
      <c r="Z26" s="16">
        <f t="shared" si="18"/>
        <v>8</v>
      </c>
      <c r="AA26" s="16">
        <f t="shared" si="18"/>
        <v>20</v>
      </c>
      <c r="AB26" s="16">
        <f t="shared" si="18"/>
        <v>1</v>
      </c>
      <c r="AC26" s="16">
        <f t="shared" si="18"/>
        <v>213</v>
      </c>
      <c r="AD26" s="16">
        <f t="shared" si="18"/>
        <v>0</v>
      </c>
      <c r="AE26" s="32">
        <f t="shared" si="18"/>
        <v>95</v>
      </c>
      <c r="AF26" s="32">
        <f t="shared" si="18"/>
        <v>308</v>
      </c>
    </row>
    <row r="27" spans="2:32" ht="23.1" customHeight="1" x14ac:dyDescent="0.25">
      <c r="B27" s="23" t="s">
        <v>54</v>
      </c>
      <c r="C27" s="50">
        <v>0</v>
      </c>
      <c r="D27" s="50">
        <v>0</v>
      </c>
      <c r="E27" s="50">
        <v>2</v>
      </c>
      <c r="F27" s="50">
        <v>0</v>
      </c>
      <c r="G27" s="50">
        <v>0</v>
      </c>
      <c r="H27" s="50">
        <v>0</v>
      </c>
      <c r="I27" s="50">
        <v>0</v>
      </c>
      <c r="J27" s="50">
        <v>1</v>
      </c>
      <c r="K27" s="50">
        <v>0</v>
      </c>
      <c r="L27" s="50">
        <v>0</v>
      </c>
      <c r="M27" s="50">
        <v>6</v>
      </c>
      <c r="N27" s="50">
        <v>0</v>
      </c>
      <c r="O27" s="15">
        <f t="shared" si="0"/>
        <v>3</v>
      </c>
      <c r="P27" s="15">
        <f t="shared" si="1"/>
        <v>9</v>
      </c>
      <c r="R27" s="29" t="s">
        <v>87</v>
      </c>
      <c r="S27" s="16">
        <f t="shared" ref="S27:AF27" si="19">SUM(S19:S21)</f>
        <v>12</v>
      </c>
      <c r="T27" s="16">
        <f t="shared" si="19"/>
        <v>3</v>
      </c>
      <c r="U27" s="16">
        <f t="shared" si="19"/>
        <v>2</v>
      </c>
      <c r="V27" s="16">
        <f t="shared" si="19"/>
        <v>4</v>
      </c>
      <c r="W27" s="16">
        <f t="shared" si="19"/>
        <v>1</v>
      </c>
      <c r="X27" s="16">
        <f t="shared" si="19"/>
        <v>0</v>
      </c>
      <c r="Y27" s="16">
        <f t="shared" si="19"/>
        <v>10</v>
      </c>
      <c r="Z27" s="16">
        <f t="shared" si="19"/>
        <v>14</v>
      </c>
      <c r="AA27" s="16">
        <f t="shared" si="19"/>
        <v>7</v>
      </c>
      <c r="AB27" s="16">
        <f t="shared" si="19"/>
        <v>1</v>
      </c>
      <c r="AC27" s="16">
        <f t="shared" si="19"/>
        <v>144</v>
      </c>
      <c r="AD27" s="16">
        <f t="shared" si="19"/>
        <v>0</v>
      </c>
      <c r="AE27" s="32">
        <f t="shared" si="19"/>
        <v>54</v>
      </c>
      <c r="AF27" s="32">
        <f t="shared" si="19"/>
        <v>198</v>
      </c>
    </row>
    <row r="28" spans="2:32" ht="23.1" customHeight="1" x14ac:dyDescent="0.25">
      <c r="B28" s="23" t="s">
        <v>55</v>
      </c>
      <c r="C28" s="50">
        <v>1</v>
      </c>
      <c r="D28" s="50">
        <v>0</v>
      </c>
      <c r="E28" s="50">
        <v>0</v>
      </c>
      <c r="F28" s="50">
        <v>1</v>
      </c>
      <c r="G28" s="50">
        <v>0</v>
      </c>
      <c r="H28" s="50">
        <v>0</v>
      </c>
      <c r="I28" s="50">
        <v>2</v>
      </c>
      <c r="J28" s="50">
        <v>0</v>
      </c>
      <c r="K28" s="50">
        <v>0</v>
      </c>
      <c r="L28" s="50">
        <v>0</v>
      </c>
      <c r="M28" s="50">
        <v>4</v>
      </c>
      <c r="N28" s="50">
        <v>0</v>
      </c>
      <c r="O28" s="15">
        <f t="shared" si="0"/>
        <v>4</v>
      </c>
      <c r="P28" s="15">
        <f t="shared" si="1"/>
        <v>8</v>
      </c>
      <c r="R28" s="5" t="s">
        <v>17</v>
      </c>
      <c r="S28" s="16">
        <f t="shared" ref="S28:AF28" si="20">SUM(S10:S21)</f>
        <v>49</v>
      </c>
      <c r="T28" s="16">
        <f t="shared" si="20"/>
        <v>10</v>
      </c>
      <c r="U28" s="16">
        <f t="shared" si="20"/>
        <v>16</v>
      </c>
      <c r="V28" s="16">
        <f t="shared" si="20"/>
        <v>15</v>
      </c>
      <c r="W28" s="16">
        <f t="shared" si="20"/>
        <v>2</v>
      </c>
      <c r="X28" s="16">
        <f t="shared" si="20"/>
        <v>0</v>
      </c>
      <c r="Y28" s="16">
        <f t="shared" si="20"/>
        <v>33</v>
      </c>
      <c r="Z28" s="16">
        <f t="shared" si="20"/>
        <v>24</v>
      </c>
      <c r="AA28" s="16">
        <f t="shared" si="20"/>
        <v>30</v>
      </c>
      <c r="AB28" s="16">
        <f t="shared" si="20"/>
        <v>2</v>
      </c>
      <c r="AC28" s="16">
        <f t="shared" si="20"/>
        <v>443</v>
      </c>
      <c r="AD28" s="16">
        <f t="shared" si="20"/>
        <v>0</v>
      </c>
      <c r="AE28" s="32">
        <f t="shared" si="20"/>
        <v>181</v>
      </c>
      <c r="AF28" s="32">
        <f t="shared" si="20"/>
        <v>624</v>
      </c>
    </row>
    <row r="29" spans="2:32" ht="23.1" customHeight="1" x14ac:dyDescent="0.25">
      <c r="B29" s="23" t="s">
        <v>56</v>
      </c>
      <c r="C29" s="50">
        <v>0</v>
      </c>
      <c r="D29" s="50">
        <v>0</v>
      </c>
      <c r="E29" s="50">
        <v>0</v>
      </c>
      <c r="F29" s="50">
        <v>0</v>
      </c>
      <c r="G29" s="50">
        <v>0</v>
      </c>
      <c r="H29" s="50">
        <v>0</v>
      </c>
      <c r="I29" s="50">
        <v>0</v>
      </c>
      <c r="J29" s="50">
        <v>0</v>
      </c>
      <c r="K29" s="50">
        <v>2</v>
      </c>
      <c r="L29" s="50">
        <v>0</v>
      </c>
      <c r="M29" s="50">
        <v>7</v>
      </c>
      <c r="N29" s="50">
        <v>0</v>
      </c>
      <c r="O29" s="15">
        <f t="shared" si="0"/>
        <v>2</v>
      </c>
      <c r="P29" s="15">
        <f t="shared" si="1"/>
        <v>9</v>
      </c>
      <c r="R29"/>
      <c r="S29" s="20"/>
      <c r="T29" s="19"/>
    </row>
    <row r="30" spans="2:32" ht="23.1" customHeight="1" x14ac:dyDescent="0.25">
      <c r="B30" s="23" t="s">
        <v>57</v>
      </c>
      <c r="C30" s="50">
        <v>0</v>
      </c>
      <c r="D30" s="50">
        <v>0</v>
      </c>
      <c r="E30" s="50">
        <v>0</v>
      </c>
      <c r="F30" s="50">
        <v>0</v>
      </c>
      <c r="G30" s="50">
        <v>0</v>
      </c>
      <c r="H30" s="50">
        <v>0</v>
      </c>
      <c r="I30" s="50">
        <v>1</v>
      </c>
      <c r="J30" s="50">
        <v>0</v>
      </c>
      <c r="K30" s="50">
        <v>2</v>
      </c>
      <c r="L30" s="50">
        <v>0</v>
      </c>
      <c r="M30" s="50">
        <v>2</v>
      </c>
      <c r="N30" s="50">
        <v>0</v>
      </c>
      <c r="O30" s="15">
        <f t="shared" si="0"/>
        <v>3</v>
      </c>
      <c r="P30" s="15">
        <f t="shared" si="1"/>
        <v>5</v>
      </c>
    </row>
    <row r="31" spans="2:32" ht="23.1" customHeight="1" x14ac:dyDescent="0.25">
      <c r="B31" s="24" t="s">
        <v>58</v>
      </c>
      <c r="C31" s="50">
        <v>2</v>
      </c>
      <c r="D31" s="50">
        <v>1</v>
      </c>
      <c r="E31" s="50">
        <v>0</v>
      </c>
      <c r="F31" s="50">
        <v>0</v>
      </c>
      <c r="G31" s="50">
        <v>0</v>
      </c>
      <c r="H31" s="50">
        <v>0</v>
      </c>
      <c r="I31" s="50">
        <v>1</v>
      </c>
      <c r="J31" s="50">
        <v>0</v>
      </c>
      <c r="K31" s="50">
        <v>0</v>
      </c>
      <c r="L31" s="50">
        <v>0</v>
      </c>
      <c r="M31" s="50">
        <v>10</v>
      </c>
      <c r="N31" s="50">
        <v>0</v>
      </c>
      <c r="O31" s="15">
        <f t="shared" si="0"/>
        <v>4</v>
      </c>
      <c r="P31" s="15">
        <f t="shared" si="1"/>
        <v>14</v>
      </c>
    </row>
    <row r="32" spans="2:32" ht="23.1" customHeight="1" x14ac:dyDescent="0.25">
      <c r="B32" s="24" t="s">
        <v>59</v>
      </c>
      <c r="C32" s="50">
        <v>1</v>
      </c>
      <c r="D32" s="50">
        <v>0</v>
      </c>
      <c r="E32" s="50">
        <v>0</v>
      </c>
      <c r="F32" s="50">
        <v>0</v>
      </c>
      <c r="G32" s="50">
        <v>0</v>
      </c>
      <c r="H32" s="50">
        <v>0</v>
      </c>
      <c r="I32" s="50">
        <v>1</v>
      </c>
      <c r="J32" s="50">
        <v>0</v>
      </c>
      <c r="K32" s="50">
        <v>1</v>
      </c>
      <c r="L32" s="50">
        <v>1</v>
      </c>
      <c r="M32" s="50">
        <v>8</v>
      </c>
      <c r="N32" s="50">
        <v>0</v>
      </c>
      <c r="O32" s="15">
        <f t="shared" si="0"/>
        <v>4</v>
      </c>
      <c r="P32" s="15">
        <f t="shared" si="1"/>
        <v>12</v>
      </c>
    </row>
    <row r="33" spans="2:20" ht="23.1" customHeight="1" x14ac:dyDescent="0.25">
      <c r="B33" s="23" t="s">
        <v>60</v>
      </c>
      <c r="C33" s="50">
        <v>1</v>
      </c>
      <c r="D33" s="50">
        <v>1</v>
      </c>
      <c r="E33" s="50">
        <v>0</v>
      </c>
      <c r="F33" s="50">
        <v>1</v>
      </c>
      <c r="G33" s="50">
        <v>0</v>
      </c>
      <c r="H33" s="50">
        <v>0</v>
      </c>
      <c r="I33" s="50">
        <v>1</v>
      </c>
      <c r="J33" s="50">
        <v>0</v>
      </c>
      <c r="K33" s="50">
        <v>1</v>
      </c>
      <c r="L33" s="50">
        <v>0</v>
      </c>
      <c r="M33" s="50">
        <v>11</v>
      </c>
      <c r="N33" s="50">
        <v>0</v>
      </c>
      <c r="O33" s="15">
        <f t="shared" si="0"/>
        <v>5</v>
      </c>
      <c r="P33" s="15">
        <f t="shared" si="1"/>
        <v>16</v>
      </c>
    </row>
    <row r="34" spans="2:20" ht="23.1" customHeight="1" x14ac:dyDescent="0.25">
      <c r="B34" s="24" t="s">
        <v>61</v>
      </c>
      <c r="C34" s="50">
        <v>1</v>
      </c>
      <c r="D34" s="50">
        <v>1</v>
      </c>
      <c r="E34" s="50">
        <v>1</v>
      </c>
      <c r="F34" s="50">
        <v>0</v>
      </c>
      <c r="G34" s="50">
        <v>0</v>
      </c>
      <c r="H34" s="50">
        <v>0</v>
      </c>
      <c r="I34" s="50">
        <v>1</v>
      </c>
      <c r="J34" s="50">
        <v>0</v>
      </c>
      <c r="K34" s="50">
        <v>0</v>
      </c>
      <c r="L34" s="50">
        <v>0</v>
      </c>
      <c r="M34" s="50">
        <v>9</v>
      </c>
      <c r="N34" s="50">
        <v>0</v>
      </c>
      <c r="O34" s="15">
        <f t="shared" si="0"/>
        <v>4</v>
      </c>
      <c r="P34" s="15">
        <f t="shared" si="1"/>
        <v>13</v>
      </c>
    </row>
    <row r="35" spans="2:20" ht="23.1" customHeight="1" x14ac:dyDescent="0.25">
      <c r="B35" s="24" t="s">
        <v>62</v>
      </c>
      <c r="C35" s="50">
        <v>0</v>
      </c>
      <c r="D35" s="50">
        <v>0</v>
      </c>
      <c r="E35" s="50">
        <v>0</v>
      </c>
      <c r="F35" s="50">
        <v>0</v>
      </c>
      <c r="G35" s="50">
        <v>0</v>
      </c>
      <c r="H35" s="50">
        <v>0</v>
      </c>
      <c r="I35" s="50">
        <v>1</v>
      </c>
      <c r="J35" s="50">
        <v>0</v>
      </c>
      <c r="K35" s="50">
        <v>3</v>
      </c>
      <c r="L35" s="50">
        <v>0</v>
      </c>
      <c r="M35" s="50">
        <v>9</v>
      </c>
      <c r="N35" s="50">
        <v>0</v>
      </c>
      <c r="O35" s="15">
        <f t="shared" si="0"/>
        <v>4</v>
      </c>
      <c r="P35" s="15">
        <f t="shared" si="1"/>
        <v>13</v>
      </c>
    </row>
    <row r="36" spans="2:20" ht="23.1" customHeight="1" x14ac:dyDescent="0.25">
      <c r="B36" s="24" t="s">
        <v>63</v>
      </c>
      <c r="C36" s="50">
        <v>1</v>
      </c>
      <c r="D36" s="50">
        <v>0</v>
      </c>
      <c r="E36" s="50">
        <v>0</v>
      </c>
      <c r="F36" s="50">
        <v>0</v>
      </c>
      <c r="G36" s="50">
        <v>0</v>
      </c>
      <c r="H36" s="50">
        <v>0</v>
      </c>
      <c r="I36" s="50">
        <v>0</v>
      </c>
      <c r="J36" s="50">
        <v>0</v>
      </c>
      <c r="K36" s="50">
        <v>1</v>
      </c>
      <c r="L36" s="50">
        <v>0</v>
      </c>
      <c r="M36" s="50">
        <v>11</v>
      </c>
      <c r="N36" s="50">
        <v>0</v>
      </c>
      <c r="O36" s="15">
        <f t="shared" si="0"/>
        <v>2</v>
      </c>
      <c r="P36" s="15">
        <f t="shared" si="1"/>
        <v>13</v>
      </c>
    </row>
    <row r="37" spans="2:20" ht="23.1" customHeight="1" x14ac:dyDescent="0.25">
      <c r="B37" s="23" t="s">
        <v>64</v>
      </c>
      <c r="C37" s="50">
        <v>1</v>
      </c>
      <c r="D37" s="50">
        <v>0</v>
      </c>
      <c r="E37" s="50">
        <v>0</v>
      </c>
      <c r="F37" s="50">
        <v>1</v>
      </c>
      <c r="G37" s="50">
        <v>0</v>
      </c>
      <c r="H37" s="50">
        <v>0</v>
      </c>
      <c r="I37" s="50">
        <v>3</v>
      </c>
      <c r="J37" s="50">
        <v>2</v>
      </c>
      <c r="K37" s="50">
        <v>2</v>
      </c>
      <c r="L37" s="50">
        <v>0</v>
      </c>
      <c r="M37" s="50">
        <v>12</v>
      </c>
      <c r="N37" s="50">
        <v>0</v>
      </c>
      <c r="O37" s="15">
        <f t="shared" si="0"/>
        <v>9</v>
      </c>
      <c r="P37" s="15">
        <f t="shared" si="1"/>
        <v>21</v>
      </c>
    </row>
    <row r="38" spans="2:20" ht="23.1" customHeight="1" x14ac:dyDescent="0.25">
      <c r="B38" s="24" t="s">
        <v>65</v>
      </c>
      <c r="C38" s="50">
        <v>1</v>
      </c>
      <c r="D38" s="50">
        <v>0</v>
      </c>
      <c r="E38" s="50">
        <v>1</v>
      </c>
      <c r="F38" s="50">
        <v>0</v>
      </c>
      <c r="G38" s="50">
        <v>0</v>
      </c>
      <c r="H38" s="50">
        <v>0</v>
      </c>
      <c r="I38" s="50">
        <v>0</v>
      </c>
      <c r="J38" s="50">
        <v>0</v>
      </c>
      <c r="K38" s="50">
        <v>0</v>
      </c>
      <c r="L38" s="50">
        <v>0</v>
      </c>
      <c r="M38" s="50">
        <v>9</v>
      </c>
      <c r="N38" s="50">
        <v>0</v>
      </c>
      <c r="O38" s="15">
        <f t="shared" si="0"/>
        <v>2</v>
      </c>
      <c r="P38" s="15">
        <f t="shared" si="1"/>
        <v>11</v>
      </c>
    </row>
    <row r="39" spans="2:20" ht="23.1" customHeight="1" x14ac:dyDescent="0.25">
      <c r="B39" s="24" t="s">
        <v>66</v>
      </c>
      <c r="C39" s="50">
        <v>1</v>
      </c>
      <c r="D39" s="50">
        <v>0</v>
      </c>
      <c r="E39" s="50">
        <v>0</v>
      </c>
      <c r="F39" s="50">
        <v>0</v>
      </c>
      <c r="G39" s="50">
        <v>0</v>
      </c>
      <c r="H39" s="50">
        <v>0</v>
      </c>
      <c r="I39" s="50">
        <v>0</v>
      </c>
      <c r="J39" s="50">
        <v>0</v>
      </c>
      <c r="K39" s="50">
        <v>1</v>
      </c>
      <c r="L39" s="50">
        <v>0</v>
      </c>
      <c r="M39" s="50">
        <v>7</v>
      </c>
      <c r="N39" s="50">
        <v>0</v>
      </c>
      <c r="O39" s="15">
        <f t="shared" si="0"/>
        <v>2</v>
      </c>
      <c r="P39" s="15">
        <f t="shared" si="1"/>
        <v>9</v>
      </c>
    </row>
    <row r="40" spans="2:20" ht="23.1" customHeight="1" x14ac:dyDescent="0.25">
      <c r="B40" s="24" t="s">
        <v>67</v>
      </c>
      <c r="C40" s="50">
        <v>1</v>
      </c>
      <c r="D40" s="50">
        <v>0</v>
      </c>
      <c r="E40" s="50">
        <v>0</v>
      </c>
      <c r="F40" s="50">
        <v>0</v>
      </c>
      <c r="G40" s="50">
        <v>0</v>
      </c>
      <c r="H40" s="50">
        <v>0</v>
      </c>
      <c r="I40" s="50">
        <v>0</v>
      </c>
      <c r="J40" s="50">
        <v>0</v>
      </c>
      <c r="K40" s="50">
        <v>2</v>
      </c>
      <c r="L40" s="50">
        <v>0</v>
      </c>
      <c r="M40" s="50">
        <v>11</v>
      </c>
      <c r="N40" s="50">
        <v>0</v>
      </c>
      <c r="O40" s="15">
        <f t="shared" si="0"/>
        <v>3</v>
      </c>
      <c r="P40" s="15">
        <f t="shared" si="1"/>
        <v>14</v>
      </c>
    </row>
    <row r="41" spans="2:20" ht="23.1" customHeight="1" x14ac:dyDescent="0.25">
      <c r="B41" s="23" t="s">
        <v>68</v>
      </c>
      <c r="C41" s="50">
        <v>5</v>
      </c>
      <c r="D41" s="50">
        <v>0</v>
      </c>
      <c r="E41" s="50">
        <v>0</v>
      </c>
      <c r="F41" s="50">
        <v>0</v>
      </c>
      <c r="G41" s="50">
        <v>0</v>
      </c>
      <c r="H41" s="50">
        <v>0</v>
      </c>
      <c r="I41" s="50">
        <v>0</v>
      </c>
      <c r="J41" s="50">
        <v>0</v>
      </c>
      <c r="K41" s="50">
        <v>0</v>
      </c>
      <c r="L41" s="50">
        <v>0</v>
      </c>
      <c r="M41" s="50">
        <v>10</v>
      </c>
      <c r="N41" s="50">
        <v>0</v>
      </c>
      <c r="O41" s="15">
        <f t="shared" si="0"/>
        <v>5</v>
      </c>
      <c r="P41" s="15">
        <f t="shared" si="1"/>
        <v>15</v>
      </c>
    </row>
    <row r="42" spans="2:20" ht="23.1" customHeight="1" x14ac:dyDescent="0.25">
      <c r="B42" s="24" t="s">
        <v>69</v>
      </c>
      <c r="C42" s="50">
        <v>1</v>
      </c>
      <c r="D42" s="50">
        <v>0</v>
      </c>
      <c r="E42" s="50">
        <v>1</v>
      </c>
      <c r="F42" s="50">
        <v>0</v>
      </c>
      <c r="G42" s="50">
        <v>0</v>
      </c>
      <c r="H42" s="50">
        <v>0</v>
      </c>
      <c r="I42" s="50">
        <v>1</v>
      </c>
      <c r="J42" s="50">
        <v>0</v>
      </c>
      <c r="K42" s="50">
        <v>0</v>
      </c>
      <c r="L42" s="50">
        <v>0</v>
      </c>
      <c r="M42" s="50">
        <v>7</v>
      </c>
      <c r="N42" s="50">
        <v>0</v>
      </c>
      <c r="O42" s="15">
        <f t="shared" si="0"/>
        <v>3</v>
      </c>
      <c r="P42" s="15">
        <f t="shared" si="1"/>
        <v>10</v>
      </c>
    </row>
    <row r="43" spans="2:20" ht="23.1" customHeight="1" x14ac:dyDescent="0.25">
      <c r="B43" s="23" t="s">
        <v>70</v>
      </c>
      <c r="C43" s="50">
        <v>1</v>
      </c>
      <c r="D43" s="50">
        <v>0</v>
      </c>
      <c r="E43" s="50">
        <v>0</v>
      </c>
      <c r="F43" s="50">
        <v>0</v>
      </c>
      <c r="G43" s="50">
        <v>0</v>
      </c>
      <c r="H43" s="50">
        <v>0</v>
      </c>
      <c r="I43" s="50">
        <v>0</v>
      </c>
      <c r="J43" s="50">
        <v>3</v>
      </c>
      <c r="K43" s="50">
        <v>2</v>
      </c>
      <c r="L43" s="50">
        <v>0</v>
      </c>
      <c r="M43" s="50">
        <v>13</v>
      </c>
      <c r="N43" s="50">
        <v>0</v>
      </c>
      <c r="O43" s="15">
        <f t="shared" si="0"/>
        <v>6</v>
      </c>
      <c r="P43" s="15">
        <f t="shared" si="1"/>
        <v>19</v>
      </c>
    </row>
    <row r="44" spans="2:20" ht="23.1" customHeight="1" x14ac:dyDescent="0.25">
      <c r="B44" s="25" t="s">
        <v>71</v>
      </c>
      <c r="C44" s="50">
        <v>2</v>
      </c>
      <c r="D44" s="50">
        <v>1</v>
      </c>
      <c r="E44" s="50">
        <v>0</v>
      </c>
      <c r="F44" s="50">
        <v>0</v>
      </c>
      <c r="G44" s="50">
        <v>0</v>
      </c>
      <c r="H44" s="50">
        <v>0</v>
      </c>
      <c r="I44" s="50">
        <v>1</v>
      </c>
      <c r="J44" s="50">
        <v>1</v>
      </c>
      <c r="K44" s="50">
        <v>1</v>
      </c>
      <c r="L44" s="50">
        <v>0</v>
      </c>
      <c r="M44" s="50">
        <v>11</v>
      </c>
      <c r="N44" s="50">
        <v>0</v>
      </c>
      <c r="O44" s="15">
        <f t="shared" si="0"/>
        <v>6</v>
      </c>
      <c r="P44" s="15">
        <f t="shared" si="1"/>
        <v>17</v>
      </c>
    </row>
    <row r="45" spans="2:20" ht="23.1" customHeight="1" x14ac:dyDescent="0.25">
      <c r="B45" s="23" t="s">
        <v>72</v>
      </c>
      <c r="C45" s="50">
        <v>2</v>
      </c>
      <c r="D45" s="50">
        <v>0</v>
      </c>
      <c r="E45" s="50">
        <v>0</v>
      </c>
      <c r="F45" s="50">
        <v>0</v>
      </c>
      <c r="G45" s="50">
        <v>0</v>
      </c>
      <c r="H45" s="50">
        <v>0</v>
      </c>
      <c r="I45" s="50">
        <v>1</v>
      </c>
      <c r="J45" s="50">
        <v>0</v>
      </c>
      <c r="K45" s="50">
        <v>0</v>
      </c>
      <c r="L45" s="50">
        <v>0</v>
      </c>
      <c r="M45" s="50">
        <v>12</v>
      </c>
      <c r="N45" s="50">
        <v>0</v>
      </c>
      <c r="O45" s="15">
        <f t="shared" si="0"/>
        <v>3</v>
      </c>
      <c r="P45" s="15">
        <f t="shared" si="1"/>
        <v>15</v>
      </c>
    </row>
    <row r="46" spans="2:20" ht="23.1" customHeight="1" x14ac:dyDescent="0.25">
      <c r="B46" s="24" t="s">
        <v>73</v>
      </c>
      <c r="C46" s="50">
        <v>1</v>
      </c>
      <c r="D46" s="50">
        <v>0</v>
      </c>
      <c r="E46" s="50">
        <v>0</v>
      </c>
      <c r="F46" s="50">
        <v>0</v>
      </c>
      <c r="G46" s="50">
        <v>0</v>
      </c>
      <c r="H46" s="50">
        <v>0</v>
      </c>
      <c r="I46" s="50">
        <v>0</v>
      </c>
      <c r="J46" s="50">
        <v>8</v>
      </c>
      <c r="K46" s="50">
        <v>0</v>
      </c>
      <c r="L46" s="50">
        <v>0</v>
      </c>
      <c r="M46" s="50">
        <v>9</v>
      </c>
      <c r="N46" s="50">
        <v>0</v>
      </c>
      <c r="O46" s="15">
        <f t="shared" si="0"/>
        <v>9</v>
      </c>
      <c r="P46" s="15">
        <f t="shared" si="1"/>
        <v>18</v>
      </c>
      <c r="R46" s="8"/>
      <c r="T46"/>
    </row>
    <row r="47" spans="2:20" ht="23.1" customHeight="1" x14ac:dyDescent="0.25">
      <c r="B47" s="24" t="s">
        <v>74</v>
      </c>
      <c r="C47" s="50">
        <v>1</v>
      </c>
      <c r="D47" s="50">
        <v>0</v>
      </c>
      <c r="E47" s="50">
        <v>0</v>
      </c>
      <c r="F47" s="50">
        <v>0</v>
      </c>
      <c r="G47" s="50">
        <v>0</v>
      </c>
      <c r="H47" s="50">
        <v>0</v>
      </c>
      <c r="I47" s="50">
        <v>2</v>
      </c>
      <c r="J47" s="50">
        <v>0</v>
      </c>
      <c r="K47" s="50">
        <v>0</v>
      </c>
      <c r="L47" s="50">
        <v>0</v>
      </c>
      <c r="M47" s="50">
        <v>12</v>
      </c>
      <c r="N47" s="50">
        <v>0</v>
      </c>
      <c r="O47" s="15">
        <f t="shared" si="0"/>
        <v>3</v>
      </c>
      <c r="P47" s="15">
        <f t="shared" si="1"/>
        <v>15</v>
      </c>
      <c r="R47" s="8"/>
      <c r="T47"/>
    </row>
    <row r="48" spans="2:20" ht="23.1" customHeight="1" x14ac:dyDescent="0.25">
      <c r="B48" s="24" t="s">
        <v>75</v>
      </c>
      <c r="C48" s="50">
        <v>1</v>
      </c>
      <c r="D48" s="50">
        <v>0</v>
      </c>
      <c r="E48" s="50">
        <v>0</v>
      </c>
      <c r="F48" s="50">
        <v>0</v>
      </c>
      <c r="G48" s="50">
        <v>0</v>
      </c>
      <c r="H48" s="50">
        <v>0</v>
      </c>
      <c r="I48" s="50">
        <v>0</v>
      </c>
      <c r="J48" s="50">
        <v>0</v>
      </c>
      <c r="K48" s="50">
        <v>0</v>
      </c>
      <c r="L48" s="50">
        <v>0</v>
      </c>
      <c r="M48" s="50">
        <v>14</v>
      </c>
      <c r="N48" s="50">
        <v>0</v>
      </c>
      <c r="O48" s="15">
        <f t="shared" si="0"/>
        <v>1</v>
      </c>
      <c r="P48" s="15">
        <f t="shared" si="1"/>
        <v>15</v>
      </c>
      <c r="R48" s="8"/>
      <c r="T48"/>
    </row>
    <row r="49" spans="2:20" ht="23.1" customHeight="1" x14ac:dyDescent="0.25">
      <c r="B49" s="23" t="s">
        <v>76</v>
      </c>
      <c r="C49" s="50">
        <v>2</v>
      </c>
      <c r="D49" s="50">
        <v>0</v>
      </c>
      <c r="E49" s="50">
        <v>0</v>
      </c>
      <c r="F49" s="50">
        <v>0</v>
      </c>
      <c r="G49" s="50">
        <v>0</v>
      </c>
      <c r="H49" s="50">
        <v>0</v>
      </c>
      <c r="I49" s="50">
        <v>2</v>
      </c>
      <c r="J49" s="50">
        <v>2</v>
      </c>
      <c r="K49" s="50">
        <v>0</v>
      </c>
      <c r="L49" s="50">
        <v>0</v>
      </c>
      <c r="M49" s="50">
        <v>12</v>
      </c>
      <c r="N49" s="50">
        <v>0</v>
      </c>
      <c r="O49" s="15">
        <f t="shared" si="0"/>
        <v>6</v>
      </c>
      <c r="P49" s="15">
        <f t="shared" si="1"/>
        <v>18</v>
      </c>
      <c r="R49" s="8"/>
      <c r="T49"/>
    </row>
    <row r="50" spans="2:20" ht="23.1" customHeight="1" x14ac:dyDescent="0.25">
      <c r="B50" s="24" t="s">
        <v>77</v>
      </c>
      <c r="C50" s="50">
        <v>1</v>
      </c>
      <c r="D50" s="50">
        <v>0</v>
      </c>
      <c r="E50" s="50">
        <v>1</v>
      </c>
      <c r="F50" s="50">
        <v>2</v>
      </c>
      <c r="G50" s="50">
        <v>0</v>
      </c>
      <c r="H50" s="50">
        <v>0</v>
      </c>
      <c r="I50" s="50">
        <v>1</v>
      </c>
      <c r="J50" s="50">
        <v>1</v>
      </c>
      <c r="K50" s="50">
        <v>1</v>
      </c>
      <c r="L50" s="50">
        <v>1</v>
      </c>
      <c r="M50" s="50">
        <v>9</v>
      </c>
      <c r="N50" s="50">
        <v>0</v>
      </c>
      <c r="O50" s="15">
        <f t="shared" si="0"/>
        <v>8</v>
      </c>
      <c r="P50" s="15">
        <f t="shared" si="1"/>
        <v>17</v>
      </c>
      <c r="R50" s="8"/>
      <c r="T50"/>
    </row>
    <row r="51" spans="2:20" ht="23.1" customHeight="1" x14ac:dyDescent="0.25">
      <c r="B51" s="24" t="s">
        <v>78</v>
      </c>
      <c r="C51" s="50">
        <v>1</v>
      </c>
      <c r="D51" s="50">
        <v>0</v>
      </c>
      <c r="E51" s="50">
        <v>1</v>
      </c>
      <c r="F51" s="50">
        <v>0</v>
      </c>
      <c r="G51" s="50">
        <v>0</v>
      </c>
      <c r="H51" s="50">
        <v>0</v>
      </c>
      <c r="I51" s="50">
        <v>1</v>
      </c>
      <c r="J51" s="50">
        <v>0</v>
      </c>
      <c r="K51" s="50">
        <v>1</v>
      </c>
      <c r="L51" s="50">
        <v>0</v>
      </c>
      <c r="M51" s="50">
        <v>8</v>
      </c>
      <c r="N51" s="50">
        <v>0</v>
      </c>
      <c r="O51" s="15">
        <f t="shared" si="0"/>
        <v>4</v>
      </c>
      <c r="P51" s="15">
        <f t="shared" si="1"/>
        <v>12</v>
      </c>
      <c r="R51" s="8"/>
      <c r="T51"/>
    </row>
    <row r="52" spans="2:20" ht="23.1" customHeight="1" x14ac:dyDescent="0.25">
      <c r="B52" s="24" t="s">
        <v>79</v>
      </c>
      <c r="C52" s="50">
        <v>0</v>
      </c>
      <c r="D52" s="50">
        <v>0</v>
      </c>
      <c r="E52" s="50">
        <v>0</v>
      </c>
      <c r="F52" s="50">
        <v>0</v>
      </c>
      <c r="G52" s="50">
        <v>0</v>
      </c>
      <c r="H52" s="50">
        <v>0</v>
      </c>
      <c r="I52" s="50">
        <v>1</v>
      </c>
      <c r="J52" s="50">
        <v>0</v>
      </c>
      <c r="K52" s="50">
        <v>0</v>
      </c>
      <c r="L52" s="50">
        <v>0</v>
      </c>
      <c r="M52" s="50">
        <v>10</v>
      </c>
      <c r="N52" s="50">
        <v>0</v>
      </c>
      <c r="O52" s="15">
        <f t="shared" si="0"/>
        <v>1</v>
      </c>
      <c r="P52" s="15">
        <f t="shared" si="1"/>
        <v>11</v>
      </c>
      <c r="R52" s="8"/>
      <c r="T52"/>
    </row>
    <row r="53" spans="2:20" ht="23.1" customHeight="1" x14ac:dyDescent="0.25">
      <c r="B53" s="23" t="s">
        <v>80</v>
      </c>
      <c r="C53" s="50">
        <v>2</v>
      </c>
      <c r="D53" s="50">
        <v>0</v>
      </c>
      <c r="E53" s="50">
        <v>0</v>
      </c>
      <c r="F53" s="50">
        <v>0</v>
      </c>
      <c r="G53" s="50">
        <v>0</v>
      </c>
      <c r="H53" s="50">
        <v>0</v>
      </c>
      <c r="I53" s="50">
        <v>0</v>
      </c>
      <c r="J53" s="50">
        <v>0</v>
      </c>
      <c r="K53" s="50">
        <v>0</v>
      </c>
      <c r="L53" s="50">
        <v>0</v>
      </c>
      <c r="M53" s="50">
        <v>17</v>
      </c>
      <c r="N53" s="50">
        <v>0</v>
      </c>
      <c r="O53" s="15">
        <f t="shared" si="0"/>
        <v>2</v>
      </c>
      <c r="P53" s="15">
        <f t="shared" si="1"/>
        <v>19</v>
      </c>
      <c r="R53" s="8"/>
      <c r="T53"/>
    </row>
    <row r="54" spans="2:20" ht="23.1" customHeight="1" x14ac:dyDescent="0.25">
      <c r="B54" s="23" t="s">
        <v>81</v>
      </c>
      <c r="C54" s="50">
        <v>2</v>
      </c>
      <c r="D54" s="50">
        <v>1</v>
      </c>
      <c r="E54" s="50">
        <v>0</v>
      </c>
      <c r="F54" s="50">
        <v>0</v>
      </c>
      <c r="G54" s="50">
        <v>1</v>
      </c>
      <c r="H54" s="50">
        <v>0</v>
      </c>
      <c r="I54" s="50">
        <v>0</v>
      </c>
      <c r="J54" s="50">
        <v>1</v>
      </c>
      <c r="K54" s="50">
        <v>2</v>
      </c>
      <c r="L54" s="50">
        <v>0</v>
      </c>
      <c r="M54" s="50">
        <v>5</v>
      </c>
      <c r="N54" s="50">
        <v>0</v>
      </c>
      <c r="O54" s="15">
        <f t="shared" si="0"/>
        <v>7</v>
      </c>
      <c r="P54" s="15">
        <f t="shared" si="1"/>
        <v>12</v>
      </c>
      <c r="R54" s="8"/>
      <c r="T54"/>
    </row>
    <row r="55" spans="2:20" ht="23.1" customHeight="1" x14ac:dyDescent="0.25">
      <c r="B55" s="23" t="s">
        <v>82</v>
      </c>
      <c r="C55" s="50">
        <v>0</v>
      </c>
      <c r="D55" s="50">
        <v>0</v>
      </c>
      <c r="E55" s="50">
        <v>0</v>
      </c>
      <c r="F55" s="50">
        <v>1</v>
      </c>
      <c r="G55" s="50">
        <v>0</v>
      </c>
      <c r="H55" s="50">
        <v>0</v>
      </c>
      <c r="I55" s="50">
        <v>1</v>
      </c>
      <c r="J55" s="50">
        <v>0</v>
      </c>
      <c r="K55" s="50">
        <v>1</v>
      </c>
      <c r="L55" s="50">
        <v>0</v>
      </c>
      <c r="M55" s="50">
        <v>14</v>
      </c>
      <c r="N55" s="50">
        <v>0</v>
      </c>
      <c r="O55" s="15">
        <f t="shared" si="0"/>
        <v>3</v>
      </c>
      <c r="P55" s="15">
        <f t="shared" si="1"/>
        <v>17</v>
      </c>
      <c r="R55" s="8"/>
      <c r="T55"/>
    </row>
    <row r="56" spans="2:20" ht="23.1" customHeight="1" x14ac:dyDescent="0.25">
      <c r="B56" s="23" t="s">
        <v>83</v>
      </c>
      <c r="C56" s="50">
        <v>1</v>
      </c>
      <c r="D56" s="50">
        <v>1</v>
      </c>
      <c r="E56" s="50">
        <v>0</v>
      </c>
      <c r="F56" s="50">
        <v>0</v>
      </c>
      <c r="G56" s="50">
        <v>0</v>
      </c>
      <c r="H56" s="50">
        <v>0</v>
      </c>
      <c r="I56" s="50">
        <v>1</v>
      </c>
      <c r="J56" s="50">
        <v>1</v>
      </c>
      <c r="K56" s="50">
        <v>2</v>
      </c>
      <c r="L56" s="50">
        <v>0</v>
      </c>
      <c r="M56" s="50">
        <v>15</v>
      </c>
      <c r="N56" s="50">
        <v>0</v>
      </c>
      <c r="O56" s="15">
        <f t="shared" si="0"/>
        <v>6</v>
      </c>
      <c r="P56" s="15">
        <f t="shared" si="1"/>
        <v>21</v>
      </c>
      <c r="R56" s="8"/>
      <c r="T56"/>
    </row>
    <row r="57" spans="2:20" ht="23.1" customHeight="1" x14ac:dyDescent="0.25">
      <c r="B57" s="23" t="s">
        <v>84</v>
      </c>
      <c r="C57" s="50">
        <v>0</v>
      </c>
      <c r="D57" s="50">
        <v>1</v>
      </c>
      <c r="E57" s="50">
        <v>0</v>
      </c>
      <c r="F57" s="50">
        <v>1</v>
      </c>
      <c r="G57" s="50">
        <v>0</v>
      </c>
      <c r="H57" s="50">
        <v>0</v>
      </c>
      <c r="I57" s="50">
        <v>1</v>
      </c>
      <c r="J57" s="50">
        <v>1</v>
      </c>
      <c r="K57" s="50">
        <v>0</v>
      </c>
      <c r="L57" s="50">
        <v>0</v>
      </c>
      <c r="M57" s="50">
        <v>19</v>
      </c>
      <c r="N57" s="50">
        <v>0</v>
      </c>
      <c r="O57" s="15">
        <f t="shared" si="0"/>
        <v>4</v>
      </c>
      <c r="P57" s="15">
        <f t="shared" si="1"/>
        <v>23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49</v>
      </c>
      <c r="D58" s="16">
        <f t="shared" si="21"/>
        <v>10</v>
      </c>
      <c r="E58" s="16">
        <f t="shared" si="21"/>
        <v>16</v>
      </c>
      <c r="F58" s="16">
        <f t="shared" si="21"/>
        <v>15</v>
      </c>
      <c r="G58" s="16">
        <f t="shared" si="21"/>
        <v>2</v>
      </c>
      <c r="H58" s="16">
        <f t="shared" si="21"/>
        <v>0</v>
      </c>
      <c r="I58" s="16">
        <f t="shared" si="21"/>
        <v>33</v>
      </c>
      <c r="J58" s="16">
        <f t="shared" si="21"/>
        <v>24</v>
      </c>
      <c r="K58" s="16">
        <f t="shared" si="21"/>
        <v>30</v>
      </c>
      <c r="L58" s="16">
        <f t="shared" si="21"/>
        <v>2</v>
      </c>
      <c r="M58" s="16">
        <f t="shared" si="21"/>
        <v>443</v>
      </c>
      <c r="N58" s="16">
        <f t="shared" si="21"/>
        <v>0</v>
      </c>
      <c r="O58" s="16">
        <f t="shared" si="21"/>
        <v>181</v>
      </c>
      <c r="P58" s="16">
        <f t="shared" si="21"/>
        <v>624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7.8525641025641024E-2</v>
      </c>
      <c r="D59" s="43">
        <f t="shared" si="22"/>
        <v>1.6025641025641024E-2</v>
      </c>
      <c r="E59" s="43">
        <f t="shared" si="22"/>
        <v>2.564102564102564E-2</v>
      </c>
      <c r="F59" s="43">
        <f t="shared" si="22"/>
        <v>2.403846153846154E-2</v>
      </c>
      <c r="G59" s="43">
        <f t="shared" si="22"/>
        <v>3.205128205128205E-3</v>
      </c>
      <c r="H59" s="43">
        <f t="shared" si="22"/>
        <v>0</v>
      </c>
      <c r="I59" s="43">
        <f t="shared" si="22"/>
        <v>5.2884615384615384E-2</v>
      </c>
      <c r="J59" s="43">
        <f t="shared" si="22"/>
        <v>3.8461538461538464E-2</v>
      </c>
      <c r="K59" s="43">
        <f t="shared" si="22"/>
        <v>4.807692307692308E-2</v>
      </c>
      <c r="L59" s="43">
        <f t="shared" si="22"/>
        <v>3.205128205128205E-3</v>
      </c>
      <c r="M59" s="43">
        <f t="shared" si="22"/>
        <v>0.70993589743589747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0.27071823204419887</v>
      </c>
      <c r="D60" s="44">
        <f t="shared" ref="D60:N60" si="23">D58/$O$58</f>
        <v>5.5248618784530384E-2</v>
      </c>
      <c r="E60" s="44">
        <f t="shared" si="23"/>
        <v>8.8397790055248615E-2</v>
      </c>
      <c r="F60" s="44">
        <f t="shared" si="23"/>
        <v>8.2872928176795577E-2</v>
      </c>
      <c r="G60" s="44">
        <f t="shared" si="23"/>
        <v>1.1049723756906077E-2</v>
      </c>
      <c r="H60" s="44">
        <f t="shared" si="23"/>
        <v>0</v>
      </c>
      <c r="I60" s="44">
        <f t="shared" si="23"/>
        <v>0.18232044198895028</v>
      </c>
      <c r="J60" s="44">
        <f t="shared" si="23"/>
        <v>0.13259668508287292</v>
      </c>
      <c r="K60" s="44">
        <f t="shared" si="23"/>
        <v>0.16574585635359115</v>
      </c>
      <c r="L60" s="44">
        <f t="shared" si="23"/>
        <v>1.1049723756906077E-2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SheetLayoutView="100" workbookViewId="0">
      <selection activeCell="D11" sqref="D11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1" t="s">
        <v>23</v>
      </c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</row>
    <row r="2" spans="2:32" ht="20.100000000000001" customHeight="1" x14ac:dyDescent="0.25">
      <c r="B2" s="62" t="s">
        <v>95</v>
      </c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</row>
    <row r="3" spans="2:32" ht="20.100000000000001" customHeight="1" x14ac:dyDescent="0.25">
      <c r="B3" s="22" t="s">
        <v>96</v>
      </c>
      <c r="C3" s="63" t="str">
        <f>'17.10 SSEMBABULE-KANONI'!C3:G3</f>
        <v>SSEMBABULE-KABULASOKE ROAD</v>
      </c>
      <c r="D3" s="63"/>
      <c r="E3" s="63"/>
      <c r="F3" s="63"/>
      <c r="G3" s="63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51" t="s">
        <v>179</v>
      </c>
      <c r="E5" s="3"/>
      <c r="F5" s="41" t="s">
        <v>1</v>
      </c>
      <c r="G5" s="58" t="str">
        <f>'21.10 SSEMBABULE-KANONI'!G5:H5</f>
        <v>KYABI</v>
      </c>
      <c r="H5" s="59"/>
      <c r="I5" s="14"/>
      <c r="J5" s="2" t="s">
        <v>5</v>
      </c>
      <c r="K5" s="58" t="str">
        <f>'21.10 SSEMBABULE-KANONI'!K5:L5</f>
        <v>ONYUTI BETTY</v>
      </c>
      <c r="L5" s="59"/>
      <c r="M5" s="10"/>
      <c r="N5" s="10"/>
      <c r="O5" s="3"/>
      <c r="P5" s="3"/>
    </row>
    <row r="6" spans="2:32" ht="23.25" customHeight="1" x14ac:dyDescent="0.25">
      <c r="C6" s="2" t="s">
        <v>4</v>
      </c>
      <c r="D6" s="58" t="str">
        <f>'17.10 SSEMBABULE-KANONI'!D6:E6</f>
        <v>SSEMBABULE</v>
      </c>
      <c r="E6" s="59"/>
      <c r="F6" s="2" t="s">
        <v>2</v>
      </c>
      <c r="G6" s="58" t="str">
        <f>'17.10 SSEMBABULE-KANONI'!G6:H6</f>
        <v>KANONI</v>
      </c>
      <c r="H6" s="59"/>
      <c r="J6" s="2" t="s">
        <v>21</v>
      </c>
      <c r="K6" s="58" t="str">
        <f>'21.10 SSEMBABULE-KANONI'!K6:L6</f>
        <v>ONYUTI BETTY</v>
      </c>
      <c r="L6" s="59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0" t="s">
        <v>88</v>
      </c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3</v>
      </c>
      <c r="D10" s="50">
        <v>0</v>
      </c>
      <c r="E10" s="50">
        <v>0</v>
      </c>
      <c r="F10" s="50">
        <v>0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4</v>
      </c>
      <c r="N10" s="50">
        <v>0</v>
      </c>
      <c r="O10" s="15">
        <f t="shared" ref="O10:O57" si="0">SUM(C10:L10,N10)</f>
        <v>3</v>
      </c>
      <c r="P10" s="15">
        <f t="shared" ref="P10:P57" si="1">SUM(C10:N10)</f>
        <v>7</v>
      </c>
      <c r="R10" s="1" t="s">
        <v>6</v>
      </c>
      <c r="S10" s="17">
        <f t="shared" ref="S10:AF10" si="2">SUM(C10:C13)</f>
        <v>6</v>
      </c>
      <c r="T10" s="17">
        <f t="shared" si="2"/>
        <v>0</v>
      </c>
      <c r="U10" s="17">
        <f t="shared" si="2"/>
        <v>0</v>
      </c>
      <c r="V10" s="17">
        <f t="shared" si="2"/>
        <v>2</v>
      </c>
      <c r="W10" s="17">
        <f t="shared" si="2"/>
        <v>0</v>
      </c>
      <c r="X10" s="17">
        <f t="shared" si="2"/>
        <v>0</v>
      </c>
      <c r="Y10" s="17">
        <f t="shared" si="2"/>
        <v>0</v>
      </c>
      <c r="Z10" s="17">
        <f t="shared" si="2"/>
        <v>0</v>
      </c>
      <c r="AA10" s="17">
        <f t="shared" si="2"/>
        <v>1</v>
      </c>
      <c r="AB10" s="17">
        <f t="shared" si="2"/>
        <v>0</v>
      </c>
      <c r="AC10" s="17">
        <f t="shared" si="2"/>
        <v>26</v>
      </c>
      <c r="AD10" s="17">
        <f t="shared" si="2"/>
        <v>0</v>
      </c>
      <c r="AE10" s="31">
        <f t="shared" si="2"/>
        <v>9</v>
      </c>
      <c r="AF10" s="31">
        <f t="shared" si="2"/>
        <v>35</v>
      </c>
    </row>
    <row r="11" spans="2:32" s="6" customFormat="1" ht="23.1" customHeight="1" x14ac:dyDescent="0.25">
      <c r="B11" s="23" t="s">
        <v>38</v>
      </c>
      <c r="C11" s="50">
        <v>2</v>
      </c>
      <c r="D11" s="50">
        <v>0</v>
      </c>
      <c r="E11" s="50">
        <v>0</v>
      </c>
      <c r="F11" s="50">
        <v>1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5</v>
      </c>
      <c r="N11" s="50">
        <v>0</v>
      </c>
      <c r="O11" s="15">
        <f t="shared" si="0"/>
        <v>3</v>
      </c>
      <c r="P11" s="15">
        <f t="shared" si="1"/>
        <v>8</v>
      </c>
      <c r="R11" s="1" t="s">
        <v>7</v>
      </c>
      <c r="S11" s="17">
        <f t="shared" ref="S11:AF11" si="3">SUM(C14:C17)</f>
        <v>2</v>
      </c>
      <c r="T11" s="17">
        <f t="shared" si="3"/>
        <v>1</v>
      </c>
      <c r="U11" s="17">
        <f t="shared" si="3"/>
        <v>1</v>
      </c>
      <c r="V11" s="17">
        <f t="shared" si="3"/>
        <v>0</v>
      </c>
      <c r="W11" s="17">
        <f t="shared" si="3"/>
        <v>0</v>
      </c>
      <c r="X11" s="17">
        <f t="shared" si="3"/>
        <v>0</v>
      </c>
      <c r="Y11" s="17">
        <f t="shared" si="3"/>
        <v>4</v>
      </c>
      <c r="Z11" s="17">
        <f t="shared" si="3"/>
        <v>1</v>
      </c>
      <c r="AA11" s="17">
        <f t="shared" si="3"/>
        <v>1</v>
      </c>
      <c r="AB11" s="17">
        <f t="shared" si="3"/>
        <v>0</v>
      </c>
      <c r="AC11" s="17">
        <f t="shared" si="3"/>
        <v>30</v>
      </c>
      <c r="AD11" s="17">
        <f t="shared" si="3"/>
        <v>0</v>
      </c>
      <c r="AE11" s="31">
        <f t="shared" si="3"/>
        <v>10</v>
      </c>
      <c r="AF11" s="31">
        <f t="shared" si="3"/>
        <v>40</v>
      </c>
    </row>
    <row r="12" spans="2:32" ht="23.1" customHeight="1" x14ac:dyDescent="0.25">
      <c r="B12" s="23" t="s">
        <v>39</v>
      </c>
      <c r="C12" s="50">
        <v>0</v>
      </c>
      <c r="D12" s="50">
        <v>0</v>
      </c>
      <c r="E12" s="50">
        <v>0</v>
      </c>
      <c r="F12" s="50">
        <v>1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10</v>
      </c>
      <c r="N12" s="50">
        <v>0</v>
      </c>
      <c r="O12" s="15">
        <f t="shared" si="0"/>
        <v>1</v>
      </c>
      <c r="P12" s="15">
        <f t="shared" si="1"/>
        <v>11</v>
      </c>
      <c r="R12" s="1" t="s">
        <v>8</v>
      </c>
      <c r="S12" s="17">
        <f t="shared" ref="S12:AF12" si="4">SUM(C18:C21)</f>
        <v>4</v>
      </c>
      <c r="T12" s="17">
        <f t="shared" si="4"/>
        <v>0</v>
      </c>
      <c r="U12" s="17">
        <f t="shared" si="4"/>
        <v>4</v>
      </c>
      <c r="V12" s="17">
        <f t="shared" si="4"/>
        <v>1</v>
      </c>
      <c r="W12" s="17">
        <f t="shared" si="4"/>
        <v>0</v>
      </c>
      <c r="X12" s="17">
        <f t="shared" si="4"/>
        <v>0</v>
      </c>
      <c r="Y12" s="17">
        <f t="shared" si="4"/>
        <v>1</v>
      </c>
      <c r="Z12" s="17">
        <f t="shared" si="4"/>
        <v>1</v>
      </c>
      <c r="AA12" s="17">
        <f t="shared" si="4"/>
        <v>2</v>
      </c>
      <c r="AB12" s="17">
        <f t="shared" si="4"/>
        <v>1</v>
      </c>
      <c r="AC12" s="17">
        <f t="shared" si="4"/>
        <v>24</v>
      </c>
      <c r="AD12" s="17">
        <f t="shared" si="4"/>
        <v>0</v>
      </c>
      <c r="AE12" s="31">
        <f t="shared" si="4"/>
        <v>14</v>
      </c>
      <c r="AF12" s="31">
        <f t="shared" si="4"/>
        <v>38</v>
      </c>
    </row>
    <row r="13" spans="2:32" ht="23.1" customHeight="1" x14ac:dyDescent="0.25">
      <c r="B13" s="23" t="s">
        <v>40</v>
      </c>
      <c r="C13" s="50">
        <v>1</v>
      </c>
      <c r="D13" s="50">
        <v>0</v>
      </c>
      <c r="E13" s="50">
        <v>0</v>
      </c>
      <c r="F13" s="50">
        <v>0</v>
      </c>
      <c r="G13" s="50">
        <v>0</v>
      </c>
      <c r="H13" s="50">
        <v>0</v>
      </c>
      <c r="I13" s="50">
        <v>0</v>
      </c>
      <c r="J13" s="50">
        <v>0</v>
      </c>
      <c r="K13" s="50">
        <v>1</v>
      </c>
      <c r="L13" s="50">
        <v>0</v>
      </c>
      <c r="M13" s="50">
        <v>7</v>
      </c>
      <c r="N13" s="50">
        <v>0</v>
      </c>
      <c r="O13" s="15">
        <f t="shared" si="0"/>
        <v>2</v>
      </c>
      <c r="P13" s="15">
        <f t="shared" si="1"/>
        <v>9</v>
      </c>
      <c r="R13" s="1" t="s">
        <v>9</v>
      </c>
      <c r="S13" s="17">
        <f t="shared" ref="S13:AF13" si="5">SUM(C22:C25)</f>
        <v>2</v>
      </c>
      <c r="T13" s="17">
        <f t="shared" si="5"/>
        <v>1</v>
      </c>
      <c r="U13" s="17">
        <f t="shared" si="5"/>
        <v>3</v>
      </c>
      <c r="V13" s="17">
        <f t="shared" si="5"/>
        <v>2</v>
      </c>
      <c r="W13" s="17">
        <f t="shared" si="5"/>
        <v>0</v>
      </c>
      <c r="X13" s="17">
        <f t="shared" si="5"/>
        <v>0</v>
      </c>
      <c r="Y13" s="17">
        <f t="shared" si="5"/>
        <v>2</v>
      </c>
      <c r="Z13" s="17">
        <f t="shared" si="5"/>
        <v>0</v>
      </c>
      <c r="AA13" s="17">
        <f t="shared" si="5"/>
        <v>1</v>
      </c>
      <c r="AB13" s="17">
        <f t="shared" si="5"/>
        <v>1</v>
      </c>
      <c r="AC13" s="17">
        <f t="shared" si="5"/>
        <v>36</v>
      </c>
      <c r="AD13" s="17">
        <f t="shared" si="5"/>
        <v>0</v>
      </c>
      <c r="AE13" s="31">
        <f t="shared" si="5"/>
        <v>12</v>
      </c>
      <c r="AF13" s="31">
        <f t="shared" si="5"/>
        <v>48</v>
      </c>
    </row>
    <row r="14" spans="2:32" ht="23.1" customHeight="1" x14ac:dyDescent="0.25">
      <c r="B14" s="23" t="s">
        <v>41</v>
      </c>
      <c r="C14" s="50">
        <v>1</v>
      </c>
      <c r="D14" s="50">
        <v>0</v>
      </c>
      <c r="E14" s="50">
        <v>0</v>
      </c>
      <c r="F14" s="50">
        <v>0</v>
      </c>
      <c r="G14" s="50">
        <v>0</v>
      </c>
      <c r="H14" s="50">
        <v>0</v>
      </c>
      <c r="I14" s="50">
        <v>1</v>
      </c>
      <c r="J14" s="50">
        <v>0</v>
      </c>
      <c r="K14" s="50">
        <v>1</v>
      </c>
      <c r="L14" s="50">
        <v>0</v>
      </c>
      <c r="M14" s="50">
        <v>8</v>
      </c>
      <c r="N14" s="50">
        <v>0</v>
      </c>
      <c r="O14" s="15">
        <f t="shared" si="0"/>
        <v>3</v>
      </c>
      <c r="P14" s="15">
        <f t="shared" si="1"/>
        <v>11</v>
      </c>
      <c r="R14" s="1" t="s">
        <v>10</v>
      </c>
      <c r="S14" s="17">
        <f t="shared" ref="S14:AF14" si="6">SUM(C26:C29)</f>
        <v>6</v>
      </c>
      <c r="T14" s="17">
        <f t="shared" si="6"/>
        <v>2</v>
      </c>
      <c r="U14" s="17">
        <f t="shared" si="6"/>
        <v>2</v>
      </c>
      <c r="V14" s="17">
        <f t="shared" si="6"/>
        <v>2</v>
      </c>
      <c r="W14" s="17">
        <f t="shared" si="6"/>
        <v>0</v>
      </c>
      <c r="X14" s="17">
        <f t="shared" si="6"/>
        <v>0</v>
      </c>
      <c r="Y14" s="17">
        <f t="shared" si="6"/>
        <v>0</v>
      </c>
      <c r="Z14" s="17">
        <f t="shared" si="6"/>
        <v>0</v>
      </c>
      <c r="AA14" s="17">
        <f t="shared" si="6"/>
        <v>2</v>
      </c>
      <c r="AB14" s="17">
        <f t="shared" si="6"/>
        <v>0</v>
      </c>
      <c r="AC14" s="17">
        <f t="shared" si="6"/>
        <v>32</v>
      </c>
      <c r="AD14" s="17">
        <f t="shared" si="6"/>
        <v>0</v>
      </c>
      <c r="AE14" s="31">
        <f t="shared" si="6"/>
        <v>14</v>
      </c>
      <c r="AF14" s="31">
        <f t="shared" si="6"/>
        <v>46</v>
      </c>
    </row>
    <row r="15" spans="2:32" ht="23.1" customHeight="1" x14ac:dyDescent="0.25">
      <c r="B15" s="23" t="s">
        <v>42</v>
      </c>
      <c r="C15" s="50">
        <v>0</v>
      </c>
      <c r="D15" s="50">
        <v>0</v>
      </c>
      <c r="E15" s="50">
        <v>0</v>
      </c>
      <c r="F15" s="50">
        <v>0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6</v>
      </c>
      <c r="N15" s="50">
        <v>0</v>
      </c>
      <c r="O15" s="15">
        <f t="shared" si="0"/>
        <v>0</v>
      </c>
      <c r="P15" s="15">
        <f t="shared" si="1"/>
        <v>6</v>
      </c>
      <c r="R15" s="1" t="s">
        <v>11</v>
      </c>
      <c r="S15" s="17">
        <f t="shared" ref="S15:AF15" si="7">SUM(C30:C33)</f>
        <v>5</v>
      </c>
      <c r="T15" s="17">
        <f t="shared" si="7"/>
        <v>0</v>
      </c>
      <c r="U15" s="17">
        <f t="shared" si="7"/>
        <v>0</v>
      </c>
      <c r="V15" s="17">
        <f t="shared" si="7"/>
        <v>0</v>
      </c>
      <c r="W15" s="17">
        <f t="shared" si="7"/>
        <v>0</v>
      </c>
      <c r="X15" s="17">
        <f t="shared" si="7"/>
        <v>0</v>
      </c>
      <c r="Y15" s="17">
        <f t="shared" si="7"/>
        <v>2</v>
      </c>
      <c r="Z15" s="17">
        <f t="shared" si="7"/>
        <v>0</v>
      </c>
      <c r="AA15" s="17">
        <f t="shared" si="7"/>
        <v>1</v>
      </c>
      <c r="AB15" s="17">
        <f t="shared" si="7"/>
        <v>0</v>
      </c>
      <c r="AC15" s="17">
        <f t="shared" si="7"/>
        <v>39</v>
      </c>
      <c r="AD15" s="17">
        <f t="shared" si="7"/>
        <v>0</v>
      </c>
      <c r="AE15" s="31">
        <f t="shared" si="7"/>
        <v>8</v>
      </c>
      <c r="AF15" s="31">
        <f t="shared" si="7"/>
        <v>47</v>
      </c>
    </row>
    <row r="16" spans="2:32" ht="23.1" customHeight="1" x14ac:dyDescent="0.25">
      <c r="B16" s="23" t="s">
        <v>43</v>
      </c>
      <c r="C16" s="50">
        <v>0</v>
      </c>
      <c r="D16" s="50">
        <v>1</v>
      </c>
      <c r="E16" s="50">
        <v>0</v>
      </c>
      <c r="F16" s="50">
        <v>0</v>
      </c>
      <c r="G16" s="50">
        <v>0</v>
      </c>
      <c r="H16" s="50">
        <v>0</v>
      </c>
      <c r="I16" s="50">
        <v>1</v>
      </c>
      <c r="J16" s="50">
        <v>0</v>
      </c>
      <c r="K16" s="50">
        <v>0</v>
      </c>
      <c r="L16" s="50">
        <v>0</v>
      </c>
      <c r="M16" s="50">
        <v>6</v>
      </c>
      <c r="N16" s="50">
        <v>0</v>
      </c>
      <c r="O16" s="15">
        <f t="shared" si="0"/>
        <v>2</v>
      </c>
      <c r="P16" s="15">
        <f t="shared" si="1"/>
        <v>8</v>
      </c>
      <c r="R16" s="1" t="s">
        <v>12</v>
      </c>
      <c r="S16" s="17">
        <f t="shared" ref="S16:AF16" si="8">SUM(C34:C37)</f>
        <v>3</v>
      </c>
      <c r="T16" s="17">
        <f t="shared" si="8"/>
        <v>0</v>
      </c>
      <c r="U16" s="17">
        <f t="shared" si="8"/>
        <v>2</v>
      </c>
      <c r="V16" s="17">
        <f t="shared" si="8"/>
        <v>1</v>
      </c>
      <c r="W16" s="17">
        <f t="shared" si="8"/>
        <v>0</v>
      </c>
      <c r="X16" s="17">
        <f t="shared" si="8"/>
        <v>0</v>
      </c>
      <c r="Y16" s="17">
        <f t="shared" si="8"/>
        <v>4</v>
      </c>
      <c r="Z16" s="17">
        <f t="shared" si="8"/>
        <v>0</v>
      </c>
      <c r="AA16" s="17">
        <f t="shared" si="8"/>
        <v>2</v>
      </c>
      <c r="AB16" s="17">
        <f t="shared" si="8"/>
        <v>0</v>
      </c>
      <c r="AC16" s="17">
        <f t="shared" si="8"/>
        <v>24</v>
      </c>
      <c r="AD16" s="17">
        <f t="shared" si="8"/>
        <v>0</v>
      </c>
      <c r="AE16" s="31">
        <f t="shared" si="8"/>
        <v>12</v>
      </c>
      <c r="AF16" s="31">
        <f t="shared" si="8"/>
        <v>36</v>
      </c>
    </row>
    <row r="17" spans="2:32" ht="23.1" customHeight="1" x14ac:dyDescent="0.25">
      <c r="B17" s="23" t="s">
        <v>44</v>
      </c>
      <c r="C17" s="50">
        <v>1</v>
      </c>
      <c r="D17" s="50">
        <v>0</v>
      </c>
      <c r="E17" s="50">
        <v>1</v>
      </c>
      <c r="F17" s="50">
        <v>0</v>
      </c>
      <c r="G17" s="50">
        <v>0</v>
      </c>
      <c r="H17" s="50">
        <v>0</v>
      </c>
      <c r="I17" s="50">
        <v>2</v>
      </c>
      <c r="J17" s="50">
        <v>1</v>
      </c>
      <c r="K17" s="50">
        <v>0</v>
      </c>
      <c r="L17" s="50">
        <v>0</v>
      </c>
      <c r="M17" s="50">
        <v>10</v>
      </c>
      <c r="N17" s="50">
        <v>0</v>
      </c>
      <c r="O17" s="15">
        <f t="shared" si="0"/>
        <v>5</v>
      </c>
      <c r="P17" s="15">
        <f t="shared" si="1"/>
        <v>15</v>
      </c>
      <c r="R17" s="1" t="s">
        <v>13</v>
      </c>
      <c r="S17" s="17">
        <f t="shared" ref="S17:AF17" si="9">SUM(C38:C41)</f>
        <v>4</v>
      </c>
      <c r="T17" s="17">
        <f t="shared" si="9"/>
        <v>1</v>
      </c>
      <c r="U17" s="17">
        <f t="shared" si="9"/>
        <v>3</v>
      </c>
      <c r="V17" s="17">
        <f t="shared" si="9"/>
        <v>3</v>
      </c>
      <c r="W17" s="17">
        <f t="shared" si="9"/>
        <v>0</v>
      </c>
      <c r="X17" s="17">
        <f t="shared" si="9"/>
        <v>0</v>
      </c>
      <c r="Y17" s="17">
        <f t="shared" si="9"/>
        <v>3</v>
      </c>
      <c r="Z17" s="17">
        <f t="shared" si="9"/>
        <v>2</v>
      </c>
      <c r="AA17" s="17">
        <f t="shared" si="9"/>
        <v>4</v>
      </c>
      <c r="AB17" s="17">
        <f t="shared" si="9"/>
        <v>0</v>
      </c>
      <c r="AC17" s="17">
        <f t="shared" si="9"/>
        <v>29</v>
      </c>
      <c r="AD17" s="17">
        <f t="shared" si="9"/>
        <v>0</v>
      </c>
      <c r="AE17" s="31">
        <f t="shared" si="9"/>
        <v>20</v>
      </c>
      <c r="AF17" s="31">
        <f t="shared" si="9"/>
        <v>49</v>
      </c>
    </row>
    <row r="18" spans="2:32" ht="23.1" customHeight="1" x14ac:dyDescent="0.25">
      <c r="B18" s="23" t="s">
        <v>45</v>
      </c>
      <c r="C18" s="50">
        <v>1</v>
      </c>
      <c r="D18" s="50">
        <v>0</v>
      </c>
      <c r="E18" s="50">
        <v>0</v>
      </c>
      <c r="F18" s="50">
        <v>0</v>
      </c>
      <c r="G18" s="50">
        <v>0</v>
      </c>
      <c r="H18" s="50">
        <v>0</v>
      </c>
      <c r="I18" s="50">
        <v>1</v>
      </c>
      <c r="J18" s="50">
        <v>0</v>
      </c>
      <c r="K18" s="50">
        <v>1</v>
      </c>
      <c r="L18" s="50">
        <v>0</v>
      </c>
      <c r="M18" s="50">
        <v>8</v>
      </c>
      <c r="N18" s="50">
        <v>0</v>
      </c>
      <c r="O18" s="15">
        <f t="shared" si="0"/>
        <v>3</v>
      </c>
      <c r="P18" s="15">
        <f t="shared" si="1"/>
        <v>11</v>
      </c>
      <c r="R18" s="1" t="s">
        <v>14</v>
      </c>
      <c r="S18" s="17">
        <f t="shared" ref="S18:AF18" si="10">SUM(C42:C45)</f>
        <v>4</v>
      </c>
      <c r="T18" s="17">
        <f t="shared" si="10"/>
        <v>2</v>
      </c>
      <c r="U18" s="17">
        <f t="shared" si="10"/>
        <v>1</v>
      </c>
      <c r="V18" s="17">
        <f t="shared" si="10"/>
        <v>0</v>
      </c>
      <c r="W18" s="17">
        <f t="shared" si="10"/>
        <v>0</v>
      </c>
      <c r="X18" s="17">
        <f t="shared" si="10"/>
        <v>0</v>
      </c>
      <c r="Y18" s="17">
        <f t="shared" si="10"/>
        <v>4</v>
      </c>
      <c r="Z18" s="17">
        <f t="shared" si="10"/>
        <v>2</v>
      </c>
      <c r="AA18" s="17">
        <f t="shared" si="10"/>
        <v>1</v>
      </c>
      <c r="AB18" s="17">
        <f t="shared" si="10"/>
        <v>0</v>
      </c>
      <c r="AC18" s="17">
        <f t="shared" si="10"/>
        <v>35</v>
      </c>
      <c r="AD18" s="17">
        <f t="shared" si="10"/>
        <v>0</v>
      </c>
      <c r="AE18" s="31">
        <f t="shared" si="10"/>
        <v>14</v>
      </c>
      <c r="AF18" s="31">
        <f t="shared" si="10"/>
        <v>49</v>
      </c>
    </row>
    <row r="19" spans="2:32" ht="23.1" customHeight="1" x14ac:dyDescent="0.25">
      <c r="B19" s="23" t="s">
        <v>46</v>
      </c>
      <c r="C19" s="50">
        <v>0</v>
      </c>
      <c r="D19" s="50">
        <v>0</v>
      </c>
      <c r="E19" s="50">
        <v>1</v>
      </c>
      <c r="F19" s="50">
        <v>0</v>
      </c>
      <c r="G19" s="50">
        <v>0</v>
      </c>
      <c r="H19" s="50">
        <v>0</v>
      </c>
      <c r="I19" s="50">
        <v>0</v>
      </c>
      <c r="J19" s="50">
        <v>0</v>
      </c>
      <c r="K19" s="50">
        <v>1</v>
      </c>
      <c r="L19" s="50">
        <v>0</v>
      </c>
      <c r="M19" s="50">
        <v>0</v>
      </c>
      <c r="N19" s="50">
        <v>0</v>
      </c>
      <c r="O19" s="15">
        <f t="shared" si="0"/>
        <v>2</v>
      </c>
      <c r="P19" s="15">
        <f t="shared" si="1"/>
        <v>2</v>
      </c>
      <c r="R19" s="1" t="s">
        <v>15</v>
      </c>
      <c r="S19" s="17">
        <f t="shared" ref="S19:AF19" si="11">SUM(C46:C49)</f>
        <v>5</v>
      </c>
      <c r="T19" s="17">
        <f t="shared" si="11"/>
        <v>3</v>
      </c>
      <c r="U19" s="17">
        <f t="shared" si="11"/>
        <v>0</v>
      </c>
      <c r="V19" s="17">
        <f t="shared" si="11"/>
        <v>6</v>
      </c>
      <c r="W19" s="17">
        <f t="shared" si="11"/>
        <v>0</v>
      </c>
      <c r="X19" s="17">
        <f t="shared" si="11"/>
        <v>0</v>
      </c>
      <c r="Y19" s="17">
        <f t="shared" si="11"/>
        <v>5</v>
      </c>
      <c r="Z19" s="17">
        <f t="shared" si="11"/>
        <v>2</v>
      </c>
      <c r="AA19" s="17">
        <f t="shared" si="11"/>
        <v>1</v>
      </c>
      <c r="AB19" s="17">
        <f t="shared" si="11"/>
        <v>1</v>
      </c>
      <c r="AC19" s="17">
        <f t="shared" si="11"/>
        <v>29</v>
      </c>
      <c r="AD19" s="17">
        <f t="shared" si="11"/>
        <v>0</v>
      </c>
      <c r="AE19" s="31">
        <f t="shared" si="11"/>
        <v>23</v>
      </c>
      <c r="AF19" s="31">
        <f t="shared" si="11"/>
        <v>52</v>
      </c>
    </row>
    <row r="20" spans="2:32" ht="23.1" customHeight="1" x14ac:dyDescent="0.25">
      <c r="B20" s="23" t="s">
        <v>47</v>
      </c>
      <c r="C20" s="50">
        <v>0</v>
      </c>
      <c r="D20" s="50">
        <v>0</v>
      </c>
      <c r="E20" s="50">
        <v>1</v>
      </c>
      <c r="F20" s="50">
        <v>1</v>
      </c>
      <c r="G20" s="50">
        <v>0</v>
      </c>
      <c r="H20" s="50">
        <v>0</v>
      </c>
      <c r="I20" s="50">
        <v>0</v>
      </c>
      <c r="J20" s="50">
        <v>1</v>
      </c>
      <c r="K20" s="50">
        <v>0</v>
      </c>
      <c r="L20" s="50">
        <v>0</v>
      </c>
      <c r="M20" s="50">
        <v>6</v>
      </c>
      <c r="N20" s="50">
        <v>0</v>
      </c>
      <c r="O20" s="15">
        <f t="shared" si="0"/>
        <v>3</v>
      </c>
      <c r="P20" s="15">
        <f t="shared" si="1"/>
        <v>9</v>
      </c>
      <c r="R20" s="1" t="s">
        <v>16</v>
      </c>
      <c r="S20" s="17">
        <f t="shared" ref="S20:AF20" si="12">SUM(C50:C53)</f>
        <v>15</v>
      </c>
      <c r="T20" s="17">
        <f t="shared" si="12"/>
        <v>2</v>
      </c>
      <c r="U20" s="17">
        <f t="shared" si="12"/>
        <v>3</v>
      </c>
      <c r="V20" s="17">
        <f t="shared" si="12"/>
        <v>3</v>
      </c>
      <c r="W20" s="17">
        <f t="shared" si="12"/>
        <v>1</v>
      </c>
      <c r="X20" s="17">
        <f t="shared" si="12"/>
        <v>0</v>
      </c>
      <c r="Y20" s="17">
        <f t="shared" si="12"/>
        <v>2</v>
      </c>
      <c r="Z20" s="17">
        <f t="shared" si="12"/>
        <v>0</v>
      </c>
      <c r="AA20" s="17">
        <f t="shared" si="12"/>
        <v>3</v>
      </c>
      <c r="AB20" s="17">
        <f t="shared" si="12"/>
        <v>0</v>
      </c>
      <c r="AC20" s="17">
        <f t="shared" si="12"/>
        <v>41</v>
      </c>
      <c r="AD20" s="17">
        <f t="shared" si="12"/>
        <v>0</v>
      </c>
      <c r="AE20" s="31">
        <f t="shared" si="12"/>
        <v>29</v>
      </c>
      <c r="AF20" s="31">
        <f t="shared" si="12"/>
        <v>70</v>
      </c>
    </row>
    <row r="21" spans="2:32" ht="23.1" customHeight="1" x14ac:dyDescent="0.25">
      <c r="B21" s="23" t="s">
        <v>48</v>
      </c>
      <c r="C21" s="50">
        <v>3</v>
      </c>
      <c r="D21" s="50">
        <v>0</v>
      </c>
      <c r="E21" s="50">
        <v>2</v>
      </c>
      <c r="F21" s="50">
        <v>0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1</v>
      </c>
      <c r="M21" s="50">
        <v>10</v>
      </c>
      <c r="N21" s="50">
        <v>0</v>
      </c>
      <c r="O21" s="15">
        <f t="shared" si="0"/>
        <v>6</v>
      </c>
      <c r="P21" s="15">
        <f t="shared" si="1"/>
        <v>16</v>
      </c>
      <c r="R21" s="36" t="s">
        <v>20</v>
      </c>
      <c r="S21" s="34">
        <f t="shared" ref="S21:AF21" si="13">SUM(C54:C57)</f>
        <v>10</v>
      </c>
      <c r="T21" s="17">
        <f t="shared" si="13"/>
        <v>0</v>
      </c>
      <c r="U21" s="17">
        <f t="shared" si="13"/>
        <v>0</v>
      </c>
      <c r="V21" s="17">
        <f t="shared" si="13"/>
        <v>0</v>
      </c>
      <c r="W21" s="17">
        <f t="shared" si="13"/>
        <v>0</v>
      </c>
      <c r="X21" s="17">
        <f t="shared" si="13"/>
        <v>0</v>
      </c>
      <c r="Y21" s="17">
        <f t="shared" si="13"/>
        <v>1</v>
      </c>
      <c r="Z21" s="17">
        <f t="shared" si="13"/>
        <v>2</v>
      </c>
      <c r="AA21" s="17">
        <f t="shared" si="13"/>
        <v>0</v>
      </c>
      <c r="AB21" s="17">
        <f t="shared" si="13"/>
        <v>0</v>
      </c>
      <c r="AC21" s="17">
        <f t="shared" si="13"/>
        <v>54</v>
      </c>
      <c r="AD21" s="17">
        <f t="shared" si="13"/>
        <v>0</v>
      </c>
      <c r="AE21" s="31">
        <f t="shared" si="13"/>
        <v>13</v>
      </c>
      <c r="AF21" s="31">
        <f t="shared" si="13"/>
        <v>67</v>
      </c>
    </row>
    <row r="22" spans="2:32" ht="23.1" customHeight="1" x14ac:dyDescent="0.25">
      <c r="B22" s="23" t="s">
        <v>49</v>
      </c>
      <c r="C22" s="50">
        <v>2</v>
      </c>
      <c r="D22" s="50">
        <v>0</v>
      </c>
      <c r="E22" s="50">
        <v>2</v>
      </c>
      <c r="F22" s="50">
        <v>0</v>
      </c>
      <c r="G22" s="50">
        <v>0</v>
      </c>
      <c r="H22" s="50">
        <v>0</v>
      </c>
      <c r="I22" s="50">
        <v>2</v>
      </c>
      <c r="J22" s="50">
        <v>0</v>
      </c>
      <c r="K22" s="50">
        <v>0</v>
      </c>
      <c r="L22" s="50">
        <v>1</v>
      </c>
      <c r="M22" s="50">
        <v>13</v>
      </c>
      <c r="N22" s="50">
        <v>0</v>
      </c>
      <c r="O22" s="15">
        <f t="shared" si="0"/>
        <v>7</v>
      </c>
      <c r="P22" s="15">
        <f t="shared" si="1"/>
        <v>20</v>
      </c>
      <c r="R22" s="38" t="s">
        <v>90</v>
      </c>
      <c r="S22" s="39">
        <f>MAX(S10:S12)</f>
        <v>6</v>
      </c>
      <c r="T22" s="39">
        <f t="shared" ref="T22:AF22" si="14">MAX(T10:T12)</f>
        <v>1</v>
      </c>
      <c r="U22" s="39">
        <f t="shared" si="14"/>
        <v>4</v>
      </c>
      <c r="V22" s="39">
        <f t="shared" si="14"/>
        <v>2</v>
      </c>
      <c r="W22" s="39">
        <f t="shared" si="14"/>
        <v>0</v>
      </c>
      <c r="X22" s="39">
        <f t="shared" si="14"/>
        <v>0</v>
      </c>
      <c r="Y22" s="39">
        <f t="shared" si="14"/>
        <v>4</v>
      </c>
      <c r="Z22" s="39">
        <f t="shared" si="14"/>
        <v>1</v>
      </c>
      <c r="AA22" s="39">
        <f t="shared" si="14"/>
        <v>2</v>
      </c>
      <c r="AB22" s="39">
        <f t="shared" si="14"/>
        <v>1</v>
      </c>
      <c r="AC22" s="39">
        <f t="shared" si="14"/>
        <v>30</v>
      </c>
      <c r="AD22" s="39">
        <f t="shared" si="14"/>
        <v>0</v>
      </c>
      <c r="AE22" s="40">
        <f t="shared" si="14"/>
        <v>14</v>
      </c>
      <c r="AF22" s="40">
        <f t="shared" si="14"/>
        <v>40</v>
      </c>
    </row>
    <row r="23" spans="2:32" ht="23.1" customHeight="1" x14ac:dyDescent="0.25">
      <c r="B23" s="23" t="s">
        <v>50</v>
      </c>
      <c r="C23" s="50">
        <v>0</v>
      </c>
      <c r="D23" s="50">
        <v>0</v>
      </c>
      <c r="E23" s="50">
        <v>0</v>
      </c>
      <c r="F23" s="50">
        <v>0</v>
      </c>
      <c r="G23" s="50">
        <v>0</v>
      </c>
      <c r="H23" s="50">
        <v>0</v>
      </c>
      <c r="I23" s="50">
        <v>0</v>
      </c>
      <c r="J23" s="50">
        <v>0</v>
      </c>
      <c r="K23" s="50">
        <v>1</v>
      </c>
      <c r="L23" s="50">
        <v>0</v>
      </c>
      <c r="M23" s="50">
        <v>6</v>
      </c>
      <c r="N23" s="50">
        <v>0</v>
      </c>
      <c r="O23" s="15">
        <f t="shared" si="0"/>
        <v>1</v>
      </c>
      <c r="P23" s="15">
        <f t="shared" si="1"/>
        <v>7</v>
      </c>
      <c r="R23" s="38" t="s">
        <v>91</v>
      </c>
      <c r="S23" s="39">
        <f>MAX(S13:S18)</f>
        <v>6</v>
      </c>
      <c r="T23" s="39">
        <f t="shared" ref="T23:AF23" si="15">MAX(T13:T18)</f>
        <v>2</v>
      </c>
      <c r="U23" s="39">
        <f t="shared" si="15"/>
        <v>3</v>
      </c>
      <c r="V23" s="39">
        <f t="shared" si="15"/>
        <v>3</v>
      </c>
      <c r="W23" s="39">
        <f t="shared" si="15"/>
        <v>0</v>
      </c>
      <c r="X23" s="39">
        <f t="shared" si="15"/>
        <v>0</v>
      </c>
      <c r="Y23" s="39">
        <f t="shared" si="15"/>
        <v>4</v>
      </c>
      <c r="Z23" s="39">
        <f t="shared" si="15"/>
        <v>2</v>
      </c>
      <c r="AA23" s="39">
        <f t="shared" si="15"/>
        <v>4</v>
      </c>
      <c r="AB23" s="39">
        <f t="shared" si="15"/>
        <v>1</v>
      </c>
      <c r="AC23" s="39">
        <f t="shared" si="15"/>
        <v>39</v>
      </c>
      <c r="AD23" s="39">
        <f t="shared" si="15"/>
        <v>0</v>
      </c>
      <c r="AE23" s="40">
        <f t="shared" si="15"/>
        <v>20</v>
      </c>
      <c r="AF23" s="40">
        <f t="shared" si="15"/>
        <v>49</v>
      </c>
    </row>
    <row r="24" spans="2:32" ht="23.1" customHeight="1" x14ac:dyDescent="0.25">
      <c r="B24" s="23" t="s">
        <v>51</v>
      </c>
      <c r="C24" s="50">
        <v>0</v>
      </c>
      <c r="D24" s="50">
        <v>1</v>
      </c>
      <c r="E24" s="50">
        <v>0</v>
      </c>
      <c r="F24" s="50">
        <v>1</v>
      </c>
      <c r="G24" s="50">
        <v>0</v>
      </c>
      <c r="H24" s="50">
        <v>0</v>
      </c>
      <c r="I24" s="50">
        <v>0</v>
      </c>
      <c r="J24" s="50">
        <v>0</v>
      </c>
      <c r="K24" s="50">
        <v>0</v>
      </c>
      <c r="L24" s="50">
        <v>0</v>
      </c>
      <c r="M24" s="50">
        <v>9</v>
      </c>
      <c r="N24" s="50">
        <v>0</v>
      </c>
      <c r="O24" s="15">
        <f t="shared" si="0"/>
        <v>2</v>
      </c>
      <c r="P24" s="15">
        <f t="shared" si="1"/>
        <v>11</v>
      </c>
      <c r="R24" s="38" t="s">
        <v>92</v>
      </c>
      <c r="S24" s="39">
        <f>MAX(S19:S21)</f>
        <v>15</v>
      </c>
      <c r="T24" s="39">
        <f t="shared" ref="T24:AF24" si="16">MAX(T19:T21)</f>
        <v>3</v>
      </c>
      <c r="U24" s="39">
        <f t="shared" si="16"/>
        <v>3</v>
      </c>
      <c r="V24" s="39">
        <f t="shared" si="16"/>
        <v>6</v>
      </c>
      <c r="W24" s="39">
        <f t="shared" si="16"/>
        <v>1</v>
      </c>
      <c r="X24" s="39">
        <f t="shared" si="16"/>
        <v>0</v>
      </c>
      <c r="Y24" s="39">
        <f t="shared" si="16"/>
        <v>5</v>
      </c>
      <c r="Z24" s="39">
        <f t="shared" si="16"/>
        <v>2</v>
      </c>
      <c r="AA24" s="39">
        <f t="shared" si="16"/>
        <v>3</v>
      </c>
      <c r="AB24" s="39">
        <f t="shared" si="16"/>
        <v>1</v>
      </c>
      <c r="AC24" s="39">
        <f t="shared" si="16"/>
        <v>54</v>
      </c>
      <c r="AD24" s="39">
        <f t="shared" si="16"/>
        <v>0</v>
      </c>
      <c r="AE24" s="40">
        <f t="shared" si="16"/>
        <v>29</v>
      </c>
      <c r="AF24" s="40">
        <f t="shared" si="16"/>
        <v>70</v>
      </c>
    </row>
    <row r="25" spans="2:32" ht="23.1" customHeight="1" x14ac:dyDescent="0.25">
      <c r="B25" s="23" t="s">
        <v>52</v>
      </c>
      <c r="C25" s="50">
        <v>0</v>
      </c>
      <c r="D25" s="50">
        <v>0</v>
      </c>
      <c r="E25" s="50">
        <v>1</v>
      </c>
      <c r="F25" s="50">
        <v>1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50">
        <v>8</v>
      </c>
      <c r="N25" s="50">
        <v>0</v>
      </c>
      <c r="O25" s="15">
        <f t="shared" si="0"/>
        <v>2</v>
      </c>
      <c r="P25" s="15">
        <f t="shared" si="1"/>
        <v>10</v>
      </c>
      <c r="R25" s="37" t="s">
        <v>85</v>
      </c>
      <c r="S25" s="35">
        <f t="shared" ref="S25:AF25" si="17">SUM(S10:S12)</f>
        <v>12</v>
      </c>
      <c r="T25" s="16">
        <f t="shared" si="17"/>
        <v>1</v>
      </c>
      <c r="U25" s="16">
        <f t="shared" si="17"/>
        <v>5</v>
      </c>
      <c r="V25" s="16">
        <f t="shared" si="17"/>
        <v>3</v>
      </c>
      <c r="W25" s="16">
        <f t="shared" si="17"/>
        <v>0</v>
      </c>
      <c r="X25" s="16">
        <f t="shared" si="17"/>
        <v>0</v>
      </c>
      <c r="Y25" s="16">
        <f t="shared" si="17"/>
        <v>5</v>
      </c>
      <c r="Z25" s="16">
        <f t="shared" si="17"/>
        <v>2</v>
      </c>
      <c r="AA25" s="16">
        <f t="shared" si="17"/>
        <v>4</v>
      </c>
      <c r="AB25" s="16">
        <f t="shared" si="17"/>
        <v>1</v>
      </c>
      <c r="AC25" s="16">
        <f t="shared" si="17"/>
        <v>80</v>
      </c>
      <c r="AD25" s="16">
        <f t="shared" si="17"/>
        <v>0</v>
      </c>
      <c r="AE25" s="32">
        <f t="shared" si="17"/>
        <v>33</v>
      </c>
      <c r="AF25" s="32">
        <f t="shared" si="17"/>
        <v>113</v>
      </c>
    </row>
    <row r="26" spans="2:32" ht="23.1" customHeight="1" x14ac:dyDescent="0.25">
      <c r="B26" s="23" t="s">
        <v>53</v>
      </c>
      <c r="C26" s="50">
        <v>3</v>
      </c>
      <c r="D26" s="50">
        <v>1</v>
      </c>
      <c r="E26" s="50">
        <v>0</v>
      </c>
      <c r="F26" s="50">
        <v>0</v>
      </c>
      <c r="G26" s="50">
        <v>0</v>
      </c>
      <c r="H26" s="50">
        <v>0</v>
      </c>
      <c r="I26" s="50">
        <v>0</v>
      </c>
      <c r="J26" s="50">
        <v>0</v>
      </c>
      <c r="K26" s="50">
        <v>0</v>
      </c>
      <c r="L26" s="50">
        <v>0</v>
      </c>
      <c r="M26" s="50">
        <v>5</v>
      </c>
      <c r="N26" s="50">
        <v>0</v>
      </c>
      <c r="O26" s="15">
        <f t="shared" si="0"/>
        <v>4</v>
      </c>
      <c r="P26" s="15">
        <f t="shared" si="1"/>
        <v>9</v>
      </c>
      <c r="R26" s="28" t="s">
        <v>86</v>
      </c>
      <c r="S26" s="16">
        <f t="shared" ref="S26:AF26" si="18">SUM(S13:S18)</f>
        <v>24</v>
      </c>
      <c r="T26" s="16">
        <f t="shared" si="18"/>
        <v>6</v>
      </c>
      <c r="U26" s="16">
        <f t="shared" si="18"/>
        <v>11</v>
      </c>
      <c r="V26" s="16">
        <f t="shared" si="18"/>
        <v>8</v>
      </c>
      <c r="W26" s="16">
        <f t="shared" si="18"/>
        <v>0</v>
      </c>
      <c r="X26" s="16">
        <f t="shared" si="18"/>
        <v>0</v>
      </c>
      <c r="Y26" s="16">
        <f t="shared" si="18"/>
        <v>15</v>
      </c>
      <c r="Z26" s="16">
        <f t="shared" si="18"/>
        <v>4</v>
      </c>
      <c r="AA26" s="16">
        <f t="shared" si="18"/>
        <v>11</v>
      </c>
      <c r="AB26" s="16">
        <f t="shared" si="18"/>
        <v>1</v>
      </c>
      <c r="AC26" s="16">
        <f t="shared" si="18"/>
        <v>195</v>
      </c>
      <c r="AD26" s="16">
        <f t="shared" si="18"/>
        <v>0</v>
      </c>
      <c r="AE26" s="32">
        <f t="shared" si="18"/>
        <v>80</v>
      </c>
      <c r="AF26" s="32">
        <f t="shared" si="18"/>
        <v>275</v>
      </c>
    </row>
    <row r="27" spans="2:32" ht="23.1" customHeight="1" x14ac:dyDescent="0.25">
      <c r="B27" s="23" t="s">
        <v>54</v>
      </c>
      <c r="C27" s="50">
        <v>1</v>
      </c>
      <c r="D27" s="50">
        <v>0</v>
      </c>
      <c r="E27" s="50">
        <v>1</v>
      </c>
      <c r="F27" s="50">
        <v>0</v>
      </c>
      <c r="G27" s="50">
        <v>0</v>
      </c>
      <c r="H27" s="50">
        <v>0</v>
      </c>
      <c r="I27" s="50">
        <v>0</v>
      </c>
      <c r="J27" s="50">
        <v>0</v>
      </c>
      <c r="K27" s="50">
        <v>1</v>
      </c>
      <c r="L27" s="50">
        <v>0</v>
      </c>
      <c r="M27" s="50">
        <v>9</v>
      </c>
      <c r="N27" s="50">
        <v>0</v>
      </c>
      <c r="O27" s="15">
        <f t="shared" si="0"/>
        <v>3</v>
      </c>
      <c r="P27" s="15">
        <f t="shared" si="1"/>
        <v>12</v>
      </c>
      <c r="R27" s="29" t="s">
        <v>87</v>
      </c>
      <c r="S27" s="16">
        <f t="shared" ref="S27:AF27" si="19">SUM(S19:S21)</f>
        <v>30</v>
      </c>
      <c r="T27" s="16">
        <f t="shared" si="19"/>
        <v>5</v>
      </c>
      <c r="U27" s="16">
        <f t="shared" si="19"/>
        <v>3</v>
      </c>
      <c r="V27" s="16">
        <f t="shared" si="19"/>
        <v>9</v>
      </c>
      <c r="W27" s="16">
        <f t="shared" si="19"/>
        <v>1</v>
      </c>
      <c r="X27" s="16">
        <f t="shared" si="19"/>
        <v>0</v>
      </c>
      <c r="Y27" s="16">
        <f t="shared" si="19"/>
        <v>8</v>
      </c>
      <c r="Z27" s="16">
        <f t="shared" si="19"/>
        <v>4</v>
      </c>
      <c r="AA27" s="16">
        <f t="shared" si="19"/>
        <v>4</v>
      </c>
      <c r="AB27" s="16">
        <f t="shared" si="19"/>
        <v>1</v>
      </c>
      <c r="AC27" s="16">
        <f t="shared" si="19"/>
        <v>124</v>
      </c>
      <c r="AD27" s="16">
        <f t="shared" si="19"/>
        <v>0</v>
      </c>
      <c r="AE27" s="32">
        <f t="shared" si="19"/>
        <v>65</v>
      </c>
      <c r="AF27" s="32">
        <f t="shared" si="19"/>
        <v>189</v>
      </c>
    </row>
    <row r="28" spans="2:32" ht="23.1" customHeight="1" x14ac:dyDescent="0.25">
      <c r="B28" s="23" t="s">
        <v>55</v>
      </c>
      <c r="C28" s="50">
        <v>2</v>
      </c>
      <c r="D28" s="50">
        <v>0</v>
      </c>
      <c r="E28" s="50">
        <v>0</v>
      </c>
      <c r="F28" s="50">
        <v>2</v>
      </c>
      <c r="G28" s="50">
        <v>0</v>
      </c>
      <c r="H28" s="50">
        <v>0</v>
      </c>
      <c r="I28" s="50">
        <v>0</v>
      </c>
      <c r="J28" s="50">
        <v>0</v>
      </c>
      <c r="K28" s="50">
        <v>1</v>
      </c>
      <c r="L28" s="50">
        <v>0</v>
      </c>
      <c r="M28" s="50">
        <v>8</v>
      </c>
      <c r="N28" s="50">
        <v>0</v>
      </c>
      <c r="O28" s="15">
        <f t="shared" si="0"/>
        <v>5</v>
      </c>
      <c r="P28" s="15">
        <f t="shared" si="1"/>
        <v>13</v>
      </c>
      <c r="R28" s="5" t="s">
        <v>17</v>
      </c>
      <c r="S28" s="16">
        <f t="shared" ref="S28:AF28" si="20">SUM(S10:S21)</f>
        <v>66</v>
      </c>
      <c r="T28" s="16">
        <f t="shared" si="20"/>
        <v>12</v>
      </c>
      <c r="U28" s="16">
        <f t="shared" si="20"/>
        <v>19</v>
      </c>
      <c r="V28" s="16">
        <f t="shared" si="20"/>
        <v>20</v>
      </c>
      <c r="W28" s="16">
        <f t="shared" si="20"/>
        <v>1</v>
      </c>
      <c r="X28" s="16">
        <f t="shared" si="20"/>
        <v>0</v>
      </c>
      <c r="Y28" s="16">
        <f t="shared" si="20"/>
        <v>28</v>
      </c>
      <c r="Z28" s="16">
        <f t="shared" si="20"/>
        <v>10</v>
      </c>
      <c r="AA28" s="16">
        <f t="shared" si="20"/>
        <v>19</v>
      </c>
      <c r="AB28" s="16">
        <f t="shared" si="20"/>
        <v>3</v>
      </c>
      <c r="AC28" s="16">
        <f t="shared" si="20"/>
        <v>399</v>
      </c>
      <c r="AD28" s="16">
        <f t="shared" si="20"/>
        <v>0</v>
      </c>
      <c r="AE28" s="32">
        <f t="shared" si="20"/>
        <v>178</v>
      </c>
      <c r="AF28" s="32">
        <f t="shared" si="20"/>
        <v>577</v>
      </c>
    </row>
    <row r="29" spans="2:32" ht="23.1" customHeight="1" x14ac:dyDescent="0.25">
      <c r="B29" s="23" t="s">
        <v>56</v>
      </c>
      <c r="C29" s="50">
        <v>0</v>
      </c>
      <c r="D29" s="50">
        <v>1</v>
      </c>
      <c r="E29" s="50">
        <v>1</v>
      </c>
      <c r="F29" s="50">
        <v>0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50">
        <v>10</v>
      </c>
      <c r="N29" s="50">
        <v>0</v>
      </c>
      <c r="O29" s="15">
        <f t="shared" si="0"/>
        <v>2</v>
      </c>
      <c r="P29" s="15">
        <f t="shared" si="1"/>
        <v>12</v>
      </c>
      <c r="R29"/>
      <c r="S29" s="20"/>
      <c r="T29" s="19"/>
    </row>
    <row r="30" spans="2:32" ht="23.1" customHeight="1" x14ac:dyDescent="0.25">
      <c r="B30" s="23" t="s">
        <v>57</v>
      </c>
      <c r="C30" s="50">
        <v>1</v>
      </c>
      <c r="D30" s="50">
        <v>0</v>
      </c>
      <c r="E30" s="50">
        <v>0</v>
      </c>
      <c r="F30" s="50">
        <v>0</v>
      </c>
      <c r="G30" s="50">
        <v>0</v>
      </c>
      <c r="H30" s="50">
        <v>0</v>
      </c>
      <c r="I30" s="50">
        <v>0</v>
      </c>
      <c r="J30" s="50">
        <v>0</v>
      </c>
      <c r="K30" s="50">
        <v>1</v>
      </c>
      <c r="L30" s="50">
        <v>0</v>
      </c>
      <c r="M30" s="50">
        <v>8</v>
      </c>
      <c r="N30" s="50">
        <v>0</v>
      </c>
      <c r="O30" s="15">
        <f t="shared" si="0"/>
        <v>2</v>
      </c>
      <c r="P30" s="15">
        <f t="shared" si="1"/>
        <v>10</v>
      </c>
    </row>
    <row r="31" spans="2:32" ht="23.1" customHeight="1" x14ac:dyDescent="0.25">
      <c r="B31" s="24" t="s">
        <v>58</v>
      </c>
      <c r="C31" s="50">
        <v>2</v>
      </c>
      <c r="D31" s="50">
        <v>0</v>
      </c>
      <c r="E31" s="50">
        <v>0</v>
      </c>
      <c r="F31" s="50">
        <v>0</v>
      </c>
      <c r="G31" s="50">
        <v>0</v>
      </c>
      <c r="H31" s="50">
        <v>0</v>
      </c>
      <c r="I31" s="50">
        <v>2</v>
      </c>
      <c r="J31" s="50">
        <v>0</v>
      </c>
      <c r="K31" s="50">
        <v>0</v>
      </c>
      <c r="L31" s="50">
        <v>0</v>
      </c>
      <c r="M31" s="50">
        <v>9</v>
      </c>
      <c r="N31" s="50">
        <v>0</v>
      </c>
      <c r="O31" s="15">
        <f t="shared" si="0"/>
        <v>4</v>
      </c>
      <c r="P31" s="15">
        <f t="shared" si="1"/>
        <v>13</v>
      </c>
    </row>
    <row r="32" spans="2:32" ht="23.1" customHeight="1" x14ac:dyDescent="0.25">
      <c r="B32" s="24" t="s">
        <v>59</v>
      </c>
      <c r="C32" s="50">
        <v>0</v>
      </c>
      <c r="D32" s="50">
        <v>0</v>
      </c>
      <c r="E32" s="50">
        <v>0</v>
      </c>
      <c r="F32" s="50">
        <v>0</v>
      </c>
      <c r="G32" s="50">
        <v>0</v>
      </c>
      <c r="H32" s="50">
        <v>0</v>
      </c>
      <c r="I32" s="50">
        <v>0</v>
      </c>
      <c r="J32" s="50">
        <v>0</v>
      </c>
      <c r="K32" s="50">
        <v>0</v>
      </c>
      <c r="L32" s="50">
        <v>0</v>
      </c>
      <c r="M32" s="50">
        <v>11</v>
      </c>
      <c r="N32" s="50">
        <v>0</v>
      </c>
      <c r="O32" s="15">
        <f t="shared" si="0"/>
        <v>0</v>
      </c>
      <c r="P32" s="15">
        <f t="shared" si="1"/>
        <v>11</v>
      </c>
    </row>
    <row r="33" spans="2:20" ht="23.1" customHeight="1" x14ac:dyDescent="0.25">
      <c r="B33" s="23" t="s">
        <v>60</v>
      </c>
      <c r="C33" s="50">
        <v>2</v>
      </c>
      <c r="D33" s="50">
        <v>0</v>
      </c>
      <c r="E33" s="50">
        <v>0</v>
      </c>
      <c r="F33" s="50">
        <v>0</v>
      </c>
      <c r="G33" s="50">
        <v>0</v>
      </c>
      <c r="H33" s="50">
        <v>0</v>
      </c>
      <c r="I33" s="50">
        <v>0</v>
      </c>
      <c r="J33" s="50">
        <v>0</v>
      </c>
      <c r="K33" s="50">
        <v>0</v>
      </c>
      <c r="L33" s="50">
        <v>0</v>
      </c>
      <c r="M33" s="50">
        <v>11</v>
      </c>
      <c r="N33" s="50">
        <v>0</v>
      </c>
      <c r="O33" s="15">
        <f t="shared" si="0"/>
        <v>2</v>
      </c>
      <c r="P33" s="15">
        <f t="shared" si="1"/>
        <v>13</v>
      </c>
    </row>
    <row r="34" spans="2:20" ht="23.1" customHeight="1" x14ac:dyDescent="0.25">
      <c r="B34" s="24" t="s">
        <v>61</v>
      </c>
      <c r="C34" s="50">
        <v>0</v>
      </c>
      <c r="D34" s="50">
        <v>0</v>
      </c>
      <c r="E34" s="50">
        <v>1</v>
      </c>
      <c r="F34" s="50">
        <v>0</v>
      </c>
      <c r="G34" s="50">
        <v>0</v>
      </c>
      <c r="H34" s="50">
        <v>0</v>
      </c>
      <c r="I34" s="50">
        <v>0</v>
      </c>
      <c r="J34" s="50">
        <v>0</v>
      </c>
      <c r="K34" s="50">
        <v>2</v>
      </c>
      <c r="L34" s="50">
        <v>0</v>
      </c>
      <c r="M34" s="50">
        <v>3</v>
      </c>
      <c r="N34" s="50">
        <v>0</v>
      </c>
      <c r="O34" s="15">
        <f t="shared" si="0"/>
        <v>3</v>
      </c>
      <c r="P34" s="15">
        <f t="shared" si="1"/>
        <v>6</v>
      </c>
    </row>
    <row r="35" spans="2:20" ht="23.1" customHeight="1" x14ac:dyDescent="0.25">
      <c r="B35" s="24" t="s">
        <v>62</v>
      </c>
      <c r="C35" s="50">
        <v>1</v>
      </c>
      <c r="D35" s="50">
        <v>0</v>
      </c>
      <c r="E35" s="50">
        <v>0</v>
      </c>
      <c r="F35" s="50">
        <v>0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4</v>
      </c>
      <c r="N35" s="50">
        <v>0</v>
      </c>
      <c r="O35" s="15">
        <f t="shared" si="0"/>
        <v>1</v>
      </c>
      <c r="P35" s="15">
        <f t="shared" si="1"/>
        <v>5</v>
      </c>
    </row>
    <row r="36" spans="2:20" ht="23.1" customHeight="1" x14ac:dyDescent="0.25">
      <c r="B36" s="24" t="s">
        <v>63</v>
      </c>
      <c r="C36" s="50">
        <v>2</v>
      </c>
      <c r="D36" s="50">
        <v>0</v>
      </c>
      <c r="E36" s="50">
        <v>1</v>
      </c>
      <c r="F36" s="50">
        <v>0</v>
      </c>
      <c r="G36" s="50">
        <v>0</v>
      </c>
      <c r="H36" s="50">
        <v>0</v>
      </c>
      <c r="I36" s="50">
        <v>2</v>
      </c>
      <c r="J36" s="50">
        <v>0</v>
      </c>
      <c r="K36" s="50">
        <v>0</v>
      </c>
      <c r="L36" s="50">
        <v>0</v>
      </c>
      <c r="M36" s="50">
        <v>14</v>
      </c>
      <c r="N36" s="50">
        <v>0</v>
      </c>
      <c r="O36" s="15">
        <f t="shared" si="0"/>
        <v>5</v>
      </c>
      <c r="P36" s="15">
        <f t="shared" si="1"/>
        <v>19</v>
      </c>
    </row>
    <row r="37" spans="2:20" ht="23.1" customHeight="1" x14ac:dyDescent="0.25">
      <c r="B37" s="23" t="s">
        <v>64</v>
      </c>
      <c r="C37" s="50">
        <v>0</v>
      </c>
      <c r="D37" s="50">
        <v>0</v>
      </c>
      <c r="E37" s="50">
        <v>0</v>
      </c>
      <c r="F37" s="50">
        <v>1</v>
      </c>
      <c r="G37" s="50">
        <v>0</v>
      </c>
      <c r="H37" s="50">
        <v>0</v>
      </c>
      <c r="I37" s="50">
        <v>2</v>
      </c>
      <c r="J37" s="50">
        <v>0</v>
      </c>
      <c r="K37" s="50">
        <v>0</v>
      </c>
      <c r="L37" s="50">
        <v>0</v>
      </c>
      <c r="M37" s="50">
        <v>3</v>
      </c>
      <c r="N37" s="50">
        <v>0</v>
      </c>
      <c r="O37" s="15">
        <f t="shared" si="0"/>
        <v>3</v>
      </c>
      <c r="P37" s="15">
        <f t="shared" si="1"/>
        <v>6</v>
      </c>
    </row>
    <row r="38" spans="2:20" ht="23.1" customHeight="1" x14ac:dyDescent="0.25">
      <c r="B38" s="24" t="s">
        <v>65</v>
      </c>
      <c r="C38" s="50">
        <v>0</v>
      </c>
      <c r="D38" s="50">
        <v>0</v>
      </c>
      <c r="E38" s="50">
        <v>0</v>
      </c>
      <c r="F38" s="50">
        <v>0</v>
      </c>
      <c r="G38" s="50">
        <v>0</v>
      </c>
      <c r="H38" s="50">
        <v>0</v>
      </c>
      <c r="I38" s="50">
        <v>1</v>
      </c>
      <c r="J38" s="50">
        <v>1</v>
      </c>
      <c r="K38" s="50">
        <v>1</v>
      </c>
      <c r="L38" s="50">
        <v>0</v>
      </c>
      <c r="M38" s="50">
        <v>6</v>
      </c>
      <c r="N38" s="50">
        <v>0</v>
      </c>
      <c r="O38" s="15">
        <f t="shared" si="0"/>
        <v>3</v>
      </c>
      <c r="P38" s="15">
        <f t="shared" si="1"/>
        <v>9</v>
      </c>
    </row>
    <row r="39" spans="2:20" ht="23.1" customHeight="1" x14ac:dyDescent="0.25">
      <c r="B39" s="24" t="s">
        <v>66</v>
      </c>
      <c r="C39" s="50">
        <v>2</v>
      </c>
      <c r="D39" s="50">
        <v>0</v>
      </c>
      <c r="E39" s="50">
        <v>0</v>
      </c>
      <c r="F39" s="50">
        <v>3</v>
      </c>
      <c r="G39" s="50">
        <v>0</v>
      </c>
      <c r="H39" s="50">
        <v>0</v>
      </c>
      <c r="I39" s="50">
        <v>0</v>
      </c>
      <c r="J39" s="50">
        <v>1</v>
      </c>
      <c r="K39" s="50">
        <v>0</v>
      </c>
      <c r="L39" s="50">
        <v>0</v>
      </c>
      <c r="M39" s="50">
        <v>10</v>
      </c>
      <c r="N39" s="50">
        <v>0</v>
      </c>
      <c r="O39" s="15">
        <f t="shared" si="0"/>
        <v>6</v>
      </c>
      <c r="P39" s="15">
        <f t="shared" si="1"/>
        <v>16</v>
      </c>
    </row>
    <row r="40" spans="2:20" ht="23.1" customHeight="1" x14ac:dyDescent="0.25">
      <c r="B40" s="24" t="s">
        <v>67</v>
      </c>
      <c r="C40" s="50">
        <v>2</v>
      </c>
      <c r="D40" s="50">
        <v>1</v>
      </c>
      <c r="E40" s="50">
        <v>0</v>
      </c>
      <c r="F40" s="50">
        <v>0</v>
      </c>
      <c r="G40" s="50">
        <v>0</v>
      </c>
      <c r="H40" s="50">
        <v>0</v>
      </c>
      <c r="I40" s="50">
        <v>1</v>
      </c>
      <c r="J40" s="50">
        <v>0</v>
      </c>
      <c r="K40" s="50">
        <v>2</v>
      </c>
      <c r="L40" s="50">
        <v>0</v>
      </c>
      <c r="M40" s="50">
        <v>7</v>
      </c>
      <c r="N40" s="50">
        <v>0</v>
      </c>
      <c r="O40" s="15">
        <f t="shared" si="0"/>
        <v>6</v>
      </c>
      <c r="P40" s="15">
        <f t="shared" si="1"/>
        <v>13</v>
      </c>
    </row>
    <row r="41" spans="2:20" ht="23.1" customHeight="1" x14ac:dyDescent="0.25">
      <c r="B41" s="23" t="s">
        <v>68</v>
      </c>
      <c r="C41" s="50">
        <v>0</v>
      </c>
      <c r="D41" s="50">
        <v>0</v>
      </c>
      <c r="E41" s="50">
        <v>3</v>
      </c>
      <c r="F41" s="50">
        <v>0</v>
      </c>
      <c r="G41" s="50">
        <v>0</v>
      </c>
      <c r="H41" s="50">
        <v>0</v>
      </c>
      <c r="I41" s="50">
        <v>1</v>
      </c>
      <c r="J41" s="50">
        <v>0</v>
      </c>
      <c r="K41" s="50">
        <v>1</v>
      </c>
      <c r="L41" s="50">
        <v>0</v>
      </c>
      <c r="M41" s="50">
        <v>6</v>
      </c>
      <c r="N41" s="50">
        <v>0</v>
      </c>
      <c r="O41" s="15">
        <f t="shared" si="0"/>
        <v>5</v>
      </c>
      <c r="P41" s="15">
        <f t="shared" si="1"/>
        <v>11</v>
      </c>
    </row>
    <row r="42" spans="2:20" ht="23.1" customHeight="1" x14ac:dyDescent="0.25">
      <c r="B42" s="24" t="s">
        <v>69</v>
      </c>
      <c r="C42" s="50">
        <v>1</v>
      </c>
      <c r="D42" s="50">
        <v>1</v>
      </c>
      <c r="E42" s="50">
        <v>0</v>
      </c>
      <c r="F42" s="50">
        <v>0</v>
      </c>
      <c r="G42" s="50">
        <v>0</v>
      </c>
      <c r="H42" s="50">
        <v>0</v>
      </c>
      <c r="I42" s="50">
        <v>1</v>
      </c>
      <c r="J42" s="50">
        <v>0</v>
      </c>
      <c r="K42" s="50">
        <v>0</v>
      </c>
      <c r="L42" s="50">
        <v>0</v>
      </c>
      <c r="M42" s="50">
        <v>12</v>
      </c>
      <c r="N42" s="50">
        <v>0</v>
      </c>
      <c r="O42" s="15">
        <f t="shared" si="0"/>
        <v>3</v>
      </c>
      <c r="P42" s="15">
        <f t="shared" si="1"/>
        <v>15</v>
      </c>
    </row>
    <row r="43" spans="2:20" ht="23.1" customHeight="1" x14ac:dyDescent="0.25">
      <c r="B43" s="23" t="s">
        <v>70</v>
      </c>
      <c r="C43" s="50">
        <v>2</v>
      </c>
      <c r="D43" s="50">
        <v>1</v>
      </c>
      <c r="E43" s="50">
        <v>1</v>
      </c>
      <c r="F43" s="50">
        <v>0</v>
      </c>
      <c r="G43" s="50">
        <v>0</v>
      </c>
      <c r="H43" s="50">
        <v>0</v>
      </c>
      <c r="I43" s="50">
        <v>2</v>
      </c>
      <c r="J43" s="50">
        <v>1</v>
      </c>
      <c r="K43" s="50">
        <v>0</v>
      </c>
      <c r="L43" s="50">
        <v>0</v>
      </c>
      <c r="M43" s="50">
        <v>9</v>
      </c>
      <c r="N43" s="50">
        <v>0</v>
      </c>
      <c r="O43" s="15">
        <f t="shared" si="0"/>
        <v>7</v>
      </c>
      <c r="P43" s="15">
        <f t="shared" si="1"/>
        <v>16</v>
      </c>
    </row>
    <row r="44" spans="2:20" ht="23.1" customHeight="1" x14ac:dyDescent="0.25">
      <c r="B44" s="25" t="s">
        <v>71</v>
      </c>
      <c r="C44" s="50">
        <v>1</v>
      </c>
      <c r="D44" s="50">
        <v>0</v>
      </c>
      <c r="E44" s="50">
        <v>0</v>
      </c>
      <c r="F44" s="50">
        <v>0</v>
      </c>
      <c r="G44" s="50">
        <v>0</v>
      </c>
      <c r="H44" s="50">
        <v>0</v>
      </c>
      <c r="I44" s="50">
        <v>1</v>
      </c>
      <c r="J44" s="50">
        <v>1</v>
      </c>
      <c r="K44" s="50">
        <v>1</v>
      </c>
      <c r="L44" s="50">
        <v>0</v>
      </c>
      <c r="M44" s="50">
        <v>8</v>
      </c>
      <c r="N44" s="50">
        <v>0</v>
      </c>
      <c r="O44" s="15">
        <f t="shared" si="0"/>
        <v>4</v>
      </c>
      <c r="P44" s="15">
        <f t="shared" si="1"/>
        <v>12</v>
      </c>
    </row>
    <row r="45" spans="2:20" ht="23.1" customHeight="1" x14ac:dyDescent="0.25">
      <c r="B45" s="23" t="s">
        <v>72</v>
      </c>
      <c r="C45" s="50">
        <v>0</v>
      </c>
      <c r="D45" s="50">
        <v>0</v>
      </c>
      <c r="E45" s="50">
        <v>0</v>
      </c>
      <c r="F45" s="50">
        <v>0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0</v>
      </c>
      <c r="M45" s="50">
        <v>6</v>
      </c>
      <c r="N45" s="50">
        <v>0</v>
      </c>
      <c r="O45" s="15">
        <f t="shared" si="0"/>
        <v>0</v>
      </c>
      <c r="P45" s="15">
        <f t="shared" si="1"/>
        <v>6</v>
      </c>
    </row>
    <row r="46" spans="2:20" ht="23.1" customHeight="1" x14ac:dyDescent="0.25">
      <c r="B46" s="24" t="s">
        <v>73</v>
      </c>
      <c r="C46" s="50">
        <v>1</v>
      </c>
      <c r="D46" s="50">
        <v>1</v>
      </c>
      <c r="E46" s="50">
        <v>0</v>
      </c>
      <c r="F46" s="50">
        <v>2</v>
      </c>
      <c r="G46" s="50">
        <v>0</v>
      </c>
      <c r="H46" s="50">
        <v>0</v>
      </c>
      <c r="I46" s="50">
        <v>2</v>
      </c>
      <c r="J46" s="50">
        <v>1</v>
      </c>
      <c r="K46" s="50">
        <v>0</v>
      </c>
      <c r="L46" s="50">
        <v>1</v>
      </c>
      <c r="M46" s="50">
        <v>7</v>
      </c>
      <c r="N46" s="50">
        <v>0</v>
      </c>
      <c r="O46" s="15">
        <f t="shared" si="0"/>
        <v>8</v>
      </c>
      <c r="P46" s="15">
        <f t="shared" si="1"/>
        <v>15</v>
      </c>
      <c r="R46" s="8"/>
      <c r="T46"/>
    </row>
    <row r="47" spans="2:20" ht="23.1" customHeight="1" x14ac:dyDescent="0.25">
      <c r="B47" s="24" t="s">
        <v>74</v>
      </c>
      <c r="C47" s="50">
        <v>2</v>
      </c>
      <c r="D47" s="50">
        <v>0</v>
      </c>
      <c r="E47" s="50">
        <v>0</v>
      </c>
      <c r="F47" s="50">
        <v>0</v>
      </c>
      <c r="G47" s="50">
        <v>0</v>
      </c>
      <c r="H47" s="50">
        <v>0</v>
      </c>
      <c r="I47" s="50">
        <v>0</v>
      </c>
      <c r="J47" s="50">
        <v>0</v>
      </c>
      <c r="K47" s="50">
        <v>0</v>
      </c>
      <c r="L47" s="50">
        <v>0</v>
      </c>
      <c r="M47" s="50">
        <v>11</v>
      </c>
      <c r="N47" s="50">
        <v>0</v>
      </c>
      <c r="O47" s="15">
        <f t="shared" si="0"/>
        <v>2</v>
      </c>
      <c r="P47" s="15">
        <f t="shared" si="1"/>
        <v>13</v>
      </c>
      <c r="R47" s="8"/>
      <c r="T47"/>
    </row>
    <row r="48" spans="2:20" ht="23.1" customHeight="1" x14ac:dyDescent="0.25">
      <c r="B48" s="24" t="s">
        <v>75</v>
      </c>
      <c r="C48" s="50">
        <v>1</v>
      </c>
      <c r="D48" s="50">
        <v>1</v>
      </c>
      <c r="E48" s="50">
        <v>0</v>
      </c>
      <c r="F48" s="50">
        <v>2</v>
      </c>
      <c r="G48" s="50">
        <v>0</v>
      </c>
      <c r="H48" s="50">
        <v>0</v>
      </c>
      <c r="I48" s="50">
        <v>0</v>
      </c>
      <c r="J48" s="50">
        <v>1</v>
      </c>
      <c r="K48" s="50">
        <v>0</v>
      </c>
      <c r="L48" s="50">
        <v>0</v>
      </c>
      <c r="M48" s="50">
        <v>4</v>
      </c>
      <c r="N48" s="50">
        <v>0</v>
      </c>
      <c r="O48" s="15">
        <f t="shared" si="0"/>
        <v>5</v>
      </c>
      <c r="P48" s="15">
        <f t="shared" si="1"/>
        <v>9</v>
      </c>
      <c r="R48" s="8"/>
      <c r="T48"/>
    </row>
    <row r="49" spans="2:20" ht="23.1" customHeight="1" x14ac:dyDescent="0.25">
      <c r="B49" s="23" t="s">
        <v>76</v>
      </c>
      <c r="C49" s="50">
        <v>1</v>
      </c>
      <c r="D49" s="50">
        <v>1</v>
      </c>
      <c r="E49" s="50">
        <v>0</v>
      </c>
      <c r="F49" s="50">
        <v>2</v>
      </c>
      <c r="G49" s="50">
        <v>0</v>
      </c>
      <c r="H49" s="50">
        <v>0</v>
      </c>
      <c r="I49" s="50">
        <v>3</v>
      </c>
      <c r="J49" s="50">
        <v>0</v>
      </c>
      <c r="K49" s="50">
        <v>1</v>
      </c>
      <c r="L49" s="50">
        <v>0</v>
      </c>
      <c r="M49" s="50">
        <v>7</v>
      </c>
      <c r="N49" s="50">
        <v>0</v>
      </c>
      <c r="O49" s="15">
        <f t="shared" si="0"/>
        <v>8</v>
      </c>
      <c r="P49" s="15">
        <f t="shared" si="1"/>
        <v>15</v>
      </c>
      <c r="R49" s="8"/>
      <c r="T49"/>
    </row>
    <row r="50" spans="2:20" ht="23.1" customHeight="1" x14ac:dyDescent="0.25">
      <c r="B50" s="24" t="s">
        <v>77</v>
      </c>
      <c r="C50" s="50">
        <v>2</v>
      </c>
      <c r="D50" s="50">
        <v>0</v>
      </c>
      <c r="E50" s="50">
        <v>0</v>
      </c>
      <c r="F50" s="50">
        <v>0</v>
      </c>
      <c r="G50" s="50">
        <v>0</v>
      </c>
      <c r="H50" s="50">
        <v>0</v>
      </c>
      <c r="I50" s="50">
        <v>0</v>
      </c>
      <c r="J50" s="50">
        <v>0</v>
      </c>
      <c r="K50" s="50">
        <v>1</v>
      </c>
      <c r="L50" s="50">
        <v>0</v>
      </c>
      <c r="M50" s="50">
        <v>13</v>
      </c>
      <c r="N50" s="50">
        <v>0</v>
      </c>
      <c r="O50" s="15">
        <f t="shared" si="0"/>
        <v>3</v>
      </c>
      <c r="P50" s="15">
        <f t="shared" si="1"/>
        <v>16</v>
      </c>
      <c r="R50" s="8"/>
      <c r="T50"/>
    </row>
    <row r="51" spans="2:20" ht="23.1" customHeight="1" x14ac:dyDescent="0.25">
      <c r="B51" s="24" t="s">
        <v>78</v>
      </c>
      <c r="C51" s="50">
        <v>6</v>
      </c>
      <c r="D51" s="50">
        <v>0</v>
      </c>
      <c r="E51" s="50">
        <v>3</v>
      </c>
      <c r="F51" s="50">
        <v>0</v>
      </c>
      <c r="G51" s="50">
        <v>0</v>
      </c>
      <c r="H51" s="50">
        <v>0</v>
      </c>
      <c r="I51" s="50">
        <v>0</v>
      </c>
      <c r="J51" s="50">
        <v>0</v>
      </c>
      <c r="K51" s="50">
        <v>1</v>
      </c>
      <c r="L51" s="50">
        <v>0</v>
      </c>
      <c r="M51" s="50">
        <v>10</v>
      </c>
      <c r="N51" s="50">
        <v>0</v>
      </c>
      <c r="O51" s="15">
        <f t="shared" si="0"/>
        <v>10</v>
      </c>
      <c r="P51" s="15">
        <f t="shared" si="1"/>
        <v>20</v>
      </c>
      <c r="R51" s="8"/>
      <c r="T51"/>
    </row>
    <row r="52" spans="2:20" ht="23.1" customHeight="1" x14ac:dyDescent="0.25">
      <c r="B52" s="24" t="s">
        <v>79</v>
      </c>
      <c r="C52" s="50">
        <v>4</v>
      </c>
      <c r="D52" s="50">
        <v>1</v>
      </c>
      <c r="E52" s="50">
        <v>0</v>
      </c>
      <c r="F52" s="50">
        <v>2</v>
      </c>
      <c r="G52" s="50">
        <v>1</v>
      </c>
      <c r="H52" s="50">
        <v>0</v>
      </c>
      <c r="I52" s="50">
        <v>1</v>
      </c>
      <c r="J52" s="50">
        <v>0</v>
      </c>
      <c r="K52" s="50">
        <v>1</v>
      </c>
      <c r="L52" s="50">
        <v>0</v>
      </c>
      <c r="M52" s="50">
        <v>12</v>
      </c>
      <c r="N52" s="50">
        <v>0</v>
      </c>
      <c r="O52" s="15">
        <f t="shared" si="0"/>
        <v>10</v>
      </c>
      <c r="P52" s="15">
        <f t="shared" si="1"/>
        <v>22</v>
      </c>
      <c r="R52" s="8"/>
      <c r="T52"/>
    </row>
    <row r="53" spans="2:20" ht="23.1" customHeight="1" x14ac:dyDescent="0.25">
      <c r="B53" s="23" t="s">
        <v>80</v>
      </c>
      <c r="C53" s="50">
        <v>3</v>
      </c>
      <c r="D53" s="50">
        <v>1</v>
      </c>
      <c r="E53" s="50">
        <v>0</v>
      </c>
      <c r="F53" s="50">
        <v>1</v>
      </c>
      <c r="G53" s="50">
        <v>0</v>
      </c>
      <c r="H53" s="50">
        <v>0</v>
      </c>
      <c r="I53" s="50">
        <v>1</v>
      </c>
      <c r="J53" s="50">
        <v>0</v>
      </c>
      <c r="K53" s="50">
        <v>0</v>
      </c>
      <c r="L53" s="50">
        <v>0</v>
      </c>
      <c r="M53" s="50">
        <v>6</v>
      </c>
      <c r="N53" s="50">
        <v>0</v>
      </c>
      <c r="O53" s="15">
        <f t="shared" si="0"/>
        <v>6</v>
      </c>
      <c r="P53" s="15">
        <f t="shared" si="1"/>
        <v>12</v>
      </c>
      <c r="R53" s="8"/>
      <c r="T53"/>
    </row>
    <row r="54" spans="2:20" ht="23.1" customHeight="1" x14ac:dyDescent="0.25">
      <c r="B54" s="23" t="s">
        <v>81</v>
      </c>
      <c r="C54" s="50">
        <v>3</v>
      </c>
      <c r="D54" s="50">
        <v>0</v>
      </c>
      <c r="E54" s="50">
        <v>0</v>
      </c>
      <c r="F54" s="50">
        <v>0</v>
      </c>
      <c r="G54" s="50">
        <v>0</v>
      </c>
      <c r="H54" s="50">
        <v>0</v>
      </c>
      <c r="I54" s="50">
        <v>1</v>
      </c>
      <c r="J54" s="50">
        <v>1</v>
      </c>
      <c r="K54" s="50">
        <v>0</v>
      </c>
      <c r="L54" s="50">
        <v>0</v>
      </c>
      <c r="M54" s="50">
        <v>16</v>
      </c>
      <c r="N54" s="50">
        <v>0</v>
      </c>
      <c r="O54" s="15">
        <f t="shared" si="0"/>
        <v>5</v>
      </c>
      <c r="P54" s="15">
        <f t="shared" si="1"/>
        <v>21</v>
      </c>
      <c r="R54" s="8"/>
      <c r="T54"/>
    </row>
    <row r="55" spans="2:20" ht="23.1" customHeight="1" x14ac:dyDescent="0.25">
      <c r="B55" s="23" t="s">
        <v>82</v>
      </c>
      <c r="C55" s="50">
        <v>1</v>
      </c>
      <c r="D55" s="50">
        <v>0</v>
      </c>
      <c r="E55" s="50">
        <v>0</v>
      </c>
      <c r="F55" s="50">
        <v>0</v>
      </c>
      <c r="G55" s="50">
        <v>0</v>
      </c>
      <c r="H55" s="50">
        <v>0</v>
      </c>
      <c r="I55" s="50">
        <v>0</v>
      </c>
      <c r="J55" s="50">
        <v>0</v>
      </c>
      <c r="K55" s="50">
        <v>0</v>
      </c>
      <c r="L55" s="50">
        <v>0</v>
      </c>
      <c r="M55" s="50">
        <v>9</v>
      </c>
      <c r="N55" s="50">
        <v>0</v>
      </c>
      <c r="O55" s="15">
        <f t="shared" si="0"/>
        <v>1</v>
      </c>
      <c r="P55" s="15">
        <f t="shared" si="1"/>
        <v>10</v>
      </c>
      <c r="R55" s="8"/>
      <c r="T55"/>
    </row>
    <row r="56" spans="2:20" ht="23.1" customHeight="1" x14ac:dyDescent="0.25">
      <c r="B56" s="23" t="s">
        <v>83</v>
      </c>
      <c r="C56" s="50">
        <v>3</v>
      </c>
      <c r="D56" s="50">
        <v>0</v>
      </c>
      <c r="E56" s="50">
        <v>0</v>
      </c>
      <c r="F56" s="50">
        <v>0</v>
      </c>
      <c r="G56" s="50">
        <v>0</v>
      </c>
      <c r="H56" s="50">
        <v>0</v>
      </c>
      <c r="I56" s="50">
        <v>0</v>
      </c>
      <c r="J56" s="50">
        <v>1</v>
      </c>
      <c r="K56" s="50">
        <v>0</v>
      </c>
      <c r="L56" s="50">
        <v>0</v>
      </c>
      <c r="M56" s="50">
        <v>16</v>
      </c>
      <c r="N56" s="50">
        <v>0</v>
      </c>
      <c r="O56" s="15">
        <f t="shared" si="0"/>
        <v>4</v>
      </c>
      <c r="P56" s="15">
        <f t="shared" si="1"/>
        <v>20</v>
      </c>
      <c r="R56" s="8"/>
      <c r="T56"/>
    </row>
    <row r="57" spans="2:20" ht="23.1" customHeight="1" x14ac:dyDescent="0.25">
      <c r="B57" s="23" t="s">
        <v>84</v>
      </c>
      <c r="C57" s="50">
        <v>3</v>
      </c>
      <c r="D57" s="50">
        <v>0</v>
      </c>
      <c r="E57" s="50">
        <v>0</v>
      </c>
      <c r="F57" s="50">
        <v>0</v>
      </c>
      <c r="G57" s="50">
        <v>0</v>
      </c>
      <c r="H57" s="50">
        <v>0</v>
      </c>
      <c r="I57" s="50">
        <v>0</v>
      </c>
      <c r="J57" s="50">
        <v>0</v>
      </c>
      <c r="K57" s="50">
        <v>0</v>
      </c>
      <c r="L57" s="50">
        <v>0</v>
      </c>
      <c r="M57" s="50">
        <v>13</v>
      </c>
      <c r="N57" s="50">
        <v>0</v>
      </c>
      <c r="O57" s="15">
        <f t="shared" si="0"/>
        <v>3</v>
      </c>
      <c r="P57" s="15">
        <f t="shared" si="1"/>
        <v>16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66</v>
      </c>
      <c r="D58" s="16">
        <f t="shared" si="21"/>
        <v>12</v>
      </c>
      <c r="E58" s="16">
        <f t="shared" si="21"/>
        <v>19</v>
      </c>
      <c r="F58" s="16">
        <f t="shared" si="21"/>
        <v>20</v>
      </c>
      <c r="G58" s="16">
        <f t="shared" si="21"/>
        <v>1</v>
      </c>
      <c r="H58" s="16">
        <f t="shared" si="21"/>
        <v>0</v>
      </c>
      <c r="I58" s="16">
        <f t="shared" si="21"/>
        <v>28</v>
      </c>
      <c r="J58" s="16">
        <f t="shared" si="21"/>
        <v>10</v>
      </c>
      <c r="K58" s="16">
        <f t="shared" si="21"/>
        <v>19</v>
      </c>
      <c r="L58" s="16">
        <f t="shared" si="21"/>
        <v>3</v>
      </c>
      <c r="M58" s="16">
        <f t="shared" si="21"/>
        <v>399</v>
      </c>
      <c r="N58" s="16">
        <f t="shared" si="21"/>
        <v>0</v>
      </c>
      <c r="O58" s="16">
        <f t="shared" si="21"/>
        <v>178</v>
      </c>
      <c r="P58" s="16">
        <f t="shared" si="21"/>
        <v>577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0.11438474870017332</v>
      </c>
      <c r="D59" s="43">
        <f t="shared" si="22"/>
        <v>2.0797227036395149E-2</v>
      </c>
      <c r="E59" s="43">
        <f t="shared" si="22"/>
        <v>3.292894280762565E-2</v>
      </c>
      <c r="F59" s="43">
        <f t="shared" si="22"/>
        <v>3.4662045060658578E-2</v>
      </c>
      <c r="G59" s="43">
        <f t="shared" si="22"/>
        <v>1.7331022530329288E-3</v>
      </c>
      <c r="H59" s="43">
        <f t="shared" si="22"/>
        <v>0</v>
      </c>
      <c r="I59" s="43">
        <f t="shared" si="22"/>
        <v>4.852686308492201E-2</v>
      </c>
      <c r="J59" s="43">
        <f t="shared" si="22"/>
        <v>1.7331022530329289E-2</v>
      </c>
      <c r="K59" s="43">
        <f t="shared" si="22"/>
        <v>3.292894280762565E-2</v>
      </c>
      <c r="L59" s="43">
        <f t="shared" si="22"/>
        <v>5.1993067590987872E-3</v>
      </c>
      <c r="M59" s="43">
        <f t="shared" si="22"/>
        <v>0.6915077989601387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0.3707865168539326</v>
      </c>
      <c r="D60" s="44">
        <f t="shared" ref="D60:N60" si="23">D58/$O$58</f>
        <v>6.741573033707865E-2</v>
      </c>
      <c r="E60" s="44">
        <f t="shared" si="23"/>
        <v>0.10674157303370786</v>
      </c>
      <c r="F60" s="44">
        <f t="shared" si="23"/>
        <v>0.11235955056179775</v>
      </c>
      <c r="G60" s="44">
        <f t="shared" si="23"/>
        <v>5.6179775280898875E-3</v>
      </c>
      <c r="H60" s="44">
        <f t="shared" si="23"/>
        <v>0</v>
      </c>
      <c r="I60" s="44">
        <f t="shared" si="23"/>
        <v>0.15730337078651685</v>
      </c>
      <c r="J60" s="44">
        <f t="shared" si="23"/>
        <v>5.6179775280898875E-2</v>
      </c>
      <c r="K60" s="44">
        <f t="shared" si="23"/>
        <v>0.10674157303370786</v>
      </c>
      <c r="L60" s="44">
        <f t="shared" si="23"/>
        <v>1.6853932584269662E-2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="90" zoomScaleSheetLayoutView="90" workbookViewId="0">
      <selection activeCell="K51" sqref="K51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1" t="s">
        <v>23</v>
      </c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</row>
    <row r="2" spans="2:32" ht="20.100000000000001" customHeight="1" x14ac:dyDescent="0.25">
      <c r="B2" s="62" t="s">
        <v>95</v>
      </c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</row>
    <row r="3" spans="2:32" ht="20.100000000000001" customHeight="1" x14ac:dyDescent="0.25">
      <c r="B3" s="22" t="s">
        <v>96</v>
      </c>
      <c r="C3" s="63" t="str">
        <f>'17.10 KANONI-SSEMBABULE'!C3:G3</f>
        <v>SSEMBABULE-KABULASOKE ROAD</v>
      </c>
      <c r="D3" s="63"/>
      <c r="E3" s="63"/>
      <c r="F3" s="63"/>
      <c r="G3" s="63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51" t="str">
        <f>'22.10 SSEMBABULE-KANONI'!D5</f>
        <v>22.10.2019</v>
      </c>
      <c r="E5" s="3"/>
      <c r="F5" s="41" t="s">
        <v>1</v>
      </c>
      <c r="G5" s="58" t="str">
        <f>'22.10 SSEMBABULE-KANONI'!G5:H5</f>
        <v>KYABI</v>
      </c>
      <c r="H5" s="59"/>
      <c r="I5" s="14"/>
      <c r="J5" s="2" t="s">
        <v>5</v>
      </c>
      <c r="K5" s="58" t="s">
        <v>176</v>
      </c>
      <c r="L5" s="59"/>
      <c r="M5" s="10"/>
      <c r="N5" s="10"/>
      <c r="O5" s="3"/>
      <c r="P5" s="3"/>
    </row>
    <row r="6" spans="2:32" ht="23.25" customHeight="1" x14ac:dyDescent="0.25">
      <c r="C6" s="2" t="s">
        <v>4</v>
      </c>
      <c r="D6" s="58" t="s">
        <v>168</v>
      </c>
      <c r="E6" s="59"/>
      <c r="F6" s="2" t="s">
        <v>2</v>
      </c>
      <c r="G6" s="58" t="s">
        <v>167</v>
      </c>
      <c r="H6" s="59"/>
      <c r="J6" s="2" t="s">
        <v>21</v>
      </c>
      <c r="K6" s="58" t="str">
        <f>'22.10 SSEMBABULE-KANONI'!K6:L6</f>
        <v>ONYUTI BETTY</v>
      </c>
      <c r="L6" s="59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0" t="s">
        <v>88</v>
      </c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0</v>
      </c>
      <c r="D10" s="50">
        <v>0</v>
      </c>
      <c r="E10" s="50">
        <v>0</v>
      </c>
      <c r="F10" s="50">
        <v>0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3</v>
      </c>
      <c r="N10" s="50">
        <v>0</v>
      </c>
      <c r="O10" s="15">
        <f t="shared" ref="O10:O57" si="0">SUM(C10:L10,N10)</f>
        <v>0</v>
      </c>
      <c r="P10" s="15">
        <f t="shared" ref="P10:P57" si="1">SUM(C10:N10)</f>
        <v>3</v>
      </c>
      <c r="R10" s="1" t="s">
        <v>6</v>
      </c>
      <c r="S10" s="17">
        <f t="shared" ref="S10:AF10" si="2">SUM(C10:C13)</f>
        <v>1</v>
      </c>
      <c r="T10" s="17">
        <f t="shared" si="2"/>
        <v>1</v>
      </c>
      <c r="U10" s="17">
        <f t="shared" si="2"/>
        <v>0</v>
      </c>
      <c r="V10" s="17">
        <f t="shared" si="2"/>
        <v>0</v>
      </c>
      <c r="W10" s="17">
        <f t="shared" si="2"/>
        <v>0</v>
      </c>
      <c r="X10" s="17">
        <f t="shared" si="2"/>
        <v>0</v>
      </c>
      <c r="Y10" s="17">
        <f t="shared" si="2"/>
        <v>3</v>
      </c>
      <c r="Z10" s="17">
        <f t="shared" si="2"/>
        <v>1</v>
      </c>
      <c r="AA10" s="17">
        <f t="shared" si="2"/>
        <v>0</v>
      </c>
      <c r="AB10" s="17">
        <f t="shared" si="2"/>
        <v>0</v>
      </c>
      <c r="AC10" s="17">
        <f t="shared" si="2"/>
        <v>24</v>
      </c>
      <c r="AD10" s="17">
        <f t="shared" si="2"/>
        <v>0</v>
      </c>
      <c r="AE10" s="31">
        <f t="shared" si="2"/>
        <v>6</v>
      </c>
      <c r="AF10" s="31">
        <f t="shared" si="2"/>
        <v>30</v>
      </c>
    </row>
    <row r="11" spans="2:32" s="6" customFormat="1" ht="23.1" customHeight="1" x14ac:dyDescent="0.25">
      <c r="B11" s="23" t="s">
        <v>38</v>
      </c>
      <c r="C11" s="50">
        <v>0</v>
      </c>
      <c r="D11" s="50">
        <v>0</v>
      </c>
      <c r="E11" s="50">
        <v>0</v>
      </c>
      <c r="F11" s="50">
        <v>0</v>
      </c>
      <c r="G11" s="50">
        <v>0</v>
      </c>
      <c r="H11" s="50">
        <v>0</v>
      </c>
      <c r="I11" s="50">
        <v>1</v>
      </c>
      <c r="J11" s="50">
        <v>0</v>
      </c>
      <c r="K11" s="50">
        <v>0</v>
      </c>
      <c r="L11" s="50">
        <v>0</v>
      </c>
      <c r="M11" s="50">
        <v>6</v>
      </c>
      <c r="N11" s="50">
        <v>0</v>
      </c>
      <c r="O11" s="15">
        <f t="shared" si="0"/>
        <v>1</v>
      </c>
      <c r="P11" s="15">
        <f t="shared" si="1"/>
        <v>7</v>
      </c>
      <c r="R11" s="1" t="s">
        <v>7</v>
      </c>
      <c r="S11" s="17">
        <f t="shared" ref="S11:AF11" si="3">SUM(C14:C17)</f>
        <v>6</v>
      </c>
      <c r="T11" s="17">
        <f t="shared" si="3"/>
        <v>1</v>
      </c>
      <c r="U11" s="17">
        <f t="shared" si="3"/>
        <v>1</v>
      </c>
      <c r="V11" s="17">
        <f t="shared" si="3"/>
        <v>6</v>
      </c>
      <c r="W11" s="17">
        <f t="shared" si="3"/>
        <v>0</v>
      </c>
      <c r="X11" s="17">
        <f t="shared" si="3"/>
        <v>0</v>
      </c>
      <c r="Y11" s="17">
        <f t="shared" si="3"/>
        <v>0</v>
      </c>
      <c r="Z11" s="17">
        <f t="shared" si="3"/>
        <v>0</v>
      </c>
      <c r="AA11" s="17">
        <f t="shared" si="3"/>
        <v>0</v>
      </c>
      <c r="AB11" s="17">
        <f t="shared" si="3"/>
        <v>0</v>
      </c>
      <c r="AC11" s="17">
        <f t="shared" si="3"/>
        <v>28</v>
      </c>
      <c r="AD11" s="17">
        <f t="shared" si="3"/>
        <v>0</v>
      </c>
      <c r="AE11" s="31">
        <f t="shared" si="3"/>
        <v>14</v>
      </c>
      <c r="AF11" s="31">
        <f t="shared" si="3"/>
        <v>42</v>
      </c>
    </row>
    <row r="12" spans="2:32" ht="23.1" customHeight="1" x14ac:dyDescent="0.25">
      <c r="B12" s="23" t="s">
        <v>39</v>
      </c>
      <c r="C12" s="50">
        <v>1</v>
      </c>
      <c r="D12" s="50">
        <v>0</v>
      </c>
      <c r="E12" s="50">
        <v>0</v>
      </c>
      <c r="F12" s="50">
        <v>0</v>
      </c>
      <c r="G12" s="50">
        <v>0</v>
      </c>
      <c r="H12" s="50">
        <v>0</v>
      </c>
      <c r="I12" s="50">
        <v>2</v>
      </c>
      <c r="J12" s="50">
        <v>1</v>
      </c>
      <c r="K12" s="50">
        <v>0</v>
      </c>
      <c r="L12" s="50">
        <v>0</v>
      </c>
      <c r="M12" s="50">
        <v>8</v>
      </c>
      <c r="N12" s="50">
        <v>0</v>
      </c>
      <c r="O12" s="15">
        <f t="shared" si="0"/>
        <v>4</v>
      </c>
      <c r="P12" s="15">
        <f t="shared" si="1"/>
        <v>12</v>
      </c>
      <c r="R12" s="1" t="s">
        <v>8</v>
      </c>
      <c r="S12" s="17">
        <f t="shared" ref="S12:AF12" si="4">SUM(C18:C21)</f>
        <v>6</v>
      </c>
      <c r="T12" s="17">
        <f t="shared" si="4"/>
        <v>1</v>
      </c>
      <c r="U12" s="17">
        <f t="shared" si="4"/>
        <v>0</v>
      </c>
      <c r="V12" s="17">
        <f t="shared" si="4"/>
        <v>1</v>
      </c>
      <c r="W12" s="17">
        <f t="shared" si="4"/>
        <v>0</v>
      </c>
      <c r="X12" s="17">
        <f t="shared" si="4"/>
        <v>0</v>
      </c>
      <c r="Y12" s="17">
        <f t="shared" si="4"/>
        <v>1</v>
      </c>
      <c r="Z12" s="17">
        <f t="shared" si="4"/>
        <v>0</v>
      </c>
      <c r="AA12" s="17">
        <f t="shared" si="4"/>
        <v>2</v>
      </c>
      <c r="AB12" s="17">
        <f t="shared" si="4"/>
        <v>0</v>
      </c>
      <c r="AC12" s="17">
        <f t="shared" si="4"/>
        <v>40</v>
      </c>
      <c r="AD12" s="17">
        <f t="shared" si="4"/>
        <v>0</v>
      </c>
      <c r="AE12" s="31">
        <f t="shared" si="4"/>
        <v>11</v>
      </c>
      <c r="AF12" s="31">
        <f t="shared" si="4"/>
        <v>51</v>
      </c>
    </row>
    <row r="13" spans="2:32" ht="23.1" customHeight="1" x14ac:dyDescent="0.25">
      <c r="B13" s="23" t="s">
        <v>40</v>
      </c>
      <c r="C13" s="50">
        <v>0</v>
      </c>
      <c r="D13" s="50">
        <v>1</v>
      </c>
      <c r="E13" s="50">
        <v>0</v>
      </c>
      <c r="F13" s="50">
        <v>0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7</v>
      </c>
      <c r="N13" s="50">
        <v>0</v>
      </c>
      <c r="O13" s="15">
        <f t="shared" si="0"/>
        <v>1</v>
      </c>
      <c r="P13" s="15">
        <f t="shared" si="1"/>
        <v>8</v>
      </c>
      <c r="R13" s="1" t="s">
        <v>9</v>
      </c>
      <c r="S13" s="17">
        <f t="shared" ref="S13:AF13" si="5">SUM(C22:C25)</f>
        <v>8</v>
      </c>
      <c r="T13" s="17">
        <f t="shared" si="5"/>
        <v>0</v>
      </c>
      <c r="U13" s="17">
        <f t="shared" si="5"/>
        <v>5</v>
      </c>
      <c r="V13" s="17">
        <f t="shared" si="5"/>
        <v>0</v>
      </c>
      <c r="W13" s="17">
        <f t="shared" si="5"/>
        <v>0</v>
      </c>
      <c r="X13" s="17">
        <f t="shared" si="5"/>
        <v>0</v>
      </c>
      <c r="Y13" s="17">
        <f t="shared" si="5"/>
        <v>3</v>
      </c>
      <c r="Z13" s="17">
        <f t="shared" si="5"/>
        <v>2</v>
      </c>
      <c r="AA13" s="17">
        <f t="shared" si="5"/>
        <v>1</v>
      </c>
      <c r="AB13" s="17">
        <f t="shared" si="5"/>
        <v>0</v>
      </c>
      <c r="AC13" s="17">
        <f t="shared" si="5"/>
        <v>23</v>
      </c>
      <c r="AD13" s="17">
        <f t="shared" si="5"/>
        <v>0</v>
      </c>
      <c r="AE13" s="31">
        <f t="shared" si="5"/>
        <v>19</v>
      </c>
      <c r="AF13" s="31">
        <f t="shared" si="5"/>
        <v>42</v>
      </c>
    </row>
    <row r="14" spans="2:32" ht="23.1" customHeight="1" x14ac:dyDescent="0.25">
      <c r="B14" s="23" t="s">
        <v>41</v>
      </c>
      <c r="C14" s="50">
        <v>1</v>
      </c>
      <c r="D14" s="50">
        <v>0</v>
      </c>
      <c r="E14" s="50">
        <v>0</v>
      </c>
      <c r="F14" s="50">
        <v>1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8</v>
      </c>
      <c r="N14" s="50">
        <v>0</v>
      </c>
      <c r="O14" s="15">
        <f t="shared" si="0"/>
        <v>2</v>
      </c>
      <c r="P14" s="15">
        <f t="shared" si="1"/>
        <v>10</v>
      </c>
      <c r="R14" s="1" t="s">
        <v>10</v>
      </c>
      <c r="S14" s="17">
        <f t="shared" ref="S14:AF14" si="6">SUM(C26:C29)</f>
        <v>5</v>
      </c>
      <c r="T14" s="17">
        <f t="shared" si="6"/>
        <v>1</v>
      </c>
      <c r="U14" s="17">
        <f t="shared" si="6"/>
        <v>0</v>
      </c>
      <c r="V14" s="17">
        <f t="shared" si="6"/>
        <v>5</v>
      </c>
      <c r="W14" s="17">
        <f t="shared" si="6"/>
        <v>0</v>
      </c>
      <c r="X14" s="17">
        <f t="shared" si="6"/>
        <v>0</v>
      </c>
      <c r="Y14" s="17">
        <f t="shared" si="6"/>
        <v>0</v>
      </c>
      <c r="Z14" s="17">
        <f t="shared" si="6"/>
        <v>0</v>
      </c>
      <c r="AA14" s="17">
        <f t="shared" si="6"/>
        <v>1</v>
      </c>
      <c r="AB14" s="17">
        <f t="shared" si="6"/>
        <v>1</v>
      </c>
      <c r="AC14" s="17">
        <f t="shared" si="6"/>
        <v>42</v>
      </c>
      <c r="AD14" s="17">
        <f t="shared" si="6"/>
        <v>0</v>
      </c>
      <c r="AE14" s="31">
        <f t="shared" si="6"/>
        <v>13</v>
      </c>
      <c r="AF14" s="31">
        <f t="shared" si="6"/>
        <v>55</v>
      </c>
    </row>
    <row r="15" spans="2:32" ht="23.1" customHeight="1" x14ac:dyDescent="0.25">
      <c r="B15" s="23" t="s">
        <v>42</v>
      </c>
      <c r="C15" s="50">
        <v>2</v>
      </c>
      <c r="D15" s="50">
        <v>0</v>
      </c>
      <c r="E15" s="50">
        <v>1</v>
      </c>
      <c r="F15" s="50">
        <v>3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7</v>
      </c>
      <c r="N15" s="50">
        <v>0</v>
      </c>
      <c r="O15" s="15">
        <f t="shared" si="0"/>
        <v>6</v>
      </c>
      <c r="P15" s="15">
        <f t="shared" si="1"/>
        <v>13</v>
      </c>
      <c r="R15" s="1" t="s">
        <v>11</v>
      </c>
      <c r="S15" s="17">
        <f t="shared" ref="S15:AF15" si="7">SUM(C30:C33)</f>
        <v>8</v>
      </c>
      <c r="T15" s="17">
        <f t="shared" si="7"/>
        <v>3</v>
      </c>
      <c r="U15" s="17">
        <f t="shared" si="7"/>
        <v>3</v>
      </c>
      <c r="V15" s="17">
        <f t="shared" si="7"/>
        <v>8</v>
      </c>
      <c r="W15" s="17">
        <f t="shared" si="7"/>
        <v>0</v>
      </c>
      <c r="X15" s="17">
        <f t="shared" si="7"/>
        <v>1</v>
      </c>
      <c r="Y15" s="17">
        <f t="shared" si="7"/>
        <v>5</v>
      </c>
      <c r="Z15" s="17">
        <f t="shared" si="7"/>
        <v>0</v>
      </c>
      <c r="AA15" s="17">
        <f t="shared" si="7"/>
        <v>2</v>
      </c>
      <c r="AB15" s="17">
        <f t="shared" si="7"/>
        <v>0</v>
      </c>
      <c r="AC15" s="17">
        <f t="shared" si="7"/>
        <v>35</v>
      </c>
      <c r="AD15" s="17">
        <f t="shared" si="7"/>
        <v>0</v>
      </c>
      <c r="AE15" s="31">
        <f t="shared" si="7"/>
        <v>30</v>
      </c>
      <c r="AF15" s="31">
        <f t="shared" si="7"/>
        <v>65</v>
      </c>
    </row>
    <row r="16" spans="2:32" ht="23.1" customHeight="1" x14ac:dyDescent="0.25">
      <c r="B16" s="23" t="s">
        <v>43</v>
      </c>
      <c r="C16" s="50">
        <v>2</v>
      </c>
      <c r="D16" s="50">
        <v>0</v>
      </c>
      <c r="E16" s="50">
        <v>0</v>
      </c>
      <c r="F16" s="50">
        <v>1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8</v>
      </c>
      <c r="N16" s="50">
        <v>0</v>
      </c>
      <c r="O16" s="15">
        <f t="shared" si="0"/>
        <v>3</v>
      </c>
      <c r="P16" s="15">
        <f t="shared" si="1"/>
        <v>11</v>
      </c>
      <c r="R16" s="1" t="s">
        <v>12</v>
      </c>
      <c r="S16" s="17">
        <f t="shared" ref="S16:AF16" si="8">SUM(C34:C37)</f>
        <v>7</v>
      </c>
      <c r="T16" s="17">
        <f t="shared" si="8"/>
        <v>0</v>
      </c>
      <c r="U16" s="17">
        <f t="shared" si="8"/>
        <v>3</v>
      </c>
      <c r="V16" s="17">
        <f t="shared" si="8"/>
        <v>2</v>
      </c>
      <c r="W16" s="17">
        <f t="shared" si="8"/>
        <v>0</v>
      </c>
      <c r="X16" s="17">
        <f t="shared" si="8"/>
        <v>0</v>
      </c>
      <c r="Y16" s="17">
        <f t="shared" si="8"/>
        <v>1</v>
      </c>
      <c r="Z16" s="17">
        <f t="shared" si="8"/>
        <v>0</v>
      </c>
      <c r="AA16" s="17">
        <f t="shared" si="8"/>
        <v>2</v>
      </c>
      <c r="AB16" s="17">
        <f t="shared" si="8"/>
        <v>0</v>
      </c>
      <c r="AC16" s="17">
        <f t="shared" si="8"/>
        <v>42</v>
      </c>
      <c r="AD16" s="17">
        <f t="shared" si="8"/>
        <v>0</v>
      </c>
      <c r="AE16" s="31">
        <f t="shared" si="8"/>
        <v>15</v>
      </c>
      <c r="AF16" s="31">
        <f t="shared" si="8"/>
        <v>57</v>
      </c>
    </row>
    <row r="17" spans="2:32" ht="23.1" customHeight="1" x14ac:dyDescent="0.25">
      <c r="B17" s="23" t="s">
        <v>44</v>
      </c>
      <c r="C17" s="50">
        <v>1</v>
      </c>
      <c r="D17" s="50">
        <v>1</v>
      </c>
      <c r="E17" s="50">
        <v>0</v>
      </c>
      <c r="F17" s="50">
        <v>1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5</v>
      </c>
      <c r="N17" s="50">
        <v>0</v>
      </c>
      <c r="O17" s="15">
        <f t="shared" si="0"/>
        <v>3</v>
      </c>
      <c r="P17" s="15">
        <f t="shared" si="1"/>
        <v>8</v>
      </c>
      <c r="R17" s="1" t="s">
        <v>13</v>
      </c>
      <c r="S17" s="17">
        <f t="shared" ref="S17:AF17" si="9">SUM(C38:C41)</f>
        <v>3</v>
      </c>
      <c r="T17" s="17">
        <f t="shared" si="9"/>
        <v>1</v>
      </c>
      <c r="U17" s="17">
        <f t="shared" si="9"/>
        <v>1</v>
      </c>
      <c r="V17" s="17">
        <f t="shared" si="9"/>
        <v>1</v>
      </c>
      <c r="W17" s="17">
        <f t="shared" si="9"/>
        <v>0</v>
      </c>
      <c r="X17" s="17">
        <f t="shared" si="9"/>
        <v>0</v>
      </c>
      <c r="Y17" s="17">
        <f t="shared" si="9"/>
        <v>0</v>
      </c>
      <c r="Z17" s="17">
        <f t="shared" si="9"/>
        <v>0</v>
      </c>
      <c r="AA17" s="17">
        <f t="shared" si="9"/>
        <v>1</v>
      </c>
      <c r="AB17" s="17">
        <f t="shared" si="9"/>
        <v>0</v>
      </c>
      <c r="AC17" s="17">
        <f t="shared" si="9"/>
        <v>30</v>
      </c>
      <c r="AD17" s="17">
        <f t="shared" si="9"/>
        <v>0</v>
      </c>
      <c r="AE17" s="31">
        <f t="shared" si="9"/>
        <v>7</v>
      </c>
      <c r="AF17" s="31">
        <f t="shared" si="9"/>
        <v>37</v>
      </c>
    </row>
    <row r="18" spans="2:32" ht="23.1" customHeight="1" x14ac:dyDescent="0.25">
      <c r="B18" s="23" t="s">
        <v>45</v>
      </c>
      <c r="C18" s="50">
        <v>1</v>
      </c>
      <c r="D18" s="50">
        <v>0</v>
      </c>
      <c r="E18" s="50">
        <v>0</v>
      </c>
      <c r="F18" s="50">
        <v>0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0</v>
      </c>
      <c r="M18" s="50">
        <v>11</v>
      </c>
      <c r="N18" s="50">
        <v>0</v>
      </c>
      <c r="O18" s="15">
        <f t="shared" si="0"/>
        <v>1</v>
      </c>
      <c r="P18" s="15">
        <f t="shared" si="1"/>
        <v>12</v>
      </c>
      <c r="R18" s="1" t="s">
        <v>14</v>
      </c>
      <c r="S18" s="17">
        <f t="shared" ref="S18:AF18" si="10">SUM(C42:C45)</f>
        <v>3</v>
      </c>
      <c r="T18" s="17">
        <f t="shared" si="10"/>
        <v>0</v>
      </c>
      <c r="U18" s="17">
        <f t="shared" si="10"/>
        <v>0</v>
      </c>
      <c r="V18" s="17">
        <f t="shared" si="10"/>
        <v>0</v>
      </c>
      <c r="W18" s="17">
        <f t="shared" si="10"/>
        <v>0</v>
      </c>
      <c r="X18" s="17">
        <f t="shared" si="10"/>
        <v>0</v>
      </c>
      <c r="Y18" s="17">
        <f t="shared" si="10"/>
        <v>4</v>
      </c>
      <c r="Z18" s="17">
        <f t="shared" si="10"/>
        <v>0</v>
      </c>
      <c r="AA18" s="17">
        <f t="shared" si="10"/>
        <v>2</v>
      </c>
      <c r="AB18" s="17">
        <f t="shared" si="10"/>
        <v>0</v>
      </c>
      <c r="AC18" s="17">
        <f t="shared" si="10"/>
        <v>37</v>
      </c>
      <c r="AD18" s="17">
        <f t="shared" si="10"/>
        <v>0</v>
      </c>
      <c r="AE18" s="31">
        <f t="shared" si="10"/>
        <v>9</v>
      </c>
      <c r="AF18" s="31">
        <f t="shared" si="10"/>
        <v>46</v>
      </c>
    </row>
    <row r="19" spans="2:32" ht="23.1" customHeight="1" x14ac:dyDescent="0.25">
      <c r="B19" s="23" t="s">
        <v>46</v>
      </c>
      <c r="C19" s="50">
        <v>2</v>
      </c>
      <c r="D19" s="50">
        <v>0</v>
      </c>
      <c r="E19" s="50">
        <v>0</v>
      </c>
      <c r="F19" s="50">
        <v>0</v>
      </c>
      <c r="G19" s="50">
        <v>0</v>
      </c>
      <c r="H19" s="50">
        <v>0</v>
      </c>
      <c r="I19" s="50">
        <v>0</v>
      </c>
      <c r="J19" s="50">
        <v>0</v>
      </c>
      <c r="K19" s="50">
        <v>1</v>
      </c>
      <c r="L19" s="50">
        <v>0</v>
      </c>
      <c r="M19" s="50">
        <v>5</v>
      </c>
      <c r="N19" s="50">
        <v>0</v>
      </c>
      <c r="O19" s="15">
        <f t="shared" si="0"/>
        <v>3</v>
      </c>
      <c r="P19" s="15">
        <f t="shared" si="1"/>
        <v>8</v>
      </c>
      <c r="R19" s="1" t="s">
        <v>15</v>
      </c>
      <c r="S19" s="17">
        <f t="shared" ref="S19:AF19" si="11">SUM(C46:C49)</f>
        <v>2</v>
      </c>
      <c r="T19" s="17">
        <f t="shared" si="11"/>
        <v>4</v>
      </c>
      <c r="U19" s="17">
        <f t="shared" si="11"/>
        <v>1</v>
      </c>
      <c r="V19" s="17">
        <f t="shared" si="11"/>
        <v>0</v>
      </c>
      <c r="W19" s="17">
        <f t="shared" si="11"/>
        <v>0</v>
      </c>
      <c r="X19" s="17">
        <f t="shared" si="11"/>
        <v>0</v>
      </c>
      <c r="Y19" s="17">
        <f t="shared" si="11"/>
        <v>2</v>
      </c>
      <c r="Z19" s="17">
        <f t="shared" si="11"/>
        <v>2</v>
      </c>
      <c r="AA19" s="17">
        <f t="shared" si="11"/>
        <v>2</v>
      </c>
      <c r="AB19" s="17">
        <f t="shared" si="11"/>
        <v>0</v>
      </c>
      <c r="AC19" s="17">
        <f t="shared" si="11"/>
        <v>38</v>
      </c>
      <c r="AD19" s="17">
        <f t="shared" si="11"/>
        <v>0</v>
      </c>
      <c r="AE19" s="31">
        <f t="shared" si="11"/>
        <v>13</v>
      </c>
      <c r="AF19" s="31">
        <f t="shared" si="11"/>
        <v>51</v>
      </c>
    </row>
    <row r="20" spans="2:32" ht="23.1" customHeight="1" x14ac:dyDescent="0.25">
      <c r="B20" s="23" t="s">
        <v>47</v>
      </c>
      <c r="C20" s="50">
        <v>2</v>
      </c>
      <c r="D20" s="50">
        <v>1</v>
      </c>
      <c r="E20" s="50">
        <v>0</v>
      </c>
      <c r="F20" s="50">
        <v>1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50">
        <v>12</v>
      </c>
      <c r="N20" s="50">
        <v>0</v>
      </c>
      <c r="O20" s="15">
        <f t="shared" si="0"/>
        <v>4</v>
      </c>
      <c r="P20" s="15">
        <f t="shared" si="1"/>
        <v>16</v>
      </c>
      <c r="R20" s="1" t="s">
        <v>16</v>
      </c>
      <c r="S20" s="17">
        <f t="shared" ref="S20:AF20" si="12">SUM(C50:C53)</f>
        <v>4</v>
      </c>
      <c r="T20" s="17">
        <f t="shared" si="12"/>
        <v>0</v>
      </c>
      <c r="U20" s="17">
        <f t="shared" si="12"/>
        <v>0</v>
      </c>
      <c r="V20" s="17">
        <f t="shared" si="12"/>
        <v>1</v>
      </c>
      <c r="W20" s="17">
        <f t="shared" si="12"/>
        <v>1</v>
      </c>
      <c r="X20" s="17">
        <f t="shared" si="12"/>
        <v>0</v>
      </c>
      <c r="Y20" s="17">
        <f t="shared" si="12"/>
        <v>3</v>
      </c>
      <c r="Z20" s="17">
        <f t="shared" si="12"/>
        <v>0</v>
      </c>
      <c r="AA20" s="17">
        <f t="shared" si="12"/>
        <v>1</v>
      </c>
      <c r="AB20" s="17">
        <f t="shared" si="12"/>
        <v>0</v>
      </c>
      <c r="AC20" s="17">
        <f t="shared" si="12"/>
        <v>43</v>
      </c>
      <c r="AD20" s="17">
        <f t="shared" si="12"/>
        <v>0</v>
      </c>
      <c r="AE20" s="31">
        <f t="shared" si="12"/>
        <v>10</v>
      </c>
      <c r="AF20" s="31">
        <f t="shared" si="12"/>
        <v>53</v>
      </c>
    </row>
    <row r="21" spans="2:32" ht="23.1" customHeight="1" x14ac:dyDescent="0.25">
      <c r="B21" s="23" t="s">
        <v>48</v>
      </c>
      <c r="C21" s="50">
        <v>1</v>
      </c>
      <c r="D21" s="50">
        <v>0</v>
      </c>
      <c r="E21" s="50">
        <v>0</v>
      </c>
      <c r="F21" s="50">
        <v>0</v>
      </c>
      <c r="G21" s="50">
        <v>0</v>
      </c>
      <c r="H21" s="50">
        <v>0</v>
      </c>
      <c r="I21" s="50">
        <v>1</v>
      </c>
      <c r="J21" s="50">
        <v>0</v>
      </c>
      <c r="K21" s="50">
        <v>1</v>
      </c>
      <c r="L21" s="50">
        <v>0</v>
      </c>
      <c r="M21" s="50">
        <v>12</v>
      </c>
      <c r="N21" s="50">
        <v>0</v>
      </c>
      <c r="O21" s="15">
        <f t="shared" si="0"/>
        <v>3</v>
      </c>
      <c r="P21" s="15">
        <f t="shared" si="1"/>
        <v>15</v>
      </c>
      <c r="R21" s="36" t="s">
        <v>20</v>
      </c>
      <c r="S21" s="34">
        <f t="shared" ref="S21:AF21" si="13">SUM(C54:C57)</f>
        <v>4</v>
      </c>
      <c r="T21" s="17">
        <f t="shared" si="13"/>
        <v>0</v>
      </c>
      <c r="U21" s="17">
        <f t="shared" si="13"/>
        <v>3</v>
      </c>
      <c r="V21" s="17">
        <f t="shared" si="13"/>
        <v>1</v>
      </c>
      <c r="W21" s="17">
        <f t="shared" si="13"/>
        <v>0</v>
      </c>
      <c r="X21" s="17">
        <f t="shared" si="13"/>
        <v>2</v>
      </c>
      <c r="Y21" s="17">
        <f t="shared" si="13"/>
        <v>4</v>
      </c>
      <c r="Z21" s="17">
        <f t="shared" si="13"/>
        <v>2</v>
      </c>
      <c r="AA21" s="17">
        <f t="shared" si="13"/>
        <v>3</v>
      </c>
      <c r="AB21" s="17">
        <f t="shared" si="13"/>
        <v>0</v>
      </c>
      <c r="AC21" s="17">
        <f t="shared" si="13"/>
        <v>32</v>
      </c>
      <c r="AD21" s="17">
        <f t="shared" si="13"/>
        <v>0</v>
      </c>
      <c r="AE21" s="31">
        <f t="shared" si="13"/>
        <v>19</v>
      </c>
      <c r="AF21" s="31">
        <f t="shared" si="13"/>
        <v>51</v>
      </c>
    </row>
    <row r="22" spans="2:32" ht="23.1" customHeight="1" x14ac:dyDescent="0.25">
      <c r="B22" s="23" t="s">
        <v>49</v>
      </c>
      <c r="C22" s="50">
        <v>3</v>
      </c>
      <c r="D22" s="50">
        <v>0</v>
      </c>
      <c r="E22" s="50">
        <v>2</v>
      </c>
      <c r="F22" s="50">
        <v>0</v>
      </c>
      <c r="G22" s="50">
        <v>0</v>
      </c>
      <c r="H22" s="50">
        <v>0</v>
      </c>
      <c r="I22" s="50">
        <v>0</v>
      </c>
      <c r="J22" s="50">
        <v>1</v>
      </c>
      <c r="K22" s="50">
        <v>1</v>
      </c>
      <c r="L22" s="50">
        <v>0</v>
      </c>
      <c r="M22" s="50">
        <v>4</v>
      </c>
      <c r="N22" s="50">
        <v>0</v>
      </c>
      <c r="O22" s="15">
        <f t="shared" si="0"/>
        <v>7</v>
      </c>
      <c r="P22" s="15">
        <f t="shared" si="1"/>
        <v>11</v>
      </c>
      <c r="R22" s="38" t="s">
        <v>90</v>
      </c>
      <c r="S22" s="39">
        <f>MAX(S10:S12)</f>
        <v>6</v>
      </c>
      <c r="T22" s="39">
        <f t="shared" ref="T22:AF22" si="14">MAX(T10:T12)</f>
        <v>1</v>
      </c>
      <c r="U22" s="39">
        <f t="shared" si="14"/>
        <v>1</v>
      </c>
      <c r="V22" s="39">
        <f t="shared" si="14"/>
        <v>6</v>
      </c>
      <c r="W22" s="39">
        <f t="shared" si="14"/>
        <v>0</v>
      </c>
      <c r="X22" s="39">
        <f t="shared" si="14"/>
        <v>0</v>
      </c>
      <c r="Y22" s="39">
        <f t="shared" si="14"/>
        <v>3</v>
      </c>
      <c r="Z22" s="39">
        <f t="shared" si="14"/>
        <v>1</v>
      </c>
      <c r="AA22" s="39">
        <f t="shared" si="14"/>
        <v>2</v>
      </c>
      <c r="AB22" s="39">
        <f t="shared" si="14"/>
        <v>0</v>
      </c>
      <c r="AC22" s="39">
        <f t="shared" si="14"/>
        <v>40</v>
      </c>
      <c r="AD22" s="39">
        <f t="shared" si="14"/>
        <v>0</v>
      </c>
      <c r="AE22" s="40">
        <f t="shared" si="14"/>
        <v>14</v>
      </c>
      <c r="AF22" s="40">
        <f t="shared" si="14"/>
        <v>51</v>
      </c>
    </row>
    <row r="23" spans="2:32" ht="23.1" customHeight="1" x14ac:dyDescent="0.25">
      <c r="B23" s="23" t="s">
        <v>50</v>
      </c>
      <c r="C23" s="50">
        <v>3</v>
      </c>
      <c r="D23" s="50">
        <v>0</v>
      </c>
      <c r="E23" s="50">
        <v>0</v>
      </c>
      <c r="F23" s="50">
        <v>0</v>
      </c>
      <c r="G23" s="50">
        <v>0</v>
      </c>
      <c r="H23" s="50">
        <v>0</v>
      </c>
      <c r="I23" s="50">
        <v>1</v>
      </c>
      <c r="J23" s="50">
        <v>1</v>
      </c>
      <c r="K23" s="50">
        <v>0</v>
      </c>
      <c r="L23" s="50">
        <v>0</v>
      </c>
      <c r="M23" s="50">
        <v>10</v>
      </c>
      <c r="N23" s="50">
        <v>0</v>
      </c>
      <c r="O23" s="15">
        <f t="shared" si="0"/>
        <v>5</v>
      </c>
      <c r="P23" s="15">
        <f t="shared" si="1"/>
        <v>15</v>
      </c>
      <c r="R23" s="38" t="s">
        <v>91</v>
      </c>
      <c r="S23" s="39">
        <f>MAX(S13:S18)</f>
        <v>8</v>
      </c>
      <c r="T23" s="39">
        <f t="shared" ref="T23:AF23" si="15">MAX(T13:T18)</f>
        <v>3</v>
      </c>
      <c r="U23" s="39">
        <f t="shared" si="15"/>
        <v>5</v>
      </c>
      <c r="V23" s="39">
        <f t="shared" si="15"/>
        <v>8</v>
      </c>
      <c r="W23" s="39">
        <f t="shared" si="15"/>
        <v>0</v>
      </c>
      <c r="X23" s="39">
        <f t="shared" si="15"/>
        <v>1</v>
      </c>
      <c r="Y23" s="39">
        <f t="shared" si="15"/>
        <v>5</v>
      </c>
      <c r="Z23" s="39">
        <f t="shared" si="15"/>
        <v>2</v>
      </c>
      <c r="AA23" s="39">
        <f t="shared" si="15"/>
        <v>2</v>
      </c>
      <c r="AB23" s="39">
        <f t="shared" si="15"/>
        <v>1</v>
      </c>
      <c r="AC23" s="39">
        <f t="shared" si="15"/>
        <v>42</v>
      </c>
      <c r="AD23" s="39">
        <f t="shared" si="15"/>
        <v>0</v>
      </c>
      <c r="AE23" s="40">
        <f t="shared" si="15"/>
        <v>30</v>
      </c>
      <c r="AF23" s="40">
        <f t="shared" si="15"/>
        <v>65</v>
      </c>
    </row>
    <row r="24" spans="2:32" ht="23.1" customHeight="1" x14ac:dyDescent="0.25">
      <c r="B24" s="23" t="s">
        <v>51</v>
      </c>
      <c r="C24" s="50">
        <v>1</v>
      </c>
      <c r="D24" s="50">
        <v>0</v>
      </c>
      <c r="E24" s="50">
        <v>2</v>
      </c>
      <c r="F24" s="50">
        <v>0</v>
      </c>
      <c r="G24" s="50">
        <v>0</v>
      </c>
      <c r="H24" s="50">
        <v>0</v>
      </c>
      <c r="I24" s="50">
        <v>1</v>
      </c>
      <c r="J24" s="50">
        <v>0</v>
      </c>
      <c r="K24" s="50">
        <v>0</v>
      </c>
      <c r="L24" s="50">
        <v>0</v>
      </c>
      <c r="M24" s="50">
        <v>7</v>
      </c>
      <c r="N24" s="50">
        <v>0</v>
      </c>
      <c r="O24" s="15">
        <f t="shared" si="0"/>
        <v>4</v>
      </c>
      <c r="P24" s="15">
        <f t="shared" si="1"/>
        <v>11</v>
      </c>
      <c r="R24" s="38" t="s">
        <v>92</v>
      </c>
      <c r="S24" s="39">
        <f>MAX(S19:S21)</f>
        <v>4</v>
      </c>
      <c r="T24" s="39">
        <f t="shared" ref="T24:AF24" si="16">MAX(T19:T21)</f>
        <v>4</v>
      </c>
      <c r="U24" s="39">
        <f t="shared" si="16"/>
        <v>3</v>
      </c>
      <c r="V24" s="39">
        <f t="shared" si="16"/>
        <v>1</v>
      </c>
      <c r="W24" s="39">
        <f t="shared" si="16"/>
        <v>1</v>
      </c>
      <c r="X24" s="39">
        <f t="shared" si="16"/>
        <v>2</v>
      </c>
      <c r="Y24" s="39">
        <f t="shared" si="16"/>
        <v>4</v>
      </c>
      <c r="Z24" s="39">
        <f t="shared" si="16"/>
        <v>2</v>
      </c>
      <c r="AA24" s="39">
        <f t="shared" si="16"/>
        <v>3</v>
      </c>
      <c r="AB24" s="39">
        <f t="shared" si="16"/>
        <v>0</v>
      </c>
      <c r="AC24" s="39">
        <f t="shared" si="16"/>
        <v>43</v>
      </c>
      <c r="AD24" s="39">
        <f t="shared" si="16"/>
        <v>0</v>
      </c>
      <c r="AE24" s="40">
        <f t="shared" si="16"/>
        <v>19</v>
      </c>
      <c r="AF24" s="40">
        <f t="shared" si="16"/>
        <v>53</v>
      </c>
    </row>
    <row r="25" spans="2:32" ht="23.1" customHeight="1" x14ac:dyDescent="0.25">
      <c r="B25" s="23" t="s">
        <v>52</v>
      </c>
      <c r="C25" s="50">
        <v>1</v>
      </c>
      <c r="D25" s="50">
        <v>0</v>
      </c>
      <c r="E25" s="50">
        <v>1</v>
      </c>
      <c r="F25" s="50">
        <v>0</v>
      </c>
      <c r="G25" s="50">
        <v>0</v>
      </c>
      <c r="H25" s="50">
        <v>0</v>
      </c>
      <c r="I25" s="50">
        <v>1</v>
      </c>
      <c r="J25" s="50">
        <v>0</v>
      </c>
      <c r="K25" s="50">
        <v>0</v>
      </c>
      <c r="L25" s="50">
        <v>0</v>
      </c>
      <c r="M25" s="50">
        <v>2</v>
      </c>
      <c r="N25" s="50">
        <v>0</v>
      </c>
      <c r="O25" s="15">
        <f t="shared" si="0"/>
        <v>3</v>
      </c>
      <c r="P25" s="15">
        <f t="shared" si="1"/>
        <v>5</v>
      </c>
      <c r="R25" s="37" t="s">
        <v>85</v>
      </c>
      <c r="S25" s="35">
        <f t="shared" ref="S25:AF25" si="17">SUM(S10:S12)</f>
        <v>13</v>
      </c>
      <c r="T25" s="16">
        <f t="shared" si="17"/>
        <v>3</v>
      </c>
      <c r="U25" s="16">
        <f t="shared" si="17"/>
        <v>1</v>
      </c>
      <c r="V25" s="16">
        <f t="shared" si="17"/>
        <v>7</v>
      </c>
      <c r="W25" s="16">
        <f t="shared" si="17"/>
        <v>0</v>
      </c>
      <c r="X25" s="16">
        <f t="shared" si="17"/>
        <v>0</v>
      </c>
      <c r="Y25" s="16">
        <f t="shared" si="17"/>
        <v>4</v>
      </c>
      <c r="Z25" s="16">
        <f t="shared" si="17"/>
        <v>1</v>
      </c>
      <c r="AA25" s="16">
        <f t="shared" si="17"/>
        <v>2</v>
      </c>
      <c r="AB25" s="16">
        <f t="shared" si="17"/>
        <v>0</v>
      </c>
      <c r="AC25" s="16">
        <f t="shared" si="17"/>
        <v>92</v>
      </c>
      <c r="AD25" s="16">
        <f t="shared" si="17"/>
        <v>0</v>
      </c>
      <c r="AE25" s="32">
        <f t="shared" si="17"/>
        <v>31</v>
      </c>
      <c r="AF25" s="32">
        <f t="shared" si="17"/>
        <v>123</v>
      </c>
    </row>
    <row r="26" spans="2:32" ht="23.1" customHeight="1" x14ac:dyDescent="0.25">
      <c r="B26" s="23" t="s">
        <v>53</v>
      </c>
      <c r="C26" s="50">
        <v>0</v>
      </c>
      <c r="D26" s="50">
        <v>1</v>
      </c>
      <c r="E26" s="50">
        <v>0</v>
      </c>
      <c r="F26" s="50">
        <v>1</v>
      </c>
      <c r="G26" s="50">
        <v>0</v>
      </c>
      <c r="H26" s="50">
        <v>0</v>
      </c>
      <c r="I26" s="50">
        <v>0</v>
      </c>
      <c r="J26" s="50">
        <v>0</v>
      </c>
      <c r="K26" s="50">
        <v>0</v>
      </c>
      <c r="L26" s="50">
        <v>0</v>
      </c>
      <c r="M26" s="50">
        <v>14</v>
      </c>
      <c r="N26" s="50">
        <v>0</v>
      </c>
      <c r="O26" s="15">
        <f t="shared" si="0"/>
        <v>2</v>
      </c>
      <c r="P26" s="15">
        <f t="shared" si="1"/>
        <v>16</v>
      </c>
      <c r="R26" s="28" t="s">
        <v>86</v>
      </c>
      <c r="S26" s="16">
        <f t="shared" ref="S26:AF26" si="18">SUM(S13:S18)</f>
        <v>34</v>
      </c>
      <c r="T26" s="16">
        <f t="shared" si="18"/>
        <v>5</v>
      </c>
      <c r="U26" s="16">
        <f t="shared" si="18"/>
        <v>12</v>
      </c>
      <c r="V26" s="16">
        <f t="shared" si="18"/>
        <v>16</v>
      </c>
      <c r="W26" s="16">
        <f t="shared" si="18"/>
        <v>0</v>
      </c>
      <c r="X26" s="16">
        <f t="shared" si="18"/>
        <v>1</v>
      </c>
      <c r="Y26" s="16">
        <f t="shared" si="18"/>
        <v>13</v>
      </c>
      <c r="Z26" s="16">
        <f t="shared" si="18"/>
        <v>2</v>
      </c>
      <c r="AA26" s="16">
        <f t="shared" si="18"/>
        <v>9</v>
      </c>
      <c r="AB26" s="16">
        <f t="shared" si="18"/>
        <v>1</v>
      </c>
      <c r="AC26" s="16">
        <f t="shared" si="18"/>
        <v>209</v>
      </c>
      <c r="AD26" s="16">
        <f t="shared" si="18"/>
        <v>0</v>
      </c>
      <c r="AE26" s="32">
        <f t="shared" si="18"/>
        <v>93</v>
      </c>
      <c r="AF26" s="32">
        <f t="shared" si="18"/>
        <v>302</v>
      </c>
    </row>
    <row r="27" spans="2:32" ht="23.1" customHeight="1" x14ac:dyDescent="0.25">
      <c r="B27" s="23" t="s">
        <v>54</v>
      </c>
      <c r="C27" s="50">
        <v>2</v>
      </c>
      <c r="D27" s="50">
        <v>0</v>
      </c>
      <c r="E27" s="50">
        <v>0</v>
      </c>
      <c r="F27" s="50">
        <v>1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0</v>
      </c>
      <c r="M27" s="50">
        <v>6</v>
      </c>
      <c r="N27" s="50">
        <v>0</v>
      </c>
      <c r="O27" s="15">
        <f t="shared" si="0"/>
        <v>3</v>
      </c>
      <c r="P27" s="15">
        <f t="shared" si="1"/>
        <v>9</v>
      </c>
      <c r="R27" s="29" t="s">
        <v>87</v>
      </c>
      <c r="S27" s="16">
        <f t="shared" ref="S27:AF27" si="19">SUM(S19:S21)</f>
        <v>10</v>
      </c>
      <c r="T27" s="16">
        <f t="shared" si="19"/>
        <v>4</v>
      </c>
      <c r="U27" s="16">
        <f t="shared" si="19"/>
        <v>4</v>
      </c>
      <c r="V27" s="16">
        <f t="shared" si="19"/>
        <v>2</v>
      </c>
      <c r="W27" s="16">
        <f t="shared" si="19"/>
        <v>1</v>
      </c>
      <c r="X27" s="16">
        <f t="shared" si="19"/>
        <v>2</v>
      </c>
      <c r="Y27" s="16">
        <f t="shared" si="19"/>
        <v>9</v>
      </c>
      <c r="Z27" s="16">
        <f t="shared" si="19"/>
        <v>4</v>
      </c>
      <c r="AA27" s="16">
        <f t="shared" si="19"/>
        <v>6</v>
      </c>
      <c r="AB27" s="16">
        <f t="shared" si="19"/>
        <v>0</v>
      </c>
      <c r="AC27" s="16">
        <f t="shared" si="19"/>
        <v>113</v>
      </c>
      <c r="AD27" s="16">
        <f t="shared" si="19"/>
        <v>0</v>
      </c>
      <c r="AE27" s="32">
        <f t="shared" si="19"/>
        <v>42</v>
      </c>
      <c r="AF27" s="32">
        <f t="shared" si="19"/>
        <v>155</v>
      </c>
    </row>
    <row r="28" spans="2:32" ht="23.1" customHeight="1" x14ac:dyDescent="0.25">
      <c r="B28" s="23" t="s">
        <v>55</v>
      </c>
      <c r="C28" s="50">
        <v>2</v>
      </c>
      <c r="D28" s="50">
        <v>0</v>
      </c>
      <c r="E28" s="50">
        <v>0</v>
      </c>
      <c r="F28" s="50">
        <v>1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11</v>
      </c>
      <c r="N28" s="50">
        <v>0</v>
      </c>
      <c r="O28" s="15">
        <f t="shared" si="0"/>
        <v>3</v>
      </c>
      <c r="P28" s="15">
        <f t="shared" si="1"/>
        <v>14</v>
      </c>
      <c r="R28" s="5" t="s">
        <v>17</v>
      </c>
      <c r="S28" s="16">
        <f t="shared" ref="S28:AF28" si="20">SUM(S10:S21)</f>
        <v>57</v>
      </c>
      <c r="T28" s="16">
        <f t="shared" si="20"/>
        <v>12</v>
      </c>
      <c r="U28" s="16">
        <f t="shared" si="20"/>
        <v>17</v>
      </c>
      <c r="V28" s="16">
        <f t="shared" si="20"/>
        <v>25</v>
      </c>
      <c r="W28" s="16">
        <f t="shared" si="20"/>
        <v>1</v>
      </c>
      <c r="X28" s="16">
        <f t="shared" si="20"/>
        <v>3</v>
      </c>
      <c r="Y28" s="16">
        <f t="shared" si="20"/>
        <v>26</v>
      </c>
      <c r="Z28" s="16">
        <f t="shared" si="20"/>
        <v>7</v>
      </c>
      <c r="AA28" s="16">
        <f t="shared" si="20"/>
        <v>17</v>
      </c>
      <c r="AB28" s="16">
        <f t="shared" si="20"/>
        <v>1</v>
      </c>
      <c r="AC28" s="16">
        <f t="shared" si="20"/>
        <v>414</v>
      </c>
      <c r="AD28" s="16">
        <f t="shared" si="20"/>
        <v>0</v>
      </c>
      <c r="AE28" s="32">
        <f t="shared" si="20"/>
        <v>166</v>
      </c>
      <c r="AF28" s="32">
        <f t="shared" si="20"/>
        <v>580</v>
      </c>
    </row>
    <row r="29" spans="2:32" ht="23.1" customHeight="1" x14ac:dyDescent="0.25">
      <c r="B29" s="23" t="s">
        <v>56</v>
      </c>
      <c r="C29" s="50">
        <v>1</v>
      </c>
      <c r="D29" s="50">
        <v>0</v>
      </c>
      <c r="E29" s="50">
        <v>0</v>
      </c>
      <c r="F29" s="50">
        <v>2</v>
      </c>
      <c r="G29" s="50">
        <v>0</v>
      </c>
      <c r="H29" s="50">
        <v>0</v>
      </c>
      <c r="I29" s="50">
        <v>0</v>
      </c>
      <c r="J29" s="50">
        <v>0</v>
      </c>
      <c r="K29" s="50">
        <v>1</v>
      </c>
      <c r="L29" s="50">
        <v>1</v>
      </c>
      <c r="M29" s="50">
        <v>11</v>
      </c>
      <c r="N29" s="50">
        <v>0</v>
      </c>
      <c r="O29" s="15">
        <f t="shared" si="0"/>
        <v>5</v>
      </c>
      <c r="P29" s="15">
        <f t="shared" si="1"/>
        <v>16</v>
      </c>
      <c r="R29"/>
      <c r="S29" s="20"/>
      <c r="T29" s="19"/>
    </row>
    <row r="30" spans="2:32" ht="23.1" customHeight="1" x14ac:dyDescent="0.25">
      <c r="B30" s="23" t="s">
        <v>57</v>
      </c>
      <c r="C30" s="50">
        <v>4</v>
      </c>
      <c r="D30" s="50">
        <v>0</v>
      </c>
      <c r="E30" s="50">
        <v>1</v>
      </c>
      <c r="F30" s="50">
        <v>4</v>
      </c>
      <c r="G30" s="50">
        <v>0</v>
      </c>
      <c r="H30" s="50">
        <v>0</v>
      </c>
      <c r="I30" s="50">
        <v>3</v>
      </c>
      <c r="J30" s="50">
        <v>0</v>
      </c>
      <c r="K30" s="50">
        <v>2</v>
      </c>
      <c r="L30" s="50">
        <v>0</v>
      </c>
      <c r="M30" s="50">
        <v>6</v>
      </c>
      <c r="N30" s="50">
        <v>0</v>
      </c>
      <c r="O30" s="15">
        <f t="shared" si="0"/>
        <v>14</v>
      </c>
      <c r="P30" s="15">
        <f t="shared" si="1"/>
        <v>20</v>
      </c>
    </row>
    <row r="31" spans="2:32" ht="23.1" customHeight="1" x14ac:dyDescent="0.25">
      <c r="B31" s="24" t="s">
        <v>58</v>
      </c>
      <c r="C31" s="50">
        <v>2</v>
      </c>
      <c r="D31" s="50">
        <v>2</v>
      </c>
      <c r="E31" s="50">
        <v>0</v>
      </c>
      <c r="F31" s="50">
        <v>1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50">
        <v>9</v>
      </c>
      <c r="N31" s="50">
        <v>0</v>
      </c>
      <c r="O31" s="15">
        <f t="shared" si="0"/>
        <v>5</v>
      </c>
      <c r="P31" s="15">
        <f t="shared" si="1"/>
        <v>14</v>
      </c>
    </row>
    <row r="32" spans="2:32" ht="23.1" customHeight="1" x14ac:dyDescent="0.25">
      <c r="B32" s="24" t="s">
        <v>59</v>
      </c>
      <c r="C32" s="50">
        <v>0</v>
      </c>
      <c r="D32" s="50">
        <v>1</v>
      </c>
      <c r="E32" s="50">
        <v>1</v>
      </c>
      <c r="F32" s="50">
        <v>1</v>
      </c>
      <c r="G32" s="50">
        <v>0</v>
      </c>
      <c r="H32" s="50">
        <v>1</v>
      </c>
      <c r="I32" s="50">
        <v>1</v>
      </c>
      <c r="J32" s="50">
        <v>0</v>
      </c>
      <c r="K32" s="50">
        <v>0</v>
      </c>
      <c r="L32" s="50">
        <v>0</v>
      </c>
      <c r="M32" s="50">
        <v>12</v>
      </c>
      <c r="N32" s="50">
        <v>0</v>
      </c>
      <c r="O32" s="15">
        <f t="shared" si="0"/>
        <v>5</v>
      </c>
      <c r="P32" s="15">
        <f t="shared" si="1"/>
        <v>17</v>
      </c>
    </row>
    <row r="33" spans="2:20" ht="23.1" customHeight="1" x14ac:dyDescent="0.25">
      <c r="B33" s="23" t="s">
        <v>60</v>
      </c>
      <c r="C33" s="50">
        <v>2</v>
      </c>
      <c r="D33" s="50">
        <v>0</v>
      </c>
      <c r="E33" s="50">
        <v>1</v>
      </c>
      <c r="F33" s="50">
        <v>2</v>
      </c>
      <c r="G33" s="50">
        <v>0</v>
      </c>
      <c r="H33" s="50">
        <v>0</v>
      </c>
      <c r="I33" s="50">
        <v>1</v>
      </c>
      <c r="J33" s="50">
        <v>0</v>
      </c>
      <c r="K33" s="50">
        <v>0</v>
      </c>
      <c r="L33" s="50">
        <v>0</v>
      </c>
      <c r="M33" s="50">
        <v>8</v>
      </c>
      <c r="N33" s="50">
        <v>0</v>
      </c>
      <c r="O33" s="15">
        <f t="shared" si="0"/>
        <v>6</v>
      </c>
      <c r="P33" s="15">
        <f t="shared" si="1"/>
        <v>14</v>
      </c>
    </row>
    <row r="34" spans="2:20" ht="23.1" customHeight="1" x14ac:dyDescent="0.25">
      <c r="B34" s="24" t="s">
        <v>61</v>
      </c>
      <c r="C34" s="50">
        <v>1</v>
      </c>
      <c r="D34" s="50">
        <v>0</v>
      </c>
      <c r="E34" s="50">
        <v>0</v>
      </c>
      <c r="F34" s="50">
        <v>1</v>
      </c>
      <c r="G34" s="50">
        <v>0</v>
      </c>
      <c r="H34" s="50">
        <v>0</v>
      </c>
      <c r="I34" s="50">
        <v>1</v>
      </c>
      <c r="J34" s="50">
        <v>0</v>
      </c>
      <c r="K34" s="50">
        <v>0</v>
      </c>
      <c r="L34" s="50">
        <v>0</v>
      </c>
      <c r="M34" s="50">
        <v>9</v>
      </c>
      <c r="N34" s="50">
        <v>0</v>
      </c>
      <c r="O34" s="15">
        <f t="shared" si="0"/>
        <v>3</v>
      </c>
      <c r="P34" s="15">
        <f t="shared" si="1"/>
        <v>12</v>
      </c>
    </row>
    <row r="35" spans="2:20" ht="23.1" customHeight="1" x14ac:dyDescent="0.25">
      <c r="B35" s="24" t="s">
        <v>62</v>
      </c>
      <c r="C35" s="50">
        <v>2</v>
      </c>
      <c r="D35" s="50">
        <v>0</v>
      </c>
      <c r="E35" s="50">
        <v>2</v>
      </c>
      <c r="F35" s="50">
        <v>1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14</v>
      </c>
      <c r="N35" s="50">
        <v>0</v>
      </c>
      <c r="O35" s="15">
        <f t="shared" si="0"/>
        <v>5</v>
      </c>
      <c r="P35" s="15">
        <f t="shared" si="1"/>
        <v>19</v>
      </c>
    </row>
    <row r="36" spans="2:20" ht="23.1" customHeight="1" x14ac:dyDescent="0.25">
      <c r="B36" s="24" t="s">
        <v>63</v>
      </c>
      <c r="C36" s="50">
        <v>3</v>
      </c>
      <c r="D36" s="50">
        <v>0</v>
      </c>
      <c r="E36" s="50">
        <v>0</v>
      </c>
      <c r="F36" s="50">
        <v>0</v>
      </c>
      <c r="G36" s="50">
        <v>0</v>
      </c>
      <c r="H36" s="50">
        <v>0</v>
      </c>
      <c r="I36" s="50">
        <v>0</v>
      </c>
      <c r="J36" s="50">
        <v>0</v>
      </c>
      <c r="K36" s="50">
        <v>2</v>
      </c>
      <c r="L36" s="50">
        <v>0</v>
      </c>
      <c r="M36" s="50">
        <v>15</v>
      </c>
      <c r="N36" s="50">
        <v>0</v>
      </c>
      <c r="O36" s="15">
        <f t="shared" si="0"/>
        <v>5</v>
      </c>
      <c r="P36" s="15">
        <f t="shared" si="1"/>
        <v>20</v>
      </c>
    </row>
    <row r="37" spans="2:20" ht="23.1" customHeight="1" x14ac:dyDescent="0.25">
      <c r="B37" s="23" t="s">
        <v>64</v>
      </c>
      <c r="C37" s="50">
        <v>1</v>
      </c>
      <c r="D37" s="50">
        <v>0</v>
      </c>
      <c r="E37" s="50">
        <v>1</v>
      </c>
      <c r="F37" s="50">
        <v>0</v>
      </c>
      <c r="G37" s="50">
        <v>0</v>
      </c>
      <c r="H37" s="50">
        <v>0</v>
      </c>
      <c r="I37" s="50">
        <v>0</v>
      </c>
      <c r="J37" s="50">
        <v>0</v>
      </c>
      <c r="K37" s="50">
        <v>0</v>
      </c>
      <c r="L37" s="50">
        <v>0</v>
      </c>
      <c r="M37" s="50">
        <v>4</v>
      </c>
      <c r="N37" s="50">
        <v>0</v>
      </c>
      <c r="O37" s="15">
        <f t="shared" si="0"/>
        <v>2</v>
      </c>
      <c r="P37" s="15">
        <f t="shared" si="1"/>
        <v>6</v>
      </c>
    </row>
    <row r="38" spans="2:20" ht="23.1" customHeight="1" x14ac:dyDescent="0.25">
      <c r="B38" s="24" t="s">
        <v>65</v>
      </c>
      <c r="C38" s="50">
        <v>1</v>
      </c>
      <c r="D38" s="50">
        <v>0</v>
      </c>
      <c r="E38" s="50">
        <v>0</v>
      </c>
      <c r="F38" s="50">
        <v>0</v>
      </c>
      <c r="G38" s="50">
        <v>0</v>
      </c>
      <c r="H38" s="50">
        <v>0</v>
      </c>
      <c r="I38" s="50">
        <v>0</v>
      </c>
      <c r="J38" s="50">
        <v>0</v>
      </c>
      <c r="K38" s="50">
        <v>1</v>
      </c>
      <c r="L38" s="50">
        <v>0</v>
      </c>
      <c r="M38" s="50">
        <v>4</v>
      </c>
      <c r="N38" s="50">
        <v>0</v>
      </c>
      <c r="O38" s="15">
        <f t="shared" si="0"/>
        <v>2</v>
      </c>
      <c r="P38" s="15">
        <f t="shared" si="1"/>
        <v>6</v>
      </c>
    </row>
    <row r="39" spans="2:20" ht="23.1" customHeight="1" x14ac:dyDescent="0.25">
      <c r="B39" s="24" t="s">
        <v>66</v>
      </c>
      <c r="C39" s="50">
        <v>1</v>
      </c>
      <c r="D39" s="50">
        <v>0</v>
      </c>
      <c r="E39" s="50">
        <v>0</v>
      </c>
      <c r="F39" s="50">
        <v>0</v>
      </c>
      <c r="G39" s="50">
        <v>0</v>
      </c>
      <c r="H39" s="50">
        <v>0</v>
      </c>
      <c r="I39" s="50">
        <v>0</v>
      </c>
      <c r="J39" s="50">
        <v>0</v>
      </c>
      <c r="K39" s="50">
        <v>0</v>
      </c>
      <c r="L39" s="50">
        <v>0</v>
      </c>
      <c r="M39" s="50">
        <v>8</v>
      </c>
      <c r="N39" s="50">
        <v>0</v>
      </c>
      <c r="O39" s="15">
        <f t="shared" si="0"/>
        <v>1</v>
      </c>
      <c r="P39" s="15">
        <f t="shared" si="1"/>
        <v>9</v>
      </c>
    </row>
    <row r="40" spans="2:20" ht="23.1" customHeight="1" x14ac:dyDescent="0.25">
      <c r="B40" s="24" t="s">
        <v>67</v>
      </c>
      <c r="C40" s="50">
        <v>1</v>
      </c>
      <c r="D40" s="50">
        <v>1</v>
      </c>
      <c r="E40" s="50">
        <v>0</v>
      </c>
      <c r="F40" s="50">
        <v>0</v>
      </c>
      <c r="G40" s="50">
        <v>0</v>
      </c>
      <c r="H40" s="50">
        <v>0</v>
      </c>
      <c r="I40" s="50">
        <v>0</v>
      </c>
      <c r="J40" s="50">
        <v>0</v>
      </c>
      <c r="K40" s="50">
        <v>0</v>
      </c>
      <c r="L40" s="50">
        <v>0</v>
      </c>
      <c r="M40" s="50">
        <v>12</v>
      </c>
      <c r="N40" s="50">
        <v>0</v>
      </c>
      <c r="O40" s="15">
        <f t="shared" si="0"/>
        <v>2</v>
      </c>
      <c r="P40" s="15">
        <f t="shared" si="1"/>
        <v>14</v>
      </c>
    </row>
    <row r="41" spans="2:20" ht="23.1" customHeight="1" x14ac:dyDescent="0.25">
      <c r="B41" s="23" t="s">
        <v>68</v>
      </c>
      <c r="C41" s="50">
        <v>0</v>
      </c>
      <c r="D41" s="50">
        <v>0</v>
      </c>
      <c r="E41" s="50">
        <v>1</v>
      </c>
      <c r="F41" s="50">
        <v>1</v>
      </c>
      <c r="G41" s="50">
        <v>0</v>
      </c>
      <c r="H41" s="50">
        <v>0</v>
      </c>
      <c r="I41" s="50">
        <v>0</v>
      </c>
      <c r="J41" s="50">
        <v>0</v>
      </c>
      <c r="K41" s="50">
        <v>0</v>
      </c>
      <c r="L41" s="50">
        <v>0</v>
      </c>
      <c r="M41" s="50">
        <v>6</v>
      </c>
      <c r="N41" s="50">
        <v>0</v>
      </c>
      <c r="O41" s="15">
        <f t="shared" si="0"/>
        <v>2</v>
      </c>
      <c r="P41" s="15">
        <f t="shared" si="1"/>
        <v>8</v>
      </c>
    </row>
    <row r="42" spans="2:20" ht="23.1" customHeight="1" x14ac:dyDescent="0.25">
      <c r="B42" s="24" t="s">
        <v>69</v>
      </c>
      <c r="C42" s="50">
        <v>1</v>
      </c>
      <c r="D42" s="50">
        <v>0</v>
      </c>
      <c r="E42" s="50">
        <v>0</v>
      </c>
      <c r="F42" s="50">
        <v>0</v>
      </c>
      <c r="G42" s="50">
        <v>0</v>
      </c>
      <c r="H42" s="50">
        <v>0</v>
      </c>
      <c r="I42" s="50">
        <v>0</v>
      </c>
      <c r="J42" s="50">
        <v>0</v>
      </c>
      <c r="K42" s="50">
        <v>0</v>
      </c>
      <c r="L42" s="50">
        <v>0</v>
      </c>
      <c r="M42" s="50">
        <v>12</v>
      </c>
      <c r="N42" s="50">
        <v>0</v>
      </c>
      <c r="O42" s="15">
        <f t="shared" si="0"/>
        <v>1</v>
      </c>
      <c r="P42" s="15">
        <f t="shared" si="1"/>
        <v>13</v>
      </c>
    </row>
    <row r="43" spans="2:20" ht="23.1" customHeight="1" x14ac:dyDescent="0.25">
      <c r="B43" s="23" t="s">
        <v>70</v>
      </c>
      <c r="C43" s="50">
        <v>1</v>
      </c>
      <c r="D43" s="50">
        <v>0</v>
      </c>
      <c r="E43" s="50">
        <v>0</v>
      </c>
      <c r="F43" s="50">
        <v>0</v>
      </c>
      <c r="G43" s="50">
        <v>0</v>
      </c>
      <c r="H43" s="50">
        <v>0</v>
      </c>
      <c r="I43" s="50">
        <v>2</v>
      </c>
      <c r="J43" s="50">
        <v>0</v>
      </c>
      <c r="K43" s="50">
        <v>0</v>
      </c>
      <c r="L43" s="50">
        <v>0</v>
      </c>
      <c r="M43" s="50">
        <v>13</v>
      </c>
      <c r="N43" s="50">
        <v>0</v>
      </c>
      <c r="O43" s="15">
        <f t="shared" si="0"/>
        <v>3</v>
      </c>
      <c r="P43" s="15">
        <f t="shared" si="1"/>
        <v>16</v>
      </c>
    </row>
    <row r="44" spans="2:20" ht="23.1" customHeight="1" x14ac:dyDescent="0.25">
      <c r="B44" s="25" t="s">
        <v>71</v>
      </c>
      <c r="C44" s="50">
        <v>0</v>
      </c>
      <c r="D44" s="50">
        <v>0</v>
      </c>
      <c r="E44" s="50">
        <v>0</v>
      </c>
      <c r="F44" s="50">
        <v>0</v>
      </c>
      <c r="G44" s="50">
        <v>0</v>
      </c>
      <c r="H44" s="50">
        <v>0</v>
      </c>
      <c r="I44" s="50">
        <v>2</v>
      </c>
      <c r="J44" s="50">
        <v>0</v>
      </c>
      <c r="K44" s="50">
        <v>1</v>
      </c>
      <c r="L44" s="50">
        <v>0</v>
      </c>
      <c r="M44" s="50">
        <v>5</v>
      </c>
      <c r="N44" s="50">
        <v>0</v>
      </c>
      <c r="O44" s="15">
        <f t="shared" si="0"/>
        <v>3</v>
      </c>
      <c r="P44" s="15">
        <f t="shared" si="1"/>
        <v>8</v>
      </c>
    </row>
    <row r="45" spans="2:20" ht="23.1" customHeight="1" x14ac:dyDescent="0.25">
      <c r="B45" s="23" t="s">
        <v>72</v>
      </c>
      <c r="C45" s="50">
        <v>1</v>
      </c>
      <c r="D45" s="50">
        <v>0</v>
      </c>
      <c r="E45" s="50">
        <v>0</v>
      </c>
      <c r="F45" s="50">
        <v>0</v>
      </c>
      <c r="G45" s="50">
        <v>0</v>
      </c>
      <c r="H45" s="50">
        <v>0</v>
      </c>
      <c r="I45" s="50">
        <v>0</v>
      </c>
      <c r="J45" s="50">
        <v>0</v>
      </c>
      <c r="K45" s="50">
        <v>1</v>
      </c>
      <c r="L45" s="50">
        <v>0</v>
      </c>
      <c r="M45" s="50">
        <v>7</v>
      </c>
      <c r="N45" s="50">
        <v>0</v>
      </c>
      <c r="O45" s="15">
        <f t="shared" si="0"/>
        <v>2</v>
      </c>
      <c r="P45" s="15">
        <f t="shared" si="1"/>
        <v>9</v>
      </c>
    </row>
    <row r="46" spans="2:20" ht="23.1" customHeight="1" x14ac:dyDescent="0.25">
      <c r="B46" s="24" t="s">
        <v>73</v>
      </c>
      <c r="C46" s="50">
        <v>1</v>
      </c>
      <c r="D46" s="50">
        <v>0</v>
      </c>
      <c r="E46" s="50">
        <v>0</v>
      </c>
      <c r="F46" s="50">
        <v>0</v>
      </c>
      <c r="G46" s="50">
        <v>0</v>
      </c>
      <c r="H46" s="50">
        <v>0</v>
      </c>
      <c r="I46" s="50">
        <v>0</v>
      </c>
      <c r="J46" s="50">
        <v>0</v>
      </c>
      <c r="K46" s="50">
        <v>2</v>
      </c>
      <c r="L46" s="50">
        <v>0</v>
      </c>
      <c r="M46" s="50">
        <v>11</v>
      </c>
      <c r="N46" s="50">
        <v>0</v>
      </c>
      <c r="O46" s="15">
        <f t="shared" si="0"/>
        <v>3</v>
      </c>
      <c r="P46" s="15">
        <f t="shared" si="1"/>
        <v>14</v>
      </c>
      <c r="R46" s="8"/>
      <c r="T46"/>
    </row>
    <row r="47" spans="2:20" ht="23.1" customHeight="1" x14ac:dyDescent="0.25">
      <c r="B47" s="24" t="s">
        <v>74</v>
      </c>
      <c r="C47" s="50">
        <v>0</v>
      </c>
      <c r="D47" s="50">
        <v>1</v>
      </c>
      <c r="E47" s="50">
        <v>1</v>
      </c>
      <c r="F47" s="50">
        <v>0</v>
      </c>
      <c r="G47" s="50">
        <v>0</v>
      </c>
      <c r="H47" s="50">
        <v>0</v>
      </c>
      <c r="I47" s="50">
        <v>2</v>
      </c>
      <c r="J47" s="50">
        <v>0</v>
      </c>
      <c r="K47" s="50">
        <v>0</v>
      </c>
      <c r="L47" s="50">
        <v>0</v>
      </c>
      <c r="M47" s="50">
        <v>11</v>
      </c>
      <c r="N47" s="50">
        <v>0</v>
      </c>
      <c r="O47" s="15">
        <f t="shared" si="0"/>
        <v>4</v>
      </c>
      <c r="P47" s="15">
        <f t="shared" si="1"/>
        <v>15</v>
      </c>
      <c r="R47" s="8"/>
      <c r="T47"/>
    </row>
    <row r="48" spans="2:20" ht="23.1" customHeight="1" x14ac:dyDescent="0.25">
      <c r="B48" s="24" t="s">
        <v>75</v>
      </c>
      <c r="C48" s="50">
        <v>0</v>
      </c>
      <c r="D48" s="50">
        <v>0</v>
      </c>
      <c r="E48" s="50">
        <v>0</v>
      </c>
      <c r="F48" s="50">
        <v>0</v>
      </c>
      <c r="G48" s="50">
        <v>0</v>
      </c>
      <c r="H48" s="50">
        <v>0</v>
      </c>
      <c r="I48" s="50">
        <v>0</v>
      </c>
      <c r="J48" s="50">
        <v>2</v>
      </c>
      <c r="K48" s="50">
        <v>0</v>
      </c>
      <c r="L48" s="50">
        <v>0</v>
      </c>
      <c r="M48" s="50">
        <v>7</v>
      </c>
      <c r="N48" s="50">
        <v>0</v>
      </c>
      <c r="O48" s="15">
        <f t="shared" si="0"/>
        <v>2</v>
      </c>
      <c r="P48" s="15">
        <f t="shared" si="1"/>
        <v>9</v>
      </c>
      <c r="R48" s="8"/>
      <c r="T48"/>
    </row>
    <row r="49" spans="2:20" ht="23.1" customHeight="1" x14ac:dyDescent="0.25">
      <c r="B49" s="23" t="s">
        <v>76</v>
      </c>
      <c r="C49" s="50">
        <v>1</v>
      </c>
      <c r="D49" s="50">
        <v>3</v>
      </c>
      <c r="E49" s="50">
        <v>0</v>
      </c>
      <c r="F49" s="50">
        <v>0</v>
      </c>
      <c r="G49" s="50">
        <v>0</v>
      </c>
      <c r="H49" s="50">
        <v>0</v>
      </c>
      <c r="I49" s="50">
        <v>0</v>
      </c>
      <c r="J49" s="50">
        <v>0</v>
      </c>
      <c r="K49" s="50">
        <v>0</v>
      </c>
      <c r="L49" s="50">
        <v>0</v>
      </c>
      <c r="M49" s="50">
        <v>9</v>
      </c>
      <c r="N49" s="50">
        <v>0</v>
      </c>
      <c r="O49" s="15">
        <f t="shared" si="0"/>
        <v>4</v>
      </c>
      <c r="P49" s="15">
        <f t="shared" si="1"/>
        <v>13</v>
      </c>
      <c r="R49" s="8"/>
      <c r="T49"/>
    </row>
    <row r="50" spans="2:20" ht="23.1" customHeight="1" x14ac:dyDescent="0.25">
      <c r="B50" s="24" t="s">
        <v>77</v>
      </c>
      <c r="C50" s="50">
        <v>0</v>
      </c>
      <c r="D50" s="50">
        <v>0</v>
      </c>
      <c r="E50" s="50">
        <v>0</v>
      </c>
      <c r="F50" s="50">
        <v>1</v>
      </c>
      <c r="G50" s="50">
        <v>0</v>
      </c>
      <c r="H50" s="50">
        <v>0</v>
      </c>
      <c r="I50" s="50">
        <v>0</v>
      </c>
      <c r="J50" s="50">
        <v>0</v>
      </c>
      <c r="K50" s="50">
        <v>0</v>
      </c>
      <c r="L50" s="50">
        <v>0</v>
      </c>
      <c r="M50" s="50">
        <v>10</v>
      </c>
      <c r="N50" s="50">
        <v>0</v>
      </c>
      <c r="O50" s="15">
        <f t="shared" si="0"/>
        <v>1</v>
      </c>
      <c r="P50" s="15">
        <f t="shared" si="1"/>
        <v>11</v>
      </c>
      <c r="R50" s="8"/>
      <c r="T50"/>
    </row>
    <row r="51" spans="2:20" ht="23.1" customHeight="1" x14ac:dyDescent="0.25">
      <c r="B51" s="24" t="s">
        <v>78</v>
      </c>
      <c r="C51" s="50">
        <v>0</v>
      </c>
      <c r="D51" s="50">
        <v>0</v>
      </c>
      <c r="E51" s="50">
        <v>0</v>
      </c>
      <c r="F51" s="50">
        <v>0</v>
      </c>
      <c r="G51" s="50">
        <v>0</v>
      </c>
      <c r="H51" s="50">
        <v>0</v>
      </c>
      <c r="I51" s="50">
        <v>2</v>
      </c>
      <c r="J51" s="50">
        <v>0</v>
      </c>
      <c r="K51" s="50">
        <v>0</v>
      </c>
      <c r="L51" s="50">
        <v>0</v>
      </c>
      <c r="M51" s="50">
        <v>7</v>
      </c>
      <c r="N51" s="50">
        <v>0</v>
      </c>
      <c r="O51" s="15">
        <f t="shared" si="0"/>
        <v>2</v>
      </c>
      <c r="P51" s="15">
        <f t="shared" si="1"/>
        <v>9</v>
      </c>
      <c r="R51" s="8"/>
      <c r="T51"/>
    </row>
    <row r="52" spans="2:20" ht="23.1" customHeight="1" x14ac:dyDescent="0.25">
      <c r="B52" s="24" t="s">
        <v>79</v>
      </c>
      <c r="C52" s="50">
        <v>0</v>
      </c>
      <c r="D52" s="50">
        <v>0</v>
      </c>
      <c r="E52" s="50">
        <v>0</v>
      </c>
      <c r="F52" s="50">
        <v>0</v>
      </c>
      <c r="G52" s="50">
        <v>0</v>
      </c>
      <c r="H52" s="50">
        <v>0</v>
      </c>
      <c r="I52" s="50">
        <v>1</v>
      </c>
      <c r="J52" s="50">
        <v>0</v>
      </c>
      <c r="K52" s="50">
        <v>0</v>
      </c>
      <c r="L52" s="50">
        <v>0</v>
      </c>
      <c r="M52" s="50">
        <v>15</v>
      </c>
      <c r="N52" s="50">
        <v>0</v>
      </c>
      <c r="O52" s="15">
        <f t="shared" si="0"/>
        <v>1</v>
      </c>
      <c r="P52" s="15">
        <f t="shared" si="1"/>
        <v>16</v>
      </c>
      <c r="R52" s="8"/>
      <c r="T52"/>
    </row>
    <row r="53" spans="2:20" ht="23.1" customHeight="1" x14ac:dyDescent="0.25">
      <c r="B53" s="23" t="s">
        <v>80</v>
      </c>
      <c r="C53" s="50">
        <v>4</v>
      </c>
      <c r="D53" s="50">
        <v>0</v>
      </c>
      <c r="E53" s="50">
        <v>0</v>
      </c>
      <c r="F53" s="50">
        <v>0</v>
      </c>
      <c r="G53" s="50">
        <v>1</v>
      </c>
      <c r="H53" s="50">
        <v>0</v>
      </c>
      <c r="I53" s="50">
        <v>0</v>
      </c>
      <c r="J53" s="50">
        <v>0</v>
      </c>
      <c r="K53" s="50">
        <v>1</v>
      </c>
      <c r="L53" s="50">
        <v>0</v>
      </c>
      <c r="M53" s="50">
        <v>11</v>
      </c>
      <c r="N53" s="50">
        <v>0</v>
      </c>
      <c r="O53" s="15">
        <f t="shared" si="0"/>
        <v>6</v>
      </c>
      <c r="P53" s="15">
        <f t="shared" si="1"/>
        <v>17</v>
      </c>
      <c r="R53" s="8"/>
      <c r="T53"/>
    </row>
    <row r="54" spans="2:20" ht="23.1" customHeight="1" x14ac:dyDescent="0.25">
      <c r="B54" s="23" t="s">
        <v>81</v>
      </c>
      <c r="C54" s="50">
        <v>0</v>
      </c>
      <c r="D54" s="50">
        <v>0</v>
      </c>
      <c r="E54" s="50">
        <v>0</v>
      </c>
      <c r="F54" s="50">
        <v>0</v>
      </c>
      <c r="G54" s="50">
        <v>0</v>
      </c>
      <c r="H54" s="50">
        <v>2</v>
      </c>
      <c r="I54" s="50">
        <v>1</v>
      </c>
      <c r="J54" s="50">
        <v>0</v>
      </c>
      <c r="K54" s="50">
        <v>2</v>
      </c>
      <c r="L54" s="50">
        <v>0</v>
      </c>
      <c r="M54" s="50">
        <v>5</v>
      </c>
      <c r="N54" s="50">
        <v>0</v>
      </c>
      <c r="O54" s="15">
        <f t="shared" si="0"/>
        <v>5</v>
      </c>
      <c r="P54" s="15">
        <f t="shared" si="1"/>
        <v>10</v>
      </c>
      <c r="R54" s="8"/>
      <c r="T54"/>
    </row>
    <row r="55" spans="2:20" ht="23.1" customHeight="1" x14ac:dyDescent="0.25">
      <c r="B55" s="23" t="s">
        <v>82</v>
      </c>
      <c r="C55" s="50">
        <v>1</v>
      </c>
      <c r="D55" s="50">
        <v>0</v>
      </c>
      <c r="E55" s="50">
        <v>0</v>
      </c>
      <c r="F55" s="50">
        <v>0</v>
      </c>
      <c r="G55" s="50">
        <v>0</v>
      </c>
      <c r="H55" s="50">
        <v>0</v>
      </c>
      <c r="I55" s="50">
        <v>0</v>
      </c>
      <c r="J55" s="50">
        <v>0</v>
      </c>
      <c r="K55" s="50">
        <v>0</v>
      </c>
      <c r="L55" s="50">
        <v>0</v>
      </c>
      <c r="M55" s="50">
        <v>4</v>
      </c>
      <c r="N55" s="50">
        <v>0</v>
      </c>
      <c r="O55" s="15">
        <f t="shared" si="0"/>
        <v>1</v>
      </c>
      <c r="P55" s="15">
        <f t="shared" si="1"/>
        <v>5</v>
      </c>
      <c r="R55" s="8"/>
      <c r="T55"/>
    </row>
    <row r="56" spans="2:20" ht="23.1" customHeight="1" x14ac:dyDescent="0.25">
      <c r="B56" s="23" t="s">
        <v>83</v>
      </c>
      <c r="C56" s="50">
        <v>2</v>
      </c>
      <c r="D56" s="50">
        <v>0</v>
      </c>
      <c r="E56" s="50">
        <v>0</v>
      </c>
      <c r="F56" s="50">
        <v>0</v>
      </c>
      <c r="G56" s="50">
        <v>0</v>
      </c>
      <c r="H56" s="50">
        <v>0</v>
      </c>
      <c r="I56" s="50">
        <v>2</v>
      </c>
      <c r="J56" s="50">
        <v>1</v>
      </c>
      <c r="K56" s="50">
        <v>0</v>
      </c>
      <c r="L56" s="50">
        <v>0</v>
      </c>
      <c r="M56" s="50">
        <v>12</v>
      </c>
      <c r="N56" s="50">
        <v>0</v>
      </c>
      <c r="O56" s="15">
        <f t="shared" si="0"/>
        <v>5</v>
      </c>
      <c r="P56" s="15">
        <f t="shared" si="1"/>
        <v>17</v>
      </c>
      <c r="R56" s="8"/>
      <c r="T56"/>
    </row>
    <row r="57" spans="2:20" ht="23.1" customHeight="1" x14ac:dyDescent="0.25">
      <c r="B57" s="23" t="s">
        <v>84</v>
      </c>
      <c r="C57" s="50">
        <v>1</v>
      </c>
      <c r="D57" s="50">
        <v>0</v>
      </c>
      <c r="E57" s="50">
        <v>3</v>
      </c>
      <c r="F57" s="50">
        <v>1</v>
      </c>
      <c r="G57" s="50">
        <v>0</v>
      </c>
      <c r="H57" s="50">
        <v>0</v>
      </c>
      <c r="I57" s="50">
        <v>1</v>
      </c>
      <c r="J57" s="50">
        <v>1</v>
      </c>
      <c r="K57" s="50">
        <v>1</v>
      </c>
      <c r="L57" s="50">
        <v>0</v>
      </c>
      <c r="M57" s="50">
        <v>11</v>
      </c>
      <c r="N57" s="50">
        <v>0</v>
      </c>
      <c r="O57" s="15">
        <f t="shared" si="0"/>
        <v>8</v>
      </c>
      <c r="P57" s="15">
        <f t="shared" si="1"/>
        <v>19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57</v>
      </c>
      <c r="D58" s="16">
        <f t="shared" si="21"/>
        <v>12</v>
      </c>
      <c r="E58" s="16">
        <f t="shared" si="21"/>
        <v>17</v>
      </c>
      <c r="F58" s="16">
        <f t="shared" si="21"/>
        <v>25</v>
      </c>
      <c r="G58" s="16">
        <f t="shared" si="21"/>
        <v>1</v>
      </c>
      <c r="H58" s="16">
        <f t="shared" si="21"/>
        <v>3</v>
      </c>
      <c r="I58" s="16">
        <f t="shared" si="21"/>
        <v>26</v>
      </c>
      <c r="J58" s="16">
        <f t="shared" si="21"/>
        <v>7</v>
      </c>
      <c r="K58" s="16">
        <f t="shared" si="21"/>
        <v>17</v>
      </c>
      <c r="L58" s="16">
        <f t="shared" si="21"/>
        <v>1</v>
      </c>
      <c r="M58" s="16">
        <f t="shared" si="21"/>
        <v>414</v>
      </c>
      <c r="N58" s="16">
        <f t="shared" si="21"/>
        <v>0</v>
      </c>
      <c r="O58" s="16">
        <f t="shared" si="21"/>
        <v>166</v>
      </c>
      <c r="P58" s="16">
        <f t="shared" si="21"/>
        <v>580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9.8275862068965519E-2</v>
      </c>
      <c r="D59" s="43">
        <f t="shared" si="22"/>
        <v>2.0689655172413793E-2</v>
      </c>
      <c r="E59" s="43">
        <f t="shared" si="22"/>
        <v>2.9310344827586206E-2</v>
      </c>
      <c r="F59" s="43">
        <f t="shared" si="22"/>
        <v>4.3103448275862072E-2</v>
      </c>
      <c r="G59" s="43">
        <f t="shared" si="22"/>
        <v>1.7241379310344827E-3</v>
      </c>
      <c r="H59" s="43">
        <f t="shared" si="22"/>
        <v>5.1724137931034482E-3</v>
      </c>
      <c r="I59" s="43">
        <f t="shared" si="22"/>
        <v>4.4827586206896551E-2</v>
      </c>
      <c r="J59" s="43">
        <f t="shared" si="22"/>
        <v>1.2068965517241379E-2</v>
      </c>
      <c r="K59" s="43">
        <f t="shared" si="22"/>
        <v>2.9310344827586206E-2</v>
      </c>
      <c r="L59" s="43">
        <f t="shared" si="22"/>
        <v>1.7241379310344827E-3</v>
      </c>
      <c r="M59" s="43">
        <f t="shared" si="22"/>
        <v>0.71379310344827585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0.34337349397590361</v>
      </c>
      <c r="D60" s="44">
        <f t="shared" ref="D60:N60" si="23">D58/$O$58</f>
        <v>7.2289156626506021E-2</v>
      </c>
      <c r="E60" s="44">
        <f t="shared" si="23"/>
        <v>0.10240963855421686</v>
      </c>
      <c r="F60" s="44">
        <f t="shared" si="23"/>
        <v>0.15060240963855423</v>
      </c>
      <c r="G60" s="44">
        <f t="shared" si="23"/>
        <v>6.024096385542169E-3</v>
      </c>
      <c r="H60" s="44">
        <f t="shared" si="23"/>
        <v>1.8072289156626505E-2</v>
      </c>
      <c r="I60" s="44">
        <f t="shared" si="23"/>
        <v>0.15662650602409639</v>
      </c>
      <c r="J60" s="44">
        <f t="shared" si="23"/>
        <v>4.2168674698795178E-2</v>
      </c>
      <c r="K60" s="44">
        <f t="shared" si="23"/>
        <v>0.10240963855421686</v>
      </c>
      <c r="L60" s="44">
        <f t="shared" si="23"/>
        <v>6.024096385542169E-3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="90" zoomScaleSheetLayoutView="90" workbookViewId="0">
      <selection activeCell="M16" sqref="M16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1" t="s">
        <v>23</v>
      </c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</row>
    <row r="2" spans="2:32" ht="20.100000000000001" customHeight="1" x14ac:dyDescent="0.25">
      <c r="B2" s="62" t="s">
        <v>95</v>
      </c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</row>
    <row r="3" spans="2:32" ht="20.100000000000001" customHeight="1" x14ac:dyDescent="0.25">
      <c r="B3" s="22" t="s">
        <v>96</v>
      </c>
      <c r="C3" s="63" t="str">
        <f>'17.10 SSEMBABULE-KANONI'!C3:G3</f>
        <v>SSEMBABULE-KABULASOKE ROAD</v>
      </c>
      <c r="D3" s="63"/>
      <c r="E3" s="63"/>
      <c r="F3" s="63"/>
      <c r="G3" s="63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51" t="s">
        <v>180</v>
      </c>
      <c r="E5" s="3"/>
      <c r="F5" s="41" t="s">
        <v>1</v>
      </c>
      <c r="G5" s="58" t="str">
        <f>'19.10 KANONI-SSEMBABULE-24h'!G5:H5</f>
        <v>KYABI</v>
      </c>
      <c r="H5" s="59"/>
      <c r="I5" s="14"/>
      <c r="J5" s="2" t="s">
        <v>5</v>
      </c>
      <c r="K5" s="58" t="s">
        <v>170</v>
      </c>
      <c r="L5" s="59"/>
      <c r="M5" s="10"/>
      <c r="N5" s="10"/>
      <c r="O5" s="3"/>
      <c r="P5" s="3"/>
    </row>
    <row r="6" spans="2:32" ht="23.25" customHeight="1" x14ac:dyDescent="0.25">
      <c r="C6" s="2" t="s">
        <v>4</v>
      </c>
      <c r="D6" s="58" t="str">
        <f>'17.10 SSEMBABULE-KANONI'!D6:E6</f>
        <v>SSEMBABULE</v>
      </c>
      <c r="E6" s="59"/>
      <c r="F6" s="2" t="s">
        <v>2</v>
      </c>
      <c r="G6" s="58" t="str">
        <f>'17.10 SSEMBABULE-KANONI'!G6:H6</f>
        <v>KANONI</v>
      </c>
      <c r="H6" s="59"/>
      <c r="J6" s="2" t="s">
        <v>21</v>
      </c>
      <c r="K6" s="58" t="str">
        <f>'19.10 KANONI-SSEMBABULE-24h'!K6:L6</f>
        <v>ONYUTI BETTY</v>
      </c>
      <c r="L6" s="59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0" t="s">
        <v>88</v>
      </c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0</v>
      </c>
      <c r="D10" s="50">
        <v>1</v>
      </c>
      <c r="E10" s="50">
        <v>0</v>
      </c>
      <c r="F10" s="50">
        <v>0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11</v>
      </c>
      <c r="N10" s="50">
        <v>0</v>
      </c>
      <c r="O10" s="15">
        <f t="shared" ref="O10:O57" si="0">SUM(C10:L10,N10)</f>
        <v>1</v>
      </c>
      <c r="P10" s="15">
        <f t="shared" ref="P10:P57" si="1">SUM(C10:N10)</f>
        <v>12</v>
      </c>
      <c r="R10" s="1" t="s">
        <v>6</v>
      </c>
      <c r="S10" s="17">
        <f t="shared" ref="S10:AF10" si="2">SUM(C10:C13)</f>
        <v>6</v>
      </c>
      <c r="T10" s="17">
        <f t="shared" si="2"/>
        <v>1</v>
      </c>
      <c r="U10" s="17">
        <f t="shared" si="2"/>
        <v>1</v>
      </c>
      <c r="V10" s="17">
        <f t="shared" si="2"/>
        <v>1</v>
      </c>
      <c r="W10" s="17">
        <f t="shared" si="2"/>
        <v>0</v>
      </c>
      <c r="X10" s="17">
        <f t="shared" si="2"/>
        <v>0</v>
      </c>
      <c r="Y10" s="17">
        <f t="shared" si="2"/>
        <v>0</v>
      </c>
      <c r="Z10" s="17">
        <f t="shared" si="2"/>
        <v>0</v>
      </c>
      <c r="AA10" s="17">
        <f t="shared" si="2"/>
        <v>3</v>
      </c>
      <c r="AB10" s="17">
        <f t="shared" si="2"/>
        <v>0</v>
      </c>
      <c r="AC10" s="17">
        <f t="shared" si="2"/>
        <v>32</v>
      </c>
      <c r="AD10" s="17">
        <f t="shared" si="2"/>
        <v>0</v>
      </c>
      <c r="AE10" s="31">
        <f t="shared" si="2"/>
        <v>12</v>
      </c>
      <c r="AF10" s="31">
        <f t="shared" si="2"/>
        <v>44</v>
      </c>
    </row>
    <row r="11" spans="2:32" s="6" customFormat="1" ht="23.1" customHeight="1" x14ac:dyDescent="0.25">
      <c r="B11" s="23" t="s">
        <v>38</v>
      </c>
      <c r="C11" s="50">
        <v>2</v>
      </c>
      <c r="D11" s="50">
        <v>0</v>
      </c>
      <c r="E11" s="50">
        <v>0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1</v>
      </c>
      <c r="L11" s="50">
        <v>0</v>
      </c>
      <c r="M11" s="50">
        <v>7</v>
      </c>
      <c r="N11" s="50">
        <v>0</v>
      </c>
      <c r="O11" s="15">
        <f t="shared" si="0"/>
        <v>3</v>
      </c>
      <c r="P11" s="15">
        <f t="shared" si="1"/>
        <v>10</v>
      </c>
      <c r="R11" s="1" t="s">
        <v>7</v>
      </c>
      <c r="S11" s="17">
        <f t="shared" ref="S11:AF11" si="3">SUM(C14:C17)</f>
        <v>0</v>
      </c>
      <c r="T11" s="17">
        <f t="shared" si="3"/>
        <v>0</v>
      </c>
      <c r="U11" s="17">
        <f t="shared" si="3"/>
        <v>4</v>
      </c>
      <c r="V11" s="17">
        <f t="shared" si="3"/>
        <v>0</v>
      </c>
      <c r="W11" s="17">
        <f t="shared" si="3"/>
        <v>0</v>
      </c>
      <c r="X11" s="17">
        <f t="shared" si="3"/>
        <v>1</v>
      </c>
      <c r="Y11" s="17">
        <f t="shared" si="3"/>
        <v>0</v>
      </c>
      <c r="Z11" s="17">
        <f t="shared" si="3"/>
        <v>1</v>
      </c>
      <c r="AA11" s="17">
        <f t="shared" si="3"/>
        <v>2</v>
      </c>
      <c r="AB11" s="17">
        <f t="shared" si="3"/>
        <v>0</v>
      </c>
      <c r="AC11" s="17">
        <f t="shared" si="3"/>
        <v>28</v>
      </c>
      <c r="AD11" s="17">
        <f t="shared" si="3"/>
        <v>0</v>
      </c>
      <c r="AE11" s="31">
        <f t="shared" si="3"/>
        <v>8</v>
      </c>
      <c r="AF11" s="31">
        <f t="shared" si="3"/>
        <v>36</v>
      </c>
    </row>
    <row r="12" spans="2:32" ht="23.1" customHeight="1" x14ac:dyDescent="0.25">
      <c r="B12" s="23" t="s">
        <v>39</v>
      </c>
      <c r="C12" s="50">
        <v>4</v>
      </c>
      <c r="D12" s="50">
        <v>0</v>
      </c>
      <c r="E12" s="50">
        <v>0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6</v>
      </c>
      <c r="N12" s="50">
        <v>0</v>
      </c>
      <c r="O12" s="15">
        <f t="shared" si="0"/>
        <v>4</v>
      </c>
      <c r="P12" s="15">
        <f t="shared" si="1"/>
        <v>10</v>
      </c>
      <c r="R12" s="1" t="s">
        <v>8</v>
      </c>
      <c r="S12" s="17">
        <f t="shared" ref="S12:AF12" si="4">SUM(C18:C21)</f>
        <v>3</v>
      </c>
      <c r="T12" s="17">
        <f t="shared" si="4"/>
        <v>0</v>
      </c>
      <c r="U12" s="17">
        <f t="shared" si="4"/>
        <v>3</v>
      </c>
      <c r="V12" s="17">
        <f t="shared" si="4"/>
        <v>2</v>
      </c>
      <c r="W12" s="17">
        <f t="shared" si="4"/>
        <v>0</v>
      </c>
      <c r="X12" s="17">
        <f t="shared" si="4"/>
        <v>1</v>
      </c>
      <c r="Y12" s="17">
        <f t="shared" si="4"/>
        <v>3</v>
      </c>
      <c r="Z12" s="17">
        <f t="shared" si="4"/>
        <v>1</v>
      </c>
      <c r="AA12" s="17">
        <f t="shared" si="4"/>
        <v>2</v>
      </c>
      <c r="AB12" s="17">
        <f t="shared" si="4"/>
        <v>0</v>
      </c>
      <c r="AC12" s="17">
        <f t="shared" si="4"/>
        <v>44</v>
      </c>
      <c r="AD12" s="17">
        <f t="shared" si="4"/>
        <v>0</v>
      </c>
      <c r="AE12" s="31">
        <f t="shared" si="4"/>
        <v>15</v>
      </c>
      <c r="AF12" s="31">
        <f t="shared" si="4"/>
        <v>59</v>
      </c>
    </row>
    <row r="13" spans="2:32" ht="23.1" customHeight="1" x14ac:dyDescent="0.25">
      <c r="B13" s="23" t="s">
        <v>40</v>
      </c>
      <c r="C13" s="50">
        <v>0</v>
      </c>
      <c r="D13" s="50">
        <v>0</v>
      </c>
      <c r="E13" s="50">
        <v>1</v>
      </c>
      <c r="F13" s="50">
        <v>1</v>
      </c>
      <c r="G13" s="50">
        <v>0</v>
      </c>
      <c r="H13" s="50">
        <v>0</v>
      </c>
      <c r="I13" s="50">
        <v>0</v>
      </c>
      <c r="J13" s="50">
        <v>0</v>
      </c>
      <c r="K13" s="50">
        <v>2</v>
      </c>
      <c r="L13" s="50">
        <v>0</v>
      </c>
      <c r="M13" s="50">
        <v>8</v>
      </c>
      <c r="N13" s="50">
        <v>0</v>
      </c>
      <c r="O13" s="15">
        <f t="shared" si="0"/>
        <v>4</v>
      </c>
      <c r="P13" s="15">
        <f t="shared" si="1"/>
        <v>12</v>
      </c>
      <c r="R13" s="1" t="s">
        <v>9</v>
      </c>
      <c r="S13" s="17">
        <f t="shared" ref="S13:AF13" si="5">SUM(C22:C25)</f>
        <v>3</v>
      </c>
      <c r="T13" s="17">
        <f t="shared" si="5"/>
        <v>1</v>
      </c>
      <c r="U13" s="17">
        <f t="shared" si="5"/>
        <v>3</v>
      </c>
      <c r="V13" s="17">
        <f t="shared" si="5"/>
        <v>0</v>
      </c>
      <c r="W13" s="17">
        <f t="shared" si="5"/>
        <v>0</v>
      </c>
      <c r="X13" s="17">
        <f t="shared" si="5"/>
        <v>0</v>
      </c>
      <c r="Y13" s="17">
        <f t="shared" si="5"/>
        <v>1</v>
      </c>
      <c r="Z13" s="17">
        <f t="shared" si="5"/>
        <v>0</v>
      </c>
      <c r="AA13" s="17">
        <f t="shared" si="5"/>
        <v>4</v>
      </c>
      <c r="AB13" s="17">
        <f t="shared" si="5"/>
        <v>2</v>
      </c>
      <c r="AC13" s="17">
        <f t="shared" si="5"/>
        <v>36</v>
      </c>
      <c r="AD13" s="17">
        <f t="shared" si="5"/>
        <v>0</v>
      </c>
      <c r="AE13" s="31">
        <f t="shared" si="5"/>
        <v>14</v>
      </c>
      <c r="AF13" s="31">
        <f t="shared" si="5"/>
        <v>50</v>
      </c>
    </row>
    <row r="14" spans="2:32" ht="23.1" customHeight="1" x14ac:dyDescent="0.25">
      <c r="B14" s="23" t="s">
        <v>41</v>
      </c>
      <c r="C14" s="50">
        <v>0</v>
      </c>
      <c r="D14" s="50">
        <v>0</v>
      </c>
      <c r="E14" s="50">
        <v>1</v>
      </c>
      <c r="F14" s="50">
        <v>0</v>
      </c>
      <c r="G14" s="50">
        <v>0</v>
      </c>
      <c r="H14" s="50">
        <v>0</v>
      </c>
      <c r="I14" s="50">
        <v>0</v>
      </c>
      <c r="J14" s="50">
        <v>0</v>
      </c>
      <c r="K14" s="50">
        <v>2</v>
      </c>
      <c r="L14" s="50">
        <v>0</v>
      </c>
      <c r="M14" s="50">
        <v>7</v>
      </c>
      <c r="N14" s="50">
        <v>0</v>
      </c>
      <c r="O14" s="15">
        <f t="shared" si="0"/>
        <v>3</v>
      </c>
      <c r="P14" s="15">
        <f t="shared" si="1"/>
        <v>10</v>
      </c>
      <c r="R14" s="1" t="s">
        <v>10</v>
      </c>
      <c r="S14" s="17">
        <f t="shared" ref="S14:AF14" si="6">SUM(C26:C29)</f>
        <v>1</v>
      </c>
      <c r="T14" s="17">
        <f t="shared" si="6"/>
        <v>0</v>
      </c>
      <c r="U14" s="17">
        <f t="shared" si="6"/>
        <v>2</v>
      </c>
      <c r="V14" s="17">
        <f t="shared" si="6"/>
        <v>0</v>
      </c>
      <c r="W14" s="17">
        <f t="shared" si="6"/>
        <v>0</v>
      </c>
      <c r="X14" s="17">
        <f t="shared" si="6"/>
        <v>0</v>
      </c>
      <c r="Y14" s="17">
        <f t="shared" si="6"/>
        <v>1</v>
      </c>
      <c r="Z14" s="17">
        <f t="shared" si="6"/>
        <v>2</v>
      </c>
      <c r="AA14" s="17">
        <f t="shared" si="6"/>
        <v>2</v>
      </c>
      <c r="AB14" s="17">
        <f t="shared" si="6"/>
        <v>0</v>
      </c>
      <c r="AC14" s="17">
        <f t="shared" si="6"/>
        <v>29</v>
      </c>
      <c r="AD14" s="17">
        <f t="shared" si="6"/>
        <v>0</v>
      </c>
      <c r="AE14" s="31">
        <f t="shared" si="6"/>
        <v>8</v>
      </c>
      <c r="AF14" s="31">
        <f t="shared" si="6"/>
        <v>37</v>
      </c>
    </row>
    <row r="15" spans="2:32" ht="23.1" customHeight="1" x14ac:dyDescent="0.25">
      <c r="B15" s="23" t="s">
        <v>42</v>
      </c>
      <c r="C15" s="50">
        <v>0</v>
      </c>
      <c r="D15" s="50">
        <v>0</v>
      </c>
      <c r="E15" s="50">
        <v>2</v>
      </c>
      <c r="F15" s="50">
        <v>0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8</v>
      </c>
      <c r="N15" s="50">
        <v>0</v>
      </c>
      <c r="O15" s="15">
        <f t="shared" si="0"/>
        <v>2</v>
      </c>
      <c r="P15" s="15">
        <f t="shared" si="1"/>
        <v>10</v>
      </c>
      <c r="R15" s="1" t="s">
        <v>11</v>
      </c>
      <c r="S15" s="17">
        <f t="shared" ref="S15:AF15" si="7">SUM(C30:C33)</f>
        <v>2</v>
      </c>
      <c r="T15" s="17">
        <f t="shared" si="7"/>
        <v>2</v>
      </c>
      <c r="U15" s="17">
        <f t="shared" si="7"/>
        <v>2</v>
      </c>
      <c r="V15" s="17">
        <f t="shared" si="7"/>
        <v>1</v>
      </c>
      <c r="W15" s="17">
        <f t="shared" si="7"/>
        <v>0</v>
      </c>
      <c r="X15" s="17">
        <f t="shared" si="7"/>
        <v>0</v>
      </c>
      <c r="Y15" s="17">
        <f t="shared" si="7"/>
        <v>2</v>
      </c>
      <c r="Z15" s="17">
        <f t="shared" si="7"/>
        <v>0</v>
      </c>
      <c r="AA15" s="17">
        <f t="shared" si="7"/>
        <v>2</v>
      </c>
      <c r="AB15" s="17">
        <f t="shared" si="7"/>
        <v>0</v>
      </c>
      <c r="AC15" s="17">
        <f t="shared" si="7"/>
        <v>38</v>
      </c>
      <c r="AD15" s="17">
        <f t="shared" si="7"/>
        <v>0</v>
      </c>
      <c r="AE15" s="31">
        <f t="shared" si="7"/>
        <v>11</v>
      </c>
      <c r="AF15" s="31">
        <f t="shared" si="7"/>
        <v>49</v>
      </c>
    </row>
    <row r="16" spans="2:32" ht="23.1" customHeight="1" x14ac:dyDescent="0.25">
      <c r="B16" s="23" t="s">
        <v>43</v>
      </c>
      <c r="C16" s="50">
        <v>0</v>
      </c>
      <c r="D16" s="50">
        <v>0</v>
      </c>
      <c r="E16" s="50">
        <v>1</v>
      </c>
      <c r="F16" s="50">
        <v>0</v>
      </c>
      <c r="G16" s="50">
        <v>0</v>
      </c>
      <c r="H16" s="50">
        <v>0</v>
      </c>
      <c r="I16" s="50">
        <v>0</v>
      </c>
      <c r="J16" s="50">
        <v>1</v>
      </c>
      <c r="K16" s="50">
        <v>0</v>
      </c>
      <c r="L16" s="50">
        <v>0</v>
      </c>
      <c r="M16" s="50">
        <v>7</v>
      </c>
      <c r="N16" s="50">
        <v>0</v>
      </c>
      <c r="O16" s="15">
        <f t="shared" si="0"/>
        <v>2</v>
      </c>
      <c r="P16" s="15">
        <f t="shared" si="1"/>
        <v>9</v>
      </c>
      <c r="R16" s="1" t="s">
        <v>12</v>
      </c>
      <c r="S16" s="17">
        <f t="shared" ref="S16:AF16" si="8">SUM(C34:C37)</f>
        <v>4</v>
      </c>
      <c r="T16" s="17">
        <f t="shared" si="8"/>
        <v>0</v>
      </c>
      <c r="U16" s="17">
        <f t="shared" si="8"/>
        <v>2</v>
      </c>
      <c r="V16" s="17">
        <f t="shared" si="8"/>
        <v>0</v>
      </c>
      <c r="W16" s="17">
        <f t="shared" si="8"/>
        <v>0</v>
      </c>
      <c r="X16" s="17">
        <f t="shared" si="8"/>
        <v>0</v>
      </c>
      <c r="Y16" s="17">
        <f t="shared" si="8"/>
        <v>2</v>
      </c>
      <c r="Z16" s="17">
        <f t="shared" si="8"/>
        <v>0</v>
      </c>
      <c r="AA16" s="17">
        <f t="shared" si="8"/>
        <v>3</v>
      </c>
      <c r="AB16" s="17">
        <f t="shared" si="8"/>
        <v>0</v>
      </c>
      <c r="AC16" s="17">
        <f t="shared" si="8"/>
        <v>46</v>
      </c>
      <c r="AD16" s="17">
        <f t="shared" si="8"/>
        <v>0</v>
      </c>
      <c r="AE16" s="31">
        <f t="shared" si="8"/>
        <v>11</v>
      </c>
      <c r="AF16" s="31">
        <f t="shared" si="8"/>
        <v>57</v>
      </c>
    </row>
    <row r="17" spans="2:32" ht="23.1" customHeight="1" x14ac:dyDescent="0.25">
      <c r="B17" s="23" t="s">
        <v>44</v>
      </c>
      <c r="C17" s="50">
        <v>0</v>
      </c>
      <c r="D17" s="50">
        <v>0</v>
      </c>
      <c r="E17" s="50">
        <v>0</v>
      </c>
      <c r="F17" s="50">
        <v>0</v>
      </c>
      <c r="G17" s="50">
        <v>0</v>
      </c>
      <c r="H17" s="50">
        <v>1</v>
      </c>
      <c r="I17" s="50">
        <v>0</v>
      </c>
      <c r="J17" s="50">
        <v>0</v>
      </c>
      <c r="K17" s="50">
        <v>0</v>
      </c>
      <c r="L17" s="50">
        <v>0</v>
      </c>
      <c r="M17" s="50">
        <v>6</v>
      </c>
      <c r="N17" s="50">
        <v>0</v>
      </c>
      <c r="O17" s="15">
        <f t="shared" si="0"/>
        <v>1</v>
      </c>
      <c r="P17" s="15">
        <f t="shared" si="1"/>
        <v>7</v>
      </c>
      <c r="R17" s="1" t="s">
        <v>13</v>
      </c>
      <c r="S17" s="17">
        <f t="shared" ref="S17:AF17" si="9">SUM(C38:C41)</f>
        <v>4</v>
      </c>
      <c r="T17" s="17">
        <f t="shared" si="9"/>
        <v>0</v>
      </c>
      <c r="U17" s="17">
        <f t="shared" si="9"/>
        <v>3</v>
      </c>
      <c r="V17" s="17">
        <f t="shared" si="9"/>
        <v>3</v>
      </c>
      <c r="W17" s="17">
        <f t="shared" si="9"/>
        <v>0</v>
      </c>
      <c r="X17" s="17">
        <f t="shared" si="9"/>
        <v>0</v>
      </c>
      <c r="Y17" s="17">
        <f t="shared" si="9"/>
        <v>3</v>
      </c>
      <c r="Z17" s="17">
        <f t="shared" si="9"/>
        <v>0</v>
      </c>
      <c r="AA17" s="17">
        <f t="shared" si="9"/>
        <v>2</v>
      </c>
      <c r="AB17" s="17">
        <f t="shared" si="9"/>
        <v>0</v>
      </c>
      <c r="AC17" s="17">
        <f t="shared" si="9"/>
        <v>24</v>
      </c>
      <c r="AD17" s="17">
        <f t="shared" si="9"/>
        <v>0</v>
      </c>
      <c r="AE17" s="31">
        <f t="shared" si="9"/>
        <v>15</v>
      </c>
      <c r="AF17" s="31">
        <f t="shared" si="9"/>
        <v>39</v>
      </c>
    </row>
    <row r="18" spans="2:32" ht="23.1" customHeight="1" x14ac:dyDescent="0.25">
      <c r="B18" s="23" t="s">
        <v>45</v>
      </c>
      <c r="C18" s="50">
        <v>0</v>
      </c>
      <c r="D18" s="50">
        <v>0</v>
      </c>
      <c r="E18" s="50">
        <v>1</v>
      </c>
      <c r="F18" s="50">
        <v>0</v>
      </c>
      <c r="G18" s="50">
        <v>0</v>
      </c>
      <c r="H18" s="50">
        <v>0</v>
      </c>
      <c r="I18" s="50">
        <v>1</v>
      </c>
      <c r="J18" s="50">
        <v>0</v>
      </c>
      <c r="K18" s="50">
        <v>0</v>
      </c>
      <c r="L18" s="50">
        <v>0</v>
      </c>
      <c r="M18" s="50">
        <v>11</v>
      </c>
      <c r="N18" s="50">
        <v>0</v>
      </c>
      <c r="O18" s="15">
        <f t="shared" si="0"/>
        <v>2</v>
      </c>
      <c r="P18" s="15">
        <f t="shared" si="1"/>
        <v>13</v>
      </c>
      <c r="R18" s="1" t="s">
        <v>14</v>
      </c>
      <c r="S18" s="17">
        <f t="shared" ref="S18:AF18" si="10">SUM(C42:C45)</f>
        <v>6</v>
      </c>
      <c r="T18" s="17">
        <f t="shared" si="10"/>
        <v>0</v>
      </c>
      <c r="U18" s="17">
        <f t="shared" si="10"/>
        <v>1</v>
      </c>
      <c r="V18" s="17">
        <f t="shared" si="10"/>
        <v>1</v>
      </c>
      <c r="W18" s="17">
        <f t="shared" si="10"/>
        <v>0</v>
      </c>
      <c r="X18" s="17">
        <f t="shared" si="10"/>
        <v>0</v>
      </c>
      <c r="Y18" s="17">
        <f t="shared" si="10"/>
        <v>3</v>
      </c>
      <c r="Z18" s="17">
        <f t="shared" si="10"/>
        <v>2</v>
      </c>
      <c r="AA18" s="17">
        <f t="shared" si="10"/>
        <v>0</v>
      </c>
      <c r="AB18" s="17">
        <f t="shared" si="10"/>
        <v>0</v>
      </c>
      <c r="AC18" s="17">
        <f t="shared" si="10"/>
        <v>41</v>
      </c>
      <c r="AD18" s="17">
        <f t="shared" si="10"/>
        <v>0</v>
      </c>
      <c r="AE18" s="31">
        <f t="shared" si="10"/>
        <v>13</v>
      </c>
      <c r="AF18" s="31">
        <f t="shared" si="10"/>
        <v>54</v>
      </c>
    </row>
    <row r="19" spans="2:32" ht="23.1" customHeight="1" x14ac:dyDescent="0.25">
      <c r="B19" s="23" t="s">
        <v>46</v>
      </c>
      <c r="C19" s="50">
        <v>1</v>
      </c>
      <c r="D19" s="50">
        <v>0</v>
      </c>
      <c r="E19" s="50">
        <v>0</v>
      </c>
      <c r="F19" s="50">
        <v>0</v>
      </c>
      <c r="G19" s="50">
        <v>0</v>
      </c>
      <c r="H19" s="50">
        <v>0</v>
      </c>
      <c r="I19" s="50">
        <v>0</v>
      </c>
      <c r="J19" s="50">
        <v>0</v>
      </c>
      <c r="K19" s="50">
        <v>0</v>
      </c>
      <c r="L19" s="50">
        <v>0</v>
      </c>
      <c r="M19" s="50">
        <v>8</v>
      </c>
      <c r="N19" s="50">
        <v>0</v>
      </c>
      <c r="O19" s="15">
        <f t="shared" si="0"/>
        <v>1</v>
      </c>
      <c r="P19" s="15">
        <f t="shared" si="1"/>
        <v>9</v>
      </c>
      <c r="R19" s="1" t="s">
        <v>15</v>
      </c>
      <c r="S19" s="17">
        <f t="shared" ref="S19:AF19" si="11">SUM(C46:C49)</f>
        <v>3</v>
      </c>
      <c r="T19" s="17">
        <f t="shared" si="11"/>
        <v>2</v>
      </c>
      <c r="U19" s="17">
        <f t="shared" si="11"/>
        <v>1</v>
      </c>
      <c r="V19" s="17">
        <f t="shared" si="11"/>
        <v>2</v>
      </c>
      <c r="W19" s="17">
        <f t="shared" si="11"/>
        <v>0</v>
      </c>
      <c r="X19" s="17">
        <f t="shared" si="11"/>
        <v>0</v>
      </c>
      <c r="Y19" s="17">
        <f t="shared" si="11"/>
        <v>1</v>
      </c>
      <c r="Z19" s="17">
        <f t="shared" si="11"/>
        <v>1</v>
      </c>
      <c r="AA19" s="17">
        <f t="shared" si="11"/>
        <v>0</v>
      </c>
      <c r="AB19" s="17">
        <f t="shared" si="11"/>
        <v>0</v>
      </c>
      <c r="AC19" s="17">
        <f t="shared" si="11"/>
        <v>34</v>
      </c>
      <c r="AD19" s="17">
        <f t="shared" si="11"/>
        <v>0</v>
      </c>
      <c r="AE19" s="31">
        <f t="shared" si="11"/>
        <v>10</v>
      </c>
      <c r="AF19" s="31">
        <f t="shared" si="11"/>
        <v>44</v>
      </c>
    </row>
    <row r="20" spans="2:32" ht="23.1" customHeight="1" x14ac:dyDescent="0.25">
      <c r="B20" s="23" t="s">
        <v>47</v>
      </c>
      <c r="C20" s="50">
        <v>1</v>
      </c>
      <c r="D20" s="50">
        <v>0</v>
      </c>
      <c r="E20" s="50">
        <v>1</v>
      </c>
      <c r="F20" s="50">
        <v>1</v>
      </c>
      <c r="G20" s="50">
        <v>0</v>
      </c>
      <c r="H20" s="50">
        <v>1</v>
      </c>
      <c r="I20" s="50">
        <v>0</v>
      </c>
      <c r="J20" s="50">
        <v>1</v>
      </c>
      <c r="K20" s="50">
        <v>2</v>
      </c>
      <c r="L20" s="50">
        <v>0</v>
      </c>
      <c r="M20" s="50">
        <v>10</v>
      </c>
      <c r="N20" s="50">
        <v>0</v>
      </c>
      <c r="O20" s="15">
        <f t="shared" si="0"/>
        <v>7</v>
      </c>
      <c r="P20" s="15">
        <f t="shared" si="1"/>
        <v>17</v>
      </c>
      <c r="R20" s="1" t="s">
        <v>16</v>
      </c>
      <c r="S20" s="17">
        <f t="shared" ref="S20:AF20" si="12">SUM(C50:C53)</f>
        <v>8</v>
      </c>
      <c r="T20" s="17">
        <f t="shared" si="12"/>
        <v>3</v>
      </c>
      <c r="U20" s="17">
        <f t="shared" si="12"/>
        <v>1</v>
      </c>
      <c r="V20" s="17">
        <f t="shared" si="12"/>
        <v>0</v>
      </c>
      <c r="W20" s="17">
        <f t="shared" si="12"/>
        <v>0</v>
      </c>
      <c r="X20" s="17">
        <f t="shared" si="12"/>
        <v>0</v>
      </c>
      <c r="Y20" s="17">
        <f t="shared" si="12"/>
        <v>3</v>
      </c>
      <c r="Z20" s="17">
        <f t="shared" si="12"/>
        <v>0</v>
      </c>
      <c r="AA20" s="17">
        <f t="shared" si="12"/>
        <v>2</v>
      </c>
      <c r="AB20" s="17">
        <f t="shared" si="12"/>
        <v>0</v>
      </c>
      <c r="AC20" s="17">
        <f t="shared" si="12"/>
        <v>45</v>
      </c>
      <c r="AD20" s="17">
        <f t="shared" si="12"/>
        <v>0</v>
      </c>
      <c r="AE20" s="31">
        <f t="shared" si="12"/>
        <v>17</v>
      </c>
      <c r="AF20" s="31">
        <f t="shared" si="12"/>
        <v>62</v>
      </c>
    </row>
    <row r="21" spans="2:32" ht="23.1" customHeight="1" x14ac:dyDescent="0.25">
      <c r="B21" s="23" t="s">
        <v>48</v>
      </c>
      <c r="C21" s="50">
        <v>1</v>
      </c>
      <c r="D21" s="50">
        <v>0</v>
      </c>
      <c r="E21" s="50">
        <v>1</v>
      </c>
      <c r="F21" s="50">
        <v>1</v>
      </c>
      <c r="G21" s="50">
        <v>0</v>
      </c>
      <c r="H21" s="50">
        <v>0</v>
      </c>
      <c r="I21" s="50">
        <v>2</v>
      </c>
      <c r="J21" s="50">
        <v>0</v>
      </c>
      <c r="K21" s="50">
        <v>0</v>
      </c>
      <c r="L21" s="50">
        <v>0</v>
      </c>
      <c r="M21" s="50">
        <v>15</v>
      </c>
      <c r="N21" s="50">
        <v>0</v>
      </c>
      <c r="O21" s="15">
        <f t="shared" si="0"/>
        <v>5</v>
      </c>
      <c r="P21" s="15">
        <f t="shared" si="1"/>
        <v>20</v>
      </c>
      <c r="R21" s="36" t="s">
        <v>20</v>
      </c>
      <c r="S21" s="34">
        <f t="shared" ref="S21:AF21" si="13">SUM(C54:C57)</f>
        <v>16</v>
      </c>
      <c r="T21" s="17">
        <f t="shared" si="13"/>
        <v>0</v>
      </c>
      <c r="U21" s="17">
        <f t="shared" si="13"/>
        <v>1</v>
      </c>
      <c r="V21" s="17">
        <f t="shared" si="13"/>
        <v>2</v>
      </c>
      <c r="W21" s="17">
        <f t="shared" si="13"/>
        <v>1</v>
      </c>
      <c r="X21" s="17">
        <f t="shared" si="13"/>
        <v>0</v>
      </c>
      <c r="Y21" s="17">
        <f t="shared" si="13"/>
        <v>2</v>
      </c>
      <c r="Z21" s="17">
        <f t="shared" si="13"/>
        <v>2</v>
      </c>
      <c r="AA21" s="17">
        <f t="shared" si="13"/>
        <v>0</v>
      </c>
      <c r="AB21" s="17">
        <f t="shared" si="13"/>
        <v>0</v>
      </c>
      <c r="AC21" s="17">
        <f t="shared" si="13"/>
        <v>41</v>
      </c>
      <c r="AD21" s="17">
        <f t="shared" si="13"/>
        <v>0</v>
      </c>
      <c r="AE21" s="31">
        <f t="shared" si="13"/>
        <v>24</v>
      </c>
      <c r="AF21" s="31">
        <f t="shared" si="13"/>
        <v>65</v>
      </c>
    </row>
    <row r="22" spans="2:32" ht="23.1" customHeight="1" x14ac:dyDescent="0.25">
      <c r="B22" s="23" t="s">
        <v>49</v>
      </c>
      <c r="C22" s="50">
        <v>2</v>
      </c>
      <c r="D22" s="50">
        <v>1</v>
      </c>
      <c r="E22" s="50">
        <v>0</v>
      </c>
      <c r="F22" s="50">
        <v>0</v>
      </c>
      <c r="G22" s="50">
        <v>0</v>
      </c>
      <c r="H22" s="50">
        <v>0</v>
      </c>
      <c r="I22" s="50">
        <v>0</v>
      </c>
      <c r="J22" s="50">
        <v>0</v>
      </c>
      <c r="K22" s="50">
        <v>0</v>
      </c>
      <c r="L22" s="50">
        <v>1</v>
      </c>
      <c r="M22" s="50">
        <v>11</v>
      </c>
      <c r="N22" s="50">
        <v>0</v>
      </c>
      <c r="O22" s="15">
        <f t="shared" si="0"/>
        <v>4</v>
      </c>
      <c r="P22" s="15">
        <f t="shared" si="1"/>
        <v>15</v>
      </c>
      <c r="R22" s="38" t="s">
        <v>90</v>
      </c>
      <c r="S22" s="39">
        <f>MAX(S10:S12)</f>
        <v>6</v>
      </c>
      <c r="T22" s="39">
        <f t="shared" ref="T22:AF22" si="14">MAX(T10:T12)</f>
        <v>1</v>
      </c>
      <c r="U22" s="39">
        <f t="shared" si="14"/>
        <v>4</v>
      </c>
      <c r="V22" s="39">
        <f t="shared" si="14"/>
        <v>2</v>
      </c>
      <c r="W22" s="39">
        <f t="shared" si="14"/>
        <v>0</v>
      </c>
      <c r="X22" s="39">
        <f t="shared" si="14"/>
        <v>1</v>
      </c>
      <c r="Y22" s="39">
        <f t="shared" si="14"/>
        <v>3</v>
      </c>
      <c r="Z22" s="39">
        <f t="shared" si="14"/>
        <v>1</v>
      </c>
      <c r="AA22" s="39">
        <f t="shared" si="14"/>
        <v>3</v>
      </c>
      <c r="AB22" s="39">
        <f t="shared" si="14"/>
        <v>0</v>
      </c>
      <c r="AC22" s="39">
        <f t="shared" si="14"/>
        <v>44</v>
      </c>
      <c r="AD22" s="39">
        <f t="shared" si="14"/>
        <v>0</v>
      </c>
      <c r="AE22" s="40">
        <f t="shared" si="14"/>
        <v>15</v>
      </c>
      <c r="AF22" s="40">
        <f t="shared" si="14"/>
        <v>59</v>
      </c>
    </row>
    <row r="23" spans="2:32" ht="23.1" customHeight="1" x14ac:dyDescent="0.25">
      <c r="B23" s="23" t="s">
        <v>50</v>
      </c>
      <c r="C23" s="50">
        <v>0</v>
      </c>
      <c r="D23" s="50">
        <v>0</v>
      </c>
      <c r="E23" s="50">
        <v>1</v>
      </c>
      <c r="F23" s="50">
        <v>0</v>
      </c>
      <c r="G23" s="50">
        <v>0</v>
      </c>
      <c r="H23" s="50">
        <v>0</v>
      </c>
      <c r="I23" s="50">
        <v>0</v>
      </c>
      <c r="J23" s="50">
        <v>0</v>
      </c>
      <c r="K23" s="50">
        <v>1</v>
      </c>
      <c r="L23" s="50">
        <v>1</v>
      </c>
      <c r="M23" s="50">
        <v>8</v>
      </c>
      <c r="N23" s="50">
        <v>0</v>
      </c>
      <c r="O23" s="15">
        <f t="shared" si="0"/>
        <v>3</v>
      </c>
      <c r="P23" s="15">
        <f t="shared" si="1"/>
        <v>11</v>
      </c>
      <c r="R23" s="38" t="s">
        <v>91</v>
      </c>
      <c r="S23" s="39">
        <f>MAX(S13:S18)</f>
        <v>6</v>
      </c>
      <c r="T23" s="39">
        <f t="shared" ref="T23:AF23" si="15">MAX(T13:T18)</f>
        <v>2</v>
      </c>
      <c r="U23" s="39">
        <f t="shared" si="15"/>
        <v>3</v>
      </c>
      <c r="V23" s="39">
        <f t="shared" si="15"/>
        <v>3</v>
      </c>
      <c r="W23" s="39">
        <f t="shared" si="15"/>
        <v>0</v>
      </c>
      <c r="X23" s="39">
        <f t="shared" si="15"/>
        <v>0</v>
      </c>
      <c r="Y23" s="39">
        <f t="shared" si="15"/>
        <v>3</v>
      </c>
      <c r="Z23" s="39">
        <f t="shared" si="15"/>
        <v>2</v>
      </c>
      <c r="AA23" s="39">
        <f t="shared" si="15"/>
        <v>4</v>
      </c>
      <c r="AB23" s="39">
        <f t="shared" si="15"/>
        <v>2</v>
      </c>
      <c r="AC23" s="39">
        <f t="shared" si="15"/>
        <v>46</v>
      </c>
      <c r="AD23" s="39">
        <f t="shared" si="15"/>
        <v>0</v>
      </c>
      <c r="AE23" s="40">
        <f t="shared" si="15"/>
        <v>15</v>
      </c>
      <c r="AF23" s="40">
        <f t="shared" si="15"/>
        <v>57</v>
      </c>
    </row>
    <row r="24" spans="2:32" ht="23.1" customHeight="1" x14ac:dyDescent="0.25">
      <c r="B24" s="23" t="s">
        <v>51</v>
      </c>
      <c r="C24" s="50">
        <v>1</v>
      </c>
      <c r="D24" s="50">
        <v>0</v>
      </c>
      <c r="E24" s="50">
        <v>2</v>
      </c>
      <c r="F24" s="50">
        <v>0</v>
      </c>
      <c r="G24" s="50">
        <v>0</v>
      </c>
      <c r="H24" s="50">
        <v>0</v>
      </c>
      <c r="I24" s="50">
        <v>1</v>
      </c>
      <c r="J24" s="50">
        <v>0</v>
      </c>
      <c r="K24" s="50">
        <v>2</v>
      </c>
      <c r="L24" s="50">
        <v>0</v>
      </c>
      <c r="M24" s="50">
        <v>9</v>
      </c>
      <c r="N24" s="50">
        <v>0</v>
      </c>
      <c r="O24" s="15">
        <f t="shared" si="0"/>
        <v>6</v>
      </c>
      <c r="P24" s="15">
        <f t="shared" si="1"/>
        <v>15</v>
      </c>
      <c r="R24" s="38" t="s">
        <v>92</v>
      </c>
      <c r="S24" s="39">
        <f>MAX(S19:S21)</f>
        <v>16</v>
      </c>
      <c r="T24" s="39">
        <f t="shared" ref="T24:AF24" si="16">MAX(T19:T21)</f>
        <v>3</v>
      </c>
      <c r="U24" s="39">
        <f t="shared" si="16"/>
        <v>1</v>
      </c>
      <c r="V24" s="39">
        <f t="shared" si="16"/>
        <v>2</v>
      </c>
      <c r="W24" s="39">
        <f t="shared" si="16"/>
        <v>1</v>
      </c>
      <c r="X24" s="39">
        <f t="shared" si="16"/>
        <v>0</v>
      </c>
      <c r="Y24" s="39">
        <f t="shared" si="16"/>
        <v>3</v>
      </c>
      <c r="Z24" s="39">
        <f t="shared" si="16"/>
        <v>2</v>
      </c>
      <c r="AA24" s="39">
        <f t="shared" si="16"/>
        <v>2</v>
      </c>
      <c r="AB24" s="39">
        <f t="shared" si="16"/>
        <v>0</v>
      </c>
      <c r="AC24" s="39">
        <f t="shared" si="16"/>
        <v>45</v>
      </c>
      <c r="AD24" s="39">
        <f t="shared" si="16"/>
        <v>0</v>
      </c>
      <c r="AE24" s="40">
        <f t="shared" si="16"/>
        <v>24</v>
      </c>
      <c r="AF24" s="40">
        <f t="shared" si="16"/>
        <v>65</v>
      </c>
    </row>
    <row r="25" spans="2:32" ht="23.1" customHeight="1" x14ac:dyDescent="0.25">
      <c r="B25" s="23" t="s">
        <v>52</v>
      </c>
      <c r="C25" s="50">
        <v>0</v>
      </c>
      <c r="D25" s="50">
        <v>0</v>
      </c>
      <c r="E25" s="50">
        <v>0</v>
      </c>
      <c r="F25" s="50">
        <v>0</v>
      </c>
      <c r="G25" s="50">
        <v>0</v>
      </c>
      <c r="H25" s="50">
        <v>0</v>
      </c>
      <c r="I25" s="50">
        <v>0</v>
      </c>
      <c r="J25" s="50">
        <v>0</v>
      </c>
      <c r="K25" s="50">
        <v>1</v>
      </c>
      <c r="L25" s="50">
        <v>0</v>
      </c>
      <c r="M25" s="50">
        <v>8</v>
      </c>
      <c r="N25" s="50">
        <v>0</v>
      </c>
      <c r="O25" s="15">
        <f t="shared" si="0"/>
        <v>1</v>
      </c>
      <c r="P25" s="15">
        <f t="shared" si="1"/>
        <v>9</v>
      </c>
      <c r="R25" s="37" t="s">
        <v>85</v>
      </c>
      <c r="S25" s="35">
        <f t="shared" ref="S25:AF25" si="17">SUM(S10:S12)</f>
        <v>9</v>
      </c>
      <c r="T25" s="16">
        <f t="shared" si="17"/>
        <v>1</v>
      </c>
      <c r="U25" s="16">
        <f t="shared" si="17"/>
        <v>8</v>
      </c>
      <c r="V25" s="16">
        <f t="shared" si="17"/>
        <v>3</v>
      </c>
      <c r="W25" s="16">
        <f t="shared" si="17"/>
        <v>0</v>
      </c>
      <c r="X25" s="16">
        <f t="shared" si="17"/>
        <v>2</v>
      </c>
      <c r="Y25" s="16">
        <f t="shared" si="17"/>
        <v>3</v>
      </c>
      <c r="Z25" s="16">
        <f t="shared" si="17"/>
        <v>2</v>
      </c>
      <c r="AA25" s="16">
        <f t="shared" si="17"/>
        <v>7</v>
      </c>
      <c r="AB25" s="16">
        <f t="shared" si="17"/>
        <v>0</v>
      </c>
      <c r="AC25" s="16">
        <f t="shared" si="17"/>
        <v>104</v>
      </c>
      <c r="AD25" s="16">
        <f t="shared" si="17"/>
        <v>0</v>
      </c>
      <c r="AE25" s="32">
        <f t="shared" si="17"/>
        <v>35</v>
      </c>
      <c r="AF25" s="32">
        <f t="shared" si="17"/>
        <v>139</v>
      </c>
    </row>
    <row r="26" spans="2:32" ht="23.1" customHeight="1" x14ac:dyDescent="0.25">
      <c r="B26" s="23" t="s">
        <v>53</v>
      </c>
      <c r="C26" s="50">
        <v>0</v>
      </c>
      <c r="D26" s="50">
        <v>0</v>
      </c>
      <c r="E26" s="50">
        <v>2</v>
      </c>
      <c r="F26" s="50">
        <v>0</v>
      </c>
      <c r="G26" s="50">
        <v>0</v>
      </c>
      <c r="H26" s="50">
        <v>0</v>
      </c>
      <c r="I26" s="50">
        <v>0</v>
      </c>
      <c r="J26" s="50">
        <v>0</v>
      </c>
      <c r="K26" s="50">
        <v>0</v>
      </c>
      <c r="L26" s="50">
        <v>0</v>
      </c>
      <c r="M26" s="50">
        <v>8</v>
      </c>
      <c r="N26" s="50">
        <v>0</v>
      </c>
      <c r="O26" s="15">
        <f t="shared" si="0"/>
        <v>2</v>
      </c>
      <c r="P26" s="15">
        <f t="shared" si="1"/>
        <v>10</v>
      </c>
      <c r="R26" s="28" t="s">
        <v>86</v>
      </c>
      <c r="S26" s="16">
        <f t="shared" ref="S26:AF26" si="18">SUM(S13:S18)</f>
        <v>20</v>
      </c>
      <c r="T26" s="16">
        <f t="shared" si="18"/>
        <v>3</v>
      </c>
      <c r="U26" s="16">
        <f t="shared" si="18"/>
        <v>13</v>
      </c>
      <c r="V26" s="16">
        <f t="shared" si="18"/>
        <v>5</v>
      </c>
      <c r="W26" s="16">
        <f t="shared" si="18"/>
        <v>0</v>
      </c>
      <c r="X26" s="16">
        <f t="shared" si="18"/>
        <v>0</v>
      </c>
      <c r="Y26" s="16">
        <f t="shared" si="18"/>
        <v>12</v>
      </c>
      <c r="Z26" s="16">
        <f t="shared" si="18"/>
        <v>4</v>
      </c>
      <c r="AA26" s="16">
        <f t="shared" si="18"/>
        <v>13</v>
      </c>
      <c r="AB26" s="16">
        <f t="shared" si="18"/>
        <v>2</v>
      </c>
      <c r="AC26" s="16">
        <f t="shared" si="18"/>
        <v>214</v>
      </c>
      <c r="AD26" s="16">
        <f t="shared" si="18"/>
        <v>0</v>
      </c>
      <c r="AE26" s="32">
        <f t="shared" si="18"/>
        <v>72</v>
      </c>
      <c r="AF26" s="32">
        <f t="shared" si="18"/>
        <v>286</v>
      </c>
    </row>
    <row r="27" spans="2:32" ht="23.1" customHeight="1" x14ac:dyDescent="0.25">
      <c r="B27" s="23" t="s">
        <v>54</v>
      </c>
      <c r="C27" s="50">
        <v>0</v>
      </c>
      <c r="D27" s="50">
        <v>0</v>
      </c>
      <c r="E27" s="50">
        <v>0</v>
      </c>
      <c r="F27" s="50">
        <v>0</v>
      </c>
      <c r="G27" s="50">
        <v>0</v>
      </c>
      <c r="H27" s="50">
        <v>0</v>
      </c>
      <c r="I27" s="50">
        <v>1</v>
      </c>
      <c r="J27" s="50">
        <v>1</v>
      </c>
      <c r="K27" s="50">
        <v>1</v>
      </c>
      <c r="L27" s="50">
        <v>0</v>
      </c>
      <c r="M27" s="50">
        <v>7</v>
      </c>
      <c r="N27" s="50">
        <v>0</v>
      </c>
      <c r="O27" s="15">
        <f t="shared" si="0"/>
        <v>3</v>
      </c>
      <c r="P27" s="15">
        <f t="shared" si="1"/>
        <v>10</v>
      </c>
      <c r="R27" s="29" t="s">
        <v>87</v>
      </c>
      <c r="S27" s="16">
        <f t="shared" ref="S27:AF27" si="19">SUM(S19:S21)</f>
        <v>27</v>
      </c>
      <c r="T27" s="16">
        <f t="shared" si="19"/>
        <v>5</v>
      </c>
      <c r="U27" s="16">
        <f t="shared" si="19"/>
        <v>3</v>
      </c>
      <c r="V27" s="16">
        <f t="shared" si="19"/>
        <v>4</v>
      </c>
      <c r="W27" s="16">
        <f t="shared" si="19"/>
        <v>1</v>
      </c>
      <c r="X27" s="16">
        <f t="shared" si="19"/>
        <v>0</v>
      </c>
      <c r="Y27" s="16">
        <f t="shared" si="19"/>
        <v>6</v>
      </c>
      <c r="Z27" s="16">
        <f t="shared" si="19"/>
        <v>3</v>
      </c>
      <c r="AA27" s="16">
        <f t="shared" si="19"/>
        <v>2</v>
      </c>
      <c r="AB27" s="16">
        <f t="shared" si="19"/>
        <v>0</v>
      </c>
      <c r="AC27" s="16">
        <f t="shared" si="19"/>
        <v>120</v>
      </c>
      <c r="AD27" s="16">
        <f t="shared" si="19"/>
        <v>0</v>
      </c>
      <c r="AE27" s="32">
        <f t="shared" si="19"/>
        <v>51</v>
      </c>
      <c r="AF27" s="32">
        <f t="shared" si="19"/>
        <v>171</v>
      </c>
    </row>
    <row r="28" spans="2:32" ht="23.1" customHeight="1" x14ac:dyDescent="0.25">
      <c r="B28" s="23" t="s">
        <v>55</v>
      </c>
      <c r="C28" s="50">
        <v>1</v>
      </c>
      <c r="D28" s="50">
        <v>0</v>
      </c>
      <c r="E28" s="50">
        <v>0</v>
      </c>
      <c r="F28" s="50">
        <v>0</v>
      </c>
      <c r="G28" s="50">
        <v>0</v>
      </c>
      <c r="H28" s="50">
        <v>0</v>
      </c>
      <c r="I28" s="50">
        <v>0</v>
      </c>
      <c r="J28" s="50">
        <v>0</v>
      </c>
      <c r="K28" s="50">
        <v>1</v>
      </c>
      <c r="L28" s="50">
        <v>0</v>
      </c>
      <c r="M28" s="50">
        <v>9</v>
      </c>
      <c r="N28" s="50">
        <v>0</v>
      </c>
      <c r="O28" s="15">
        <f t="shared" si="0"/>
        <v>2</v>
      </c>
      <c r="P28" s="15">
        <f t="shared" si="1"/>
        <v>11</v>
      </c>
      <c r="R28" s="5" t="s">
        <v>17</v>
      </c>
      <c r="S28" s="16">
        <f t="shared" ref="S28:AF28" si="20">SUM(S10:S21)</f>
        <v>56</v>
      </c>
      <c r="T28" s="16">
        <f t="shared" si="20"/>
        <v>9</v>
      </c>
      <c r="U28" s="16">
        <f t="shared" si="20"/>
        <v>24</v>
      </c>
      <c r="V28" s="16">
        <f t="shared" si="20"/>
        <v>12</v>
      </c>
      <c r="W28" s="16">
        <f t="shared" si="20"/>
        <v>1</v>
      </c>
      <c r="X28" s="16">
        <f t="shared" si="20"/>
        <v>2</v>
      </c>
      <c r="Y28" s="16">
        <f t="shared" si="20"/>
        <v>21</v>
      </c>
      <c r="Z28" s="16">
        <f t="shared" si="20"/>
        <v>9</v>
      </c>
      <c r="AA28" s="16">
        <f t="shared" si="20"/>
        <v>22</v>
      </c>
      <c r="AB28" s="16">
        <f t="shared" si="20"/>
        <v>2</v>
      </c>
      <c r="AC28" s="16">
        <f t="shared" si="20"/>
        <v>438</v>
      </c>
      <c r="AD28" s="16">
        <f t="shared" si="20"/>
        <v>0</v>
      </c>
      <c r="AE28" s="32">
        <f t="shared" si="20"/>
        <v>158</v>
      </c>
      <c r="AF28" s="32">
        <f t="shared" si="20"/>
        <v>596</v>
      </c>
    </row>
    <row r="29" spans="2:32" ht="23.1" customHeight="1" x14ac:dyDescent="0.25">
      <c r="B29" s="23" t="s">
        <v>56</v>
      </c>
      <c r="C29" s="50">
        <v>0</v>
      </c>
      <c r="D29" s="50">
        <v>0</v>
      </c>
      <c r="E29" s="50">
        <v>0</v>
      </c>
      <c r="F29" s="50">
        <v>0</v>
      </c>
      <c r="G29" s="50">
        <v>0</v>
      </c>
      <c r="H29" s="50">
        <v>0</v>
      </c>
      <c r="I29" s="50">
        <v>0</v>
      </c>
      <c r="J29" s="50">
        <v>1</v>
      </c>
      <c r="K29" s="50">
        <v>0</v>
      </c>
      <c r="L29" s="50">
        <v>0</v>
      </c>
      <c r="M29" s="50">
        <v>5</v>
      </c>
      <c r="N29" s="50">
        <v>0</v>
      </c>
      <c r="O29" s="15">
        <f t="shared" si="0"/>
        <v>1</v>
      </c>
      <c r="P29" s="15">
        <f t="shared" si="1"/>
        <v>6</v>
      </c>
      <c r="R29"/>
      <c r="S29" s="20"/>
      <c r="T29" s="19"/>
    </row>
    <row r="30" spans="2:32" ht="23.1" customHeight="1" x14ac:dyDescent="0.25">
      <c r="B30" s="23" t="s">
        <v>57</v>
      </c>
      <c r="C30" s="50">
        <v>2</v>
      </c>
      <c r="D30" s="50">
        <v>2</v>
      </c>
      <c r="E30" s="50">
        <v>1</v>
      </c>
      <c r="F30" s="50">
        <v>0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0</v>
      </c>
      <c r="M30" s="50">
        <v>10</v>
      </c>
      <c r="N30" s="50">
        <v>0</v>
      </c>
      <c r="O30" s="15">
        <f t="shared" si="0"/>
        <v>5</v>
      </c>
      <c r="P30" s="15">
        <f t="shared" si="1"/>
        <v>15</v>
      </c>
    </row>
    <row r="31" spans="2:32" ht="23.1" customHeight="1" x14ac:dyDescent="0.25">
      <c r="B31" s="24" t="s">
        <v>58</v>
      </c>
      <c r="C31" s="50">
        <v>0</v>
      </c>
      <c r="D31" s="50">
        <v>0</v>
      </c>
      <c r="E31" s="50">
        <v>0</v>
      </c>
      <c r="F31" s="50">
        <v>0</v>
      </c>
      <c r="G31" s="50">
        <v>0</v>
      </c>
      <c r="H31" s="50">
        <v>0</v>
      </c>
      <c r="I31" s="50">
        <v>1</v>
      </c>
      <c r="J31" s="50">
        <v>0</v>
      </c>
      <c r="K31" s="50">
        <v>1</v>
      </c>
      <c r="L31" s="50">
        <v>0</v>
      </c>
      <c r="M31" s="50">
        <v>3</v>
      </c>
      <c r="N31" s="50">
        <v>0</v>
      </c>
      <c r="O31" s="15">
        <f t="shared" si="0"/>
        <v>2</v>
      </c>
      <c r="P31" s="15">
        <f t="shared" si="1"/>
        <v>5</v>
      </c>
    </row>
    <row r="32" spans="2:32" ht="23.1" customHeight="1" x14ac:dyDescent="0.25">
      <c r="B32" s="24" t="s">
        <v>59</v>
      </c>
      <c r="C32" s="50">
        <v>0</v>
      </c>
      <c r="D32" s="50">
        <v>0</v>
      </c>
      <c r="E32" s="50">
        <v>1</v>
      </c>
      <c r="F32" s="50">
        <v>0</v>
      </c>
      <c r="G32" s="50">
        <v>0</v>
      </c>
      <c r="H32" s="50">
        <v>0</v>
      </c>
      <c r="I32" s="50">
        <v>1</v>
      </c>
      <c r="J32" s="50">
        <v>0</v>
      </c>
      <c r="K32" s="50">
        <v>1</v>
      </c>
      <c r="L32" s="50">
        <v>0</v>
      </c>
      <c r="M32" s="50">
        <v>10</v>
      </c>
      <c r="N32" s="50">
        <v>0</v>
      </c>
      <c r="O32" s="15">
        <f t="shared" si="0"/>
        <v>3</v>
      </c>
      <c r="P32" s="15">
        <f t="shared" si="1"/>
        <v>13</v>
      </c>
    </row>
    <row r="33" spans="2:20" ht="23.1" customHeight="1" x14ac:dyDescent="0.25">
      <c r="B33" s="23" t="s">
        <v>60</v>
      </c>
      <c r="C33" s="50">
        <v>0</v>
      </c>
      <c r="D33" s="50">
        <v>0</v>
      </c>
      <c r="E33" s="50">
        <v>0</v>
      </c>
      <c r="F33" s="50">
        <v>1</v>
      </c>
      <c r="G33" s="50">
        <v>0</v>
      </c>
      <c r="H33" s="50">
        <v>0</v>
      </c>
      <c r="I33" s="50">
        <v>0</v>
      </c>
      <c r="J33" s="50">
        <v>0</v>
      </c>
      <c r="K33" s="50">
        <v>0</v>
      </c>
      <c r="L33" s="50">
        <v>0</v>
      </c>
      <c r="M33" s="50">
        <v>15</v>
      </c>
      <c r="N33" s="50">
        <v>0</v>
      </c>
      <c r="O33" s="15">
        <f t="shared" si="0"/>
        <v>1</v>
      </c>
      <c r="P33" s="15">
        <f t="shared" si="1"/>
        <v>16</v>
      </c>
    </row>
    <row r="34" spans="2:20" ht="23.1" customHeight="1" x14ac:dyDescent="0.25">
      <c r="B34" s="24" t="s">
        <v>61</v>
      </c>
      <c r="C34" s="50">
        <v>3</v>
      </c>
      <c r="D34" s="50">
        <v>0</v>
      </c>
      <c r="E34" s="50">
        <v>0</v>
      </c>
      <c r="F34" s="50">
        <v>0</v>
      </c>
      <c r="G34" s="50">
        <v>0</v>
      </c>
      <c r="H34" s="50">
        <v>0</v>
      </c>
      <c r="I34" s="50">
        <v>0</v>
      </c>
      <c r="J34" s="50">
        <v>0</v>
      </c>
      <c r="K34" s="50">
        <v>1</v>
      </c>
      <c r="L34" s="50">
        <v>0</v>
      </c>
      <c r="M34" s="50">
        <v>12</v>
      </c>
      <c r="N34" s="50">
        <v>0</v>
      </c>
      <c r="O34" s="15">
        <f t="shared" si="0"/>
        <v>4</v>
      </c>
      <c r="P34" s="15">
        <f t="shared" si="1"/>
        <v>16</v>
      </c>
    </row>
    <row r="35" spans="2:20" ht="23.1" customHeight="1" x14ac:dyDescent="0.25">
      <c r="B35" s="24" t="s">
        <v>62</v>
      </c>
      <c r="C35" s="50">
        <v>0</v>
      </c>
      <c r="D35" s="50">
        <v>0</v>
      </c>
      <c r="E35" s="50">
        <v>0</v>
      </c>
      <c r="F35" s="50">
        <v>0</v>
      </c>
      <c r="G35" s="50">
        <v>0</v>
      </c>
      <c r="H35" s="50">
        <v>0</v>
      </c>
      <c r="I35" s="50">
        <v>1</v>
      </c>
      <c r="J35" s="50">
        <v>0</v>
      </c>
      <c r="K35" s="50">
        <v>1</v>
      </c>
      <c r="L35" s="50">
        <v>0</v>
      </c>
      <c r="M35" s="50">
        <v>12</v>
      </c>
      <c r="N35" s="50">
        <v>0</v>
      </c>
      <c r="O35" s="15">
        <f t="shared" si="0"/>
        <v>2</v>
      </c>
      <c r="P35" s="15">
        <f t="shared" si="1"/>
        <v>14</v>
      </c>
    </row>
    <row r="36" spans="2:20" ht="23.1" customHeight="1" x14ac:dyDescent="0.25">
      <c r="B36" s="24" t="s">
        <v>63</v>
      </c>
      <c r="C36" s="50">
        <v>0</v>
      </c>
      <c r="D36" s="50">
        <v>0</v>
      </c>
      <c r="E36" s="50">
        <v>0</v>
      </c>
      <c r="F36" s="50">
        <v>0</v>
      </c>
      <c r="G36" s="50">
        <v>0</v>
      </c>
      <c r="H36" s="50">
        <v>0</v>
      </c>
      <c r="I36" s="50">
        <v>0</v>
      </c>
      <c r="J36" s="50">
        <v>0</v>
      </c>
      <c r="K36" s="50">
        <v>1</v>
      </c>
      <c r="L36" s="50">
        <v>0</v>
      </c>
      <c r="M36" s="50">
        <v>18</v>
      </c>
      <c r="N36" s="50">
        <v>0</v>
      </c>
      <c r="O36" s="15">
        <f t="shared" si="0"/>
        <v>1</v>
      </c>
      <c r="P36" s="15">
        <f t="shared" si="1"/>
        <v>19</v>
      </c>
    </row>
    <row r="37" spans="2:20" ht="23.1" customHeight="1" x14ac:dyDescent="0.25">
      <c r="B37" s="23" t="s">
        <v>64</v>
      </c>
      <c r="C37" s="50">
        <v>1</v>
      </c>
      <c r="D37" s="50">
        <v>0</v>
      </c>
      <c r="E37" s="50">
        <v>2</v>
      </c>
      <c r="F37" s="50">
        <v>0</v>
      </c>
      <c r="G37" s="50">
        <v>0</v>
      </c>
      <c r="H37" s="50">
        <v>0</v>
      </c>
      <c r="I37" s="50">
        <v>1</v>
      </c>
      <c r="J37" s="50">
        <v>0</v>
      </c>
      <c r="K37" s="50">
        <v>0</v>
      </c>
      <c r="L37" s="50">
        <v>0</v>
      </c>
      <c r="M37" s="50">
        <v>4</v>
      </c>
      <c r="N37" s="50">
        <v>0</v>
      </c>
      <c r="O37" s="15">
        <f t="shared" si="0"/>
        <v>4</v>
      </c>
      <c r="P37" s="15">
        <f t="shared" si="1"/>
        <v>8</v>
      </c>
    </row>
    <row r="38" spans="2:20" ht="23.1" customHeight="1" x14ac:dyDescent="0.25">
      <c r="B38" s="24" t="s">
        <v>65</v>
      </c>
      <c r="C38" s="50">
        <v>0</v>
      </c>
      <c r="D38" s="50">
        <v>0</v>
      </c>
      <c r="E38" s="50">
        <v>0</v>
      </c>
      <c r="F38" s="50">
        <v>0</v>
      </c>
      <c r="G38" s="50">
        <v>0</v>
      </c>
      <c r="H38" s="50">
        <v>0</v>
      </c>
      <c r="I38" s="50">
        <v>0</v>
      </c>
      <c r="J38" s="50">
        <v>0</v>
      </c>
      <c r="K38" s="50">
        <v>1</v>
      </c>
      <c r="L38" s="50">
        <v>0</v>
      </c>
      <c r="M38" s="50">
        <v>6</v>
      </c>
      <c r="N38" s="50">
        <v>0</v>
      </c>
      <c r="O38" s="15">
        <f t="shared" si="0"/>
        <v>1</v>
      </c>
      <c r="P38" s="15">
        <f t="shared" si="1"/>
        <v>7</v>
      </c>
    </row>
    <row r="39" spans="2:20" ht="23.1" customHeight="1" x14ac:dyDescent="0.25">
      <c r="B39" s="24" t="s">
        <v>66</v>
      </c>
      <c r="C39" s="50">
        <v>1</v>
      </c>
      <c r="D39" s="50">
        <v>0</v>
      </c>
      <c r="E39" s="50">
        <v>0</v>
      </c>
      <c r="F39" s="50">
        <v>1</v>
      </c>
      <c r="G39" s="50">
        <v>0</v>
      </c>
      <c r="H39" s="50">
        <v>0</v>
      </c>
      <c r="I39" s="50">
        <v>1</v>
      </c>
      <c r="J39" s="50">
        <v>0</v>
      </c>
      <c r="K39" s="50">
        <v>1</v>
      </c>
      <c r="L39" s="50">
        <v>0</v>
      </c>
      <c r="M39" s="50">
        <v>5</v>
      </c>
      <c r="N39" s="50">
        <v>0</v>
      </c>
      <c r="O39" s="15">
        <f t="shared" si="0"/>
        <v>4</v>
      </c>
      <c r="P39" s="15">
        <f t="shared" si="1"/>
        <v>9</v>
      </c>
    </row>
    <row r="40" spans="2:20" ht="23.1" customHeight="1" x14ac:dyDescent="0.25">
      <c r="B40" s="24" t="s">
        <v>67</v>
      </c>
      <c r="C40" s="50">
        <v>1</v>
      </c>
      <c r="D40" s="50">
        <v>0</v>
      </c>
      <c r="E40" s="50">
        <v>1</v>
      </c>
      <c r="F40" s="50">
        <v>2</v>
      </c>
      <c r="G40" s="50">
        <v>0</v>
      </c>
      <c r="H40" s="50">
        <v>0</v>
      </c>
      <c r="I40" s="50">
        <v>0</v>
      </c>
      <c r="J40" s="50">
        <v>0</v>
      </c>
      <c r="K40" s="50">
        <v>0</v>
      </c>
      <c r="L40" s="50">
        <v>0</v>
      </c>
      <c r="M40" s="50">
        <v>10</v>
      </c>
      <c r="N40" s="50">
        <v>0</v>
      </c>
      <c r="O40" s="15">
        <f t="shared" si="0"/>
        <v>4</v>
      </c>
      <c r="P40" s="15">
        <f t="shared" si="1"/>
        <v>14</v>
      </c>
    </row>
    <row r="41" spans="2:20" ht="23.1" customHeight="1" x14ac:dyDescent="0.25">
      <c r="B41" s="23" t="s">
        <v>68</v>
      </c>
      <c r="C41" s="50">
        <v>2</v>
      </c>
      <c r="D41" s="50">
        <v>0</v>
      </c>
      <c r="E41" s="50">
        <v>2</v>
      </c>
      <c r="F41" s="50">
        <v>0</v>
      </c>
      <c r="G41" s="50">
        <v>0</v>
      </c>
      <c r="H41" s="50">
        <v>0</v>
      </c>
      <c r="I41" s="50">
        <v>2</v>
      </c>
      <c r="J41" s="50">
        <v>0</v>
      </c>
      <c r="K41" s="50">
        <v>0</v>
      </c>
      <c r="L41" s="50">
        <v>0</v>
      </c>
      <c r="M41" s="50">
        <v>3</v>
      </c>
      <c r="N41" s="50">
        <v>0</v>
      </c>
      <c r="O41" s="15">
        <f t="shared" si="0"/>
        <v>6</v>
      </c>
      <c r="P41" s="15">
        <f t="shared" si="1"/>
        <v>9</v>
      </c>
    </row>
    <row r="42" spans="2:20" ht="23.1" customHeight="1" x14ac:dyDescent="0.25">
      <c r="B42" s="24" t="s">
        <v>69</v>
      </c>
      <c r="C42" s="50">
        <v>1</v>
      </c>
      <c r="D42" s="50">
        <v>0</v>
      </c>
      <c r="E42" s="50">
        <v>0</v>
      </c>
      <c r="F42" s="50">
        <v>1</v>
      </c>
      <c r="G42" s="50">
        <v>0</v>
      </c>
      <c r="H42" s="50">
        <v>0</v>
      </c>
      <c r="I42" s="50">
        <v>0</v>
      </c>
      <c r="J42" s="50">
        <v>0</v>
      </c>
      <c r="K42" s="50">
        <v>0</v>
      </c>
      <c r="L42" s="50">
        <v>0</v>
      </c>
      <c r="M42" s="50">
        <v>10</v>
      </c>
      <c r="N42" s="50">
        <v>0</v>
      </c>
      <c r="O42" s="15">
        <f t="shared" si="0"/>
        <v>2</v>
      </c>
      <c r="P42" s="15">
        <f t="shared" si="1"/>
        <v>12</v>
      </c>
    </row>
    <row r="43" spans="2:20" ht="23.1" customHeight="1" x14ac:dyDescent="0.25">
      <c r="B43" s="23" t="s">
        <v>70</v>
      </c>
      <c r="C43" s="50">
        <v>2</v>
      </c>
      <c r="D43" s="50">
        <v>0</v>
      </c>
      <c r="E43" s="50">
        <v>0</v>
      </c>
      <c r="F43" s="50">
        <v>0</v>
      </c>
      <c r="G43" s="50">
        <v>0</v>
      </c>
      <c r="H43" s="50">
        <v>0</v>
      </c>
      <c r="I43" s="50">
        <v>2</v>
      </c>
      <c r="J43" s="50">
        <v>1</v>
      </c>
      <c r="K43" s="50">
        <v>0</v>
      </c>
      <c r="L43" s="50">
        <v>0</v>
      </c>
      <c r="M43" s="50">
        <v>11</v>
      </c>
      <c r="N43" s="50">
        <v>0</v>
      </c>
      <c r="O43" s="15">
        <f t="shared" si="0"/>
        <v>5</v>
      </c>
      <c r="P43" s="15">
        <f t="shared" si="1"/>
        <v>16</v>
      </c>
    </row>
    <row r="44" spans="2:20" ht="23.1" customHeight="1" x14ac:dyDescent="0.25">
      <c r="B44" s="25" t="s">
        <v>71</v>
      </c>
      <c r="C44" s="50">
        <v>3</v>
      </c>
      <c r="D44" s="50">
        <v>0</v>
      </c>
      <c r="E44" s="50">
        <v>0</v>
      </c>
      <c r="F44" s="50">
        <v>0</v>
      </c>
      <c r="G44" s="50">
        <v>0</v>
      </c>
      <c r="H44" s="50">
        <v>0</v>
      </c>
      <c r="I44" s="50">
        <v>1</v>
      </c>
      <c r="J44" s="50">
        <v>1</v>
      </c>
      <c r="K44" s="50">
        <v>0</v>
      </c>
      <c r="L44" s="50">
        <v>0</v>
      </c>
      <c r="M44" s="50">
        <v>11</v>
      </c>
      <c r="N44" s="50">
        <v>0</v>
      </c>
      <c r="O44" s="15">
        <f t="shared" si="0"/>
        <v>5</v>
      </c>
      <c r="P44" s="15">
        <f t="shared" si="1"/>
        <v>16</v>
      </c>
    </row>
    <row r="45" spans="2:20" ht="23.1" customHeight="1" x14ac:dyDescent="0.25">
      <c r="B45" s="23" t="s">
        <v>72</v>
      </c>
      <c r="C45" s="50">
        <v>0</v>
      </c>
      <c r="D45" s="50">
        <v>0</v>
      </c>
      <c r="E45" s="50">
        <v>1</v>
      </c>
      <c r="F45" s="50">
        <v>0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0</v>
      </c>
      <c r="M45" s="50">
        <v>9</v>
      </c>
      <c r="N45" s="50">
        <v>0</v>
      </c>
      <c r="O45" s="15">
        <f t="shared" si="0"/>
        <v>1</v>
      </c>
      <c r="P45" s="15">
        <f t="shared" si="1"/>
        <v>10</v>
      </c>
    </row>
    <row r="46" spans="2:20" ht="23.1" customHeight="1" x14ac:dyDescent="0.25">
      <c r="B46" s="24" t="s">
        <v>73</v>
      </c>
      <c r="C46" s="50">
        <v>0</v>
      </c>
      <c r="D46" s="50">
        <v>1</v>
      </c>
      <c r="E46" s="50">
        <v>0</v>
      </c>
      <c r="F46" s="50">
        <v>0</v>
      </c>
      <c r="G46" s="50">
        <v>0</v>
      </c>
      <c r="H46" s="50">
        <v>0</v>
      </c>
      <c r="I46" s="50">
        <v>0</v>
      </c>
      <c r="J46" s="50">
        <v>1</v>
      </c>
      <c r="K46" s="50">
        <v>0</v>
      </c>
      <c r="L46" s="50">
        <v>0</v>
      </c>
      <c r="M46" s="50">
        <v>4</v>
      </c>
      <c r="N46" s="50">
        <v>0</v>
      </c>
      <c r="O46" s="15">
        <f t="shared" si="0"/>
        <v>2</v>
      </c>
      <c r="P46" s="15">
        <f t="shared" si="1"/>
        <v>6</v>
      </c>
      <c r="R46" s="8"/>
      <c r="T46"/>
    </row>
    <row r="47" spans="2:20" ht="23.1" customHeight="1" x14ac:dyDescent="0.25">
      <c r="B47" s="24" t="s">
        <v>74</v>
      </c>
      <c r="C47" s="50">
        <v>2</v>
      </c>
      <c r="D47" s="50">
        <v>1</v>
      </c>
      <c r="E47" s="50">
        <v>0</v>
      </c>
      <c r="F47" s="50">
        <v>0</v>
      </c>
      <c r="G47" s="50">
        <v>0</v>
      </c>
      <c r="H47" s="50">
        <v>0</v>
      </c>
      <c r="I47" s="50">
        <v>0</v>
      </c>
      <c r="J47" s="50">
        <v>0</v>
      </c>
      <c r="K47" s="50">
        <v>0</v>
      </c>
      <c r="L47" s="50">
        <v>0</v>
      </c>
      <c r="M47" s="50">
        <v>4</v>
      </c>
      <c r="N47" s="50">
        <v>0</v>
      </c>
      <c r="O47" s="15">
        <f t="shared" si="0"/>
        <v>3</v>
      </c>
      <c r="P47" s="15">
        <f t="shared" si="1"/>
        <v>7</v>
      </c>
      <c r="R47" s="8"/>
      <c r="T47"/>
    </row>
    <row r="48" spans="2:20" ht="23.1" customHeight="1" x14ac:dyDescent="0.25">
      <c r="B48" s="24" t="s">
        <v>75</v>
      </c>
      <c r="C48" s="50">
        <v>1</v>
      </c>
      <c r="D48" s="50">
        <v>0</v>
      </c>
      <c r="E48" s="50">
        <v>1</v>
      </c>
      <c r="F48" s="50">
        <v>0</v>
      </c>
      <c r="G48" s="50">
        <v>0</v>
      </c>
      <c r="H48" s="50">
        <v>0</v>
      </c>
      <c r="I48" s="50">
        <v>0</v>
      </c>
      <c r="J48" s="50">
        <v>0</v>
      </c>
      <c r="K48" s="50">
        <v>0</v>
      </c>
      <c r="L48" s="50">
        <v>0</v>
      </c>
      <c r="M48" s="50">
        <v>12</v>
      </c>
      <c r="N48" s="50">
        <v>0</v>
      </c>
      <c r="O48" s="15">
        <f t="shared" si="0"/>
        <v>2</v>
      </c>
      <c r="P48" s="15">
        <f t="shared" si="1"/>
        <v>14</v>
      </c>
      <c r="R48" s="8"/>
      <c r="T48"/>
    </row>
    <row r="49" spans="2:20" ht="23.1" customHeight="1" x14ac:dyDescent="0.25">
      <c r="B49" s="23" t="s">
        <v>76</v>
      </c>
      <c r="C49" s="50">
        <v>0</v>
      </c>
      <c r="D49" s="50">
        <v>0</v>
      </c>
      <c r="E49" s="50">
        <v>0</v>
      </c>
      <c r="F49" s="50">
        <v>2</v>
      </c>
      <c r="G49" s="50">
        <v>0</v>
      </c>
      <c r="H49" s="50">
        <v>0</v>
      </c>
      <c r="I49" s="50">
        <v>1</v>
      </c>
      <c r="J49" s="50">
        <v>0</v>
      </c>
      <c r="K49" s="50">
        <v>0</v>
      </c>
      <c r="L49" s="50">
        <v>0</v>
      </c>
      <c r="M49" s="50">
        <v>14</v>
      </c>
      <c r="N49" s="50">
        <v>0</v>
      </c>
      <c r="O49" s="15">
        <f t="shared" si="0"/>
        <v>3</v>
      </c>
      <c r="P49" s="15">
        <f t="shared" si="1"/>
        <v>17</v>
      </c>
      <c r="R49" s="8"/>
      <c r="T49"/>
    </row>
    <row r="50" spans="2:20" ht="23.1" customHeight="1" x14ac:dyDescent="0.25">
      <c r="B50" s="24" t="s">
        <v>77</v>
      </c>
      <c r="C50" s="50">
        <v>1</v>
      </c>
      <c r="D50" s="50">
        <v>2</v>
      </c>
      <c r="E50" s="50">
        <v>0</v>
      </c>
      <c r="F50" s="50">
        <v>0</v>
      </c>
      <c r="G50" s="50">
        <v>0</v>
      </c>
      <c r="H50" s="50">
        <v>0</v>
      </c>
      <c r="I50" s="50">
        <v>0</v>
      </c>
      <c r="J50" s="50">
        <v>0</v>
      </c>
      <c r="K50" s="50">
        <v>0</v>
      </c>
      <c r="L50" s="50">
        <v>0</v>
      </c>
      <c r="M50" s="50">
        <v>12</v>
      </c>
      <c r="N50" s="50">
        <v>0</v>
      </c>
      <c r="O50" s="15">
        <f t="shared" si="0"/>
        <v>3</v>
      </c>
      <c r="P50" s="15">
        <f t="shared" si="1"/>
        <v>15</v>
      </c>
      <c r="R50" s="8"/>
      <c r="T50"/>
    </row>
    <row r="51" spans="2:20" ht="23.1" customHeight="1" x14ac:dyDescent="0.25">
      <c r="B51" s="24" t="s">
        <v>78</v>
      </c>
      <c r="C51" s="50">
        <v>1</v>
      </c>
      <c r="D51" s="50">
        <v>1</v>
      </c>
      <c r="E51" s="50">
        <v>1</v>
      </c>
      <c r="F51" s="50">
        <v>0</v>
      </c>
      <c r="G51" s="50">
        <v>0</v>
      </c>
      <c r="H51" s="50">
        <v>0</v>
      </c>
      <c r="I51" s="50">
        <v>0</v>
      </c>
      <c r="J51" s="50">
        <v>0</v>
      </c>
      <c r="K51" s="50">
        <v>1</v>
      </c>
      <c r="L51" s="50">
        <v>0</v>
      </c>
      <c r="M51" s="50">
        <v>8</v>
      </c>
      <c r="N51" s="50">
        <v>0</v>
      </c>
      <c r="O51" s="15">
        <f t="shared" si="0"/>
        <v>4</v>
      </c>
      <c r="P51" s="15">
        <f t="shared" si="1"/>
        <v>12</v>
      </c>
      <c r="R51" s="8"/>
      <c r="T51"/>
    </row>
    <row r="52" spans="2:20" ht="23.1" customHeight="1" x14ac:dyDescent="0.25">
      <c r="B52" s="24" t="s">
        <v>79</v>
      </c>
      <c r="C52" s="50">
        <v>3</v>
      </c>
      <c r="D52" s="50">
        <v>0</v>
      </c>
      <c r="E52" s="50">
        <v>0</v>
      </c>
      <c r="F52" s="50">
        <v>0</v>
      </c>
      <c r="G52" s="50">
        <v>0</v>
      </c>
      <c r="H52" s="50">
        <v>0</v>
      </c>
      <c r="I52" s="50">
        <v>2</v>
      </c>
      <c r="J52" s="50">
        <v>0</v>
      </c>
      <c r="K52" s="50">
        <v>0</v>
      </c>
      <c r="L52" s="50">
        <v>0</v>
      </c>
      <c r="M52" s="50">
        <v>15</v>
      </c>
      <c r="N52" s="50">
        <v>0</v>
      </c>
      <c r="O52" s="15">
        <f t="shared" si="0"/>
        <v>5</v>
      </c>
      <c r="P52" s="15">
        <f t="shared" si="1"/>
        <v>20</v>
      </c>
      <c r="R52" s="8"/>
      <c r="T52"/>
    </row>
    <row r="53" spans="2:20" ht="23.1" customHeight="1" x14ac:dyDescent="0.25">
      <c r="B53" s="23" t="s">
        <v>80</v>
      </c>
      <c r="C53" s="50">
        <v>3</v>
      </c>
      <c r="D53" s="50">
        <v>0</v>
      </c>
      <c r="E53" s="50">
        <v>0</v>
      </c>
      <c r="F53" s="50">
        <v>0</v>
      </c>
      <c r="G53" s="50">
        <v>0</v>
      </c>
      <c r="H53" s="50">
        <v>0</v>
      </c>
      <c r="I53" s="50">
        <v>1</v>
      </c>
      <c r="J53" s="50">
        <v>0</v>
      </c>
      <c r="K53" s="50">
        <v>1</v>
      </c>
      <c r="L53" s="50">
        <v>0</v>
      </c>
      <c r="M53" s="50">
        <v>10</v>
      </c>
      <c r="N53" s="50">
        <v>0</v>
      </c>
      <c r="O53" s="15">
        <f t="shared" si="0"/>
        <v>5</v>
      </c>
      <c r="P53" s="15">
        <f t="shared" si="1"/>
        <v>15</v>
      </c>
      <c r="R53" s="8"/>
      <c r="T53"/>
    </row>
    <row r="54" spans="2:20" ht="23.1" customHeight="1" x14ac:dyDescent="0.25">
      <c r="B54" s="23" t="s">
        <v>81</v>
      </c>
      <c r="C54" s="50">
        <v>3</v>
      </c>
      <c r="D54" s="50">
        <v>0</v>
      </c>
      <c r="E54" s="50">
        <v>0</v>
      </c>
      <c r="F54" s="50">
        <v>1</v>
      </c>
      <c r="G54" s="50">
        <v>1</v>
      </c>
      <c r="H54" s="50">
        <v>0</v>
      </c>
      <c r="I54" s="50">
        <v>0</v>
      </c>
      <c r="J54" s="50">
        <v>0</v>
      </c>
      <c r="K54" s="50">
        <v>0</v>
      </c>
      <c r="L54" s="50">
        <v>0</v>
      </c>
      <c r="M54" s="50">
        <v>16</v>
      </c>
      <c r="N54" s="50">
        <v>0</v>
      </c>
      <c r="O54" s="15">
        <f t="shared" si="0"/>
        <v>5</v>
      </c>
      <c r="P54" s="15">
        <f t="shared" si="1"/>
        <v>21</v>
      </c>
      <c r="R54" s="8"/>
      <c r="T54"/>
    </row>
    <row r="55" spans="2:20" ht="23.1" customHeight="1" x14ac:dyDescent="0.25">
      <c r="B55" s="23" t="s">
        <v>82</v>
      </c>
      <c r="C55" s="50">
        <v>5</v>
      </c>
      <c r="D55" s="50">
        <v>0</v>
      </c>
      <c r="E55" s="50">
        <v>0</v>
      </c>
      <c r="F55" s="50">
        <v>1</v>
      </c>
      <c r="G55" s="50">
        <v>0</v>
      </c>
      <c r="H55" s="50">
        <v>0</v>
      </c>
      <c r="I55" s="50">
        <v>1</v>
      </c>
      <c r="J55" s="50">
        <v>0</v>
      </c>
      <c r="K55" s="50">
        <v>0</v>
      </c>
      <c r="L55" s="50">
        <v>0</v>
      </c>
      <c r="M55" s="50">
        <v>9</v>
      </c>
      <c r="N55" s="50">
        <v>0</v>
      </c>
      <c r="O55" s="15">
        <f t="shared" si="0"/>
        <v>7</v>
      </c>
      <c r="P55" s="15">
        <f t="shared" si="1"/>
        <v>16</v>
      </c>
      <c r="R55" s="8"/>
      <c r="T55"/>
    </row>
    <row r="56" spans="2:20" ht="23.1" customHeight="1" x14ac:dyDescent="0.25">
      <c r="B56" s="23" t="s">
        <v>83</v>
      </c>
      <c r="C56" s="50">
        <v>3</v>
      </c>
      <c r="D56" s="50">
        <v>0</v>
      </c>
      <c r="E56" s="50">
        <v>0</v>
      </c>
      <c r="F56" s="50">
        <v>0</v>
      </c>
      <c r="G56" s="50">
        <v>0</v>
      </c>
      <c r="H56" s="50">
        <v>0</v>
      </c>
      <c r="I56" s="50">
        <v>0</v>
      </c>
      <c r="J56" s="50">
        <v>2</v>
      </c>
      <c r="K56" s="50">
        <v>0</v>
      </c>
      <c r="L56" s="50">
        <v>0</v>
      </c>
      <c r="M56" s="50">
        <v>9</v>
      </c>
      <c r="N56" s="50">
        <v>0</v>
      </c>
      <c r="O56" s="15">
        <f t="shared" si="0"/>
        <v>5</v>
      </c>
      <c r="P56" s="15">
        <f t="shared" si="1"/>
        <v>14</v>
      </c>
      <c r="R56" s="8"/>
      <c r="T56"/>
    </row>
    <row r="57" spans="2:20" ht="23.1" customHeight="1" x14ac:dyDescent="0.25">
      <c r="B57" s="23" t="s">
        <v>84</v>
      </c>
      <c r="C57" s="50">
        <v>5</v>
      </c>
      <c r="D57" s="50">
        <v>0</v>
      </c>
      <c r="E57" s="50">
        <v>1</v>
      </c>
      <c r="F57" s="50">
        <v>0</v>
      </c>
      <c r="G57" s="50">
        <v>0</v>
      </c>
      <c r="H57" s="50">
        <v>0</v>
      </c>
      <c r="I57" s="50">
        <v>1</v>
      </c>
      <c r="J57" s="50">
        <v>0</v>
      </c>
      <c r="K57" s="50">
        <v>0</v>
      </c>
      <c r="L57" s="50">
        <v>0</v>
      </c>
      <c r="M57" s="50">
        <v>7</v>
      </c>
      <c r="N57" s="50">
        <v>0</v>
      </c>
      <c r="O57" s="15">
        <f t="shared" si="0"/>
        <v>7</v>
      </c>
      <c r="P57" s="15">
        <f t="shared" si="1"/>
        <v>14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56</v>
      </c>
      <c r="D58" s="16">
        <f t="shared" si="21"/>
        <v>9</v>
      </c>
      <c r="E58" s="16">
        <f t="shared" si="21"/>
        <v>24</v>
      </c>
      <c r="F58" s="16">
        <f t="shared" si="21"/>
        <v>12</v>
      </c>
      <c r="G58" s="16">
        <f t="shared" si="21"/>
        <v>1</v>
      </c>
      <c r="H58" s="16">
        <f t="shared" si="21"/>
        <v>2</v>
      </c>
      <c r="I58" s="16">
        <f t="shared" si="21"/>
        <v>21</v>
      </c>
      <c r="J58" s="16">
        <f t="shared" si="21"/>
        <v>9</v>
      </c>
      <c r="K58" s="16">
        <f t="shared" si="21"/>
        <v>22</v>
      </c>
      <c r="L58" s="16">
        <f t="shared" si="21"/>
        <v>2</v>
      </c>
      <c r="M58" s="16">
        <f t="shared" si="21"/>
        <v>438</v>
      </c>
      <c r="N58" s="16">
        <f t="shared" si="21"/>
        <v>0</v>
      </c>
      <c r="O58" s="16">
        <f t="shared" si="21"/>
        <v>158</v>
      </c>
      <c r="P58" s="16">
        <f t="shared" si="21"/>
        <v>596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9.3959731543624164E-2</v>
      </c>
      <c r="D59" s="43">
        <f t="shared" si="22"/>
        <v>1.5100671140939598E-2</v>
      </c>
      <c r="E59" s="43">
        <f t="shared" si="22"/>
        <v>4.0268456375838924E-2</v>
      </c>
      <c r="F59" s="43">
        <f t="shared" si="22"/>
        <v>2.0134228187919462E-2</v>
      </c>
      <c r="G59" s="43">
        <f t="shared" si="22"/>
        <v>1.6778523489932886E-3</v>
      </c>
      <c r="H59" s="43">
        <f t="shared" si="22"/>
        <v>3.3557046979865771E-3</v>
      </c>
      <c r="I59" s="43">
        <f t="shared" si="22"/>
        <v>3.5234899328859058E-2</v>
      </c>
      <c r="J59" s="43">
        <f t="shared" si="22"/>
        <v>1.5100671140939598E-2</v>
      </c>
      <c r="K59" s="43">
        <f t="shared" si="22"/>
        <v>3.6912751677852351E-2</v>
      </c>
      <c r="L59" s="43">
        <f t="shared" si="22"/>
        <v>3.3557046979865771E-3</v>
      </c>
      <c r="M59" s="43">
        <f t="shared" si="22"/>
        <v>0.7348993288590604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0.35443037974683544</v>
      </c>
      <c r="D60" s="44">
        <f t="shared" ref="D60:N60" si="23">D58/$O$58</f>
        <v>5.6962025316455694E-2</v>
      </c>
      <c r="E60" s="44">
        <f t="shared" si="23"/>
        <v>0.15189873417721519</v>
      </c>
      <c r="F60" s="44">
        <f t="shared" si="23"/>
        <v>7.5949367088607597E-2</v>
      </c>
      <c r="G60" s="44">
        <f t="shared" si="23"/>
        <v>6.3291139240506328E-3</v>
      </c>
      <c r="H60" s="44">
        <f t="shared" si="23"/>
        <v>1.2658227848101266E-2</v>
      </c>
      <c r="I60" s="44">
        <f t="shared" si="23"/>
        <v>0.13291139240506328</v>
      </c>
      <c r="J60" s="44">
        <f t="shared" si="23"/>
        <v>5.6962025316455694E-2</v>
      </c>
      <c r="K60" s="44">
        <f t="shared" si="23"/>
        <v>0.13924050632911392</v>
      </c>
      <c r="L60" s="44">
        <f t="shared" si="23"/>
        <v>1.2658227848101266E-2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="90" zoomScaleSheetLayoutView="90" workbookViewId="0">
      <selection activeCell="C3" sqref="C3:G3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1" t="s">
        <v>23</v>
      </c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</row>
    <row r="2" spans="2:32" ht="20.100000000000001" customHeight="1" x14ac:dyDescent="0.25">
      <c r="B2" s="62" t="s">
        <v>95</v>
      </c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</row>
    <row r="3" spans="2:32" ht="20.100000000000001" customHeight="1" x14ac:dyDescent="0.25">
      <c r="B3" s="22" t="s">
        <v>96</v>
      </c>
      <c r="C3" s="63" t="s">
        <v>182</v>
      </c>
      <c r="D3" s="63"/>
      <c r="E3" s="63"/>
      <c r="F3" s="63"/>
      <c r="G3" s="63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51" t="str">
        <f>'23.10 SSEMBABULE-KANONI'!D5</f>
        <v>23.10.2019</v>
      </c>
      <c r="E5" s="3"/>
      <c r="F5" s="41" t="s">
        <v>1</v>
      </c>
      <c r="G5" s="58" t="str">
        <f>'23.10 SSEMBABULE-KANONI'!G5:H5</f>
        <v>KYABI</v>
      </c>
      <c r="H5" s="59"/>
      <c r="I5" s="14"/>
      <c r="J5" s="2" t="s">
        <v>5</v>
      </c>
      <c r="K5" s="58" t="s">
        <v>176</v>
      </c>
      <c r="L5" s="59"/>
      <c r="M5" s="10"/>
      <c r="N5" s="10"/>
      <c r="O5" s="3"/>
      <c r="P5" s="3"/>
    </row>
    <row r="6" spans="2:32" ht="23.25" customHeight="1" x14ac:dyDescent="0.25">
      <c r="C6" s="2" t="s">
        <v>4</v>
      </c>
      <c r="D6" s="58" t="s">
        <v>168</v>
      </c>
      <c r="E6" s="59"/>
      <c r="F6" s="2" t="s">
        <v>2</v>
      </c>
      <c r="G6" s="58" t="s">
        <v>167</v>
      </c>
      <c r="H6" s="59"/>
      <c r="J6" s="2" t="s">
        <v>21</v>
      </c>
      <c r="K6" s="58" t="str">
        <f>'23.10 SSEMBABULE-KANONI'!K6:L6</f>
        <v>ONYUTI BETTY</v>
      </c>
      <c r="L6" s="59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0" t="s">
        <v>88</v>
      </c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0</v>
      </c>
      <c r="D10" s="50">
        <v>0</v>
      </c>
      <c r="E10" s="50">
        <v>1</v>
      </c>
      <c r="F10" s="50">
        <v>0</v>
      </c>
      <c r="G10" s="50">
        <v>0</v>
      </c>
      <c r="H10" s="50">
        <v>0</v>
      </c>
      <c r="I10" s="50">
        <v>1</v>
      </c>
      <c r="J10" s="50">
        <v>0</v>
      </c>
      <c r="K10" s="50">
        <v>0</v>
      </c>
      <c r="L10" s="50">
        <v>0</v>
      </c>
      <c r="M10" s="50">
        <v>8</v>
      </c>
      <c r="N10" s="50">
        <v>0</v>
      </c>
      <c r="O10" s="15">
        <f t="shared" ref="O10:O57" si="0">SUM(C10:L10,N10)</f>
        <v>2</v>
      </c>
      <c r="P10" s="15">
        <f t="shared" ref="P10:P57" si="1">SUM(C10:N10)</f>
        <v>10</v>
      </c>
      <c r="R10" s="1" t="s">
        <v>6</v>
      </c>
      <c r="S10" s="17">
        <f t="shared" ref="S10:AF10" si="2">SUM(C10:C13)</f>
        <v>4</v>
      </c>
      <c r="T10" s="17">
        <f t="shared" si="2"/>
        <v>0</v>
      </c>
      <c r="U10" s="17">
        <f t="shared" si="2"/>
        <v>2</v>
      </c>
      <c r="V10" s="17">
        <f t="shared" si="2"/>
        <v>0</v>
      </c>
      <c r="W10" s="17">
        <f t="shared" si="2"/>
        <v>0</v>
      </c>
      <c r="X10" s="17">
        <f t="shared" si="2"/>
        <v>1</v>
      </c>
      <c r="Y10" s="17">
        <f t="shared" si="2"/>
        <v>1</v>
      </c>
      <c r="Z10" s="17">
        <f t="shared" si="2"/>
        <v>1</v>
      </c>
      <c r="AA10" s="17">
        <f t="shared" si="2"/>
        <v>0</v>
      </c>
      <c r="AB10" s="17">
        <f t="shared" si="2"/>
        <v>0</v>
      </c>
      <c r="AC10" s="17">
        <f t="shared" si="2"/>
        <v>30</v>
      </c>
      <c r="AD10" s="17">
        <f t="shared" si="2"/>
        <v>0</v>
      </c>
      <c r="AE10" s="31">
        <f t="shared" si="2"/>
        <v>9</v>
      </c>
      <c r="AF10" s="31">
        <f t="shared" si="2"/>
        <v>39</v>
      </c>
    </row>
    <row r="11" spans="2:32" s="6" customFormat="1" ht="23.1" customHeight="1" x14ac:dyDescent="0.25">
      <c r="B11" s="23" t="s">
        <v>38</v>
      </c>
      <c r="C11" s="50">
        <v>1</v>
      </c>
      <c r="D11" s="50">
        <v>0</v>
      </c>
      <c r="E11" s="50">
        <v>0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4</v>
      </c>
      <c r="N11" s="50">
        <v>0</v>
      </c>
      <c r="O11" s="15">
        <f t="shared" si="0"/>
        <v>1</v>
      </c>
      <c r="P11" s="15">
        <f t="shared" si="1"/>
        <v>5</v>
      </c>
      <c r="R11" s="1" t="s">
        <v>7</v>
      </c>
      <c r="S11" s="17">
        <f t="shared" ref="S11:AF11" si="3">SUM(C14:C17)</f>
        <v>5</v>
      </c>
      <c r="T11" s="17">
        <f t="shared" si="3"/>
        <v>3</v>
      </c>
      <c r="U11" s="17">
        <f t="shared" si="3"/>
        <v>1</v>
      </c>
      <c r="V11" s="17">
        <f t="shared" si="3"/>
        <v>5</v>
      </c>
      <c r="W11" s="17">
        <f t="shared" si="3"/>
        <v>0</v>
      </c>
      <c r="X11" s="17">
        <f t="shared" si="3"/>
        <v>0</v>
      </c>
      <c r="Y11" s="17">
        <f t="shared" si="3"/>
        <v>1</v>
      </c>
      <c r="Z11" s="17">
        <f t="shared" si="3"/>
        <v>0</v>
      </c>
      <c r="AA11" s="17">
        <f t="shared" si="3"/>
        <v>0</v>
      </c>
      <c r="AB11" s="17">
        <f t="shared" si="3"/>
        <v>0</v>
      </c>
      <c r="AC11" s="17">
        <f t="shared" si="3"/>
        <v>29</v>
      </c>
      <c r="AD11" s="17">
        <f t="shared" si="3"/>
        <v>0</v>
      </c>
      <c r="AE11" s="31">
        <f t="shared" si="3"/>
        <v>15</v>
      </c>
      <c r="AF11" s="31">
        <f t="shared" si="3"/>
        <v>44</v>
      </c>
    </row>
    <row r="12" spans="2:32" ht="23.1" customHeight="1" x14ac:dyDescent="0.25">
      <c r="B12" s="23" t="s">
        <v>39</v>
      </c>
      <c r="C12" s="50">
        <v>1</v>
      </c>
      <c r="D12" s="50">
        <v>0</v>
      </c>
      <c r="E12" s="50">
        <v>0</v>
      </c>
      <c r="F12" s="50">
        <v>0</v>
      </c>
      <c r="G12" s="50">
        <v>0</v>
      </c>
      <c r="H12" s="50">
        <v>0</v>
      </c>
      <c r="I12" s="50">
        <v>0</v>
      </c>
      <c r="J12" s="50">
        <v>1</v>
      </c>
      <c r="K12" s="50">
        <v>0</v>
      </c>
      <c r="L12" s="50">
        <v>0</v>
      </c>
      <c r="M12" s="50">
        <v>11</v>
      </c>
      <c r="N12" s="50">
        <v>0</v>
      </c>
      <c r="O12" s="15">
        <f t="shared" si="0"/>
        <v>2</v>
      </c>
      <c r="P12" s="15">
        <f t="shared" si="1"/>
        <v>13</v>
      </c>
      <c r="R12" s="1" t="s">
        <v>8</v>
      </c>
      <c r="S12" s="17">
        <f t="shared" ref="S12:AF12" si="4">SUM(C18:C21)</f>
        <v>2</v>
      </c>
      <c r="T12" s="17">
        <f t="shared" si="4"/>
        <v>0</v>
      </c>
      <c r="U12" s="17">
        <f t="shared" si="4"/>
        <v>2</v>
      </c>
      <c r="V12" s="17">
        <f t="shared" si="4"/>
        <v>1</v>
      </c>
      <c r="W12" s="17">
        <f t="shared" si="4"/>
        <v>0</v>
      </c>
      <c r="X12" s="17">
        <f t="shared" si="4"/>
        <v>0</v>
      </c>
      <c r="Y12" s="17">
        <f t="shared" si="4"/>
        <v>0</v>
      </c>
      <c r="Z12" s="17">
        <f t="shared" si="4"/>
        <v>1</v>
      </c>
      <c r="AA12" s="17">
        <f t="shared" si="4"/>
        <v>5</v>
      </c>
      <c r="AB12" s="17">
        <f t="shared" si="4"/>
        <v>0</v>
      </c>
      <c r="AC12" s="17">
        <f t="shared" si="4"/>
        <v>36</v>
      </c>
      <c r="AD12" s="17">
        <f t="shared" si="4"/>
        <v>0</v>
      </c>
      <c r="AE12" s="31">
        <f t="shared" si="4"/>
        <v>11</v>
      </c>
      <c r="AF12" s="31">
        <f t="shared" si="4"/>
        <v>47</v>
      </c>
    </row>
    <row r="13" spans="2:32" ht="23.1" customHeight="1" x14ac:dyDescent="0.25">
      <c r="B13" s="23" t="s">
        <v>40</v>
      </c>
      <c r="C13" s="50">
        <v>2</v>
      </c>
      <c r="D13" s="50">
        <v>0</v>
      </c>
      <c r="E13" s="50">
        <v>1</v>
      </c>
      <c r="F13" s="50">
        <v>0</v>
      </c>
      <c r="G13" s="50">
        <v>0</v>
      </c>
      <c r="H13" s="50">
        <v>1</v>
      </c>
      <c r="I13" s="50">
        <v>0</v>
      </c>
      <c r="J13" s="50">
        <v>0</v>
      </c>
      <c r="K13" s="50">
        <v>0</v>
      </c>
      <c r="L13" s="50">
        <v>0</v>
      </c>
      <c r="M13" s="50">
        <v>7</v>
      </c>
      <c r="N13" s="50">
        <v>0</v>
      </c>
      <c r="O13" s="15">
        <f t="shared" si="0"/>
        <v>4</v>
      </c>
      <c r="P13" s="15">
        <f t="shared" si="1"/>
        <v>11</v>
      </c>
      <c r="R13" s="1" t="s">
        <v>9</v>
      </c>
      <c r="S13" s="17">
        <f t="shared" ref="S13:AF13" si="5">SUM(C22:C25)</f>
        <v>0</v>
      </c>
      <c r="T13" s="17">
        <f t="shared" si="5"/>
        <v>0</v>
      </c>
      <c r="U13" s="17">
        <f t="shared" si="5"/>
        <v>1</v>
      </c>
      <c r="V13" s="17">
        <f t="shared" si="5"/>
        <v>0</v>
      </c>
      <c r="W13" s="17">
        <f t="shared" si="5"/>
        <v>0</v>
      </c>
      <c r="X13" s="17">
        <f t="shared" si="5"/>
        <v>0</v>
      </c>
      <c r="Y13" s="17">
        <f t="shared" si="5"/>
        <v>3</v>
      </c>
      <c r="Z13" s="17">
        <f t="shared" si="5"/>
        <v>1</v>
      </c>
      <c r="AA13" s="17">
        <f t="shared" si="5"/>
        <v>2</v>
      </c>
      <c r="AB13" s="17">
        <f t="shared" si="5"/>
        <v>0</v>
      </c>
      <c r="AC13" s="17">
        <f t="shared" si="5"/>
        <v>46</v>
      </c>
      <c r="AD13" s="17">
        <f t="shared" si="5"/>
        <v>0</v>
      </c>
      <c r="AE13" s="31">
        <f t="shared" si="5"/>
        <v>7</v>
      </c>
      <c r="AF13" s="31">
        <f t="shared" si="5"/>
        <v>53</v>
      </c>
    </row>
    <row r="14" spans="2:32" ht="23.1" customHeight="1" x14ac:dyDescent="0.25">
      <c r="B14" s="23" t="s">
        <v>41</v>
      </c>
      <c r="C14" s="50">
        <v>1</v>
      </c>
      <c r="D14" s="50">
        <v>1</v>
      </c>
      <c r="E14" s="50">
        <v>0</v>
      </c>
      <c r="F14" s="50">
        <v>2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5</v>
      </c>
      <c r="N14" s="50">
        <v>0</v>
      </c>
      <c r="O14" s="15">
        <f t="shared" si="0"/>
        <v>4</v>
      </c>
      <c r="P14" s="15">
        <f t="shared" si="1"/>
        <v>9</v>
      </c>
      <c r="R14" s="1" t="s">
        <v>10</v>
      </c>
      <c r="S14" s="17">
        <f t="shared" ref="S14:AF14" si="6">SUM(C26:C29)</f>
        <v>10</v>
      </c>
      <c r="T14" s="17">
        <f t="shared" si="6"/>
        <v>2</v>
      </c>
      <c r="U14" s="17">
        <f t="shared" si="6"/>
        <v>2</v>
      </c>
      <c r="V14" s="17">
        <f t="shared" si="6"/>
        <v>1</v>
      </c>
      <c r="W14" s="17">
        <f t="shared" si="6"/>
        <v>0</v>
      </c>
      <c r="X14" s="17">
        <f t="shared" si="6"/>
        <v>0</v>
      </c>
      <c r="Y14" s="17">
        <f t="shared" si="6"/>
        <v>2</v>
      </c>
      <c r="Z14" s="17">
        <f t="shared" si="6"/>
        <v>2</v>
      </c>
      <c r="AA14" s="17">
        <f t="shared" si="6"/>
        <v>2</v>
      </c>
      <c r="AB14" s="17">
        <f t="shared" si="6"/>
        <v>1</v>
      </c>
      <c r="AC14" s="17">
        <f t="shared" si="6"/>
        <v>41</v>
      </c>
      <c r="AD14" s="17">
        <f t="shared" si="6"/>
        <v>0</v>
      </c>
      <c r="AE14" s="31">
        <f t="shared" si="6"/>
        <v>22</v>
      </c>
      <c r="AF14" s="31">
        <f t="shared" si="6"/>
        <v>63</v>
      </c>
    </row>
    <row r="15" spans="2:32" ht="23.1" customHeight="1" x14ac:dyDescent="0.25">
      <c r="B15" s="23" t="s">
        <v>42</v>
      </c>
      <c r="C15" s="50">
        <v>1</v>
      </c>
      <c r="D15" s="50">
        <v>0</v>
      </c>
      <c r="E15" s="50">
        <v>0</v>
      </c>
      <c r="F15" s="50">
        <v>1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4</v>
      </c>
      <c r="N15" s="50">
        <v>0</v>
      </c>
      <c r="O15" s="15">
        <f t="shared" si="0"/>
        <v>2</v>
      </c>
      <c r="P15" s="15">
        <f t="shared" si="1"/>
        <v>6</v>
      </c>
      <c r="R15" s="1" t="s">
        <v>11</v>
      </c>
      <c r="S15" s="17">
        <f t="shared" ref="S15:AF15" si="7">SUM(C30:C33)</f>
        <v>3</v>
      </c>
      <c r="T15" s="17">
        <f t="shared" si="7"/>
        <v>0</v>
      </c>
      <c r="U15" s="17">
        <f t="shared" si="7"/>
        <v>2</v>
      </c>
      <c r="V15" s="17">
        <f t="shared" si="7"/>
        <v>2</v>
      </c>
      <c r="W15" s="17">
        <f t="shared" si="7"/>
        <v>0</v>
      </c>
      <c r="X15" s="17">
        <f t="shared" si="7"/>
        <v>0</v>
      </c>
      <c r="Y15" s="17">
        <f t="shared" si="7"/>
        <v>1</v>
      </c>
      <c r="Z15" s="17">
        <f t="shared" si="7"/>
        <v>1</v>
      </c>
      <c r="AA15" s="17">
        <f t="shared" si="7"/>
        <v>3</v>
      </c>
      <c r="AB15" s="17">
        <f t="shared" si="7"/>
        <v>0</v>
      </c>
      <c r="AC15" s="17">
        <f t="shared" si="7"/>
        <v>32</v>
      </c>
      <c r="AD15" s="17">
        <f t="shared" si="7"/>
        <v>0</v>
      </c>
      <c r="AE15" s="31">
        <f t="shared" si="7"/>
        <v>12</v>
      </c>
      <c r="AF15" s="31">
        <f t="shared" si="7"/>
        <v>44</v>
      </c>
    </row>
    <row r="16" spans="2:32" ht="23.1" customHeight="1" x14ac:dyDescent="0.25">
      <c r="B16" s="23" t="s">
        <v>43</v>
      </c>
      <c r="C16" s="50">
        <v>2</v>
      </c>
      <c r="D16" s="50">
        <v>2</v>
      </c>
      <c r="E16" s="50">
        <v>1</v>
      </c>
      <c r="F16" s="50">
        <v>2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8</v>
      </c>
      <c r="N16" s="50">
        <v>0</v>
      </c>
      <c r="O16" s="15">
        <f t="shared" si="0"/>
        <v>7</v>
      </c>
      <c r="P16" s="15">
        <f t="shared" si="1"/>
        <v>15</v>
      </c>
      <c r="R16" s="1" t="s">
        <v>12</v>
      </c>
      <c r="S16" s="17">
        <f t="shared" ref="S16:AF16" si="8">SUM(C34:C37)</f>
        <v>5</v>
      </c>
      <c r="T16" s="17">
        <f t="shared" si="8"/>
        <v>1</v>
      </c>
      <c r="U16" s="17">
        <f t="shared" si="8"/>
        <v>2</v>
      </c>
      <c r="V16" s="17">
        <f t="shared" si="8"/>
        <v>0</v>
      </c>
      <c r="W16" s="17">
        <f t="shared" si="8"/>
        <v>0</v>
      </c>
      <c r="X16" s="17">
        <f t="shared" si="8"/>
        <v>0</v>
      </c>
      <c r="Y16" s="17">
        <f t="shared" si="8"/>
        <v>0</v>
      </c>
      <c r="Z16" s="17">
        <f t="shared" si="8"/>
        <v>0</v>
      </c>
      <c r="AA16" s="17">
        <f t="shared" si="8"/>
        <v>0</v>
      </c>
      <c r="AB16" s="17">
        <f t="shared" si="8"/>
        <v>0</v>
      </c>
      <c r="AC16" s="17">
        <f t="shared" si="8"/>
        <v>47</v>
      </c>
      <c r="AD16" s="17">
        <f t="shared" si="8"/>
        <v>0</v>
      </c>
      <c r="AE16" s="31">
        <f t="shared" si="8"/>
        <v>8</v>
      </c>
      <c r="AF16" s="31">
        <f t="shared" si="8"/>
        <v>55</v>
      </c>
    </row>
    <row r="17" spans="2:32" ht="23.1" customHeight="1" x14ac:dyDescent="0.25">
      <c r="B17" s="23" t="s">
        <v>44</v>
      </c>
      <c r="C17" s="50">
        <v>1</v>
      </c>
      <c r="D17" s="50">
        <v>0</v>
      </c>
      <c r="E17" s="50">
        <v>0</v>
      </c>
      <c r="F17" s="50">
        <v>0</v>
      </c>
      <c r="G17" s="50">
        <v>0</v>
      </c>
      <c r="H17" s="50">
        <v>0</v>
      </c>
      <c r="I17" s="50">
        <v>1</v>
      </c>
      <c r="J17" s="50">
        <v>0</v>
      </c>
      <c r="K17" s="50">
        <v>0</v>
      </c>
      <c r="L17" s="50">
        <v>0</v>
      </c>
      <c r="M17" s="50">
        <v>12</v>
      </c>
      <c r="N17" s="50">
        <v>0</v>
      </c>
      <c r="O17" s="15">
        <f t="shared" si="0"/>
        <v>2</v>
      </c>
      <c r="P17" s="15">
        <f t="shared" si="1"/>
        <v>14</v>
      </c>
      <c r="R17" s="1" t="s">
        <v>13</v>
      </c>
      <c r="S17" s="17">
        <f t="shared" ref="S17:AF17" si="9">SUM(C38:C41)</f>
        <v>4</v>
      </c>
      <c r="T17" s="17">
        <f t="shared" si="9"/>
        <v>1</v>
      </c>
      <c r="U17" s="17">
        <f t="shared" si="9"/>
        <v>4</v>
      </c>
      <c r="V17" s="17">
        <f t="shared" si="9"/>
        <v>1</v>
      </c>
      <c r="W17" s="17">
        <f t="shared" si="9"/>
        <v>0</v>
      </c>
      <c r="X17" s="17">
        <f t="shared" si="9"/>
        <v>0</v>
      </c>
      <c r="Y17" s="17">
        <f t="shared" si="9"/>
        <v>2</v>
      </c>
      <c r="Z17" s="17">
        <f t="shared" si="9"/>
        <v>2</v>
      </c>
      <c r="AA17" s="17">
        <f t="shared" si="9"/>
        <v>5</v>
      </c>
      <c r="AB17" s="17">
        <f t="shared" si="9"/>
        <v>0</v>
      </c>
      <c r="AC17" s="17">
        <f t="shared" si="9"/>
        <v>36</v>
      </c>
      <c r="AD17" s="17">
        <f t="shared" si="9"/>
        <v>0</v>
      </c>
      <c r="AE17" s="31">
        <f t="shared" si="9"/>
        <v>19</v>
      </c>
      <c r="AF17" s="31">
        <f t="shared" si="9"/>
        <v>55</v>
      </c>
    </row>
    <row r="18" spans="2:32" ht="23.1" customHeight="1" x14ac:dyDescent="0.25">
      <c r="B18" s="23" t="s">
        <v>45</v>
      </c>
      <c r="C18" s="50">
        <v>0</v>
      </c>
      <c r="D18" s="50">
        <v>0</v>
      </c>
      <c r="E18" s="50">
        <v>1</v>
      </c>
      <c r="F18" s="50">
        <v>1</v>
      </c>
      <c r="G18" s="50">
        <v>0</v>
      </c>
      <c r="H18" s="50">
        <v>0</v>
      </c>
      <c r="I18" s="50">
        <v>0</v>
      </c>
      <c r="J18" s="50">
        <v>0</v>
      </c>
      <c r="K18" s="50">
        <v>4</v>
      </c>
      <c r="L18" s="50">
        <v>0</v>
      </c>
      <c r="M18" s="50">
        <v>9</v>
      </c>
      <c r="N18" s="50">
        <v>0</v>
      </c>
      <c r="O18" s="15">
        <f t="shared" si="0"/>
        <v>6</v>
      </c>
      <c r="P18" s="15">
        <f t="shared" si="1"/>
        <v>15</v>
      </c>
      <c r="R18" s="1" t="s">
        <v>14</v>
      </c>
      <c r="S18" s="17">
        <f t="shared" ref="S18:AF18" si="10">SUM(C42:C45)</f>
        <v>5</v>
      </c>
      <c r="T18" s="17">
        <f t="shared" si="10"/>
        <v>0</v>
      </c>
      <c r="U18" s="17">
        <f t="shared" si="10"/>
        <v>0</v>
      </c>
      <c r="V18" s="17">
        <f t="shared" si="10"/>
        <v>0</v>
      </c>
      <c r="W18" s="17">
        <f t="shared" si="10"/>
        <v>0</v>
      </c>
      <c r="X18" s="17">
        <f t="shared" si="10"/>
        <v>0</v>
      </c>
      <c r="Y18" s="17">
        <f t="shared" si="10"/>
        <v>5</v>
      </c>
      <c r="Z18" s="17">
        <f t="shared" si="10"/>
        <v>3</v>
      </c>
      <c r="AA18" s="17">
        <f t="shared" si="10"/>
        <v>3</v>
      </c>
      <c r="AB18" s="17">
        <f t="shared" si="10"/>
        <v>0</v>
      </c>
      <c r="AC18" s="17">
        <f t="shared" si="10"/>
        <v>41</v>
      </c>
      <c r="AD18" s="17">
        <f t="shared" si="10"/>
        <v>0</v>
      </c>
      <c r="AE18" s="31">
        <f t="shared" si="10"/>
        <v>16</v>
      </c>
      <c r="AF18" s="31">
        <f t="shared" si="10"/>
        <v>57</v>
      </c>
    </row>
    <row r="19" spans="2:32" ht="23.1" customHeight="1" x14ac:dyDescent="0.25">
      <c r="B19" s="23" t="s">
        <v>46</v>
      </c>
      <c r="C19" s="50">
        <v>0</v>
      </c>
      <c r="D19" s="50">
        <v>0</v>
      </c>
      <c r="E19" s="50">
        <v>1</v>
      </c>
      <c r="F19" s="50">
        <v>0</v>
      </c>
      <c r="G19" s="50">
        <v>0</v>
      </c>
      <c r="H19" s="50">
        <v>0</v>
      </c>
      <c r="I19" s="50">
        <v>0</v>
      </c>
      <c r="J19" s="50">
        <v>0</v>
      </c>
      <c r="K19" s="50">
        <v>1</v>
      </c>
      <c r="L19" s="50">
        <v>0</v>
      </c>
      <c r="M19" s="50">
        <v>6</v>
      </c>
      <c r="N19" s="50">
        <v>0</v>
      </c>
      <c r="O19" s="15">
        <f t="shared" si="0"/>
        <v>2</v>
      </c>
      <c r="P19" s="15">
        <f t="shared" si="1"/>
        <v>8</v>
      </c>
      <c r="R19" s="1" t="s">
        <v>15</v>
      </c>
      <c r="S19" s="17">
        <f t="shared" ref="S19:AF19" si="11">SUM(C46:C49)</f>
        <v>1</v>
      </c>
      <c r="T19" s="17">
        <f t="shared" si="11"/>
        <v>1</v>
      </c>
      <c r="U19" s="17">
        <f t="shared" si="11"/>
        <v>1</v>
      </c>
      <c r="V19" s="17">
        <f t="shared" si="11"/>
        <v>3</v>
      </c>
      <c r="W19" s="17">
        <f t="shared" si="11"/>
        <v>0</v>
      </c>
      <c r="X19" s="17">
        <f t="shared" si="11"/>
        <v>0</v>
      </c>
      <c r="Y19" s="17">
        <f t="shared" si="11"/>
        <v>2</v>
      </c>
      <c r="Z19" s="17">
        <f t="shared" si="11"/>
        <v>3</v>
      </c>
      <c r="AA19" s="17">
        <f t="shared" si="11"/>
        <v>0</v>
      </c>
      <c r="AB19" s="17">
        <f t="shared" si="11"/>
        <v>0</v>
      </c>
      <c r="AC19" s="17">
        <f t="shared" si="11"/>
        <v>25</v>
      </c>
      <c r="AD19" s="17">
        <f t="shared" si="11"/>
        <v>0</v>
      </c>
      <c r="AE19" s="31">
        <f t="shared" si="11"/>
        <v>11</v>
      </c>
      <c r="AF19" s="31">
        <f t="shared" si="11"/>
        <v>36</v>
      </c>
    </row>
    <row r="20" spans="2:32" ht="23.1" customHeight="1" x14ac:dyDescent="0.25">
      <c r="B20" s="23" t="s">
        <v>47</v>
      </c>
      <c r="C20" s="50">
        <v>0</v>
      </c>
      <c r="D20" s="50">
        <v>0</v>
      </c>
      <c r="E20" s="50">
        <v>0</v>
      </c>
      <c r="F20" s="50">
        <v>0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50">
        <v>15</v>
      </c>
      <c r="N20" s="50">
        <v>0</v>
      </c>
      <c r="O20" s="15">
        <f t="shared" si="0"/>
        <v>0</v>
      </c>
      <c r="P20" s="15">
        <f t="shared" si="1"/>
        <v>15</v>
      </c>
      <c r="R20" s="1" t="s">
        <v>16</v>
      </c>
      <c r="S20" s="17">
        <f t="shared" ref="S20:AF20" si="12">SUM(C50:C53)</f>
        <v>4</v>
      </c>
      <c r="T20" s="17">
        <f t="shared" si="12"/>
        <v>0</v>
      </c>
      <c r="U20" s="17">
        <f t="shared" si="12"/>
        <v>2</v>
      </c>
      <c r="V20" s="17">
        <f t="shared" si="12"/>
        <v>0</v>
      </c>
      <c r="W20" s="17">
        <f t="shared" si="12"/>
        <v>0</v>
      </c>
      <c r="X20" s="17">
        <f t="shared" si="12"/>
        <v>0</v>
      </c>
      <c r="Y20" s="17">
        <f t="shared" si="12"/>
        <v>5</v>
      </c>
      <c r="Z20" s="17">
        <f t="shared" si="12"/>
        <v>0</v>
      </c>
      <c r="AA20" s="17">
        <f t="shared" si="12"/>
        <v>0</v>
      </c>
      <c r="AB20" s="17">
        <f t="shared" si="12"/>
        <v>0</v>
      </c>
      <c r="AC20" s="17">
        <f t="shared" si="12"/>
        <v>35</v>
      </c>
      <c r="AD20" s="17">
        <f t="shared" si="12"/>
        <v>0</v>
      </c>
      <c r="AE20" s="31">
        <f t="shared" si="12"/>
        <v>11</v>
      </c>
      <c r="AF20" s="31">
        <f t="shared" si="12"/>
        <v>46</v>
      </c>
    </row>
    <row r="21" spans="2:32" ht="23.1" customHeight="1" x14ac:dyDescent="0.25">
      <c r="B21" s="23" t="s">
        <v>48</v>
      </c>
      <c r="C21" s="50">
        <v>2</v>
      </c>
      <c r="D21" s="50">
        <v>0</v>
      </c>
      <c r="E21" s="50">
        <v>0</v>
      </c>
      <c r="F21" s="50">
        <v>0</v>
      </c>
      <c r="G21" s="50">
        <v>0</v>
      </c>
      <c r="H21" s="50">
        <v>0</v>
      </c>
      <c r="I21" s="50">
        <v>0</v>
      </c>
      <c r="J21" s="50">
        <v>1</v>
      </c>
      <c r="K21" s="50">
        <v>0</v>
      </c>
      <c r="L21" s="50">
        <v>0</v>
      </c>
      <c r="M21" s="50">
        <v>6</v>
      </c>
      <c r="N21" s="50">
        <v>0</v>
      </c>
      <c r="O21" s="15">
        <f t="shared" si="0"/>
        <v>3</v>
      </c>
      <c r="P21" s="15">
        <f t="shared" si="1"/>
        <v>9</v>
      </c>
      <c r="R21" s="36" t="s">
        <v>20</v>
      </c>
      <c r="S21" s="34">
        <f t="shared" ref="S21:AF21" si="13">SUM(C54:C57)</f>
        <v>9</v>
      </c>
      <c r="T21" s="17">
        <f t="shared" si="13"/>
        <v>1</v>
      </c>
      <c r="U21" s="17">
        <f t="shared" si="13"/>
        <v>4</v>
      </c>
      <c r="V21" s="17">
        <f t="shared" si="13"/>
        <v>0</v>
      </c>
      <c r="W21" s="17">
        <f t="shared" si="13"/>
        <v>1</v>
      </c>
      <c r="X21" s="17">
        <f t="shared" si="13"/>
        <v>1</v>
      </c>
      <c r="Y21" s="17">
        <f t="shared" si="13"/>
        <v>1</v>
      </c>
      <c r="Z21" s="17">
        <f t="shared" si="13"/>
        <v>2</v>
      </c>
      <c r="AA21" s="17">
        <f t="shared" si="13"/>
        <v>2</v>
      </c>
      <c r="AB21" s="17">
        <f t="shared" si="13"/>
        <v>0</v>
      </c>
      <c r="AC21" s="17">
        <f t="shared" si="13"/>
        <v>49</v>
      </c>
      <c r="AD21" s="17">
        <f t="shared" si="13"/>
        <v>0</v>
      </c>
      <c r="AE21" s="31">
        <f t="shared" si="13"/>
        <v>21</v>
      </c>
      <c r="AF21" s="31">
        <f t="shared" si="13"/>
        <v>70</v>
      </c>
    </row>
    <row r="22" spans="2:32" ht="23.1" customHeight="1" x14ac:dyDescent="0.25">
      <c r="B22" s="23" t="s">
        <v>49</v>
      </c>
      <c r="C22" s="50">
        <v>0</v>
      </c>
      <c r="D22" s="50">
        <v>0</v>
      </c>
      <c r="E22" s="50">
        <v>0</v>
      </c>
      <c r="F22" s="50">
        <v>0</v>
      </c>
      <c r="G22" s="50">
        <v>0</v>
      </c>
      <c r="H22" s="50">
        <v>0</v>
      </c>
      <c r="I22" s="50">
        <v>0</v>
      </c>
      <c r="J22" s="50">
        <v>0</v>
      </c>
      <c r="K22" s="50">
        <v>0</v>
      </c>
      <c r="L22" s="50">
        <v>0</v>
      </c>
      <c r="M22" s="50">
        <v>9</v>
      </c>
      <c r="N22" s="50">
        <v>0</v>
      </c>
      <c r="O22" s="15">
        <f t="shared" si="0"/>
        <v>0</v>
      </c>
      <c r="P22" s="15">
        <f t="shared" si="1"/>
        <v>9</v>
      </c>
      <c r="R22" s="38" t="s">
        <v>90</v>
      </c>
      <c r="S22" s="39">
        <f>MAX(S10:S12)</f>
        <v>5</v>
      </c>
      <c r="T22" s="39">
        <f t="shared" ref="T22:AF22" si="14">MAX(T10:T12)</f>
        <v>3</v>
      </c>
      <c r="U22" s="39">
        <f t="shared" si="14"/>
        <v>2</v>
      </c>
      <c r="V22" s="39">
        <f t="shared" si="14"/>
        <v>5</v>
      </c>
      <c r="W22" s="39">
        <f t="shared" si="14"/>
        <v>0</v>
      </c>
      <c r="X22" s="39">
        <f t="shared" si="14"/>
        <v>1</v>
      </c>
      <c r="Y22" s="39">
        <f t="shared" si="14"/>
        <v>1</v>
      </c>
      <c r="Z22" s="39">
        <f t="shared" si="14"/>
        <v>1</v>
      </c>
      <c r="AA22" s="39">
        <f t="shared" si="14"/>
        <v>5</v>
      </c>
      <c r="AB22" s="39">
        <f t="shared" si="14"/>
        <v>0</v>
      </c>
      <c r="AC22" s="39">
        <f t="shared" si="14"/>
        <v>36</v>
      </c>
      <c r="AD22" s="39">
        <f t="shared" si="14"/>
        <v>0</v>
      </c>
      <c r="AE22" s="40">
        <f t="shared" si="14"/>
        <v>15</v>
      </c>
      <c r="AF22" s="40">
        <f t="shared" si="14"/>
        <v>47</v>
      </c>
    </row>
    <row r="23" spans="2:32" ht="23.1" customHeight="1" x14ac:dyDescent="0.25">
      <c r="B23" s="23" t="s">
        <v>50</v>
      </c>
      <c r="C23" s="50">
        <v>0</v>
      </c>
      <c r="D23" s="50">
        <v>0</v>
      </c>
      <c r="E23" s="50">
        <v>1</v>
      </c>
      <c r="F23" s="50">
        <v>0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50">
        <v>9</v>
      </c>
      <c r="N23" s="50">
        <v>0</v>
      </c>
      <c r="O23" s="15">
        <f t="shared" si="0"/>
        <v>1</v>
      </c>
      <c r="P23" s="15">
        <f t="shared" si="1"/>
        <v>10</v>
      </c>
      <c r="R23" s="38" t="s">
        <v>91</v>
      </c>
      <c r="S23" s="39">
        <f>MAX(S13:S18)</f>
        <v>10</v>
      </c>
      <c r="T23" s="39">
        <f t="shared" ref="T23:AF23" si="15">MAX(T13:T18)</f>
        <v>2</v>
      </c>
      <c r="U23" s="39">
        <f t="shared" si="15"/>
        <v>4</v>
      </c>
      <c r="V23" s="39">
        <f t="shared" si="15"/>
        <v>2</v>
      </c>
      <c r="W23" s="39">
        <f t="shared" si="15"/>
        <v>0</v>
      </c>
      <c r="X23" s="39">
        <f t="shared" si="15"/>
        <v>0</v>
      </c>
      <c r="Y23" s="39">
        <f t="shared" si="15"/>
        <v>5</v>
      </c>
      <c r="Z23" s="39">
        <f t="shared" si="15"/>
        <v>3</v>
      </c>
      <c r="AA23" s="39">
        <f t="shared" si="15"/>
        <v>5</v>
      </c>
      <c r="AB23" s="39">
        <f t="shared" si="15"/>
        <v>1</v>
      </c>
      <c r="AC23" s="39">
        <f t="shared" si="15"/>
        <v>47</v>
      </c>
      <c r="AD23" s="39">
        <f t="shared" si="15"/>
        <v>0</v>
      </c>
      <c r="AE23" s="40">
        <f t="shared" si="15"/>
        <v>22</v>
      </c>
      <c r="AF23" s="40">
        <f t="shared" si="15"/>
        <v>63</v>
      </c>
    </row>
    <row r="24" spans="2:32" ht="23.1" customHeight="1" x14ac:dyDescent="0.25">
      <c r="B24" s="23" t="s">
        <v>51</v>
      </c>
      <c r="C24" s="50">
        <v>0</v>
      </c>
      <c r="D24" s="50">
        <v>0</v>
      </c>
      <c r="E24" s="50">
        <v>0</v>
      </c>
      <c r="F24" s="50">
        <v>0</v>
      </c>
      <c r="G24" s="50">
        <v>0</v>
      </c>
      <c r="H24" s="50">
        <v>0</v>
      </c>
      <c r="I24" s="50">
        <v>1</v>
      </c>
      <c r="J24" s="50">
        <v>0</v>
      </c>
      <c r="K24" s="50">
        <v>2</v>
      </c>
      <c r="L24" s="50">
        <v>0</v>
      </c>
      <c r="M24" s="50">
        <v>15</v>
      </c>
      <c r="N24" s="50">
        <v>0</v>
      </c>
      <c r="O24" s="15">
        <f t="shared" si="0"/>
        <v>3</v>
      </c>
      <c r="P24" s="15">
        <f t="shared" si="1"/>
        <v>18</v>
      </c>
      <c r="R24" s="38" t="s">
        <v>92</v>
      </c>
      <c r="S24" s="39">
        <f>MAX(S19:S21)</f>
        <v>9</v>
      </c>
      <c r="T24" s="39">
        <f t="shared" ref="T24:AF24" si="16">MAX(T19:T21)</f>
        <v>1</v>
      </c>
      <c r="U24" s="39">
        <f t="shared" si="16"/>
        <v>4</v>
      </c>
      <c r="V24" s="39">
        <f t="shared" si="16"/>
        <v>3</v>
      </c>
      <c r="W24" s="39">
        <f t="shared" si="16"/>
        <v>1</v>
      </c>
      <c r="X24" s="39">
        <f t="shared" si="16"/>
        <v>1</v>
      </c>
      <c r="Y24" s="39">
        <f t="shared" si="16"/>
        <v>5</v>
      </c>
      <c r="Z24" s="39">
        <f t="shared" si="16"/>
        <v>3</v>
      </c>
      <c r="AA24" s="39">
        <f t="shared" si="16"/>
        <v>2</v>
      </c>
      <c r="AB24" s="39">
        <f t="shared" si="16"/>
        <v>0</v>
      </c>
      <c r="AC24" s="39">
        <f t="shared" si="16"/>
        <v>49</v>
      </c>
      <c r="AD24" s="39">
        <f t="shared" si="16"/>
        <v>0</v>
      </c>
      <c r="AE24" s="40">
        <f t="shared" si="16"/>
        <v>21</v>
      </c>
      <c r="AF24" s="40">
        <f t="shared" si="16"/>
        <v>70</v>
      </c>
    </row>
    <row r="25" spans="2:32" ht="23.1" customHeight="1" x14ac:dyDescent="0.25">
      <c r="B25" s="23" t="s">
        <v>52</v>
      </c>
      <c r="C25" s="50">
        <v>0</v>
      </c>
      <c r="D25" s="50">
        <v>0</v>
      </c>
      <c r="E25" s="50">
        <v>0</v>
      </c>
      <c r="F25" s="50">
        <v>0</v>
      </c>
      <c r="G25" s="50">
        <v>0</v>
      </c>
      <c r="H25" s="50">
        <v>0</v>
      </c>
      <c r="I25" s="50">
        <v>2</v>
      </c>
      <c r="J25" s="50">
        <v>1</v>
      </c>
      <c r="K25" s="50">
        <v>0</v>
      </c>
      <c r="L25" s="50">
        <v>0</v>
      </c>
      <c r="M25" s="50">
        <v>13</v>
      </c>
      <c r="N25" s="50">
        <v>0</v>
      </c>
      <c r="O25" s="15">
        <f t="shared" si="0"/>
        <v>3</v>
      </c>
      <c r="P25" s="15">
        <f t="shared" si="1"/>
        <v>16</v>
      </c>
      <c r="R25" s="37" t="s">
        <v>85</v>
      </c>
      <c r="S25" s="35">
        <f t="shared" ref="S25:AF25" si="17">SUM(S10:S12)</f>
        <v>11</v>
      </c>
      <c r="T25" s="16">
        <f t="shared" si="17"/>
        <v>3</v>
      </c>
      <c r="U25" s="16">
        <f t="shared" si="17"/>
        <v>5</v>
      </c>
      <c r="V25" s="16">
        <f t="shared" si="17"/>
        <v>6</v>
      </c>
      <c r="W25" s="16">
        <f t="shared" si="17"/>
        <v>0</v>
      </c>
      <c r="X25" s="16">
        <f t="shared" si="17"/>
        <v>1</v>
      </c>
      <c r="Y25" s="16">
        <f t="shared" si="17"/>
        <v>2</v>
      </c>
      <c r="Z25" s="16">
        <f t="shared" si="17"/>
        <v>2</v>
      </c>
      <c r="AA25" s="16">
        <f t="shared" si="17"/>
        <v>5</v>
      </c>
      <c r="AB25" s="16">
        <f t="shared" si="17"/>
        <v>0</v>
      </c>
      <c r="AC25" s="16">
        <f t="shared" si="17"/>
        <v>95</v>
      </c>
      <c r="AD25" s="16">
        <f t="shared" si="17"/>
        <v>0</v>
      </c>
      <c r="AE25" s="32">
        <f t="shared" si="17"/>
        <v>35</v>
      </c>
      <c r="AF25" s="32">
        <f t="shared" si="17"/>
        <v>130</v>
      </c>
    </row>
    <row r="26" spans="2:32" ht="23.1" customHeight="1" x14ac:dyDescent="0.25">
      <c r="B26" s="23" t="s">
        <v>53</v>
      </c>
      <c r="C26" s="50">
        <v>0</v>
      </c>
      <c r="D26" s="50">
        <v>0</v>
      </c>
      <c r="E26" s="50">
        <v>2</v>
      </c>
      <c r="F26" s="50">
        <v>0</v>
      </c>
      <c r="G26" s="50">
        <v>0</v>
      </c>
      <c r="H26" s="50">
        <v>0</v>
      </c>
      <c r="I26" s="50">
        <v>1</v>
      </c>
      <c r="J26" s="50">
        <v>0</v>
      </c>
      <c r="K26" s="50">
        <v>1</v>
      </c>
      <c r="L26" s="50">
        <v>1</v>
      </c>
      <c r="M26" s="50">
        <v>11</v>
      </c>
      <c r="N26" s="50">
        <v>0</v>
      </c>
      <c r="O26" s="15">
        <f t="shared" si="0"/>
        <v>5</v>
      </c>
      <c r="P26" s="15">
        <f t="shared" si="1"/>
        <v>16</v>
      </c>
      <c r="R26" s="28" t="s">
        <v>86</v>
      </c>
      <c r="S26" s="16">
        <f t="shared" ref="S26:AF26" si="18">SUM(S13:S18)</f>
        <v>27</v>
      </c>
      <c r="T26" s="16">
        <f t="shared" si="18"/>
        <v>4</v>
      </c>
      <c r="U26" s="16">
        <f t="shared" si="18"/>
        <v>11</v>
      </c>
      <c r="V26" s="16">
        <f t="shared" si="18"/>
        <v>4</v>
      </c>
      <c r="W26" s="16">
        <f t="shared" si="18"/>
        <v>0</v>
      </c>
      <c r="X26" s="16">
        <f t="shared" si="18"/>
        <v>0</v>
      </c>
      <c r="Y26" s="16">
        <f t="shared" si="18"/>
        <v>13</v>
      </c>
      <c r="Z26" s="16">
        <f t="shared" si="18"/>
        <v>9</v>
      </c>
      <c r="AA26" s="16">
        <f t="shared" si="18"/>
        <v>15</v>
      </c>
      <c r="AB26" s="16">
        <f t="shared" si="18"/>
        <v>1</v>
      </c>
      <c r="AC26" s="16">
        <f t="shared" si="18"/>
        <v>243</v>
      </c>
      <c r="AD26" s="16">
        <f t="shared" si="18"/>
        <v>0</v>
      </c>
      <c r="AE26" s="32">
        <f t="shared" si="18"/>
        <v>84</v>
      </c>
      <c r="AF26" s="32">
        <f t="shared" si="18"/>
        <v>327</v>
      </c>
    </row>
    <row r="27" spans="2:32" ht="23.1" customHeight="1" x14ac:dyDescent="0.25">
      <c r="B27" s="23" t="s">
        <v>54</v>
      </c>
      <c r="C27" s="50">
        <v>3</v>
      </c>
      <c r="D27" s="50">
        <v>2</v>
      </c>
      <c r="E27" s="50">
        <v>0</v>
      </c>
      <c r="F27" s="50">
        <v>1</v>
      </c>
      <c r="G27" s="50">
        <v>0</v>
      </c>
      <c r="H27" s="50">
        <v>0</v>
      </c>
      <c r="I27" s="50">
        <v>1</v>
      </c>
      <c r="J27" s="50">
        <v>2</v>
      </c>
      <c r="K27" s="50">
        <v>1</v>
      </c>
      <c r="L27" s="50">
        <v>0</v>
      </c>
      <c r="M27" s="50">
        <v>10</v>
      </c>
      <c r="N27" s="50">
        <v>0</v>
      </c>
      <c r="O27" s="15">
        <f t="shared" si="0"/>
        <v>10</v>
      </c>
      <c r="P27" s="15">
        <f t="shared" si="1"/>
        <v>20</v>
      </c>
      <c r="R27" s="29" t="s">
        <v>87</v>
      </c>
      <c r="S27" s="16">
        <f t="shared" ref="S27:AF27" si="19">SUM(S19:S21)</f>
        <v>14</v>
      </c>
      <c r="T27" s="16">
        <f t="shared" si="19"/>
        <v>2</v>
      </c>
      <c r="U27" s="16">
        <f t="shared" si="19"/>
        <v>7</v>
      </c>
      <c r="V27" s="16">
        <f t="shared" si="19"/>
        <v>3</v>
      </c>
      <c r="W27" s="16">
        <f t="shared" si="19"/>
        <v>1</v>
      </c>
      <c r="X27" s="16">
        <f t="shared" si="19"/>
        <v>1</v>
      </c>
      <c r="Y27" s="16">
        <f t="shared" si="19"/>
        <v>8</v>
      </c>
      <c r="Z27" s="16">
        <f t="shared" si="19"/>
        <v>5</v>
      </c>
      <c r="AA27" s="16">
        <f t="shared" si="19"/>
        <v>2</v>
      </c>
      <c r="AB27" s="16">
        <f t="shared" si="19"/>
        <v>0</v>
      </c>
      <c r="AC27" s="16">
        <f t="shared" si="19"/>
        <v>109</v>
      </c>
      <c r="AD27" s="16">
        <f t="shared" si="19"/>
        <v>0</v>
      </c>
      <c r="AE27" s="32">
        <f t="shared" si="19"/>
        <v>43</v>
      </c>
      <c r="AF27" s="32">
        <f t="shared" si="19"/>
        <v>152</v>
      </c>
    </row>
    <row r="28" spans="2:32" ht="23.1" customHeight="1" x14ac:dyDescent="0.25">
      <c r="B28" s="23" t="s">
        <v>55</v>
      </c>
      <c r="C28" s="50">
        <v>5</v>
      </c>
      <c r="D28" s="50">
        <v>0</v>
      </c>
      <c r="E28" s="50">
        <v>0</v>
      </c>
      <c r="F28" s="50">
        <v>0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11</v>
      </c>
      <c r="N28" s="50">
        <v>0</v>
      </c>
      <c r="O28" s="15">
        <f t="shared" si="0"/>
        <v>5</v>
      </c>
      <c r="P28" s="15">
        <f t="shared" si="1"/>
        <v>16</v>
      </c>
      <c r="R28" s="5" t="s">
        <v>17</v>
      </c>
      <c r="S28" s="16">
        <f t="shared" ref="S28:AF28" si="20">SUM(S10:S21)</f>
        <v>52</v>
      </c>
      <c r="T28" s="16">
        <f t="shared" si="20"/>
        <v>9</v>
      </c>
      <c r="U28" s="16">
        <f t="shared" si="20"/>
        <v>23</v>
      </c>
      <c r="V28" s="16">
        <f t="shared" si="20"/>
        <v>13</v>
      </c>
      <c r="W28" s="16">
        <f t="shared" si="20"/>
        <v>1</v>
      </c>
      <c r="X28" s="16">
        <f t="shared" si="20"/>
        <v>2</v>
      </c>
      <c r="Y28" s="16">
        <f t="shared" si="20"/>
        <v>23</v>
      </c>
      <c r="Z28" s="16">
        <f t="shared" si="20"/>
        <v>16</v>
      </c>
      <c r="AA28" s="16">
        <f t="shared" si="20"/>
        <v>22</v>
      </c>
      <c r="AB28" s="16">
        <f t="shared" si="20"/>
        <v>1</v>
      </c>
      <c r="AC28" s="16">
        <f t="shared" si="20"/>
        <v>447</v>
      </c>
      <c r="AD28" s="16">
        <f t="shared" si="20"/>
        <v>0</v>
      </c>
      <c r="AE28" s="32">
        <f t="shared" si="20"/>
        <v>162</v>
      </c>
      <c r="AF28" s="32">
        <f t="shared" si="20"/>
        <v>609</v>
      </c>
    </row>
    <row r="29" spans="2:32" ht="23.1" customHeight="1" x14ac:dyDescent="0.25">
      <c r="B29" s="23" t="s">
        <v>56</v>
      </c>
      <c r="C29" s="50">
        <v>2</v>
      </c>
      <c r="D29" s="50">
        <v>0</v>
      </c>
      <c r="E29" s="50">
        <v>0</v>
      </c>
      <c r="F29" s="50">
        <v>0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50">
        <v>9</v>
      </c>
      <c r="N29" s="50">
        <v>0</v>
      </c>
      <c r="O29" s="15">
        <f t="shared" si="0"/>
        <v>2</v>
      </c>
      <c r="P29" s="15">
        <f t="shared" si="1"/>
        <v>11</v>
      </c>
      <c r="R29"/>
      <c r="S29" s="20"/>
      <c r="T29" s="19"/>
    </row>
    <row r="30" spans="2:32" ht="23.1" customHeight="1" x14ac:dyDescent="0.25">
      <c r="B30" s="23" t="s">
        <v>57</v>
      </c>
      <c r="C30" s="50">
        <v>1</v>
      </c>
      <c r="D30" s="50">
        <v>0</v>
      </c>
      <c r="E30" s="50">
        <v>0</v>
      </c>
      <c r="F30" s="50">
        <v>0</v>
      </c>
      <c r="G30" s="50">
        <v>0</v>
      </c>
      <c r="H30" s="50">
        <v>0</v>
      </c>
      <c r="I30" s="50">
        <v>0</v>
      </c>
      <c r="J30" s="50">
        <v>0</v>
      </c>
      <c r="K30" s="50">
        <v>1</v>
      </c>
      <c r="L30" s="50">
        <v>0</v>
      </c>
      <c r="M30" s="50">
        <v>6</v>
      </c>
      <c r="N30" s="50">
        <v>0</v>
      </c>
      <c r="O30" s="15">
        <f t="shared" si="0"/>
        <v>2</v>
      </c>
      <c r="P30" s="15">
        <f t="shared" si="1"/>
        <v>8</v>
      </c>
    </row>
    <row r="31" spans="2:32" ht="23.1" customHeight="1" x14ac:dyDescent="0.25">
      <c r="B31" s="24" t="s">
        <v>58</v>
      </c>
      <c r="C31" s="50">
        <v>0</v>
      </c>
      <c r="D31" s="50">
        <v>0</v>
      </c>
      <c r="E31" s="50">
        <v>1</v>
      </c>
      <c r="F31" s="50">
        <v>0</v>
      </c>
      <c r="G31" s="50">
        <v>0</v>
      </c>
      <c r="H31" s="50">
        <v>0</v>
      </c>
      <c r="I31" s="50">
        <v>0</v>
      </c>
      <c r="J31" s="50">
        <v>0</v>
      </c>
      <c r="K31" s="50">
        <v>2</v>
      </c>
      <c r="L31" s="50">
        <v>0</v>
      </c>
      <c r="M31" s="50">
        <v>3</v>
      </c>
      <c r="N31" s="50">
        <v>0</v>
      </c>
      <c r="O31" s="15">
        <f t="shared" si="0"/>
        <v>3</v>
      </c>
      <c r="P31" s="15">
        <f t="shared" si="1"/>
        <v>6</v>
      </c>
    </row>
    <row r="32" spans="2:32" ht="23.1" customHeight="1" x14ac:dyDescent="0.25">
      <c r="B32" s="24" t="s">
        <v>59</v>
      </c>
      <c r="C32" s="50">
        <v>1</v>
      </c>
      <c r="D32" s="50">
        <v>0</v>
      </c>
      <c r="E32" s="50">
        <v>0</v>
      </c>
      <c r="F32" s="50">
        <v>1</v>
      </c>
      <c r="G32" s="50">
        <v>0</v>
      </c>
      <c r="H32" s="50">
        <v>0</v>
      </c>
      <c r="I32" s="50">
        <v>0</v>
      </c>
      <c r="J32" s="50">
        <v>0</v>
      </c>
      <c r="K32" s="50">
        <v>0</v>
      </c>
      <c r="L32" s="50">
        <v>0</v>
      </c>
      <c r="M32" s="50">
        <v>14</v>
      </c>
      <c r="N32" s="50">
        <v>0</v>
      </c>
      <c r="O32" s="15">
        <f t="shared" si="0"/>
        <v>2</v>
      </c>
      <c r="P32" s="15">
        <f t="shared" si="1"/>
        <v>16</v>
      </c>
    </row>
    <row r="33" spans="2:20" ht="23.1" customHeight="1" x14ac:dyDescent="0.25">
      <c r="B33" s="23" t="s">
        <v>60</v>
      </c>
      <c r="C33" s="50">
        <v>1</v>
      </c>
      <c r="D33" s="50">
        <v>0</v>
      </c>
      <c r="E33" s="50">
        <v>1</v>
      </c>
      <c r="F33" s="50">
        <v>1</v>
      </c>
      <c r="G33" s="50">
        <v>0</v>
      </c>
      <c r="H33" s="50">
        <v>0</v>
      </c>
      <c r="I33" s="50">
        <v>1</v>
      </c>
      <c r="J33" s="50">
        <v>1</v>
      </c>
      <c r="K33" s="50">
        <v>0</v>
      </c>
      <c r="L33" s="50">
        <v>0</v>
      </c>
      <c r="M33" s="50">
        <v>9</v>
      </c>
      <c r="N33" s="50">
        <v>0</v>
      </c>
      <c r="O33" s="15">
        <f t="shared" si="0"/>
        <v>5</v>
      </c>
      <c r="P33" s="15">
        <f t="shared" si="1"/>
        <v>14</v>
      </c>
    </row>
    <row r="34" spans="2:20" ht="23.1" customHeight="1" x14ac:dyDescent="0.25">
      <c r="B34" s="24" t="s">
        <v>61</v>
      </c>
      <c r="C34" s="50">
        <v>2</v>
      </c>
      <c r="D34" s="50">
        <v>1</v>
      </c>
      <c r="E34" s="50">
        <v>0</v>
      </c>
      <c r="F34" s="50">
        <v>0</v>
      </c>
      <c r="G34" s="50">
        <v>0</v>
      </c>
      <c r="H34" s="50">
        <v>0</v>
      </c>
      <c r="I34" s="50">
        <v>0</v>
      </c>
      <c r="J34" s="50">
        <v>0</v>
      </c>
      <c r="K34" s="50">
        <v>0</v>
      </c>
      <c r="L34" s="50">
        <v>0</v>
      </c>
      <c r="M34" s="50">
        <v>9</v>
      </c>
      <c r="N34" s="50">
        <v>0</v>
      </c>
      <c r="O34" s="15">
        <f t="shared" si="0"/>
        <v>3</v>
      </c>
      <c r="P34" s="15">
        <f t="shared" si="1"/>
        <v>12</v>
      </c>
    </row>
    <row r="35" spans="2:20" ht="23.1" customHeight="1" x14ac:dyDescent="0.25">
      <c r="B35" s="24" t="s">
        <v>62</v>
      </c>
      <c r="C35" s="50">
        <v>0</v>
      </c>
      <c r="D35" s="50">
        <v>0</v>
      </c>
      <c r="E35" s="50">
        <v>1</v>
      </c>
      <c r="F35" s="50">
        <v>0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8</v>
      </c>
      <c r="N35" s="50">
        <v>0</v>
      </c>
      <c r="O35" s="15">
        <f t="shared" si="0"/>
        <v>1</v>
      </c>
      <c r="P35" s="15">
        <f t="shared" si="1"/>
        <v>9</v>
      </c>
    </row>
    <row r="36" spans="2:20" ht="23.1" customHeight="1" x14ac:dyDescent="0.25">
      <c r="B36" s="24" t="s">
        <v>63</v>
      </c>
      <c r="C36" s="50">
        <v>1</v>
      </c>
      <c r="D36" s="50">
        <v>0</v>
      </c>
      <c r="E36" s="50">
        <v>1</v>
      </c>
      <c r="F36" s="50">
        <v>0</v>
      </c>
      <c r="G36" s="50">
        <v>0</v>
      </c>
      <c r="H36" s="50">
        <v>0</v>
      </c>
      <c r="I36" s="50">
        <v>0</v>
      </c>
      <c r="J36" s="50">
        <v>0</v>
      </c>
      <c r="K36" s="50">
        <v>0</v>
      </c>
      <c r="L36" s="50">
        <v>0</v>
      </c>
      <c r="M36" s="50">
        <v>15</v>
      </c>
      <c r="N36" s="50">
        <v>0</v>
      </c>
      <c r="O36" s="15">
        <f t="shared" si="0"/>
        <v>2</v>
      </c>
      <c r="P36" s="15">
        <f t="shared" si="1"/>
        <v>17</v>
      </c>
    </row>
    <row r="37" spans="2:20" ht="23.1" customHeight="1" x14ac:dyDescent="0.25">
      <c r="B37" s="23" t="s">
        <v>64</v>
      </c>
      <c r="C37" s="50">
        <v>2</v>
      </c>
      <c r="D37" s="50">
        <v>0</v>
      </c>
      <c r="E37" s="50">
        <v>0</v>
      </c>
      <c r="F37" s="50">
        <v>0</v>
      </c>
      <c r="G37" s="50">
        <v>0</v>
      </c>
      <c r="H37" s="50">
        <v>0</v>
      </c>
      <c r="I37" s="50">
        <v>0</v>
      </c>
      <c r="J37" s="50">
        <v>0</v>
      </c>
      <c r="K37" s="50">
        <v>0</v>
      </c>
      <c r="L37" s="50">
        <v>0</v>
      </c>
      <c r="M37" s="50">
        <v>15</v>
      </c>
      <c r="N37" s="50">
        <v>0</v>
      </c>
      <c r="O37" s="15">
        <f t="shared" si="0"/>
        <v>2</v>
      </c>
      <c r="P37" s="15">
        <f t="shared" si="1"/>
        <v>17</v>
      </c>
    </row>
    <row r="38" spans="2:20" ht="23.1" customHeight="1" x14ac:dyDescent="0.25">
      <c r="B38" s="24" t="s">
        <v>65</v>
      </c>
      <c r="C38" s="50">
        <v>1</v>
      </c>
      <c r="D38" s="50">
        <v>0</v>
      </c>
      <c r="E38" s="50">
        <v>2</v>
      </c>
      <c r="F38" s="50">
        <v>0</v>
      </c>
      <c r="G38" s="50">
        <v>0</v>
      </c>
      <c r="H38" s="50">
        <v>0</v>
      </c>
      <c r="I38" s="50">
        <v>2</v>
      </c>
      <c r="J38" s="50">
        <v>0</v>
      </c>
      <c r="K38" s="50">
        <v>5</v>
      </c>
      <c r="L38" s="50">
        <v>0</v>
      </c>
      <c r="M38" s="50">
        <v>8</v>
      </c>
      <c r="N38" s="50">
        <v>0</v>
      </c>
      <c r="O38" s="15">
        <f t="shared" si="0"/>
        <v>10</v>
      </c>
      <c r="P38" s="15">
        <f t="shared" si="1"/>
        <v>18</v>
      </c>
    </row>
    <row r="39" spans="2:20" ht="23.1" customHeight="1" x14ac:dyDescent="0.25">
      <c r="B39" s="24" t="s">
        <v>66</v>
      </c>
      <c r="C39" s="50">
        <v>2</v>
      </c>
      <c r="D39" s="50">
        <v>0</v>
      </c>
      <c r="E39" s="50">
        <v>2</v>
      </c>
      <c r="F39" s="50">
        <v>0</v>
      </c>
      <c r="G39" s="50">
        <v>0</v>
      </c>
      <c r="H39" s="50">
        <v>0</v>
      </c>
      <c r="I39" s="50">
        <v>0</v>
      </c>
      <c r="J39" s="50">
        <v>1</v>
      </c>
      <c r="K39" s="50">
        <v>0</v>
      </c>
      <c r="L39" s="50">
        <v>0</v>
      </c>
      <c r="M39" s="50">
        <v>15</v>
      </c>
      <c r="N39" s="50">
        <v>0</v>
      </c>
      <c r="O39" s="15">
        <f t="shared" si="0"/>
        <v>5</v>
      </c>
      <c r="P39" s="15">
        <f t="shared" si="1"/>
        <v>20</v>
      </c>
    </row>
    <row r="40" spans="2:20" ht="23.1" customHeight="1" x14ac:dyDescent="0.25">
      <c r="B40" s="24" t="s">
        <v>67</v>
      </c>
      <c r="C40" s="50">
        <v>0</v>
      </c>
      <c r="D40" s="50">
        <v>1</v>
      </c>
      <c r="E40" s="50">
        <v>0</v>
      </c>
      <c r="F40" s="50">
        <v>0</v>
      </c>
      <c r="G40" s="50">
        <v>0</v>
      </c>
      <c r="H40" s="50">
        <v>0</v>
      </c>
      <c r="I40" s="50">
        <v>0</v>
      </c>
      <c r="J40" s="50">
        <v>1</v>
      </c>
      <c r="K40" s="50">
        <v>0</v>
      </c>
      <c r="L40" s="50">
        <v>0</v>
      </c>
      <c r="M40" s="50">
        <v>9</v>
      </c>
      <c r="N40" s="50">
        <v>0</v>
      </c>
      <c r="O40" s="15">
        <f t="shared" si="0"/>
        <v>2</v>
      </c>
      <c r="P40" s="15">
        <f t="shared" si="1"/>
        <v>11</v>
      </c>
    </row>
    <row r="41" spans="2:20" ht="23.1" customHeight="1" x14ac:dyDescent="0.25">
      <c r="B41" s="23" t="s">
        <v>68</v>
      </c>
      <c r="C41" s="50">
        <v>1</v>
      </c>
      <c r="D41" s="50">
        <v>0</v>
      </c>
      <c r="E41" s="50">
        <v>0</v>
      </c>
      <c r="F41" s="50">
        <v>1</v>
      </c>
      <c r="G41" s="50">
        <v>0</v>
      </c>
      <c r="H41" s="50">
        <v>0</v>
      </c>
      <c r="I41" s="50">
        <v>0</v>
      </c>
      <c r="J41" s="50">
        <v>0</v>
      </c>
      <c r="K41" s="50">
        <v>0</v>
      </c>
      <c r="L41" s="50">
        <v>0</v>
      </c>
      <c r="M41" s="50">
        <v>4</v>
      </c>
      <c r="N41" s="50">
        <v>0</v>
      </c>
      <c r="O41" s="15">
        <f t="shared" si="0"/>
        <v>2</v>
      </c>
      <c r="P41" s="15">
        <f t="shared" si="1"/>
        <v>6</v>
      </c>
    </row>
    <row r="42" spans="2:20" ht="23.1" customHeight="1" x14ac:dyDescent="0.25">
      <c r="B42" s="24" t="s">
        <v>69</v>
      </c>
      <c r="C42" s="50">
        <v>1</v>
      </c>
      <c r="D42" s="50">
        <v>0</v>
      </c>
      <c r="E42" s="50">
        <v>0</v>
      </c>
      <c r="F42" s="50">
        <v>0</v>
      </c>
      <c r="G42" s="50">
        <v>0</v>
      </c>
      <c r="H42" s="50">
        <v>0</v>
      </c>
      <c r="I42" s="50">
        <v>0</v>
      </c>
      <c r="J42" s="50">
        <v>1</v>
      </c>
      <c r="K42" s="50">
        <v>2</v>
      </c>
      <c r="L42" s="50">
        <v>0</v>
      </c>
      <c r="M42" s="50">
        <v>11</v>
      </c>
      <c r="N42" s="50">
        <v>0</v>
      </c>
      <c r="O42" s="15">
        <f t="shared" si="0"/>
        <v>4</v>
      </c>
      <c r="P42" s="15">
        <f t="shared" si="1"/>
        <v>15</v>
      </c>
    </row>
    <row r="43" spans="2:20" ht="23.1" customHeight="1" x14ac:dyDescent="0.25">
      <c r="B43" s="23" t="s">
        <v>70</v>
      </c>
      <c r="C43" s="50">
        <v>2</v>
      </c>
      <c r="D43" s="50">
        <v>0</v>
      </c>
      <c r="E43" s="50">
        <v>0</v>
      </c>
      <c r="F43" s="50">
        <v>0</v>
      </c>
      <c r="G43" s="50">
        <v>0</v>
      </c>
      <c r="H43" s="50">
        <v>0</v>
      </c>
      <c r="I43" s="50">
        <v>3</v>
      </c>
      <c r="J43" s="50">
        <v>0</v>
      </c>
      <c r="K43" s="50">
        <v>0</v>
      </c>
      <c r="L43" s="50">
        <v>0</v>
      </c>
      <c r="M43" s="50">
        <v>10</v>
      </c>
      <c r="N43" s="50">
        <v>0</v>
      </c>
      <c r="O43" s="15">
        <f t="shared" si="0"/>
        <v>5</v>
      </c>
      <c r="P43" s="15">
        <f t="shared" si="1"/>
        <v>15</v>
      </c>
    </row>
    <row r="44" spans="2:20" ht="23.1" customHeight="1" x14ac:dyDescent="0.25">
      <c r="B44" s="25" t="s">
        <v>71</v>
      </c>
      <c r="C44" s="50">
        <v>1</v>
      </c>
      <c r="D44" s="50">
        <v>0</v>
      </c>
      <c r="E44" s="50">
        <v>0</v>
      </c>
      <c r="F44" s="50">
        <v>0</v>
      </c>
      <c r="G44" s="50">
        <v>0</v>
      </c>
      <c r="H44" s="50">
        <v>0</v>
      </c>
      <c r="I44" s="50">
        <v>1</v>
      </c>
      <c r="J44" s="50">
        <v>1</v>
      </c>
      <c r="K44" s="50">
        <v>1</v>
      </c>
      <c r="L44" s="50">
        <v>0</v>
      </c>
      <c r="M44" s="50">
        <v>9</v>
      </c>
      <c r="N44" s="50">
        <v>0</v>
      </c>
      <c r="O44" s="15">
        <f t="shared" si="0"/>
        <v>4</v>
      </c>
      <c r="P44" s="15">
        <f t="shared" si="1"/>
        <v>13</v>
      </c>
    </row>
    <row r="45" spans="2:20" ht="23.1" customHeight="1" x14ac:dyDescent="0.25">
      <c r="B45" s="23" t="s">
        <v>72</v>
      </c>
      <c r="C45" s="50">
        <v>1</v>
      </c>
      <c r="D45" s="50">
        <v>0</v>
      </c>
      <c r="E45" s="50">
        <v>0</v>
      </c>
      <c r="F45" s="50">
        <v>0</v>
      </c>
      <c r="G45" s="50">
        <v>0</v>
      </c>
      <c r="H45" s="50">
        <v>0</v>
      </c>
      <c r="I45" s="50">
        <v>1</v>
      </c>
      <c r="J45" s="50">
        <v>1</v>
      </c>
      <c r="K45" s="50">
        <v>0</v>
      </c>
      <c r="L45" s="50">
        <v>0</v>
      </c>
      <c r="M45" s="50">
        <v>11</v>
      </c>
      <c r="N45" s="50">
        <v>0</v>
      </c>
      <c r="O45" s="15">
        <f t="shared" si="0"/>
        <v>3</v>
      </c>
      <c r="P45" s="15">
        <f t="shared" si="1"/>
        <v>14</v>
      </c>
    </row>
    <row r="46" spans="2:20" ht="23.1" customHeight="1" x14ac:dyDescent="0.25">
      <c r="B46" s="24" t="s">
        <v>73</v>
      </c>
      <c r="C46" s="50">
        <v>0</v>
      </c>
      <c r="D46" s="50">
        <v>0</v>
      </c>
      <c r="E46" s="50">
        <v>1</v>
      </c>
      <c r="F46" s="50">
        <v>0</v>
      </c>
      <c r="G46" s="50">
        <v>0</v>
      </c>
      <c r="H46" s="50">
        <v>0</v>
      </c>
      <c r="I46" s="50">
        <v>0</v>
      </c>
      <c r="J46" s="50">
        <v>0</v>
      </c>
      <c r="K46" s="50">
        <v>0</v>
      </c>
      <c r="L46" s="50">
        <v>0</v>
      </c>
      <c r="M46" s="50">
        <v>1</v>
      </c>
      <c r="N46" s="50">
        <v>0</v>
      </c>
      <c r="O46" s="15">
        <f t="shared" si="0"/>
        <v>1</v>
      </c>
      <c r="P46" s="15">
        <f t="shared" si="1"/>
        <v>2</v>
      </c>
      <c r="R46" s="8"/>
      <c r="T46"/>
    </row>
    <row r="47" spans="2:20" ht="23.1" customHeight="1" x14ac:dyDescent="0.25">
      <c r="B47" s="24" t="s">
        <v>74</v>
      </c>
      <c r="C47" s="50">
        <v>0</v>
      </c>
      <c r="D47" s="50">
        <v>1</v>
      </c>
      <c r="E47" s="50">
        <v>0</v>
      </c>
      <c r="F47" s="50">
        <v>1</v>
      </c>
      <c r="G47" s="50">
        <v>0</v>
      </c>
      <c r="H47" s="50">
        <v>0</v>
      </c>
      <c r="I47" s="50">
        <v>1</v>
      </c>
      <c r="J47" s="50">
        <v>1</v>
      </c>
      <c r="K47" s="50">
        <v>0</v>
      </c>
      <c r="L47" s="50">
        <v>0</v>
      </c>
      <c r="M47" s="50">
        <v>1</v>
      </c>
      <c r="N47" s="50">
        <v>0</v>
      </c>
      <c r="O47" s="15">
        <f t="shared" si="0"/>
        <v>4</v>
      </c>
      <c r="P47" s="15">
        <f t="shared" si="1"/>
        <v>5</v>
      </c>
      <c r="R47" s="8"/>
      <c r="T47"/>
    </row>
    <row r="48" spans="2:20" ht="23.1" customHeight="1" x14ac:dyDescent="0.25">
      <c r="B48" s="24" t="s">
        <v>75</v>
      </c>
      <c r="C48" s="50">
        <v>0</v>
      </c>
      <c r="D48" s="50">
        <v>0</v>
      </c>
      <c r="E48" s="50">
        <v>0</v>
      </c>
      <c r="F48" s="50">
        <v>0</v>
      </c>
      <c r="G48" s="50">
        <v>0</v>
      </c>
      <c r="H48" s="50">
        <v>0</v>
      </c>
      <c r="I48" s="50">
        <v>0</v>
      </c>
      <c r="J48" s="50">
        <v>1</v>
      </c>
      <c r="K48" s="50">
        <v>0</v>
      </c>
      <c r="L48" s="50">
        <v>0</v>
      </c>
      <c r="M48" s="50">
        <v>12</v>
      </c>
      <c r="N48" s="50">
        <v>0</v>
      </c>
      <c r="O48" s="15">
        <f t="shared" si="0"/>
        <v>1</v>
      </c>
      <c r="P48" s="15">
        <f t="shared" si="1"/>
        <v>13</v>
      </c>
      <c r="R48" s="8"/>
      <c r="T48"/>
    </row>
    <row r="49" spans="2:20" ht="23.1" customHeight="1" x14ac:dyDescent="0.25">
      <c r="B49" s="23" t="s">
        <v>76</v>
      </c>
      <c r="C49" s="50">
        <v>1</v>
      </c>
      <c r="D49" s="50">
        <v>0</v>
      </c>
      <c r="E49" s="50">
        <v>0</v>
      </c>
      <c r="F49" s="50">
        <v>2</v>
      </c>
      <c r="G49" s="50">
        <v>0</v>
      </c>
      <c r="H49" s="50">
        <v>0</v>
      </c>
      <c r="I49" s="50">
        <v>1</v>
      </c>
      <c r="J49" s="50">
        <v>1</v>
      </c>
      <c r="K49" s="50">
        <v>0</v>
      </c>
      <c r="L49" s="50">
        <v>0</v>
      </c>
      <c r="M49" s="50">
        <v>11</v>
      </c>
      <c r="N49" s="50">
        <v>0</v>
      </c>
      <c r="O49" s="15">
        <f t="shared" si="0"/>
        <v>5</v>
      </c>
      <c r="P49" s="15">
        <f t="shared" si="1"/>
        <v>16</v>
      </c>
      <c r="R49" s="8"/>
      <c r="T49"/>
    </row>
    <row r="50" spans="2:20" ht="23.1" customHeight="1" x14ac:dyDescent="0.25">
      <c r="B50" s="24" t="s">
        <v>77</v>
      </c>
      <c r="C50" s="50">
        <v>3</v>
      </c>
      <c r="D50" s="50">
        <v>0</v>
      </c>
      <c r="E50" s="50">
        <v>2</v>
      </c>
      <c r="F50" s="50">
        <v>0</v>
      </c>
      <c r="G50" s="50">
        <v>0</v>
      </c>
      <c r="H50" s="50">
        <v>0</v>
      </c>
      <c r="I50" s="50">
        <v>2</v>
      </c>
      <c r="J50" s="50">
        <v>0</v>
      </c>
      <c r="K50" s="50">
        <v>0</v>
      </c>
      <c r="L50" s="50">
        <v>0</v>
      </c>
      <c r="M50" s="50">
        <v>12</v>
      </c>
      <c r="N50" s="50">
        <v>0</v>
      </c>
      <c r="O50" s="15">
        <f t="shared" si="0"/>
        <v>7</v>
      </c>
      <c r="P50" s="15">
        <f t="shared" si="1"/>
        <v>19</v>
      </c>
      <c r="R50" s="8"/>
      <c r="T50"/>
    </row>
    <row r="51" spans="2:20" ht="23.1" customHeight="1" x14ac:dyDescent="0.25">
      <c r="B51" s="24" t="s">
        <v>78</v>
      </c>
      <c r="C51" s="50">
        <v>0</v>
      </c>
      <c r="D51" s="50">
        <v>0</v>
      </c>
      <c r="E51" s="50">
        <v>0</v>
      </c>
      <c r="F51" s="50">
        <v>0</v>
      </c>
      <c r="G51" s="50">
        <v>0</v>
      </c>
      <c r="H51" s="50">
        <v>0</v>
      </c>
      <c r="I51" s="50">
        <v>0</v>
      </c>
      <c r="J51" s="50">
        <v>0</v>
      </c>
      <c r="K51" s="50">
        <v>0</v>
      </c>
      <c r="L51" s="50">
        <v>0</v>
      </c>
      <c r="M51" s="50">
        <v>7</v>
      </c>
      <c r="N51" s="50">
        <v>0</v>
      </c>
      <c r="O51" s="15">
        <f t="shared" si="0"/>
        <v>0</v>
      </c>
      <c r="P51" s="15">
        <f t="shared" si="1"/>
        <v>7</v>
      </c>
      <c r="R51" s="8"/>
      <c r="T51"/>
    </row>
    <row r="52" spans="2:20" ht="23.1" customHeight="1" x14ac:dyDescent="0.25">
      <c r="B52" s="24" t="s">
        <v>79</v>
      </c>
      <c r="C52" s="50">
        <v>1</v>
      </c>
      <c r="D52" s="50">
        <v>0</v>
      </c>
      <c r="E52" s="50">
        <v>0</v>
      </c>
      <c r="F52" s="50">
        <v>0</v>
      </c>
      <c r="G52" s="50">
        <v>0</v>
      </c>
      <c r="H52" s="50">
        <v>0</v>
      </c>
      <c r="I52" s="50">
        <v>1</v>
      </c>
      <c r="J52" s="50">
        <v>0</v>
      </c>
      <c r="K52" s="50">
        <v>0</v>
      </c>
      <c r="L52" s="50">
        <v>0</v>
      </c>
      <c r="M52" s="50">
        <v>7</v>
      </c>
      <c r="N52" s="50">
        <v>0</v>
      </c>
      <c r="O52" s="15">
        <f t="shared" si="0"/>
        <v>2</v>
      </c>
      <c r="P52" s="15">
        <f t="shared" si="1"/>
        <v>9</v>
      </c>
      <c r="R52" s="8"/>
      <c r="T52"/>
    </row>
    <row r="53" spans="2:20" ht="23.1" customHeight="1" x14ac:dyDescent="0.25">
      <c r="B53" s="23" t="s">
        <v>80</v>
      </c>
      <c r="C53" s="50">
        <v>0</v>
      </c>
      <c r="D53" s="50">
        <v>0</v>
      </c>
      <c r="E53" s="50">
        <v>0</v>
      </c>
      <c r="F53" s="50">
        <v>0</v>
      </c>
      <c r="G53" s="50">
        <v>0</v>
      </c>
      <c r="H53" s="50">
        <v>0</v>
      </c>
      <c r="I53" s="50">
        <v>2</v>
      </c>
      <c r="J53" s="50">
        <v>0</v>
      </c>
      <c r="K53" s="50">
        <v>0</v>
      </c>
      <c r="L53" s="50">
        <v>0</v>
      </c>
      <c r="M53" s="50">
        <v>9</v>
      </c>
      <c r="N53" s="50">
        <v>0</v>
      </c>
      <c r="O53" s="15">
        <f t="shared" si="0"/>
        <v>2</v>
      </c>
      <c r="P53" s="15">
        <f t="shared" si="1"/>
        <v>11</v>
      </c>
      <c r="R53" s="8"/>
      <c r="T53"/>
    </row>
    <row r="54" spans="2:20" ht="23.1" customHeight="1" x14ac:dyDescent="0.25">
      <c r="B54" s="23" t="s">
        <v>81</v>
      </c>
      <c r="C54" s="50">
        <v>0</v>
      </c>
      <c r="D54" s="50">
        <v>0</v>
      </c>
      <c r="E54" s="50">
        <v>0</v>
      </c>
      <c r="F54" s="50">
        <v>0</v>
      </c>
      <c r="G54" s="50">
        <v>0</v>
      </c>
      <c r="H54" s="50">
        <v>0</v>
      </c>
      <c r="I54" s="50">
        <v>0</v>
      </c>
      <c r="J54" s="50">
        <v>0</v>
      </c>
      <c r="K54" s="50">
        <v>0</v>
      </c>
      <c r="L54" s="50">
        <v>0</v>
      </c>
      <c r="M54" s="50">
        <v>11</v>
      </c>
      <c r="N54" s="50">
        <v>0</v>
      </c>
      <c r="O54" s="15">
        <f t="shared" si="0"/>
        <v>0</v>
      </c>
      <c r="P54" s="15">
        <f t="shared" si="1"/>
        <v>11</v>
      </c>
      <c r="R54" s="8"/>
      <c r="T54"/>
    </row>
    <row r="55" spans="2:20" ht="23.1" customHeight="1" x14ac:dyDescent="0.25">
      <c r="B55" s="23" t="s">
        <v>82</v>
      </c>
      <c r="C55" s="50">
        <v>4</v>
      </c>
      <c r="D55" s="50">
        <v>0</v>
      </c>
      <c r="E55" s="50">
        <v>1</v>
      </c>
      <c r="F55" s="50">
        <v>0</v>
      </c>
      <c r="G55" s="50">
        <v>1</v>
      </c>
      <c r="H55" s="50">
        <v>0</v>
      </c>
      <c r="I55" s="50">
        <v>0</v>
      </c>
      <c r="J55" s="50">
        <v>1</v>
      </c>
      <c r="K55" s="50">
        <v>0</v>
      </c>
      <c r="L55" s="50">
        <v>0</v>
      </c>
      <c r="M55" s="50">
        <v>14</v>
      </c>
      <c r="N55" s="50">
        <v>0</v>
      </c>
      <c r="O55" s="15">
        <f t="shared" si="0"/>
        <v>7</v>
      </c>
      <c r="P55" s="15">
        <f t="shared" si="1"/>
        <v>21</v>
      </c>
      <c r="R55" s="8"/>
      <c r="T55"/>
    </row>
    <row r="56" spans="2:20" ht="23.1" customHeight="1" x14ac:dyDescent="0.25">
      <c r="B56" s="23" t="s">
        <v>83</v>
      </c>
      <c r="C56" s="50">
        <v>3</v>
      </c>
      <c r="D56" s="50">
        <v>0</v>
      </c>
      <c r="E56" s="50">
        <v>2</v>
      </c>
      <c r="F56" s="50">
        <v>0</v>
      </c>
      <c r="G56" s="50">
        <v>0</v>
      </c>
      <c r="H56" s="50">
        <v>0</v>
      </c>
      <c r="I56" s="50">
        <v>0</v>
      </c>
      <c r="J56" s="50">
        <v>0</v>
      </c>
      <c r="K56" s="50">
        <v>1</v>
      </c>
      <c r="L56" s="50">
        <v>0</v>
      </c>
      <c r="M56" s="50">
        <v>12</v>
      </c>
      <c r="N56" s="50">
        <v>0</v>
      </c>
      <c r="O56" s="15">
        <f t="shared" si="0"/>
        <v>6</v>
      </c>
      <c r="P56" s="15">
        <f t="shared" si="1"/>
        <v>18</v>
      </c>
      <c r="R56" s="8"/>
      <c r="T56"/>
    </row>
    <row r="57" spans="2:20" ht="23.1" customHeight="1" x14ac:dyDescent="0.25">
      <c r="B57" s="23" t="s">
        <v>84</v>
      </c>
      <c r="C57" s="50">
        <v>2</v>
      </c>
      <c r="D57" s="50">
        <v>1</v>
      </c>
      <c r="E57" s="50">
        <v>1</v>
      </c>
      <c r="F57" s="50">
        <v>0</v>
      </c>
      <c r="G57" s="50">
        <v>0</v>
      </c>
      <c r="H57" s="50">
        <v>1</v>
      </c>
      <c r="I57" s="50">
        <v>1</v>
      </c>
      <c r="J57" s="50">
        <v>1</v>
      </c>
      <c r="K57" s="50">
        <v>1</v>
      </c>
      <c r="L57" s="50">
        <v>0</v>
      </c>
      <c r="M57" s="50">
        <v>12</v>
      </c>
      <c r="N57" s="50">
        <v>0</v>
      </c>
      <c r="O57" s="15">
        <f t="shared" si="0"/>
        <v>8</v>
      </c>
      <c r="P57" s="15">
        <f t="shared" si="1"/>
        <v>20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52</v>
      </c>
      <c r="D58" s="16">
        <f t="shared" si="21"/>
        <v>9</v>
      </c>
      <c r="E58" s="16">
        <f t="shared" si="21"/>
        <v>23</v>
      </c>
      <c r="F58" s="16">
        <f t="shared" si="21"/>
        <v>13</v>
      </c>
      <c r="G58" s="16">
        <f t="shared" si="21"/>
        <v>1</v>
      </c>
      <c r="H58" s="16">
        <f t="shared" si="21"/>
        <v>2</v>
      </c>
      <c r="I58" s="16">
        <f t="shared" si="21"/>
        <v>23</v>
      </c>
      <c r="J58" s="16">
        <f t="shared" si="21"/>
        <v>16</v>
      </c>
      <c r="K58" s="16">
        <f t="shared" si="21"/>
        <v>22</v>
      </c>
      <c r="L58" s="16">
        <f t="shared" si="21"/>
        <v>1</v>
      </c>
      <c r="M58" s="16">
        <f t="shared" si="21"/>
        <v>447</v>
      </c>
      <c r="N58" s="16">
        <f t="shared" si="21"/>
        <v>0</v>
      </c>
      <c r="O58" s="16">
        <f t="shared" si="21"/>
        <v>162</v>
      </c>
      <c r="P58" s="16">
        <f t="shared" si="21"/>
        <v>609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8.5385878489326772E-2</v>
      </c>
      <c r="D59" s="43">
        <f t="shared" si="22"/>
        <v>1.4778325123152709E-2</v>
      </c>
      <c r="E59" s="43">
        <f t="shared" si="22"/>
        <v>3.7766830870279149E-2</v>
      </c>
      <c r="F59" s="43">
        <f t="shared" si="22"/>
        <v>2.1346469622331693E-2</v>
      </c>
      <c r="G59" s="43">
        <f t="shared" si="22"/>
        <v>1.6420361247947454E-3</v>
      </c>
      <c r="H59" s="43">
        <f t="shared" si="22"/>
        <v>3.2840722495894909E-3</v>
      </c>
      <c r="I59" s="43">
        <f t="shared" si="22"/>
        <v>3.7766830870279149E-2</v>
      </c>
      <c r="J59" s="43">
        <f t="shared" si="22"/>
        <v>2.6272577996715927E-2</v>
      </c>
      <c r="K59" s="43">
        <f t="shared" si="22"/>
        <v>3.6124794745484398E-2</v>
      </c>
      <c r="L59" s="43">
        <f t="shared" si="22"/>
        <v>1.6420361247947454E-3</v>
      </c>
      <c r="M59" s="43">
        <f t="shared" si="22"/>
        <v>0.73399014778325122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0.32098765432098764</v>
      </c>
      <c r="D60" s="44">
        <f t="shared" ref="D60:N60" si="23">D58/$O$58</f>
        <v>5.5555555555555552E-2</v>
      </c>
      <c r="E60" s="44">
        <f t="shared" si="23"/>
        <v>0.1419753086419753</v>
      </c>
      <c r="F60" s="44">
        <f t="shared" si="23"/>
        <v>8.0246913580246909E-2</v>
      </c>
      <c r="G60" s="44">
        <f t="shared" si="23"/>
        <v>6.1728395061728392E-3</v>
      </c>
      <c r="H60" s="44">
        <f t="shared" si="23"/>
        <v>1.2345679012345678E-2</v>
      </c>
      <c r="I60" s="44">
        <f t="shared" si="23"/>
        <v>0.1419753086419753</v>
      </c>
      <c r="J60" s="44">
        <f t="shared" si="23"/>
        <v>9.8765432098765427E-2</v>
      </c>
      <c r="K60" s="44">
        <f t="shared" si="23"/>
        <v>0.13580246913580246</v>
      </c>
      <c r="L60" s="44">
        <f t="shared" si="23"/>
        <v>6.1728395061728392E-3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6:L6"/>
    <mergeCell ref="K5:L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B1:AF174"/>
  <sheetViews>
    <sheetView tabSelected="1" view="pageBreakPreview" zoomScale="60" workbookViewId="0">
      <selection activeCell="N99" sqref="N99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1" t="s">
        <v>23</v>
      </c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</row>
    <row r="2" spans="2:32" ht="20.100000000000001" customHeight="1" x14ac:dyDescent="0.25">
      <c r="B2" s="62" t="s">
        <v>95</v>
      </c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</row>
    <row r="3" spans="2:32" ht="20.100000000000001" customHeight="1" x14ac:dyDescent="0.25">
      <c r="B3" s="22" t="s">
        <v>96</v>
      </c>
      <c r="C3" s="68" t="str">
        <f>'23.10 KANONI-SSEMBABULE'!C3:G3</f>
        <v>SSEMBABULE-KABULASOKE ROAD</v>
      </c>
      <c r="D3" s="68"/>
      <c r="E3" s="68"/>
      <c r="F3" s="68"/>
      <c r="G3" s="68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66" t="s">
        <v>164</v>
      </c>
      <c r="E5" s="67"/>
      <c r="F5" s="41" t="s">
        <v>1</v>
      </c>
      <c r="G5" s="64" t="str">
        <f>'23.10 SSEMBABULE-KANONI'!G5:H5</f>
        <v>KYABI</v>
      </c>
      <c r="H5" s="65"/>
      <c r="I5" s="14"/>
      <c r="J5" s="2" t="s">
        <v>5</v>
      </c>
      <c r="K5" s="64" t="s">
        <v>183</v>
      </c>
      <c r="L5" s="65"/>
      <c r="M5" s="10"/>
      <c r="N5" s="10"/>
      <c r="O5" s="3"/>
      <c r="P5" s="3"/>
    </row>
    <row r="6" spans="2:32" ht="23.25" customHeight="1" x14ac:dyDescent="0.25">
      <c r="C6" s="2" t="s">
        <v>4</v>
      </c>
      <c r="D6" s="64" t="str">
        <f>'23.10 SSEMBABULE-KANONI'!D6:E6</f>
        <v>SSEMBABULE</v>
      </c>
      <c r="E6" s="65"/>
      <c r="F6" s="2" t="s">
        <v>2</v>
      </c>
      <c r="G6" s="64" t="str">
        <f>'23.10 SSEMBABULE-KANONI'!G6:H6</f>
        <v>KANONI</v>
      </c>
      <c r="H6" s="65"/>
      <c r="J6" s="2" t="s">
        <v>21</v>
      </c>
      <c r="K6" s="64" t="str">
        <f>'23.10 SSEMBABULE-KANONI'!K6:L6</f>
        <v>ONYUTI BETTY</v>
      </c>
      <c r="L6" s="65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0" t="s">
        <v>88</v>
      </c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49">
        <f>AVERAGE('17.10 SSEMBABULE-KANONI'!C10,'18.10 SSEMBABULE-KANONI-24h'!C10,'19.10  SSEMBABULE- KANONI-24h'!C10,'20.10 SSEMBABULE-KANONI'!C10,'21.10 SSEMBABULE-KANONI'!C10,'22.10 SSEMBABULE-KANONI'!C10,'23.10 SSEMBABULE-KANONI'!C10)</f>
        <v>1.2857142857142858</v>
      </c>
      <c r="D10" s="49">
        <f>AVERAGE('17.10 SSEMBABULE-KANONI'!D10,'18.10 SSEMBABULE-KANONI-24h'!D10,'19.10  SSEMBABULE- KANONI-24h'!D10,'20.10 SSEMBABULE-KANONI'!D10,'21.10 SSEMBABULE-KANONI'!D10,'22.10 SSEMBABULE-KANONI'!D10,'23.10 SSEMBABULE-KANONI'!D10)</f>
        <v>0.5714285714285714</v>
      </c>
      <c r="E10" s="49">
        <f>AVERAGE('17.10 SSEMBABULE-KANONI'!E10,'18.10 SSEMBABULE-KANONI-24h'!E10,'19.10  SSEMBABULE- KANONI-24h'!E10,'20.10 SSEMBABULE-KANONI'!E10,'21.10 SSEMBABULE-KANONI'!E10,'22.10 SSEMBABULE-KANONI'!E10,'23.10 SSEMBABULE-KANONI'!E10)</f>
        <v>0.14285714285714285</v>
      </c>
      <c r="F10" s="49">
        <f>AVERAGE('17.10 SSEMBABULE-KANONI'!F10,'18.10 SSEMBABULE-KANONI-24h'!F10,'19.10  SSEMBABULE- KANONI-24h'!F10,'20.10 SSEMBABULE-KANONI'!F10,'21.10 SSEMBABULE-KANONI'!F10,'22.10 SSEMBABULE-KANONI'!F10,'23.10 SSEMBABULE-KANONI'!F10)</f>
        <v>1</v>
      </c>
      <c r="G10" s="49">
        <f>AVERAGE('17.10 SSEMBABULE-KANONI'!G10,'18.10 SSEMBABULE-KANONI-24h'!G10,'19.10  SSEMBABULE- KANONI-24h'!G10,'20.10 SSEMBABULE-KANONI'!G10,'21.10 SSEMBABULE-KANONI'!G10,'22.10 SSEMBABULE-KANONI'!G10,'23.10 SSEMBABULE-KANONI'!G10)</f>
        <v>0.14285714285714285</v>
      </c>
      <c r="H10" s="49">
        <f>AVERAGE('17.10 SSEMBABULE-KANONI'!H10,'18.10 SSEMBABULE-KANONI-24h'!H10,'19.10  SSEMBABULE- KANONI-24h'!H10,'20.10 SSEMBABULE-KANONI'!H10,'21.10 SSEMBABULE-KANONI'!H10,'22.10 SSEMBABULE-KANONI'!H10,'23.10 SSEMBABULE-KANONI'!H10)</f>
        <v>0</v>
      </c>
      <c r="I10" s="49">
        <f>AVERAGE('17.10 SSEMBABULE-KANONI'!I10,'18.10 SSEMBABULE-KANONI-24h'!I10,'19.10  SSEMBABULE- KANONI-24h'!I10,'20.10 SSEMBABULE-KANONI'!I10,'21.10 SSEMBABULE-KANONI'!I10,'22.10 SSEMBABULE-KANONI'!I10,'23.10 SSEMBABULE-KANONI'!I10)</f>
        <v>0.42857142857142855</v>
      </c>
      <c r="J10" s="49">
        <f>AVERAGE('17.10 SSEMBABULE-KANONI'!J10,'18.10 SSEMBABULE-KANONI-24h'!J10,'19.10  SSEMBABULE- KANONI-24h'!J10,'20.10 SSEMBABULE-KANONI'!J10,'21.10 SSEMBABULE-KANONI'!J10,'22.10 SSEMBABULE-KANONI'!J10,'23.10 SSEMBABULE-KANONI'!J10)</f>
        <v>0.14285714285714285</v>
      </c>
      <c r="K10" s="49">
        <f>AVERAGE('17.10 SSEMBABULE-KANONI'!K10,'18.10 SSEMBABULE-KANONI-24h'!K10,'19.10  SSEMBABULE- KANONI-24h'!K10,'20.10 SSEMBABULE-KANONI'!K10,'21.10 SSEMBABULE-KANONI'!K10,'22.10 SSEMBABULE-KANONI'!K10,'23.10 SSEMBABULE-KANONI'!K10)</f>
        <v>0.14285714285714285</v>
      </c>
      <c r="L10" s="49">
        <f>AVERAGE('17.10 SSEMBABULE-KANONI'!L10,'18.10 SSEMBABULE-KANONI-24h'!L10,'19.10  SSEMBABULE- KANONI-24h'!L10,'20.10 SSEMBABULE-KANONI'!L10,'21.10 SSEMBABULE-KANONI'!L10,'22.10 SSEMBABULE-KANONI'!L10,'23.10 SSEMBABULE-KANONI'!L10)</f>
        <v>0</v>
      </c>
      <c r="M10" s="49">
        <f>AVERAGE('17.10 SSEMBABULE-KANONI'!M10,'18.10 SSEMBABULE-KANONI-24h'!M10,'19.10  SSEMBABULE- KANONI-24h'!M10,'20.10 SSEMBABULE-KANONI'!M10,'21.10 SSEMBABULE-KANONI'!M10,'22.10 SSEMBABULE-KANONI'!M10,'23.10 SSEMBABULE-KANONI'!M10)</f>
        <v>6.1428571428571432</v>
      </c>
      <c r="N10" s="49">
        <f>AVERAGE('17.10 SSEMBABULE-KANONI'!N10,'18.10 SSEMBABULE-KANONI-24h'!N10,'19.10  SSEMBABULE- KANONI-24h'!N10,'20.10 SSEMBABULE-KANONI'!N10,'21.10 SSEMBABULE-KANONI'!N10,'22.10 SSEMBABULE-KANONI'!N10,'23.10 SSEMBABULE-KANONI'!N10)</f>
        <v>0</v>
      </c>
      <c r="O10" s="15">
        <f t="shared" ref="O10:O73" si="0">SUM(C10:L10,N10)</f>
        <v>3.8571428571428568</v>
      </c>
      <c r="P10" s="15">
        <f t="shared" ref="P10:P73" si="1">SUM(C10:N10)</f>
        <v>10</v>
      </c>
      <c r="R10" s="1" t="s">
        <v>6</v>
      </c>
      <c r="S10" s="17">
        <f t="shared" ref="S10:AF10" si="2">SUM(C10:C13)</f>
        <v>4.4285714285714288</v>
      </c>
      <c r="T10" s="17">
        <f t="shared" si="2"/>
        <v>1.5714285714285712</v>
      </c>
      <c r="U10" s="17">
        <f t="shared" si="2"/>
        <v>0.99999999999999978</v>
      </c>
      <c r="V10" s="17">
        <f t="shared" si="2"/>
        <v>1.857142857142857</v>
      </c>
      <c r="W10" s="17">
        <f t="shared" si="2"/>
        <v>0.14285714285714285</v>
      </c>
      <c r="X10" s="17">
        <f t="shared" si="2"/>
        <v>0.14285714285714285</v>
      </c>
      <c r="Y10" s="17">
        <f t="shared" si="2"/>
        <v>1.4285714285714284</v>
      </c>
      <c r="Z10" s="17">
        <f t="shared" si="2"/>
        <v>0.14285714285714285</v>
      </c>
      <c r="AA10" s="17">
        <f t="shared" si="2"/>
        <v>1.7142857142857144</v>
      </c>
      <c r="AB10" s="17">
        <f t="shared" si="2"/>
        <v>0</v>
      </c>
      <c r="AC10" s="17">
        <f t="shared" si="2"/>
        <v>27.285714285714285</v>
      </c>
      <c r="AD10" s="17">
        <f t="shared" si="2"/>
        <v>0</v>
      </c>
      <c r="AE10" s="31">
        <f t="shared" si="2"/>
        <v>12.428571428571427</v>
      </c>
      <c r="AF10" s="31">
        <f t="shared" si="2"/>
        <v>39.714285714285722</v>
      </c>
    </row>
    <row r="11" spans="2:32" s="6" customFormat="1" ht="23.1" customHeight="1" x14ac:dyDescent="0.25">
      <c r="B11" s="23" t="s">
        <v>38</v>
      </c>
      <c r="C11" s="49">
        <f>AVERAGE('17.10 SSEMBABULE-KANONI'!C11,'18.10 SSEMBABULE-KANONI-24h'!C11,'19.10  SSEMBABULE- KANONI-24h'!C11,'20.10 SSEMBABULE-KANONI'!C11,'21.10 SSEMBABULE-KANONI'!C11,'22.10 SSEMBABULE-KANONI'!C11,'23.10 SSEMBABULE-KANONI'!C11)</f>
        <v>1.5714285714285714</v>
      </c>
      <c r="D11" s="49">
        <f>AVERAGE('17.10 SSEMBABULE-KANONI'!D11,'18.10 SSEMBABULE-KANONI-24h'!D11,'19.10  SSEMBABULE- KANONI-24h'!D11,'20.10 SSEMBABULE-KANONI'!D11,'21.10 SSEMBABULE-KANONI'!D11,'22.10 SSEMBABULE-KANONI'!D11,'23.10 SSEMBABULE-KANONI'!D11)</f>
        <v>0.14285714285714285</v>
      </c>
      <c r="E11" s="49">
        <f>AVERAGE('17.10 SSEMBABULE-KANONI'!E11,'18.10 SSEMBABULE-KANONI-24h'!E11,'19.10  SSEMBABULE- KANONI-24h'!E11,'20.10 SSEMBABULE-KANONI'!E11,'21.10 SSEMBABULE-KANONI'!E11,'22.10 SSEMBABULE-KANONI'!E11,'23.10 SSEMBABULE-KANONI'!E11)</f>
        <v>0.5714285714285714</v>
      </c>
      <c r="F11" s="49">
        <f>AVERAGE('17.10 SSEMBABULE-KANONI'!F11,'18.10 SSEMBABULE-KANONI-24h'!F11,'19.10  SSEMBABULE- KANONI-24h'!F11,'20.10 SSEMBABULE-KANONI'!F11,'21.10 SSEMBABULE-KANONI'!F11,'22.10 SSEMBABULE-KANONI'!F11,'23.10 SSEMBABULE-KANONI'!F11)</f>
        <v>0.2857142857142857</v>
      </c>
      <c r="G11" s="49">
        <f>AVERAGE('17.10 SSEMBABULE-KANONI'!G11,'18.10 SSEMBABULE-KANONI-24h'!G11,'19.10  SSEMBABULE- KANONI-24h'!G11,'20.10 SSEMBABULE-KANONI'!G11,'21.10 SSEMBABULE-KANONI'!G11,'22.10 SSEMBABULE-KANONI'!G11,'23.10 SSEMBABULE-KANONI'!G11)</f>
        <v>0</v>
      </c>
      <c r="H11" s="49">
        <f>AVERAGE('17.10 SSEMBABULE-KANONI'!H11,'18.10 SSEMBABULE-KANONI-24h'!H11,'19.10  SSEMBABULE- KANONI-24h'!H11,'20.10 SSEMBABULE-KANONI'!H11,'21.10 SSEMBABULE-KANONI'!H11,'22.10 SSEMBABULE-KANONI'!H11,'23.10 SSEMBABULE-KANONI'!H11)</f>
        <v>0</v>
      </c>
      <c r="I11" s="49">
        <f>AVERAGE('17.10 SSEMBABULE-KANONI'!I11,'18.10 SSEMBABULE-KANONI-24h'!I11,'19.10  SSEMBABULE- KANONI-24h'!I11,'20.10 SSEMBABULE-KANONI'!I11,'21.10 SSEMBABULE-KANONI'!I11,'22.10 SSEMBABULE-KANONI'!I11,'23.10 SSEMBABULE-KANONI'!I11)</f>
        <v>0.2857142857142857</v>
      </c>
      <c r="J11" s="49">
        <f>AVERAGE('17.10 SSEMBABULE-KANONI'!J11,'18.10 SSEMBABULE-KANONI-24h'!J11,'19.10  SSEMBABULE- KANONI-24h'!J11,'20.10 SSEMBABULE-KANONI'!J11,'21.10 SSEMBABULE-KANONI'!J11,'22.10 SSEMBABULE-KANONI'!J11,'23.10 SSEMBABULE-KANONI'!J11)</f>
        <v>0</v>
      </c>
      <c r="K11" s="49">
        <f>AVERAGE('17.10 SSEMBABULE-KANONI'!K11,'18.10 SSEMBABULE-KANONI-24h'!K11,'19.10  SSEMBABULE- KANONI-24h'!K11,'20.10 SSEMBABULE-KANONI'!K11,'21.10 SSEMBABULE-KANONI'!K11,'22.10 SSEMBABULE-KANONI'!K11,'23.10 SSEMBABULE-KANONI'!K11)</f>
        <v>0.2857142857142857</v>
      </c>
      <c r="L11" s="49">
        <f>AVERAGE('17.10 SSEMBABULE-KANONI'!L11,'18.10 SSEMBABULE-KANONI-24h'!L11,'19.10  SSEMBABULE- KANONI-24h'!L11,'20.10 SSEMBABULE-KANONI'!L11,'21.10 SSEMBABULE-KANONI'!L11,'22.10 SSEMBABULE-KANONI'!L11,'23.10 SSEMBABULE-KANONI'!L11)</f>
        <v>0</v>
      </c>
      <c r="M11" s="49">
        <f>AVERAGE('17.10 SSEMBABULE-KANONI'!M11,'18.10 SSEMBABULE-KANONI-24h'!M11,'19.10  SSEMBABULE- KANONI-24h'!M11,'20.10 SSEMBABULE-KANONI'!M11,'21.10 SSEMBABULE-KANONI'!M11,'22.10 SSEMBABULE-KANONI'!M11,'23.10 SSEMBABULE-KANONI'!M11)</f>
        <v>6.5714285714285712</v>
      </c>
      <c r="N11" s="49">
        <f>AVERAGE('17.10 SSEMBABULE-KANONI'!N11,'18.10 SSEMBABULE-KANONI-24h'!N11,'19.10  SSEMBABULE- KANONI-24h'!N11,'20.10 SSEMBABULE-KANONI'!N11,'21.10 SSEMBABULE-KANONI'!N11,'22.10 SSEMBABULE-KANONI'!N11,'23.10 SSEMBABULE-KANONI'!N11)</f>
        <v>0</v>
      </c>
      <c r="O11" s="15">
        <f t="shared" si="0"/>
        <v>3.1428571428571423</v>
      </c>
      <c r="P11" s="15">
        <f t="shared" si="1"/>
        <v>9.7142857142857135</v>
      </c>
      <c r="R11" s="1" t="s">
        <v>7</v>
      </c>
      <c r="S11" s="17">
        <f t="shared" ref="S11:AF11" si="3">SUM(C14:C17)</f>
        <v>2.2857142857142856</v>
      </c>
      <c r="T11" s="17">
        <f t="shared" si="3"/>
        <v>1.714285714285714</v>
      </c>
      <c r="U11" s="17">
        <f t="shared" si="3"/>
        <v>1.5714285714285712</v>
      </c>
      <c r="V11" s="17">
        <f t="shared" si="3"/>
        <v>0.5714285714285714</v>
      </c>
      <c r="W11" s="17">
        <f t="shared" si="3"/>
        <v>0.2857142857142857</v>
      </c>
      <c r="X11" s="17">
        <f t="shared" si="3"/>
        <v>0.14285714285714285</v>
      </c>
      <c r="Y11" s="17">
        <f t="shared" si="3"/>
        <v>2.4285714285714284</v>
      </c>
      <c r="Z11" s="17">
        <f t="shared" si="3"/>
        <v>1.2857142857142856</v>
      </c>
      <c r="AA11" s="17">
        <f t="shared" si="3"/>
        <v>2.5714285714285712</v>
      </c>
      <c r="AB11" s="17">
        <f t="shared" si="3"/>
        <v>0.14285714285714285</v>
      </c>
      <c r="AC11" s="17">
        <f t="shared" si="3"/>
        <v>25</v>
      </c>
      <c r="AD11" s="17">
        <f t="shared" si="3"/>
        <v>0</v>
      </c>
      <c r="AE11" s="31">
        <f t="shared" si="3"/>
        <v>12.999999999999998</v>
      </c>
      <c r="AF11" s="31">
        <f t="shared" si="3"/>
        <v>38</v>
      </c>
    </row>
    <row r="12" spans="2:32" ht="23.1" customHeight="1" x14ac:dyDescent="0.25">
      <c r="B12" s="23" t="s">
        <v>39</v>
      </c>
      <c r="C12" s="49">
        <f>AVERAGE('17.10 SSEMBABULE-KANONI'!C12,'18.10 SSEMBABULE-KANONI-24h'!C12,'19.10  SSEMBABULE- KANONI-24h'!C12,'20.10 SSEMBABULE-KANONI'!C12,'21.10 SSEMBABULE-KANONI'!C12,'22.10 SSEMBABULE-KANONI'!C12,'23.10 SSEMBABULE-KANONI'!C12)</f>
        <v>0.8571428571428571</v>
      </c>
      <c r="D12" s="49">
        <f>AVERAGE('17.10 SSEMBABULE-KANONI'!D12,'18.10 SSEMBABULE-KANONI-24h'!D12,'19.10  SSEMBABULE- KANONI-24h'!D12,'20.10 SSEMBABULE-KANONI'!D12,'21.10 SSEMBABULE-KANONI'!D12,'22.10 SSEMBABULE-KANONI'!D12,'23.10 SSEMBABULE-KANONI'!D12)</f>
        <v>0.8571428571428571</v>
      </c>
      <c r="E12" s="49">
        <f>AVERAGE('17.10 SSEMBABULE-KANONI'!E12,'18.10 SSEMBABULE-KANONI-24h'!E12,'19.10  SSEMBABULE- KANONI-24h'!E12,'20.10 SSEMBABULE-KANONI'!E12,'21.10 SSEMBABULE-KANONI'!E12,'22.10 SSEMBABULE-KANONI'!E12,'23.10 SSEMBABULE-KANONI'!E12)</f>
        <v>0.14285714285714285</v>
      </c>
      <c r="F12" s="49">
        <f>AVERAGE('17.10 SSEMBABULE-KANONI'!F12,'18.10 SSEMBABULE-KANONI-24h'!F12,'19.10  SSEMBABULE- KANONI-24h'!F12,'20.10 SSEMBABULE-KANONI'!F12,'21.10 SSEMBABULE-KANONI'!F12,'22.10 SSEMBABULE-KANONI'!F12,'23.10 SSEMBABULE-KANONI'!F12)</f>
        <v>0.42857142857142855</v>
      </c>
      <c r="G12" s="49">
        <f>AVERAGE('17.10 SSEMBABULE-KANONI'!G12,'18.10 SSEMBABULE-KANONI-24h'!G12,'19.10  SSEMBABULE- KANONI-24h'!G12,'20.10 SSEMBABULE-KANONI'!G12,'21.10 SSEMBABULE-KANONI'!G12,'22.10 SSEMBABULE-KANONI'!G12,'23.10 SSEMBABULE-KANONI'!G12)</f>
        <v>0</v>
      </c>
      <c r="H12" s="49">
        <f>AVERAGE('17.10 SSEMBABULE-KANONI'!H12,'18.10 SSEMBABULE-KANONI-24h'!H12,'19.10  SSEMBABULE- KANONI-24h'!H12,'20.10 SSEMBABULE-KANONI'!H12,'21.10 SSEMBABULE-KANONI'!H12,'22.10 SSEMBABULE-KANONI'!H12,'23.10 SSEMBABULE-KANONI'!H12)</f>
        <v>0.14285714285714285</v>
      </c>
      <c r="I12" s="49">
        <f>AVERAGE('17.10 SSEMBABULE-KANONI'!I12,'18.10 SSEMBABULE-KANONI-24h'!I12,'19.10  SSEMBABULE- KANONI-24h'!I12,'20.10 SSEMBABULE-KANONI'!I12,'21.10 SSEMBABULE-KANONI'!I12,'22.10 SSEMBABULE-KANONI'!I12,'23.10 SSEMBABULE-KANONI'!I12)</f>
        <v>0.7142857142857143</v>
      </c>
      <c r="J12" s="49">
        <f>AVERAGE('17.10 SSEMBABULE-KANONI'!J12,'18.10 SSEMBABULE-KANONI-24h'!J12,'19.10  SSEMBABULE- KANONI-24h'!J12,'20.10 SSEMBABULE-KANONI'!J12,'21.10 SSEMBABULE-KANONI'!J12,'22.10 SSEMBABULE-KANONI'!J12,'23.10 SSEMBABULE-KANONI'!J12)</f>
        <v>0</v>
      </c>
      <c r="K12" s="49">
        <f>AVERAGE('17.10 SSEMBABULE-KANONI'!K12,'18.10 SSEMBABULE-KANONI-24h'!K12,'19.10  SSEMBABULE- KANONI-24h'!K12,'20.10 SSEMBABULE-KANONI'!K12,'21.10 SSEMBABULE-KANONI'!K12,'22.10 SSEMBABULE-KANONI'!K12,'23.10 SSEMBABULE-KANONI'!K12)</f>
        <v>0</v>
      </c>
      <c r="L12" s="49">
        <f>AVERAGE('17.10 SSEMBABULE-KANONI'!L12,'18.10 SSEMBABULE-KANONI-24h'!L12,'19.10  SSEMBABULE- KANONI-24h'!L12,'20.10 SSEMBABULE-KANONI'!L12,'21.10 SSEMBABULE-KANONI'!L12,'22.10 SSEMBABULE-KANONI'!L12,'23.10 SSEMBABULE-KANONI'!L12)</f>
        <v>0</v>
      </c>
      <c r="M12" s="49">
        <f>AVERAGE('17.10 SSEMBABULE-KANONI'!M12,'18.10 SSEMBABULE-KANONI-24h'!M12,'19.10  SSEMBABULE- KANONI-24h'!M12,'20.10 SSEMBABULE-KANONI'!M12,'21.10 SSEMBABULE-KANONI'!M12,'22.10 SSEMBABULE-KANONI'!M12,'23.10 SSEMBABULE-KANONI'!M12)</f>
        <v>6.2857142857142856</v>
      </c>
      <c r="N12" s="49">
        <f>AVERAGE('17.10 SSEMBABULE-KANONI'!N12,'18.10 SSEMBABULE-KANONI-24h'!N12,'19.10  SSEMBABULE- KANONI-24h'!N12,'20.10 SSEMBABULE-KANONI'!N12,'21.10 SSEMBABULE-KANONI'!N12,'22.10 SSEMBABULE-KANONI'!N12,'23.10 SSEMBABULE-KANONI'!N12)</f>
        <v>0</v>
      </c>
      <c r="O12" s="15">
        <f t="shared" si="0"/>
        <v>3.1428571428571428</v>
      </c>
      <c r="P12" s="15">
        <f t="shared" si="1"/>
        <v>9.4285714285714288</v>
      </c>
      <c r="R12" s="1" t="s">
        <v>8</v>
      </c>
      <c r="S12" s="17">
        <f t="shared" ref="S12:AF12" si="4">SUM(C18:C21)</f>
        <v>3</v>
      </c>
      <c r="T12" s="17">
        <f t="shared" si="4"/>
        <v>1.2857142857142856</v>
      </c>
      <c r="U12" s="17">
        <f t="shared" si="4"/>
        <v>1.7142857142857142</v>
      </c>
      <c r="V12" s="17">
        <f t="shared" si="4"/>
        <v>1.7142857142857142</v>
      </c>
      <c r="W12" s="17">
        <f t="shared" si="4"/>
        <v>0.42857142857142855</v>
      </c>
      <c r="X12" s="17">
        <f t="shared" si="4"/>
        <v>0.14285714285714285</v>
      </c>
      <c r="Y12" s="17">
        <f t="shared" si="4"/>
        <v>2.4285714285714284</v>
      </c>
      <c r="Z12" s="17">
        <f t="shared" si="4"/>
        <v>1.4285714285714286</v>
      </c>
      <c r="AA12" s="17">
        <f t="shared" si="4"/>
        <v>1.2857142857142856</v>
      </c>
      <c r="AB12" s="17">
        <f t="shared" si="4"/>
        <v>0.42857142857142855</v>
      </c>
      <c r="AC12" s="17">
        <f t="shared" si="4"/>
        <v>30.142857142857142</v>
      </c>
      <c r="AD12" s="17">
        <f t="shared" si="4"/>
        <v>0</v>
      </c>
      <c r="AE12" s="31">
        <f t="shared" si="4"/>
        <v>13.857142857142856</v>
      </c>
      <c r="AF12" s="31">
        <f t="shared" si="4"/>
        <v>44</v>
      </c>
    </row>
    <row r="13" spans="2:32" ht="23.1" customHeight="1" x14ac:dyDescent="0.25">
      <c r="B13" s="23" t="s">
        <v>40</v>
      </c>
      <c r="C13" s="49">
        <f>AVERAGE('17.10 SSEMBABULE-KANONI'!C13,'18.10 SSEMBABULE-KANONI-24h'!C13,'19.10  SSEMBABULE- KANONI-24h'!C13,'20.10 SSEMBABULE-KANONI'!C13,'21.10 SSEMBABULE-KANONI'!C13,'22.10 SSEMBABULE-KANONI'!C13,'23.10 SSEMBABULE-KANONI'!C13)</f>
        <v>0.7142857142857143</v>
      </c>
      <c r="D13" s="49">
        <f>AVERAGE('17.10 SSEMBABULE-KANONI'!D13,'18.10 SSEMBABULE-KANONI-24h'!D13,'19.10  SSEMBABULE- KANONI-24h'!D13,'20.10 SSEMBABULE-KANONI'!D13,'21.10 SSEMBABULE-KANONI'!D13,'22.10 SSEMBABULE-KANONI'!D13,'23.10 SSEMBABULE-KANONI'!D13)</f>
        <v>0</v>
      </c>
      <c r="E13" s="49">
        <f>AVERAGE('17.10 SSEMBABULE-KANONI'!E13,'18.10 SSEMBABULE-KANONI-24h'!E13,'19.10  SSEMBABULE- KANONI-24h'!E13,'20.10 SSEMBABULE-KANONI'!E13,'21.10 SSEMBABULE-KANONI'!E13,'22.10 SSEMBABULE-KANONI'!E13,'23.10 SSEMBABULE-KANONI'!E13)</f>
        <v>0.14285714285714285</v>
      </c>
      <c r="F13" s="49">
        <f>AVERAGE('17.10 SSEMBABULE-KANONI'!F13,'18.10 SSEMBABULE-KANONI-24h'!F13,'19.10  SSEMBABULE- KANONI-24h'!F13,'20.10 SSEMBABULE-KANONI'!F13,'21.10 SSEMBABULE-KANONI'!F13,'22.10 SSEMBABULE-KANONI'!F13,'23.10 SSEMBABULE-KANONI'!F13)</f>
        <v>0.14285714285714285</v>
      </c>
      <c r="G13" s="49">
        <f>AVERAGE('17.10 SSEMBABULE-KANONI'!G13,'18.10 SSEMBABULE-KANONI-24h'!G13,'19.10  SSEMBABULE- KANONI-24h'!G13,'20.10 SSEMBABULE-KANONI'!G13,'21.10 SSEMBABULE-KANONI'!G13,'22.10 SSEMBABULE-KANONI'!G13,'23.10 SSEMBABULE-KANONI'!G13)</f>
        <v>0</v>
      </c>
      <c r="H13" s="49">
        <f>AVERAGE('17.10 SSEMBABULE-KANONI'!H13,'18.10 SSEMBABULE-KANONI-24h'!H13,'19.10  SSEMBABULE- KANONI-24h'!H13,'20.10 SSEMBABULE-KANONI'!H13,'21.10 SSEMBABULE-KANONI'!H13,'22.10 SSEMBABULE-KANONI'!H13,'23.10 SSEMBABULE-KANONI'!H13)</f>
        <v>0</v>
      </c>
      <c r="I13" s="49">
        <f>AVERAGE('17.10 SSEMBABULE-KANONI'!I13,'18.10 SSEMBABULE-KANONI-24h'!I13,'19.10  SSEMBABULE- KANONI-24h'!I13,'20.10 SSEMBABULE-KANONI'!I13,'21.10 SSEMBABULE-KANONI'!I13,'22.10 SSEMBABULE-KANONI'!I13,'23.10 SSEMBABULE-KANONI'!I13)</f>
        <v>0</v>
      </c>
      <c r="J13" s="49">
        <f>AVERAGE('17.10 SSEMBABULE-KANONI'!J13,'18.10 SSEMBABULE-KANONI-24h'!J13,'19.10  SSEMBABULE- KANONI-24h'!J13,'20.10 SSEMBABULE-KANONI'!J13,'21.10 SSEMBABULE-KANONI'!J13,'22.10 SSEMBABULE-KANONI'!J13,'23.10 SSEMBABULE-KANONI'!J13)</f>
        <v>0</v>
      </c>
      <c r="K13" s="49">
        <f>AVERAGE('17.10 SSEMBABULE-KANONI'!K13,'18.10 SSEMBABULE-KANONI-24h'!K13,'19.10  SSEMBABULE- KANONI-24h'!K13,'20.10 SSEMBABULE-KANONI'!K13,'21.10 SSEMBABULE-KANONI'!K13,'22.10 SSEMBABULE-KANONI'!K13,'23.10 SSEMBABULE-KANONI'!K13)</f>
        <v>1.2857142857142858</v>
      </c>
      <c r="L13" s="49">
        <f>AVERAGE('17.10 SSEMBABULE-KANONI'!L13,'18.10 SSEMBABULE-KANONI-24h'!L13,'19.10  SSEMBABULE- KANONI-24h'!L13,'20.10 SSEMBABULE-KANONI'!L13,'21.10 SSEMBABULE-KANONI'!L13,'22.10 SSEMBABULE-KANONI'!L13,'23.10 SSEMBABULE-KANONI'!L13)</f>
        <v>0</v>
      </c>
      <c r="M13" s="49">
        <f>AVERAGE('17.10 SSEMBABULE-KANONI'!M13,'18.10 SSEMBABULE-KANONI-24h'!M13,'19.10  SSEMBABULE- KANONI-24h'!M13,'20.10 SSEMBABULE-KANONI'!M13,'21.10 SSEMBABULE-KANONI'!M13,'22.10 SSEMBABULE-KANONI'!M13,'23.10 SSEMBABULE-KANONI'!M13)</f>
        <v>8.2857142857142865</v>
      </c>
      <c r="N13" s="49">
        <f>AVERAGE('17.10 SSEMBABULE-KANONI'!N13,'18.10 SSEMBABULE-KANONI-24h'!N13,'19.10  SSEMBABULE- KANONI-24h'!N13,'20.10 SSEMBABULE-KANONI'!N13,'21.10 SSEMBABULE-KANONI'!N13,'22.10 SSEMBABULE-KANONI'!N13,'23.10 SSEMBABULE-KANONI'!N13)</f>
        <v>0</v>
      </c>
      <c r="O13" s="15">
        <f t="shared" si="0"/>
        <v>2.2857142857142856</v>
      </c>
      <c r="P13" s="15">
        <f t="shared" si="1"/>
        <v>10.571428571428573</v>
      </c>
      <c r="R13" s="1" t="s">
        <v>9</v>
      </c>
      <c r="S13" s="17">
        <f t="shared" ref="S13:AF13" si="5">SUM(C22:C25)</f>
        <v>2.714285714285714</v>
      </c>
      <c r="T13" s="17">
        <f t="shared" si="5"/>
        <v>1.857142857142857</v>
      </c>
      <c r="U13" s="17">
        <f t="shared" si="5"/>
        <v>2.5714285714285712</v>
      </c>
      <c r="V13" s="17">
        <f t="shared" si="5"/>
        <v>0.71428571428571419</v>
      </c>
      <c r="W13" s="17">
        <f t="shared" si="5"/>
        <v>0</v>
      </c>
      <c r="X13" s="17">
        <f t="shared" si="5"/>
        <v>0</v>
      </c>
      <c r="Y13" s="17">
        <f t="shared" si="5"/>
        <v>2.2857142857142856</v>
      </c>
      <c r="Z13" s="17">
        <f t="shared" si="5"/>
        <v>0.2857142857142857</v>
      </c>
      <c r="AA13" s="17">
        <f t="shared" si="5"/>
        <v>1.1428571428571428</v>
      </c>
      <c r="AB13" s="17">
        <f t="shared" si="5"/>
        <v>0.71428571428571419</v>
      </c>
      <c r="AC13" s="17">
        <f t="shared" si="5"/>
        <v>31.714285714285712</v>
      </c>
      <c r="AD13" s="17">
        <f t="shared" si="5"/>
        <v>0.14285714285714285</v>
      </c>
      <c r="AE13" s="31">
        <f t="shared" si="5"/>
        <v>12.428571428571427</v>
      </c>
      <c r="AF13" s="31">
        <f t="shared" si="5"/>
        <v>44.142857142857139</v>
      </c>
    </row>
    <row r="14" spans="2:32" ht="23.1" customHeight="1" x14ac:dyDescent="0.25">
      <c r="B14" s="23" t="s">
        <v>41</v>
      </c>
      <c r="C14" s="49">
        <f>AVERAGE('17.10 SSEMBABULE-KANONI'!C14,'18.10 SSEMBABULE-KANONI-24h'!C14,'19.10  SSEMBABULE- KANONI-24h'!C14,'20.10 SSEMBABULE-KANONI'!C14,'21.10 SSEMBABULE-KANONI'!C14,'22.10 SSEMBABULE-KANONI'!C14,'23.10 SSEMBABULE-KANONI'!C14)</f>
        <v>0.42857142857142855</v>
      </c>
      <c r="D14" s="49">
        <f>AVERAGE('17.10 SSEMBABULE-KANONI'!D14,'18.10 SSEMBABULE-KANONI-24h'!D14,'19.10  SSEMBABULE- KANONI-24h'!D14,'20.10 SSEMBABULE-KANONI'!D14,'21.10 SSEMBABULE-KANONI'!D14,'22.10 SSEMBABULE-KANONI'!D14,'23.10 SSEMBABULE-KANONI'!D14)</f>
        <v>0.2857142857142857</v>
      </c>
      <c r="E14" s="49">
        <f>AVERAGE('17.10 SSEMBABULE-KANONI'!E14,'18.10 SSEMBABULE-KANONI-24h'!E14,'19.10  SSEMBABULE- KANONI-24h'!E14,'20.10 SSEMBABULE-KANONI'!E14,'21.10 SSEMBABULE-KANONI'!E14,'22.10 SSEMBABULE-KANONI'!E14,'23.10 SSEMBABULE-KANONI'!E14)</f>
        <v>0.5714285714285714</v>
      </c>
      <c r="F14" s="49">
        <f>AVERAGE('17.10 SSEMBABULE-KANONI'!F14,'18.10 SSEMBABULE-KANONI-24h'!F14,'19.10  SSEMBABULE- KANONI-24h'!F14,'20.10 SSEMBABULE-KANONI'!F14,'21.10 SSEMBABULE-KANONI'!F14,'22.10 SSEMBABULE-KANONI'!F14,'23.10 SSEMBABULE-KANONI'!F14)</f>
        <v>0</v>
      </c>
      <c r="G14" s="49">
        <f>AVERAGE('17.10 SSEMBABULE-KANONI'!G14,'18.10 SSEMBABULE-KANONI-24h'!G14,'19.10  SSEMBABULE- KANONI-24h'!G14,'20.10 SSEMBABULE-KANONI'!G14,'21.10 SSEMBABULE-KANONI'!G14,'22.10 SSEMBABULE-KANONI'!G14,'23.10 SSEMBABULE-KANONI'!G14)</f>
        <v>0</v>
      </c>
      <c r="H14" s="49">
        <f>AVERAGE('17.10 SSEMBABULE-KANONI'!H14,'18.10 SSEMBABULE-KANONI-24h'!H14,'19.10  SSEMBABULE- KANONI-24h'!H14,'20.10 SSEMBABULE-KANONI'!H14,'21.10 SSEMBABULE-KANONI'!H14,'22.10 SSEMBABULE-KANONI'!H14,'23.10 SSEMBABULE-KANONI'!H14)</f>
        <v>0</v>
      </c>
      <c r="I14" s="49">
        <f>AVERAGE('17.10 SSEMBABULE-KANONI'!I14,'18.10 SSEMBABULE-KANONI-24h'!I14,'19.10  SSEMBABULE- KANONI-24h'!I14,'20.10 SSEMBABULE-KANONI'!I14,'21.10 SSEMBABULE-KANONI'!I14,'22.10 SSEMBABULE-KANONI'!I14,'23.10 SSEMBABULE-KANONI'!I14)</f>
        <v>0.8571428571428571</v>
      </c>
      <c r="J14" s="49">
        <f>AVERAGE('17.10 SSEMBABULE-KANONI'!J14,'18.10 SSEMBABULE-KANONI-24h'!J14,'19.10  SSEMBABULE- KANONI-24h'!J14,'20.10 SSEMBABULE-KANONI'!J14,'21.10 SSEMBABULE-KANONI'!J14,'22.10 SSEMBABULE-KANONI'!J14,'23.10 SSEMBABULE-KANONI'!J14)</f>
        <v>0.14285714285714285</v>
      </c>
      <c r="K14" s="49">
        <f>AVERAGE('17.10 SSEMBABULE-KANONI'!K14,'18.10 SSEMBABULE-KANONI-24h'!K14,'19.10  SSEMBABULE- KANONI-24h'!K14,'20.10 SSEMBABULE-KANONI'!K14,'21.10 SSEMBABULE-KANONI'!K14,'22.10 SSEMBABULE-KANONI'!K14,'23.10 SSEMBABULE-KANONI'!K14)</f>
        <v>1.2857142857142858</v>
      </c>
      <c r="L14" s="49">
        <f>AVERAGE('17.10 SSEMBABULE-KANONI'!L14,'18.10 SSEMBABULE-KANONI-24h'!L14,'19.10  SSEMBABULE- KANONI-24h'!L14,'20.10 SSEMBABULE-KANONI'!L14,'21.10 SSEMBABULE-KANONI'!L14,'22.10 SSEMBABULE-KANONI'!L14,'23.10 SSEMBABULE-KANONI'!L14)</f>
        <v>0</v>
      </c>
      <c r="M14" s="49">
        <f>AVERAGE('17.10 SSEMBABULE-KANONI'!M14,'18.10 SSEMBABULE-KANONI-24h'!M14,'19.10  SSEMBABULE- KANONI-24h'!M14,'20.10 SSEMBABULE-KANONI'!M14,'21.10 SSEMBABULE-KANONI'!M14,'22.10 SSEMBABULE-KANONI'!M14,'23.10 SSEMBABULE-KANONI'!M14)</f>
        <v>7</v>
      </c>
      <c r="N14" s="49">
        <f>AVERAGE('17.10 SSEMBABULE-KANONI'!N14,'18.10 SSEMBABULE-KANONI-24h'!N14,'19.10  SSEMBABULE- KANONI-24h'!N14,'20.10 SSEMBABULE-KANONI'!N14,'21.10 SSEMBABULE-KANONI'!N14,'22.10 SSEMBABULE-KANONI'!N14,'23.10 SSEMBABULE-KANONI'!N14)</f>
        <v>0</v>
      </c>
      <c r="O14" s="15">
        <f t="shared" si="0"/>
        <v>3.5714285714285712</v>
      </c>
      <c r="P14" s="15">
        <f t="shared" si="1"/>
        <v>10.571428571428571</v>
      </c>
      <c r="R14" s="1" t="s">
        <v>10</v>
      </c>
      <c r="S14" s="17">
        <f t="shared" ref="S14:AF14" si="6">SUM(C26:C29)</f>
        <v>4</v>
      </c>
      <c r="T14" s="17">
        <f t="shared" si="6"/>
        <v>2.4285714285714284</v>
      </c>
      <c r="U14" s="17">
        <f t="shared" si="6"/>
        <v>2.1428571428571428</v>
      </c>
      <c r="V14" s="17">
        <f t="shared" si="6"/>
        <v>0.5714285714285714</v>
      </c>
      <c r="W14" s="17">
        <f t="shared" si="6"/>
        <v>0.2857142857142857</v>
      </c>
      <c r="X14" s="17">
        <f t="shared" si="6"/>
        <v>0</v>
      </c>
      <c r="Y14" s="17">
        <f t="shared" si="6"/>
        <v>3</v>
      </c>
      <c r="Z14" s="17">
        <f t="shared" si="6"/>
        <v>0.85714285714285698</v>
      </c>
      <c r="AA14" s="17">
        <f t="shared" si="6"/>
        <v>2.5714285714285712</v>
      </c>
      <c r="AB14" s="17">
        <f t="shared" si="6"/>
        <v>0</v>
      </c>
      <c r="AC14" s="17">
        <f t="shared" si="6"/>
        <v>31</v>
      </c>
      <c r="AD14" s="17">
        <f t="shared" si="6"/>
        <v>0</v>
      </c>
      <c r="AE14" s="31">
        <f t="shared" si="6"/>
        <v>15.857142857142858</v>
      </c>
      <c r="AF14" s="31">
        <f t="shared" si="6"/>
        <v>46.857142857142861</v>
      </c>
    </row>
    <row r="15" spans="2:32" ht="23.1" customHeight="1" x14ac:dyDescent="0.25">
      <c r="B15" s="23" t="s">
        <v>42</v>
      </c>
      <c r="C15" s="49">
        <f>AVERAGE('17.10 SSEMBABULE-KANONI'!C15,'18.10 SSEMBABULE-KANONI-24h'!C15,'19.10  SSEMBABULE- KANONI-24h'!C15,'20.10 SSEMBABULE-KANONI'!C15,'21.10 SSEMBABULE-KANONI'!C15,'22.10 SSEMBABULE-KANONI'!C15,'23.10 SSEMBABULE-KANONI'!C15)</f>
        <v>1</v>
      </c>
      <c r="D15" s="49">
        <f>AVERAGE('17.10 SSEMBABULE-KANONI'!D15,'18.10 SSEMBABULE-KANONI-24h'!D15,'19.10  SSEMBABULE- KANONI-24h'!D15,'20.10 SSEMBABULE-KANONI'!D15,'21.10 SSEMBABULE-KANONI'!D15,'22.10 SSEMBABULE-KANONI'!D15,'23.10 SSEMBABULE-KANONI'!D15)</f>
        <v>0.2857142857142857</v>
      </c>
      <c r="E15" s="49">
        <f>AVERAGE('17.10 SSEMBABULE-KANONI'!E15,'18.10 SSEMBABULE-KANONI-24h'!E15,'19.10  SSEMBABULE- KANONI-24h'!E15,'20.10 SSEMBABULE-KANONI'!E15,'21.10 SSEMBABULE-KANONI'!E15,'22.10 SSEMBABULE-KANONI'!E15,'23.10 SSEMBABULE-KANONI'!E15)</f>
        <v>0.5714285714285714</v>
      </c>
      <c r="F15" s="49">
        <f>AVERAGE('17.10 SSEMBABULE-KANONI'!F15,'18.10 SSEMBABULE-KANONI-24h'!F15,'19.10  SSEMBABULE- KANONI-24h'!F15,'20.10 SSEMBABULE-KANONI'!F15,'21.10 SSEMBABULE-KANONI'!F15,'22.10 SSEMBABULE-KANONI'!F15,'23.10 SSEMBABULE-KANONI'!F15)</f>
        <v>0.14285714285714285</v>
      </c>
      <c r="G15" s="49">
        <f>AVERAGE('17.10 SSEMBABULE-KANONI'!G15,'18.10 SSEMBABULE-KANONI-24h'!G15,'19.10  SSEMBABULE- KANONI-24h'!G15,'20.10 SSEMBABULE-KANONI'!G15,'21.10 SSEMBABULE-KANONI'!G15,'22.10 SSEMBABULE-KANONI'!G15,'23.10 SSEMBABULE-KANONI'!G15)</f>
        <v>0</v>
      </c>
      <c r="H15" s="49">
        <f>AVERAGE('17.10 SSEMBABULE-KANONI'!H15,'18.10 SSEMBABULE-KANONI-24h'!H15,'19.10  SSEMBABULE- KANONI-24h'!H15,'20.10 SSEMBABULE-KANONI'!H15,'21.10 SSEMBABULE-KANONI'!H15,'22.10 SSEMBABULE-KANONI'!H15,'23.10 SSEMBABULE-KANONI'!H15)</f>
        <v>0</v>
      </c>
      <c r="I15" s="49">
        <f>AVERAGE('17.10 SSEMBABULE-KANONI'!I15,'18.10 SSEMBABULE-KANONI-24h'!I15,'19.10  SSEMBABULE- KANONI-24h'!I15,'20.10 SSEMBABULE-KANONI'!I15,'21.10 SSEMBABULE-KANONI'!I15,'22.10 SSEMBABULE-KANONI'!I15,'23.10 SSEMBABULE-KANONI'!I15)</f>
        <v>0.42857142857142855</v>
      </c>
      <c r="J15" s="49">
        <f>AVERAGE('17.10 SSEMBABULE-KANONI'!J15,'18.10 SSEMBABULE-KANONI-24h'!J15,'19.10  SSEMBABULE- KANONI-24h'!J15,'20.10 SSEMBABULE-KANONI'!J15,'21.10 SSEMBABULE-KANONI'!J15,'22.10 SSEMBABULE-KANONI'!J15,'23.10 SSEMBABULE-KANONI'!J15)</f>
        <v>0.42857142857142855</v>
      </c>
      <c r="K15" s="49">
        <f>AVERAGE('17.10 SSEMBABULE-KANONI'!K15,'18.10 SSEMBABULE-KANONI-24h'!K15,'19.10  SSEMBABULE- KANONI-24h'!K15,'20.10 SSEMBABULE-KANONI'!K15,'21.10 SSEMBABULE-KANONI'!K15,'22.10 SSEMBABULE-KANONI'!K15,'23.10 SSEMBABULE-KANONI'!K15)</f>
        <v>0.42857142857142855</v>
      </c>
      <c r="L15" s="49">
        <f>AVERAGE('17.10 SSEMBABULE-KANONI'!L15,'18.10 SSEMBABULE-KANONI-24h'!L15,'19.10  SSEMBABULE- KANONI-24h'!L15,'20.10 SSEMBABULE-KANONI'!L15,'21.10 SSEMBABULE-KANONI'!L15,'22.10 SSEMBABULE-KANONI'!L15,'23.10 SSEMBABULE-KANONI'!L15)</f>
        <v>0</v>
      </c>
      <c r="M15" s="49">
        <f>AVERAGE('17.10 SSEMBABULE-KANONI'!M15,'18.10 SSEMBABULE-KANONI-24h'!M15,'19.10  SSEMBABULE- KANONI-24h'!M15,'20.10 SSEMBABULE-KANONI'!M15,'21.10 SSEMBABULE-KANONI'!M15,'22.10 SSEMBABULE-KANONI'!M15,'23.10 SSEMBABULE-KANONI'!M15)</f>
        <v>6.4285714285714288</v>
      </c>
      <c r="N15" s="49">
        <f>AVERAGE('17.10 SSEMBABULE-KANONI'!N15,'18.10 SSEMBABULE-KANONI-24h'!N15,'19.10  SSEMBABULE- KANONI-24h'!N15,'20.10 SSEMBABULE-KANONI'!N15,'21.10 SSEMBABULE-KANONI'!N15,'22.10 SSEMBABULE-KANONI'!N15,'23.10 SSEMBABULE-KANONI'!N15)</f>
        <v>0</v>
      </c>
      <c r="O15" s="15">
        <f t="shared" si="0"/>
        <v>3.2857142857142851</v>
      </c>
      <c r="P15" s="15">
        <f t="shared" si="1"/>
        <v>9.7142857142857135</v>
      </c>
      <c r="R15" s="1" t="s">
        <v>11</v>
      </c>
      <c r="S15" s="17">
        <f t="shared" ref="S15:AF15" si="7">SUM(C30:C33)</f>
        <v>4</v>
      </c>
      <c r="T15" s="17">
        <f t="shared" si="7"/>
        <v>1.2857142857142856</v>
      </c>
      <c r="U15" s="17">
        <f t="shared" si="7"/>
        <v>1.1428571428571428</v>
      </c>
      <c r="V15" s="17">
        <f t="shared" si="7"/>
        <v>0.5714285714285714</v>
      </c>
      <c r="W15" s="17">
        <f t="shared" si="7"/>
        <v>0.14285714285714285</v>
      </c>
      <c r="X15" s="17">
        <f t="shared" si="7"/>
        <v>0</v>
      </c>
      <c r="Y15" s="17">
        <f t="shared" si="7"/>
        <v>1.7142857142857142</v>
      </c>
      <c r="Z15" s="17">
        <f t="shared" si="7"/>
        <v>0.85714285714285698</v>
      </c>
      <c r="AA15" s="17">
        <f t="shared" si="7"/>
        <v>1.7142857142857142</v>
      </c>
      <c r="AB15" s="17">
        <f t="shared" si="7"/>
        <v>0.14285714285714285</v>
      </c>
      <c r="AC15" s="17">
        <f t="shared" si="7"/>
        <v>32</v>
      </c>
      <c r="AD15" s="17">
        <f t="shared" si="7"/>
        <v>0</v>
      </c>
      <c r="AE15" s="31">
        <f t="shared" si="7"/>
        <v>11.571428571428571</v>
      </c>
      <c r="AF15" s="31">
        <f t="shared" si="7"/>
        <v>43.571428571428569</v>
      </c>
    </row>
    <row r="16" spans="2:32" ht="23.1" customHeight="1" x14ac:dyDescent="0.25">
      <c r="B16" s="23" t="s">
        <v>43</v>
      </c>
      <c r="C16" s="49">
        <f>AVERAGE('17.10 SSEMBABULE-KANONI'!C16,'18.10 SSEMBABULE-KANONI-24h'!C16,'19.10  SSEMBABULE- KANONI-24h'!C16,'20.10 SSEMBABULE-KANONI'!C16,'21.10 SSEMBABULE-KANONI'!C16,'22.10 SSEMBABULE-KANONI'!C16,'23.10 SSEMBABULE-KANONI'!C16)</f>
        <v>0.42857142857142855</v>
      </c>
      <c r="D16" s="49">
        <f>AVERAGE('17.10 SSEMBABULE-KANONI'!D16,'18.10 SSEMBABULE-KANONI-24h'!D16,'19.10  SSEMBABULE- KANONI-24h'!D16,'20.10 SSEMBABULE-KANONI'!D16,'21.10 SSEMBABULE-KANONI'!D16,'22.10 SSEMBABULE-KANONI'!D16,'23.10 SSEMBABULE-KANONI'!D16)</f>
        <v>0.8571428571428571</v>
      </c>
      <c r="E16" s="49">
        <f>AVERAGE('17.10 SSEMBABULE-KANONI'!E16,'18.10 SSEMBABULE-KANONI-24h'!E16,'19.10  SSEMBABULE- KANONI-24h'!E16,'20.10 SSEMBABULE-KANONI'!E16,'21.10 SSEMBABULE-KANONI'!E16,'22.10 SSEMBABULE-KANONI'!E16,'23.10 SSEMBABULE-KANONI'!E16)</f>
        <v>0.14285714285714285</v>
      </c>
      <c r="F16" s="49">
        <f>AVERAGE('17.10 SSEMBABULE-KANONI'!F16,'18.10 SSEMBABULE-KANONI-24h'!F16,'19.10  SSEMBABULE- KANONI-24h'!F16,'20.10 SSEMBABULE-KANONI'!F16,'21.10 SSEMBABULE-KANONI'!F16,'22.10 SSEMBABULE-KANONI'!F16,'23.10 SSEMBABULE-KANONI'!F16)</f>
        <v>0.14285714285714285</v>
      </c>
      <c r="G16" s="49">
        <f>AVERAGE('17.10 SSEMBABULE-KANONI'!G16,'18.10 SSEMBABULE-KANONI-24h'!G16,'19.10  SSEMBABULE- KANONI-24h'!G16,'20.10 SSEMBABULE-KANONI'!G16,'21.10 SSEMBABULE-KANONI'!G16,'22.10 SSEMBABULE-KANONI'!G16,'23.10 SSEMBABULE-KANONI'!G16)</f>
        <v>0</v>
      </c>
      <c r="H16" s="49">
        <f>AVERAGE('17.10 SSEMBABULE-KANONI'!H16,'18.10 SSEMBABULE-KANONI-24h'!H16,'19.10  SSEMBABULE- KANONI-24h'!H16,'20.10 SSEMBABULE-KANONI'!H16,'21.10 SSEMBABULE-KANONI'!H16,'22.10 SSEMBABULE-KANONI'!H16,'23.10 SSEMBABULE-KANONI'!H16)</f>
        <v>0</v>
      </c>
      <c r="I16" s="49">
        <f>AVERAGE('17.10 SSEMBABULE-KANONI'!I16,'18.10 SSEMBABULE-KANONI-24h'!I16,'19.10  SSEMBABULE- KANONI-24h'!I16,'20.10 SSEMBABULE-KANONI'!I16,'21.10 SSEMBABULE-KANONI'!I16,'22.10 SSEMBABULE-KANONI'!I16,'23.10 SSEMBABULE-KANONI'!I16)</f>
        <v>0.5714285714285714</v>
      </c>
      <c r="J16" s="49">
        <f>AVERAGE('17.10 SSEMBABULE-KANONI'!J16,'18.10 SSEMBABULE-KANONI-24h'!J16,'19.10  SSEMBABULE- KANONI-24h'!J16,'20.10 SSEMBABULE-KANONI'!J16,'21.10 SSEMBABULE-KANONI'!J16,'22.10 SSEMBABULE-KANONI'!J16,'23.10 SSEMBABULE-KANONI'!J16)</f>
        <v>0.42857142857142855</v>
      </c>
      <c r="K16" s="49">
        <f>AVERAGE('17.10 SSEMBABULE-KANONI'!K16,'18.10 SSEMBABULE-KANONI-24h'!K16,'19.10  SSEMBABULE- KANONI-24h'!K16,'20.10 SSEMBABULE-KANONI'!K16,'21.10 SSEMBABULE-KANONI'!K16,'22.10 SSEMBABULE-KANONI'!K16,'23.10 SSEMBABULE-KANONI'!K16)</f>
        <v>0.5714285714285714</v>
      </c>
      <c r="L16" s="49">
        <f>AVERAGE('17.10 SSEMBABULE-KANONI'!L16,'18.10 SSEMBABULE-KANONI-24h'!L16,'19.10  SSEMBABULE- KANONI-24h'!L16,'20.10 SSEMBABULE-KANONI'!L16,'21.10 SSEMBABULE-KANONI'!L16,'22.10 SSEMBABULE-KANONI'!L16,'23.10 SSEMBABULE-KANONI'!L16)</f>
        <v>0</v>
      </c>
      <c r="M16" s="49">
        <f>AVERAGE('17.10 SSEMBABULE-KANONI'!M16,'18.10 SSEMBABULE-KANONI-24h'!M16,'19.10  SSEMBABULE- KANONI-24h'!M16,'20.10 SSEMBABULE-KANONI'!M16,'21.10 SSEMBABULE-KANONI'!M16,'22.10 SSEMBABULE-KANONI'!M16,'23.10 SSEMBABULE-KANONI'!M16)</f>
        <v>4.8571428571428568</v>
      </c>
      <c r="N16" s="49">
        <f>AVERAGE('17.10 SSEMBABULE-KANONI'!N16,'18.10 SSEMBABULE-KANONI-24h'!N16,'19.10  SSEMBABULE- KANONI-24h'!N16,'20.10 SSEMBABULE-KANONI'!N16,'21.10 SSEMBABULE-KANONI'!N16,'22.10 SSEMBABULE-KANONI'!N16,'23.10 SSEMBABULE-KANONI'!N16)</f>
        <v>0</v>
      </c>
      <c r="O16" s="15">
        <f t="shared" si="0"/>
        <v>3.1428571428571423</v>
      </c>
      <c r="P16" s="15">
        <f t="shared" si="1"/>
        <v>7.9999999999999991</v>
      </c>
      <c r="R16" s="1" t="s">
        <v>12</v>
      </c>
      <c r="S16" s="17">
        <f t="shared" ref="S16:AF16" si="8">SUM(C34:C37)</f>
        <v>4.7142857142857144</v>
      </c>
      <c r="T16" s="17">
        <f t="shared" si="8"/>
        <v>2.8571428571428572</v>
      </c>
      <c r="U16" s="17">
        <f t="shared" si="8"/>
        <v>1.2857142857142856</v>
      </c>
      <c r="V16" s="17">
        <f t="shared" si="8"/>
        <v>1.1428571428571428</v>
      </c>
      <c r="W16" s="17">
        <f t="shared" si="8"/>
        <v>0</v>
      </c>
      <c r="X16" s="17">
        <f t="shared" si="8"/>
        <v>0</v>
      </c>
      <c r="Y16" s="17">
        <f t="shared" si="8"/>
        <v>2.1428571428571428</v>
      </c>
      <c r="Z16" s="17">
        <f t="shared" si="8"/>
        <v>0.85714285714285698</v>
      </c>
      <c r="AA16" s="17">
        <f t="shared" si="8"/>
        <v>2</v>
      </c>
      <c r="AB16" s="17">
        <f t="shared" si="8"/>
        <v>0</v>
      </c>
      <c r="AC16" s="17">
        <f t="shared" si="8"/>
        <v>29.714285714285715</v>
      </c>
      <c r="AD16" s="17">
        <f t="shared" si="8"/>
        <v>0.14285714285714285</v>
      </c>
      <c r="AE16" s="31">
        <f t="shared" si="8"/>
        <v>15.142857142857142</v>
      </c>
      <c r="AF16" s="31">
        <f t="shared" si="8"/>
        <v>44.857142857142854</v>
      </c>
    </row>
    <row r="17" spans="2:32" ht="23.1" customHeight="1" x14ac:dyDescent="0.25">
      <c r="B17" s="23" t="s">
        <v>44</v>
      </c>
      <c r="C17" s="49">
        <f>AVERAGE('17.10 SSEMBABULE-KANONI'!C17,'18.10 SSEMBABULE-KANONI-24h'!C17,'19.10  SSEMBABULE- KANONI-24h'!C17,'20.10 SSEMBABULE-KANONI'!C17,'21.10 SSEMBABULE-KANONI'!C17,'22.10 SSEMBABULE-KANONI'!C17,'23.10 SSEMBABULE-KANONI'!C17)</f>
        <v>0.42857142857142855</v>
      </c>
      <c r="D17" s="49">
        <f>AVERAGE('17.10 SSEMBABULE-KANONI'!D17,'18.10 SSEMBABULE-KANONI-24h'!D17,'19.10  SSEMBABULE- KANONI-24h'!D17,'20.10 SSEMBABULE-KANONI'!D17,'21.10 SSEMBABULE-KANONI'!D17,'22.10 SSEMBABULE-KANONI'!D17,'23.10 SSEMBABULE-KANONI'!D17)</f>
        <v>0.2857142857142857</v>
      </c>
      <c r="E17" s="49">
        <f>AVERAGE('17.10 SSEMBABULE-KANONI'!E17,'18.10 SSEMBABULE-KANONI-24h'!E17,'19.10  SSEMBABULE- KANONI-24h'!E17,'20.10 SSEMBABULE-KANONI'!E17,'21.10 SSEMBABULE-KANONI'!E17,'22.10 SSEMBABULE-KANONI'!E17,'23.10 SSEMBABULE-KANONI'!E17)</f>
        <v>0.2857142857142857</v>
      </c>
      <c r="F17" s="49">
        <f>AVERAGE('17.10 SSEMBABULE-KANONI'!F17,'18.10 SSEMBABULE-KANONI-24h'!F17,'19.10  SSEMBABULE- KANONI-24h'!F17,'20.10 SSEMBABULE-KANONI'!F17,'21.10 SSEMBABULE-KANONI'!F17,'22.10 SSEMBABULE-KANONI'!F17,'23.10 SSEMBABULE-KANONI'!F17)</f>
        <v>0.2857142857142857</v>
      </c>
      <c r="G17" s="49">
        <f>AVERAGE('17.10 SSEMBABULE-KANONI'!G17,'18.10 SSEMBABULE-KANONI-24h'!G17,'19.10  SSEMBABULE- KANONI-24h'!G17,'20.10 SSEMBABULE-KANONI'!G17,'21.10 SSEMBABULE-KANONI'!G17,'22.10 SSEMBABULE-KANONI'!G17,'23.10 SSEMBABULE-KANONI'!G17)</f>
        <v>0.2857142857142857</v>
      </c>
      <c r="H17" s="49">
        <f>AVERAGE('17.10 SSEMBABULE-KANONI'!H17,'18.10 SSEMBABULE-KANONI-24h'!H17,'19.10  SSEMBABULE- KANONI-24h'!H17,'20.10 SSEMBABULE-KANONI'!H17,'21.10 SSEMBABULE-KANONI'!H17,'22.10 SSEMBABULE-KANONI'!H17,'23.10 SSEMBABULE-KANONI'!H17)</f>
        <v>0.14285714285714285</v>
      </c>
      <c r="I17" s="49">
        <f>AVERAGE('17.10 SSEMBABULE-KANONI'!I17,'18.10 SSEMBABULE-KANONI-24h'!I17,'19.10  SSEMBABULE- KANONI-24h'!I17,'20.10 SSEMBABULE-KANONI'!I17,'21.10 SSEMBABULE-KANONI'!I17,'22.10 SSEMBABULE-KANONI'!I17,'23.10 SSEMBABULE-KANONI'!I17)</f>
        <v>0.5714285714285714</v>
      </c>
      <c r="J17" s="49">
        <f>AVERAGE('17.10 SSEMBABULE-KANONI'!J17,'18.10 SSEMBABULE-KANONI-24h'!J17,'19.10  SSEMBABULE- KANONI-24h'!J17,'20.10 SSEMBABULE-KANONI'!J17,'21.10 SSEMBABULE-KANONI'!J17,'22.10 SSEMBABULE-KANONI'!J17,'23.10 SSEMBABULE-KANONI'!J17)</f>
        <v>0.2857142857142857</v>
      </c>
      <c r="K17" s="49">
        <f>AVERAGE('17.10 SSEMBABULE-KANONI'!K17,'18.10 SSEMBABULE-KANONI-24h'!K17,'19.10  SSEMBABULE- KANONI-24h'!K17,'20.10 SSEMBABULE-KANONI'!K17,'21.10 SSEMBABULE-KANONI'!K17,'22.10 SSEMBABULE-KANONI'!K17,'23.10 SSEMBABULE-KANONI'!K17)</f>
        <v>0.2857142857142857</v>
      </c>
      <c r="L17" s="49">
        <f>AVERAGE('17.10 SSEMBABULE-KANONI'!L17,'18.10 SSEMBABULE-KANONI-24h'!L17,'19.10  SSEMBABULE- KANONI-24h'!L17,'20.10 SSEMBABULE-KANONI'!L17,'21.10 SSEMBABULE-KANONI'!L17,'22.10 SSEMBABULE-KANONI'!L17,'23.10 SSEMBABULE-KANONI'!L17)</f>
        <v>0.14285714285714285</v>
      </c>
      <c r="M17" s="49">
        <f>AVERAGE('17.10 SSEMBABULE-KANONI'!M17,'18.10 SSEMBABULE-KANONI-24h'!M17,'19.10  SSEMBABULE- KANONI-24h'!M17,'20.10 SSEMBABULE-KANONI'!M17,'21.10 SSEMBABULE-KANONI'!M17,'22.10 SSEMBABULE-KANONI'!M17,'23.10 SSEMBABULE-KANONI'!M17)</f>
        <v>6.7142857142857144</v>
      </c>
      <c r="N17" s="49">
        <f>AVERAGE('17.10 SSEMBABULE-KANONI'!N17,'18.10 SSEMBABULE-KANONI-24h'!N17,'19.10  SSEMBABULE- KANONI-24h'!N17,'20.10 SSEMBABULE-KANONI'!N17,'21.10 SSEMBABULE-KANONI'!N17,'22.10 SSEMBABULE-KANONI'!N17,'23.10 SSEMBABULE-KANONI'!N17)</f>
        <v>0</v>
      </c>
      <c r="O17" s="15">
        <f t="shared" si="0"/>
        <v>2.9999999999999996</v>
      </c>
      <c r="P17" s="15">
        <f t="shared" si="1"/>
        <v>9.7142857142857135</v>
      </c>
      <c r="R17" s="1" t="s">
        <v>13</v>
      </c>
      <c r="S17" s="17">
        <f t="shared" ref="S17:AF17" si="9">SUM(C38:C41)</f>
        <v>5.1428571428571423</v>
      </c>
      <c r="T17" s="17">
        <f t="shared" si="9"/>
        <v>1.8571428571428572</v>
      </c>
      <c r="U17" s="17">
        <f t="shared" si="9"/>
        <v>1.1428571428571428</v>
      </c>
      <c r="V17" s="17">
        <f t="shared" si="9"/>
        <v>2.714285714285714</v>
      </c>
      <c r="W17" s="17">
        <f t="shared" si="9"/>
        <v>0.2857142857142857</v>
      </c>
      <c r="X17" s="17">
        <f t="shared" si="9"/>
        <v>0</v>
      </c>
      <c r="Y17" s="17">
        <f t="shared" si="9"/>
        <v>2.5714285714285712</v>
      </c>
      <c r="Z17" s="17">
        <f t="shared" si="9"/>
        <v>0.71428571428571419</v>
      </c>
      <c r="AA17" s="17">
        <f t="shared" si="9"/>
        <v>0.99999999999999989</v>
      </c>
      <c r="AB17" s="17">
        <f t="shared" si="9"/>
        <v>0.14285714285714285</v>
      </c>
      <c r="AC17" s="17">
        <f t="shared" si="9"/>
        <v>27.857142857142854</v>
      </c>
      <c r="AD17" s="17">
        <f t="shared" si="9"/>
        <v>0.14285714285714285</v>
      </c>
      <c r="AE17" s="31">
        <f t="shared" si="9"/>
        <v>15.714285714285714</v>
      </c>
      <c r="AF17" s="31">
        <f t="shared" si="9"/>
        <v>43.571428571428569</v>
      </c>
    </row>
    <row r="18" spans="2:32" ht="23.1" customHeight="1" x14ac:dyDescent="0.25">
      <c r="B18" s="23" t="s">
        <v>45</v>
      </c>
      <c r="C18" s="49">
        <f>AVERAGE('17.10 SSEMBABULE-KANONI'!C18,'18.10 SSEMBABULE-KANONI-24h'!C18,'19.10  SSEMBABULE- KANONI-24h'!C18,'20.10 SSEMBABULE-KANONI'!C18,'21.10 SSEMBABULE-KANONI'!C18,'22.10 SSEMBABULE-KANONI'!C18,'23.10 SSEMBABULE-KANONI'!C18)</f>
        <v>0.7142857142857143</v>
      </c>
      <c r="D18" s="49">
        <f>AVERAGE('17.10 SSEMBABULE-KANONI'!D18,'18.10 SSEMBABULE-KANONI-24h'!D18,'19.10  SSEMBABULE- KANONI-24h'!D18,'20.10 SSEMBABULE-KANONI'!D18,'21.10 SSEMBABULE-KANONI'!D18,'22.10 SSEMBABULE-KANONI'!D18,'23.10 SSEMBABULE-KANONI'!D18)</f>
        <v>0.14285714285714285</v>
      </c>
      <c r="E18" s="49">
        <f>AVERAGE('17.10 SSEMBABULE-KANONI'!E18,'18.10 SSEMBABULE-KANONI-24h'!E18,'19.10  SSEMBABULE- KANONI-24h'!E18,'20.10 SSEMBABULE-KANONI'!E18,'21.10 SSEMBABULE-KANONI'!E18,'22.10 SSEMBABULE-KANONI'!E18,'23.10 SSEMBABULE-KANONI'!E18)</f>
        <v>0.2857142857142857</v>
      </c>
      <c r="F18" s="49">
        <f>AVERAGE('17.10 SSEMBABULE-KANONI'!F18,'18.10 SSEMBABULE-KANONI-24h'!F18,'19.10  SSEMBABULE- KANONI-24h'!F18,'20.10 SSEMBABULE-KANONI'!F18,'21.10 SSEMBABULE-KANONI'!F18,'22.10 SSEMBABULE-KANONI'!F18,'23.10 SSEMBABULE-KANONI'!F18)</f>
        <v>0.42857142857142855</v>
      </c>
      <c r="G18" s="49">
        <f>AVERAGE('17.10 SSEMBABULE-KANONI'!G18,'18.10 SSEMBABULE-KANONI-24h'!G18,'19.10  SSEMBABULE- KANONI-24h'!G18,'20.10 SSEMBABULE-KANONI'!G18,'21.10 SSEMBABULE-KANONI'!G18,'22.10 SSEMBABULE-KANONI'!G18,'23.10 SSEMBABULE-KANONI'!G18)</f>
        <v>0.14285714285714285</v>
      </c>
      <c r="H18" s="49">
        <f>AVERAGE('17.10 SSEMBABULE-KANONI'!H18,'18.10 SSEMBABULE-KANONI-24h'!H18,'19.10  SSEMBABULE- KANONI-24h'!H18,'20.10 SSEMBABULE-KANONI'!H18,'21.10 SSEMBABULE-KANONI'!H18,'22.10 SSEMBABULE-KANONI'!H18,'23.10 SSEMBABULE-KANONI'!H18)</f>
        <v>0</v>
      </c>
      <c r="I18" s="49">
        <f>AVERAGE('17.10 SSEMBABULE-KANONI'!I18,'18.10 SSEMBABULE-KANONI-24h'!I18,'19.10  SSEMBABULE- KANONI-24h'!I18,'20.10 SSEMBABULE-KANONI'!I18,'21.10 SSEMBABULE-KANONI'!I18,'22.10 SSEMBABULE-KANONI'!I18,'23.10 SSEMBABULE-KANONI'!I18)</f>
        <v>0.8571428571428571</v>
      </c>
      <c r="J18" s="49">
        <f>AVERAGE('17.10 SSEMBABULE-KANONI'!J18,'18.10 SSEMBABULE-KANONI-24h'!J18,'19.10  SSEMBABULE- KANONI-24h'!J18,'20.10 SSEMBABULE-KANONI'!J18,'21.10 SSEMBABULE-KANONI'!J18,'22.10 SSEMBABULE-KANONI'!J18,'23.10 SSEMBABULE-KANONI'!J18)</f>
        <v>0.14285714285714285</v>
      </c>
      <c r="K18" s="49">
        <f>AVERAGE('17.10 SSEMBABULE-KANONI'!K18,'18.10 SSEMBABULE-KANONI-24h'!K18,'19.10  SSEMBABULE- KANONI-24h'!K18,'20.10 SSEMBABULE-KANONI'!K18,'21.10 SSEMBABULE-KANONI'!K18,'22.10 SSEMBABULE-KANONI'!K18,'23.10 SSEMBABULE-KANONI'!K18)</f>
        <v>0.42857142857142855</v>
      </c>
      <c r="L18" s="49">
        <f>AVERAGE('17.10 SSEMBABULE-KANONI'!L18,'18.10 SSEMBABULE-KANONI-24h'!L18,'19.10  SSEMBABULE- KANONI-24h'!L18,'20.10 SSEMBABULE-KANONI'!L18,'21.10 SSEMBABULE-KANONI'!L18,'22.10 SSEMBABULE-KANONI'!L18,'23.10 SSEMBABULE-KANONI'!L18)</f>
        <v>0</v>
      </c>
      <c r="M18" s="49">
        <f>AVERAGE('17.10 SSEMBABULE-KANONI'!M18,'18.10 SSEMBABULE-KANONI-24h'!M18,'19.10  SSEMBABULE- KANONI-24h'!M18,'20.10 SSEMBABULE-KANONI'!M18,'21.10 SSEMBABULE-KANONI'!M18,'22.10 SSEMBABULE-KANONI'!M18,'23.10 SSEMBABULE-KANONI'!M18)</f>
        <v>9</v>
      </c>
      <c r="N18" s="49">
        <f>AVERAGE('17.10 SSEMBABULE-KANONI'!N18,'18.10 SSEMBABULE-KANONI-24h'!N18,'19.10  SSEMBABULE- KANONI-24h'!N18,'20.10 SSEMBABULE-KANONI'!N18,'21.10 SSEMBABULE-KANONI'!N18,'22.10 SSEMBABULE-KANONI'!N18,'23.10 SSEMBABULE-KANONI'!N18)</f>
        <v>0</v>
      </c>
      <c r="O18" s="15">
        <f t="shared" si="0"/>
        <v>3.1428571428571423</v>
      </c>
      <c r="P18" s="15">
        <f t="shared" si="1"/>
        <v>12.142857142857142</v>
      </c>
      <c r="R18" s="1" t="s">
        <v>14</v>
      </c>
      <c r="S18" s="17">
        <f t="shared" ref="S18:AF18" si="10">SUM(C42:C45)</f>
        <v>4.7142857142857144</v>
      </c>
      <c r="T18" s="17">
        <f t="shared" si="10"/>
        <v>1.2857142857142856</v>
      </c>
      <c r="U18" s="17">
        <f t="shared" si="10"/>
        <v>0.8571428571428571</v>
      </c>
      <c r="V18" s="17">
        <f t="shared" si="10"/>
        <v>1.857142857142857</v>
      </c>
      <c r="W18" s="17">
        <f t="shared" si="10"/>
        <v>0</v>
      </c>
      <c r="X18" s="17">
        <f t="shared" si="10"/>
        <v>0</v>
      </c>
      <c r="Y18" s="17">
        <f t="shared" si="10"/>
        <v>2.7142857142857144</v>
      </c>
      <c r="Z18" s="17">
        <f t="shared" si="10"/>
        <v>1.1428571428571428</v>
      </c>
      <c r="AA18" s="17">
        <f t="shared" si="10"/>
        <v>0.5714285714285714</v>
      </c>
      <c r="AB18" s="17">
        <f t="shared" si="10"/>
        <v>0.2857142857142857</v>
      </c>
      <c r="AC18" s="17">
        <f t="shared" si="10"/>
        <v>33.714285714285708</v>
      </c>
      <c r="AD18" s="17">
        <f t="shared" si="10"/>
        <v>0</v>
      </c>
      <c r="AE18" s="31">
        <f t="shared" si="10"/>
        <v>13.428571428571429</v>
      </c>
      <c r="AF18" s="31">
        <f t="shared" si="10"/>
        <v>47.142857142857139</v>
      </c>
    </row>
    <row r="19" spans="2:32" ht="23.1" customHeight="1" x14ac:dyDescent="0.25">
      <c r="B19" s="23" t="s">
        <v>46</v>
      </c>
      <c r="C19" s="49">
        <f>AVERAGE('17.10 SSEMBABULE-KANONI'!C19,'18.10 SSEMBABULE-KANONI-24h'!C19,'19.10  SSEMBABULE- KANONI-24h'!C19,'20.10 SSEMBABULE-KANONI'!C19,'21.10 SSEMBABULE-KANONI'!C19,'22.10 SSEMBABULE-KANONI'!C19,'23.10 SSEMBABULE-KANONI'!C19)</f>
        <v>0.8571428571428571</v>
      </c>
      <c r="D19" s="49">
        <f>AVERAGE('17.10 SSEMBABULE-KANONI'!D19,'18.10 SSEMBABULE-KANONI-24h'!D19,'19.10  SSEMBABULE- KANONI-24h'!D19,'20.10 SSEMBABULE-KANONI'!D19,'21.10 SSEMBABULE-KANONI'!D19,'22.10 SSEMBABULE-KANONI'!D19,'23.10 SSEMBABULE-KANONI'!D19)</f>
        <v>0.42857142857142855</v>
      </c>
      <c r="E19" s="49">
        <f>AVERAGE('17.10 SSEMBABULE-KANONI'!E19,'18.10 SSEMBABULE-KANONI-24h'!E19,'19.10  SSEMBABULE- KANONI-24h'!E19,'20.10 SSEMBABULE-KANONI'!E19,'21.10 SSEMBABULE-KANONI'!E19,'22.10 SSEMBABULE-KANONI'!E19,'23.10 SSEMBABULE-KANONI'!E19)</f>
        <v>0.2857142857142857</v>
      </c>
      <c r="F19" s="49">
        <f>AVERAGE('17.10 SSEMBABULE-KANONI'!F19,'18.10 SSEMBABULE-KANONI-24h'!F19,'19.10  SSEMBABULE- KANONI-24h'!F19,'20.10 SSEMBABULE-KANONI'!F19,'21.10 SSEMBABULE-KANONI'!F19,'22.10 SSEMBABULE-KANONI'!F19,'23.10 SSEMBABULE-KANONI'!F19)</f>
        <v>0.7142857142857143</v>
      </c>
      <c r="G19" s="49">
        <f>AVERAGE('17.10 SSEMBABULE-KANONI'!G19,'18.10 SSEMBABULE-KANONI-24h'!G19,'19.10  SSEMBABULE- KANONI-24h'!G19,'20.10 SSEMBABULE-KANONI'!G19,'21.10 SSEMBABULE-KANONI'!G19,'22.10 SSEMBABULE-KANONI'!G19,'23.10 SSEMBABULE-KANONI'!G19)</f>
        <v>0.2857142857142857</v>
      </c>
      <c r="H19" s="49">
        <f>AVERAGE('17.10 SSEMBABULE-KANONI'!H19,'18.10 SSEMBABULE-KANONI-24h'!H19,'19.10  SSEMBABULE- KANONI-24h'!H19,'20.10 SSEMBABULE-KANONI'!H19,'21.10 SSEMBABULE-KANONI'!H19,'22.10 SSEMBABULE-KANONI'!H19,'23.10 SSEMBABULE-KANONI'!H19)</f>
        <v>0</v>
      </c>
      <c r="I19" s="49">
        <f>AVERAGE('17.10 SSEMBABULE-KANONI'!I19,'18.10 SSEMBABULE-KANONI-24h'!I19,'19.10  SSEMBABULE- KANONI-24h'!I19,'20.10 SSEMBABULE-KANONI'!I19,'21.10 SSEMBABULE-KANONI'!I19,'22.10 SSEMBABULE-KANONI'!I19,'23.10 SSEMBABULE-KANONI'!I19)</f>
        <v>0.42857142857142855</v>
      </c>
      <c r="J19" s="49">
        <f>AVERAGE('17.10 SSEMBABULE-KANONI'!J19,'18.10 SSEMBABULE-KANONI-24h'!J19,'19.10  SSEMBABULE- KANONI-24h'!J19,'20.10 SSEMBABULE-KANONI'!J19,'21.10 SSEMBABULE-KANONI'!J19,'22.10 SSEMBABULE-KANONI'!J19,'23.10 SSEMBABULE-KANONI'!J19)</f>
        <v>0</v>
      </c>
      <c r="K19" s="49">
        <f>AVERAGE('17.10 SSEMBABULE-KANONI'!K19,'18.10 SSEMBABULE-KANONI-24h'!K19,'19.10  SSEMBABULE- KANONI-24h'!K19,'20.10 SSEMBABULE-KANONI'!K19,'21.10 SSEMBABULE-KANONI'!K19,'22.10 SSEMBABULE-KANONI'!K19,'23.10 SSEMBABULE-KANONI'!K19)</f>
        <v>0.2857142857142857</v>
      </c>
      <c r="L19" s="49">
        <f>AVERAGE('17.10 SSEMBABULE-KANONI'!L19,'18.10 SSEMBABULE-KANONI-24h'!L19,'19.10  SSEMBABULE- KANONI-24h'!L19,'20.10 SSEMBABULE-KANONI'!L19,'21.10 SSEMBABULE-KANONI'!L19,'22.10 SSEMBABULE-KANONI'!L19,'23.10 SSEMBABULE-KANONI'!L19)</f>
        <v>0</v>
      </c>
      <c r="M19" s="49">
        <f>AVERAGE('17.10 SSEMBABULE-KANONI'!M19,'18.10 SSEMBABULE-KANONI-24h'!M19,'19.10  SSEMBABULE- KANONI-24h'!M19,'20.10 SSEMBABULE-KANONI'!M19,'21.10 SSEMBABULE-KANONI'!M19,'22.10 SSEMBABULE-KANONI'!M19,'23.10 SSEMBABULE-KANONI'!M19)</f>
        <v>6.1428571428571432</v>
      </c>
      <c r="N19" s="49">
        <f>AVERAGE('17.10 SSEMBABULE-KANONI'!N19,'18.10 SSEMBABULE-KANONI-24h'!N19,'19.10  SSEMBABULE- KANONI-24h'!N19,'20.10 SSEMBABULE-KANONI'!N19,'21.10 SSEMBABULE-KANONI'!N19,'22.10 SSEMBABULE-KANONI'!N19,'23.10 SSEMBABULE-KANONI'!N19)</f>
        <v>0</v>
      </c>
      <c r="O19" s="15">
        <f t="shared" si="0"/>
        <v>3.2857142857142851</v>
      </c>
      <c r="P19" s="15">
        <f t="shared" si="1"/>
        <v>9.4285714285714288</v>
      </c>
      <c r="R19" s="1" t="s">
        <v>15</v>
      </c>
      <c r="S19" s="17">
        <f t="shared" ref="S19:AF19" si="11">SUM(C46:C49)</f>
        <v>4.2857142857142856</v>
      </c>
      <c r="T19" s="17">
        <f t="shared" si="11"/>
        <v>1.5714285714285716</v>
      </c>
      <c r="U19" s="17">
        <f t="shared" si="11"/>
        <v>0.71428571428571419</v>
      </c>
      <c r="V19" s="17">
        <f t="shared" si="11"/>
        <v>1.7142857142857142</v>
      </c>
      <c r="W19" s="17">
        <f t="shared" si="11"/>
        <v>0</v>
      </c>
      <c r="X19" s="17">
        <f t="shared" si="11"/>
        <v>0.2857142857142857</v>
      </c>
      <c r="Y19" s="17">
        <f t="shared" si="11"/>
        <v>2.4285714285714288</v>
      </c>
      <c r="Z19" s="17">
        <f t="shared" si="11"/>
        <v>1</v>
      </c>
      <c r="AA19" s="17">
        <f t="shared" si="11"/>
        <v>1</v>
      </c>
      <c r="AB19" s="17">
        <f t="shared" si="11"/>
        <v>0.14285714285714285</v>
      </c>
      <c r="AC19" s="17">
        <f t="shared" si="11"/>
        <v>33.428571428571431</v>
      </c>
      <c r="AD19" s="17">
        <f t="shared" si="11"/>
        <v>0</v>
      </c>
      <c r="AE19" s="31">
        <f t="shared" si="11"/>
        <v>13.142857142857144</v>
      </c>
      <c r="AF19" s="31">
        <f t="shared" si="11"/>
        <v>46.571428571428569</v>
      </c>
    </row>
    <row r="20" spans="2:32" ht="23.1" customHeight="1" x14ac:dyDescent="0.25">
      <c r="B20" s="23" t="s">
        <v>47</v>
      </c>
      <c r="C20" s="49">
        <f>AVERAGE('17.10 SSEMBABULE-KANONI'!C20,'18.10 SSEMBABULE-KANONI-24h'!C20,'19.10  SSEMBABULE- KANONI-24h'!C20,'20.10 SSEMBABULE-KANONI'!C20,'21.10 SSEMBABULE-KANONI'!C20,'22.10 SSEMBABULE-KANONI'!C20,'23.10 SSEMBABULE-KANONI'!C20)</f>
        <v>0.8571428571428571</v>
      </c>
      <c r="D20" s="49">
        <f>AVERAGE('17.10 SSEMBABULE-KANONI'!D20,'18.10 SSEMBABULE-KANONI-24h'!D20,'19.10  SSEMBABULE- KANONI-24h'!D20,'20.10 SSEMBABULE-KANONI'!D20,'21.10 SSEMBABULE-KANONI'!D20,'22.10 SSEMBABULE-KANONI'!D20,'23.10 SSEMBABULE-KANONI'!D20)</f>
        <v>0.14285714285714285</v>
      </c>
      <c r="E20" s="49">
        <f>AVERAGE('17.10 SSEMBABULE-KANONI'!E20,'18.10 SSEMBABULE-KANONI-24h'!E20,'19.10  SSEMBABULE- KANONI-24h'!E20,'20.10 SSEMBABULE-KANONI'!E20,'21.10 SSEMBABULE-KANONI'!E20,'22.10 SSEMBABULE-KANONI'!E20,'23.10 SSEMBABULE-KANONI'!E20)</f>
        <v>0.2857142857142857</v>
      </c>
      <c r="F20" s="49">
        <f>AVERAGE('17.10 SSEMBABULE-KANONI'!F20,'18.10 SSEMBABULE-KANONI-24h'!F20,'19.10  SSEMBABULE- KANONI-24h'!F20,'20.10 SSEMBABULE-KANONI'!F20,'21.10 SSEMBABULE-KANONI'!F20,'22.10 SSEMBABULE-KANONI'!F20,'23.10 SSEMBABULE-KANONI'!F20)</f>
        <v>0.42857142857142855</v>
      </c>
      <c r="G20" s="49">
        <f>AVERAGE('17.10 SSEMBABULE-KANONI'!G20,'18.10 SSEMBABULE-KANONI-24h'!G20,'19.10  SSEMBABULE- KANONI-24h'!G20,'20.10 SSEMBABULE-KANONI'!G20,'21.10 SSEMBABULE-KANONI'!G20,'22.10 SSEMBABULE-KANONI'!G20,'23.10 SSEMBABULE-KANONI'!G20)</f>
        <v>0</v>
      </c>
      <c r="H20" s="49">
        <f>AVERAGE('17.10 SSEMBABULE-KANONI'!H20,'18.10 SSEMBABULE-KANONI-24h'!H20,'19.10  SSEMBABULE- KANONI-24h'!H20,'20.10 SSEMBABULE-KANONI'!H20,'21.10 SSEMBABULE-KANONI'!H20,'22.10 SSEMBABULE-KANONI'!H20,'23.10 SSEMBABULE-KANONI'!H20)</f>
        <v>0.14285714285714285</v>
      </c>
      <c r="I20" s="49">
        <f>AVERAGE('17.10 SSEMBABULE-KANONI'!I20,'18.10 SSEMBABULE-KANONI-24h'!I20,'19.10  SSEMBABULE- KANONI-24h'!I20,'20.10 SSEMBABULE-KANONI'!I20,'21.10 SSEMBABULE-KANONI'!I20,'22.10 SSEMBABULE-KANONI'!I20,'23.10 SSEMBABULE-KANONI'!I20)</f>
        <v>0.42857142857142855</v>
      </c>
      <c r="J20" s="49">
        <f>AVERAGE('17.10 SSEMBABULE-KANONI'!J20,'18.10 SSEMBABULE-KANONI-24h'!J20,'19.10  SSEMBABULE- KANONI-24h'!J20,'20.10 SSEMBABULE-KANONI'!J20,'21.10 SSEMBABULE-KANONI'!J20,'22.10 SSEMBABULE-KANONI'!J20,'23.10 SSEMBABULE-KANONI'!J20)</f>
        <v>0.7142857142857143</v>
      </c>
      <c r="K20" s="49">
        <f>AVERAGE('17.10 SSEMBABULE-KANONI'!K20,'18.10 SSEMBABULE-KANONI-24h'!K20,'19.10  SSEMBABULE- KANONI-24h'!K20,'20.10 SSEMBABULE-KANONI'!K20,'21.10 SSEMBABULE-KANONI'!K20,'22.10 SSEMBABULE-KANONI'!K20,'23.10 SSEMBABULE-KANONI'!K20)</f>
        <v>0.42857142857142855</v>
      </c>
      <c r="L20" s="49">
        <f>AVERAGE('17.10 SSEMBABULE-KANONI'!L20,'18.10 SSEMBABULE-KANONI-24h'!L20,'19.10  SSEMBABULE- KANONI-24h'!L20,'20.10 SSEMBABULE-KANONI'!L20,'21.10 SSEMBABULE-KANONI'!L20,'22.10 SSEMBABULE-KANONI'!L20,'23.10 SSEMBABULE-KANONI'!L20)</f>
        <v>0.14285714285714285</v>
      </c>
      <c r="M20" s="49">
        <f>AVERAGE('17.10 SSEMBABULE-KANONI'!M20,'18.10 SSEMBABULE-KANONI-24h'!M20,'19.10  SSEMBABULE- KANONI-24h'!M20,'20.10 SSEMBABULE-KANONI'!M20,'21.10 SSEMBABULE-KANONI'!M20,'22.10 SSEMBABULE-KANONI'!M20,'23.10 SSEMBABULE-KANONI'!M20)</f>
        <v>7.8571428571428568</v>
      </c>
      <c r="N20" s="49">
        <f>AVERAGE('17.10 SSEMBABULE-KANONI'!N20,'18.10 SSEMBABULE-KANONI-24h'!N20,'19.10  SSEMBABULE- KANONI-24h'!N20,'20.10 SSEMBABULE-KANONI'!N20,'21.10 SSEMBABULE-KANONI'!N20,'22.10 SSEMBABULE-KANONI'!N20,'23.10 SSEMBABULE-KANONI'!N20)</f>
        <v>0</v>
      </c>
      <c r="O20" s="15">
        <f t="shared" si="0"/>
        <v>3.5714285714285712</v>
      </c>
      <c r="P20" s="15">
        <f t="shared" si="1"/>
        <v>11.428571428571427</v>
      </c>
      <c r="R20" s="1" t="s">
        <v>16</v>
      </c>
      <c r="S20" s="17">
        <f t="shared" ref="S20:AF20" si="12">SUM(C50:C53)</f>
        <v>7.4285714285714288</v>
      </c>
      <c r="T20" s="17">
        <f t="shared" si="12"/>
        <v>3.4285714285714284</v>
      </c>
      <c r="U20" s="17">
        <f t="shared" si="12"/>
        <v>1.8571428571428572</v>
      </c>
      <c r="V20" s="17">
        <f t="shared" si="12"/>
        <v>2.7142857142857144</v>
      </c>
      <c r="W20" s="17">
        <f t="shared" si="12"/>
        <v>0.99999999999999989</v>
      </c>
      <c r="X20" s="17">
        <f t="shared" si="12"/>
        <v>0</v>
      </c>
      <c r="Y20" s="17">
        <f t="shared" si="12"/>
        <v>3</v>
      </c>
      <c r="Z20" s="17">
        <f t="shared" si="12"/>
        <v>0.71428571428571419</v>
      </c>
      <c r="AA20" s="17">
        <f t="shared" si="12"/>
        <v>1.5714285714285712</v>
      </c>
      <c r="AB20" s="17">
        <f t="shared" si="12"/>
        <v>0.14285714285714285</v>
      </c>
      <c r="AC20" s="17">
        <f t="shared" si="12"/>
        <v>38.714285714285715</v>
      </c>
      <c r="AD20" s="17">
        <f t="shared" si="12"/>
        <v>0</v>
      </c>
      <c r="AE20" s="31">
        <f t="shared" si="12"/>
        <v>21.857142857142858</v>
      </c>
      <c r="AF20" s="31">
        <f t="shared" si="12"/>
        <v>60.571428571428569</v>
      </c>
    </row>
    <row r="21" spans="2:32" ht="23.1" customHeight="1" x14ac:dyDescent="0.25">
      <c r="B21" s="23" t="s">
        <v>48</v>
      </c>
      <c r="C21" s="49">
        <f>AVERAGE('17.10 SSEMBABULE-KANONI'!C21,'18.10 SSEMBABULE-KANONI-24h'!C21,'19.10  SSEMBABULE- KANONI-24h'!C21,'20.10 SSEMBABULE-KANONI'!C21,'21.10 SSEMBABULE-KANONI'!C21,'22.10 SSEMBABULE-KANONI'!C21,'23.10 SSEMBABULE-KANONI'!C21)</f>
        <v>0.5714285714285714</v>
      </c>
      <c r="D21" s="49">
        <f>AVERAGE('17.10 SSEMBABULE-KANONI'!D21,'18.10 SSEMBABULE-KANONI-24h'!D21,'19.10  SSEMBABULE- KANONI-24h'!D21,'20.10 SSEMBABULE-KANONI'!D21,'21.10 SSEMBABULE-KANONI'!D21,'22.10 SSEMBABULE-KANONI'!D21,'23.10 SSEMBABULE-KANONI'!D21)</f>
        <v>0.5714285714285714</v>
      </c>
      <c r="E21" s="49">
        <f>AVERAGE('17.10 SSEMBABULE-KANONI'!E21,'18.10 SSEMBABULE-KANONI-24h'!E21,'19.10  SSEMBABULE- KANONI-24h'!E21,'20.10 SSEMBABULE-KANONI'!E21,'21.10 SSEMBABULE-KANONI'!E21,'22.10 SSEMBABULE-KANONI'!E21,'23.10 SSEMBABULE-KANONI'!E21)</f>
        <v>0.8571428571428571</v>
      </c>
      <c r="F21" s="49">
        <f>AVERAGE('17.10 SSEMBABULE-KANONI'!F21,'18.10 SSEMBABULE-KANONI-24h'!F21,'19.10  SSEMBABULE- KANONI-24h'!F21,'20.10 SSEMBABULE-KANONI'!F21,'21.10 SSEMBABULE-KANONI'!F21,'22.10 SSEMBABULE-KANONI'!F21,'23.10 SSEMBABULE-KANONI'!F21)</f>
        <v>0.14285714285714285</v>
      </c>
      <c r="G21" s="49">
        <f>AVERAGE('17.10 SSEMBABULE-KANONI'!G21,'18.10 SSEMBABULE-KANONI-24h'!G21,'19.10  SSEMBABULE- KANONI-24h'!G21,'20.10 SSEMBABULE-KANONI'!G21,'21.10 SSEMBABULE-KANONI'!G21,'22.10 SSEMBABULE-KANONI'!G21,'23.10 SSEMBABULE-KANONI'!G21)</f>
        <v>0</v>
      </c>
      <c r="H21" s="49">
        <f>AVERAGE('17.10 SSEMBABULE-KANONI'!H21,'18.10 SSEMBABULE-KANONI-24h'!H21,'19.10  SSEMBABULE- KANONI-24h'!H21,'20.10 SSEMBABULE-KANONI'!H21,'21.10 SSEMBABULE-KANONI'!H21,'22.10 SSEMBABULE-KANONI'!H21,'23.10 SSEMBABULE-KANONI'!H21)</f>
        <v>0</v>
      </c>
      <c r="I21" s="49">
        <f>AVERAGE('17.10 SSEMBABULE-KANONI'!I21,'18.10 SSEMBABULE-KANONI-24h'!I21,'19.10  SSEMBABULE- KANONI-24h'!I21,'20.10 SSEMBABULE-KANONI'!I21,'21.10 SSEMBABULE-KANONI'!I21,'22.10 SSEMBABULE-KANONI'!I21,'23.10 SSEMBABULE-KANONI'!I21)</f>
        <v>0.7142857142857143</v>
      </c>
      <c r="J21" s="49">
        <f>AVERAGE('17.10 SSEMBABULE-KANONI'!J21,'18.10 SSEMBABULE-KANONI-24h'!J21,'19.10  SSEMBABULE- KANONI-24h'!J21,'20.10 SSEMBABULE-KANONI'!J21,'21.10 SSEMBABULE-KANONI'!J21,'22.10 SSEMBABULE-KANONI'!J21,'23.10 SSEMBABULE-KANONI'!J21)</f>
        <v>0.5714285714285714</v>
      </c>
      <c r="K21" s="49">
        <f>AVERAGE('17.10 SSEMBABULE-KANONI'!K21,'18.10 SSEMBABULE-KANONI-24h'!K21,'19.10  SSEMBABULE- KANONI-24h'!K21,'20.10 SSEMBABULE-KANONI'!K21,'21.10 SSEMBABULE-KANONI'!K21,'22.10 SSEMBABULE-KANONI'!K21,'23.10 SSEMBABULE-KANONI'!K21)</f>
        <v>0.14285714285714285</v>
      </c>
      <c r="L21" s="49">
        <f>AVERAGE('17.10 SSEMBABULE-KANONI'!L21,'18.10 SSEMBABULE-KANONI-24h'!L21,'19.10  SSEMBABULE- KANONI-24h'!L21,'20.10 SSEMBABULE-KANONI'!L21,'21.10 SSEMBABULE-KANONI'!L21,'22.10 SSEMBABULE-KANONI'!L21,'23.10 SSEMBABULE-KANONI'!L21)</f>
        <v>0.2857142857142857</v>
      </c>
      <c r="M21" s="49">
        <f>AVERAGE('17.10 SSEMBABULE-KANONI'!M21,'18.10 SSEMBABULE-KANONI-24h'!M21,'19.10  SSEMBABULE- KANONI-24h'!M21,'20.10 SSEMBABULE-KANONI'!M21,'21.10 SSEMBABULE-KANONI'!M21,'22.10 SSEMBABULE-KANONI'!M21,'23.10 SSEMBABULE-KANONI'!M21)</f>
        <v>7.1428571428571432</v>
      </c>
      <c r="N21" s="49">
        <f>AVERAGE('17.10 SSEMBABULE-KANONI'!N21,'18.10 SSEMBABULE-KANONI-24h'!N21,'19.10  SSEMBABULE- KANONI-24h'!N21,'20.10 SSEMBABULE-KANONI'!N21,'21.10 SSEMBABULE-KANONI'!N21,'22.10 SSEMBABULE-KANONI'!N21,'23.10 SSEMBABULE-KANONI'!N21)</f>
        <v>0</v>
      </c>
      <c r="O21" s="15">
        <f t="shared" si="0"/>
        <v>3.8571428571428572</v>
      </c>
      <c r="P21" s="15">
        <f t="shared" si="1"/>
        <v>11</v>
      </c>
      <c r="R21" s="36" t="s">
        <v>20</v>
      </c>
      <c r="S21" s="34">
        <f t="shared" ref="S21:AF21" si="13">SUM(C54:C57)</f>
        <v>8.428571428571427</v>
      </c>
      <c r="T21" s="17">
        <f t="shared" si="13"/>
        <v>3</v>
      </c>
      <c r="U21" s="17">
        <f t="shared" si="13"/>
        <v>0.2857142857142857</v>
      </c>
      <c r="V21" s="17">
        <f t="shared" si="13"/>
        <v>1.9999999999999998</v>
      </c>
      <c r="W21" s="17">
        <f t="shared" si="13"/>
        <v>1</v>
      </c>
      <c r="X21" s="17">
        <f t="shared" si="13"/>
        <v>0</v>
      </c>
      <c r="Y21" s="17">
        <f t="shared" si="13"/>
        <v>3.4285714285714288</v>
      </c>
      <c r="Z21" s="17">
        <f t="shared" si="13"/>
        <v>1.714285714285714</v>
      </c>
      <c r="AA21" s="17">
        <f t="shared" si="13"/>
        <v>1</v>
      </c>
      <c r="AB21" s="17">
        <f t="shared" si="13"/>
        <v>0.2857142857142857</v>
      </c>
      <c r="AC21" s="17">
        <f t="shared" si="13"/>
        <v>40.285714285714285</v>
      </c>
      <c r="AD21" s="17">
        <f t="shared" si="13"/>
        <v>0</v>
      </c>
      <c r="AE21" s="31">
        <f t="shared" si="13"/>
        <v>21.142857142857142</v>
      </c>
      <c r="AF21" s="31">
        <f t="shared" si="13"/>
        <v>61.428571428571431</v>
      </c>
    </row>
    <row r="22" spans="2:32" ht="23.1" customHeight="1" x14ac:dyDescent="0.25">
      <c r="B22" s="23" t="s">
        <v>49</v>
      </c>
      <c r="C22" s="49">
        <f>AVERAGE('17.10 SSEMBABULE-KANONI'!C22,'18.10 SSEMBABULE-KANONI-24h'!C22,'19.10  SSEMBABULE- KANONI-24h'!C22,'20.10 SSEMBABULE-KANONI'!C22,'21.10 SSEMBABULE-KANONI'!C22,'22.10 SSEMBABULE-KANONI'!C22,'23.10 SSEMBABULE-KANONI'!C22)</f>
        <v>0.8571428571428571</v>
      </c>
      <c r="D22" s="49">
        <f>AVERAGE('17.10 SSEMBABULE-KANONI'!D22,'18.10 SSEMBABULE-KANONI-24h'!D22,'19.10  SSEMBABULE- KANONI-24h'!D22,'20.10 SSEMBABULE-KANONI'!D22,'21.10 SSEMBABULE-KANONI'!D22,'22.10 SSEMBABULE-KANONI'!D22,'23.10 SSEMBABULE-KANONI'!D22)</f>
        <v>0.42857142857142855</v>
      </c>
      <c r="E22" s="49">
        <f>AVERAGE('17.10 SSEMBABULE-KANONI'!E22,'18.10 SSEMBABULE-KANONI-24h'!E22,'19.10  SSEMBABULE- KANONI-24h'!E22,'20.10 SSEMBABULE-KANONI'!E22,'21.10 SSEMBABULE-KANONI'!E22,'22.10 SSEMBABULE-KANONI'!E22,'23.10 SSEMBABULE-KANONI'!E22)</f>
        <v>0.5714285714285714</v>
      </c>
      <c r="F22" s="49">
        <f>AVERAGE('17.10 SSEMBABULE-KANONI'!F22,'18.10 SSEMBABULE-KANONI-24h'!F22,'19.10  SSEMBABULE- KANONI-24h'!F22,'20.10 SSEMBABULE-KANONI'!F22,'21.10 SSEMBABULE-KANONI'!F22,'22.10 SSEMBABULE-KANONI'!F22,'23.10 SSEMBABULE-KANONI'!F22)</f>
        <v>0.2857142857142857</v>
      </c>
      <c r="G22" s="49">
        <f>AVERAGE('17.10 SSEMBABULE-KANONI'!G22,'18.10 SSEMBABULE-KANONI-24h'!G22,'19.10  SSEMBABULE- KANONI-24h'!G22,'20.10 SSEMBABULE-KANONI'!G22,'21.10 SSEMBABULE-KANONI'!G22,'22.10 SSEMBABULE-KANONI'!G22,'23.10 SSEMBABULE-KANONI'!G22)</f>
        <v>0</v>
      </c>
      <c r="H22" s="49">
        <f>AVERAGE('17.10 SSEMBABULE-KANONI'!H22,'18.10 SSEMBABULE-KANONI-24h'!H22,'19.10  SSEMBABULE- KANONI-24h'!H22,'20.10 SSEMBABULE-KANONI'!H22,'21.10 SSEMBABULE-KANONI'!H22,'22.10 SSEMBABULE-KANONI'!H22,'23.10 SSEMBABULE-KANONI'!H22)</f>
        <v>0</v>
      </c>
      <c r="I22" s="49">
        <f>AVERAGE('17.10 SSEMBABULE-KANONI'!I22,'18.10 SSEMBABULE-KANONI-24h'!I22,'19.10  SSEMBABULE- KANONI-24h'!I22,'20.10 SSEMBABULE-KANONI'!I22,'21.10 SSEMBABULE-KANONI'!I22,'22.10 SSEMBABULE-KANONI'!I22,'23.10 SSEMBABULE-KANONI'!I22)</f>
        <v>0.42857142857142855</v>
      </c>
      <c r="J22" s="49">
        <f>AVERAGE('17.10 SSEMBABULE-KANONI'!J22,'18.10 SSEMBABULE-KANONI-24h'!J22,'19.10  SSEMBABULE- KANONI-24h'!J22,'20.10 SSEMBABULE-KANONI'!J22,'21.10 SSEMBABULE-KANONI'!J22,'22.10 SSEMBABULE-KANONI'!J22,'23.10 SSEMBABULE-KANONI'!J22)</f>
        <v>0</v>
      </c>
      <c r="K22" s="49">
        <f>AVERAGE('17.10 SSEMBABULE-KANONI'!K22,'18.10 SSEMBABULE-KANONI-24h'!K22,'19.10  SSEMBABULE- KANONI-24h'!K22,'20.10 SSEMBABULE-KANONI'!K22,'21.10 SSEMBABULE-KANONI'!K22,'22.10 SSEMBABULE-KANONI'!K22,'23.10 SSEMBABULE-KANONI'!K22)</f>
        <v>0.14285714285714285</v>
      </c>
      <c r="L22" s="49">
        <f>AVERAGE('17.10 SSEMBABULE-KANONI'!L22,'18.10 SSEMBABULE-KANONI-24h'!L22,'19.10  SSEMBABULE- KANONI-24h'!L22,'20.10 SSEMBABULE-KANONI'!L22,'21.10 SSEMBABULE-KANONI'!L22,'22.10 SSEMBABULE-KANONI'!L22,'23.10 SSEMBABULE-KANONI'!L22)</f>
        <v>0.2857142857142857</v>
      </c>
      <c r="M22" s="49">
        <f>AVERAGE('17.10 SSEMBABULE-KANONI'!M22,'18.10 SSEMBABULE-KANONI-24h'!M22,'19.10  SSEMBABULE- KANONI-24h'!M22,'20.10 SSEMBABULE-KANONI'!M22,'21.10 SSEMBABULE-KANONI'!M22,'22.10 SSEMBABULE-KANONI'!M22,'23.10 SSEMBABULE-KANONI'!M22)</f>
        <v>8.8571428571428577</v>
      </c>
      <c r="N22" s="49">
        <f>AVERAGE('17.10 SSEMBABULE-KANONI'!N22,'18.10 SSEMBABULE-KANONI-24h'!N22,'19.10  SSEMBABULE- KANONI-24h'!N22,'20.10 SSEMBABULE-KANONI'!N22,'21.10 SSEMBABULE-KANONI'!N22,'22.10 SSEMBABULE-KANONI'!N22,'23.10 SSEMBABULE-KANONI'!N22)</f>
        <v>0</v>
      </c>
      <c r="O22" s="15">
        <f t="shared" si="0"/>
        <v>2.9999999999999996</v>
      </c>
      <c r="P22" s="15">
        <f t="shared" si="1"/>
        <v>11.857142857142858</v>
      </c>
      <c r="R22" s="1" t="s">
        <v>146</v>
      </c>
      <c r="S22" s="34">
        <f>SUM(C58:C61)</f>
        <v>7</v>
      </c>
      <c r="T22" s="34">
        <f t="shared" ref="T22:AF22" si="14">SUM(D58:D61)</f>
        <v>0.5</v>
      </c>
      <c r="U22" s="34">
        <f t="shared" si="14"/>
        <v>1</v>
      </c>
      <c r="V22" s="34">
        <f t="shared" si="14"/>
        <v>2.5</v>
      </c>
      <c r="W22" s="34">
        <f t="shared" si="14"/>
        <v>0</v>
      </c>
      <c r="X22" s="34">
        <f t="shared" si="14"/>
        <v>0</v>
      </c>
      <c r="Y22" s="34">
        <f t="shared" si="14"/>
        <v>2.5</v>
      </c>
      <c r="Z22" s="34">
        <f t="shared" si="14"/>
        <v>3</v>
      </c>
      <c r="AA22" s="34">
        <f t="shared" si="14"/>
        <v>0</v>
      </c>
      <c r="AB22" s="34">
        <f t="shared" si="14"/>
        <v>0</v>
      </c>
      <c r="AC22" s="34">
        <f t="shared" si="14"/>
        <v>50</v>
      </c>
      <c r="AD22" s="34">
        <f t="shared" si="14"/>
        <v>0</v>
      </c>
      <c r="AE22" s="31">
        <f t="shared" si="14"/>
        <v>16.5</v>
      </c>
      <c r="AF22" s="31">
        <f t="shared" si="14"/>
        <v>66.5</v>
      </c>
    </row>
    <row r="23" spans="2:32" ht="23.1" customHeight="1" x14ac:dyDescent="0.25">
      <c r="B23" s="23" t="s">
        <v>50</v>
      </c>
      <c r="C23" s="49">
        <f>AVERAGE('17.10 SSEMBABULE-KANONI'!C23,'18.10 SSEMBABULE-KANONI-24h'!C23,'19.10  SSEMBABULE- KANONI-24h'!C23,'20.10 SSEMBABULE-KANONI'!C23,'21.10 SSEMBABULE-KANONI'!C23,'22.10 SSEMBABULE-KANONI'!C23,'23.10 SSEMBABULE-KANONI'!C23)</f>
        <v>0.42857142857142855</v>
      </c>
      <c r="D23" s="49">
        <f>AVERAGE('17.10 SSEMBABULE-KANONI'!D23,'18.10 SSEMBABULE-KANONI-24h'!D23,'19.10  SSEMBABULE- KANONI-24h'!D23,'20.10 SSEMBABULE-KANONI'!D23,'21.10 SSEMBABULE-KANONI'!D23,'22.10 SSEMBABULE-KANONI'!D23,'23.10 SSEMBABULE-KANONI'!D23)</f>
        <v>0.14285714285714285</v>
      </c>
      <c r="E23" s="49">
        <f>AVERAGE('17.10 SSEMBABULE-KANONI'!E23,'18.10 SSEMBABULE-KANONI-24h'!E23,'19.10  SSEMBABULE- KANONI-24h'!E23,'20.10 SSEMBABULE-KANONI'!E23,'21.10 SSEMBABULE-KANONI'!E23,'22.10 SSEMBABULE-KANONI'!E23,'23.10 SSEMBABULE-KANONI'!E23)</f>
        <v>0.5714285714285714</v>
      </c>
      <c r="F23" s="49">
        <f>AVERAGE('17.10 SSEMBABULE-KANONI'!F23,'18.10 SSEMBABULE-KANONI-24h'!F23,'19.10  SSEMBABULE- KANONI-24h'!F23,'20.10 SSEMBABULE-KANONI'!F23,'21.10 SSEMBABULE-KANONI'!F23,'22.10 SSEMBABULE-KANONI'!F23,'23.10 SSEMBABULE-KANONI'!F23)</f>
        <v>0.14285714285714285</v>
      </c>
      <c r="G23" s="49">
        <f>AVERAGE('17.10 SSEMBABULE-KANONI'!G23,'18.10 SSEMBABULE-KANONI-24h'!G23,'19.10  SSEMBABULE- KANONI-24h'!G23,'20.10 SSEMBABULE-KANONI'!G23,'21.10 SSEMBABULE-KANONI'!G23,'22.10 SSEMBABULE-KANONI'!G23,'23.10 SSEMBABULE-KANONI'!G23)</f>
        <v>0</v>
      </c>
      <c r="H23" s="49">
        <f>AVERAGE('17.10 SSEMBABULE-KANONI'!H23,'18.10 SSEMBABULE-KANONI-24h'!H23,'19.10  SSEMBABULE- KANONI-24h'!H23,'20.10 SSEMBABULE-KANONI'!H23,'21.10 SSEMBABULE-KANONI'!H23,'22.10 SSEMBABULE-KANONI'!H23,'23.10 SSEMBABULE-KANONI'!H23)</f>
        <v>0</v>
      </c>
      <c r="I23" s="49">
        <f>AVERAGE('17.10 SSEMBABULE-KANONI'!I23,'18.10 SSEMBABULE-KANONI-24h'!I23,'19.10  SSEMBABULE- KANONI-24h'!I23,'20.10 SSEMBABULE-KANONI'!I23,'21.10 SSEMBABULE-KANONI'!I23,'22.10 SSEMBABULE-KANONI'!I23,'23.10 SSEMBABULE-KANONI'!I23)</f>
        <v>0.5714285714285714</v>
      </c>
      <c r="J23" s="49">
        <f>AVERAGE('17.10 SSEMBABULE-KANONI'!J23,'18.10 SSEMBABULE-KANONI-24h'!J23,'19.10  SSEMBABULE- KANONI-24h'!J23,'20.10 SSEMBABULE-KANONI'!J23,'21.10 SSEMBABULE-KANONI'!J23,'22.10 SSEMBABULE-KANONI'!J23,'23.10 SSEMBABULE-KANONI'!J23)</f>
        <v>0.14285714285714285</v>
      </c>
      <c r="K23" s="49">
        <f>AVERAGE('17.10 SSEMBABULE-KANONI'!K23,'18.10 SSEMBABULE-KANONI-24h'!K23,'19.10  SSEMBABULE- KANONI-24h'!K23,'20.10 SSEMBABULE-KANONI'!K23,'21.10 SSEMBABULE-KANONI'!K23,'22.10 SSEMBABULE-KANONI'!K23,'23.10 SSEMBABULE-KANONI'!K23)</f>
        <v>0.5714285714285714</v>
      </c>
      <c r="L23" s="49">
        <f>AVERAGE('17.10 SSEMBABULE-KANONI'!L23,'18.10 SSEMBABULE-KANONI-24h'!L23,'19.10  SSEMBABULE- KANONI-24h'!L23,'20.10 SSEMBABULE-KANONI'!L23,'21.10 SSEMBABULE-KANONI'!L23,'22.10 SSEMBABULE-KANONI'!L23,'23.10 SSEMBABULE-KANONI'!L23)</f>
        <v>0.14285714285714285</v>
      </c>
      <c r="M23" s="49">
        <f>AVERAGE('17.10 SSEMBABULE-KANONI'!M23,'18.10 SSEMBABULE-KANONI-24h'!M23,'19.10  SSEMBABULE- KANONI-24h'!M23,'20.10 SSEMBABULE-KANONI'!M23,'21.10 SSEMBABULE-KANONI'!M23,'22.10 SSEMBABULE-KANONI'!M23,'23.10 SSEMBABULE-KANONI'!M23)</f>
        <v>7.4285714285714288</v>
      </c>
      <c r="N23" s="49">
        <f>AVERAGE('17.10 SSEMBABULE-KANONI'!N23,'18.10 SSEMBABULE-KANONI-24h'!N23,'19.10  SSEMBABULE- KANONI-24h'!N23,'20.10 SSEMBABULE-KANONI'!N23,'21.10 SSEMBABULE-KANONI'!N23,'22.10 SSEMBABULE-KANONI'!N23,'23.10 SSEMBABULE-KANONI'!N23)</f>
        <v>0</v>
      </c>
      <c r="O23" s="15">
        <f t="shared" si="0"/>
        <v>2.714285714285714</v>
      </c>
      <c r="P23" s="15">
        <f t="shared" si="1"/>
        <v>10.142857142857142</v>
      </c>
      <c r="R23" s="1" t="s">
        <v>147</v>
      </c>
      <c r="S23" s="34">
        <f>SUM(C62:C65)</f>
        <v>4.5</v>
      </c>
      <c r="T23" s="34">
        <f t="shared" ref="T23:AF23" si="15">SUM(D62:D65)</f>
        <v>0.5</v>
      </c>
      <c r="U23" s="34">
        <f t="shared" si="15"/>
        <v>0.5</v>
      </c>
      <c r="V23" s="34">
        <f t="shared" si="15"/>
        <v>1</v>
      </c>
      <c r="W23" s="34">
        <f t="shared" si="15"/>
        <v>0</v>
      </c>
      <c r="X23" s="34">
        <f t="shared" si="15"/>
        <v>0</v>
      </c>
      <c r="Y23" s="34">
        <f t="shared" si="15"/>
        <v>3</v>
      </c>
      <c r="Z23" s="34">
        <f t="shared" si="15"/>
        <v>1.5</v>
      </c>
      <c r="AA23" s="34">
        <f t="shared" si="15"/>
        <v>1</v>
      </c>
      <c r="AB23" s="34">
        <f t="shared" si="15"/>
        <v>1</v>
      </c>
      <c r="AC23" s="34">
        <f t="shared" si="15"/>
        <v>17</v>
      </c>
      <c r="AD23" s="34">
        <f t="shared" si="15"/>
        <v>0</v>
      </c>
      <c r="AE23" s="31">
        <f t="shared" si="15"/>
        <v>13</v>
      </c>
      <c r="AF23" s="31">
        <f t="shared" si="15"/>
        <v>30</v>
      </c>
    </row>
    <row r="24" spans="2:32" ht="23.1" customHeight="1" x14ac:dyDescent="0.25">
      <c r="B24" s="23" t="s">
        <v>51</v>
      </c>
      <c r="C24" s="49">
        <f>AVERAGE('17.10 SSEMBABULE-KANONI'!C24,'18.10 SSEMBABULE-KANONI-24h'!C24,'19.10  SSEMBABULE- KANONI-24h'!C24,'20.10 SSEMBABULE-KANONI'!C24,'21.10 SSEMBABULE-KANONI'!C24,'22.10 SSEMBABULE-KANONI'!C24,'23.10 SSEMBABULE-KANONI'!C24)</f>
        <v>0.5714285714285714</v>
      </c>
      <c r="D24" s="49">
        <f>AVERAGE('17.10 SSEMBABULE-KANONI'!D24,'18.10 SSEMBABULE-KANONI-24h'!D24,'19.10  SSEMBABULE- KANONI-24h'!D24,'20.10 SSEMBABULE-KANONI'!D24,'21.10 SSEMBABULE-KANONI'!D24,'22.10 SSEMBABULE-KANONI'!D24,'23.10 SSEMBABULE-KANONI'!D24)</f>
        <v>0.7142857142857143</v>
      </c>
      <c r="E24" s="49">
        <f>AVERAGE('17.10 SSEMBABULE-KANONI'!E24,'18.10 SSEMBABULE-KANONI-24h'!E24,'19.10  SSEMBABULE- KANONI-24h'!E24,'20.10 SSEMBABULE-KANONI'!E24,'21.10 SSEMBABULE-KANONI'!E24,'22.10 SSEMBABULE-KANONI'!E24,'23.10 SSEMBABULE-KANONI'!E24)</f>
        <v>0.5714285714285714</v>
      </c>
      <c r="F24" s="49">
        <f>AVERAGE('17.10 SSEMBABULE-KANONI'!F24,'18.10 SSEMBABULE-KANONI-24h'!F24,'19.10  SSEMBABULE- KANONI-24h'!F24,'20.10 SSEMBABULE-KANONI'!F24,'21.10 SSEMBABULE-KANONI'!F24,'22.10 SSEMBABULE-KANONI'!F24,'23.10 SSEMBABULE-KANONI'!F24)</f>
        <v>0.14285714285714285</v>
      </c>
      <c r="G24" s="49">
        <f>AVERAGE('17.10 SSEMBABULE-KANONI'!G24,'18.10 SSEMBABULE-KANONI-24h'!G24,'19.10  SSEMBABULE- KANONI-24h'!G24,'20.10 SSEMBABULE-KANONI'!G24,'21.10 SSEMBABULE-KANONI'!G24,'22.10 SSEMBABULE-KANONI'!G24,'23.10 SSEMBABULE-KANONI'!G24)</f>
        <v>0</v>
      </c>
      <c r="H24" s="49">
        <f>AVERAGE('17.10 SSEMBABULE-KANONI'!H24,'18.10 SSEMBABULE-KANONI-24h'!H24,'19.10  SSEMBABULE- KANONI-24h'!H24,'20.10 SSEMBABULE-KANONI'!H24,'21.10 SSEMBABULE-KANONI'!H24,'22.10 SSEMBABULE-KANONI'!H24,'23.10 SSEMBABULE-KANONI'!H24)</f>
        <v>0</v>
      </c>
      <c r="I24" s="49">
        <f>AVERAGE('17.10 SSEMBABULE-KANONI'!I24,'18.10 SSEMBABULE-KANONI-24h'!I24,'19.10  SSEMBABULE- KANONI-24h'!I24,'20.10 SSEMBABULE-KANONI'!I24,'21.10 SSEMBABULE-KANONI'!I24,'22.10 SSEMBABULE-KANONI'!I24,'23.10 SSEMBABULE-KANONI'!I24)</f>
        <v>0.5714285714285714</v>
      </c>
      <c r="J24" s="49">
        <f>AVERAGE('17.10 SSEMBABULE-KANONI'!J24,'18.10 SSEMBABULE-KANONI-24h'!J24,'19.10  SSEMBABULE- KANONI-24h'!J24,'20.10 SSEMBABULE-KANONI'!J24,'21.10 SSEMBABULE-KANONI'!J24,'22.10 SSEMBABULE-KANONI'!J24,'23.10 SSEMBABULE-KANONI'!J24)</f>
        <v>0</v>
      </c>
      <c r="K24" s="49">
        <f>AVERAGE('17.10 SSEMBABULE-KANONI'!K24,'18.10 SSEMBABULE-KANONI-24h'!K24,'19.10  SSEMBABULE- KANONI-24h'!K24,'20.10 SSEMBABULE-KANONI'!K24,'21.10 SSEMBABULE-KANONI'!K24,'22.10 SSEMBABULE-KANONI'!K24,'23.10 SSEMBABULE-KANONI'!K24)</f>
        <v>0.2857142857142857</v>
      </c>
      <c r="L24" s="49">
        <f>AVERAGE('17.10 SSEMBABULE-KANONI'!L24,'18.10 SSEMBABULE-KANONI-24h'!L24,'19.10  SSEMBABULE- KANONI-24h'!L24,'20.10 SSEMBABULE-KANONI'!L24,'21.10 SSEMBABULE-KANONI'!L24,'22.10 SSEMBABULE-KANONI'!L24,'23.10 SSEMBABULE-KANONI'!L24)</f>
        <v>0</v>
      </c>
      <c r="M24" s="49">
        <f>AVERAGE('17.10 SSEMBABULE-KANONI'!M24,'18.10 SSEMBABULE-KANONI-24h'!M24,'19.10  SSEMBABULE- KANONI-24h'!M24,'20.10 SSEMBABULE-KANONI'!M24,'21.10 SSEMBABULE-KANONI'!M24,'22.10 SSEMBABULE-KANONI'!M24,'23.10 SSEMBABULE-KANONI'!M24)</f>
        <v>8.2857142857142865</v>
      </c>
      <c r="N24" s="49">
        <f>AVERAGE('17.10 SSEMBABULE-KANONI'!N24,'18.10 SSEMBABULE-KANONI-24h'!N24,'19.10  SSEMBABULE- KANONI-24h'!N24,'20.10 SSEMBABULE-KANONI'!N24,'21.10 SSEMBABULE-KANONI'!N24,'22.10 SSEMBABULE-KANONI'!N24,'23.10 SSEMBABULE-KANONI'!N24)</f>
        <v>0.14285714285714285</v>
      </c>
      <c r="O24" s="15">
        <f t="shared" si="0"/>
        <v>2.9999999999999996</v>
      </c>
      <c r="P24" s="15">
        <f t="shared" si="1"/>
        <v>11.285714285714285</v>
      </c>
      <c r="R24" s="1" t="s">
        <v>148</v>
      </c>
      <c r="S24" s="34">
        <f>SUM(C66:C69)</f>
        <v>3</v>
      </c>
      <c r="T24" s="34">
        <f t="shared" ref="T24:AF24" si="16">SUM(D66:D69)</f>
        <v>0.5</v>
      </c>
      <c r="U24" s="34">
        <f t="shared" si="16"/>
        <v>0</v>
      </c>
      <c r="V24" s="34">
        <f t="shared" si="16"/>
        <v>1</v>
      </c>
      <c r="W24" s="34">
        <f t="shared" si="16"/>
        <v>0</v>
      </c>
      <c r="X24" s="34">
        <f t="shared" si="16"/>
        <v>0</v>
      </c>
      <c r="Y24" s="34">
        <f t="shared" si="16"/>
        <v>1.5</v>
      </c>
      <c r="Z24" s="34">
        <f t="shared" si="16"/>
        <v>2</v>
      </c>
      <c r="AA24" s="34">
        <f t="shared" si="16"/>
        <v>0</v>
      </c>
      <c r="AB24" s="34">
        <f t="shared" si="16"/>
        <v>0</v>
      </c>
      <c r="AC24" s="34">
        <f t="shared" si="16"/>
        <v>9</v>
      </c>
      <c r="AD24" s="34">
        <f t="shared" si="16"/>
        <v>0</v>
      </c>
      <c r="AE24" s="31">
        <f t="shared" si="16"/>
        <v>8</v>
      </c>
      <c r="AF24" s="31">
        <f t="shared" si="16"/>
        <v>17</v>
      </c>
    </row>
    <row r="25" spans="2:32" ht="23.1" customHeight="1" x14ac:dyDescent="0.25">
      <c r="B25" s="23" t="s">
        <v>52</v>
      </c>
      <c r="C25" s="49">
        <f>AVERAGE('17.10 SSEMBABULE-KANONI'!C25,'18.10 SSEMBABULE-KANONI-24h'!C25,'19.10  SSEMBABULE- KANONI-24h'!C25,'20.10 SSEMBABULE-KANONI'!C25,'21.10 SSEMBABULE-KANONI'!C25,'22.10 SSEMBABULE-KANONI'!C25,'23.10 SSEMBABULE-KANONI'!C25)</f>
        <v>0.8571428571428571</v>
      </c>
      <c r="D25" s="49">
        <f>AVERAGE('17.10 SSEMBABULE-KANONI'!D25,'18.10 SSEMBABULE-KANONI-24h'!D25,'19.10  SSEMBABULE- KANONI-24h'!D25,'20.10 SSEMBABULE-KANONI'!D25,'21.10 SSEMBABULE-KANONI'!D25,'22.10 SSEMBABULE-KANONI'!D25,'23.10 SSEMBABULE-KANONI'!D25)</f>
        <v>0.5714285714285714</v>
      </c>
      <c r="E25" s="49">
        <f>AVERAGE('17.10 SSEMBABULE-KANONI'!E25,'18.10 SSEMBABULE-KANONI-24h'!E25,'19.10  SSEMBABULE- KANONI-24h'!E25,'20.10 SSEMBABULE-KANONI'!E25,'21.10 SSEMBABULE-KANONI'!E25,'22.10 SSEMBABULE-KANONI'!E25,'23.10 SSEMBABULE-KANONI'!E25)</f>
        <v>0.8571428571428571</v>
      </c>
      <c r="F25" s="49">
        <f>AVERAGE('17.10 SSEMBABULE-KANONI'!F25,'18.10 SSEMBABULE-KANONI-24h'!F25,'19.10  SSEMBABULE- KANONI-24h'!F25,'20.10 SSEMBABULE-KANONI'!F25,'21.10 SSEMBABULE-KANONI'!F25,'22.10 SSEMBABULE-KANONI'!F25,'23.10 SSEMBABULE-KANONI'!F25)</f>
        <v>0.14285714285714285</v>
      </c>
      <c r="G25" s="49">
        <f>AVERAGE('17.10 SSEMBABULE-KANONI'!G25,'18.10 SSEMBABULE-KANONI-24h'!G25,'19.10  SSEMBABULE- KANONI-24h'!G25,'20.10 SSEMBABULE-KANONI'!G25,'21.10 SSEMBABULE-KANONI'!G25,'22.10 SSEMBABULE-KANONI'!G25,'23.10 SSEMBABULE-KANONI'!G25)</f>
        <v>0</v>
      </c>
      <c r="H25" s="49">
        <f>AVERAGE('17.10 SSEMBABULE-KANONI'!H25,'18.10 SSEMBABULE-KANONI-24h'!H25,'19.10  SSEMBABULE- KANONI-24h'!H25,'20.10 SSEMBABULE-KANONI'!H25,'21.10 SSEMBABULE-KANONI'!H25,'22.10 SSEMBABULE-KANONI'!H25,'23.10 SSEMBABULE-KANONI'!H25)</f>
        <v>0</v>
      </c>
      <c r="I25" s="49">
        <f>AVERAGE('17.10 SSEMBABULE-KANONI'!I25,'18.10 SSEMBABULE-KANONI-24h'!I25,'19.10  SSEMBABULE- KANONI-24h'!I25,'20.10 SSEMBABULE-KANONI'!I25,'21.10 SSEMBABULE-KANONI'!I25,'22.10 SSEMBABULE-KANONI'!I25,'23.10 SSEMBABULE-KANONI'!I25)</f>
        <v>0.7142857142857143</v>
      </c>
      <c r="J25" s="49">
        <f>AVERAGE('17.10 SSEMBABULE-KANONI'!J25,'18.10 SSEMBABULE-KANONI-24h'!J25,'19.10  SSEMBABULE- KANONI-24h'!J25,'20.10 SSEMBABULE-KANONI'!J25,'21.10 SSEMBABULE-KANONI'!J25,'22.10 SSEMBABULE-KANONI'!J25,'23.10 SSEMBABULE-KANONI'!J25)</f>
        <v>0.14285714285714285</v>
      </c>
      <c r="K25" s="49">
        <f>AVERAGE('17.10 SSEMBABULE-KANONI'!K25,'18.10 SSEMBABULE-KANONI-24h'!K25,'19.10  SSEMBABULE- KANONI-24h'!K25,'20.10 SSEMBABULE-KANONI'!K25,'21.10 SSEMBABULE-KANONI'!K25,'22.10 SSEMBABULE-KANONI'!K25,'23.10 SSEMBABULE-KANONI'!K25)</f>
        <v>0.14285714285714285</v>
      </c>
      <c r="L25" s="49">
        <f>AVERAGE('17.10 SSEMBABULE-KANONI'!L25,'18.10 SSEMBABULE-KANONI-24h'!L25,'19.10  SSEMBABULE- KANONI-24h'!L25,'20.10 SSEMBABULE-KANONI'!L25,'21.10 SSEMBABULE-KANONI'!L25,'22.10 SSEMBABULE-KANONI'!L25,'23.10 SSEMBABULE-KANONI'!L25)</f>
        <v>0.2857142857142857</v>
      </c>
      <c r="M25" s="49">
        <f>AVERAGE('17.10 SSEMBABULE-KANONI'!M25,'18.10 SSEMBABULE-KANONI-24h'!M25,'19.10  SSEMBABULE- KANONI-24h'!M25,'20.10 SSEMBABULE-KANONI'!M25,'21.10 SSEMBABULE-KANONI'!M25,'22.10 SSEMBABULE-KANONI'!M25,'23.10 SSEMBABULE-KANONI'!M25)</f>
        <v>7.1428571428571432</v>
      </c>
      <c r="N25" s="49">
        <f>AVERAGE('17.10 SSEMBABULE-KANONI'!N25,'18.10 SSEMBABULE-KANONI-24h'!N25,'19.10  SSEMBABULE- KANONI-24h'!N25,'20.10 SSEMBABULE-KANONI'!N25,'21.10 SSEMBABULE-KANONI'!N25,'22.10 SSEMBABULE-KANONI'!N25,'23.10 SSEMBABULE-KANONI'!N25)</f>
        <v>0</v>
      </c>
      <c r="O25" s="15">
        <f t="shared" si="0"/>
        <v>3.714285714285714</v>
      </c>
      <c r="P25" s="15">
        <f t="shared" si="1"/>
        <v>10.857142857142858</v>
      </c>
      <c r="R25" s="1" t="s">
        <v>149</v>
      </c>
      <c r="S25" s="34">
        <f>SUM(C70:C73)</f>
        <v>1</v>
      </c>
      <c r="T25" s="34">
        <f t="shared" ref="T25:AF25" si="17">SUM(D70:D73)</f>
        <v>0</v>
      </c>
      <c r="U25" s="34">
        <f t="shared" si="17"/>
        <v>1</v>
      </c>
      <c r="V25" s="34">
        <f t="shared" si="17"/>
        <v>0.5</v>
      </c>
      <c r="W25" s="34">
        <f t="shared" si="17"/>
        <v>0</v>
      </c>
      <c r="X25" s="34">
        <f t="shared" si="17"/>
        <v>0</v>
      </c>
      <c r="Y25" s="34">
        <f t="shared" si="17"/>
        <v>1.5</v>
      </c>
      <c r="Z25" s="34">
        <f t="shared" si="17"/>
        <v>2.5</v>
      </c>
      <c r="AA25" s="34">
        <f t="shared" si="17"/>
        <v>0</v>
      </c>
      <c r="AB25" s="34">
        <f t="shared" si="17"/>
        <v>0</v>
      </c>
      <c r="AC25" s="34">
        <f t="shared" si="17"/>
        <v>7</v>
      </c>
      <c r="AD25" s="34">
        <f t="shared" si="17"/>
        <v>0</v>
      </c>
      <c r="AE25" s="31">
        <f t="shared" si="17"/>
        <v>6.5</v>
      </c>
      <c r="AF25" s="31">
        <f t="shared" si="17"/>
        <v>13.5</v>
      </c>
    </row>
    <row r="26" spans="2:32" ht="23.1" customHeight="1" x14ac:dyDescent="0.25">
      <c r="B26" s="23" t="s">
        <v>53</v>
      </c>
      <c r="C26" s="49">
        <f>AVERAGE('17.10 SSEMBABULE-KANONI'!C26,'18.10 SSEMBABULE-KANONI-24h'!C26,'19.10  SSEMBABULE- KANONI-24h'!C26,'20.10 SSEMBABULE-KANONI'!C26,'21.10 SSEMBABULE-KANONI'!C26,'22.10 SSEMBABULE-KANONI'!C26,'23.10 SSEMBABULE-KANONI'!C26)</f>
        <v>1.4285714285714286</v>
      </c>
      <c r="D26" s="49">
        <f>AVERAGE('17.10 SSEMBABULE-KANONI'!D26,'18.10 SSEMBABULE-KANONI-24h'!D26,'19.10  SSEMBABULE- KANONI-24h'!D26,'20.10 SSEMBABULE-KANONI'!D26,'21.10 SSEMBABULE-KANONI'!D26,'22.10 SSEMBABULE-KANONI'!D26,'23.10 SSEMBABULE-KANONI'!D26)</f>
        <v>1.1428571428571428</v>
      </c>
      <c r="E26" s="49">
        <f>AVERAGE('17.10 SSEMBABULE-KANONI'!E26,'18.10 SSEMBABULE-KANONI-24h'!E26,'19.10  SSEMBABULE- KANONI-24h'!E26,'20.10 SSEMBABULE-KANONI'!E26,'21.10 SSEMBABULE-KANONI'!E26,'22.10 SSEMBABULE-KANONI'!E26,'23.10 SSEMBABULE-KANONI'!E26)</f>
        <v>0.42857142857142855</v>
      </c>
      <c r="F26" s="49">
        <f>AVERAGE('17.10 SSEMBABULE-KANONI'!F26,'18.10 SSEMBABULE-KANONI-24h'!F26,'19.10  SSEMBABULE- KANONI-24h'!F26,'20.10 SSEMBABULE-KANONI'!F26,'21.10 SSEMBABULE-KANONI'!F26,'22.10 SSEMBABULE-KANONI'!F26,'23.10 SSEMBABULE-KANONI'!F26)</f>
        <v>0.14285714285714285</v>
      </c>
      <c r="G26" s="49">
        <f>AVERAGE('17.10 SSEMBABULE-KANONI'!G26,'18.10 SSEMBABULE-KANONI-24h'!G26,'19.10  SSEMBABULE- KANONI-24h'!G26,'20.10 SSEMBABULE-KANONI'!G26,'21.10 SSEMBABULE-KANONI'!G26,'22.10 SSEMBABULE-KANONI'!G26,'23.10 SSEMBABULE-KANONI'!G26)</f>
        <v>0.14285714285714285</v>
      </c>
      <c r="H26" s="49">
        <f>AVERAGE('17.10 SSEMBABULE-KANONI'!H26,'18.10 SSEMBABULE-KANONI-24h'!H26,'19.10  SSEMBABULE- KANONI-24h'!H26,'20.10 SSEMBABULE-KANONI'!H26,'21.10 SSEMBABULE-KANONI'!H26,'22.10 SSEMBABULE-KANONI'!H26,'23.10 SSEMBABULE-KANONI'!H26)</f>
        <v>0</v>
      </c>
      <c r="I26" s="49">
        <f>AVERAGE('17.10 SSEMBABULE-KANONI'!I26,'18.10 SSEMBABULE-KANONI-24h'!I26,'19.10  SSEMBABULE- KANONI-24h'!I26,'20.10 SSEMBABULE-KANONI'!I26,'21.10 SSEMBABULE-KANONI'!I26,'22.10 SSEMBABULE-KANONI'!I26,'23.10 SSEMBABULE-KANONI'!I26)</f>
        <v>1</v>
      </c>
      <c r="J26" s="49">
        <f>AVERAGE('17.10 SSEMBABULE-KANONI'!J26,'18.10 SSEMBABULE-KANONI-24h'!J26,'19.10  SSEMBABULE- KANONI-24h'!J26,'20.10 SSEMBABULE-KANONI'!J26,'21.10 SSEMBABULE-KANONI'!J26,'22.10 SSEMBABULE-KANONI'!J26,'23.10 SSEMBABULE-KANONI'!J26)</f>
        <v>0.2857142857142857</v>
      </c>
      <c r="K26" s="49">
        <f>AVERAGE('17.10 SSEMBABULE-KANONI'!K26,'18.10 SSEMBABULE-KANONI-24h'!K26,'19.10  SSEMBABULE- KANONI-24h'!K26,'20.10 SSEMBABULE-KANONI'!K26,'21.10 SSEMBABULE-KANONI'!K26,'22.10 SSEMBABULE-KANONI'!K26,'23.10 SSEMBABULE-KANONI'!K26)</f>
        <v>0.42857142857142855</v>
      </c>
      <c r="L26" s="49">
        <f>AVERAGE('17.10 SSEMBABULE-KANONI'!L26,'18.10 SSEMBABULE-KANONI-24h'!L26,'19.10  SSEMBABULE- KANONI-24h'!L26,'20.10 SSEMBABULE-KANONI'!L26,'21.10 SSEMBABULE-KANONI'!L26,'22.10 SSEMBABULE-KANONI'!L26,'23.10 SSEMBABULE-KANONI'!L26)</f>
        <v>0</v>
      </c>
      <c r="M26" s="49">
        <f>AVERAGE('17.10 SSEMBABULE-KANONI'!M26,'18.10 SSEMBABULE-KANONI-24h'!M26,'19.10  SSEMBABULE- KANONI-24h'!M26,'20.10 SSEMBABULE-KANONI'!M26,'21.10 SSEMBABULE-KANONI'!M26,'22.10 SSEMBABULE-KANONI'!M26,'23.10 SSEMBABULE-KANONI'!M26)</f>
        <v>5.8571428571428568</v>
      </c>
      <c r="N26" s="49">
        <f>AVERAGE('17.10 SSEMBABULE-KANONI'!N26,'18.10 SSEMBABULE-KANONI-24h'!N26,'19.10  SSEMBABULE- KANONI-24h'!N26,'20.10 SSEMBABULE-KANONI'!N26,'21.10 SSEMBABULE-KANONI'!N26,'22.10 SSEMBABULE-KANONI'!N26,'23.10 SSEMBABULE-KANONI'!N26)</f>
        <v>0</v>
      </c>
      <c r="O26" s="15">
        <f t="shared" si="0"/>
        <v>4.9999999999999991</v>
      </c>
      <c r="P26" s="15">
        <f t="shared" si="1"/>
        <v>10.857142857142856</v>
      </c>
      <c r="R26" s="1" t="s">
        <v>150</v>
      </c>
      <c r="S26" s="34">
        <f>SUM(C74:C77)</f>
        <v>2.5</v>
      </c>
      <c r="T26" s="34">
        <f t="shared" ref="T26:AF26" si="18">SUM(D74:D77)</f>
        <v>0</v>
      </c>
      <c r="U26" s="34">
        <f t="shared" si="18"/>
        <v>0</v>
      </c>
      <c r="V26" s="34">
        <f t="shared" si="18"/>
        <v>1</v>
      </c>
      <c r="W26" s="34">
        <f t="shared" si="18"/>
        <v>0</v>
      </c>
      <c r="X26" s="34">
        <f t="shared" si="18"/>
        <v>0</v>
      </c>
      <c r="Y26" s="34">
        <f t="shared" si="18"/>
        <v>0.5</v>
      </c>
      <c r="Z26" s="34">
        <f t="shared" si="18"/>
        <v>0.5</v>
      </c>
      <c r="AA26" s="34">
        <f t="shared" si="18"/>
        <v>0.5</v>
      </c>
      <c r="AB26" s="34">
        <f t="shared" si="18"/>
        <v>2</v>
      </c>
      <c r="AC26" s="34">
        <f t="shared" si="18"/>
        <v>2.5</v>
      </c>
      <c r="AD26" s="34">
        <f t="shared" si="18"/>
        <v>0</v>
      </c>
      <c r="AE26" s="31">
        <f t="shared" si="18"/>
        <v>7</v>
      </c>
      <c r="AF26" s="31">
        <f t="shared" si="18"/>
        <v>9.5</v>
      </c>
    </row>
    <row r="27" spans="2:32" ht="23.1" customHeight="1" x14ac:dyDescent="0.25">
      <c r="B27" s="23" t="s">
        <v>54</v>
      </c>
      <c r="C27" s="49">
        <f>AVERAGE('17.10 SSEMBABULE-KANONI'!C27,'18.10 SSEMBABULE-KANONI-24h'!C27,'19.10  SSEMBABULE- KANONI-24h'!C27,'20.10 SSEMBABULE-KANONI'!C27,'21.10 SSEMBABULE-KANONI'!C27,'22.10 SSEMBABULE-KANONI'!C27,'23.10 SSEMBABULE-KANONI'!C27)</f>
        <v>0.5714285714285714</v>
      </c>
      <c r="D27" s="49">
        <f>AVERAGE('17.10 SSEMBABULE-KANONI'!D27,'18.10 SSEMBABULE-KANONI-24h'!D27,'19.10  SSEMBABULE- KANONI-24h'!D27,'20.10 SSEMBABULE-KANONI'!D27,'21.10 SSEMBABULE-KANONI'!D27,'22.10 SSEMBABULE-KANONI'!D27,'23.10 SSEMBABULE-KANONI'!D27)</f>
        <v>0.2857142857142857</v>
      </c>
      <c r="E27" s="49">
        <f>AVERAGE('17.10 SSEMBABULE-KANONI'!E27,'18.10 SSEMBABULE-KANONI-24h'!E27,'19.10  SSEMBABULE- KANONI-24h'!E27,'20.10 SSEMBABULE-KANONI'!E27,'21.10 SSEMBABULE-KANONI'!E27,'22.10 SSEMBABULE-KANONI'!E27,'23.10 SSEMBABULE-KANONI'!E27)</f>
        <v>0.5714285714285714</v>
      </c>
      <c r="F27" s="49">
        <f>AVERAGE('17.10 SSEMBABULE-KANONI'!F27,'18.10 SSEMBABULE-KANONI-24h'!F27,'19.10  SSEMBABULE- KANONI-24h'!F27,'20.10 SSEMBABULE-KANONI'!F27,'21.10 SSEMBABULE-KANONI'!F27,'22.10 SSEMBABULE-KANONI'!F27,'23.10 SSEMBABULE-KANONI'!F27)</f>
        <v>0.14285714285714285</v>
      </c>
      <c r="G27" s="49">
        <f>AVERAGE('17.10 SSEMBABULE-KANONI'!G27,'18.10 SSEMBABULE-KANONI-24h'!G27,'19.10  SSEMBABULE- KANONI-24h'!G27,'20.10 SSEMBABULE-KANONI'!G27,'21.10 SSEMBABULE-KANONI'!G27,'22.10 SSEMBABULE-KANONI'!G27,'23.10 SSEMBABULE-KANONI'!G27)</f>
        <v>0</v>
      </c>
      <c r="H27" s="49">
        <f>AVERAGE('17.10 SSEMBABULE-KANONI'!H27,'18.10 SSEMBABULE-KANONI-24h'!H27,'19.10  SSEMBABULE- KANONI-24h'!H27,'20.10 SSEMBABULE-KANONI'!H27,'21.10 SSEMBABULE-KANONI'!H27,'22.10 SSEMBABULE-KANONI'!H27,'23.10 SSEMBABULE-KANONI'!H27)</f>
        <v>0</v>
      </c>
      <c r="I27" s="49">
        <f>AVERAGE('17.10 SSEMBABULE-KANONI'!I27,'18.10 SSEMBABULE-KANONI-24h'!I27,'19.10  SSEMBABULE- KANONI-24h'!I27,'20.10 SSEMBABULE-KANONI'!I27,'21.10 SSEMBABULE-KANONI'!I27,'22.10 SSEMBABULE-KANONI'!I27,'23.10 SSEMBABULE-KANONI'!I27)</f>
        <v>0.7142857142857143</v>
      </c>
      <c r="J27" s="49">
        <f>AVERAGE('17.10 SSEMBABULE-KANONI'!J27,'18.10 SSEMBABULE-KANONI-24h'!J27,'19.10  SSEMBABULE- KANONI-24h'!J27,'20.10 SSEMBABULE-KANONI'!J27,'21.10 SSEMBABULE-KANONI'!J27,'22.10 SSEMBABULE-KANONI'!J27,'23.10 SSEMBABULE-KANONI'!J27)</f>
        <v>0.2857142857142857</v>
      </c>
      <c r="K27" s="49">
        <f>AVERAGE('17.10 SSEMBABULE-KANONI'!K27,'18.10 SSEMBABULE-KANONI-24h'!K27,'19.10  SSEMBABULE- KANONI-24h'!K27,'20.10 SSEMBABULE-KANONI'!K27,'21.10 SSEMBABULE-KANONI'!K27,'22.10 SSEMBABULE-KANONI'!K27,'23.10 SSEMBABULE-KANONI'!K27)</f>
        <v>0.5714285714285714</v>
      </c>
      <c r="L27" s="49">
        <f>AVERAGE('17.10 SSEMBABULE-KANONI'!L27,'18.10 SSEMBABULE-KANONI-24h'!L27,'19.10  SSEMBABULE- KANONI-24h'!L27,'20.10 SSEMBABULE-KANONI'!L27,'21.10 SSEMBABULE-KANONI'!L27,'22.10 SSEMBABULE-KANONI'!L27,'23.10 SSEMBABULE-KANONI'!L27)</f>
        <v>0</v>
      </c>
      <c r="M27" s="49">
        <f>AVERAGE('17.10 SSEMBABULE-KANONI'!M27,'18.10 SSEMBABULE-KANONI-24h'!M27,'19.10  SSEMBABULE- KANONI-24h'!M27,'20.10 SSEMBABULE-KANONI'!M27,'21.10 SSEMBABULE-KANONI'!M27,'22.10 SSEMBABULE-KANONI'!M27,'23.10 SSEMBABULE-KANONI'!M27)</f>
        <v>9.1428571428571423</v>
      </c>
      <c r="N27" s="49">
        <f>AVERAGE('17.10 SSEMBABULE-KANONI'!N27,'18.10 SSEMBABULE-KANONI-24h'!N27,'19.10  SSEMBABULE- KANONI-24h'!N27,'20.10 SSEMBABULE-KANONI'!N27,'21.10 SSEMBABULE-KANONI'!N27,'22.10 SSEMBABULE-KANONI'!N27,'23.10 SSEMBABULE-KANONI'!N27)</f>
        <v>0</v>
      </c>
      <c r="O27" s="15">
        <f t="shared" si="0"/>
        <v>3.1428571428571423</v>
      </c>
      <c r="P27" s="15">
        <f t="shared" si="1"/>
        <v>12.285714285714285</v>
      </c>
      <c r="R27" s="1" t="s">
        <v>151</v>
      </c>
      <c r="S27" s="34">
        <f>SUM(C78:C81)</f>
        <v>1.5</v>
      </c>
      <c r="T27" s="34">
        <f t="shared" ref="T27:AF27" si="19">SUM(D78:D81)</f>
        <v>1</v>
      </c>
      <c r="U27" s="34">
        <f t="shared" si="19"/>
        <v>0</v>
      </c>
      <c r="V27" s="34">
        <f t="shared" si="19"/>
        <v>0.5</v>
      </c>
      <c r="W27" s="34">
        <f t="shared" si="19"/>
        <v>0</v>
      </c>
      <c r="X27" s="34">
        <f t="shared" si="19"/>
        <v>0</v>
      </c>
      <c r="Y27" s="34">
        <f t="shared" si="19"/>
        <v>1</v>
      </c>
      <c r="Z27" s="34">
        <f t="shared" si="19"/>
        <v>0</v>
      </c>
      <c r="AA27" s="34">
        <f t="shared" si="19"/>
        <v>3</v>
      </c>
      <c r="AB27" s="34">
        <f t="shared" si="19"/>
        <v>0</v>
      </c>
      <c r="AC27" s="34">
        <f t="shared" si="19"/>
        <v>4</v>
      </c>
      <c r="AD27" s="34">
        <f t="shared" si="19"/>
        <v>0</v>
      </c>
      <c r="AE27" s="31">
        <f t="shared" si="19"/>
        <v>7</v>
      </c>
      <c r="AF27" s="31">
        <f t="shared" si="19"/>
        <v>11</v>
      </c>
    </row>
    <row r="28" spans="2:32" ht="23.1" customHeight="1" x14ac:dyDescent="0.25">
      <c r="B28" s="23" t="s">
        <v>55</v>
      </c>
      <c r="C28" s="49">
        <f>AVERAGE('17.10 SSEMBABULE-KANONI'!C28,'18.10 SSEMBABULE-KANONI-24h'!C28,'19.10  SSEMBABULE- KANONI-24h'!C28,'20.10 SSEMBABULE-KANONI'!C28,'21.10 SSEMBABULE-KANONI'!C28,'22.10 SSEMBABULE-KANONI'!C28,'23.10 SSEMBABULE-KANONI'!C28)</f>
        <v>1.2857142857142858</v>
      </c>
      <c r="D28" s="49">
        <f>AVERAGE('17.10 SSEMBABULE-KANONI'!D28,'18.10 SSEMBABULE-KANONI-24h'!D28,'19.10  SSEMBABULE- KANONI-24h'!D28,'20.10 SSEMBABULE-KANONI'!D28,'21.10 SSEMBABULE-KANONI'!D28,'22.10 SSEMBABULE-KANONI'!D28,'23.10 SSEMBABULE-KANONI'!D28)</f>
        <v>0.5714285714285714</v>
      </c>
      <c r="E28" s="49">
        <f>AVERAGE('17.10 SSEMBABULE-KANONI'!E28,'18.10 SSEMBABULE-KANONI-24h'!E28,'19.10  SSEMBABULE- KANONI-24h'!E28,'20.10 SSEMBABULE-KANONI'!E28,'21.10 SSEMBABULE-KANONI'!E28,'22.10 SSEMBABULE-KANONI'!E28,'23.10 SSEMBABULE-KANONI'!E28)</f>
        <v>0.8571428571428571</v>
      </c>
      <c r="F28" s="49">
        <f>AVERAGE('17.10 SSEMBABULE-KANONI'!F28,'18.10 SSEMBABULE-KANONI-24h'!F28,'19.10  SSEMBABULE- KANONI-24h'!F28,'20.10 SSEMBABULE-KANONI'!F28,'21.10 SSEMBABULE-KANONI'!F28,'22.10 SSEMBABULE-KANONI'!F28,'23.10 SSEMBABULE-KANONI'!F28)</f>
        <v>0.2857142857142857</v>
      </c>
      <c r="G28" s="49">
        <f>AVERAGE('17.10 SSEMBABULE-KANONI'!G28,'18.10 SSEMBABULE-KANONI-24h'!G28,'19.10  SSEMBABULE- KANONI-24h'!G28,'20.10 SSEMBABULE-KANONI'!G28,'21.10 SSEMBABULE-KANONI'!G28,'22.10 SSEMBABULE-KANONI'!G28,'23.10 SSEMBABULE-KANONI'!G28)</f>
        <v>0.14285714285714285</v>
      </c>
      <c r="H28" s="49">
        <f>AVERAGE('17.10 SSEMBABULE-KANONI'!H28,'18.10 SSEMBABULE-KANONI-24h'!H28,'19.10  SSEMBABULE- KANONI-24h'!H28,'20.10 SSEMBABULE-KANONI'!H28,'21.10 SSEMBABULE-KANONI'!H28,'22.10 SSEMBABULE-KANONI'!H28,'23.10 SSEMBABULE-KANONI'!H28)</f>
        <v>0</v>
      </c>
      <c r="I28" s="49">
        <f>AVERAGE('17.10 SSEMBABULE-KANONI'!I28,'18.10 SSEMBABULE-KANONI-24h'!I28,'19.10  SSEMBABULE- KANONI-24h'!I28,'20.10 SSEMBABULE-KANONI'!I28,'21.10 SSEMBABULE-KANONI'!I28,'22.10 SSEMBABULE-KANONI'!I28,'23.10 SSEMBABULE-KANONI'!I28)</f>
        <v>0.42857142857142855</v>
      </c>
      <c r="J28" s="49">
        <f>AVERAGE('17.10 SSEMBABULE-KANONI'!J28,'18.10 SSEMBABULE-KANONI-24h'!J28,'19.10  SSEMBABULE- KANONI-24h'!J28,'20.10 SSEMBABULE-KANONI'!J28,'21.10 SSEMBABULE-KANONI'!J28,'22.10 SSEMBABULE-KANONI'!J28,'23.10 SSEMBABULE-KANONI'!J28)</f>
        <v>0.14285714285714285</v>
      </c>
      <c r="K28" s="49">
        <f>AVERAGE('17.10 SSEMBABULE-KANONI'!K28,'18.10 SSEMBABULE-KANONI-24h'!K28,'19.10  SSEMBABULE- KANONI-24h'!K28,'20.10 SSEMBABULE-KANONI'!K28,'21.10 SSEMBABULE-KANONI'!K28,'22.10 SSEMBABULE-KANONI'!K28,'23.10 SSEMBABULE-KANONI'!K28)</f>
        <v>1.1428571428571428</v>
      </c>
      <c r="L28" s="49">
        <f>AVERAGE('17.10 SSEMBABULE-KANONI'!L28,'18.10 SSEMBABULE-KANONI-24h'!L28,'19.10  SSEMBABULE- KANONI-24h'!L28,'20.10 SSEMBABULE-KANONI'!L28,'21.10 SSEMBABULE-KANONI'!L28,'22.10 SSEMBABULE-KANONI'!L28,'23.10 SSEMBABULE-KANONI'!L28)</f>
        <v>0</v>
      </c>
      <c r="M28" s="49">
        <f>AVERAGE('17.10 SSEMBABULE-KANONI'!M28,'18.10 SSEMBABULE-KANONI-24h'!M28,'19.10  SSEMBABULE- KANONI-24h'!M28,'20.10 SSEMBABULE-KANONI'!M28,'21.10 SSEMBABULE-KANONI'!M28,'22.10 SSEMBABULE-KANONI'!M28,'23.10 SSEMBABULE-KANONI'!M28)</f>
        <v>9</v>
      </c>
      <c r="N28" s="49">
        <f>AVERAGE('17.10 SSEMBABULE-KANONI'!N28,'18.10 SSEMBABULE-KANONI-24h'!N28,'19.10  SSEMBABULE- KANONI-24h'!N28,'20.10 SSEMBABULE-KANONI'!N28,'21.10 SSEMBABULE-KANONI'!N28,'22.10 SSEMBABULE-KANONI'!N28,'23.10 SSEMBABULE-KANONI'!N28)</f>
        <v>0</v>
      </c>
      <c r="O28" s="15">
        <f t="shared" si="0"/>
        <v>4.8571428571428568</v>
      </c>
      <c r="P28" s="15">
        <f t="shared" si="1"/>
        <v>13.857142857142858</v>
      </c>
      <c r="R28" s="1" t="s">
        <v>152</v>
      </c>
      <c r="S28" s="34">
        <f>SUM(C82:C85)</f>
        <v>0</v>
      </c>
      <c r="T28" s="34">
        <f t="shared" ref="T28:AF28" si="20">SUM(D82:D85)</f>
        <v>1.5</v>
      </c>
      <c r="U28" s="34">
        <f t="shared" si="20"/>
        <v>0.5</v>
      </c>
      <c r="V28" s="34">
        <f t="shared" si="20"/>
        <v>0</v>
      </c>
      <c r="W28" s="34">
        <f t="shared" si="20"/>
        <v>0.5</v>
      </c>
      <c r="X28" s="34">
        <f t="shared" si="20"/>
        <v>0</v>
      </c>
      <c r="Y28" s="34">
        <f t="shared" si="20"/>
        <v>1.5</v>
      </c>
      <c r="Z28" s="34">
        <f t="shared" si="20"/>
        <v>2</v>
      </c>
      <c r="AA28" s="34">
        <f t="shared" si="20"/>
        <v>2</v>
      </c>
      <c r="AB28" s="34">
        <f t="shared" si="20"/>
        <v>0.5</v>
      </c>
      <c r="AC28" s="34">
        <f t="shared" si="20"/>
        <v>3</v>
      </c>
      <c r="AD28" s="34">
        <f t="shared" si="20"/>
        <v>0</v>
      </c>
      <c r="AE28" s="31">
        <f t="shared" si="20"/>
        <v>8.5</v>
      </c>
      <c r="AF28" s="31">
        <f t="shared" si="20"/>
        <v>11.5</v>
      </c>
    </row>
    <row r="29" spans="2:32" ht="23.1" customHeight="1" x14ac:dyDescent="0.25">
      <c r="B29" s="23" t="s">
        <v>56</v>
      </c>
      <c r="C29" s="49">
        <f>AVERAGE('17.10 SSEMBABULE-KANONI'!C29,'18.10 SSEMBABULE-KANONI-24h'!C29,'19.10  SSEMBABULE- KANONI-24h'!C29,'20.10 SSEMBABULE-KANONI'!C29,'21.10 SSEMBABULE-KANONI'!C29,'22.10 SSEMBABULE-KANONI'!C29,'23.10 SSEMBABULE-KANONI'!C29)</f>
        <v>0.7142857142857143</v>
      </c>
      <c r="D29" s="49">
        <f>AVERAGE('17.10 SSEMBABULE-KANONI'!D29,'18.10 SSEMBABULE-KANONI-24h'!D29,'19.10  SSEMBABULE- KANONI-24h'!D29,'20.10 SSEMBABULE-KANONI'!D29,'21.10 SSEMBABULE-KANONI'!D29,'22.10 SSEMBABULE-KANONI'!D29,'23.10 SSEMBABULE-KANONI'!D29)</f>
        <v>0.42857142857142855</v>
      </c>
      <c r="E29" s="49">
        <f>AVERAGE('17.10 SSEMBABULE-KANONI'!E29,'18.10 SSEMBABULE-KANONI-24h'!E29,'19.10  SSEMBABULE- KANONI-24h'!E29,'20.10 SSEMBABULE-KANONI'!E29,'21.10 SSEMBABULE-KANONI'!E29,'22.10 SSEMBABULE-KANONI'!E29,'23.10 SSEMBABULE-KANONI'!E29)</f>
        <v>0.2857142857142857</v>
      </c>
      <c r="F29" s="49">
        <f>AVERAGE('17.10 SSEMBABULE-KANONI'!F29,'18.10 SSEMBABULE-KANONI-24h'!F29,'19.10  SSEMBABULE- KANONI-24h'!F29,'20.10 SSEMBABULE-KANONI'!F29,'21.10 SSEMBABULE-KANONI'!F29,'22.10 SSEMBABULE-KANONI'!F29,'23.10 SSEMBABULE-KANONI'!F29)</f>
        <v>0</v>
      </c>
      <c r="G29" s="49">
        <f>AVERAGE('17.10 SSEMBABULE-KANONI'!G29,'18.10 SSEMBABULE-KANONI-24h'!G29,'19.10  SSEMBABULE- KANONI-24h'!G29,'20.10 SSEMBABULE-KANONI'!G29,'21.10 SSEMBABULE-KANONI'!G29,'22.10 SSEMBABULE-KANONI'!G29,'23.10 SSEMBABULE-KANONI'!G29)</f>
        <v>0</v>
      </c>
      <c r="H29" s="49">
        <f>AVERAGE('17.10 SSEMBABULE-KANONI'!H29,'18.10 SSEMBABULE-KANONI-24h'!H29,'19.10  SSEMBABULE- KANONI-24h'!H29,'20.10 SSEMBABULE-KANONI'!H29,'21.10 SSEMBABULE-KANONI'!H29,'22.10 SSEMBABULE-KANONI'!H29,'23.10 SSEMBABULE-KANONI'!H29)</f>
        <v>0</v>
      </c>
      <c r="I29" s="49">
        <f>AVERAGE('17.10 SSEMBABULE-KANONI'!I29,'18.10 SSEMBABULE-KANONI-24h'!I29,'19.10  SSEMBABULE- KANONI-24h'!I29,'20.10 SSEMBABULE-KANONI'!I29,'21.10 SSEMBABULE-KANONI'!I29,'22.10 SSEMBABULE-KANONI'!I29,'23.10 SSEMBABULE-KANONI'!I29)</f>
        <v>0.8571428571428571</v>
      </c>
      <c r="J29" s="49">
        <f>AVERAGE('17.10 SSEMBABULE-KANONI'!J29,'18.10 SSEMBABULE-KANONI-24h'!J29,'19.10  SSEMBABULE- KANONI-24h'!J29,'20.10 SSEMBABULE-KANONI'!J29,'21.10 SSEMBABULE-KANONI'!J29,'22.10 SSEMBABULE-KANONI'!J29,'23.10 SSEMBABULE-KANONI'!J29)</f>
        <v>0.14285714285714285</v>
      </c>
      <c r="K29" s="49">
        <f>AVERAGE('17.10 SSEMBABULE-KANONI'!K29,'18.10 SSEMBABULE-KANONI-24h'!K29,'19.10  SSEMBABULE- KANONI-24h'!K29,'20.10 SSEMBABULE-KANONI'!K29,'21.10 SSEMBABULE-KANONI'!K29,'22.10 SSEMBABULE-KANONI'!K29,'23.10 SSEMBABULE-KANONI'!K29)</f>
        <v>0.42857142857142855</v>
      </c>
      <c r="L29" s="49">
        <f>AVERAGE('17.10 SSEMBABULE-KANONI'!L29,'18.10 SSEMBABULE-KANONI-24h'!L29,'19.10  SSEMBABULE- KANONI-24h'!L29,'20.10 SSEMBABULE-KANONI'!L29,'21.10 SSEMBABULE-KANONI'!L29,'22.10 SSEMBABULE-KANONI'!L29,'23.10 SSEMBABULE-KANONI'!L29)</f>
        <v>0</v>
      </c>
      <c r="M29" s="49">
        <f>AVERAGE('17.10 SSEMBABULE-KANONI'!M29,'18.10 SSEMBABULE-KANONI-24h'!M29,'19.10  SSEMBABULE- KANONI-24h'!M29,'20.10 SSEMBABULE-KANONI'!M29,'21.10 SSEMBABULE-KANONI'!M29,'22.10 SSEMBABULE-KANONI'!M29,'23.10 SSEMBABULE-KANONI'!M29)</f>
        <v>7</v>
      </c>
      <c r="N29" s="49">
        <f>AVERAGE('17.10 SSEMBABULE-KANONI'!N29,'18.10 SSEMBABULE-KANONI-24h'!N29,'19.10  SSEMBABULE- KANONI-24h'!N29,'20.10 SSEMBABULE-KANONI'!N29,'21.10 SSEMBABULE-KANONI'!N29,'22.10 SSEMBABULE-KANONI'!N29,'23.10 SSEMBABULE-KANONI'!N29)</f>
        <v>0</v>
      </c>
      <c r="O29" s="15">
        <f t="shared" si="0"/>
        <v>2.8571428571428568</v>
      </c>
      <c r="P29" s="15">
        <f t="shared" si="1"/>
        <v>9.8571428571428577</v>
      </c>
      <c r="R29" s="1" t="s">
        <v>153</v>
      </c>
      <c r="S29" s="34">
        <f>SUM(C86:C89)</f>
        <v>0.5</v>
      </c>
      <c r="T29" s="34">
        <f t="shared" ref="T29:AF29" si="21">SUM(D86:D89)</f>
        <v>0</v>
      </c>
      <c r="U29" s="34">
        <f t="shared" si="21"/>
        <v>0</v>
      </c>
      <c r="V29" s="34">
        <f t="shared" si="21"/>
        <v>0</v>
      </c>
      <c r="W29" s="34">
        <f t="shared" si="21"/>
        <v>0</v>
      </c>
      <c r="X29" s="34">
        <f t="shared" si="21"/>
        <v>0</v>
      </c>
      <c r="Y29" s="34">
        <f t="shared" si="21"/>
        <v>1</v>
      </c>
      <c r="Z29" s="34">
        <f t="shared" si="21"/>
        <v>0.5</v>
      </c>
      <c r="AA29" s="34">
        <f t="shared" si="21"/>
        <v>1</v>
      </c>
      <c r="AB29" s="34">
        <f t="shared" si="21"/>
        <v>1</v>
      </c>
      <c r="AC29" s="34">
        <f t="shared" si="21"/>
        <v>1</v>
      </c>
      <c r="AD29" s="34">
        <f t="shared" si="21"/>
        <v>0</v>
      </c>
      <c r="AE29" s="31">
        <f t="shared" si="21"/>
        <v>4</v>
      </c>
      <c r="AF29" s="31">
        <f t="shared" si="21"/>
        <v>5</v>
      </c>
    </row>
    <row r="30" spans="2:32" ht="23.1" customHeight="1" x14ac:dyDescent="0.25">
      <c r="B30" s="23" t="s">
        <v>57</v>
      </c>
      <c r="C30" s="49">
        <f>AVERAGE('17.10 SSEMBABULE-KANONI'!C30,'18.10 SSEMBABULE-KANONI-24h'!C30,'19.10  SSEMBABULE- KANONI-24h'!C30,'20.10 SSEMBABULE-KANONI'!C30,'21.10 SSEMBABULE-KANONI'!C30,'22.10 SSEMBABULE-KANONI'!C30,'23.10 SSEMBABULE-KANONI'!C30)</f>
        <v>1.1428571428571428</v>
      </c>
      <c r="D30" s="49">
        <f>AVERAGE('17.10 SSEMBABULE-KANONI'!D30,'18.10 SSEMBABULE-KANONI-24h'!D30,'19.10  SSEMBABULE- KANONI-24h'!D30,'20.10 SSEMBABULE-KANONI'!D30,'21.10 SSEMBABULE-KANONI'!D30,'22.10 SSEMBABULE-KANONI'!D30,'23.10 SSEMBABULE-KANONI'!D30)</f>
        <v>0.2857142857142857</v>
      </c>
      <c r="E30" s="49">
        <f>AVERAGE('17.10 SSEMBABULE-KANONI'!E30,'18.10 SSEMBABULE-KANONI-24h'!E30,'19.10  SSEMBABULE- KANONI-24h'!E30,'20.10 SSEMBABULE-KANONI'!E30,'21.10 SSEMBABULE-KANONI'!E30,'22.10 SSEMBABULE-KANONI'!E30,'23.10 SSEMBABULE-KANONI'!E30)</f>
        <v>0.14285714285714285</v>
      </c>
      <c r="F30" s="49">
        <f>AVERAGE('17.10 SSEMBABULE-KANONI'!F30,'18.10 SSEMBABULE-KANONI-24h'!F30,'19.10  SSEMBABULE- KANONI-24h'!F30,'20.10 SSEMBABULE-KANONI'!F30,'21.10 SSEMBABULE-KANONI'!F30,'22.10 SSEMBABULE-KANONI'!F30,'23.10 SSEMBABULE-KANONI'!F30)</f>
        <v>0.14285714285714285</v>
      </c>
      <c r="G30" s="49">
        <f>AVERAGE('17.10 SSEMBABULE-KANONI'!G30,'18.10 SSEMBABULE-KANONI-24h'!G30,'19.10  SSEMBABULE- KANONI-24h'!G30,'20.10 SSEMBABULE-KANONI'!G30,'21.10 SSEMBABULE-KANONI'!G30,'22.10 SSEMBABULE-KANONI'!G30,'23.10 SSEMBABULE-KANONI'!G30)</f>
        <v>0.14285714285714285</v>
      </c>
      <c r="H30" s="49">
        <f>AVERAGE('17.10 SSEMBABULE-KANONI'!H30,'18.10 SSEMBABULE-KANONI-24h'!H30,'19.10  SSEMBABULE- KANONI-24h'!H30,'20.10 SSEMBABULE-KANONI'!H30,'21.10 SSEMBABULE-KANONI'!H30,'22.10 SSEMBABULE-KANONI'!H30,'23.10 SSEMBABULE-KANONI'!H30)</f>
        <v>0</v>
      </c>
      <c r="I30" s="49">
        <f>AVERAGE('17.10 SSEMBABULE-KANONI'!I30,'18.10 SSEMBABULE-KANONI-24h'!I30,'19.10  SSEMBABULE- KANONI-24h'!I30,'20.10 SSEMBABULE-KANONI'!I30,'21.10 SSEMBABULE-KANONI'!I30,'22.10 SSEMBABULE-KANONI'!I30,'23.10 SSEMBABULE-KANONI'!I30)</f>
        <v>0.14285714285714285</v>
      </c>
      <c r="J30" s="49">
        <f>AVERAGE('17.10 SSEMBABULE-KANONI'!J30,'18.10 SSEMBABULE-KANONI-24h'!J30,'19.10  SSEMBABULE- KANONI-24h'!J30,'20.10 SSEMBABULE-KANONI'!J30,'21.10 SSEMBABULE-KANONI'!J30,'22.10 SSEMBABULE-KANONI'!J30,'23.10 SSEMBABULE-KANONI'!J30)</f>
        <v>0.14285714285714285</v>
      </c>
      <c r="K30" s="49">
        <f>AVERAGE('17.10 SSEMBABULE-KANONI'!K30,'18.10 SSEMBABULE-KANONI-24h'!K30,'19.10  SSEMBABULE- KANONI-24h'!K30,'20.10 SSEMBABULE-KANONI'!K30,'21.10 SSEMBABULE-KANONI'!K30,'22.10 SSEMBABULE-KANONI'!K30,'23.10 SSEMBABULE-KANONI'!K30)</f>
        <v>0.14285714285714285</v>
      </c>
      <c r="L30" s="49">
        <f>AVERAGE('17.10 SSEMBABULE-KANONI'!L30,'18.10 SSEMBABULE-KANONI-24h'!L30,'19.10  SSEMBABULE- KANONI-24h'!L30,'20.10 SSEMBABULE-KANONI'!L30,'21.10 SSEMBABULE-KANONI'!L30,'22.10 SSEMBABULE-KANONI'!L30,'23.10 SSEMBABULE-KANONI'!L30)</f>
        <v>0</v>
      </c>
      <c r="M30" s="49">
        <f>AVERAGE('17.10 SSEMBABULE-KANONI'!M30,'18.10 SSEMBABULE-KANONI-24h'!M30,'19.10  SSEMBABULE- KANONI-24h'!M30,'20.10 SSEMBABULE-KANONI'!M30,'21.10 SSEMBABULE-KANONI'!M30,'22.10 SSEMBABULE-KANONI'!M30,'23.10 SSEMBABULE-KANONI'!M30)</f>
        <v>6.8571428571428568</v>
      </c>
      <c r="N30" s="49">
        <f>AVERAGE('17.10 SSEMBABULE-KANONI'!N30,'18.10 SSEMBABULE-KANONI-24h'!N30,'19.10  SSEMBABULE- KANONI-24h'!N30,'20.10 SSEMBABULE-KANONI'!N30,'21.10 SSEMBABULE-KANONI'!N30,'22.10 SSEMBABULE-KANONI'!N30,'23.10 SSEMBABULE-KANONI'!N30)</f>
        <v>0</v>
      </c>
      <c r="O30" s="15">
        <f t="shared" si="0"/>
        <v>2.2857142857142851</v>
      </c>
      <c r="P30" s="15">
        <f t="shared" si="1"/>
        <v>9.1428571428571423</v>
      </c>
      <c r="R30" s="1" t="s">
        <v>154</v>
      </c>
      <c r="S30" s="34">
        <f>SUM(C90:C93)</f>
        <v>2.5</v>
      </c>
      <c r="T30" s="34">
        <f t="shared" ref="T30:AF30" si="22">SUM(D90:D93)</f>
        <v>0.5</v>
      </c>
      <c r="U30" s="34">
        <f t="shared" si="22"/>
        <v>0.5</v>
      </c>
      <c r="V30" s="34">
        <f t="shared" si="22"/>
        <v>0.5</v>
      </c>
      <c r="W30" s="34">
        <f t="shared" si="22"/>
        <v>1</v>
      </c>
      <c r="X30" s="34">
        <f t="shared" si="22"/>
        <v>0</v>
      </c>
      <c r="Y30" s="34">
        <f t="shared" si="22"/>
        <v>0.5</v>
      </c>
      <c r="Z30" s="34">
        <f t="shared" si="22"/>
        <v>0.5</v>
      </c>
      <c r="AA30" s="34">
        <f t="shared" si="22"/>
        <v>1</v>
      </c>
      <c r="AB30" s="34">
        <f t="shared" si="22"/>
        <v>0.5</v>
      </c>
      <c r="AC30" s="34">
        <f t="shared" si="22"/>
        <v>0</v>
      </c>
      <c r="AD30" s="34">
        <f t="shared" si="22"/>
        <v>0</v>
      </c>
      <c r="AE30" s="31">
        <f t="shared" si="22"/>
        <v>7.5</v>
      </c>
      <c r="AF30" s="31">
        <f t="shared" si="22"/>
        <v>7.5</v>
      </c>
    </row>
    <row r="31" spans="2:32" ht="23.1" customHeight="1" x14ac:dyDescent="0.25">
      <c r="B31" s="24" t="s">
        <v>58</v>
      </c>
      <c r="C31" s="49">
        <f>AVERAGE('17.10 SSEMBABULE-KANONI'!C31,'18.10 SSEMBABULE-KANONI-24h'!C31,'19.10  SSEMBABULE- KANONI-24h'!C31,'20.10 SSEMBABULE-KANONI'!C31,'21.10 SSEMBABULE-KANONI'!C31,'22.10 SSEMBABULE-KANONI'!C31,'23.10 SSEMBABULE-KANONI'!C31)</f>
        <v>1.5714285714285714</v>
      </c>
      <c r="D31" s="49">
        <f>AVERAGE('17.10 SSEMBABULE-KANONI'!D31,'18.10 SSEMBABULE-KANONI-24h'!D31,'19.10  SSEMBABULE- KANONI-24h'!D31,'20.10 SSEMBABULE-KANONI'!D31,'21.10 SSEMBABULE-KANONI'!D31,'22.10 SSEMBABULE-KANONI'!D31,'23.10 SSEMBABULE-KANONI'!D31)</f>
        <v>0.2857142857142857</v>
      </c>
      <c r="E31" s="49">
        <f>AVERAGE('17.10 SSEMBABULE-KANONI'!E31,'18.10 SSEMBABULE-KANONI-24h'!E31,'19.10  SSEMBABULE- KANONI-24h'!E31,'20.10 SSEMBABULE-KANONI'!E31,'21.10 SSEMBABULE-KANONI'!E31,'22.10 SSEMBABULE-KANONI'!E31,'23.10 SSEMBABULE-KANONI'!E31)</f>
        <v>0.14285714285714285</v>
      </c>
      <c r="F31" s="49">
        <f>AVERAGE('17.10 SSEMBABULE-KANONI'!F31,'18.10 SSEMBABULE-KANONI-24h'!F31,'19.10  SSEMBABULE- KANONI-24h'!F31,'20.10 SSEMBABULE-KANONI'!F31,'21.10 SSEMBABULE-KANONI'!F31,'22.10 SSEMBABULE-KANONI'!F31,'23.10 SSEMBABULE-KANONI'!F31)</f>
        <v>0</v>
      </c>
      <c r="G31" s="49">
        <f>AVERAGE('17.10 SSEMBABULE-KANONI'!G31,'18.10 SSEMBABULE-KANONI-24h'!G31,'19.10  SSEMBABULE- KANONI-24h'!G31,'20.10 SSEMBABULE-KANONI'!G31,'21.10 SSEMBABULE-KANONI'!G31,'22.10 SSEMBABULE-KANONI'!G31,'23.10 SSEMBABULE-KANONI'!G31)</f>
        <v>0</v>
      </c>
      <c r="H31" s="49">
        <f>AVERAGE('17.10 SSEMBABULE-KANONI'!H31,'18.10 SSEMBABULE-KANONI-24h'!H31,'19.10  SSEMBABULE- KANONI-24h'!H31,'20.10 SSEMBABULE-KANONI'!H31,'21.10 SSEMBABULE-KANONI'!H31,'22.10 SSEMBABULE-KANONI'!H31,'23.10 SSEMBABULE-KANONI'!H31)</f>
        <v>0</v>
      </c>
      <c r="I31" s="49">
        <f>AVERAGE('17.10 SSEMBABULE-KANONI'!I31,'18.10 SSEMBABULE-KANONI-24h'!I31,'19.10  SSEMBABULE- KANONI-24h'!I31,'20.10 SSEMBABULE-KANONI'!I31,'21.10 SSEMBABULE-KANONI'!I31,'22.10 SSEMBABULE-KANONI'!I31,'23.10 SSEMBABULE-KANONI'!I31)</f>
        <v>1</v>
      </c>
      <c r="J31" s="49">
        <f>AVERAGE('17.10 SSEMBABULE-KANONI'!J31,'18.10 SSEMBABULE-KANONI-24h'!J31,'19.10  SSEMBABULE- KANONI-24h'!J31,'20.10 SSEMBABULE-KANONI'!J31,'21.10 SSEMBABULE-KANONI'!J31,'22.10 SSEMBABULE-KANONI'!J31,'23.10 SSEMBABULE-KANONI'!J31)</f>
        <v>0.5714285714285714</v>
      </c>
      <c r="K31" s="49">
        <f>AVERAGE('17.10 SSEMBABULE-KANONI'!K31,'18.10 SSEMBABULE-KANONI-24h'!K31,'19.10  SSEMBABULE- KANONI-24h'!K31,'20.10 SSEMBABULE-KANONI'!K31,'21.10 SSEMBABULE-KANONI'!K31,'22.10 SSEMBABULE-KANONI'!K31,'23.10 SSEMBABULE-KANONI'!K31)</f>
        <v>0.5714285714285714</v>
      </c>
      <c r="L31" s="49">
        <f>AVERAGE('17.10 SSEMBABULE-KANONI'!L31,'18.10 SSEMBABULE-KANONI-24h'!L31,'19.10  SSEMBABULE- KANONI-24h'!L31,'20.10 SSEMBABULE-KANONI'!L31,'21.10 SSEMBABULE-KANONI'!L31,'22.10 SSEMBABULE-KANONI'!L31,'23.10 SSEMBABULE-KANONI'!L31)</f>
        <v>0.14285714285714285</v>
      </c>
      <c r="M31" s="49">
        <f>AVERAGE('17.10 SSEMBABULE-KANONI'!M31,'18.10 SSEMBABULE-KANONI-24h'!M31,'19.10  SSEMBABULE- KANONI-24h'!M31,'20.10 SSEMBABULE-KANONI'!M31,'21.10 SSEMBABULE-KANONI'!M31,'22.10 SSEMBABULE-KANONI'!M31,'23.10 SSEMBABULE-KANONI'!M31)</f>
        <v>7.1428571428571432</v>
      </c>
      <c r="N31" s="49">
        <f>AVERAGE('17.10 SSEMBABULE-KANONI'!N31,'18.10 SSEMBABULE-KANONI-24h'!N31,'19.10  SSEMBABULE- KANONI-24h'!N31,'20.10 SSEMBABULE-KANONI'!N31,'21.10 SSEMBABULE-KANONI'!N31,'22.10 SSEMBABULE-KANONI'!N31,'23.10 SSEMBABULE-KANONI'!N31)</f>
        <v>0</v>
      </c>
      <c r="O31" s="15">
        <f t="shared" si="0"/>
        <v>4.2857142857142856</v>
      </c>
      <c r="P31" s="15">
        <f t="shared" si="1"/>
        <v>11.428571428571429</v>
      </c>
      <c r="R31" s="1" t="s">
        <v>155</v>
      </c>
      <c r="S31" s="34">
        <f>SUM(C94:C97)</f>
        <v>0.5</v>
      </c>
      <c r="T31" s="34">
        <f t="shared" ref="T31:AF31" si="23">SUM(D94:D97)</f>
        <v>1</v>
      </c>
      <c r="U31" s="34">
        <f t="shared" si="23"/>
        <v>0</v>
      </c>
      <c r="V31" s="34">
        <f t="shared" si="23"/>
        <v>1</v>
      </c>
      <c r="W31" s="34">
        <f t="shared" si="23"/>
        <v>0.5</v>
      </c>
      <c r="X31" s="34">
        <f t="shared" si="23"/>
        <v>0</v>
      </c>
      <c r="Y31" s="34">
        <f t="shared" si="23"/>
        <v>1</v>
      </c>
      <c r="Z31" s="34">
        <f t="shared" si="23"/>
        <v>0</v>
      </c>
      <c r="AA31" s="34">
        <f t="shared" si="23"/>
        <v>2.5</v>
      </c>
      <c r="AB31" s="34">
        <f t="shared" si="23"/>
        <v>0</v>
      </c>
      <c r="AC31" s="34">
        <f t="shared" si="23"/>
        <v>1.5</v>
      </c>
      <c r="AD31" s="34">
        <f t="shared" si="23"/>
        <v>0</v>
      </c>
      <c r="AE31" s="31">
        <f t="shared" si="23"/>
        <v>6.5</v>
      </c>
      <c r="AF31" s="31">
        <f t="shared" si="23"/>
        <v>8</v>
      </c>
    </row>
    <row r="32" spans="2:32" ht="23.1" customHeight="1" x14ac:dyDescent="0.25">
      <c r="B32" s="24" t="s">
        <v>59</v>
      </c>
      <c r="C32" s="49">
        <f>AVERAGE('17.10 SSEMBABULE-KANONI'!C32,'18.10 SSEMBABULE-KANONI-24h'!C32,'19.10  SSEMBABULE- KANONI-24h'!C32,'20.10 SSEMBABULE-KANONI'!C32,'21.10 SSEMBABULE-KANONI'!C32,'22.10 SSEMBABULE-KANONI'!C32,'23.10 SSEMBABULE-KANONI'!C32)</f>
        <v>0.2857142857142857</v>
      </c>
      <c r="D32" s="49">
        <f>AVERAGE('17.10 SSEMBABULE-KANONI'!D32,'18.10 SSEMBABULE-KANONI-24h'!D32,'19.10  SSEMBABULE- KANONI-24h'!D32,'20.10 SSEMBABULE-KANONI'!D32,'21.10 SSEMBABULE-KANONI'!D32,'22.10 SSEMBABULE-KANONI'!D32,'23.10 SSEMBABULE-KANONI'!D32)</f>
        <v>0.14285714285714285</v>
      </c>
      <c r="E32" s="49">
        <f>AVERAGE('17.10 SSEMBABULE-KANONI'!E32,'18.10 SSEMBABULE-KANONI-24h'!E32,'19.10  SSEMBABULE- KANONI-24h'!E32,'20.10 SSEMBABULE-KANONI'!E32,'21.10 SSEMBABULE-KANONI'!E32,'22.10 SSEMBABULE-KANONI'!E32,'23.10 SSEMBABULE-KANONI'!E32)</f>
        <v>0.5714285714285714</v>
      </c>
      <c r="F32" s="49">
        <f>AVERAGE('17.10 SSEMBABULE-KANONI'!F32,'18.10 SSEMBABULE-KANONI-24h'!F32,'19.10  SSEMBABULE- KANONI-24h'!F32,'20.10 SSEMBABULE-KANONI'!F32,'21.10 SSEMBABULE-KANONI'!F32,'22.10 SSEMBABULE-KANONI'!F32,'23.10 SSEMBABULE-KANONI'!F32)</f>
        <v>0.2857142857142857</v>
      </c>
      <c r="G32" s="49">
        <f>AVERAGE('17.10 SSEMBABULE-KANONI'!G32,'18.10 SSEMBABULE-KANONI-24h'!G32,'19.10  SSEMBABULE- KANONI-24h'!G32,'20.10 SSEMBABULE-KANONI'!G32,'21.10 SSEMBABULE-KANONI'!G32,'22.10 SSEMBABULE-KANONI'!G32,'23.10 SSEMBABULE-KANONI'!G32)</f>
        <v>0</v>
      </c>
      <c r="H32" s="49">
        <f>AVERAGE('17.10 SSEMBABULE-KANONI'!H32,'18.10 SSEMBABULE-KANONI-24h'!H32,'19.10  SSEMBABULE- KANONI-24h'!H32,'20.10 SSEMBABULE-KANONI'!H32,'21.10 SSEMBABULE-KANONI'!H32,'22.10 SSEMBABULE-KANONI'!H32,'23.10 SSEMBABULE-KANONI'!H32)</f>
        <v>0</v>
      </c>
      <c r="I32" s="49">
        <f>AVERAGE('17.10 SSEMBABULE-KANONI'!I32,'18.10 SSEMBABULE-KANONI-24h'!I32,'19.10  SSEMBABULE- KANONI-24h'!I32,'20.10 SSEMBABULE-KANONI'!I32,'21.10 SSEMBABULE-KANONI'!I32,'22.10 SSEMBABULE-KANONI'!I32,'23.10 SSEMBABULE-KANONI'!I32)</f>
        <v>0.5714285714285714</v>
      </c>
      <c r="J32" s="49">
        <f>AVERAGE('17.10 SSEMBABULE-KANONI'!J32,'18.10 SSEMBABULE-KANONI-24h'!J32,'19.10  SSEMBABULE- KANONI-24h'!J32,'20.10 SSEMBABULE-KANONI'!J32,'21.10 SSEMBABULE-KANONI'!J32,'22.10 SSEMBABULE-KANONI'!J32,'23.10 SSEMBABULE-KANONI'!J32)</f>
        <v>0.14285714285714285</v>
      </c>
      <c r="K32" s="49">
        <f>AVERAGE('17.10 SSEMBABULE-KANONI'!K32,'18.10 SSEMBABULE-KANONI-24h'!K32,'19.10  SSEMBABULE- KANONI-24h'!K32,'20.10 SSEMBABULE-KANONI'!K32,'21.10 SSEMBABULE-KANONI'!K32,'22.10 SSEMBABULE-KANONI'!K32,'23.10 SSEMBABULE-KANONI'!K32)</f>
        <v>0.42857142857142855</v>
      </c>
      <c r="L32" s="49">
        <f>AVERAGE('17.10 SSEMBABULE-KANONI'!L32,'18.10 SSEMBABULE-KANONI-24h'!L32,'19.10  SSEMBABULE- KANONI-24h'!L32,'20.10 SSEMBABULE-KANONI'!L32,'21.10 SSEMBABULE-KANONI'!L32,'22.10 SSEMBABULE-KANONI'!L32,'23.10 SSEMBABULE-KANONI'!L32)</f>
        <v>0</v>
      </c>
      <c r="M32" s="49">
        <f>AVERAGE('17.10 SSEMBABULE-KANONI'!M32,'18.10 SSEMBABULE-KANONI-24h'!M32,'19.10  SSEMBABULE- KANONI-24h'!M32,'20.10 SSEMBABULE-KANONI'!M32,'21.10 SSEMBABULE-KANONI'!M32,'22.10 SSEMBABULE-KANONI'!M32,'23.10 SSEMBABULE-KANONI'!M32)</f>
        <v>8.7142857142857135</v>
      </c>
      <c r="N32" s="49">
        <f>AVERAGE('17.10 SSEMBABULE-KANONI'!N32,'18.10 SSEMBABULE-KANONI-24h'!N32,'19.10  SSEMBABULE- KANONI-24h'!N32,'20.10 SSEMBABULE-KANONI'!N32,'21.10 SSEMBABULE-KANONI'!N32,'22.10 SSEMBABULE-KANONI'!N32,'23.10 SSEMBABULE-KANONI'!N32)</f>
        <v>0</v>
      </c>
      <c r="O32" s="15">
        <f t="shared" si="0"/>
        <v>2.4285714285714284</v>
      </c>
      <c r="P32" s="15">
        <f t="shared" si="1"/>
        <v>11.142857142857142</v>
      </c>
      <c r="R32" s="1" t="s">
        <v>156</v>
      </c>
      <c r="S32" s="34">
        <f>SUM(C98:C101)</f>
        <v>1.5</v>
      </c>
      <c r="T32" s="34">
        <f t="shared" ref="T32:AF32" si="24">SUM(D98:D101)</f>
        <v>0</v>
      </c>
      <c r="U32" s="34">
        <f t="shared" si="24"/>
        <v>0</v>
      </c>
      <c r="V32" s="34">
        <f t="shared" si="24"/>
        <v>0.5</v>
      </c>
      <c r="W32" s="34">
        <f t="shared" si="24"/>
        <v>0</v>
      </c>
      <c r="X32" s="34">
        <f t="shared" si="24"/>
        <v>0</v>
      </c>
      <c r="Y32" s="34">
        <f t="shared" si="24"/>
        <v>1.5</v>
      </c>
      <c r="Z32" s="34">
        <f t="shared" si="24"/>
        <v>0</v>
      </c>
      <c r="AA32" s="34">
        <f t="shared" si="24"/>
        <v>0</v>
      </c>
      <c r="AB32" s="34">
        <f t="shared" si="24"/>
        <v>0</v>
      </c>
      <c r="AC32" s="34">
        <f t="shared" si="24"/>
        <v>2.5</v>
      </c>
      <c r="AD32" s="34">
        <f t="shared" si="24"/>
        <v>0</v>
      </c>
      <c r="AE32" s="31">
        <f t="shared" si="24"/>
        <v>3.5</v>
      </c>
      <c r="AF32" s="31">
        <f t="shared" si="24"/>
        <v>6</v>
      </c>
    </row>
    <row r="33" spans="2:32" ht="23.1" customHeight="1" x14ac:dyDescent="0.25">
      <c r="B33" s="23" t="s">
        <v>60</v>
      </c>
      <c r="C33" s="49">
        <f>AVERAGE('17.10 SSEMBABULE-KANONI'!C33,'18.10 SSEMBABULE-KANONI-24h'!C33,'19.10  SSEMBABULE- KANONI-24h'!C33,'20.10 SSEMBABULE-KANONI'!C33,'21.10 SSEMBABULE-KANONI'!C33,'22.10 SSEMBABULE-KANONI'!C33,'23.10 SSEMBABULE-KANONI'!C33)</f>
        <v>1</v>
      </c>
      <c r="D33" s="49">
        <f>AVERAGE('17.10 SSEMBABULE-KANONI'!D33,'18.10 SSEMBABULE-KANONI-24h'!D33,'19.10  SSEMBABULE- KANONI-24h'!D33,'20.10 SSEMBABULE-KANONI'!D33,'21.10 SSEMBABULE-KANONI'!D33,'22.10 SSEMBABULE-KANONI'!D33,'23.10 SSEMBABULE-KANONI'!D33)</f>
        <v>0.5714285714285714</v>
      </c>
      <c r="E33" s="49">
        <f>AVERAGE('17.10 SSEMBABULE-KANONI'!E33,'18.10 SSEMBABULE-KANONI-24h'!E33,'19.10  SSEMBABULE- KANONI-24h'!E33,'20.10 SSEMBABULE-KANONI'!E33,'21.10 SSEMBABULE-KANONI'!E33,'22.10 SSEMBABULE-KANONI'!E33,'23.10 SSEMBABULE-KANONI'!E33)</f>
        <v>0.2857142857142857</v>
      </c>
      <c r="F33" s="49">
        <f>AVERAGE('17.10 SSEMBABULE-KANONI'!F33,'18.10 SSEMBABULE-KANONI-24h'!F33,'19.10  SSEMBABULE- KANONI-24h'!F33,'20.10 SSEMBABULE-KANONI'!F33,'21.10 SSEMBABULE-KANONI'!F33,'22.10 SSEMBABULE-KANONI'!F33,'23.10 SSEMBABULE-KANONI'!F33)</f>
        <v>0.14285714285714285</v>
      </c>
      <c r="G33" s="49">
        <f>AVERAGE('17.10 SSEMBABULE-KANONI'!G33,'18.10 SSEMBABULE-KANONI-24h'!G33,'19.10  SSEMBABULE- KANONI-24h'!G33,'20.10 SSEMBABULE-KANONI'!G33,'21.10 SSEMBABULE-KANONI'!G33,'22.10 SSEMBABULE-KANONI'!G33,'23.10 SSEMBABULE-KANONI'!G33)</f>
        <v>0</v>
      </c>
      <c r="H33" s="49">
        <f>AVERAGE('17.10 SSEMBABULE-KANONI'!H33,'18.10 SSEMBABULE-KANONI-24h'!H33,'19.10  SSEMBABULE- KANONI-24h'!H33,'20.10 SSEMBABULE-KANONI'!H33,'21.10 SSEMBABULE-KANONI'!H33,'22.10 SSEMBABULE-KANONI'!H33,'23.10 SSEMBABULE-KANONI'!H33)</f>
        <v>0</v>
      </c>
      <c r="I33" s="49">
        <f>AVERAGE('17.10 SSEMBABULE-KANONI'!I33,'18.10 SSEMBABULE-KANONI-24h'!I33,'19.10  SSEMBABULE- KANONI-24h'!I33,'20.10 SSEMBABULE-KANONI'!I33,'21.10 SSEMBABULE-KANONI'!I33,'22.10 SSEMBABULE-KANONI'!I33,'23.10 SSEMBABULE-KANONI'!I33)</f>
        <v>0</v>
      </c>
      <c r="J33" s="49">
        <f>AVERAGE('17.10 SSEMBABULE-KANONI'!J33,'18.10 SSEMBABULE-KANONI-24h'!J33,'19.10  SSEMBABULE- KANONI-24h'!J33,'20.10 SSEMBABULE-KANONI'!J33,'21.10 SSEMBABULE-KANONI'!J33,'22.10 SSEMBABULE-KANONI'!J33,'23.10 SSEMBABULE-KANONI'!J33)</f>
        <v>0</v>
      </c>
      <c r="K33" s="49">
        <f>AVERAGE('17.10 SSEMBABULE-KANONI'!K33,'18.10 SSEMBABULE-KANONI-24h'!K33,'19.10  SSEMBABULE- KANONI-24h'!K33,'20.10 SSEMBABULE-KANONI'!K33,'21.10 SSEMBABULE-KANONI'!K33,'22.10 SSEMBABULE-KANONI'!K33,'23.10 SSEMBABULE-KANONI'!K33)</f>
        <v>0.5714285714285714</v>
      </c>
      <c r="L33" s="49">
        <f>AVERAGE('17.10 SSEMBABULE-KANONI'!L33,'18.10 SSEMBABULE-KANONI-24h'!L33,'19.10  SSEMBABULE- KANONI-24h'!L33,'20.10 SSEMBABULE-KANONI'!L33,'21.10 SSEMBABULE-KANONI'!L33,'22.10 SSEMBABULE-KANONI'!L33,'23.10 SSEMBABULE-KANONI'!L33)</f>
        <v>0</v>
      </c>
      <c r="M33" s="49">
        <f>AVERAGE('17.10 SSEMBABULE-KANONI'!M33,'18.10 SSEMBABULE-KANONI-24h'!M33,'19.10  SSEMBABULE- KANONI-24h'!M33,'20.10 SSEMBABULE-KANONI'!M33,'21.10 SSEMBABULE-KANONI'!M33,'22.10 SSEMBABULE-KANONI'!M33,'23.10 SSEMBABULE-KANONI'!M33)</f>
        <v>9.2857142857142865</v>
      </c>
      <c r="N33" s="49">
        <f>AVERAGE('17.10 SSEMBABULE-KANONI'!N33,'18.10 SSEMBABULE-KANONI-24h'!N33,'19.10  SSEMBABULE- KANONI-24h'!N33,'20.10 SSEMBABULE-KANONI'!N33,'21.10 SSEMBABULE-KANONI'!N33,'22.10 SSEMBABULE-KANONI'!N33,'23.10 SSEMBABULE-KANONI'!N33)</f>
        <v>0</v>
      </c>
      <c r="O33" s="15">
        <f t="shared" si="0"/>
        <v>2.5714285714285712</v>
      </c>
      <c r="P33" s="15">
        <f t="shared" si="1"/>
        <v>11.857142857142858</v>
      </c>
      <c r="R33" s="1" t="s">
        <v>157</v>
      </c>
      <c r="S33" s="34">
        <f>SUM(C102:C105)</f>
        <v>3</v>
      </c>
      <c r="T33" s="34">
        <f t="shared" ref="T33:AF33" si="25">SUM(D102:D105)</f>
        <v>1</v>
      </c>
      <c r="U33" s="34">
        <f t="shared" si="25"/>
        <v>1.5</v>
      </c>
      <c r="V33" s="34">
        <f t="shared" si="25"/>
        <v>4.5</v>
      </c>
      <c r="W33" s="34">
        <f t="shared" si="25"/>
        <v>0.5</v>
      </c>
      <c r="X33" s="34">
        <f t="shared" si="25"/>
        <v>0.5</v>
      </c>
      <c r="Y33" s="34">
        <f t="shared" si="25"/>
        <v>0</v>
      </c>
      <c r="Z33" s="34">
        <f t="shared" si="25"/>
        <v>0.5</v>
      </c>
      <c r="AA33" s="34">
        <f t="shared" si="25"/>
        <v>0</v>
      </c>
      <c r="AB33" s="34">
        <f t="shared" si="25"/>
        <v>0</v>
      </c>
      <c r="AC33" s="34">
        <f t="shared" si="25"/>
        <v>9</v>
      </c>
      <c r="AD33" s="34">
        <f t="shared" si="25"/>
        <v>0</v>
      </c>
      <c r="AE33" s="31">
        <f t="shared" si="25"/>
        <v>11.5</v>
      </c>
      <c r="AF33" s="31">
        <f t="shared" si="25"/>
        <v>20.5</v>
      </c>
    </row>
    <row r="34" spans="2:32" ht="23.1" customHeight="1" x14ac:dyDescent="0.25">
      <c r="B34" s="24" t="s">
        <v>61</v>
      </c>
      <c r="C34" s="49">
        <f>AVERAGE('17.10 SSEMBABULE-KANONI'!C34,'18.10 SSEMBABULE-KANONI-24h'!C34,'19.10  SSEMBABULE- KANONI-24h'!C34,'20.10 SSEMBABULE-KANONI'!C34,'21.10 SSEMBABULE-KANONI'!C34,'22.10 SSEMBABULE-KANONI'!C34,'23.10 SSEMBABULE-KANONI'!C34)</f>
        <v>1.4285714285714286</v>
      </c>
      <c r="D34" s="49">
        <f>AVERAGE('17.10 SSEMBABULE-KANONI'!D34,'18.10 SSEMBABULE-KANONI-24h'!D34,'19.10  SSEMBABULE- KANONI-24h'!D34,'20.10 SSEMBABULE-KANONI'!D34,'21.10 SSEMBABULE-KANONI'!D34,'22.10 SSEMBABULE-KANONI'!D34,'23.10 SSEMBABULE-KANONI'!D34)</f>
        <v>1.4285714285714286</v>
      </c>
      <c r="E34" s="49">
        <f>AVERAGE('17.10 SSEMBABULE-KANONI'!E34,'18.10 SSEMBABULE-KANONI-24h'!E34,'19.10  SSEMBABULE- KANONI-24h'!E34,'20.10 SSEMBABULE-KANONI'!E34,'21.10 SSEMBABULE-KANONI'!E34,'22.10 SSEMBABULE-KANONI'!E34,'23.10 SSEMBABULE-KANONI'!E34)</f>
        <v>0.42857142857142855</v>
      </c>
      <c r="F34" s="49">
        <f>AVERAGE('17.10 SSEMBABULE-KANONI'!F34,'18.10 SSEMBABULE-KANONI-24h'!F34,'19.10  SSEMBABULE- KANONI-24h'!F34,'20.10 SSEMBABULE-KANONI'!F34,'21.10 SSEMBABULE-KANONI'!F34,'22.10 SSEMBABULE-KANONI'!F34,'23.10 SSEMBABULE-KANONI'!F34)</f>
        <v>0.42857142857142855</v>
      </c>
      <c r="G34" s="49">
        <f>AVERAGE('17.10 SSEMBABULE-KANONI'!G34,'18.10 SSEMBABULE-KANONI-24h'!G34,'19.10  SSEMBABULE- KANONI-24h'!G34,'20.10 SSEMBABULE-KANONI'!G34,'21.10 SSEMBABULE-KANONI'!G34,'22.10 SSEMBABULE-KANONI'!G34,'23.10 SSEMBABULE-KANONI'!G34)</f>
        <v>0</v>
      </c>
      <c r="H34" s="49">
        <f>AVERAGE('17.10 SSEMBABULE-KANONI'!H34,'18.10 SSEMBABULE-KANONI-24h'!H34,'19.10  SSEMBABULE- KANONI-24h'!H34,'20.10 SSEMBABULE-KANONI'!H34,'21.10 SSEMBABULE-KANONI'!H34,'22.10 SSEMBABULE-KANONI'!H34,'23.10 SSEMBABULE-KANONI'!H34)</f>
        <v>0</v>
      </c>
      <c r="I34" s="49">
        <f>AVERAGE('17.10 SSEMBABULE-KANONI'!I34,'18.10 SSEMBABULE-KANONI-24h'!I34,'19.10  SSEMBABULE- KANONI-24h'!I34,'20.10 SSEMBABULE-KANONI'!I34,'21.10 SSEMBABULE-KANONI'!I34,'22.10 SSEMBABULE-KANONI'!I34,'23.10 SSEMBABULE-KANONI'!I34)</f>
        <v>0.5714285714285714</v>
      </c>
      <c r="J34" s="49">
        <f>AVERAGE('17.10 SSEMBABULE-KANONI'!J34,'18.10 SSEMBABULE-KANONI-24h'!J34,'19.10  SSEMBABULE- KANONI-24h'!J34,'20.10 SSEMBABULE-KANONI'!J34,'21.10 SSEMBABULE-KANONI'!J34,'22.10 SSEMBABULE-KANONI'!J34,'23.10 SSEMBABULE-KANONI'!J34)</f>
        <v>0.14285714285714285</v>
      </c>
      <c r="K34" s="49">
        <f>AVERAGE('17.10 SSEMBABULE-KANONI'!K34,'18.10 SSEMBABULE-KANONI-24h'!K34,'19.10  SSEMBABULE- KANONI-24h'!K34,'20.10 SSEMBABULE-KANONI'!K34,'21.10 SSEMBABULE-KANONI'!K34,'22.10 SSEMBABULE-KANONI'!K34,'23.10 SSEMBABULE-KANONI'!K34)</f>
        <v>0.5714285714285714</v>
      </c>
      <c r="L34" s="49">
        <f>AVERAGE('17.10 SSEMBABULE-KANONI'!L34,'18.10 SSEMBABULE-KANONI-24h'!L34,'19.10  SSEMBABULE- KANONI-24h'!L34,'20.10 SSEMBABULE-KANONI'!L34,'21.10 SSEMBABULE-KANONI'!L34,'22.10 SSEMBABULE-KANONI'!L34,'23.10 SSEMBABULE-KANONI'!L34)</f>
        <v>0</v>
      </c>
      <c r="M34" s="49">
        <f>AVERAGE('17.10 SSEMBABULE-KANONI'!M34,'18.10 SSEMBABULE-KANONI-24h'!M34,'19.10  SSEMBABULE- KANONI-24h'!M34,'20.10 SSEMBABULE-KANONI'!M34,'21.10 SSEMBABULE-KANONI'!M34,'22.10 SSEMBABULE-KANONI'!M34,'23.10 SSEMBABULE-KANONI'!M34)</f>
        <v>6.8571428571428568</v>
      </c>
      <c r="N34" s="49">
        <f>AVERAGE('17.10 SSEMBABULE-KANONI'!N34,'18.10 SSEMBABULE-KANONI-24h'!N34,'19.10  SSEMBABULE- KANONI-24h'!N34,'20.10 SSEMBABULE-KANONI'!N34,'21.10 SSEMBABULE-KANONI'!N34,'22.10 SSEMBABULE-KANONI'!N34,'23.10 SSEMBABULE-KANONI'!N34)</f>
        <v>0</v>
      </c>
      <c r="O34" s="15">
        <f t="shared" si="0"/>
        <v>5</v>
      </c>
      <c r="P34" s="15">
        <f t="shared" si="1"/>
        <v>11.857142857142858</v>
      </c>
      <c r="R34" s="52" t="s">
        <v>90</v>
      </c>
      <c r="S34" s="53">
        <f t="shared" ref="S34:AF34" si="26">MAX(S10:S12)</f>
        <v>4.4285714285714288</v>
      </c>
      <c r="T34" s="53">
        <f t="shared" si="26"/>
        <v>1.714285714285714</v>
      </c>
      <c r="U34" s="53">
        <f t="shared" si="26"/>
        <v>1.7142857142857142</v>
      </c>
      <c r="V34" s="53">
        <f t="shared" si="26"/>
        <v>1.857142857142857</v>
      </c>
      <c r="W34" s="53">
        <f t="shared" si="26"/>
        <v>0.42857142857142855</v>
      </c>
      <c r="X34" s="53">
        <f t="shared" si="26"/>
        <v>0.14285714285714285</v>
      </c>
      <c r="Y34" s="53">
        <f t="shared" si="26"/>
        <v>2.4285714285714284</v>
      </c>
      <c r="Z34" s="53">
        <f t="shared" si="26"/>
        <v>1.4285714285714286</v>
      </c>
      <c r="AA34" s="53">
        <f t="shared" si="26"/>
        <v>2.5714285714285712</v>
      </c>
      <c r="AB34" s="53">
        <f t="shared" si="26"/>
        <v>0.42857142857142855</v>
      </c>
      <c r="AC34" s="53">
        <f t="shared" si="26"/>
        <v>30.142857142857142</v>
      </c>
      <c r="AD34" s="53">
        <f t="shared" si="26"/>
        <v>0</v>
      </c>
      <c r="AE34" s="40">
        <f t="shared" si="26"/>
        <v>13.857142857142856</v>
      </c>
      <c r="AF34" s="40">
        <f t="shared" si="26"/>
        <v>44</v>
      </c>
    </row>
    <row r="35" spans="2:32" ht="23.1" customHeight="1" x14ac:dyDescent="0.25">
      <c r="B35" s="24" t="s">
        <v>62</v>
      </c>
      <c r="C35" s="49">
        <f>AVERAGE('17.10 SSEMBABULE-KANONI'!C35,'18.10 SSEMBABULE-KANONI-24h'!C35,'19.10  SSEMBABULE- KANONI-24h'!C35,'20.10 SSEMBABULE-KANONI'!C35,'21.10 SSEMBABULE-KANONI'!C35,'22.10 SSEMBABULE-KANONI'!C35,'23.10 SSEMBABULE-KANONI'!C35)</f>
        <v>1.1428571428571428</v>
      </c>
      <c r="D35" s="49">
        <f>AVERAGE('17.10 SSEMBABULE-KANONI'!D35,'18.10 SSEMBABULE-KANONI-24h'!D35,'19.10  SSEMBABULE- KANONI-24h'!D35,'20.10 SSEMBABULE-KANONI'!D35,'21.10 SSEMBABULE-KANONI'!D35,'22.10 SSEMBABULE-KANONI'!D35,'23.10 SSEMBABULE-KANONI'!D35)</f>
        <v>0.42857142857142855</v>
      </c>
      <c r="E35" s="49">
        <f>AVERAGE('17.10 SSEMBABULE-KANONI'!E35,'18.10 SSEMBABULE-KANONI-24h'!E35,'19.10  SSEMBABULE- KANONI-24h'!E35,'20.10 SSEMBABULE-KANONI'!E35,'21.10 SSEMBABULE-KANONI'!E35,'22.10 SSEMBABULE-KANONI'!E35,'23.10 SSEMBABULE-KANONI'!E35)</f>
        <v>0.14285714285714285</v>
      </c>
      <c r="F35" s="49">
        <f>AVERAGE('17.10 SSEMBABULE-KANONI'!F35,'18.10 SSEMBABULE-KANONI-24h'!F35,'19.10  SSEMBABULE- KANONI-24h'!F35,'20.10 SSEMBABULE-KANONI'!F35,'21.10 SSEMBABULE-KANONI'!F35,'22.10 SSEMBABULE-KANONI'!F35,'23.10 SSEMBABULE-KANONI'!F35)</f>
        <v>0.2857142857142857</v>
      </c>
      <c r="G35" s="49">
        <f>AVERAGE('17.10 SSEMBABULE-KANONI'!G35,'18.10 SSEMBABULE-KANONI-24h'!G35,'19.10  SSEMBABULE- KANONI-24h'!G35,'20.10 SSEMBABULE-KANONI'!G35,'21.10 SSEMBABULE-KANONI'!G35,'22.10 SSEMBABULE-KANONI'!G35,'23.10 SSEMBABULE-KANONI'!G35)</f>
        <v>0</v>
      </c>
      <c r="H35" s="49">
        <f>AVERAGE('17.10 SSEMBABULE-KANONI'!H35,'18.10 SSEMBABULE-KANONI-24h'!H35,'19.10  SSEMBABULE- KANONI-24h'!H35,'20.10 SSEMBABULE-KANONI'!H35,'21.10 SSEMBABULE-KANONI'!H35,'22.10 SSEMBABULE-KANONI'!H35,'23.10 SSEMBABULE-KANONI'!H35)</f>
        <v>0</v>
      </c>
      <c r="I35" s="49">
        <f>AVERAGE('17.10 SSEMBABULE-KANONI'!I35,'18.10 SSEMBABULE-KANONI-24h'!I35,'19.10  SSEMBABULE- KANONI-24h'!I35,'20.10 SSEMBABULE-KANONI'!I35,'21.10 SSEMBABULE-KANONI'!I35,'22.10 SSEMBABULE-KANONI'!I35,'23.10 SSEMBABULE-KANONI'!I35)</f>
        <v>0.2857142857142857</v>
      </c>
      <c r="J35" s="49">
        <f>AVERAGE('17.10 SSEMBABULE-KANONI'!J35,'18.10 SSEMBABULE-KANONI-24h'!J35,'19.10  SSEMBABULE- KANONI-24h'!J35,'20.10 SSEMBABULE-KANONI'!J35,'21.10 SSEMBABULE-KANONI'!J35,'22.10 SSEMBABULE-KANONI'!J35,'23.10 SSEMBABULE-KANONI'!J35)</f>
        <v>0.2857142857142857</v>
      </c>
      <c r="K35" s="49">
        <f>AVERAGE('17.10 SSEMBABULE-KANONI'!K35,'18.10 SSEMBABULE-KANONI-24h'!K35,'19.10  SSEMBABULE- KANONI-24h'!K35,'20.10 SSEMBABULE-KANONI'!K35,'21.10 SSEMBABULE-KANONI'!K35,'22.10 SSEMBABULE-KANONI'!K35,'23.10 SSEMBABULE-KANONI'!K35)</f>
        <v>0.42857142857142855</v>
      </c>
      <c r="L35" s="49">
        <f>AVERAGE('17.10 SSEMBABULE-KANONI'!L35,'18.10 SSEMBABULE-KANONI-24h'!L35,'19.10  SSEMBABULE- KANONI-24h'!L35,'20.10 SSEMBABULE-KANONI'!L35,'21.10 SSEMBABULE-KANONI'!L35,'22.10 SSEMBABULE-KANONI'!L35,'23.10 SSEMBABULE-KANONI'!L35)</f>
        <v>0</v>
      </c>
      <c r="M35" s="49">
        <f>AVERAGE('17.10 SSEMBABULE-KANONI'!M35,'18.10 SSEMBABULE-KANONI-24h'!M35,'19.10  SSEMBABULE- KANONI-24h'!M35,'20.10 SSEMBABULE-KANONI'!M35,'21.10 SSEMBABULE-KANONI'!M35,'22.10 SSEMBABULE-KANONI'!M35,'23.10 SSEMBABULE-KANONI'!M35)</f>
        <v>6.1428571428571432</v>
      </c>
      <c r="N35" s="49">
        <f>AVERAGE('17.10 SSEMBABULE-KANONI'!N35,'18.10 SSEMBABULE-KANONI-24h'!N35,'19.10  SSEMBABULE- KANONI-24h'!N35,'20.10 SSEMBABULE-KANONI'!N35,'21.10 SSEMBABULE-KANONI'!N35,'22.10 SSEMBABULE-KANONI'!N35,'23.10 SSEMBABULE-KANONI'!N35)</f>
        <v>0</v>
      </c>
      <c r="O35" s="15">
        <f t="shared" si="0"/>
        <v>2.9999999999999996</v>
      </c>
      <c r="P35" s="15">
        <f t="shared" si="1"/>
        <v>9.1428571428571423</v>
      </c>
      <c r="R35" s="52" t="s">
        <v>91</v>
      </c>
      <c r="S35" s="53">
        <f t="shared" ref="S35:AF35" si="27">MAX(S13:S18)</f>
        <v>5.1428571428571423</v>
      </c>
      <c r="T35" s="53">
        <f t="shared" si="27"/>
        <v>2.8571428571428572</v>
      </c>
      <c r="U35" s="53">
        <f t="shared" si="27"/>
        <v>2.5714285714285712</v>
      </c>
      <c r="V35" s="53">
        <f t="shared" si="27"/>
        <v>2.714285714285714</v>
      </c>
      <c r="W35" s="53">
        <f t="shared" si="27"/>
        <v>0.2857142857142857</v>
      </c>
      <c r="X35" s="53">
        <f t="shared" si="27"/>
        <v>0</v>
      </c>
      <c r="Y35" s="53">
        <f t="shared" si="27"/>
        <v>3</v>
      </c>
      <c r="Z35" s="53">
        <f t="shared" si="27"/>
        <v>1.1428571428571428</v>
      </c>
      <c r="AA35" s="53">
        <f t="shared" si="27"/>
        <v>2.5714285714285712</v>
      </c>
      <c r="AB35" s="53">
        <f t="shared" si="27"/>
        <v>0.71428571428571419</v>
      </c>
      <c r="AC35" s="53">
        <f t="shared" si="27"/>
        <v>33.714285714285708</v>
      </c>
      <c r="AD35" s="53">
        <f t="shared" si="27"/>
        <v>0.14285714285714285</v>
      </c>
      <c r="AE35" s="40">
        <f t="shared" si="27"/>
        <v>15.857142857142858</v>
      </c>
      <c r="AF35" s="40">
        <f t="shared" si="27"/>
        <v>47.142857142857139</v>
      </c>
    </row>
    <row r="36" spans="2:32" ht="23.1" customHeight="1" x14ac:dyDescent="0.25">
      <c r="B36" s="24" t="s">
        <v>63</v>
      </c>
      <c r="C36" s="49">
        <f>AVERAGE('17.10 SSEMBABULE-KANONI'!C36,'18.10 SSEMBABULE-KANONI-24h'!C36,'19.10  SSEMBABULE- KANONI-24h'!C36,'20.10 SSEMBABULE-KANONI'!C36,'21.10 SSEMBABULE-KANONI'!C36,'22.10 SSEMBABULE-KANONI'!C36,'23.10 SSEMBABULE-KANONI'!C36)</f>
        <v>1.4285714285714286</v>
      </c>
      <c r="D36" s="49">
        <f>AVERAGE('17.10 SSEMBABULE-KANONI'!D36,'18.10 SSEMBABULE-KANONI-24h'!D36,'19.10  SSEMBABULE- KANONI-24h'!D36,'20.10 SSEMBABULE-KANONI'!D36,'21.10 SSEMBABULE-KANONI'!D36,'22.10 SSEMBABULE-KANONI'!D36,'23.10 SSEMBABULE-KANONI'!D36)</f>
        <v>0.2857142857142857</v>
      </c>
      <c r="E36" s="49">
        <f>AVERAGE('17.10 SSEMBABULE-KANONI'!E36,'18.10 SSEMBABULE-KANONI-24h'!E36,'19.10  SSEMBABULE- KANONI-24h'!E36,'20.10 SSEMBABULE-KANONI'!E36,'21.10 SSEMBABULE-KANONI'!E36,'22.10 SSEMBABULE-KANONI'!E36,'23.10 SSEMBABULE-KANONI'!E36)</f>
        <v>0.2857142857142857</v>
      </c>
      <c r="F36" s="49">
        <f>AVERAGE('17.10 SSEMBABULE-KANONI'!F36,'18.10 SSEMBABULE-KANONI-24h'!F36,'19.10  SSEMBABULE- KANONI-24h'!F36,'20.10 SSEMBABULE-KANONI'!F36,'21.10 SSEMBABULE-KANONI'!F36,'22.10 SSEMBABULE-KANONI'!F36,'23.10 SSEMBABULE-KANONI'!F36)</f>
        <v>0</v>
      </c>
      <c r="G36" s="49">
        <f>AVERAGE('17.10 SSEMBABULE-KANONI'!G36,'18.10 SSEMBABULE-KANONI-24h'!G36,'19.10  SSEMBABULE- KANONI-24h'!G36,'20.10 SSEMBABULE-KANONI'!G36,'21.10 SSEMBABULE-KANONI'!G36,'22.10 SSEMBABULE-KANONI'!G36,'23.10 SSEMBABULE-KANONI'!G36)</f>
        <v>0</v>
      </c>
      <c r="H36" s="49">
        <f>AVERAGE('17.10 SSEMBABULE-KANONI'!H36,'18.10 SSEMBABULE-KANONI-24h'!H36,'19.10  SSEMBABULE- KANONI-24h'!H36,'20.10 SSEMBABULE-KANONI'!H36,'21.10 SSEMBABULE-KANONI'!H36,'22.10 SSEMBABULE-KANONI'!H36,'23.10 SSEMBABULE-KANONI'!H36)</f>
        <v>0</v>
      </c>
      <c r="I36" s="49">
        <f>AVERAGE('17.10 SSEMBABULE-KANONI'!I36,'18.10 SSEMBABULE-KANONI-24h'!I36,'19.10  SSEMBABULE- KANONI-24h'!I36,'20.10 SSEMBABULE-KANONI'!I36,'21.10 SSEMBABULE-KANONI'!I36,'22.10 SSEMBABULE-KANONI'!I36,'23.10 SSEMBABULE-KANONI'!I36)</f>
        <v>0.2857142857142857</v>
      </c>
      <c r="J36" s="49">
        <f>AVERAGE('17.10 SSEMBABULE-KANONI'!J36,'18.10 SSEMBABULE-KANONI-24h'!J36,'19.10  SSEMBABULE- KANONI-24h'!J36,'20.10 SSEMBABULE-KANONI'!J36,'21.10 SSEMBABULE-KANONI'!J36,'22.10 SSEMBABULE-KANONI'!J36,'23.10 SSEMBABULE-KANONI'!J36)</f>
        <v>0.2857142857142857</v>
      </c>
      <c r="K36" s="49">
        <f>AVERAGE('17.10 SSEMBABULE-KANONI'!K36,'18.10 SSEMBABULE-KANONI-24h'!K36,'19.10  SSEMBABULE- KANONI-24h'!K36,'20.10 SSEMBABULE-KANONI'!K36,'21.10 SSEMBABULE-KANONI'!K36,'22.10 SSEMBABULE-KANONI'!K36,'23.10 SSEMBABULE-KANONI'!K36)</f>
        <v>0.7142857142857143</v>
      </c>
      <c r="L36" s="49">
        <f>AVERAGE('17.10 SSEMBABULE-KANONI'!L36,'18.10 SSEMBABULE-KANONI-24h'!L36,'19.10  SSEMBABULE- KANONI-24h'!L36,'20.10 SSEMBABULE-KANONI'!L36,'21.10 SSEMBABULE-KANONI'!L36,'22.10 SSEMBABULE-KANONI'!L36,'23.10 SSEMBABULE-KANONI'!L36)</f>
        <v>0</v>
      </c>
      <c r="M36" s="49">
        <f>AVERAGE('17.10 SSEMBABULE-KANONI'!M36,'18.10 SSEMBABULE-KANONI-24h'!M36,'19.10  SSEMBABULE- KANONI-24h'!M36,'20.10 SSEMBABULE-KANONI'!M36,'21.10 SSEMBABULE-KANONI'!M36,'22.10 SSEMBABULE-KANONI'!M36,'23.10 SSEMBABULE-KANONI'!M36)</f>
        <v>10.285714285714286</v>
      </c>
      <c r="N36" s="49">
        <f>AVERAGE('17.10 SSEMBABULE-KANONI'!N36,'18.10 SSEMBABULE-KANONI-24h'!N36,'19.10  SSEMBABULE- KANONI-24h'!N36,'20.10 SSEMBABULE-KANONI'!N36,'21.10 SSEMBABULE-KANONI'!N36,'22.10 SSEMBABULE-KANONI'!N36,'23.10 SSEMBABULE-KANONI'!N36)</f>
        <v>0</v>
      </c>
      <c r="O36" s="15">
        <f t="shared" si="0"/>
        <v>3.2857142857142856</v>
      </c>
      <c r="P36" s="15">
        <f t="shared" si="1"/>
        <v>13.571428571428573</v>
      </c>
      <c r="R36" s="52" t="s">
        <v>92</v>
      </c>
      <c r="S36" s="53">
        <f t="shared" ref="S36:AF36" si="28">MAX(S19:S21)</f>
        <v>8.428571428571427</v>
      </c>
      <c r="T36" s="53">
        <f t="shared" si="28"/>
        <v>3.4285714285714284</v>
      </c>
      <c r="U36" s="53">
        <f t="shared" si="28"/>
        <v>1.8571428571428572</v>
      </c>
      <c r="V36" s="53">
        <f t="shared" si="28"/>
        <v>2.7142857142857144</v>
      </c>
      <c r="W36" s="53">
        <f t="shared" si="28"/>
        <v>1</v>
      </c>
      <c r="X36" s="53">
        <f t="shared" si="28"/>
        <v>0.2857142857142857</v>
      </c>
      <c r="Y36" s="53">
        <f t="shared" si="28"/>
        <v>3.4285714285714288</v>
      </c>
      <c r="Z36" s="53">
        <f t="shared" si="28"/>
        <v>1.714285714285714</v>
      </c>
      <c r="AA36" s="53">
        <f t="shared" si="28"/>
        <v>1.5714285714285712</v>
      </c>
      <c r="AB36" s="53">
        <f t="shared" si="28"/>
        <v>0.2857142857142857</v>
      </c>
      <c r="AC36" s="53">
        <f t="shared" si="28"/>
        <v>40.285714285714285</v>
      </c>
      <c r="AD36" s="53">
        <f t="shared" si="28"/>
        <v>0</v>
      </c>
      <c r="AE36" s="40">
        <f t="shared" si="28"/>
        <v>21.857142857142858</v>
      </c>
      <c r="AF36" s="40">
        <f t="shared" si="28"/>
        <v>61.428571428571431</v>
      </c>
    </row>
    <row r="37" spans="2:32" ht="23.1" customHeight="1" x14ac:dyDescent="0.25">
      <c r="B37" s="23" t="s">
        <v>64</v>
      </c>
      <c r="C37" s="49">
        <f>AVERAGE('17.10 SSEMBABULE-KANONI'!C37,'18.10 SSEMBABULE-KANONI-24h'!C37,'19.10  SSEMBABULE- KANONI-24h'!C37,'20.10 SSEMBABULE-KANONI'!C37,'21.10 SSEMBABULE-KANONI'!C37,'22.10 SSEMBABULE-KANONI'!C37,'23.10 SSEMBABULE-KANONI'!C37)</f>
        <v>0.7142857142857143</v>
      </c>
      <c r="D37" s="49">
        <f>AVERAGE('17.10 SSEMBABULE-KANONI'!D37,'18.10 SSEMBABULE-KANONI-24h'!D37,'19.10  SSEMBABULE- KANONI-24h'!D37,'20.10 SSEMBABULE-KANONI'!D37,'21.10 SSEMBABULE-KANONI'!D37,'22.10 SSEMBABULE-KANONI'!D37,'23.10 SSEMBABULE-KANONI'!D37)</f>
        <v>0.7142857142857143</v>
      </c>
      <c r="E37" s="49">
        <f>AVERAGE('17.10 SSEMBABULE-KANONI'!E37,'18.10 SSEMBABULE-KANONI-24h'!E37,'19.10  SSEMBABULE- KANONI-24h'!E37,'20.10 SSEMBABULE-KANONI'!E37,'21.10 SSEMBABULE-KANONI'!E37,'22.10 SSEMBABULE-KANONI'!E37,'23.10 SSEMBABULE-KANONI'!E37)</f>
        <v>0.42857142857142855</v>
      </c>
      <c r="F37" s="49">
        <f>AVERAGE('17.10 SSEMBABULE-KANONI'!F37,'18.10 SSEMBABULE-KANONI-24h'!F37,'19.10  SSEMBABULE- KANONI-24h'!F37,'20.10 SSEMBABULE-KANONI'!F37,'21.10 SSEMBABULE-KANONI'!F37,'22.10 SSEMBABULE-KANONI'!F37,'23.10 SSEMBABULE-KANONI'!F37)</f>
        <v>0.42857142857142855</v>
      </c>
      <c r="G37" s="49">
        <f>AVERAGE('17.10 SSEMBABULE-KANONI'!G37,'18.10 SSEMBABULE-KANONI-24h'!G37,'19.10  SSEMBABULE- KANONI-24h'!G37,'20.10 SSEMBABULE-KANONI'!G37,'21.10 SSEMBABULE-KANONI'!G37,'22.10 SSEMBABULE-KANONI'!G37,'23.10 SSEMBABULE-KANONI'!G37)</f>
        <v>0</v>
      </c>
      <c r="H37" s="49">
        <f>AVERAGE('17.10 SSEMBABULE-KANONI'!H37,'18.10 SSEMBABULE-KANONI-24h'!H37,'19.10  SSEMBABULE- KANONI-24h'!H37,'20.10 SSEMBABULE-KANONI'!H37,'21.10 SSEMBABULE-KANONI'!H37,'22.10 SSEMBABULE-KANONI'!H37,'23.10 SSEMBABULE-KANONI'!H37)</f>
        <v>0</v>
      </c>
      <c r="I37" s="49">
        <f>AVERAGE('17.10 SSEMBABULE-KANONI'!I37,'18.10 SSEMBABULE-KANONI-24h'!I37,'19.10  SSEMBABULE- KANONI-24h'!I37,'20.10 SSEMBABULE-KANONI'!I37,'21.10 SSEMBABULE-KANONI'!I37,'22.10 SSEMBABULE-KANONI'!I37,'23.10 SSEMBABULE-KANONI'!I37)</f>
        <v>1</v>
      </c>
      <c r="J37" s="49">
        <f>AVERAGE('17.10 SSEMBABULE-KANONI'!J37,'18.10 SSEMBABULE-KANONI-24h'!J37,'19.10  SSEMBABULE- KANONI-24h'!J37,'20.10 SSEMBABULE-KANONI'!J37,'21.10 SSEMBABULE-KANONI'!J37,'22.10 SSEMBABULE-KANONI'!J37,'23.10 SSEMBABULE-KANONI'!J37)</f>
        <v>0.14285714285714285</v>
      </c>
      <c r="K37" s="49">
        <f>AVERAGE('17.10 SSEMBABULE-KANONI'!K37,'18.10 SSEMBABULE-KANONI-24h'!K37,'19.10  SSEMBABULE- KANONI-24h'!K37,'20.10 SSEMBABULE-KANONI'!K37,'21.10 SSEMBABULE-KANONI'!K37,'22.10 SSEMBABULE-KANONI'!K37,'23.10 SSEMBABULE-KANONI'!K37)</f>
        <v>0.2857142857142857</v>
      </c>
      <c r="L37" s="49">
        <f>AVERAGE('17.10 SSEMBABULE-KANONI'!L37,'18.10 SSEMBABULE-KANONI-24h'!L37,'19.10  SSEMBABULE- KANONI-24h'!L37,'20.10 SSEMBABULE-KANONI'!L37,'21.10 SSEMBABULE-KANONI'!L37,'22.10 SSEMBABULE-KANONI'!L37,'23.10 SSEMBABULE-KANONI'!L37)</f>
        <v>0</v>
      </c>
      <c r="M37" s="49">
        <f>AVERAGE('17.10 SSEMBABULE-KANONI'!M37,'18.10 SSEMBABULE-KANONI-24h'!M37,'19.10  SSEMBABULE- KANONI-24h'!M37,'20.10 SSEMBABULE-KANONI'!M37,'21.10 SSEMBABULE-KANONI'!M37,'22.10 SSEMBABULE-KANONI'!M37,'23.10 SSEMBABULE-KANONI'!M37)</f>
        <v>6.4285714285714288</v>
      </c>
      <c r="N37" s="49">
        <f>AVERAGE('17.10 SSEMBABULE-KANONI'!N37,'18.10 SSEMBABULE-KANONI-24h'!N37,'19.10  SSEMBABULE- KANONI-24h'!N37,'20.10 SSEMBABULE-KANONI'!N37,'21.10 SSEMBABULE-KANONI'!N37,'22.10 SSEMBABULE-KANONI'!N37,'23.10 SSEMBABULE-KANONI'!N37)</f>
        <v>0.14285714285714285</v>
      </c>
      <c r="O37" s="15">
        <f t="shared" si="0"/>
        <v>3.8571428571428568</v>
      </c>
      <c r="P37" s="15">
        <f t="shared" si="1"/>
        <v>10.285714285714285</v>
      </c>
      <c r="R37" s="37" t="s">
        <v>85</v>
      </c>
      <c r="S37" s="54">
        <f t="shared" ref="S37:AF37" si="29">SUM(S10:S12)</f>
        <v>9.7142857142857153</v>
      </c>
      <c r="T37" s="55">
        <f t="shared" si="29"/>
        <v>4.5714285714285712</v>
      </c>
      <c r="U37" s="55">
        <f t="shared" si="29"/>
        <v>4.2857142857142856</v>
      </c>
      <c r="V37" s="55">
        <f t="shared" si="29"/>
        <v>4.1428571428571423</v>
      </c>
      <c r="W37" s="55">
        <f t="shared" si="29"/>
        <v>0.8571428571428571</v>
      </c>
      <c r="X37" s="55">
        <f t="shared" si="29"/>
        <v>0.42857142857142855</v>
      </c>
      <c r="Y37" s="55">
        <f t="shared" si="29"/>
        <v>6.2857142857142847</v>
      </c>
      <c r="Z37" s="55">
        <f t="shared" si="29"/>
        <v>2.8571428571428568</v>
      </c>
      <c r="AA37" s="55">
        <f t="shared" si="29"/>
        <v>5.5714285714285712</v>
      </c>
      <c r="AB37" s="55">
        <f t="shared" si="29"/>
        <v>0.5714285714285714</v>
      </c>
      <c r="AC37" s="55">
        <f t="shared" si="29"/>
        <v>82.428571428571431</v>
      </c>
      <c r="AD37" s="55">
        <f t="shared" si="29"/>
        <v>0</v>
      </c>
      <c r="AE37" s="56">
        <f t="shared" si="29"/>
        <v>39.285714285714278</v>
      </c>
      <c r="AF37" s="56">
        <f t="shared" si="29"/>
        <v>121.71428571428572</v>
      </c>
    </row>
    <row r="38" spans="2:32" ht="23.1" customHeight="1" x14ac:dyDescent="0.25">
      <c r="B38" s="24" t="s">
        <v>65</v>
      </c>
      <c r="C38" s="49">
        <f>AVERAGE('17.10 SSEMBABULE-KANONI'!C38,'18.10 SSEMBABULE-KANONI-24h'!C38,'19.10  SSEMBABULE- KANONI-24h'!C38,'20.10 SSEMBABULE-KANONI'!C38,'21.10 SSEMBABULE-KANONI'!C38,'22.10 SSEMBABULE-KANONI'!C38,'23.10 SSEMBABULE-KANONI'!C38)</f>
        <v>0.2857142857142857</v>
      </c>
      <c r="D38" s="49">
        <f>AVERAGE('17.10 SSEMBABULE-KANONI'!D38,'18.10 SSEMBABULE-KANONI-24h'!D38,'19.10  SSEMBABULE- KANONI-24h'!D38,'20.10 SSEMBABULE-KANONI'!D38,'21.10 SSEMBABULE-KANONI'!D38,'22.10 SSEMBABULE-KANONI'!D38,'23.10 SSEMBABULE-KANONI'!D38)</f>
        <v>0.5714285714285714</v>
      </c>
      <c r="E38" s="49">
        <f>AVERAGE('17.10 SSEMBABULE-KANONI'!E38,'18.10 SSEMBABULE-KANONI-24h'!E38,'19.10  SSEMBABULE- KANONI-24h'!E38,'20.10 SSEMBABULE-KANONI'!E38,'21.10 SSEMBABULE-KANONI'!E38,'22.10 SSEMBABULE-KANONI'!E38,'23.10 SSEMBABULE-KANONI'!E38)</f>
        <v>0</v>
      </c>
      <c r="F38" s="49">
        <f>AVERAGE('17.10 SSEMBABULE-KANONI'!F38,'18.10 SSEMBABULE-KANONI-24h'!F38,'19.10  SSEMBABULE- KANONI-24h'!F38,'20.10 SSEMBABULE-KANONI'!F38,'21.10 SSEMBABULE-KANONI'!F38,'22.10 SSEMBABULE-KANONI'!F38,'23.10 SSEMBABULE-KANONI'!F38)</f>
        <v>0.5714285714285714</v>
      </c>
      <c r="G38" s="49">
        <f>AVERAGE('17.10 SSEMBABULE-KANONI'!G38,'18.10 SSEMBABULE-KANONI-24h'!G38,'19.10  SSEMBABULE- KANONI-24h'!G38,'20.10 SSEMBABULE-KANONI'!G38,'21.10 SSEMBABULE-KANONI'!G38,'22.10 SSEMBABULE-KANONI'!G38,'23.10 SSEMBABULE-KANONI'!G38)</f>
        <v>0</v>
      </c>
      <c r="H38" s="49">
        <f>AVERAGE('17.10 SSEMBABULE-KANONI'!H38,'18.10 SSEMBABULE-KANONI-24h'!H38,'19.10  SSEMBABULE- KANONI-24h'!H38,'20.10 SSEMBABULE-KANONI'!H38,'21.10 SSEMBABULE-KANONI'!H38,'22.10 SSEMBABULE-KANONI'!H38,'23.10 SSEMBABULE-KANONI'!H38)</f>
        <v>0</v>
      </c>
      <c r="I38" s="49">
        <f>AVERAGE('17.10 SSEMBABULE-KANONI'!I38,'18.10 SSEMBABULE-KANONI-24h'!I38,'19.10  SSEMBABULE- KANONI-24h'!I38,'20.10 SSEMBABULE-KANONI'!I38,'21.10 SSEMBABULE-KANONI'!I38,'22.10 SSEMBABULE-KANONI'!I38,'23.10 SSEMBABULE-KANONI'!I38)</f>
        <v>0.42857142857142855</v>
      </c>
      <c r="J38" s="49">
        <f>AVERAGE('17.10 SSEMBABULE-KANONI'!J38,'18.10 SSEMBABULE-KANONI-24h'!J38,'19.10  SSEMBABULE- KANONI-24h'!J38,'20.10 SSEMBABULE-KANONI'!J38,'21.10 SSEMBABULE-KANONI'!J38,'22.10 SSEMBABULE-KANONI'!J38,'23.10 SSEMBABULE-KANONI'!J38)</f>
        <v>0.2857142857142857</v>
      </c>
      <c r="K38" s="49">
        <f>AVERAGE('17.10 SSEMBABULE-KANONI'!K38,'18.10 SSEMBABULE-KANONI-24h'!K38,'19.10  SSEMBABULE- KANONI-24h'!K38,'20.10 SSEMBABULE-KANONI'!K38,'21.10 SSEMBABULE-KANONI'!K38,'22.10 SSEMBABULE-KANONI'!K38,'23.10 SSEMBABULE-KANONI'!K38)</f>
        <v>0.2857142857142857</v>
      </c>
      <c r="L38" s="49">
        <f>AVERAGE('17.10 SSEMBABULE-KANONI'!L38,'18.10 SSEMBABULE-KANONI-24h'!L38,'19.10  SSEMBABULE- KANONI-24h'!L38,'20.10 SSEMBABULE-KANONI'!L38,'21.10 SSEMBABULE-KANONI'!L38,'22.10 SSEMBABULE-KANONI'!L38,'23.10 SSEMBABULE-KANONI'!L38)</f>
        <v>0.14285714285714285</v>
      </c>
      <c r="M38" s="49">
        <f>AVERAGE('17.10 SSEMBABULE-KANONI'!M38,'18.10 SSEMBABULE-KANONI-24h'!M38,'19.10  SSEMBABULE- KANONI-24h'!M38,'20.10 SSEMBABULE-KANONI'!M38,'21.10 SSEMBABULE-KANONI'!M38,'22.10 SSEMBABULE-KANONI'!M38,'23.10 SSEMBABULE-KANONI'!M38)</f>
        <v>7.8571428571428568</v>
      </c>
      <c r="N38" s="49">
        <f>AVERAGE('17.10 SSEMBABULE-KANONI'!N38,'18.10 SSEMBABULE-KANONI-24h'!N38,'19.10  SSEMBABULE- KANONI-24h'!N38,'20.10 SSEMBABULE-KANONI'!N38,'21.10 SSEMBABULE-KANONI'!N38,'22.10 SSEMBABULE-KANONI'!N38,'23.10 SSEMBABULE-KANONI'!N38)</f>
        <v>0</v>
      </c>
      <c r="O38" s="15">
        <f t="shared" si="0"/>
        <v>2.5714285714285712</v>
      </c>
      <c r="P38" s="15">
        <f t="shared" si="1"/>
        <v>10.428571428571427</v>
      </c>
      <c r="R38" s="28" t="s">
        <v>86</v>
      </c>
      <c r="S38" s="55">
        <f t="shared" ref="S38:AF38" si="30">SUM(S13:S18)</f>
        <v>25.285714285714285</v>
      </c>
      <c r="T38" s="55">
        <f t="shared" si="30"/>
        <v>11.571428571428573</v>
      </c>
      <c r="U38" s="55">
        <f t="shared" si="30"/>
        <v>9.1428571428571423</v>
      </c>
      <c r="V38" s="55">
        <f t="shared" si="30"/>
        <v>7.5714285714285703</v>
      </c>
      <c r="W38" s="55">
        <f t="shared" si="30"/>
        <v>0.71428571428571419</v>
      </c>
      <c r="X38" s="55">
        <f t="shared" si="30"/>
        <v>0</v>
      </c>
      <c r="Y38" s="55">
        <f t="shared" si="30"/>
        <v>14.428571428571427</v>
      </c>
      <c r="Z38" s="55">
        <f t="shared" si="30"/>
        <v>4.7142857142857135</v>
      </c>
      <c r="AA38" s="55">
        <f t="shared" si="30"/>
        <v>8.9999999999999982</v>
      </c>
      <c r="AB38" s="55">
        <f t="shared" si="30"/>
        <v>1.2857142857142856</v>
      </c>
      <c r="AC38" s="55">
        <f t="shared" si="30"/>
        <v>186</v>
      </c>
      <c r="AD38" s="55">
        <f t="shared" si="30"/>
        <v>0.42857142857142855</v>
      </c>
      <c r="AE38" s="56">
        <f t="shared" si="30"/>
        <v>84.142857142857139</v>
      </c>
      <c r="AF38" s="56">
        <f t="shared" si="30"/>
        <v>270.14285714285711</v>
      </c>
    </row>
    <row r="39" spans="2:32" ht="23.1" customHeight="1" x14ac:dyDescent="0.25">
      <c r="B39" s="24" t="s">
        <v>66</v>
      </c>
      <c r="C39" s="49">
        <f>AVERAGE('17.10 SSEMBABULE-KANONI'!C39,'18.10 SSEMBABULE-KANONI-24h'!C39,'19.10  SSEMBABULE- KANONI-24h'!C39,'20.10 SSEMBABULE-KANONI'!C39,'21.10 SSEMBABULE-KANONI'!C39,'22.10 SSEMBABULE-KANONI'!C39,'23.10 SSEMBABULE-KANONI'!C39)</f>
        <v>1.1428571428571428</v>
      </c>
      <c r="D39" s="49">
        <f>AVERAGE('17.10 SSEMBABULE-KANONI'!D39,'18.10 SSEMBABULE-KANONI-24h'!D39,'19.10  SSEMBABULE- KANONI-24h'!D39,'20.10 SSEMBABULE-KANONI'!D39,'21.10 SSEMBABULE-KANONI'!D39,'22.10 SSEMBABULE-KANONI'!D39,'23.10 SSEMBABULE-KANONI'!D39)</f>
        <v>0.42857142857142855</v>
      </c>
      <c r="E39" s="49">
        <f>AVERAGE('17.10 SSEMBABULE-KANONI'!E39,'18.10 SSEMBABULE-KANONI-24h'!E39,'19.10  SSEMBABULE- KANONI-24h'!E39,'20.10 SSEMBABULE-KANONI'!E39,'21.10 SSEMBABULE-KANONI'!E39,'22.10 SSEMBABULE-KANONI'!E39,'23.10 SSEMBABULE-KANONI'!E39)</f>
        <v>0</v>
      </c>
      <c r="F39" s="49">
        <f>AVERAGE('17.10 SSEMBABULE-KANONI'!F39,'18.10 SSEMBABULE-KANONI-24h'!F39,'19.10  SSEMBABULE- KANONI-24h'!F39,'20.10 SSEMBABULE-KANONI'!F39,'21.10 SSEMBABULE-KANONI'!F39,'22.10 SSEMBABULE-KANONI'!F39,'23.10 SSEMBABULE-KANONI'!F39)</f>
        <v>1.1428571428571428</v>
      </c>
      <c r="G39" s="49">
        <f>AVERAGE('17.10 SSEMBABULE-KANONI'!G39,'18.10 SSEMBABULE-KANONI-24h'!G39,'19.10  SSEMBABULE- KANONI-24h'!G39,'20.10 SSEMBABULE-KANONI'!G39,'21.10 SSEMBABULE-KANONI'!G39,'22.10 SSEMBABULE-KANONI'!G39,'23.10 SSEMBABULE-KANONI'!G39)</f>
        <v>0</v>
      </c>
      <c r="H39" s="49">
        <f>AVERAGE('17.10 SSEMBABULE-KANONI'!H39,'18.10 SSEMBABULE-KANONI-24h'!H39,'19.10  SSEMBABULE- KANONI-24h'!H39,'20.10 SSEMBABULE-KANONI'!H39,'21.10 SSEMBABULE-KANONI'!H39,'22.10 SSEMBABULE-KANONI'!H39,'23.10 SSEMBABULE-KANONI'!H39)</f>
        <v>0</v>
      </c>
      <c r="I39" s="49">
        <f>AVERAGE('17.10 SSEMBABULE-KANONI'!I39,'18.10 SSEMBABULE-KANONI-24h'!I39,'19.10  SSEMBABULE- KANONI-24h'!I39,'20.10 SSEMBABULE-KANONI'!I39,'21.10 SSEMBABULE-KANONI'!I39,'22.10 SSEMBABULE-KANONI'!I39,'23.10 SSEMBABULE-KANONI'!I39)</f>
        <v>0.42857142857142855</v>
      </c>
      <c r="J39" s="49">
        <f>AVERAGE('17.10 SSEMBABULE-KANONI'!J39,'18.10 SSEMBABULE-KANONI-24h'!J39,'19.10  SSEMBABULE- KANONI-24h'!J39,'20.10 SSEMBABULE-KANONI'!J39,'21.10 SSEMBABULE-KANONI'!J39,'22.10 SSEMBABULE-KANONI'!J39,'23.10 SSEMBABULE-KANONI'!J39)</f>
        <v>0.2857142857142857</v>
      </c>
      <c r="K39" s="49">
        <f>AVERAGE('17.10 SSEMBABULE-KANONI'!K39,'18.10 SSEMBABULE-KANONI-24h'!K39,'19.10  SSEMBABULE- KANONI-24h'!K39,'20.10 SSEMBABULE-KANONI'!K39,'21.10 SSEMBABULE-KANONI'!K39,'22.10 SSEMBABULE-KANONI'!K39,'23.10 SSEMBABULE-KANONI'!K39)</f>
        <v>0.14285714285714285</v>
      </c>
      <c r="L39" s="49">
        <f>AVERAGE('17.10 SSEMBABULE-KANONI'!L39,'18.10 SSEMBABULE-KANONI-24h'!L39,'19.10  SSEMBABULE- KANONI-24h'!L39,'20.10 SSEMBABULE-KANONI'!L39,'21.10 SSEMBABULE-KANONI'!L39,'22.10 SSEMBABULE-KANONI'!L39,'23.10 SSEMBABULE-KANONI'!L39)</f>
        <v>0</v>
      </c>
      <c r="M39" s="49">
        <f>AVERAGE('17.10 SSEMBABULE-KANONI'!M39,'18.10 SSEMBABULE-KANONI-24h'!M39,'19.10  SSEMBABULE- KANONI-24h'!M39,'20.10 SSEMBABULE-KANONI'!M39,'21.10 SSEMBABULE-KANONI'!M39,'22.10 SSEMBABULE-KANONI'!M39,'23.10 SSEMBABULE-KANONI'!M39)</f>
        <v>5.5714285714285712</v>
      </c>
      <c r="N39" s="49">
        <f>AVERAGE('17.10 SSEMBABULE-KANONI'!N39,'18.10 SSEMBABULE-KANONI-24h'!N39,'19.10  SSEMBABULE- KANONI-24h'!N39,'20.10 SSEMBABULE-KANONI'!N39,'21.10 SSEMBABULE-KANONI'!N39,'22.10 SSEMBABULE-KANONI'!N39,'23.10 SSEMBABULE-KANONI'!N39)</f>
        <v>0</v>
      </c>
      <c r="O39" s="15">
        <f t="shared" si="0"/>
        <v>3.5714285714285712</v>
      </c>
      <c r="P39" s="15">
        <f t="shared" si="1"/>
        <v>9.1428571428571423</v>
      </c>
      <c r="R39" s="29" t="s">
        <v>87</v>
      </c>
      <c r="S39" s="55">
        <f t="shared" ref="S39:AF39" si="31">SUM(S19:S21)</f>
        <v>20.142857142857142</v>
      </c>
      <c r="T39" s="55">
        <f t="shared" si="31"/>
        <v>8</v>
      </c>
      <c r="U39" s="55">
        <f t="shared" si="31"/>
        <v>2.8571428571428568</v>
      </c>
      <c r="V39" s="55">
        <f t="shared" si="31"/>
        <v>6.4285714285714288</v>
      </c>
      <c r="W39" s="55">
        <f t="shared" si="31"/>
        <v>2</v>
      </c>
      <c r="X39" s="55">
        <f t="shared" si="31"/>
        <v>0.2857142857142857</v>
      </c>
      <c r="Y39" s="55">
        <f t="shared" si="31"/>
        <v>8.8571428571428577</v>
      </c>
      <c r="Z39" s="55">
        <f t="shared" si="31"/>
        <v>3.4285714285714279</v>
      </c>
      <c r="AA39" s="55">
        <f t="shared" si="31"/>
        <v>3.5714285714285712</v>
      </c>
      <c r="AB39" s="55">
        <f t="shared" si="31"/>
        <v>0.5714285714285714</v>
      </c>
      <c r="AC39" s="55">
        <f t="shared" si="31"/>
        <v>112.42857142857142</v>
      </c>
      <c r="AD39" s="55">
        <f t="shared" si="31"/>
        <v>0</v>
      </c>
      <c r="AE39" s="56">
        <f t="shared" si="31"/>
        <v>56.142857142857139</v>
      </c>
      <c r="AF39" s="56">
        <f t="shared" si="31"/>
        <v>168.57142857142856</v>
      </c>
    </row>
    <row r="40" spans="2:32" ht="23.1" customHeight="1" x14ac:dyDescent="0.25">
      <c r="B40" s="24" t="s">
        <v>67</v>
      </c>
      <c r="C40" s="49">
        <f>AVERAGE('17.10 SSEMBABULE-KANONI'!C40,'18.10 SSEMBABULE-KANONI-24h'!C40,'19.10  SSEMBABULE- KANONI-24h'!C40,'20.10 SSEMBABULE-KANONI'!C40,'21.10 SSEMBABULE-KANONI'!C40,'22.10 SSEMBABULE-KANONI'!C40,'23.10 SSEMBABULE-KANONI'!C40)</f>
        <v>2</v>
      </c>
      <c r="D40" s="49">
        <f>AVERAGE('17.10 SSEMBABULE-KANONI'!D40,'18.10 SSEMBABULE-KANONI-24h'!D40,'19.10  SSEMBABULE- KANONI-24h'!D40,'20.10 SSEMBABULE-KANONI'!D40,'21.10 SSEMBABULE-KANONI'!D40,'22.10 SSEMBABULE-KANONI'!D40,'23.10 SSEMBABULE-KANONI'!D40)</f>
        <v>0.42857142857142855</v>
      </c>
      <c r="E40" s="49">
        <f>AVERAGE('17.10 SSEMBABULE-KANONI'!E40,'18.10 SSEMBABULE-KANONI-24h'!E40,'19.10  SSEMBABULE- KANONI-24h'!E40,'20.10 SSEMBABULE-KANONI'!E40,'21.10 SSEMBABULE-KANONI'!E40,'22.10 SSEMBABULE-KANONI'!E40,'23.10 SSEMBABULE-KANONI'!E40)</f>
        <v>0.14285714285714285</v>
      </c>
      <c r="F40" s="49">
        <f>AVERAGE('17.10 SSEMBABULE-KANONI'!F40,'18.10 SSEMBABULE-KANONI-24h'!F40,'19.10  SSEMBABULE- KANONI-24h'!F40,'20.10 SSEMBABULE-KANONI'!F40,'21.10 SSEMBABULE-KANONI'!F40,'22.10 SSEMBABULE-KANONI'!F40,'23.10 SSEMBABULE-KANONI'!F40)</f>
        <v>0.5714285714285714</v>
      </c>
      <c r="G40" s="49">
        <f>AVERAGE('17.10 SSEMBABULE-KANONI'!G40,'18.10 SSEMBABULE-KANONI-24h'!G40,'19.10  SSEMBABULE- KANONI-24h'!G40,'20.10 SSEMBABULE-KANONI'!G40,'21.10 SSEMBABULE-KANONI'!G40,'22.10 SSEMBABULE-KANONI'!G40,'23.10 SSEMBABULE-KANONI'!G40)</f>
        <v>0</v>
      </c>
      <c r="H40" s="49">
        <f>AVERAGE('17.10 SSEMBABULE-KANONI'!H40,'18.10 SSEMBABULE-KANONI-24h'!H40,'19.10  SSEMBABULE- KANONI-24h'!H40,'20.10 SSEMBABULE-KANONI'!H40,'21.10 SSEMBABULE-KANONI'!H40,'22.10 SSEMBABULE-KANONI'!H40,'23.10 SSEMBABULE-KANONI'!H40)</f>
        <v>0</v>
      </c>
      <c r="I40" s="49">
        <f>AVERAGE('17.10 SSEMBABULE-KANONI'!I40,'18.10 SSEMBABULE-KANONI-24h'!I40,'19.10  SSEMBABULE- KANONI-24h'!I40,'20.10 SSEMBABULE-KANONI'!I40,'21.10 SSEMBABULE-KANONI'!I40,'22.10 SSEMBABULE-KANONI'!I40,'23.10 SSEMBABULE-KANONI'!I40)</f>
        <v>0.7142857142857143</v>
      </c>
      <c r="J40" s="49">
        <f>AVERAGE('17.10 SSEMBABULE-KANONI'!J40,'18.10 SSEMBABULE-KANONI-24h'!J40,'19.10  SSEMBABULE- KANONI-24h'!J40,'20.10 SSEMBABULE-KANONI'!J40,'21.10 SSEMBABULE-KANONI'!J40,'22.10 SSEMBABULE-KANONI'!J40,'23.10 SSEMBABULE-KANONI'!J40)</f>
        <v>0.14285714285714285</v>
      </c>
      <c r="K40" s="49">
        <f>AVERAGE('17.10 SSEMBABULE-KANONI'!K40,'18.10 SSEMBABULE-KANONI-24h'!K40,'19.10  SSEMBABULE- KANONI-24h'!K40,'20.10 SSEMBABULE-KANONI'!K40,'21.10 SSEMBABULE-KANONI'!K40,'22.10 SSEMBABULE-KANONI'!K40,'23.10 SSEMBABULE-KANONI'!K40)</f>
        <v>0.2857142857142857</v>
      </c>
      <c r="L40" s="49">
        <f>AVERAGE('17.10 SSEMBABULE-KANONI'!L40,'18.10 SSEMBABULE-KANONI-24h'!L40,'19.10  SSEMBABULE- KANONI-24h'!L40,'20.10 SSEMBABULE-KANONI'!L40,'21.10 SSEMBABULE-KANONI'!L40,'22.10 SSEMBABULE-KANONI'!L40,'23.10 SSEMBABULE-KANONI'!L40)</f>
        <v>0</v>
      </c>
      <c r="M40" s="49">
        <f>AVERAGE('17.10 SSEMBABULE-KANONI'!M40,'18.10 SSEMBABULE-KANONI-24h'!M40,'19.10  SSEMBABULE- KANONI-24h'!M40,'20.10 SSEMBABULE-KANONI'!M40,'21.10 SSEMBABULE-KANONI'!M40,'22.10 SSEMBABULE-KANONI'!M40,'23.10 SSEMBABULE-KANONI'!M40)</f>
        <v>7.1428571428571432</v>
      </c>
      <c r="N40" s="49">
        <f>AVERAGE('17.10 SSEMBABULE-KANONI'!N40,'18.10 SSEMBABULE-KANONI-24h'!N40,'19.10  SSEMBABULE- KANONI-24h'!N40,'20.10 SSEMBABULE-KANONI'!N40,'21.10 SSEMBABULE-KANONI'!N40,'22.10 SSEMBABULE-KANONI'!N40,'23.10 SSEMBABULE-KANONI'!N40)</f>
        <v>0.14285714285714285</v>
      </c>
      <c r="O40" s="15">
        <f t="shared" si="0"/>
        <v>4.4285714285714288</v>
      </c>
      <c r="P40" s="15">
        <f t="shared" si="1"/>
        <v>11.571428571428571</v>
      </c>
      <c r="R40" s="5" t="s">
        <v>17</v>
      </c>
      <c r="S40" s="55">
        <f t="shared" ref="S40:AF40" si="32">SUM(S10:S21)</f>
        <v>55.142857142857139</v>
      </c>
      <c r="T40" s="55">
        <f t="shared" si="32"/>
        <v>24.142857142857142</v>
      </c>
      <c r="U40" s="55">
        <f t="shared" si="32"/>
        <v>16.285714285714285</v>
      </c>
      <c r="V40" s="55">
        <f t="shared" si="32"/>
        <v>18.142857142857142</v>
      </c>
      <c r="W40" s="55">
        <f t="shared" si="32"/>
        <v>3.5714285714285712</v>
      </c>
      <c r="X40" s="55">
        <f t="shared" si="32"/>
        <v>0.71428571428571419</v>
      </c>
      <c r="Y40" s="55">
        <f t="shared" si="32"/>
        <v>29.571428571428569</v>
      </c>
      <c r="Z40" s="55">
        <f t="shared" si="32"/>
        <v>10.999999999999996</v>
      </c>
      <c r="AA40" s="55">
        <f t="shared" si="32"/>
        <v>18.142857142857139</v>
      </c>
      <c r="AB40" s="55">
        <f t="shared" si="32"/>
        <v>2.4285714285714279</v>
      </c>
      <c r="AC40" s="55">
        <f t="shared" si="32"/>
        <v>380.85714285714289</v>
      </c>
      <c r="AD40" s="55">
        <f t="shared" si="32"/>
        <v>0.42857142857142855</v>
      </c>
      <c r="AE40" s="56">
        <f t="shared" si="32"/>
        <v>179.57142857142856</v>
      </c>
      <c r="AF40" s="56">
        <f t="shared" si="32"/>
        <v>560.42857142857133</v>
      </c>
    </row>
    <row r="41" spans="2:32" ht="23.1" customHeight="1" x14ac:dyDescent="0.25">
      <c r="B41" s="23" t="s">
        <v>68</v>
      </c>
      <c r="C41" s="49">
        <f>AVERAGE('17.10 SSEMBABULE-KANONI'!C41,'18.10 SSEMBABULE-KANONI-24h'!C41,'19.10  SSEMBABULE- KANONI-24h'!C41,'20.10 SSEMBABULE-KANONI'!C41,'21.10 SSEMBABULE-KANONI'!C41,'22.10 SSEMBABULE-KANONI'!C41,'23.10 SSEMBABULE-KANONI'!C41)</f>
        <v>1.7142857142857142</v>
      </c>
      <c r="D41" s="49">
        <f>AVERAGE('17.10 SSEMBABULE-KANONI'!D41,'18.10 SSEMBABULE-KANONI-24h'!D41,'19.10  SSEMBABULE- KANONI-24h'!D41,'20.10 SSEMBABULE-KANONI'!D41,'21.10 SSEMBABULE-KANONI'!D41,'22.10 SSEMBABULE-KANONI'!D41,'23.10 SSEMBABULE-KANONI'!D41)</f>
        <v>0.42857142857142855</v>
      </c>
      <c r="E41" s="49">
        <f>AVERAGE('17.10 SSEMBABULE-KANONI'!E41,'18.10 SSEMBABULE-KANONI-24h'!E41,'19.10  SSEMBABULE- KANONI-24h'!E41,'20.10 SSEMBABULE-KANONI'!E41,'21.10 SSEMBABULE-KANONI'!E41,'22.10 SSEMBABULE-KANONI'!E41,'23.10 SSEMBABULE-KANONI'!E41)</f>
        <v>1</v>
      </c>
      <c r="F41" s="49">
        <f>AVERAGE('17.10 SSEMBABULE-KANONI'!F41,'18.10 SSEMBABULE-KANONI-24h'!F41,'19.10  SSEMBABULE- KANONI-24h'!F41,'20.10 SSEMBABULE-KANONI'!F41,'21.10 SSEMBABULE-KANONI'!F41,'22.10 SSEMBABULE-KANONI'!F41,'23.10 SSEMBABULE-KANONI'!F41)</f>
        <v>0.42857142857142855</v>
      </c>
      <c r="G41" s="49">
        <f>AVERAGE('17.10 SSEMBABULE-KANONI'!G41,'18.10 SSEMBABULE-KANONI-24h'!G41,'19.10  SSEMBABULE- KANONI-24h'!G41,'20.10 SSEMBABULE-KANONI'!G41,'21.10 SSEMBABULE-KANONI'!G41,'22.10 SSEMBABULE-KANONI'!G41,'23.10 SSEMBABULE-KANONI'!G41)</f>
        <v>0.2857142857142857</v>
      </c>
      <c r="H41" s="49">
        <f>AVERAGE('17.10 SSEMBABULE-KANONI'!H41,'18.10 SSEMBABULE-KANONI-24h'!H41,'19.10  SSEMBABULE- KANONI-24h'!H41,'20.10 SSEMBABULE-KANONI'!H41,'21.10 SSEMBABULE-KANONI'!H41,'22.10 SSEMBABULE-KANONI'!H41,'23.10 SSEMBABULE-KANONI'!H41)</f>
        <v>0</v>
      </c>
      <c r="I41" s="49">
        <f>AVERAGE('17.10 SSEMBABULE-KANONI'!I41,'18.10 SSEMBABULE-KANONI-24h'!I41,'19.10  SSEMBABULE- KANONI-24h'!I41,'20.10 SSEMBABULE-KANONI'!I41,'21.10 SSEMBABULE-KANONI'!I41,'22.10 SSEMBABULE-KANONI'!I41,'23.10 SSEMBABULE-KANONI'!I41)</f>
        <v>1</v>
      </c>
      <c r="J41" s="49">
        <f>AVERAGE('17.10 SSEMBABULE-KANONI'!J41,'18.10 SSEMBABULE-KANONI-24h'!J41,'19.10  SSEMBABULE- KANONI-24h'!J41,'20.10 SSEMBABULE-KANONI'!J41,'21.10 SSEMBABULE-KANONI'!J41,'22.10 SSEMBABULE-KANONI'!J41,'23.10 SSEMBABULE-KANONI'!J41)</f>
        <v>0</v>
      </c>
      <c r="K41" s="49">
        <f>AVERAGE('17.10 SSEMBABULE-KANONI'!K41,'18.10 SSEMBABULE-KANONI-24h'!K41,'19.10  SSEMBABULE- KANONI-24h'!K41,'20.10 SSEMBABULE-KANONI'!K41,'21.10 SSEMBABULE-KANONI'!K41,'22.10 SSEMBABULE-KANONI'!K41,'23.10 SSEMBABULE-KANONI'!K41)</f>
        <v>0.2857142857142857</v>
      </c>
      <c r="L41" s="49">
        <f>AVERAGE('17.10 SSEMBABULE-KANONI'!L41,'18.10 SSEMBABULE-KANONI-24h'!L41,'19.10  SSEMBABULE- KANONI-24h'!L41,'20.10 SSEMBABULE-KANONI'!L41,'21.10 SSEMBABULE-KANONI'!L41,'22.10 SSEMBABULE-KANONI'!L41,'23.10 SSEMBABULE-KANONI'!L41)</f>
        <v>0</v>
      </c>
      <c r="M41" s="49">
        <f>AVERAGE('17.10 SSEMBABULE-KANONI'!M41,'18.10 SSEMBABULE-KANONI-24h'!M41,'19.10  SSEMBABULE- KANONI-24h'!M41,'20.10 SSEMBABULE-KANONI'!M41,'21.10 SSEMBABULE-KANONI'!M41,'22.10 SSEMBABULE-KANONI'!M41,'23.10 SSEMBABULE-KANONI'!M41)</f>
        <v>7.2857142857142856</v>
      </c>
      <c r="N41" s="49">
        <f>AVERAGE('17.10 SSEMBABULE-KANONI'!N41,'18.10 SSEMBABULE-KANONI-24h'!N41,'19.10  SSEMBABULE- KANONI-24h'!N41,'20.10 SSEMBABULE-KANONI'!N41,'21.10 SSEMBABULE-KANONI'!N41,'22.10 SSEMBABULE-KANONI'!N41,'23.10 SSEMBABULE-KANONI'!N41)</f>
        <v>0</v>
      </c>
      <c r="O41" s="15">
        <f t="shared" si="0"/>
        <v>5.1428571428571423</v>
      </c>
      <c r="P41" s="15">
        <f t="shared" si="1"/>
        <v>12.428571428571427</v>
      </c>
      <c r="R41" s="5" t="s">
        <v>184</v>
      </c>
      <c r="S41" s="55">
        <f>SUM(S10:S33)</f>
        <v>82.642857142857139</v>
      </c>
      <c r="T41" s="55">
        <f t="shared" ref="T41:AD41" si="33">SUM(T10:T33)</f>
        <v>30.642857142857142</v>
      </c>
      <c r="U41" s="55">
        <f t="shared" si="33"/>
        <v>21.285714285714285</v>
      </c>
      <c r="V41" s="55">
        <f t="shared" si="33"/>
        <v>31.142857142857142</v>
      </c>
      <c r="W41" s="55">
        <f t="shared" si="33"/>
        <v>6.0714285714285712</v>
      </c>
      <c r="X41" s="55">
        <f t="shared" si="33"/>
        <v>1.2142857142857142</v>
      </c>
      <c r="Y41" s="55">
        <f t="shared" si="33"/>
        <v>45.071428571428569</v>
      </c>
      <c r="Z41" s="55">
        <f t="shared" si="33"/>
        <v>23.999999999999996</v>
      </c>
      <c r="AA41" s="55">
        <f t="shared" si="33"/>
        <v>29.142857142857139</v>
      </c>
      <c r="AB41" s="55">
        <f t="shared" si="33"/>
        <v>7.4285714285714279</v>
      </c>
      <c r="AC41" s="55">
        <f t="shared" si="33"/>
        <v>487.35714285714289</v>
      </c>
      <c r="AD41" s="55">
        <f t="shared" si="33"/>
        <v>0.42857142857142855</v>
      </c>
      <c r="AE41" s="56">
        <f>SUM(AE10:AE33)</f>
        <v>279.07142857142856</v>
      </c>
      <c r="AF41" s="56">
        <f>SUM(AF10:AF33)</f>
        <v>766.42857142857133</v>
      </c>
    </row>
    <row r="42" spans="2:32" ht="23.1" customHeight="1" x14ac:dyDescent="0.25">
      <c r="B42" s="24" t="s">
        <v>69</v>
      </c>
      <c r="C42" s="49">
        <f>AVERAGE('17.10 SSEMBABULE-KANONI'!C42,'18.10 SSEMBABULE-KANONI-24h'!C42,'19.10  SSEMBABULE- KANONI-24h'!C42,'20.10 SSEMBABULE-KANONI'!C42,'21.10 SSEMBABULE-KANONI'!C42,'22.10 SSEMBABULE-KANONI'!C42,'23.10 SSEMBABULE-KANONI'!C42)</f>
        <v>1.1428571428571428</v>
      </c>
      <c r="D42" s="49">
        <f>AVERAGE('17.10 SSEMBABULE-KANONI'!D42,'18.10 SSEMBABULE-KANONI-24h'!D42,'19.10  SSEMBABULE- KANONI-24h'!D42,'20.10 SSEMBABULE-KANONI'!D42,'21.10 SSEMBABULE-KANONI'!D42,'22.10 SSEMBABULE-KANONI'!D42,'23.10 SSEMBABULE-KANONI'!D42)</f>
        <v>0.42857142857142855</v>
      </c>
      <c r="E42" s="49">
        <f>AVERAGE('17.10 SSEMBABULE-KANONI'!E42,'18.10 SSEMBABULE-KANONI-24h'!E42,'19.10  SSEMBABULE- KANONI-24h'!E42,'20.10 SSEMBABULE-KANONI'!E42,'21.10 SSEMBABULE-KANONI'!E42,'22.10 SSEMBABULE-KANONI'!E42,'23.10 SSEMBABULE-KANONI'!E42)</f>
        <v>0.14285714285714285</v>
      </c>
      <c r="F42" s="49">
        <f>AVERAGE('17.10 SSEMBABULE-KANONI'!F42,'18.10 SSEMBABULE-KANONI-24h'!F42,'19.10  SSEMBABULE- KANONI-24h'!F42,'20.10 SSEMBABULE-KANONI'!F42,'21.10 SSEMBABULE-KANONI'!F42,'22.10 SSEMBABULE-KANONI'!F42,'23.10 SSEMBABULE-KANONI'!F42)</f>
        <v>0.42857142857142855</v>
      </c>
      <c r="G42" s="49">
        <f>AVERAGE('17.10 SSEMBABULE-KANONI'!G42,'18.10 SSEMBABULE-KANONI-24h'!G42,'19.10  SSEMBABULE- KANONI-24h'!G42,'20.10 SSEMBABULE-KANONI'!G42,'21.10 SSEMBABULE-KANONI'!G42,'22.10 SSEMBABULE-KANONI'!G42,'23.10 SSEMBABULE-KANONI'!G42)</f>
        <v>0</v>
      </c>
      <c r="H42" s="49">
        <f>AVERAGE('17.10 SSEMBABULE-KANONI'!H42,'18.10 SSEMBABULE-KANONI-24h'!H42,'19.10  SSEMBABULE- KANONI-24h'!H42,'20.10 SSEMBABULE-KANONI'!H42,'21.10 SSEMBABULE-KANONI'!H42,'22.10 SSEMBABULE-KANONI'!H42,'23.10 SSEMBABULE-KANONI'!H42)</f>
        <v>0</v>
      </c>
      <c r="I42" s="49">
        <f>AVERAGE('17.10 SSEMBABULE-KANONI'!I42,'18.10 SSEMBABULE-KANONI-24h'!I42,'19.10  SSEMBABULE- KANONI-24h'!I42,'20.10 SSEMBABULE-KANONI'!I42,'21.10 SSEMBABULE-KANONI'!I42,'22.10 SSEMBABULE-KANONI'!I42,'23.10 SSEMBABULE-KANONI'!I42)</f>
        <v>0.42857142857142855</v>
      </c>
      <c r="J42" s="49">
        <f>AVERAGE('17.10 SSEMBABULE-KANONI'!J42,'18.10 SSEMBABULE-KANONI-24h'!J42,'19.10  SSEMBABULE- KANONI-24h'!J42,'20.10 SSEMBABULE-KANONI'!J42,'21.10 SSEMBABULE-KANONI'!J42,'22.10 SSEMBABULE-KANONI'!J42,'23.10 SSEMBABULE-KANONI'!J42)</f>
        <v>0</v>
      </c>
      <c r="K42" s="49">
        <f>AVERAGE('17.10 SSEMBABULE-KANONI'!K42,'18.10 SSEMBABULE-KANONI-24h'!K42,'19.10  SSEMBABULE- KANONI-24h'!K42,'20.10 SSEMBABULE-KANONI'!K42,'21.10 SSEMBABULE-KANONI'!K42,'22.10 SSEMBABULE-KANONI'!K42,'23.10 SSEMBABULE-KANONI'!K42)</f>
        <v>0</v>
      </c>
      <c r="L42" s="49">
        <f>AVERAGE('17.10 SSEMBABULE-KANONI'!L42,'18.10 SSEMBABULE-KANONI-24h'!L42,'19.10  SSEMBABULE- KANONI-24h'!L42,'20.10 SSEMBABULE-KANONI'!L42,'21.10 SSEMBABULE-KANONI'!L42,'22.10 SSEMBABULE-KANONI'!L42,'23.10 SSEMBABULE-KANONI'!L42)</f>
        <v>0.14285714285714285</v>
      </c>
      <c r="M42" s="49">
        <f>AVERAGE('17.10 SSEMBABULE-KANONI'!M42,'18.10 SSEMBABULE-KANONI-24h'!M42,'19.10  SSEMBABULE- KANONI-24h'!M42,'20.10 SSEMBABULE-KANONI'!M42,'21.10 SSEMBABULE-KANONI'!M42,'22.10 SSEMBABULE-KANONI'!M42,'23.10 SSEMBABULE-KANONI'!M42)</f>
        <v>8.5714285714285712</v>
      </c>
      <c r="N42" s="49">
        <f>AVERAGE('17.10 SSEMBABULE-KANONI'!N42,'18.10 SSEMBABULE-KANONI-24h'!N42,'19.10  SSEMBABULE- KANONI-24h'!N42,'20.10 SSEMBABULE-KANONI'!N42,'21.10 SSEMBABULE-KANONI'!N42,'22.10 SSEMBABULE-KANONI'!N42,'23.10 SSEMBABULE-KANONI'!N42)</f>
        <v>0</v>
      </c>
      <c r="O42" s="15">
        <f t="shared" si="0"/>
        <v>2.714285714285714</v>
      </c>
      <c r="P42" s="15">
        <f t="shared" si="1"/>
        <v>11.285714285714285</v>
      </c>
      <c r="R42" s="5" t="s">
        <v>160</v>
      </c>
      <c r="S42" s="48">
        <f>S41/S40</f>
        <v>1.4987046632124352</v>
      </c>
      <c r="T42" s="48">
        <f t="shared" ref="T42:AF42" si="34">T41/T40</f>
        <v>1.2692307692307692</v>
      </c>
      <c r="U42" s="48">
        <f t="shared" si="34"/>
        <v>1.3070175438596492</v>
      </c>
      <c r="V42" s="48">
        <f t="shared" si="34"/>
        <v>1.7165354330708662</v>
      </c>
      <c r="W42" s="48">
        <f t="shared" si="34"/>
        <v>1.7</v>
      </c>
      <c r="X42" s="48">
        <f t="shared" si="34"/>
        <v>1.7000000000000002</v>
      </c>
      <c r="Y42" s="48">
        <f t="shared" si="34"/>
        <v>1.5241545893719808</v>
      </c>
      <c r="Z42" s="48">
        <f t="shared" si="34"/>
        <v>2.1818181818181821</v>
      </c>
      <c r="AA42" s="48">
        <f t="shared" si="34"/>
        <v>1.6062992125984252</v>
      </c>
      <c r="AB42" s="48">
        <f t="shared" si="34"/>
        <v>3.0588235294117654</v>
      </c>
      <c r="AC42" s="48">
        <f t="shared" si="34"/>
        <v>1.2796324081020254</v>
      </c>
      <c r="AD42" s="48">
        <f t="shared" si="34"/>
        <v>1</v>
      </c>
      <c r="AE42" s="57">
        <f t="shared" si="34"/>
        <v>1.5540970564836913</v>
      </c>
      <c r="AF42" s="57">
        <f t="shared" si="34"/>
        <v>1.3675758348202907</v>
      </c>
    </row>
    <row r="43" spans="2:32" ht="23.1" customHeight="1" x14ac:dyDescent="0.25">
      <c r="B43" s="23" t="s">
        <v>70</v>
      </c>
      <c r="C43" s="49">
        <f>AVERAGE('17.10 SSEMBABULE-KANONI'!C43,'18.10 SSEMBABULE-KANONI-24h'!C43,'19.10  SSEMBABULE- KANONI-24h'!C43,'20.10 SSEMBABULE-KANONI'!C43,'21.10 SSEMBABULE-KANONI'!C43,'22.10 SSEMBABULE-KANONI'!C43,'23.10 SSEMBABULE-KANONI'!C43)</f>
        <v>1.8571428571428572</v>
      </c>
      <c r="D43" s="49">
        <f>AVERAGE('17.10 SSEMBABULE-KANONI'!D43,'18.10 SSEMBABULE-KANONI-24h'!D43,'19.10  SSEMBABULE- KANONI-24h'!D43,'20.10 SSEMBABULE-KANONI'!D43,'21.10 SSEMBABULE-KANONI'!D43,'22.10 SSEMBABULE-KANONI'!D43,'23.10 SSEMBABULE-KANONI'!D43)</f>
        <v>0.5714285714285714</v>
      </c>
      <c r="E43" s="49">
        <f>AVERAGE('17.10 SSEMBABULE-KANONI'!E43,'18.10 SSEMBABULE-KANONI-24h'!E43,'19.10  SSEMBABULE- KANONI-24h'!E43,'20.10 SSEMBABULE-KANONI'!E43,'21.10 SSEMBABULE-KANONI'!E43,'22.10 SSEMBABULE-KANONI'!E43,'23.10 SSEMBABULE-KANONI'!E43)</f>
        <v>0.2857142857142857</v>
      </c>
      <c r="F43" s="49">
        <f>AVERAGE('17.10 SSEMBABULE-KANONI'!F43,'18.10 SSEMBABULE-KANONI-24h'!F43,'19.10  SSEMBABULE- KANONI-24h'!F43,'20.10 SSEMBABULE-KANONI'!F43,'21.10 SSEMBABULE-KANONI'!F43,'22.10 SSEMBABULE-KANONI'!F43,'23.10 SSEMBABULE-KANONI'!F43)</f>
        <v>0.42857142857142855</v>
      </c>
      <c r="G43" s="49">
        <f>AVERAGE('17.10 SSEMBABULE-KANONI'!G43,'18.10 SSEMBABULE-KANONI-24h'!G43,'19.10  SSEMBABULE- KANONI-24h'!G43,'20.10 SSEMBABULE-KANONI'!G43,'21.10 SSEMBABULE-KANONI'!G43,'22.10 SSEMBABULE-KANONI'!G43,'23.10 SSEMBABULE-KANONI'!G43)</f>
        <v>0</v>
      </c>
      <c r="H43" s="49">
        <f>AVERAGE('17.10 SSEMBABULE-KANONI'!H43,'18.10 SSEMBABULE-KANONI-24h'!H43,'19.10  SSEMBABULE- KANONI-24h'!H43,'20.10 SSEMBABULE-KANONI'!H43,'21.10 SSEMBABULE-KANONI'!H43,'22.10 SSEMBABULE-KANONI'!H43,'23.10 SSEMBABULE-KANONI'!H43)</f>
        <v>0</v>
      </c>
      <c r="I43" s="49">
        <f>AVERAGE('17.10 SSEMBABULE-KANONI'!I43,'18.10 SSEMBABULE-KANONI-24h'!I43,'19.10  SSEMBABULE- KANONI-24h'!I43,'20.10 SSEMBABULE-KANONI'!I43,'21.10 SSEMBABULE-KANONI'!I43,'22.10 SSEMBABULE-KANONI'!I43,'23.10 SSEMBABULE-KANONI'!I43)</f>
        <v>0.8571428571428571</v>
      </c>
      <c r="J43" s="49">
        <f>AVERAGE('17.10 SSEMBABULE-KANONI'!J43,'18.10 SSEMBABULE-KANONI-24h'!J43,'19.10  SSEMBABULE- KANONI-24h'!J43,'20.10 SSEMBABULE-KANONI'!J43,'21.10 SSEMBABULE-KANONI'!J43,'22.10 SSEMBABULE-KANONI'!J43,'23.10 SSEMBABULE-KANONI'!J43)</f>
        <v>0.7142857142857143</v>
      </c>
      <c r="K43" s="49">
        <f>AVERAGE('17.10 SSEMBABULE-KANONI'!K43,'18.10 SSEMBABULE-KANONI-24h'!K43,'19.10  SSEMBABULE- KANONI-24h'!K43,'20.10 SSEMBABULE-KANONI'!K43,'21.10 SSEMBABULE-KANONI'!K43,'22.10 SSEMBABULE-KANONI'!K43,'23.10 SSEMBABULE-KANONI'!K43)</f>
        <v>0.14285714285714285</v>
      </c>
      <c r="L43" s="49">
        <f>AVERAGE('17.10 SSEMBABULE-KANONI'!L43,'18.10 SSEMBABULE-KANONI-24h'!L43,'19.10  SSEMBABULE- KANONI-24h'!L43,'20.10 SSEMBABULE-KANONI'!L43,'21.10 SSEMBABULE-KANONI'!L43,'22.10 SSEMBABULE-KANONI'!L43,'23.10 SSEMBABULE-KANONI'!L43)</f>
        <v>0.14285714285714285</v>
      </c>
      <c r="M43" s="49">
        <f>AVERAGE('17.10 SSEMBABULE-KANONI'!M43,'18.10 SSEMBABULE-KANONI-24h'!M43,'19.10  SSEMBABULE- KANONI-24h'!M43,'20.10 SSEMBABULE-KANONI'!M43,'21.10 SSEMBABULE-KANONI'!M43,'22.10 SSEMBABULE-KANONI'!M43,'23.10 SSEMBABULE-KANONI'!M43)</f>
        <v>8.4285714285714288</v>
      </c>
      <c r="N43" s="49">
        <f>AVERAGE('17.10 SSEMBABULE-KANONI'!N43,'18.10 SSEMBABULE-KANONI-24h'!N43,'19.10  SSEMBABULE- KANONI-24h'!N43,'20.10 SSEMBABULE-KANONI'!N43,'21.10 SSEMBABULE-KANONI'!N43,'22.10 SSEMBABULE-KANONI'!N43,'23.10 SSEMBABULE-KANONI'!N43)</f>
        <v>0</v>
      </c>
      <c r="O43" s="15">
        <f t="shared" si="0"/>
        <v>5.0000000000000009</v>
      </c>
      <c r="P43" s="15">
        <f t="shared" si="1"/>
        <v>13.428571428571431</v>
      </c>
    </row>
    <row r="44" spans="2:32" ht="23.1" customHeight="1" x14ac:dyDescent="0.25">
      <c r="B44" s="25" t="s">
        <v>71</v>
      </c>
      <c r="C44" s="49">
        <f>AVERAGE('17.10 SSEMBABULE-KANONI'!C44,'18.10 SSEMBABULE-KANONI-24h'!C44,'19.10  SSEMBABULE- KANONI-24h'!C44,'20.10 SSEMBABULE-KANONI'!C44,'21.10 SSEMBABULE-KANONI'!C44,'22.10 SSEMBABULE-KANONI'!C44,'23.10 SSEMBABULE-KANONI'!C44)</f>
        <v>1.2857142857142858</v>
      </c>
      <c r="D44" s="49">
        <f>AVERAGE('17.10 SSEMBABULE-KANONI'!D44,'18.10 SSEMBABULE-KANONI-24h'!D44,'19.10  SSEMBABULE- KANONI-24h'!D44,'20.10 SSEMBABULE-KANONI'!D44,'21.10 SSEMBABULE-KANONI'!D44,'22.10 SSEMBABULE-KANONI'!D44,'23.10 SSEMBABULE-KANONI'!D44)</f>
        <v>0</v>
      </c>
      <c r="E44" s="49">
        <f>AVERAGE('17.10 SSEMBABULE-KANONI'!E44,'18.10 SSEMBABULE-KANONI-24h'!E44,'19.10  SSEMBABULE- KANONI-24h'!E44,'20.10 SSEMBABULE-KANONI'!E44,'21.10 SSEMBABULE-KANONI'!E44,'22.10 SSEMBABULE-KANONI'!E44,'23.10 SSEMBABULE-KANONI'!E44)</f>
        <v>0</v>
      </c>
      <c r="F44" s="49">
        <f>AVERAGE('17.10 SSEMBABULE-KANONI'!F44,'18.10 SSEMBABULE-KANONI-24h'!F44,'19.10  SSEMBABULE- KANONI-24h'!F44,'20.10 SSEMBABULE-KANONI'!F44,'21.10 SSEMBABULE-KANONI'!F44,'22.10 SSEMBABULE-KANONI'!F44,'23.10 SSEMBABULE-KANONI'!F44)</f>
        <v>0.42857142857142855</v>
      </c>
      <c r="G44" s="49">
        <f>AVERAGE('17.10 SSEMBABULE-KANONI'!G44,'18.10 SSEMBABULE-KANONI-24h'!G44,'19.10  SSEMBABULE- KANONI-24h'!G44,'20.10 SSEMBABULE-KANONI'!G44,'21.10 SSEMBABULE-KANONI'!G44,'22.10 SSEMBABULE-KANONI'!G44,'23.10 SSEMBABULE-KANONI'!G44)</f>
        <v>0</v>
      </c>
      <c r="H44" s="49">
        <f>AVERAGE('17.10 SSEMBABULE-KANONI'!H44,'18.10 SSEMBABULE-KANONI-24h'!H44,'19.10  SSEMBABULE- KANONI-24h'!H44,'20.10 SSEMBABULE-KANONI'!H44,'21.10 SSEMBABULE-KANONI'!H44,'22.10 SSEMBABULE-KANONI'!H44,'23.10 SSEMBABULE-KANONI'!H44)</f>
        <v>0</v>
      </c>
      <c r="I44" s="49">
        <f>AVERAGE('17.10 SSEMBABULE-KANONI'!I44,'18.10 SSEMBABULE-KANONI-24h'!I44,'19.10  SSEMBABULE- KANONI-24h'!I44,'20.10 SSEMBABULE-KANONI'!I44,'21.10 SSEMBABULE-KANONI'!I44,'22.10 SSEMBABULE-KANONI'!I44,'23.10 SSEMBABULE-KANONI'!I44)</f>
        <v>0.7142857142857143</v>
      </c>
      <c r="J44" s="49">
        <f>AVERAGE('17.10 SSEMBABULE-KANONI'!J44,'18.10 SSEMBABULE-KANONI-24h'!J44,'19.10  SSEMBABULE- KANONI-24h'!J44,'20.10 SSEMBABULE-KANONI'!J44,'21.10 SSEMBABULE-KANONI'!J44,'22.10 SSEMBABULE-KANONI'!J44,'23.10 SSEMBABULE-KANONI'!J44)</f>
        <v>0.42857142857142855</v>
      </c>
      <c r="K44" s="49">
        <f>AVERAGE('17.10 SSEMBABULE-KANONI'!K44,'18.10 SSEMBABULE-KANONI-24h'!K44,'19.10  SSEMBABULE- KANONI-24h'!K44,'20.10 SSEMBABULE-KANONI'!K44,'21.10 SSEMBABULE-KANONI'!K44,'22.10 SSEMBABULE-KANONI'!K44,'23.10 SSEMBABULE-KANONI'!K44)</f>
        <v>0.14285714285714285</v>
      </c>
      <c r="L44" s="49">
        <f>AVERAGE('17.10 SSEMBABULE-KANONI'!L44,'18.10 SSEMBABULE-KANONI-24h'!L44,'19.10  SSEMBABULE- KANONI-24h'!L44,'20.10 SSEMBABULE-KANONI'!L44,'21.10 SSEMBABULE-KANONI'!L44,'22.10 SSEMBABULE-KANONI'!L44,'23.10 SSEMBABULE-KANONI'!L44)</f>
        <v>0</v>
      </c>
      <c r="M44" s="49">
        <f>AVERAGE('17.10 SSEMBABULE-KANONI'!M44,'18.10 SSEMBABULE-KANONI-24h'!M44,'19.10  SSEMBABULE- KANONI-24h'!M44,'20.10 SSEMBABULE-KANONI'!M44,'21.10 SSEMBABULE-KANONI'!M44,'22.10 SSEMBABULE-KANONI'!M44,'23.10 SSEMBABULE-KANONI'!M44)</f>
        <v>8.5714285714285712</v>
      </c>
      <c r="N44" s="49">
        <f>AVERAGE('17.10 SSEMBABULE-KANONI'!N44,'18.10 SSEMBABULE-KANONI-24h'!N44,'19.10  SSEMBABULE- KANONI-24h'!N44,'20.10 SSEMBABULE-KANONI'!N44,'21.10 SSEMBABULE-KANONI'!N44,'22.10 SSEMBABULE-KANONI'!N44,'23.10 SSEMBABULE-KANONI'!N44)</f>
        <v>0</v>
      </c>
      <c r="O44" s="15">
        <f t="shared" si="0"/>
        <v>3</v>
      </c>
      <c r="P44" s="15">
        <f t="shared" si="1"/>
        <v>11.571428571428571</v>
      </c>
    </row>
    <row r="45" spans="2:32" ht="23.1" customHeight="1" x14ac:dyDescent="0.25">
      <c r="B45" s="23" t="s">
        <v>72</v>
      </c>
      <c r="C45" s="49">
        <f>AVERAGE('17.10 SSEMBABULE-KANONI'!C45,'18.10 SSEMBABULE-KANONI-24h'!C45,'19.10  SSEMBABULE- KANONI-24h'!C45,'20.10 SSEMBABULE-KANONI'!C45,'21.10 SSEMBABULE-KANONI'!C45,'22.10 SSEMBABULE-KANONI'!C45,'23.10 SSEMBABULE-KANONI'!C45)</f>
        <v>0.42857142857142855</v>
      </c>
      <c r="D45" s="49">
        <f>AVERAGE('17.10 SSEMBABULE-KANONI'!D45,'18.10 SSEMBABULE-KANONI-24h'!D45,'19.10  SSEMBABULE- KANONI-24h'!D45,'20.10 SSEMBABULE-KANONI'!D45,'21.10 SSEMBABULE-KANONI'!D45,'22.10 SSEMBABULE-KANONI'!D45,'23.10 SSEMBABULE-KANONI'!D45)</f>
        <v>0.2857142857142857</v>
      </c>
      <c r="E45" s="49">
        <f>AVERAGE('17.10 SSEMBABULE-KANONI'!E45,'18.10 SSEMBABULE-KANONI-24h'!E45,'19.10  SSEMBABULE- KANONI-24h'!E45,'20.10 SSEMBABULE-KANONI'!E45,'21.10 SSEMBABULE-KANONI'!E45,'22.10 SSEMBABULE-KANONI'!E45,'23.10 SSEMBABULE-KANONI'!E45)</f>
        <v>0.42857142857142855</v>
      </c>
      <c r="F45" s="49">
        <f>AVERAGE('17.10 SSEMBABULE-KANONI'!F45,'18.10 SSEMBABULE-KANONI-24h'!F45,'19.10  SSEMBABULE- KANONI-24h'!F45,'20.10 SSEMBABULE-KANONI'!F45,'21.10 SSEMBABULE-KANONI'!F45,'22.10 SSEMBABULE-KANONI'!F45,'23.10 SSEMBABULE-KANONI'!F45)</f>
        <v>0.5714285714285714</v>
      </c>
      <c r="G45" s="49">
        <f>AVERAGE('17.10 SSEMBABULE-KANONI'!G45,'18.10 SSEMBABULE-KANONI-24h'!G45,'19.10  SSEMBABULE- KANONI-24h'!G45,'20.10 SSEMBABULE-KANONI'!G45,'21.10 SSEMBABULE-KANONI'!G45,'22.10 SSEMBABULE-KANONI'!G45,'23.10 SSEMBABULE-KANONI'!G45)</f>
        <v>0</v>
      </c>
      <c r="H45" s="49">
        <f>AVERAGE('17.10 SSEMBABULE-KANONI'!H45,'18.10 SSEMBABULE-KANONI-24h'!H45,'19.10  SSEMBABULE- KANONI-24h'!H45,'20.10 SSEMBABULE-KANONI'!H45,'21.10 SSEMBABULE-KANONI'!H45,'22.10 SSEMBABULE-KANONI'!H45,'23.10 SSEMBABULE-KANONI'!H45)</f>
        <v>0</v>
      </c>
      <c r="I45" s="49">
        <f>AVERAGE('17.10 SSEMBABULE-KANONI'!I45,'18.10 SSEMBABULE-KANONI-24h'!I45,'19.10  SSEMBABULE- KANONI-24h'!I45,'20.10 SSEMBABULE-KANONI'!I45,'21.10 SSEMBABULE-KANONI'!I45,'22.10 SSEMBABULE-KANONI'!I45,'23.10 SSEMBABULE-KANONI'!I45)</f>
        <v>0.7142857142857143</v>
      </c>
      <c r="J45" s="49">
        <f>AVERAGE('17.10 SSEMBABULE-KANONI'!J45,'18.10 SSEMBABULE-KANONI-24h'!J45,'19.10  SSEMBABULE- KANONI-24h'!J45,'20.10 SSEMBABULE-KANONI'!J45,'21.10 SSEMBABULE-KANONI'!J45,'22.10 SSEMBABULE-KANONI'!J45,'23.10 SSEMBABULE-KANONI'!J45)</f>
        <v>0</v>
      </c>
      <c r="K45" s="49">
        <f>AVERAGE('17.10 SSEMBABULE-KANONI'!K45,'18.10 SSEMBABULE-KANONI-24h'!K45,'19.10  SSEMBABULE- KANONI-24h'!K45,'20.10 SSEMBABULE-KANONI'!K45,'21.10 SSEMBABULE-KANONI'!K45,'22.10 SSEMBABULE-KANONI'!K45,'23.10 SSEMBABULE-KANONI'!K45)</f>
        <v>0.2857142857142857</v>
      </c>
      <c r="L45" s="49">
        <f>AVERAGE('17.10 SSEMBABULE-KANONI'!L45,'18.10 SSEMBABULE-KANONI-24h'!L45,'19.10  SSEMBABULE- KANONI-24h'!L45,'20.10 SSEMBABULE-KANONI'!L45,'21.10 SSEMBABULE-KANONI'!L45,'22.10 SSEMBABULE-KANONI'!L45,'23.10 SSEMBABULE-KANONI'!L45)</f>
        <v>0</v>
      </c>
      <c r="M45" s="49">
        <f>AVERAGE('17.10 SSEMBABULE-KANONI'!M45,'18.10 SSEMBABULE-KANONI-24h'!M45,'19.10  SSEMBABULE- KANONI-24h'!M45,'20.10 SSEMBABULE-KANONI'!M45,'21.10 SSEMBABULE-KANONI'!M45,'22.10 SSEMBABULE-KANONI'!M45,'23.10 SSEMBABULE-KANONI'!M45)</f>
        <v>8.1428571428571423</v>
      </c>
      <c r="N45" s="49">
        <f>AVERAGE('17.10 SSEMBABULE-KANONI'!N45,'18.10 SSEMBABULE-KANONI-24h'!N45,'19.10  SSEMBABULE- KANONI-24h'!N45,'20.10 SSEMBABULE-KANONI'!N45,'21.10 SSEMBABULE-KANONI'!N45,'22.10 SSEMBABULE-KANONI'!N45,'23.10 SSEMBABULE-KANONI'!N45)</f>
        <v>0</v>
      </c>
      <c r="O45" s="15">
        <f t="shared" si="0"/>
        <v>2.714285714285714</v>
      </c>
      <c r="P45" s="15">
        <f t="shared" si="1"/>
        <v>10.857142857142856</v>
      </c>
    </row>
    <row r="46" spans="2:32" ht="23.1" customHeight="1" x14ac:dyDescent="0.25">
      <c r="B46" s="24" t="s">
        <v>73</v>
      </c>
      <c r="C46" s="49">
        <f>AVERAGE('17.10 SSEMBABULE-KANONI'!C46,'18.10 SSEMBABULE-KANONI-24h'!C46,'19.10  SSEMBABULE- KANONI-24h'!C46,'20.10 SSEMBABULE-KANONI'!C46,'21.10 SSEMBABULE-KANONI'!C46,'22.10 SSEMBABULE-KANONI'!C46,'23.10 SSEMBABULE-KANONI'!C46)</f>
        <v>1.1428571428571428</v>
      </c>
      <c r="D46" s="49">
        <f>AVERAGE('17.10 SSEMBABULE-KANONI'!D46,'18.10 SSEMBABULE-KANONI-24h'!D46,'19.10  SSEMBABULE- KANONI-24h'!D46,'20.10 SSEMBABULE-KANONI'!D46,'21.10 SSEMBABULE-KANONI'!D46,'22.10 SSEMBABULE-KANONI'!D46,'23.10 SSEMBABULE-KANONI'!D46)</f>
        <v>0.7142857142857143</v>
      </c>
      <c r="E46" s="49">
        <f>AVERAGE('17.10 SSEMBABULE-KANONI'!E46,'18.10 SSEMBABULE-KANONI-24h'!E46,'19.10  SSEMBABULE- KANONI-24h'!E46,'20.10 SSEMBABULE-KANONI'!E46,'21.10 SSEMBABULE-KANONI'!E46,'22.10 SSEMBABULE-KANONI'!E46,'23.10 SSEMBABULE-KANONI'!E46)</f>
        <v>0.14285714285714285</v>
      </c>
      <c r="F46" s="49">
        <f>AVERAGE('17.10 SSEMBABULE-KANONI'!F46,'18.10 SSEMBABULE-KANONI-24h'!F46,'19.10  SSEMBABULE- KANONI-24h'!F46,'20.10 SSEMBABULE-KANONI'!F46,'21.10 SSEMBABULE-KANONI'!F46,'22.10 SSEMBABULE-KANONI'!F46,'23.10 SSEMBABULE-KANONI'!F46)</f>
        <v>0.7142857142857143</v>
      </c>
      <c r="G46" s="49">
        <f>AVERAGE('17.10 SSEMBABULE-KANONI'!G46,'18.10 SSEMBABULE-KANONI-24h'!G46,'19.10  SSEMBABULE- KANONI-24h'!G46,'20.10 SSEMBABULE-KANONI'!G46,'21.10 SSEMBABULE-KANONI'!G46,'22.10 SSEMBABULE-KANONI'!G46,'23.10 SSEMBABULE-KANONI'!G46)</f>
        <v>0</v>
      </c>
      <c r="H46" s="49">
        <f>AVERAGE('17.10 SSEMBABULE-KANONI'!H46,'18.10 SSEMBABULE-KANONI-24h'!H46,'19.10  SSEMBABULE- KANONI-24h'!H46,'20.10 SSEMBABULE-KANONI'!H46,'21.10 SSEMBABULE-KANONI'!H46,'22.10 SSEMBABULE-KANONI'!H46,'23.10 SSEMBABULE-KANONI'!H46)</f>
        <v>0</v>
      </c>
      <c r="I46" s="49">
        <f>AVERAGE('17.10 SSEMBABULE-KANONI'!I46,'18.10 SSEMBABULE-KANONI-24h'!I46,'19.10  SSEMBABULE- KANONI-24h'!I46,'20.10 SSEMBABULE-KANONI'!I46,'21.10 SSEMBABULE-KANONI'!I46,'22.10 SSEMBABULE-KANONI'!I46,'23.10 SSEMBABULE-KANONI'!I46)</f>
        <v>0.7142857142857143</v>
      </c>
      <c r="J46" s="49">
        <f>AVERAGE('17.10 SSEMBABULE-KANONI'!J46,'18.10 SSEMBABULE-KANONI-24h'!J46,'19.10  SSEMBABULE- KANONI-24h'!J46,'20.10 SSEMBABULE-KANONI'!J46,'21.10 SSEMBABULE-KANONI'!J46,'22.10 SSEMBABULE-KANONI'!J46,'23.10 SSEMBABULE-KANONI'!J46)</f>
        <v>0.42857142857142855</v>
      </c>
      <c r="K46" s="49">
        <f>AVERAGE('17.10 SSEMBABULE-KANONI'!K46,'18.10 SSEMBABULE-KANONI-24h'!K46,'19.10  SSEMBABULE- KANONI-24h'!K46,'20.10 SSEMBABULE-KANONI'!K46,'21.10 SSEMBABULE-KANONI'!K46,'22.10 SSEMBABULE-KANONI'!K46,'23.10 SSEMBABULE-KANONI'!K46)</f>
        <v>0.2857142857142857</v>
      </c>
      <c r="L46" s="49">
        <f>AVERAGE('17.10 SSEMBABULE-KANONI'!L46,'18.10 SSEMBABULE-KANONI-24h'!L46,'19.10  SSEMBABULE- KANONI-24h'!L46,'20.10 SSEMBABULE-KANONI'!L46,'21.10 SSEMBABULE-KANONI'!L46,'22.10 SSEMBABULE-KANONI'!L46,'23.10 SSEMBABULE-KANONI'!L46)</f>
        <v>0.14285714285714285</v>
      </c>
      <c r="M46" s="49">
        <f>AVERAGE('17.10 SSEMBABULE-KANONI'!M46,'18.10 SSEMBABULE-KANONI-24h'!M46,'19.10  SSEMBABULE- KANONI-24h'!M46,'20.10 SSEMBABULE-KANONI'!M46,'21.10 SSEMBABULE-KANONI'!M46,'22.10 SSEMBABULE-KANONI'!M46,'23.10 SSEMBABULE-KANONI'!M46)</f>
        <v>7</v>
      </c>
      <c r="N46" s="49">
        <f>AVERAGE('17.10 SSEMBABULE-KANONI'!N46,'18.10 SSEMBABULE-KANONI-24h'!N46,'19.10  SSEMBABULE- KANONI-24h'!N46,'20.10 SSEMBABULE-KANONI'!N46,'21.10 SSEMBABULE-KANONI'!N46,'22.10 SSEMBABULE-KANONI'!N46,'23.10 SSEMBABULE-KANONI'!N46)</f>
        <v>0</v>
      </c>
      <c r="O46" s="15">
        <f t="shared" si="0"/>
        <v>4.2857142857142865</v>
      </c>
      <c r="P46" s="15">
        <f t="shared" si="1"/>
        <v>11.285714285714286</v>
      </c>
      <c r="R46" s="8"/>
      <c r="T46"/>
    </row>
    <row r="47" spans="2:32" ht="23.1" customHeight="1" x14ac:dyDescent="0.25">
      <c r="B47" s="24" t="s">
        <v>74</v>
      </c>
      <c r="C47" s="49">
        <f>AVERAGE('17.10 SSEMBABULE-KANONI'!C47,'18.10 SSEMBABULE-KANONI-24h'!C47,'19.10  SSEMBABULE- KANONI-24h'!C47,'20.10 SSEMBABULE-KANONI'!C47,'21.10 SSEMBABULE-KANONI'!C47,'22.10 SSEMBABULE-KANONI'!C47,'23.10 SSEMBABULE-KANONI'!C47)</f>
        <v>1.1428571428571428</v>
      </c>
      <c r="D47" s="49">
        <f>AVERAGE('17.10 SSEMBABULE-KANONI'!D47,'18.10 SSEMBABULE-KANONI-24h'!D47,'19.10  SSEMBABULE- KANONI-24h'!D47,'20.10 SSEMBABULE-KANONI'!D47,'21.10 SSEMBABULE-KANONI'!D47,'22.10 SSEMBABULE-KANONI'!D47,'23.10 SSEMBABULE-KANONI'!D47)</f>
        <v>0.14285714285714285</v>
      </c>
      <c r="E47" s="49">
        <f>AVERAGE('17.10 SSEMBABULE-KANONI'!E47,'18.10 SSEMBABULE-KANONI-24h'!E47,'19.10  SSEMBABULE- KANONI-24h'!E47,'20.10 SSEMBABULE-KANONI'!E47,'21.10 SSEMBABULE-KANONI'!E47,'22.10 SSEMBABULE-KANONI'!E47,'23.10 SSEMBABULE-KANONI'!E47)</f>
        <v>0.14285714285714285</v>
      </c>
      <c r="F47" s="49">
        <f>AVERAGE('17.10 SSEMBABULE-KANONI'!F47,'18.10 SSEMBABULE-KANONI-24h'!F47,'19.10  SSEMBABULE- KANONI-24h'!F47,'20.10 SSEMBABULE-KANONI'!F47,'21.10 SSEMBABULE-KANONI'!F47,'22.10 SSEMBABULE-KANONI'!F47,'23.10 SSEMBABULE-KANONI'!F47)</f>
        <v>0.14285714285714285</v>
      </c>
      <c r="G47" s="49">
        <f>AVERAGE('17.10 SSEMBABULE-KANONI'!G47,'18.10 SSEMBABULE-KANONI-24h'!G47,'19.10  SSEMBABULE- KANONI-24h'!G47,'20.10 SSEMBABULE-KANONI'!G47,'21.10 SSEMBABULE-KANONI'!G47,'22.10 SSEMBABULE-KANONI'!G47,'23.10 SSEMBABULE-KANONI'!G47)</f>
        <v>0</v>
      </c>
      <c r="H47" s="49">
        <f>AVERAGE('17.10 SSEMBABULE-KANONI'!H47,'18.10 SSEMBABULE-KANONI-24h'!H47,'19.10  SSEMBABULE- KANONI-24h'!H47,'20.10 SSEMBABULE-KANONI'!H47,'21.10 SSEMBABULE-KANONI'!H47,'22.10 SSEMBABULE-KANONI'!H47,'23.10 SSEMBABULE-KANONI'!H47)</f>
        <v>0</v>
      </c>
      <c r="I47" s="49">
        <f>AVERAGE('17.10 SSEMBABULE-KANONI'!I47,'18.10 SSEMBABULE-KANONI-24h'!I47,'19.10  SSEMBABULE- KANONI-24h'!I47,'20.10 SSEMBABULE-KANONI'!I47,'21.10 SSEMBABULE-KANONI'!I47,'22.10 SSEMBABULE-KANONI'!I47,'23.10 SSEMBABULE-KANONI'!I47)</f>
        <v>0.14285714285714285</v>
      </c>
      <c r="J47" s="49">
        <f>AVERAGE('17.10 SSEMBABULE-KANONI'!J47,'18.10 SSEMBABULE-KANONI-24h'!J47,'19.10  SSEMBABULE- KANONI-24h'!J47,'20.10 SSEMBABULE-KANONI'!J47,'21.10 SSEMBABULE-KANONI'!J47,'22.10 SSEMBABULE-KANONI'!J47,'23.10 SSEMBABULE-KANONI'!J47)</f>
        <v>0.14285714285714285</v>
      </c>
      <c r="K47" s="49">
        <f>AVERAGE('17.10 SSEMBABULE-KANONI'!K47,'18.10 SSEMBABULE-KANONI-24h'!K47,'19.10  SSEMBABULE- KANONI-24h'!K47,'20.10 SSEMBABULE-KANONI'!K47,'21.10 SSEMBABULE-KANONI'!K47,'22.10 SSEMBABULE-KANONI'!K47,'23.10 SSEMBABULE-KANONI'!K47)</f>
        <v>0.14285714285714285</v>
      </c>
      <c r="L47" s="49">
        <f>AVERAGE('17.10 SSEMBABULE-KANONI'!L47,'18.10 SSEMBABULE-KANONI-24h'!L47,'19.10  SSEMBABULE- KANONI-24h'!L47,'20.10 SSEMBABULE-KANONI'!L47,'21.10 SSEMBABULE-KANONI'!L47,'22.10 SSEMBABULE-KANONI'!L47,'23.10 SSEMBABULE-KANONI'!L47)</f>
        <v>0</v>
      </c>
      <c r="M47" s="49">
        <f>AVERAGE('17.10 SSEMBABULE-KANONI'!M47,'18.10 SSEMBABULE-KANONI-24h'!M47,'19.10  SSEMBABULE- KANONI-24h'!M47,'20.10 SSEMBABULE-KANONI'!M47,'21.10 SSEMBABULE-KANONI'!M47,'22.10 SSEMBABULE-KANONI'!M47,'23.10 SSEMBABULE-KANONI'!M47)</f>
        <v>10</v>
      </c>
      <c r="N47" s="49">
        <f>AVERAGE('17.10 SSEMBABULE-KANONI'!N47,'18.10 SSEMBABULE-KANONI-24h'!N47,'19.10  SSEMBABULE- KANONI-24h'!N47,'20.10 SSEMBABULE-KANONI'!N47,'21.10 SSEMBABULE-KANONI'!N47,'22.10 SSEMBABULE-KANONI'!N47,'23.10 SSEMBABULE-KANONI'!N47)</f>
        <v>0</v>
      </c>
      <c r="O47" s="15">
        <f t="shared" si="0"/>
        <v>1.9999999999999996</v>
      </c>
      <c r="P47" s="15">
        <f t="shared" si="1"/>
        <v>12</v>
      </c>
      <c r="R47" s="8"/>
      <c r="T47"/>
    </row>
    <row r="48" spans="2:32" ht="23.1" customHeight="1" x14ac:dyDescent="0.25">
      <c r="B48" s="24" t="s">
        <v>75</v>
      </c>
      <c r="C48" s="49">
        <f>AVERAGE('17.10 SSEMBABULE-KANONI'!C48,'18.10 SSEMBABULE-KANONI-24h'!C48,'19.10  SSEMBABULE- KANONI-24h'!C48,'20.10 SSEMBABULE-KANONI'!C48,'21.10 SSEMBABULE-KANONI'!C48,'22.10 SSEMBABULE-KANONI'!C48,'23.10 SSEMBABULE-KANONI'!C48)</f>
        <v>1.1428571428571428</v>
      </c>
      <c r="D48" s="49">
        <f>AVERAGE('17.10 SSEMBABULE-KANONI'!D48,'18.10 SSEMBABULE-KANONI-24h'!D48,'19.10  SSEMBABULE- KANONI-24h'!D48,'20.10 SSEMBABULE-KANONI'!D48,'21.10 SSEMBABULE-KANONI'!D48,'22.10 SSEMBABULE-KANONI'!D48,'23.10 SSEMBABULE-KANONI'!D48)</f>
        <v>0.42857142857142855</v>
      </c>
      <c r="E48" s="49">
        <f>AVERAGE('17.10 SSEMBABULE-KANONI'!E48,'18.10 SSEMBABULE-KANONI-24h'!E48,'19.10  SSEMBABULE- KANONI-24h'!E48,'20.10 SSEMBABULE-KANONI'!E48,'21.10 SSEMBABULE-KANONI'!E48,'22.10 SSEMBABULE-KANONI'!E48,'23.10 SSEMBABULE-KANONI'!E48)</f>
        <v>0.42857142857142855</v>
      </c>
      <c r="F48" s="49">
        <f>AVERAGE('17.10 SSEMBABULE-KANONI'!F48,'18.10 SSEMBABULE-KANONI-24h'!F48,'19.10  SSEMBABULE- KANONI-24h'!F48,'20.10 SSEMBABULE-KANONI'!F48,'21.10 SSEMBABULE-KANONI'!F48,'22.10 SSEMBABULE-KANONI'!F48,'23.10 SSEMBABULE-KANONI'!F48)</f>
        <v>0.2857142857142857</v>
      </c>
      <c r="G48" s="49">
        <f>AVERAGE('17.10 SSEMBABULE-KANONI'!G48,'18.10 SSEMBABULE-KANONI-24h'!G48,'19.10  SSEMBABULE- KANONI-24h'!G48,'20.10 SSEMBABULE-KANONI'!G48,'21.10 SSEMBABULE-KANONI'!G48,'22.10 SSEMBABULE-KANONI'!G48,'23.10 SSEMBABULE-KANONI'!G48)</f>
        <v>0</v>
      </c>
      <c r="H48" s="49">
        <f>AVERAGE('17.10 SSEMBABULE-KANONI'!H48,'18.10 SSEMBABULE-KANONI-24h'!H48,'19.10  SSEMBABULE- KANONI-24h'!H48,'20.10 SSEMBABULE-KANONI'!H48,'21.10 SSEMBABULE-KANONI'!H48,'22.10 SSEMBABULE-KANONI'!H48,'23.10 SSEMBABULE-KANONI'!H48)</f>
        <v>0</v>
      </c>
      <c r="I48" s="49">
        <f>AVERAGE('17.10 SSEMBABULE-KANONI'!I48,'18.10 SSEMBABULE-KANONI-24h'!I48,'19.10  SSEMBABULE- KANONI-24h'!I48,'20.10 SSEMBABULE-KANONI'!I48,'21.10 SSEMBABULE-KANONI'!I48,'22.10 SSEMBABULE-KANONI'!I48,'23.10 SSEMBABULE-KANONI'!I48)</f>
        <v>0.5714285714285714</v>
      </c>
      <c r="J48" s="49">
        <f>AVERAGE('17.10 SSEMBABULE-KANONI'!J48,'18.10 SSEMBABULE-KANONI-24h'!J48,'19.10  SSEMBABULE- KANONI-24h'!J48,'20.10 SSEMBABULE-KANONI'!J48,'21.10 SSEMBABULE-KANONI'!J48,'22.10 SSEMBABULE-KANONI'!J48,'23.10 SSEMBABULE-KANONI'!J48)</f>
        <v>0.42857142857142855</v>
      </c>
      <c r="K48" s="49">
        <f>AVERAGE('17.10 SSEMBABULE-KANONI'!K48,'18.10 SSEMBABULE-KANONI-24h'!K48,'19.10  SSEMBABULE- KANONI-24h'!K48,'20.10 SSEMBABULE-KANONI'!K48,'21.10 SSEMBABULE-KANONI'!K48,'22.10 SSEMBABULE-KANONI'!K48,'23.10 SSEMBABULE-KANONI'!K48)</f>
        <v>0.14285714285714285</v>
      </c>
      <c r="L48" s="49">
        <f>AVERAGE('17.10 SSEMBABULE-KANONI'!L48,'18.10 SSEMBABULE-KANONI-24h'!L48,'19.10  SSEMBABULE- KANONI-24h'!L48,'20.10 SSEMBABULE-KANONI'!L48,'21.10 SSEMBABULE-KANONI'!L48,'22.10 SSEMBABULE-KANONI'!L48,'23.10 SSEMBABULE-KANONI'!L48)</f>
        <v>0</v>
      </c>
      <c r="M48" s="49">
        <f>AVERAGE('17.10 SSEMBABULE-KANONI'!M48,'18.10 SSEMBABULE-KANONI-24h'!M48,'19.10  SSEMBABULE- KANONI-24h'!M48,'20.10 SSEMBABULE-KANONI'!M48,'21.10 SSEMBABULE-KANONI'!M48,'22.10 SSEMBABULE-KANONI'!M48,'23.10 SSEMBABULE-KANONI'!M48)</f>
        <v>6.8571428571428568</v>
      </c>
      <c r="N48" s="49">
        <f>AVERAGE('17.10 SSEMBABULE-KANONI'!N48,'18.10 SSEMBABULE-KANONI-24h'!N48,'19.10  SSEMBABULE- KANONI-24h'!N48,'20.10 SSEMBABULE-KANONI'!N48,'21.10 SSEMBABULE-KANONI'!N48,'22.10 SSEMBABULE-KANONI'!N48,'23.10 SSEMBABULE-KANONI'!N48)</f>
        <v>0</v>
      </c>
      <c r="O48" s="15">
        <f t="shared" si="0"/>
        <v>3.4285714285714279</v>
      </c>
      <c r="P48" s="15">
        <f t="shared" si="1"/>
        <v>10.285714285714285</v>
      </c>
      <c r="R48" s="8"/>
      <c r="T48"/>
    </row>
    <row r="49" spans="2:20" ht="23.1" customHeight="1" x14ac:dyDescent="0.25">
      <c r="B49" s="23" t="s">
        <v>76</v>
      </c>
      <c r="C49" s="49">
        <f>AVERAGE('17.10 SSEMBABULE-KANONI'!C49,'18.10 SSEMBABULE-KANONI-24h'!C49,'19.10  SSEMBABULE- KANONI-24h'!C49,'20.10 SSEMBABULE-KANONI'!C49,'21.10 SSEMBABULE-KANONI'!C49,'22.10 SSEMBABULE-KANONI'!C49,'23.10 SSEMBABULE-KANONI'!C49)</f>
        <v>0.8571428571428571</v>
      </c>
      <c r="D49" s="49">
        <f>AVERAGE('17.10 SSEMBABULE-KANONI'!D49,'18.10 SSEMBABULE-KANONI-24h'!D49,'19.10  SSEMBABULE- KANONI-24h'!D49,'20.10 SSEMBABULE-KANONI'!D49,'21.10 SSEMBABULE-KANONI'!D49,'22.10 SSEMBABULE-KANONI'!D49,'23.10 SSEMBABULE-KANONI'!D49)</f>
        <v>0.2857142857142857</v>
      </c>
      <c r="E49" s="49">
        <f>AVERAGE('17.10 SSEMBABULE-KANONI'!E49,'18.10 SSEMBABULE-KANONI-24h'!E49,'19.10  SSEMBABULE- KANONI-24h'!E49,'20.10 SSEMBABULE-KANONI'!E49,'21.10 SSEMBABULE-KANONI'!E49,'22.10 SSEMBABULE-KANONI'!E49,'23.10 SSEMBABULE-KANONI'!E49)</f>
        <v>0</v>
      </c>
      <c r="F49" s="49">
        <f>AVERAGE('17.10 SSEMBABULE-KANONI'!F49,'18.10 SSEMBABULE-KANONI-24h'!F49,'19.10  SSEMBABULE- KANONI-24h'!F49,'20.10 SSEMBABULE-KANONI'!F49,'21.10 SSEMBABULE-KANONI'!F49,'22.10 SSEMBABULE-KANONI'!F49,'23.10 SSEMBABULE-KANONI'!F49)</f>
        <v>0.5714285714285714</v>
      </c>
      <c r="G49" s="49">
        <f>AVERAGE('17.10 SSEMBABULE-KANONI'!G49,'18.10 SSEMBABULE-KANONI-24h'!G49,'19.10  SSEMBABULE- KANONI-24h'!G49,'20.10 SSEMBABULE-KANONI'!G49,'21.10 SSEMBABULE-KANONI'!G49,'22.10 SSEMBABULE-KANONI'!G49,'23.10 SSEMBABULE-KANONI'!G49)</f>
        <v>0</v>
      </c>
      <c r="H49" s="49">
        <f>AVERAGE('17.10 SSEMBABULE-KANONI'!H49,'18.10 SSEMBABULE-KANONI-24h'!H49,'19.10  SSEMBABULE- KANONI-24h'!H49,'20.10 SSEMBABULE-KANONI'!H49,'21.10 SSEMBABULE-KANONI'!H49,'22.10 SSEMBABULE-KANONI'!H49,'23.10 SSEMBABULE-KANONI'!H49)</f>
        <v>0.2857142857142857</v>
      </c>
      <c r="I49" s="49">
        <f>AVERAGE('17.10 SSEMBABULE-KANONI'!I49,'18.10 SSEMBABULE-KANONI-24h'!I49,'19.10  SSEMBABULE- KANONI-24h'!I49,'20.10 SSEMBABULE-KANONI'!I49,'21.10 SSEMBABULE-KANONI'!I49,'22.10 SSEMBABULE-KANONI'!I49,'23.10 SSEMBABULE-KANONI'!I49)</f>
        <v>1</v>
      </c>
      <c r="J49" s="49">
        <f>AVERAGE('17.10 SSEMBABULE-KANONI'!J49,'18.10 SSEMBABULE-KANONI-24h'!J49,'19.10  SSEMBABULE- KANONI-24h'!J49,'20.10 SSEMBABULE-KANONI'!J49,'21.10 SSEMBABULE-KANONI'!J49,'22.10 SSEMBABULE-KANONI'!J49,'23.10 SSEMBABULE-KANONI'!J49)</f>
        <v>0</v>
      </c>
      <c r="K49" s="49">
        <f>AVERAGE('17.10 SSEMBABULE-KANONI'!K49,'18.10 SSEMBABULE-KANONI-24h'!K49,'19.10  SSEMBABULE- KANONI-24h'!K49,'20.10 SSEMBABULE-KANONI'!K49,'21.10 SSEMBABULE-KANONI'!K49,'22.10 SSEMBABULE-KANONI'!K49,'23.10 SSEMBABULE-KANONI'!K49)</f>
        <v>0.42857142857142855</v>
      </c>
      <c r="L49" s="49">
        <f>AVERAGE('17.10 SSEMBABULE-KANONI'!L49,'18.10 SSEMBABULE-KANONI-24h'!L49,'19.10  SSEMBABULE- KANONI-24h'!L49,'20.10 SSEMBABULE-KANONI'!L49,'21.10 SSEMBABULE-KANONI'!L49,'22.10 SSEMBABULE-KANONI'!L49,'23.10 SSEMBABULE-KANONI'!L49)</f>
        <v>0</v>
      </c>
      <c r="M49" s="49">
        <f>AVERAGE('17.10 SSEMBABULE-KANONI'!M49,'18.10 SSEMBABULE-KANONI-24h'!M49,'19.10  SSEMBABULE- KANONI-24h'!M49,'20.10 SSEMBABULE-KANONI'!M49,'21.10 SSEMBABULE-KANONI'!M49,'22.10 SSEMBABULE-KANONI'!M49,'23.10 SSEMBABULE-KANONI'!M49)</f>
        <v>9.5714285714285712</v>
      </c>
      <c r="N49" s="49">
        <f>AVERAGE('17.10 SSEMBABULE-KANONI'!N49,'18.10 SSEMBABULE-KANONI-24h'!N49,'19.10  SSEMBABULE- KANONI-24h'!N49,'20.10 SSEMBABULE-KANONI'!N49,'21.10 SSEMBABULE-KANONI'!N49,'22.10 SSEMBABULE-KANONI'!N49,'23.10 SSEMBABULE-KANONI'!N49)</f>
        <v>0</v>
      </c>
      <c r="O49" s="15">
        <f t="shared" si="0"/>
        <v>3.4285714285714284</v>
      </c>
      <c r="P49" s="15">
        <f t="shared" si="1"/>
        <v>13</v>
      </c>
      <c r="R49" s="8"/>
      <c r="T49"/>
    </row>
    <row r="50" spans="2:20" ht="23.1" customHeight="1" x14ac:dyDescent="0.25">
      <c r="B50" s="24" t="s">
        <v>77</v>
      </c>
      <c r="C50" s="49">
        <f>AVERAGE('17.10 SSEMBABULE-KANONI'!C50,'18.10 SSEMBABULE-KANONI-24h'!C50,'19.10  SSEMBABULE- KANONI-24h'!C50,'20.10 SSEMBABULE-KANONI'!C50,'21.10 SSEMBABULE-KANONI'!C50,'22.10 SSEMBABULE-KANONI'!C50,'23.10 SSEMBABULE-KANONI'!C50)</f>
        <v>0.8571428571428571</v>
      </c>
      <c r="D50" s="49">
        <f>AVERAGE('17.10 SSEMBABULE-KANONI'!D50,'18.10 SSEMBABULE-KANONI-24h'!D50,'19.10  SSEMBABULE- KANONI-24h'!D50,'20.10 SSEMBABULE-KANONI'!D50,'21.10 SSEMBABULE-KANONI'!D50,'22.10 SSEMBABULE-KANONI'!D50,'23.10 SSEMBABULE-KANONI'!D50)</f>
        <v>0.42857142857142855</v>
      </c>
      <c r="E50" s="49">
        <f>AVERAGE('17.10 SSEMBABULE-KANONI'!E50,'18.10 SSEMBABULE-KANONI-24h'!E50,'19.10  SSEMBABULE- KANONI-24h'!E50,'20.10 SSEMBABULE-KANONI'!E50,'21.10 SSEMBABULE-KANONI'!E50,'22.10 SSEMBABULE-KANONI'!E50,'23.10 SSEMBABULE-KANONI'!E50)</f>
        <v>0.14285714285714285</v>
      </c>
      <c r="F50" s="49">
        <f>AVERAGE('17.10 SSEMBABULE-KANONI'!F50,'18.10 SSEMBABULE-KANONI-24h'!F50,'19.10  SSEMBABULE- KANONI-24h'!F50,'20.10 SSEMBABULE-KANONI'!F50,'21.10 SSEMBABULE-KANONI'!F50,'22.10 SSEMBABULE-KANONI'!F50,'23.10 SSEMBABULE-KANONI'!F50)</f>
        <v>0.8571428571428571</v>
      </c>
      <c r="G50" s="49">
        <f>AVERAGE('17.10 SSEMBABULE-KANONI'!G50,'18.10 SSEMBABULE-KANONI-24h'!G50,'19.10  SSEMBABULE- KANONI-24h'!G50,'20.10 SSEMBABULE-KANONI'!G50,'21.10 SSEMBABULE-KANONI'!G50,'22.10 SSEMBABULE-KANONI'!G50,'23.10 SSEMBABULE-KANONI'!G50)</f>
        <v>0.14285714285714285</v>
      </c>
      <c r="H50" s="49">
        <f>AVERAGE('17.10 SSEMBABULE-KANONI'!H50,'18.10 SSEMBABULE-KANONI-24h'!H50,'19.10  SSEMBABULE- KANONI-24h'!H50,'20.10 SSEMBABULE-KANONI'!H50,'21.10 SSEMBABULE-KANONI'!H50,'22.10 SSEMBABULE-KANONI'!H50,'23.10 SSEMBABULE-KANONI'!H50)</f>
        <v>0</v>
      </c>
      <c r="I50" s="49">
        <f>AVERAGE('17.10 SSEMBABULE-KANONI'!I50,'18.10 SSEMBABULE-KANONI-24h'!I50,'19.10  SSEMBABULE- KANONI-24h'!I50,'20.10 SSEMBABULE-KANONI'!I50,'21.10 SSEMBABULE-KANONI'!I50,'22.10 SSEMBABULE-KANONI'!I50,'23.10 SSEMBABULE-KANONI'!I50)</f>
        <v>0.42857142857142855</v>
      </c>
      <c r="J50" s="49">
        <f>AVERAGE('17.10 SSEMBABULE-KANONI'!J50,'18.10 SSEMBABULE-KANONI-24h'!J50,'19.10  SSEMBABULE- KANONI-24h'!J50,'20.10 SSEMBABULE-KANONI'!J50,'21.10 SSEMBABULE-KANONI'!J50,'22.10 SSEMBABULE-KANONI'!J50,'23.10 SSEMBABULE-KANONI'!J50)</f>
        <v>0</v>
      </c>
      <c r="K50" s="49">
        <f>AVERAGE('17.10 SSEMBABULE-KANONI'!K50,'18.10 SSEMBABULE-KANONI-24h'!K50,'19.10  SSEMBABULE- KANONI-24h'!K50,'20.10 SSEMBABULE-KANONI'!K50,'21.10 SSEMBABULE-KANONI'!K50,'22.10 SSEMBABULE-KANONI'!K50,'23.10 SSEMBABULE-KANONI'!K50)</f>
        <v>0.5714285714285714</v>
      </c>
      <c r="L50" s="49">
        <f>AVERAGE('17.10 SSEMBABULE-KANONI'!L50,'18.10 SSEMBABULE-KANONI-24h'!L50,'19.10  SSEMBABULE- KANONI-24h'!L50,'20.10 SSEMBABULE-KANONI'!L50,'21.10 SSEMBABULE-KANONI'!L50,'22.10 SSEMBABULE-KANONI'!L50,'23.10 SSEMBABULE-KANONI'!L50)</f>
        <v>0</v>
      </c>
      <c r="M50" s="49">
        <f>AVERAGE('17.10 SSEMBABULE-KANONI'!M50,'18.10 SSEMBABULE-KANONI-24h'!M50,'19.10  SSEMBABULE- KANONI-24h'!M50,'20.10 SSEMBABULE-KANONI'!M50,'21.10 SSEMBABULE-KANONI'!M50,'22.10 SSEMBABULE-KANONI'!M50,'23.10 SSEMBABULE-KANONI'!M50)</f>
        <v>9.5714285714285712</v>
      </c>
      <c r="N50" s="49">
        <f>AVERAGE('17.10 SSEMBABULE-KANONI'!N50,'18.10 SSEMBABULE-KANONI-24h'!N50,'19.10  SSEMBABULE- KANONI-24h'!N50,'20.10 SSEMBABULE-KANONI'!N50,'21.10 SSEMBABULE-KANONI'!N50,'22.10 SSEMBABULE-KANONI'!N50,'23.10 SSEMBABULE-KANONI'!N50)</f>
        <v>0</v>
      </c>
      <c r="O50" s="15">
        <f t="shared" si="0"/>
        <v>3.4285714285714279</v>
      </c>
      <c r="P50" s="15">
        <f t="shared" si="1"/>
        <v>13</v>
      </c>
      <c r="R50" s="8"/>
      <c r="T50"/>
    </row>
    <row r="51" spans="2:20" ht="23.1" customHeight="1" x14ac:dyDescent="0.25">
      <c r="B51" s="24" t="s">
        <v>78</v>
      </c>
      <c r="C51" s="49">
        <f>AVERAGE('17.10 SSEMBABULE-KANONI'!C51,'18.10 SSEMBABULE-KANONI-24h'!C51,'19.10  SSEMBABULE- KANONI-24h'!C51,'20.10 SSEMBABULE-KANONI'!C51,'21.10 SSEMBABULE-KANONI'!C51,'22.10 SSEMBABULE-KANONI'!C51,'23.10 SSEMBABULE-KANONI'!C51)</f>
        <v>2.5714285714285716</v>
      </c>
      <c r="D51" s="49">
        <f>AVERAGE('17.10 SSEMBABULE-KANONI'!D51,'18.10 SSEMBABULE-KANONI-24h'!D51,'19.10  SSEMBABULE- KANONI-24h'!D51,'20.10 SSEMBABULE-KANONI'!D51,'21.10 SSEMBABULE-KANONI'!D51,'22.10 SSEMBABULE-KANONI'!D51,'23.10 SSEMBABULE-KANONI'!D51)</f>
        <v>0.7142857142857143</v>
      </c>
      <c r="E51" s="49">
        <f>AVERAGE('17.10 SSEMBABULE-KANONI'!E51,'18.10 SSEMBABULE-KANONI-24h'!E51,'19.10  SSEMBABULE- KANONI-24h'!E51,'20.10 SSEMBABULE-KANONI'!E51,'21.10 SSEMBABULE-KANONI'!E51,'22.10 SSEMBABULE-KANONI'!E51,'23.10 SSEMBABULE-KANONI'!E51)</f>
        <v>0.8571428571428571</v>
      </c>
      <c r="F51" s="49">
        <f>AVERAGE('17.10 SSEMBABULE-KANONI'!F51,'18.10 SSEMBABULE-KANONI-24h'!F51,'19.10  SSEMBABULE- KANONI-24h'!F51,'20.10 SSEMBABULE-KANONI'!F51,'21.10 SSEMBABULE-KANONI'!F51,'22.10 SSEMBABULE-KANONI'!F51,'23.10 SSEMBABULE-KANONI'!F51)</f>
        <v>0.14285714285714285</v>
      </c>
      <c r="G51" s="49">
        <f>AVERAGE('17.10 SSEMBABULE-KANONI'!G51,'18.10 SSEMBABULE-KANONI-24h'!G51,'19.10  SSEMBABULE- KANONI-24h'!G51,'20.10 SSEMBABULE-KANONI'!G51,'21.10 SSEMBABULE-KANONI'!G51,'22.10 SSEMBABULE-KANONI'!G51,'23.10 SSEMBABULE-KANONI'!G51)</f>
        <v>0.14285714285714285</v>
      </c>
      <c r="H51" s="49">
        <f>AVERAGE('17.10 SSEMBABULE-KANONI'!H51,'18.10 SSEMBABULE-KANONI-24h'!H51,'19.10  SSEMBABULE- KANONI-24h'!H51,'20.10 SSEMBABULE-KANONI'!H51,'21.10 SSEMBABULE-KANONI'!H51,'22.10 SSEMBABULE-KANONI'!H51,'23.10 SSEMBABULE-KANONI'!H51)</f>
        <v>0</v>
      </c>
      <c r="I51" s="49">
        <f>AVERAGE('17.10 SSEMBABULE-KANONI'!I51,'18.10 SSEMBABULE-KANONI-24h'!I51,'19.10  SSEMBABULE- KANONI-24h'!I51,'20.10 SSEMBABULE-KANONI'!I51,'21.10 SSEMBABULE-KANONI'!I51,'22.10 SSEMBABULE-KANONI'!I51,'23.10 SSEMBABULE-KANONI'!I51)</f>
        <v>0</v>
      </c>
      <c r="J51" s="49">
        <f>AVERAGE('17.10 SSEMBABULE-KANONI'!J51,'18.10 SSEMBABULE-KANONI-24h'!J51,'19.10  SSEMBABULE- KANONI-24h'!J51,'20.10 SSEMBABULE-KANONI'!J51,'21.10 SSEMBABULE-KANONI'!J51,'22.10 SSEMBABULE-KANONI'!J51,'23.10 SSEMBABULE-KANONI'!J51)</f>
        <v>0.14285714285714285</v>
      </c>
      <c r="K51" s="49">
        <f>AVERAGE('17.10 SSEMBABULE-KANONI'!K51,'18.10 SSEMBABULE-KANONI-24h'!K51,'19.10  SSEMBABULE- KANONI-24h'!K51,'20.10 SSEMBABULE-KANONI'!K51,'21.10 SSEMBABULE-KANONI'!K51,'22.10 SSEMBABULE-KANONI'!K51,'23.10 SSEMBABULE-KANONI'!K51)</f>
        <v>0.7142857142857143</v>
      </c>
      <c r="L51" s="49">
        <f>AVERAGE('17.10 SSEMBABULE-KANONI'!L51,'18.10 SSEMBABULE-KANONI-24h'!L51,'19.10  SSEMBABULE- KANONI-24h'!L51,'20.10 SSEMBABULE-KANONI'!L51,'21.10 SSEMBABULE-KANONI'!L51,'22.10 SSEMBABULE-KANONI'!L51,'23.10 SSEMBABULE-KANONI'!L51)</f>
        <v>0</v>
      </c>
      <c r="M51" s="49">
        <f>AVERAGE('17.10 SSEMBABULE-KANONI'!M51,'18.10 SSEMBABULE-KANONI-24h'!M51,'19.10  SSEMBABULE- KANONI-24h'!M51,'20.10 SSEMBABULE-KANONI'!M51,'21.10 SSEMBABULE-KANONI'!M51,'22.10 SSEMBABULE-KANONI'!M51,'23.10 SSEMBABULE-KANONI'!M51)</f>
        <v>9.2857142857142865</v>
      </c>
      <c r="N51" s="49">
        <f>AVERAGE('17.10 SSEMBABULE-KANONI'!N51,'18.10 SSEMBABULE-KANONI-24h'!N51,'19.10  SSEMBABULE- KANONI-24h'!N51,'20.10 SSEMBABULE-KANONI'!N51,'21.10 SSEMBABULE-KANONI'!N51,'22.10 SSEMBABULE-KANONI'!N51,'23.10 SSEMBABULE-KANONI'!N51)</f>
        <v>0</v>
      </c>
      <c r="O51" s="15">
        <f t="shared" si="0"/>
        <v>5.2857142857142874</v>
      </c>
      <c r="P51" s="15">
        <f t="shared" si="1"/>
        <v>14.571428571428573</v>
      </c>
      <c r="R51" s="8"/>
      <c r="T51"/>
    </row>
    <row r="52" spans="2:20" ht="23.1" customHeight="1" x14ac:dyDescent="0.25">
      <c r="B52" s="24" t="s">
        <v>79</v>
      </c>
      <c r="C52" s="49">
        <f>AVERAGE('17.10 SSEMBABULE-KANONI'!C52,'18.10 SSEMBABULE-KANONI-24h'!C52,'19.10  SSEMBABULE- KANONI-24h'!C52,'20.10 SSEMBABULE-KANONI'!C52,'21.10 SSEMBABULE-KANONI'!C52,'22.10 SSEMBABULE-KANONI'!C52,'23.10 SSEMBABULE-KANONI'!C52)</f>
        <v>1.8571428571428572</v>
      </c>
      <c r="D52" s="49">
        <f>AVERAGE('17.10 SSEMBABULE-KANONI'!D52,'18.10 SSEMBABULE-KANONI-24h'!D52,'19.10  SSEMBABULE- KANONI-24h'!D52,'20.10 SSEMBABULE-KANONI'!D52,'21.10 SSEMBABULE-KANONI'!D52,'22.10 SSEMBABULE-KANONI'!D52,'23.10 SSEMBABULE-KANONI'!D52)</f>
        <v>0.2857142857142857</v>
      </c>
      <c r="E52" s="49">
        <f>AVERAGE('17.10 SSEMBABULE-KANONI'!E52,'18.10 SSEMBABULE-KANONI-24h'!E52,'19.10  SSEMBABULE- KANONI-24h'!E52,'20.10 SSEMBABULE-KANONI'!E52,'21.10 SSEMBABULE-KANONI'!E52,'22.10 SSEMBABULE-KANONI'!E52,'23.10 SSEMBABULE-KANONI'!E52)</f>
        <v>0.14285714285714285</v>
      </c>
      <c r="F52" s="49">
        <f>AVERAGE('17.10 SSEMBABULE-KANONI'!F52,'18.10 SSEMBABULE-KANONI-24h'!F52,'19.10  SSEMBABULE- KANONI-24h'!F52,'20.10 SSEMBABULE-KANONI'!F52,'21.10 SSEMBABULE-KANONI'!F52,'22.10 SSEMBABULE-KANONI'!F52,'23.10 SSEMBABULE-KANONI'!F52)</f>
        <v>0.8571428571428571</v>
      </c>
      <c r="G52" s="49">
        <f>AVERAGE('17.10 SSEMBABULE-KANONI'!G52,'18.10 SSEMBABULE-KANONI-24h'!G52,'19.10  SSEMBABULE- KANONI-24h'!G52,'20.10 SSEMBABULE-KANONI'!G52,'21.10 SSEMBABULE-KANONI'!G52,'22.10 SSEMBABULE-KANONI'!G52,'23.10 SSEMBABULE-KANONI'!G52)</f>
        <v>0.42857142857142855</v>
      </c>
      <c r="H52" s="49">
        <f>AVERAGE('17.10 SSEMBABULE-KANONI'!H52,'18.10 SSEMBABULE-KANONI-24h'!H52,'19.10  SSEMBABULE- KANONI-24h'!H52,'20.10 SSEMBABULE-KANONI'!H52,'21.10 SSEMBABULE-KANONI'!H52,'22.10 SSEMBABULE-KANONI'!H52,'23.10 SSEMBABULE-KANONI'!H52)</f>
        <v>0</v>
      </c>
      <c r="I52" s="49">
        <f>AVERAGE('17.10 SSEMBABULE-KANONI'!I52,'18.10 SSEMBABULE-KANONI-24h'!I52,'19.10  SSEMBABULE- KANONI-24h'!I52,'20.10 SSEMBABULE-KANONI'!I52,'21.10 SSEMBABULE-KANONI'!I52,'22.10 SSEMBABULE-KANONI'!I52,'23.10 SSEMBABULE-KANONI'!I52)</f>
        <v>1.1428571428571428</v>
      </c>
      <c r="J52" s="49">
        <f>AVERAGE('17.10 SSEMBABULE-KANONI'!J52,'18.10 SSEMBABULE-KANONI-24h'!J52,'19.10  SSEMBABULE- KANONI-24h'!J52,'20.10 SSEMBABULE-KANONI'!J52,'21.10 SSEMBABULE-KANONI'!J52,'22.10 SSEMBABULE-KANONI'!J52,'23.10 SSEMBABULE-KANONI'!J52)</f>
        <v>0.2857142857142857</v>
      </c>
      <c r="K52" s="49">
        <f>AVERAGE('17.10 SSEMBABULE-KANONI'!K52,'18.10 SSEMBABULE-KANONI-24h'!K52,'19.10  SSEMBABULE- KANONI-24h'!K52,'20.10 SSEMBABULE-KANONI'!K52,'21.10 SSEMBABULE-KANONI'!K52,'22.10 SSEMBABULE-KANONI'!K52,'23.10 SSEMBABULE-KANONI'!K52)</f>
        <v>0.14285714285714285</v>
      </c>
      <c r="L52" s="49">
        <f>AVERAGE('17.10 SSEMBABULE-KANONI'!L52,'18.10 SSEMBABULE-KANONI-24h'!L52,'19.10  SSEMBABULE- KANONI-24h'!L52,'20.10 SSEMBABULE-KANONI'!L52,'21.10 SSEMBABULE-KANONI'!L52,'22.10 SSEMBABULE-KANONI'!L52,'23.10 SSEMBABULE-KANONI'!L52)</f>
        <v>0</v>
      </c>
      <c r="M52" s="49">
        <f>AVERAGE('17.10 SSEMBABULE-KANONI'!M52,'18.10 SSEMBABULE-KANONI-24h'!M52,'19.10  SSEMBABULE- KANONI-24h'!M52,'20.10 SSEMBABULE-KANONI'!M52,'21.10 SSEMBABULE-KANONI'!M52,'22.10 SSEMBABULE-KANONI'!M52,'23.10 SSEMBABULE-KANONI'!M52)</f>
        <v>11.428571428571429</v>
      </c>
      <c r="N52" s="49">
        <f>AVERAGE('17.10 SSEMBABULE-KANONI'!N52,'18.10 SSEMBABULE-KANONI-24h'!N52,'19.10  SSEMBABULE- KANONI-24h'!N52,'20.10 SSEMBABULE-KANONI'!N52,'21.10 SSEMBABULE-KANONI'!N52,'22.10 SSEMBABULE-KANONI'!N52,'23.10 SSEMBABULE-KANONI'!N52)</f>
        <v>0</v>
      </c>
      <c r="O52" s="15">
        <f t="shared" si="0"/>
        <v>5.1428571428571423</v>
      </c>
      <c r="P52" s="15">
        <f t="shared" si="1"/>
        <v>16.571428571428569</v>
      </c>
      <c r="R52" s="8"/>
      <c r="T52"/>
    </row>
    <row r="53" spans="2:20" ht="23.1" customHeight="1" x14ac:dyDescent="0.25">
      <c r="B53" s="23" t="s">
        <v>80</v>
      </c>
      <c r="C53" s="49">
        <f>AVERAGE('17.10 SSEMBABULE-KANONI'!C53,'18.10 SSEMBABULE-KANONI-24h'!C53,'19.10  SSEMBABULE- KANONI-24h'!C53,'20.10 SSEMBABULE-KANONI'!C53,'21.10 SSEMBABULE-KANONI'!C53,'22.10 SSEMBABULE-KANONI'!C53,'23.10 SSEMBABULE-KANONI'!C53)</f>
        <v>2.1428571428571428</v>
      </c>
      <c r="D53" s="49">
        <f>AVERAGE('17.10 SSEMBABULE-KANONI'!D53,'18.10 SSEMBABULE-KANONI-24h'!D53,'19.10  SSEMBABULE- KANONI-24h'!D53,'20.10 SSEMBABULE-KANONI'!D53,'21.10 SSEMBABULE-KANONI'!D53,'22.10 SSEMBABULE-KANONI'!D53,'23.10 SSEMBABULE-KANONI'!D53)</f>
        <v>2</v>
      </c>
      <c r="E53" s="49">
        <f>AVERAGE('17.10 SSEMBABULE-KANONI'!E53,'18.10 SSEMBABULE-KANONI-24h'!E53,'19.10  SSEMBABULE- KANONI-24h'!E53,'20.10 SSEMBABULE-KANONI'!E53,'21.10 SSEMBABULE-KANONI'!E53,'22.10 SSEMBABULE-KANONI'!E53,'23.10 SSEMBABULE-KANONI'!E53)</f>
        <v>0.7142857142857143</v>
      </c>
      <c r="F53" s="49">
        <f>AVERAGE('17.10 SSEMBABULE-KANONI'!F53,'18.10 SSEMBABULE-KANONI-24h'!F53,'19.10  SSEMBABULE- KANONI-24h'!F53,'20.10 SSEMBABULE-KANONI'!F53,'21.10 SSEMBABULE-KANONI'!F53,'22.10 SSEMBABULE-KANONI'!F53,'23.10 SSEMBABULE-KANONI'!F53)</f>
        <v>0.8571428571428571</v>
      </c>
      <c r="G53" s="49">
        <f>AVERAGE('17.10 SSEMBABULE-KANONI'!G53,'18.10 SSEMBABULE-KANONI-24h'!G53,'19.10  SSEMBABULE- KANONI-24h'!G53,'20.10 SSEMBABULE-KANONI'!G53,'21.10 SSEMBABULE-KANONI'!G53,'22.10 SSEMBABULE-KANONI'!G53,'23.10 SSEMBABULE-KANONI'!G53)</f>
        <v>0.2857142857142857</v>
      </c>
      <c r="H53" s="49">
        <f>AVERAGE('17.10 SSEMBABULE-KANONI'!H53,'18.10 SSEMBABULE-KANONI-24h'!H53,'19.10  SSEMBABULE- KANONI-24h'!H53,'20.10 SSEMBABULE-KANONI'!H53,'21.10 SSEMBABULE-KANONI'!H53,'22.10 SSEMBABULE-KANONI'!H53,'23.10 SSEMBABULE-KANONI'!H53)</f>
        <v>0</v>
      </c>
      <c r="I53" s="49">
        <f>AVERAGE('17.10 SSEMBABULE-KANONI'!I53,'18.10 SSEMBABULE-KANONI-24h'!I53,'19.10  SSEMBABULE- KANONI-24h'!I53,'20.10 SSEMBABULE-KANONI'!I53,'21.10 SSEMBABULE-KANONI'!I53,'22.10 SSEMBABULE-KANONI'!I53,'23.10 SSEMBABULE-KANONI'!I53)</f>
        <v>1.4285714285714286</v>
      </c>
      <c r="J53" s="49">
        <f>AVERAGE('17.10 SSEMBABULE-KANONI'!J53,'18.10 SSEMBABULE-KANONI-24h'!J53,'19.10  SSEMBABULE- KANONI-24h'!J53,'20.10 SSEMBABULE-KANONI'!J53,'21.10 SSEMBABULE-KANONI'!J53,'22.10 SSEMBABULE-KANONI'!J53,'23.10 SSEMBABULE-KANONI'!J53)</f>
        <v>0.2857142857142857</v>
      </c>
      <c r="K53" s="49">
        <f>AVERAGE('17.10 SSEMBABULE-KANONI'!K53,'18.10 SSEMBABULE-KANONI-24h'!K53,'19.10  SSEMBABULE- KANONI-24h'!K53,'20.10 SSEMBABULE-KANONI'!K53,'21.10 SSEMBABULE-KANONI'!K53,'22.10 SSEMBABULE-KANONI'!K53,'23.10 SSEMBABULE-KANONI'!K53)</f>
        <v>0.14285714285714285</v>
      </c>
      <c r="L53" s="49">
        <f>AVERAGE('17.10 SSEMBABULE-KANONI'!L53,'18.10 SSEMBABULE-KANONI-24h'!L53,'19.10  SSEMBABULE- KANONI-24h'!L53,'20.10 SSEMBABULE-KANONI'!L53,'21.10 SSEMBABULE-KANONI'!L53,'22.10 SSEMBABULE-KANONI'!L53,'23.10 SSEMBABULE-KANONI'!L53)</f>
        <v>0.14285714285714285</v>
      </c>
      <c r="M53" s="49">
        <f>AVERAGE('17.10 SSEMBABULE-KANONI'!M53,'18.10 SSEMBABULE-KANONI-24h'!M53,'19.10  SSEMBABULE- KANONI-24h'!M53,'20.10 SSEMBABULE-KANONI'!M53,'21.10 SSEMBABULE-KANONI'!M53,'22.10 SSEMBABULE-KANONI'!M53,'23.10 SSEMBABULE-KANONI'!M53)</f>
        <v>8.4285714285714288</v>
      </c>
      <c r="N53" s="49">
        <f>AVERAGE('17.10 SSEMBABULE-KANONI'!N53,'18.10 SSEMBABULE-KANONI-24h'!N53,'19.10  SSEMBABULE- KANONI-24h'!N53,'20.10 SSEMBABULE-KANONI'!N53,'21.10 SSEMBABULE-KANONI'!N53,'22.10 SSEMBABULE-KANONI'!N53,'23.10 SSEMBABULE-KANONI'!N53)</f>
        <v>0</v>
      </c>
      <c r="O53" s="15">
        <f t="shared" si="0"/>
        <v>8</v>
      </c>
      <c r="P53" s="15">
        <f t="shared" si="1"/>
        <v>16.428571428571431</v>
      </c>
      <c r="R53" s="8"/>
      <c r="T53"/>
    </row>
    <row r="54" spans="2:20" ht="23.1" customHeight="1" x14ac:dyDescent="0.25">
      <c r="B54" s="23" t="s">
        <v>81</v>
      </c>
      <c r="C54" s="49">
        <f>AVERAGE('17.10 SSEMBABULE-KANONI'!C54,'18.10 SSEMBABULE-KANONI-24h'!C54,'19.10  SSEMBABULE- KANONI-24h'!C54,'20.10 SSEMBABULE-KANONI'!C54,'21.10 SSEMBABULE-KANONI'!C54,'22.10 SSEMBABULE-KANONI'!C54,'23.10 SSEMBABULE-KANONI'!C54)</f>
        <v>2</v>
      </c>
      <c r="D54" s="49">
        <f>AVERAGE('17.10 SSEMBABULE-KANONI'!D54,'18.10 SSEMBABULE-KANONI-24h'!D54,'19.10  SSEMBABULE- KANONI-24h'!D54,'20.10 SSEMBABULE-KANONI'!D54,'21.10 SSEMBABULE-KANONI'!D54,'22.10 SSEMBABULE-KANONI'!D54,'23.10 SSEMBABULE-KANONI'!D54)</f>
        <v>0.5714285714285714</v>
      </c>
      <c r="E54" s="49">
        <f>AVERAGE('17.10 SSEMBABULE-KANONI'!E54,'18.10 SSEMBABULE-KANONI-24h'!E54,'19.10  SSEMBABULE- KANONI-24h'!E54,'20.10 SSEMBABULE-KANONI'!E54,'21.10 SSEMBABULE-KANONI'!E54,'22.10 SSEMBABULE-KANONI'!E54,'23.10 SSEMBABULE-KANONI'!E54)</f>
        <v>0.14285714285714285</v>
      </c>
      <c r="F54" s="49">
        <f>AVERAGE('17.10 SSEMBABULE-KANONI'!F54,'18.10 SSEMBABULE-KANONI-24h'!F54,'19.10  SSEMBABULE- KANONI-24h'!F54,'20.10 SSEMBABULE-KANONI'!F54,'21.10 SSEMBABULE-KANONI'!F54,'22.10 SSEMBABULE-KANONI'!F54,'23.10 SSEMBABULE-KANONI'!F54)</f>
        <v>0.8571428571428571</v>
      </c>
      <c r="G54" s="49">
        <f>AVERAGE('17.10 SSEMBABULE-KANONI'!G54,'18.10 SSEMBABULE-KANONI-24h'!G54,'19.10  SSEMBABULE- KANONI-24h'!G54,'20.10 SSEMBABULE-KANONI'!G54,'21.10 SSEMBABULE-KANONI'!G54,'22.10 SSEMBABULE-KANONI'!G54,'23.10 SSEMBABULE-KANONI'!G54)</f>
        <v>0.42857142857142855</v>
      </c>
      <c r="H54" s="49">
        <f>AVERAGE('17.10 SSEMBABULE-KANONI'!H54,'18.10 SSEMBABULE-KANONI-24h'!H54,'19.10  SSEMBABULE- KANONI-24h'!H54,'20.10 SSEMBABULE-KANONI'!H54,'21.10 SSEMBABULE-KANONI'!H54,'22.10 SSEMBABULE-KANONI'!H54,'23.10 SSEMBABULE-KANONI'!H54)</f>
        <v>0</v>
      </c>
      <c r="I54" s="49">
        <f>AVERAGE('17.10 SSEMBABULE-KANONI'!I54,'18.10 SSEMBABULE-KANONI-24h'!I54,'19.10  SSEMBABULE- KANONI-24h'!I54,'20.10 SSEMBABULE-KANONI'!I54,'21.10 SSEMBABULE-KANONI'!I54,'22.10 SSEMBABULE-KANONI'!I54,'23.10 SSEMBABULE-KANONI'!I54)</f>
        <v>0.42857142857142855</v>
      </c>
      <c r="J54" s="49">
        <f>AVERAGE('17.10 SSEMBABULE-KANONI'!J54,'18.10 SSEMBABULE-KANONI-24h'!J54,'19.10  SSEMBABULE- KANONI-24h'!J54,'20.10 SSEMBABULE-KANONI'!J54,'21.10 SSEMBABULE-KANONI'!J54,'22.10 SSEMBABULE-KANONI'!J54,'23.10 SSEMBABULE-KANONI'!J54)</f>
        <v>0.14285714285714285</v>
      </c>
      <c r="K54" s="49">
        <f>AVERAGE('17.10 SSEMBABULE-KANONI'!K54,'18.10 SSEMBABULE-KANONI-24h'!K54,'19.10  SSEMBABULE- KANONI-24h'!K54,'20.10 SSEMBABULE-KANONI'!K54,'21.10 SSEMBABULE-KANONI'!K54,'22.10 SSEMBABULE-KANONI'!K54,'23.10 SSEMBABULE-KANONI'!K54)</f>
        <v>0.2857142857142857</v>
      </c>
      <c r="L54" s="49">
        <f>AVERAGE('17.10 SSEMBABULE-KANONI'!L54,'18.10 SSEMBABULE-KANONI-24h'!L54,'19.10  SSEMBABULE- KANONI-24h'!L54,'20.10 SSEMBABULE-KANONI'!L54,'21.10 SSEMBABULE-KANONI'!L54,'22.10 SSEMBABULE-KANONI'!L54,'23.10 SSEMBABULE-KANONI'!L54)</f>
        <v>0</v>
      </c>
      <c r="M54" s="49">
        <f>AVERAGE('17.10 SSEMBABULE-KANONI'!M54,'18.10 SSEMBABULE-KANONI-24h'!M54,'19.10  SSEMBABULE- KANONI-24h'!M54,'20.10 SSEMBABULE-KANONI'!M54,'21.10 SSEMBABULE-KANONI'!M54,'22.10 SSEMBABULE-KANONI'!M54,'23.10 SSEMBABULE-KANONI'!M54)</f>
        <v>10.857142857142858</v>
      </c>
      <c r="N54" s="49">
        <f>AVERAGE('17.10 SSEMBABULE-KANONI'!N54,'18.10 SSEMBABULE-KANONI-24h'!N54,'19.10  SSEMBABULE- KANONI-24h'!N54,'20.10 SSEMBABULE-KANONI'!N54,'21.10 SSEMBABULE-KANONI'!N54,'22.10 SSEMBABULE-KANONI'!N54,'23.10 SSEMBABULE-KANONI'!N54)</f>
        <v>0</v>
      </c>
      <c r="O54" s="15">
        <f t="shared" si="0"/>
        <v>4.8571428571428568</v>
      </c>
      <c r="P54" s="15">
        <f t="shared" si="1"/>
        <v>15.714285714285715</v>
      </c>
      <c r="R54" s="8"/>
      <c r="T54"/>
    </row>
    <row r="55" spans="2:20" ht="23.1" customHeight="1" x14ac:dyDescent="0.25">
      <c r="B55" s="23" t="s">
        <v>82</v>
      </c>
      <c r="C55" s="49">
        <f>AVERAGE('17.10 SSEMBABULE-KANONI'!C55,'18.10 SSEMBABULE-KANONI-24h'!C55,'19.10  SSEMBABULE- KANONI-24h'!C55,'20.10 SSEMBABULE-KANONI'!C55,'21.10 SSEMBABULE-KANONI'!C55,'22.10 SSEMBABULE-KANONI'!C55,'23.10 SSEMBABULE-KANONI'!C55)</f>
        <v>2</v>
      </c>
      <c r="D55" s="49">
        <f>AVERAGE('17.10 SSEMBABULE-KANONI'!D55,'18.10 SSEMBABULE-KANONI-24h'!D55,'19.10  SSEMBABULE- KANONI-24h'!D55,'20.10 SSEMBABULE-KANONI'!D55,'21.10 SSEMBABULE-KANONI'!D55,'22.10 SSEMBABULE-KANONI'!D55,'23.10 SSEMBABULE-KANONI'!D55)</f>
        <v>0.5714285714285714</v>
      </c>
      <c r="E55" s="49">
        <f>AVERAGE('17.10 SSEMBABULE-KANONI'!E55,'18.10 SSEMBABULE-KANONI-24h'!E55,'19.10  SSEMBABULE- KANONI-24h'!E55,'20.10 SSEMBABULE-KANONI'!E55,'21.10 SSEMBABULE-KANONI'!E55,'22.10 SSEMBABULE-KANONI'!E55,'23.10 SSEMBABULE-KANONI'!E55)</f>
        <v>0</v>
      </c>
      <c r="F55" s="49">
        <f>AVERAGE('17.10 SSEMBABULE-KANONI'!F55,'18.10 SSEMBABULE-KANONI-24h'!F55,'19.10  SSEMBABULE- KANONI-24h'!F55,'20.10 SSEMBABULE-KANONI'!F55,'21.10 SSEMBABULE-KANONI'!F55,'22.10 SSEMBABULE-KANONI'!F55,'23.10 SSEMBABULE-KANONI'!F55)</f>
        <v>0.5714285714285714</v>
      </c>
      <c r="G55" s="49">
        <f>AVERAGE('17.10 SSEMBABULE-KANONI'!G55,'18.10 SSEMBABULE-KANONI-24h'!G55,'19.10  SSEMBABULE- KANONI-24h'!G55,'20.10 SSEMBABULE-KANONI'!G55,'21.10 SSEMBABULE-KANONI'!G55,'22.10 SSEMBABULE-KANONI'!G55,'23.10 SSEMBABULE-KANONI'!G55)</f>
        <v>0</v>
      </c>
      <c r="H55" s="49">
        <f>AVERAGE('17.10 SSEMBABULE-KANONI'!H55,'18.10 SSEMBABULE-KANONI-24h'!H55,'19.10  SSEMBABULE- KANONI-24h'!H55,'20.10 SSEMBABULE-KANONI'!H55,'21.10 SSEMBABULE-KANONI'!H55,'22.10 SSEMBABULE-KANONI'!H55,'23.10 SSEMBABULE-KANONI'!H55)</f>
        <v>0</v>
      </c>
      <c r="I55" s="49">
        <f>AVERAGE('17.10 SSEMBABULE-KANONI'!I55,'18.10 SSEMBABULE-KANONI-24h'!I55,'19.10  SSEMBABULE- KANONI-24h'!I55,'20.10 SSEMBABULE-KANONI'!I55,'21.10 SSEMBABULE-KANONI'!I55,'22.10 SSEMBABULE-KANONI'!I55,'23.10 SSEMBABULE-KANONI'!I55)</f>
        <v>1.4285714285714286</v>
      </c>
      <c r="J55" s="49">
        <f>AVERAGE('17.10 SSEMBABULE-KANONI'!J55,'18.10 SSEMBABULE-KANONI-24h'!J55,'19.10  SSEMBABULE- KANONI-24h'!J55,'20.10 SSEMBABULE-KANONI'!J55,'21.10 SSEMBABULE-KANONI'!J55,'22.10 SSEMBABULE-KANONI'!J55,'23.10 SSEMBABULE-KANONI'!J55)</f>
        <v>0.5714285714285714</v>
      </c>
      <c r="K55" s="49">
        <f>AVERAGE('17.10 SSEMBABULE-KANONI'!K55,'18.10 SSEMBABULE-KANONI-24h'!K55,'19.10  SSEMBABULE- KANONI-24h'!K55,'20.10 SSEMBABULE-KANONI'!K55,'21.10 SSEMBABULE-KANONI'!K55,'22.10 SSEMBABULE-KANONI'!K55,'23.10 SSEMBABULE-KANONI'!K55)</f>
        <v>0.5714285714285714</v>
      </c>
      <c r="L55" s="49">
        <f>AVERAGE('17.10 SSEMBABULE-KANONI'!L55,'18.10 SSEMBABULE-KANONI-24h'!L55,'19.10  SSEMBABULE- KANONI-24h'!L55,'20.10 SSEMBABULE-KANONI'!L55,'21.10 SSEMBABULE-KANONI'!L55,'22.10 SSEMBABULE-KANONI'!L55,'23.10 SSEMBABULE-KANONI'!L55)</f>
        <v>0.14285714285714285</v>
      </c>
      <c r="M55" s="49">
        <f>AVERAGE('17.10 SSEMBABULE-KANONI'!M55,'18.10 SSEMBABULE-KANONI-24h'!M55,'19.10  SSEMBABULE- KANONI-24h'!M55,'20.10 SSEMBABULE-KANONI'!M55,'21.10 SSEMBABULE-KANONI'!M55,'22.10 SSEMBABULE-KANONI'!M55,'23.10 SSEMBABULE-KANONI'!M55)</f>
        <v>8.7142857142857135</v>
      </c>
      <c r="N55" s="49">
        <f>AVERAGE('17.10 SSEMBABULE-KANONI'!N55,'18.10 SSEMBABULE-KANONI-24h'!N55,'19.10  SSEMBABULE- KANONI-24h'!N55,'20.10 SSEMBABULE-KANONI'!N55,'21.10 SSEMBABULE-KANONI'!N55,'22.10 SSEMBABULE-KANONI'!N55,'23.10 SSEMBABULE-KANONI'!N55)</f>
        <v>0</v>
      </c>
      <c r="O55" s="15">
        <f t="shared" si="0"/>
        <v>5.8571428571428568</v>
      </c>
      <c r="P55" s="15">
        <f t="shared" si="1"/>
        <v>14.571428571428569</v>
      </c>
      <c r="R55" s="8"/>
      <c r="T55"/>
    </row>
    <row r="56" spans="2:20" ht="23.1" customHeight="1" x14ac:dyDescent="0.25">
      <c r="B56" s="23" t="s">
        <v>83</v>
      </c>
      <c r="C56" s="49">
        <f>AVERAGE('17.10 SSEMBABULE-KANONI'!C56,'18.10 SSEMBABULE-KANONI-24h'!C56,'19.10  SSEMBABULE- KANONI-24h'!C56,'20.10 SSEMBABULE-KANONI'!C56,'21.10 SSEMBABULE-KANONI'!C56,'22.10 SSEMBABULE-KANONI'!C56,'23.10 SSEMBABULE-KANONI'!C56)</f>
        <v>2.1428571428571428</v>
      </c>
      <c r="D56" s="49">
        <f>AVERAGE('17.10 SSEMBABULE-KANONI'!D56,'18.10 SSEMBABULE-KANONI-24h'!D56,'19.10  SSEMBABULE- KANONI-24h'!D56,'20.10 SSEMBABULE-KANONI'!D56,'21.10 SSEMBABULE-KANONI'!D56,'22.10 SSEMBABULE-KANONI'!D56,'23.10 SSEMBABULE-KANONI'!D56)</f>
        <v>0.5714285714285714</v>
      </c>
      <c r="E56" s="49">
        <f>AVERAGE('17.10 SSEMBABULE-KANONI'!E56,'18.10 SSEMBABULE-KANONI-24h'!E56,'19.10  SSEMBABULE- KANONI-24h'!E56,'20.10 SSEMBABULE-KANONI'!E56,'21.10 SSEMBABULE-KANONI'!E56,'22.10 SSEMBABULE-KANONI'!E56,'23.10 SSEMBABULE-KANONI'!E56)</f>
        <v>0</v>
      </c>
      <c r="F56" s="49">
        <f>AVERAGE('17.10 SSEMBABULE-KANONI'!F56,'18.10 SSEMBABULE-KANONI-24h'!F56,'19.10  SSEMBABULE- KANONI-24h'!F56,'20.10 SSEMBABULE-KANONI'!F56,'21.10 SSEMBABULE-KANONI'!F56,'22.10 SSEMBABULE-KANONI'!F56,'23.10 SSEMBABULE-KANONI'!F56)</f>
        <v>0.14285714285714285</v>
      </c>
      <c r="G56" s="49">
        <f>AVERAGE('17.10 SSEMBABULE-KANONI'!G56,'18.10 SSEMBABULE-KANONI-24h'!G56,'19.10  SSEMBABULE- KANONI-24h'!G56,'20.10 SSEMBABULE-KANONI'!G56,'21.10 SSEMBABULE-KANONI'!G56,'22.10 SSEMBABULE-KANONI'!G56,'23.10 SSEMBABULE-KANONI'!G56)</f>
        <v>0.14285714285714285</v>
      </c>
      <c r="H56" s="49">
        <f>AVERAGE('17.10 SSEMBABULE-KANONI'!H56,'18.10 SSEMBABULE-KANONI-24h'!H56,'19.10  SSEMBABULE- KANONI-24h'!H56,'20.10 SSEMBABULE-KANONI'!H56,'21.10 SSEMBABULE-KANONI'!H56,'22.10 SSEMBABULE-KANONI'!H56,'23.10 SSEMBABULE-KANONI'!H56)</f>
        <v>0</v>
      </c>
      <c r="I56" s="49">
        <f>AVERAGE('17.10 SSEMBABULE-KANONI'!I56,'18.10 SSEMBABULE-KANONI-24h'!I56,'19.10  SSEMBABULE- KANONI-24h'!I56,'20.10 SSEMBABULE-KANONI'!I56,'21.10 SSEMBABULE-KANONI'!I56,'22.10 SSEMBABULE-KANONI'!I56,'23.10 SSEMBABULE-KANONI'!I56)</f>
        <v>0.7142857142857143</v>
      </c>
      <c r="J56" s="49">
        <f>AVERAGE('17.10 SSEMBABULE-KANONI'!J56,'18.10 SSEMBABULE-KANONI-24h'!J56,'19.10  SSEMBABULE- KANONI-24h'!J56,'20.10 SSEMBABULE-KANONI'!J56,'21.10 SSEMBABULE-KANONI'!J56,'22.10 SSEMBABULE-KANONI'!J56,'23.10 SSEMBABULE-KANONI'!J56)</f>
        <v>0.7142857142857143</v>
      </c>
      <c r="K56" s="49">
        <f>AVERAGE('17.10 SSEMBABULE-KANONI'!K56,'18.10 SSEMBABULE-KANONI-24h'!K56,'19.10  SSEMBABULE- KANONI-24h'!K56,'20.10 SSEMBABULE-KANONI'!K56,'21.10 SSEMBABULE-KANONI'!K56,'22.10 SSEMBABULE-KANONI'!K56,'23.10 SSEMBABULE-KANONI'!K56)</f>
        <v>0</v>
      </c>
      <c r="L56" s="49">
        <f>AVERAGE('17.10 SSEMBABULE-KANONI'!L56,'18.10 SSEMBABULE-KANONI-24h'!L56,'19.10  SSEMBABULE- KANONI-24h'!L56,'20.10 SSEMBABULE-KANONI'!L56,'21.10 SSEMBABULE-KANONI'!L56,'22.10 SSEMBABULE-KANONI'!L56,'23.10 SSEMBABULE-KANONI'!L56)</f>
        <v>0</v>
      </c>
      <c r="M56" s="49">
        <f>AVERAGE('17.10 SSEMBABULE-KANONI'!M56,'18.10 SSEMBABULE-KANONI-24h'!M56,'19.10  SSEMBABULE- KANONI-24h'!M56,'20.10 SSEMBABULE-KANONI'!M56,'21.10 SSEMBABULE-KANONI'!M56,'22.10 SSEMBABULE-KANONI'!M56,'23.10 SSEMBABULE-KANONI'!M56)</f>
        <v>10</v>
      </c>
      <c r="N56" s="49">
        <f>AVERAGE('17.10 SSEMBABULE-KANONI'!N56,'18.10 SSEMBABULE-KANONI-24h'!N56,'19.10  SSEMBABULE- KANONI-24h'!N56,'20.10 SSEMBABULE-KANONI'!N56,'21.10 SSEMBABULE-KANONI'!N56,'22.10 SSEMBABULE-KANONI'!N56,'23.10 SSEMBABULE-KANONI'!N56)</f>
        <v>0</v>
      </c>
      <c r="O56" s="15">
        <f t="shared" si="0"/>
        <v>4.4285714285714288</v>
      </c>
      <c r="P56" s="15">
        <f t="shared" si="1"/>
        <v>14.428571428571429</v>
      </c>
      <c r="R56" s="8"/>
      <c r="T56"/>
    </row>
    <row r="57" spans="2:20" ht="23.1" customHeight="1" x14ac:dyDescent="0.25">
      <c r="B57" s="23" t="s">
        <v>84</v>
      </c>
      <c r="C57" s="49">
        <f>AVERAGE('17.10 SSEMBABULE-KANONI'!C57,'18.10 SSEMBABULE-KANONI-24h'!C57,'19.10  SSEMBABULE- KANONI-24h'!C57,'20.10 SSEMBABULE-KANONI'!C57,'21.10 SSEMBABULE-KANONI'!C57,'22.10 SSEMBABULE-KANONI'!C57,'23.10 SSEMBABULE-KANONI'!C57)</f>
        <v>2.2857142857142856</v>
      </c>
      <c r="D57" s="49">
        <f>AVERAGE('17.10 SSEMBABULE-KANONI'!D57,'18.10 SSEMBABULE-KANONI-24h'!D57,'19.10  SSEMBABULE- KANONI-24h'!D57,'20.10 SSEMBABULE-KANONI'!D57,'21.10 SSEMBABULE-KANONI'!D57,'22.10 SSEMBABULE-KANONI'!D57,'23.10 SSEMBABULE-KANONI'!D57)</f>
        <v>1.2857142857142858</v>
      </c>
      <c r="E57" s="49">
        <f>AVERAGE('17.10 SSEMBABULE-KANONI'!E57,'18.10 SSEMBABULE-KANONI-24h'!E57,'19.10  SSEMBABULE- KANONI-24h'!E57,'20.10 SSEMBABULE-KANONI'!E57,'21.10 SSEMBABULE-KANONI'!E57,'22.10 SSEMBABULE-KANONI'!E57,'23.10 SSEMBABULE-KANONI'!E57)</f>
        <v>0.14285714285714285</v>
      </c>
      <c r="F57" s="49">
        <f>AVERAGE('17.10 SSEMBABULE-KANONI'!F57,'18.10 SSEMBABULE-KANONI-24h'!F57,'19.10  SSEMBABULE- KANONI-24h'!F57,'20.10 SSEMBABULE-KANONI'!F57,'21.10 SSEMBABULE-KANONI'!F57,'22.10 SSEMBABULE-KANONI'!F57,'23.10 SSEMBABULE-KANONI'!F57)</f>
        <v>0.42857142857142855</v>
      </c>
      <c r="G57" s="49">
        <f>AVERAGE('17.10 SSEMBABULE-KANONI'!G57,'18.10 SSEMBABULE-KANONI-24h'!G57,'19.10  SSEMBABULE- KANONI-24h'!G57,'20.10 SSEMBABULE-KANONI'!G57,'21.10 SSEMBABULE-KANONI'!G57,'22.10 SSEMBABULE-KANONI'!G57,'23.10 SSEMBABULE-KANONI'!G57)</f>
        <v>0.42857142857142855</v>
      </c>
      <c r="H57" s="49">
        <f>AVERAGE('17.10 SSEMBABULE-KANONI'!H57,'18.10 SSEMBABULE-KANONI-24h'!H57,'19.10  SSEMBABULE- KANONI-24h'!H57,'20.10 SSEMBABULE-KANONI'!H57,'21.10 SSEMBABULE-KANONI'!H57,'22.10 SSEMBABULE-KANONI'!H57,'23.10 SSEMBABULE-KANONI'!H57)</f>
        <v>0</v>
      </c>
      <c r="I57" s="49">
        <f>AVERAGE('17.10 SSEMBABULE-KANONI'!I57,'18.10 SSEMBABULE-KANONI-24h'!I57,'19.10  SSEMBABULE- KANONI-24h'!I57,'20.10 SSEMBABULE-KANONI'!I57,'21.10 SSEMBABULE-KANONI'!I57,'22.10 SSEMBABULE-KANONI'!I57,'23.10 SSEMBABULE-KANONI'!I57)</f>
        <v>0.8571428571428571</v>
      </c>
      <c r="J57" s="49">
        <f>AVERAGE('17.10 SSEMBABULE-KANONI'!J57,'18.10 SSEMBABULE-KANONI-24h'!J57,'19.10  SSEMBABULE- KANONI-24h'!J57,'20.10 SSEMBABULE-KANONI'!J57,'21.10 SSEMBABULE-KANONI'!J57,'22.10 SSEMBABULE-KANONI'!J57,'23.10 SSEMBABULE-KANONI'!J57)</f>
        <v>0.2857142857142857</v>
      </c>
      <c r="K57" s="49">
        <f>AVERAGE('17.10 SSEMBABULE-KANONI'!K57,'18.10 SSEMBABULE-KANONI-24h'!K57,'19.10  SSEMBABULE- KANONI-24h'!K57,'20.10 SSEMBABULE-KANONI'!K57,'21.10 SSEMBABULE-KANONI'!K57,'22.10 SSEMBABULE-KANONI'!K57,'23.10 SSEMBABULE-KANONI'!K57)</f>
        <v>0.14285714285714285</v>
      </c>
      <c r="L57" s="49">
        <f>AVERAGE('17.10 SSEMBABULE-KANONI'!L57,'18.10 SSEMBABULE-KANONI-24h'!L57,'19.10  SSEMBABULE- KANONI-24h'!L57,'20.10 SSEMBABULE-KANONI'!L57,'21.10 SSEMBABULE-KANONI'!L57,'22.10 SSEMBABULE-KANONI'!L57,'23.10 SSEMBABULE-KANONI'!L57)</f>
        <v>0.14285714285714285</v>
      </c>
      <c r="M57" s="49">
        <f>AVERAGE('17.10 SSEMBABULE-KANONI'!M57,'18.10 SSEMBABULE-KANONI-24h'!M57,'19.10  SSEMBABULE- KANONI-24h'!M57,'20.10 SSEMBABULE-KANONI'!M57,'21.10 SSEMBABULE-KANONI'!M57,'22.10 SSEMBABULE-KANONI'!M57,'23.10 SSEMBABULE-KANONI'!M57)</f>
        <v>10.714285714285714</v>
      </c>
      <c r="N57" s="49">
        <f>AVERAGE('17.10 SSEMBABULE-KANONI'!N57,'18.10 SSEMBABULE-KANONI-24h'!N57,'19.10  SSEMBABULE- KANONI-24h'!N57,'20.10 SSEMBABULE-KANONI'!N57,'21.10 SSEMBABULE-KANONI'!N57,'22.10 SSEMBABULE-KANONI'!N57,'23.10 SSEMBABULE-KANONI'!N57)</f>
        <v>0</v>
      </c>
      <c r="O57" s="15">
        <f t="shared" si="0"/>
        <v>6</v>
      </c>
      <c r="P57" s="15">
        <f t="shared" si="1"/>
        <v>16.714285714285715</v>
      </c>
      <c r="R57" s="8"/>
      <c r="T57"/>
    </row>
    <row r="58" spans="2:20" ht="23.1" customHeight="1" x14ac:dyDescent="0.25">
      <c r="B58" s="23" t="s">
        <v>99</v>
      </c>
      <c r="C58" s="49">
        <f>AVERAGE('18.10 SSEMBABULE-KANONI-24h'!C58,'19.10  SSEMBABULE- KANONI-24h'!C58)</f>
        <v>1</v>
      </c>
      <c r="D58" s="49">
        <f>AVERAGE('18.10 SSEMBABULE-KANONI-24h'!D58,'19.10  SSEMBABULE- KANONI-24h'!D58)</f>
        <v>0</v>
      </c>
      <c r="E58" s="49">
        <f>AVERAGE('18.10 SSEMBABULE-KANONI-24h'!E58,'19.10  SSEMBABULE- KANONI-24h'!E58)</f>
        <v>1</v>
      </c>
      <c r="F58" s="49">
        <f>AVERAGE('18.10 SSEMBABULE-KANONI-24h'!F58,'19.10  SSEMBABULE- KANONI-24h'!F58)</f>
        <v>0</v>
      </c>
      <c r="G58" s="49">
        <f>AVERAGE('18.10 SSEMBABULE-KANONI-24h'!G58,'19.10  SSEMBABULE- KANONI-24h'!G58)</f>
        <v>0</v>
      </c>
      <c r="H58" s="49">
        <f>AVERAGE('18.10 SSEMBABULE-KANONI-24h'!H58,'19.10  SSEMBABULE- KANONI-24h'!H58)</f>
        <v>0</v>
      </c>
      <c r="I58" s="49">
        <f>AVERAGE('18.10 SSEMBABULE-KANONI-24h'!I58,'19.10  SSEMBABULE- KANONI-24h'!I58)</f>
        <v>1</v>
      </c>
      <c r="J58" s="49">
        <f>AVERAGE('18.10 SSEMBABULE-KANONI-24h'!J58,'19.10  SSEMBABULE- KANONI-24h'!J58)</f>
        <v>0.5</v>
      </c>
      <c r="K58" s="49">
        <f>AVERAGE('18.10 SSEMBABULE-KANONI-24h'!K58,'19.10  SSEMBABULE- KANONI-24h'!K58)</f>
        <v>0</v>
      </c>
      <c r="L58" s="49">
        <f>AVERAGE('18.10 SSEMBABULE-KANONI-24h'!L58,'19.10  SSEMBABULE- KANONI-24h'!L58)</f>
        <v>0</v>
      </c>
      <c r="M58" s="49">
        <f>AVERAGE('18.10 SSEMBABULE-KANONI-24h'!M58,'19.10  SSEMBABULE- KANONI-24h'!M58)</f>
        <v>15.5</v>
      </c>
      <c r="N58" s="49">
        <f>AVERAGE('18.10 SSEMBABULE-KANONI-24h'!N58,'19.10  SSEMBABULE- KANONI-24h'!N58)</f>
        <v>0</v>
      </c>
      <c r="O58" s="15">
        <f t="shared" si="0"/>
        <v>3.5</v>
      </c>
      <c r="P58" s="15">
        <f t="shared" si="1"/>
        <v>19</v>
      </c>
      <c r="R58" s="8"/>
      <c r="T58"/>
    </row>
    <row r="59" spans="2:20" ht="23.1" customHeight="1" x14ac:dyDescent="0.25">
      <c r="B59" s="23" t="s">
        <v>100</v>
      </c>
      <c r="C59" s="49">
        <f>AVERAGE('18.10 SSEMBABULE-KANONI-24h'!C59,'19.10  SSEMBABULE- KANONI-24h'!C59)</f>
        <v>3</v>
      </c>
      <c r="D59" s="49">
        <f>AVERAGE('18.10 SSEMBABULE-KANONI-24h'!D59,'19.10  SSEMBABULE- KANONI-24h'!D59)</f>
        <v>0.5</v>
      </c>
      <c r="E59" s="49">
        <f>AVERAGE('18.10 SSEMBABULE-KANONI-24h'!E59,'19.10  SSEMBABULE- KANONI-24h'!E59)</f>
        <v>0</v>
      </c>
      <c r="F59" s="49">
        <f>AVERAGE('18.10 SSEMBABULE-KANONI-24h'!F59,'19.10  SSEMBABULE- KANONI-24h'!F59)</f>
        <v>1.5</v>
      </c>
      <c r="G59" s="49">
        <f>AVERAGE('18.10 SSEMBABULE-KANONI-24h'!G59,'19.10  SSEMBABULE- KANONI-24h'!G59)</f>
        <v>0</v>
      </c>
      <c r="H59" s="49">
        <f>AVERAGE('18.10 SSEMBABULE-KANONI-24h'!H59,'19.10  SSEMBABULE- KANONI-24h'!H59)</f>
        <v>0</v>
      </c>
      <c r="I59" s="49">
        <f>AVERAGE('18.10 SSEMBABULE-KANONI-24h'!I59,'19.10  SSEMBABULE- KANONI-24h'!I59)</f>
        <v>1</v>
      </c>
      <c r="J59" s="49">
        <f>AVERAGE('18.10 SSEMBABULE-KANONI-24h'!J59,'19.10  SSEMBABULE- KANONI-24h'!J59)</f>
        <v>1.5</v>
      </c>
      <c r="K59" s="49">
        <f>AVERAGE('18.10 SSEMBABULE-KANONI-24h'!K59,'19.10  SSEMBABULE- KANONI-24h'!K59)</f>
        <v>0</v>
      </c>
      <c r="L59" s="49">
        <f>AVERAGE('18.10 SSEMBABULE-KANONI-24h'!L59,'19.10  SSEMBABULE- KANONI-24h'!L59)</f>
        <v>0</v>
      </c>
      <c r="M59" s="49">
        <f>AVERAGE('18.10 SSEMBABULE-KANONI-24h'!M59,'19.10  SSEMBABULE- KANONI-24h'!M59)</f>
        <v>10.5</v>
      </c>
      <c r="N59" s="49">
        <f>AVERAGE('18.10 SSEMBABULE-KANONI-24h'!N59,'19.10  SSEMBABULE- KANONI-24h'!N59)</f>
        <v>0</v>
      </c>
      <c r="O59" s="15">
        <f t="shared" si="0"/>
        <v>7.5</v>
      </c>
      <c r="P59" s="15">
        <f t="shared" si="1"/>
        <v>18</v>
      </c>
      <c r="R59" s="8"/>
      <c r="T59"/>
    </row>
    <row r="60" spans="2:20" ht="23.1" customHeight="1" x14ac:dyDescent="0.25">
      <c r="B60" s="23" t="s">
        <v>101</v>
      </c>
      <c r="C60" s="49">
        <f>AVERAGE('18.10 SSEMBABULE-KANONI-24h'!C60,'19.10  SSEMBABULE- KANONI-24h'!C60)</f>
        <v>2</v>
      </c>
      <c r="D60" s="49">
        <f>AVERAGE('18.10 SSEMBABULE-KANONI-24h'!D60,'19.10  SSEMBABULE- KANONI-24h'!D60)</f>
        <v>0</v>
      </c>
      <c r="E60" s="49">
        <f>AVERAGE('18.10 SSEMBABULE-KANONI-24h'!E60,'19.10  SSEMBABULE- KANONI-24h'!E60)</f>
        <v>0</v>
      </c>
      <c r="F60" s="49">
        <f>AVERAGE('18.10 SSEMBABULE-KANONI-24h'!F60,'19.10  SSEMBABULE- KANONI-24h'!F60)</f>
        <v>0</v>
      </c>
      <c r="G60" s="49">
        <f>AVERAGE('18.10 SSEMBABULE-KANONI-24h'!G60,'19.10  SSEMBABULE- KANONI-24h'!G60)</f>
        <v>0</v>
      </c>
      <c r="H60" s="49">
        <f>AVERAGE('18.10 SSEMBABULE-KANONI-24h'!H60,'19.10  SSEMBABULE- KANONI-24h'!H60)</f>
        <v>0</v>
      </c>
      <c r="I60" s="49">
        <f>AVERAGE('18.10 SSEMBABULE-KANONI-24h'!I60,'19.10  SSEMBABULE- KANONI-24h'!I60)</f>
        <v>0.5</v>
      </c>
      <c r="J60" s="49">
        <f>AVERAGE('18.10 SSEMBABULE-KANONI-24h'!J60,'19.10  SSEMBABULE- KANONI-24h'!J60)</f>
        <v>1</v>
      </c>
      <c r="K60" s="49">
        <f>AVERAGE('18.10 SSEMBABULE-KANONI-24h'!K60,'19.10  SSEMBABULE- KANONI-24h'!K60)</f>
        <v>0</v>
      </c>
      <c r="L60" s="49">
        <f>AVERAGE('18.10 SSEMBABULE-KANONI-24h'!L60,'19.10  SSEMBABULE- KANONI-24h'!L60)</f>
        <v>0</v>
      </c>
      <c r="M60" s="49">
        <f>AVERAGE('18.10 SSEMBABULE-KANONI-24h'!M60,'19.10  SSEMBABULE- KANONI-24h'!M60)</f>
        <v>13.5</v>
      </c>
      <c r="N60" s="49">
        <f>AVERAGE('18.10 SSEMBABULE-KANONI-24h'!N60,'19.10  SSEMBABULE- KANONI-24h'!N60)</f>
        <v>0</v>
      </c>
      <c r="O60" s="15">
        <f t="shared" si="0"/>
        <v>3.5</v>
      </c>
      <c r="P60" s="15">
        <f t="shared" si="1"/>
        <v>17</v>
      </c>
      <c r="R60" s="8"/>
      <c r="T60"/>
    </row>
    <row r="61" spans="2:20" ht="23.1" customHeight="1" x14ac:dyDescent="0.25">
      <c r="B61" s="23" t="s">
        <v>102</v>
      </c>
      <c r="C61" s="49">
        <f>AVERAGE('18.10 SSEMBABULE-KANONI-24h'!C61,'19.10  SSEMBABULE- KANONI-24h'!C61)</f>
        <v>1</v>
      </c>
      <c r="D61" s="49">
        <f>AVERAGE('18.10 SSEMBABULE-KANONI-24h'!D61,'19.10  SSEMBABULE- KANONI-24h'!D61)</f>
        <v>0</v>
      </c>
      <c r="E61" s="49">
        <f>AVERAGE('18.10 SSEMBABULE-KANONI-24h'!E61,'19.10  SSEMBABULE- KANONI-24h'!E61)</f>
        <v>0</v>
      </c>
      <c r="F61" s="49">
        <f>AVERAGE('18.10 SSEMBABULE-KANONI-24h'!F61,'19.10  SSEMBABULE- KANONI-24h'!F61)</f>
        <v>1</v>
      </c>
      <c r="G61" s="49">
        <f>AVERAGE('18.10 SSEMBABULE-KANONI-24h'!G61,'19.10  SSEMBABULE- KANONI-24h'!G61)</f>
        <v>0</v>
      </c>
      <c r="H61" s="49">
        <f>AVERAGE('18.10 SSEMBABULE-KANONI-24h'!H61,'19.10  SSEMBABULE- KANONI-24h'!H61)</f>
        <v>0</v>
      </c>
      <c r="I61" s="49">
        <f>AVERAGE('18.10 SSEMBABULE-KANONI-24h'!I61,'19.10  SSEMBABULE- KANONI-24h'!I61)</f>
        <v>0</v>
      </c>
      <c r="J61" s="49">
        <f>AVERAGE('18.10 SSEMBABULE-KANONI-24h'!J61,'19.10  SSEMBABULE- KANONI-24h'!J61)</f>
        <v>0</v>
      </c>
      <c r="K61" s="49">
        <f>AVERAGE('18.10 SSEMBABULE-KANONI-24h'!K61,'19.10  SSEMBABULE- KANONI-24h'!K61)</f>
        <v>0</v>
      </c>
      <c r="L61" s="49">
        <f>AVERAGE('18.10 SSEMBABULE-KANONI-24h'!L61,'19.10  SSEMBABULE- KANONI-24h'!L61)</f>
        <v>0</v>
      </c>
      <c r="M61" s="49">
        <f>AVERAGE('18.10 SSEMBABULE-KANONI-24h'!M61,'19.10  SSEMBABULE- KANONI-24h'!M61)</f>
        <v>10.5</v>
      </c>
      <c r="N61" s="49">
        <f>AVERAGE('18.10 SSEMBABULE-KANONI-24h'!N61,'19.10  SSEMBABULE- KANONI-24h'!N61)</f>
        <v>0</v>
      </c>
      <c r="O61" s="15">
        <f t="shared" si="0"/>
        <v>2</v>
      </c>
      <c r="P61" s="15">
        <f t="shared" si="1"/>
        <v>12.5</v>
      </c>
      <c r="R61" s="8"/>
      <c r="T61"/>
    </row>
    <row r="62" spans="2:20" ht="23.1" customHeight="1" x14ac:dyDescent="0.25">
      <c r="B62" s="23" t="s">
        <v>107</v>
      </c>
      <c r="C62" s="49">
        <f>AVERAGE('18.10 SSEMBABULE-KANONI-24h'!C62,'19.10  SSEMBABULE- KANONI-24h'!C62)</f>
        <v>1.5</v>
      </c>
      <c r="D62" s="49">
        <f>AVERAGE('18.10 SSEMBABULE-KANONI-24h'!D62,'19.10  SSEMBABULE- KANONI-24h'!D62)</f>
        <v>0.5</v>
      </c>
      <c r="E62" s="49">
        <f>AVERAGE('18.10 SSEMBABULE-KANONI-24h'!E62,'19.10  SSEMBABULE- KANONI-24h'!E62)</f>
        <v>0.5</v>
      </c>
      <c r="F62" s="49">
        <f>AVERAGE('18.10 SSEMBABULE-KANONI-24h'!F62,'19.10  SSEMBABULE- KANONI-24h'!F62)</f>
        <v>1</v>
      </c>
      <c r="G62" s="49">
        <f>AVERAGE('18.10 SSEMBABULE-KANONI-24h'!G62,'19.10  SSEMBABULE- KANONI-24h'!G62)</f>
        <v>0</v>
      </c>
      <c r="H62" s="49">
        <f>AVERAGE('18.10 SSEMBABULE-KANONI-24h'!H62,'19.10  SSEMBABULE- KANONI-24h'!H62)</f>
        <v>0</v>
      </c>
      <c r="I62" s="49">
        <f>AVERAGE('18.10 SSEMBABULE-KANONI-24h'!I62,'19.10  SSEMBABULE- KANONI-24h'!I62)</f>
        <v>0.5</v>
      </c>
      <c r="J62" s="49">
        <f>AVERAGE('18.10 SSEMBABULE-KANONI-24h'!J62,'19.10  SSEMBABULE- KANONI-24h'!J62)</f>
        <v>0.5</v>
      </c>
      <c r="K62" s="49">
        <f>AVERAGE('18.10 SSEMBABULE-KANONI-24h'!K62,'19.10  SSEMBABULE- KANONI-24h'!K62)</f>
        <v>0.5</v>
      </c>
      <c r="L62" s="49">
        <f>AVERAGE('18.10 SSEMBABULE-KANONI-24h'!L62,'19.10  SSEMBABULE- KANONI-24h'!L62)</f>
        <v>1</v>
      </c>
      <c r="M62" s="49">
        <f>AVERAGE('18.10 SSEMBABULE-KANONI-24h'!M62,'19.10  SSEMBABULE- KANONI-24h'!M62)</f>
        <v>6</v>
      </c>
      <c r="N62" s="49">
        <f>AVERAGE('18.10 SSEMBABULE-KANONI-24h'!N62,'19.10  SSEMBABULE- KANONI-24h'!N62)</f>
        <v>0</v>
      </c>
      <c r="O62" s="15">
        <f t="shared" si="0"/>
        <v>6</v>
      </c>
      <c r="P62" s="15">
        <f t="shared" si="1"/>
        <v>12</v>
      </c>
      <c r="R62" s="8"/>
      <c r="T62"/>
    </row>
    <row r="63" spans="2:20" ht="23.1" customHeight="1" x14ac:dyDescent="0.25">
      <c r="B63" s="23" t="s">
        <v>108</v>
      </c>
      <c r="C63" s="49">
        <f>AVERAGE('18.10 SSEMBABULE-KANONI-24h'!C63,'19.10  SSEMBABULE- KANONI-24h'!C63)</f>
        <v>1.5</v>
      </c>
      <c r="D63" s="49">
        <f>AVERAGE('18.10 SSEMBABULE-KANONI-24h'!D63,'19.10  SSEMBABULE- KANONI-24h'!D63)</f>
        <v>0</v>
      </c>
      <c r="E63" s="49">
        <f>AVERAGE('18.10 SSEMBABULE-KANONI-24h'!E63,'19.10  SSEMBABULE- KANONI-24h'!E63)</f>
        <v>0</v>
      </c>
      <c r="F63" s="49">
        <f>AVERAGE('18.10 SSEMBABULE-KANONI-24h'!F63,'19.10  SSEMBABULE- KANONI-24h'!F63)</f>
        <v>0</v>
      </c>
      <c r="G63" s="49">
        <f>AVERAGE('18.10 SSEMBABULE-KANONI-24h'!G63,'19.10  SSEMBABULE- KANONI-24h'!G63)</f>
        <v>0</v>
      </c>
      <c r="H63" s="49">
        <f>AVERAGE('18.10 SSEMBABULE-KANONI-24h'!H63,'19.10  SSEMBABULE- KANONI-24h'!H63)</f>
        <v>0</v>
      </c>
      <c r="I63" s="49">
        <f>AVERAGE('18.10 SSEMBABULE-KANONI-24h'!I63,'19.10  SSEMBABULE- KANONI-24h'!I63)</f>
        <v>1</v>
      </c>
      <c r="J63" s="49">
        <f>AVERAGE('18.10 SSEMBABULE-KANONI-24h'!J63,'19.10  SSEMBABULE- KANONI-24h'!J63)</f>
        <v>1</v>
      </c>
      <c r="K63" s="49">
        <f>AVERAGE('18.10 SSEMBABULE-KANONI-24h'!K63,'19.10  SSEMBABULE- KANONI-24h'!K63)</f>
        <v>0</v>
      </c>
      <c r="L63" s="49">
        <f>AVERAGE('18.10 SSEMBABULE-KANONI-24h'!L63,'19.10  SSEMBABULE- KANONI-24h'!L63)</f>
        <v>0</v>
      </c>
      <c r="M63" s="49">
        <f>AVERAGE('18.10 SSEMBABULE-KANONI-24h'!M63,'19.10  SSEMBABULE- KANONI-24h'!M63)</f>
        <v>5.5</v>
      </c>
      <c r="N63" s="49">
        <f>AVERAGE('18.10 SSEMBABULE-KANONI-24h'!N63,'19.10  SSEMBABULE- KANONI-24h'!N63)</f>
        <v>0</v>
      </c>
      <c r="O63" s="15">
        <f t="shared" si="0"/>
        <v>3.5</v>
      </c>
      <c r="P63" s="15">
        <f t="shared" si="1"/>
        <v>9</v>
      </c>
      <c r="R63" s="8"/>
      <c r="T63"/>
    </row>
    <row r="64" spans="2:20" ht="23.1" customHeight="1" x14ac:dyDescent="0.25">
      <c r="B64" s="23" t="s">
        <v>109</v>
      </c>
      <c r="C64" s="49">
        <f>AVERAGE('18.10 SSEMBABULE-KANONI-24h'!C64,'19.10  SSEMBABULE- KANONI-24h'!C64)</f>
        <v>1</v>
      </c>
      <c r="D64" s="49">
        <f>AVERAGE('18.10 SSEMBABULE-KANONI-24h'!D64,'19.10  SSEMBABULE- KANONI-24h'!D64)</f>
        <v>0</v>
      </c>
      <c r="E64" s="49">
        <f>AVERAGE('18.10 SSEMBABULE-KANONI-24h'!E64,'19.10  SSEMBABULE- KANONI-24h'!E64)</f>
        <v>0</v>
      </c>
      <c r="F64" s="49">
        <f>AVERAGE('18.10 SSEMBABULE-KANONI-24h'!F64,'19.10  SSEMBABULE- KANONI-24h'!F64)</f>
        <v>0</v>
      </c>
      <c r="G64" s="49">
        <f>AVERAGE('18.10 SSEMBABULE-KANONI-24h'!G64,'19.10  SSEMBABULE- KANONI-24h'!G64)</f>
        <v>0</v>
      </c>
      <c r="H64" s="49">
        <f>AVERAGE('18.10 SSEMBABULE-KANONI-24h'!H64,'19.10  SSEMBABULE- KANONI-24h'!H64)</f>
        <v>0</v>
      </c>
      <c r="I64" s="49">
        <f>AVERAGE('18.10 SSEMBABULE-KANONI-24h'!I64,'19.10  SSEMBABULE- KANONI-24h'!I64)</f>
        <v>1</v>
      </c>
      <c r="J64" s="49">
        <f>AVERAGE('18.10 SSEMBABULE-KANONI-24h'!J64,'19.10  SSEMBABULE- KANONI-24h'!J64)</f>
        <v>0</v>
      </c>
      <c r="K64" s="49">
        <f>AVERAGE('18.10 SSEMBABULE-KANONI-24h'!K64,'19.10  SSEMBABULE- KANONI-24h'!K64)</f>
        <v>0.5</v>
      </c>
      <c r="L64" s="49">
        <f>AVERAGE('18.10 SSEMBABULE-KANONI-24h'!L64,'19.10  SSEMBABULE- KANONI-24h'!L64)</f>
        <v>0</v>
      </c>
      <c r="M64" s="49">
        <f>AVERAGE('18.10 SSEMBABULE-KANONI-24h'!M64,'19.10  SSEMBABULE- KANONI-24h'!M64)</f>
        <v>3.5</v>
      </c>
      <c r="N64" s="49">
        <f>AVERAGE('18.10 SSEMBABULE-KANONI-24h'!N64,'19.10  SSEMBABULE- KANONI-24h'!N64)</f>
        <v>0</v>
      </c>
      <c r="O64" s="15">
        <f t="shared" si="0"/>
        <v>2.5</v>
      </c>
      <c r="P64" s="15">
        <f t="shared" si="1"/>
        <v>6</v>
      </c>
      <c r="R64" s="8"/>
      <c r="T64"/>
    </row>
    <row r="65" spans="2:20" ht="23.1" customHeight="1" x14ac:dyDescent="0.25">
      <c r="B65" s="23" t="s">
        <v>158</v>
      </c>
      <c r="C65" s="49">
        <f>AVERAGE('18.10 SSEMBABULE-KANONI-24h'!C65,'19.10  SSEMBABULE- KANONI-24h'!C65)</f>
        <v>0.5</v>
      </c>
      <c r="D65" s="49">
        <f>AVERAGE('18.10 SSEMBABULE-KANONI-24h'!D65,'19.10  SSEMBABULE- KANONI-24h'!D65)</f>
        <v>0</v>
      </c>
      <c r="E65" s="49">
        <f>AVERAGE('18.10 SSEMBABULE-KANONI-24h'!E65,'19.10  SSEMBABULE- KANONI-24h'!E65)</f>
        <v>0</v>
      </c>
      <c r="F65" s="49">
        <f>AVERAGE('18.10 SSEMBABULE-KANONI-24h'!F65,'19.10  SSEMBABULE- KANONI-24h'!F65)</f>
        <v>0</v>
      </c>
      <c r="G65" s="49">
        <f>AVERAGE('18.10 SSEMBABULE-KANONI-24h'!G65,'19.10  SSEMBABULE- KANONI-24h'!G65)</f>
        <v>0</v>
      </c>
      <c r="H65" s="49">
        <f>AVERAGE('18.10 SSEMBABULE-KANONI-24h'!H65,'19.10  SSEMBABULE- KANONI-24h'!H65)</f>
        <v>0</v>
      </c>
      <c r="I65" s="49">
        <f>AVERAGE('18.10 SSEMBABULE-KANONI-24h'!I65,'19.10  SSEMBABULE- KANONI-24h'!I65)</f>
        <v>0.5</v>
      </c>
      <c r="J65" s="49">
        <f>AVERAGE('18.10 SSEMBABULE-KANONI-24h'!J65,'19.10  SSEMBABULE- KANONI-24h'!J65)</f>
        <v>0</v>
      </c>
      <c r="K65" s="49">
        <f>AVERAGE('18.10 SSEMBABULE-KANONI-24h'!K65,'19.10  SSEMBABULE- KANONI-24h'!K65)</f>
        <v>0</v>
      </c>
      <c r="L65" s="49">
        <f>AVERAGE('18.10 SSEMBABULE-KANONI-24h'!L65,'19.10  SSEMBABULE- KANONI-24h'!L65)</f>
        <v>0</v>
      </c>
      <c r="M65" s="49">
        <f>AVERAGE('18.10 SSEMBABULE-KANONI-24h'!M65,'19.10  SSEMBABULE- KANONI-24h'!M65)</f>
        <v>2</v>
      </c>
      <c r="N65" s="49">
        <f>AVERAGE('18.10 SSEMBABULE-KANONI-24h'!N65,'19.10  SSEMBABULE- KANONI-24h'!N65)</f>
        <v>0</v>
      </c>
      <c r="O65" s="15">
        <f t="shared" si="0"/>
        <v>1</v>
      </c>
      <c r="P65" s="15">
        <f t="shared" si="1"/>
        <v>3</v>
      </c>
      <c r="R65" s="8"/>
      <c r="T65"/>
    </row>
    <row r="66" spans="2:20" ht="23.1" customHeight="1" x14ac:dyDescent="0.25">
      <c r="B66" s="23" t="s">
        <v>103</v>
      </c>
      <c r="C66" s="49">
        <f>AVERAGE('18.10 SSEMBABULE-KANONI-24h'!C66,'19.10  SSEMBABULE- KANONI-24h'!C66)</f>
        <v>1</v>
      </c>
      <c r="D66" s="49">
        <f>AVERAGE('18.10 SSEMBABULE-KANONI-24h'!D66,'19.10  SSEMBABULE- KANONI-24h'!D66)</f>
        <v>0.5</v>
      </c>
      <c r="E66" s="49">
        <f>AVERAGE('18.10 SSEMBABULE-KANONI-24h'!E66,'19.10  SSEMBABULE- KANONI-24h'!E66)</f>
        <v>0</v>
      </c>
      <c r="F66" s="49">
        <f>AVERAGE('18.10 SSEMBABULE-KANONI-24h'!F66,'19.10  SSEMBABULE- KANONI-24h'!F66)</f>
        <v>0</v>
      </c>
      <c r="G66" s="49">
        <f>AVERAGE('18.10 SSEMBABULE-KANONI-24h'!G66,'19.10  SSEMBABULE- KANONI-24h'!G66)</f>
        <v>0</v>
      </c>
      <c r="H66" s="49">
        <f>AVERAGE('18.10 SSEMBABULE-KANONI-24h'!H66,'19.10  SSEMBABULE- KANONI-24h'!H66)</f>
        <v>0</v>
      </c>
      <c r="I66" s="49">
        <f>AVERAGE('18.10 SSEMBABULE-KANONI-24h'!I66,'19.10  SSEMBABULE- KANONI-24h'!I66)</f>
        <v>1</v>
      </c>
      <c r="J66" s="49">
        <f>AVERAGE('18.10 SSEMBABULE-KANONI-24h'!J66,'19.10  SSEMBABULE- KANONI-24h'!J66)</f>
        <v>0.5</v>
      </c>
      <c r="K66" s="49">
        <f>AVERAGE('18.10 SSEMBABULE-KANONI-24h'!K66,'19.10  SSEMBABULE- KANONI-24h'!K66)</f>
        <v>0</v>
      </c>
      <c r="L66" s="49">
        <f>AVERAGE('18.10 SSEMBABULE-KANONI-24h'!L66,'19.10  SSEMBABULE- KANONI-24h'!L66)</f>
        <v>0</v>
      </c>
      <c r="M66" s="49">
        <f>AVERAGE('18.10 SSEMBABULE-KANONI-24h'!M66,'19.10  SSEMBABULE- KANONI-24h'!M66)</f>
        <v>4</v>
      </c>
      <c r="N66" s="49">
        <f>AVERAGE('18.10 SSEMBABULE-KANONI-24h'!N66,'19.10  SSEMBABULE- KANONI-24h'!N66)</f>
        <v>0</v>
      </c>
      <c r="O66" s="15">
        <f t="shared" si="0"/>
        <v>3</v>
      </c>
      <c r="P66" s="15">
        <f t="shared" si="1"/>
        <v>7</v>
      </c>
      <c r="R66" s="8"/>
      <c r="T66"/>
    </row>
    <row r="67" spans="2:20" ht="23.1" customHeight="1" x14ac:dyDescent="0.25">
      <c r="B67" s="23" t="s">
        <v>104</v>
      </c>
      <c r="C67" s="49">
        <f>AVERAGE('18.10 SSEMBABULE-KANONI-24h'!C67,'19.10  SSEMBABULE- KANONI-24h'!C67)</f>
        <v>1</v>
      </c>
      <c r="D67" s="49">
        <f>AVERAGE('18.10 SSEMBABULE-KANONI-24h'!D67,'19.10  SSEMBABULE- KANONI-24h'!D67)</f>
        <v>0</v>
      </c>
      <c r="E67" s="49">
        <f>AVERAGE('18.10 SSEMBABULE-KANONI-24h'!E67,'19.10  SSEMBABULE- KANONI-24h'!E67)</f>
        <v>0</v>
      </c>
      <c r="F67" s="49">
        <f>AVERAGE('18.10 SSEMBABULE-KANONI-24h'!F67,'19.10  SSEMBABULE- KANONI-24h'!F67)</f>
        <v>0</v>
      </c>
      <c r="G67" s="49">
        <f>AVERAGE('18.10 SSEMBABULE-KANONI-24h'!G67,'19.10  SSEMBABULE- KANONI-24h'!G67)</f>
        <v>0</v>
      </c>
      <c r="H67" s="49">
        <f>AVERAGE('18.10 SSEMBABULE-KANONI-24h'!H67,'19.10  SSEMBABULE- KANONI-24h'!H67)</f>
        <v>0</v>
      </c>
      <c r="I67" s="49">
        <f>AVERAGE('18.10 SSEMBABULE-KANONI-24h'!I67,'19.10  SSEMBABULE- KANONI-24h'!I67)</f>
        <v>0</v>
      </c>
      <c r="J67" s="49">
        <f>AVERAGE('18.10 SSEMBABULE-KANONI-24h'!J67,'19.10  SSEMBABULE- KANONI-24h'!J67)</f>
        <v>0.5</v>
      </c>
      <c r="K67" s="49">
        <f>AVERAGE('18.10 SSEMBABULE-KANONI-24h'!K67,'19.10  SSEMBABULE- KANONI-24h'!K67)</f>
        <v>0</v>
      </c>
      <c r="L67" s="49">
        <f>AVERAGE('18.10 SSEMBABULE-KANONI-24h'!L67,'19.10  SSEMBABULE- KANONI-24h'!L67)</f>
        <v>0</v>
      </c>
      <c r="M67" s="49">
        <f>AVERAGE('18.10 SSEMBABULE-KANONI-24h'!M67,'19.10  SSEMBABULE- KANONI-24h'!M67)</f>
        <v>1</v>
      </c>
      <c r="N67" s="49">
        <f>AVERAGE('18.10 SSEMBABULE-KANONI-24h'!N67,'19.10  SSEMBABULE- KANONI-24h'!N67)</f>
        <v>0</v>
      </c>
      <c r="O67" s="15">
        <f t="shared" si="0"/>
        <v>1.5</v>
      </c>
      <c r="P67" s="15">
        <f t="shared" si="1"/>
        <v>2.5</v>
      </c>
      <c r="R67" s="8"/>
      <c r="T67"/>
    </row>
    <row r="68" spans="2:20" ht="23.1" customHeight="1" x14ac:dyDescent="0.25">
      <c r="B68" s="23" t="s">
        <v>105</v>
      </c>
      <c r="C68" s="49">
        <f>AVERAGE('18.10 SSEMBABULE-KANONI-24h'!C68,'19.10  SSEMBABULE- KANONI-24h'!C68)</f>
        <v>1</v>
      </c>
      <c r="D68" s="49">
        <f>AVERAGE('18.10 SSEMBABULE-KANONI-24h'!D68,'19.10  SSEMBABULE- KANONI-24h'!D68)</f>
        <v>0</v>
      </c>
      <c r="E68" s="49">
        <f>AVERAGE('18.10 SSEMBABULE-KANONI-24h'!E68,'19.10  SSEMBABULE- KANONI-24h'!E68)</f>
        <v>0</v>
      </c>
      <c r="F68" s="49">
        <f>AVERAGE('18.10 SSEMBABULE-KANONI-24h'!F68,'19.10  SSEMBABULE- KANONI-24h'!F68)</f>
        <v>0.5</v>
      </c>
      <c r="G68" s="49">
        <f>AVERAGE('18.10 SSEMBABULE-KANONI-24h'!G68,'19.10  SSEMBABULE- KANONI-24h'!G68)</f>
        <v>0</v>
      </c>
      <c r="H68" s="49">
        <f>AVERAGE('18.10 SSEMBABULE-KANONI-24h'!H68,'19.10  SSEMBABULE- KANONI-24h'!H68)</f>
        <v>0</v>
      </c>
      <c r="I68" s="49">
        <f>AVERAGE('18.10 SSEMBABULE-KANONI-24h'!I68,'19.10  SSEMBABULE- KANONI-24h'!I68)</f>
        <v>0.5</v>
      </c>
      <c r="J68" s="49">
        <f>AVERAGE('18.10 SSEMBABULE-KANONI-24h'!J68,'19.10  SSEMBABULE- KANONI-24h'!J68)</f>
        <v>0</v>
      </c>
      <c r="K68" s="49">
        <f>AVERAGE('18.10 SSEMBABULE-KANONI-24h'!K68,'19.10  SSEMBABULE- KANONI-24h'!K68)</f>
        <v>0</v>
      </c>
      <c r="L68" s="49">
        <f>AVERAGE('18.10 SSEMBABULE-KANONI-24h'!L68,'19.10  SSEMBABULE- KANONI-24h'!L68)</f>
        <v>0</v>
      </c>
      <c r="M68" s="49">
        <f>AVERAGE('18.10 SSEMBABULE-KANONI-24h'!M68,'19.10  SSEMBABULE- KANONI-24h'!M68)</f>
        <v>3</v>
      </c>
      <c r="N68" s="49">
        <f>AVERAGE('18.10 SSEMBABULE-KANONI-24h'!N68,'19.10  SSEMBABULE- KANONI-24h'!N68)</f>
        <v>0</v>
      </c>
      <c r="O68" s="15">
        <f t="shared" si="0"/>
        <v>2</v>
      </c>
      <c r="P68" s="15">
        <f t="shared" si="1"/>
        <v>5</v>
      </c>
      <c r="R68" s="8"/>
      <c r="T68"/>
    </row>
    <row r="69" spans="2:20" ht="23.1" customHeight="1" x14ac:dyDescent="0.25">
      <c r="B69" s="23" t="s">
        <v>106</v>
      </c>
      <c r="C69" s="49">
        <f>AVERAGE('18.10 SSEMBABULE-KANONI-24h'!C69,'19.10  SSEMBABULE- KANONI-24h'!C69)</f>
        <v>0</v>
      </c>
      <c r="D69" s="49">
        <f>AVERAGE('18.10 SSEMBABULE-KANONI-24h'!D69,'19.10  SSEMBABULE- KANONI-24h'!D69)</f>
        <v>0</v>
      </c>
      <c r="E69" s="49">
        <f>AVERAGE('18.10 SSEMBABULE-KANONI-24h'!E69,'19.10  SSEMBABULE- KANONI-24h'!E69)</f>
        <v>0</v>
      </c>
      <c r="F69" s="49">
        <f>AVERAGE('18.10 SSEMBABULE-KANONI-24h'!F69,'19.10  SSEMBABULE- KANONI-24h'!F69)</f>
        <v>0.5</v>
      </c>
      <c r="G69" s="49">
        <f>AVERAGE('18.10 SSEMBABULE-KANONI-24h'!G69,'19.10  SSEMBABULE- KANONI-24h'!G69)</f>
        <v>0</v>
      </c>
      <c r="H69" s="49">
        <f>AVERAGE('18.10 SSEMBABULE-KANONI-24h'!H69,'19.10  SSEMBABULE- KANONI-24h'!H69)</f>
        <v>0</v>
      </c>
      <c r="I69" s="49">
        <f>AVERAGE('18.10 SSEMBABULE-KANONI-24h'!I69,'19.10  SSEMBABULE- KANONI-24h'!I69)</f>
        <v>0</v>
      </c>
      <c r="J69" s="49">
        <f>AVERAGE('18.10 SSEMBABULE-KANONI-24h'!J69,'19.10  SSEMBABULE- KANONI-24h'!J69)</f>
        <v>1</v>
      </c>
      <c r="K69" s="49">
        <f>AVERAGE('18.10 SSEMBABULE-KANONI-24h'!K69,'19.10  SSEMBABULE- KANONI-24h'!K69)</f>
        <v>0</v>
      </c>
      <c r="L69" s="49">
        <f>AVERAGE('18.10 SSEMBABULE-KANONI-24h'!L69,'19.10  SSEMBABULE- KANONI-24h'!L69)</f>
        <v>0</v>
      </c>
      <c r="M69" s="49">
        <f>AVERAGE('18.10 SSEMBABULE-KANONI-24h'!M69,'19.10  SSEMBABULE- KANONI-24h'!M69)</f>
        <v>1</v>
      </c>
      <c r="N69" s="49">
        <f>AVERAGE('18.10 SSEMBABULE-KANONI-24h'!N69,'19.10  SSEMBABULE- KANONI-24h'!N69)</f>
        <v>0</v>
      </c>
      <c r="O69" s="15">
        <f t="shared" si="0"/>
        <v>1.5</v>
      </c>
      <c r="P69" s="15">
        <f t="shared" si="1"/>
        <v>2.5</v>
      </c>
      <c r="R69" s="8"/>
      <c r="T69"/>
    </row>
    <row r="70" spans="2:20" ht="23.1" customHeight="1" x14ac:dyDescent="0.25">
      <c r="B70" s="23" t="s">
        <v>110</v>
      </c>
      <c r="C70" s="49">
        <f>AVERAGE('18.10 SSEMBABULE-KANONI-24h'!C70,'19.10  SSEMBABULE- KANONI-24h'!C70)</f>
        <v>0</v>
      </c>
      <c r="D70" s="49">
        <f>AVERAGE('18.10 SSEMBABULE-KANONI-24h'!D70,'19.10  SSEMBABULE- KANONI-24h'!D70)</f>
        <v>0</v>
      </c>
      <c r="E70" s="49">
        <f>AVERAGE('18.10 SSEMBABULE-KANONI-24h'!E70,'19.10  SSEMBABULE- KANONI-24h'!E70)</f>
        <v>0</v>
      </c>
      <c r="F70" s="49">
        <f>AVERAGE('18.10 SSEMBABULE-KANONI-24h'!F70,'19.10  SSEMBABULE- KANONI-24h'!F70)</f>
        <v>0.5</v>
      </c>
      <c r="G70" s="49">
        <f>AVERAGE('18.10 SSEMBABULE-KANONI-24h'!G70,'19.10  SSEMBABULE- KANONI-24h'!G70)</f>
        <v>0</v>
      </c>
      <c r="H70" s="49">
        <f>AVERAGE('18.10 SSEMBABULE-KANONI-24h'!H70,'19.10  SSEMBABULE- KANONI-24h'!H70)</f>
        <v>0</v>
      </c>
      <c r="I70" s="49">
        <f>AVERAGE('18.10 SSEMBABULE-KANONI-24h'!I70,'19.10  SSEMBABULE- KANONI-24h'!I70)</f>
        <v>0.5</v>
      </c>
      <c r="J70" s="49">
        <f>AVERAGE('18.10 SSEMBABULE-KANONI-24h'!J70,'19.10  SSEMBABULE- KANONI-24h'!J70)</f>
        <v>0.5</v>
      </c>
      <c r="K70" s="49">
        <f>AVERAGE('18.10 SSEMBABULE-KANONI-24h'!K70,'19.10  SSEMBABULE- KANONI-24h'!K70)</f>
        <v>0</v>
      </c>
      <c r="L70" s="49">
        <f>AVERAGE('18.10 SSEMBABULE-KANONI-24h'!L70,'19.10  SSEMBABULE- KANONI-24h'!L70)</f>
        <v>0</v>
      </c>
      <c r="M70" s="49">
        <f>AVERAGE('18.10 SSEMBABULE-KANONI-24h'!M70,'19.10  SSEMBABULE- KANONI-24h'!M70)</f>
        <v>2.5</v>
      </c>
      <c r="N70" s="49">
        <f>AVERAGE('18.10 SSEMBABULE-KANONI-24h'!N70,'19.10  SSEMBABULE- KANONI-24h'!N70)</f>
        <v>0</v>
      </c>
      <c r="O70" s="15">
        <f t="shared" si="0"/>
        <v>1.5</v>
      </c>
      <c r="P70" s="15">
        <f t="shared" si="1"/>
        <v>4</v>
      </c>
      <c r="R70" s="8"/>
      <c r="T70"/>
    </row>
    <row r="71" spans="2:20" ht="23.1" customHeight="1" x14ac:dyDescent="0.25">
      <c r="B71" s="23" t="s">
        <v>111</v>
      </c>
      <c r="C71" s="49">
        <f>AVERAGE('18.10 SSEMBABULE-KANONI-24h'!C71,'19.10  SSEMBABULE- KANONI-24h'!C71)</f>
        <v>0</v>
      </c>
      <c r="D71" s="49">
        <f>AVERAGE('18.10 SSEMBABULE-KANONI-24h'!D71,'19.10  SSEMBABULE- KANONI-24h'!D71)</f>
        <v>0</v>
      </c>
      <c r="E71" s="49">
        <f>AVERAGE('18.10 SSEMBABULE-KANONI-24h'!E71,'19.10  SSEMBABULE- KANONI-24h'!E71)</f>
        <v>0.5</v>
      </c>
      <c r="F71" s="49">
        <f>AVERAGE('18.10 SSEMBABULE-KANONI-24h'!F71,'19.10  SSEMBABULE- KANONI-24h'!F71)</f>
        <v>0</v>
      </c>
      <c r="G71" s="49">
        <f>AVERAGE('18.10 SSEMBABULE-KANONI-24h'!G71,'19.10  SSEMBABULE- KANONI-24h'!G71)</f>
        <v>0</v>
      </c>
      <c r="H71" s="49">
        <f>AVERAGE('18.10 SSEMBABULE-KANONI-24h'!H71,'19.10  SSEMBABULE- KANONI-24h'!H71)</f>
        <v>0</v>
      </c>
      <c r="I71" s="49">
        <f>AVERAGE('18.10 SSEMBABULE-KANONI-24h'!I71,'19.10  SSEMBABULE- KANONI-24h'!I71)</f>
        <v>0.5</v>
      </c>
      <c r="J71" s="49">
        <f>AVERAGE('18.10 SSEMBABULE-KANONI-24h'!J71,'19.10  SSEMBABULE- KANONI-24h'!J71)</f>
        <v>0</v>
      </c>
      <c r="K71" s="49">
        <f>AVERAGE('18.10 SSEMBABULE-KANONI-24h'!K71,'19.10  SSEMBABULE- KANONI-24h'!K71)</f>
        <v>0</v>
      </c>
      <c r="L71" s="49">
        <f>AVERAGE('18.10 SSEMBABULE-KANONI-24h'!L71,'19.10  SSEMBABULE- KANONI-24h'!L71)</f>
        <v>0</v>
      </c>
      <c r="M71" s="49">
        <f>AVERAGE('18.10 SSEMBABULE-KANONI-24h'!M71,'19.10  SSEMBABULE- KANONI-24h'!M71)</f>
        <v>1</v>
      </c>
      <c r="N71" s="49">
        <f>AVERAGE('18.10 SSEMBABULE-KANONI-24h'!N71,'19.10  SSEMBABULE- KANONI-24h'!N71)</f>
        <v>0</v>
      </c>
      <c r="O71" s="15">
        <f t="shared" si="0"/>
        <v>1</v>
      </c>
      <c r="P71" s="15">
        <f t="shared" si="1"/>
        <v>2</v>
      </c>
      <c r="R71" s="8"/>
      <c r="T71"/>
    </row>
    <row r="72" spans="2:20" ht="23.1" customHeight="1" x14ac:dyDescent="0.25">
      <c r="B72" s="23" t="s">
        <v>112</v>
      </c>
      <c r="C72" s="49">
        <f>AVERAGE('18.10 SSEMBABULE-KANONI-24h'!C72,'19.10  SSEMBABULE- KANONI-24h'!C72)</f>
        <v>0.5</v>
      </c>
      <c r="D72" s="49">
        <f>AVERAGE('18.10 SSEMBABULE-KANONI-24h'!D72,'19.10  SSEMBABULE- KANONI-24h'!D72)</f>
        <v>0</v>
      </c>
      <c r="E72" s="49">
        <f>AVERAGE('18.10 SSEMBABULE-KANONI-24h'!E72,'19.10  SSEMBABULE- KANONI-24h'!E72)</f>
        <v>0</v>
      </c>
      <c r="F72" s="49">
        <f>AVERAGE('18.10 SSEMBABULE-KANONI-24h'!F72,'19.10  SSEMBABULE- KANONI-24h'!F72)</f>
        <v>0</v>
      </c>
      <c r="G72" s="49">
        <f>AVERAGE('18.10 SSEMBABULE-KANONI-24h'!G72,'19.10  SSEMBABULE- KANONI-24h'!G72)</f>
        <v>0</v>
      </c>
      <c r="H72" s="49">
        <f>AVERAGE('18.10 SSEMBABULE-KANONI-24h'!H72,'19.10  SSEMBABULE- KANONI-24h'!H72)</f>
        <v>0</v>
      </c>
      <c r="I72" s="49">
        <f>AVERAGE('18.10 SSEMBABULE-KANONI-24h'!I72,'19.10  SSEMBABULE- KANONI-24h'!I72)</f>
        <v>0.5</v>
      </c>
      <c r="J72" s="49">
        <f>AVERAGE('18.10 SSEMBABULE-KANONI-24h'!J72,'19.10  SSEMBABULE- KANONI-24h'!J72)</f>
        <v>1.5</v>
      </c>
      <c r="K72" s="49">
        <f>AVERAGE('18.10 SSEMBABULE-KANONI-24h'!K72,'19.10  SSEMBABULE- KANONI-24h'!K72)</f>
        <v>0</v>
      </c>
      <c r="L72" s="49">
        <f>AVERAGE('18.10 SSEMBABULE-KANONI-24h'!L72,'19.10  SSEMBABULE- KANONI-24h'!L72)</f>
        <v>0</v>
      </c>
      <c r="M72" s="49">
        <f>AVERAGE('18.10 SSEMBABULE-KANONI-24h'!M72,'19.10  SSEMBABULE- KANONI-24h'!M72)</f>
        <v>1.5</v>
      </c>
      <c r="N72" s="49">
        <f>AVERAGE('18.10 SSEMBABULE-KANONI-24h'!N72,'19.10  SSEMBABULE- KANONI-24h'!N72)</f>
        <v>0</v>
      </c>
      <c r="O72" s="15">
        <f t="shared" si="0"/>
        <v>2.5</v>
      </c>
      <c r="P72" s="15">
        <f t="shared" si="1"/>
        <v>4</v>
      </c>
      <c r="R72" s="8"/>
      <c r="T72"/>
    </row>
    <row r="73" spans="2:20" ht="23.1" customHeight="1" x14ac:dyDescent="0.25">
      <c r="B73" s="23" t="s">
        <v>113</v>
      </c>
      <c r="C73" s="49">
        <f>AVERAGE('18.10 SSEMBABULE-KANONI-24h'!C73,'19.10  SSEMBABULE- KANONI-24h'!C73)</f>
        <v>0.5</v>
      </c>
      <c r="D73" s="49">
        <f>AVERAGE('18.10 SSEMBABULE-KANONI-24h'!D73,'19.10  SSEMBABULE- KANONI-24h'!D73)</f>
        <v>0</v>
      </c>
      <c r="E73" s="49">
        <f>AVERAGE('18.10 SSEMBABULE-KANONI-24h'!E73,'19.10  SSEMBABULE- KANONI-24h'!E73)</f>
        <v>0.5</v>
      </c>
      <c r="F73" s="49">
        <f>AVERAGE('18.10 SSEMBABULE-KANONI-24h'!F73,'19.10  SSEMBABULE- KANONI-24h'!F73)</f>
        <v>0</v>
      </c>
      <c r="G73" s="49">
        <f>AVERAGE('18.10 SSEMBABULE-KANONI-24h'!G73,'19.10  SSEMBABULE- KANONI-24h'!G73)</f>
        <v>0</v>
      </c>
      <c r="H73" s="49">
        <f>AVERAGE('18.10 SSEMBABULE-KANONI-24h'!H73,'19.10  SSEMBABULE- KANONI-24h'!H73)</f>
        <v>0</v>
      </c>
      <c r="I73" s="49">
        <f>AVERAGE('18.10 SSEMBABULE-KANONI-24h'!I73,'19.10  SSEMBABULE- KANONI-24h'!I73)</f>
        <v>0</v>
      </c>
      <c r="J73" s="49">
        <f>AVERAGE('18.10 SSEMBABULE-KANONI-24h'!J73,'19.10  SSEMBABULE- KANONI-24h'!J73)</f>
        <v>0.5</v>
      </c>
      <c r="K73" s="49">
        <f>AVERAGE('18.10 SSEMBABULE-KANONI-24h'!K73,'19.10  SSEMBABULE- KANONI-24h'!K73)</f>
        <v>0</v>
      </c>
      <c r="L73" s="49">
        <f>AVERAGE('18.10 SSEMBABULE-KANONI-24h'!L73,'19.10  SSEMBABULE- KANONI-24h'!L73)</f>
        <v>0</v>
      </c>
      <c r="M73" s="49">
        <f>AVERAGE('18.10 SSEMBABULE-KANONI-24h'!M73,'19.10  SSEMBABULE- KANONI-24h'!M73)</f>
        <v>2</v>
      </c>
      <c r="N73" s="49">
        <f>AVERAGE('18.10 SSEMBABULE-KANONI-24h'!N73,'19.10  SSEMBABULE- KANONI-24h'!N73)</f>
        <v>0</v>
      </c>
      <c r="O73" s="15">
        <f t="shared" si="0"/>
        <v>1.5</v>
      </c>
      <c r="P73" s="15">
        <f t="shared" si="1"/>
        <v>3.5</v>
      </c>
      <c r="R73" s="8"/>
      <c r="T73"/>
    </row>
    <row r="74" spans="2:20" ht="23.1" customHeight="1" x14ac:dyDescent="0.25">
      <c r="B74" s="23" t="s">
        <v>114</v>
      </c>
      <c r="C74" s="49">
        <f>AVERAGE('18.10 SSEMBABULE-KANONI-24h'!C74,'19.10  SSEMBABULE- KANONI-24h'!C74)</f>
        <v>0.5</v>
      </c>
      <c r="D74" s="49">
        <f>AVERAGE('18.10 SSEMBABULE-KANONI-24h'!D74,'19.10  SSEMBABULE- KANONI-24h'!D74)</f>
        <v>0</v>
      </c>
      <c r="E74" s="49">
        <f>AVERAGE('18.10 SSEMBABULE-KANONI-24h'!E74,'19.10  SSEMBABULE- KANONI-24h'!E74)</f>
        <v>0</v>
      </c>
      <c r="F74" s="49">
        <f>AVERAGE('18.10 SSEMBABULE-KANONI-24h'!F74,'19.10  SSEMBABULE- KANONI-24h'!F74)</f>
        <v>0.5</v>
      </c>
      <c r="G74" s="49">
        <f>AVERAGE('18.10 SSEMBABULE-KANONI-24h'!G74,'19.10  SSEMBABULE- KANONI-24h'!G74)</f>
        <v>0</v>
      </c>
      <c r="H74" s="49">
        <f>AVERAGE('18.10 SSEMBABULE-KANONI-24h'!H74,'19.10  SSEMBABULE- KANONI-24h'!H74)</f>
        <v>0</v>
      </c>
      <c r="I74" s="49">
        <f>AVERAGE('18.10 SSEMBABULE-KANONI-24h'!I74,'19.10  SSEMBABULE- KANONI-24h'!I74)</f>
        <v>0</v>
      </c>
      <c r="J74" s="49">
        <f>AVERAGE('18.10 SSEMBABULE-KANONI-24h'!J74,'19.10  SSEMBABULE- KANONI-24h'!J74)</f>
        <v>0</v>
      </c>
      <c r="K74" s="49">
        <f>AVERAGE('18.10 SSEMBABULE-KANONI-24h'!K74,'19.10  SSEMBABULE- KANONI-24h'!K74)</f>
        <v>0</v>
      </c>
      <c r="L74" s="49">
        <f>AVERAGE('18.10 SSEMBABULE-KANONI-24h'!L74,'19.10  SSEMBABULE- KANONI-24h'!L74)</f>
        <v>1</v>
      </c>
      <c r="M74" s="49">
        <f>AVERAGE('18.10 SSEMBABULE-KANONI-24h'!M74,'19.10  SSEMBABULE- KANONI-24h'!M74)</f>
        <v>1.5</v>
      </c>
      <c r="N74" s="49">
        <f>AVERAGE('18.10 SSEMBABULE-KANONI-24h'!N74,'19.10  SSEMBABULE- KANONI-24h'!N74)</f>
        <v>0</v>
      </c>
      <c r="O74" s="15">
        <f t="shared" ref="O74:O105" si="35">SUM(C74:L74,N74)</f>
        <v>2</v>
      </c>
      <c r="P74" s="15">
        <f t="shared" ref="P74:P105" si="36">SUM(C74:N74)</f>
        <v>3.5</v>
      </c>
      <c r="R74" s="8"/>
      <c r="T74"/>
    </row>
    <row r="75" spans="2:20" ht="23.1" customHeight="1" x14ac:dyDescent="0.25">
      <c r="B75" s="23" t="s">
        <v>115</v>
      </c>
      <c r="C75" s="49">
        <f>AVERAGE('18.10 SSEMBABULE-KANONI-24h'!C75,'19.10  SSEMBABULE- KANONI-24h'!C75)</f>
        <v>0.5</v>
      </c>
      <c r="D75" s="49">
        <f>AVERAGE('18.10 SSEMBABULE-KANONI-24h'!D75,'19.10  SSEMBABULE- KANONI-24h'!D75)</f>
        <v>0</v>
      </c>
      <c r="E75" s="49">
        <f>AVERAGE('18.10 SSEMBABULE-KANONI-24h'!E75,'19.10  SSEMBABULE- KANONI-24h'!E75)</f>
        <v>0</v>
      </c>
      <c r="F75" s="49">
        <f>AVERAGE('18.10 SSEMBABULE-KANONI-24h'!F75,'19.10  SSEMBABULE- KANONI-24h'!F75)</f>
        <v>0</v>
      </c>
      <c r="G75" s="49">
        <f>AVERAGE('18.10 SSEMBABULE-KANONI-24h'!G75,'19.10  SSEMBABULE- KANONI-24h'!G75)</f>
        <v>0</v>
      </c>
      <c r="H75" s="49">
        <f>AVERAGE('18.10 SSEMBABULE-KANONI-24h'!H75,'19.10  SSEMBABULE- KANONI-24h'!H75)</f>
        <v>0</v>
      </c>
      <c r="I75" s="49">
        <f>AVERAGE('18.10 SSEMBABULE-KANONI-24h'!I75,'19.10  SSEMBABULE- KANONI-24h'!I75)</f>
        <v>0.5</v>
      </c>
      <c r="J75" s="49">
        <f>AVERAGE('18.10 SSEMBABULE-KANONI-24h'!J75,'19.10  SSEMBABULE- KANONI-24h'!J75)</f>
        <v>0</v>
      </c>
      <c r="K75" s="49">
        <f>AVERAGE('18.10 SSEMBABULE-KANONI-24h'!K75,'19.10  SSEMBABULE- KANONI-24h'!K75)</f>
        <v>0.5</v>
      </c>
      <c r="L75" s="49">
        <f>AVERAGE('18.10 SSEMBABULE-KANONI-24h'!L75,'19.10  SSEMBABULE- KANONI-24h'!L75)</f>
        <v>0.5</v>
      </c>
      <c r="M75" s="49">
        <f>AVERAGE('18.10 SSEMBABULE-KANONI-24h'!M75,'19.10  SSEMBABULE- KANONI-24h'!M75)</f>
        <v>0.5</v>
      </c>
      <c r="N75" s="49">
        <f>AVERAGE('18.10 SSEMBABULE-KANONI-24h'!N75,'19.10  SSEMBABULE- KANONI-24h'!N75)</f>
        <v>0</v>
      </c>
      <c r="O75" s="15">
        <f t="shared" si="35"/>
        <v>2</v>
      </c>
      <c r="P75" s="15">
        <f t="shared" si="36"/>
        <v>2.5</v>
      </c>
      <c r="R75" s="8"/>
      <c r="T75"/>
    </row>
    <row r="76" spans="2:20" ht="23.1" customHeight="1" x14ac:dyDescent="0.25">
      <c r="B76" s="23" t="s">
        <v>116</v>
      </c>
      <c r="C76" s="49">
        <f>AVERAGE('18.10 SSEMBABULE-KANONI-24h'!C76,'19.10  SSEMBABULE- KANONI-24h'!C76)</f>
        <v>0.5</v>
      </c>
      <c r="D76" s="49">
        <f>AVERAGE('18.10 SSEMBABULE-KANONI-24h'!D76,'19.10  SSEMBABULE- KANONI-24h'!D76)</f>
        <v>0</v>
      </c>
      <c r="E76" s="49">
        <f>AVERAGE('18.10 SSEMBABULE-KANONI-24h'!E76,'19.10  SSEMBABULE- KANONI-24h'!E76)</f>
        <v>0</v>
      </c>
      <c r="F76" s="49">
        <f>AVERAGE('18.10 SSEMBABULE-KANONI-24h'!F76,'19.10  SSEMBABULE- KANONI-24h'!F76)</f>
        <v>0.5</v>
      </c>
      <c r="G76" s="49">
        <f>AVERAGE('18.10 SSEMBABULE-KANONI-24h'!G76,'19.10  SSEMBABULE- KANONI-24h'!G76)</f>
        <v>0</v>
      </c>
      <c r="H76" s="49">
        <f>AVERAGE('18.10 SSEMBABULE-KANONI-24h'!H76,'19.10  SSEMBABULE- KANONI-24h'!H76)</f>
        <v>0</v>
      </c>
      <c r="I76" s="49">
        <f>AVERAGE('18.10 SSEMBABULE-KANONI-24h'!I76,'19.10  SSEMBABULE- KANONI-24h'!I76)</f>
        <v>0</v>
      </c>
      <c r="J76" s="49">
        <f>AVERAGE('18.10 SSEMBABULE-KANONI-24h'!J76,'19.10  SSEMBABULE- KANONI-24h'!J76)</f>
        <v>0.5</v>
      </c>
      <c r="K76" s="49">
        <f>AVERAGE('18.10 SSEMBABULE-KANONI-24h'!K76,'19.10  SSEMBABULE- KANONI-24h'!K76)</f>
        <v>0</v>
      </c>
      <c r="L76" s="49">
        <f>AVERAGE('18.10 SSEMBABULE-KANONI-24h'!L76,'19.10  SSEMBABULE- KANONI-24h'!L76)</f>
        <v>0</v>
      </c>
      <c r="M76" s="49">
        <f>AVERAGE('18.10 SSEMBABULE-KANONI-24h'!M76,'19.10  SSEMBABULE- KANONI-24h'!M76)</f>
        <v>0</v>
      </c>
      <c r="N76" s="49">
        <f>AVERAGE('18.10 SSEMBABULE-KANONI-24h'!N76,'19.10  SSEMBABULE- KANONI-24h'!N76)</f>
        <v>0</v>
      </c>
      <c r="O76" s="15">
        <f t="shared" si="35"/>
        <v>1.5</v>
      </c>
      <c r="P76" s="15">
        <f t="shared" si="36"/>
        <v>1.5</v>
      </c>
      <c r="R76" s="8"/>
      <c r="T76"/>
    </row>
    <row r="77" spans="2:20" ht="23.1" customHeight="1" x14ac:dyDescent="0.25">
      <c r="B77" s="23" t="s">
        <v>117</v>
      </c>
      <c r="C77" s="49">
        <f>AVERAGE('18.10 SSEMBABULE-KANONI-24h'!C77,'19.10  SSEMBABULE- KANONI-24h'!C77)</f>
        <v>1</v>
      </c>
      <c r="D77" s="49">
        <f>AVERAGE('18.10 SSEMBABULE-KANONI-24h'!D77,'19.10  SSEMBABULE- KANONI-24h'!D77)</f>
        <v>0</v>
      </c>
      <c r="E77" s="49">
        <f>AVERAGE('18.10 SSEMBABULE-KANONI-24h'!E77,'19.10  SSEMBABULE- KANONI-24h'!E77)</f>
        <v>0</v>
      </c>
      <c r="F77" s="49">
        <f>AVERAGE('18.10 SSEMBABULE-KANONI-24h'!F77,'19.10  SSEMBABULE- KANONI-24h'!F77)</f>
        <v>0</v>
      </c>
      <c r="G77" s="49">
        <f>AVERAGE('18.10 SSEMBABULE-KANONI-24h'!G77,'19.10  SSEMBABULE- KANONI-24h'!G77)</f>
        <v>0</v>
      </c>
      <c r="H77" s="49">
        <f>AVERAGE('18.10 SSEMBABULE-KANONI-24h'!H77,'19.10  SSEMBABULE- KANONI-24h'!H77)</f>
        <v>0</v>
      </c>
      <c r="I77" s="49">
        <f>AVERAGE('18.10 SSEMBABULE-KANONI-24h'!I77,'19.10  SSEMBABULE- KANONI-24h'!I77)</f>
        <v>0</v>
      </c>
      <c r="J77" s="49">
        <f>AVERAGE('18.10 SSEMBABULE-KANONI-24h'!J77,'19.10  SSEMBABULE- KANONI-24h'!J77)</f>
        <v>0</v>
      </c>
      <c r="K77" s="49">
        <f>AVERAGE('18.10 SSEMBABULE-KANONI-24h'!K77,'19.10  SSEMBABULE- KANONI-24h'!K77)</f>
        <v>0</v>
      </c>
      <c r="L77" s="49">
        <f>AVERAGE('18.10 SSEMBABULE-KANONI-24h'!L77,'19.10  SSEMBABULE- KANONI-24h'!L77)</f>
        <v>0.5</v>
      </c>
      <c r="M77" s="49">
        <f>AVERAGE('18.10 SSEMBABULE-KANONI-24h'!M77,'19.10  SSEMBABULE- KANONI-24h'!M77)</f>
        <v>0.5</v>
      </c>
      <c r="N77" s="49">
        <f>AVERAGE('18.10 SSEMBABULE-KANONI-24h'!N77,'19.10  SSEMBABULE- KANONI-24h'!N77)</f>
        <v>0</v>
      </c>
      <c r="O77" s="15">
        <f t="shared" si="35"/>
        <v>1.5</v>
      </c>
      <c r="P77" s="15">
        <f t="shared" si="36"/>
        <v>2</v>
      </c>
      <c r="R77" s="8"/>
      <c r="T77"/>
    </row>
    <row r="78" spans="2:20" ht="23.1" customHeight="1" x14ac:dyDescent="0.25">
      <c r="B78" s="24" t="s">
        <v>118</v>
      </c>
      <c r="C78" s="49">
        <f>AVERAGE('18.10 SSEMBABULE-KANONI-24h'!C78,'19.10  SSEMBABULE- KANONI-24h'!C78)</f>
        <v>1.5</v>
      </c>
      <c r="D78" s="49">
        <f>AVERAGE('18.10 SSEMBABULE-KANONI-24h'!D78,'19.10  SSEMBABULE- KANONI-24h'!D78)</f>
        <v>0.5</v>
      </c>
      <c r="E78" s="49">
        <f>AVERAGE('18.10 SSEMBABULE-KANONI-24h'!E78,'19.10  SSEMBABULE- KANONI-24h'!E78)</f>
        <v>0</v>
      </c>
      <c r="F78" s="49">
        <f>AVERAGE('18.10 SSEMBABULE-KANONI-24h'!F78,'19.10  SSEMBABULE- KANONI-24h'!F78)</f>
        <v>0.5</v>
      </c>
      <c r="G78" s="49">
        <f>AVERAGE('18.10 SSEMBABULE-KANONI-24h'!G78,'19.10  SSEMBABULE- KANONI-24h'!G78)</f>
        <v>0</v>
      </c>
      <c r="H78" s="49">
        <f>AVERAGE('18.10 SSEMBABULE-KANONI-24h'!H78,'19.10  SSEMBABULE- KANONI-24h'!H78)</f>
        <v>0</v>
      </c>
      <c r="I78" s="49">
        <f>AVERAGE('18.10 SSEMBABULE-KANONI-24h'!I78,'19.10  SSEMBABULE- KANONI-24h'!I78)</f>
        <v>0</v>
      </c>
      <c r="J78" s="49">
        <f>AVERAGE('18.10 SSEMBABULE-KANONI-24h'!J78,'19.10  SSEMBABULE- KANONI-24h'!J78)</f>
        <v>0</v>
      </c>
      <c r="K78" s="49">
        <f>AVERAGE('18.10 SSEMBABULE-KANONI-24h'!K78,'19.10  SSEMBABULE- KANONI-24h'!K78)</f>
        <v>0.5</v>
      </c>
      <c r="L78" s="49">
        <f>AVERAGE('18.10 SSEMBABULE-KANONI-24h'!L78,'19.10  SSEMBABULE- KANONI-24h'!L78)</f>
        <v>0</v>
      </c>
      <c r="M78" s="49">
        <f>AVERAGE('18.10 SSEMBABULE-KANONI-24h'!M78,'19.10  SSEMBABULE- KANONI-24h'!M78)</f>
        <v>1</v>
      </c>
      <c r="N78" s="49">
        <f>AVERAGE('18.10 SSEMBABULE-KANONI-24h'!N78,'19.10  SSEMBABULE- KANONI-24h'!N78)</f>
        <v>0</v>
      </c>
      <c r="O78" s="15">
        <f t="shared" si="35"/>
        <v>3</v>
      </c>
      <c r="P78" s="15">
        <f t="shared" si="36"/>
        <v>4</v>
      </c>
      <c r="R78" s="8"/>
      <c r="T78"/>
    </row>
    <row r="79" spans="2:20" ht="23.1" customHeight="1" x14ac:dyDescent="0.25">
      <c r="B79" s="23" t="s">
        <v>119</v>
      </c>
      <c r="C79" s="49">
        <f>AVERAGE('18.10 SSEMBABULE-KANONI-24h'!C79,'19.10  SSEMBABULE- KANONI-24h'!C79)</f>
        <v>0</v>
      </c>
      <c r="D79" s="49">
        <f>AVERAGE('18.10 SSEMBABULE-KANONI-24h'!D79,'19.10  SSEMBABULE- KANONI-24h'!D79)</f>
        <v>0.5</v>
      </c>
      <c r="E79" s="49">
        <f>AVERAGE('18.10 SSEMBABULE-KANONI-24h'!E79,'19.10  SSEMBABULE- KANONI-24h'!E79)</f>
        <v>0</v>
      </c>
      <c r="F79" s="49">
        <f>AVERAGE('18.10 SSEMBABULE-KANONI-24h'!F79,'19.10  SSEMBABULE- KANONI-24h'!F79)</f>
        <v>0</v>
      </c>
      <c r="G79" s="49">
        <f>AVERAGE('18.10 SSEMBABULE-KANONI-24h'!G79,'19.10  SSEMBABULE- KANONI-24h'!G79)</f>
        <v>0</v>
      </c>
      <c r="H79" s="49">
        <f>AVERAGE('18.10 SSEMBABULE-KANONI-24h'!H79,'19.10  SSEMBABULE- KANONI-24h'!H79)</f>
        <v>0</v>
      </c>
      <c r="I79" s="49">
        <f>AVERAGE('18.10 SSEMBABULE-KANONI-24h'!I79,'19.10  SSEMBABULE- KANONI-24h'!I79)</f>
        <v>0</v>
      </c>
      <c r="J79" s="49">
        <f>AVERAGE('18.10 SSEMBABULE-KANONI-24h'!J79,'19.10  SSEMBABULE- KANONI-24h'!J79)</f>
        <v>0</v>
      </c>
      <c r="K79" s="49">
        <f>AVERAGE('18.10 SSEMBABULE-KANONI-24h'!K79,'19.10  SSEMBABULE- KANONI-24h'!K79)</f>
        <v>1</v>
      </c>
      <c r="L79" s="49">
        <f>AVERAGE('18.10 SSEMBABULE-KANONI-24h'!L79,'19.10  SSEMBABULE- KANONI-24h'!L79)</f>
        <v>0</v>
      </c>
      <c r="M79" s="49">
        <f>AVERAGE('18.10 SSEMBABULE-KANONI-24h'!M79,'19.10  SSEMBABULE- KANONI-24h'!M79)</f>
        <v>0.5</v>
      </c>
      <c r="N79" s="49">
        <f>AVERAGE('18.10 SSEMBABULE-KANONI-24h'!N79,'19.10  SSEMBABULE- KANONI-24h'!N79)</f>
        <v>0</v>
      </c>
      <c r="O79" s="15">
        <f t="shared" si="35"/>
        <v>1.5</v>
      </c>
      <c r="P79" s="15">
        <f t="shared" si="36"/>
        <v>2</v>
      </c>
      <c r="R79" s="8"/>
      <c r="T79"/>
    </row>
    <row r="80" spans="2:20" ht="23.1" customHeight="1" x14ac:dyDescent="0.25">
      <c r="B80" s="25" t="s">
        <v>120</v>
      </c>
      <c r="C80" s="49">
        <f>AVERAGE('18.10 SSEMBABULE-KANONI-24h'!C80,'19.10  SSEMBABULE- KANONI-24h'!C80)</f>
        <v>0</v>
      </c>
      <c r="D80" s="49">
        <f>AVERAGE('18.10 SSEMBABULE-KANONI-24h'!D80,'19.10  SSEMBABULE- KANONI-24h'!D80)</f>
        <v>0</v>
      </c>
      <c r="E80" s="49">
        <f>AVERAGE('18.10 SSEMBABULE-KANONI-24h'!E80,'19.10  SSEMBABULE- KANONI-24h'!E80)</f>
        <v>0</v>
      </c>
      <c r="F80" s="49">
        <f>AVERAGE('18.10 SSEMBABULE-KANONI-24h'!F80,'19.10  SSEMBABULE- KANONI-24h'!F80)</f>
        <v>0</v>
      </c>
      <c r="G80" s="49">
        <f>AVERAGE('18.10 SSEMBABULE-KANONI-24h'!G80,'19.10  SSEMBABULE- KANONI-24h'!G80)</f>
        <v>0</v>
      </c>
      <c r="H80" s="49">
        <f>AVERAGE('18.10 SSEMBABULE-KANONI-24h'!H80,'19.10  SSEMBABULE- KANONI-24h'!H80)</f>
        <v>0</v>
      </c>
      <c r="I80" s="49">
        <f>AVERAGE('18.10 SSEMBABULE-KANONI-24h'!I80,'19.10  SSEMBABULE- KANONI-24h'!I80)</f>
        <v>1</v>
      </c>
      <c r="J80" s="49">
        <f>AVERAGE('18.10 SSEMBABULE-KANONI-24h'!J80,'19.10  SSEMBABULE- KANONI-24h'!J80)</f>
        <v>0</v>
      </c>
      <c r="K80" s="49">
        <f>AVERAGE('18.10 SSEMBABULE-KANONI-24h'!K80,'19.10  SSEMBABULE- KANONI-24h'!K80)</f>
        <v>1</v>
      </c>
      <c r="L80" s="49">
        <f>AVERAGE('18.10 SSEMBABULE-KANONI-24h'!L80,'19.10  SSEMBABULE- KANONI-24h'!L80)</f>
        <v>0</v>
      </c>
      <c r="M80" s="49">
        <f>AVERAGE('18.10 SSEMBABULE-KANONI-24h'!M80,'19.10  SSEMBABULE- KANONI-24h'!M80)</f>
        <v>2</v>
      </c>
      <c r="N80" s="49">
        <f>AVERAGE('18.10 SSEMBABULE-KANONI-24h'!N80,'19.10  SSEMBABULE- KANONI-24h'!N80)</f>
        <v>0</v>
      </c>
      <c r="O80" s="15">
        <f t="shared" si="35"/>
        <v>2</v>
      </c>
      <c r="P80" s="15">
        <f t="shared" si="36"/>
        <v>4</v>
      </c>
      <c r="R80" s="8"/>
      <c r="T80"/>
    </row>
    <row r="81" spans="2:20" ht="23.1" customHeight="1" x14ac:dyDescent="0.25">
      <c r="B81" s="23" t="s">
        <v>121</v>
      </c>
      <c r="C81" s="49">
        <f>AVERAGE('18.10 SSEMBABULE-KANONI-24h'!C81,'19.10  SSEMBABULE- KANONI-24h'!C81)</f>
        <v>0</v>
      </c>
      <c r="D81" s="49">
        <f>AVERAGE('18.10 SSEMBABULE-KANONI-24h'!D81,'19.10  SSEMBABULE- KANONI-24h'!D81)</f>
        <v>0</v>
      </c>
      <c r="E81" s="49">
        <f>AVERAGE('18.10 SSEMBABULE-KANONI-24h'!E81,'19.10  SSEMBABULE- KANONI-24h'!E81)</f>
        <v>0</v>
      </c>
      <c r="F81" s="49">
        <f>AVERAGE('18.10 SSEMBABULE-KANONI-24h'!F81,'19.10  SSEMBABULE- KANONI-24h'!F81)</f>
        <v>0</v>
      </c>
      <c r="G81" s="49">
        <f>AVERAGE('18.10 SSEMBABULE-KANONI-24h'!G81,'19.10  SSEMBABULE- KANONI-24h'!G81)</f>
        <v>0</v>
      </c>
      <c r="H81" s="49">
        <f>AVERAGE('18.10 SSEMBABULE-KANONI-24h'!H81,'19.10  SSEMBABULE- KANONI-24h'!H81)</f>
        <v>0</v>
      </c>
      <c r="I81" s="49">
        <f>AVERAGE('18.10 SSEMBABULE-KANONI-24h'!I81,'19.10  SSEMBABULE- KANONI-24h'!I81)</f>
        <v>0</v>
      </c>
      <c r="J81" s="49">
        <f>AVERAGE('18.10 SSEMBABULE-KANONI-24h'!J81,'19.10  SSEMBABULE- KANONI-24h'!J81)</f>
        <v>0</v>
      </c>
      <c r="K81" s="49">
        <f>AVERAGE('18.10 SSEMBABULE-KANONI-24h'!K81,'19.10  SSEMBABULE- KANONI-24h'!K81)</f>
        <v>0.5</v>
      </c>
      <c r="L81" s="49">
        <f>AVERAGE('18.10 SSEMBABULE-KANONI-24h'!L81,'19.10  SSEMBABULE- KANONI-24h'!L81)</f>
        <v>0</v>
      </c>
      <c r="M81" s="49">
        <f>AVERAGE('18.10 SSEMBABULE-KANONI-24h'!M81,'19.10  SSEMBABULE- KANONI-24h'!M81)</f>
        <v>0.5</v>
      </c>
      <c r="N81" s="49">
        <f>AVERAGE('18.10 SSEMBABULE-KANONI-24h'!N81,'19.10  SSEMBABULE- KANONI-24h'!N81)</f>
        <v>0</v>
      </c>
      <c r="O81" s="15">
        <f t="shared" si="35"/>
        <v>0.5</v>
      </c>
      <c r="P81" s="15">
        <f t="shared" si="36"/>
        <v>1</v>
      </c>
      <c r="R81" s="8"/>
      <c r="T81"/>
    </row>
    <row r="82" spans="2:20" ht="23.1" customHeight="1" x14ac:dyDescent="0.25">
      <c r="B82" s="24" t="s">
        <v>122</v>
      </c>
      <c r="C82" s="49">
        <f>AVERAGE('18.10 SSEMBABULE-KANONI-24h'!C82,'19.10  SSEMBABULE- KANONI-24h'!C82)</f>
        <v>0</v>
      </c>
      <c r="D82" s="49">
        <f>AVERAGE('18.10 SSEMBABULE-KANONI-24h'!D82,'19.10  SSEMBABULE- KANONI-24h'!D82)</f>
        <v>0.5</v>
      </c>
      <c r="E82" s="49">
        <f>AVERAGE('18.10 SSEMBABULE-KANONI-24h'!E82,'19.10  SSEMBABULE- KANONI-24h'!E82)</f>
        <v>0</v>
      </c>
      <c r="F82" s="49">
        <f>AVERAGE('18.10 SSEMBABULE-KANONI-24h'!F82,'19.10  SSEMBABULE- KANONI-24h'!F82)</f>
        <v>0</v>
      </c>
      <c r="G82" s="49">
        <f>AVERAGE('18.10 SSEMBABULE-KANONI-24h'!G82,'19.10  SSEMBABULE- KANONI-24h'!G82)</f>
        <v>0.5</v>
      </c>
      <c r="H82" s="49">
        <f>AVERAGE('18.10 SSEMBABULE-KANONI-24h'!H82,'19.10  SSEMBABULE- KANONI-24h'!H82)</f>
        <v>0</v>
      </c>
      <c r="I82" s="49">
        <f>AVERAGE('18.10 SSEMBABULE-KANONI-24h'!I82,'19.10  SSEMBABULE- KANONI-24h'!I82)</f>
        <v>0</v>
      </c>
      <c r="J82" s="49">
        <f>AVERAGE('18.10 SSEMBABULE-KANONI-24h'!J82,'19.10  SSEMBABULE- KANONI-24h'!J82)</f>
        <v>1.5</v>
      </c>
      <c r="K82" s="49">
        <f>AVERAGE('18.10 SSEMBABULE-KANONI-24h'!K82,'19.10  SSEMBABULE- KANONI-24h'!K82)</f>
        <v>0</v>
      </c>
      <c r="L82" s="49">
        <f>AVERAGE('18.10 SSEMBABULE-KANONI-24h'!L82,'19.10  SSEMBABULE- KANONI-24h'!L82)</f>
        <v>0.5</v>
      </c>
      <c r="M82" s="49">
        <f>AVERAGE('18.10 SSEMBABULE-KANONI-24h'!M82,'19.10  SSEMBABULE- KANONI-24h'!M82)</f>
        <v>2</v>
      </c>
      <c r="N82" s="49">
        <f>AVERAGE('18.10 SSEMBABULE-KANONI-24h'!N82,'19.10  SSEMBABULE- KANONI-24h'!N82)</f>
        <v>0</v>
      </c>
      <c r="O82" s="15">
        <f t="shared" si="35"/>
        <v>3</v>
      </c>
      <c r="P82" s="15">
        <f t="shared" si="36"/>
        <v>5</v>
      </c>
      <c r="R82" s="8"/>
      <c r="T82"/>
    </row>
    <row r="83" spans="2:20" ht="23.1" customHeight="1" x14ac:dyDescent="0.25">
      <c r="B83" s="23" t="s">
        <v>123</v>
      </c>
      <c r="C83" s="49">
        <f>AVERAGE('18.10 SSEMBABULE-KANONI-24h'!C83,'19.10  SSEMBABULE- KANONI-24h'!C83)</f>
        <v>0</v>
      </c>
      <c r="D83" s="49">
        <f>AVERAGE('18.10 SSEMBABULE-KANONI-24h'!D83,'19.10  SSEMBABULE- KANONI-24h'!D83)</f>
        <v>0</v>
      </c>
      <c r="E83" s="49">
        <f>AVERAGE('18.10 SSEMBABULE-KANONI-24h'!E83,'19.10  SSEMBABULE- KANONI-24h'!E83)</f>
        <v>0.5</v>
      </c>
      <c r="F83" s="49">
        <f>AVERAGE('18.10 SSEMBABULE-KANONI-24h'!F83,'19.10  SSEMBABULE- KANONI-24h'!F83)</f>
        <v>0</v>
      </c>
      <c r="G83" s="49">
        <f>AVERAGE('18.10 SSEMBABULE-KANONI-24h'!G83,'19.10  SSEMBABULE- KANONI-24h'!G83)</f>
        <v>0</v>
      </c>
      <c r="H83" s="49">
        <f>AVERAGE('18.10 SSEMBABULE-KANONI-24h'!H83,'19.10  SSEMBABULE- KANONI-24h'!H83)</f>
        <v>0</v>
      </c>
      <c r="I83" s="49">
        <f>AVERAGE('18.10 SSEMBABULE-KANONI-24h'!I83,'19.10  SSEMBABULE- KANONI-24h'!I83)</f>
        <v>0</v>
      </c>
      <c r="J83" s="49">
        <f>AVERAGE('18.10 SSEMBABULE-KANONI-24h'!J83,'19.10  SSEMBABULE- KANONI-24h'!J83)</f>
        <v>0.5</v>
      </c>
      <c r="K83" s="49">
        <f>AVERAGE('18.10 SSEMBABULE-KANONI-24h'!K83,'19.10  SSEMBABULE- KANONI-24h'!K83)</f>
        <v>1.5</v>
      </c>
      <c r="L83" s="49">
        <f>AVERAGE('18.10 SSEMBABULE-KANONI-24h'!L83,'19.10  SSEMBABULE- KANONI-24h'!L83)</f>
        <v>0</v>
      </c>
      <c r="M83" s="49">
        <f>AVERAGE('18.10 SSEMBABULE-KANONI-24h'!M83,'19.10  SSEMBABULE- KANONI-24h'!M83)</f>
        <v>0.5</v>
      </c>
      <c r="N83" s="49">
        <f>AVERAGE('18.10 SSEMBABULE-KANONI-24h'!N83,'19.10  SSEMBABULE- KANONI-24h'!N83)</f>
        <v>0</v>
      </c>
      <c r="O83" s="15">
        <f t="shared" si="35"/>
        <v>2.5</v>
      </c>
      <c r="P83" s="15">
        <f t="shared" si="36"/>
        <v>3</v>
      </c>
      <c r="R83" s="8"/>
      <c r="T83"/>
    </row>
    <row r="84" spans="2:20" ht="23.1" customHeight="1" x14ac:dyDescent="0.25">
      <c r="B84" s="25" t="s">
        <v>124</v>
      </c>
      <c r="C84" s="49">
        <f>AVERAGE('18.10 SSEMBABULE-KANONI-24h'!C84,'19.10  SSEMBABULE- KANONI-24h'!C84)</f>
        <v>0</v>
      </c>
      <c r="D84" s="49">
        <f>AVERAGE('18.10 SSEMBABULE-KANONI-24h'!D84,'19.10  SSEMBABULE- KANONI-24h'!D84)</f>
        <v>0</v>
      </c>
      <c r="E84" s="49">
        <f>AVERAGE('18.10 SSEMBABULE-KANONI-24h'!E84,'19.10  SSEMBABULE- KANONI-24h'!E84)</f>
        <v>0</v>
      </c>
      <c r="F84" s="49">
        <f>AVERAGE('18.10 SSEMBABULE-KANONI-24h'!F84,'19.10  SSEMBABULE- KANONI-24h'!F84)</f>
        <v>0</v>
      </c>
      <c r="G84" s="49">
        <f>AVERAGE('18.10 SSEMBABULE-KANONI-24h'!G84,'19.10  SSEMBABULE- KANONI-24h'!G84)</f>
        <v>0</v>
      </c>
      <c r="H84" s="49">
        <f>AVERAGE('18.10 SSEMBABULE-KANONI-24h'!H84,'19.10  SSEMBABULE- KANONI-24h'!H84)</f>
        <v>0</v>
      </c>
      <c r="I84" s="49">
        <f>AVERAGE('18.10 SSEMBABULE-KANONI-24h'!I84,'19.10  SSEMBABULE- KANONI-24h'!I84)</f>
        <v>1.5</v>
      </c>
      <c r="J84" s="49">
        <f>AVERAGE('18.10 SSEMBABULE-KANONI-24h'!J84,'19.10  SSEMBABULE- KANONI-24h'!J84)</f>
        <v>0</v>
      </c>
      <c r="K84" s="49">
        <f>AVERAGE('18.10 SSEMBABULE-KANONI-24h'!K84,'19.10  SSEMBABULE- KANONI-24h'!K84)</f>
        <v>0</v>
      </c>
      <c r="L84" s="49">
        <f>AVERAGE('18.10 SSEMBABULE-KANONI-24h'!L84,'19.10  SSEMBABULE- KANONI-24h'!L84)</f>
        <v>0</v>
      </c>
      <c r="M84" s="49">
        <f>AVERAGE('18.10 SSEMBABULE-KANONI-24h'!M84,'19.10  SSEMBABULE- KANONI-24h'!M84)</f>
        <v>0.5</v>
      </c>
      <c r="N84" s="49">
        <f>AVERAGE('18.10 SSEMBABULE-KANONI-24h'!N84,'19.10  SSEMBABULE- KANONI-24h'!N84)</f>
        <v>0</v>
      </c>
      <c r="O84" s="15">
        <f t="shared" si="35"/>
        <v>1.5</v>
      </c>
      <c r="P84" s="15">
        <f t="shared" si="36"/>
        <v>2</v>
      </c>
      <c r="R84" s="8"/>
      <c r="T84"/>
    </row>
    <row r="85" spans="2:20" ht="23.1" customHeight="1" x14ac:dyDescent="0.25">
      <c r="B85" s="23" t="s">
        <v>125</v>
      </c>
      <c r="C85" s="49">
        <f>AVERAGE('18.10 SSEMBABULE-KANONI-24h'!C85,'19.10  SSEMBABULE- KANONI-24h'!C85)</f>
        <v>0</v>
      </c>
      <c r="D85" s="49">
        <f>AVERAGE('18.10 SSEMBABULE-KANONI-24h'!D85,'19.10  SSEMBABULE- KANONI-24h'!D85)</f>
        <v>1</v>
      </c>
      <c r="E85" s="49">
        <f>AVERAGE('18.10 SSEMBABULE-KANONI-24h'!E85,'19.10  SSEMBABULE- KANONI-24h'!E85)</f>
        <v>0</v>
      </c>
      <c r="F85" s="49">
        <f>AVERAGE('18.10 SSEMBABULE-KANONI-24h'!F85,'19.10  SSEMBABULE- KANONI-24h'!F85)</f>
        <v>0</v>
      </c>
      <c r="G85" s="49">
        <f>AVERAGE('18.10 SSEMBABULE-KANONI-24h'!G85,'19.10  SSEMBABULE- KANONI-24h'!G85)</f>
        <v>0</v>
      </c>
      <c r="H85" s="49">
        <f>AVERAGE('18.10 SSEMBABULE-KANONI-24h'!H85,'19.10  SSEMBABULE- KANONI-24h'!H85)</f>
        <v>0</v>
      </c>
      <c r="I85" s="49">
        <f>AVERAGE('18.10 SSEMBABULE-KANONI-24h'!I85,'19.10  SSEMBABULE- KANONI-24h'!I85)</f>
        <v>0</v>
      </c>
      <c r="J85" s="49">
        <f>AVERAGE('18.10 SSEMBABULE-KANONI-24h'!J85,'19.10  SSEMBABULE- KANONI-24h'!J85)</f>
        <v>0</v>
      </c>
      <c r="K85" s="49">
        <f>AVERAGE('18.10 SSEMBABULE-KANONI-24h'!K85,'19.10  SSEMBABULE- KANONI-24h'!K85)</f>
        <v>0.5</v>
      </c>
      <c r="L85" s="49">
        <f>AVERAGE('18.10 SSEMBABULE-KANONI-24h'!L85,'19.10  SSEMBABULE- KANONI-24h'!L85)</f>
        <v>0</v>
      </c>
      <c r="M85" s="49">
        <f>AVERAGE('18.10 SSEMBABULE-KANONI-24h'!M85,'19.10  SSEMBABULE- KANONI-24h'!M85)</f>
        <v>0</v>
      </c>
      <c r="N85" s="49">
        <f>AVERAGE('18.10 SSEMBABULE-KANONI-24h'!N85,'19.10  SSEMBABULE- KANONI-24h'!N85)</f>
        <v>0</v>
      </c>
      <c r="O85" s="15">
        <f t="shared" si="35"/>
        <v>1.5</v>
      </c>
      <c r="P85" s="15">
        <f t="shared" si="36"/>
        <v>1.5</v>
      </c>
      <c r="R85" s="8"/>
      <c r="T85"/>
    </row>
    <row r="86" spans="2:20" ht="23.1" customHeight="1" x14ac:dyDescent="0.25">
      <c r="B86" s="24" t="s">
        <v>126</v>
      </c>
      <c r="C86" s="49">
        <f>AVERAGE('18.10 SSEMBABULE-KANONI-24h'!C86,'19.10  SSEMBABULE- KANONI-24h'!C86)</f>
        <v>0</v>
      </c>
      <c r="D86" s="49">
        <f>AVERAGE('18.10 SSEMBABULE-KANONI-24h'!D86,'19.10  SSEMBABULE- KANONI-24h'!D86)</f>
        <v>0</v>
      </c>
      <c r="E86" s="49">
        <f>AVERAGE('18.10 SSEMBABULE-KANONI-24h'!E86,'19.10  SSEMBABULE- KANONI-24h'!E86)</f>
        <v>0</v>
      </c>
      <c r="F86" s="49">
        <f>AVERAGE('18.10 SSEMBABULE-KANONI-24h'!F86,'19.10  SSEMBABULE- KANONI-24h'!F86)</f>
        <v>0</v>
      </c>
      <c r="G86" s="49">
        <f>AVERAGE('18.10 SSEMBABULE-KANONI-24h'!G86,'19.10  SSEMBABULE- KANONI-24h'!G86)</f>
        <v>0</v>
      </c>
      <c r="H86" s="49">
        <f>AVERAGE('18.10 SSEMBABULE-KANONI-24h'!H86,'19.10  SSEMBABULE- KANONI-24h'!H86)</f>
        <v>0</v>
      </c>
      <c r="I86" s="49">
        <f>AVERAGE('18.10 SSEMBABULE-KANONI-24h'!I86,'19.10  SSEMBABULE- KANONI-24h'!I86)</f>
        <v>0</v>
      </c>
      <c r="J86" s="49">
        <f>AVERAGE('18.10 SSEMBABULE-KANONI-24h'!J86,'19.10  SSEMBABULE- KANONI-24h'!J86)</f>
        <v>0</v>
      </c>
      <c r="K86" s="49">
        <f>AVERAGE('18.10 SSEMBABULE-KANONI-24h'!K86,'19.10  SSEMBABULE- KANONI-24h'!K86)</f>
        <v>0</v>
      </c>
      <c r="L86" s="49">
        <f>AVERAGE('18.10 SSEMBABULE-KANONI-24h'!L86,'19.10  SSEMBABULE- KANONI-24h'!L86)</f>
        <v>0.5</v>
      </c>
      <c r="M86" s="49">
        <f>AVERAGE('18.10 SSEMBABULE-KANONI-24h'!M86,'19.10  SSEMBABULE- KANONI-24h'!M86)</f>
        <v>0</v>
      </c>
      <c r="N86" s="49">
        <f>AVERAGE('18.10 SSEMBABULE-KANONI-24h'!N86,'19.10  SSEMBABULE- KANONI-24h'!N86)</f>
        <v>0</v>
      </c>
      <c r="O86" s="15">
        <f t="shared" si="35"/>
        <v>0.5</v>
      </c>
      <c r="P86" s="15">
        <f t="shared" si="36"/>
        <v>0.5</v>
      </c>
      <c r="R86" s="8"/>
      <c r="T86"/>
    </row>
    <row r="87" spans="2:20" ht="23.1" customHeight="1" x14ac:dyDescent="0.25">
      <c r="B87" s="23" t="s">
        <v>127</v>
      </c>
      <c r="C87" s="49">
        <f>AVERAGE('18.10 SSEMBABULE-KANONI-24h'!C87,'19.10  SSEMBABULE- KANONI-24h'!C87)</f>
        <v>0.5</v>
      </c>
      <c r="D87" s="49">
        <f>AVERAGE('18.10 SSEMBABULE-KANONI-24h'!D87,'19.10  SSEMBABULE- KANONI-24h'!D87)</f>
        <v>0</v>
      </c>
      <c r="E87" s="49">
        <f>AVERAGE('18.10 SSEMBABULE-KANONI-24h'!E87,'19.10  SSEMBABULE- KANONI-24h'!E87)</f>
        <v>0</v>
      </c>
      <c r="F87" s="49">
        <f>AVERAGE('18.10 SSEMBABULE-KANONI-24h'!F87,'19.10  SSEMBABULE- KANONI-24h'!F87)</f>
        <v>0</v>
      </c>
      <c r="G87" s="49">
        <f>AVERAGE('18.10 SSEMBABULE-KANONI-24h'!G87,'19.10  SSEMBABULE- KANONI-24h'!G87)</f>
        <v>0</v>
      </c>
      <c r="H87" s="49">
        <f>AVERAGE('18.10 SSEMBABULE-KANONI-24h'!H87,'19.10  SSEMBABULE- KANONI-24h'!H87)</f>
        <v>0</v>
      </c>
      <c r="I87" s="49">
        <f>AVERAGE('18.10 SSEMBABULE-KANONI-24h'!I87,'19.10  SSEMBABULE- KANONI-24h'!I87)</f>
        <v>1</v>
      </c>
      <c r="J87" s="49">
        <f>AVERAGE('18.10 SSEMBABULE-KANONI-24h'!J87,'19.10  SSEMBABULE- KANONI-24h'!J87)</f>
        <v>0</v>
      </c>
      <c r="K87" s="49">
        <f>AVERAGE('18.10 SSEMBABULE-KANONI-24h'!K87,'19.10  SSEMBABULE- KANONI-24h'!K87)</f>
        <v>0.5</v>
      </c>
      <c r="L87" s="49">
        <f>AVERAGE('18.10 SSEMBABULE-KANONI-24h'!L87,'19.10  SSEMBABULE- KANONI-24h'!L87)</f>
        <v>0</v>
      </c>
      <c r="M87" s="49">
        <f>AVERAGE('18.10 SSEMBABULE-KANONI-24h'!M87,'19.10  SSEMBABULE- KANONI-24h'!M87)</f>
        <v>0</v>
      </c>
      <c r="N87" s="49">
        <f>AVERAGE('18.10 SSEMBABULE-KANONI-24h'!N87,'19.10  SSEMBABULE- KANONI-24h'!N87)</f>
        <v>0</v>
      </c>
      <c r="O87" s="15">
        <f t="shared" si="35"/>
        <v>2</v>
      </c>
      <c r="P87" s="15">
        <f t="shared" si="36"/>
        <v>2</v>
      </c>
      <c r="R87" s="8"/>
      <c r="T87"/>
    </row>
    <row r="88" spans="2:20" ht="23.1" customHeight="1" x14ac:dyDescent="0.25">
      <c r="B88" s="25" t="s">
        <v>128</v>
      </c>
      <c r="C88" s="49">
        <f>AVERAGE('18.10 SSEMBABULE-KANONI-24h'!C88,'19.10  SSEMBABULE- KANONI-24h'!C88)</f>
        <v>0</v>
      </c>
      <c r="D88" s="49">
        <f>AVERAGE('18.10 SSEMBABULE-KANONI-24h'!D88,'19.10  SSEMBABULE- KANONI-24h'!D88)</f>
        <v>0</v>
      </c>
      <c r="E88" s="49">
        <f>AVERAGE('18.10 SSEMBABULE-KANONI-24h'!E88,'19.10  SSEMBABULE- KANONI-24h'!E88)</f>
        <v>0</v>
      </c>
      <c r="F88" s="49">
        <f>AVERAGE('18.10 SSEMBABULE-KANONI-24h'!F88,'19.10  SSEMBABULE- KANONI-24h'!F88)</f>
        <v>0</v>
      </c>
      <c r="G88" s="49">
        <f>AVERAGE('18.10 SSEMBABULE-KANONI-24h'!G88,'19.10  SSEMBABULE- KANONI-24h'!G88)</f>
        <v>0</v>
      </c>
      <c r="H88" s="49">
        <f>AVERAGE('18.10 SSEMBABULE-KANONI-24h'!H88,'19.10  SSEMBABULE- KANONI-24h'!H88)</f>
        <v>0</v>
      </c>
      <c r="I88" s="49">
        <f>AVERAGE('18.10 SSEMBABULE-KANONI-24h'!I88,'19.10  SSEMBABULE- KANONI-24h'!I88)</f>
        <v>0</v>
      </c>
      <c r="J88" s="49">
        <f>AVERAGE('18.10 SSEMBABULE-KANONI-24h'!J88,'19.10  SSEMBABULE- KANONI-24h'!J88)</f>
        <v>0</v>
      </c>
      <c r="K88" s="49">
        <f>AVERAGE('18.10 SSEMBABULE-KANONI-24h'!K88,'19.10  SSEMBABULE- KANONI-24h'!K88)</f>
        <v>0</v>
      </c>
      <c r="L88" s="49">
        <f>AVERAGE('18.10 SSEMBABULE-KANONI-24h'!L88,'19.10  SSEMBABULE- KANONI-24h'!L88)</f>
        <v>0</v>
      </c>
      <c r="M88" s="49">
        <f>AVERAGE('18.10 SSEMBABULE-KANONI-24h'!M88,'19.10  SSEMBABULE- KANONI-24h'!M88)</f>
        <v>0.5</v>
      </c>
      <c r="N88" s="49">
        <f>AVERAGE('18.10 SSEMBABULE-KANONI-24h'!N88,'19.10  SSEMBABULE- KANONI-24h'!N88)</f>
        <v>0</v>
      </c>
      <c r="O88" s="15">
        <f t="shared" si="35"/>
        <v>0</v>
      </c>
      <c r="P88" s="15">
        <f t="shared" si="36"/>
        <v>0.5</v>
      </c>
      <c r="R88" s="8"/>
      <c r="T88"/>
    </row>
    <row r="89" spans="2:20" ht="23.1" customHeight="1" x14ac:dyDescent="0.25">
      <c r="B89" s="23" t="s">
        <v>129</v>
      </c>
      <c r="C89" s="49">
        <f>AVERAGE('18.10 SSEMBABULE-KANONI-24h'!C89,'19.10  SSEMBABULE- KANONI-24h'!C89)</f>
        <v>0</v>
      </c>
      <c r="D89" s="49">
        <f>AVERAGE('18.10 SSEMBABULE-KANONI-24h'!D89,'19.10  SSEMBABULE- KANONI-24h'!D89)</f>
        <v>0</v>
      </c>
      <c r="E89" s="49">
        <f>AVERAGE('18.10 SSEMBABULE-KANONI-24h'!E89,'19.10  SSEMBABULE- KANONI-24h'!E89)</f>
        <v>0</v>
      </c>
      <c r="F89" s="49">
        <f>AVERAGE('18.10 SSEMBABULE-KANONI-24h'!F89,'19.10  SSEMBABULE- KANONI-24h'!F89)</f>
        <v>0</v>
      </c>
      <c r="G89" s="49">
        <f>AVERAGE('18.10 SSEMBABULE-KANONI-24h'!G89,'19.10  SSEMBABULE- KANONI-24h'!G89)</f>
        <v>0</v>
      </c>
      <c r="H89" s="49">
        <f>AVERAGE('18.10 SSEMBABULE-KANONI-24h'!H89,'19.10  SSEMBABULE- KANONI-24h'!H89)</f>
        <v>0</v>
      </c>
      <c r="I89" s="49">
        <f>AVERAGE('18.10 SSEMBABULE-KANONI-24h'!I89,'19.10  SSEMBABULE- KANONI-24h'!I89)</f>
        <v>0</v>
      </c>
      <c r="J89" s="49">
        <f>AVERAGE('18.10 SSEMBABULE-KANONI-24h'!J89,'19.10  SSEMBABULE- KANONI-24h'!J89)</f>
        <v>0.5</v>
      </c>
      <c r="K89" s="49">
        <f>AVERAGE('18.10 SSEMBABULE-KANONI-24h'!K89,'19.10  SSEMBABULE- KANONI-24h'!K89)</f>
        <v>0.5</v>
      </c>
      <c r="L89" s="49">
        <f>AVERAGE('18.10 SSEMBABULE-KANONI-24h'!L89,'19.10  SSEMBABULE- KANONI-24h'!L89)</f>
        <v>0.5</v>
      </c>
      <c r="M89" s="49">
        <f>AVERAGE('18.10 SSEMBABULE-KANONI-24h'!M89,'19.10  SSEMBABULE- KANONI-24h'!M89)</f>
        <v>0.5</v>
      </c>
      <c r="N89" s="49">
        <f>AVERAGE('18.10 SSEMBABULE-KANONI-24h'!N89,'19.10  SSEMBABULE- KANONI-24h'!N89)</f>
        <v>0</v>
      </c>
      <c r="O89" s="15">
        <f t="shared" si="35"/>
        <v>1.5</v>
      </c>
      <c r="P89" s="15">
        <f t="shared" si="36"/>
        <v>2</v>
      </c>
      <c r="R89" s="8"/>
      <c r="T89"/>
    </row>
    <row r="90" spans="2:20" ht="23.1" customHeight="1" x14ac:dyDescent="0.25">
      <c r="B90" s="24" t="s">
        <v>130</v>
      </c>
      <c r="C90" s="49">
        <f>AVERAGE('18.10 SSEMBABULE-KANONI-24h'!C90,'19.10  SSEMBABULE- KANONI-24h'!C90)</f>
        <v>0.5</v>
      </c>
      <c r="D90" s="49">
        <f>AVERAGE('18.10 SSEMBABULE-KANONI-24h'!D90,'19.10  SSEMBABULE- KANONI-24h'!D90)</f>
        <v>0</v>
      </c>
      <c r="E90" s="49">
        <f>AVERAGE('18.10 SSEMBABULE-KANONI-24h'!E90,'19.10  SSEMBABULE- KANONI-24h'!E90)</f>
        <v>0.5</v>
      </c>
      <c r="F90" s="49">
        <f>AVERAGE('18.10 SSEMBABULE-KANONI-24h'!F90,'19.10  SSEMBABULE- KANONI-24h'!F90)</f>
        <v>0</v>
      </c>
      <c r="G90" s="49">
        <f>AVERAGE('18.10 SSEMBABULE-KANONI-24h'!G90,'19.10  SSEMBABULE- KANONI-24h'!G90)</f>
        <v>0</v>
      </c>
      <c r="H90" s="49">
        <f>AVERAGE('18.10 SSEMBABULE-KANONI-24h'!H90,'19.10  SSEMBABULE- KANONI-24h'!H90)</f>
        <v>0</v>
      </c>
      <c r="I90" s="49">
        <f>AVERAGE('18.10 SSEMBABULE-KANONI-24h'!I90,'19.10  SSEMBABULE- KANONI-24h'!I90)</f>
        <v>0.5</v>
      </c>
      <c r="J90" s="49">
        <f>AVERAGE('18.10 SSEMBABULE-KANONI-24h'!J90,'19.10  SSEMBABULE- KANONI-24h'!J90)</f>
        <v>0</v>
      </c>
      <c r="K90" s="49">
        <f>AVERAGE('18.10 SSEMBABULE-KANONI-24h'!K90,'19.10  SSEMBABULE- KANONI-24h'!K90)</f>
        <v>0.5</v>
      </c>
      <c r="L90" s="49">
        <f>AVERAGE('18.10 SSEMBABULE-KANONI-24h'!L90,'19.10  SSEMBABULE- KANONI-24h'!L90)</f>
        <v>0</v>
      </c>
      <c r="M90" s="49">
        <f>AVERAGE('18.10 SSEMBABULE-KANONI-24h'!M90,'19.10  SSEMBABULE- KANONI-24h'!M90)</f>
        <v>0</v>
      </c>
      <c r="N90" s="49">
        <f>AVERAGE('18.10 SSEMBABULE-KANONI-24h'!N90,'19.10  SSEMBABULE- KANONI-24h'!N90)</f>
        <v>0</v>
      </c>
      <c r="O90" s="15">
        <f t="shared" si="35"/>
        <v>2</v>
      </c>
      <c r="P90" s="15">
        <f t="shared" si="36"/>
        <v>2</v>
      </c>
      <c r="R90" s="8"/>
      <c r="T90"/>
    </row>
    <row r="91" spans="2:20" ht="23.1" customHeight="1" x14ac:dyDescent="0.25">
      <c r="B91" s="23" t="s">
        <v>131</v>
      </c>
      <c r="C91" s="49">
        <f>AVERAGE('18.10 SSEMBABULE-KANONI-24h'!C91,'19.10  SSEMBABULE- KANONI-24h'!C91)</f>
        <v>0.5</v>
      </c>
      <c r="D91" s="49">
        <f>AVERAGE('18.10 SSEMBABULE-KANONI-24h'!D91,'19.10  SSEMBABULE- KANONI-24h'!D91)</f>
        <v>0.5</v>
      </c>
      <c r="E91" s="49">
        <f>AVERAGE('18.10 SSEMBABULE-KANONI-24h'!E91,'19.10  SSEMBABULE- KANONI-24h'!E91)</f>
        <v>0</v>
      </c>
      <c r="F91" s="49">
        <f>AVERAGE('18.10 SSEMBABULE-KANONI-24h'!F91,'19.10  SSEMBABULE- KANONI-24h'!F91)</f>
        <v>0</v>
      </c>
      <c r="G91" s="49">
        <f>AVERAGE('18.10 SSEMBABULE-KANONI-24h'!G91,'19.10  SSEMBABULE- KANONI-24h'!G91)</f>
        <v>1</v>
      </c>
      <c r="H91" s="49">
        <f>AVERAGE('18.10 SSEMBABULE-KANONI-24h'!H91,'19.10  SSEMBABULE- KANONI-24h'!H91)</f>
        <v>0</v>
      </c>
      <c r="I91" s="49">
        <f>AVERAGE('18.10 SSEMBABULE-KANONI-24h'!I91,'19.10  SSEMBABULE- KANONI-24h'!I91)</f>
        <v>0</v>
      </c>
      <c r="J91" s="49">
        <f>AVERAGE('18.10 SSEMBABULE-KANONI-24h'!J91,'19.10  SSEMBABULE- KANONI-24h'!J91)</f>
        <v>0.5</v>
      </c>
      <c r="K91" s="49">
        <f>AVERAGE('18.10 SSEMBABULE-KANONI-24h'!K91,'19.10  SSEMBABULE- KANONI-24h'!K91)</f>
        <v>0.5</v>
      </c>
      <c r="L91" s="49">
        <f>AVERAGE('18.10 SSEMBABULE-KANONI-24h'!L91,'19.10  SSEMBABULE- KANONI-24h'!L91)</f>
        <v>0</v>
      </c>
      <c r="M91" s="49">
        <f>AVERAGE('18.10 SSEMBABULE-KANONI-24h'!M91,'19.10  SSEMBABULE- KANONI-24h'!M91)</f>
        <v>0</v>
      </c>
      <c r="N91" s="49">
        <f>AVERAGE('18.10 SSEMBABULE-KANONI-24h'!N91,'19.10  SSEMBABULE- KANONI-24h'!N91)</f>
        <v>0</v>
      </c>
      <c r="O91" s="15">
        <f t="shared" si="35"/>
        <v>3</v>
      </c>
      <c r="P91" s="15">
        <f t="shared" si="36"/>
        <v>3</v>
      </c>
      <c r="R91" s="8"/>
      <c r="T91"/>
    </row>
    <row r="92" spans="2:20" ht="23.1" customHeight="1" x14ac:dyDescent="0.25">
      <c r="B92" s="25" t="s">
        <v>132</v>
      </c>
      <c r="C92" s="49">
        <f>AVERAGE('18.10 SSEMBABULE-KANONI-24h'!C92,'19.10  SSEMBABULE- KANONI-24h'!C92)</f>
        <v>0</v>
      </c>
      <c r="D92" s="49">
        <f>AVERAGE('18.10 SSEMBABULE-KANONI-24h'!D92,'19.10  SSEMBABULE- KANONI-24h'!D92)</f>
        <v>0</v>
      </c>
      <c r="E92" s="49">
        <f>AVERAGE('18.10 SSEMBABULE-KANONI-24h'!E92,'19.10  SSEMBABULE- KANONI-24h'!E92)</f>
        <v>0</v>
      </c>
      <c r="F92" s="49">
        <f>AVERAGE('18.10 SSEMBABULE-KANONI-24h'!F92,'19.10  SSEMBABULE- KANONI-24h'!F92)</f>
        <v>0</v>
      </c>
      <c r="G92" s="49">
        <f>AVERAGE('18.10 SSEMBABULE-KANONI-24h'!G92,'19.10  SSEMBABULE- KANONI-24h'!G92)</f>
        <v>0</v>
      </c>
      <c r="H92" s="49">
        <f>AVERAGE('18.10 SSEMBABULE-KANONI-24h'!H92,'19.10  SSEMBABULE- KANONI-24h'!H92)</f>
        <v>0</v>
      </c>
      <c r="I92" s="49">
        <f>AVERAGE('18.10 SSEMBABULE-KANONI-24h'!I92,'19.10  SSEMBABULE- KANONI-24h'!I92)</f>
        <v>0</v>
      </c>
      <c r="J92" s="49">
        <f>AVERAGE('18.10 SSEMBABULE-KANONI-24h'!J92,'19.10  SSEMBABULE- KANONI-24h'!J92)</f>
        <v>0</v>
      </c>
      <c r="K92" s="49">
        <f>AVERAGE('18.10 SSEMBABULE-KANONI-24h'!K92,'19.10  SSEMBABULE- KANONI-24h'!K92)</f>
        <v>0</v>
      </c>
      <c r="L92" s="49">
        <f>AVERAGE('18.10 SSEMBABULE-KANONI-24h'!L92,'19.10  SSEMBABULE- KANONI-24h'!L92)</f>
        <v>0.5</v>
      </c>
      <c r="M92" s="49">
        <f>AVERAGE('18.10 SSEMBABULE-KANONI-24h'!M92,'19.10  SSEMBABULE- KANONI-24h'!M92)</f>
        <v>0</v>
      </c>
      <c r="N92" s="49">
        <f>AVERAGE('18.10 SSEMBABULE-KANONI-24h'!N92,'19.10  SSEMBABULE- KANONI-24h'!N92)</f>
        <v>0</v>
      </c>
      <c r="O92" s="15">
        <f t="shared" si="35"/>
        <v>0.5</v>
      </c>
      <c r="P92" s="15">
        <f t="shared" si="36"/>
        <v>0.5</v>
      </c>
      <c r="R92" s="8"/>
      <c r="T92"/>
    </row>
    <row r="93" spans="2:20" ht="23.1" customHeight="1" x14ac:dyDescent="0.25">
      <c r="B93" s="23" t="s">
        <v>133</v>
      </c>
      <c r="C93" s="49">
        <f>AVERAGE('18.10 SSEMBABULE-KANONI-24h'!C93,'19.10  SSEMBABULE- KANONI-24h'!C93)</f>
        <v>1.5</v>
      </c>
      <c r="D93" s="49">
        <f>AVERAGE('18.10 SSEMBABULE-KANONI-24h'!D93,'19.10  SSEMBABULE- KANONI-24h'!D93)</f>
        <v>0</v>
      </c>
      <c r="E93" s="49">
        <f>AVERAGE('18.10 SSEMBABULE-KANONI-24h'!E93,'19.10  SSEMBABULE- KANONI-24h'!E93)</f>
        <v>0</v>
      </c>
      <c r="F93" s="49">
        <f>AVERAGE('18.10 SSEMBABULE-KANONI-24h'!F93,'19.10  SSEMBABULE- KANONI-24h'!F93)</f>
        <v>0.5</v>
      </c>
      <c r="G93" s="49">
        <f>AVERAGE('18.10 SSEMBABULE-KANONI-24h'!G93,'19.10  SSEMBABULE- KANONI-24h'!G93)</f>
        <v>0</v>
      </c>
      <c r="H93" s="49">
        <f>AVERAGE('18.10 SSEMBABULE-KANONI-24h'!H93,'19.10  SSEMBABULE- KANONI-24h'!H93)</f>
        <v>0</v>
      </c>
      <c r="I93" s="49">
        <f>AVERAGE('18.10 SSEMBABULE-KANONI-24h'!I93,'19.10  SSEMBABULE- KANONI-24h'!I93)</f>
        <v>0</v>
      </c>
      <c r="J93" s="49">
        <f>AVERAGE('18.10 SSEMBABULE-KANONI-24h'!J93,'19.10  SSEMBABULE- KANONI-24h'!J93)</f>
        <v>0</v>
      </c>
      <c r="K93" s="49">
        <f>AVERAGE('18.10 SSEMBABULE-KANONI-24h'!K93,'19.10  SSEMBABULE- KANONI-24h'!K93)</f>
        <v>0</v>
      </c>
      <c r="L93" s="49">
        <f>AVERAGE('18.10 SSEMBABULE-KANONI-24h'!L93,'19.10  SSEMBABULE- KANONI-24h'!L93)</f>
        <v>0</v>
      </c>
      <c r="M93" s="49">
        <f>AVERAGE('18.10 SSEMBABULE-KANONI-24h'!M93,'19.10  SSEMBABULE- KANONI-24h'!M93)</f>
        <v>0</v>
      </c>
      <c r="N93" s="49">
        <f>AVERAGE('18.10 SSEMBABULE-KANONI-24h'!N93,'19.10  SSEMBABULE- KANONI-24h'!N93)</f>
        <v>0</v>
      </c>
      <c r="O93" s="15">
        <f t="shared" si="35"/>
        <v>2</v>
      </c>
      <c r="P93" s="15">
        <f t="shared" si="36"/>
        <v>2</v>
      </c>
      <c r="R93" s="8"/>
      <c r="T93"/>
    </row>
    <row r="94" spans="2:20" ht="23.1" customHeight="1" x14ac:dyDescent="0.25">
      <c r="B94" s="24" t="s">
        <v>134</v>
      </c>
      <c r="C94" s="49">
        <f>AVERAGE('18.10 SSEMBABULE-KANONI-24h'!C94,'19.10  SSEMBABULE- KANONI-24h'!C94)</f>
        <v>0</v>
      </c>
      <c r="D94" s="49">
        <f>AVERAGE('18.10 SSEMBABULE-KANONI-24h'!D94,'19.10  SSEMBABULE- KANONI-24h'!D94)</f>
        <v>0</v>
      </c>
      <c r="E94" s="49">
        <f>AVERAGE('18.10 SSEMBABULE-KANONI-24h'!E94,'19.10  SSEMBABULE- KANONI-24h'!E94)</f>
        <v>0</v>
      </c>
      <c r="F94" s="49">
        <f>AVERAGE('18.10 SSEMBABULE-KANONI-24h'!F94,'19.10  SSEMBABULE- KANONI-24h'!F94)</f>
        <v>0</v>
      </c>
      <c r="G94" s="49">
        <f>AVERAGE('18.10 SSEMBABULE-KANONI-24h'!G94,'19.10  SSEMBABULE- KANONI-24h'!G94)</f>
        <v>0</v>
      </c>
      <c r="H94" s="49">
        <f>AVERAGE('18.10 SSEMBABULE-KANONI-24h'!H94,'19.10  SSEMBABULE- KANONI-24h'!H94)</f>
        <v>0</v>
      </c>
      <c r="I94" s="49">
        <f>AVERAGE('18.10 SSEMBABULE-KANONI-24h'!I94,'19.10  SSEMBABULE- KANONI-24h'!I94)</f>
        <v>0.5</v>
      </c>
      <c r="J94" s="49">
        <f>AVERAGE('18.10 SSEMBABULE-KANONI-24h'!J94,'19.10  SSEMBABULE- KANONI-24h'!J94)</f>
        <v>0</v>
      </c>
      <c r="K94" s="49">
        <f>AVERAGE('18.10 SSEMBABULE-KANONI-24h'!K94,'19.10  SSEMBABULE- KANONI-24h'!K94)</f>
        <v>2</v>
      </c>
      <c r="L94" s="49">
        <f>AVERAGE('18.10 SSEMBABULE-KANONI-24h'!L94,'19.10  SSEMBABULE- KANONI-24h'!L94)</f>
        <v>0</v>
      </c>
      <c r="M94" s="49">
        <f>AVERAGE('18.10 SSEMBABULE-KANONI-24h'!M94,'19.10  SSEMBABULE- KANONI-24h'!M94)</f>
        <v>0.5</v>
      </c>
      <c r="N94" s="49">
        <f>AVERAGE('18.10 SSEMBABULE-KANONI-24h'!N94,'19.10  SSEMBABULE- KANONI-24h'!N94)</f>
        <v>0</v>
      </c>
      <c r="O94" s="15">
        <f t="shared" si="35"/>
        <v>2.5</v>
      </c>
      <c r="P94" s="15">
        <f t="shared" si="36"/>
        <v>3</v>
      </c>
      <c r="R94" s="8"/>
      <c r="T94"/>
    </row>
    <row r="95" spans="2:20" ht="23.1" customHeight="1" x14ac:dyDescent="0.25">
      <c r="B95" s="23" t="s">
        <v>135</v>
      </c>
      <c r="C95" s="49">
        <f>AVERAGE('18.10 SSEMBABULE-KANONI-24h'!C95,'19.10  SSEMBABULE- KANONI-24h'!C95)</f>
        <v>0</v>
      </c>
      <c r="D95" s="49">
        <f>AVERAGE('18.10 SSEMBABULE-KANONI-24h'!D95,'19.10  SSEMBABULE- KANONI-24h'!D95)</f>
        <v>1</v>
      </c>
      <c r="E95" s="49">
        <f>AVERAGE('18.10 SSEMBABULE-KANONI-24h'!E95,'19.10  SSEMBABULE- KANONI-24h'!E95)</f>
        <v>0</v>
      </c>
      <c r="F95" s="49">
        <f>AVERAGE('18.10 SSEMBABULE-KANONI-24h'!F95,'19.10  SSEMBABULE- KANONI-24h'!F95)</f>
        <v>0.5</v>
      </c>
      <c r="G95" s="49">
        <f>AVERAGE('18.10 SSEMBABULE-KANONI-24h'!G95,'19.10  SSEMBABULE- KANONI-24h'!G95)</f>
        <v>0</v>
      </c>
      <c r="H95" s="49">
        <f>AVERAGE('18.10 SSEMBABULE-KANONI-24h'!H95,'19.10  SSEMBABULE- KANONI-24h'!H95)</f>
        <v>0</v>
      </c>
      <c r="I95" s="49">
        <f>AVERAGE('18.10 SSEMBABULE-KANONI-24h'!I95,'19.10  SSEMBABULE- KANONI-24h'!I95)</f>
        <v>0</v>
      </c>
      <c r="J95" s="49">
        <f>AVERAGE('18.10 SSEMBABULE-KANONI-24h'!J95,'19.10  SSEMBABULE- KANONI-24h'!J95)</f>
        <v>0</v>
      </c>
      <c r="K95" s="49">
        <f>AVERAGE('18.10 SSEMBABULE-KANONI-24h'!K95,'19.10  SSEMBABULE- KANONI-24h'!K95)</f>
        <v>0</v>
      </c>
      <c r="L95" s="49">
        <f>AVERAGE('18.10 SSEMBABULE-KANONI-24h'!L95,'19.10  SSEMBABULE- KANONI-24h'!L95)</f>
        <v>0</v>
      </c>
      <c r="M95" s="49">
        <f>AVERAGE('18.10 SSEMBABULE-KANONI-24h'!M95,'19.10  SSEMBABULE- KANONI-24h'!M95)</f>
        <v>1</v>
      </c>
      <c r="N95" s="49">
        <f>AVERAGE('18.10 SSEMBABULE-KANONI-24h'!N95,'19.10  SSEMBABULE- KANONI-24h'!N95)</f>
        <v>0</v>
      </c>
      <c r="O95" s="15">
        <f t="shared" si="35"/>
        <v>1.5</v>
      </c>
      <c r="P95" s="15">
        <f t="shared" si="36"/>
        <v>2.5</v>
      </c>
      <c r="R95" s="8"/>
      <c r="T95"/>
    </row>
    <row r="96" spans="2:20" ht="23.1" customHeight="1" x14ac:dyDescent="0.25">
      <c r="B96" s="25" t="s">
        <v>136</v>
      </c>
      <c r="C96" s="49">
        <f>AVERAGE('18.10 SSEMBABULE-KANONI-24h'!C96,'19.10  SSEMBABULE- KANONI-24h'!C96)</f>
        <v>0</v>
      </c>
      <c r="D96" s="49">
        <f>AVERAGE('18.10 SSEMBABULE-KANONI-24h'!D96,'19.10  SSEMBABULE- KANONI-24h'!D96)</f>
        <v>0</v>
      </c>
      <c r="E96" s="49">
        <f>AVERAGE('18.10 SSEMBABULE-KANONI-24h'!E96,'19.10  SSEMBABULE- KANONI-24h'!E96)</f>
        <v>0</v>
      </c>
      <c r="F96" s="49">
        <f>AVERAGE('18.10 SSEMBABULE-KANONI-24h'!F96,'19.10  SSEMBABULE- KANONI-24h'!F96)</f>
        <v>0</v>
      </c>
      <c r="G96" s="49">
        <f>AVERAGE('18.10 SSEMBABULE-KANONI-24h'!G96,'19.10  SSEMBABULE- KANONI-24h'!G96)</f>
        <v>0.5</v>
      </c>
      <c r="H96" s="49">
        <f>AVERAGE('18.10 SSEMBABULE-KANONI-24h'!H96,'19.10  SSEMBABULE- KANONI-24h'!H96)</f>
        <v>0</v>
      </c>
      <c r="I96" s="49">
        <f>AVERAGE('18.10 SSEMBABULE-KANONI-24h'!I96,'19.10  SSEMBABULE- KANONI-24h'!I96)</f>
        <v>0.5</v>
      </c>
      <c r="J96" s="49">
        <f>AVERAGE('18.10 SSEMBABULE-KANONI-24h'!J96,'19.10  SSEMBABULE- KANONI-24h'!J96)</f>
        <v>0</v>
      </c>
      <c r="K96" s="49">
        <f>AVERAGE('18.10 SSEMBABULE-KANONI-24h'!K96,'19.10  SSEMBABULE- KANONI-24h'!K96)</f>
        <v>0.5</v>
      </c>
      <c r="L96" s="49">
        <f>AVERAGE('18.10 SSEMBABULE-KANONI-24h'!L96,'19.10  SSEMBABULE- KANONI-24h'!L96)</f>
        <v>0</v>
      </c>
      <c r="M96" s="49">
        <f>AVERAGE('18.10 SSEMBABULE-KANONI-24h'!M96,'19.10  SSEMBABULE- KANONI-24h'!M96)</f>
        <v>0</v>
      </c>
      <c r="N96" s="49">
        <f>AVERAGE('18.10 SSEMBABULE-KANONI-24h'!N96,'19.10  SSEMBABULE- KANONI-24h'!N96)</f>
        <v>0</v>
      </c>
      <c r="O96" s="15">
        <f t="shared" si="35"/>
        <v>1.5</v>
      </c>
      <c r="P96" s="15">
        <f t="shared" si="36"/>
        <v>1.5</v>
      </c>
      <c r="R96" s="8"/>
      <c r="T96"/>
    </row>
    <row r="97" spans="2:20" ht="23.1" customHeight="1" x14ac:dyDescent="0.25">
      <c r="B97" s="23" t="s">
        <v>137</v>
      </c>
      <c r="C97" s="49">
        <f>AVERAGE('18.10 SSEMBABULE-KANONI-24h'!C97,'19.10  SSEMBABULE- KANONI-24h'!C97)</f>
        <v>0.5</v>
      </c>
      <c r="D97" s="49">
        <f>AVERAGE('18.10 SSEMBABULE-KANONI-24h'!D97,'19.10  SSEMBABULE- KANONI-24h'!D97)</f>
        <v>0</v>
      </c>
      <c r="E97" s="49">
        <f>AVERAGE('18.10 SSEMBABULE-KANONI-24h'!E97,'19.10  SSEMBABULE- KANONI-24h'!E97)</f>
        <v>0</v>
      </c>
      <c r="F97" s="49">
        <f>AVERAGE('18.10 SSEMBABULE-KANONI-24h'!F97,'19.10  SSEMBABULE- KANONI-24h'!F97)</f>
        <v>0.5</v>
      </c>
      <c r="G97" s="49">
        <f>AVERAGE('18.10 SSEMBABULE-KANONI-24h'!G97,'19.10  SSEMBABULE- KANONI-24h'!G97)</f>
        <v>0</v>
      </c>
      <c r="H97" s="49">
        <f>AVERAGE('18.10 SSEMBABULE-KANONI-24h'!H97,'19.10  SSEMBABULE- KANONI-24h'!H97)</f>
        <v>0</v>
      </c>
      <c r="I97" s="49">
        <f>AVERAGE('18.10 SSEMBABULE-KANONI-24h'!I97,'19.10  SSEMBABULE- KANONI-24h'!I97)</f>
        <v>0</v>
      </c>
      <c r="J97" s="49">
        <f>AVERAGE('18.10 SSEMBABULE-KANONI-24h'!J97,'19.10  SSEMBABULE- KANONI-24h'!J97)</f>
        <v>0</v>
      </c>
      <c r="K97" s="49">
        <f>AVERAGE('18.10 SSEMBABULE-KANONI-24h'!K97,'19.10  SSEMBABULE- KANONI-24h'!K97)</f>
        <v>0</v>
      </c>
      <c r="L97" s="49">
        <f>AVERAGE('18.10 SSEMBABULE-KANONI-24h'!L97,'19.10  SSEMBABULE- KANONI-24h'!L97)</f>
        <v>0</v>
      </c>
      <c r="M97" s="49">
        <f>AVERAGE('18.10 SSEMBABULE-KANONI-24h'!M97,'19.10  SSEMBABULE- KANONI-24h'!M97)</f>
        <v>0</v>
      </c>
      <c r="N97" s="49">
        <f>AVERAGE('18.10 SSEMBABULE-KANONI-24h'!N97,'19.10  SSEMBABULE- KANONI-24h'!N97)</f>
        <v>0</v>
      </c>
      <c r="O97" s="15">
        <f t="shared" si="35"/>
        <v>1</v>
      </c>
      <c r="P97" s="15">
        <f t="shared" si="36"/>
        <v>1</v>
      </c>
      <c r="R97" s="8"/>
      <c r="T97"/>
    </row>
    <row r="98" spans="2:20" ht="23.1" customHeight="1" x14ac:dyDescent="0.25">
      <c r="B98" s="24" t="s">
        <v>138</v>
      </c>
      <c r="C98" s="49">
        <f>AVERAGE('18.10 SSEMBABULE-KANONI-24h'!C98,'19.10  SSEMBABULE- KANONI-24h'!C98)</f>
        <v>1</v>
      </c>
      <c r="D98" s="49">
        <f>AVERAGE('18.10 SSEMBABULE-KANONI-24h'!D98,'19.10  SSEMBABULE- KANONI-24h'!D98)</f>
        <v>0</v>
      </c>
      <c r="E98" s="49">
        <f>AVERAGE('18.10 SSEMBABULE-KANONI-24h'!E98,'19.10  SSEMBABULE- KANONI-24h'!E98)</f>
        <v>0</v>
      </c>
      <c r="F98" s="49">
        <f>AVERAGE('18.10 SSEMBABULE-KANONI-24h'!F98,'19.10  SSEMBABULE- KANONI-24h'!F98)</f>
        <v>0</v>
      </c>
      <c r="G98" s="49">
        <f>AVERAGE('18.10 SSEMBABULE-KANONI-24h'!G98,'19.10  SSEMBABULE- KANONI-24h'!G98)</f>
        <v>0</v>
      </c>
      <c r="H98" s="49">
        <f>AVERAGE('18.10 SSEMBABULE-KANONI-24h'!H98,'19.10  SSEMBABULE- KANONI-24h'!H98)</f>
        <v>0</v>
      </c>
      <c r="I98" s="49">
        <f>AVERAGE('18.10 SSEMBABULE-KANONI-24h'!I98,'19.10  SSEMBABULE- KANONI-24h'!I98)</f>
        <v>1.5</v>
      </c>
      <c r="J98" s="49">
        <f>AVERAGE('18.10 SSEMBABULE-KANONI-24h'!J98,'19.10  SSEMBABULE- KANONI-24h'!J98)</f>
        <v>0</v>
      </c>
      <c r="K98" s="49">
        <f>AVERAGE('18.10 SSEMBABULE-KANONI-24h'!K98,'19.10  SSEMBABULE- KANONI-24h'!K98)</f>
        <v>0</v>
      </c>
      <c r="L98" s="49">
        <f>AVERAGE('18.10 SSEMBABULE-KANONI-24h'!L98,'19.10  SSEMBABULE- KANONI-24h'!L98)</f>
        <v>0</v>
      </c>
      <c r="M98" s="49">
        <f>AVERAGE('18.10 SSEMBABULE-KANONI-24h'!M98,'19.10  SSEMBABULE- KANONI-24h'!M98)</f>
        <v>0</v>
      </c>
      <c r="N98" s="49">
        <f>AVERAGE('18.10 SSEMBABULE-KANONI-24h'!N98,'19.10  SSEMBABULE- KANONI-24h'!N98)</f>
        <v>0</v>
      </c>
      <c r="O98" s="15">
        <f t="shared" si="35"/>
        <v>2.5</v>
      </c>
      <c r="P98" s="15">
        <f t="shared" si="36"/>
        <v>2.5</v>
      </c>
      <c r="R98" s="8"/>
      <c r="T98"/>
    </row>
    <row r="99" spans="2:20" ht="23.1" customHeight="1" x14ac:dyDescent="0.25">
      <c r="B99" s="23" t="s">
        <v>139</v>
      </c>
      <c r="C99" s="49">
        <f>AVERAGE('18.10 SSEMBABULE-KANONI-24h'!C99,'19.10  SSEMBABULE- KANONI-24h'!C99)</f>
        <v>0.5</v>
      </c>
      <c r="D99" s="49">
        <f>AVERAGE('18.10 SSEMBABULE-KANONI-24h'!D99,'19.10  SSEMBABULE- KANONI-24h'!D99)</f>
        <v>0</v>
      </c>
      <c r="E99" s="49">
        <f>AVERAGE('18.10 SSEMBABULE-KANONI-24h'!E99,'19.10  SSEMBABULE- KANONI-24h'!E99)</f>
        <v>0</v>
      </c>
      <c r="F99" s="49">
        <f>AVERAGE('18.10 SSEMBABULE-KANONI-24h'!F99,'19.10  SSEMBABULE- KANONI-24h'!F99)</f>
        <v>0</v>
      </c>
      <c r="G99" s="49">
        <f>AVERAGE('18.10 SSEMBABULE-KANONI-24h'!G99,'19.10  SSEMBABULE- KANONI-24h'!G99)</f>
        <v>0</v>
      </c>
      <c r="H99" s="49">
        <f>AVERAGE('18.10 SSEMBABULE-KANONI-24h'!H99,'19.10  SSEMBABULE- KANONI-24h'!H99)</f>
        <v>0</v>
      </c>
      <c r="I99" s="49">
        <f>AVERAGE('18.10 SSEMBABULE-KANONI-24h'!I99,'19.10  SSEMBABULE- KANONI-24h'!I99)</f>
        <v>0</v>
      </c>
      <c r="J99" s="49">
        <f>AVERAGE('18.10 SSEMBABULE-KANONI-24h'!J99,'19.10  SSEMBABULE- KANONI-24h'!J99)</f>
        <v>0</v>
      </c>
      <c r="K99" s="49">
        <f>AVERAGE('18.10 SSEMBABULE-KANONI-24h'!K99,'19.10  SSEMBABULE- KANONI-24h'!K99)</f>
        <v>0</v>
      </c>
      <c r="L99" s="49">
        <f>AVERAGE('18.10 SSEMBABULE-KANONI-24h'!L99,'19.10  SSEMBABULE- KANONI-24h'!L99)</f>
        <v>0</v>
      </c>
      <c r="M99" s="49">
        <f>AVERAGE('18.10 SSEMBABULE-KANONI-24h'!M99,'19.10  SSEMBABULE- KANONI-24h'!M99)</f>
        <v>0.5</v>
      </c>
      <c r="N99" s="49">
        <f>AVERAGE('18.10 SSEMBABULE-KANONI-24h'!N99,'19.10  SSEMBABULE- KANONI-24h'!N99)</f>
        <v>0</v>
      </c>
      <c r="O99" s="15">
        <f t="shared" si="35"/>
        <v>0.5</v>
      </c>
      <c r="P99" s="15">
        <f t="shared" si="36"/>
        <v>1</v>
      </c>
      <c r="R99" s="8"/>
      <c r="T99"/>
    </row>
    <row r="100" spans="2:20" ht="23.1" customHeight="1" x14ac:dyDescent="0.25">
      <c r="B100" s="25" t="s">
        <v>140</v>
      </c>
      <c r="C100" s="49">
        <f>AVERAGE('18.10 SSEMBABULE-KANONI-24h'!C100,'19.10  SSEMBABULE- KANONI-24h'!C100)</f>
        <v>0</v>
      </c>
      <c r="D100" s="49">
        <f>AVERAGE('18.10 SSEMBABULE-KANONI-24h'!D100,'19.10  SSEMBABULE- KANONI-24h'!D100)</f>
        <v>0</v>
      </c>
      <c r="E100" s="49">
        <f>AVERAGE('18.10 SSEMBABULE-KANONI-24h'!E100,'19.10  SSEMBABULE- KANONI-24h'!E100)</f>
        <v>0</v>
      </c>
      <c r="F100" s="49">
        <f>AVERAGE('18.10 SSEMBABULE-KANONI-24h'!F100,'19.10  SSEMBABULE- KANONI-24h'!F100)</f>
        <v>0</v>
      </c>
      <c r="G100" s="49">
        <f>AVERAGE('18.10 SSEMBABULE-KANONI-24h'!G100,'19.10  SSEMBABULE- KANONI-24h'!G100)</f>
        <v>0</v>
      </c>
      <c r="H100" s="49">
        <f>AVERAGE('18.10 SSEMBABULE-KANONI-24h'!H100,'19.10  SSEMBABULE- KANONI-24h'!H100)</f>
        <v>0</v>
      </c>
      <c r="I100" s="49">
        <f>AVERAGE('18.10 SSEMBABULE-KANONI-24h'!I100,'19.10  SSEMBABULE- KANONI-24h'!I100)</f>
        <v>0</v>
      </c>
      <c r="J100" s="49">
        <f>AVERAGE('18.10 SSEMBABULE-KANONI-24h'!J100,'19.10  SSEMBABULE- KANONI-24h'!J100)</f>
        <v>0</v>
      </c>
      <c r="K100" s="49">
        <f>AVERAGE('18.10 SSEMBABULE-KANONI-24h'!K100,'19.10  SSEMBABULE- KANONI-24h'!K100)</f>
        <v>0</v>
      </c>
      <c r="L100" s="49">
        <f>AVERAGE('18.10 SSEMBABULE-KANONI-24h'!L100,'19.10  SSEMBABULE- KANONI-24h'!L100)</f>
        <v>0</v>
      </c>
      <c r="M100" s="49">
        <f>AVERAGE('18.10 SSEMBABULE-KANONI-24h'!M100,'19.10  SSEMBABULE- KANONI-24h'!M100)</f>
        <v>0</v>
      </c>
      <c r="N100" s="49">
        <f>AVERAGE('18.10 SSEMBABULE-KANONI-24h'!N100,'19.10  SSEMBABULE- KANONI-24h'!N100)</f>
        <v>0</v>
      </c>
      <c r="O100" s="15">
        <f t="shared" si="35"/>
        <v>0</v>
      </c>
      <c r="P100" s="15">
        <f t="shared" si="36"/>
        <v>0</v>
      </c>
      <c r="R100" s="8"/>
      <c r="T100"/>
    </row>
    <row r="101" spans="2:20" ht="23.1" customHeight="1" x14ac:dyDescent="0.25">
      <c r="B101" s="23" t="s">
        <v>141</v>
      </c>
      <c r="C101" s="49">
        <f>AVERAGE('18.10 SSEMBABULE-KANONI-24h'!C101,'19.10  SSEMBABULE- KANONI-24h'!C101)</f>
        <v>0</v>
      </c>
      <c r="D101" s="49">
        <f>AVERAGE('18.10 SSEMBABULE-KANONI-24h'!D101,'19.10  SSEMBABULE- KANONI-24h'!D101)</f>
        <v>0</v>
      </c>
      <c r="E101" s="49">
        <f>AVERAGE('18.10 SSEMBABULE-KANONI-24h'!E101,'19.10  SSEMBABULE- KANONI-24h'!E101)</f>
        <v>0</v>
      </c>
      <c r="F101" s="49">
        <f>AVERAGE('18.10 SSEMBABULE-KANONI-24h'!F101,'19.10  SSEMBABULE- KANONI-24h'!F101)</f>
        <v>0.5</v>
      </c>
      <c r="G101" s="49">
        <f>AVERAGE('18.10 SSEMBABULE-KANONI-24h'!G101,'19.10  SSEMBABULE- KANONI-24h'!G101)</f>
        <v>0</v>
      </c>
      <c r="H101" s="49">
        <f>AVERAGE('18.10 SSEMBABULE-KANONI-24h'!H101,'19.10  SSEMBABULE- KANONI-24h'!H101)</f>
        <v>0</v>
      </c>
      <c r="I101" s="49">
        <f>AVERAGE('18.10 SSEMBABULE-KANONI-24h'!I101,'19.10  SSEMBABULE- KANONI-24h'!I101)</f>
        <v>0</v>
      </c>
      <c r="J101" s="49">
        <f>AVERAGE('18.10 SSEMBABULE-KANONI-24h'!J101,'19.10  SSEMBABULE- KANONI-24h'!J101)</f>
        <v>0</v>
      </c>
      <c r="K101" s="49">
        <f>AVERAGE('18.10 SSEMBABULE-KANONI-24h'!K101,'19.10  SSEMBABULE- KANONI-24h'!K101)</f>
        <v>0</v>
      </c>
      <c r="L101" s="49">
        <f>AVERAGE('18.10 SSEMBABULE-KANONI-24h'!L101,'19.10  SSEMBABULE- KANONI-24h'!L101)</f>
        <v>0</v>
      </c>
      <c r="M101" s="49">
        <f>AVERAGE('18.10 SSEMBABULE-KANONI-24h'!M101,'19.10  SSEMBABULE- KANONI-24h'!M101)</f>
        <v>2</v>
      </c>
      <c r="N101" s="49">
        <f>AVERAGE('18.10 SSEMBABULE-KANONI-24h'!N101,'19.10  SSEMBABULE- KANONI-24h'!N101)</f>
        <v>0</v>
      </c>
      <c r="O101" s="15">
        <f t="shared" si="35"/>
        <v>0.5</v>
      </c>
      <c r="P101" s="15">
        <f t="shared" si="36"/>
        <v>2.5</v>
      </c>
      <c r="R101" s="8"/>
      <c r="T101"/>
    </row>
    <row r="102" spans="2:20" ht="23.1" customHeight="1" x14ac:dyDescent="0.25">
      <c r="B102" s="24" t="s">
        <v>142</v>
      </c>
      <c r="C102" s="49">
        <f>AVERAGE('18.10 SSEMBABULE-KANONI-24h'!C102,'19.10  SSEMBABULE- KANONI-24h'!C102)</f>
        <v>0.5</v>
      </c>
      <c r="D102" s="49">
        <f>AVERAGE('18.10 SSEMBABULE-KANONI-24h'!D102,'19.10  SSEMBABULE- KANONI-24h'!D102)</f>
        <v>0</v>
      </c>
      <c r="E102" s="49">
        <f>AVERAGE('18.10 SSEMBABULE-KANONI-24h'!E102,'19.10  SSEMBABULE- KANONI-24h'!E102)</f>
        <v>0</v>
      </c>
      <c r="F102" s="49">
        <f>AVERAGE('18.10 SSEMBABULE-KANONI-24h'!F102,'19.10  SSEMBABULE- KANONI-24h'!F102)</f>
        <v>1.5</v>
      </c>
      <c r="G102" s="49">
        <f>AVERAGE('18.10 SSEMBABULE-KANONI-24h'!G102,'19.10  SSEMBABULE- KANONI-24h'!G102)</f>
        <v>0</v>
      </c>
      <c r="H102" s="49">
        <f>AVERAGE('18.10 SSEMBABULE-KANONI-24h'!H102,'19.10  SSEMBABULE- KANONI-24h'!H102)</f>
        <v>0</v>
      </c>
      <c r="I102" s="49">
        <f>AVERAGE('18.10 SSEMBABULE-KANONI-24h'!I102,'19.10  SSEMBABULE- KANONI-24h'!I102)</f>
        <v>0</v>
      </c>
      <c r="J102" s="49">
        <f>AVERAGE('18.10 SSEMBABULE-KANONI-24h'!J102,'19.10  SSEMBABULE- KANONI-24h'!J102)</f>
        <v>0</v>
      </c>
      <c r="K102" s="49">
        <f>AVERAGE('18.10 SSEMBABULE-KANONI-24h'!K102,'19.10  SSEMBABULE- KANONI-24h'!K102)</f>
        <v>0</v>
      </c>
      <c r="L102" s="49">
        <f>AVERAGE('18.10 SSEMBABULE-KANONI-24h'!L102,'19.10  SSEMBABULE- KANONI-24h'!L102)</f>
        <v>0</v>
      </c>
      <c r="M102" s="49">
        <f>AVERAGE('18.10 SSEMBABULE-KANONI-24h'!M102,'19.10  SSEMBABULE- KANONI-24h'!M102)</f>
        <v>0.5</v>
      </c>
      <c r="N102" s="49">
        <f>AVERAGE('18.10 SSEMBABULE-KANONI-24h'!N102,'19.10  SSEMBABULE- KANONI-24h'!N102)</f>
        <v>0</v>
      </c>
      <c r="O102" s="15">
        <f t="shared" si="35"/>
        <v>2</v>
      </c>
      <c r="P102" s="15">
        <f t="shared" si="36"/>
        <v>2.5</v>
      </c>
      <c r="R102" s="8"/>
      <c r="T102"/>
    </row>
    <row r="103" spans="2:20" ht="23.1" customHeight="1" x14ac:dyDescent="0.25">
      <c r="B103" s="23" t="s">
        <v>143</v>
      </c>
      <c r="C103" s="49">
        <f>AVERAGE('18.10 SSEMBABULE-KANONI-24h'!C103,'19.10  SSEMBABULE- KANONI-24h'!C103)</f>
        <v>1</v>
      </c>
      <c r="D103" s="49">
        <f>AVERAGE('18.10 SSEMBABULE-KANONI-24h'!D103,'19.10  SSEMBABULE- KANONI-24h'!D103)</f>
        <v>0</v>
      </c>
      <c r="E103" s="49">
        <f>AVERAGE('18.10 SSEMBABULE-KANONI-24h'!E103,'19.10  SSEMBABULE- KANONI-24h'!E103)</f>
        <v>0</v>
      </c>
      <c r="F103" s="49">
        <f>AVERAGE('18.10 SSEMBABULE-KANONI-24h'!F103,'19.10  SSEMBABULE- KANONI-24h'!F103)</f>
        <v>0.5</v>
      </c>
      <c r="G103" s="49">
        <f>AVERAGE('18.10 SSEMBABULE-KANONI-24h'!G103,'19.10  SSEMBABULE- KANONI-24h'!G103)</f>
        <v>0</v>
      </c>
      <c r="H103" s="49">
        <f>AVERAGE('18.10 SSEMBABULE-KANONI-24h'!H103,'19.10  SSEMBABULE- KANONI-24h'!H103)</f>
        <v>0</v>
      </c>
      <c r="I103" s="49">
        <f>AVERAGE('18.10 SSEMBABULE-KANONI-24h'!I103,'19.10  SSEMBABULE- KANONI-24h'!I103)</f>
        <v>0</v>
      </c>
      <c r="J103" s="49">
        <f>AVERAGE('18.10 SSEMBABULE-KANONI-24h'!J103,'19.10  SSEMBABULE- KANONI-24h'!J103)</f>
        <v>0</v>
      </c>
      <c r="K103" s="49">
        <f>AVERAGE('18.10 SSEMBABULE-KANONI-24h'!K103,'19.10  SSEMBABULE- KANONI-24h'!K103)</f>
        <v>0</v>
      </c>
      <c r="L103" s="49">
        <f>AVERAGE('18.10 SSEMBABULE-KANONI-24h'!L103,'19.10  SSEMBABULE- KANONI-24h'!L103)</f>
        <v>0</v>
      </c>
      <c r="M103" s="49">
        <f>AVERAGE('18.10 SSEMBABULE-KANONI-24h'!M103,'19.10  SSEMBABULE- KANONI-24h'!M103)</f>
        <v>0</v>
      </c>
      <c r="N103" s="49">
        <f>AVERAGE('18.10 SSEMBABULE-KANONI-24h'!N103,'19.10  SSEMBABULE- KANONI-24h'!N103)</f>
        <v>0</v>
      </c>
      <c r="O103" s="15">
        <f t="shared" si="35"/>
        <v>1.5</v>
      </c>
      <c r="P103" s="15">
        <f t="shared" si="36"/>
        <v>1.5</v>
      </c>
      <c r="R103" s="8"/>
      <c r="T103"/>
    </row>
    <row r="104" spans="2:20" ht="23.1" customHeight="1" x14ac:dyDescent="0.25">
      <c r="B104" s="25" t="s">
        <v>144</v>
      </c>
      <c r="C104" s="49">
        <f>AVERAGE('18.10 SSEMBABULE-KANONI-24h'!C104,'19.10  SSEMBABULE- KANONI-24h'!C104)</f>
        <v>0.5</v>
      </c>
      <c r="D104" s="49">
        <f>AVERAGE('18.10 SSEMBABULE-KANONI-24h'!D104,'19.10  SSEMBABULE- KANONI-24h'!D104)</f>
        <v>0.5</v>
      </c>
      <c r="E104" s="49">
        <f>AVERAGE('18.10 SSEMBABULE-KANONI-24h'!E104,'19.10  SSEMBABULE- KANONI-24h'!E104)</f>
        <v>1</v>
      </c>
      <c r="F104" s="49">
        <f>AVERAGE('18.10 SSEMBABULE-KANONI-24h'!F104,'19.10  SSEMBABULE- KANONI-24h'!F104)</f>
        <v>1</v>
      </c>
      <c r="G104" s="49">
        <f>AVERAGE('18.10 SSEMBABULE-KANONI-24h'!G104,'19.10  SSEMBABULE- KANONI-24h'!G104)</f>
        <v>0.5</v>
      </c>
      <c r="H104" s="49">
        <f>AVERAGE('18.10 SSEMBABULE-KANONI-24h'!H104,'19.10  SSEMBABULE- KANONI-24h'!H104)</f>
        <v>0</v>
      </c>
      <c r="I104" s="49">
        <f>AVERAGE('18.10 SSEMBABULE-KANONI-24h'!I104,'19.10  SSEMBABULE- KANONI-24h'!I104)</f>
        <v>0</v>
      </c>
      <c r="J104" s="49">
        <f>AVERAGE('18.10 SSEMBABULE-KANONI-24h'!J104,'19.10  SSEMBABULE- KANONI-24h'!J104)</f>
        <v>0</v>
      </c>
      <c r="K104" s="49">
        <f>AVERAGE('18.10 SSEMBABULE-KANONI-24h'!K104,'19.10  SSEMBABULE- KANONI-24h'!K104)</f>
        <v>0</v>
      </c>
      <c r="L104" s="49">
        <f>AVERAGE('18.10 SSEMBABULE-KANONI-24h'!L104,'19.10  SSEMBABULE- KANONI-24h'!L104)</f>
        <v>0</v>
      </c>
      <c r="M104" s="49">
        <f>AVERAGE('18.10 SSEMBABULE-KANONI-24h'!M104,'19.10  SSEMBABULE- KANONI-24h'!M104)</f>
        <v>3.5</v>
      </c>
      <c r="N104" s="49">
        <f>AVERAGE('18.10 SSEMBABULE-KANONI-24h'!N104,'19.10  SSEMBABULE- KANONI-24h'!N104)</f>
        <v>0</v>
      </c>
      <c r="O104" s="15">
        <f t="shared" si="35"/>
        <v>3.5</v>
      </c>
      <c r="P104" s="15">
        <f t="shared" si="36"/>
        <v>7</v>
      </c>
      <c r="R104" s="8"/>
      <c r="T104"/>
    </row>
    <row r="105" spans="2:20" ht="23.1" customHeight="1" x14ac:dyDescent="0.25">
      <c r="B105" s="23" t="s">
        <v>145</v>
      </c>
      <c r="C105" s="49">
        <f>AVERAGE('18.10 SSEMBABULE-KANONI-24h'!C105,'19.10  SSEMBABULE- KANONI-24h'!C105)</f>
        <v>1</v>
      </c>
      <c r="D105" s="49">
        <f>AVERAGE('18.10 SSEMBABULE-KANONI-24h'!D105,'19.10  SSEMBABULE- KANONI-24h'!D105)</f>
        <v>0.5</v>
      </c>
      <c r="E105" s="49">
        <f>AVERAGE('18.10 SSEMBABULE-KANONI-24h'!E105,'19.10  SSEMBABULE- KANONI-24h'!E105)</f>
        <v>0.5</v>
      </c>
      <c r="F105" s="49">
        <f>AVERAGE('18.10 SSEMBABULE-KANONI-24h'!F105,'19.10  SSEMBABULE- KANONI-24h'!F105)</f>
        <v>1.5</v>
      </c>
      <c r="G105" s="49">
        <f>AVERAGE('18.10 SSEMBABULE-KANONI-24h'!G105,'19.10  SSEMBABULE- KANONI-24h'!G105)</f>
        <v>0</v>
      </c>
      <c r="H105" s="49">
        <f>AVERAGE('18.10 SSEMBABULE-KANONI-24h'!H105,'19.10  SSEMBABULE- KANONI-24h'!H105)</f>
        <v>0.5</v>
      </c>
      <c r="I105" s="49">
        <f>AVERAGE('18.10 SSEMBABULE-KANONI-24h'!I105,'19.10  SSEMBABULE- KANONI-24h'!I105)</f>
        <v>0</v>
      </c>
      <c r="J105" s="49">
        <f>AVERAGE('18.10 SSEMBABULE-KANONI-24h'!J105,'19.10  SSEMBABULE- KANONI-24h'!J105)</f>
        <v>0.5</v>
      </c>
      <c r="K105" s="49">
        <f>AVERAGE('18.10 SSEMBABULE-KANONI-24h'!K105,'19.10  SSEMBABULE- KANONI-24h'!K105)</f>
        <v>0</v>
      </c>
      <c r="L105" s="49">
        <f>AVERAGE('18.10 SSEMBABULE-KANONI-24h'!L105,'19.10  SSEMBABULE- KANONI-24h'!L105)</f>
        <v>0</v>
      </c>
      <c r="M105" s="49">
        <f>AVERAGE('18.10 SSEMBABULE-KANONI-24h'!M105,'19.10  SSEMBABULE- KANONI-24h'!M105)</f>
        <v>5</v>
      </c>
      <c r="N105" s="49">
        <f>AVERAGE('18.10 SSEMBABULE-KANONI-24h'!N105,'19.10  SSEMBABULE- KANONI-24h'!N105)</f>
        <v>0</v>
      </c>
      <c r="O105" s="15">
        <f t="shared" si="35"/>
        <v>4.5</v>
      </c>
      <c r="P105" s="15">
        <f t="shared" si="36"/>
        <v>9.5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82.642857142857139</v>
      </c>
      <c r="D106" s="16">
        <f t="shared" ref="D106:P106" si="37">SUM(D10:D105)</f>
        <v>30.642857142857146</v>
      </c>
      <c r="E106" s="16">
        <f t="shared" si="37"/>
        <v>21.285714285714281</v>
      </c>
      <c r="F106" s="16">
        <f t="shared" si="37"/>
        <v>31.142857142857146</v>
      </c>
      <c r="G106" s="16">
        <f t="shared" si="37"/>
        <v>6.0714285714285703</v>
      </c>
      <c r="H106" s="16">
        <f t="shared" si="37"/>
        <v>1.2142857142857142</v>
      </c>
      <c r="I106" s="16">
        <f t="shared" si="37"/>
        <v>45.071428571428569</v>
      </c>
      <c r="J106" s="16">
        <f t="shared" si="37"/>
        <v>24</v>
      </c>
      <c r="K106" s="16">
        <f t="shared" si="37"/>
        <v>29.142857142857146</v>
      </c>
      <c r="L106" s="16">
        <f t="shared" si="37"/>
        <v>7.4285714285714279</v>
      </c>
      <c r="M106" s="16">
        <f t="shared" si="37"/>
        <v>487.35714285714283</v>
      </c>
      <c r="N106" s="16">
        <f t="shared" si="37"/>
        <v>0.42857142857142855</v>
      </c>
      <c r="O106" s="16">
        <f t="shared" si="37"/>
        <v>279.07142857142856</v>
      </c>
      <c r="P106" s="16">
        <f t="shared" si="37"/>
        <v>766.42857142857122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0.10782851817334578</v>
      </c>
      <c r="D107" s="43">
        <f t="shared" si="38"/>
        <v>3.9981360671015861E-2</v>
      </c>
      <c r="E107" s="43">
        <f t="shared" si="38"/>
        <v>2.7772600186393291E-2</v>
      </c>
      <c r="F107" s="43">
        <f t="shared" si="38"/>
        <v>4.0633737185461337E-2</v>
      </c>
      <c r="G107" s="43">
        <f t="shared" si="38"/>
        <v>7.9217148182665429E-3</v>
      </c>
      <c r="H107" s="43">
        <f t="shared" si="38"/>
        <v>1.5843429636533087E-3</v>
      </c>
      <c r="I107" s="43">
        <f t="shared" si="38"/>
        <v>5.8807082945013994E-2</v>
      </c>
      <c r="J107" s="43">
        <f t="shared" si="38"/>
        <v>3.1314072693383044E-2</v>
      </c>
      <c r="K107" s="43">
        <f t="shared" si="38"/>
        <v>3.8024231127679421E-2</v>
      </c>
      <c r="L107" s="43">
        <f t="shared" si="38"/>
        <v>9.6924510717614192E-3</v>
      </c>
      <c r="M107" s="43">
        <f t="shared" si="38"/>
        <v>0.6358807082945015</v>
      </c>
      <c r="N107" s="43">
        <f t="shared" si="38"/>
        <v>5.5917986952469729E-4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0.2961351420527259</v>
      </c>
      <c r="D108" s="44">
        <f t="shared" ref="D108:N108" si="39">D106/$O$106</f>
        <v>0.10980291783977478</v>
      </c>
      <c r="E108" s="44">
        <f t="shared" si="39"/>
        <v>7.6273355515740965E-2</v>
      </c>
      <c r="F108" s="44">
        <f t="shared" si="39"/>
        <v>0.11159457384182239</v>
      </c>
      <c r="G108" s="44">
        <f t="shared" si="39"/>
        <v>2.1755822882006653E-2</v>
      </c>
      <c r="H108" s="44">
        <f t="shared" si="39"/>
        <v>4.3511645764013306E-3</v>
      </c>
      <c r="I108" s="44">
        <f t="shared" si="39"/>
        <v>0.16150499104172</v>
      </c>
      <c r="J108" s="44">
        <f t="shared" si="39"/>
        <v>8.5999488098285129E-2</v>
      </c>
      <c r="K108" s="44">
        <f t="shared" si="39"/>
        <v>0.10442794983363196</v>
      </c>
      <c r="L108" s="44">
        <f t="shared" si="39"/>
        <v>2.6618889173278731E-2</v>
      </c>
      <c r="M108" s="44"/>
      <c r="N108" s="44">
        <f t="shared" si="39"/>
        <v>1.5357051446122344E-3</v>
      </c>
      <c r="Q108" s="7"/>
      <c r="R108" s="8"/>
      <c r="T108"/>
    </row>
    <row r="109" spans="2:20" ht="20.10000000000000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0.10000000000000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0.10000000000000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0.10000000000000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0.10000000000000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0.10000000000000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0.10000000000000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0.10000000000000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0.10000000000000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0.10000000000000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0.10000000000000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0.10000000000000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0.10000000000000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0.10000000000000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0.10000000000000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0.10000000000000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0.10000000000000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0.10000000000000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0.10000000000000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0.10000000000000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0.10000000000000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0.10000000000000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0.10000000000000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0.10000000000000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0.10000000000000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0.10000000000000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0.10000000000000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0.10000000000000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0.10000000000000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2.5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0.10000000000000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0.10000000000000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0.10000000000000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0.10000000000000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0.10000000000000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0.10000000000000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0.10000000000000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0.10000000000000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0.10000000000000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0.10000000000000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0.10000000000000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0.10000000000000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0.10000000000000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0.10000000000000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0.10000000000000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0.10000000000000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0.10000000000000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0.10000000000000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0.10000000000000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0.10000000000000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0.10000000000000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0.10000000000000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10">
    <mergeCell ref="B1:AE1"/>
    <mergeCell ref="B2:AE2"/>
    <mergeCell ref="C3:G3"/>
    <mergeCell ref="G5:H5"/>
    <mergeCell ref="G6:H6"/>
    <mergeCell ref="R8:AF8"/>
    <mergeCell ref="D6:E6"/>
    <mergeCell ref="K5:L5"/>
    <mergeCell ref="K6:L6"/>
    <mergeCell ref="D5:E5"/>
  </mergeCells>
  <pageMargins left="0" right="0" top="0" bottom="0" header="0.15748031496063" footer="0.118110236220472"/>
  <pageSetup paperSize="9" scale="21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B1:AF174"/>
  <sheetViews>
    <sheetView view="pageBreakPreview" topLeftCell="A43" zoomScale="60" workbookViewId="0">
      <selection activeCell="E66" sqref="E66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1" t="s">
        <v>23</v>
      </c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</row>
    <row r="2" spans="2:32" ht="20.100000000000001" customHeight="1" x14ac:dyDescent="0.25">
      <c r="B2" s="62" t="s">
        <v>95</v>
      </c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</row>
    <row r="3" spans="2:32" ht="20.100000000000001" customHeight="1" x14ac:dyDescent="0.25">
      <c r="B3" s="22" t="s">
        <v>96</v>
      </c>
      <c r="C3" s="68" t="str">
        <f>'23.10 KANONI-SSEMBABULE'!C3:G3</f>
        <v>SSEMBABULE-KABULASOKE ROAD</v>
      </c>
      <c r="D3" s="68"/>
      <c r="E3" s="68"/>
      <c r="F3" s="68"/>
      <c r="G3" s="68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66" t="s">
        <v>164</v>
      </c>
      <c r="E5" s="67"/>
      <c r="F5" s="41" t="s">
        <v>1</v>
      </c>
      <c r="G5" s="64" t="str">
        <f>'23.10 KANONI-SSEMBABULE'!G5:H5</f>
        <v>KYABI</v>
      </c>
      <c r="H5" s="65"/>
      <c r="I5" s="14"/>
      <c r="J5" s="2" t="s">
        <v>5</v>
      </c>
      <c r="K5" s="64" t="s">
        <v>183</v>
      </c>
      <c r="L5" s="65"/>
      <c r="M5" s="10"/>
      <c r="N5" s="10"/>
      <c r="O5" s="3"/>
      <c r="P5" s="3"/>
    </row>
    <row r="6" spans="2:32" ht="23.25" customHeight="1" x14ac:dyDescent="0.25">
      <c r="C6" s="2" t="s">
        <v>4</v>
      </c>
      <c r="D6" s="64" t="str">
        <f>'23.10 KANONI-SSEMBABULE'!D6:E6</f>
        <v>KANONI</v>
      </c>
      <c r="E6" s="65"/>
      <c r="F6" s="2" t="s">
        <v>2</v>
      </c>
      <c r="G6" s="64" t="str">
        <f>'23.10 KANONI-SSEMBABULE'!G6:H6</f>
        <v>SSEMBABULE</v>
      </c>
      <c r="H6" s="65"/>
      <c r="J6" s="2" t="s">
        <v>21</v>
      </c>
      <c r="K6" s="64" t="str">
        <f>'23.10 KANONI-SSEMBABULE'!K6:L6</f>
        <v>ONYUTI BETTY</v>
      </c>
      <c r="L6" s="65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0" t="s">
        <v>88</v>
      </c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49">
        <f>AVERAGE('17.10 KANONI-SSEMBABULE'!C10,'18.10 KANONI-SSEMBABULE-24h'!C10,'19.10 KANONI-SSEMBABULE-24h'!C10,'20.10 KANONI-SSEMBABULE'!C10,'21.10 KANONI-SSEMBABULE'!C10,'22.10 KANONI-SSEMBABULE'!C10,'23.10 KANONI-SSEMBABULE'!C10)</f>
        <v>0.14285714285714285</v>
      </c>
      <c r="D10" s="49">
        <f>AVERAGE('17.10 KANONI-SSEMBABULE'!D10,'18.10 KANONI-SSEMBABULE-24h'!D10,'19.10 KANONI-SSEMBABULE-24h'!D10,'20.10 KANONI-SSEMBABULE'!D10,'21.10 KANONI-SSEMBABULE'!D10,'22.10 KANONI-SSEMBABULE'!D10,'23.10 KANONI-SSEMBABULE'!D10)</f>
        <v>0</v>
      </c>
      <c r="E10" s="49">
        <f>AVERAGE('17.10 KANONI-SSEMBABULE'!E10,'18.10 KANONI-SSEMBABULE-24h'!E10,'19.10 KANONI-SSEMBABULE-24h'!E10,'20.10 KANONI-SSEMBABULE'!E10,'21.10 KANONI-SSEMBABULE'!E10,'22.10 KANONI-SSEMBABULE'!E10,'23.10 KANONI-SSEMBABULE'!E10)</f>
        <v>0.14285714285714285</v>
      </c>
      <c r="F10" s="49">
        <f>AVERAGE('17.10 KANONI-SSEMBABULE'!F10,'18.10 KANONI-SSEMBABULE-24h'!F10,'19.10 KANONI-SSEMBABULE-24h'!F10,'20.10 KANONI-SSEMBABULE'!F10,'21.10 KANONI-SSEMBABULE'!F10,'22.10 KANONI-SSEMBABULE'!F10,'23.10 KANONI-SSEMBABULE'!F10)</f>
        <v>0.7142857142857143</v>
      </c>
      <c r="G10" s="49">
        <f>AVERAGE('17.10 KANONI-SSEMBABULE'!G10,'18.10 KANONI-SSEMBABULE-24h'!G10,'19.10 KANONI-SSEMBABULE-24h'!G10,'20.10 KANONI-SSEMBABULE'!G10,'21.10 KANONI-SSEMBABULE'!G10,'22.10 KANONI-SSEMBABULE'!G10,'23.10 KANONI-SSEMBABULE'!G10)</f>
        <v>0.2857142857142857</v>
      </c>
      <c r="H10" s="49">
        <f>AVERAGE('17.10 KANONI-SSEMBABULE'!H10,'18.10 KANONI-SSEMBABULE-24h'!H10,'19.10 KANONI-SSEMBABULE-24h'!H10,'20.10 KANONI-SSEMBABULE'!H10,'21.10 KANONI-SSEMBABULE'!H10,'22.10 KANONI-SSEMBABULE'!H10,'23.10 KANONI-SSEMBABULE'!H10)</f>
        <v>0</v>
      </c>
      <c r="I10" s="49">
        <f>AVERAGE('17.10 KANONI-SSEMBABULE'!I10,'18.10 KANONI-SSEMBABULE-24h'!I10,'19.10 KANONI-SSEMBABULE-24h'!I10,'20.10 KANONI-SSEMBABULE'!I10,'21.10 KANONI-SSEMBABULE'!I10,'22.10 KANONI-SSEMBABULE'!I10,'23.10 KANONI-SSEMBABULE'!I10)</f>
        <v>0.8571428571428571</v>
      </c>
      <c r="J10" s="49">
        <f>AVERAGE('17.10 KANONI-SSEMBABULE'!J10,'18.10 KANONI-SSEMBABULE-24h'!J10,'19.10 KANONI-SSEMBABULE-24h'!J10,'20.10 KANONI-SSEMBABULE'!J10,'21.10 KANONI-SSEMBABULE'!J10,'22.10 KANONI-SSEMBABULE'!J10,'23.10 KANONI-SSEMBABULE'!J10)</f>
        <v>0.14285714285714285</v>
      </c>
      <c r="K10" s="49">
        <f>AVERAGE('17.10 KANONI-SSEMBABULE'!K10,'18.10 KANONI-SSEMBABULE-24h'!K10,'19.10 KANONI-SSEMBABULE-24h'!K10,'20.10 KANONI-SSEMBABULE'!K10,'21.10 KANONI-SSEMBABULE'!K10,'22.10 KANONI-SSEMBABULE'!K10,'23.10 KANONI-SSEMBABULE'!K10)</f>
        <v>0</v>
      </c>
      <c r="L10" s="49">
        <f>AVERAGE('17.10 KANONI-SSEMBABULE'!L10,'18.10 KANONI-SSEMBABULE-24h'!L10,'19.10 KANONI-SSEMBABULE-24h'!L10,'20.10 KANONI-SSEMBABULE'!L10,'21.10 KANONI-SSEMBABULE'!L10,'22.10 KANONI-SSEMBABULE'!L10,'23.10 KANONI-SSEMBABULE'!L10)</f>
        <v>0</v>
      </c>
      <c r="M10" s="49">
        <f>AVERAGE('17.10 KANONI-SSEMBABULE'!M10,'18.10 KANONI-SSEMBABULE-24h'!M10,'19.10 KANONI-SSEMBABULE-24h'!M10,'20.10 KANONI-SSEMBABULE'!M10,'21.10 KANONI-SSEMBABULE'!M10,'22.10 KANONI-SSEMBABULE'!M10,'23.10 KANONI-SSEMBABULE'!M10)</f>
        <v>5.1428571428571432</v>
      </c>
      <c r="N10" s="49">
        <f>AVERAGE('17.10 KANONI-SSEMBABULE'!N10,'18.10 KANONI-SSEMBABULE-24h'!N10,'19.10 KANONI-SSEMBABULE-24h'!N10,'20.10 KANONI-SSEMBABULE'!N10,'21.10 KANONI-SSEMBABULE'!N10,'22.10 KANONI-SSEMBABULE'!N10,'23.10 KANONI-SSEMBABULE'!N10)</f>
        <v>0</v>
      </c>
      <c r="O10" s="15">
        <f t="shared" ref="O10:O73" si="0">SUM(C10:L10,N10)</f>
        <v>2.2857142857142856</v>
      </c>
      <c r="P10" s="15">
        <f t="shared" ref="P10:P73" si="1">SUM(C10:N10)</f>
        <v>7.4285714285714288</v>
      </c>
      <c r="R10" s="1" t="s">
        <v>6</v>
      </c>
      <c r="S10" s="17">
        <f t="shared" ref="S10:AF10" si="2">SUM(C10:C13)</f>
        <v>3.2857142857142856</v>
      </c>
      <c r="T10" s="17">
        <f t="shared" si="2"/>
        <v>0.5714285714285714</v>
      </c>
      <c r="U10" s="17">
        <f t="shared" si="2"/>
        <v>0.71428571428571419</v>
      </c>
      <c r="V10" s="17">
        <f t="shared" si="2"/>
        <v>2.2857142857142856</v>
      </c>
      <c r="W10" s="17">
        <f t="shared" si="2"/>
        <v>0.42857142857142855</v>
      </c>
      <c r="X10" s="17">
        <f t="shared" si="2"/>
        <v>0.14285714285714285</v>
      </c>
      <c r="Y10" s="17">
        <f t="shared" si="2"/>
        <v>3.5714285714285716</v>
      </c>
      <c r="Z10" s="17">
        <f t="shared" si="2"/>
        <v>1.4285714285714284</v>
      </c>
      <c r="AA10" s="17">
        <f t="shared" si="2"/>
        <v>0</v>
      </c>
      <c r="AB10" s="17">
        <f t="shared" si="2"/>
        <v>0</v>
      </c>
      <c r="AC10" s="17">
        <f t="shared" si="2"/>
        <v>24.142857142857139</v>
      </c>
      <c r="AD10" s="17">
        <f t="shared" si="2"/>
        <v>0</v>
      </c>
      <c r="AE10" s="31">
        <f t="shared" si="2"/>
        <v>12.428571428571427</v>
      </c>
      <c r="AF10" s="31">
        <f t="shared" si="2"/>
        <v>36.571428571428569</v>
      </c>
    </row>
    <row r="11" spans="2:32" s="6" customFormat="1" ht="23.1" customHeight="1" x14ac:dyDescent="0.25">
      <c r="B11" s="23" t="s">
        <v>38</v>
      </c>
      <c r="C11" s="49">
        <f>AVERAGE('17.10 KANONI-SSEMBABULE'!C11,'18.10 KANONI-SSEMBABULE-24h'!C11,'19.10 KANONI-SSEMBABULE-24h'!C11,'20.10 KANONI-SSEMBABULE'!C11,'21.10 KANONI-SSEMBABULE'!C11,'22.10 KANONI-SSEMBABULE'!C11,'23.10 KANONI-SSEMBABULE'!C11)</f>
        <v>0.5714285714285714</v>
      </c>
      <c r="D11" s="49">
        <f>AVERAGE('17.10 KANONI-SSEMBABULE'!D11,'18.10 KANONI-SSEMBABULE-24h'!D11,'19.10 KANONI-SSEMBABULE-24h'!D11,'20.10 KANONI-SSEMBABULE'!D11,'21.10 KANONI-SSEMBABULE'!D11,'22.10 KANONI-SSEMBABULE'!D11,'23.10 KANONI-SSEMBABULE'!D11)</f>
        <v>0</v>
      </c>
      <c r="E11" s="49">
        <f>AVERAGE('17.10 KANONI-SSEMBABULE'!E11,'18.10 KANONI-SSEMBABULE-24h'!E11,'19.10 KANONI-SSEMBABULE-24h'!E11,'20.10 KANONI-SSEMBABULE'!E11,'21.10 KANONI-SSEMBABULE'!E11,'22.10 KANONI-SSEMBABULE'!E11,'23.10 KANONI-SSEMBABULE'!E11)</f>
        <v>0</v>
      </c>
      <c r="F11" s="49">
        <f>AVERAGE('17.10 KANONI-SSEMBABULE'!F11,'18.10 KANONI-SSEMBABULE-24h'!F11,'19.10 KANONI-SSEMBABULE-24h'!F11,'20.10 KANONI-SSEMBABULE'!F11,'21.10 KANONI-SSEMBABULE'!F11,'22.10 KANONI-SSEMBABULE'!F11,'23.10 KANONI-SSEMBABULE'!F11)</f>
        <v>0.2857142857142857</v>
      </c>
      <c r="G11" s="49">
        <f>AVERAGE('17.10 KANONI-SSEMBABULE'!G11,'18.10 KANONI-SSEMBABULE-24h'!G11,'19.10 KANONI-SSEMBABULE-24h'!G11,'20.10 KANONI-SSEMBABULE'!G11,'21.10 KANONI-SSEMBABULE'!G11,'22.10 KANONI-SSEMBABULE'!G11,'23.10 KANONI-SSEMBABULE'!G11)</f>
        <v>0</v>
      </c>
      <c r="H11" s="49">
        <f>AVERAGE('17.10 KANONI-SSEMBABULE'!H11,'18.10 KANONI-SSEMBABULE-24h'!H11,'19.10 KANONI-SSEMBABULE-24h'!H11,'20.10 KANONI-SSEMBABULE'!H11,'21.10 KANONI-SSEMBABULE'!H11,'22.10 KANONI-SSEMBABULE'!H11,'23.10 KANONI-SSEMBABULE'!H11)</f>
        <v>0</v>
      </c>
      <c r="I11" s="49">
        <f>AVERAGE('17.10 KANONI-SSEMBABULE'!I11,'18.10 KANONI-SSEMBABULE-24h'!I11,'19.10 KANONI-SSEMBABULE-24h'!I11,'20.10 KANONI-SSEMBABULE'!I11,'21.10 KANONI-SSEMBABULE'!I11,'22.10 KANONI-SSEMBABULE'!I11,'23.10 KANONI-SSEMBABULE'!I11)</f>
        <v>0.8571428571428571</v>
      </c>
      <c r="J11" s="49">
        <f>AVERAGE('17.10 KANONI-SSEMBABULE'!J11,'18.10 KANONI-SSEMBABULE-24h'!J11,'19.10 KANONI-SSEMBABULE-24h'!J11,'20.10 KANONI-SSEMBABULE'!J11,'21.10 KANONI-SSEMBABULE'!J11,'22.10 KANONI-SSEMBABULE'!J11,'23.10 KANONI-SSEMBABULE'!J11)</f>
        <v>0</v>
      </c>
      <c r="K11" s="49">
        <f>AVERAGE('17.10 KANONI-SSEMBABULE'!K11,'18.10 KANONI-SSEMBABULE-24h'!K11,'19.10 KANONI-SSEMBABULE-24h'!K11,'20.10 KANONI-SSEMBABULE'!K11,'21.10 KANONI-SSEMBABULE'!K11,'22.10 KANONI-SSEMBABULE'!K11,'23.10 KANONI-SSEMBABULE'!K11)</f>
        <v>0</v>
      </c>
      <c r="L11" s="49">
        <f>AVERAGE('17.10 KANONI-SSEMBABULE'!L11,'18.10 KANONI-SSEMBABULE-24h'!L11,'19.10 KANONI-SSEMBABULE-24h'!L11,'20.10 KANONI-SSEMBABULE'!L11,'21.10 KANONI-SSEMBABULE'!L11,'22.10 KANONI-SSEMBABULE'!L11,'23.10 KANONI-SSEMBABULE'!L11)</f>
        <v>0</v>
      </c>
      <c r="M11" s="49">
        <f>AVERAGE('17.10 KANONI-SSEMBABULE'!M11,'18.10 KANONI-SSEMBABULE-24h'!M11,'19.10 KANONI-SSEMBABULE-24h'!M11,'20.10 KANONI-SSEMBABULE'!M11,'21.10 KANONI-SSEMBABULE'!M11,'22.10 KANONI-SSEMBABULE'!M11,'23.10 KANONI-SSEMBABULE'!M11)</f>
        <v>5.8571428571428568</v>
      </c>
      <c r="N11" s="49">
        <f>AVERAGE('17.10 KANONI-SSEMBABULE'!N11,'18.10 KANONI-SSEMBABULE-24h'!N11,'19.10 KANONI-SSEMBABULE-24h'!N11,'20.10 KANONI-SSEMBABULE'!N11,'21.10 KANONI-SSEMBABULE'!N11,'22.10 KANONI-SSEMBABULE'!N11,'23.10 KANONI-SSEMBABULE'!N11)</f>
        <v>0</v>
      </c>
      <c r="O11" s="15">
        <f t="shared" si="0"/>
        <v>1.7142857142857142</v>
      </c>
      <c r="P11" s="15">
        <f t="shared" si="1"/>
        <v>7.5714285714285712</v>
      </c>
      <c r="R11" s="1" t="s">
        <v>7</v>
      </c>
      <c r="S11" s="17">
        <f t="shared" ref="S11:AF11" si="3">SUM(C14:C17)</f>
        <v>4.7142857142857135</v>
      </c>
      <c r="T11" s="17">
        <f t="shared" si="3"/>
        <v>1.2857142857142856</v>
      </c>
      <c r="U11" s="17">
        <f t="shared" si="3"/>
        <v>0.5714285714285714</v>
      </c>
      <c r="V11" s="17">
        <f t="shared" si="3"/>
        <v>3.9999999999999996</v>
      </c>
      <c r="W11" s="17">
        <f t="shared" si="3"/>
        <v>0</v>
      </c>
      <c r="X11" s="17">
        <f t="shared" si="3"/>
        <v>0</v>
      </c>
      <c r="Y11" s="17">
        <f t="shared" si="3"/>
        <v>0.85714285714285698</v>
      </c>
      <c r="Z11" s="17">
        <f t="shared" si="3"/>
        <v>0.14285714285714285</v>
      </c>
      <c r="AA11" s="17">
        <f t="shared" si="3"/>
        <v>0</v>
      </c>
      <c r="AB11" s="17">
        <f t="shared" si="3"/>
        <v>0</v>
      </c>
      <c r="AC11" s="17">
        <f t="shared" si="3"/>
        <v>26.714285714285715</v>
      </c>
      <c r="AD11" s="17">
        <f t="shared" si="3"/>
        <v>0</v>
      </c>
      <c r="AE11" s="31">
        <f t="shared" si="3"/>
        <v>11.571428571428571</v>
      </c>
      <c r="AF11" s="31">
        <f t="shared" si="3"/>
        <v>38.285714285714292</v>
      </c>
    </row>
    <row r="12" spans="2:32" ht="23.1" customHeight="1" x14ac:dyDescent="0.25">
      <c r="B12" s="23" t="s">
        <v>39</v>
      </c>
      <c r="C12" s="49">
        <f>AVERAGE('17.10 KANONI-SSEMBABULE'!C12,'18.10 KANONI-SSEMBABULE-24h'!C12,'19.10 KANONI-SSEMBABULE-24h'!C12,'20.10 KANONI-SSEMBABULE'!C12,'21.10 KANONI-SSEMBABULE'!C12,'22.10 KANONI-SSEMBABULE'!C12,'23.10 KANONI-SSEMBABULE'!C12)</f>
        <v>1.8571428571428572</v>
      </c>
      <c r="D12" s="49">
        <f>AVERAGE('17.10 KANONI-SSEMBABULE'!D12,'18.10 KANONI-SSEMBABULE-24h'!D12,'19.10 KANONI-SSEMBABULE-24h'!D12,'20.10 KANONI-SSEMBABULE'!D12,'21.10 KANONI-SSEMBABULE'!D12,'22.10 KANONI-SSEMBABULE'!D12,'23.10 KANONI-SSEMBABULE'!D12)</f>
        <v>0.2857142857142857</v>
      </c>
      <c r="E12" s="49">
        <f>AVERAGE('17.10 KANONI-SSEMBABULE'!E12,'18.10 KANONI-SSEMBABULE-24h'!E12,'19.10 KANONI-SSEMBABULE-24h'!E12,'20.10 KANONI-SSEMBABULE'!E12,'21.10 KANONI-SSEMBABULE'!E12,'22.10 KANONI-SSEMBABULE'!E12,'23.10 KANONI-SSEMBABULE'!E12)</f>
        <v>0.42857142857142855</v>
      </c>
      <c r="F12" s="49">
        <f>AVERAGE('17.10 KANONI-SSEMBABULE'!F12,'18.10 KANONI-SSEMBABULE-24h'!F12,'19.10 KANONI-SSEMBABULE-24h'!F12,'20.10 KANONI-SSEMBABULE'!F12,'21.10 KANONI-SSEMBABULE'!F12,'22.10 KANONI-SSEMBABULE'!F12,'23.10 KANONI-SSEMBABULE'!F12)</f>
        <v>0</v>
      </c>
      <c r="G12" s="49">
        <f>AVERAGE('17.10 KANONI-SSEMBABULE'!G12,'18.10 KANONI-SSEMBABULE-24h'!G12,'19.10 KANONI-SSEMBABULE-24h'!G12,'20.10 KANONI-SSEMBABULE'!G12,'21.10 KANONI-SSEMBABULE'!G12,'22.10 KANONI-SSEMBABULE'!G12,'23.10 KANONI-SSEMBABULE'!G12)</f>
        <v>0</v>
      </c>
      <c r="H12" s="49">
        <f>AVERAGE('17.10 KANONI-SSEMBABULE'!H12,'18.10 KANONI-SSEMBABULE-24h'!H12,'19.10 KANONI-SSEMBABULE-24h'!H12,'20.10 KANONI-SSEMBABULE'!H12,'21.10 KANONI-SSEMBABULE'!H12,'22.10 KANONI-SSEMBABULE'!H12,'23.10 KANONI-SSEMBABULE'!H12)</f>
        <v>0</v>
      </c>
      <c r="I12" s="49">
        <f>AVERAGE('17.10 KANONI-SSEMBABULE'!I12,'18.10 KANONI-SSEMBABULE-24h'!I12,'19.10 KANONI-SSEMBABULE-24h'!I12,'20.10 KANONI-SSEMBABULE'!I12,'21.10 KANONI-SSEMBABULE'!I12,'22.10 KANONI-SSEMBABULE'!I12,'23.10 KANONI-SSEMBABULE'!I12)</f>
        <v>1</v>
      </c>
      <c r="J12" s="49">
        <f>AVERAGE('17.10 KANONI-SSEMBABULE'!J12,'18.10 KANONI-SSEMBABULE-24h'!J12,'19.10 KANONI-SSEMBABULE-24h'!J12,'20.10 KANONI-SSEMBABULE'!J12,'21.10 KANONI-SSEMBABULE'!J12,'22.10 KANONI-SSEMBABULE'!J12,'23.10 KANONI-SSEMBABULE'!J12)</f>
        <v>1.1428571428571428</v>
      </c>
      <c r="K12" s="49">
        <f>AVERAGE('17.10 KANONI-SSEMBABULE'!K12,'18.10 KANONI-SSEMBABULE-24h'!K12,'19.10 KANONI-SSEMBABULE-24h'!K12,'20.10 KANONI-SSEMBABULE'!K12,'21.10 KANONI-SSEMBABULE'!K12,'22.10 KANONI-SSEMBABULE'!K12,'23.10 KANONI-SSEMBABULE'!K12)</f>
        <v>0</v>
      </c>
      <c r="L12" s="49">
        <f>AVERAGE('17.10 KANONI-SSEMBABULE'!L12,'18.10 KANONI-SSEMBABULE-24h'!L12,'19.10 KANONI-SSEMBABULE-24h'!L12,'20.10 KANONI-SSEMBABULE'!L12,'21.10 KANONI-SSEMBABULE'!L12,'22.10 KANONI-SSEMBABULE'!L12,'23.10 KANONI-SSEMBABULE'!L12)</f>
        <v>0</v>
      </c>
      <c r="M12" s="49">
        <f>AVERAGE('17.10 KANONI-SSEMBABULE'!M12,'18.10 KANONI-SSEMBABULE-24h'!M12,'19.10 KANONI-SSEMBABULE-24h'!M12,'20.10 KANONI-SSEMBABULE'!M12,'21.10 KANONI-SSEMBABULE'!M12,'22.10 KANONI-SSEMBABULE'!M12,'23.10 KANONI-SSEMBABULE'!M12)</f>
        <v>6.5714285714285712</v>
      </c>
      <c r="N12" s="49">
        <f>AVERAGE('17.10 KANONI-SSEMBABULE'!N12,'18.10 KANONI-SSEMBABULE-24h'!N12,'19.10 KANONI-SSEMBABULE-24h'!N12,'20.10 KANONI-SSEMBABULE'!N12,'21.10 KANONI-SSEMBABULE'!N12,'22.10 KANONI-SSEMBABULE'!N12,'23.10 KANONI-SSEMBABULE'!N12)</f>
        <v>0</v>
      </c>
      <c r="O12" s="15">
        <f t="shared" si="0"/>
        <v>4.7142857142857135</v>
      </c>
      <c r="P12" s="15">
        <f t="shared" si="1"/>
        <v>11.285714285714285</v>
      </c>
      <c r="R12" s="1" t="s">
        <v>8</v>
      </c>
      <c r="S12" s="17">
        <f t="shared" ref="S12:AF12" si="4">SUM(C18:C21)</f>
        <v>3.5714285714285716</v>
      </c>
      <c r="T12" s="17">
        <f t="shared" si="4"/>
        <v>1.1428571428571428</v>
      </c>
      <c r="U12" s="17">
        <f t="shared" si="4"/>
        <v>0.85714285714285698</v>
      </c>
      <c r="V12" s="17">
        <f t="shared" si="4"/>
        <v>1.2857142857142856</v>
      </c>
      <c r="W12" s="17">
        <f t="shared" si="4"/>
        <v>0.14285714285714285</v>
      </c>
      <c r="X12" s="17">
        <f t="shared" si="4"/>
        <v>0</v>
      </c>
      <c r="Y12" s="17">
        <f t="shared" si="4"/>
        <v>1.4285714285714284</v>
      </c>
      <c r="Z12" s="17">
        <f t="shared" si="4"/>
        <v>1</v>
      </c>
      <c r="AA12" s="17">
        <f t="shared" si="4"/>
        <v>3</v>
      </c>
      <c r="AB12" s="17">
        <f t="shared" si="4"/>
        <v>0.14285714285714285</v>
      </c>
      <c r="AC12" s="17">
        <f t="shared" si="4"/>
        <v>31.285714285714285</v>
      </c>
      <c r="AD12" s="17">
        <f t="shared" si="4"/>
        <v>0</v>
      </c>
      <c r="AE12" s="31">
        <f t="shared" si="4"/>
        <v>12.571428571428571</v>
      </c>
      <c r="AF12" s="31">
        <f t="shared" si="4"/>
        <v>43.857142857142854</v>
      </c>
    </row>
    <row r="13" spans="2:32" ht="23.1" customHeight="1" x14ac:dyDescent="0.25">
      <c r="B13" s="23" t="s">
        <v>40</v>
      </c>
      <c r="C13" s="49">
        <f>AVERAGE('17.10 KANONI-SSEMBABULE'!C13,'18.10 KANONI-SSEMBABULE-24h'!C13,'19.10 KANONI-SSEMBABULE-24h'!C13,'20.10 KANONI-SSEMBABULE'!C13,'21.10 KANONI-SSEMBABULE'!C13,'22.10 KANONI-SSEMBABULE'!C13,'23.10 KANONI-SSEMBABULE'!C13)</f>
        <v>0.7142857142857143</v>
      </c>
      <c r="D13" s="49">
        <f>AVERAGE('17.10 KANONI-SSEMBABULE'!D13,'18.10 KANONI-SSEMBABULE-24h'!D13,'19.10 KANONI-SSEMBABULE-24h'!D13,'20.10 KANONI-SSEMBABULE'!D13,'21.10 KANONI-SSEMBABULE'!D13,'22.10 KANONI-SSEMBABULE'!D13,'23.10 KANONI-SSEMBABULE'!D13)</f>
        <v>0.2857142857142857</v>
      </c>
      <c r="E13" s="49">
        <f>AVERAGE('17.10 KANONI-SSEMBABULE'!E13,'18.10 KANONI-SSEMBABULE-24h'!E13,'19.10 KANONI-SSEMBABULE-24h'!E13,'20.10 KANONI-SSEMBABULE'!E13,'21.10 KANONI-SSEMBABULE'!E13,'22.10 KANONI-SSEMBABULE'!E13,'23.10 KANONI-SSEMBABULE'!E13)</f>
        <v>0.14285714285714285</v>
      </c>
      <c r="F13" s="49">
        <f>AVERAGE('17.10 KANONI-SSEMBABULE'!F13,'18.10 KANONI-SSEMBABULE-24h'!F13,'19.10 KANONI-SSEMBABULE-24h'!F13,'20.10 KANONI-SSEMBABULE'!F13,'21.10 KANONI-SSEMBABULE'!F13,'22.10 KANONI-SSEMBABULE'!F13,'23.10 KANONI-SSEMBABULE'!F13)</f>
        <v>1.2857142857142858</v>
      </c>
      <c r="G13" s="49">
        <f>AVERAGE('17.10 KANONI-SSEMBABULE'!G13,'18.10 KANONI-SSEMBABULE-24h'!G13,'19.10 KANONI-SSEMBABULE-24h'!G13,'20.10 KANONI-SSEMBABULE'!G13,'21.10 KANONI-SSEMBABULE'!G13,'22.10 KANONI-SSEMBABULE'!G13,'23.10 KANONI-SSEMBABULE'!G13)</f>
        <v>0.14285714285714285</v>
      </c>
      <c r="H13" s="49">
        <f>AVERAGE('17.10 KANONI-SSEMBABULE'!H13,'18.10 KANONI-SSEMBABULE-24h'!H13,'19.10 KANONI-SSEMBABULE-24h'!H13,'20.10 KANONI-SSEMBABULE'!H13,'21.10 KANONI-SSEMBABULE'!H13,'22.10 KANONI-SSEMBABULE'!H13,'23.10 KANONI-SSEMBABULE'!H13)</f>
        <v>0.14285714285714285</v>
      </c>
      <c r="I13" s="49">
        <f>AVERAGE('17.10 KANONI-SSEMBABULE'!I13,'18.10 KANONI-SSEMBABULE-24h'!I13,'19.10 KANONI-SSEMBABULE-24h'!I13,'20.10 KANONI-SSEMBABULE'!I13,'21.10 KANONI-SSEMBABULE'!I13,'22.10 KANONI-SSEMBABULE'!I13,'23.10 KANONI-SSEMBABULE'!I13)</f>
        <v>0.8571428571428571</v>
      </c>
      <c r="J13" s="49">
        <f>AVERAGE('17.10 KANONI-SSEMBABULE'!J13,'18.10 KANONI-SSEMBABULE-24h'!J13,'19.10 KANONI-SSEMBABULE-24h'!J13,'20.10 KANONI-SSEMBABULE'!J13,'21.10 KANONI-SSEMBABULE'!J13,'22.10 KANONI-SSEMBABULE'!J13,'23.10 KANONI-SSEMBABULE'!J13)</f>
        <v>0.14285714285714285</v>
      </c>
      <c r="K13" s="49">
        <f>AVERAGE('17.10 KANONI-SSEMBABULE'!K13,'18.10 KANONI-SSEMBABULE-24h'!K13,'19.10 KANONI-SSEMBABULE-24h'!K13,'20.10 KANONI-SSEMBABULE'!K13,'21.10 KANONI-SSEMBABULE'!K13,'22.10 KANONI-SSEMBABULE'!K13,'23.10 KANONI-SSEMBABULE'!K13)</f>
        <v>0</v>
      </c>
      <c r="L13" s="49">
        <f>AVERAGE('17.10 KANONI-SSEMBABULE'!L13,'18.10 KANONI-SSEMBABULE-24h'!L13,'19.10 KANONI-SSEMBABULE-24h'!L13,'20.10 KANONI-SSEMBABULE'!L13,'21.10 KANONI-SSEMBABULE'!L13,'22.10 KANONI-SSEMBABULE'!L13,'23.10 KANONI-SSEMBABULE'!L13)</f>
        <v>0</v>
      </c>
      <c r="M13" s="49">
        <f>AVERAGE('17.10 KANONI-SSEMBABULE'!M13,'18.10 KANONI-SSEMBABULE-24h'!M13,'19.10 KANONI-SSEMBABULE-24h'!M13,'20.10 KANONI-SSEMBABULE'!M13,'21.10 KANONI-SSEMBABULE'!M13,'22.10 KANONI-SSEMBABULE'!M13,'23.10 KANONI-SSEMBABULE'!M13)</f>
        <v>6.5714285714285712</v>
      </c>
      <c r="N13" s="49">
        <f>AVERAGE('17.10 KANONI-SSEMBABULE'!N13,'18.10 KANONI-SSEMBABULE-24h'!N13,'19.10 KANONI-SSEMBABULE-24h'!N13,'20.10 KANONI-SSEMBABULE'!N13,'21.10 KANONI-SSEMBABULE'!N13,'22.10 KANONI-SSEMBABULE'!N13,'23.10 KANONI-SSEMBABULE'!N13)</f>
        <v>0</v>
      </c>
      <c r="O13" s="15">
        <f t="shared" si="0"/>
        <v>3.7142857142857144</v>
      </c>
      <c r="P13" s="15">
        <f t="shared" si="1"/>
        <v>10.285714285714285</v>
      </c>
      <c r="R13" s="1" t="s">
        <v>9</v>
      </c>
      <c r="S13" s="17">
        <f t="shared" ref="S13:AF13" si="5">SUM(C22:C25)</f>
        <v>3.4285714285714288</v>
      </c>
      <c r="T13" s="17">
        <f t="shared" si="5"/>
        <v>1.857142857142857</v>
      </c>
      <c r="U13" s="17">
        <f t="shared" si="5"/>
        <v>1.5714285714285714</v>
      </c>
      <c r="V13" s="17">
        <f t="shared" si="5"/>
        <v>0.42857142857142855</v>
      </c>
      <c r="W13" s="17">
        <f t="shared" si="5"/>
        <v>0.2857142857142857</v>
      </c>
      <c r="X13" s="17">
        <f t="shared" si="5"/>
        <v>0</v>
      </c>
      <c r="Y13" s="17">
        <f t="shared" si="5"/>
        <v>1.5714285714285714</v>
      </c>
      <c r="Z13" s="17">
        <f t="shared" si="5"/>
        <v>0.42857142857142855</v>
      </c>
      <c r="AA13" s="17">
        <f t="shared" si="5"/>
        <v>2.8571428571428572</v>
      </c>
      <c r="AB13" s="17">
        <f t="shared" si="5"/>
        <v>0</v>
      </c>
      <c r="AC13" s="17">
        <f t="shared" si="5"/>
        <v>34.714285714285715</v>
      </c>
      <c r="AD13" s="17">
        <f t="shared" si="5"/>
        <v>0.14285714285714285</v>
      </c>
      <c r="AE13" s="31">
        <f t="shared" si="5"/>
        <v>12.571428571428571</v>
      </c>
      <c r="AF13" s="31">
        <f t="shared" si="5"/>
        <v>47.285714285714285</v>
      </c>
    </row>
    <row r="14" spans="2:32" ht="23.1" customHeight="1" x14ac:dyDescent="0.25">
      <c r="B14" s="23" t="s">
        <v>41</v>
      </c>
      <c r="C14" s="49">
        <f>AVERAGE('17.10 KANONI-SSEMBABULE'!C14,'18.10 KANONI-SSEMBABULE-24h'!C14,'19.10 KANONI-SSEMBABULE-24h'!C14,'20.10 KANONI-SSEMBABULE'!C14,'21.10 KANONI-SSEMBABULE'!C14,'22.10 KANONI-SSEMBABULE'!C14,'23.10 KANONI-SSEMBABULE'!C14)</f>
        <v>1.2857142857142858</v>
      </c>
      <c r="D14" s="49">
        <f>AVERAGE('17.10 KANONI-SSEMBABULE'!D14,'18.10 KANONI-SSEMBABULE-24h'!D14,'19.10 KANONI-SSEMBABULE-24h'!D14,'20.10 KANONI-SSEMBABULE'!D14,'21.10 KANONI-SSEMBABULE'!D14,'22.10 KANONI-SSEMBABULE'!D14,'23.10 KANONI-SSEMBABULE'!D14)</f>
        <v>0.2857142857142857</v>
      </c>
      <c r="E14" s="49">
        <f>AVERAGE('17.10 KANONI-SSEMBABULE'!E14,'18.10 KANONI-SSEMBABULE-24h'!E14,'19.10 KANONI-SSEMBABULE-24h'!E14,'20.10 KANONI-SSEMBABULE'!E14,'21.10 KANONI-SSEMBABULE'!E14,'22.10 KANONI-SSEMBABULE'!E14,'23.10 KANONI-SSEMBABULE'!E14)</f>
        <v>0</v>
      </c>
      <c r="F14" s="49">
        <f>AVERAGE('17.10 KANONI-SSEMBABULE'!F14,'18.10 KANONI-SSEMBABULE-24h'!F14,'19.10 KANONI-SSEMBABULE-24h'!F14,'20.10 KANONI-SSEMBABULE'!F14,'21.10 KANONI-SSEMBABULE'!F14,'22.10 KANONI-SSEMBABULE'!F14,'23.10 KANONI-SSEMBABULE'!F14)</f>
        <v>0.8571428571428571</v>
      </c>
      <c r="G14" s="49">
        <f>AVERAGE('17.10 KANONI-SSEMBABULE'!G14,'18.10 KANONI-SSEMBABULE-24h'!G14,'19.10 KANONI-SSEMBABULE-24h'!G14,'20.10 KANONI-SSEMBABULE'!G14,'21.10 KANONI-SSEMBABULE'!G14,'22.10 KANONI-SSEMBABULE'!G14,'23.10 KANONI-SSEMBABULE'!G14)</f>
        <v>0</v>
      </c>
      <c r="H14" s="49">
        <f>AVERAGE('17.10 KANONI-SSEMBABULE'!H14,'18.10 KANONI-SSEMBABULE-24h'!H14,'19.10 KANONI-SSEMBABULE-24h'!H14,'20.10 KANONI-SSEMBABULE'!H14,'21.10 KANONI-SSEMBABULE'!H14,'22.10 KANONI-SSEMBABULE'!H14,'23.10 KANONI-SSEMBABULE'!H14)</f>
        <v>0</v>
      </c>
      <c r="I14" s="49">
        <f>AVERAGE('17.10 KANONI-SSEMBABULE'!I14,'18.10 KANONI-SSEMBABULE-24h'!I14,'19.10 KANONI-SSEMBABULE-24h'!I14,'20.10 KANONI-SSEMBABULE'!I14,'21.10 KANONI-SSEMBABULE'!I14,'22.10 KANONI-SSEMBABULE'!I14,'23.10 KANONI-SSEMBABULE'!I14)</f>
        <v>0.2857142857142857</v>
      </c>
      <c r="J14" s="49">
        <f>AVERAGE('17.10 KANONI-SSEMBABULE'!J14,'18.10 KANONI-SSEMBABULE-24h'!J14,'19.10 KANONI-SSEMBABULE-24h'!J14,'20.10 KANONI-SSEMBABULE'!J14,'21.10 KANONI-SSEMBABULE'!J14,'22.10 KANONI-SSEMBABULE'!J14,'23.10 KANONI-SSEMBABULE'!J14)</f>
        <v>0.14285714285714285</v>
      </c>
      <c r="K14" s="49">
        <f>AVERAGE('17.10 KANONI-SSEMBABULE'!K14,'18.10 KANONI-SSEMBABULE-24h'!K14,'19.10 KANONI-SSEMBABULE-24h'!K14,'20.10 KANONI-SSEMBABULE'!K14,'21.10 KANONI-SSEMBABULE'!K14,'22.10 KANONI-SSEMBABULE'!K14,'23.10 KANONI-SSEMBABULE'!K14)</f>
        <v>0</v>
      </c>
      <c r="L14" s="49">
        <f>AVERAGE('17.10 KANONI-SSEMBABULE'!L14,'18.10 KANONI-SSEMBABULE-24h'!L14,'19.10 KANONI-SSEMBABULE-24h'!L14,'20.10 KANONI-SSEMBABULE'!L14,'21.10 KANONI-SSEMBABULE'!L14,'22.10 KANONI-SSEMBABULE'!L14,'23.10 KANONI-SSEMBABULE'!L14)</f>
        <v>0</v>
      </c>
      <c r="M14" s="49">
        <f>AVERAGE('17.10 KANONI-SSEMBABULE'!M14,'18.10 KANONI-SSEMBABULE-24h'!M14,'19.10 KANONI-SSEMBABULE-24h'!M14,'20.10 KANONI-SSEMBABULE'!M14,'21.10 KANONI-SSEMBABULE'!M14,'22.10 KANONI-SSEMBABULE'!M14,'23.10 KANONI-SSEMBABULE'!M14)</f>
        <v>7.1428571428571432</v>
      </c>
      <c r="N14" s="49">
        <f>AVERAGE('17.10 KANONI-SSEMBABULE'!N14,'18.10 KANONI-SSEMBABULE-24h'!N14,'19.10 KANONI-SSEMBABULE-24h'!N14,'20.10 KANONI-SSEMBABULE'!N14,'21.10 KANONI-SSEMBABULE'!N14,'22.10 KANONI-SSEMBABULE'!N14,'23.10 KANONI-SSEMBABULE'!N14)</f>
        <v>0</v>
      </c>
      <c r="O14" s="15">
        <f t="shared" si="0"/>
        <v>2.8571428571428572</v>
      </c>
      <c r="P14" s="15">
        <f t="shared" si="1"/>
        <v>10</v>
      </c>
      <c r="R14" s="1" t="s">
        <v>10</v>
      </c>
      <c r="S14" s="17">
        <f t="shared" ref="S14:AF14" si="6">SUM(C26:C29)</f>
        <v>5.1428571428571423</v>
      </c>
      <c r="T14" s="17">
        <f t="shared" si="6"/>
        <v>2.5714285714285712</v>
      </c>
      <c r="U14" s="17">
        <f t="shared" si="6"/>
        <v>1.7142857142857142</v>
      </c>
      <c r="V14" s="17">
        <f t="shared" si="6"/>
        <v>2.7142857142857144</v>
      </c>
      <c r="W14" s="17">
        <f t="shared" si="6"/>
        <v>0</v>
      </c>
      <c r="X14" s="17">
        <f t="shared" si="6"/>
        <v>0</v>
      </c>
      <c r="Y14" s="17">
        <f t="shared" si="6"/>
        <v>1.5714285714285714</v>
      </c>
      <c r="Z14" s="17">
        <f t="shared" si="6"/>
        <v>0.85714285714285698</v>
      </c>
      <c r="AA14" s="17">
        <f t="shared" si="6"/>
        <v>1.1428571428571428</v>
      </c>
      <c r="AB14" s="17">
        <f t="shared" si="6"/>
        <v>0.42857142857142855</v>
      </c>
      <c r="AC14" s="17">
        <f t="shared" si="6"/>
        <v>38.285714285714285</v>
      </c>
      <c r="AD14" s="17">
        <f t="shared" si="6"/>
        <v>0</v>
      </c>
      <c r="AE14" s="31">
        <f t="shared" si="6"/>
        <v>16.142857142857139</v>
      </c>
      <c r="AF14" s="31">
        <f t="shared" si="6"/>
        <v>54.428571428571431</v>
      </c>
    </row>
    <row r="15" spans="2:32" ht="23.1" customHeight="1" x14ac:dyDescent="0.25">
      <c r="B15" s="23" t="s">
        <v>42</v>
      </c>
      <c r="C15" s="49">
        <f>AVERAGE('17.10 KANONI-SSEMBABULE'!C15,'18.10 KANONI-SSEMBABULE-24h'!C15,'19.10 KANONI-SSEMBABULE-24h'!C15,'20.10 KANONI-SSEMBABULE'!C15,'21.10 KANONI-SSEMBABULE'!C15,'22.10 KANONI-SSEMBABULE'!C15,'23.10 KANONI-SSEMBABULE'!C15)</f>
        <v>0.7142857142857143</v>
      </c>
      <c r="D15" s="49">
        <f>AVERAGE('17.10 KANONI-SSEMBABULE'!D15,'18.10 KANONI-SSEMBABULE-24h'!D15,'19.10 KANONI-SSEMBABULE-24h'!D15,'20.10 KANONI-SSEMBABULE'!D15,'21.10 KANONI-SSEMBABULE'!D15,'22.10 KANONI-SSEMBABULE'!D15,'23.10 KANONI-SSEMBABULE'!D15)</f>
        <v>0.2857142857142857</v>
      </c>
      <c r="E15" s="49">
        <f>AVERAGE('17.10 KANONI-SSEMBABULE'!E15,'18.10 KANONI-SSEMBABULE-24h'!E15,'19.10 KANONI-SSEMBABULE-24h'!E15,'20.10 KANONI-SSEMBABULE'!E15,'21.10 KANONI-SSEMBABULE'!E15,'22.10 KANONI-SSEMBABULE'!E15,'23.10 KANONI-SSEMBABULE'!E15)</f>
        <v>0.2857142857142857</v>
      </c>
      <c r="F15" s="49">
        <f>AVERAGE('17.10 KANONI-SSEMBABULE'!F15,'18.10 KANONI-SSEMBABULE-24h'!F15,'19.10 KANONI-SSEMBABULE-24h'!F15,'20.10 KANONI-SSEMBABULE'!F15,'21.10 KANONI-SSEMBABULE'!F15,'22.10 KANONI-SSEMBABULE'!F15,'23.10 KANONI-SSEMBABULE'!F15)</f>
        <v>1.4285714285714286</v>
      </c>
      <c r="G15" s="49">
        <f>AVERAGE('17.10 KANONI-SSEMBABULE'!G15,'18.10 KANONI-SSEMBABULE-24h'!G15,'19.10 KANONI-SSEMBABULE-24h'!G15,'20.10 KANONI-SSEMBABULE'!G15,'21.10 KANONI-SSEMBABULE'!G15,'22.10 KANONI-SSEMBABULE'!G15,'23.10 KANONI-SSEMBABULE'!G15)</f>
        <v>0</v>
      </c>
      <c r="H15" s="49">
        <f>AVERAGE('17.10 KANONI-SSEMBABULE'!H15,'18.10 KANONI-SSEMBABULE-24h'!H15,'19.10 KANONI-SSEMBABULE-24h'!H15,'20.10 KANONI-SSEMBABULE'!H15,'21.10 KANONI-SSEMBABULE'!H15,'22.10 KANONI-SSEMBABULE'!H15,'23.10 KANONI-SSEMBABULE'!H15)</f>
        <v>0</v>
      </c>
      <c r="I15" s="49">
        <f>AVERAGE('17.10 KANONI-SSEMBABULE'!I15,'18.10 KANONI-SSEMBABULE-24h'!I15,'19.10 KANONI-SSEMBABULE-24h'!I15,'20.10 KANONI-SSEMBABULE'!I15,'21.10 KANONI-SSEMBABULE'!I15,'22.10 KANONI-SSEMBABULE'!I15,'23.10 KANONI-SSEMBABULE'!I15)</f>
        <v>0.2857142857142857</v>
      </c>
      <c r="J15" s="49">
        <f>AVERAGE('17.10 KANONI-SSEMBABULE'!J15,'18.10 KANONI-SSEMBABULE-24h'!J15,'19.10 KANONI-SSEMBABULE-24h'!J15,'20.10 KANONI-SSEMBABULE'!J15,'21.10 KANONI-SSEMBABULE'!J15,'22.10 KANONI-SSEMBABULE'!J15,'23.10 KANONI-SSEMBABULE'!J15)</f>
        <v>0</v>
      </c>
      <c r="K15" s="49">
        <f>AVERAGE('17.10 KANONI-SSEMBABULE'!K15,'18.10 KANONI-SSEMBABULE-24h'!K15,'19.10 KANONI-SSEMBABULE-24h'!K15,'20.10 KANONI-SSEMBABULE'!K15,'21.10 KANONI-SSEMBABULE'!K15,'22.10 KANONI-SSEMBABULE'!K15,'23.10 KANONI-SSEMBABULE'!K15)</f>
        <v>0</v>
      </c>
      <c r="L15" s="49">
        <f>AVERAGE('17.10 KANONI-SSEMBABULE'!L15,'18.10 KANONI-SSEMBABULE-24h'!L15,'19.10 KANONI-SSEMBABULE-24h'!L15,'20.10 KANONI-SSEMBABULE'!L15,'21.10 KANONI-SSEMBABULE'!L15,'22.10 KANONI-SSEMBABULE'!L15,'23.10 KANONI-SSEMBABULE'!L15)</f>
        <v>0</v>
      </c>
      <c r="M15" s="49">
        <f>AVERAGE('17.10 KANONI-SSEMBABULE'!M15,'18.10 KANONI-SSEMBABULE-24h'!M15,'19.10 KANONI-SSEMBABULE-24h'!M15,'20.10 KANONI-SSEMBABULE'!M15,'21.10 KANONI-SSEMBABULE'!M15,'22.10 KANONI-SSEMBABULE'!M15,'23.10 KANONI-SSEMBABULE'!M15)</f>
        <v>5.4285714285714288</v>
      </c>
      <c r="N15" s="49">
        <f>AVERAGE('17.10 KANONI-SSEMBABULE'!N15,'18.10 KANONI-SSEMBABULE-24h'!N15,'19.10 KANONI-SSEMBABULE-24h'!N15,'20.10 KANONI-SSEMBABULE'!N15,'21.10 KANONI-SSEMBABULE'!N15,'22.10 KANONI-SSEMBABULE'!N15,'23.10 KANONI-SSEMBABULE'!N15)</f>
        <v>0</v>
      </c>
      <c r="O15" s="15">
        <f t="shared" si="0"/>
        <v>3</v>
      </c>
      <c r="P15" s="15">
        <f t="shared" si="1"/>
        <v>8.4285714285714288</v>
      </c>
      <c r="R15" s="1" t="s">
        <v>11</v>
      </c>
      <c r="S15" s="17">
        <f t="shared" ref="S15:AF15" si="7">SUM(C30:C33)</f>
        <v>6.4285714285714288</v>
      </c>
      <c r="T15" s="17">
        <f t="shared" si="7"/>
        <v>2</v>
      </c>
      <c r="U15" s="17">
        <f t="shared" si="7"/>
        <v>1.5714285714285714</v>
      </c>
      <c r="V15" s="17">
        <f t="shared" si="7"/>
        <v>3</v>
      </c>
      <c r="W15" s="17">
        <f t="shared" si="7"/>
        <v>0.14285714285714285</v>
      </c>
      <c r="X15" s="17">
        <f t="shared" si="7"/>
        <v>0.14285714285714285</v>
      </c>
      <c r="Y15" s="17">
        <f t="shared" si="7"/>
        <v>2.2857142857142856</v>
      </c>
      <c r="Z15" s="17">
        <f t="shared" si="7"/>
        <v>0.5714285714285714</v>
      </c>
      <c r="AA15" s="17">
        <f t="shared" si="7"/>
        <v>1.9999999999999996</v>
      </c>
      <c r="AB15" s="17">
        <f t="shared" si="7"/>
        <v>0.14285714285714285</v>
      </c>
      <c r="AC15" s="17">
        <f t="shared" si="7"/>
        <v>37</v>
      </c>
      <c r="AD15" s="17">
        <f t="shared" si="7"/>
        <v>0</v>
      </c>
      <c r="AE15" s="31">
        <f t="shared" si="7"/>
        <v>18.285714285714285</v>
      </c>
      <c r="AF15" s="31">
        <f t="shared" si="7"/>
        <v>55.285714285714278</v>
      </c>
    </row>
    <row r="16" spans="2:32" ht="23.1" customHeight="1" x14ac:dyDescent="0.25">
      <c r="B16" s="23" t="s">
        <v>43</v>
      </c>
      <c r="C16" s="49">
        <f>AVERAGE('17.10 KANONI-SSEMBABULE'!C16,'18.10 KANONI-SSEMBABULE-24h'!C16,'19.10 KANONI-SSEMBABULE-24h'!C16,'20.10 KANONI-SSEMBABULE'!C16,'21.10 KANONI-SSEMBABULE'!C16,'22.10 KANONI-SSEMBABULE'!C16,'23.10 KANONI-SSEMBABULE'!C16)</f>
        <v>1.5714285714285714</v>
      </c>
      <c r="D16" s="49">
        <f>AVERAGE('17.10 KANONI-SSEMBABULE'!D16,'18.10 KANONI-SSEMBABULE-24h'!D16,'19.10 KANONI-SSEMBABULE-24h'!D16,'20.10 KANONI-SSEMBABULE'!D16,'21.10 KANONI-SSEMBABULE'!D16,'22.10 KANONI-SSEMBABULE'!D16,'23.10 KANONI-SSEMBABULE'!D16)</f>
        <v>0.42857142857142855</v>
      </c>
      <c r="E16" s="49">
        <f>AVERAGE('17.10 KANONI-SSEMBABULE'!E16,'18.10 KANONI-SSEMBABULE-24h'!E16,'19.10 KANONI-SSEMBABULE-24h'!E16,'20.10 KANONI-SSEMBABULE'!E16,'21.10 KANONI-SSEMBABULE'!E16,'22.10 KANONI-SSEMBABULE'!E16,'23.10 KANONI-SSEMBABULE'!E16)</f>
        <v>0.14285714285714285</v>
      </c>
      <c r="F16" s="49">
        <f>AVERAGE('17.10 KANONI-SSEMBABULE'!F16,'18.10 KANONI-SSEMBABULE-24h'!F16,'19.10 KANONI-SSEMBABULE-24h'!F16,'20.10 KANONI-SSEMBABULE'!F16,'21.10 KANONI-SSEMBABULE'!F16,'22.10 KANONI-SSEMBABULE'!F16,'23.10 KANONI-SSEMBABULE'!F16)</f>
        <v>1.2857142857142858</v>
      </c>
      <c r="G16" s="49">
        <f>AVERAGE('17.10 KANONI-SSEMBABULE'!G16,'18.10 KANONI-SSEMBABULE-24h'!G16,'19.10 KANONI-SSEMBABULE-24h'!G16,'20.10 KANONI-SSEMBABULE'!G16,'21.10 KANONI-SSEMBABULE'!G16,'22.10 KANONI-SSEMBABULE'!G16,'23.10 KANONI-SSEMBABULE'!G16)</f>
        <v>0</v>
      </c>
      <c r="H16" s="49">
        <f>AVERAGE('17.10 KANONI-SSEMBABULE'!H16,'18.10 KANONI-SSEMBABULE-24h'!H16,'19.10 KANONI-SSEMBABULE-24h'!H16,'20.10 KANONI-SSEMBABULE'!H16,'21.10 KANONI-SSEMBABULE'!H16,'22.10 KANONI-SSEMBABULE'!H16,'23.10 KANONI-SSEMBABULE'!H16)</f>
        <v>0</v>
      </c>
      <c r="I16" s="49">
        <f>AVERAGE('17.10 KANONI-SSEMBABULE'!I16,'18.10 KANONI-SSEMBABULE-24h'!I16,'19.10 KANONI-SSEMBABULE-24h'!I16,'20.10 KANONI-SSEMBABULE'!I16,'21.10 KANONI-SSEMBABULE'!I16,'22.10 KANONI-SSEMBABULE'!I16,'23.10 KANONI-SSEMBABULE'!I16)</f>
        <v>0.14285714285714285</v>
      </c>
      <c r="J16" s="49">
        <f>AVERAGE('17.10 KANONI-SSEMBABULE'!J16,'18.10 KANONI-SSEMBABULE-24h'!J16,'19.10 KANONI-SSEMBABULE-24h'!J16,'20.10 KANONI-SSEMBABULE'!J16,'21.10 KANONI-SSEMBABULE'!J16,'22.10 KANONI-SSEMBABULE'!J16,'23.10 KANONI-SSEMBABULE'!J16)</f>
        <v>0</v>
      </c>
      <c r="K16" s="49">
        <f>AVERAGE('17.10 KANONI-SSEMBABULE'!K16,'18.10 KANONI-SSEMBABULE-24h'!K16,'19.10 KANONI-SSEMBABULE-24h'!K16,'20.10 KANONI-SSEMBABULE'!K16,'21.10 KANONI-SSEMBABULE'!K16,'22.10 KANONI-SSEMBABULE'!K16,'23.10 KANONI-SSEMBABULE'!K16)</f>
        <v>0</v>
      </c>
      <c r="L16" s="49">
        <f>AVERAGE('17.10 KANONI-SSEMBABULE'!L16,'18.10 KANONI-SSEMBABULE-24h'!L16,'19.10 KANONI-SSEMBABULE-24h'!L16,'20.10 KANONI-SSEMBABULE'!L16,'21.10 KANONI-SSEMBABULE'!L16,'22.10 KANONI-SSEMBABULE'!L16,'23.10 KANONI-SSEMBABULE'!L16)</f>
        <v>0</v>
      </c>
      <c r="M16" s="49">
        <f>AVERAGE('17.10 KANONI-SSEMBABULE'!M16,'18.10 KANONI-SSEMBABULE-24h'!M16,'19.10 KANONI-SSEMBABULE-24h'!M16,'20.10 KANONI-SSEMBABULE'!M16,'21.10 KANONI-SSEMBABULE'!M16,'22.10 KANONI-SSEMBABULE'!M16,'23.10 KANONI-SSEMBABULE'!M16)</f>
        <v>6.2857142857142856</v>
      </c>
      <c r="N16" s="49">
        <f>AVERAGE('17.10 KANONI-SSEMBABULE'!N16,'18.10 KANONI-SSEMBABULE-24h'!N16,'19.10 KANONI-SSEMBABULE-24h'!N16,'20.10 KANONI-SSEMBABULE'!N16,'21.10 KANONI-SSEMBABULE'!N16,'22.10 KANONI-SSEMBABULE'!N16,'23.10 KANONI-SSEMBABULE'!N16)</f>
        <v>0</v>
      </c>
      <c r="O16" s="15">
        <f t="shared" si="0"/>
        <v>3.5714285714285716</v>
      </c>
      <c r="P16" s="15">
        <f t="shared" si="1"/>
        <v>9.8571428571428577</v>
      </c>
      <c r="R16" s="1" t="s">
        <v>12</v>
      </c>
      <c r="S16" s="17">
        <f t="shared" ref="S16:AF16" si="8">SUM(C34:C37)</f>
        <v>4.8571428571428568</v>
      </c>
      <c r="T16" s="17">
        <f t="shared" si="8"/>
        <v>0.2857142857142857</v>
      </c>
      <c r="U16" s="17">
        <f t="shared" si="8"/>
        <v>1.8571428571428568</v>
      </c>
      <c r="V16" s="17">
        <f t="shared" si="8"/>
        <v>1.5714285714285714</v>
      </c>
      <c r="W16" s="17">
        <f t="shared" si="8"/>
        <v>0.14285714285714285</v>
      </c>
      <c r="X16" s="17">
        <f t="shared" si="8"/>
        <v>0</v>
      </c>
      <c r="Y16" s="17">
        <f t="shared" si="8"/>
        <v>2.8571428571428572</v>
      </c>
      <c r="Z16" s="17">
        <f t="shared" si="8"/>
        <v>1.2857142857142856</v>
      </c>
      <c r="AA16" s="17">
        <f t="shared" si="8"/>
        <v>1.4285714285714286</v>
      </c>
      <c r="AB16" s="17">
        <f t="shared" si="8"/>
        <v>0.2857142857142857</v>
      </c>
      <c r="AC16" s="17">
        <f t="shared" si="8"/>
        <v>38</v>
      </c>
      <c r="AD16" s="17">
        <f t="shared" si="8"/>
        <v>0</v>
      </c>
      <c r="AE16" s="31">
        <f t="shared" si="8"/>
        <v>14.571428571428569</v>
      </c>
      <c r="AF16" s="31">
        <f t="shared" si="8"/>
        <v>52.571428571428569</v>
      </c>
    </row>
    <row r="17" spans="2:32" ht="23.1" customHeight="1" x14ac:dyDescent="0.25">
      <c r="B17" s="23" t="s">
        <v>44</v>
      </c>
      <c r="C17" s="49">
        <f>AVERAGE('17.10 KANONI-SSEMBABULE'!C17,'18.10 KANONI-SSEMBABULE-24h'!C17,'19.10 KANONI-SSEMBABULE-24h'!C17,'20.10 KANONI-SSEMBABULE'!C17,'21.10 KANONI-SSEMBABULE'!C17,'22.10 KANONI-SSEMBABULE'!C17,'23.10 KANONI-SSEMBABULE'!C17)</f>
        <v>1.1428571428571428</v>
      </c>
      <c r="D17" s="49">
        <f>AVERAGE('17.10 KANONI-SSEMBABULE'!D17,'18.10 KANONI-SSEMBABULE-24h'!D17,'19.10 KANONI-SSEMBABULE-24h'!D17,'20.10 KANONI-SSEMBABULE'!D17,'21.10 KANONI-SSEMBABULE'!D17,'22.10 KANONI-SSEMBABULE'!D17,'23.10 KANONI-SSEMBABULE'!D17)</f>
        <v>0.2857142857142857</v>
      </c>
      <c r="E17" s="49">
        <f>AVERAGE('17.10 KANONI-SSEMBABULE'!E17,'18.10 KANONI-SSEMBABULE-24h'!E17,'19.10 KANONI-SSEMBABULE-24h'!E17,'20.10 KANONI-SSEMBABULE'!E17,'21.10 KANONI-SSEMBABULE'!E17,'22.10 KANONI-SSEMBABULE'!E17,'23.10 KANONI-SSEMBABULE'!E17)</f>
        <v>0.14285714285714285</v>
      </c>
      <c r="F17" s="49">
        <f>AVERAGE('17.10 KANONI-SSEMBABULE'!F17,'18.10 KANONI-SSEMBABULE-24h'!F17,'19.10 KANONI-SSEMBABULE-24h'!F17,'20.10 KANONI-SSEMBABULE'!F17,'21.10 KANONI-SSEMBABULE'!F17,'22.10 KANONI-SSEMBABULE'!F17,'23.10 KANONI-SSEMBABULE'!F17)</f>
        <v>0.42857142857142855</v>
      </c>
      <c r="G17" s="49">
        <f>AVERAGE('17.10 KANONI-SSEMBABULE'!G17,'18.10 KANONI-SSEMBABULE-24h'!G17,'19.10 KANONI-SSEMBABULE-24h'!G17,'20.10 KANONI-SSEMBABULE'!G17,'21.10 KANONI-SSEMBABULE'!G17,'22.10 KANONI-SSEMBABULE'!G17,'23.10 KANONI-SSEMBABULE'!G17)</f>
        <v>0</v>
      </c>
      <c r="H17" s="49">
        <f>AVERAGE('17.10 KANONI-SSEMBABULE'!H17,'18.10 KANONI-SSEMBABULE-24h'!H17,'19.10 KANONI-SSEMBABULE-24h'!H17,'20.10 KANONI-SSEMBABULE'!H17,'21.10 KANONI-SSEMBABULE'!H17,'22.10 KANONI-SSEMBABULE'!H17,'23.10 KANONI-SSEMBABULE'!H17)</f>
        <v>0</v>
      </c>
      <c r="I17" s="49">
        <f>AVERAGE('17.10 KANONI-SSEMBABULE'!I17,'18.10 KANONI-SSEMBABULE-24h'!I17,'19.10 KANONI-SSEMBABULE-24h'!I17,'20.10 KANONI-SSEMBABULE'!I17,'21.10 KANONI-SSEMBABULE'!I17,'22.10 KANONI-SSEMBABULE'!I17,'23.10 KANONI-SSEMBABULE'!I17)</f>
        <v>0.14285714285714285</v>
      </c>
      <c r="J17" s="49">
        <f>AVERAGE('17.10 KANONI-SSEMBABULE'!J17,'18.10 KANONI-SSEMBABULE-24h'!J17,'19.10 KANONI-SSEMBABULE-24h'!J17,'20.10 KANONI-SSEMBABULE'!J17,'21.10 KANONI-SSEMBABULE'!J17,'22.10 KANONI-SSEMBABULE'!J17,'23.10 KANONI-SSEMBABULE'!J17)</f>
        <v>0</v>
      </c>
      <c r="K17" s="49">
        <f>AVERAGE('17.10 KANONI-SSEMBABULE'!K17,'18.10 KANONI-SSEMBABULE-24h'!K17,'19.10 KANONI-SSEMBABULE-24h'!K17,'20.10 KANONI-SSEMBABULE'!K17,'21.10 KANONI-SSEMBABULE'!K17,'22.10 KANONI-SSEMBABULE'!K17,'23.10 KANONI-SSEMBABULE'!K17)</f>
        <v>0</v>
      </c>
      <c r="L17" s="49">
        <f>AVERAGE('17.10 KANONI-SSEMBABULE'!L17,'18.10 KANONI-SSEMBABULE-24h'!L17,'19.10 KANONI-SSEMBABULE-24h'!L17,'20.10 KANONI-SSEMBABULE'!L17,'21.10 KANONI-SSEMBABULE'!L17,'22.10 KANONI-SSEMBABULE'!L17,'23.10 KANONI-SSEMBABULE'!L17)</f>
        <v>0</v>
      </c>
      <c r="M17" s="49">
        <f>AVERAGE('17.10 KANONI-SSEMBABULE'!M17,'18.10 KANONI-SSEMBABULE-24h'!M17,'19.10 KANONI-SSEMBABULE-24h'!M17,'20.10 KANONI-SSEMBABULE'!M17,'21.10 KANONI-SSEMBABULE'!M17,'22.10 KANONI-SSEMBABULE'!M17,'23.10 KANONI-SSEMBABULE'!M17)</f>
        <v>7.8571428571428568</v>
      </c>
      <c r="N17" s="49">
        <f>AVERAGE('17.10 KANONI-SSEMBABULE'!N17,'18.10 KANONI-SSEMBABULE-24h'!N17,'19.10 KANONI-SSEMBABULE-24h'!N17,'20.10 KANONI-SSEMBABULE'!N17,'21.10 KANONI-SSEMBABULE'!N17,'22.10 KANONI-SSEMBABULE'!N17,'23.10 KANONI-SSEMBABULE'!N17)</f>
        <v>0</v>
      </c>
      <c r="O17" s="15">
        <f t="shared" si="0"/>
        <v>2.1428571428571428</v>
      </c>
      <c r="P17" s="15">
        <f t="shared" si="1"/>
        <v>10</v>
      </c>
      <c r="R17" s="1" t="s">
        <v>13</v>
      </c>
      <c r="S17" s="17">
        <f t="shared" ref="S17:AF17" si="9">SUM(C38:C41)</f>
        <v>4.2857142857142856</v>
      </c>
      <c r="T17" s="17">
        <f t="shared" si="9"/>
        <v>2.4285714285714284</v>
      </c>
      <c r="U17" s="17">
        <f t="shared" si="9"/>
        <v>1.7142857142857144</v>
      </c>
      <c r="V17" s="17">
        <f t="shared" si="9"/>
        <v>0.99999999999999989</v>
      </c>
      <c r="W17" s="17">
        <f t="shared" si="9"/>
        <v>0</v>
      </c>
      <c r="X17" s="17">
        <f t="shared" si="9"/>
        <v>0</v>
      </c>
      <c r="Y17" s="17">
        <f t="shared" si="9"/>
        <v>1.5714285714285714</v>
      </c>
      <c r="Z17" s="17">
        <f t="shared" si="9"/>
        <v>1.1428571428571428</v>
      </c>
      <c r="AA17" s="17">
        <f t="shared" si="9"/>
        <v>3.8571428571428568</v>
      </c>
      <c r="AB17" s="17">
        <f t="shared" si="9"/>
        <v>0.14285714285714285</v>
      </c>
      <c r="AC17" s="17">
        <f t="shared" si="9"/>
        <v>32.571428571428569</v>
      </c>
      <c r="AD17" s="17">
        <f t="shared" si="9"/>
        <v>0</v>
      </c>
      <c r="AE17" s="31">
        <f t="shared" si="9"/>
        <v>16.142857142857142</v>
      </c>
      <c r="AF17" s="31">
        <f t="shared" si="9"/>
        <v>48.714285714285715</v>
      </c>
    </row>
    <row r="18" spans="2:32" ht="23.1" customHeight="1" x14ac:dyDescent="0.25">
      <c r="B18" s="23" t="s">
        <v>45</v>
      </c>
      <c r="C18" s="49">
        <f>AVERAGE('17.10 KANONI-SSEMBABULE'!C18,'18.10 KANONI-SSEMBABULE-24h'!C18,'19.10 KANONI-SSEMBABULE-24h'!C18,'20.10 KANONI-SSEMBABULE'!C18,'21.10 KANONI-SSEMBABULE'!C18,'22.10 KANONI-SSEMBABULE'!C18,'23.10 KANONI-SSEMBABULE'!C18)</f>
        <v>0.5714285714285714</v>
      </c>
      <c r="D18" s="49">
        <f>AVERAGE('17.10 KANONI-SSEMBABULE'!D18,'18.10 KANONI-SSEMBABULE-24h'!D18,'19.10 KANONI-SSEMBABULE-24h'!D18,'20.10 KANONI-SSEMBABULE'!D18,'21.10 KANONI-SSEMBABULE'!D18,'22.10 KANONI-SSEMBABULE'!D18,'23.10 KANONI-SSEMBABULE'!D18)</f>
        <v>0.14285714285714285</v>
      </c>
      <c r="E18" s="49">
        <f>AVERAGE('17.10 KANONI-SSEMBABULE'!E18,'18.10 KANONI-SSEMBABULE-24h'!E18,'19.10 KANONI-SSEMBABULE-24h'!E18,'20.10 KANONI-SSEMBABULE'!E18,'21.10 KANONI-SSEMBABULE'!E18,'22.10 KANONI-SSEMBABULE'!E18,'23.10 KANONI-SSEMBABULE'!E18)</f>
        <v>0.2857142857142857</v>
      </c>
      <c r="F18" s="49">
        <f>AVERAGE('17.10 KANONI-SSEMBABULE'!F18,'18.10 KANONI-SSEMBABULE-24h'!F18,'19.10 KANONI-SSEMBABULE-24h'!F18,'20.10 KANONI-SSEMBABULE'!F18,'21.10 KANONI-SSEMBABULE'!F18,'22.10 KANONI-SSEMBABULE'!F18,'23.10 KANONI-SSEMBABULE'!F18)</f>
        <v>0.5714285714285714</v>
      </c>
      <c r="G18" s="49">
        <f>AVERAGE('17.10 KANONI-SSEMBABULE'!G18,'18.10 KANONI-SSEMBABULE-24h'!G18,'19.10 KANONI-SSEMBABULE-24h'!G18,'20.10 KANONI-SSEMBABULE'!G18,'21.10 KANONI-SSEMBABULE'!G18,'22.10 KANONI-SSEMBABULE'!G18,'23.10 KANONI-SSEMBABULE'!G18)</f>
        <v>0.14285714285714285</v>
      </c>
      <c r="H18" s="49">
        <f>AVERAGE('17.10 KANONI-SSEMBABULE'!H18,'18.10 KANONI-SSEMBABULE-24h'!H18,'19.10 KANONI-SSEMBABULE-24h'!H18,'20.10 KANONI-SSEMBABULE'!H18,'21.10 KANONI-SSEMBABULE'!H18,'22.10 KANONI-SSEMBABULE'!H18,'23.10 KANONI-SSEMBABULE'!H18)</f>
        <v>0</v>
      </c>
      <c r="I18" s="49">
        <f>AVERAGE('17.10 KANONI-SSEMBABULE'!I18,'18.10 KANONI-SSEMBABULE-24h'!I18,'19.10 KANONI-SSEMBABULE-24h'!I18,'20.10 KANONI-SSEMBABULE'!I18,'21.10 KANONI-SSEMBABULE'!I18,'22.10 KANONI-SSEMBABULE'!I18,'23.10 KANONI-SSEMBABULE'!I18)</f>
        <v>0.42857142857142855</v>
      </c>
      <c r="J18" s="49">
        <f>AVERAGE('17.10 KANONI-SSEMBABULE'!J18,'18.10 KANONI-SSEMBABULE-24h'!J18,'19.10 KANONI-SSEMBABULE-24h'!J18,'20.10 KANONI-SSEMBABULE'!J18,'21.10 KANONI-SSEMBABULE'!J18,'22.10 KANONI-SSEMBABULE'!J18,'23.10 KANONI-SSEMBABULE'!J18)</f>
        <v>0</v>
      </c>
      <c r="K18" s="49">
        <f>AVERAGE('17.10 KANONI-SSEMBABULE'!K18,'18.10 KANONI-SSEMBABULE-24h'!K18,'19.10 KANONI-SSEMBABULE-24h'!K18,'20.10 KANONI-SSEMBABULE'!K18,'21.10 KANONI-SSEMBABULE'!K18,'22.10 KANONI-SSEMBABULE'!K18,'23.10 KANONI-SSEMBABULE'!K18)</f>
        <v>0.5714285714285714</v>
      </c>
      <c r="L18" s="49">
        <f>AVERAGE('17.10 KANONI-SSEMBABULE'!L18,'18.10 KANONI-SSEMBABULE-24h'!L18,'19.10 KANONI-SSEMBABULE-24h'!L18,'20.10 KANONI-SSEMBABULE'!L18,'21.10 KANONI-SSEMBABULE'!L18,'22.10 KANONI-SSEMBABULE'!L18,'23.10 KANONI-SSEMBABULE'!L18)</f>
        <v>0</v>
      </c>
      <c r="M18" s="49">
        <f>AVERAGE('17.10 KANONI-SSEMBABULE'!M18,'18.10 KANONI-SSEMBABULE-24h'!M18,'19.10 KANONI-SSEMBABULE-24h'!M18,'20.10 KANONI-SSEMBABULE'!M18,'21.10 KANONI-SSEMBABULE'!M18,'22.10 KANONI-SSEMBABULE'!M18,'23.10 KANONI-SSEMBABULE'!M18)</f>
        <v>7</v>
      </c>
      <c r="N18" s="49">
        <f>AVERAGE('17.10 KANONI-SSEMBABULE'!N18,'18.10 KANONI-SSEMBABULE-24h'!N18,'19.10 KANONI-SSEMBABULE-24h'!N18,'20.10 KANONI-SSEMBABULE'!N18,'21.10 KANONI-SSEMBABULE'!N18,'22.10 KANONI-SSEMBABULE'!N18,'23.10 KANONI-SSEMBABULE'!N18)</f>
        <v>0</v>
      </c>
      <c r="O18" s="15">
        <f t="shared" si="0"/>
        <v>2.7142857142857135</v>
      </c>
      <c r="P18" s="15">
        <f t="shared" si="1"/>
        <v>9.7142857142857135</v>
      </c>
      <c r="R18" s="1" t="s">
        <v>14</v>
      </c>
      <c r="S18" s="17">
        <f t="shared" ref="S18:AF18" si="10">SUM(C42:C45)</f>
        <v>4</v>
      </c>
      <c r="T18" s="17">
        <f t="shared" si="10"/>
        <v>1.2857142857142856</v>
      </c>
      <c r="U18" s="17">
        <f t="shared" si="10"/>
        <v>0.5714285714285714</v>
      </c>
      <c r="V18" s="17">
        <f t="shared" si="10"/>
        <v>0.5714285714285714</v>
      </c>
      <c r="W18" s="17">
        <f t="shared" si="10"/>
        <v>0</v>
      </c>
      <c r="X18" s="17">
        <f t="shared" si="10"/>
        <v>0</v>
      </c>
      <c r="Y18" s="17">
        <f t="shared" si="10"/>
        <v>2.8571428571428568</v>
      </c>
      <c r="Z18" s="17">
        <f t="shared" si="10"/>
        <v>1.8571428571428572</v>
      </c>
      <c r="AA18" s="17">
        <f t="shared" si="10"/>
        <v>1.8571428571428572</v>
      </c>
      <c r="AB18" s="17">
        <f t="shared" si="10"/>
        <v>0</v>
      </c>
      <c r="AC18" s="17">
        <f t="shared" si="10"/>
        <v>37.285714285714285</v>
      </c>
      <c r="AD18" s="17">
        <f t="shared" si="10"/>
        <v>0</v>
      </c>
      <c r="AE18" s="31">
        <f t="shared" si="10"/>
        <v>12.999999999999998</v>
      </c>
      <c r="AF18" s="31">
        <f t="shared" si="10"/>
        <v>50.285714285714285</v>
      </c>
    </row>
    <row r="19" spans="2:32" ht="23.1" customHeight="1" x14ac:dyDescent="0.25">
      <c r="B19" s="23" t="s">
        <v>46</v>
      </c>
      <c r="C19" s="49">
        <f>AVERAGE('17.10 KANONI-SSEMBABULE'!C19,'18.10 KANONI-SSEMBABULE-24h'!C19,'19.10 KANONI-SSEMBABULE-24h'!C19,'20.10 KANONI-SSEMBABULE'!C19,'21.10 KANONI-SSEMBABULE'!C19,'22.10 KANONI-SSEMBABULE'!C19,'23.10 KANONI-SSEMBABULE'!C19)</f>
        <v>0.7142857142857143</v>
      </c>
      <c r="D19" s="49">
        <f>AVERAGE('17.10 KANONI-SSEMBABULE'!D19,'18.10 KANONI-SSEMBABULE-24h'!D19,'19.10 KANONI-SSEMBABULE-24h'!D19,'20.10 KANONI-SSEMBABULE'!D19,'21.10 KANONI-SSEMBABULE'!D19,'22.10 KANONI-SSEMBABULE'!D19,'23.10 KANONI-SSEMBABULE'!D19)</f>
        <v>0.2857142857142857</v>
      </c>
      <c r="E19" s="49">
        <f>AVERAGE('17.10 KANONI-SSEMBABULE'!E19,'18.10 KANONI-SSEMBABULE-24h'!E19,'19.10 KANONI-SSEMBABULE-24h'!E19,'20.10 KANONI-SSEMBABULE'!E19,'21.10 KANONI-SSEMBABULE'!E19,'22.10 KANONI-SSEMBABULE'!E19,'23.10 KANONI-SSEMBABULE'!E19)</f>
        <v>0.2857142857142857</v>
      </c>
      <c r="F19" s="49">
        <f>AVERAGE('17.10 KANONI-SSEMBABULE'!F19,'18.10 KANONI-SSEMBABULE-24h'!F19,'19.10 KANONI-SSEMBABULE-24h'!F19,'20.10 KANONI-SSEMBABULE'!F19,'21.10 KANONI-SSEMBABULE'!F19,'22.10 KANONI-SSEMBABULE'!F19,'23.10 KANONI-SSEMBABULE'!F19)</f>
        <v>0.14285714285714285</v>
      </c>
      <c r="G19" s="49">
        <f>AVERAGE('17.10 KANONI-SSEMBABULE'!G19,'18.10 KANONI-SSEMBABULE-24h'!G19,'19.10 KANONI-SSEMBABULE-24h'!G19,'20.10 KANONI-SSEMBABULE'!G19,'21.10 KANONI-SSEMBABULE'!G19,'22.10 KANONI-SSEMBABULE'!G19,'23.10 KANONI-SSEMBABULE'!G19)</f>
        <v>0</v>
      </c>
      <c r="H19" s="49">
        <f>AVERAGE('17.10 KANONI-SSEMBABULE'!H19,'18.10 KANONI-SSEMBABULE-24h'!H19,'19.10 KANONI-SSEMBABULE-24h'!H19,'20.10 KANONI-SSEMBABULE'!H19,'21.10 KANONI-SSEMBABULE'!H19,'22.10 KANONI-SSEMBABULE'!H19,'23.10 KANONI-SSEMBABULE'!H19)</f>
        <v>0</v>
      </c>
      <c r="I19" s="49">
        <f>AVERAGE('17.10 KANONI-SSEMBABULE'!I19,'18.10 KANONI-SSEMBABULE-24h'!I19,'19.10 KANONI-SSEMBABULE-24h'!I19,'20.10 KANONI-SSEMBABULE'!I19,'21.10 KANONI-SSEMBABULE'!I19,'22.10 KANONI-SSEMBABULE'!I19,'23.10 KANONI-SSEMBABULE'!I19)</f>
        <v>0.2857142857142857</v>
      </c>
      <c r="J19" s="49">
        <f>AVERAGE('17.10 KANONI-SSEMBABULE'!J19,'18.10 KANONI-SSEMBABULE-24h'!J19,'19.10 KANONI-SSEMBABULE-24h'!J19,'20.10 KANONI-SSEMBABULE'!J19,'21.10 KANONI-SSEMBABULE'!J19,'22.10 KANONI-SSEMBABULE'!J19,'23.10 KANONI-SSEMBABULE'!J19)</f>
        <v>0.2857142857142857</v>
      </c>
      <c r="K19" s="49">
        <f>AVERAGE('17.10 KANONI-SSEMBABULE'!K19,'18.10 KANONI-SSEMBABULE-24h'!K19,'19.10 KANONI-SSEMBABULE-24h'!K19,'20.10 KANONI-SSEMBABULE'!K19,'21.10 KANONI-SSEMBABULE'!K19,'22.10 KANONI-SSEMBABULE'!K19,'23.10 KANONI-SSEMBABULE'!K19)</f>
        <v>0.5714285714285714</v>
      </c>
      <c r="L19" s="49">
        <f>AVERAGE('17.10 KANONI-SSEMBABULE'!L19,'18.10 KANONI-SSEMBABULE-24h'!L19,'19.10 KANONI-SSEMBABULE-24h'!L19,'20.10 KANONI-SSEMBABULE'!L19,'21.10 KANONI-SSEMBABULE'!L19,'22.10 KANONI-SSEMBABULE'!L19,'23.10 KANONI-SSEMBABULE'!L19)</f>
        <v>0</v>
      </c>
      <c r="M19" s="49">
        <f>AVERAGE('17.10 KANONI-SSEMBABULE'!M19,'18.10 KANONI-SSEMBABULE-24h'!M19,'19.10 KANONI-SSEMBABULE-24h'!M19,'20.10 KANONI-SSEMBABULE'!M19,'21.10 KANONI-SSEMBABULE'!M19,'22.10 KANONI-SSEMBABULE'!M19,'23.10 KANONI-SSEMBABULE'!M19)</f>
        <v>6.2857142857142856</v>
      </c>
      <c r="N19" s="49">
        <f>AVERAGE('17.10 KANONI-SSEMBABULE'!N19,'18.10 KANONI-SSEMBABULE-24h'!N19,'19.10 KANONI-SSEMBABULE-24h'!N19,'20.10 KANONI-SSEMBABULE'!N19,'21.10 KANONI-SSEMBABULE'!N19,'22.10 KANONI-SSEMBABULE'!N19,'23.10 KANONI-SSEMBABULE'!N19)</f>
        <v>0</v>
      </c>
      <c r="O19" s="15">
        <f t="shared" si="0"/>
        <v>2.5714285714285712</v>
      </c>
      <c r="P19" s="15">
        <f t="shared" si="1"/>
        <v>8.8571428571428577</v>
      </c>
      <c r="R19" s="1" t="s">
        <v>15</v>
      </c>
      <c r="S19" s="17">
        <f t="shared" ref="S19:AF19" si="11">SUM(C46:C49)</f>
        <v>2.2857142857142856</v>
      </c>
      <c r="T19" s="17">
        <f t="shared" si="11"/>
        <v>1.8571428571428572</v>
      </c>
      <c r="U19" s="17">
        <f t="shared" si="11"/>
        <v>0.5714285714285714</v>
      </c>
      <c r="V19" s="17">
        <f t="shared" si="11"/>
        <v>0.99999999999999989</v>
      </c>
      <c r="W19" s="17">
        <f t="shared" si="11"/>
        <v>0.14285714285714285</v>
      </c>
      <c r="X19" s="17">
        <f t="shared" si="11"/>
        <v>0</v>
      </c>
      <c r="Y19" s="17">
        <f t="shared" si="11"/>
        <v>2.1428571428571423</v>
      </c>
      <c r="Z19" s="17">
        <f t="shared" si="11"/>
        <v>3.2857142857142856</v>
      </c>
      <c r="AA19" s="17">
        <f t="shared" si="11"/>
        <v>1.4285714285714284</v>
      </c>
      <c r="AB19" s="17">
        <f t="shared" si="11"/>
        <v>0.2857142857142857</v>
      </c>
      <c r="AC19" s="17">
        <f t="shared" si="11"/>
        <v>32.428571428571431</v>
      </c>
      <c r="AD19" s="17">
        <f t="shared" si="11"/>
        <v>0</v>
      </c>
      <c r="AE19" s="31">
        <f t="shared" si="11"/>
        <v>12.999999999999998</v>
      </c>
      <c r="AF19" s="31">
        <f t="shared" si="11"/>
        <v>45.428571428571431</v>
      </c>
    </row>
    <row r="20" spans="2:32" ht="23.1" customHeight="1" x14ac:dyDescent="0.25">
      <c r="B20" s="23" t="s">
        <v>47</v>
      </c>
      <c r="C20" s="49">
        <f>AVERAGE('17.10 KANONI-SSEMBABULE'!C20,'18.10 KANONI-SSEMBABULE-24h'!C20,'19.10 KANONI-SSEMBABULE-24h'!C20,'20.10 KANONI-SSEMBABULE'!C20,'21.10 KANONI-SSEMBABULE'!C20,'22.10 KANONI-SSEMBABULE'!C20,'23.10 KANONI-SSEMBABULE'!C20)</f>
        <v>1.4285714285714286</v>
      </c>
      <c r="D20" s="49">
        <f>AVERAGE('17.10 KANONI-SSEMBABULE'!D20,'18.10 KANONI-SSEMBABULE-24h'!D20,'19.10 KANONI-SSEMBABULE-24h'!D20,'20.10 KANONI-SSEMBABULE'!D20,'21.10 KANONI-SSEMBABULE'!D20,'22.10 KANONI-SSEMBABULE'!D20,'23.10 KANONI-SSEMBABULE'!D20)</f>
        <v>0.42857142857142855</v>
      </c>
      <c r="E20" s="49">
        <f>AVERAGE('17.10 KANONI-SSEMBABULE'!E20,'18.10 KANONI-SSEMBABULE-24h'!E20,'19.10 KANONI-SSEMBABULE-24h'!E20,'20.10 KANONI-SSEMBABULE'!E20,'21.10 KANONI-SSEMBABULE'!E20,'22.10 KANONI-SSEMBABULE'!E20,'23.10 KANONI-SSEMBABULE'!E20)</f>
        <v>0.14285714285714285</v>
      </c>
      <c r="F20" s="49">
        <f>AVERAGE('17.10 KANONI-SSEMBABULE'!F20,'18.10 KANONI-SSEMBABULE-24h'!F20,'19.10 KANONI-SSEMBABULE-24h'!F20,'20.10 KANONI-SSEMBABULE'!F20,'21.10 KANONI-SSEMBABULE'!F20,'22.10 KANONI-SSEMBABULE'!F20,'23.10 KANONI-SSEMBABULE'!F20)</f>
        <v>0.42857142857142855</v>
      </c>
      <c r="G20" s="49">
        <f>AVERAGE('17.10 KANONI-SSEMBABULE'!G20,'18.10 KANONI-SSEMBABULE-24h'!G20,'19.10 KANONI-SSEMBABULE-24h'!G20,'20.10 KANONI-SSEMBABULE'!G20,'21.10 KANONI-SSEMBABULE'!G20,'22.10 KANONI-SSEMBABULE'!G20,'23.10 KANONI-SSEMBABULE'!G20)</f>
        <v>0</v>
      </c>
      <c r="H20" s="49">
        <f>AVERAGE('17.10 KANONI-SSEMBABULE'!H20,'18.10 KANONI-SSEMBABULE-24h'!H20,'19.10 KANONI-SSEMBABULE-24h'!H20,'20.10 KANONI-SSEMBABULE'!H20,'21.10 KANONI-SSEMBABULE'!H20,'22.10 KANONI-SSEMBABULE'!H20,'23.10 KANONI-SSEMBABULE'!H20)</f>
        <v>0</v>
      </c>
      <c r="I20" s="49">
        <f>AVERAGE('17.10 KANONI-SSEMBABULE'!I20,'18.10 KANONI-SSEMBABULE-24h'!I20,'19.10 KANONI-SSEMBABULE-24h'!I20,'20.10 KANONI-SSEMBABULE'!I20,'21.10 KANONI-SSEMBABULE'!I20,'22.10 KANONI-SSEMBABULE'!I20,'23.10 KANONI-SSEMBABULE'!I20)</f>
        <v>0.2857142857142857</v>
      </c>
      <c r="J20" s="49">
        <f>AVERAGE('17.10 KANONI-SSEMBABULE'!J20,'18.10 KANONI-SSEMBABULE-24h'!J20,'19.10 KANONI-SSEMBABULE-24h'!J20,'20.10 KANONI-SSEMBABULE'!J20,'21.10 KANONI-SSEMBABULE'!J20,'22.10 KANONI-SSEMBABULE'!J20,'23.10 KANONI-SSEMBABULE'!J20)</f>
        <v>0.2857142857142857</v>
      </c>
      <c r="K20" s="49">
        <f>AVERAGE('17.10 KANONI-SSEMBABULE'!K20,'18.10 KANONI-SSEMBABULE-24h'!K20,'19.10 KANONI-SSEMBABULE-24h'!K20,'20.10 KANONI-SSEMBABULE'!K20,'21.10 KANONI-SSEMBABULE'!K20,'22.10 KANONI-SSEMBABULE'!K20,'23.10 KANONI-SSEMBABULE'!K20)</f>
        <v>0.8571428571428571</v>
      </c>
      <c r="L20" s="49">
        <f>AVERAGE('17.10 KANONI-SSEMBABULE'!L20,'18.10 KANONI-SSEMBABULE-24h'!L20,'19.10 KANONI-SSEMBABULE-24h'!L20,'20.10 KANONI-SSEMBABULE'!L20,'21.10 KANONI-SSEMBABULE'!L20,'22.10 KANONI-SSEMBABULE'!L20,'23.10 KANONI-SSEMBABULE'!L20)</f>
        <v>0</v>
      </c>
      <c r="M20" s="49">
        <f>AVERAGE('17.10 KANONI-SSEMBABULE'!M20,'18.10 KANONI-SSEMBABULE-24h'!M20,'19.10 KANONI-SSEMBABULE-24h'!M20,'20.10 KANONI-SSEMBABULE'!M20,'21.10 KANONI-SSEMBABULE'!M20,'22.10 KANONI-SSEMBABULE'!M20,'23.10 KANONI-SSEMBABULE'!M20)</f>
        <v>8</v>
      </c>
      <c r="N20" s="49">
        <f>AVERAGE('17.10 KANONI-SSEMBABULE'!N20,'18.10 KANONI-SSEMBABULE-24h'!N20,'19.10 KANONI-SSEMBABULE-24h'!N20,'20.10 KANONI-SSEMBABULE'!N20,'21.10 KANONI-SSEMBABULE'!N20,'22.10 KANONI-SSEMBABULE'!N20,'23.10 KANONI-SSEMBABULE'!N20)</f>
        <v>0</v>
      </c>
      <c r="O20" s="15">
        <f t="shared" si="0"/>
        <v>3.8571428571428568</v>
      </c>
      <c r="P20" s="15">
        <f t="shared" si="1"/>
        <v>11.857142857142858</v>
      </c>
      <c r="R20" s="1" t="s">
        <v>16</v>
      </c>
      <c r="S20" s="17">
        <f t="shared" ref="S20:AF20" si="12">SUM(C50:C53)</f>
        <v>3.4285714285714288</v>
      </c>
      <c r="T20" s="17">
        <f t="shared" si="12"/>
        <v>1.5714285714285714</v>
      </c>
      <c r="U20" s="17">
        <f t="shared" si="12"/>
        <v>0.71428571428571419</v>
      </c>
      <c r="V20" s="17">
        <f t="shared" si="12"/>
        <v>1.4285714285714284</v>
      </c>
      <c r="W20" s="17">
        <f t="shared" si="12"/>
        <v>0.2857142857142857</v>
      </c>
      <c r="X20" s="17">
        <f t="shared" si="12"/>
        <v>0</v>
      </c>
      <c r="Y20" s="17">
        <f t="shared" si="12"/>
        <v>3.7142857142857144</v>
      </c>
      <c r="Z20" s="17">
        <f t="shared" si="12"/>
        <v>1.2857142857142856</v>
      </c>
      <c r="AA20" s="17">
        <f t="shared" si="12"/>
        <v>1</v>
      </c>
      <c r="AB20" s="17">
        <f t="shared" si="12"/>
        <v>0.14285714285714285</v>
      </c>
      <c r="AC20" s="17">
        <f t="shared" si="12"/>
        <v>38.142857142857139</v>
      </c>
      <c r="AD20" s="17">
        <f t="shared" si="12"/>
        <v>0</v>
      </c>
      <c r="AE20" s="31">
        <f t="shared" si="12"/>
        <v>13.571428571428573</v>
      </c>
      <c r="AF20" s="31">
        <f t="shared" si="12"/>
        <v>51.714285714285722</v>
      </c>
    </row>
    <row r="21" spans="2:32" ht="23.1" customHeight="1" x14ac:dyDescent="0.25">
      <c r="B21" s="23" t="s">
        <v>48</v>
      </c>
      <c r="C21" s="49">
        <f>AVERAGE('17.10 KANONI-SSEMBABULE'!C21,'18.10 KANONI-SSEMBABULE-24h'!C21,'19.10 KANONI-SSEMBABULE-24h'!C21,'20.10 KANONI-SSEMBABULE'!C21,'21.10 KANONI-SSEMBABULE'!C21,'22.10 KANONI-SSEMBABULE'!C21,'23.10 KANONI-SSEMBABULE'!C21)</f>
        <v>0.8571428571428571</v>
      </c>
      <c r="D21" s="49">
        <f>AVERAGE('17.10 KANONI-SSEMBABULE'!D21,'18.10 KANONI-SSEMBABULE-24h'!D21,'19.10 KANONI-SSEMBABULE-24h'!D21,'20.10 KANONI-SSEMBABULE'!D21,'21.10 KANONI-SSEMBABULE'!D21,'22.10 KANONI-SSEMBABULE'!D21,'23.10 KANONI-SSEMBABULE'!D21)</f>
        <v>0.2857142857142857</v>
      </c>
      <c r="E21" s="49">
        <f>AVERAGE('17.10 KANONI-SSEMBABULE'!E21,'18.10 KANONI-SSEMBABULE-24h'!E21,'19.10 KANONI-SSEMBABULE-24h'!E21,'20.10 KANONI-SSEMBABULE'!E21,'21.10 KANONI-SSEMBABULE'!E21,'22.10 KANONI-SSEMBABULE'!E21,'23.10 KANONI-SSEMBABULE'!E21)</f>
        <v>0.14285714285714285</v>
      </c>
      <c r="F21" s="49">
        <f>AVERAGE('17.10 KANONI-SSEMBABULE'!F21,'18.10 KANONI-SSEMBABULE-24h'!F21,'19.10 KANONI-SSEMBABULE-24h'!F21,'20.10 KANONI-SSEMBABULE'!F21,'21.10 KANONI-SSEMBABULE'!F21,'22.10 KANONI-SSEMBABULE'!F21,'23.10 KANONI-SSEMBABULE'!F21)</f>
        <v>0.14285714285714285</v>
      </c>
      <c r="G21" s="49">
        <f>AVERAGE('17.10 KANONI-SSEMBABULE'!G21,'18.10 KANONI-SSEMBABULE-24h'!G21,'19.10 KANONI-SSEMBABULE-24h'!G21,'20.10 KANONI-SSEMBABULE'!G21,'21.10 KANONI-SSEMBABULE'!G21,'22.10 KANONI-SSEMBABULE'!G21,'23.10 KANONI-SSEMBABULE'!G21)</f>
        <v>0</v>
      </c>
      <c r="H21" s="49">
        <f>AVERAGE('17.10 KANONI-SSEMBABULE'!H21,'18.10 KANONI-SSEMBABULE-24h'!H21,'19.10 KANONI-SSEMBABULE-24h'!H21,'20.10 KANONI-SSEMBABULE'!H21,'21.10 KANONI-SSEMBABULE'!H21,'22.10 KANONI-SSEMBABULE'!H21,'23.10 KANONI-SSEMBABULE'!H21)</f>
        <v>0</v>
      </c>
      <c r="I21" s="49">
        <f>AVERAGE('17.10 KANONI-SSEMBABULE'!I21,'18.10 KANONI-SSEMBABULE-24h'!I21,'19.10 KANONI-SSEMBABULE-24h'!I21,'20.10 KANONI-SSEMBABULE'!I21,'21.10 KANONI-SSEMBABULE'!I21,'22.10 KANONI-SSEMBABULE'!I21,'23.10 KANONI-SSEMBABULE'!I21)</f>
        <v>0.42857142857142855</v>
      </c>
      <c r="J21" s="49">
        <f>AVERAGE('17.10 KANONI-SSEMBABULE'!J21,'18.10 KANONI-SSEMBABULE-24h'!J21,'19.10 KANONI-SSEMBABULE-24h'!J21,'20.10 KANONI-SSEMBABULE'!J21,'21.10 KANONI-SSEMBABULE'!J21,'22.10 KANONI-SSEMBABULE'!J21,'23.10 KANONI-SSEMBABULE'!J21)</f>
        <v>0.42857142857142855</v>
      </c>
      <c r="K21" s="49">
        <f>AVERAGE('17.10 KANONI-SSEMBABULE'!K21,'18.10 KANONI-SSEMBABULE-24h'!K21,'19.10 KANONI-SSEMBABULE-24h'!K21,'20.10 KANONI-SSEMBABULE'!K21,'21.10 KANONI-SSEMBABULE'!K21,'22.10 KANONI-SSEMBABULE'!K21,'23.10 KANONI-SSEMBABULE'!K21)</f>
        <v>1</v>
      </c>
      <c r="L21" s="49">
        <f>AVERAGE('17.10 KANONI-SSEMBABULE'!L21,'18.10 KANONI-SSEMBABULE-24h'!L21,'19.10 KANONI-SSEMBABULE-24h'!L21,'20.10 KANONI-SSEMBABULE'!L21,'21.10 KANONI-SSEMBABULE'!L21,'22.10 KANONI-SSEMBABULE'!L21,'23.10 KANONI-SSEMBABULE'!L21)</f>
        <v>0.14285714285714285</v>
      </c>
      <c r="M21" s="49">
        <f>AVERAGE('17.10 KANONI-SSEMBABULE'!M21,'18.10 KANONI-SSEMBABULE-24h'!M21,'19.10 KANONI-SSEMBABULE-24h'!M21,'20.10 KANONI-SSEMBABULE'!M21,'21.10 KANONI-SSEMBABULE'!M21,'22.10 KANONI-SSEMBABULE'!M21,'23.10 KANONI-SSEMBABULE'!M21)</f>
        <v>10</v>
      </c>
      <c r="N21" s="49">
        <f>AVERAGE('17.10 KANONI-SSEMBABULE'!N21,'18.10 KANONI-SSEMBABULE-24h'!N21,'19.10 KANONI-SSEMBABULE-24h'!N21,'20.10 KANONI-SSEMBABULE'!N21,'21.10 KANONI-SSEMBABULE'!N21,'22.10 KANONI-SSEMBABULE'!N21,'23.10 KANONI-SSEMBABULE'!N21)</f>
        <v>0</v>
      </c>
      <c r="O21" s="15">
        <f t="shared" si="0"/>
        <v>3.4285714285714284</v>
      </c>
      <c r="P21" s="15">
        <f t="shared" si="1"/>
        <v>13.428571428571429</v>
      </c>
      <c r="R21" s="36" t="s">
        <v>20</v>
      </c>
      <c r="S21" s="34">
        <f t="shared" ref="S21:AF21" si="13">SUM(C54:C57)</f>
        <v>4.4285714285714288</v>
      </c>
      <c r="T21" s="17">
        <f t="shared" si="13"/>
        <v>1.2857142857142856</v>
      </c>
      <c r="U21" s="17">
        <f t="shared" si="13"/>
        <v>1.7142857142857144</v>
      </c>
      <c r="V21" s="17">
        <f t="shared" si="13"/>
        <v>1.2857142857142856</v>
      </c>
      <c r="W21" s="17">
        <f t="shared" si="13"/>
        <v>0.42857142857142855</v>
      </c>
      <c r="X21" s="17">
        <f t="shared" si="13"/>
        <v>0.42857142857142855</v>
      </c>
      <c r="Y21" s="17">
        <f t="shared" si="13"/>
        <v>2.5714285714285712</v>
      </c>
      <c r="Z21" s="17">
        <f t="shared" si="13"/>
        <v>1.7142857142857142</v>
      </c>
      <c r="AA21" s="17">
        <f t="shared" si="13"/>
        <v>2.2857142857142856</v>
      </c>
      <c r="AB21" s="17">
        <f t="shared" si="13"/>
        <v>0.5714285714285714</v>
      </c>
      <c r="AC21" s="17">
        <f t="shared" si="13"/>
        <v>42.142857142857139</v>
      </c>
      <c r="AD21" s="17">
        <f t="shared" si="13"/>
        <v>0</v>
      </c>
      <c r="AE21" s="31">
        <f t="shared" si="13"/>
        <v>16.714285714285712</v>
      </c>
      <c r="AF21" s="31">
        <f t="shared" si="13"/>
        <v>58.857142857142854</v>
      </c>
    </row>
    <row r="22" spans="2:32" ht="23.1" customHeight="1" x14ac:dyDescent="0.25">
      <c r="B22" s="23" t="s">
        <v>49</v>
      </c>
      <c r="C22" s="49">
        <f>AVERAGE('17.10 KANONI-SSEMBABULE'!C22,'18.10 KANONI-SSEMBABULE-24h'!C22,'19.10 KANONI-SSEMBABULE-24h'!C22,'20.10 KANONI-SSEMBABULE'!C22,'21.10 KANONI-SSEMBABULE'!C22,'22.10 KANONI-SSEMBABULE'!C22,'23.10 KANONI-SSEMBABULE'!C22)</f>
        <v>1</v>
      </c>
      <c r="D22" s="49">
        <f>AVERAGE('17.10 KANONI-SSEMBABULE'!D22,'18.10 KANONI-SSEMBABULE-24h'!D22,'19.10 KANONI-SSEMBABULE-24h'!D22,'20.10 KANONI-SSEMBABULE'!D22,'21.10 KANONI-SSEMBABULE'!D22,'22.10 KANONI-SSEMBABULE'!D22,'23.10 KANONI-SSEMBABULE'!D22)</f>
        <v>0.42857142857142855</v>
      </c>
      <c r="E22" s="49">
        <f>AVERAGE('17.10 KANONI-SSEMBABULE'!E22,'18.10 KANONI-SSEMBABULE-24h'!E22,'19.10 KANONI-SSEMBABULE-24h'!E22,'20.10 KANONI-SSEMBABULE'!E22,'21.10 KANONI-SSEMBABULE'!E22,'22.10 KANONI-SSEMBABULE'!E22,'23.10 KANONI-SSEMBABULE'!E22)</f>
        <v>0.42857142857142855</v>
      </c>
      <c r="F22" s="49">
        <f>AVERAGE('17.10 KANONI-SSEMBABULE'!F22,'18.10 KANONI-SSEMBABULE-24h'!F22,'19.10 KANONI-SSEMBABULE-24h'!F22,'20.10 KANONI-SSEMBABULE'!F22,'21.10 KANONI-SSEMBABULE'!F22,'22.10 KANONI-SSEMBABULE'!F22,'23.10 KANONI-SSEMBABULE'!F22)</f>
        <v>0</v>
      </c>
      <c r="G22" s="49">
        <f>AVERAGE('17.10 KANONI-SSEMBABULE'!G22,'18.10 KANONI-SSEMBABULE-24h'!G22,'19.10 KANONI-SSEMBABULE-24h'!G22,'20.10 KANONI-SSEMBABULE'!G22,'21.10 KANONI-SSEMBABULE'!G22,'22.10 KANONI-SSEMBABULE'!G22,'23.10 KANONI-SSEMBABULE'!G22)</f>
        <v>0</v>
      </c>
      <c r="H22" s="49">
        <f>AVERAGE('17.10 KANONI-SSEMBABULE'!H22,'18.10 KANONI-SSEMBABULE-24h'!H22,'19.10 KANONI-SSEMBABULE-24h'!H22,'20.10 KANONI-SSEMBABULE'!H22,'21.10 KANONI-SSEMBABULE'!H22,'22.10 KANONI-SSEMBABULE'!H22,'23.10 KANONI-SSEMBABULE'!H22)</f>
        <v>0</v>
      </c>
      <c r="I22" s="49">
        <f>AVERAGE('17.10 KANONI-SSEMBABULE'!I22,'18.10 KANONI-SSEMBABULE-24h'!I22,'19.10 KANONI-SSEMBABULE-24h'!I22,'20.10 KANONI-SSEMBABULE'!I22,'21.10 KANONI-SSEMBABULE'!I22,'22.10 KANONI-SSEMBABULE'!I22,'23.10 KANONI-SSEMBABULE'!I22)</f>
        <v>0.14285714285714285</v>
      </c>
      <c r="J22" s="49">
        <f>AVERAGE('17.10 KANONI-SSEMBABULE'!J22,'18.10 KANONI-SSEMBABULE-24h'!J22,'19.10 KANONI-SSEMBABULE-24h'!J22,'20.10 KANONI-SSEMBABULE'!J22,'21.10 KANONI-SSEMBABULE'!J22,'22.10 KANONI-SSEMBABULE'!J22,'23.10 KANONI-SSEMBABULE'!J22)</f>
        <v>0.14285714285714285</v>
      </c>
      <c r="K22" s="49">
        <f>AVERAGE('17.10 KANONI-SSEMBABULE'!K22,'18.10 KANONI-SSEMBABULE-24h'!K22,'19.10 KANONI-SSEMBABULE-24h'!K22,'20.10 KANONI-SSEMBABULE'!K22,'21.10 KANONI-SSEMBABULE'!K22,'22.10 KANONI-SSEMBABULE'!K22,'23.10 KANONI-SSEMBABULE'!K22)</f>
        <v>0.8571428571428571</v>
      </c>
      <c r="L22" s="49">
        <f>AVERAGE('17.10 KANONI-SSEMBABULE'!L22,'18.10 KANONI-SSEMBABULE-24h'!L22,'19.10 KANONI-SSEMBABULE-24h'!L22,'20.10 KANONI-SSEMBABULE'!L22,'21.10 KANONI-SSEMBABULE'!L22,'22.10 KANONI-SSEMBABULE'!L22,'23.10 KANONI-SSEMBABULE'!L22)</f>
        <v>0</v>
      </c>
      <c r="M22" s="49">
        <f>AVERAGE('17.10 KANONI-SSEMBABULE'!M22,'18.10 KANONI-SSEMBABULE-24h'!M22,'19.10 KANONI-SSEMBABULE-24h'!M22,'20.10 KANONI-SSEMBABULE'!M22,'21.10 KANONI-SSEMBABULE'!M22,'22.10 KANONI-SSEMBABULE'!M22,'23.10 KANONI-SSEMBABULE'!M22)</f>
        <v>7.8571428571428568</v>
      </c>
      <c r="N22" s="49">
        <f>AVERAGE('17.10 KANONI-SSEMBABULE'!N22,'18.10 KANONI-SSEMBABULE-24h'!N22,'19.10 KANONI-SSEMBABULE-24h'!N22,'20.10 KANONI-SSEMBABULE'!N22,'21.10 KANONI-SSEMBABULE'!N22,'22.10 KANONI-SSEMBABULE'!N22,'23.10 KANONI-SSEMBABULE'!N22)</f>
        <v>0.14285714285714285</v>
      </c>
      <c r="O22" s="15">
        <f t="shared" si="0"/>
        <v>3.1428571428571428</v>
      </c>
      <c r="P22" s="15">
        <f t="shared" si="1"/>
        <v>11</v>
      </c>
      <c r="R22" s="1" t="s">
        <v>146</v>
      </c>
      <c r="S22" s="34">
        <f>SUM(C58:C61)</f>
        <v>7</v>
      </c>
      <c r="T22" s="34">
        <f t="shared" ref="T22:AF22" si="14">SUM(D58:D61)</f>
        <v>6</v>
      </c>
      <c r="U22" s="34">
        <f t="shared" si="14"/>
        <v>1.5</v>
      </c>
      <c r="V22" s="34">
        <f t="shared" si="14"/>
        <v>1.5</v>
      </c>
      <c r="W22" s="34">
        <f t="shared" si="14"/>
        <v>0.5</v>
      </c>
      <c r="X22" s="34">
        <f t="shared" si="14"/>
        <v>0</v>
      </c>
      <c r="Y22" s="34">
        <f t="shared" si="14"/>
        <v>1.5</v>
      </c>
      <c r="Z22" s="34">
        <f t="shared" si="14"/>
        <v>3</v>
      </c>
      <c r="AA22" s="34">
        <f t="shared" si="14"/>
        <v>0.5</v>
      </c>
      <c r="AB22" s="34">
        <f t="shared" si="14"/>
        <v>0</v>
      </c>
      <c r="AC22" s="34">
        <f t="shared" si="14"/>
        <v>35.5</v>
      </c>
      <c r="AD22" s="34">
        <f t="shared" si="14"/>
        <v>0</v>
      </c>
      <c r="AE22" s="31">
        <f t="shared" si="14"/>
        <v>21.5</v>
      </c>
      <c r="AF22" s="31">
        <f t="shared" si="14"/>
        <v>57</v>
      </c>
    </row>
    <row r="23" spans="2:32" ht="23.1" customHeight="1" x14ac:dyDescent="0.25">
      <c r="B23" s="23" t="s">
        <v>50</v>
      </c>
      <c r="C23" s="49">
        <f>AVERAGE('17.10 KANONI-SSEMBABULE'!C23,'18.10 KANONI-SSEMBABULE-24h'!C23,'19.10 KANONI-SSEMBABULE-24h'!C23,'20.10 KANONI-SSEMBABULE'!C23,'21.10 KANONI-SSEMBABULE'!C23,'22.10 KANONI-SSEMBABULE'!C23,'23.10 KANONI-SSEMBABULE'!C23)</f>
        <v>0.8571428571428571</v>
      </c>
      <c r="D23" s="49">
        <f>AVERAGE('17.10 KANONI-SSEMBABULE'!D23,'18.10 KANONI-SSEMBABULE-24h'!D23,'19.10 KANONI-SSEMBABULE-24h'!D23,'20.10 KANONI-SSEMBABULE'!D23,'21.10 KANONI-SSEMBABULE'!D23,'22.10 KANONI-SSEMBABULE'!D23,'23.10 KANONI-SSEMBABULE'!D23)</f>
        <v>0.14285714285714285</v>
      </c>
      <c r="E23" s="49">
        <f>AVERAGE('17.10 KANONI-SSEMBABULE'!E23,'18.10 KANONI-SSEMBABULE-24h'!E23,'19.10 KANONI-SSEMBABULE-24h'!E23,'20.10 KANONI-SSEMBABULE'!E23,'21.10 KANONI-SSEMBABULE'!E23,'22.10 KANONI-SSEMBABULE'!E23,'23.10 KANONI-SSEMBABULE'!E23)</f>
        <v>0.14285714285714285</v>
      </c>
      <c r="F23" s="49">
        <f>AVERAGE('17.10 KANONI-SSEMBABULE'!F23,'18.10 KANONI-SSEMBABULE-24h'!F23,'19.10 KANONI-SSEMBABULE-24h'!F23,'20.10 KANONI-SSEMBABULE'!F23,'21.10 KANONI-SSEMBABULE'!F23,'22.10 KANONI-SSEMBABULE'!F23,'23.10 KANONI-SSEMBABULE'!F23)</f>
        <v>0.2857142857142857</v>
      </c>
      <c r="G23" s="49">
        <f>AVERAGE('17.10 KANONI-SSEMBABULE'!G23,'18.10 KANONI-SSEMBABULE-24h'!G23,'19.10 KANONI-SSEMBABULE-24h'!G23,'20.10 KANONI-SSEMBABULE'!G23,'21.10 KANONI-SSEMBABULE'!G23,'22.10 KANONI-SSEMBABULE'!G23,'23.10 KANONI-SSEMBABULE'!G23)</f>
        <v>0.14285714285714285</v>
      </c>
      <c r="H23" s="49">
        <f>AVERAGE('17.10 KANONI-SSEMBABULE'!H23,'18.10 KANONI-SSEMBABULE-24h'!H23,'19.10 KANONI-SSEMBABULE-24h'!H23,'20.10 KANONI-SSEMBABULE'!H23,'21.10 KANONI-SSEMBABULE'!H23,'22.10 KANONI-SSEMBABULE'!H23,'23.10 KANONI-SSEMBABULE'!H23)</f>
        <v>0</v>
      </c>
      <c r="I23" s="49">
        <f>AVERAGE('17.10 KANONI-SSEMBABULE'!I23,'18.10 KANONI-SSEMBABULE-24h'!I23,'19.10 KANONI-SSEMBABULE-24h'!I23,'20.10 KANONI-SSEMBABULE'!I23,'21.10 KANONI-SSEMBABULE'!I23,'22.10 KANONI-SSEMBABULE'!I23,'23.10 KANONI-SSEMBABULE'!I23)</f>
        <v>0.14285714285714285</v>
      </c>
      <c r="J23" s="49">
        <f>AVERAGE('17.10 KANONI-SSEMBABULE'!J23,'18.10 KANONI-SSEMBABULE-24h'!J23,'19.10 KANONI-SSEMBABULE-24h'!J23,'20.10 KANONI-SSEMBABULE'!J23,'21.10 KANONI-SSEMBABULE'!J23,'22.10 KANONI-SSEMBABULE'!J23,'23.10 KANONI-SSEMBABULE'!J23)</f>
        <v>0.14285714285714285</v>
      </c>
      <c r="K23" s="49">
        <f>AVERAGE('17.10 KANONI-SSEMBABULE'!K23,'18.10 KANONI-SSEMBABULE-24h'!K23,'19.10 KANONI-SSEMBABULE-24h'!K23,'20.10 KANONI-SSEMBABULE'!K23,'21.10 KANONI-SSEMBABULE'!K23,'22.10 KANONI-SSEMBABULE'!K23,'23.10 KANONI-SSEMBABULE'!K23)</f>
        <v>0.7142857142857143</v>
      </c>
      <c r="L23" s="49">
        <f>AVERAGE('17.10 KANONI-SSEMBABULE'!L23,'18.10 KANONI-SSEMBABULE-24h'!L23,'19.10 KANONI-SSEMBABULE-24h'!L23,'20.10 KANONI-SSEMBABULE'!L23,'21.10 KANONI-SSEMBABULE'!L23,'22.10 KANONI-SSEMBABULE'!L23,'23.10 KANONI-SSEMBABULE'!L23)</f>
        <v>0</v>
      </c>
      <c r="M23" s="49">
        <f>AVERAGE('17.10 KANONI-SSEMBABULE'!M23,'18.10 KANONI-SSEMBABULE-24h'!M23,'19.10 KANONI-SSEMBABULE-24h'!M23,'20.10 KANONI-SSEMBABULE'!M23,'21.10 KANONI-SSEMBABULE'!M23,'22.10 KANONI-SSEMBABULE'!M23,'23.10 KANONI-SSEMBABULE'!M23)</f>
        <v>8.7142857142857135</v>
      </c>
      <c r="N23" s="49">
        <f>AVERAGE('17.10 KANONI-SSEMBABULE'!N23,'18.10 KANONI-SSEMBABULE-24h'!N23,'19.10 KANONI-SSEMBABULE-24h'!N23,'20.10 KANONI-SSEMBABULE'!N23,'21.10 KANONI-SSEMBABULE'!N23,'22.10 KANONI-SSEMBABULE'!N23,'23.10 KANONI-SSEMBABULE'!N23)</f>
        <v>0</v>
      </c>
      <c r="O23" s="15">
        <f t="shared" si="0"/>
        <v>2.5714285714285712</v>
      </c>
      <c r="P23" s="15">
        <f t="shared" si="1"/>
        <v>11.285714285714285</v>
      </c>
      <c r="R23" s="1" t="s">
        <v>147</v>
      </c>
      <c r="S23" s="34">
        <f>SUM(C62:C65)</f>
        <v>4.5</v>
      </c>
      <c r="T23" s="34">
        <f t="shared" ref="T23:AF23" si="15">SUM(D62:D65)</f>
        <v>3.5</v>
      </c>
      <c r="U23" s="34">
        <f t="shared" si="15"/>
        <v>1.5</v>
      </c>
      <c r="V23" s="34">
        <f t="shared" si="15"/>
        <v>3</v>
      </c>
      <c r="W23" s="34">
        <f t="shared" si="15"/>
        <v>0</v>
      </c>
      <c r="X23" s="34">
        <f t="shared" si="15"/>
        <v>0</v>
      </c>
      <c r="Y23" s="34">
        <f t="shared" si="15"/>
        <v>3</v>
      </c>
      <c r="Z23" s="34">
        <f t="shared" si="15"/>
        <v>2.5</v>
      </c>
      <c r="AA23" s="34">
        <f t="shared" si="15"/>
        <v>0.5</v>
      </c>
      <c r="AB23" s="34">
        <f t="shared" si="15"/>
        <v>0</v>
      </c>
      <c r="AC23" s="34">
        <f t="shared" si="15"/>
        <v>21</v>
      </c>
      <c r="AD23" s="34">
        <f t="shared" si="15"/>
        <v>0</v>
      </c>
      <c r="AE23" s="31">
        <f t="shared" si="15"/>
        <v>18.5</v>
      </c>
      <c r="AF23" s="31">
        <f t="shared" si="15"/>
        <v>39.5</v>
      </c>
    </row>
    <row r="24" spans="2:32" ht="23.1" customHeight="1" x14ac:dyDescent="0.25">
      <c r="B24" s="23" t="s">
        <v>51</v>
      </c>
      <c r="C24" s="49">
        <f>AVERAGE('17.10 KANONI-SSEMBABULE'!C24,'18.10 KANONI-SSEMBABULE-24h'!C24,'19.10 KANONI-SSEMBABULE-24h'!C24,'20.10 KANONI-SSEMBABULE'!C24,'21.10 KANONI-SSEMBABULE'!C24,'22.10 KANONI-SSEMBABULE'!C24,'23.10 KANONI-SSEMBABULE'!C24)</f>
        <v>0.7142857142857143</v>
      </c>
      <c r="D24" s="49">
        <f>AVERAGE('17.10 KANONI-SSEMBABULE'!D24,'18.10 KANONI-SSEMBABULE-24h'!D24,'19.10 KANONI-SSEMBABULE-24h'!D24,'20.10 KANONI-SSEMBABULE'!D24,'21.10 KANONI-SSEMBABULE'!D24,'22.10 KANONI-SSEMBABULE'!D24,'23.10 KANONI-SSEMBABULE'!D24)</f>
        <v>0.14285714285714285</v>
      </c>
      <c r="E24" s="49">
        <f>AVERAGE('17.10 KANONI-SSEMBABULE'!E24,'18.10 KANONI-SSEMBABULE-24h'!E24,'19.10 KANONI-SSEMBABULE-24h'!E24,'20.10 KANONI-SSEMBABULE'!E24,'21.10 KANONI-SSEMBABULE'!E24,'22.10 KANONI-SSEMBABULE'!E24,'23.10 KANONI-SSEMBABULE'!E24)</f>
        <v>0.42857142857142855</v>
      </c>
      <c r="F24" s="49">
        <f>AVERAGE('17.10 KANONI-SSEMBABULE'!F24,'18.10 KANONI-SSEMBABULE-24h'!F24,'19.10 KANONI-SSEMBABULE-24h'!F24,'20.10 KANONI-SSEMBABULE'!F24,'21.10 KANONI-SSEMBABULE'!F24,'22.10 KANONI-SSEMBABULE'!F24,'23.10 KANONI-SSEMBABULE'!F24)</f>
        <v>0</v>
      </c>
      <c r="G24" s="49">
        <f>AVERAGE('17.10 KANONI-SSEMBABULE'!G24,'18.10 KANONI-SSEMBABULE-24h'!G24,'19.10 KANONI-SSEMBABULE-24h'!G24,'20.10 KANONI-SSEMBABULE'!G24,'21.10 KANONI-SSEMBABULE'!G24,'22.10 KANONI-SSEMBABULE'!G24,'23.10 KANONI-SSEMBABULE'!G24)</f>
        <v>0.14285714285714285</v>
      </c>
      <c r="H24" s="49">
        <f>AVERAGE('17.10 KANONI-SSEMBABULE'!H24,'18.10 KANONI-SSEMBABULE-24h'!H24,'19.10 KANONI-SSEMBABULE-24h'!H24,'20.10 KANONI-SSEMBABULE'!H24,'21.10 KANONI-SSEMBABULE'!H24,'22.10 KANONI-SSEMBABULE'!H24,'23.10 KANONI-SSEMBABULE'!H24)</f>
        <v>0</v>
      </c>
      <c r="I24" s="49">
        <f>AVERAGE('17.10 KANONI-SSEMBABULE'!I24,'18.10 KANONI-SSEMBABULE-24h'!I24,'19.10 KANONI-SSEMBABULE-24h'!I24,'20.10 KANONI-SSEMBABULE'!I24,'21.10 KANONI-SSEMBABULE'!I24,'22.10 KANONI-SSEMBABULE'!I24,'23.10 KANONI-SSEMBABULE'!I24)</f>
        <v>0.2857142857142857</v>
      </c>
      <c r="J24" s="49">
        <f>AVERAGE('17.10 KANONI-SSEMBABULE'!J24,'18.10 KANONI-SSEMBABULE-24h'!J24,'19.10 KANONI-SSEMBABULE-24h'!J24,'20.10 KANONI-SSEMBABULE'!J24,'21.10 KANONI-SSEMBABULE'!J24,'22.10 KANONI-SSEMBABULE'!J24,'23.10 KANONI-SSEMBABULE'!J24)</f>
        <v>0</v>
      </c>
      <c r="K24" s="49">
        <f>AVERAGE('17.10 KANONI-SSEMBABULE'!K24,'18.10 KANONI-SSEMBABULE-24h'!K24,'19.10 KANONI-SSEMBABULE-24h'!K24,'20.10 KANONI-SSEMBABULE'!K24,'21.10 KANONI-SSEMBABULE'!K24,'22.10 KANONI-SSEMBABULE'!K24,'23.10 KANONI-SSEMBABULE'!K24)</f>
        <v>1.1428571428571428</v>
      </c>
      <c r="L24" s="49">
        <f>AVERAGE('17.10 KANONI-SSEMBABULE'!L24,'18.10 KANONI-SSEMBABULE-24h'!L24,'19.10 KANONI-SSEMBABULE-24h'!L24,'20.10 KANONI-SSEMBABULE'!L24,'21.10 KANONI-SSEMBABULE'!L24,'22.10 KANONI-SSEMBABULE'!L24,'23.10 KANONI-SSEMBABULE'!L24)</f>
        <v>0</v>
      </c>
      <c r="M24" s="49">
        <f>AVERAGE('17.10 KANONI-SSEMBABULE'!M24,'18.10 KANONI-SSEMBABULE-24h'!M24,'19.10 KANONI-SSEMBABULE-24h'!M24,'20.10 KANONI-SSEMBABULE'!M24,'21.10 KANONI-SSEMBABULE'!M24,'22.10 KANONI-SSEMBABULE'!M24,'23.10 KANONI-SSEMBABULE'!M24)</f>
        <v>9.8571428571428577</v>
      </c>
      <c r="N24" s="49">
        <f>AVERAGE('17.10 KANONI-SSEMBABULE'!N24,'18.10 KANONI-SSEMBABULE-24h'!N24,'19.10 KANONI-SSEMBABULE-24h'!N24,'20.10 KANONI-SSEMBABULE'!N24,'21.10 KANONI-SSEMBABULE'!N24,'22.10 KANONI-SSEMBABULE'!N24,'23.10 KANONI-SSEMBABULE'!N24)</f>
        <v>0</v>
      </c>
      <c r="O24" s="15">
        <f t="shared" si="0"/>
        <v>2.8571428571428572</v>
      </c>
      <c r="P24" s="15">
        <f t="shared" si="1"/>
        <v>12.714285714285715</v>
      </c>
      <c r="R24" s="1" t="s">
        <v>148</v>
      </c>
      <c r="S24" s="34">
        <f>SUM(C66:C69)</f>
        <v>3</v>
      </c>
      <c r="T24" s="34">
        <f t="shared" ref="T24:AF24" si="16">SUM(D66:D69)</f>
        <v>4</v>
      </c>
      <c r="U24" s="34">
        <f t="shared" si="16"/>
        <v>0</v>
      </c>
      <c r="V24" s="34">
        <f t="shared" si="16"/>
        <v>0.5</v>
      </c>
      <c r="W24" s="34">
        <f t="shared" si="16"/>
        <v>0</v>
      </c>
      <c r="X24" s="34">
        <f t="shared" si="16"/>
        <v>0</v>
      </c>
      <c r="Y24" s="34">
        <f t="shared" si="16"/>
        <v>0</v>
      </c>
      <c r="Z24" s="34">
        <f t="shared" si="16"/>
        <v>2</v>
      </c>
      <c r="AA24" s="34">
        <f t="shared" si="16"/>
        <v>1.5</v>
      </c>
      <c r="AB24" s="34">
        <f t="shared" si="16"/>
        <v>0.5</v>
      </c>
      <c r="AC24" s="34">
        <f t="shared" si="16"/>
        <v>9</v>
      </c>
      <c r="AD24" s="34">
        <f t="shared" si="16"/>
        <v>0</v>
      </c>
      <c r="AE24" s="31">
        <f t="shared" si="16"/>
        <v>11.5</v>
      </c>
      <c r="AF24" s="31">
        <f t="shared" si="16"/>
        <v>20.5</v>
      </c>
    </row>
    <row r="25" spans="2:32" ht="23.1" customHeight="1" x14ac:dyDescent="0.25">
      <c r="B25" s="23" t="s">
        <v>52</v>
      </c>
      <c r="C25" s="49">
        <f>AVERAGE('17.10 KANONI-SSEMBABULE'!C25,'18.10 KANONI-SSEMBABULE-24h'!C25,'19.10 KANONI-SSEMBABULE-24h'!C25,'20.10 KANONI-SSEMBABULE'!C25,'21.10 KANONI-SSEMBABULE'!C25,'22.10 KANONI-SSEMBABULE'!C25,'23.10 KANONI-SSEMBABULE'!C25)</f>
        <v>0.8571428571428571</v>
      </c>
      <c r="D25" s="49">
        <f>AVERAGE('17.10 KANONI-SSEMBABULE'!D25,'18.10 KANONI-SSEMBABULE-24h'!D25,'19.10 KANONI-SSEMBABULE-24h'!D25,'20.10 KANONI-SSEMBABULE'!D25,'21.10 KANONI-SSEMBABULE'!D25,'22.10 KANONI-SSEMBABULE'!D25,'23.10 KANONI-SSEMBABULE'!D25)</f>
        <v>1.1428571428571428</v>
      </c>
      <c r="E25" s="49">
        <f>AVERAGE('17.10 KANONI-SSEMBABULE'!E25,'18.10 KANONI-SSEMBABULE-24h'!E25,'19.10 KANONI-SSEMBABULE-24h'!E25,'20.10 KANONI-SSEMBABULE'!E25,'21.10 KANONI-SSEMBABULE'!E25,'22.10 KANONI-SSEMBABULE'!E25,'23.10 KANONI-SSEMBABULE'!E25)</f>
        <v>0.5714285714285714</v>
      </c>
      <c r="F25" s="49">
        <f>AVERAGE('17.10 KANONI-SSEMBABULE'!F25,'18.10 KANONI-SSEMBABULE-24h'!F25,'19.10 KANONI-SSEMBABULE-24h'!F25,'20.10 KANONI-SSEMBABULE'!F25,'21.10 KANONI-SSEMBABULE'!F25,'22.10 KANONI-SSEMBABULE'!F25,'23.10 KANONI-SSEMBABULE'!F25)</f>
        <v>0.14285714285714285</v>
      </c>
      <c r="G25" s="49">
        <f>AVERAGE('17.10 KANONI-SSEMBABULE'!G25,'18.10 KANONI-SSEMBABULE-24h'!G25,'19.10 KANONI-SSEMBABULE-24h'!G25,'20.10 KANONI-SSEMBABULE'!G25,'21.10 KANONI-SSEMBABULE'!G25,'22.10 KANONI-SSEMBABULE'!G25,'23.10 KANONI-SSEMBABULE'!G25)</f>
        <v>0</v>
      </c>
      <c r="H25" s="49">
        <f>AVERAGE('17.10 KANONI-SSEMBABULE'!H25,'18.10 KANONI-SSEMBABULE-24h'!H25,'19.10 KANONI-SSEMBABULE-24h'!H25,'20.10 KANONI-SSEMBABULE'!H25,'21.10 KANONI-SSEMBABULE'!H25,'22.10 KANONI-SSEMBABULE'!H25,'23.10 KANONI-SSEMBABULE'!H25)</f>
        <v>0</v>
      </c>
      <c r="I25" s="49">
        <f>AVERAGE('17.10 KANONI-SSEMBABULE'!I25,'18.10 KANONI-SSEMBABULE-24h'!I25,'19.10 KANONI-SSEMBABULE-24h'!I25,'20.10 KANONI-SSEMBABULE'!I25,'21.10 KANONI-SSEMBABULE'!I25,'22.10 KANONI-SSEMBABULE'!I25,'23.10 KANONI-SSEMBABULE'!I25)</f>
        <v>1</v>
      </c>
      <c r="J25" s="49">
        <f>AVERAGE('17.10 KANONI-SSEMBABULE'!J25,'18.10 KANONI-SSEMBABULE-24h'!J25,'19.10 KANONI-SSEMBABULE-24h'!J25,'20.10 KANONI-SSEMBABULE'!J25,'21.10 KANONI-SSEMBABULE'!J25,'22.10 KANONI-SSEMBABULE'!J25,'23.10 KANONI-SSEMBABULE'!J25)</f>
        <v>0.14285714285714285</v>
      </c>
      <c r="K25" s="49">
        <f>AVERAGE('17.10 KANONI-SSEMBABULE'!K25,'18.10 KANONI-SSEMBABULE-24h'!K25,'19.10 KANONI-SSEMBABULE-24h'!K25,'20.10 KANONI-SSEMBABULE'!K25,'21.10 KANONI-SSEMBABULE'!K25,'22.10 KANONI-SSEMBABULE'!K25,'23.10 KANONI-SSEMBABULE'!K25)</f>
        <v>0.14285714285714285</v>
      </c>
      <c r="L25" s="49">
        <f>AVERAGE('17.10 KANONI-SSEMBABULE'!L25,'18.10 KANONI-SSEMBABULE-24h'!L25,'19.10 KANONI-SSEMBABULE-24h'!L25,'20.10 KANONI-SSEMBABULE'!L25,'21.10 KANONI-SSEMBABULE'!L25,'22.10 KANONI-SSEMBABULE'!L25,'23.10 KANONI-SSEMBABULE'!L25)</f>
        <v>0</v>
      </c>
      <c r="M25" s="49">
        <f>AVERAGE('17.10 KANONI-SSEMBABULE'!M25,'18.10 KANONI-SSEMBABULE-24h'!M25,'19.10 KANONI-SSEMBABULE-24h'!M25,'20.10 KANONI-SSEMBABULE'!M25,'21.10 KANONI-SSEMBABULE'!M25,'22.10 KANONI-SSEMBABULE'!M25,'23.10 KANONI-SSEMBABULE'!M25)</f>
        <v>8.2857142857142865</v>
      </c>
      <c r="N25" s="49">
        <f>AVERAGE('17.10 KANONI-SSEMBABULE'!N25,'18.10 KANONI-SSEMBABULE-24h'!N25,'19.10 KANONI-SSEMBABULE-24h'!N25,'20.10 KANONI-SSEMBABULE'!N25,'21.10 KANONI-SSEMBABULE'!N25,'22.10 KANONI-SSEMBABULE'!N25,'23.10 KANONI-SSEMBABULE'!N25)</f>
        <v>0</v>
      </c>
      <c r="O25" s="15">
        <f t="shared" si="0"/>
        <v>3.9999999999999996</v>
      </c>
      <c r="P25" s="15">
        <f t="shared" si="1"/>
        <v>12.285714285714286</v>
      </c>
      <c r="R25" s="1" t="s">
        <v>149</v>
      </c>
      <c r="S25" s="34">
        <f>SUM(C70:C73)</f>
        <v>0.5</v>
      </c>
      <c r="T25" s="34">
        <f t="shared" ref="T25:AF25" si="17">SUM(D70:D73)</f>
        <v>1</v>
      </c>
      <c r="U25" s="34">
        <f t="shared" si="17"/>
        <v>0</v>
      </c>
      <c r="V25" s="34">
        <f t="shared" si="17"/>
        <v>0.5</v>
      </c>
      <c r="W25" s="34">
        <f t="shared" si="17"/>
        <v>0</v>
      </c>
      <c r="X25" s="34">
        <f t="shared" si="17"/>
        <v>0</v>
      </c>
      <c r="Y25" s="34">
        <f t="shared" si="17"/>
        <v>1.5</v>
      </c>
      <c r="Z25" s="34">
        <f t="shared" si="17"/>
        <v>0</v>
      </c>
      <c r="AA25" s="34">
        <f t="shared" si="17"/>
        <v>1</v>
      </c>
      <c r="AB25" s="34">
        <f t="shared" si="17"/>
        <v>0.5</v>
      </c>
      <c r="AC25" s="34">
        <f t="shared" si="17"/>
        <v>6.5</v>
      </c>
      <c r="AD25" s="34">
        <f t="shared" si="17"/>
        <v>0</v>
      </c>
      <c r="AE25" s="31">
        <f t="shared" si="17"/>
        <v>5</v>
      </c>
      <c r="AF25" s="31">
        <f t="shared" si="17"/>
        <v>11.5</v>
      </c>
    </row>
    <row r="26" spans="2:32" ht="23.1" customHeight="1" x14ac:dyDescent="0.25">
      <c r="B26" s="23" t="s">
        <v>53</v>
      </c>
      <c r="C26" s="49">
        <f>AVERAGE('17.10 KANONI-SSEMBABULE'!C26,'18.10 KANONI-SSEMBABULE-24h'!C26,'19.10 KANONI-SSEMBABULE-24h'!C26,'20.10 KANONI-SSEMBABULE'!C26,'21.10 KANONI-SSEMBABULE'!C26,'22.10 KANONI-SSEMBABULE'!C26,'23.10 KANONI-SSEMBABULE'!C26)</f>
        <v>1.1428571428571428</v>
      </c>
      <c r="D26" s="49">
        <f>AVERAGE('17.10 KANONI-SSEMBABULE'!D26,'18.10 KANONI-SSEMBABULE-24h'!D26,'19.10 KANONI-SSEMBABULE-24h'!D26,'20.10 KANONI-SSEMBABULE'!D26,'21.10 KANONI-SSEMBABULE'!D26,'22.10 KANONI-SSEMBABULE'!D26,'23.10 KANONI-SSEMBABULE'!D26)</f>
        <v>0.5714285714285714</v>
      </c>
      <c r="E26" s="49">
        <f>AVERAGE('17.10 KANONI-SSEMBABULE'!E26,'18.10 KANONI-SSEMBABULE-24h'!E26,'19.10 KANONI-SSEMBABULE-24h'!E26,'20.10 KANONI-SSEMBABULE'!E26,'21.10 KANONI-SSEMBABULE'!E26,'22.10 KANONI-SSEMBABULE'!E26,'23.10 KANONI-SSEMBABULE'!E26)</f>
        <v>0.8571428571428571</v>
      </c>
      <c r="F26" s="49">
        <f>AVERAGE('17.10 KANONI-SSEMBABULE'!F26,'18.10 KANONI-SSEMBABULE-24h'!F26,'19.10 KANONI-SSEMBABULE-24h'!F26,'20.10 KANONI-SSEMBABULE'!F26,'21.10 KANONI-SSEMBABULE'!F26,'22.10 KANONI-SSEMBABULE'!F26,'23.10 KANONI-SSEMBABULE'!F26)</f>
        <v>0.5714285714285714</v>
      </c>
      <c r="G26" s="49">
        <f>AVERAGE('17.10 KANONI-SSEMBABULE'!G26,'18.10 KANONI-SSEMBABULE-24h'!G26,'19.10 KANONI-SSEMBABULE-24h'!G26,'20.10 KANONI-SSEMBABULE'!G26,'21.10 KANONI-SSEMBABULE'!G26,'22.10 KANONI-SSEMBABULE'!G26,'23.10 KANONI-SSEMBABULE'!G26)</f>
        <v>0</v>
      </c>
      <c r="H26" s="49">
        <f>AVERAGE('17.10 KANONI-SSEMBABULE'!H26,'18.10 KANONI-SSEMBABULE-24h'!H26,'19.10 KANONI-SSEMBABULE-24h'!H26,'20.10 KANONI-SSEMBABULE'!H26,'21.10 KANONI-SSEMBABULE'!H26,'22.10 KANONI-SSEMBABULE'!H26,'23.10 KANONI-SSEMBABULE'!H26)</f>
        <v>0</v>
      </c>
      <c r="I26" s="49">
        <f>AVERAGE('17.10 KANONI-SSEMBABULE'!I26,'18.10 KANONI-SSEMBABULE-24h'!I26,'19.10 KANONI-SSEMBABULE-24h'!I26,'20.10 KANONI-SSEMBABULE'!I26,'21.10 KANONI-SSEMBABULE'!I26,'22.10 KANONI-SSEMBABULE'!I26,'23.10 KANONI-SSEMBABULE'!I26)</f>
        <v>0.14285714285714285</v>
      </c>
      <c r="J26" s="49">
        <f>AVERAGE('17.10 KANONI-SSEMBABULE'!J26,'18.10 KANONI-SSEMBABULE-24h'!J26,'19.10 KANONI-SSEMBABULE-24h'!J26,'20.10 KANONI-SSEMBABULE'!J26,'21.10 KANONI-SSEMBABULE'!J26,'22.10 KANONI-SSEMBABULE'!J26,'23.10 KANONI-SSEMBABULE'!J26)</f>
        <v>0.14285714285714285</v>
      </c>
      <c r="K26" s="49">
        <f>AVERAGE('17.10 KANONI-SSEMBABULE'!K26,'18.10 KANONI-SSEMBABULE-24h'!K26,'19.10 KANONI-SSEMBABULE-24h'!K26,'20.10 KANONI-SSEMBABULE'!K26,'21.10 KANONI-SSEMBABULE'!K26,'22.10 KANONI-SSEMBABULE'!K26,'23.10 KANONI-SSEMBABULE'!K26)</f>
        <v>0.2857142857142857</v>
      </c>
      <c r="L26" s="49">
        <f>AVERAGE('17.10 KANONI-SSEMBABULE'!L26,'18.10 KANONI-SSEMBABULE-24h'!L26,'19.10 KANONI-SSEMBABULE-24h'!L26,'20.10 KANONI-SSEMBABULE'!L26,'21.10 KANONI-SSEMBABULE'!L26,'22.10 KANONI-SSEMBABULE'!L26,'23.10 KANONI-SSEMBABULE'!L26)</f>
        <v>0.14285714285714285</v>
      </c>
      <c r="M26" s="49">
        <f>AVERAGE('17.10 KANONI-SSEMBABULE'!M26,'18.10 KANONI-SSEMBABULE-24h'!M26,'19.10 KANONI-SSEMBABULE-24h'!M26,'20.10 KANONI-SSEMBABULE'!M26,'21.10 KANONI-SSEMBABULE'!M26,'22.10 KANONI-SSEMBABULE'!M26,'23.10 KANONI-SSEMBABULE'!M26)</f>
        <v>11.571428571428571</v>
      </c>
      <c r="N26" s="49">
        <f>AVERAGE('17.10 KANONI-SSEMBABULE'!N26,'18.10 KANONI-SSEMBABULE-24h'!N26,'19.10 KANONI-SSEMBABULE-24h'!N26,'20.10 KANONI-SSEMBABULE'!N26,'21.10 KANONI-SSEMBABULE'!N26,'22.10 KANONI-SSEMBABULE'!N26,'23.10 KANONI-SSEMBABULE'!N26)</f>
        <v>0</v>
      </c>
      <c r="O26" s="15">
        <f t="shared" si="0"/>
        <v>3.8571428571428563</v>
      </c>
      <c r="P26" s="15">
        <f t="shared" si="1"/>
        <v>15.428571428571427</v>
      </c>
      <c r="R26" s="1" t="s">
        <v>150</v>
      </c>
      <c r="S26" s="34">
        <f>SUM(C74:C77)</f>
        <v>1.5</v>
      </c>
      <c r="T26" s="34">
        <f t="shared" ref="T26:AF26" si="18">SUM(D74:D77)</f>
        <v>0</v>
      </c>
      <c r="U26" s="34">
        <f t="shared" si="18"/>
        <v>0</v>
      </c>
      <c r="V26" s="34">
        <f t="shared" si="18"/>
        <v>1.5</v>
      </c>
      <c r="W26" s="34">
        <f t="shared" si="18"/>
        <v>0</v>
      </c>
      <c r="X26" s="34">
        <f t="shared" si="18"/>
        <v>0</v>
      </c>
      <c r="Y26" s="34">
        <f t="shared" si="18"/>
        <v>1</v>
      </c>
      <c r="Z26" s="34">
        <f t="shared" si="18"/>
        <v>0.5</v>
      </c>
      <c r="AA26" s="34">
        <f t="shared" si="18"/>
        <v>2</v>
      </c>
      <c r="AB26" s="34">
        <f t="shared" si="18"/>
        <v>0.5</v>
      </c>
      <c r="AC26" s="34">
        <f t="shared" si="18"/>
        <v>2</v>
      </c>
      <c r="AD26" s="34">
        <f t="shared" si="18"/>
        <v>0</v>
      </c>
      <c r="AE26" s="31">
        <f t="shared" si="18"/>
        <v>7</v>
      </c>
      <c r="AF26" s="31">
        <f t="shared" si="18"/>
        <v>9</v>
      </c>
    </row>
    <row r="27" spans="2:32" ht="23.1" customHeight="1" x14ac:dyDescent="0.25">
      <c r="B27" s="23" t="s">
        <v>54</v>
      </c>
      <c r="C27" s="49">
        <f>AVERAGE('17.10 KANONI-SSEMBABULE'!C27,'18.10 KANONI-SSEMBABULE-24h'!C27,'19.10 KANONI-SSEMBABULE-24h'!C27,'20.10 KANONI-SSEMBABULE'!C27,'21.10 KANONI-SSEMBABULE'!C27,'22.10 KANONI-SSEMBABULE'!C27,'23.10 KANONI-SSEMBABULE'!C27)</f>
        <v>1.4285714285714286</v>
      </c>
      <c r="D27" s="49">
        <f>AVERAGE('17.10 KANONI-SSEMBABULE'!D27,'18.10 KANONI-SSEMBABULE-24h'!D27,'19.10 KANONI-SSEMBABULE-24h'!D27,'20.10 KANONI-SSEMBABULE'!D27,'21.10 KANONI-SSEMBABULE'!D27,'22.10 KANONI-SSEMBABULE'!D27,'23.10 KANONI-SSEMBABULE'!D27)</f>
        <v>0.8571428571428571</v>
      </c>
      <c r="E27" s="49">
        <f>AVERAGE('17.10 KANONI-SSEMBABULE'!E27,'18.10 KANONI-SSEMBABULE-24h'!E27,'19.10 KANONI-SSEMBABULE-24h'!E27,'20.10 KANONI-SSEMBABULE'!E27,'21.10 KANONI-SSEMBABULE'!E27,'22.10 KANONI-SSEMBABULE'!E27,'23.10 KANONI-SSEMBABULE'!E27)</f>
        <v>0.42857142857142855</v>
      </c>
      <c r="F27" s="49">
        <f>AVERAGE('17.10 KANONI-SSEMBABULE'!F27,'18.10 KANONI-SSEMBABULE-24h'!F27,'19.10 KANONI-SSEMBABULE-24h'!F27,'20.10 KANONI-SSEMBABULE'!F27,'21.10 KANONI-SSEMBABULE'!F27,'22.10 KANONI-SSEMBABULE'!F27,'23.10 KANONI-SSEMBABULE'!F27)</f>
        <v>0.2857142857142857</v>
      </c>
      <c r="G27" s="49">
        <f>AVERAGE('17.10 KANONI-SSEMBABULE'!G27,'18.10 KANONI-SSEMBABULE-24h'!G27,'19.10 KANONI-SSEMBABULE-24h'!G27,'20.10 KANONI-SSEMBABULE'!G27,'21.10 KANONI-SSEMBABULE'!G27,'22.10 KANONI-SSEMBABULE'!G27,'23.10 KANONI-SSEMBABULE'!G27)</f>
        <v>0</v>
      </c>
      <c r="H27" s="49">
        <f>AVERAGE('17.10 KANONI-SSEMBABULE'!H27,'18.10 KANONI-SSEMBABULE-24h'!H27,'19.10 KANONI-SSEMBABULE-24h'!H27,'20.10 KANONI-SSEMBABULE'!H27,'21.10 KANONI-SSEMBABULE'!H27,'22.10 KANONI-SSEMBABULE'!H27,'23.10 KANONI-SSEMBABULE'!H27)</f>
        <v>0</v>
      </c>
      <c r="I27" s="49">
        <f>AVERAGE('17.10 KANONI-SSEMBABULE'!I27,'18.10 KANONI-SSEMBABULE-24h'!I27,'19.10 KANONI-SSEMBABULE-24h'!I27,'20.10 KANONI-SSEMBABULE'!I27,'21.10 KANONI-SSEMBABULE'!I27,'22.10 KANONI-SSEMBABULE'!I27,'23.10 KANONI-SSEMBABULE'!I27)</f>
        <v>0.42857142857142855</v>
      </c>
      <c r="J27" s="49">
        <f>AVERAGE('17.10 KANONI-SSEMBABULE'!J27,'18.10 KANONI-SSEMBABULE-24h'!J27,'19.10 KANONI-SSEMBABULE-24h'!J27,'20.10 KANONI-SSEMBABULE'!J27,'21.10 KANONI-SSEMBABULE'!J27,'22.10 KANONI-SSEMBABULE'!J27,'23.10 KANONI-SSEMBABULE'!J27)</f>
        <v>0.5714285714285714</v>
      </c>
      <c r="K27" s="49">
        <f>AVERAGE('17.10 KANONI-SSEMBABULE'!K27,'18.10 KANONI-SSEMBABULE-24h'!K27,'19.10 KANONI-SSEMBABULE-24h'!K27,'20.10 KANONI-SSEMBABULE'!K27,'21.10 KANONI-SSEMBABULE'!K27,'22.10 KANONI-SSEMBABULE'!K27,'23.10 KANONI-SSEMBABULE'!K27)</f>
        <v>0.14285714285714285</v>
      </c>
      <c r="L27" s="49">
        <f>AVERAGE('17.10 KANONI-SSEMBABULE'!L27,'18.10 KANONI-SSEMBABULE-24h'!L27,'19.10 KANONI-SSEMBABULE-24h'!L27,'20.10 KANONI-SSEMBABULE'!L27,'21.10 KANONI-SSEMBABULE'!L27,'22.10 KANONI-SSEMBABULE'!L27,'23.10 KANONI-SSEMBABULE'!L27)</f>
        <v>0</v>
      </c>
      <c r="M27" s="49">
        <f>AVERAGE('17.10 KANONI-SSEMBABULE'!M27,'18.10 KANONI-SSEMBABULE-24h'!M27,'19.10 KANONI-SSEMBABULE-24h'!M27,'20.10 KANONI-SSEMBABULE'!M27,'21.10 KANONI-SSEMBABULE'!M27,'22.10 KANONI-SSEMBABULE'!M27,'23.10 KANONI-SSEMBABULE'!M27)</f>
        <v>8.8571428571428577</v>
      </c>
      <c r="N27" s="49">
        <f>AVERAGE('17.10 KANONI-SSEMBABULE'!N27,'18.10 KANONI-SSEMBABULE-24h'!N27,'19.10 KANONI-SSEMBABULE-24h'!N27,'20.10 KANONI-SSEMBABULE'!N27,'21.10 KANONI-SSEMBABULE'!N27,'22.10 KANONI-SSEMBABULE'!N27,'23.10 KANONI-SSEMBABULE'!N27)</f>
        <v>0</v>
      </c>
      <c r="O27" s="15">
        <f t="shared" si="0"/>
        <v>4.1428571428571423</v>
      </c>
      <c r="P27" s="15">
        <f t="shared" si="1"/>
        <v>13</v>
      </c>
      <c r="R27" s="1" t="s">
        <v>151</v>
      </c>
      <c r="S27" s="34">
        <f>SUM(C78:C81)</f>
        <v>1.5</v>
      </c>
      <c r="T27" s="34">
        <f t="shared" ref="T27:AF27" si="19">SUM(D78:D81)</f>
        <v>2.5</v>
      </c>
      <c r="U27" s="34">
        <f t="shared" si="19"/>
        <v>0</v>
      </c>
      <c r="V27" s="34">
        <f t="shared" si="19"/>
        <v>0.5</v>
      </c>
      <c r="W27" s="34">
        <f t="shared" si="19"/>
        <v>1</v>
      </c>
      <c r="X27" s="34">
        <f t="shared" si="19"/>
        <v>0</v>
      </c>
      <c r="Y27" s="34">
        <f t="shared" si="19"/>
        <v>1</v>
      </c>
      <c r="Z27" s="34">
        <f t="shared" si="19"/>
        <v>1</v>
      </c>
      <c r="AA27" s="34">
        <f t="shared" si="19"/>
        <v>1</v>
      </c>
      <c r="AB27" s="34">
        <f t="shared" si="19"/>
        <v>2</v>
      </c>
      <c r="AC27" s="34">
        <f t="shared" si="19"/>
        <v>4</v>
      </c>
      <c r="AD27" s="34">
        <f t="shared" si="19"/>
        <v>0</v>
      </c>
      <c r="AE27" s="31">
        <f t="shared" si="19"/>
        <v>10.5</v>
      </c>
      <c r="AF27" s="31">
        <f t="shared" si="19"/>
        <v>14.5</v>
      </c>
    </row>
    <row r="28" spans="2:32" ht="23.1" customHeight="1" x14ac:dyDescent="0.25">
      <c r="B28" s="23" t="s">
        <v>55</v>
      </c>
      <c r="C28" s="49">
        <f>AVERAGE('17.10 KANONI-SSEMBABULE'!C28,'18.10 KANONI-SSEMBABULE-24h'!C28,'19.10 KANONI-SSEMBABULE-24h'!C28,'20.10 KANONI-SSEMBABULE'!C28,'21.10 KANONI-SSEMBABULE'!C28,'22.10 KANONI-SSEMBABULE'!C28,'23.10 KANONI-SSEMBABULE'!C28)</f>
        <v>1.5714285714285714</v>
      </c>
      <c r="D28" s="49">
        <f>AVERAGE('17.10 KANONI-SSEMBABULE'!D28,'18.10 KANONI-SSEMBABULE-24h'!D28,'19.10 KANONI-SSEMBABULE-24h'!D28,'20.10 KANONI-SSEMBABULE'!D28,'21.10 KANONI-SSEMBABULE'!D28,'22.10 KANONI-SSEMBABULE'!D28,'23.10 KANONI-SSEMBABULE'!D28)</f>
        <v>0.42857142857142855</v>
      </c>
      <c r="E28" s="49">
        <f>AVERAGE('17.10 KANONI-SSEMBABULE'!E28,'18.10 KANONI-SSEMBABULE-24h'!E28,'19.10 KANONI-SSEMBABULE-24h'!E28,'20.10 KANONI-SSEMBABULE'!E28,'21.10 KANONI-SSEMBABULE'!E28,'22.10 KANONI-SSEMBABULE'!E28,'23.10 KANONI-SSEMBABULE'!E28)</f>
        <v>0</v>
      </c>
      <c r="F28" s="49">
        <f>AVERAGE('17.10 KANONI-SSEMBABULE'!F28,'18.10 KANONI-SSEMBABULE-24h'!F28,'19.10 KANONI-SSEMBABULE-24h'!F28,'20.10 KANONI-SSEMBABULE'!F28,'21.10 KANONI-SSEMBABULE'!F28,'22.10 KANONI-SSEMBABULE'!F28,'23.10 KANONI-SSEMBABULE'!F28)</f>
        <v>1</v>
      </c>
      <c r="G28" s="49">
        <f>AVERAGE('17.10 KANONI-SSEMBABULE'!G28,'18.10 KANONI-SSEMBABULE-24h'!G28,'19.10 KANONI-SSEMBABULE-24h'!G28,'20.10 KANONI-SSEMBABULE'!G28,'21.10 KANONI-SSEMBABULE'!G28,'22.10 KANONI-SSEMBABULE'!G28,'23.10 KANONI-SSEMBABULE'!G28)</f>
        <v>0</v>
      </c>
      <c r="H28" s="49">
        <f>AVERAGE('17.10 KANONI-SSEMBABULE'!H28,'18.10 KANONI-SSEMBABULE-24h'!H28,'19.10 KANONI-SSEMBABULE-24h'!H28,'20.10 KANONI-SSEMBABULE'!H28,'21.10 KANONI-SSEMBABULE'!H28,'22.10 KANONI-SSEMBABULE'!H28,'23.10 KANONI-SSEMBABULE'!H28)</f>
        <v>0</v>
      </c>
      <c r="I28" s="49">
        <f>AVERAGE('17.10 KANONI-SSEMBABULE'!I28,'18.10 KANONI-SSEMBABULE-24h'!I28,'19.10 KANONI-SSEMBABULE-24h'!I28,'20.10 KANONI-SSEMBABULE'!I28,'21.10 KANONI-SSEMBABULE'!I28,'22.10 KANONI-SSEMBABULE'!I28,'23.10 KANONI-SSEMBABULE'!I28)</f>
        <v>0.42857142857142855</v>
      </c>
      <c r="J28" s="49">
        <f>AVERAGE('17.10 KANONI-SSEMBABULE'!J28,'18.10 KANONI-SSEMBABULE-24h'!J28,'19.10 KANONI-SSEMBABULE-24h'!J28,'20.10 KANONI-SSEMBABULE'!J28,'21.10 KANONI-SSEMBABULE'!J28,'22.10 KANONI-SSEMBABULE'!J28,'23.10 KANONI-SSEMBABULE'!J28)</f>
        <v>0.14285714285714285</v>
      </c>
      <c r="K28" s="49">
        <f>AVERAGE('17.10 KANONI-SSEMBABULE'!K28,'18.10 KANONI-SSEMBABULE-24h'!K28,'19.10 KANONI-SSEMBABULE-24h'!K28,'20.10 KANONI-SSEMBABULE'!K28,'21.10 KANONI-SSEMBABULE'!K28,'22.10 KANONI-SSEMBABULE'!K28,'23.10 KANONI-SSEMBABULE'!K28)</f>
        <v>0.2857142857142857</v>
      </c>
      <c r="L28" s="49">
        <f>AVERAGE('17.10 KANONI-SSEMBABULE'!L28,'18.10 KANONI-SSEMBABULE-24h'!L28,'19.10 KANONI-SSEMBABULE-24h'!L28,'20.10 KANONI-SSEMBABULE'!L28,'21.10 KANONI-SSEMBABULE'!L28,'22.10 KANONI-SSEMBABULE'!L28,'23.10 KANONI-SSEMBABULE'!L28)</f>
        <v>0</v>
      </c>
      <c r="M28" s="49">
        <f>AVERAGE('17.10 KANONI-SSEMBABULE'!M28,'18.10 KANONI-SSEMBABULE-24h'!M28,'19.10 KANONI-SSEMBABULE-24h'!M28,'20.10 KANONI-SSEMBABULE'!M28,'21.10 KANONI-SSEMBABULE'!M28,'22.10 KANONI-SSEMBABULE'!M28,'23.10 KANONI-SSEMBABULE'!M28)</f>
        <v>8.1428571428571423</v>
      </c>
      <c r="N28" s="49">
        <f>AVERAGE('17.10 KANONI-SSEMBABULE'!N28,'18.10 KANONI-SSEMBABULE-24h'!N28,'19.10 KANONI-SSEMBABULE-24h'!N28,'20.10 KANONI-SSEMBABULE'!N28,'21.10 KANONI-SSEMBABULE'!N28,'22.10 KANONI-SSEMBABULE'!N28,'23.10 KANONI-SSEMBABULE'!N28)</f>
        <v>0</v>
      </c>
      <c r="O28" s="15">
        <f t="shared" si="0"/>
        <v>3.8571428571428568</v>
      </c>
      <c r="P28" s="15">
        <f t="shared" si="1"/>
        <v>12</v>
      </c>
      <c r="R28" s="1" t="s">
        <v>152</v>
      </c>
      <c r="S28" s="34">
        <f>SUM(C82:C85)</f>
        <v>1</v>
      </c>
      <c r="T28" s="34">
        <f t="shared" ref="T28:AF28" si="20">SUM(D82:D85)</f>
        <v>0</v>
      </c>
      <c r="U28" s="34">
        <f t="shared" si="20"/>
        <v>0</v>
      </c>
      <c r="V28" s="34">
        <f t="shared" si="20"/>
        <v>0</v>
      </c>
      <c r="W28" s="34">
        <f t="shared" si="20"/>
        <v>0.5</v>
      </c>
      <c r="X28" s="34">
        <f t="shared" si="20"/>
        <v>0.5</v>
      </c>
      <c r="Y28" s="34">
        <f t="shared" si="20"/>
        <v>2.5</v>
      </c>
      <c r="Z28" s="34">
        <f t="shared" si="20"/>
        <v>0</v>
      </c>
      <c r="AA28" s="34">
        <f t="shared" si="20"/>
        <v>1.5</v>
      </c>
      <c r="AB28" s="34">
        <f t="shared" si="20"/>
        <v>0</v>
      </c>
      <c r="AC28" s="34">
        <f t="shared" si="20"/>
        <v>3.5</v>
      </c>
      <c r="AD28" s="34">
        <f t="shared" si="20"/>
        <v>0</v>
      </c>
      <c r="AE28" s="31">
        <f t="shared" si="20"/>
        <v>6</v>
      </c>
      <c r="AF28" s="31">
        <f t="shared" si="20"/>
        <v>9.5</v>
      </c>
    </row>
    <row r="29" spans="2:32" ht="23.1" customHeight="1" x14ac:dyDescent="0.25">
      <c r="B29" s="23" t="s">
        <v>56</v>
      </c>
      <c r="C29" s="49">
        <f>AVERAGE('17.10 KANONI-SSEMBABULE'!C29,'18.10 KANONI-SSEMBABULE-24h'!C29,'19.10 KANONI-SSEMBABULE-24h'!C29,'20.10 KANONI-SSEMBABULE'!C29,'21.10 KANONI-SSEMBABULE'!C29,'22.10 KANONI-SSEMBABULE'!C29,'23.10 KANONI-SSEMBABULE'!C29)</f>
        <v>1</v>
      </c>
      <c r="D29" s="49">
        <f>AVERAGE('17.10 KANONI-SSEMBABULE'!D29,'18.10 KANONI-SSEMBABULE-24h'!D29,'19.10 KANONI-SSEMBABULE-24h'!D29,'20.10 KANONI-SSEMBABULE'!D29,'21.10 KANONI-SSEMBABULE'!D29,'22.10 KANONI-SSEMBABULE'!D29,'23.10 KANONI-SSEMBABULE'!D29)</f>
        <v>0.7142857142857143</v>
      </c>
      <c r="E29" s="49">
        <f>AVERAGE('17.10 KANONI-SSEMBABULE'!E29,'18.10 KANONI-SSEMBABULE-24h'!E29,'19.10 KANONI-SSEMBABULE-24h'!E29,'20.10 KANONI-SSEMBABULE'!E29,'21.10 KANONI-SSEMBABULE'!E29,'22.10 KANONI-SSEMBABULE'!E29,'23.10 KANONI-SSEMBABULE'!E29)</f>
        <v>0.42857142857142855</v>
      </c>
      <c r="F29" s="49">
        <f>AVERAGE('17.10 KANONI-SSEMBABULE'!F29,'18.10 KANONI-SSEMBABULE-24h'!F29,'19.10 KANONI-SSEMBABULE-24h'!F29,'20.10 KANONI-SSEMBABULE'!F29,'21.10 KANONI-SSEMBABULE'!F29,'22.10 KANONI-SSEMBABULE'!F29,'23.10 KANONI-SSEMBABULE'!F29)</f>
        <v>0.8571428571428571</v>
      </c>
      <c r="G29" s="49">
        <f>AVERAGE('17.10 KANONI-SSEMBABULE'!G29,'18.10 KANONI-SSEMBABULE-24h'!G29,'19.10 KANONI-SSEMBABULE-24h'!G29,'20.10 KANONI-SSEMBABULE'!G29,'21.10 KANONI-SSEMBABULE'!G29,'22.10 KANONI-SSEMBABULE'!G29,'23.10 KANONI-SSEMBABULE'!G29)</f>
        <v>0</v>
      </c>
      <c r="H29" s="49">
        <f>AVERAGE('17.10 KANONI-SSEMBABULE'!H29,'18.10 KANONI-SSEMBABULE-24h'!H29,'19.10 KANONI-SSEMBABULE-24h'!H29,'20.10 KANONI-SSEMBABULE'!H29,'21.10 KANONI-SSEMBABULE'!H29,'22.10 KANONI-SSEMBABULE'!H29,'23.10 KANONI-SSEMBABULE'!H29)</f>
        <v>0</v>
      </c>
      <c r="I29" s="49">
        <f>AVERAGE('17.10 KANONI-SSEMBABULE'!I29,'18.10 KANONI-SSEMBABULE-24h'!I29,'19.10 KANONI-SSEMBABULE-24h'!I29,'20.10 KANONI-SSEMBABULE'!I29,'21.10 KANONI-SSEMBABULE'!I29,'22.10 KANONI-SSEMBABULE'!I29,'23.10 KANONI-SSEMBABULE'!I29)</f>
        <v>0.5714285714285714</v>
      </c>
      <c r="J29" s="49">
        <f>AVERAGE('17.10 KANONI-SSEMBABULE'!J29,'18.10 KANONI-SSEMBABULE-24h'!J29,'19.10 KANONI-SSEMBABULE-24h'!J29,'20.10 KANONI-SSEMBABULE'!J29,'21.10 KANONI-SSEMBABULE'!J29,'22.10 KANONI-SSEMBABULE'!J29,'23.10 KANONI-SSEMBABULE'!J29)</f>
        <v>0</v>
      </c>
      <c r="K29" s="49">
        <f>AVERAGE('17.10 KANONI-SSEMBABULE'!K29,'18.10 KANONI-SSEMBABULE-24h'!K29,'19.10 KANONI-SSEMBABULE-24h'!K29,'20.10 KANONI-SSEMBABULE'!K29,'21.10 KANONI-SSEMBABULE'!K29,'22.10 KANONI-SSEMBABULE'!K29,'23.10 KANONI-SSEMBABULE'!K29)</f>
        <v>0.42857142857142855</v>
      </c>
      <c r="L29" s="49">
        <f>AVERAGE('17.10 KANONI-SSEMBABULE'!L29,'18.10 KANONI-SSEMBABULE-24h'!L29,'19.10 KANONI-SSEMBABULE-24h'!L29,'20.10 KANONI-SSEMBABULE'!L29,'21.10 KANONI-SSEMBABULE'!L29,'22.10 KANONI-SSEMBABULE'!L29,'23.10 KANONI-SSEMBABULE'!L29)</f>
        <v>0.2857142857142857</v>
      </c>
      <c r="M29" s="49">
        <f>AVERAGE('17.10 KANONI-SSEMBABULE'!M29,'18.10 KANONI-SSEMBABULE-24h'!M29,'19.10 KANONI-SSEMBABULE-24h'!M29,'20.10 KANONI-SSEMBABULE'!M29,'21.10 KANONI-SSEMBABULE'!M29,'22.10 KANONI-SSEMBABULE'!M29,'23.10 KANONI-SSEMBABULE'!M29)</f>
        <v>9.7142857142857135</v>
      </c>
      <c r="N29" s="49">
        <f>AVERAGE('17.10 KANONI-SSEMBABULE'!N29,'18.10 KANONI-SSEMBABULE-24h'!N29,'19.10 KANONI-SSEMBABULE-24h'!N29,'20.10 KANONI-SSEMBABULE'!N29,'21.10 KANONI-SSEMBABULE'!N29,'22.10 KANONI-SSEMBABULE'!N29,'23.10 KANONI-SSEMBABULE'!N29)</f>
        <v>0</v>
      </c>
      <c r="O29" s="15">
        <f t="shared" si="0"/>
        <v>4.2857142857142856</v>
      </c>
      <c r="P29" s="15">
        <f t="shared" si="1"/>
        <v>14</v>
      </c>
      <c r="R29" s="1" t="s">
        <v>153</v>
      </c>
      <c r="S29" s="34">
        <f>SUM(C86:C89)</f>
        <v>1.5</v>
      </c>
      <c r="T29" s="34">
        <f t="shared" ref="T29:AF29" si="21">SUM(D86:D89)</f>
        <v>0</v>
      </c>
      <c r="U29" s="34">
        <f t="shared" si="21"/>
        <v>0</v>
      </c>
      <c r="V29" s="34">
        <f t="shared" si="21"/>
        <v>0</v>
      </c>
      <c r="W29" s="34">
        <f t="shared" si="21"/>
        <v>0</v>
      </c>
      <c r="X29" s="34">
        <f t="shared" si="21"/>
        <v>1</v>
      </c>
      <c r="Y29" s="34">
        <f t="shared" si="21"/>
        <v>0.5</v>
      </c>
      <c r="Z29" s="34">
        <f t="shared" si="21"/>
        <v>2</v>
      </c>
      <c r="AA29" s="34">
        <f t="shared" si="21"/>
        <v>1.5</v>
      </c>
      <c r="AB29" s="34">
        <f t="shared" si="21"/>
        <v>0.5</v>
      </c>
      <c r="AC29" s="34">
        <f t="shared" si="21"/>
        <v>1.5</v>
      </c>
      <c r="AD29" s="34">
        <f t="shared" si="21"/>
        <v>0</v>
      </c>
      <c r="AE29" s="31">
        <f t="shared" si="21"/>
        <v>7</v>
      </c>
      <c r="AF29" s="31">
        <f t="shared" si="21"/>
        <v>8.5</v>
      </c>
    </row>
    <row r="30" spans="2:32" ht="23.1" customHeight="1" x14ac:dyDescent="0.25">
      <c r="B30" s="23" t="s">
        <v>57</v>
      </c>
      <c r="C30" s="49">
        <f>AVERAGE('17.10 KANONI-SSEMBABULE'!C30,'18.10 KANONI-SSEMBABULE-24h'!C30,'19.10 KANONI-SSEMBABULE-24h'!C30,'20.10 KANONI-SSEMBABULE'!C30,'21.10 KANONI-SSEMBABULE'!C30,'22.10 KANONI-SSEMBABULE'!C30,'23.10 KANONI-SSEMBABULE'!C30)</f>
        <v>1.4285714285714286</v>
      </c>
      <c r="D30" s="49">
        <f>AVERAGE('17.10 KANONI-SSEMBABULE'!D30,'18.10 KANONI-SSEMBABULE-24h'!D30,'19.10 KANONI-SSEMBABULE-24h'!D30,'20.10 KANONI-SSEMBABULE'!D30,'21.10 KANONI-SSEMBABULE'!D30,'22.10 KANONI-SSEMBABULE'!D30,'23.10 KANONI-SSEMBABULE'!D30)</f>
        <v>0.2857142857142857</v>
      </c>
      <c r="E30" s="49">
        <f>AVERAGE('17.10 KANONI-SSEMBABULE'!E30,'18.10 KANONI-SSEMBABULE-24h'!E30,'19.10 KANONI-SSEMBABULE-24h'!E30,'20.10 KANONI-SSEMBABULE'!E30,'21.10 KANONI-SSEMBABULE'!E30,'22.10 KANONI-SSEMBABULE'!E30,'23.10 KANONI-SSEMBABULE'!E30)</f>
        <v>0.14285714285714285</v>
      </c>
      <c r="F30" s="49">
        <f>AVERAGE('17.10 KANONI-SSEMBABULE'!F30,'18.10 KANONI-SSEMBABULE-24h'!F30,'19.10 KANONI-SSEMBABULE-24h'!F30,'20.10 KANONI-SSEMBABULE'!F30,'21.10 KANONI-SSEMBABULE'!F30,'22.10 KANONI-SSEMBABULE'!F30,'23.10 KANONI-SSEMBABULE'!F30)</f>
        <v>1.2857142857142858</v>
      </c>
      <c r="G30" s="49">
        <f>AVERAGE('17.10 KANONI-SSEMBABULE'!G30,'18.10 KANONI-SSEMBABULE-24h'!G30,'19.10 KANONI-SSEMBABULE-24h'!G30,'20.10 KANONI-SSEMBABULE'!G30,'21.10 KANONI-SSEMBABULE'!G30,'22.10 KANONI-SSEMBABULE'!G30,'23.10 KANONI-SSEMBABULE'!G30)</f>
        <v>0</v>
      </c>
      <c r="H30" s="49">
        <f>AVERAGE('17.10 KANONI-SSEMBABULE'!H30,'18.10 KANONI-SSEMBABULE-24h'!H30,'19.10 KANONI-SSEMBABULE-24h'!H30,'20.10 KANONI-SSEMBABULE'!H30,'21.10 KANONI-SSEMBABULE'!H30,'22.10 KANONI-SSEMBABULE'!H30,'23.10 KANONI-SSEMBABULE'!H30)</f>
        <v>0</v>
      </c>
      <c r="I30" s="49">
        <f>AVERAGE('17.10 KANONI-SSEMBABULE'!I30,'18.10 KANONI-SSEMBABULE-24h'!I30,'19.10 KANONI-SSEMBABULE-24h'!I30,'20.10 KANONI-SSEMBABULE'!I30,'21.10 KANONI-SSEMBABULE'!I30,'22.10 KANONI-SSEMBABULE'!I30,'23.10 KANONI-SSEMBABULE'!I30)</f>
        <v>0.5714285714285714</v>
      </c>
      <c r="J30" s="49">
        <f>AVERAGE('17.10 KANONI-SSEMBABULE'!J30,'18.10 KANONI-SSEMBABULE-24h'!J30,'19.10 KANONI-SSEMBABULE-24h'!J30,'20.10 KANONI-SSEMBABULE'!J30,'21.10 KANONI-SSEMBABULE'!J30,'22.10 KANONI-SSEMBABULE'!J30,'23.10 KANONI-SSEMBABULE'!J30)</f>
        <v>0</v>
      </c>
      <c r="K30" s="49">
        <f>AVERAGE('17.10 KANONI-SSEMBABULE'!K30,'18.10 KANONI-SSEMBABULE-24h'!K30,'19.10 KANONI-SSEMBABULE-24h'!K30,'20.10 KANONI-SSEMBABULE'!K30,'21.10 KANONI-SSEMBABULE'!K30,'22.10 KANONI-SSEMBABULE'!K30,'23.10 KANONI-SSEMBABULE'!K30)</f>
        <v>0.8571428571428571</v>
      </c>
      <c r="L30" s="49">
        <f>AVERAGE('17.10 KANONI-SSEMBABULE'!L30,'18.10 KANONI-SSEMBABULE-24h'!L30,'19.10 KANONI-SSEMBABULE-24h'!L30,'20.10 KANONI-SSEMBABULE'!L30,'21.10 KANONI-SSEMBABULE'!L30,'22.10 KANONI-SSEMBABULE'!L30,'23.10 KANONI-SSEMBABULE'!L30)</f>
        <v>0</v>
      </c>
      <c r="M30" s="49">
        <f>AVERAGE('17.10 KANONI-SSEMBABULE'!M30,'18.10 KANONI-SSEMBABULE-24h'!M30,'19.10 KANONI-SSEMBABULE-24h'!M30,'20.10 KANONI-SSEMBABULE'!M30,'21.10 KANONI-SSEMBABULE'!M30,'22.10 KANONI-SSEMBABULE'!M30,'23.10 KANONI-SSEMBABULE'!M30)</f>
        <v>5.8571428571428568</v>
      </c>
      <c r="N30" s="49">
        <f>AVERAGE('17.10 KANONI-SSEMBABULE'!N30,'18.10 KANONI-SSEMBABULE-24h'!N30,'19.10 KANONI-SSEMBABULE-24h'!N30,'20.10 KANONI-SSEMBABULE'!N30,'21.10 KANONI-SSEMBABULE'!N30,'22.10 KANONI-SSEMBABULE'!N30,'23.10 KANONI-SSEMBABULE'!N30)</f>
        <v>0</v>
      </c>
      <c r="O30" s="15">
        <f t="shared" si="0"/>
        <v>4.5714285714285712</v>
      </c>
      <c r="P30" s="15">
        <f t="shared" si="1"/>
        <v>10.428571428571427</v>
      </c>
      <c r="R30" s="1" t="s">
        <v>154</v>
      </c>
      <c r="S30" s="34">
        <f>SUM(C90:C93)</f>
        <v>1</v>
      </c>
      <c r="T30" s="34">
        <f t="shared" ref="T30:AF30" si="22">SUM(D90:D93)</f>
        <v>1</v>
      </c>
      <c r="U30" s="34">
        <f t="shared" si="22"/>
        <v>0</v>
      </c>
      <c r="V30" s="34">
        <f t="shared" si="22"/>
        <v>0</v>
      </c>
      <c r="W30" s="34">
        <f t="shared" si="22"/>
        <v>0</v>
      </c>
      <c r="X30" s="34">
        <f t="shared" si="22"/>
        <v>0</v>
      </c>
      <c r="Y30" s="34">
        <f t="shared" si="22"/>
        <v>1</v>
      </c>
      <c r="Z30" s="34">
        <f t="shared" si="22"/>
        <v>1.5</v>
      </c>
      <c r="AA30" s="34">
        <f t="shared" si="22"/>
        <v>1</v>
      </c>
      <c r="AB30" s="34">
        <f t="shared" si="22"/>
        <v>1</v>
      </c>
      <c r="AC30" s="34">
        <f t="shared" si="22"/>
        <v>0</v>
      </c>
      <c r="AD30" s="34">
        <f t="shared" si="22"/>
        <v>0</v>
      </c>
      <c r="AE30" s="31">
        <f t="shared" si="22"/>
        <v>6.5</v>
      </c>
      <c r="AF30" s="31">
        <f t="shared" si="22"/>
        <v>6.5</v>
      </c>
    </row>
    <row r="31" spans="2:32" ht="23.1" customHeight="1" x14ac:dyDescent="0.25">
      <c r="B31" s="24" t="s">
        <v>58</v>
      </c>
      <c r="C31" s="49">
        <f>AVERAGE('17.10 KANONI-SSEMBABULE'!C31,'18.10 KANONI-SSEMBABULE-24h'!C31,'19.10 KANONI-SSEMBABULE-24h'!C31,'20.10 KANONI-SSEMBABULE'!C31,'21.10 KANONI-SSEMBABULE'!C31,'22.10 KANONI-SSEMBABULE'!C31,'23.10 KANONI-SSEMBABULE'!C31)</f>
        <v>1.4285714285714286</v>
      </c>
      <c r="D31" s="49">
        <f>AVERAGE('17.10 KANONI-SSEMBABULE'!D31,'18.10 KANONI-SSEMBABULE-24h'!D31,'19.10 KANONI-SSEMBABULE-24h'!D31,'20.10 KANONI-SSEMBABULE'!D31,'21.10 KANONI-SSEMBABULE'!D31,'22.10 KANONI-SSEMBABULE'!D31,'23.10 KANONI-SSEMBABULE'!D31)</f>
        <v>0.7142857142857143</v>
      </c>
      <c r="E31" s="49">
        <f>AVERAGE('17.10 KANONI-SSEMBABULE'!E31,'18.10 KANONI-SSEMBABULE-24h'!E31,'19.10 KANONI-SSEMBABULE-24h'!E31,'20.10 KANONI-SSEMBABULE'!E31,'21.10 KANONI-SSEMBABULE'!E31,'22.10 KANONI-SSEMBABULE'!E31,'23.10 KANONI-SSEMBABULE'!E31)</f>
        <v>0.8571428571428571</v>
      </c>
      <c r="F31" s="49">
        <f>AVERAGE('17.10 KANONI-SSEMBABULE'!F31,'18.10 KANONI-SSEMBABULE-24h'!F31,'19.10 KANONI-SSEMBABULE-24h'!F31,'20.10 KANONI-SSEMBABULE'!F31,'21.10 KANONI-SSEMBABULE'!F31,'22.10 KANONI-SSEMBABULE'!F31,'23.10 KANONI-SSEMBABULE'!F31)</f>
        <v>0.42857142857142855</v>
      </c>
      <c r="G31" s="49">
        <f>AVERAGE('17.10 KANONI-SSEMBABULE'!G31,'18.10 KANONI-SSEMBABULE-24h'!G31,'19.10 KANONI-SSEMBABULE-24h'!G31,'20.10 KANONI-SSEMBABULE'!G31,'21.10 KANONI-SSEMBABULE'!G31,'22.10 KANONI-SSEMBABULE'!G31,'23.10 KANONI-SSEMBABULE'!G31)</f>
        <v>0</v>
      </c>
      <c r="H31" s="49">
        <f>AVERAGE('17.10 KANONI-SSEMBABULE'!H31,'18.10 KANONI-SSEMBABULE-24h'!H31,'19.10 KANONI-SSEMBABULE-24h'!H31,'20.10 KANONI-SSEMBABULE'!H31,'21.10 KANONI-SSEMBABULE'!H31,'22.10 KANONI-SSEMBABULE'!H31,'23.10 KANONI-SSEMBABULE'!H31)</f>
        <v>0</v>
      </c>
      <c r="I31" s="49">
        <f>AVERAGE('17.10 KANONI-SSEMBABULE'!I31,'18.10 KANONI-SSEMBABULE-24h'!I31,'19.10 KANONI-SSEMBABULE-24h'!I31,'20.10 KANONI-SSEMBABULE'!I31,'21.10 KANONI-SSEMBABULE'!I31,'22.10 KANONI-SSEMBABULE'!I31,'23.10 KANONI-SSEMBABULE'!I31)</f>
        <v>0.42857142857142855</v>
      </c>
      <c r="J31" s="49">
        <f>AVERAGE('17.10 KANONI-SSEMBABULE'!J31,'18.10 KANONI-SSEMBABULE-24h'!J31,'19.10 KANONI-SSEMBABULE-24h'!J31,'20.10 KANONI-SSEMBABULE'!J31,'21.10 KANONI-SSEMBABULE'!J31,'22.10 KANONI-SSEMBABULE'!J31,'23.10 KANONI-SSEMBABULE'!J31)</f>
        <v>0.2857142857142857</v>
      </c>
      <c r="K31" s="49">
        <f>AVERAGE('17.10 KANONI-SSEMBABULE'!K31,'18.10 KANONI-SSEMBABULE-24h'!K31,'19.10 KANONI-SSEMBABULE-24h'!K31,'20.10 KANONI-SSEMBABULE'!K31,'21.10 KANONI-SSEMBABULE'!K31,'22.10 KANONI-SSEMBABULE'!K31,'23.10 KANONI-SSEMBABULE'!K31)</f>
        <v>0.5714285714285714</v>
      </c>
      <c r="L31" s="49">
        <f>AVERAGE('17.10 KANONI-SSEMBABULE'!L31,'18.10 KANONI-SSEMBABULE-24h'!L31,'19.10 KANONI-SSEMBABULE-24h'!L31,'20.10 KANONI-SSEMBABULE'!L31,'21.10 KANONI-SSEMBABULE'!L31,'22.10 KANONI-SSEMBABULE'!L31,'23.10 KANONI-SSEMBABULE'!L31)</f>
        <v>0</v>
      </c>
      <c r="M31" s="49">
        <f>AVERAGE('17.10 KANONI-SSEMBABULE'!M31,'18.10 KANONI-SSEMBABULE-24h'!M31,'19.10 KANONI-SSEMBABULE-24h'!M31,'20.10 KANONI-SSEMBABULE'!M31,'21.10 KANONI-SSEMBABULE'!M31,'22.10 KANONI-SSEMBABULE'!M31,'23.10 KANONI-SSEMBABULE'!M31)</f>
        <v>9.5714285714285712</v>
      </c>
      <c r="N31" s="49">
        <f>AVERAGE('17.10 KANONI-SSEMBABULE'!N31,'18.10 KANONI-SSEMBABULE-24h'!N31,'19.10 KANONI-SSEMBABULE-24h'!N31,'20.10 KANONI-SSEMBABULE'!N31,'21.10 KANONI-SSEMBABULE'!N31,'22.10 KANONI-SSEMBABULE'!N31,'23.10 KANONI-SSEMBABULE'!N31)</f>
        <v>0</v>
      </c>
      <c r="O31" s="15">
        <f t="shared" si="0"/>
        <v>4.7142857142857135</v>
      </c>
      <c r="P31" s="15">
        <f t="shared" si="1"/>
        <v>14.285714285714285</v>
      </c>
      <c r="R31" s="1" t="s">
        <v>155</v>
      </c>
      <c r="S31" s="34">
        <f>SUM(C94:C97)</f>
        <v>1</v>
      </c>
      <c r="T31" s="34">
        <f t="shared" ref="T31:AF31" si="23">SUM(D94:D97)</f>
        <v>1.5</v>
      </c>
      <c r="U31" s="34">
        <f t="shared" si="23"/>
        <v>0</v>
      </c>
      <c r="V31" s="34">
        <f t="shared" si="23"/>
        <v>0.5</v>
      </c>
      <c r="W31" s="34">
        <f t="shared" si="23"/>
        <v>1.5</v>
      </c>
      <c r="X31" s="34">
        <f t="shared" si="23"/>
        <v>0.5</v>
      </c>
      <c r="Y31" s="34">
        <f t="shared" si="23"/>
        <v>1.5</v>
      </c>
      <c r="Z31" s="34">
        <f t="shared" si="23"/>
        <v>0.5</v>
      </c>
      <c r="AA31" s="34">
        <f t="shared" si="23"/>
        <v>0</v>
      </c>
      <c r="AB31" s="34">
        <f t="shared" si="23"/>
        <v>1.5</v>
      </c>
      <c r="AC31" s="34">
        <f t="shared" si="23"/>
        <v>0.5</v>
      </c>
      <c r="AD31" s="34">
        <f t="shared" si="23"/>
        <v>0</v>
      </c>
      <c r="AE31" s="31">
        <f t="shared" si="23"/>
        <v>8.5</v>
      </c>
      <c r="AF31" s="31">
        <f t="shared" si="23"/>
        <v>9</v>
      </c>
    </row>
    <row r="32" spans="2:32" ht="23.1" customHeight="1" x14ac:dyDescent="0.25">
      <c r="B32" s="24" t="s">
        <v>59</v>
      </c>
      <c r="C32" s="49">
        <f>AVERAGE('17.10 KANONI-SSEMBABULE'!C32,'18.10 KANONI-SSEMBABULE-24h'!C32,'19.10 KANONI-SSEMBABULE-24h'!C32,'20.10 KANONI-SSEMBABULE'!C32,'21.10 KANONI-SSEMBABULE'!C32,'22.10 KANONI-SSEMBABULE'!C32,'23.10 KANONI-SSEMBABULE'!C32)</f>
        <v>1.4285714285714286</v>
      </c>
      <c r="D32" s="49">
        <f>AVERAGE('17.10 KANONI-SSEMBABULE'!D32,'18.10 KANONI-SSEMBABULE-24h'!D32,'19.10 KANONI-SSEMBABULE-24h'!D32,'20.10 KANONI-SSEMBABULE'!D32,'21.10 KANONI-SSEMBABULE'!D32,'22.10 KANONI-SSEMBABULE'!D32,'23.10 KANONI-SSEMBABULE'!D32)</f>
        <v>0.7142857142857143</v>
      </c>
      <c r="E32" s="49">
        <f>AVERAGE('17.10 KANONI-SSEMBABULE'!E32,'18.10 KANONI-SSEMBABULE-24h'!E32,'19.10 KANONI-SSEMBABULE-24h'!E32,'20.10 KANONI-SSEMBABULE'!E32,'21.10 KANONI-SSEMBABULE'!E32,'22.10 KANONI-SSEMBABULE'!E32,'23.10 KANONI-SSEMBABULE'!E32)</f>
        <v>0.14285714285714285</v>
      </c>
      <c r="F32" s="49">
        <f>AVERAGE('17.10 KANONI-SSEMBABULE'!F32,'18.10 KANONI-SSEMBABULE-24h'!F32,'19.10 KANONI-SSEMBABULE-24h'!F32,'20.10 KANONI-SSEMBABULE'!F32,'21.10 KANONI-SSEMBABULE'!F32,'22.10 KANONI-SSEMBABULE'!F32,'23.10 KANONI-SSEMBABULE'!F32)</f>
        <v>0.7142857142857143</v>
      </c>
      <c r="G32" s="49">
        <f>AVERAGE('17.10 KANONI-SSEMBABULE'!G32,'18.10 KANONI-SSEMBABULE-24h'!G32,'19.10 KANONI-SSEMBABULE-24h'!G32,'20.10 KANONI-SSEMBABULE'!G32,'21.10 KANONI-SSEMBABULE'!G32,'22.10 KANONI-SSEMBABULE'!G32,'23.10 KANONI-SSEMBABULE'!G32)</f>
        <v>0</v>
      </c>
      <c r="H32" s="49">
        <f>AVERAGE('17.10 KANONI-SSEMBABULE'!H32,'18.10 KANONI-SSEMBABULE-24h'!H32,'19.10 KANONI-SSEMBABULE-24h'!H32,'20.10 KANONI-SSEMBABULE'!H32,'21.10 KANONI-SSEMBABULE'!H32,'22.10 KANONI-SSEMBABULE'!H32,'23.10 KANONI-SSEMBABULE'!H32)</f>
        <v>0.14285714285714285</v>
      </c>
      <c r="I32" s="49">
        <f>AVERAGE('17.10 KANONI-SSEMBABULE'!I32,'18.10 KANONI-SSEMBABULE-24h'!I32,'19.10 KANONI-SSEMBABULE-24h'!I32,'20.10 KANONI-SSEMBABULE'!I32,'21.10 KANONI-SSEMBABULE'!I32,'22.10 KANONI-SSEMBABULE'!I32,'23.10 KANONI-SSEMBABULE'!I32)</f>
        <v>0.42857142857142855</v>
      </c>
      <c r="J32" s="49">
        <f>AVERAGE('17.10 KANONI-SSEMBABULE'!J32,'18.10 KANONI-SSEMBABULE-24h'!J32,'19.10 KANONI-SSEMBABULE-24h'!J32,'20.10 KANONI-SSEMBABULE'!J32,'21.10 KANONI-SSEMBABULE'!J32,'22.10 KANONI-SSEMBABULE'!J32,'23.10 KANONI-SSEMBABULE'!J32)</f>
        <v>0</v>
      </c>
      <c r="K32" s="49">
        <f>AVERAGE('17.10 KANONI-SSEMBABULE'!K32,'18.10 KANONI-SSEMBABULE-24h'!K32,'19.10 KANONI-SSEMBABULE-24h'!K32,'20.10 KANONI-SSEMBABULE'!K32,'21.10 KANONI-SSEMBABULE'!K32,'22.10 KANONI-SSEMBABULE'!K32,'23.10 KANONI-SSEMBABULE'!K32)</f>
        <v>0.2857142857142857</v>
      </c>
      <c r="L32" s="49">
        <f>AVERAGE('17.10 KANONI-SSEMBABULE'!L32,'18.10 KANONI-SSEMBABULE-24h'!L32,'19.10 KANONI-SSEMBABULE-24h'!L32,'20.10 KANONI-SSEMBABULE'!L32,'21.10 KANONI-SSEMBABULE'!L32,'22.10 KANONI-SSEMBABULE'!L32,'23.10 KANONI-SSEMBABULE'!L32)</f>
        <v>0.14285714285714285</v>
      </c>
      <c r="M32" s="49">
        <f>AVERAGE('17.10 KANONI-SSEMBABULE'!M32,'18.10 KANONI-SSEMBABULE-24h'!M32,'19.10 KANONI-SSEMBABULE-24h'!M32,'20.10 KANONI-SSEMBABULE'!M32,'21.10 KANONI-SSEMBABULE'!M32,'22.10 KANONI-SSEMBABULE'!M32,'23.10 KANONI-SSEMBABULE'!M32)</f>
        <v>10.714285714285714</v>
      </c>
      <c r="N32" s="49">
        <f>AVERAGE('17.10 KANONI-SSEMBABULE'!N32,'18.10 KANONI-SSEMBABULE-24h'!N32,'19.10 KANONI-SSEMBABULE-24h'!N32,'20.10 KANONI-SSEMBABULE'!N32,'21.10 KANONI-SSEMBABULE'!N32,'22.10 KANONI-SSEMBABULE'!N32,'23.10 KANONI-SSEMBABULE'!N32)</f>
        <v>0</v>
      </c>
      <c r="O32" s="15">
        <f t="shared" si="0"/>
        <v>3.9999999999999996</v>
      </c>
      <c r="P32" s="15">
        <f t="shared" si="1"/>
        <v>14.714285714285714</v>
      </c>
      <c r="R32" s="1" t="s">
        <v>156</v>
      </c>
      <c r="S32" s="34">
        <f>SUM(C98:C101)</f>
        <v>1</v>
      </c>
      <c r="T32" s="34">
        <f t="shared" ref="T32:AF32" si="24">SUM(D98:D101)</f>
        <v>0</v>
      </c>
      <c r="U32" s="34">
        <f t="shared" si="24"/>
        <v>0</v>
      </c>
      <c r="V32" s="34">
        <f t="shared" si="24"/>
        <v>1.5</v>
      </c>
      <c r="W32" s="34">
        <f t="shared" si="24"/>
        <v>0</v>
      </c>
      <c r="X32" s="34">
        <f t="shared" si="24"/>
        <v>0</v>
      </c>
      <c r="Y32" s="34">
        <f t="shared" si="24"/>
        <v>0.5</v>
      </c>
      <c r="Z32" s="34">
        <f t="shared" si="24"/>
        <v>1</v>
      </c>
      <c r="AA32" s="34">
        <f t="shared" si="24"/>
        <v>0.5</v>
      </c>
      <c r="AB32" s="34">
        <f t="shared" si="24"/>
        <v>0</v>
      </c>
      <c r="AC32" s="34">
        <f t="shared" si="24"/>
        <v>0.5</v>
      </c>
      <c r="AD32" s="34">
        <f t="shared" si="24"/>
        <v>0</v>
      </c>
      <c r="AE32" s="31">
        <f t="shared" si="24"/>
        <v>4.5</v>
      </c>
      <c r="AF32" s="31">
        <f t="shared" si="24"/>
        <v>5</v>
      </c>
    </row>
    <row r="33" spans="2:32" ht="23.1" customHeight="1" x14ac:dyDescent="0.25">
      <c r="B33" s="23" t="s">
        <v>60</v>
      </c>
      <c r="C33" s="49">
        <f>AVERAGE('17.10 KANONI-SSEMBABULE'!C33,'18.10 KANONI-SSEMBABULE-24h'!C33,'19.10 KANONI-SSEMBABULE-24h'!C33,'20.10 KANONI-SSEMBABULE'!C33,'21.10 KANONI-SSEMBABULE'!C33,'22.10 KANONI-SSEMBABULE'!C33,'23.10 KANONI-SSEMBABULE'!C33)</f>
        <v>2.1428571428571428</v>
      </c>
      <c r="D33" s="49">
        <f>AVERAGE('17.10 KANONI-SSEMBABULE'!D33,'18.10 KANONI-SSEMBABULE-24h'!D33,'19.10 KANONI-SSEMBABULE-24h'!D33,'20.10 KANONI-SSEMBABULE'!D33,'21.10 KANONI-SSEMBABULE'!D33,'22.10 KANONI-SSEMBABULE'!D33,'23.10 KANONI-SSEMBABULE'!D33)</f>
        <v>0.2857142857142857</v>
      </c>
      <c r="E33" s="49">
        <f>AVERAGE('17.10 KANONI-SSEMBABULE'!E33,'18.10 KANONI-SSEMBABULE-24h'!E33,'19.10 KANONI-SSEMBABULE-24h'!E33,'20.10 KANONI-SSEMBABULE'!E33,'21.10 KANONI-SSEMBABULE'!E33,'22.10 KANONI-SSEMBABULE'!E33,'23.10 KANONI-SSEMBABULE'!E33)</f>
        <v>0.42857142857142855</v>
      </c>
      <c r="F33" s="49">
        <f>AVERAGE('17.10 KANONI-SSEMBABULE'!F33,'18.10 KANONI-SSEMBABULE-24h'!F33,'19.10 KANONI-SSEMBABULE-24h'!F33,'20.10 KANONI-SSEMBABULE'!F33,'21.10 KANONI-SSEMBABULE'!F33,'22.10 KANONI-SSEMBABULE'!F33,'23.10 KANONI-SSEMBABULE'!F33)</f>
        <v>0.5714285714285714</v>
      </c>
      <c r="G33" s="49">
        <f>AVERAGE('17.10 KANONI-SSEMBABULE'!G33,'18.10 KANONI-SSEMBABULE-24h'!G33,'19.10 KANONI-SSEMBABULE-24h'!G33,'20.10 KANONI-SSEMBABULE'!G33,'21.10 KANONI-SSEMBABULE'!G33,'22.10 KANONI-SSEMBABULE'!G33,'23.10 KANONI-SSEMBABULE'!G33)</f>
        <v>0.14285714285714285</v>
      </c>
      <c r="H33" s="49">
        <f>AVERAGE('17.10 KANONI-SSEMBABULE'!H33,'18.10 KANONI-SSEMBABULE-24h'!H33,'19.10 KANONI-SSEMBABULE-24h'!H33,'20.10 KANONI-SSEMBABULE'!H33,'21.10 KANONI-SSEMBABULE'!H33,'22.10 KANONI-SSEMBABULE'!H33,'23.10 KANONI-SSEMBABULE'!H33)</f>
        <v>0</v>
      </c>
      <c r="I33" s="49">
        <f>AVERAGE('17.10 KANONI-SSEMBABULE'!I33,'18.10 KANONI-SSEMBABULE-24h'!I33,'19.10 KANONI-SSEMBABULE-24h'!I33,'20.10 KANONI-SSEMBABULE'!I33,'21.10 KANONI-SSEMBABULE'!I33,'22.10 KANONI-SSEMBABULE'!I33,'23.10 KANONI-SSEMBABULE'!I33)</f>
        <v>0.8571428571428571</v>
      </c>
      <c r="J33" s="49">
        <f>AVERAGE('17.10 KANONI-SSEMBABULE'!J33,'18.10 KANONI-SSEMBABULE-24h'!J33,'19.10 KANONI-SSEMBABULE-24h'!J33,'20.10 KANONI-SSEMBABULE'!J33,'21.10 KANONI-SSEMBABULE'!J33,'22.10 KANONI-SSEMBABULE'!J33,'23.10 KANONI-SSEMBABULE'!J33)</f>
        <v>0.2857142857142857</v>
      </c>
      <c r="K33" s="49">
        <f>AVERAGE('17.10 KANONI-SSEMBABULE'!K33,'18.10 KANONI-SSEMBABULE-24h'!K33,'19.10 KANONI-SSEMBABULE-24h'!K33,'20.10 KANONI-SSEMBABULE'!K33,'21.10 KANONI-SSEMBABULE'!K33,'22.10 KANONI-SSEMBABULE'!K33,'23.10 KANONI-SSEMBABULE'!K33)</f>
        <v>0.2857142857142857</v>
      </c>
      <c r="L33" s="49">
        <f>AVERAGE('17.10 KANONI-SSEMBABULE'!L33,'18.10 KANONI-SSEMBABULE-24h'!L33,'19.10 KANONI-SSEMBABULE-24h'!L33,'20.10 KANONI-SSEMBABULE'!L33,'21.10 KANONI-SSEMBABULE'!L33,'22.10 KANONI-SSEMBABULE'!L33,'23.10 KANONI-SSEMBABULE'!L33)</f>
        <v>0</v>
      </c>
      <c r="M33" s="49">
        <f>AVERAGE('17.10 KANONI-SSEMBABULE'!M33,'18.10 KANONI-SSEMBABULE-24h'!M33,'19.10 KANONI-SSEMBABULE-24h'!M33,'20.10 KANONI-SSEMBABULE'!M33,'21.10 KANONI-SSEMBABULE'!M33,'22.10 KANONI-SSEMBABULE'!M33,'23.10 KANONI-SSEMBABULE'!M33)</f>
        <v>10.857142857142858</v>
      </c>
      <c r="N33" s="49">
        <f>AVERAGE('17.10 KANONI-SSEMBABULE'!N33,'18.10 KANONI-SSEMBABULE-24h'!N33,'19.10 KANONI-SSEMBABULE-24h'!N33,'20.10 KANONI-SSEMBABULE'!N33,'21.10 KANONI-SSEMBABULE'!N33,'22.10 KANONI-SSEMBABULE'!N33,'23.10 KANONI-SSEMBABULE'!N33)</f>
        <v>0</v>
      </c>
      <c r="O33" s="15">
        <f t="shared" si="0"/>
        <v>4.9999999999999991</v>
      </c>
      <c r="P33" s="15">
        <f t="shared" si="1"/>
        <v>15.857142857142858</v>
      </c>
      <c r="R33" s="1" t="s">
        <v>157</v>
      </c>
      <c r="S33" s="34">
        <f>SUM(C102:C105)</f>
        <v>0</v>
      </c>
      <c r="T33" s="34">
        <f t="shared" ref="T33:AF33" si="25">SUM(D102:D105)</f>
        <v>1.5</v>
      </c>
      <c r="U33" s="34">
        <f t="shared" si="25"/>
        <v>2.5</v>
      </c>
      <c r="V33" s="34">
        <f t="shared" si="25"/>
        <v>1.5</v>
      </c>
      <c r="W33" s="34">
        <f t="shared" si="25"/>
        <v>1</v>
      </c>
      <c r="X33" s="34">
        <f t="shared" si="25"/>
        <v>0.5</v>
      </c>
      <c r="Y33" s="34">
        <f t="shared" si="25"/>
        <v>1</v>
      </c>
      <c r="Z33" s="34">
        <f t="shared" si="25"/>
        <v>1</v>
      </c>
      <c r="AA33" s="34">
        <f t="shared" si="25"/>
        <v>0</v>
      </c>
      <c r="AB33" s="34">
        <f t="shared" si="25"/>
        <v>0</v>
      </c>
      <c r="AC33" s="34">
        <f t="shared" si="25"/>
        <v>8.5</v>
      </c>
      <c r="AD33" s="34">
        <f t="shared" si="25"/>
        <v>0</v>
      </c>
      <c r="AE33" s="31">
        <f t="shared" si="25"/>
        <v>9</v>
      </c>
      <c r="AF33" s="31">
        <f t="shared" si="25"/>
        <v>17.5</v>
      </c>
    </row>
    <row r="34" spans="2:32" ht="23.1" customHeight="1" x14ac:dyDescent="0.25">
      <c r="B34" s="24" t="s">
        <v>61</v>
      </c>
      <c r="C34" s="49">
        <f>AVERAGE('17.10 KANONI-SSEMBABULE'!C34,'18.10 KANONI-SSEMBABULE-24h'!C34,'19.10 KANONI-SSEMBABULE-24h'!C34,'20.10 KANONI-SSEMBABULE'!C34,'21.10 KANONI-SSEMBABULE'!C34,'22.10 KANONI-SSEMBABULE'!C34,'23.10 KANONI-SSEMBABULE'!C34)</f>
        <v>1.2857142857142858</v>
      </c>
      <c r="D34" s="49">
        <f>AVERAGE('17.10 KANONI-SSEMBABULE'!D34,'18.10 KANONI-SSEMBABULE-24h'!D34,'19.10 KANONI-SSEMBABULE-24h'!D34,'20.10 KANONI-SSEMBABULE'!D34,'21.10 KANONI-SSEMBABULE'!D34,'22.10 KANONI-SSEMBABULE'!D34,'23.10 KANONI-SSEMBABULE'!D34)</f>
        <v>0.2857142857142857</v>
      </c>
      <c r="E34" s="49">
        <f>AVERAGE('17.10 KANONI-SSEMBABULE'!E34,'18.10 KANONI-SSEMBABULE-24h'!E34,'19.10 KANONI-SSEMBABULE-24h'!E34,'20.10 KANONI-SSEMBABULE'!E34,'21.10 KANONI-SSEMBABULE'!E34,'22.10 KANONI-SSEMBABULE'!E34,'23.10 KANONI-SSEMBABULE'!E34)</f>
        <v>0.5714285714285714</v>
      </c>
      <c r="F34" s="49">
        <f>AVERAGE('17.10 KANONI-SSEMBABULE'!F34,'18.10 KANONI-SSEMBABULE-24h'!F34,'19.10 KANONI-SSEMBABULE-24h'!F34,'20.10 KANONI-SSEMBABULE'!F34,'21.10 KANONI-SSEMBABULE'!F34,'22.10 KANONI-SSEMBABULE'!F34,'23.10 KANONI-SSEMBABULE'!F34)</f>
        <v>0.2857142857142857</v>
      </c>
      <c r="G34" s="49">
        <f>AVERAGE('17.10 KANONI-SSEMBABULE'!G34,'18.10 KANONI-SSEMBABULE-24h'!G34,'19.10 KANONI-SSEMBABULE-24h'!G34,'20.10 KANONI-SSEMBABULE'!G34,'21.10 KANONI-SSEMBABULE'!G34,'22.10 KANONI-SSEMBABULE'!G34,'23.10 KANONI-SSEMBABULE'!G34)</f>
        <v>0</v>
      </c>
      <c r="H34" s="49">
        <f>AVERAGE('17.10 KANONI-SSEMBABULE'!H34,'18.10 KANONI-SSEMBABULE-24h'!H34,'19.10 KANONI-SSEMBABULE-24h'!H34,'20.10 KANONI-SSEMBABULE'!H34,'21.10 KANONI-SSEMBABULE'!H34,'22.10 KANONI-SSEMBABULE'!H34,'23.10 KANONI-SSEMBABULE'!H34)</f>
        <v>0</v>
      </c>
      <c r="I34" s="49">
        <f>AVERAGE('17.10 KANONI-SSEMBABULE'!I34,'18.10 KANONI-SSEMBABULE-24h'!I34,'19.10 KANONI-SSEMBABULE-24h'!I34,'20.10 KANONI-SSEMBABULE'!I34,'21.10 KANONI-SSEMBABULE'!I34,'22.10 KANONI-SSEMBABULE'!I34,'23.10 KANONI-SSEMBABULE'!I34)</f>
        <v>0.5714285714285714</v>
      </c>
      <c r="J34" s="49">
        <f>AVERAGE('17.10 KANONI-SSEMBABULE'!J34,'18.10 KANONI-SSEMBABULE-24h'!J34,'19.10 KANONI-SSEMBABULE-24h'!J34,'20.10 KANONI-SSEMBABULE'!J34,'21.10 KANONI-SSEMBABULE'!J34,'22.10 KANONI-SSEMBABULE'!J34,'23.10 KANONI-SSEMBABULE'!J34)</f>
        <v>0.2857142857142857</v>
      </c>
      <c r="K34" s="49">
        <f>AVERAGE('17.10 KANONI-SSEMBABULE'!K34,'18.10 KANONI-SSEMBABULE-24h'!K34,'19.10 KANONI-SSEMBABULE-24h'!K34,'20.10 KANONI-SSEMBABULE'!K34,'21.10 KANONI-SSEMBABULE'!K34,'22.10 KANONI-SSEMBABULE'!K34,'23.10 KANONI-SSEMBABULE'!K34)</f>
        <v>0</v>
      </c>
      <c r="L34" s="49">
        <f>AVERAGE('17.10 KANONI-SSEMBABULE'!L34,'18.10 KANONI-SSEMBABULE-24h'!L34,'19.10 KANONI-SSEMBABULE-24h'!L34,'20.10 KANONI-SSEMBABULE'!L34,'21.10 KANONI-SSEMBABULE'!L34,'22.10 KANONI-SSEMBABULE'!L34,'23.10 KANONI-SSEMBABULE'!L34)</f>
        <v>0</v>
      </c>
      <c r="M34" s="49">
        <f>AVERAGE('17.10 KANONI-SSEMBABULE'!M34,'18.10 KANONI-SSEMBABULE-24h'!M34,'19.10 KANONI-SSEMBABULE-24h'!M34,'20.10 KANONI-SSEMBABULE'!M34,'21.10 KANONI-SSEMBABULE'!M34,'22.10 KANONI-SSEMBABULE'!M34,'23.10 KANONI-SSEMBABULE'!M34)</f>
        <v>9.1428571428571423</v>
      </c>
      <c r="N34" s="49">
        <f>AVERAGE('17.10 KANONI-SSEMBABULE'!N34,'18.10 KANONI-SSEMBABULE-24h'!N34,'19.10 KANONI-SSEMBABULE-24h'!N34,'20.10 KANONI-SSEMBABULE'!N34,'21.10 KANONI-SSEMBABULE'!N34,'22.10 KANONI-SSEMBABULE'!N34,'23.10 KANONI-SSEMBABULE'!N34)</f>
        <v>0</v>
      </c>
      <c r="O34" s="15">
        <f t="shared" si="0"/>
        <v>3.2857142857142856</v>
      </c>
      <c r="P34" s="15">
        <f t="shared" si="1"/>
        <v>12.428571428571427</v>
      </c>
      <c r="R34" s="52" t="s">
        <v>90</v>
      </c>
      <c r="S34" s="53">
        <f t="shared" ref="S34:AF34" si="26">MAX(S10:S12)</f>
        <v>4.7142857142857135</v>
      </c>
      <c r="T34" s="53">
        <f t="shared" si="26"/>
        <v>1.2857142857142856</v>
      </c>
      <c r="U34" s="53">
        <f t="shared" si="26"/>
        <v>0.85714285714285698</v>
      </c>
      <c r="V34" s="53">
        <f t="shared" si="26"/>
        <v>3.9999999999999996</v>
      </c>
      <c r="W34" s="53">
        <f t="shared" si="26"/>
        <v>0.42857142857142855</v>
      </c>
      <c r="X34" s="53">
        <f t="shared" si="26"/>
        <v>0.14285714285714285</v>
      </c>
      <c r="Y34" s="53">
        <f t="shared" si="26"/>
        <v>3.5714285714285716</v>
      </c>
      <c r="Z34" s="53">
        <f t="shared" si="26"/>
        <v>1.4285714285714284</v>
      </c>
      <c r="AA34" s="53">
        <f t="shared" si="26"/>
        <v>3</v>
      </c>
      <c r="AB34" s="53">
        <f t="shared" si="26"/>
        <v>0.14285714285714285</v>
      </c>
      <c r="AC34" s="53">
        <f t="shared" si="26"/>
        <v>31.285714285714285</v>
      </c>
      <c r="AD34" s="53">
        <f t="shared" si="26"/>
        <v>0</v>
      </c>
      <c r="AE34" s="40">
        <f t="shared" si="26"/>
        <v>12.571428571428571</v>
      </c>
      <c r="AF34" s="40">
        <f t="shared" si="26"/>
        <v>43.857142857142854</v>
      </c>
    </row>
    <row r="35" spans="2:32" ht="23.1" customHeight="1" x14ac:dyDescent="0.25">
      <c r="B35" s="24" t="s">
        <v>62</v>
      </c>
      <c r="C35" s="49">
        <f>AVERAGE('17.10 KANONI-SSEMBABULE'!C35,'18.10 KANONI-SSEMBABULE-24h'!C35,'19.10 KANONI-SSEMBABULE-24h'!C35,'20.10 KANONI-SSEMBABULE'!C35,'21.10 KANONI-SSEMBABULE'!C35,'22.10 KANONI-SSEMBABULE'!C35,'23.10 KANONI-SSEMBABULE'!C35)</f>
        <v>1</v>
      </c>
      <c r="D35" s="49">
        <f>AVERAGE('17.10 KANONI-SSEMBABULE'!D35,'18.10 KANONI-SSEMBABULE-24h'!D35,'19.10 KANONI-SSEMBABULE-24h'!D35,'20.10 KANONI-SSEMBABULE'!D35,'21.10 KANONI-SSEMBABULE'!D35,'22.10 KANONI-SSEMBABULE'!D35,'23.10 KANONI-SSEMBABULE'!D35)</f>
        <v>0</v>
      </c>
      <c r="E35" s="49">
        <f>AVERAGE('17.10 KANONI-SSEMBABULE'!E35,'18.10 KANONI-SSEMBABULE-24h'!E35,'19.10 KANONI-SSEMBABULE-24h'!E35,'20.10 KANONI-SSEMBABULE'!E35,'21.10 KANONI-SSEMBABULE'!E35,'22.10 KANONI-SSEMBABULE'!E35,'23.10 KANONI-SSEMBABULE'!E35)</f>
        <v>0.8571428571428571</v>
      </c>
      <c r="F35" s="49">
        <f>AVERAGE('17.10 KANONI-SSEMBABULE'!F35,'18.10 KANONI-SSEMBABULE-24h'!F35,'19.10 KANONI-SSEMBABULE-24h'!F35,'20.10 KANONI-SSEMBABULE'!F35,'21.10 KANONI-SSEMBABULE'!F35,'22.10 KANONI-SSEMBABULE'!F35,'23.10 KANONI-SSEMBABULE'!F35)</f>
        <v>0.14285714285714285</v>
      </c>
      <c r="G35" s="49">
        <f>AVERAGE('17.10 KANONI-SSEMBABULE'!G35,'18.10 KANONI-SSEMBABULE-24h'!G35,'19.10 KANONI-SSEMBABULE-24h'!G35,'20.10 KANONI-SSEMBABULE'!G35,'21.10 KANONI-SSEMBABULE'!G35,'22.10 KANONI-SSEMBABULE'!G35,'23.10 KANONI-SSEMBABULE'!G35)</f>
        <v>0.14285714285714285</v>
      </c>
      <c r="H35" s="49">
        <f>AVERAGE('17.10 KANONI-SSEMBABULE'!H35,'18.10 KANONI-SSEMBABULE-24h'!H35,'19.10 KANONI-SSEMBABULE-24h'!H35,'20.10 KANONI-SSEMBABULE'!H35,'21.10 KANONI-SSEMBABULE'!H35,'22.10 KANONI-SSEMBABULE'!H35,'23.10 KANONI-SSEMBABULE'!H35)</f>
        <v>0</v>
      </c>
      <c r="I35" s="49">
        <f>AVERAGE('17.10 KANONI-SSEMBABULE'!I35,'18.10 KANONI-SSEMBABULE-24h'!I35,'19.10 KANONI-SSEMBABULE-24h'!I35,'20.10 KANONI-SSEMBABULE'!I35,'21.10 KANONI-SSEMBABULE'!I35,'22.10 KANONI-SSEMBABULE'!I35,'23.10 KANONI-SSEMBABULE'!I35)</f>
        <v>0.42857142857142855</v>
      </c>
      <c r="J35" s="49">
        <f>AVERAGE('17.10 KANONI-SSEMBABULE'!J35,'18.10 KANONI-SSEMBABULE-24h'!J35,'19.10 KANONI-SSEMBABULE-24h'!J35,'20.10 KANONI-SSEMBABULE'!J35,'21.10 KANONI-SSEMBABULE'!J35,'22.10 KANONI-SSEMBABULE'!J35,'23.10 KANONI-SSEMBABULE'!J35)</f>
        <v>0.42857142857142855</v>
      </c>
      <c r="K35" s="49">
        <f>AVERAGE('17.10 KANONI-SSEMBABULE'!K35,'18.10 KANONI-SSEMBABULE-24h'!K35,'19.10 KANONI-SSEMBABULE-24h'!K35,'20.10 KANONI-SSEMBABULE'!K35,'21.10 KANONI-SSEMBABULE'!K35,'22.10 KANONI-SSEMBABULE'!K35,'23.10 KANONI-SSEMBABULE'!K35)</f>
        <v>0.42857142857142855</v>
      </c>
      <c r="L35" s="49">
        <f>AVERAGE('17.10 KANONI-SSEMBABULE'!L35,'18.10 KANONI-SSEMBABULE-24h'!L35,'19.10 KANONI-SSEMBABULE-24h'!L35,'20.10 KANONI-SSEMBABULE'!L35,'21.10 KANONI-SSEMBABULE'!L35,'22.10 KANONI-SSEMBABULE'!L35,'23.10 KANONI-SSEMBABULE'!L35)</f>
        <v>0</v>
      </c>
      <c r="M35" s="49">
        <f>AVERAGE('17.10 KANONI-SSEMBABULE'!M35,'18.10 KANONI-SSEMBABULE-24h'!M35,'19.10 KANONI-SSEMBABULE-24h'!M35,'20.10 KANONI-SSEMBABULE'!M35,'21.10 KANONI-SSEMBABULE'!M35,'22.10 KANONI-SSEMBABULE'!M35,'23.10 KANONI-SSEMBABULE'!M35)</f>
        <v>9.1428571428571423</v>
      </c>
      <c r="N35" s="49">
        <f>AVERAGE('17.10 KANONI-SSEMBABULE'!N35,'18.10 KANONI-SSEMBABULE-24h'!N35,'19.10 KANONI-SSEMBABULE-24h'!N35,'20.10 KANONI-SSEMBABULE'!N35,'21.10 KANONI-SSEMBABULE'!N35,'22.10 KANONI-SSEMBABULE'!N35,'23.10 KANONI-SSEMBABULE'!N35)</f>
        <v>0</v>
      </c>
      <c r="O35" s="15">
        <f t="shared" si="0"/>
        <v>3.4285714285714279</v>
      </c>
      <c r="P35" s="15">
        <f t="shared" si="1"/>
        <v>12.571428571428569</v>
      </c>
      <c r="R35" s="52" t="s">
        <v>91</v>
      </c>
      <c r="S35" s="53">
        <f t="shared" ref="S35:AF35" si="27">MAX(S13:S18)</f>
        <v>6.4285714285714288</v>
      </c>
      <c r="T35" s="53">
        <f t="shared" si="27"/>
        <v>2.5714285714285712</v>
      </c>
      <c r="U35" s="53">
        <f t="shared" si="27"/>
        <v>1.8571428571428568</v>
      </c>
      <c r="V35" s="53">
        <f t="shared" si="27"/>
        <v>3</v>
      </c>
      <c r="W35" s="53">
        <f t="shared" si="27"/>
        <v>0.2857142857142857</v>
      </c>
      <c r="X35" s="53">
        <f t="shared" si="27"/>
        <v>0.14285714285714285</v>
      </c>
      <c r="Y35" s="53">
        <f t="shared" si="27"/>
        <v>2.8571428571428572</v>
      </c>
      <c r="Z35" s="53">
        <f t="shared" si="27"/>
        <v>1.8571428571428572</v>
      </c>
      <c r="AA35" s="53">
        <f t="shared" si="27"/>
        <v>3.8571428571428568</v>
      </c>
      <c r="AB35" s="53">
        <f t="shared" si="27"/>
        <v>0.42857142857142855</v>
      </c>
      <c r="AC35" s="53">
        <f t="shared" si="27"/>
        <v>38.285714285714285</v>
      </c>
      <c r="AD35" s="53">
        <f t="shared" si="27"/>
        <v>0.14285714285714285</v>
      </c>
      <c r="AE35" s="40">
        <f t="shared" si="27"/>
        <v>18.285714285714285</v>
      </c>
      <c r="AF35" s="40">
        <f t="shared" si="27"/>
        <v>55.285714285714278</v>
      </c>
    </row>
    <row r="36" spans="2:32" ht="23.1" customHeight="1" x14ac:dyDescent="0.25">
      <c r="B36" s="24" t="s">
        <v>63</v>
      </c>
      <c r="C36" s="49">
        <f>AVERAGE('17.10 KANONI-SSEMBABULE'!C36,'18.10 KANONI-SSEMBABULE-24h'!C36,'19.10 KANONI-SSEMBABULE-24h'!C36,'20.10 KANONI-SSEMBABULE'!C36,'21.10 KANONI-SSEMBABULE'!C36,'22.10 KANONI-SSEMBABULE'!C36,'23.10 KANONI-SSEMBABULE'!C36)</f>
        <v>1.5714285714285714</v>
      </c>
      <c r="D36" s="49">
        <f>AVERAGE('17.10 KANONI-SSEMBABULE'!D36,'18.10 KANONI-SSEMBABULE-24h'!D36,'19.10 KANONI-SSEMBABULE-24h'!D36,'20.10 KANONI-SSEMBABULE'!D36,'21.10 KANONI-SSEMBABULE'!D36,'22.10 KANONI-SSEMBABULE'!D36,'23.10 KANONI-SSEMBABULE'!D36)</f>
        <v>0</v>
      </c>
      <c r="E36" s="49">
        <f>AVERAGE('17.10 KANONI-SSEMBABULE'!E36,'18.10 KANONI-SSEMBABULE-24h'!E36,'19.10 KANONI-SSEMBABULE-24h'!E36,'20.10 KANONI-SSEMBABULE'!E36,'21.10 KANONI-SSEMBABULE'!E36,'22.10 KANONI-SSEMBABULE'!E36,'23.10 KANONI-SSEMBABULE'!E36)</f>
        <v>0.14285714285714285</v>
      </c>
      <c r="F36" s="49">
        <f>AVERAGE('17.10 KANONI-SSEMBABULE'!F36,'18.10 KANONI-SSEMBABULE-24h'!F36,'19.10 KANONI-SSEMBABULE-24h'!F36,'20.10 KANONI-SSEMBABULE'!F36,'21.10 KANONI-SSEMBABULE'!F36,'22.10 KANONI-SSEMBABULE'!F36,'23.10 KANONI-SSEMBABULE'!F36)</f>
        <v>0.42857142857142855</v>
      </c>
      <c r="G36" s="49">
        <f>AVERAGE('17.10 KANONI-SSEMBABULE'!G36,'18.10 KANONI-SSEMBABULE-24h'!G36,'19.10 KANONI-SSEMBABULE-24h'!G36,'20.10 KANONI-SSEMBABULE'!G36,'21.10 KANONI-SSEMBABULE'!G36,'22.10 KANONI-SSEMBABULE'!G36,'23.10 KANONI-SSEMBABULE'!G36)</f>
        <v>0</v>
      </c>
      <c r="H36" s="49">
        <f>AVERAGE('17.10 KANONI-SSEMBABULE'!H36,'18.10 KANONI-SSEMBABULE-24h'!H36,'19.10 KANONI-SSEMBABULE-24h'!H36,'20.10 KANONI-SSEMBABULE'!H36,'21.10 KANONI-SSEMBABULE'!H36,'22.10 KANONI-SSEMBABULE'!H36,'23.10 KANONI-SSEMBABULE'!H36)</f>
        <v>0</v>
      </c>
      <c r="I36" s="49">
        <f>AVERAGE('17.10 KANONI-SSEMBABULE'!I36,'18.10 KANONI-SSEMBABULE-24h'!I36,'19.10 KANONI-SSEMBABULE-24h'!I36,'20.10 KANONI-SSEMBABULE'!I36,'21.10 KANONI-SSEMBABULE'!I36,'22.10 KANONI-SSEMBABULE'!I36,'23.10 KANONI-SSEMBABULE'!I36)</f>
        <v>0.5714285714285714</v>
      </c>
      <c r="J36" s="49">
        <f>AVERAGE('17.10 KANONI-SSEMBABULE'!J36,'18.10 KANONI-SSEMBABULE-24h'!J36,'19.10 KANONI-SSEMBABULE-24h'!J36,'20.10 KANONI-SSEMBABULE'!J36,'21.10 KANONI-SSEMBABULE'!J36,'22.10 KANONI-SSEMBABULE'!J36,'23.10 KANONI-SSEMBABULE'!J36)</f>
        <v>0.2857142857142857</v>
      </c>
      <c r="K36" s="49">
        <f>AVERAGE('17.10 KANONI-SSEMBABULE'!K36,'18.10 KANONI-SSEMBABULE-24h'!K36,'19.10 KANONI-SSEMBABULE-24h'!K36,'20.10 KANONI-SSEMBABULE'!K36,'21.10 KANONI-SSEMBABULE'!K36,'22.10 KANONI-SSEMBABULE'!K36,'23.10 KANONI-SSEMBABULE'!K36)</f>
        <v>0.5714285714285714</v>
      </c>
      <c r="L36" s="49">
        <f>AVERAGE('17.10 KANONI-SSEMBABULE'!L36,'18.10 KANONI-SSEMBABULE-24h'!L36,'19.10 KANONI-SSEMBABULE-24h'!L36,'20.10 KANONI-SSEMBABULE'!L36,'21.10 KANONI-SSEMBABULE'!L36,'22.10 KANONI-SSEMBABULE'!L36,'23.10 KANONI-SSEMBABULE'!L36)</f>
        <v>0.2857142857142857</v>
      </c>
      <c r="M36" s="49">
        <f>AVERAGE('17.10 KANONI-SSEMBABULE'!M36,'18.10 KANONI-SSEMBABULE-24h'!M36,'19.10 KANONI-SSEMBABULE-24h'!M36,'20.10 KANONI-SSEMBABULE'!M36,'21.10 KANONI-SSEMBABULE'!M36,'22.10 KANONI-SSEMBABULE'!M36,'23.10 KANONI-SSEMBABULE'!M36)</f>
        <v>11.285714285714286</v>
      </c>
      <c r="N36" s="49">
        <f>AVERAGE('17.10 KANONI-SSEMBABULE'!N36,'18.10 KANONI-SSEMBABULE-24h'!N36,'19.10 KANONI-SSEMBABULE-24h'!N36,'20.10 KANONI-SSEMBABULE'!N36,'21.10 KANONI-SSEMBABULE'!N36,'22.10 KANONI-SSEMBABULE'!N36,'23.10 KANONI-SSEMBABULE'!N36)</f>
        <v>0</v>
      </c>
      <c r="O36" s="15">
        <f t="shared" si="0"/>
        <v>3.8571428571428568</v>
      </c>
      <c r="P36" s="15">
        <f t="shared" si="1"/>
        <v>15.142857142857142</v>
      </c>
      <c r="R36" s="52" t="s">
        <v>92</v>
      </c>
      <c r="S36" s="53">
        <f t="shared" ref="S36:AF36" si="28">MAX(S19:S21)</f>
        <v>4.4285714285714288</v>
      </c>
      <c r="T36" s="53">
        <f t="shared" si="28"/>
        <v>1.8571428571428572</v>
      </c>
      <c r="U36" s="53">
        <f t="shared" si="28"/>
        <v>1.7142857142857144</v>
      </c>
      <c r="V36" s="53">
        <f t="shared" si="28"/>
        <v>1.4285714285714284</v>
      </c>
      <c r="W36" s="53">
        <f t="shared" si="28"/>
        <v>0.42857142857142855</v>
      </c>
      <c r="X36" s="53">
        <f t="shared" si="28"/>
        <v>0.42857142857142855</v>
      </c>
      <c r="Y36" s="53">
        <f t="shared" si="28"/>
        <v>3.7142857142857144</v>
      </c>
      <c r="Z36" s="53">
        <f t="shared" si="28"/>
        <v>3.2857142857142856</v>
      </c>
      <c r="AA36" s="53">
        <f t="shared" si="28"/>
        <v>2.2857142857142856</v>
      </c>
      <c r="AB36" s="53">
        <f t="shared" si="28"/>
        <v>0.5714285714285714</v>
      </c>
      <c r="AC36" s="53">
        <f t="shared" si="28"/>
        <v>42.142857142857139</v>
      </c>
      <c r="AD36" s="53">
        <f t="shared" si="28"/>
        <v>0</v>
      </c>
      <c r="AE36" s="40">
        <f t="shared" si="28"/>
        <v>16.714285714285712</v>
      </c>
      <c r="AF36" s="40">
        <f t="shared" si="28"/>
        <v>58.857142857142854</v>
      </c>
    </row>
    <row r="37" spans="2:32" ht="23.1" customHeight="1" x14ac:dyDescent="0.25">
      <c r="B37" s="23" t="s">
        <v>64</v>
      </c>
      <c r="C37" s="49">
        <f>AVERAGE('17.10 KANONI-SSEMBABULE'!C37,'18.10 KANONI-SSEMBABULE-24h'!C37,'19.10 KANONI-SSEMBABULE-24h'!C37,'20.10 KANONI-SSEMBABULE'!C37,'21.10 KANONI-SSEMBABULE'!C37,'22.10 KANONI-SSEMBABULE'!C37,'23.10 KANONI-SSEMBABULE'!C37)</f>
        <v>1</v>
      </c>
      <c r="D37" s="49">
        <f>AVERAGE('17.10 KANONI-SSEMBABULE'!D37,'18.10 KANONI-SSEMBABULE-24h'!D37,'19.10 KANONI-SSEMBABULE-24h'!D37,'20.10 KANONI-SSEMBABULE'!D37,'21.10 KANONI-SSEMBABULE'!D37,'22.10 KANONI-SSEMBABULE'!D37,'23.10 KANONI-SSEMBABULE'!D37)</f>
        <v>0</v>
      </c>
      <c r="E37" s="49">
        <f>AVERAGE('17.10 KANONI-SSEMBABULE'!E37,'18.10 KANONI-SSEMBABULE-24h'!E37,'19.10 KANONI-SSEMBABULE-24h'!E37,'20.10 KANONI-SSEMBABULE'!E37,'21.10 KANONI-SSEMBABULE'!E37,'22.10 KANONI-SSEMBABULE'!E37,'23.10 KANONI-SSEMBABULE'!E37)</f>
        <v>0.2857142857142857</v>
      </c>
      <c r="F37" s="49">
        <f>AVERAGE('17.10 KANONI-SSEMBABULE'!F37,'18.10 KANONI-SSEMBABULE-24h'!F37,'19.10 KANONI-SSEMBABULE-24h'!F37,'20.10 KANONI-SSEMBABULE'!F37,'21.10 KANONI-SSEMBABULE'!F37,'22.10 KANONI-SSEMBABULE'!F37,'23.10 KANONI-SSEMBABULE'!F37)</f>
        <v>0.7142857142857143</v>
      </c>
      <c r="G37" s="49">
        <f>AVERAGE('17.10 KANONI-SSEMBABULE'!G37,'18.10 KANONI-SSEMBABULE-24h'!G37,'19.10 KANONI-SSEMBABULE-24h'!G37,'20.10 KANONI-SSEMBABULE'!G37,'21.10 KANONI-SSEMBABULE'!G37,'22.10 KANONI-SSEMBABULE'!G37,'23.10 KANONI-SSEMBABULE'!G37)</f>
        <v>0</v>
      </c>
      <c r="H37" s="49">
        <f>AVERAGE('17.10 KANONI-SSEMBABULE'!H37,'18.10 KANONI-SSEMBABULE-24h'!H37,'19.10 KANONI-SSEMBABULE-24h'!H37,'20.10 KANONI-SSEMBABULE'!H37,'21.10 KANONI-SSEMBABULE'!H37,'22.10 KANONI-SSEMBABULE'!H37,'23.10 KANONI-SSEMBABULE'!H37)</f>
        <v>0</v>
      </c>
      <c r="I37" s="49">
        <f>AVERAGE('17.10 KANONI-SSEMBABULE'!I37,'18.10 KANONI-SSEMBABULE-24h'!I37,'19.10 KANONI-SSEMBABULE-24h'!I37,'20.10 KANONI-SSEMBABULE'!I37,'21.10 KANONI-SSEMBABULE'!I37,'22.10 KANONI-SSEMBABULE'!I37,'23.10 KANONI-SSEMBABULE'!I37)</f>
        <v>1.2857142857142858</v>
      </c>
      <c r="J37" s="49">
        <f>AVERAGE('17.10 KANONI-SSEMBABULE'!J37,'18.10 KANONI-SSEMBABULE-24h'!J37,'19.10 KANONI-SSEMBABULE-24h'!J37,'20.10 KANONI-SSEMBABULE'!J37,'21.10 KANONI-SSEMBABULE'!J37,'22.10 KANONI-SSEMBABULE'!J37,'23.10 KANONI-SSEMBABULE'!J37)</f>
        <v>0.2857142857142857</v>
      </c>
      <c r="K37" s="49">
        <f>AVERAGE('17.10 KANONI-SSEMBABULE'!K37,'18.10 KANONI-SSEMBABULE-24h'!K37,'19.10 KANONI-SSEMBABULE-24h'!K37,'20.10 KANONI-SSEMBABULE'!K37,'21.10 KANONI-SSEMBABULE'!K37,'22.10 KANONI-SSEMBABULE'!K37,'23.10 KANONI-SSEMBABULE'!K37)</f>
        <v>0.42857142857142855</v>
      </c>
      <c r="L37" s="49">
        <f>AVERAGE('17.10 KANONI-SSEMBABULE'!L37,'18.10 KANONI-SSEMBABULE-24h'!L37,'19.10 KANONI-SSEMBABULE-24h'!L37,'20.10 KANONI-SSEMBABULE'!L37,'21.10 KANONI-SSEMBABULE'!L37,'22.10 KANONI-SSEMBABULE'!L37,'23.10 KANONI-SSEMBABULE'!L37)</f>
        <v>0</v>
      </c>
      <c r="M37" s="49">
        <f>AVERAGE('17.10 KANONI-SSEMBABULE'!M37,'18.10 KANONI-SSEMBABULE-24h'!M37,'19.10 KANONI-SSEMBABULE-24h'!M37,'20.10 KANONI-SSEMBABULE'!M37,'21.10 KANONI-SSEMBABULE'!M37,'22.10 KANONI-SSEMBABULE'!M37,'23.10 KANONI-SSEMBABULE'!M37)</f>
        <v>8.4285714285714288</v>
      </c>
      <c r="N37" s="49">
        <f>AVERAGE('17.10 KANONI-SSEMBABULE'!N37,'18.10 KANONI-SSEMBABULE-24h'!N37,'19.10 KANONI-SSEMBABULE-24h'!N37,'20.10 KANONI-SSEMBABULE'!N37,'21.10 KANONI-SSEMBABULE'!N37,'22.10 KANONI-SSEMBABULE'!N37,'23.10 KANONI-SSEMBABULE'!N37)</f>
        <v>0</v>
      </c>
      <c r="O37" s="15">
        <f t="shared" si="0"/>
        <v>3.9999999999999996</v>
      </c>
      <c r="P37" s="15">
        <f t="shared" si="1"/>
        <v>12.428571428571429</v>
      </c>
      <c r="R37" s="37" t="s">
        <v>85</v>
      </c>
      <c r="S37" s="54">
        <f t="shared" ref="S37:AF37" si="29">SUM(S10:S12)</f>
        <v>11.571428571428571</v>
      </c>
      <c r="T37" s="55">
        <f t="shared" si="29"/>
        <v>3</v>
      </c>
      <c r="U37" s="55">
        <f t="shared" si="29"/>
        <v>2.1428571428571423</v>
      </c>
      <c r="V37" s="55">
        <f t="shared" si="29"/>
        <v>7.5714285714285703</v>
      </c>
      <c r="W37" s="55">
        <f t="shared" si="29"/>
        <v>0.5714285714285714</v>
      </c>
      <c r="X37" s="55">
        <f t="shared" si="29"/>
        <v>0.14285714285714285</v>
      </c>
      <c r="Y37" s="55">
        <f t="shared" si="29"/>
        <v>5.8571428571428577</v>
      </c>
      <c r="Z37" s="55">
        <f t="shared" si="29"/>
        <v>2.5714285714285712</v>
      </c>
      <c r="AA37" s="55">
        <f t="shared" si="29"/>
        <v>3</v>
      </c>
      <c r="AB37" s="55">
        <f t="shared" si="29"/>
        <v>0.14285714285714285</v>
      </c>
      <c r="AC37" s="55">
        <f t="shared" si="29"/>
        <v>82.142857142857139</v>
      </c>
      <c r="AD37" s="55">
        <f t="shared" si="29"/>
        <v>0</v>
      </c>
      <c r="AE37" s="56">
        <f t="shared" si="29"/>
        <v>36.571428571428569</v>
      </c>
      <c r="AF37" s="56">
        <f t="shared" si="29"/>
        <v>118.71428571428572</v>
      </c>
    </row>
    <row r="38" spans="2:32" ht="23.1" customHeight="1" x14ac:dyDescent="0.25">
      <c r="B38" s="24" t="s">
        <v>65</v>
      </c>
      <c r="C38" s="49">
        <f>AVERAGE('17.10 KANONI-SSEMBABULE'!C38,'18.10 KANONI-SSEMBABULE-24h'!C38,'19.10 KANONI-SSEMBABULE-24h'!C38,'20.10 KANONI-SSEMBABULE'!C38,'21.10 KANONI-SSEMBABULE'!C38,'22.10 KANONI-SSEMBABULE'!C38,'23.10 KANONI-SSEMBABULE'!C38)</f>
        <v>0.7142857142857143</v>
      </c>
      <c r="D38" s="49">
        <f>AVERAGE('17.10 KANONI-SSEMBABULE'!D38,'18.10 KANONI-SSEMBABULE-24h'!D38,'19.10 KANONI-SSEMBABULE-24h'!D38,'20.10 KANONI-SSEMBABULE'!D38,'21.10 KANONI-SSEMBABULE'!D38,'22.10 KANONI-SSEMBABULE'!D38,'23.10 KANONI-SSEMBABULE'!D38)</f>
        <v>0.2857142857142857</v>
      </c>
      <c r="E38" s="49">
        <f>AVERAGE('17.10 KANONI-SSEMBABULE'!E38,'18.10 KANONI-SSEMBABULE-24h'!E38,'19.10 KANONI-SSEMBABULE-24h'!E38,'20.10 KANONI-SSEMBABULE'!E38,'21.10 KANONI-SSEMBABULE'!E38,'22.10 KANONI-SSEMBABULE'!E38,'23.10 KANONI-SSEMBABULE'!E38)</f>
        <v>0.42857142857142855</v>
      </c>
      <c r="F38" s="49">
        <f>AVERAGE('17.10 KANONI-SSEMBABULE'!F38,'18.10 KANONI-SSEMBABULE-24h'!F38,'19.10 KANONI-SSEMBABULE-24h'!F38,'20.10 KANONI-SSEMBABULE'!F38,'21.10 KANONI-SSEMBABULE'!F38,'22.10 KANONI-SSEMBABULE'!F38,'23.10 KANONI-SSEMBABULE'!F38)</f>
        <v>0.2857142857142857</v>
      </c>
      <c r="G38" s="49">
        <f>AVERAGE('17.10 KANONI-SSEMBABULE'!G38,'18.10 KANONI-SSEMBABULE-24h'!G38,'19.10 KANONI-SSEMBABULE-24h'!G38,'20.10 KANONI-SSEMBABULE'!G38,'21.10 KANONI-SSEMBABULE'!G38,'22.10 KANONI-SSEMBABULE'!G38,'23.10 KANONI-SSEMBABULE'!G38)</f>
        <v>0</v>
      </c>
      <c r="H38" s="49">
        <f>AVERAGE('17.10 KANONI-SSEMBABULE'!H38,'18.10 KANONI-SSEMBABULE-24h'!H38,'19.10 KANONI-SSEMBABULE-24h'!H38,'20.10 KANONI-SSEMBABULE'!H38,'21.10 KANONI-SSEMBABULE'!H38,'22.10 KANONI-SSEMBABULE'!H38,'23.10 KANONI-SSEMBABULE'!H38)</f>
        <v>0</v>
      </c>
      <c r="I38" s="49">
        <f>AVERAGE('17.10 KANONI-SSEMBABULE'!I38,'18.10 KANONI-SSEMBABULE-24h'!I38,'19.10 KANONI-SSEMBABULE-24h'!I38,'20.10 KANONI-SSEMBABULE'!I38,'21.10 KANONI-SSEMBABULE'!I38,'22.10 KANONI-SSEMBABULE'!I38,'23.10 KANONI-SSEMBABULE'!I38)</f>
        <v>0.8571428571428571</v>
      </c>
      <c r="J38" s="49">
        <f>AVERAGE('17.10 KANONI-SSEMBABULE'!J38,'18.10 KANONI-SSEMBABULE-24h'!J38,'19.10 KANONI-SSEMBABULE-24h'!J38,'20.10 KANONI-SSEMBABULE'!J38,'21.10 KANONI-SSEMBABULE'!J38,'22.10 KANONI-SSEMBABULE'!J38,'23.10 KANONI-SSEMBABULE'!J38)</f>
        <v>0.2857142857142857</v>
      </c>
      <c r="K38" s="49">
        <f>AVERAGE('17.10 KANONI-SSEMBABULE'!K38,'18.10 KANONI-SSEMBABULE-24h'!K38,'19.10 KANONI-SSEMBABULE-24h'!K38,'20.10 KANONI-SSEMBABULE'!K38,'21.10 KANONI-SSEMBABULE'!K38,'22.10 KANONI-SSEMBABULE'!K38,'23.10 KANONI-SSEMBABULE'!K38)</f>
        <v>2.4285714285714284</v>
      </c>
      <c r="L38" s="49">
        <f>AVERAGE('17.10 KANONI-SSEMBABULE'!L38,'18.10 KANONI-SSEMBABULE-24h'!L38,'19.10 KANONI-SSEMBABULE-24h'!L38,'20.10 KANONI-SSEMBABULE'!L38,'21.10 KANONI-SSEMBABULE'!L38,'22.10 KANONI-SSEMBABULE'!L38,'23.10 KANONI-SSEMBABULE'!L38)</f>
        <v>0.14285714285714285</v>
      </c>
      <c r="M38" s="49">
        <f>AVERAGE('17.10 KANONI-SSEMBABULE'!M38,'18.10 KANONI-SSEMBABULE-24h'!M38,'19.10 KANONI-SSEMBABULE-24h'!M38,'20.10 KANONI-SSEMBABULE'!M38,'21.10 KANONI-SSEMBABULE'!M38,'22.10 KANONI-SSEMBABULE'!M38,'23.10 KANONI-SSEMBABULE'!M38)</f>
        <v>5.5714285714285712</v>
      </c>
      <c r="N38" s="49">
        <f>AVERAGE('17.10 KANONI-SSEMBABULE'!N38,'18.10 KANONI-SSEMBABULE-24h'!N38,'19.10 KANONI-SSEMBABULE-24h'!N38,'20.10 KANONI-SSEMBABULE'!N38,'21.10 KANONI-SSEMBABULE'!N38,'22.10 KANONI-SSEMBABULE'!N38,'23.10 KANONI-SSEMBABULE'!N38)</f>
        <v>0</v>
      </c>
      <c r="O38" s="15">
        <f t="shared" si="0"/>
        <v>5.4285714285714288</v>
      </c>
      <c r="P38" s="15">
        <f t="shared" si="1"/>
        <v>11</v>
      </c>
      <c r="R38" s="28" t="s">
        <v>86</v>
      </c>
      <c r="S38" s="55">
        <f t="shared" ref="S38:AF38" si="30">SUM(S13:S18)</f>
        <v>28.142857142857142</v>
      </c>
      <c r="T38" s="55">
        <f t="shared" si="30"/>
        <v>10.428571428571427</v>
      </c>
      <c r="U38" s="55">
        <f t="shared" si="30"/>
        <v>8.9999999999999982</v>
      </c>
      <c r="V38" s="55">
        <f t="shared" si="30"/>
        <v>9.2857142857142847</v>
      </c>
      <c r="W38" s="55">
        <f t="shared" si="30"/>
        <v>0.5714285714285714</v>
      </c>
      <c r="X38" s="55">
        <f t="shared" si="30"/>
        <v>0.14285714285714285</v>
      </c>
      <c r="Y38" s="55">
        <f t="shared" si="30"/>
        <v>12.714285714285715</v>
      </c>
      <c r="Z38" s="55">
        <f t="shared" si="30"/>
        <v>6.1428571428571423</v>
      </c>
      <c r="AA38" s="55">
        <f t="shared" si="30"/>
        <v>13.142857142857142</v>
      </c>
      <c r="AB38" s="55">
        <f t="shared" si="30"/>
        <v>1</v>
      </c>
      <c r="AC38" s="55">
        <f t="shared" si="30"/>
        <v>217.85714285714283</v>
      </c>
      <c r="AD38" s="55">
        <f t="shared" si="30"/>
        <v>0.14285714285714285</v>
      </c>
      <c r="AE38" s="56">
        <f t="shared" si="30"/>
        <v>90.714285714285708</v>
      </c>
      <c r="AF38" s="56">
        <f t="shared" si="30"/>
        <v>308.57142857142856</v>
      </c>
    </row>
    <row r="39" spans="2:32" ht="23.1" customHeight="1" x14ac:dyDescent="0.25">
      <c r="B39" s="24" t="s">
        <v>66</v>
      </c>
      <c r="C39" s="49">
        <f>AVERAGE('17.10 KANONI-SSEMBABULE'!C39,'18.10 KANONI-SSEMBABULE-24h'!C39,'19.10 KANONI-SSEMBABULE-24h'!C39,'20.10 KANONI-SSEMBABULE'!C39,'21.10 KANONI-SSEMBABULE'!C39,'22.10 KANONI-SSEMBABULE'!C39,'23.10 KANONI-SSEMBABULE'!C39)</f>
        <v>1</v>
      </c>
      <c r="D39" s="49">
        <f>AVERAGE('17.10 KANONI-SSEMBABULE'!D39,'18.10 KANONI-SSEMBABULE-24h'!D39,'19.10 KANONI-SSEMBABULE-24h'!D39,'20.10 KANONI-SSEMBABULE'!D39,'21.10 KANONI-SSEMBABULE'!D39,'22.10 KANONI-SSEMBABULE'!D39,'23.10 KANONI-SSEMBABULE'!D39)</f>
        <v>0.5714285714285714</v>
      </c>
      <c r="E39" s="49">
        <f>AVERAGE('17.10 KANONI-SSEMBABULE'!E39,'18.10 KANONI-SSEMBABULE-24h'!E39,'19.10 KANONI-SSEMBABULE-24h'!E39,'20.10 KANONI-SSEMBABULE'!E39,'21.10 KANONI-SSEMBABULE'!E39,'22.10 KANONI-SSEMBABULE'!E39,'23.10 KANONI-SSEMBABULE'!E39)</f>
        <v>0.5714285714285714</v>
      </c>
      <c r="F39" s="49">
        <f>AVERAGE('17.10 KANONI-SSEMBABULE'!F39,'18.10 KANONI-SSEMBABULE-24h'!F39,'19.10 KANONI-SSEMBABULE-24h'!F39,'20.10 KANONI-SSEMBABULE'!F39,'21.10 KANONI-SSEMBABULE'!F39,'22.10 KANONI-SSEMBABULE'!F39,'23.10 KANONI-SSEMBABULE'!F39)</f>
        <v>0.14285714285714285</v>
      </c>
      <c r="G39" s="49">
        <f>AVERAGE('17.10 KANONI-SSEMBABULE'!G39,'18.10 KANONI-SSEMBABULE-24h'!G39,'19.10 KANONI-SSEMBABULE-24h'!G39,'20.10 KANONI-SSEMBABULE'!G39,'21.10 KANONI-SSEMBABULE'!G39,'22.10 KANONI-SSEMBABULE'!G39,'23.10 KANONI-SSEMBABULE'!G39)</f>
        <v>0</v>
      </c>
      <c r="H39" s="49">
        <f>AVERAGE('17.10 KANONI-SSEMBABULE'!H39,'18.10 KANONI-SSEMBABULE-24h'!H39,'19.10 KANONI-SSEMBABULE-24h'!H39,'20.10 KANONI-SSEMBABULE'!H39,'21.10 KANONI-SSEMBABULE'!H39,'22.10 KANONI-SSEMBABULE'!H39,'23.10 KANONI-SSEMBABULE'!H39)</f>
        <v>0</v>
      </c>
      <c r="I39" s="49">
        <f>AVERAGE('17.10 KANONI-SSEMBABULE'!I39,'18.10 KANONI-SSEMBABULE-24h'!I39,'19.10 KANONI-SSEMBABULE-24h'!I39,'20.10 KANONI-SSEMBABULE'!I39,'21.10 KANONI-SSEMBABULE'!I39,'22.10 KANONI-SSEMBABULE'!I39,'23.10 KANONI-SSEMBABULE'!I39)</f>
        <v>0.14285714285714285</v>
      </c>
      <c r="J39" s="49">
        <f>AVERAGE('17.10 KANONI-SSEMBABULE'!J39,'18.10 KANONI-SSEMBABULE-24h'!J39,'19.10 KANONI-SSEMBABULE-24h'!J39,'20.10 KANONI-SSEMBABULE'!J39,'21.10 KANONI-SSEMBABULE'!J39,'22.10 KANONI-SSEMBABULE'!J39,'23.10 KANONI-SSEMBABULE'!J39)</f>
        <v>0.2857142857142857</v>
      </c>
      <c r="K39" s="49">
        <f>AVERAGE('17.10 KANONI-SSEMBABULE'!K39,'18.10 KANONI-SSEMBABULE-24h'!K39,'19.10 KANONI-SSEMBABULE-24h'!K39,'20.10 KANONI-SSEMBABULE'!K39,'21.10 KANONI-SSEMBABULE'!K39,'22.10 KANONI-SSEMBABULE'!K39,'23.10 KANONI-SSEMBABULE'!K39)</f>
        <v>0.5714285714285714</v>
      </c>
      <c r="L39" s="49">
        <f>AVERAGE('17.10 KANONI-SSEMBABULE'!L39,'18.10 KANONI-SSEMBABULE-24h'!L39,'19.10 KANONI-SSEMBABULE-24h'!L39,'20.10 KANONI-SSEMBABULE'!L39,'21.10 KANONI-SSEMBABULE'!L39,'22.10 KANONI-SSEMBABULE'!L39,'23.10 KANONI-SSEMBABULE'!L39)</f>
        <v>0</v>
      </c>
      <c r="M39" s="49">
        <f>AVERAGE('17.10 KANONI-SSEMBABULE'!M39,'18.10 KANONI-SSEMBABULE-24h'!M39,'19.10 KANONI-SSEMBABULE-24h'!M39,'20.10 KANONI-SSEMBABULE'!M39,'21.10 KANONI-SSEMBABULE'!M39,'22.10 KANONI-SSEMBABULE'!M39,'23.10 KANONI-SSEMBABULE'!M39)</f>
        <v>9.4285714285714288</v>
      </c>
      <c r="N39" s="49">
        <f>AVERAGE('17.10 KANONI-SSEMBABULE'!N39,'18.10 KANONI-SSEMBABULE-24h'!N39,'19.10 KANONI-SSEMBABULE-24h'!N39,'20.10 KANONI-SSEMBABULE'!N39,'21.10 KANONI-SSEMBABULE'!N39,'22.10 KANONI-SSEMBABULE'!N39,'23.10 KANONI-SSEMBABULE'!N39)</f>
        <v>0</v>
      </c>
      <c r="O39" s="15">
        <f t="shared" si="0"/>
        <v>3.2857142857142856</v>
      </c>
      <c r="P39" s="15">
        <f t="shared" si="1"/>
        <v>12.714285714285715</v>
      </c>
      <c r="R39" s="29" t="s">
        <v>87</v>
      </c>
      <c r="S39" s="55">
        <f t="shared" ref="S39:AF39" si="31">SUM(S19:S21)</f>
        <v>10.142857142857142</v>
      </c>
      <c r="T39" s="55">
        <f t="shared" si="31"/>
        <v>4.7142857142857144</v>
      </c>
      <c r="U39" s="55">
        <f t="shared" si="31"/>
        <v>3</v>
      </c>
      <c r="V39" s="55">
        <f t="shared" si="31"/>
        <v>3.714285714285714</v>
      </c>
      <c r="W39" s="55">
        <f t="shared" si="31"/>
        <v>0.8571428571428571</v>
      </c>
      <c r="X39" s="55">
        <f t="shared" si="31"/>
        <v>0.42857142857142855</v>
      </c>
      <c r="Y39" s="55">
        <f t="shared" si="31"/>
        <v>8.428571428571427</v>
      </c>
      <c r="Z39" s="55">
        <f t="shared" si="31"/>
        <v>6.2857142857142856</v>
      </c>
      <c r="AA39" s="55">
        <f t="shared" si="31"/>
        <v>4.7142857142857135</v>
      </c>
      <c r="AB39" s="55">
        <f t="shared" si="31"/>
        <v>1</v>
      </c>
      <c r="AC39" s="55">
        <f t="shared" si="31"/>
        <v>112.71428571428571</v>
      </c>
      <c r="AD39" s="55">
        <f t="shared" si="31"/>
        <v>0</v>
      </c>
      <c r="AE39" s="56">
        <f t="shared" si="31"/>
        <v>43.285714285714278</v>
      </c>
      <c r="AF39" s="56">
        <f t="shared" si="31"/>
        <v>156</v>
      </c>
    </row>
    <row r="40" spans="2:32" ht="23.1" customHeight="1" x14ac:dyDescent="0.25">
      <c r="B40" s="24" t="s">
        <v>67</v>
      </c>
      <c r="C40" s="49">
        <f>AVERAGE('17.10 KANONI-SSEMBABULE'!C40,'18.10 KANONI-SSEMBABULE-24h'!C40,'19.10 KANONI-SSEMBABULE-24h'!C40,'20.10 KANONI-SSEMBABULE'!C40,'21.10 KANONI-SSEMBABULE'!C40,'22.10 KANONI-SSEMBABULE'!C40,'23.10 KANONI-SSEMBABULE'!C40)</f>
        <v>1.1428571428571428</v>
      </c>
      <c r="D40" s="49">
        <f>AVERAGE('17.10 KANONI-SSEMBABULE'!D40,'18.10 KANONI-SSEMBABULE-24h'!D40,'19.10 KANONI-SSEMBABULE-24h'!D40,'20.10 KANONI-SSEMBABULE'!D40,'21.10 KANONI-SSEMBABULE'!D40,'22.10 KANONI-SSEMBABULE'!D40,'23.10 KANONI-SSEMBABULE'!D40)</f>
        <v>1.5714285714285714</v>
      </c>
      <c r="E40" s="49">
        <f>AVERAGE('17.10 KANONI-SSEMBABULE'!E40,'18.10 KANONI-SSEMBABULE-24h'!E40,'19.10 KANONI-SSEMBABULE-24h'!E40,'20.10 KANONI-SSEMBABULE'!E40,'21.10 KANONI-SSEMBABULE'!E40,'22.10 KANONI-SSEMBABULE'!E40,'23.10 KANONI-SSEMBABULE'!E40)</f>
        <v>0.42857142857142855</v>
      </c>
      <c r="F40" s="49">
        <f>AVERAGE('17.10 KANONI-SSEMBABULE'!F40,'18.10 KANONI-SSEMBABULE-24h'!F40,'19.10 KANONI-SSEMBABULE-24h'!F40,'20.10 KANONI-SSEMBABULE'!F40,'21.10 KANONI-SSEMBABULE'!F40,'22.10 KANONI-SSEMBABULE'!F40,'23.10 KANONI-SSEMBABULE'!F40)</f>
        <v>0.2857142857142857</v>
      </c>
      <c r="G40" s="49">
        <f>AVERAGE('17.10 KANONI-SSEMBABULE'!G40,'18.10 KANONI-SSEMBABULE-24h'!G40,'19.10 KANONI-SSEMBABULE-24h'!G40,'20.10 KANONI-SSEMBABULE'!G40,'21.10 KANONI-SSEMBABULE'!G40,'22.10 KANONI-SSEMBABULE'!G40,'23.10 KANONI-SSEMBABULE'!G40)</f>
        <v>0</v>
      </c>
      <c r="H40" s="49">
        <f>AVERAGE('17.10 KANONI-SSEMBABULE'!H40,'18.10 KANONI-SSEMBABULE-24h'!H40,'19.10 KANONI-SSEMBABULE-24h'!H40,'20.10 KANONI-SSEMBABULE'!H40,'21.10 KANONI-SSEMBABULE'!H40,'22.10 KANONI-SSEMBABULE'!H40,'23.10 KANONI-SSEMBABULE'!H40)</f>
        <v>0</v>
      </c>
      <c r="I40" s="49">
        <f>AVERAGE('17.10 KANONI-SSEMBABULE'!I40,'18.10 KANONI-SSEMBABULE-24h'!I40,'19.10 KANONI-SSEMBABULE-24h'!I40,'20.10 KANONI-SSEMBABULE'!I40,'21.10 KANONI-SSEMBABULE'!I40,'22.10 KANONI-SSEMBABULE'!I40,'23.10 KANONI-SSEMBABULE'!I40)</f>
        <v>0.14285714285714285</v>
      </c>
      <c r="J40" s="49">
        <f>AVERAGE('17.10 KANONI-SSEMBABULE'!J40,'18.10 KANONI-SSEMBABULE-24h'!J40,'19.10 KANONI-SSEMBABULE-24h'!J40,'20.10 KANONI-SSEMBABULE'!J40,'21.10 KANONI-SSEMBABULE'!J40,'22.10 KANONI-SSEMBABULE'!J40,'23.10 KANONI-SSEMBABULE'!J40)</f>
        <v>0.5714285714285714</v>
      </c>
      <c r="K40" s="49">
        <f>AVERAGE('17.10 KANONI-SSEMBABULE'!K40,'18.10 KANONI-SSEMBABULE-24h'!K40,'19.10 KANONI-SSEMBABULE-24h'!K40,'20.10 KANONI-SSEMBABULE'!K40,'21.10 KANONI-SSEMBABULE'!K40,'22.10 KANONI-SSEMBABULE'!K40,'23.10 KANONI-SSEMBABULE'!K40)</f>
        <v>0.5714285714285714</v>
      </c>
      <c r="L40" s="49">
        <f>AVERAGE('17.10 KANONI-SSEMBABULE'!L40,'18.10 KANONI-SSEMBABULE-24h'!L40,'19.10 KANONI-SSEMBABULE-24h'!L40,'20.10 KANONI-SSEMBABULE'!L40,'21.10 KANONI-SSEMBABULE'!L40,'22.10 KANONI-SSEMBABULE'!L40,'23.10 KANONI-SSEMBABULE'!L40)</f>
        <v>0</v>
      </c>
      <c r="M40" s="49">
        <f>AVERAGE('17.10 KANONI-SSEMBABULE'!M40,'18.10 KANONI-SSEMBABULE-24h'!M40,'19.10 KANONI-SSEMBABULE-24h'!M40,'20.10 KANONI-SSEMBABULE'!M40,'21.10 KANONI-SSEMBABULE'!M40,'22.10 KANONI-SSEMBABULE'!M40,'23.10 KANONI-SSEMBABULE'!M40)</f>
        <v>9.8571428571428577</v>
      </c>
      <c r="N40" s="49">
        <f>AVERAGE('17.10 KANONI-SSEMBABULE'!N40,'18.10 KANONI-SSEMBABULE-24h'!N40,'19.10 KANONI-SSEMBABULE-24h'!N40,'20.10 KANONI-SSEMBABULE'!N40,'21.10 KANONI-SSEMBABULE'!N40,'22.10 KANONI-SSEMBABULE'!N40,'23.10 KANONI-SSEMBABULE'!N40)</f>
        <v>0</v>
      </c>
      <c r="O40" s="15">
        <f t="shared" si="0"/>
        <v>4.7142857142857135</v>
      </c>
      <c r="P40" s="15">
        <f t="shared" si="1"/>
        <v>14.571428571428571</v>
      </c>
      <c r="R40" s="5" t="s">
        <v>17</v>
      </c>
      <c r="S40" s="55">
        <f t="shared" ref="S40:AF40" si="32">SUM(S10:S21)</f>
        <v>49.857142857142861</v>
      </c>
      <c r="T40" s="55">
        <f t="shared" si="32"/>
        <v>18.142857142857142</v>
      </c>
      <c r="U40" s="55">
        <f t="shared" si="32"/>
        <v>14.142857142857139</v>
      </c>
      <c r="V40" s="55">
        <f t="shared" si="32"/>
        <v>20.571428571428569</v>
      </c>
      <c r="W40" s="55">
        <f t="shared" si="32"/>
        <v>1.9999999999999998</v>
      </c>
      <c r="X40" s="55">
        <f t="shared" si="32"/>
        <v>0.71428571428571419</v>
      </c>
      <c r="Y40" s="55">
        <f t="shared" si="32"/>
        <v>27</v>
      </c>
      <c r="Z40" s="55">
        <f t="shared" si="32"/>
        <v>14.999999999999998</v>
      </c>
      <c r="AA40" s="55">
        <f t="shared" si="32"/>
        <v>20.857142857142854</v>
      </c>
      <c r="AB40" s="55">
        <f t="shared" si="32"/>
        <v>2.1428571428571423</v>
      </c>
      <c r="AC40" s="55">
        <f t="shared" si="32"/>
        <v>412.71428571428567</v>
      </c>
      <c r="AD40" s="55">
        <f t="shared" si="32"/>
        <v>0.14285714285714285</v>
      </c>
      <c r="AE40" s="56">
        <f t="shared" si="32"/>
        <v>170.57142857142856</v>
      </c>
      <c r="AF40" s="56">
        <f t="shared" si="32"/>
        <v>583.28571428571433</v>
      </c>
    </row>
    <row r="41" spans="2:32" ht="23.1" customHeight="1" x14ac:dyDescent="0.25">
      <c r="B41" s="23" t="s">
        <v>68</v>
      </c>
      <c r="C41" s="49">
        <f>AVERAGE('17.10 KANONI-SSEMBABULE'!C41,'18.10 KANONI-SSEMBABULE-24h'!C41,'19.10 KANONI-SSEMBABULE-24h'!C41,'20.10 KANONI-SSEMBABULE'!C41,'21.10 KANONI-SSEMBABULE'!C41,'22.10 KANONI-SSEMBABULE'!C41,'23.10 KANONI-SSEMBABULE'!C41)</f>
        <v>1.4285714285714286</v>
      </c>
      <c r="D41" s="49">
        <f>AVERAGE('17.10 KANONI-SSEMBABULE'!D41,'18.10 KANONI-SSEMBABULE-24h'!D41,'19.10 KANONI-SSEMBABULE-24h'!D41,'20.10 KANONI-SSEMBABULE'!D41,'21.10 KANONI-SSEMBABULE'!D41,'22.10 KANONI-SSEMBABULE'!D41,'23.10 KANONI-SSEMBABULE'!D41)</f>
        <v>0</v>
      </c>
      <c r="E41" s="49">
        <f>AVERAGE('17.10 KANONI-SSEMBABULE'!E41,'18.10 KANONI-SSEMBABULE-24h'!E41,'19.10 KANONI-SSEMBABULE-24h'!E41,'20.10 KANONI-SSEMBABULE'!E41,'21.10 KANONI-SSEMBABULE'!E41,'22.10 KANONI-SSEMBABULE'!E41,'23.10 KANONI-SSEMBABULE'!E41)</f>
        <v>0.2857142857142857</v>
      </c>
      <c r="F41" s="49">
        <f>AVERAGE('17.10 KANONI-SSEMBABULE'!F41,'18.10 KANONI-SSEMBABULE-24h'!F41,'19.10 KANONI-SSEMBABULE-24h'!F41,'20.10 KANONI-SSEMBABULE'!F41,'21.10 KANONI-SSEMBABULE'!F41,'22.10 KANONI-SSEMBABULE'!F41,'23.10 KANONI-SSEMBABULE'!F41)</f>
        <v>0.2857142857142857</v>
      </c>
      <c r="G41" s="49">
        <f>AVERAGE('17.10 KANONI-SSEMBABULE'!G41,'18.10 KANONI-SSEMBABULE-24h'!G41,'19.10 KANONI-SSEMBABULE-24h'!G41,'20.10 KANONI-SSEMBABULE'!G41,'21.10 KANONI-SSEMBABULE'!G41,'22.10 KANONI-SSEMBABULE'!G41,'23.10 KANONI-SSEMBABULE'!G41)</f>
        <v>0</v>
      </c>
      <c r="H41" s="49">
        <f>AVERAGE('17.10 KANONI-SSEMBABULE'!H41,'18.10 KANONI-SSEMBABULE-24h'!H41,'19.10 KANONI-SSEMBABULE-24h'!H41,'20.10 KANONI-SSEMBABULE'!H41,'21.10 KANONI-SSEMBABULE'!H41,'22.10 KANONI-SSEMBABULE'!H41,'23.10 KANONI-SSEMBABULE'!H41)</f>
        <v>0</v>
      </c>
      <c r="I41" s="49">
        <f>AVERAGE('17.10 KANONI-SSEMBABULE'!I41,'18.10 KANONI-SSEMBABULE-24h'!I41,'19.10 KANONI-SSEMBABULE-24h'!I41,'20.10 KANONI-SSEMBABULE'!I41,'21.10 KANONI-SSEMBABULE'!I41,'22.10 KANONI-SSEMBABULE'!I41,'23.10 KANONI-SSEMBABULE'!I41)</f>
        <v>0.42857142857142855</v>
      </c>
      <c r="J41" s="49">
        <f>AVERAGE('17.10 KANONI-SSEMBABULE'!J41,'18.10 KANONI-SSEMBABULE-24h'!J41,'19.10 KANONI-SSEMBABULE-24h'!J41,'20.10 KANONI-SSEMBABULE'!J41,'21.10 KANONI-SSEMBABULE'!J41,'22.10 KANONI-SSEMBABULE'!J41,'23.10 KANONI-SSEMBABULE'!J41)</f>
        <v>0</v>
      </c>
      <c r="K41" s="49">
        <f>AVERAGE('17.10 KANONI-SSEMBABULE'!K41,'18.10 KANONI-SSEMBABULE-24h'!K41,'19.10 KANONI-SSEMBABULE-24h'!K41,'20.10 KANONI-SSEMBABULE'!K41,'21.10 KANONI-SSEMBABULE'!K41,'22.10 KANONI-SSEMBABULE'!K41,'23.10 KANONI-SSEMBABULE'!K41)</f>
        <v>0.2857142857142857</v>
      </c>
      <c r="L41" s="49">
        <f>AVERAGE('17.10 KANONI-SSEMBABULE'!L41,'18.10 KANONI-SSEMBABULE-24h'!L41,'19.10 KANONI-SSEMBABULE-24h'!L41,'20.10 KANONI-SSEMBABULE'!L41,'21.10 KANONI-SSEMBABULE'!L41,'22.10 KANONI-SSEMBABULE'!L41,'23.10 KANONI-SSEMBABULE'!L41)</f>
        <v>0</v>
      </c>
      <c r="M41" s="49">
        <f>AVERAGE('17.10 KANONI-SSEMBABULE'!M41,'18.10 KANONI-SSEMBABULE-24h'!M41,'19.10 KANONI-SSEMBABULE-24h'!M41,'20.10 KANONI-SSEMBABULE'!M41,'21.10 KANONI-SSEMBABULE'!M41,'22.10 KANONI-SSEMBABULE'!M41,'23.10 KANONI-SSEMBABULE'!M41)</f>
        <v>7.7142857142857144</v>
      </c>
      <c r="N41" s="49">
        <f>AVERAGE('17.10 KANONI-SSEMBABULE'!N41,'18.10 KANONI-SSEMBABULE-24h'!N41,'19.10 KANONI-SSEMBABULE-24h'!N41,'20.10 KANONI-SSEMBABULE'!N41,'21.10 KANONI-SSEMBABULE'!N41,'22.10 KANONI-SSEMBABULE'!N41,'23.10 KANONI-SSEMBABULE'!N41)</f>
        <v>0</v>
      </c>
      <c r="O41" s="15">
        <f t="shared" si="0"/>
        <v>2.714285714285714</v>
      </c>
      <c r="P41" s="15">
        <f t="shared" si="1"/>
        <v>10.428571428571429</v>
      </c>
      <c r="R41" s="5" t="s">
        <v>184</v>
      </c>
      <c r="S41" s="55">
        <f>SUM(S10:S33)</f>
        <v>73.357142857142861</v>
      </c>
      <c r="T41" s="55">
        <f t="shared" ref="T41:AD41" si="33">SUM(T10:T33)</f>
        <v>39.142857142857139</v>
      </c>
      <c r="U41" s="55">
        <f t="shared" si="33"/>
        <v>19.642857142857139</v>
      </c>
      <c r="V41" s="55">
        <f t="shared" si="33"/>
        <v>31.571428571428569</v>
      </c>
      <c r="W41" s="55">
        <f t="shared" si="33"/>
        <v>6.5</v>
      </c>
      <c r="X41" s="55">
        <f t="shared" si="33"/>
        <v>3.2142857142857144</v>
      </c>
      <c r="Y41" s="55">
        <f t="shared" si="33"/>
        <v>42</v>
      </c>
      <c r="Z41" s="55">
        <f t="shared" si="33"/>
        <v>30</v>
      </c>
      <c r="AA41" s="55">
        <f t="shared" si="33"/>
        <v>31.857142857142854</v>
      </c>
      <c r="AB41" s="55">
        <f t="shared" si="33"/>
        <v>8.6428571428571423</v>
      </c>
      <c r="AC41" s="55">
        <f t="shared" si="33"/>
        <v>505.21428571428567</v>
      </c>
      <c r="AD41" s="55">
        <f t="shared" si="33"/>
        <v>0.14285714285714285</v>
      </c>
      <c r="AE41" s="56">
        <f>SUM(AE10:AE33)</f>
        <v>286.07142857142856</v>
      </c>
      <c r="AF41" s="56">
        <f>SUM(AF10:AF33)</f>
        <v>791.28571428571433</v>
      </c>
    </row>
    <row r="42" spans="2:32" ht="23.1" customHeight="1" x14ac:dyDescent="0.25">
      <c r="B42" s="24" t="s">
        <v>69</v>
      </c>
      <c r="C42" s="49">
        <f>AVERAGE('17.10 KANONI-SSEMBABULE'!C42,'18.10 KANONI-SSEMBABULE-24h'!C42,'19.10 KANONI-SSEMBABULE-24h'!C42,'20.10 KANONI-SSEMBABULE'!C42,'21.10 KANONI-SSEMBABULE'!C42,'22.10 KANONI-SSEMBABULE'!C42,'23.10 KANONI-SSEMBABULE'!C42)</f>
        <v>1.1428571428571428</v>
      </c>
      <c r="D42" s="49">
        <f>AVERAGE('17.10 KANONI-SSEMBABULE'!D42,'18.10 KANONI-SSEMBABULE-24h'!D42,'19.10 KANONI-SSEMBABULE-24h'!D42,'20.10 KANONI-SSEMBABULE'!D42,'21.10 KANONI-SSEMBABULE'!D42,'22.10 KANONI-SSEMBABULE'!D42,'23.10 KANONI-SSEMBABULE'!D42)</f>
        <v>0.14285714285714285</v>
      </c>
      <c r="E42" s="49">
        <f>AVERAGE('17.10 KANONI-SSEMBABULE'!E42,'18.10 KANONI-SSEMBABULE-24h'!E42,'19.10 KANONI-SSEMBABULE-24h'!E42,'20.10 KANONI-SSEMBABULE'!E42,'21.10 KANONI-SSEMBABULE'!E42,'22.10 KANONI-SSEMBABULE'!E42,'23.10 KANONI-SSEMBABULE'!E42)</f>
        <v>0.2857142857142857</v>
      </c>
      <c r="F42" s="49">
        <f>AVERAGE('17.10 KANONI-SSEMBABULE'!F42,'18.10 KANONI-SSEMBABULE-24h'!F42,'19.10 KANONI-SSEMBABULE-24h'!F42,'20.10 KANONI-SSEMBABULE'!F42,'21.10 KANONI-SSEMBABULE'!F42,'22.10 KANONI-SSEMBABULE'!F42,'23.10 KANONI-SSEMBABULE'!F42)</f>
        <v>0.14285714285714285</v>
      </c>
      <c r="G42" s="49">
        <f>AVERAGE('17.10 KANONI-SSEMBABULE'!G42,'18.10 KANONI-SSEMBABULE-24h'!G42,'19.10 KANONI-SSEMBABULE-24h'!G42,'20.10 KANONI-SSEMBABULE'!G42,'21.10 KANONI-SSEMBABULE'!G42,'22.10 KANONI-SSEMBABULE'!G42,'23.10 KANONI-SSEMBABULE'!G42)</f>
        <v>0</v>
      </c>
      <c r="H42" s="49">
        <f>AVERAGE('17.10 KANONI-SSEMBABULE'!H42,'18.10 KANONI-SSEMBABULE-24h'!H42,'19.10 KANONI-SSEMBABULE-24h'!H42,'20.10 KANONI-SSEMBABULE'!H42,'21.10 KANONI-SSEMBABULE'!H42,'22.10 KANONI-SSEMBABULE'!H42,'23.10 KANONI-SSEMBABULE'!H42)</f>
        <v>0</v>
      </c>
      <c r="I42" s="49">
        <f>AVERAGE('17.10 KANONI-SSEMBABULE'!I42,'18.10 KANONI-SSEMBABULE-24h'!I42,'19.10 KANONI-SSEMBABULE-24h'!I42,'20.10 KANONI-SSEMBABULE'!I42,'21.10 KANONI-SSEMBABULE'!I42,'22.10 KANONI-SSEMBABULE'!I42,'23.10 KANONI-SSEMBABULE'!I42)</f>
        <v>0.42857142857142855</v>
      </c>
      <c r="J42" s="49">
        <f>AVERAGE('17.10 KANONI-SSEMBABULE'!J42,'18.10 KANONI-SSEMBABULE-24h'!J42,'19.10 KANONI-SSEMBABULE-24h'!J42,'20.10 KANONI-SSEMBABULE'!J42,'21.10 KANONI-SSEMBABULE'!J42,'22.10 KANONI-SSEMBABULE'!J42,'23.10 KANONI-SSEMBABULE'!J42)</f>
        <v>0.14285714285714285</v>
      </c>
      <c r="K42" s="49">
        <f>AVERAGE('17.10 KANONI-SSEMBABULE'!K42,'18.10 KANONI-SSEMBABULE-24h'!K42,'19.10 KANONI-SSEMBABULE-24h'!K42,'20.10 KANONI-SSEMBABULE'!K42,'21.10 KANONI-SSEMBABULE'!K42,'22.10 KANONI-SSEMBABULE'!K42,'23.10 KANONI-SSEMBABULE'!K42)</f>
        <v>0.8571428571428571</v>
      </c>
      <c r="L42" s="49">
        <f>AVERAGE('17.10 KANONI-SSEMBABULE'!L42,'18.10 KANONI-SSEMBABULE-24h'!L42,'19.10 KANONI-SSEMBABULE-24h'!L42,'20.10 KANONI-SSEMBABULE'!L42,'21.10 KANONI-SSEMBABULE'!L42,'22.10 KANONI-SSEMBABULE'!L42,'23.10 KANONI-SSEMBABULE'!L42)</f>
        <v>0</v>
      </c>
      <c r="M42" s="49">
        <f>AVERAGE('17.10 KANONI-SSEMBABULE'!M42,'18.10 KANONI-SSEMBABULE-24h'!M42,'19.10 KANONI-SSEMBABULE-24h'!M42,'20.10 KANONI-SSEMBABULE'!M42,'21.10 KANONI-SSEMBABULE'!M42,'22.10 KANONI-SSEMBABULE'!M42,'23.10 KANONI-SSEMBABULE'!M42)</f>
        <v>10.571428571428571</v>
      </c>
      <c r="N42" s="49">
        <f>AVERAGE('17.10 KANONI-SSEMBABULE'!N42,'18.10 KANONI-SSEMBABULE-24h'!N42,'19.10 KANONI-SSEMBABULE-24h'!N42,'20.10 KANONI-SSEMBABULE'!N42,'21.10 KANONI-SSEMBABULE'!N42,'22.10 KANONI-SSEMBABULE'!N42,'23.10 KANONI-SSEMBABULE'!N42)</f>
        <v>0</v>
      </c>
      <c r="O42" s="15">
        <f t="shared" si="0"/>
        <v>3.1428571428571423</v>
      </c>
      <c r="P42" s="15">
        <f t="shared" si="1"/>
        <v>13.714285714285714</v>
      </c>
      <c r="R42" s="5" t="s">
        <v>160</v>
      </c>
      <c r="S42" s="48">
        <f>S41/S40</f>
        <v>1.4713467048710602</v>
      </c>
      <c r="T42" s="48">
        <f t="shared" ref="T42:AF42" si="34">T41/T40</f>
        <v>2.1574803149606296</v>
      </c>
      <c r="U42" s="48">
        <f t="shared" si="34"/>
        <v>1.3888888888888891</v>
      </c>
      <c r="V42" s="48">
        <f t="shared" si="34"/>
        <v>1.5347222222222223</v>
      </c>
      <c r="W42" s="48">
        <f t="shared" si="34"/>
        <v>3.2500000000000004</v>
      </c>
      <c r="X42" s="48">
        <f t="shared" si="34"/>
        <v>4.5000000000000009</v>
      </c>
      <c r="Y42" s="48">
        <f t="shared" si="34"/>
        <v>1.5555555555555556</v>
      </c>
      <c r="Z42" s="48">
        <f t="shared" si="34"/>
        <v>2.0000000000000004</v>
      </c>
      <c r="AA42" s="48">
        <f t="shared" si="34"/>
        <v>1.5273972602739727</v>
      </c>
      <c r="AB42" s="48">
        <f t="shared" si="34"/>
        <v>4.0333333333333341</v>
      </c>
      <c r="AC42" s="48">
        <f t="shared" si="34"/>
        <v>1.2241259951540326</v>
      </c>
      <c r="AD42" s="48">
        <f t="shared" si="34"/>
        <v>1</v>
      </c>
      <c r="AE42" s="57">
        <f t="shared" si="34"/>
        <v>1.6771356783919598</v>
      </c>
      <c r="AF42" s="57">
        <f t="shared" si="34"/>
        <v>1.3566005388194955</v>
      </c>
    </row>
    <row r="43" spans="2:32" ht="23.1" customHeight="1" x14ac:dyDescent="0.25">
      <c r="B43" s="23" t="s">
        <v>70</v>
      </c>
      <c r="C43" s="49">
        <f>AVERAGE('17.10 KANONI-SSEMBABULE'!C43,'18.10 KANONI-SSEMBABULE-24h'!C43,'19.10 KANONI-SSEMBABULE-24h'!C43,'20.10 KANONI-SSEMBABULE'!C43,'21.10 KANONI-SSEMBABULE'!C43,'22.10 KANONI-SSEMBABULE'!C43,'23.10 KANONI-SSEMBABULE'!C43)</f>
        <v>0.7142857142857143</v>
      </c>
      <c r="D43" s="49">
        <f>AVERAGE('17.10 KANONI-SSEMBABULE'!D43,'18.10 KANONI-SSEMBABULE-24h'!D43,'19.10 KANONI-SSEMBABULE-24h'!D43,'20.10 KANONI-SSEMBABULE'!D43,'21.10 KANONI-SSEMBABULE'!D43,'22.10 KANONI-SSEMBABULE'!D43,'23.10 KANONI-SSEMBABULE'!D43)</f>
        <v>0.14285714285714285</v>
      </c>
      <c r="E43" s="49">
        <f>AVERAGE('17.10 KANONI-SSEMBABULE'!E43,'18.10 KANONI-SSEMBABULE-24h'!E43,'19.10 KANONI-SSEMBABULE-24h'!E43,'20.10 KANONI-SSEMBABULE'!E43,'21.10 KANONI-SSEMBABULE'!E43,'22.10 KANONI-SSEMBABULE'!E43,'23.10 KANONI-SSEMBABULE'!E43)</f>
        <v>0.14285714285714285</v>
      </c>
      <c r="F43" s="49">
        <f>AVERAGE('17.10 KANONI-SSEMBABULE'!F43,'18.10 KANONI-SSEMBABULE-24h'!F43,'19.10 KANONI-SSEMBABULE-24h'!F43,'20.10 KANONI-SSEMBABULE'!F43,'21.10 KANONI-SSEMBABULE'!F43,'22.10 KANONI-SSEMBABULE'!F43,'23.10 KANONI-SSEMBABULE'!F43)</f>
        <v>0</v>
      </c>
      <c r="G43" s="49">
        <f>AVERAGE('17.10 KANONI-SSEMBABULE'!G43,'18.10 KANONI-SSEMBABULE-24h'!G43,'19.10 KANONI-SSEMBABULE-24h'!G43,'20.10 KANONI-SSEMBABULE'!G43,'21.10 KANONI-SSEMBABULE'!G43,'22.10 KANONI-SSEMBABULE'!G43,'23.10 KANONI-SSEMBABULE'!G43)</f>
        <v>0</v>
      </c>
      <c r="H43" s="49">
        <f>AVERAGE('17.10 KANONI-SSEMBABULE'!H43,'18.10 KANONI-SSEMBABULE-24h'!H43,'19.10 KANONI-SSEMBABULE-24h'!H43,'20.10 KANONI-SSEMBABULE'!H43,'21.10 KANONI-SSEMBABULE'!H43,'22.10 KANONI-SSEMBABULE'!H43,'23.10 KANONI-SSEMBABULE'!H43)</f>
        <v>0</v>
      </c>
      <c r="I43" s="49">
        <f>AVERAGE('17.10 KANONI-SSEMBABULE'!I43,'18.10 KANONI-SSEMBABULE-24h'!I43,'19.10 KANONI-SSEMBABULE-24h'!I43,'20.10 KANONI-SSEMBABULE'!I43,'21.10 KANONI-SSEMBABULE'!I43,'22.10 KANONI-SSEMBABULE'!I43,'23.10 KANONI-SSEMBABULE'!I43)</f>
        <v>0.8571428571428571</v>
      </c>
      <c r="J43" s="49">
        <f>AVERAGE('17.10 KANONI-SSEMBABULE'!J43,'18.10 KANONI-SSEMBABULE-24h'!J43,'19.10 KANONI-SSEMBABULE-24h'!J43,'20.10 KANONI-SSEMBABULE'!J43,'21.10 KANONI-SSEMBABULE'!J43,'22.10 KANONI-SSEMBABULE'!J43,'23.10 KANONI-SSEMBABULE'!J43)</f>
        <v>0.7142857142857143</v>
      </c>
      <c r="K43" s="49">
        <f>AVERAGE('17.10 KANONI-SSEMBABULE'!K43,'18.10 KANONI-SSEMBABULE-24h'!K43,'19.10 KANONI-SSEMBABULE-24h'!K43,'20.10 KANONI-SSEMBABULE'!K43,'21.10 KANONI-SSEMBABULE'!K43,'22.10 KANONI-SSEMBABULE'!K43,'23.10 KANONI-SSEMBABULE'!K43)</f>
        <v>0.2857142857142857</v>
      </c>
      <c r="L43" s="49">
        <f>AVERAGE('17.10 KANONI-SSEMBABULE'!L43,'18.10 KANONI-SSEMBABULE-24h'!L43,'19.10 KANONI-SSEMBABULE-24h'!L43,'20.10 KANONI-SSEMBABULE'!L43,'21.10 KANONI-SSEMBABULE'!L43,'22.10 KANONI-SSEMBABULE'!L43,'23.10 KANONI-SSEMBABULE'!L43)</f>
        <v>0</v>
      </c>
      <c r="M43" s="49">
        <f>AVERAGE('17.10 KANONI-SSEMBABULE'!M43,'18.10 KANONI-SSEMBABULE-24h'!M43,'19.10 KANONI-SSEMBABULE-24h'!M43,'20.10 KANONI-SSEMBABULE'!M43,'21.10 KANONI-SSEMBABULE'!M43,'22.10 KANONI-SSEMBABULE'!M43,'23.10 KANONI-SSEMBABULE'!M43)</f>
        <v>10.285714285714286</v>
      </c>
      <c r="N43" s="49">
        <f>AVERAGE('17.10 KANONI-SSEMBABULE'!N43,'18.10 KANONI-SSEMBABULE-24h'!N43,'19.10 KANONI-SSEMBABULE-24h'!N43,'20.10 KANONI-SSEMBABULE'!N43,'21.10 KANONI-SSEMBABULE'!N43,'22.10 KANONI-SSEMBABULE'!N43,'23.10 KANONI-SSEMBABULE'!N43)</f>
        <v>0</v>
      </c>
      <c r="O43" s="15">
        <f t="shared" si="0"/>
        <v>2.8571428571428572</v>
      </c>
      <c r="P43" s="15">
        <f t="shared" si="1"/>
        <v>13.142857142857144</v>
      </c>
    </row>
    <row r="44" spans="2:32" ht="23.1" customHeight="1" x14ac:dyDescent="0.25">
      <c r="B44" s="25" t="s">
        <v>71</v>
      </c>
      <c r="C44" s="49">
        <f>AVERAGE('17.10 KANONI-SSEMBABULE'!C44,'18.10 KANONI-SSEMBABULE-24h'!C44,'19.10 KANONI-SSEMBABULE-24h'!C44,'20.10 KANONI-SSEMBABULE'!C44,'21.10 KANONI-SSEMBABULE'!C44,'22.10 KANONI-SSEMBABULE'!C44,'23.10 KANONI-SSEMBABULE'!C44)</f>
        <v>1</v>
      </c>
      <c r="D44" s="49">
        <f>AVERAGE('17.10 KANONI-SSEMBABULE'!D44,'18.10 KANONI-SSEMBABULE-24h'!D44,'19.10 KANONI-SSEMBABULE-24h'!D44,'20.10 KANONI-SSEMBABULE'!D44,'21.10 KANONI-SSEMBABULE'!D44,'22.10 KANONI-SSEMBABULE'!D44,'23.10 KANONI-SSEMBABULE'!D44)</f>
        <v>0.42857142857142855</v>
      </c>
      <c r="E44" s="49">
        <f>AVERAGE('17.10 KANONI-SSEMBABULE'!E44,'18.10 KANONI-SSEMBABULE-24h'!E44,'19.10 KANONI-SSEMBABULE-24h'!E44,'20.10 KANONI-SSEMBABULE'!E44,'21.10 KANONI-SSEMBABULE'!E44,'22.10 KANONI-SSEMBABULE'!E44,'23.10 KANONI-SSEMBABULE'!E44)</f>
        <v>0</v>
      </c>
      <c r="F44" s="49">
        <f>AVERAGE('17.10 KANONI-SSEMBABULE'!F44,'18.10 KANONI-SSEMBABULE-24h'!F44,'19.10 KANONI-SSEMBABULE-24h'!F44,'20.10 KANONI-SSEMBABULE'!F44,'21.10 KANONI-SSEMBABULE'!F44,'22.10 KANONI-SSEMBABULE'!F44,'23.10 KANONI-SSEMBABULE'!F44)</f>
        <v>0.2857142857142857</v>
      </c>
      <c r="G44" s="49">
        <f>AVERAGE('17.10 KANONI-SSEMBABULE'!G44,'18.10 KANONI-SSEMBABULE-24h'!G44,'19.10 KANONI-SSEMBABULE-24h'!G44,'20.10 KANONI-SSEMBABULE'!G44,'21.10 KANONI-SSEMBABULE'!G44,'22.10 KANONI-SSEMBABULE'!G44,'23.10 KANONI-SSEMBABULE'!G44)</f>
        <v>0</v>
      </c>
      <c r="H44" s="49">
        <f>AVERAGE('17.10 KANONI-SSEMBABULE'!H44,'18.10 KANONI-SSEMBABULE-24h'!H44,'19.10 KANONI-SSEMBABULE-24h'!H44,'20.10 KANONI-SSEMBABULE'!H44,'21.10 KANONI-SSEMBABULE'!H44,'22.10 KANONI-SSEMBABULE'!H44,'23.10 KANONI-SSEMBABULE'!H44)</f>
        <v>0</v>
      </c>
      <c r="I44" s="49">
        <f>AVERAGE('17.10 KANONI-SSEMBABULE'!I44,'18.10 KANONI-SSEMBABULE-24h'!I44,'19.10 KANONI-SSEMBABULE-24h'!I44,'20.10 KANONI-SSEMBABULE'!I44,'21.10 KANONI-SSEMBABULE'!I44,'22.10 KANONI-SSEMBABULE'!I44,'23.10 KANONI-SSEMBABULE'!I44)</f>
        <v>0.5714285714285714</v>
      </c>
      <c r="J44" s="49">
        <f>AVERAGE('17.10 KANONI-SSEMBABULE'!J44,'18.10 KANONI-SSEMBABULE-24h'!J44,'19.10 KANONI-SSEMBABULE-24h'!J44,'20.10 KANONI-SSEMBABULE'!J44,'21.10 KANONI-SSEMBABULE'!J44,'22.10 KANONI-SSEMBABULE'!J44,'23.10 KANONI-SSEMBABULE'!J44)</f>
        <v>0.5714285714285714</v>
      </c>
      <c r="K44" s="49">
        <f>AVERAGE('17.10 KANONI-SSEMBABULE'!K44,'18.10 KANONI-SSEMBABULE-24h'!K44,'19.10 KANONI-SSEMBABULE-24h'!K44,'20.10 KANONI-SSEMBABULE'!K44,'21.10 KANONI-SSEMBABULE'!K44,'22.10 KANONI-SSEMBABULE'!K44,'23.10 KANONI-SSEMBABULE'!K44)</f>
        <v>0.42857142857142855</v>
      </c>
      <c r="L44" s="49">
        <f>AVERAGE('17.10 KANONI-SSEMBABULE'!L44,'18.10 KANONI-SSEMBABULE-24h'!L44,'19.10 KANONI-SSEMBABULE-24h'!L44,'20.10 KANONI-SSEMBABULE'!L44,'21.10 KANONI-SSEMBABULE'!L44,'22.10 KANONI-SSEMBABULE'!L44,'23.10 KANONI-SSEMBABULE'!L44)</f>
        <v>0</v>
      </c>
      <c r="M44" s="49">
        <f>AVERAGE('17.10 KANONI-SSEMBABULE'!M44,'18.10 KANONI-SSEMBABULE-24h'!M44,'19.10 KANONI-SSEMBABULE-24h'!M44,'20.10 KANONI-SSEMBABULE'!M44,'21.10 KANONI-SSEMBABULE'!M44,'22.10 KANONI-SSEMBABULE'!M44,'23.10 KANONI-SSEMBABULE'!M44)</f>
        <v>7.1428571428571432</v>
      </c>
      <c r="N44" s="49">
        <f>AVERAGE('17.10 KANONI-SSEMBABULE'!N44,'18.10 KANONI-SSEMBABULE-24h'!N44,'19.10 KANONI-SSEMBABULE-24h'!N44,'20.10 KANONI-SSEMBABULE'!N44,'21.10 KANONI-SSEMBABULE'!N44,'22.10 KANONI-SSEMBABULE'!N44,'23.10 KANONI-SSEMBABULE'!N44)</f>
        <v>0</v>
      </c>
      <c r="O44" s="15">
        <f t="shared" si="0"/>
        <v>3.2857142857142851</v>
      </c>
      <c r="P44" s="15">
        <f t="shared" si="1"/>
        <v>10.428571428571429</v>
      </c>
    </row>
    <row r="45" spans="2:32" ht="23.1" customHeight="1" x14ac:dyDescent="0.25">
      <c r="B45" s="23" t="s">
        <v>72</v>
      </c>
      <c r="C45" s="49">
        <f>AVERAGE('17.10 KANONI-SSEMBABULE'!C45,'18.10 KANONI-SSEMBABULE-24h'!C45,'19.10 KANONI-SSEMBABULE-24h'!C45,'20.10 KANONI-SSEMBABULE'!C45,'21.10 KANONI-SSEMBABULE'!C45,'22.10 KANONI-SSEMBABULE'!C45,'23.10 KANONI-SSEMBABULE'!C45)</f>
        <v>1.1428571428571428</v>
      </c>
      <c r="D45" s="49">
        <f>AVERAGE('17.10 KANONI-SSEMBABULE'!D45,'18.10 KANONI-SSEMBABULE-24h'!D45,'19.10 KANONI-SSEMBABULE-24h'!D45,'20.10 KANONI-SSEMBABULE'!D45,'21.10 KANONI-SSEMBABULE'!D45,'22.10 KANONI-SSEMBABULE'!D45,'23.10 KANONI-SSEMBABULE'!D45)</f>
        <v>0.5714285714285714</v>
      </c>
      <c r="E45" s="49">
        <f>AVERAGE('17.10 KANONI-SSEMBABULE'!E45,'18.10 KANONI-SSEMBABULE-24h'!E45,'19.10 KANONI-SSEMBABULE-24h'!E45,'20.10 KANONI-SSEMBABULE'!E45,'21.10 KANONI-SSEMBABULE'!E45,'22.10 KANONI-SSEMBABULE'!E45,'23.10 KANONI-SSEMBABULE'!E45)</f>
        <v>0.14285714285714285</v>
      </c>
      <c r="F45" s="49">
        <f>AVERAGE('17.10 KANONI-SSEMBABULE'!F45,'18.10 KANONI-SSEMBABULE-24h'!F45,'19.10 KANONI-SSEMBABULE-24h'!F45,'20.10 KANONI-SSEMBABULE'!F45,'21.10 KANONI-SSEMBABULE'!F45,'22.10 KANONI-SSEMBABULE'!F45,'23.10 KANONI-SSEMBABULE'!F45)</f>
        <v>0.14285714285714285</v>
      </c>
      <c r="G45" s="49">
        <f>AVERAGE('17.10 KANONI-SSEMBABULE'!G45,'18.10 KANONI-SSEMBABULE-24h'!G45,'19.10 KANONI-SSEMBABULE-24h'!G45,'20.10 KANONI-SSEMBABULE'!G45,'21.10 KANONI-SSEMBABULE'!G45,'22.10 KANONI-SSEMBABULE'!G45,'23.10 KANONI-SSEMBABULE'!G45)</f>
        <v>0</v>
      </c>
      <c r="H45" s="49">
        <f>AVERAGE('17.10 KANONI-SSEMBABULE'!H45,'18.10 KANONI-SSEMBABULE-24h'!H45,'19.10 KANONI-SSEMBABULE-24h'!H45,'20.10 KANONI-SSEMBABULE'!H45,'21.10 KANONI-SSEMBABULE'!H45,'22.10 KANONI-SSEMBABULE'!H45,'23.10 KANONI-SSEMBABULE'!H45)</f>
        <v>0</v>
      </c>
      <c r="I45" s="49">
        <f>AVERAGE('17.10 KANONI-SSEMBABULE'!I45,'18.10 KANONI-SSEMBABULE-24h'!I45,'19.10 KANONI-SSEMBABULE-24h'!I45,'20.10 KANONI-SSEMBABULE'!I45,'21.10 KANONI-SSEMBABULE'!I45,'22.10 KANONI-SSEMBABULE'!I45,'23.10 KANONI-SSEMBABULE'!I45)</f>
        <v>1</v>
      </c>
      <c r="J45" s="49">
        <f>AVERAGE('17.10 KANONI-SSEMBABULE'!J45,'18.10 KANONI-SSEMBABULE-24h'!J45,'19.10 KANONI-SSEMBABULE-24h'!J45,'20.10 KANONI-SSEMBABULE'!J45,'21.10 KANONI-SSEMBABULE'!J45,'22.10 KANONI-SSEMBABULE'!J45,'23.10 KANONI-SSEMBABULE'!J45)</f>
        <v>0.42857142857142855</v>
      </c>
      <c r="K45" s="49">
        <f>AVERAGE('17.10 KANONI-SSEMBABULE'!K45,'18.10 KANONI-SSEMBABULE-24h'!K45,'19.10 KANONI-SSEMBABULE-24h'!K45,'20.10 KANONI-SSEMBABULE'!K45,'21.10 KANONI-SSEMBABULE'!K45,'22.10 KANONI-SSEMBABULE'!K45,'23.10 KANONI-SSEMBABULE'!K45)</f>
        <v>0.2857142857142857</v>
      </c>
      <c r="L45" s="49">
        <f>AVERAGE('17.10 KANONI-SSEMBABULE'!L45,'18.10 KANONI-SSEMBABULE-24h'!L45,'19.10 KANONI-SSEMBABULE-24h'!L45,'20.10 KANONI-SSEMBABULE'!L45,'21.10 KANONI-SSEMBABULE'!L45,'22.10 KANONI-SSEMBABULE'!L45,'23.10 KANONI-SSEMBABULE'!L45)</f>
        <v>0</v>
      </c>
      <c r="M45" s="49">
        <f>AVERAGE('17.10 KANONI-SSEMBABULE'!M45,'18.10 KANONI-SSEMBABULE-24h'!M45,'19.10 KANONI-SSEMBABULE-24h'!M45,'20.10 KANONI-SSEMBABULE'!M45,'21.10 KANONI-SSEMBABULE'!M45,'22.10 KANONI-SSEMBABULE'!M45,'23.10 KANONI-SSEMBABULE'!M45)</f>
        <v>9.2857142857142865</v>
      </c>
      <c r="N45" s="49">
        <f>AVERAGE('17.10 KANONI-SSEMBABULE'!N45,'18.10 KANONI-SSEMBABULE-24h'!N45,'19.10 KANONI-SSEMBABULE-24h'!N45,'20.10 KANONI-SSEMBABULE'!N45,'21.10 KANONI-SSEMBABULE'!N45,'22.10 KANONI-SSEMBABULE'!N45,'23.10 KANONI-SSEMBABULE'!N45)</f>
        <v>0</v>
      </c>
      <c r="O45" s="15">
        <f t="shared" si="0"/>
        <v>3.714285714285714</v>
      </c>
      <c r="P45" s="15">
        <f t="shared" si="1"/>
        <v>13</v>
      </c>
    </row>
    <row r="46" spans="2:32" ht="23.1" customHeight="1" x14ac:dyDescent="0.25">
      <c r="B46" s="24" t="s">
        <v>73</v>
      </c>
      <c r="C46" s="49">
        <f>AVERAGE('17.10 KANONI-SSEMBABULE'!C46,'18.10 KANONI-SSEMBABULE-24h'!C46,'19.10 KANONI-SSEMBABULE-24h'!C46,'20.10 KANONI-SSEMBABULE'!C46,'21.10 KANONI-SSEMBABULE'!C46,'22.10 KANONI-SSEMBABULE'!C46,'23.10 KANONI-SSEMBABULE'!C46)</f>
        <v>0.42857142857142855</v>
      </c>
      <c r="D46" s="49">
        <f>AVERAGE('17.10 KANONI-SSEMBABULE'!D46,'18.10 KANONI-SSEMBABULE-24h'!D46,'19.10 KANONI-SSEMBABULE-24h'!D46,'20.10 KANONI-SSEMBABULE'!D46,'21.10 KANONI-SSEMBABULE'!D46,'22.10 KANONI-SSEMBABULE'!D46,'23.10 KANONI-SSEMBABULE'!D46)</f>
        <v>0</v>
      </c>
      <c r="E46" s="49">
        <f>AVERAGE('17.10 KANONI-SSEMBABULE'!E46,'18.10 KANONI-SSEMBABULE-24h'!E46,'19.10 KANONI-SSEMBABULE-24h'!E46,'20.10 KANONI-SSEMBABULE'!E46,'21.10 KANONI-SSEMBABULE'!E46,'22.10 KANONI-SSEMBABULE'!E46,'23.10 KANONI-SSEMBABULE'!E46)</f>
        <v>0.14285714285714285</v>
      </c>
      <c r="F46" s="49">
        <f>AVERAGE('17.10 KANONI-SSEMBABULE'!F46,'18.10 KANONI-SSEMBABULE-24h'!F46,'19.10 KANONI-SSEMBABULE-24h'!F46,'20.10 KANONI-SSEMBABULE'!F46,'21.10 KANONI-SSEMBABULE'!F46,'22.10 KANONI-SSEMBABULE'!F46,'23.10 KANONI-SSEMBABULE'!F46)</f>
        <v>0.2857142857142857</v>
      </c>
      <c r="G46" s="49">
        <f>AVERAGE('17.10 KANONI-SSEMBABULE'!G46,'18.10 KANONI-SSEMBABULE-24h'!G46,'19.10 KANONI-SSEMBABULE-24h'!G46,'20.10 KANONI-SSEMBABULE'!G46,'21.10 KANONI-SSEMBABULE'!G46,'22.10 KANONI-SSEMBABULE'!G46,'23.10 KANONI-SSEMBABULE'!G46)</f>
        <v>0</v>
      </c>
      <c r="H46" s="49">
        <f>AVERAGE('17.10 KANONI-SSEMBABULE'!H46,'18.10 KANONI-SSEMBABULE-24h'!H46,'19.10 KANONI-SSEMBABULE-24h'!H46,'20.10 KANONI-SSEMBABULE'!H46,'21.10 KANONI-SSEMBABULE'!H46,'22.10 KANONI-SSEMBABULE'!H46,'23.10 KANONI-SSEMBABULE'!H46)</f>
        <v>0</v>
      </c>
      <c r="I46" s="49">
        <f>AVERAGE('17.10 KANONI-SSEMBABULE'!I46,'18.10 KANONI-SSEMBABULE-24h'!I46,'19.10 KANONI-SSEMBABULE-24h'!I46,'20.10 KANONI-SSEMBABULE'!I46,'21.10 KANONI-SSEMBABULE'!I46,'22.10 KANONI-SSEMBABULE'!I46,'23.10 KANONI-SSEMBABULE'!I46)</f>
        <v>0.5714285714285714</v>
      </c>
      <c r="J46" s="49">
        <f>AVERAGE('17.10 KANONI-SSEMBABULE'!J46,'18.10 KANONI-SSEMBABULE-24h'!J46,'19.10 KANONI-SSEMBABULE-24h'!J46,'20.10 KANONI-SSEMBABULE'!J46,'21.10 KANONI-SSEMBABULE'!J46,'22.10 KANONI-SSEMBABULE'!J46,'23.10 KANONI-SSEMBABULE'!J46)</f>
        <v>1.4285714285714286</v>
      </c>
      <c r="K46" s="49">
        <f>AVERAGE('17.10 KANONI-SSEMBABULE'!K46,'18.10 KANONI-SSEMBABULE-24h'!K46,'19.10 KANONI-SSEMBABULE-24h'!K46,'20.10 KANONI-SSEMBABULE'!K46,'21.10 KANONI-SSEMBABULE'!K46,'22.10 KANONI-SSEMBABULE'!K46,'23.10 KANONI-SSEMBABULE'!K46)</f>
        <v>0.2857142857142857</v>
      </c>
      <c r="L46" s="49">
        <f>AVERAGE('17.10 KANONI-SSEMBABULE'!L46,'18.10 KANONI-SSEMBABULE-24h'!L46,'19.10 KANONI-SSEMBABULE-24h'!L46,'20.10 KANONI-SSEMBABULE'!L46,'21.10 KANONI-SSEMBABULE'!L46,'22.10 KANONI-SSEMBABULE'!L46,'23.10 KANONI-SSEMBABULE'!L46)</f>
        <v>0</v>
      </c>
      <c r="M46" s="49">
        <f>AVERAGE('17.10 KANONI-SSEMBABULE'!M46,'18.10 KANONI-SSEMBABULE-24h'!M46,'19.10 KANONI-SSEMBABULE-24h'!M46,'20.10 KANONI-SSEMBABULE'!M46,'21.10 KANONI-SSEMBABULE'!M46,'22.10 KANONI-SSEMBABULE'!M46,'23.10 KANONI-SSEMBABULE'!M46)</f>
        <v>8</v>
      </c>
      <c r="N46" s="49">
        <f>AVERAGE('17.10 KANONI-SSEMBABULE'!N46,'18.10 KANONI-SSEMBABULE-24h'!N46,'19.10 KANONI-SSEMBABULE-24h'!N46,'20.10 KANONI-SSEMBABULE'!N46,'21.10 KANONI-SSEMBABULE'!N46,'22.10 KANONI-SSEMBABULE'!N46,'23.10 KANONI-SSEMBABULE'!N46)</f>
        <v>0</v>
      </c>
      <c r="O46" s="15">
        <f t="shared" si="0"/>
        <v>3.1428571428571423</v>
      </c>
      <c r="P46" s="15">
        <f t="shared" si="1"/>
        <v>11.142857142857142</v>
      </c>
      <c r="R46" s="8"/>
      <c r="T46"/>
    </row>
    <row r="47" spans="2:32" ht="23.1" customHeight="1" x14ac:dyDescent="0.25">
      <c r="B47" s="24" t="s">
        <v>74</v>
      </c>
      <c r="C47" s="49">
        <f>AVERAGE('17.10 KANONI-SSEMBABULE'!C47,'18.10 KANONI-SSEMBABULE-24h'!C47,'19.10 KANONI-SSEMBABULE-24h'!C47,'20.10 KANONI-SSEMBABULE'!C47,'21.10 KANONI-SSEMBABULE'!C47,'22.10 KANONI-SSEMBABULE'!C47,'23.10 KANONI-SSEMBABULE'!C47)</f>
        <v>0.7142857142857143</v>
      </c>
      <c r="D47" s="49">
        <f>AVERAGE('17.10 KANONI-SSEMBABULE'!D47,'18.10 KANONI-SSEMBABULE-24h'!D47,'19.10 KANONI-SSEMBABULE-24h'!D47,'20.10 KANONI-SSEMBABULE'!D47,'21.10 KANONI-SSEMBABULE'!D47,'22.10 KANONI-SSEMBABULE'!D47,'23.10 KANONI-SSEMBABULE'!D47)</f>
        <v>0.7142857142857143</v>
      </c>
      <c r="E47" s="49">
        <f>AVERAGE('17.10 KANONI-SSEMBABULE'!E47,'18.10 KANONI-SSEMBABULE-24h'!E47,'19.10 KANONI-SSEMBABULE-24h'!E47,'20.10 KANONI-SSEMBABULE'!E47,'21.10 KANONI-SSEMBABULE'!E47,'22.10 KANONI-SSEMBABULE'!E47,'23.10 KANONI-SSEMBABULE'!E47)</f>
        <v>0.14285714285714285</v>
      </c>
      <c r="F47" s="49">
        <f>AVERAGE('17.10 KANONI-SSEMBABULE'!F47,'18.10 KANONI-SSEMBABULE-24h'!F47,'19.10 KANONI-SSEMBABULE-24h'!F47,'20.10 KANONI-SSEMBABULE'!F47,'21.10 KANONI-SSEMBABULE'!F47,'22.10 KANONI-SSEMBABULE'!F47,'23.10 KANONI-SSEMBABULE'!F47)</f>
        <v>0.2857142857142857</v>
      </c>
      <c r="G47" s="49">
        <f>AVERAGE('17.10 KANONI-SSEMBABULE'!G47,'18.10 KANONI-SSEMBABULE-24h'!G47,'19.10 KANONI-SSEMBABULE-24h'!G47,'20.10 KANONI-SSEMBABULE'!G47,'21.10 KANONI-SSEMBABULE'!G47,'22.10 KANONI-SSEMBABULE'!G47,'23.10 KANONI-SSEMBABULE'!G47)</f>
        <v>0</v>
      </c>
      <c r="H47" s="49">
        <f>AVERAGE('17.10 KANONI-SSEMBABULE'!H47,'18.10 KANONI-SSEMBABULE-24h'!H47,'19.10 KANONI-SSEMBABULE-24h'!H47,'20.10 KANONI-SSEMBABULE'!H47,'21.10 KANONI-SSEMBABULE'!H47,'22.10 KANONI-SSEMBABULE'!H47,'23.10 KANONI-SSEMBABULE'!H47)</f>
        <v>0</v>
      </c>
      <c r="I47" s="49">
        <f>AVERAGE('17.10 KANONI-SSEMBABULE'!I47,'18.10 KANONI-SSEMBABULE-24h'!I47,'19.10 KANONI-SSEMBABULE-24h'!I47,'20.10 KANONI-SSEMBABULE'!I47,'21.10 KANONI-SSEMBABULE'!I47,'22.10 KANONI-SSEMBABULE'!I47,'23.10 KANONI-SSEMBABULE'!I47)</f>
        <v>0.8571428571428571</v>
      </c>
      <c r="J47" s="49">
        <f>AVERAGE('17.10 KANONI-SSEMBABULE'!J47,'18.10 KANONI-SSEMBABULE-24h'!J47,'19.10 KANONI-SSEMBABULE-24h'!J47,'20.10 KANONI-SSEMBABULE'!J47,'21.10 KANONI-SSEMBABULE'!J47,'22.10 KANONI-SSEMBABULE'!J47,'23.10 KANONI-SSEMBABULE'!J47)</f>
        <v>0.7142857142857143</v>
      </c>
      <c r="K47" s="49">
        <f>AVERAGE('17.10 KANONI-SSEMBABULE'!K47,'18.10 KANONI-SSEMBABULE-24h'!K47,'19.10 KANONI-SSEMBABULE-24h'!K47,'20.10 KANONI-SSEMBABULE'!K47,'21.10 KANONI-SSEMBABULE'!K47,'22.10 KANONI-SSEMBABULE'!K47,'23.10 KANONI-SSEMBABULE'!K47)</f>
        <v>0</v>
      </c>
      <c r="L47" s="49">
        <f>AVERAGE('17.10 KANONI-SSEMBABULE'!L47,'18.10 KANONI-SSEMBABULE-24h'!L47,'19.10 KANONI-SSEMBABULE-24h'!L47,'20.10 KANONI-SSEMBABULE'!L47,'21.10 KANONI-SSEMBABULE'!L47,'22.10 KANONI-SSEMBABULE'!L47,'23.10 KANONI-SSEMBABULE'!L47)</f>
        <v>0.14285714285714285</v>
      </c>
      <c r="M47" s="49">
        <f>AVERAGE('17.10 KANONI-SSEMBABULE'!M47,'18.10 KANONI-SSEMBABULE-24h'!M47,'19.10 KANONI-SSEMBABULE-24h'!M47,'20.10 KANONI-SSEMBABULE'!M47,'21.10 KANONI-SSEMBABULE'!M47,'22.10 KANONI-SSEMBABULE'!M47,'23.10 KANONI-SSEMBABULE'!M47)</f>
        <v>7.8571428571428568</v>
      </c>
      <c r="N47" s="49">
        <f>AVERAGE('17.10 KANONI-SSEMBABULE'!N47,'18.10 KANONI-SSEMBABULE-24h'!N47,'19.10 KANONI-SSEMBABULE-24h'!N47,'20.10 KANONI-SSEMBABULE'!N47,'21.10 KANONI-SSEMBABULE'!N47,'22.10 KANONI-SSEMBABULE'!N47,'23.10 KANONI-SSEMBABULE'!N47)</f>
        <v>0</v>
      </c>
      <c r="O47" s="15">
        <f t="shared" si="0"/>
        <v>3.5714285714285716</v>
      </c>
      <c r="P47" s="15">
        <f t="shared" si="1"/>
        <v>11.428571428571429</v>
      </c>
      <c r="R47" s="8"/>
      <c r="T47"/>
    </row>
    <row r="48" spans="2:32" ht="23.1" customHeight="1" x14ac:dyDescent="0.25">
      <c r="B48" s="24" t="s">
        <v>75</v>
      </c>
      <c r="C48" s="49">
        <f>AVERAGE('17.10 KANONI-SSEMBABULE'!C48,'18.10 KANONI-SSEMBABULE-24h'!C48,'19.10 KANONI-SSEMBABULE-24h'!C48,'20.10 KANONI-SSEMBABULE'!C48,'21.10 KANONI-SSEMBABULE'!C48,'22.10 KANONI-SSEMBABULE'!C48,'23.10 KANONI-SSEMBABULE'!C48)</f>
        <v>0.42857142857142855</v>
      </c>
      <c r="D48" s="49">
        <f>AVERAGE('17.10 KANONI-SSEMBABULE'!D48,'18.10 KANONI-SSEMBABULE-24h'!D48,'19.10 KANONI-SSEMBABULE-24h'!D48,'20.10 KANONI-SSEMBABULE'!D48,'21.10 KANONI-SSEMBABULE'!D48,'22.10 KANONI-SSEMBABULE'!D48,'23.10 KANONI-SSEMBABULE'!D48)</f>
        <v>0.42857142857142855</v>
      </c>
      <c r="E48" s="49">
        <f>AVERAGE('17.10 KANONI-SSEMBABULE'!E48,'18.10 KANONI-SSEMBABULE-24h'!E48,'19.10 KANONI-SSEMBABULE-24h'!E48,'20.10 KANONI-SSEMBABULE'!E48,'21.10 KANONI-SSEMBABULE'!E48,'22.10 KANONI-SSEMBABULE'!E48,'23.10 KANONI-SSEMBABULE'!E48)</f>
        <v>0.14285714285714285</v>
      </c>
      <c r="F48" s="49">
        <f>AVERAGE('17.10 KANONI-SSEMBABULE'!F48,'18.10 KANONI-SSEMBABULE-24h'!F48,'19.10 KANONI-SSEMBABULE-24h'!F48,'20.10 KANONI-SSEMBABULE'!F48,'21.10 KANONI-SSEMBABULE'!F48,'22.10 KANONI-SSEMBABULE'!F48,'23.10 KANONI-SSEMBABULE'!F48)</f>
        <v>0.14285714285714285</v>
      </c>
      <c r="G48" s="49">
        <f>AVERAGE('17.10 KANONI-SSEMBABULE'!G48,'18.10 KANONI-SSEMBABULE-24h'!G48,'19.10 KANONI-SSEMBABULE-24h'!G48,'20.10 KANONI-SSEMBABULE'!G48,'21.10 KANONI-SSEMBABULE'!G48,'22.10 KANONI-SSEMBABULE'!G48,'23.10 KANONI-SSEMBABULE'!G48)</f>
        <v>0</v>
      </c>
      <c r="H48" s="49">
        <f>AVERAGE('17.10 KANONI-SSEMBABULE'!H48,'18.10 KANONI-SSEMBABULE-24h'!H48,'19.10 KANONI-SSEMBABULE-24h'!H48,'20.10 KANONI-SSEMBABULE'!H48,'21.10 KANONI-SSEMBABULE'!H48,'22.10 KANONI-SSEMBABULE'!H48,'23.10 KANONI-SSEMBABULE'!H48)</f>
        <v>0</v>
      </c>
      <c r="I48" s="49">
        <f>AVERAGE('17.10 KANONI-SSEMBABULE'!I48,'18.10 KANONI-SSEMBABULE-24h'!I48,'19.10 KANONI-SSEMBABULE-24h'!I48,'20.10 KANONI-SSEMBABULE'!I48,'21.10 KANONI-SSEMBABULE'!I48,'22.10 KANONI-SSEMBABULE'!I48,'23.10 KANONI-SSEMBABULE'!I48)</f>
        <v>0.14285714285714285</v>
      </c>
      <c r="J48" s="49">
        <f>AVERAGE('17.10 KANONI-SSEMBABULE'!J48,'18.10 KANONI-SSEMBABULE-24h'!J48,'19.10 KANONI-SSEMBABULE-24h'!J48,'20.10 KANONI-SSEMBABULE'!J48,'21.10 KANONI-SSEMBABULE'!J48,'22.10 KANONI-SSEMBABULE'!J48,'23.10 KANONI-SSEMBABULE'!J48)</f>
        <v>0.5714285714285714</v>
      </c>
      <c r="K48" s="49">
        <f>AVERAGE('17.10 KANONI-SSEMBABULE'!K48,'18.10 KANONI-SSEMBABULE-24h'!K48,'19.10 KANONI-SSEMBABULE-24h'!K48,'20.10 KANONI-SSEMBABULE'!K48,'21.10 KANONI-SSEMBABULE'!K48,'22.10 KANONI-SSEMBABULE'!K48,'23.10 KANONI-SSEMBABULE'!K48)</f>
        <v>0.5714285714285714</v>
      </c>
      <c r="L48" s="49">
        <f>AVERAGE('17.10 KANONI-SSEMBABULE'!L48,'18.10 KANONI-SSEMBABULE-24h'!L48,'19.10 KANONI-SSEMBABULE-24h'!L48,'20.10 KANONI-SSEMBABULE'!L48,'21.10 KANONI-SSEMBABULE'!L48,'22.10 KANONI-SSEMBABULE'!L48,'23.10 KANONI-SSEMBABULE'!L48)</f>
        <v>0.14285714285714285</v>
      </c>
      <c r="M48" s="49">
        <f>AVERAGE('17.10 KANONI-SSEMBABULE'!M48,'18.10 KANONI-SSEMBABULE-24h'!M48,'19.10 KANONI-SSEMBABULE-24h'!M48,'20.10 KANONI-SSEMBABULE'!M48,'21.10 KANONI-SSEMBABULE'!M48,'22.10 KANONI-SSEMBABULE'!M48,'23.10 KANONI-SSEMBABULE'!M48)</f>
        <v>8.1428571428571423</v>
      </c>
      <c r="N48" s="49">
        <f>AVERAGE('17.10 KANONI-SSEMBABULE'!N48,'18.10 KANONI-SSEMBABULE-24h'!N48,'19.10 KANONI-SSEMBABULE-24h'!N48,'20.10 KANONI-SSEMBABULE'!N48,'21.10 KANONI-SSEMBABULE'!N48,'22.10 KANONI-SSEMBABULE'!N48,'23.10 KANONI-SSEMBABULE'!N48)</f>
        <v>0</v>
      </c>
      <c r="O48" s="15">
        <f t="shared" si="0"/>
        <v>2.5714285714285712</v>
      </c>
      <c r="P48" s="15">
        <f t="shared" si="1"/>
        <v>10.714285714285714</v>
      </c>
      <c r="R48" s="8"/>
      <c r="T48"/>
    </row>
    <row r="49" spans="2:20" ht="23.1" customHeight="1" x14ac:dyDescent="0.25">
      <c r="B49" s="23" t="s">
        <v>76</v>
      </c>
      <c r="C49" s="49">
        <f>AVERAGE('17.10 KANONI-SSEMBABULE'!C49,'18.10 KANONI-SSEMBABULE-24h'!C49,'19.10 KANONI-SSEMBABULE-24h'!C49,'20.10 KANONI-SSEMBABULE'!C49,'21.10 KANONI-SSEMBABULE'!C49,'22.10 KANONI-SSEMBABULE'!C49,'23.10 KANONI-SSEMBABULE'!C49)</f>
        <v>0.7142857142857143</v>
      </c>
      <c r="D49" s="49">
        <f>AVERAGE('17.10 KANONI-SSEMBABULE'!D49,'18.10 KANONI-SSEMBABULE-24h'!D49,'19.10 KANONI-SSEMBABULE-24h'!D49,'20.10 KANONI-SSEMBABULE'!D49,'21.10 KANONI-SSEMBABULE'!D49,'22.10 KANONI-SSEMBABULE'!D49,'23.10 KANONI-SSEMBABULE'!D49)</f>
        <v>0.7142857142857143</v>
      </c>
      <c r="E49" s="49">
        <f>AVERAGE('17.10 KANONI-SSEMBABULE'!E49,'18.10 KANONI-SSEMBABULE-24h'!E49,'19.10 KANONI-SSEMBABULE-24h'!E49,'20.10 KANONI-SSEMBABULE'!E49,'21.10 KANONI-SSEMBABULE'!E49,'22.10 KANONI-SSEMBABULE'!E49,'23.10 KANONI-SSEMBABULE'!E49)</f>
        <v>0.14285714285714285</v>
      </c>
      <c r="F49" s="49">
        <f>AVERAGE('17.10 KANONI-SSEMBABULE'!F49,'18.10 KANONI-SSEMBABULE-24h'!F49,'19.10 KANONI-SSEMBABULE-24h'!F49,'20.10 KANONI-SSEMBABULE'!F49,'21.10 KANONI-SSEMBABULE'!F49,'22.10 KANONI-SSEMBABULE'!F49,'23.10 KANONI-SSEMBABULE'!F49)</f>
        <v>0.2857142857142857</v>
      </c>
      <c r="G49" s="49">
        <f>AVERAGE('17.10 KANONI-SSEMBABULE'!G49,'18.10 KANONI-SSEMBABULE-24h'!G49,'19.10 KANONI-SSEMBABULE-24h'!G49,'20.10 KANONI-SSEMBABULE'!G49,'21.10 KANONI-SSEMBABULE'!G49,'22.10 KANONI-SSEMBABULE'!G49,'23.10 KANONI-SSEMBABULE'!G49)</f>
        <v>0.14285714285714285</v>
      </c>
      <c r="H49" s="49">
        <f>AVERAGE('17.10 KANONI-SSEMBABULE'!H49,'18.10 KANONI-SSEMBABULE-24h'!H49,'19.10 KANONI-SSEMBABULE-24h'!H49,'20.10 KANONI-SSEMBABULE'!H49,'21.10 KANONI-SSEMBABULE'!H49,'22.10 KANONI-SSEMBABULE'!H49,'23.10 KANONI-SSEMBABULE'!H49)</f>
        <v>0</v>
      </c>
      <c r="I49" s="49">
        <f>AVERAGE('17.10 KANONI-SSEMBABULE'!I49,'18.10 KANONI-SSEMBABULE-24h'!I49,'19.10 KANONI-SSEMBABULE-24h'!I49,'20.10 KANONI-SSEMBABULE'!I49,'21.10 KANONI-SSEMBABULE'!I49,'22.10 KANONI-SSEMBABULE'!I49,'23.10 KANONI-SSEMBABULE'!I49)</f>
        <v>0.5714285714285714</v>
      </c>
      <c r="J49" s="49">
        <f>AVERAGE('17.10 KANONI-SSEMBABULE'!J49,'18.10 KANONI-SSEMBABULE-24h'!J49,'19.10 KANONI-SSEMBABULE-24h'!J49,'20.10 KANONI-SSEMBABULE'!J49,'21.10 KANONI-SSEMBABULE'!J49,'22.10 KANONI-SSEMBABULE'!J49,'23.10 KANONI-SSEMBABULE'!J49)</f>
        <v>0.5714285714285714</v>
      </c>
      <c r="K49" s="49">
        <f>AVERAGE('17.10 KANONI-SSEMBABULE'!K49,'18.10 KANONI-SSEMBABULE-24h'!K49,'19.10 KANONI-SSEMBABULE-24h'!K49,'20.10 KANONI-SSEMBABULE'!K49,'21.10 KANONI-SSEMBABULE'!K49,'22.10 KANONI-SSEMBABULE'!K49,'23.10 KANONI-SSEMBABULE'!K49)</f>
        <v>0.5714285714285714</v>
      </c>
      <c r="L49" s="49">
        <f>AVERAGE('17.10 KANONI-SSEMBABULE'!L49,'18.10 KANONI-SSEMBABULE-24h'!L49,'19.10 KANONI-SSEMBABULE-24h'!L49,'20.10 KANONI-SSEMBABULE'!L49,'21.10 KANONI-SSEMBABULE'!L49,'22.10 KANONI-SSEMBABULE'!L49,'23.10 KANONI-SSEMBABULE'!L49)</f>
        <v>0</v>
      </c>
      <c r="M49" s="49">
        <f>AVERAGE('17.10 KANONI-SSEMBABULE'!M49,'18.10 KANONI-SSEMBABULE-24h'!M49,'19.10 KANONI-SSEMBABULE-24h'!M49,'20.10 KANONI-SSEMBABULE'!M49,'21.10 KANONI-SSEMBABULE'!M49,'22.10 KANONI-SSEMBABULE'!M49,'23.10 KANONI-SSEMBABULE'!M49)</f>
        <v>8.4285714285714288</v>
      </c>
      <c r="N49" s="49">
        <f>AVERAGE('17.10 KANONI-SSEMBABULE'!N49,'18.10 KANONI-SSEMBABULE-24h'!N49,'19.10 KANONI-SSEMBABULE-24h'!N49,'20.10 KANONI-SSEMBABULE'!N49,'21.10 KANONI-SSEMBABULE'!N49,'22.10 KANONI-SSEMBABULE'!N49,'23.10 KANONI-SSEMBABULE'!N49)</f>
        <v>0</v>
      </c>
      <c r="O49" s="15">
        <f t="shared" si="0"/>
        <v>3.7142857142857135</v>
      </c>
      <c r="P49" s="15">
        <f t="shared" si="1"/>
        <v>12.142857142857142</v>
      </c>
      <c r="R49" s="8"/>
      <c r="T49"/>
    </row>
    <row r="50" spans="2:20" ht="23.1" customHeight="1" x14ac:dyDescent="0.25">
      <c r="B50" s="24" t="s">
        <v>77</v>
      </c>
      <c r="C50" s="49">
        <f>AVERAGE('17.10 KANONI-SSEMBABULE'!C50,'18.10 KANONI-SSEMBABULE-24h'!C50,'19.10 KANONI-SSEMBABULE-24h'!C50,'20.10 KANONI-SSEMBABULE'!C50,'21.10 KANONI-SSEMBABULE'!C50,'22.10 KANONI-SSEMBABULE'!C50,'23.10 KANONI-SSEMBABULE'!C50)</f>
        <v>1.1428571428571428</v>
      </c>
      <c r="D50" s="49">
        <f>AVERAGE('17.10 KANONI-SSEMBABULE'!D50,'18.10 KANONI-SSEMBABULE-24h'!D50,'19.10 KANONI-SSEMBABULE-24h'!D50,'20.10 KANONI-SSEMBABULE'!D50,'21.10 KANONI-SSEMBABULE'!D50,'22.10 KANONI-SSEMBABULE'!D50,'23.10 KANONI-SSEMBABULE'!D50)</f>
        <v>0.42857142857142855</v>
      </c>
      <c r="E50" s="49">
        <f>AVERAGE('17.10 KANONI-SSEMBABULE'!E50,'18.10 KANONI-SSEMBABULE-24h'!E50,'19.10 KANONI-SSEMBABULE-24h'!E50,'20.10 KANONI-SSEMBABULE'!E50,'21.10 KANONI-SSEMBABULE'!E50,'22.10 KANONI-SSEMBABULE'!E50,'23.10 KANONI-SSEMBABULE'!E50)</f>
        <v>0.42857142857142855</v>
      </c>
      <c r="F50" s="49">
        <f>AVERAGE('17.10 KANONI-SSEMBABULE'!F50,'18.10 KANONI-SSEMBABULE-24h'!F50,'19.10 KANONI-SSEMBABULE-24h'!F50,'20.10 KANONI-SSEMBABULE'!F50,'21.10 KANONI-SSEMBABULE'!F50,'22.10 KANONI-SSEMBABULE'!F50,'23.10 KANONI-SSEMBABULE'!F50)</f>
        <v>0.7142857142857143</v>
      </c>
      <c r="G50" s="49">
        <f>AVERAGE('17.10 KANONI-SSEMBABULE'!G50,'18.10 KANONI-SSEMBABULE-24h'!G50,'19.10 KANONI-SSEMBABULE-24h'!G50,'20.10 KANONI-SSEMBABULE'!G50,'21.10 KANONI-SSEMBABULE'!G50,'22.10 KANONI-SSEMBABULE'!G50,'23.10 KANONI-SSEMBABULE'!G50)</f>
        <v>0</v>
      </c>
      <c r="H50" s="49">
        <f>AVERAGE('17.10 KANONI-SSEMBABULE'!H50,'18.10 KANONI-SSEMBABULE-24h'!H50,'19.10 KANONI-SSEMBABULE-24h'!H50,'20.10 KANONI-SSEMBABULE'!H50,'21.10 KANONI-SSEMBABULE'!H50,'22.10 KANONI-SSEMBABULE'!H50,'23.10 KANONI-SSEMBABULE'!H50)</f>
        <v>0</v>
      </c>
      <c r="I50" s="49">
        <f>AVERAGE('17.10 KANONI-SSEMBABULE'!I50,'18.10 KANONI-SSEMBABULE-24h'!I50,'19.10 KANONI-SSEMBABULE-24h'!I50,'20.10 KANONI-SSEMBABULE'!I50,'21.10 KANONI-SSEMBABULE'!I50,'22.10 KANONI-SSEMBABULE'!I50,'23.10 KANONI-SSEMBABULE'!I50)</f>
        <v>0.7142857142857143</v>
      </c>
      <c r="J50" s="49">
        <f>AVERAGE('17.10 KANONI-SSEMBABULE'!J50,'18.10 KANONI-SSEMBABULE-24h'!J50,'19.10 KANONI-SSEMBABULE-24h'!J50,'20.10 KANONI-SSEMBABULE'!J50,'21.10 KANONI-SSEMBABULE'!J50,'22.10 KANONI-SSEMBABULE'!J50,'23.10 KANONI-SSEMBABULE'!J50)</f>
        <v>0.7142857142857143</v>
      </c>
      <c r="K50" s="49">
        <f>AVERAGE('17.10 KANONI-SSEMBABULE'!K50,'18.10 KANONI-SSEMBABULE-24h'!K50,'19.10 KANONI-SSEMBABULE-24h'!K50,'20.10 KANONI-SSEMBABULE'!K50,'21.10 KANONI-SSEMBABULE'!K50,'22.10 KANONI-SSEMBABULE'!K50,'23.10 KANONI-SSEMBABULE'!K50)</f>
        <v>0.2857142857142857</v>
      </c>
      <c r="L50" s="49">
        <f>AVERAGE('17.10 KANONI-SSEMBABULE'!L50,'18.10 KANONI-SSEMBABULE-24h'!L50,'19.10 KANONI-SSEMBABULE-24h'!L50,'20.10 KANONI-SSEMBABULE'!L50,'21.10 KANONI-SSEMBABULE'!L50,'22.10 KANONI-SSEMBABULE'!L50,'23.10 KANONI-SSEMBABULE'!L50)</f>
        <v>0.14285714285714285</v>
      </c>
      <c r="M50" s="49">
        <f>AVERAGE('17.10 KANONI-SSEMBABULE'!M50,'18.10 KANONI-SSEMBABULE-24h'!M50,'19.10 KANONI-SSEMBABULE-24h'!M50,'20.10 KANONI-SSEMBABULE'!M50,'21.10 KANONI-SSEMBABULE'!M50,'22.10 KANONI-SSEMBABULE'!M50,'23.10 KANONI-SSEMBABULE'!M50)</f>
        <v>10</v>
      </c>
      <c r="N50" s="49">
        <f>AVERAGE('17.10 KANONI-SSEMBABULE'!N50,'18.10 KANONI-SSEMBABULE-24h'!N50,'19.10 KANONI-SSEMBABULE-24h'!N50,'20.10 KANONI-SSEMBABULE'!N50,'21.10 KANONI-SSEMBABULE'!N50,'22.10 KANONI-SSEMBABULE'!N50,'23.10 KANONI-SSEMBABULE'!N50)</f>
        <v>0</v>
      </c>
      <c r="O50" s="15">
        <f t="shared" si="0"/>
        <v>4.5714285714285721</v>
      </c>
      <c r="P50" s="15">
        <f t="shared" si="1"/>
        <v>14.571428571428573</v>
      </c>
      <c r="R50" s="8"/>
      <c r="T50"/>
    </row>
    <row r="51" spans="2:20" ht="23.1" customHeight="1" x14ac:dyDescent="0.25">
      <c r="B51" s="24" t="s">
        <v>78</v>
      </c>
      <c r="C51" s="49">
        <f>AVERAGE('17.10 KANONI-SSEMBABULE'!C51,'18.10 KANONI-SSEMBABULE-24h'!C51,'19.10 KANONI-SSEMBABULE-24h'!C51,'20.10 KANONI-SSEMBABULE'!C51,'21.10 KANONI-SSEMBABULE'!C51,'22.10 KANONI-SSEMBABULE'!C51,'23.10 KANONI-SSEMBABULE'!C51)</f>
        <v>0.42857142857142855</v>
      </c>
      <c r="D51" s="49">
        <f>AVERAGE('17.10 KANONI-SSEMBABULE'!D51,'18.10 KANONI-SSEMBABULE-24h'!D51,'19.10 KANONI-SSEMBABULE-24h'!D51,'20.10 KANONI-SSEMBABULE'!D51,'21.10 KANONI-SSEMBABULE'!D51,'22.10 KANONI-SSEMBABULE'!D51,'23.10 KANONI-SSEMBABULE'!D51)</f>
        <v>0.42857142857142855</v>
      </c>
      <c r="E51" s="49">
        <f>AVERAGE('17.10 KANONI-SSEMBABULE'!E51,'18.10 KANONI-SSEMBABULE-24h'!E51,'19.10 KANONI-SSEMBABULE-24h'!E51,'20.10 KANONI-SSEMBABULE'!E51,'21.10 KANONI-SSEMBABULE'!E51,'22.10 KANONI-SSEMBABULE'!E51,'23.10 KANONI-SSEMBABULE'!E51)</f>
        <v>0.2857142857142857</v>
      </c>
      <c r="F51" s="49">
        <f>AVERAGE('17.10 KANONI-SSEMBABULE'!F51,'18.10 KANONI-SSEMBABULE-24h'!F51,'19.10 KANONI-SSEMBABULE-24h'!F51,'20.10 KANONI-SSEMBABULE'!F51,'21.10 KANONI-SSEMBABULE'!F51,'22.10 KANONI-SSEMBABULE'!F51,'23.10 KANONI-SSEMBABULE'!F51)</f>
        <v>0.2857142857142857</v>
      </c>
      <c r="G51" s="49">
        <f>AVERAGE('17.10 KANONI-SSEMBABULE'!G51,'18.10 KANONI-SSEMBABULE-24h'!G51,'19.10 KANONI-SSEMBABULE-24h'!G51,'20.10 KANONI-SSEMBABULE'!G51,'21.10 KANONI-SSEMBABULE'!G51,'22.10 KANONI-SSEMBABULE'!G51,'23.10 KANONI-SSEMBABULE'!G51)</f>
        <v>0</v>
      </c>
      <c r="H51" s="49">
        <f>AVERAGE('17.10 KANONI-SSEMBABULE'!H51,'18.10 KANONI-SSEMBABULE-24h'!H51,'19.10 KANONI-SSEMBABULE-24h'!H51,'20.10 KANONI-SSEMBABULE'!H51,'21.10 KANONI-SSEMBABULE'!H51,'22.10 KANONI-SSEMBABULE'!H51,'23.10 KANONI-SSEMBABULE'!H51)</f>
        <v>0</v>
      </c>
      <c r="I51" s="49">
        <f>AVERAGE('17.10 KANONI-SSEMBABULE'!I51,'18.10 KANONI-SSEMBABULE-24h'!I51,'19.10 KANONI-SSEMBABULE-24h'!I51,'20.10 KANONI-SSEMBABULE'!I51,'21.10 KANONI-SSEMBABULE'!I51,'22.10 KANONI-SSEMBABULE'!I51,'23.10 KANONI-SSEMBABULE'!I51)</f>
        <v>1</v>
      </c>
      <c r="J51" s="49">
        <f>AVERAGE('17.10 KANONI-SSEMBABULE'!J51,'18.10 KANONI-SSEMBABULE-24h'!J51,'19.10 KANONI-SSEMBABULE-24h'!J51,'20.10 KANONI-SSEMBABULE'!J51,'21.10 KANONI-SSEMBABULE'!J51,'22.10 KANONI-SSEMBABULE'!J51,'23.10 KANONI-SSEMBABULE'!J51)</f>
        <v>0.2857142857142857</v>
      </c>
      <c r="K51" s="49">
        <f>AVERAGE('17.10 KANONI-SSEMBABULE'!K51,'18.10 KANONI-SSEMBABULE-24h'!K51,'19.10 KANONI-SSEMBABULE-24h'!K51,'20.10 KANONI-SSEMBABULE'!K51,'21.10 KANONI-SSEMBABULE'!K51,'22.10 KANONI-SSEMBABULE'!K51,'23.10 KANONI-SSEMBABULE'!K51)</f>
        <v>0.14285714285714285</v>
      </c>
      <c r="L51" s="49">
        <f>AVERAGE('17.10 KANONI-SSEMBABULE'!L51,'18.10 KANONI-SSEMBABULE-24h'!L51,'19.10 KANONI-SSEMBABULE-24h'!L51,'20.10 KANONI-SSEMBABULE'!L51,'21.10 KANONI-SSEMBABULE'!L51,'22.10 KANONI-SSEMBABULE'!L51,'23.10 KANONI-SSEMBABULE'!L51)</f>
        <v>0</v>
      </c>
      <c r="M51" s="49">
        <f>AVERAGE('17.10 KANONI-SSEMBABULE'!M51,'18.10 KANONI-SSEMBABULE-24h'!M51,'19.10 KANONI-SSEMBABULE-24h'!M51,'20.10 KANONI-SSEMBABULE'!M51,'21.10 KANONI-SSEMBABULE'!M51,'22.10 KANONI-SSEMBABULE'!M51,'23.10 KANONI-SSEMBABULE'!M51)</f>
        <v>8</v>
      </c>
      <c r="N51" s="49">
        <f>AVERAGE('17.10 KANONI-SSEMBABULE'!N51,'18.10 KANONI-SSEMBABULE-24h'!N51,'19.10 KANONI-SSEMBABULE-24h'!N51,'20.10 KANONI-SSEMBABULE'!N51,'21.10 KANONI-SSEMBABULE'!N51,'22.10 KANONI-SSEMBABULE'!N51,'23.10 KANONI-SSEMBABULE'!N51)</f>
        <v>0</v>
      </c>
      <c r="O51" s="15">
        <f t="shared" si="0"/>
        <v>2.8571428571428568</v>
      </c>
      <c r="P51" s="15">
        <f t="shared" si="1"/>
        <v>10.857142857142858</v>
      </c>
      <c r="R51" s="8"/>
      <c r="T51"/>
    </row>
    <row r="52" spans="2:20" ht="23.1" customHeight="1" x14ac:dyDescent="0.25">
      <c r="B52" s="24" t="s">
        <v>79</v>
      </c>
      <c r="C52" s="49">
        <f>AVERAGE('17.10 KANONI-SSEMBABULE'!C52,'18.10 KANONI-SSEMBABULE-24h'!C52,'19.10 KANONI-SSEMBABULE-24h'!C52,'20.10 KANONI-SSEMBABULE'!C52,'21.10 KANONI-SSEMBABULE'!C52,'22.10 KANONI-SSEMBABULE'!C52,'23.10 KANONI-SSEMBABULE'!C52)</f>
        <v>0.42857142857142855</v>
      </c>
      <c r="D52" s="49">
        <f>AVERAGE('17.10 KANONI-SSEMBABULE'!D52,'18.10 KANONI-SSEMBABULE-24h'!D52,'19.10 KANONI-SSEMBABULE-24h'!D52,'20.10 KANONI-SSEMBABULE'!D52,'21.10 KANONI-SSEMBABULE'!D52,'22.10 KANONI-SSEMBABULE'!D52,'23.10 KANONI-SSEMBABULE'!D52)</f>
        <v>0.14285714285714285</v>
      </c>
      <c r="E52" s="49">
        <f>AVERAGE('17.10 KANONI-SSEMBABULE'!E52,'18.10 KANONI-SSEMBABULE-24h'!E52,'19.10 KANONI-SSEMBABULE-24h'!E52,'20.10 KANONI-SSEMBABULE'!E52,'21.10 KANONI-SSEMBABULE'!E52,'22.10 KANONI-SSEMBABULE'!E52,'23.10 KANONI-SSEMBABULE'!E52)</f>
        <v>0</v>
      </c>
      <c r="F52" s="49">
        <f>AVERAGE('17.10 KANONI-SSEMBABULE'!F52,'18.10 KANONI-SSEMBABULE-24h'!F52,'19.10 KANONI-SSEMBABULE-24h'!F52,'20.10 KANONI-SSEMBABULE'!F52,'21.10 KANONI-SSEMBABULE'!F52,'22.10 KANONI-SSEMBABULE'!F52,'23.10 KANONI-SSEMBABULE'!F52)</f>
        <v>0.2857142857142857</v>
      </c>
      <c r="G52" s="49">
        <f>AVERAGE('17.10 KANONI-SSEMBABULE'!G52,'18.10 KANONI-SSEMBABULE-24h'!G52,'19.10 KANONI-SSEMBABULE-24h'!G52,'20.10 KANONI-SSEMBABULE'!G52,'21.10 KANONI-SSEMBABULE'!G52,'22.10 KANONI-SSEMBABULE'!G52,'23.10 KANONI-SSEMBABULE'!G52)</f>
        <v>0</v>
      </c>
      <c r="H52" s="49">
        <f>AVERAGE('17.10 KANONI-SSEMBABULE'!H52,'18.10 KANONI-SSEMBABULE-24h'!H52,'19.10 KANONI-SSEMBABULE-24h'!H52,'20.10 KANONI-SSEMBABULE'!H52,'21.10 KANONI-SSEMBABULE'!H52,'22.10 KANONI-SSEMBABULE'!H52,'23.10 KANONI-SSEMBABULE'!H52)</f>
        <v>0</v>
      </c>
      <c r="I52" s="49">
        <f>AVERAGE('17.10 KANONI-SSEMBABULE'!I52,'18.10 KANONI-SSEMBABULE-24h'!I52,'19.10 KANONI-SSEMBABULE-24h'!I52,'20.10 KANONI-SSEMBABULE'!I52,'21.10 KANONI-SSEMBABULE'!I52,'22.10 KANONI-SSEMBABULE'!I52,'23.10 KANONI-SSEMBABULE'!I52)</f>
        <v>0.7142857142857143</v>
      </c>
      <c r="J52" s="49">
        <f>AVERAGE('17.10 KANONI-SSEMBABULE'!J52,'18.10 KANONI-SSEMBABULE-24h'!J52,'19.10 KANONI-SSEMBABULE-24h'!J52,'20.10 KANONI-SSEMBABULE'!J52,'21.10 KANONI-SSEMBABULE'!J52,'22.10 KANONI-SSEMBABULE'!J52,'23.10 KANONI-SSEMBABULE'!J52)</f>
        <v>0.14285714285714285</v>
      </c>
      <c r="K52" s="49">
        <f>AVERAGE('17.10 KANONI-SSEMBABULE'!K52,'18.10 KANONI-SSEMBABULE-24h'!K52,'19.10 KANONI-SSEMBABULE-24h'!K52,'20.10 KANONI-SSEMBABULE'!K52,'21.10 KANONI-SSEMBABULE'!K52,'22.10 KANONI-SSEMBABULE'!K52,'23.10 KANONI-SSEMBABULE'!K52)</f>
        <v>0.14285714285714285</v>
      </c>
      <c r="L52" s="49">
        <f>AVERAGE('17.10 KANONI-SSEMBABULE'!L52,'18.10 KANONI-SSEMBABULE-24h'!L52,'19.10 KANONI-SSEMBABULE-24h'!L52,'20.10 KANONI-SSEMBABULE'!L52,'21.10 KANONI-SSEMBABULE'!L52,'22.10 KANONI-SSEMBABULE'!L52,'23.10 KANONI-SSEMBABULE'!L52)</f>
        <v>0</v>
      </c>
      <c r="M52" s="49">
        <f>AVERAGE('17.10 KANONI-SSEMBABULE'!M52,'18.10 KANONI-SSEMBABULE-24h'!M52,'19.10 KANONI-SSEMBABULE-24h'!M52,'20.10 KANONI-SSEMBABULE'!M52,'21.10 KANONI-SSEMBABULE'!M52,'22.10 KANONI-SSEMBABULE'!M52,'23.10 KANONI-SSEMBABULE'!M52)</f>
        <v>10.571428571428571</v>
      </c>
      <c r="N52" s="49">
        <f>AVERAGE('17.10 KANONI-SSEMBABULE'!N52,'18.10 KANONI-SSEMBABULE-24h'!N52,'19.10 KANONI-SSEMBABULE-24h'!N52,'20.10 KANONI-SSEMBABULE'!N52,'21.10 KANONI-SSEMBABULE'!N52,'22.10 KANONI-SSEMBABULE'!N52,'23.10 KANONI-SSEMBABULE'!N52)</f>
        <v>0</v>
      </c>
      <c r="O52" s="15">
        <f t="shared" si="0"/>
        <v>1.857142857142857</v>
      </c>
      <c r="P52" s="15">
        <f t="shared" si="1"/>
        <v>12.428571428571429</v>
      </c>
      <c r="R52" s="8"/>
      <c r="T52"/>
    </row>
    <row r="53" spans="2:20" ht="23.1" customHeight="1" x14ac:dyDescent="0.25">
      <c r="B53" s="23" t="s">
        <v>80</v>
      </c>
      <c r="C53" s="49">
        <f>AVERAGE('17.10 KANONI-SSEMBABULE'!C53,'18.10 KANONI-SSEMBABULE-24h'!C53,'19.10 KANONI-SSEMBABULE-24h'!C53,'20.10 KANONI-SSEMBABULE'!C53,'21.10 KANONI-SSEMBABULE'!C53,'22.10 KANONI-SSEMBABULE'!C53,'23.10 KANONI-SSEMBABULE'!C53)</f>
        <v>1.4285714285714286</v>
      </c>
      <c r="D53" s="49">
        <f>AVERAGE('17.10 KANONI-SSEMBABULE'!D53,'18.10 KANONI-SSEMBABULE-24h'!D53,'19.10 KANONI-SSEMBABULE-24h'!D53,'20.10 KANONI-SSEMBABULE'!D53,'21.10 KANONI-SSEMBABULE'!D53,'22.10 KANONI-SSEMBABULE'!D53,'23.10 KANONI-SSEMBABULE'!D53)</f>
        <v>0.5714285714285714</v>
      </c>
      <c r="E53" s="49">
        <f>AVERAGE('17.10 KANONI-SSEMBABULE'!E53,'18.10 KANONI-SSEMBABULE-24h'!E53,'19.10 KANONI-SSEMBABULE-24h'!E53,'20.10 KANONI-SSEMBABULE'!E53,'21.10 KANONI-SSEMBABULE'!E53,'22.10 KANONI-SSEMBABULE'!E53,'23.10 KANONI-SSEMBABULE'!E53)</f>
        <v>0</v>
      </c>
      <c r="F53" s="49">
        <f>AVERAGE('17.10 KANONI-SSEMBABULE'!F53,'18.10 KANONI-SSEMBABULE-24h'!F53,'19.10 KANONI-SSEMBABULE-24h'!F53,'20.10 KANONI-SSEMBABULE'!F53,'21.10 KANONI-SSEMBABULE'!F53,'22.10 KANONI-SSEMBABULE'!F53,'23.10 KANONI-SSEMBABULE'!F53)</f>
        <v>0.14285714285714285</v>
      </c>
      <c r="G53" s="49">
        <f>AVERAGE('17.10 KANONI-SSEMBABULE'!G53,'18.10 KANONI-SSEMBABULE-24h'!G53,'19.10 KANONI-SSEMBABULE-24h'!G53,'20.10 KANONI-SSEMBABULE'!G53,'21.10 KANONI-SSEMBABULE'!G53,'22.10 KANONI-SSEMBABULE'!G53,'23.10 KANONI-SSEMBABULE'!G53)</f>
        <v>0.2857142857142857</v>
      </c>
      <c r="H53" s="49">
        <f>AVERAGE('17.10 KANONI-SSEMBABULE'!H53,'18.10 KANONI-SSEMBABULE-24h'!H53,'19.10 KANONI-SSEMBABULE-24h'!H53,'20.10 KANONI-SSEMBABULE'!H53,'21.10 KANONI-SSEMBABULE'!H53,'22.10 KANONI-SSEMBABULE'!H53,'23.10 KANONI-SSEMBABULE'!H53)</f>
        <v>0</v>
      </c>
      <c r="I53" s="49">
        <f>AVERAGE('17.10 KANONI-SSEMBABULE'!I53,'18.10 KANONI-SSEMBABULE-24h'!I53,'19.10 KANONI-SSEMBABULE-24h'!I53,'20.10 KANONI-SSEMBABULE'!I53,'21.10 KANONI-SSEMBABULE'!I53,'22.10 KANONI-SSEMBABULE'!I53,'23.10 KANONI-SSEMBABULE'!I53)</f>
        <v>1.2857142857142858</v>
      </c>
      <c r="J53" s="49">
        <f>AVERAGE('17.10 KANONI-SSEMBABULE'!J53,'18.10 KANONI-SSEMBABULE-24h'!J53,'19.10 KANONI-SSEMBABULE-24h'!J53,'20.10 KANONI-SSEMBABULE'!J53,'21.10 KANONI-SSEMBABULE'!J53,'22.10 KANONI-SSEMBABULE'!J53,'23.10 KANONI-SSEMBABULE'!J53)</f>
        <v>0.14285714285714285</v>
      </c>
      <c r="K53" s="49">
        <f>AVERAGE('17.10 KANONI-SSEMBABULE'!K53,'18.10 KANONI-SSEMBABULE-24h'!K53,'19.10 KANONI-SSEMBABULE-24h'!K53,'20.10 KANONI-SSEMBABULE'!K53,'21.10 KANONI-SSEMBABULE'!K53,'22.10 KANONI-SSEMBABULE'!K53,'23.10 KANONI-SSEMBABULE'!K53)</f>
        <v>0.42857142857142855</v>
      </c>
      <c r="L53" s="49">
        <f>AVERAGE('17.10 KANONI-SSEMBABULE'!L53,'18.10 KANONI-SSEMBABULE-24h'!L53,'19.10 KANONI-SSEMBABULE-24h'!L53,'20.10 KANONI-SSEMBABULE'!L53,'21.10 KANONI-SSEMBABULE'!L53,'22.10 KANONI-SSEMBABULE'!L53,'23.10 KANONI-SSEMBABULE'!L53)</f>
        <v>0</v>
      </c>
      <c r="M53" s="49">
        <f>AVERAGE('17.10 KANONI-SSEMBABULE'!M53,'18.10 KANONI-SSEMBABULE-24h'!M53,'19.10 KANONI-SSEMBABULE-24h'!M53,'20.10 KANONI-SSEMBABULE'!M53,'21.10 KANONI-SSEMBABULE'!M53,'22.10 KANONI-SSEMBABULE'!M53,'23.10 KANONI-SSEMBABULE'!M53)</f>
        <v>9.5714285714285712</v>
      </c>
      <c r="N53" s="49">
        <f>AVERAGE('17.10 KANONI-SSEMBABULE'!N53,'18.10 KANONI-SSEMBABULE-24h'!N53,'19.10 KANONI-SSEMBABULE-24h'!N53,'20.10 KANONI-SSEMBABULE'!N53,'21.10 KANONI-SSEMBABULE'!N53,'22.10 KANONI-SSEMBABULE'!N53,'23.10 KANONI-SSEMBABULE'!N53)</f>
        <v>0</v>
      </c>
      <c r="O53" s="15">
        <f t="shared" si="0"/>
        <v>4.2857142857142856</v>
      </c>
      <c r="P53" s="15">
        <f t="shared" si="1"/>
        <v>13.857142857142858</v>
      </c>
      <c r="R53" s="8"/>
      <c r="T53"/>
    </row>
    <row r="54" spans="2:20" ht="23.1" customHeight="1" x14ac:dyDescent="0.25">
      <c r="B54" s="23" t="s">
        <v>81</v>
      </c>
      <c r="C54" s="49">
        <f>AVERAGE('17.10 KANONI-SSEMBABULE'!C54,'18.10 KANONI-SSEMBABULE-24h'!C54,'19.10 KANONI-SSEMBABULE-24h'!C54,'20.10 KANONI-SSEMBABULE'!C54,'21.10 KANONI-SSEMBABULE'!C54,'22.10 KANONI-SSEMBABULE'!C54,'23.10 KANONI-SSEMBABULE'!C54)</f>
        <v>0.8571428571428571</v>
      </c>
      <c r="D54" s="49">
        <f>AVERAGE('17.10 KANONI-SSEMBABULE'!D54,'18.10 KANONI-SSEMBABULE-24h'!D54,'19.10 KANONI-SSEMBABULE-24h'!D54,'20.10 KANONI-SSEMBABULE'!D54,'21.10 KANONI-SSEMBABULE'!D54,'22.10 KANONI-SSEMBABULE'!D54,'23.10 KANONI-SSEMBABULE'!D54)</f>
        <v>0.14285714285714285</v>
      </c>
      <c r="E54" s="49">
        <f>AVERAGE('17.10 KANONI-SSEMBABULE'!E54,'18.10 KANONI-SSEMBABULE-24h'!E54,'19.10 KANONI-SSEMBABULE-24h'!E54,'20.10 KANONI-SSEMBABULE'!E54,'21.10 KANONI-SSEMBABULE'!E54,'22.10 KANONI-SSEMBABULE'!E54,'23.10 KANONI-SSEMBABULE'!E54)</f>
        <v>0.14285714285714285</v>
      </c>
      <c r="F54" s="49">
        <f>AVERAGE('17.10 KANONI-SSEMBABULE'!F54,'18.10 KANONI-SSEMBABULE-24h'!F54,'19.10 KANONI-SSEMBABULE-24h'!F54,'20.10 KANONI-SSEMBABULE'!F54,'21.10 KANONI-SSEMBABULE'!F54,'22.10 KANONI-SSEMBABULE'!F54,'23.10 KANONI-SSEMBABULE'!F54)</f>
        <v>0.2857142857142857</v>
      </c>
      <c r="G54" s="49">
        <f>AVERAGE('17.10 KANONI-SSEMBABULE'!G54,'18.10 KANONI-SSEMBABULE-24h'!G54,'19.10 KANONI-SSEMBABULE-24h'!G54,'20.10 KANONI-SSEMBABULE'!G54,'21.10 KANONI-SSEMBABULE'!G54,'22.10 KANONI-SSEMBABULE'!G54,'23.10 KANONI-SSEMBABULE'!G54)</f>
        <v>0.14285714285714285</v>
      </c>
      <c r="H54" s="49">
        <f>AVERAGE('17.10 KANONI-SSEMBABULE'!H54,'18.10 KANONI-SSEMBABULE-24h'!H54,'19.10 KANONI-SSEMBABULE-24h'!H54,'20.10 KANONI-SSEMBABULE'!H54,'21.10 KANONI-SSEMBABULE'!H54,'22.10 KANONI-SSEMBABULE'!H54,'23.10 KANONI-SSEMBABULE'!H54)</f>
        <v>0.2857142857142857</v>
      </c>
      <c r="I54" s="49">
        <f>AVERAGE('17.10 KANONI-SSEMBABULE'!I54,'18.10 KANONI-SSEMBABULE-24h'!I54,'19.10 KANONI-SSEMBABULE-24h'!I54,'20.10 KANONI-SSEMBABULE'!I54,'21.10 KANONI-SSEMBABULE'!I54,'22.10 KANONI-SSEMBABULE'!I54,'23.10 KANONI-SSEMBABULE'!I54)</f>
        <v>0.7142857142857143</v>
      </c>
      <c r="J54" s="49">
        <f>AVERAGE('17.10 KANONI-SSEMBABULE'!J54,'18.10 KANONI-SSEMBABULE-24h'!J54,'19.10 KANONI-SSEMBABULE-24h'!J54,'20.10 KANONI-SSEMBABULE'!J54,'21.10 KANONI-SSEMBABULE'!J54,'22.10 KANONI-SSEMBABULE'!J54,'23.10 KANONI-SSEMBABULE'!J54)</f>
        <v>0.2857142857142857</v>
      </c>
      <c r="K54" s="49">
        <f>AVERAGE('17.10 KANONI-SSEMBABULE'!K54,'18.10 KANONI-SSEMBABULE-24h'!K54,'19.10 KANONI-SSEMBABULE-24h'!K54,'20.10 KANONI-SSEMBABULE'!K54,'21.10 KANONI-SSEMBABULE'!K54,'22.10 KANONI-SSEMBABULE'!K54,'23.10 KANONI-SSEMBABULE'!K54)</f>
        <v>0.5714285714285714</v>
      </c>
      <c r="L54" s="49">
        <f>AVERAGE('17.10 KANONI-SSEMBABULE'!L54,'18.10 KANONI-SSEMBABULE-24h'!L54,'19.10 KANONI-SSEMBABULE-24h'!L54,'20.10 KANONI-SSEMBABULE'!L54,'21.10 KANONI-SSEMBABULE'!L54,'22.10 KANONI-SSEMBABULE'!L54,'23.10 KANONI-SSEMBABULE'!L54)</f>
        <v>0</v>
      </c>
      <c r="M54" s="49">
        <f>AVERAGE('17.10 KANONI-SSEMBABULE'!M54,'18.10 KANONI-SSEMBABULE-24h'!M54,'19.10 KANONI-SSEMBABULE-24h'!M54,'20.10 KANONI-SSEMBABULE'!M54,'21.10 KANONI-SSEMBABULE'!M54,'22.10 KANONI-SSEMBABULE'!M54,'23.10 KANONI-SSEMBABULE'!M54)</f>
        <v>8.4285714285714288</v>
      </c>
      <c r="N54" s="49">
        <f>AVERAGE('17.10 KANONI-SSEMBABULE'!N54,'18.10 KANONI-SSEMBABULE-24h'!N54,'19.10 KANONI-SSEMBABULE-24h'!N54,'20.10 KANONI-SSEMBABULE'!N54,'21.10 KANONI-SSEMBABULE'!N54,'22.10 KANONI-SSEMBABULE'!N54,'23.10 KANONI-SSEMBABULE'!N54)</f>
        <v>0</v>
      </c>
      <c r="O54" s="15">
        <f t="shared" si="0"/>
        <v>3.4285714285714279</v>
      </c>
      <c r="P54" s="15">
        <f t="shared" si="1"/>
        <v>11.857142857142858</v>
      </c>
      <c r="R54" s="8"/>
      <c r="T54"/>
    </row>
    <row r="55" spans="2:20" ht="23.1" customHeight="1" x14ac:dyDescent="0.25">
      <c r="B55" s="23" t="s">
        <v>82</v>
      </c>
      <c r="C55" s="49">
        <f>AVERAGE('17.10 KANONI-SSEMBABULE'!C55,'18.10 KANONI-SSEMBABULE-24h'!C55,'19.10 KANONI-SSEMBABULE-24h'!C55,'20.10 KANONI-SSEMBABULE'!C55,'21.10 KANONI-SSEMBABULE'!C55,'22.10 KANONI-SSEMBABULE'!C55,'23.10 KANONI-SSEMBABULE'!C55)</f>
        <v>1.2857142857142858</v>
      </c>
      <c r="D55" s="49">
        <f>AVERAGE('17.10 KANONI-SSEMBABULE'!D55,'18.10 KANONI-SSEMBABULE-24h'!D55,'19.10 KANONI-SSEMBABULE-24h'!D55,'20.10 KANONI-SSEMBABULE'!D55,'21.10 KANONI-SSEMBABULE'!D55,'22.10 KANONI-SSEMBABULE'!D55,'23.10 KANONI-SSEMBABULE'!D55)</f>
        <v>0.2857142857142857</v>
      </c>
      <c r="E55" s="49">
        <f>AVERAGE('17.10 KANONI-SSEMBABULE'!E55,'18.10 KANONI-SSEMBABULE-24h'!E55,'19.10 KANONI-SSEMBABULE-24h'!E55,'20.10 KANONI-SSEMBABULE'!E55,'21.10 KANONI-SSEMBABULE'!E55,'22.10 KANONI-SSEMBABULE'!E55,'23.10 KANONI-SSEMBABULE'!E55)</f>
        <v>0.42857142857142855</v>
      </c>
      <c r="F55" s="49">
        <f>AVERAGE('17.10 KANONI-SSEMBABULE'!F55,'18.10 KANONI-SSEMBABULE-24h'!F55,'19.10 KANONI-SSEMBABULE-24h'!F55,'20.10 KANONI-SSEMBABULE'!F55,'21.10 KANONI-SSEMBABULE'!F55,'22.10 KANONI-SSEMBABULE'!F55,'23.10 KANONI-SSEMBABULE'!F55)</f>
        <v>0.5714285714285714</v>
      </c>
      <c r="G55" s="49">
        <f>AVERAGE('17.10 KANONI-SSEMBABULE'!G55,'18.10 KANONI-SSEMBABULE-24h'!G55,'19.10 KANONI-SSEMBABULE-24h'!G55,'20.10 KANONI-SSEMBABULE'!G55,'21.10 KANONI-SSEMBABULE'!G55,'22.10 KANONI-SSEMBABULE'!G55,'23.10 KANONI-SSEMBABULE'!G55)</f>
        <v>0.2857142857142857</v>
      </c>
      <c r="H55" s="49">
        <f>AVERAGE('17.10 KANONI-SSEMBABULE'!H55,'18.10 KANONI-SSEMBABULE-24h'!H55,'19.10 KANONI-SSEMBABULE-24h'!H55,'20.10 KANONI-SSEMBABULE'!H55,'21.10 KANONI-SSEMBABULE'!H55,'22.10 KANONI-SSEMBABULE'!H55,'23.10 KANONI-SSEMBABULE'!H55)</f>
        <v>0</v>
      </c>
      <c r="I55" s="49">
        <f>AVERAGE('17.10 KANONI-SSEMBABULE'!I55,'18.10 KANONI-SSEMBABULE-24h'!I55,'19.10 KANONI-SSEMBABULE-24h'!I55,'20.10 KANONI-SSEMBABULE'!I55,'21.10 KANONI-SSEMBABULE'!I55,'22.10 KANONI-SSEMBABULE'!I55,'23.10 KANONI-SSEMBABULE'!I55)</f>
        <v>0.7142857142857143</v>
      </c>
      <c r="J55" s="49">
        <f>AVERAGE('17.10 KANONI-SSEMBABULE'!J55,'18.10 KANONI-SSEMBABULE-24h'!J55,'19.10 KANONI-SSEMBABULE-24h'!J55,'20.10 KANONI-SSEMBABULE'!J55,'21.10 KANONI-SSEMBABULE'!J55,'22.10 KANONI-SSEMBABULE'!J55,'23.10 KANONI-SSEMBABULE'!J55)</f>
        <v>0.5714285714285714</v>
      </c>
      <c r="K55" s="49">
        <f>AVERAGE('17.10 KANONI-SSEMBABULE'!K55,'18.10 KANONI-SSEMBABULE-24h'!K55,'19.10 KANONI-SSEMBABULE-24h'!K55,'20.10 KANONI-SSEMBABULE'!K55,'21.10 KANONI-SSEMBABULE'!K55,'22.10 KANONI-SSEMBABULE'!K55,'23.10 KANONI-SSEMBABULE'!K55)</f>
        <v>0.5714285714285714</v>
      </c>
      <c r="L55" s="49">
        <f>AVERAGE('17.10 KANONI-SSEMBABULE'!L55,'18.10 KANONI-SSEMBABULE-24h'!L55,'19.10 KANONI-SSEMBABULE-24h'!L55,'20.10 KANONI-SSEMBABULE'!L55,'21.10 KANONI-SSEMBABULE'!L55,'22.10 KANONI-SSEMBABULE'!L55,'23.10 KANONI-SSEMBABULE'!L55)</f>
        <v>0.42857142857142855</v>
      </c>
      <c r="M55" s="49">
        <f>AVERAGE('17.10 KANONI-SSEMBABULE'!M55,'18.10 KANONI-SSEMBABULE-24h'!M55,'19.10 KANONI-SSEMBABULE-24h'!M55,'20.10 KANONI-SSEMBABULE'!M55,'21.10 KANONI-SSEMBABULE'!M55,'22.10 KANONI-SSEMBABULE'!M55,'23.10 KANONI-SSEMBABULE'!M55)</f>
        <v>9.8571428571428577</v>
      </c>
      <c r="N55" s="49">
        <f>AVERAGE('17.10 KANONI-SSEMBABULE'!N55,'18.10 KANONI-SSEMBABULE-24h'!N55,'19.10 KANONI-SSEMBABULE-24h'!N55,'20.10 KANONI-SSEMBABULE'!N55,'21.10 KANONI-SSEMBABULE'!N55,'22.10 KANONI-SSEMBABULE'!N55,'23.10 KANONI-SSEMBABULE'!N55)</f>
        <v>0</v>
      </c>
      <c r="O55" s="15">
        <f t="shared" si="0"/>
        <v>5.1428571428571423</v>
      </c>
      <c r="P55" s="15">
        <f t="shared" si="1"/>
        <v>15</v>
      </c>
      <c r="R55" s="8"/>
      <c r="T55"/>
    </row>
    <row r="56" spans="2:20" ht="23.1" customHeight="1" x14ac:dyDescent="0.25">
      <c r="B56" s="23" t="s">
        <v>83</v>
      </c>
      <c r="C56" s="49">
        <f>AVERAGE('17.10 KANONI-SSEMBABULE'!C56,'18.10 KANONI-SSEMBABULE-24h'!C56,'19.10 KANONI-SSEMBABULE-24h'!C56,'20.10 KANONI-SSEMBABULE'!C56,'21.10 KANONI-SSEMBABULE'!C56,'22.10 KANONI-SSEMBABULE'!C56,'23.10 KANONI-SSEMBABULE'!C56)</f>
        <v>1.2857142857142858</v>
      </c>
      <c r="D56" s="49">
        <f>AVERAGE('17.10 KANONI-SSEMBABULE'!D56,'18.10 KANONI-SSEMBABULE-24h'!D56,'19.10 KANONI-SSEMBABULE-24h'!D56,'20.10 KANONI-SSEMBABULE'!D56,'21.10 KANONI-SSEMBABULE'!D56,'22.10 KANONI-SSEMBABULE'!D56,'23.10 KANONI-SSEMBABULE'!D56)</f>
        <v>0.42857142857142855</v>
      </c>
      <c r="E56" s="49">
        <f>AVERAGE('17.10 KANONI-SSEMBABULE'!E56,'18.10 KANONI-SSEMBABULE-24h'!E56,'19.10 KANONI-SSEMBABULE-24h'!E56,'20.10 KANONI-SSEMBABULE'!E56,'21.10 KANONI-SSEMBABULE'!E56,'22.10 KANONI-SSEMBABULE'!E56,'23.10 KANONI-SSEMBABULE'!E56)</f>
        <v>0.42857142857142855</v>
      </c>
      <c r="F56" s="49">
        <f>AVERAGE('17.10 KANONI-SSEMBABULE'!F56,'18.10 KANONI-SSEMBABULE-24h'!F56,'19.10 KANONI-SSEMBABULE-24h'!F56,'20.10 KANONI-SSEMBABULE'!F56,'21.10 KANONI-SSEMBABULE'!F56,'22.10 KANONI-SSEMBABULE'!F56,'23.10 KANONI-SSEMBABULE'!F56)</f>
        <v>0</v>
      </c>
      <c r="G56" s="49">
        <f>AVERAGE('17.10 KANONI-SSEMBABULE'!G56,'18.10 KANONI-SSEMBABULE-24h'!G56,'19.10 KANONI-SSEMBABULE-24h'!G56,'20.10 KANONI-SSEMBABULE'!G56,'21.10 KANONI-SSEMBABULE'!G56,'22.10 KANONI-SSEMBABULE'!G56,'23.10 KANONI-SSEMBABULE'!G56)</f>
        <v>0</v>
      </c>
      <c r="H56" s="49">
        <f>AVERAGE('17.10 KANONI-SSEMBABULE'!H56,'18.10 KANONI-SSEMBABULE-24h'!H56,'19.10 KANONI-SSEMBABULE-24h'!H56,'20.10 KANONI-SSEMBABULE'!H56,'21.10 KANONI-SSEMBABULE'!H56,'22.10 KANONI-SSEMBABULE'!H56,'23.10 KANONI-SSEMBABULE'!H56)</f>
        <v>0</v>
      </c>
      <c r="I56" s="49">
        <f>AVERAGE('17.10 KANONI-SSEMBABULE'!I56,'18.10 KANONI-SSEMBABULE-24h'!I56,'19.10 KANONI-SSEMBABULE-24h'!I56,'20.10 KANONI-SSEMBABULE'!I56,'21.10 KANONI-SSEMBABULE'!I56,'22.10 KANONI-SSEMBABULE'!I56,'23.10 KANONI-SSEMBABULE'!I56)</f>
        <v>0.7142857142857143</v>
      </c>
      <c r="J56" s="49">
        <f>AVERAGE('17.10 KANONI-SSEMBABULE'!J56,'18.10 KANONI-SSEMBABULE-24h'!J56,'19.10 KANONI-SSEMBABULE-24h'!J56,'20.10 KANONI-SSEMBABULE'!J56,'21.10 KANONI-SSEMBABULE'!J56,'22.10 KANONI-SSEMBABULE'!J56,'23.10 KANONI-SSEMBABULE'!J56)</f>
        <v>0.2857142857142857</v>
      </c>
      <c r="K56" s="49">
        <f>AVERAGE('17.10 KANONI-SSEMBABULE'!K56,'18.10 KANONI-SSEMBABULE-24h'!K56,'19.10 KANONI-SSEMBABULE-24h'!K56,'20.10 KANONI-SSEMBABULE'!K56,'21.10 KANONI-SSEMBABULE'!K56,'22.10 KANONI-SSEMBABULE'!K56,'23.10 KANONI-SSEMBABULE'!K56)</f>
        <v>0.5714285714285714</v>
      </c>
      <c r="L56" s="49">
        <f>AVERAGE('17.10 KANONI-SSEMBABULE'!L56,'18.10 KANONI-SSEMBABULE-24h'!L56,'19.10 KANONI-SSEMBABULE-24h'!L56,'20.10 KANONI-SSEMBABULE'!L56,'21.10 KANONI-SSEMBABULE'!L56,'22.10 KANONI-SSEMBABULE'!L56,'23.10 KANONI-SSEMBABULE'!L56)</f>
        <v>0.14285714285714285</v>
      </c>
      <c r="M56" s="49">
        <f>AVERAGE('17.10 KANONI-SSEMBABULE'!M56,'18.10 KANONI-SSEMBABULE-24h'!M56,'19.10 KANONI-SSEMBABULE-24h'!M56,'20.10 KANONI-SSEMBABULE'!M56,'21.10 KANONI-SSEMBABULE'!M56,'22.10 KANONI-SSEMBABULE'!M56,'23.10 KANONI-SSEMBABULE'!M56)</f>
        <v>12.285714285714286</v>
      </c>
      <c r="N56" s="49">
        <f>AVERAGE('17.10 KANONI-SSEMBABULE'!N56,'18.10 KANONI-SSEMBABULE-24h'!N56,'19.10 KANONI-SSEMBABULE-24h'!N56,'20.10 KANONI-SSEMBABULE'!N56,'21.10 KANONI-SSEMBABULE'!N56,'22.10 KANONI-SSEMBABULE'!N56,'23.10 KANONI-SSEMBABULE'!N56)</f>
        <v>0</v>
      </c>
      <c r="O56" s="15">
        <f t="shared" si="0"/>
        <v>3.8571428571428572</v>
      </c>
      <c r="P56" s="15">
        <f t="shared" si="1"/>
        <v>16.142857142857142</v>
      </c>
      <c r="R56" s="8"/>
      <c r="T56"/>
    </row>
    <row r="57" spans="2:20" ht="23.1" customHeight="1" x14ac:dyDescent="0.25">
      <c r="B57" s="23" t="s">
        <v>84</v>
      </c>
      <c r="C57" s="49">
        <f>AVERAGE('17.10 KANONI-SSEMBABULE'!C57,'18.10 KANONI-SSEMBABULE-24h'!C57,'19.10 KANONI-SSEMBABULE-24h'!C57,'20.10 KANONI-SSEMBABULE'!C57,'21.10 KANONI-SSEMBABULE'!C57,'22.10 KANONI-SSEMBABULE'!C57,'23.10 KANONI-SSEMBABULE'!C57)</f>
        <v>1</v>
      </c>
      <c r="D57" s="49">
        <f>AVERAGE('17.10 KANONI-SSEMBABULE'!D57,'18.10 KANONI-SSEMBABULE-24h'!D57,'19.10 KANONI-SSEMBABULE-24h'!D57,'20.10 KANONI-SSEMBABULE'!D57,'21.10 KANONI-SSEMBABULE'!D57,'22.10 KANONI-SSEMBABULE'!D57,'23.10 KANONI-SSEMBABULE'!D57)</f>
        <v>0.42857142857142855</v>
      </c>
      <c r="E57" s="49">
        <f>AVERAGE('17.10 KANONI-SSEMBABULE'!E57,'18.10 KANONI-SSEMBABULE-24h'!E57,'19.10 KANONI-SSEMBABULE-24h'!E57,'20.10 KANONI-SSEMBABULE'!E57,'21.10 KANONI-SSEMBABULE'!E57,'22.10 KANONI-SSEMBABULE'!E57,'23.10 KANONI-SSEMBABULE'!E57)</f>
        <v>0.7142857142857143</v>
      </c>
      <c r="F57" s="49">
        <f>AVERAGE('17.10 KANONI-SSEMBABULE'!F57,'18.10 KANONI-SSEMBABULE-24h'!F57,'19.10 KANONI-SSEMBABULE-24h'!F57,'20.10 KANONI-SSEMBABULE'!F57,'21.10 KANONI-SSEMBABULE'!F57,'22.10 KANONI-SSEMBABULE'!F57,'23.10 KANONI-SSEMBABULE'!F57)</f>
        <v>0.42857142857142855</v>
      </c>
      <c r="G57" s="49">
        <f>AVERAGE('17.10 KANONI-SSEMBABULE'!G57,'18.10 KANONI-SSEMBABULE-24h'!G57,'19.10 KANONI-SSEMBABULE-24h'!G57,'20.10 KANONI-SSEMBABULE'!G57,'21.10 KANONI-SSEMBABULE'!G57,'22.10 KANONI-SSEMBABULE'!G57,'23.10 KANONI-SSEMBABULE'!G57)</f>
        <v>0</v>
      </c>
      <c r="H57" s="49">
        <f>AVERAGE('17.10 KANONI-SSEMBABULE'!H57,'18.10 KANONI-SSEMBABULE-24h'!H57,'19.10 KANONI-SSEMBABULE-24h'!H57,'20.10 KANONI-SSEMBABULE'!H57,'21.10 KANONI-SSEMBABULE'!H57,'22.10 KANONI-SSEMBABULE'!H57,'23.10 KANONI-SSEMBABULE'!H57)</f>
        <v>0.14285714285714285</v>
      </c>
      <c r="I57" s="49">
        <f>AVERAGE('17.10 KANONI-SSEMBABULE'!I57,'18.10 KANONI-SSEMBABULE-24h'!I57,'19.10 KANONI-SSEMBABULE-24h'!I57,'20.10 KANONI-SSEMBABULE'!I57,'21.10 KANONI-SSEMBABULE'!I57,'22.10 KANONI-SSEMBABULE'!I57,'23.10 KANONI-SSEMBABULE'!I57)</f>
        <v>0.42857142857142855</v>
      </c>
      <c r="J57" s="49">
        <f>AVERAGE('17.10 KANONI-SSEMBABULE'!J57,'18.10 KANONI-SSEMBABULE-24h'!J57,'19.10 KANONI-SSEMBABULE-24h'!J57,'20.10 KANONI-SSEMBABULE'!J57,'21.10 KANONI-SSEMBABULE'!J57,'22.10 KANONI-SSEMBABULE'!J57,'23.10 KANONI-SSEMBABULE'!J57)</f>
        <v>0.5714285714285714</v>
      </c>
      <c r="K57" s="49">
        <f>AVERAGE('17.10 KANONI-SSEMBABULE'!K57,'18.10 KANONI-SSEMBABULE-24h'!K57,'19.10 KANONI-SSEMBABULE-24h'!K57,'20.10 KANONI-SSEMBABULE'!K57,'21.10 KANONI-SSEMBABULE'!K57,'22.10 KANONI-SSEMBABULE'!K57,'23.10 KANONI-SSEMBABULE'!K57)</f>
        <v>0.5714285714285714</v>
      </c>
      <c r="L57" s="49">
        <f>AVERAGE('17.10 KANONI-SSEMBABULE'!L57,'18.10 KANONI-SSEMBABULE-24h'!L57,'19.10 KANONI-SSEMBABULE-24h'!L57,'20.10 KANONI-SSEMBABULE'!L57,'21.10 KANONI-SSEMBABULE'!L57,'22.10 KANONI-SSEMBABULE'!L57,'23.10 KANONI-SSEMBABULE'!L57)</f>
        <v>0</v>
      </c>
      <c r="M57" s="49">
        <f>AVERAGE('17.10 KANONI-SSEMBABULE'!M57,'18.10 KANONI-SSEMBABULE-24h'!M57,'19.10 KANONI-SSEMBABULE-24h'!M57,'20.10 KANONI-SSEMBABULE'!M57,'21.10 KANONI-SSEMBABULE'!M57,'22.10 KANONI-SSEMBABULE'!M57,'23.10 KANONI-SSEMBABULE'!M57)</f>
        <v>11.571428571428571</v>
      </c>
      <c r="N57" s="49">
        <f>AVERAGE('17.10 KANONI-SSEMBABULE'!N57,'18.10 KANONI-SSEMBABULE-24h'!N57,'19.10 KANONI-SSEMBABULE-24h'!N57,'20.10 KANONI-SSEMBABULE'!N57,'21.10 KANONI-SSEMBABULE'!N57,'22.10 KANONI-SSEMBABULE'!N57,'23.10 KANONI-SSEMBABULE'!N57)</f>
        <v>0</v>
      </c>
      <c r="O57" s="15">
        <f t="shared" si="0"/>
        <v>4.2857142857142847</v>
      </c>
      <c r="P57" s="15">
        <f t="shared" si="1"/>
        <v>15.857142857142856</v>
      </c>
      <c r="R57" s="8"/>
      <c r="T57"/>
    </row>
    <row r="58" spans="2:20" ht="23.1" customHeight="1" x14ac:dyDescent="0.25">
      <c r="B58" s="23" t="s">
        <v>99</v>
      </c>
      <c r="C58" s="49">
        <f>AVERAGE('18.10 KANONI-SSEMBABULE-24h'!C58,'19.10 KANONI-SSEMBABULE-24h'!C58)</f>
        <v>2</v>
      </c>
      <c r="D58" s="49">
        <f>AVERAGE('18.10 KANONI-SSEMBABULE-24h'!D58,'19.10 KANONI-SSEMBABULE-24h'!D58)</f>
        <v>2.5</v>
      </c>
      <c r="E58" s="49">
        <f>AVERAGE('18.10 KANONI-SSEMBABULE-24h'!E58,'19.10 KANONI-SSEMBABULE-24h'!E58)</f>
        <v>0.5</v>
      </c>
      <c r="F58" s="49">
        <f>AVERAGE('18.10 KANONI-SSEMBABULE-24h'!F58,'19.10 KANONI-SSEMBABULE-24h'!F58)</f>
        <v>1</v>
      </c>
      <c r="G58" s="49">
        <f>AVERAGE('18.10 KANONI-SSEMBABULE-24h'!G58,'19.10 KANONI-SSEMBABULE-24h'!G58)</f>
        <v>0.5</v>
      </c>
      <c r="H58" s="49">
        <f>AVERAGE('18.10 KANONI-SSEMBABULE-24h'!H58,'19.10 KANONI-SSEMBABULE-24h'!H58)</f>
        <v>0</v>
      </c>
      <c r="I58" s="49">
        <f>AVERAGE('18.10 KANONI-SSEMBABULE-24h'!I58,'19.10 KANONI-SSEMBABULE-24h'!I58)</f>
        <v>0.5</v>
      </c>
      <c r="J58" s="49">
        <f>AVERAGE('18.10 KANONI-SSEMBABULE-24h'!J58,'19.10 KANONI-SSEMBABULE-24h'!J58)</f>
        <v>1</v>
      </c>
      <c r="K58" s="49">
        <f>AVERAGE('18.10 KANONI-SSEMBABULE-24h'!K58,'19.10 KANONI-SSEMBABULE-24h'!K58)</f>
        <v>0</v>
      </c>
      <c r="L58" s="49">
        <f>AVERAGE('18.10 KANONI-SSEMBABULE-24h'!L58,'19.10 KANONI-SSEMBABULE-24h'!L58)</f>
        <v>0</v>
      </c>
      <c r="M58" s="49">
        <f>AVERAGE('18.10 KANONI-SSEMBABULE-24h'!M58,'19.10 KANONI-SSEMBABULE-24h'!M58)</f>
        <v>7.5</v>
      </c>
      <c r="N58" s="49">
        <f>AVERAGE('18.10 KANONI-SSEMBABULE-24h'!N58,'19.10 KANONI-SSEMBABULE-24h'!N58)</f>
        <v>0</v>
      </c>
      <c r="O58" s="15">
        <f t="shared" si="0"/>
        <v>8</v>
      </c>
      <c r="P58" s="15">
        <f t="shared" si="1"/>
        <v>15.5</v>
      </c>
      <c r="R58" s="8"/>
      <c r="T58"/>
    </row>
    <row r="59" spans="2:20" ht="23.1" customHeight="1" x14ac:dyDescent="0.25">
      <c r="B59" s="23" t="s">
        <v>100</v>
      </c>
      <c r="C59" s="49">
        <f>AVERAGE('18.10 KANONI-SSEMBABULE-24h'!C59,'19.10 KANONI-SSEMBABULE-24h'!C59)</f>
        <v>2</v>
      </c>
      <c r="D59" s="49">
        <f>AVERAGE('18.10 KANONI-SSEMBABULE-24h'!D59,'19.10 KANONI-SSEMBABULE-24h'!D59)</f>
        <v>0.5</v>
      </c>
      <c r="E59" s="49">
        <f>AVERAGE('18.10 KANONI-SSEMBABULE-24h'!E59,'19.10 KANONI-SSEMBABULE-24h'!E59)</f>
        <v>0.5</v>
      </c>
      <c r="F59" s="49">
        <f>AVERAGE('18.10 KANONI-SSEMBABULE-24h'!F59,'19.10 KANONI-SSEMBABULE-24h'!F59)</f>
        <v>0</v>
      </c>
      <c r="G59" s="49">
        <f>AVERAGE('18.10 KANONI-SSEMBABULE-24h'!G59,'19.10 KANONI-SSEMBABULE-24h'!G59)</f>
        <v>0</v>
      </c>
      <c r="H59" s="49">
        <f>AVERAGE('18.10 KANONI-SSEMBABULE-24h'!H59,'19.10 KANONI-SSEMBABULE-24h'!H59)</f>
        <v>0</v>
      </c>
      <c r="I59" s="49">
        <f>AVERAGE('18.10 KANONI-SSEMBABULE-24h'!I59,'19.10 KANONI-SSEMBABULE-24h'!I59)</f>
        <v>0.5</v>
      </c>
      <c r="J59" s="49">
        <f>AVERAGE('18.10 KANONI-SSEMBABULE-24h'!J59,'19.10 KANONI-SSEMBABULE-24h'!J59)</f>
        <v>0</v>
      </c>
      <c r="K59" s="49">
        <f>AVERAGE('18.10 KANONI-SSEMBABULE-24h'!K59,'19.10 KANONI-SSEMBABULE-24h'!K59)</f>
        <v>0.5</v>
      </c>
      <c r="L59" s="49">
        <f>AVERAGE('18.10 KANONI-SSEMBABULE-24h'!L59,'19.10 KANONI-SSEMBABULE-24h'!L59)</f>
        <v>0</v>
      </c>
      <c r="M59" s="49">
        <f>AVERAGE('18.10 KANONI-SSEMBABULE-24h'!M59,'19.10 KANONI-SSEMBABULE-24h'!M59)</f>
        <v>9</v>
      </c>
      <c r="N59" s="49">
        <f>AVERAGE('18.10 KANONI-SSEMBABULE-24h'!N59,'19.10 KANONI-SSEMBABULE-24h'!N59)</f>
        <v>0</v>
      </c>
      <c r="O59" s="15">
        <f t="shared" si="0"/>
        <v>4</v>
      </c>
      <c r="P59" s="15">
        <f t="shared" si="1"/>
        <v>13</v>
      </c>
      <c r="R59" s="8"/>
      <c r="T59"/>
    </row>
    <row r="60" spans="2:20" ht="23.1" customHeight="1" x14ac:dyDescent="0.25">
      <c r="B60" s="23" t="s">
        <v>101</v>
      </c>
      <c r="C60" s="49">
        <f>AVERAGE('18.10 KANONI-SSEMBABULE-24h'!C60,'19.10 KANONI-SSEMBABULE-24h'!C60)</f>
        <v>1</v>
      </c>
      <c r="D60" s="49">
        <f>AVERAGE('18.10 KANONI-SSEMBABULE-24h'!D60,'19.10 KANONI-SSEMBABULE-24h'!D60)</f>
        <v>0.5</v>
      </c>
      <c r="E60" s="49">
        <f>AVERAGE('18.10 KANONI-SSEMBABULE-24h'!E60,'19.10 KANONI-SSEMBABULE-24h'!E60)</f>
        <v>0</v>
      </c>
      <c r="F60" s="49">
        <f>AVERAGE('18.10 KANONI-SSEMBABULE-24h'!F60,'19.10 KANONI-SSEMBABULE-24h'!F60)</f>
        <v>0</v>
      </c>
      <c r="G60" s="49">
        <f>AVERAGE('18.10 KANONI-SSEMBABULE-24h'!G60,'19.10 KANONI-SSEMBABULE-24h'!G60)</f>
        <v>0</v>
      </c>
      <c r="H60" s="49">
        <f>AVERAGE('18.10 KANONI-SSEMBABULE-24h'!H60,'19.10 KANONI-SSEMBABULE-24h'!H60)</f>
        <v>0</v>
      </c>
      <c r="I60" s="49">
        <f>AVERAGE('18.10 KANONI-SSEMBABULE-24h'!I60,'19.10 KANONI-SSEMBABULE-24h'!I60)</f>
        <v>0</v>
      </c>
      <c r="J60" s="49">
        <f>AVERAGE('18.10 KANONI-SSEMBABULE-24h'!J60,'19.10 KANONI-SSEMBABULE-24h'!J60)</f>
        <v>1</v>
      </c>
      <c r="K60" s="49">
        <f>AVERAGE('18.10 KANONI-SSEMBABULE-24h'!K60,'19.10 KANONI-SSEMBABULE-24h'!K60)</f>
        <v>0</v>
      </c>
      <c r="L60" s="49">
        <f>AVERAGE('18.10 KANONI-SSEMBABULE-24h'!L60,'19.10 KANONI-SSEMBABULE-24h'!L60)</f>
        <v>0</v>
      </c>
      <c r="M60" s="49">
        <f>AVERAGE('18.10 KANONI-SSEMBABULE-24h'!M60,'19.10 KANONI-SSEMBABULE-24h'!M60)</f>
        <v>11.5</v>
      </c>
      <c r="N60" s="49">
        <f>AVERAGE('18.10 KANONI-SSEMBABULE-24h'!N60,'19.10 KANONI-SSEMBABULE-24h'!N60)</f>
        <v>0</v>
      </c>
      <c r="O60" s="15">
        <f t="shared" si="0"/>
        <v>2.5</v>
      </c>
      <c r="P60" s="15">
        <f t="shared" si="1"/>
        <v>14</v>
      </c>
      <c r="R60" s="8"/>
      <c r="T60"/>
    </row>
    <row r="61" spans="2:20" ht="23.1" customHeight="1" x14ac:dyDescent="0.25">
      <c r="B61" s="23" t="s">
        <v>102</v>
      </c>
      <c r="C61" s="49">
        <f>AVERAGE('18.10 KANONI-SSEMBABULE-24h'!C61,'19.10 KANONI-SSEMBABULE-24h'!C61)</f>
        <v>2</v>
      </c>
      <c r="D61" s="49">
        <f>AVERAGE('18.10 KANONI-SSEMBABULE-24h'!D61,'19.10 KANONI-SSEMBABULE-24h'!D61)</f>
        <v>2.5</v>
      </c>
      <c r="E61" s="49">
        <f>AVERAGE('18.10 KANONI-SSEMBABULE-24h'!E61,'19.10 KANONI-SSEMBABULE-24h'!E61)</f>
        <v>0.5</v>
      </c>
      <c r="F61" s="49">
        <f>AVERAGE('18.10 KANONI-SSEMBABULE-24h'!F61,'19.10 KANONI-SSEMBABULE-24h'!F61)</f>
        <v>0.5</v>
      </c>
      <c r="G61" s="49">
        <f>AVERAGE('18.10 KANONI-SSEMBABULE-24h'!G61,'19.10 KANONI-SSEMBABULE-24h'!G61)</f>
        <v>0</v>
      </c>
      <c r="H61" s="49">
        <f>AVERAGE('18.10 KANONI-SSEMBABULE-24h'!H61,'19.10 KANONI-SSEMBABULE-24h'!H61)</f>
        <v>0</v>
      </c>
      <c r="I61" s="49">
        <f>AVERAGE('18.10 KANONI-SSEMBABULE-24h'!I61,'19.10 KANONI-SSEMBABULE-24h'!I61)</f>
        <v>0.5</v>
      </c>
      <c r="J61" s="49">
        <f>AVERAGE('18.10 KANONI-SSEMBABULE-24h'!J61,'19.10 KANONI-SSEMBABULE-24h'!J61)</f>
        <v>1</v>
      </c>
      <c r="K61" s="49">
        <f>AVERAGE('18.10 KANONI-SSEMBABULE-24h'!K61,'19.10 KANONI-SSEMBABULE-24h'!K61)</f>
        <v>0</v>
      </c>
      <c r="L61" s="49">
        <f>AVERAGE('18.10 KANONI-SSEMBABULE-24h'!L61,'19.10 KANONI-SSEMBABULE-24h'!L61)</f>
        <v>0</v>
      </c>
      <c r="M61" s="49">
        <f>AVERAGE('18.10 KANONI-SSEMBABULE-24h'!M61,'19.10 KANONI-SSEMBABULE-24h'!M61)</f>
        <v>7.5</v>
      </c>
      <c r="N61" s="49">
        <f>AVERAGE('18.10 KANONI-SSEMBABULE-24h'!N61,'19.10 KANONI-SSEMBABULE-24h'!N61)</f>
        <v>0</v>
      </c>
      <c r="O61" s="15">
        <f t="shared" si="0"/>
        <v>7</v>
      </c>
      <c r="P61" s="15">
        <f t="shared" si="1"/>
        <v>14.5</v>
      </c>
      <c r="R61" s="8"/>
      <c r="T61"/>
    </row>
    <row r="62" spans="2:20" ht="23.1" customHeight="1" x14ac:dyDescent="0.25">
      <c r="B62" s="23" t="s">
        <v>107</v>
      </c>
      <c r="C62" s="49">
        <f>AVERAGE('18.10 KANONI-SSEMBABULE-24h'!C62,'19.10 KANONI-SSEMBABULE-24h'!C62)</f>
        <v>0.5</v>
      </c>
      <c r="D62" s="49">
        <f>AVERAGE('18.10 KANONI-SSEMBABULE-24h'!D62,'19.10 KANONI-SSEMBABULE-24h'!D62)</f>
        <v>2</v>
      </c>
      <c r="E62" s="49">
        <f>AVERAGE('18.10 KANONI-SSEMBABULE-24h'!E62,'19.10 KANONI-SSEMBABULE-24h'!E62)</f>
        <v>0.5</v>
      </c>
      <c r="F62" s="49">
        <f>AVERAGE('18.10 KANONI-SSEMBABULE-24h'!F62,'19.10 KANONI-SSEMBABULE-24h'!F62)</f>
        <v>1</v>
      </c>
      <c r="G62" s="49">
        <f>AVERAGE('18.10 KANONI-SSEMBABULE-24h'!G62,'19.10 KANONI-SSEMBABULE-24h'!G62)</f>
        <v>0</v>
      </c>
      <c r="H62" s="49">
        <f>AVERAGE('18.10 KANONI-SSEMBABULE-24h'!H62,'19.10 KANONI-SSEMBABULE-24h'!H62)</f>
        <v>0</v>
      </c>
      <c r="I62" s="49">
        <f>AVERAGE('18.10 KANONI-SSEMBABULE-24h'!I62,'19.10 KANONI-SSEMBABULE-24h'!I62)</f>
        <v>0.5</v>
      </c>
      <c r="J62" s="49">
        <f>AVERAGE('18.10 KANONI-SSEMBABULE-24h'!J62,'19.10 KANONI-SSEMBABULE-24h'!J62)</f>
        <v>0.5</v>
      </c>
      <c r="K62" s="49">
        <f>AVERAGE('18.10 KANONI-SSEMBABULE-24h'!K62,'19.10 KANONI-SSEMBABULE-24h'!K62)</f>
        <v>0</v>
      </c>
      <c r="L62" s="49">
        <f>AVERAGE('18.10 KANONI-SSEMBABULE-24h'!L62,'19.10 KANONI-SSEMBABULE-24h'!L62)</f>
        <v>0</v>
      </c>
      <c r="M62" s="49">
        <f>AVERAGE('18.10 KANONI-SSEMBABULE-24h'!M62,'19.10 KANONI-SSEMBABULE-24h'!M62)</f>
        <v>8.5</v>
      </c>
      <c r="N62" s="49">
        <f>AVERAGE('18.10 KANONI-SSEMBABULE-24h'!N62,'19.10 KANONI-SSEMBABULE-24h'!N62)</f>
        <v>0</v>
      </c>
      <c r="O62" s="15">
        <f t="shared" si="0"/>
        <v>5</v>
      </c>
      <c r="P62" s="15">
        <f t="shared" si="1"/>
        <v>13.5</v>
      </c>
      <c r="R62" s="8"/>
      <c r="T62"/>
    </row>
    <row r="63" spans="2:20" ht="23.1" customHeight="1" x14ac:dyDescent="0.25">
      <c r="B63" s="23" t="s">
        <v>108</v>
      </c>
      <c r="C63" s="49">
        <f>AVERAGE('18.10 KANONI-SSEMBABULE-24h'!C63,'19.10 KANONI-SSEMBABULE-24h'!C63)</f>
        <v>2.5</v>
      </c>
      <c r="D63" s="49">
        <f>AVERAGE('18.10 KANONI-SSEMBABULE-24h'!D63,'19.10 KANONI-SSEMBABULE-24h'!D63)</f>
        <v>0.5</v>
      </c>
      <c r="E63" s="49">
        <f>AVERAGE('18.10 KANONI-SSEMBABULE-24h'!E63,'19.10 KANONI-SSEMBABULE-24h'!E63)</f>
        <v>1</v>
      </c>
      <c r="F63" s="49">
        <f>AVERAGE('18.10 KANONI-SSEMBABULE-24h'!F63,'19.10 KANONI-SSEMBABULE-24h'!F63)</f>
        <v>0.5</v>
      </c>
      <c r="G63" s="49">
        <f>AVERAGE('18.10 KANONI-SSEMBABULE-24h'!G63,'19.10 KANONI-SSEMBABULE-24h'!G63)</f>
        <v>0</v>
      </c>
      <c r="H63" s="49">
        <f>AVERAGE('18.10 KANONI-SSEMBABULE-24h'!H63,'19.10 KANONI-SSEMBABULE-24h'!H63)</f>
        <v>0</v>
      </c>
      <c r="I63" s="49">
        <f>AVERAGE('18.10 KANONI-SSEMBABULE-24h'!I63,'19.10 KANONI-SSEMBABULE-24h'!I63)</f>
        <v>1</v>
      </c>
      <c r="J63" s="49">
        <f>AVERAGE('18.10 KANONI-SSEMBABULE-24h'!J63,'19.10 KANONI-SSEMBABULE-24h'!J63)</f>
        <v>1.5</v>
      </c>
      <c r="K63" s="49">
        <f>AVERAGE('18.10 KANONI-SSEMBABULE-24h'!K63,'19.10 KANONI-SSEMBABULE-24h'!K63)</f>
        <v>0</v>
      </c>
      <c r="L63" s="49">
        <f>AVERAGE('18.10 KANONI-SSEMBABULE-24h'!L63,'19.10 KANONI-SSEMBABULE-24h'!L63)</f>
        <v>0</v>
      </c>
      <c r="M63" s="49">
        <f>AVERAGE('18.10 KANONI-SSEMBABULE-24h'!M63,'19.10 KANONI-SSEMBABULE-24h'!M63)</f>
        <v>4</v>
      </c>
      <c r="N63" s="49">
        <f>AVERAGE('18.10 KANONI-SSEMBABULE-24h'!N63,'19.10 KANONI-SSEMBABULE-24h'!N63)</f>
        <v>0</v>
      </c>
      <c r="O63" s="15">
        <f t="shared" si="0"/>
        <v>7</v>
      </c>
      <c r="P63" s="15">
        <f t="shared" si="1"/>
        <v>11</v>
      </c>
      <c r="R63" s="8"/>
      <c r="T63"/>
    </row>
    <row r="64" spans="2:20" ht="23.1" customHeight="1" x14ac:dyDescent="0.25">
      <c r="B64" s="23" t="s">
        <v>109</v>
      </c>
      <c r="C64" s="49">
        <f>AVERAGE('18.10 KANONI-SSEMBABULE-24h'!C64,'19.10 KANONI-SSEMBABULE-24h'!C64)</f>
        <v>1</v>
      </c>
      <c r="D64" s="49">
        <f>AVERAGE('18.10 KANONI-SSEMBABULE-24h'!D64,'19.10 KANONI-SSEMBABULE-24h'!D64)</f>
        <v>0.5</v>
      </c>
      <c r="E64" s="49">
        <f>AVERAGE('18.10 KANONI-SSEMBABULE-24h'!E64,'19.10 KANONI-SSEMBABULE-24h'!E64)</f>
        <v>0</v>
      </c>
      <c r="F64" s="49">
        <f>AVERAGE('18.10 KANONI-SSEMBABULE-24h'!F64,'19.10 KANONI-SSEMBABULE-24h'!F64)</f>
        <v>1.5</v>
      </c>
      <c r="G64" s="49">
        <f>AVERAGE('18.10 KANONI-SSEMBABULE-24h'!G64,'19.10 KANONI-SSEMBABULE-24h'!G64)</f>
        <v>0</v>
      </c>
      <c r="H64" s="49">
        <f>AVERAGE('18.10 KANONI-SSEMBABULE-24h'!H64,'19.10 KANONI-SSEMBABULE-24h'!H64)</f>
        <v>0</v>
      </c>
      <c r="I64" s="49">
        <f>AVERAGE('18.10 KANONI-SSEMBABULE-24h'!I64,'19.10 KANONI-SSEMBABULE-24h'!I64)</f>
        <v>0.5</v>
      </c>
      <c r="J64" s="49">
        <f>AVERAGE('18.10 KANONI-SSEMBABULE-24h'!J64,'19.10 KANONI-SSEMBABULE-24h'!J64)</f>
        <v>0.5</v>
      </c>
      <c r="K64" s="49">
        <f>AVERAGE('18.10 KANONI-SSEMBABULE-24h'!K64,'19.10 KANONI-SSEMBABULE-24h'!K64)</f>
        <v>0.5</v>
      </c>
      <c r="L64" s="49">
        <f>AVERAGE('18.10 KANONI-SSEMBABULE-24h'!L64,'19.10 KANONI-SSEMBABULE-24h'!L64)</f>
        <v>0</v>
      </c>
      <c r="M64" s="49">
        <f>AVERAGE('18.10 KANONI-SSEMBABULE-24h'!M64,'19.10 KANONI-SSEMBABULE-24h'!M64)</f>
        <v>4.5</v>
      </c>
      <c r="N64" s="49">
        <f>AVERAGE('18.10 KANONI-SSEMBABULE-24h'!N64,'19.10 KANONI-SSEMBABULE-24h'!N64)</f>
        <v>0</v>
      </c>
      <c r="O64" s="15">
        <f t="shared" si="0"/>
        <v>4.5</v>
      </c>
      <c r="P64" s="15">
        <f t="shared" si="1"/>
        <v>9</v>
      </c>
      <c r="R64" s="8"/>
      <c r="T64"/>
    </row>
    <row r="65" spans="2:20" ht="23.1" customHeight="1" x14ac:dyDescent="0.25">
      <c r="B65" s="23" t="s">
        <v>158</v>
      </c>
      <c r="C65" s="49">
        <f>AVERAGE('18.10 KANONI-SSEMBABULE-24h'!C65,'19.10 KANONI-SSEMBABULE-24h'!C65)</f>
        <v>0.5</v>
      </c>
      <c r="D65" s="49">
        <f>AVERAGE('18.10 KANONI-SSEMBABULE-24h'!D65,'19.10 KANONI-SSEMBABULE-24h'!D65)</f>
        <v>0.5</v>
      </c>
      <c r="E65" s="49">
        <f>AVERAGE('18.10 KANONI-SSEMBABULE-24h'!E65,'19.10 KANONI-SSEMBABULE-24h'!E65)</f>
        <v>0</v>
      </c>
      <c r="F65" s="49">
        <f>AVERAGE('18.10 KANONI-SSEMBABULE-24h'!F65,'19.10 KANONI-SSEMBABULE-24h'!F65)</f>
        <v>0</v>
      </c>
      <c r="G65" s="49">
        <f>AVERAGE('18.10 KANONI-SSEMBABULE-24h'!G65,'19.10 KANONI-SSEMBABULE-24h'!G65)</f>
        <v>0</v>
      </c>
      <c r="H65" s="49">
        <f>AVERAGE('18.10 KANONI-SSEMBABULE-24h'!H65,'19.10 KANONI-SSEMBABULE-24h'!H65)</f>
        <v>0</v>
      </c>
      <c r="I65" s="49">
        <f>AVERAGE('18.10 KANONI-SSEMBABULE-24h'!I65,'19.10 KANONI-SSEMBABULE-24h'!I65)</f>
        <v>1</v>
      </c>
      <c r="J65" s="49">
        <f>AVERAGE('18.10 KANONI-SSEMBABULE-24h'!J65,'19.10 KANONI-SSEMBABULE-24h'!J65)</f>
        <v>0</v>
      </c>
      <c r="K65" s="49">
        <f>AVERAGE('18.10 KANONI-SSEMBABULE-24h'!K65,'19.10 KANONI-SSEMBABULE-24h'!K65)</f>
        <v>0</v>
      </c>
      <c r="L65" s="49">
        <f>AVERAGE('18.10 KANONI-SSEMBABULE-24h'!L65,'19.10 KANONI-SSEMBABULE-24h'!L65)</f>
        <v>0</v>
      </c>
      <c r="M65" s="49">
        <f>AVERAGE('18.10 KANONI-SSEMBABULE-24h'!M65,'19.10 KANONI-SSEMBABULE-24h'!M65)</f>
        <v>4</v>
      </c>
      <c r="N65" s="49">
        <f>AVERAGE('18.10 KANONI-SSEMBABULE-24h'!N65,'19.10 KANONI-SSEMBABULE-24h'!N65)</f>
        <v>0</v>
      </c>
      <c r="O65" s="15">
        <f t="shared" si="0"/>
        <v>2</v>
      </c>
      <c r="P65" s="15">
        <f t="shared" si="1"/>
        <v>6</v>
      </c>
      <c r="R65" s="8"/>
      <c r="T65"/>
    </row>
    <row r="66" spans="2:20" ht="23.1" customHeight="1" x14ac:dyDescent="0.25">
      <c r="B66" s="23" t="s">
        <v>103</v>
      </c>
      <c r="C66" s="49">
        <f>AVERAGE('18.10 KANONI-SSEMBABULE-24h'!C66,'19.10 KANONI-SSEMBABULE-24h'!C66)</f>
        <v>0.5</v>
      </c>
      <c r="D66" s="49">
        <f>AVERAGE('18.10 KANONI-SSEMBABULE-24h'!D66,'19.10 KANONI-SSEMBABULE-24h'!D66)</f>
        <v>3</v>
      </c>
      <c r="E66" s="49">
        <f>AVERAGE('18.10 KANONI-SSEMBABULE-24h'!E66,'19.10 KANONI-SSEMBABULE-24h'!E66)</f>
        <v>0</v>
      </c>
      <c r="F66" s="49">
        <f>AVERAGE('18.10 KANONI-SSEMBABULE-24h'!F66,'19.10 KANONI-SSEMBABULE-24h'!F66)</f>
        <v>0.5</v>
      </c>
      <c r="G66" s="49">
        <f>AVERAGE('18.10 KANONI-SSEMBABULE-24h'!G66,'19.10 KANONI-SSEMBABULE-24h'!G66)</f>
        <v>0</v>
      </c>
      <c r="H66" s="49">
        <f>AVERAGE('18.10 KANONI-SSEMBABULE-24h'!H66,'19.10 KANONI-SSEMBABULE-24h'!H66)</f>
        <v>0</v>
      </c>
      <c r="I66" s="49">
        <f>AVERAGE('18.10 KANONI-SSEMBABULE-24h'!I66,'19.10 KANONI-SSEMBABULE-24h'!I66)</f>
        <v>0</v>
      </c>
      <c r="J66" s="49">
        <f>AVERAGE('18.10 KANONI-SSEMBABULE-24h'!J66,'19.10 KANONI-SSEMBABULE-24h'!J66)</f>
        <v>0</v>
      </c>
      <c r="K66" s="49">
        <f>AVERAGE('18.10 KANONI-SSEMBABULE-24h'!K66,'19.10 KANONI-SSEMBABULE-24h'!K66)</f>
        <v>0.5</v>
      </c>
      <c r="L66" s="49">
        <f>AVERAGE('18.10 KANONI-SSEMBABULE-24h'!L66,'19.10 KANONI-SSEMBABULE-24h'!L66)</f>
        <v>0</v>
      </c>
      <c r="M66" s="49">
        <f>AVERAGE('18.10 KANONI-SSEMBABULE-24h'!M66,'19.10 KANONI-SSEMBABULE-24h'!M66)</f>
        <v>4.5</v>
      </c>
      <c r="N66" s="49">
        <f>AVERAGE('18.10 KANONI-SSEMBABULE-24h'!N66,'19.10 KANONI-SSEMBABULE-24h'!N66)</f>
        <v>0</v>
      </c>
      <c r="O66" s="15">
        <f t="shared" si="0"/>
        <v>4.5</v>
      </c>
      <c r="P66" s="15">
        <f t="shared" si="1"/>
        <v>9</v>
      </c>
      <c r="R66" s="8"/>
      <c r="T66"/>
    </row>
    <row r="67" spans="2:20" ht="23.1" customHeight="1" x14ac:dyDescent="0.25">
      <c r="B67" s="23" t="s">
        <v>104</v>
      </c>
      <c r="C67" s="49">
        <f>AVERAGE('18.10 KANONI-SSEMBABULE-24h'!C67,'19.10 KANONI-SSEMBABULE-24h'!C67)</f>
        <v>1</v>
      </c>
      <c r="D67" s="49">
        <f>AVERAGE('18.10 KANONI-SSEMBABULE-24h'!D67,'19.10 KANONI-SSEMBABULE-24h'!D67)</f>
        <v>0</v>
      </c>
      <c r="E67" s="49">
        <f>AVERAGE('18.10 KANONI-SSEMBABULE-24h'!E67,'19.10 KANONI-SSEMBABULE-24h'!E67)</f>
        <v>0</v>
      </c>
      <c r="F67" s="49">
        <f>AVERAGE('18.10 KANONI-SSEMBABULE-24h'!F67,'19.10 KANONI-SSEMBABULE-24h'!F67)</f>
        <v>0</v>
      </c>
      <c r="G67" s="49">
        <f>AVERAGE('18.10 KANONI-SSEMBABULE-24h'!G67,'19.10 KANONI-SSEMBABULE-24h'!G67)</f>
        <v>0</v>
      </c>
      <c r="H67" s="49">
        <f>AVERAGE('18.10 KANONI-SSEMBABULE-24h'!H67,'19.10 KANONI-SSEMBABULE-24h'!H67)</f>
        <v>0</v>
      </c>
      <c r="I67" s="49">
        <f>AVERAGE('18.10 KANONI-SSEMBABULE-24h'!I67,'19.10 KANONI-SSEMBABULE-24h'!I67)</f>
        <v>0</v>
      </c>
      <c r="J67" s="49">
        <f>AVERAGE('18.10 KANONI-SSEMBABULE-24h'!J67,'19.10 KANONI-SSEMBABULE-24h'!J67)</f>
        <v>0</v>
      </c>
      <c r="K67" s="49">
        <f>AVERAGE('18.10 KANONI-SSEMBABULE-24h'!K67,'19.10 KANONI-SSEMBABULE-24h'!K67)</f>
        <v>1</v>
      </c>
      <c r="L67" s="49">
        <f>AVERAGE('18.10 KANONI-SSEMBABULE-24h'!L67,'19.10 KANONI-SSEMBABULE-24h'!L67)</f>
        <v>0.5</v>
      </c>
      <c r="M67" s="49">
        <f>AVERAGE('18.10 KANONI-SSEMBABULE-24h'!M67,'19.10 KANONI-SSEMBABULE-24h'!M67)</f>
        <v>0.5</v>
      </c>
      <c r="N67" s="49">
        <f>AVERAGE('18.10 KANONI-SSEMBABULE-24h'!N67,'19.10 KANONI-SSEMBABULE-24h'!N67)</f>
        <v>0</v>
      </c>
      <c r="O67" s="15">
        <f t="shared" si="0"/>
        <v>2.5</v>
      </c>
      <c r="P67" s="15">
        <f t="shared" si="1"/>
        <v>3</v>
      </c>
      <c r="R67" s="8"/>
      <c r="T67"/>
    </row>
    <row r="68" spans="2:20" ht="23.1" customHeight="1" x14ac:dyDescent="0.25">
      <c r="B68" s="23" t="s">
        <v>105</v>
      </c>
      <c r="C68" s="49">
        <f>AVERAGE('18.10 KANONI-SSEMBABULE-24h'!C68,'19.10 KANONI-SSEMBABULE-24h'!C68)</f>
        <v>1</v>
      </c>
      <c r="D68" s="49">
        <f>AVERAGE('18.10 KANONI-SSEMBABULE-24h'!D68,'19.10 KANONI-SSEMBABULE-24h'!D68)</f>
        <v>0.5</v>
      </c>
      <c r="E68" s="49">
        <f>AVERAGE('18.10 KANONI-SSEMBABULE-24h'!E68,'19.10 KANONI-SSEMBABULE-24h'!E68)</f>
        <v>0</v>
      </c>
      <c r="F68" s="49">
        <f>AVERAGE('18.10 KANONI-SSEMBABULE-24h'!F68,'19.10 KANONI-SSEMBABULE-24h'!F68)</f>
        <v>0</v>
      </c>
      <c r="G68" s="49">
        <f>AVERAGE('18.10 KANONI-SSEMBABULE-24h'!G68,'19.10 KANONI-SSEMBABULE-24h'!G68)</f>
        <v>0</v>
      </c>
      <c r="H68" s="49">
        <f>AVERAGE('18.10 KANONI-SSEMBABULE-24h'!H68,'19.10 KANONI-SSEMBABULE-24h'!H68)</f>
        <v>0</v>
      </c>
      <c r="I68" s="49">
        <f>AVERAGE('18.10 KANONI-SSEMBABULE-24h'!I68,'19.10 KANONI-SSEMBABULE-24h'!I68)</f>
        <v>0</v>
      </c>
      <c r="J68" s="49">
        <f>AVERAGE('18.10 KANONI-SSEMBABULE-24h'!J68,'19.10 KANONI-SSEMBABULE-24h'!J68)</f>
        <v>1.5</v>
      </c>
      <c r="K68" s="49">
        <f>AVERAGE('18.10 KANONI-SSEMBABULE-24h'!K68,'19.10 KANONI-SSEMBABULE-24h'!K68)</f>
        <v>0</v>
      </c>
      <c r="L68" s="49">
        <f>AVERAGE('18.10 KANONI-SSEMBABULE-24h'!L68,'19.10 KANONI-SSEMBABULE-24h'!L68)</f>
        <v>0</v>
      </c>
      <c r="M68" s="49">
        <f>AVERAGE('18.10 KANONI-SSEMBABULE-24h'!M68,'19.10 KANONI-SSEMBABULE-24h'!M68)</f>
        <v>2.5</v>
      </c>
      <c r="N68" s="49">
        <f>AVERAGE('18.10 KANONI-SSEMBABULE-24h'!N68,'19.10 KANONI-SSEMBABULE-24h'!N68)</f>
        <v>0</v>
      </c>
      <c r="O68" s="15">
        <f t="shared" si="0"/>
        <v>3</v>
      </c>
      <c r="P68" s="15">
        <f t="shared" si="1"/>
        <v>5.5</v>
      </c>
      <c r="R68" s="8"/>
      <c r="T68"/>
    </row>
    <row r="69" spans="2:20" ht="23.1" customHeight="1" x14ac:dyDescent="0.25">
      <c r="B69" s="23" t="s">
        <v>106</v>
      </c>
      <c r="C69" s="49">
        <f>AVERAGE('18.10 KANONI-SSEMBABULE-24h'!C69,'19.10 KANONI-SSEMBABULE-24h'!C69)</f>
        <v>0.5</v>
      </c>
      <c r="D69" s="49">
        <f>AVERAGE('18.10 KANONI-SSEMBABULE-24h'!D69,'19.10 KANONI-SSEMBABULE-24h'!D69)</f>
        <v>0.5</v>
      </c>
      <c r="E69" s="49">
        <f>AVERAGE('18.10 KANONI-SSEMBABULE-24h'!E69,'19.10 KANONI-SSEMBABULE-24h'!E69)</f>
        <v>0</v>
      </c>
      <c r="F69" s="49">
        <f>AVERAGE('18.10 KANONI-SSEMBABULE-24h'!F69,'19.10 KANONI-SSEMBABULE-24h'!F69)</f>
        <v>0</v>
      </c>
      <c r="G69" s="49">
        <f>AVERAGE('18.10 KANONI-SSEMBABULE-24h'!G69,'19.10 KANONI-SSEMBABULE-24h'!G69)</f>
        <v>0</v>
      </c>
      <c r="H69" s="49">
        <f>AVERAGE('18.10 KANONI-SSEMBABULE-24h'!H69,'19.10 KANONI-SSEMBABULE-24h'!H69)</f>
        <v>0</v>
      </c>
      <c r="I69" s="49">
        <f>AVERAGE('18.10 KANONI-SSEMBABULE-24h'!I69,'19.10 KANONI-SSEMBABULE-24h'!I69)</f>
        <v>0</v>
      </c>
      <c r="J69" s="49">
        <f>AVERAGE('18.10 KANONI-SSEMBABULE-24h'!J69,'19.10 KANONI-SSEMBABULE-24h'!J69)</f>
        <v>0.5</v>
      </c>
      <c r="K69" s="49">
        <f>AVERAGE('18.10 KANONI-SSEMBABULE-24h'!K69,'19.10 KANONI-SSEMBABULE-24h'!K69)</f>
        <v>0</v>
      </c>
      <c r="L69" s="49">
        <f>AVERAGE('18.10 KANONI-SSEMBABULE-24h'!L69,'19.10 KANONI-SSEMBABULE-24h'!L69)</f>
        <v>0</v>
      </c>
      <c r="M69" s="49">
        <f>AVERAGE('18.10 KANONI-SSEMBABULE-24h'!M69,'19.10 KANONI-SSEMBABULE-24h'!M69)</f>
        <v>1.5</v>
      </c>
      <c r="N69" s="49">
        <f>AVERAGE('18.10 KANONI-SSEMBABULE-24h'!N69,'19.10 KANONI-SSEMBABULE-24h'!N69)</f>
        <v>0</v>
      </c>
      <c r="O69" s="15">
        <f t="shared" si="0"/>
        <v>1.5</v>
      </c>
      <c r="P69" s="15">
        <f t="shared" si="1"/>
        <v>3</v>
      </c>
      <c r="R69" s="8"/>
      <c r="T69"/>
    </row>
    <row r="70" spans="2:20" ht="23.1" customHeight="1" x14ac:dyDescent="0.25">
      <c r="B70" s="23" t="s">
        <v>110</v>
      </c>
      <c r="C70" s="49">
        <f>AVERAGE('18.10 KANONI-SSEMBABULE-24h'!C70,'19.10 KANONI-SSEMBABULE-24h'!C70)</f>
        <v>0.5</v>
      </c>
      <c r="D70" s="49">
        <f>AVERAGE('18.10 KANONI-SSEMBABULE-24h'!D70,'19.10 KANONI-SSEMBABULE-24h'!D70)</f>
        <v>0.5</v>
      </c>
      <c r="E70" s="49">
        <f>AVERAGE('18.10 KANONI-SSEMBABULE-24h'!E70,'19.10 KANONI-SSEMBABULE-24h'!E70)</f>
        <v>0</v>
      </c>
      <c r="F70" s="49">
        <f>AVERAGE('18.10 KANONI-SSEMBABULE-24h'!F70,'19.10 KANONI-SSEMBABULE-24h'!F70)</f>
        <v>0</v>
      </c>
      <c r="G70" s="49">
        <f>AVERAGE('18.10 KANONI-SSEMBABULE-24h'!G70,'19.10 KANONI-SSEMBABULE-24h'!G70)</f>
        <v>0</v>
      </c>
      <c r="H70" s="49">
        <f>AVERAGE('18.10 KANONI-SSEMBABULE-24h'!H70,'19.10 KANONI-SSEMBABULE-24h'!H70)</f>
        <v>0</v>
      </c>
      <c r="I70" s="49">
        <f>AVERAGE('18.10 KANONI-SSEMBABULE-24h'!I70,'19.10 KANONI-SSEMBABULE-24h'!I70)</f>
        <v>0.5</v>
      </c>
      <c r="J70" s="49">
        <f>AVERAGE('18.10 KANONI-SSEMBABULE-24h'!J70,'19.10 KANONI-SSEMBABULE-24h'!J70)</f>
        <v>0</v>
      </c>
      <c r="K70" s="49">
        <f>AVERAGE('18.10 KANONI-SSEMBABULE-24h'!K70,'19.10 KANONI-SSEMBABULE-24h'!K70)</f>
        <v>0</v>
      </c>
      <c r="L70" s="49">
        <f>AVERAGE('18.10 KANONI-SSEMBABULE-24h'!L70,'19.10 KANONI-SSEMBABULE-24h'!L70)</f>
        <v>0.5</v>
      </c>
      <c r="M70" s="49">
        <f>AVERAGE('18.10 KANONI-SSEMBABULE-24h'!M70,'19.10 KANONI-SSEMBABULE-24h'!M70)</f>
        <v>1.5</v>
      </c>
      <c r="N70" s="49">
        <f>AVERAGE('18.10 KANONI-SSEMBABULE-24h'!N70,'19.10 KANONI-SSEMBABULE-24h'!N70)</f>
        <v>0</v>
      </c>
      <c r="O70" s="15">
        <f t="shared" si="0"/>
        <v>2</v>
      </c>
      <c r="P70" s="15">
        <f t="shared" si="1"/>
        <v>3.5</v>
      </c>
      <c r="R70" s="8"/>
      <c r="T70"/>
    </row>
    <row r="71" spans="2:20" ht="23.1" customHeight="1" x14ac:dyDescent="0.25">
      <c r="B71" s="23" t="s">
        <v>111</v>
      </c>
      <c r="C71" s="49">
        <f>AVERAGE('18.10 KANONI-SSEMBABULE-24h'!C71,'19.10 KANONI-SSEMBABULE-24h'!C71)</f>
        <v>0</v>
      </c>
      <c r="D71" s="49">
        <f>AVERAGE('18.10 KANONI-SSEMBABULE-24h'!D71,'19.10 KANONI-SSEMBABULE-24h'!D71)</f>
        <v>0</v>
      </c>
      <c r="E71" s="49">
        <f>AVERAGE('18.10 KANONI-SSEMBABULE-24h'!E71,'19.10 KANONI-SSEMBABULE-24h'!E71)</f>
        <v>0</v>
      </c>
      <c r="F71" s="49">
        <f>AVERAGE('18.10 KANONI-SSEMBABULE-24h'!F71,'19.10 KANONI-SSEMBABULE-24h'!F71)</f>
        <v>0</v>
      </c>
      <c r="G71" s="49">
        <f>AVERAGE('18.10 KANONI-SSEMBABULE-24h'!G71,'19.10 KANONI-SSEMBABULE-24h'!G71)</f>
        <v>0</v>
      </c>
      <c r="H71" s="49">
        <f>AVERAGE('18.10 KANONI-SSEMBABULE-24h'!H71,'19.10 KANONI-SSEMBABULE-24h'!H71)</f>
        <v>0</v>
      </c>
      <c r="I71" s="49">
        <f>AVERAGE('18.10 KANONI-SSEMBABULE-24h'!I71,'19.10 KANONI-SSEMBABULE-24h'!I71)</f>
        <v>0</v>
      </c>
      <c r="J71" s="49">
        <f>AVERAGE('18.10 KANONI-SSEMBABULE-24h'!J71,'19.10 KANONI-SSEMBABULE-24h'!J71)</f>
        <v>0</v>
      </c>
      <c r="K71" s="49">
        <f>AVERAGE('18.10 KANONI-SSEMBABULE-24h'!K71,'19.10 KANONI-SSEMBABULE-24h'!K71)</f>
        <v>0</v>
      </c>
      <c r="L71" s="49">
        <f>AVERAGE('18.10 KANONI-SSEMBABULE-24h'!L71,'19.10 KANONI-SSEMBABULE-24h'!L71)</f>
        <v>0</v>
      </c>
      <c r="M71" s="49">
        <f>AVERAGE('18.10 KANONI-SSEMBABULE-24h'!M71,'19.10 KANONI-SSEMBABULE-24h'!M71)</f>
        <v>1</v>
      </c>
      <c r="N71" s="49">
        <f>AVERAGE('18.10 KANONI-SSEMBABULE-24h'!N71,'19.10 KANONI-SSEMBABULE-24h'!N71)</f>
        <v>0</v>
      </c>
      <c r="O71" s="15">
        <f t="shared" si="0"/>
        <v>0</v>
      </c>
      <c r="P71" s="15">
        <f t="shared" si="1"/>
        <v>1</v>
      </c>
      <c r="R71" s="8"/>
      <c r="T71"/>
    </row>
    <row r="72" spans="2:20" ht="23.1" customHeight="1" x14ac:dyDescent="0.25">
      <c r="B72" s="23" t="s">
        <v>112</v>
      </c>
      <c r="C72" s="49">
        <f>AVERAGE('18.10 KANONI-SSEMBABULE-24h'!C72,'19.10 KANONI-SSEMBABULE-24h'!C72)</f>
        <v>0</v>
      </c>
      <c r="D72" s="49">
        <f>AVERAGE('18.10 KANONI-SSEMBABULE-24h'!D72,'19.10 KANONI-SSEMBABULE-24h'!D72)</f>
        <v>0</v>
      </c>
      <c r="E72" s="49">
        <f>AVERAGE('18.10 KANONI-SSEMBABULE-24h'!E72,'19.10 KANONI-SSEMBABULE-24h'!E72)</f>
        <v>0</v>
      </c>
      <c r="F72" s="49">
        <f>AVERAGE('18.10 KANONI-SSEMBABULE-24h'!F72,'19.10 KANONI-SSEMBABULE-24h'!F72)</f>
        <v>0.5</v>
      </c>
      <c r="G72" s="49">
        <f>AVERAGE('18.10 KANONI-SSEMBABULE-24h'!G72,'19.10 KANONI-SSEMBABULE-24h'!G72)</f>
        <v>0</v>
      </c>
      <c r="H72" s="49">
        <f>AVERAGE('18.10 KANONI-SSEMBABULE-24h'!H72,'19.10 KANONI-SSEMBABULE-24h'!H72)</f>
        <v>0</v>
      </c>
      <c r="I72" s="49">
        <f>AVERAGE('18.10 KANONI-SSEMBABULE-24h'!I72,'19.10 KANONI-SSEMBABULE-24h'!I72)</f>
        <v>0</v>
      </c>
      <c r="J72" s="49">
        <f>AVERAGE('18.10 KANONI-SSEMBABULE-24h'!J72,'19.10 KANONI-SSEMBABULE-24h'!J72)</f>
        <v>0</v>
      </c>
      <c r="K72" s="49">
        <f>AVERAGE('18.10 KANONI-SSEMBABULE-24h'!K72,'19.10 KANONI-SSEMBABULE-24h'!K72)</f>
        <v>0</v>
      </c>
      <c r="L72" s="49">
        <f>AVERAGE('18.10 KANONI-SSEMBABULE-24h'!L72,'19.10 KANONI-SSEMBABULE-24h'!L72)</f>
        <v>0</v>
      </c>
      <c r="M72" s="49">
        <f>AVERAGE('18.10 KANONI-SSEMBABULE-24h'!M72,'19.10 KANONI-SSEMBABULE-24h'!M72)</f>
        <v>1.5</v>
      </c>
      <c r="N72" s="49">
        <f>AVERAGE('18.10 KANONI-SSEMBABULE-24h'!N72,'19.10 KANONI-SSEMBABULE-24h'!N72)</f>
        <v>0</v>
      </c>
      <c r="O72" s="15">
        <f t="shared" si="0"/>
        <v>0.5</v>
      </c>
      <c r="P72" s="15">
        <f t="shared" si="1"/>
        <v>2</v>
      </c>
      <c r="R72" s="8"/>
      <c r="T72"/>
    </row>
    <row r="73" spans="2:20" ht="23.1" customHeight="1" x14ac:dyDescent="0.25">
      <c r="B73" s="23" t="s">
        <v>113</v>
      </c>
      <c r="C73" s="49">
        <f>AVERAGE('18.10 KANONI-SSEMBABULE-24h'!C73,'19.10 KANONI-SSEMBABULE-24h'!C73)</f>
        <v>0</v>
      </c>
      <c r="D73" s="49">
        <f>AVERAGE('18.10 KANONI-SSEMBABULE-24h'!D73,'19.10 KANONI-SSEMBABULE-24h'!D73)</f>
        <v>0.5</v>
      </c>
      <c r="E73" s="49">
        <f>AVERAGE('18.10 KANONI-SSEMBABULE-24h'!E73,'19.10 KANONI-SSEMBABULE-24h'!E73)</f>
        <v>0</v>
      </c>
      <c r="F73" s="49">
        <f>AVERAGE('18.10 KANONI-SSEMBABULE-24h'!F73,'19.10 KANONI-SSEMBABULE-24h'!F73)</f>
        <v>0</v>
      </c>
      <c r="G73" s="49">
        <f>AVERAGE('18.10 KANONI-SSEMBABULE-24h'!G73,'19.10 KANONI-SSEMBABULE-24h'!G73)</f>
        <v>0</v>
      </c>
      <c r="H73" s="49">
        <f>AVERAGE('18.10 KANONI-SSEMBABULE-24h'!H73,'19.10 KANONI-SSEMBABULE-24h'!H73)</f>
        <v>0</v>
      </c>
      <c r="I73" s="49">
        <f>AVERAGE('18.10 KANONI-SSEMBABULE-24h'!I73,'19.10 KANONI-SSEMBABULE-24h'!I73)</f>
        <v>1</v>
      </c>
      <c r="J73" s="49">
        <f>AVERAGE('18.10 KANONI-SSEMBABULE-24h'!J73,'19.10 KANONI-SSEMBABULE-24h'!J73)</f>
        <v>0</v>
      </c>
      <c r="K73" s="49">
        <f>AVERAGE('18.10 KANONI-SSEMBABULE-24h'!K73,'19.10 KANONI-SSEMBABULE-24h'!K73)</f>
        <v>1</v>
      </c>
      <c r="L73" s="49">
        <f>AVERAGE('18.10 KANONI-SSEMBABULE-24h'!L73,'19.10 KANONI-SSEMBABULE-24h'!L73)</f>
        <v>0</v>
      </c>
      <c r="M73" s="49">
        <f>AVERAGE('18.10 KANONI-SSEMBABULE-24h'!M73,'19.10 KANONI-SSEMBABULE-24h'!M73)</f>
        <v>2.5</v>
      </c>
      <c r="N73" s="49">
        <f>AVERAGE('18.10 KANONI-SSEMBABULE-24h'!N73,'19.10 KANONI-SSEMBABULE-24h'!N73)</f>
        <v>0</v>
      </c>
      <c r="O73" s="15">
        <f t="shared" si="0"/>
        <v>2.5</v>
      </c>
      <c r="P73" s="15">
        <f t="shared" si="1"/>
        <v>5</v>
      </c>
      <c r="R73" s="8"/>
      <c r="T73"/>
    </row>
    <row r="74" spans="2:20" ht="23.1" customHeight="1" x14ac:dyDescent="0.25">
      <c r="B74" s="23" t="s">
        <v>114</v>
      </c>
      <c r="C74" s="49">
        <f>AVERAGE('18.10 KANONI-SSEMBABULE-24h'!C74,'19.10 KANONI-SSEMBABULE-24h'!C74)</f>
        <v>0</v>
      </c>
      <c r="D74" s="49">
        <f>AVERAGE('18.10 KANONI-SSEMBABULE-24h'!D74,'19.10 KANONI-SSEMBABULE-24h'!D74)</f>
        <v>0</v>
      </c>
      <c r="E74" s="49">
        <f>AVERAGE('18.10 KANONI-SSEMBABULE-24h'!E74,'19.10 KANONI-SSEMBABULE-24h'!E74)</f>
        <v>0</v>
      </c>
      <c r="F74" s="49">
        <f>AVERAGE('18.10 KANONI-SSEMBABULE-24h'!F74,'19.10 KANONI-SSEMBABULE-24h'!F74)</f>
        <v>0</v>
      </c>
      <c r="G74" s="49">
        <f>AVERAGE('18.10 KANONI-SSEMBABULE-24h'!G74,'19.10 KANONI-SSEMBABULE-24h'!G74)</f>
        <v>0</v>
      </c>
      <c r="H74" s="49">
        <f>AVERAGE('18.10 KANONI-SSEMBABULE-24h'!H74,'19.10 KANONI-SSEMBABULE-24h'!H74)</f>
        <v>0</v>
      </c>
      <c r="I74" s="49">
        <f>AVERAGE('18.10 KANONI-SSEMBABULE-24h'!I74,'19.10 KANONI-SSEMBABULE-24h'!I74)</f>
        <v>0</v>
      </c>
      <c r="J74" s="49">
        <f>AVERAGE('18.10 KANONI-SSEMBABULE-24h'!J74,'19.10 KANONI-SSEMBABULE-24h'!J74)</f>
        <v>0</v>
      </c>
      <c r="K74" s="49">
        <f>AVERAGE('18.10 KANONI-SSEMBABULE-24h'!K74,'19.10 KANONI-SSEMBABULE-24h'!K74)</f>
        <v>1</v>
      </c>
      <c r="L74" s="49">
        <f>AVERAGE('18.10 KANONI-SSEMBABULE-24h'!L74,'19.10 KANONI-SSEMBABULE-24h'!L74)</f>
        <v>0</v>
      </c>
      <c r="M74" s="49">
        <f>AVERAGE('18.10 KANONI-SSEMBABULE-24h'!M74,'19.10 KANONI-SSEMBABULE-24h'!M74)</f>
        <v>0.5</v>
      </c>
      <c r="N74" s="49">
        <f>AVERAGE('18.10 KANONI-SSEMBABULE-24h'!N74,'19.10 KANONI-SSEMBABULE-24h'!N74)</f>
        <v>0</v>
      </c>
      <c r="O74" s="15">
        <f t="shared" ref="O74:O105" si="35">SUM(C74:L74,N74)</f>
        <v>1</v>
      </c>
      <c r="P74" s="15">
        <f t="shared" ref="P74:P105" si="36">SUM(C74:N74)</f>
        <v>1.5</v>
      </c>
      <c r="R74" s="8"/>
      <c r="T74"/>
    </row>
    <row r="75" spans="2:20" ht="23.1" customHeight="1" x14ac:dyDescent="0.25">
      <c r="B75" s="23" t="s">
        <v>115</v>
      </c>
      <c r="C75" s="49">
        <f>AVERAGE('18.10 KANONI-SSEMBABULE-24h'!C75,'19.10 KANONI-SSEMBABULE-24h'!C75)</f>
        <v>0.5</v>
      </c>
      <c r="D75" s="49">
        <f>AVERAGE('18.10 KANONI-SSEMBABULE-24h'!D75,'19.10 KANONI-SSEMBABULE-24h'!D75)</f>
        <v>0</v>
      </c>
      <c r="E75" s="49">
        <f>AVERAGE('18.10 KANONI-SSEMBABULE-24h'!E75,'19.10 KANONI-SSEMBABULE-24h'!E75)</f>
        <v>0</v>
      </c>
      <c r="F75" s="49">
        <f>AVERAGE('18.10 KANONI-SSEMBABULE-24h'!F75,'19.10 KANONI-SSEMBABULE-24h'!F75)</f>
        <v>0.5</v>
      </c>
      <c r="G75" s="49">
        <f>AVERAGE('18.10 KANONI-SSEMBABULE-24h'!G75,'19.10 KANONI-SSEMBABULE-24h'!G75)</f>
        <v>0</v>
      </c>
      <c r="H75" s="49">
        <f>AVERAGE('18.10 KANONI-SSEMBABULE-24h'!H75,'19.10 KANONI-SSEMBABULE-24h'!H75)</f>
        <v>0</v>
      </c>
      <c r="I75" s="49">
        <f>AVERAGE('18.10 KANONI-SSEMBABULE-24h'!I75,'19.10 KANONI-SSEMBABULE-24h'!I75)</f>
        <v>1</v>
      </c>
      <c r="J75" s="49">
        <f>AVERAGE('18.10 KANONI-SSEMBABULE-24h'!J75,'19.10 KANONI-SSEMBABULE-24h'!J75)</f>
        <v>0</v>
      </c>
      <c r="K75" s="49">
        <f>AVERAGE('18.10 KANONI-SSEMBABULE-24h'!K75,'19.10 KANONI-SSEMBABULE-24h'!K75)</f>
        <v>0</v>
      </c>
      <c r="L75" s="49">
        <f>AVERAGE('18.10 KANONI-SSEMBABULE-24h'!L75,'19.10 KANONI-SSEMBABULE-24h'!L75)</f>
        <v>0.5</v>
      </c>
      <c r="M75" s="49">
        <f>AVERAGE('18.10 KANONI-SSEMBABULE-24h'!M75,'19.10 KANONI-SSEMBABULE-24h'!M75)</f>
        <v>1</v>
      </c>
      <c r="N75" s="49">
        <f>AVERAGE('18.10 KANONI-SSEMBABULE-24h'!N75,'19.10 KANONI-SSEMBABULE-24h'!N75)</f>
        <v>0</v>
      </c>
      <c r="O75" s="15">
        <f t="shared" si="35"/>
        <v>2.5</v>
      </c>
      <c r="P75" s="15">
        <f t="shared" si="36"/>
        <v>3.5</v>
      </c>
      <c r="R75" s="8"/>
      <c r="T75"/>
    </row>
    <row r="76" spans="2:20" ht="23.1" customHeight="1" x14ac:dyDescent="0.25">
      <c r="B76" s="23" t="s">
        <v>116</v>
      </c>
      <c r="C76" s="49">
        <f>AVERAGE('18.10 KANONI-SSEMBABULE-24h'!C76,'19.10 KANONI-SSEMBABULE-24h'!C76)</f>
        <v>1</v>
      </c>
      <c r="D76" s="49">
        <f>AVERAGE('18.10 KANONI-SSEMBABULE-24h'!D76,'19.10 KANONI-SSEMBABULE-24h'!D76)</f>
        <v>0</v>
      </c>
      <c r="E76" s="49">
        <f>AVERAGE('18.10 KANONI-SSEMBABULE-24h'!E76,'19.10 KANONI-SSEMBABULE-24h'!E76)</f>
        <v>0</v>
      </c>
      <c r="F76" s="49">
        <f>AVERAGE('18.10 KANONI-SSEMBABULE-24h'!F76,'19.10 KANONI-SSEMBABULE-24h'!F76)</f>
        <v>1</v>
      </c>
      <c r="G76" s="49">
        <f>AVERAGE('18.10 KANONI-SSEMBABULE-24h'!G76,'19.10 KANONI-SSEMBABULE-24h'!G76)</f>
        <v>0</v>
      </c>
      <c r="H76" s="49">
        <f>AVERAGE('18.10 KANONI-SSEMBABULE-24h'!H76,'19.10 KANONI-SSEMBABULE-24h'!H76)</f>
        <v>0</v>
      </c>
      <c r="I76" s="49">
        <f>AVERAGE('18.10 KANONI-SSEMBABULE-24h'!I76,'19.10 KANONI-SSEMBABULE-24h'!I76)</f>
        <v>0</v>
      </c>
      <c r="J76" s="49">
        <f>AVERAGE('18.10 KANONI-SSEMBABULE-24h'!J76,'19.10 KANONI-SSEMBABULE-24h'!J76)</f>
        <v>0</v>
      </c>
      <c r="K76" s="49">
        <f>AVERAGE('18.10 KANONI-SSEMBABULE-24h'!K76,'19.10 KANONI-SSEMBABULE-24h'!K76)</f>
        <v>1</v>
      </c>
      <c r="L76" s="49">
        <f>AVERAGE('18.10 KANONI-SSEMBABULE-24h'!L76,'19.10 KANONI-SSEMBABULE-24h'!L76)</f>
        <v>0</v>
      </c>
      <c r="M76" s="49">
        <f>AVERAGE('18.10 KANONI-SSEMBABULE-24h'!M76,'19.10 KANONI-SSEMBABULE-24h'!M76)</f>
        <v>0</v>
      </c>
      <c r="N76" s="49">
        <f>AVERAGE('18.10 KANONI-SSEMBABULE-24h'!N76,'19.10 KANONI-SSEMBABULE-24h'!N76)</f>
        <v>0</v>
      </c>
      <c r="O76" s="15">
        <f t="shared" si="35"/>
        <v>3</v>
      </c>
      <c r="P76" s="15">
        <f t="shared" si="36"/>
        <v>3</v>
      </c>
      <c r="R76" s="8"/>
      <c r="T76"/>
    </row>
    <row r="77" spans="2:20" ht="23.1" customHeight="1" x14ac:dyDescent="0.25">
      <c r="B77" s="23" t="s">
        <v>117</v>
      </c>
      <c r="C77" s="49">
        <f>AVERAGE('18.10 KANONI-SSEMBABULE-24h'!C77,'19.10 KANONI-SSEMBABULE-24h'!C77)</f>
        <v>0</v>
      </c>
      <c r="D77" s="49">
        <f>AVERAGE('18.10 KANONI-SSEMBABULE-24h'!D77,'19.10 KANONI-SSEMBABULE-24h'!D77)</f>
        <v>0</v>
      </c>
      <c r="E77" s="49">
        <f>AVERAGE('18.10 KANONI-SSEMBABULE-24h'!E77,'19.10 KANONI-SSEMBABULE-24h'!E77)</f>
        <v>0</v>
      </c>
      <c r="F77" s="49">
        <f>AVERAGE('18.10 KANONI-SSEMBABULE-24h'!F77,'19.10 KANONI-SSEMBABULE-24h'!F77)</f>
        <v>0</v>
      </c>
      <c r="G77" s="49">
        <f>AVERAGE('18.10 KANONI-SSEMBABULE-24h'!G77,'19.10 KANONI-SSEMBABULE-24h'!G77)</f>
        <v>0</v>
      </c>
      <c r="H77" s="49">
        <f>AVERAGE('18.10 KANONI-SSEMBABULE-24h'!H77,'19.10 KANONI-SSEMBABULE-24h'!H77)</f>
        <v>0</v>
      </c>
      <c r="I77" s="49">
        <f>AVERAGE('18.10 KANONI-SSEMBABULE-24h'!I77,'19.10 KANONI-SSEMBABULE-24h'!I77)</f>
        <v>0</v>
      </c>
      <c r="J77" s="49">
        <f>AVERAGE('18.10 KANONI-SSEMBABULE-24h'!J77,'19.10 KANONI-SSEMBABULE-24h'!J77)</f>
        <v>0.5</v>
      </c>
      <c r="K77" s="49">
        <f>AVERAGE('18.10 KANONI-SSEMBABULE-24h'!K77,'19.10 KANONI-SSEMBABULE-24h'!K77)</f>
        <v>0</v>
      </c>
      <c r="L77" s="49">
        <f>AVERAGE('18.10 KANONI-SSEMBABULE-24h'!L77,'19.10 KANONI-SSEMBABULE-24h'!L77)</f>
        <v>0</v>
      </c>
      <c r="M77" s="49">
        <f>AVERAGE('18.10 KANONI-SSEMBABULE-24h'!M77,'19.10 KANONI-SSEMBABULE-24h'!M77)</f>
        <v>0.5</v>
      </c>
      <c r="N77" s="49">
        <f>AVERAGE('18.10 KANONI-SSEMBABULE-24h'!N77,'19.10 KANONI-SSEMBABULE-24h'!N77)</f>
        <v>0</v>
      </c>
      <c r="O77" s="15">
        <f t="shared" si="35"/>
        <v>0.5</v>
      </c>
      <c r="P77" s="15">
        <f t="shared" si="36"/>
        <v>1</v>
      </c>
      <c r="R77" s="8"/>
      <c r="T77"/>
    </row>
    <row r="78" spans="2:20" ht="23.1" customHeight="1" x14ac:dyDescent="0.25">
      <c r="B78" s="24" t="s">
        <v>118</v>
      </c>
      <c r="C78" s="49">
        <f>AVERAGE('18.10 KANONI-SSEMBABULE-24h'!C78,'19.10 KANONI-SSEMBABULE-24h'!C78)</f>
        <v>1.5</v>
      </c>
      <c r="D78" s="49">
        <f>AVERAGE('18.10 KANONI-SSEMBABULE-24h'!D78,'19.10 KANONI-SSEMBABULE-24h'!D78)</f>
        <v>2.5</v>
      </c>
      <c r="E78" s="49">
        <f>AVERAGE('18.10 KANONI-SSEMBABULE-24h'!E78,'19.10 KANONI-SSEMBABULE-24h'!E78)</f>
        <v>0</v>
      </c>
      <c r="F78" s="49">
        <f>AVERAGE('18.10 KANONI-SSEMBABULE-24h'!F78,'19.10 KANONI-SSEMBABULE-24h'!F78)</f>
        <v>0.5</v>
      </c>
      <c r="G78" s="49">
        <f>AVERAGE('18.10 KANONI-SSEMBABULE-24h'!G78,'19.10 KANONI-SSEMBABULE-24h'!G78)</f>
        <v>0</v>
      </c>
      <c r="H78" s="49">
        <f>AVERAGE('18.10 KANONI-SSEMBABULE-24h'!H78,'19.10 KANONI-SSEMBABULE-24h'!H78)</f>
        <v>0</v>
      </c>
      <c r="I78" s="49">
        <f>AVERAGE('18.10 KANONI-SSEMBABULE-24h'!I78,'19.10 KANONI-SSEMBABULE-24h'!I78)</f>
        <v>1</v>
      </c>
      <c r="J78" s="49">
        <f>AVERAGE('18.10 KANONI-SSEMBABULE-24h'!J78,'19.10 KANONI-SSEMBABULE-24h'!J78)</f>
        <v>0</v>
      </c>
      <c r="K78" s="49">
        <f>AVERAGE('18.10 KANONI-SSEMBABULE-24h'!K78,'19.10 KANONI-SSEMBABULE-24h'!K78)</f>
        <v>0</v>
      </c>
      <c r="L78" s="49">
        <f>AVERAGE('18.10 KANONI-SSEMBABULE-24h'!L78,'19.10 KANONI-SSEMBABULE-24h'!L78)</f>
        <v>0.5</v>
      </c>
      <c r="M78" s="49">
        <f>AVERAGE('18.10 KANONI-SSEMBABULE-24h'!M78,'19.10 KANONI-SSEMBABULE-24h'!M78)</f>
        <v>1</v>
      </c>
      <c r="N78" s="49">
        <f>AVERAGE('18.10 KANONI-SSEMBABULE-24h'!N78,'19.10 KANONI-SSEMBABULE-24h'!N78)</f>
        <v>0</v>
      </c>
      <c r="O78" s="15">
        <f t="shared" si="35"/>
        <v>6</v>
      </c>
      <c r="P78" s="15">
        <f t="shared" si="36"/>
        <v>7</v>
      </c>
      <c r="R78" s="8"/>
      <c r="T78"/>
    </row>
    <row r="79" spans="2:20" ht="23.1" customHeight="1" x14ac:dyDescent="0.25">
      <c r="B79" s="23" t="s">
        <v>119</v>
      </c>
      <c r="C79" s="49">
        <f>AVERAGE('18.10 KANONI-SSEMBABULE-24h'!C79,'19.10 KANONI-SSEMBABULE-24h'!C79)</f>
        <v>0</v>
      </c>
      <c r="D79" s="49">
        <f>AVERAGE('18.10 KANONI-SSEMBABULE-24h'!D79,'19.10 KANONI-SSEMBABULE-24h'!D79)</f>
        <v>0</v>
      </c>
      <c r="E79" s="49">
        <f>AVERAGE('18.10 KANONI-SSEMBABULE-24h'!E79,'19.10 KANONI-SSEMBABULE-24h'!E79)</f>
        <v>0</v>
      </c>
      <c r="F79" s="49">
        <f>AVERAGE('18.10 KANONI-SSEMBABULE-24h'!F79,'19.10 KANONI-SSEMBABULE-24h'!F79)</f>
        <v>0</v>
      </c>
      <c r="G79" s="49">
        <f>AVERAGE('18.10 KANONI-SSEMBABULE-24h'!G79,'19.10 KANONI-SSEMBABULE-24h'!G79)</f>
        <v>0.5</v>
      </c>
      <c r="H79" s="49">
        <f>AVERAGE('18.10 KANONI-SSEMBABULE-24h'!H79,'19.10 KANONI-SSEMBABULE-24h'!H79)</f>
        <v>0</v>
      </c>
      <c r="I79" s="49">
        <f>AVERAGE('18.10 KANONI-SSEMBABULE-24h'!I79,'19.10 KANONI-SSEMBABULE-24h'!I79)</f>
        <v>0</v>
      </c>
      <c r="J79" s="49">
        <f>AVERAGE('18.10 KANONI-SSEMBABULE-24h'!J79,'19.10 KANONI-SSEMBABULE-24h'!J79)</f>
        <v>1</v>
      </c>
      <c r="K79" s="49">
        <f>AVERAGE('18.10 KANONI-SSEMBABULE-24h'!K79,'19.10 KANONI-SSEMBABULE-24h'!K79)</f>
        <v>0.5</v>
      </c>
      <c r="L79" s="49">
        <f>AVERAGE('18.10 KANONI-SSEMBABULE-24h'!L79,'19.10 KANONI-SSEMBABULE-24h'!L79)</f>
        <v>1</v>
      </c>
      <c r="M79" s="49">
        <f>AVERAGE('18.10 KANONI-SSEMBABULE-24h'!M79,'19.10 KANONI-SSEMBABULE-24h'!M79)</f>
        <v>2</v>
      </c>
      <c r="N79" s="49">
        <f>AVERAGE('18.10 KANONI-SSEMBABULE-24h'!N79,'19.10 KANONI-SSEMBABULE-24h'!N79)</f>
        <v>0</v>
      </c>
      <c r="O79" s="15">
        <f t="shared" si="35"/>
        <v>3</v>
      </c>
      <c r="P79" s="15">
        <f t="shared" si="36"/>
        <v>5</v>
      </c>
      <c r="R79" s="8"/>
      <c r="T79"/>
    </row>
    <row r="80" spans="2:20" ht="23.1" customHeight="1" x14ac:dyDescent="0.25">
      <c r="B80" s="25" t="s">
        <v>120</v>
      </c>
      <c r="C80" s="49">
        <f>AVERAGE('18.10 KANONI-SSEMBABULE-24h'!C80,'19.10 KANONI-SSEMBABULE-24h'!C80)</f>
        <v>0</v>
      </c>
      <c r="D80" s="49">
        <f>AVERAGE('18.10 KANONI-SSEMBABULE-24h'!D80,'19.10 KANONI-SSEMBABULE-24h'!D80)</f>
        <v>0</v>
      </c>
      <c r="E80" s="49">
        <f>AVERAGE('18.10 KANONI-SSEMBABULE-24h'!E80,'19.10 KANONI-SSEMBABULE-24h'!E80)</f>
        <v>0</v>
      </c>
      <c r="F80" s="49">
        <f>AVERAGE('18.10 KANONI-SSEMBABULE-24h'!F80,'19.10 KANONI-SSEMBABULE-24h'!F80)</f>
        <v>0</v>
      </c>
      <c r="G80" s="49">
        <f>AVERAGE('18.10 KANONI-SSEMBABULE-24h'!G80,'19.10 KANONI-SSEMBABULE-24h'!G80)</f>
        <v>0.5</v>
      </c>
      <c r="H80" s="49">
        <f>AVERAGE('18.10 KANONI-SSEMBABULE-24h'!H80,'19.10 KANONI-SSEMBABULE-24h'!H80)</f>
        <v>0</v>
      </c>
      <c r="I80" s="49">
        <f>AVERAGE('18.10 KANONI-SSEMBABULE-24h'!I80,'19.10 KANONI-SSEMBABULE-24h'!I80)</f>
        <v>0</v>
      </c>
      <c r="J80" s="49">
        <f>AVERAGE('18.10 KANONI-SSEMBABULE-24h'!J80,'19.10 KANONI-SSEMBABULE-24h'!J80)</f>
        <v>0</v>
      </c>
      <c r="K80" s="49">
        <f>AVERAGE('18.10 KANONI-SSEMBABULE-24h'!K80,'19.10 KANONI-SSEMBABULE-24h'!K80)</f>
        <v>0.5</v>
      </c>
      <c r="L80" s="49">
        <f>AVERAGE('18.10 KANONI-SSEMBABULE-24h'!L80,'19.10 KANONI-SSEMBABULE-24h'!L80)</f>
        <v>0.5</v>
      </c>
      <c r="M80" s="49">
        <f>AVERAGE('18.10 KANONI-SSEMBABULE-24h'!M80,'19.10 KANONI-SSEMBABULE-24h'!M80)</f>
        <v>0.5</v>
      </c>
      <c r="N80" s="49">
        <f>AVERAGE('18.10 KANONI-SSEMBABULE-24h'!N80,'19.10 KANONI-SSEMBABULE-24h'!N80)</f>
        <v>0</v>
      </c>
      <c r="O80" s="15">
        <f t="shared" si="35"/>
        <v>1.5</v>
      </c>
      <c r="P80" s="15">
        <f t="shared" si="36"/>
        <v>2</v>
      </c>
      <c r="R80" s="8"/>
      <c r="T80"/>
    </row>
    <row r="81" spans="2:20" ht="23.1" customHeight="1" x14ac:dyDescent="0.25">
      <c r="B81" s="23" t="s">
        <v>121</v>
      </c>
      <c r="C81" s="49">
        <f>AVERAGE('18.10 KANONI-SSEMBABULE-24h'!C81,'19.10 KANONI-SSEMBABULE-24h'!C81)</f>
        <v>0</v>
      </c>
      <c r="D81" s="49">
        <f>AVERAGE('18.10 KANONI-SSEMBABULE-24h'!D81,'19.10 KANONI-SSEMBABULE-24h'!D81)</f>
        <v>0</v>
      </c>
      <c r="E81" s="49">
        <f>AVERAGE('18.10 KANONI-SSEMBABULE-24h'!E81,'19.10 KANONI-SSEMBABULE-24h'!E81)</f>
        <v>0</v>
      </c>
      <c r="F81" s="49">
        <f>AVERAGE('18.10 KANONI-SSEMBABULE-24h'!F81,'19.10 KANONI-SSEMBABULE-24h'!F81)</f>
        <v>0</v>
      </c>
      <c r="G81" s="49">
        <f>AVERAGE('18.10 KANONI-SSEMBABULE-24h'!G81,'19.10 KANONI-SSEMBABULE-24h'!G81)</f>
        <v>0</v>
      </c>
      <c r="H81" s="49">
        <f>AVERAGE('18.10 KANONI-SSEMBABULE-24h'!H81,'19.10 KANONI-SSEMBABULE-24h'!H81)</f>
        <v>0</v>
      </c>
      <c r="I81" s="49">
        <f>AVERAGE('18.10 KANONI-SSEMBABULE-24h'!I81,'19.10 KANONI-SSEMBABULE-24h'!I81)</f>
        <v>0</v>
      </c>
      <c r="J81" s="49">
        <f>AVERAGE('18.10 KANONI-SSEMBABULE-24h'!J81,'19.10 KANONI-SSEMBABULE-24h'!J81)</f>
        <v>0</v>
      </c>
      <c r="K81" s="49">
        <f>AVERAGE('18.10 KANONI-SSEMBABULE-24h'!K81,'19.10 KANONI-SSEMBABULE-24h'!K81)</f>
        <v>0</v>
      </c>
      <c r="L81" s="49">
        <f>AVERAGE('18.10 KANONI-SSEMBABULE-24h'!L81,'19.10 KANONI-SSEMBABULE-24h'!L81)</f>
        <v>0</v>
      </c>
      <c r="M81" s="49">
        <f>AVERAGE('18.10 KANONI-SSEMBABULE-24h'!M81,'19.10 KANONI-SSEMBABULE-24h'!M81)</f>
        <v>0.5</v>
      </c>
      <c r="N81" s="49">
        <f>AVERAGE('18.10 KANONI-SSEMBABULE-24h'!N81,'19.10 KANONI-SSEMBABULE-24h'!N81)</f>
        <v>0</v>
      </c>
      <c r="O81" s="15">
        <f t="shared" si="35"/>
        <v>0</v>
      </c>
      <c r="P81" s="15">
        <f t="shared" si="36"/>
        <v>0.5</v>
      </c>
      <c r="R81" s="8"/>
      <c r="T81"/>
    </row>
    <row r="82" spans="2:20" ht="23.1" customHeight="1" x14ac:dyDescent="0.25">
      <c r="B82" s="24" t="s">
        <v>122</v>
      </c>
      <c r="C82" s="49">
        <f>AVERAGE('18.10 KANONI-SSEMBABULE-24h'!C82,'19.10 KANONI-SSEMBABULE-24h'!C82)</f>
        <v>0</v>
      </c>
      <c r="D82" s="49">
        <f>AVERAGE('18.10 KANONI-SSEMBABULE-24h'!D82,'19.10 KANONI-SSEMBABULE-24h'!D82)</f>
        <v>0</v>
      </c>
      <c r="E82" s="49">
        <f>AVERAGE('18.10 KANONI-SSEMBABULE-24h'!E82,'19.10 KANONI-SSEMBABULE-24h'!E82)</f>
        <v>0</v>
      </c>
      <c r="F82" s="49">
        <f>AVERAGE('18.10 KANONI-SSEMBABULE-24h'!F82,'19.10 KANONI-SSEMBABULE-24h'!F82)</f>
        <v>0</v>
      </c>
      <c r="G82" s="49">
        <f>AVERAGE('18.10 KANONI-SSEMBABULE-24h'!G82,'19.10 KANONI-SSEMBABULE-24h'!G82)</f>
        <v>0</v>
      </c>
      <c r="H82" s="49">
        <f>AVERAGE('18.10 KANONI-SSEMBABULE-24h'!H82,'19.10 KANONI-SSEMBABULE-24h'!H82)</f>
        <v>0</v>
      </c>
      <c r="I82" s="49">
        <f>AVERAGE('18.10 KANONI-SSEMBABULE-24h'!I82,'19.10 KANONI-SSEMBABULE-24h'!I82)</f>
        <v>2.5</v>
      </c>
      <c r="J82" s="49">
        <f>AVERAGE('18.10 KANONI-SSEMBABULE-24h'!J82,'19.10 KANONI-SSEMBABULE-24h'!J82)</f>
        <v>0</v>
      </c>
      <c r="K82" s="49">
        <f>AVERAGE('18.10 KANONI-SSEMBABULE-24h'!K82,'19.10 KANONI-SSEMBABULE-24h'!K82)</f>
        <v>0.5</v>
      </c>
      <c r="L82" s="49">
        <f>AVERAGE('18.10 KANONI-SSEMBABULE-24h'!L82,'19.10 KANONI-SSEMBABULE-24h'!L82)</f>
        <v>0</v>
      </c>
      <c r="M82" s="49">
        <f>AVERAGE('18.10 KANONI-SSEMBABULE-24h'!M82,'19.10 KANONI-SSEMBABULE-24h'!M82)</f>
        <v>1</v>
      </c>
      <c r="N82" s="49">
        <f>AVERAGE('18.10 KANONI-SSEMBABULE-24h'!N82,'19.10 KANONI-SSEMBABULE-24h'!N82)</f>
        <v>0</v>
      </c>
      <c r="O82" s="15">
        <f t="shared" si="35"/>
        <v>3</v>
      </c>
      <c r="P82" s="15">
        <f t="shared" si="36"/>
        <v>4</v>
      </c>
      <c r="R82" s="8"/>
      <c r="T82"/>
    </row>
    <row r="83" spans="2:20" ht="23.1" customHeight="1" x14ac:dyDescent="0.25">
      <c r="B83" s="23" t="s">
        <v>123</v>
      </c>
      <c r="C83" s="49">
        <f>AVERAGE('18.10 KANONI-SSEMBABULE-24h'!C83,'19.10 KANONI-SSEMBABULE-24h'!C83)</f>
        <v>0.5</v>
      </c>
      <c r="D83" s="49">
        <f>AVERAGE('18.10 KANONI-SSEMBABULE-24h'!D83,'19.10 KANONI-SSEMBABULE-24h'!D83)</f>
        <v>0</v>
      </c>
      <c r="E83" s="49">
        <f>AVERAGE('18.10 KANONI-SSEMBABULE-24h'!E83,'19.10 KANONI-SSEMBABULE-24h'!E83)</f>
        <v>0</v>
      </c>
      <c r="F83" s="49">
        <f>AVERAGE('18.10 KANONI-SSEMBABULE-24h'!F83,'19.10 KANONI-SSEMBABULE-24h'!F83)</f>
        <v>0</v>
      </c>
      <c r="G83" s="49">
        <f>AVERAGE('18.10 KANONI-SSEMBABULE-24h'!G83,'19.10 KANONI-SSEMBABULE-24h'!G83)</f>
        <v>0</v>
      </c>
      <c r="H83" s="49">
        <f>AVERAGE('18.10 KANONI-SSEMBABULE-24h'!H83,'19.10 KANONI-SSEMBABULE-24h'!H83)</f>
        <v>0.5</v>
      </c>
      <c r="I83" s="49">
        <f>AVERAGE('18.10 KANONI-SSEMBABULE-24h'!I83,'19.10 KANONI-SSEMBABULE-24h'!I83)</f>
        <v>0</v>
      </c>
      <c r="J83" s="49">
        <f>AVERAGE('18.10 KANONI-SSEMBABULE-24h'!J83,'19.10 KANONI-SSEMBABULE-24h'!J83)</f>
        <v>0</v>
      </c>
      <c r="K83" s="49">
        <f>AVERAGE('18.10 KANONI-SSEMBABULE-24h'!K83,'19.10 KANONI-SSEMBABULE-24h'!K83)</f>
        <v>0</v>
      </c>
      <c r="L83" s="49">
        <f>AVERAGE('18.10 KANONI-SSEMBABULE-24h'!L83,'19.10 KANONI-SSEMBABULE-24h'!L83)</f>
        <v>0</v>
      </c>
      <c r="M83" s="49">
        <f>AVERAGE('18.10 KANONI-SSEMBABULE-24h'!M83,'19.10 KANONI-SSEMBABULE-24h'!M83)</f>
        <v>1</v>
      </c>
      <c r="N83" s="49">
        <f>AVERAGE('18.10 KANONI-SSEMBABULE-24h'!N83,'19.10 KANONI-SSEMBABULE-24h'!N83)</f>
        <v>0</v>
      </c>
      <c r="O83" s="15">
        <f t="shared" si="35"/>
        <v>1</v>
      </c>
      <c r="P83" s="15">
        <f t="shared" si="36"/>
        <v>2</v>
      </c>
      <c r="R83" s="8"/>
      <c r="T83"/>
    </row>
    <row r="84" spans="2:20" ht="23.1" customHeight="1" x14ac:dyDescent="0.25">
      <c r="B84" s="25" t="s">
        <v>124</v>
      </c>
      <c r="C84" s="49">
        <f>AVERAGE('18.10 KANONI-SSEMBABULE-24h'!C84,'19.10 KANONI-SSEMBABULE-24h'!C84)</f>
        <v>0</v>
      </c>
      <c r="D84" s="49">
        <f>AVERAGE('18.10 KANONI-SSEMBABULE-24h'!D84,'19.10 KANONI-SSEMBABULE-24h'!D84)</f>
        <v>0</v>
      </c>
      <c r="E84" s="49">
        <f>AVERAGE('18.10 KANONI-SSEMBABULE-24h'!E84,'19.10 KANONI-SSEMBABULE-24h'!E84)</f>
        <v>0</v>
      </c>
      <c r="F84" s="49">
        <f>AVERAGE('18.10 KANONI-SSEMBABULE-24h'!F84,'19.10 KANONI-SSEMBABULE-24h'!F84)</f>
        <v>0</v>
      </c>
      <c r="G84" s="49">
        <f>AVERAGE('18.10 KANONI-SSEMBABULE-24h'!G84,'19.10 KANONI-SSEMBABULE-24h'!G84)</f>
        <v>0</v>
      </c>
      <c r="H84" s="49">
        <f>AVERAGE('18.10 KANONI-SSEMBABULE-24h'!H84,'19.10 KANONI-SSEMBABULE-24h'!H84)</f>
        <v>0</v>
      </c>
      <c r="I84" s="49">
        <f>AVERAGE('18.10 KANONI-SSEMBABULE-24h'!I84,'19.10 KANONI-SSEMBABULE-24h'!I84)</f>
        <v>0</v>
      </c>
      <c r="J84" s="49">
        <f>AVERAGE('18.10 KANONI-SSEMBABULE-24h'!J84,'19.10 KANONI-SSEMBABULE-24h'!J84)</f>
        <v>0</v>
      </c>
      <c r="K84" s="49">
        <f>AVERAGE('18.10 KANONI-SSEMBABULE-24h'!K84,'19.10 KANONI-SSEMBABULE-24h'!K84)</f>
        <v>0</v>
      </c>
      <c r="L84" s="49">
        <f>AVERAGE('18.10 KANONI-SSEMBABULE-24h'!L84,'19.10 KANONI-SSEMBABULE-24h'!L84)</f>
        <v>0</v>
      </c>
      <c r="M84" s="49">
        <f>AVERAGE('18.10 KANONI-SSEMBABULE-24h'!M84,'19.10 KANONI-SSEMBABULE-24h'!M84)</f>
        <v>0</v>
      </c>
      <c r="N84" s="49">
        <f>AVERAGE('18.10 KANONI-SSEMBABULE-24h'!N84,'19.10 KANONI-SSEMBABULE-24h'!N84)</f>
        <v>0</v>
      </c>
      <c r="O84" s="15">
        <f t="shared" si="35"/>
        <v>0</v>
      </c>
      <c r="P84" s="15">
        <f t="shared" si="36"/>
        <v>0</v>
      </c>
      <c r="R84" s="8"/>
      <c r="T84"/>
    </row>
    <row r="85" spans="2:20" ht="23.1" customHeight="1" x14ac:dyDescent="0.25">
      <c r="B85" s="23" t="s">
        <v>125</v>
      </c>
      <c r="C85" s="49">
        <f>AVERAGE('18.10 KANONI-SSEMBABULE-24h'!C85,'19.10 KANONI-SSEMBABULE-24h'!C85)</f>
        <v>0.5</v>
      </c>
      <c r="D85" s="49">
        <f>AVERAGE('18.10 KANONI-SSEMBABULE-24h'!D85,'19.10 KANONI-SSEMBABULE-24h'!D85)</f>
        <v>0</v>
      </c>
      <c r="E85" s="49">
        <f>AVERAGE('18.10 KANONI-SSEMBABULE-24h'!E85,'19.10 KANONI-SSEMBABULE-24h'!E85)</f>
        <v>0</v>
      </c>
      <c r="F85" s="49">
        <f>AVERAGE('18.10 KANONI-SSEMBABULE-24h'!F85,'19.10 KANONI-SSEMBABULE-24h'!F85)</f>
        <v>0</v>
      </c>
      <c r="G85" s="49">
        <f>AVERAGE('18.10 KANONI-SSEMBABULE-24h'!G85,'19.10 KANONI-SSEMBABULE-24h'!G85)</f>
        <v>0.5</v>
      </c>
      <c r="H85" s="49">
        <f>AVERAGE('18.10 KANONI-SSEMBABULE-24h'!H85,'19.10 KANONI-SSEMBABULE-24h'!H85)</f>
        <v>0</v>
      </c>
      <c r="I85" s="49">
        <f>AVERAGE('18.10 KANONI-SSEMBABULE-24h'!I85,'19.10 KANONI-SSEMBABULE-24h'!I85)</f>
        <v>0</v>
      </c>
      <c r="J85" s="49">
        <f>AVERAGE('18.10 KANONI-SSEMBABULE-24h'!J85,'19.10 KANONI-SSEMBABULE-24h'!J85)</f>
        <v>0</v>
      </c>
      <c r="K85" s="49">
        <f>AVERAGE('18.10 KANONI-SSEMBABULE-24h'!K85,'19.10 KANONI-SSEMBABULE-24h'!K85)</f>
        <v>1</v>
      </c>
      <c r="L85" s="49">
        <f>AVERAGE('18.10 KANONI-SSEMBABULE-24h'!L85,'19.10 KANONI-SSEMBABULE-24h'!L85)</f>
        <v>0</v>
      </c>
      <c r="M85" s="49">
        <f>AVERAGE('18.10 KANONI-SSEMBABULE-24h'!M85,'19.10 KANONI-SSEMBABULE-24h'!M85)</f>
        <v>1.5</v>
      </c>
      <c r="N85" s="49">
        <f>AVERAGE('18.10 KANONI-SSEMBABULE-24h'!N85,'19.10 KANONI-SSEMBABULE-24h'!N85)</f>
        <v>0</v>
      </c>
      <c r="O85" s="15">
        <f t="shared" si="35"/>
        <v>2</v>
      </c>
      <c r="P85" s="15">
        <f t="shared" si="36"/>
        <v>3.5</v>
      </c>
      <c r="R85" s="8"/>
      <c r="T85"/>
    </row>
    <row r="86" spans="2:20" ht="23.1" customHeight="1" x14ac:dyDescent="0.25">
      <c r="B86" s="24" t="s">
        <v>126</v>
      </c>
      <c r="C86" s="49">
        <f>AVERAGE('18.10 KANONI-SSEMBABULE-24h'!C86,'19.10 KANONI-SSEMBABULE-24h'!C86)</f>
        <v>0.5</v>
      </c>
      <c r="D86" s="49">
        <f>AVERAGE('18.10 KANONI-SSEMBABULE-24h'!D86,'19.10 KANONI-SSEMBABULE-24h'!D86)</f>
        <v>0</v>
      </c>
      <c r="E86" s="49">
        <f>AVERAGE('18.10 KANONI-SSEMBABULE-24h'!E86,'19.10 KANONI-SSEMBABULE-24h'!E86)</f>
        <v>0</v>
      </c>
      <c r="F86" s="49">
        <f>AVERAGE('18.10 KANONI-SSEMBABULE-24h'!F86,'19.10 KANONI-SSEMBABULE-24h'!F86)</f>
        <v>0</v>
      </c>
      <c r="G86" s="49">
        <f>AVERAGE('18.10 KANONI-SSEMBABULE-24h'!G86,'19.10 KANONI-SSEMBABULE-24h'!G86)</f>
        <v>0</v>
      </c>
      <c r="H86" s="49">
        <f>AVERAGE('18.10 KANONI-SSEMBABULE-24h'!H86,'19.10 KANONI-SSEMBABULE-24h'!H86)</f>
        <v>0</v>
      </c>
      <c r="I86" s="49">
        <f>AVERAGE('18.10 KANONI-SSEMBABULE-24h'!I86,'19.10 KANONI-SSEMBABULE-24h'!I86)</f>
        <v>0.5</v>
      </c>
      <c r="J86" s="49">
        <f>AVERAGE('18.10 KANONI-SSEMBABULE-24h'!J86,'19.10 KANONI-SSEMBABULE-24h'!J86)</f>
        <v>2</v>
      </c>
      <c r="K86" s="49">
        <f>AVERAGE('18.10 KANONI-SSEMBABULE-24h'!K86,'19.10 KANONI-SSEMBABULE-24h'!K86)</f>
        <v>1</v>
      </c>
      <c r="L86" s="49">
        <f>AVERAGE('18.10 KANONI-SSEMBABULE-24h'!L86,'19.10 KANONI-SSEMBABULE-24h'!L86)</f>
        <v>0</v>
      </c>
      <c r="M86" s="49">
        <f>AVERAGE('18.10 KANONI-SSEMBABULE-24h'!M86,'19.10 KANONI-SSEMBABULE-24h'!M86)</f>
        <v>0.5</v>
      </c>
      <c r="N86" s="49">
        <f>AVERAGE('18.10 KANONI-SSEMBABULE-24h'!N86,'19.10 KANONI-SSEMBABULE-24h'!N86)</f>
        <v>0</v>
      </c>
      <c r="O86" s="15">
        <f t="shared" si="35"/>
        <v>4</v>
      </c>
      <c r="P86" s="15">
        <f t="shared" si="36"/>
        <v>4.5</v>
      </c>
      <c r="R86" s="8"/>
      <c r="T86"/>
    </row>
    <row r="87" spans="2:20" ht="23.1" customHeight="1" x14ac:dyDescent="0.25">
      <c r="B87" s="23" t="s">
        <v>127</v>
      </c>
      <c r="C87" s="49">
        <f>AVERAGE('18.10 KANONI-SSEMBABULE-24h'!C87,'19.10 KANONI-SSEMBABULE-24h'!C87)</f>
        <v>0.5</v>
      </c>
      <c r="D87" s="49">
        <f>AVERAGE('18.10 KANONI-SSEMBABULE-24h'!D87,'19.10 KANONI-SSEMBABULE-24h'!D87)</f>
        <v>0</v>
      </c>
      <c r="E87" s="49">
        <f>AVERAGE('18.10 KANONI-SSEMBABULE-24h'!E87,'19.10 KANONI-SSEMBABULE-24h'!E87)</f>
        <v>0</v>
      </c>
      <c r="F87" s="49">
        <f>AVERAGE('18.10 KANONI-SSEMBABULE-24h'!F87,'19.10 KANONI-SSEMBABULE-24h'!F87)</f>
        <v>0</v>
      </c>
      <c r="G87" s="49">
        <f>AVERAGE('18.10 KANONI-SSEMBABULE-24h'!G87,'19.10 KANONI-SSEMBABULE-24h'!G87)</f>
        <v>0</v>
      </c>
      <c r="H87" s="49">
        <f>AVERAGE('18.10 KANONI-SSEMBABULE-24h'!H87,'19.10 KANONI-SSEMBABULE-24h'!H87)</f>
        <v>0</v>
      </c>
      <c r="I87" s="49">
        <f>AVERAGE('18.10 KANONI-SSEMBABULE-24h'!I87,'19.10 KANONI-SSEMBABULE-24h'!I87)</f>
        <v>0</v>
      </c>
      <c r="J87" s="49">
        <f>AVERAGE('18.10 KANONI-SSEMBABULE-24h'!J87,'19.10 KANONI-SSEMBABULE-24h'!J87)</f>
        <v>0</v>
      </c>
      <c r="K87" s="49">
        <f>AVERAGE('18.10 KANONI-SSEMBABULE-24h'!K87,'19.10 KANONI-SSEMBABULE-24h'!K87)</f>
        <v>0.5</v>
      </c>
      <c r="L87" s="49">
        <f>AVERAGE('18.10 KANONI-SSEMBABULE-24h'!L87,'19.10 KANONI-SSEMBABULE-24h'!L87)</f>
        <v>0.5</v>
      </c>
      <c r="M87" s="49">
        <f>AVERAGE('18.10 KANONI-SSEMBABULE-24h'!M87,'19.10 KANONI-SSEMBABULE-24h'!M87)</f>
        <v>0.5</v>
      </c>
      <c r="N87" s="49">
        <f>AVERAGE('18.10 KANONI-SSEMBABULE-24h'!N87,'19.10 KANONI-SSEMBABULE-24h'!N87)</f>
        <v>0</v>
      </c>
      <c r="O87" s="15">
        <f t="shared" si="35"/>
        <v>1.5</v>
      </c>
      <c r="P87" s="15">
        <f t="shared" si="36"/>
        <v>2</v>
      </c>
      <c r="R87" s="8"/>
      <c r="T87"/>
    </row>
    <row r="88" spans="2:20" ht="23.1" customHeight="1" x14ac:dyDescent="0.25">
      <c r="B88" s="25" t="s">
        <v>128</v>
      </c>
      <c r="C88" s="49">
        <f>AVERAGE('18.10 KANONI-SSEMBABULE-24h'!C88,'19.10 KANONI-SSEMBABULE-24h'!C88)</f>
        <v>0</v>
      </c>
      <c r="D88" s="49">
        <f>AVERAGE('18.10 KANONI-SSEMBABULE-24h'!D88,'19.10 KANONI-SSEMBABULE-24h'!D88)</f>
        <v>0</v>
      </c>
      <c r="E88" s="49">
        <f>AVERAGE('18.10 KANONI-SSEMBABULE-24h'!E88,'19.10 KANONI-SSEMBABULE-24h'!E88)</f>
        <v>0</v>
      </c>
      <c r="F88" s="49">
        <f>AVERAGE('18.10 KANONI-SSEMBABULE-24h'!F88,'19.10 KANONI-SSEMBABULE-24h'!F88)</f>
        <v>0</v>
      </c>
      <c r="G88" s="49">
        <f>AVERAGE('18.10 KANONI-SSEMBABULE-24h'!G88,'19.10 KANONI-SSEMBABULE-24h'!G88)</f>
        <v>0</v>
      </c>
      <c r="H88" s="49">
        <f>AVERAGE('18.10 KANONI-SSEMBABULE-24h'!H88,'19.10 KANONI-SSEMBABULE-24h'!H88)</f>
        <v>0</v>
      </c>
      <c r="I88" s="49">
        <f>AVERAGE('18.10 KANONI-SSEMBABULE-24h'!I88,'19.10 KANONI-SSEMBABULE-24h'!I88)</f>
        <v>0</v>
      </c>
      <c r="J88" s="49">
        <f>AVERAGE('18.10 KANONI-SSEMBABULE-24h'!J88,'19.10 KANONI-SSEMBABULE-24h'!J88)</f>
        <v>0</v>
      </c>
      <c r="K88" s="49">
        <f>AVERAGE('18.10 KANONI-SSEMBABULE-24h'!K88,'19.10 KANONI-SSEMBABULE-24h'!K88)</f>
        <v>0</v>
      </c>
      <c r="L88" s="49">
        <f>AVERAGE('18.10 KANONI-SSEMBABULE-24h'!L88,'19.10 KANONI-SSEMBABULE-24h'!L88)</f>
        <v>0</v>
      </c>
      <c r="M88" s="49">
        <f>AVERAGE('18.10 KANONI-SSEMBABULE-24h'!M88,'19.10 KANONI-SSEMBABULE-24h'!M88)</f>
        <v>0.5</v>
      </c>
      <c r="N88" s="49">
        <f>AVERAGE('18.10 KANONI-SSEMBABULE-24h'!N88,'19.10 KANONI-SSEMBABULE-24h'!N88)</f>
        <v>0</v>
      </c>
      <c r="O88" s="15">
        <f t="shared" si="35"/>
        <v>0</v>
      </c>
      <c r="P88" s="15">
        <f t="shared" si="36"/>
        <v>0.5</v>
      </c>
      <c r="R88" s="8"/>
      <c r="T88"/>
    </row>
    <row r="89" spans="2:20" ht="23.1" customHeight="1" x14ac:dyDescent="0.25">
      <c r="B89" s="23" t="s">
        <v>129</v>
      </c>
      <c r="C89" s="49">
        <f>AVERAGE('18.10 KANONI-SSEMBABULE-24h'!C89,'19.10 KANONI-SSEMBABULE-24h'!C89)</f>
        <v>0.5</v>
      </c>
      <c r="D89" s="49">
        <f>AVERAGE('18.10 KANONI-SSEMBABULE-24h'!D89,'19.10 KANONI-SSEMBABULE-24h'!D89)</f>
        <v>0</v>
      </c>
      <c r="E89" s="49">
        <f>AVERAGE('18.10 KANONI-SSEMBABULE-24h'!E89,'19.10 KANONI-SSEMBABULE-24h'!E89)</f>
        <v>0</v>
      </c>
      <c r="F89" s="49">
        <f>AVERAGE('18.10 KANONI-SSEMBABULE-24h'!F89,'19.10 KANONI-SSEMBABULE-24h'!F89)</f>
        <v>0</v>
      </c>
      <c r="G89" s="49">
        <f>AVERAGE('18.10 KANONI-SSEMBABULE-24h'!G89,'19.10 KANONI-SSEMBABULE-24h'!G89)</f>
        <v>0</v>
      </c>
      <c r="H89" s="49">
        <f>AVERAGE('18.10 KANONI-SSEMBABULE-24h'!H89,'19.10 KANONI-SSEMBABULE-24h'!H89)</f>
        <v>1</v>
      </c>
      <c r="I89" s="49">
        <f>AVERAGE('18.10 KANONI-SSEMBABULE-24h'!I89,'19.10 KANONI-SSEMBABULE-24h'!I89)</f>
        <v>0</v>
      </c>
      <c r="J89" s="49">
        <f>AVERAGE('18.10 KANONI-SSEMBABULE-24h'!J89,'19.10 KANONI-SSEMBABULE-24h'!J89)</f>
        <v>0</v>
      </c>
      <c r="K89" s="49">
        <f>AVERAGE('18.10 KANONI-SSEMBABULE-24h'!K89,'19.10 KANONI-SSEMBABULE-24h'!K89)</f>
        <v>0</v>
      </c>
      <c r="L89" s="49">
        <f>AVERAGE('18.10 KANONI-SSEMBABULE-24h'!L89,'19.10 KANONI-SSEMBABULE-24h'!L89)</f>
        <v>0</v>
      </c>
      <c r="M89" s="49">
        <f>AVERAGE('18.10 KANONI-SSEMBABULE-24h'!M89,'19.10 KANONI-SSEMBABULE-24h'!M89)</f>
        <v>0</v>
      </c>
      <c r="N89" s="49">
        <f>AVERAGE('18.10 KANONI-SSEMBABULE-24h'!N89,'19.10 KANONI-SSEMBABULE-24h'!N89)</f>
        <v>0</v>
      </c>
      <c r="O89" s="15">
        <f t="shared" si="35"/>
        <v>1.5</v>
      </c>
      <c r="P89" s="15">
        <f t="shared" si="36"/>
        <v>1.5</v>
      </c>
      <c r="R89" s="8"/>
      <c r="T89"/>
    </row>
    <row r="90" spans="2:20" ht="23.1" customHeight="1" x14ac:dyDescent="0.25">
      <c r="B90" s="24" t="s">
        <v>130</v>
      </c>
      <c r="C90" s="49">
        <f>AVERAGE('18.10 KANONI-SSEMBABULE-24h'!C90,'19.10 KANONI-SSEMBABULE-24h'!C90)</f>
        <v>0</v>
      </c>
      <c r="D90" s="49">
        <f>AVERAGE('18.10 KANONI-SSEMBABULE-24h'!D90,'19.10 KANONI-SSEMBABULE-24h'!D90)</f>
        <v>0</v>
      </c>
      <c r="E90" s="49">
        <f>AVERAGE('18.10 KANONI-SSEMBABULE-24h'!E90,'19.10 KANONI-SSEMBABULE-24h'!E90)</f>
        <v>0</v>
      </c>
      <c r="F90" s="49">
        <f>AVERAGE('18.10 KANONI-SSEMBABULE-24h'!F90,'19.10 KANONI-SSEMBABULE-24h'!F90)</f>
        <v>0</v>
      </c>
      <c r="G90" s="49">
        <f>AVERAGE('18.10 KANONI-SSEMBABULE-24h'!G90,'19.10 KANONI-SSEMBABULE-24h'!G90)</f>
        <v>0</v>
      </c>
      <c r="H90" s="49">
        <f>AVERAGE('18.10 KANONI-SSEMBABULE-24h'!H90,'19.10 KANONI-SSEMBABULE-24h'!H90)</f>
        <v>0</v>
      </c>
      <c r="I90" s="49">
        <f>AVERAGE('18.10 KANONI-SSEMBABULE-24h'!I90,'19.10 KANONI-SSEMBABULE-24h'!I90)</f>
        <v>1</v>
      </c>
      <c r="J90" s="49">
        <f>AVERAGE('18.10 KANONI-SSEMBABULE-24h'!J90,'19.10 KANONI-SSEMBABULE-24h'!J90)</f>
        <v>0</v>
      </c>
      <c r="K90" s="49">
        <f>AVERAGE('18.10 KANONI-SSEMBABULE-24h'!K90,'19.10 KANONI-SSEMBABULE-24h'!K90)</f>
        <v>0</v>
      </c>
      <c r="L90" s="49">
        <f>AVERAGE('18.10 KANONI-SSEMBABULE-24h'!L90,'19.10 KANONI-SSEMBABULE-24h'!L90)</f>
        <v>0.5</v>
      </c>
      <c r="M90" s="49">
        <f>AVERAGE('18.10 KANONI-SSEMBABULE-24h'!M90,'19.10 KANONI-SSEMBABULE-24h'!M90)</f>
        <v>0</v>
      </c>
      <c r="N90" s="49">
        <f>AVERAGE('18.10 KANONI-SSEMBABULE-24h'!N90,'19.10 KANONI-SSEMBABULE-24h'!N90)</f>
        <v>0</v>
      </c>
      <c r="O90" s="15">
        <f t="shared" si="35"/>
        <v>1.5</v>
      </c>
      <c r="P90" s="15">
        <f t="shared" si="36"/>
        <v>1.5</v>
      </c>
      <c r="R90" s="8"/>
      <c r="T90"/>
    </row>
    <row r="91" spans="2:20" ht="23.1" customHeight="1" x14ac:dyDescent="0.25">
      <c r="B91" s="23" t="s">
        <v>131</v>
      </c>
      <c r="C91" s="49">
        <f>AVERAGE('18.10 KANONI-SSEMBABULE-24h'!C91,'19.10 KANONI-SSEMBABULE-24h'!C91)</f>
        <v>0</v>
      </c>
      <c r="D91" s="49">
        <f>AVERAGE('18.10 KANONI-SSEMBABULE-24h'!D91,'19.10 KANONI-SSEMBABULE-24h'!D91)</f>
        <v>1</v>
      </c>
      <c r="E91" s="49">
        <f>AVERAGE('18.10 KANONI-SSEMBABULE-24h'!E91,'19.10 KANONI-SSEMBABULE-24h'!E91)</f>
        <v>0</v>
      </c>
      <c r="F91" s="49">
        <f>AVERAGE('18.10 KANONI-SSEMBABULE-24h'!F91,'19.10 KANONI-SSEMBABULE-24h'!F91)</f>
        <v>0</v>
      </c>
      <c r="G91" s="49">
        <f>AVERAGE('18.10 KANONI-SSEMBABULE-24h'!G91,'19.10 KANONI-SSEMBABULE-24h'!G91)</f>
        <v>0</v>
      </c>
      <c r="H91" s="49">
        <f>AVERAGE('18.10 KANONI-SSEMBABULE-24h'!H91,'19.10 KANONI-SSEMBABULE-24h'!H91)</f>
        <v>0</v>
      </c>
      <c r="I91" s="49">
        <f>AVERAGE('18.10 KANONI-SSEMBABULE-24h'!I91,'19.10 KANONI-SSEMBABULE-24h'!I91)</f>
        <v>0</v>
      </c>
      <c r="J91" s="49">
        <f>AVERAGE('18.10 KANONI-SSEMBABULE-24h'!J91,'19.10 KANONI-SSEMBABULE-24h'!J91)</f>
        <v>1</v>
      </c>
      <c r="K91" s="49">
        <f>AVERAGE('18.10 KANONI-SSEMBABULE-24h'!K91,'19.10 KANONI-SSEMBABULE-24h'!K91)</f>
        <v>1</v>
      </c>
      <c r="L91" s="49">
        <f>AVERAGE('18.10 KANONI-SSEMBABULE-24h'!L91,'19.10 KANONI-SSEMBABULE-24h'!L91)</f>
        <v>0</v>
      </c>
      <c r="M91" s="49">
        <f>AVERAGE('18.10 KANONI-SSEMBABULE-24h'!M91,'19.10 KANONI-SSEMBABULE-24h'!M91)</f>
        <v>0</v>
      </c>
      <c r="N91" s="49">
        <f>AVERAGE('18.10 KANONI-SSEMBABULE-24h'!N91,'19.10 KANONI-SSEMBABULE-24h'!N91)</f>
        <v>0</v>
      </c>
      <c r="O91" s="15">
        <f t="shared" si="35"/>
        <v>3</v>
      </c>
      <c r="P91" s="15">
        <f t="shared" si="36"/>
        <v>3</v>
      </c>
      <c r="R91" s="8"/>
      <c r="T91"/>
    </row>
    <row r="92" spans="2:20" ht="23.1" customHeight="1" x14ac:dyDescent="0.25">
      <c r="B92" s="25" t="s">
        <v>132</v>
      </c>
      <c r="C92" s="49">
        <f>AVERAGE('18.10 KANONI-SSEMBABULE-24h'!C92,'19.10 KANONI-SSEMBABULE-24h'!C92)</f>
        <v>0</v>
      </c>
      <c r="D92" s="49">
        <f>AVERAGE('18.10 KANONI-SSEMBABULE-24h'!D92,'19.10 KANONI-SSEMBABULE-24h'!D92)</f>
        <v>0</v>
      </c>
      <c r="E92" s="49">
        <f>AVERAGE('18.10 KANONI-SSEMBABULE-24h'!E92,'19.10 KANONI-SSEMBABULE-24h'!E92)</f>
        <v>0</v>
      </c>
      <c r="F92" s="49">
        <f>AVERAGE('18.10 KANONI-SSEMBABULE-24h'!F92,'19.10 KANONI-SSEMBABULE-24h'!F92)</f>
        <v>0</v>
      </c>
      <c r="G92" s="49">
        <f>AVERAGE('18.10 KANONI-SSEMBABULE-24h'!G92,'19.10 KANONI-SSEMBABULE-24h'!G92)</f>
        <v>0</v>
      </c>
      <c r="H92" s="49">
        <f>AVERAGE('18.10 KANONI-SSEMBABULE-24h'!H92,'19.10 KANONI-SSEMBABULE-24h'!H92)</f>
        <v>0</v>
      </c>
      <c r="I92" s="49">
        <f>AVERAGE('18.10 KANONI-SSEMBABULE-24h'!I92,'19.10 KANONI-SSEMBABULE-24h'!I92)</f>
        <v>0</v>
      </c>
      <c r="J92" s="49">
        <f>AVERAGE('18.10 KANONI-SSEMBABULE-24h'!J92,'19.10 KANONI-SSEMBABULE-24h'!J92)</f>
        <v>0</v>
      </c>
      <c r="K92" s="49">
        <f>AVERAGE('18.10 KANONI-SSEMBABULE-24h'!K92,'19.10 KANONI-SSEMBABULE-24h'!K92)</f>
        <v>0</v>
      </c>
      <c r="L92" s="49">
        <f>AVERAGE('18.10 KANONI-SSEMBABULE-24h'!L92,'19.10 KANONI-SSEMBABULE-24h'!L92)</f>
        <v>0</v>
      </c>
      <c r="M92" s="49">
        <f>AVERAGE('18.10 KANONI-SSEMBABULE-24h'!M92,'19.10 KANONI-SSEMBABULE-24h'!M92)</f>
        <v>0</v>
      </c>
      <c r="N92" s="49">
        <f>AVERAGE('18.10 KANONI-SSEMBABULE-24h'!N92,'19.10 KANONI-SSEMBABULE-24h'!N92)</f>
        <v>0</v>
      </c>
      <c r="O92" s="15">
        <f t="shared" si="35"/>
        <v>0</v>
      </c>
      <c r="P92" s="15">
        <f t="shared" si="36"/>
        <v>0</v>
      </c>
      <c r="R92" s="8"/>
      <c r="T92"/>
    </row>
    <row r="93" spans="2:20" ht="23.1" customHeight="1" x14ac:dyDescent="0.25">
      <c r="B93" s="23" t="s">
        <v>133</v>
      </c>
      <c r="C93" s="49">
        <f>AVERAGE('18.10 KANONI-SSEMBABULE-24h'!C93,'19.10 KANONI-SSEMBABULE-24h'!C93)</f>
        <v>1</v>
      </c>
      <c r="D93" s="49">
        <f>AVERAGE('18.10 KANONI-SSEMBABULE-24h'!D93,'19.10 KANONI-SSEMBABULE-24h'!D93)</f>
        <v>0</v>
      </c>
      <c r="E93" s="49">
        <f>AVERAGE('18.10 KANONI-SSEMBABULE-24h'!E93,'19.10 KANONI-SSEMBABULE-24h'!E93)</f>
        <v>0</v>
      </c>
      <c r="F93" s="49">
        <f>AVERAGE('18.10 KANONI-SSEMBABULE-24h'!F93,'19.10 KANONI-SSEMBABULE-24h'!F93)</f>
        <v>0</v>
      </c>
      <c r="G93" s="49">
        <f>AVERAGE('18.10 KANONI-SSEMBABULE-24h'!G93,'19.10 KANONI-SSEMBABULE-24h'!G93)</f>
        <v>0</v>
      </c>
      <c r="H93" s="49">
        <f>AVERAGE('18.10 KANONI-SSEMBABULE-24h'!H93,'19.10 KANONI-SSEMBABULE-24h'!H93)</f>
        <v>0</v>
      </c>
      <c r="I93" s="49">
        <f>AVERAGE('18.10 KANONI-SSEMBABULE-24h'!I93,'19.10 KANONI-SSEMBABULE-24h'!I93)</f>
        <v>0</v>
      </c>
      <c r="J93" s="49">
        <f>AVERAGE('18.10 KANONI-SSEMBABULE-24h'!J93,'19.10 KANONI-SSEMBABULE-24h'!J93)</f>
        <v>0.5</v>
      </c>
      <c r="K93" s="49">
        <f>AVERAGE('18.10 KANONI-SSEMBABULE-24h'!K93,'19.10 KANONI-SSEMBABULE-24h'!K93)</f>
        <v>0</v>
      </c>
      <c r="L93" s="49">
        <f>AVERAGE('18.10 KANONI-SSEMBABULE-24h'!L93,'19.10 KANONI-SSEMBABULE-24h'!L93)</f>
        <v>0.5</v>
      </c>
      <c r="M93" s="49">
        <f>AVERAGE('18.10 KANONI-SSEMBABULE-24h'!M93,'19.10 KANONI-SSEMBABULE-24h'!M93)</f>
        <v>0</v>
      </c>
      <c r="N93" s="49">
        <f>AVERAGE('18.10 KANONI-SSEMBABULE-24h'!N93,'19.10 KANONI-SSEMBABULE-24h'!N93)</f>
        <v>0</v>
      </c>
      <c r="O93" s="15">
        <f t="shared" si="35"/>
        <v>2</v>
      </c>
      <c r="P93" s="15">
        <f t="shared" si="36"/>
        <v>2</v>
      </c>
      <c r="R93" s="8"/>
      <c r="T93"/>
    </row>
    <row r="94" spans="2:20" ht="23.1" customHeight="1" x14ac:dyDescent="0.25">
      <c r="B94" s="24" t="s">
        <v>134</v>
      </c>
      <c r="C94" s="49">
        <f>AVERAGE('18.10 KANONI-SSEMBABULE-24h'!C94,'19.10 KANONI-SSEMBABULE-24h'!C94)</f>
        <v>1</v>
      </c>
      <c r="D94" s="49">
        <f>AVERAGE('18.10 KANONI-SSEMBABULE-24h'!D94,'19.10 KANONI-SSEMBABULE-24h'!D94)</f>
        <v>1</v>
      </c>
      <c r="E94" s="49">
        <f>AVERAGE('18.10 KANONI-SSEMBABULE-24h'!E94,'19.10 KANONI-SSEMBABULE-24h'!E94)</f>
        <v>0</v>
      </c>
      <c r="F94" s="49">
        <f>AVERAGE('18.10 KANONI-SSEMBABULE-24h'!F94,'19.10 KANONI-SSEMBABULE-24h'!F94)</f>
        <v>0.5</v>
      </c>
      <c r="G94" s="49">
        <f>AVERAGE('18.10 KANONI-SSEMBABULE-24h'!G94,'19.10 KANONI-SSEMBABULE-24h'!G94)</f>
        <v>0</v>
      </c>
      <c r="H94" s="49">
        <f>AVERAGE('18.10 KANONI-SSEMBABULE-24h'!H94,'19.10 KANONI-SSEMBABULE-24h'!H94)</f>
        <v>0.5</v>
      </c>
      <c r="I94" s="49">
        <f>AVERAGE('18.10 KANONI-SSEMBABULE-24h'!I94,'19.10 KANONI-SSEMBABULE-24h'!I94)</f>
        <v>0</v>
      </c>
      <c r="J94" s="49">
        <f>AVERAGE('18.10 KANONI-SSEMBABULE-24h'!J94,'19.10 KANONI-SSEMBABULE-24h'!J94)</f>
        <v>0.5</v>
      </c>
      <c r="K94" s="49">
        <f>AVERAGE('18.10 KANONI-SSEMBABULE-24h'!K94,'19.10 KANONI-SSEMBABULE-24h'!K94)</f>
        <v>0</v>
      </c>
      <c r="L94" s="49">
        <f>AVERAGE('18.10 KANONI-SSEMBABULE-24h'!L94,'19.10 KANONI-SSEMBABULE-24h'!L94)</f>
        <v>0.5</v>
      </c>
      <c r="M94" s="49">
        <f>AVERAGE('18.10 KANONI-SSEMBABULE-24h'!M94,'19.10 KANONI-SSEMBABULE-24h'!M94)</f>
        <v>0.5</v>
      </c>
      <c r="N94" s="49">
        <f>AVERAGE('18.10 KANONI-SSEMBABULE-24h'!N94,'19.10 KANONI-SSEMBABULE-24h'!N94)</f>
        <v>0</v>
      </c>
      <c r="O94" s="15">
        <f t="shared" si="35"/>
        <v>4</v>
      </c>
      <c r="P94" s="15">
        <f t="shared" si="36"/>
        <v>4.5</v>
      </c>
      <c r="R94" s="8"/>
      <c r="T94"/>
    </row>
    <row r="95" spans="2:20" ht="23.1" customHeight="1" x14ac:dyDescent="0.25">
      <c r="B95" s="23" t="s">
        <v>135</v>
      </c>
      <c r="C95" s="49">
        <f>AVERAGE('18.10 KANONI-SSEMBABULE-24h'!C95,'19.10 KANONI-SSEMBABULE-24h'!C95)</f>
        <v>0</v>
      </c>
      <c r="D95" s="49">
        <f>AVERAGE('18.10 KANONI-SSEMBABULE-24h'!D95,'19.10 KANONI-SSEMBABULE-24h'!D95)</f>
        <v>0</v>
      </c>
      <c r="E95" s="49">
        <f>AVERAGE('18.10 KANONI-SSEMBABULE-24h'!E95,'19.10 KANONI-SSEMBABULE-24h'!E95)</f>
        <v>0</v>
      </c>
      <c r="F95" s="49">
        <f>AVERAGE('18.10 KANONI-SSEMBABULE-24h'!F95,'19.10 KANONI-SSEMBABULE-24h'!F95)</f>
        <v>0</v>
      </c>
      <c r="G95" s="49">
        <f>AVERAGE('18.10 KANONI-SSEMBABULE-24h'!G95,'19.10 KANONI-SSEMBABULE-24h'!G95)</f>
        <v>0</v>
      </c>
      <c r="H95" s="49">
        <f>AVERAGE('18.10 KANONI-SSEMBABULE-24h'!H95,'19.10 KANONI-SSEMBABULE-24h'!H95)</f>
        <v>0</v>
      </c>
      <c r="I95" s="49">
        <f>AVERAGE('18.10 KANONI-SSEMBABULE-24h'!I95,'19.10 KANONI-SSEMBABULE-24h'!I95)</f>
        <v>1.5</v>
      </c>
      <c r="J95" s="49">
        <f>AVERAGE('18.10 KANONI-SSEMBABULE-24h'!J95,'19.10 KANONI-SSEMBABULE-24h'!J95)</f>
        <v>0</v>
      </c>
      <c r="K95" s="49">
        <f>AVERAGE('18.10 KANONI-SSEMBABULE-24h'!K95,'19.10 KANONI-SSEMBABULE-24h'!K95)</f>
        <v>0</v>
      </c>
      <c r="L95" s="49">
        <f>AVERAGE('18.10 KANONI-SSEMBABULE-24h'!L95,'19.10 KANONI-SSEMBABULE-24h'!L95)</f>
        <v>0.5</v>
      </c>
      <c r="M95" s="49">
        <f>AVERAGE('18.10 KANONI-SSEMBABULE-24h'!M95,'19.10 KANONI-SSEMBABULE-24h'!M95)</f>
        <v>0</v>
      </c>
      <c r="N95" s="49">
        <f>AVERAGE('18.10 KANONI-SSEMBABULE-24h'!N95,'19.10 KANONI-SSEMBABULE-24h'!N95)</f>
        <v>0</v>
      </c>
      <c r="O95" s="15">
        <f t="shared" si="35"/>
        <v>2</v>
      </c>
      <c r="P95" s="15">
        <f t="shared" si="36"/>
        <v>2</v>
      </c>
      <c r="R95" s="8"/>
      <c r="T95"/>
    </row>
    <row r="96" spans="2:20" ht="23.1" customHeight="1" x14ac:dyDescent="0.25">
      <c r="B96" s="25" t="s">
        <v>136</v>
      </c>
      <c r="C96" s="49">
        <f>AVERAGE('18.10 KANONI-SSEMBABULE-24h'!C96,'19.10 KANONI-SSEMBABULE-24h'!C96)</f>
        <v>0</v>
      </c>
      <c r="D96" s="49">
        <f>AVERAGE('18.10 KANONI-SSEMBABULE-24h'!D96,'19.10 KANONI-SSEMBABULE-24h'!D96)</f>
        <v>0</v>
      </c>
      <c r="E96" s="49">
        <f>AVERAGE('18.10 KANONI-SSEMBABULE-24h'!E96,'19.10 KANONI-SSEMBABULE-24h'!E96)</f>
        <v>0</v>
      </c>
      <c r="F96" s="49">
        <f>AVERAGE('18.10 KANONI-SSEMBABULE-24h'!F96,'19.10 KANONI-SSEMBABULE-24h'!F96)</f>
        <v>0</v>
      </c>
      <c r="G96" s="49">
        <f>AVERAGE('18.10 KANONI-SSEMBABULE-24h'!G96,'19.10 KANONI-SSEMBABULE-24h'!G96)</f>
        <v>1.5</v>
      </c>
      <c r="H96" s="49">
        <f>AVERAGE('18.10 KANONI-SSEMBABULE-24h'!H96,'19.10 KANONI-SSEMBABULE-24h'!H96)</f>
        <v>0</v>
      </c>
      <c r="I96" s="49">
        <f>AVERAGE('18.10 KANONI-SSEMBABULE-24h'!I96,'19.10 KANONI-SSEMBABULE-24h'!I96)</f>
        <v>0</v>
      </c>
      <c r="J96" s="49">
        <f>AVERAGE('18.10 KANONI-SSEMBABULE-24h'!J96,'19.10 KANONI-SSEMBABULE-24h'!J96)</f>
        <v>0</v>
      </c>
      <c r="K96" s="49">
        <f>AVERAGE('18.10 KANONI-SSEMBABULE-24h'!K96,'19.10 KANONI-SSEMBABULE-24h'!K96)</f>
        <v>0</v>
      </c>
      <c r="L96" s="49">
        <f>AVERAGE('18.10 KANONI-SSEMBABULE-24h'!L96,'19.10 KANONI-SSEMBABULE-24h'!L96)</f>
        <v>0.5</v>
      </c>
      <c r="M96" s="49">
        <f>AVERAGE('18.10 KANONI-SSEMBABULE-24h'!M96,'19.10 KANONI-SSEMBABULE-24h'!M96)</f>
        <v>0</v>
      </c>
      <c r="N96" s="49">
        <f>AVERAGE('18.10 KANONI-SSEMBABULE-24h'!N96,'19.10 KANONI-SSEMBABULE-24h'!N96)</f>
        <v>0</v>
      </c>
      <c r="O96" s="15">
        <f t="shared" si="35"/>
        <v>2</v>
      </c>
      <c r="P96" s="15">
        <f t="shared" si="36"/>
        <v>2</v>
      </c>
      <c r="R96" s="8"/>
      <c r="T96"/>
    </row>
    <row r="97" spans="2:20" ht="23.1" customHeight="1" x14ac:dyDescent="0.25">
      <c r="B97" s="23" t="s">
        <v>137</v>
      </c>
      <c r="C97" s="49">
        <f>AVERAGE('18.10 KANONI-SSEMBABULE-24h'!C97,'19.10 KANONI-SSEMBABULE-24h'!C97)</f>
        <v>0</v>
      </c>
      <c r="D97" s="49">
        <f>AVERAGE('18.10 KANONI-SSEMBABULE-24h'!D97,'19.10 KANONI-SSEMBABULE-24h'!D97)</f>
        <v>0.5</v>
      </c>
      <c r="E97" s="49">
        <f>AVERAGE('18.10 KANONI-SSEMBABULE-24h'!E97,'19.10 KANONI-SSEMBABULE-24h'!E97)</f>
        <v>0</v>
      </c>
      <c r="F97" s="49">
        <f>AVERAGE('18.10 KANONI-SSEMBABULE-24h'!F97,'19.10 KANONI-SSEMBABULE-24h'!F97)</f>
        <v>0</v>
      </c>
      <c r="G97" s="49">
        <f>AVERAGE('18.10 KANONI-SSEMBABULE-24h'!G97,'19.10 KANONI-SSEMBABULE-24h'!G97)</f>
        <v>0</v>
      </c>
      <c r="H97" s="49">
        <f>AVERAGE('18.10 KANONI-SSEMBABULE-24h'!H97,'19.10 KANONI-SSEMBABULE-24h'!H97)</f>
        <v>0</v>
      </c>
      <c r="I97" s="49">
        <f>AVERAGE('18.10 KANONI-SSEMBABULE-24h'!I97,'19.10 KANONI-SSEMBABULE-24h'!I97)</f>
        <v>0</v>
      </c>
      <c r="J97" s="49">
        <f>AVERAGE('18.10 KANONI-SSEMBABULE-24h'!J97,'19.10 KANONI-SSEMBABULE-24h'!J97)</f>
        <v>0</v>
      </c>
      <c r="K97" s="49">
        <f>AVERAGE('18.10 KANONI-SSEMBABULE-24h'!K97,'19.10 KANONI-SSEMBABULE-24h'!K97)</f>
        <v>0</v>
      </c>
      <c r="L97" s="49">
        <f>AVERAGE('18.10 KANONI-SSEMBABULE-24h'!L97,'19.10 KANONI-SSEMBABULE-24h'!L97)</f>
        <v>0</v>
      </c>
      <c r="M97" s="49">
        <f>AVERAGE('18.10 KANONI-SSEMBABULE-24h'!M97,'19.10 KANONI-SSEMBABULE-24h'!M97)</f>
        <v>0</v>
      </c>
      <c r="N97" s="49">
        <f>AVERAGE('18.10 KANONI-SSEMBABULE-24h'!N97,'19.10 KANONI-SSEMBABULE-24h'!N97)</f>
        <v>0</v>
      </c>
      <c r="O97" s="15">
        <f t="shared" si="35"/>
        <v>0.5</v>
      </c>
      <c r="P97" s="15">
        <f t="shared" si="36"/>
        <v>0.5</v>
      </c>
      <c r="R97" s="8"/>
      <c r="T97"/>
    </row>
    <row r="98" spans="2:20" ht="23.1" customHeight="1" x14ac:dyDescent="0.25">
      <c r="B98" s="24" t="s">
        <v>138</v>
      </c>
      <c r="C98" s="49">
        <f>AVERAGE('18.10 KANONI-SSEMBABULE-24h'!C98,'19.10 KANONI-SSEMBABULE-24h'!C98)</f>
        <v>0</v>
      </c>
      <c r="D98" s="49">
        <f>AVERAGE('18.10 KANONI-SSEMBABULE-24h'!D98,'19.10 KANONI-SSEMBABULE-24h'!D98)</f>
        <v>0</v>
      </c>
      <c r="E98" s="49">
        <f>AVERAGE('18.10 KANONI-SSEMBABULE-24h'!E98,'19.10 KANONI-SSEMBABULE-24h'!E98)</f>
        <v>0</v>
      </c>
      <c r="F98" s="49">
        <f>AVERAGE('18.10 KANONI-SSEMBABULE-24h'!F98,'19.10 KANONI-SSEMBABULE-24h'!F98)</f>
        <v>1</v>
      </c>
      <c r="G98" s="49">
        <f>AVERAGE('18.10 KANONI-SSEMBABULE-24h'!G98,'19.10 KANONI-SSEMBABULE-24h'!G98)</f>
        <v>0</v>
      </c>
      <c r="H98" s="49">
        <f>AVERAGE('18.10 KANONI-SSEMBABULE-24h'!H98,'19.10 KANONI-SSEMBABULE-24h'!H98)</f>
        <v>0</v>
      </c>
      <c r="I98" s="49">
        <f>AVERAGE('18.10 KANONI-SSEMBABULE-24h'!I98,'19.10 KANONI-SSEMBABULE-24h'!I98)</f>
        <v>0.5</v>
      </c>
      <c r="J98" s="49">
        <f>AVERAGE('18.10 KANONI-SSEMBABULE-24h'!J98,'19.10 KANONI-SSEMBABULE-24h'!J98)</f>
        <v>0</v>
      </c>
      <c r="K98" s="49">
        <f>AVERAGE('18.10 KANONI-SSEMBABULE-24h'!K98,'19.10 KANONI-SSEMBABULE-24h'!K98)</f>
        <v>0.5</v>
      </c>
      <c r="L98" s="49">
        <f>AVERAGE('18.10 KANONI-SSEMBABULE-24h'!L98,'19.10 KANONI-SSEMBABULE-24h'!L98)</f>
        <v>0</v>
      </c>
      <c r="M98" s="49">
        <f>AVERAGE('18.10 KANONI-SSEMBABULE-24h'!M98,'19.10 KANONI-SSEMBABULE-24h'!M98)</f>
        <v>0</v>
      </c>
      <c r="N98" s="49">
        <f>AVERAGE('18.10 KANONI-SSEMBABULE-24h'!N98,'19.10 KANONI-SSEMBABULE-24h'!N98)</f>
        <v>0</v>
      </c>
      <c r="O98" s="15">
        <f t="shared" si="35"/>
        <v>2</v>
      </c>
      <c r="P98" s="15">
        <f t="shared" si="36"/>
        <v>2</v>
      </c>
      <c r="R98" s="8"/>
      <c r="T98"/>
    </row>
    <row r="99" spans="2:20" ht="23.1" customHeight="1" x14ac:dyDescent="0.25">
      <c r="B99" s="23" t="s">
        <v>139</v>
      </c>
      <c r="C99" s="49">
        <f>AVERAGE('18.10 KANONI-SSEMBABULE-24h'!C99,'19.10 KANONI-SSEMBABULE-24h'!C99)</f>
        <v>0.5</v>
      </c>
      <c r="D99" s="49">
        <f>AVERAGE('18.10 KANONI-SSEMBABULE-24h'!D99,'19.10 KANONI-SSEMBABULE-24h'!D99)</f>
        <v>0</v>
      </c>
      <c r="E99" s="49">
        <f>AVERAGE('18.10 KANONI-SSEMBABULE-24h'!E99,'19.10 KANONI-SSEMBABULE-24h'!E99)</f>
        <v>0</v>
      </c>
      <c r="F99" s="49">
        <f>AVERAGE('18.10 KANONI-SSEMBABULE-24h'!F99,'19.10 KANONI-SSEMBABULE-24h'!F99)</f>
        <v>0</v>
      </c>
      <c r="G99" s="49">
        <f>AVERAGE('18.10 KANONI-SSEMBABULE-24h'!G99,'19.10 KANONI-SSEMBABULE-24h'!G99)</f>
        <v>0</v>
      </c>
      <c r="H99" s="49">
        <f>AVERAGE('18.10 KANONI-SSEMBABULE-24h'!H99,'19.10 KANONI-SSEMBABULE-24h'!H99)</f>
        <v>0</v>
      </c>
      <c r="I99" s="49">
        <f>AVERAGE('18.10 KANONI-SSEMBABULE-24h'!I99,'19.10 KANONI-SSEMBABULE-24h'!I99)</f>
        <v>0</v>
      </c>
      <c r="J99" s="49">
        <f>AVERAGE('18.10 KANONI-SSEMBABULE-24h'!J99,'19.10 KANONI-SSEMBABULE-24h'!J99)</f>
        <v>1</v>
      </c>
      <c r="K99" s="49">
        <f>AVERAGE('18.10 KANONI-SSEMBABULE-24h'!K99,'19.10 KANONI-SSEMBABULE-24h'!K99)</f>
        <v>0</v>
      </c>
      <c r="L99" s="49">
        <f>AVERAGE('18.10 KANONI-SSEMBABULE-24h'!L99,'19.10 KANONI-SSEMBABULE-24h'!L99)</f>
        <v>0</v>
      </c>
      <c r="M99" s="49">
        <f>AVERAGE('18.10 KANONI-SSEMBABULE-24h'!M99,'19.10 KANONI-SSEMBABULE-24h'!M99)</f>
        <v>0</v>
      </c>
      <c r="N99" s="49">
        <f>AVERAGE('18.10 KANONI-SSEMBABULE-24h'!N99,'19.10 KANONI-SSEMBABULE-24h'!N99)</f>
        <v>0</v>
      </c>
      <c r="O99" s="15">
        <f t="shared" si="35"/>
        <v>1.5</v>
      </c>
      <c r="P99" s="15">
        <f t="shared" si="36"/>
        <v>1.5</v>
      </c>
      <c r="R99" s="8"/>
      <c r="T99"/>
    </row>
    <row r="100" spans="2:20" ht="23.1" customHeight="1" x14ac:dyDescent="0.25">
      <c r="B100" s="25" t="s">
        <v>140</v>
      </c>
      <c r="C100" s="49">
        <f>AVERAGE('18.10 KANONI-SSEMBABULE-24h'!C100,'19.10 KANONI-SSEMBABULE-24h'!C100)</f>
        <v>0</v>
      </c>
      <c r="D100" s="49">
        <f>AVERAGE('18.10 KANONI-SSEMBABULE-24h'!D100,'19.10 KANONI-SSEMBABULE-24h'!D100)</f>
        <v>0</v>
      </c>
      <c r="E100" s="49">
        <f>AVERAGE('18.10 KANONI-SSEMBABULE-24h'!E100,'19.10 KANONI-SSEMBABULE-24h'!E100)</f>
        <v>0</v>
      </c>
      <c r="F100" s="49">
        <f>AVERAGE('18.10 KANONI-SSEMBABULE-24h'!F100,'19.10 KANONI-SSEMBABULE-24h'!F100)</f>
        <v>0</v>
      </c>
      <c r="G100" s="49">
        <f>AVERAGE('18.10 KANONI-SSEMBABULE-24h'!G100,'19.10 KANONI-SSEMBABULE-24h'!G100)</f>
        <v>0</v>
      </c>
      <c r="H100" s="49">
        <f>AVERAGE('18.10 KANONI-SSEMBABULE-24h'!H100,'19.10 KANONI-SSEMBABULE-24h'!H100)</f>
        <v>0</v>
      </c>
      <c r="I100" s="49">
        <f>AVERAGE('18.10 KANONI-SSEMBABULE-24h'!I100,'19.10 KANONI-SSEMBABULE-24h'!I100)</f>
        <v>0</v>
      </c>
      <c r="J100" s="49">
        <f>AVERAGE('18.10 KANONI-SSEMBABULE-24h'!J100,'19.10 KANONI-SSEMBABULE-24h'!J100)</f>
        <v>0</v>
      </c>
      <c r="K100" s="49">
        <f>AVERAGE('18.10 KANONI-SSEMBABULE-24h'!K100,'19.10 KANONI-SSEMBABULE-24h'!K100)</f>
        <v>0</v>
      </c>
      <c r="L100" s="49">
        <f>AVERAGE('18.10 KANONI-SSEMBABULE-24h'!L100,'19.10 KANONI-SSEMBABULE-24h'!L100)</f>
        <v>0</v>
      </c>
      <c r="M100" s="49">
        <f>AVERAGE('18.10 KANONI-SSEMBABULE-24h'!M100,'19.10 KANONI-SSEMBABULE-24h'!M100)</f>
        <v>0</v>
      </c>
      <c r="N100" s="49">
        <f>AVERAGE('18.10 KANONI-SSEMBABULE-24h'!N100,'19.10 KANONI-SSEMBABULE-24h'!N100)</f>
        <v>0</v>
      </c>
      <c r="O100" s="15">
        <f t="shared" si="35"/>
        <v>0</v>
      </c>
      <c r="P100" s="15">
        <f t="shared" si="36"/>
        <v>0</v>
      </c>
      <c r="R100" s="8"/>
      <c r="T100"/>
    </row>
    <row r="101" spans="2:20" ht="23.1" customHeight="1" x14ac:dyDescent="0.25">
      <c r="B101" s="23" t="s">
        <v>141</v>
      </c>
      <c r="C101" s="49">
        <f>AVERAGE('18.10 KANONI-SSEMBABULE-24h'!C101,'19.10 KANONI-SSEMBABULE-24h'!C101)</f>
        <v>0.5</v>
      </c>
      <c r="D101" s="49">
        <f>AVERAGE('18.10 KANONI-SSEMBABULE-24h'!D101,'19.10 KANONI-SSEMBABULE-24h'!D101)</f>
        <v>0</v>
      </c>
      <c r="E101" s="49">
        <f>AVERAGE('18.10 KANONI-SSEMBABULE-24h'!E101,'19.10 KANONI-SSEMBABULE-24h'!E101)</f>
        <v>0</v>
      </c>
      <c r="F101" s="49">
        <f>AVERAGE('18.10 KANONI-SSEMBABULE-24h'!F101,'19.10 KANONI-SSEMBABULE-24h'!F101)</f>
        <v>0.5</v>
      </c>
      <c r="G101" s="49">
        <f>AVERAGE('18.10 KANONI-SSEMBABULE-24h'!G101,'19.10 KANONI-SSEMBABULE-24h'!G101)</f>
        <v>0</v>
      </c>
      <c r="H101" s="49">
        <f>AVERAGE('18.10 KANONI-SSEMBABULE-24h'!H101,'19.10 KANONI-SSEMBABULE-24h'!H101)</f>
        <v>0</v>
      </c>
      <c r="I101" s="49">
        <f>AVERAGE('18.10 KANONI-SSEMBABULE-24h'!I101,'19.10 KANONI-SSEMBABULE-24h'!I101)</f>
        <v>0</v>
      </c>
      <c r="J101" s="49">
        <f>AVERAGE('18.10 KANONI-SSEMBABULE-24h'!J101,'19.10 KANONI-SSEMBABULE-24h'!J101)</f>
        <v>0</v>
      </c>
      <c r="K101" s="49">
        <f>AVERAGE('18.10 KANONI-SSEMBABULE-24h'!K101,'19.10 KANONI-SSEMBABULE-24h'!K101)</f>
        <v>0</v>
      </c>
      <c r="L101" s="49">
        <f>AVERAGE('18.10 KANONI-SSEMBABULE-24h'!L101,'19.10 KANONI-SSEMBABULE-24h'!L101)</f>
        <v>0</v>
      </c>
      <c r="M101" s="49">
        <f>AVERAGE('18.10 KANONI-SSEMBABULE-24h'!M101,'19.10 KANONI-SSEMBABULE-24h'!M101)</f>
        <v>0.5</v>
      </c>
      <c r="N101" s="49">
        <f>AVERAGE('18.10 KANONI-SSEMBABULE-24h'!N101,'19.10 KANONI-SSEMBABULE-24h'!N101)</f>
        <v>0</v>
      </c>
      <c r="O101" s="15">
        <f t="shared" si="35"/>
        <v>1</v>
      </c>
      <c r="P101" s="15">
        <f t="shared" si="36"/>
        <v>1.5</v>
      </c>
      <c r="R101" s="8"/>
      <c r="T101"/>
    </row>
    <row r="102" spans="2:20" ht="23.1" customHeight="1" x14ac:dyDescent="0.25">
      <c r="B102" s="24" t="s">
        <v>142</v>
      </c>
      <c r="C102" s="49">
        <f>AVERAGE('18.10 KANONI-SSEMBABULE-24h'!C102,'19.10 KANONI-SSEMBABULE-24h'!C102)</f>
        <v>0</v>
      </c>
      <c r="D102" s="49">
        <f>AVERAGE('18.10 KANONI-SSEMBABULE-24h'!D102,'19.10 KANONI-SSEMBABULE-24h'!D102)</f>
        <v>0</v>
      </c>
      <c r="E102" s="49">
        <f>AVERAGE('18.10 KANONI-SSEMBABULE-24h'!E102,'19.10 KANONI-SSEMBABULE-24h'!E102)</f>
        <v>0</v>
      </c>
      <c r="F102" s="49">
        <f>AVERAGE('18.10 KANONI-SSEMBABULE-24h'!F102,'19.10 KANONI-SSEMBABULE-24h'!F102)</f>
        <v>0.5</v>
      </c>
      <c r="G102" s="49">
        <f>AVERAGE('18.10 KANONI-SSEMBABULE-24h'!G102,'19.10 KANONI-SSEMBABULE-24h'!G102)</f>
        <v>1</v>
      </c>
      <c r="H102" s="49">
        <f>AVERAGE('18.10 KANONI-SSEMBABULE-24h'!H102,'19.10 KANONI-SSEMBABULE-24h'!H102)</f>
        <v>0</v>
      </c>
      <c r="I102" s="49">
        <f>AVERAGE('18.10 KANONI-SSEMBABULE-24h'!I102,'19.10 KANONI-SSEMBABULE-24h'!I102)</f>
        <v>0</v>
      </c>
      <c r="J102" s="49">
        <f>AVERAGE('18.10 KANONI-SSEMBABULE-24h'!J102,'19.10 KANONI-SSEMBABULE-24h'!J102)</f>
        <v>0</v>
      </c>
      <c r="K102" s="49">
        <f>AVERAGE('18.10 KANONI-SSEMBABULE-24h'!K102,'19.10 KANONI-SSEMBABULE-24h'!K102)</f>
        <v>0</v>
      </c>
      <c r="L102" s="49">
        <f>AVERAGE('18.10 KANONI-SSEMBABULE-24h'!L102,'19.10 KANONI-SSEMBABULE-24h'!L102)</f>
        <v>0</v>
      </c>
      <c r="M102" s="49">
        <f>AVERAGE('18.10 KANONI-SSEMBABULE-24h'!M102,'19.10 KANONI-SSEMBABULE-24h'!M102)</f>
        <v>0</v>
      </c>
      <c r="N102" s="49">
        <f>AVERAGE('18.10 KANONI-SSEMBABULE-24h'!N102,'19.10 KANONI-SSEMBABULE-24h'!N102)</f>
        <v>0</v>
      </c>
      <c r="O102" s="15">
        <f t="shared" si="35"/>
        <v>1.5</v>
      </c>
      <c r="P102" s="15">
        <f t="shared" si="36"/>
        <v>1.5</v>
      </c>
      <c r="R102" s="8"/>
      <c r="T102"/>
    </row>
    <row r="103" spans="2:20" ht="23.1" customHeight="1" x14ac:dyDescent="0.25">
      <c r="B103" s="23" t="s">
        <v>143</v>
      </c>
      <c r="C103" s="49">
        <f>AVERAGE('18.10 KANONI-SSEMBABULE-24h'!C103,'19.10 KANONI-SSEMBABULE-24h'!C103)</f>
        <v>0</v>
      </c>
      <c r="D103" s="49">
        <f>AVERAGE('18.10 KANONI-SSEMBABULE-24h'!D103,'19.10 KANONI-SSEMBABULE-24h'!D103)</f>
        <v>0</v>
      </c>
      <c r="E103" s="49">
        <f>AVERAGE('18.10 KANONI-SSEMBABULE-24h'!E103,'19.10 KANONI-SSEMBABULE-24h'!E103)</f>
        <v>0</v>
      </c>
      <c r="F103" s="49">
        <f>AVERAGE('18.10 KANONI-SSEMBABULE-24h'!F103,'19.10 KANONI-SSEMBABULE-24h'!F103)</f>
        <v>0</v>
      </c>
      <c r="G103" s="49">
        <f>AVERAGE('18.10 KANONI-SSEMBABULE-24h'!G103,'19.10 KANONI-SSEMBABULE-24h'!G103)</f>
        <v>0</v>
      </c>
      <c r="H103" s="49">
        <f>AVERAGE('18.10 KANONI-SSEMBABULE-24h'!H103,'19.10 KANONI-SSEMBABULE-24h'!H103)</f>
        <v>0</v>
      </c>
      <c r="I103" s="49">
        <f>AVERAGE('18.10 KANONI-SSEMBABULE-24h'!I103,'19.10 KANONI-SSEMBABULE-24h'!I103)</f>
        <v>0</v>
      </c>
      <c r="J103" s="49">
        <f>AVERAGE('18.10 KANONI-SSEMBABULE-24h'!J103,'19.10 KANONI-SSEMBABULE-24h'!J103)</f>
        <v>1</v>
      </c>
      <c r="K103" s="49">
        <f>AVERAGE('18.10 KANONI-SSEMBABULE-24h'!K103,'19.10 KANONI-SSEMBABULE-24h'!K103)</f>
        <v>0</v>
      </c>
      <c r="L103" s="49">
        <f>AVERAGE('18.10 KANONI-SSEMBABULE-24h'!L103,'19.10 KANONI-SSEMBABULE-24h'!L103)</f>
        <v>0</v>
      </c>
      <c r="M103" s="49">
        <f>AVERAGE('18.10 KANONI-SSEMBABULE-24h'!M103,'19.10 KANONI-SSEMBABULE-24h'!M103)</f>
        <v>0</v>
      </c>
      <c r="N103" s="49">
        <f>AVERAGE('18.10 KANONI-SSEMBABULE-24h'!N103,'19.10 KANONI-SSEMBABULE-24h'!N103)</f>
        <v>0</v>
      </c>
      <c r="O103" s="15">
        <f t="shared" si="35"/>
        <v>1</v>
      </c>
      <c r="P103" s="15">
        <f t="shared" si="36"/>
        <v>1</v>
      </c>
      <c r="R103" s="8"/>
      <c r="T103"/>
    </row>
    <row r="104" spans="2:20" ht="23.1" customHeight="1" x14ac:dyDescent="0.25">
      <c r="B104" s="25" t="s">
        <v>144</v>
      </c>
      <c r="C104" s="49">
        <f>AVERAGE('18.10 KANONI-SSEMBABULE-24h'!C104,'19.10 KANONI-SSEMBABULE-24h'!C104)</f>
        <v>0</v>
      </c>
      <c r="D104" s="49">
        <f>AVERAGE('18.10 KANONI-SSEMBABULE-24h'!D104,'19.10 KANONI-SSEMBABULE-24h'!D104)</f>
        <v>0.5</v>
      </c>
      <c r="E104" s="49">
        <f>AVERAGE('18.10 KANONI-SSEMBABULE-24h'!E104,'19.10 KANONI-SSEMBABULE-24h'!E104)</f>
        <v>0</v>
      </c>
      <c r="F104" s="49">
        <f>AVERAGE('18.10 KANONI-SSEMBABULE-24h'!F104,'19.10 KANONI-SSEMBABULE-24h'!F104)</f>
        <v>1</v>
      </c>
      <c r="G104" s="49">
        <f>AVERAGE('18.10 KANONI-SSEMBABULE-24h'!G104,'19.10 KANONI-SSEMBABULE-24h'!G104)</f>
        <v>0</v>
      </c>
      <c r="H104" s="49">
        <f>AVERAGE('18.10 KANONI-SSEMBABULE-24h'!H104,'19.10 KANONI-SSEMBABULE-24h'!H104)</f>
        <v>0.5</v>
      </c>
      <c r="I104" s="49">
        <f>AVERAGE('18.10 KANONI-SSEMBABULE-24h'!I104,'19.10 KANONI-SSEMBABULE-24h'!I104)</f>
        <v>0</v>
      </c>
      <c r="J104" s="49">
        <f>AVERAGE('18.10 KANONI-SSEMBABULE-24h'!J104,'19.10 KANONI-SSEMBABULE-24h'!J104)</f>
        <v>0</v>
      </c>
      <c r="K104" s="49">
        <f>AVERAGE('18.10 KANONI-SSEMBABULE-24h'!K104,'19.10 KANONI-SSEMBABULE-24h'!K104)</f>
        <v>0</v>
      </c>
      <c r="L104" s="49">
        <f>AVERAGE('18.10 KANONI-SSEMBABULE-24h'!L104,'19.10 KANONI-SSEMBABULE-24h'!L104)</f>
        <v>0</v>
      </c>
      <c r="M104" s="49">
        <f>AVERAGE('18.10 KANONI-SSEMBABULE-24h'!M104,'19.10 KANONI-SSEMBABULE-24h'!M104)</f>
        <v>3.5</v>
      </c>
      <c r="N104" s="49">
        <f>AVERAGE('18.10 KANONI-SSEMBABULE-24h'!N104,'19.10 KANONI-SSEMBABULE-24h'!N104)</f>
        <v>0</v>
      </c>
      <c r="O104" s="15">
        <f t="shared" si="35"/>
        <v>2</v>
      </c>
      <c r="P104" s="15">
        <f t="shared" si="36"/>
        <v>5.5</v>
      </c>
      <c r="R104" s="8"/>
      <c r="T104"/>
    </row>
    <row r="105" spans="2:20" ht="23.1" customHeight="1" x14ac:dyDescent="0.25">
      <c r="B105" s="23" t="s">
        <v>145</v>
      </c>
      <c r="C105" s="49">
        <f>AVERAGE('18.10 KANONI-SSEMBABULE-24h'!C105,'19.10 KANONI-SSEMBABULE-24h'!C105)</f>
        <v>0</v>
      </c>
      <c r="D105" s="49">
        <f>AVERAGE('18.10 KANONI-SSEMBABULE-24h'!D105,'19.10 KANONI-SSEMBABULE-24h'!D105)</f>
        <v>1</v>
      </c>
      <c r="E105" s="49">
        <f>AVERAGE('18.10 KANONI-SSEMBABULE-24h'!E105,'19.10 KANONI-SSEMBABULE-24h'!E105)</f>
        <v>2.5</v>
      </c>
      <c r="F105" s="49">
        <f>AVERAGE('18.10 KANONI-SSEMBABULE-24h'!F105,'19.10 KANONI-SSEMBABULE-24h'!F105)</f>
        <v>0</v>
      </c>
      <c r="G105" s="49">
        <f>AVERAGE('18.10 KANONI-SSEMBABULE-24h'!G105,'19.10 KANONI-SSEMBABULE-24h'!G105)</f>
        <v>0</v>
      </c>
      <c r="H105" s="49">
        <f>AVERAGE('18.10 KANONI-SSEMBABULE-24h'!H105,'19.10 KANONI-SSEMBABULE-24h'!H105)</f>
        <v>0</v>
      </c>
      <c r="I105" s="49">
        <f>AVERAGE('18.10 KANONI-SSEMBABULE-24h'!I105,'19.10 KANONI-SSEMBABULE-24h'!I105)</f>
        <v>1</v>
      </c>
      <c r="J105" s="49">
        <f>AVERAGE('18.10 KANONI-SSEMBABULE-24h'!J105,'19.10 KANONI-SSEMBABULE-24h'!J105)</f>
        <v>0</v>
      </c>
      <c r="K105" s="49">
        <f>AVERAGE('18.10 KANONI-SSEMBABULE-24h'!K105,'19.10 KANONI-SSEMBABULE-24h'!K105)</f>
        <v>0</v>
      </c>
      <c r="L105" s="49">
        <f>AVERAGE('18.10 KANONI-SSEMBABULE-24h'!L105,'19.10 KANONI-SSEMBABULE-24h'!L105)</f>
        <v>0</v>
      </c>
      <c r="M105" s="49">
        <f>AVERAGE('18.10 KANONI-SSEMBABULE-24h'!M105,'19.10 KANONI-SSEMBABULE-24h'!M105)</f>
        <v>5</v>
      </c>
      <c r="N105" s="49">
        <f>AVERAGE('18.10 KANONI-SSEMBABULE-24h'!N105,'19.10 KANONI-SSEMBABULE-24h'!N105)</f>
        <v>0</v>
      </c>
      <c r="O105" s="15">
        <f t="shared" si="35"/>
        <v>4.5</v>
      </c>
      <c r="P105" s="15">
        <f t="shared" si="36"/>
        <v>9.5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73.357142857142875</v>
      </c>
      <c r="D106" s="16">
        <f t="shared" ref="D106:P106" si="37">SUM(D10:D105)</f>
        <v>39.142857142857139</v>
      </c>
      <c r="E106" s="16">
        <f t="shared" si="37"/>
        <v>19.642857142857142</v>
      </c>
      <c r="F106" s="16">
        <f t="shared" si="37"/>
        <v>31.571428571428562</v>
      </c>
      <c r="G106" s="16">
        <f t="shared" si="37"/>
        <v>6.5</v>
      </c>
      <c r="H106" s="16">
        <f t="shared" si="37"/>
        <v>3.2142857142857144</v>
      </c>
      <c r="I106" s="16">
        <f t="shared" si="37"/>
        <v>42.000000000000014</v>
      </c>
      <c r="J106" s="16">
        <f t="shared" si="37"/>
        <v>30</v>
      </c>
      <c r="K106" s="16">
        <f t="shared" si="37"/>
        <v>31.857142857142865</v>
      </c>
      <c r="L106" s="16">
        <f t="shared" si="37"/>
        <v>8.6428571428571423</v>
      </c>
      <c r="M106" s="16">
        <f t="shared" si="37"/>
        <v>505.21428571428567</v>
      </c>
      <c r="N106" s="16">
        <f t="shared" si="37"/>
        <v>0.14285714285714285</v>
      </c>
      <c r="O106" s="16">
        <f t="shared" si="37"/>
        <v>286.07142857142856</v>
      </c>
      <c r="P106" s="16">
        <f t="shared" si="37"/>
        <v>791.28571428571445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9.2706264668712762E-2</v>
      </c>
      <c r="D107" s="43">
        <f t="shared" si="38"/>
        <v>4.9467412890413419E-2</v>
      </c>
      <c r="E107" s="43">
        <f t="shared" si="38"/>
        <v>2.4823975446831553E-2</v>
      </c>
      <c r="F107" s="43">
        <f t="shared" si="38"/>
        <v>3.9898898718180156E-2</v>
      </c>
      <c r="G107" s="43">
        <f t="shared" si="38"/>
        <v>8.2144791478606233E-3</v>
      </c>
      <c r="H107" s="43">
        <f t="shared" si="38"/>
        <v>4.062105073117891E-3</v>
      </c>
      <c r="I107" s="43">
        <f t="shared" si="38"/>
        <v>5.3078172955407121E-2</v>
      </c>
      <c r="J107" s="43">
        <f t="shared" si="38"/>
        <v>3.7912980682433643E-2</v>
      </c>
      <c r="K107" s="43">
        <f t="shared" si="38"/>
        <v>4.0259974724679549E-2</v>
      </c>
      <c r="L107" s="43">
        <f t="shared" si="38"/>
        <v>1.0922549196605883E-2</v>
      </c>
      <c r="M107" s="43">
        <f t="shared" si="38"/>
        <v>0.63847264849250751</v>
      </c>
      <c r="N107" s="43">
        <f t="shared" si="38"/>
        <v>1.8053800324968402E-4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0.25642946317103626</v>
      </c>
      <c r="D108" s="44">
        <f t="shared" ref="D108:N108" si="39">D106/$O$106</f>
        <v>0.13682896379525591</v>
      </c>
      <c r="E108" s="44">
        <f t="shared" si="39"/>
        <v>6.8664169787765295E-2</v>
      </c>
      <c r="F108" s="44">
        <f t="shared" si="39"/>
        <v>0.11036204744069911</v>
      </c>
      <c r="G108" s="44">
        <f t="shared" si="39"/>
        <v>2.272159800249688E-2</v>
      </c>
      <c r="H108" s="44">
        <f t="shared" si="39"/>
        <v>1.1235955056179777E-2</v>
      </c>
      <c r="I108" s="44">
        <f t="shared" si="39"/>
        <v>0.14681647940074913</v>
      </c>
      <c r="J108" s="44">
        <f t="shared" si="39"/>
        <v>0.10486891385767791</v>
      </c>
      <c r="K108" s="44">
        <f t="shared" si="39"/>
        <v>0.11136079900124847</v>
      </c>
      <c r="L108" s="44">
        <f t="shared" si="39"/>
        <v>3.0212234706616728E-2</v>
      </c>
      <c r="M108" s="44"/>
      <c r="N108" s="44">
        <f t="shared" si="39"/>
        <v>4.9937578027465666E-4</v>
      </c>
      <c r="Q108" s="7"/>
      <c r="R108" s="8"/>
      <c r="T108"/>
    </row>
    <row r="109" spans="2:20" ht="20.10000000000000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0.10000000000000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0.10000000000000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0.10000000000000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0.10000000000000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0.10000000000000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0.10000000000000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0.10000000000000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0.10000000000000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0.10000000000000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0.10000000000000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0.10000000000000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0.10000000000000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0.10000000000000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0.10000000000000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0.10000000000000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0.10000000000000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0.10000000000000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0.10000000000000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0.10000000000000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0.10000000000000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0.10000000000000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0.10000000000000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0.10000000000000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0.10000000000000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0.10000000000000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0.10000000000000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0.10000000000000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0.10000000000000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2.5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0.10000000000000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0.10000000000000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0.10000000000000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0.10000000000000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0.10000000000000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0.10000000000000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0.10000000000000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0.10000000000000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0.10000000000000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0.10000000000000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0.10000000000000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0.10000000000000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0.10000000000000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0.10000000000000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0.10000000000000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0.10000000000000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0.10000000000000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0.10000000000000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0.10000000000000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0.10000000000000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0.10000000000000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0.10000000000000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10">
    <mergeCell ref="B1:AE1"/>
    <mergeCell ref="B2:AE2"/>
    <mergeCell ref="C3:G3"/>
    <mergeCell ref="G5:H5"/>
    <mergeCell ref="G6:H6"/>
    <mergeCell ref="R8:AF8"/>
    <mergeCell ref="D6:E6"/>
    <mergeCell ref="K5:L5"/>
    <mergeCell ref="K6:L6"/>
    <mergeCell ref="D5:E5"/>
  </mergeCells>
  <pageMargins left="0" right="0" top="0" bottom="0" header="0.15748031496063" footer="0.118110236220472"/>
  <pageSetup paperSize="9" scale="21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B1:AF174"/>
  <sheetViews>
    <sheetView view="pageBreakPreview" topLeftCell="N40" zoomScale="60" workbookViewId="0">
      <selection activeCell="T103" sqref="T103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1" t="s">
        <v>23</v>
      </c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</row>
    <row r="2" spans="2:32" ht="20.100000000000001" customHeight="1" x14ac:dyDescent="0.25">
      <c r="B2" s="62" t="s">
        <v>95</v>
      </c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</row>
    <row r="3" spans="2:32" ht="20.100000000000001" customHeight="1" x14ac:dyDescent="0.25">
      <c r="B3" s="22" t="s">
        <v>96</v>
      </c>
      <c r="C3" s="68" t="str">
        <f>'23.10 KANONI-SSEMBABULE'!C3:G3</f>
        <v>SSEMBABULE-KABULASOKE ROAD</v>
      </c>
      <c r="D3" s="68"/>
      <c r="E3" s="68"/>
      <c r="F3" s="68"/>
      <c r="G3" s="68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66" t="s">
        <v>164</v>
      </c>
      <c r="E5" s="67"/>
      <c r="F5" s="41" t="s">
        <v>1</v>
      </c>
      <c r="G5" s="64" t="str">
        <f>'Avg Week Kanoni-Ssembabule'!G5:H5</f>
        <v>KYABI</v>
      </c>
      <c r="H5" s="65"/>
      <c r="I5" s="14"/>
      <c r="J5" s="2" t="s">
        <v>5</v>
      </c>
      <c r="K5" s="64" t="str">
        <f>'Avg Week Kanoni-Ssembabule'!K5:L5</f>
        <v>XXXX</v>
      </c>
      <c r="L5" s="65"/>
      <c r="M5" s="10"/>
      <c r="N5" s="10"/>
      <c r="O5" s="3"/>
      <c r="P5" s="3"/>
    </row>
    <row r="6" spans="2:32" ht="23.25" customHeight="1" x14ac:dyDescent="0.25">
      <c r="C6" s="2" t="s">
        <v>4</v>
      </c>
      <c r="D6" s="69" t="s">
        <v>161</v>
      </c>
      <c r="E6" s="70"/>
      <c r="F6" s="2" t="s">
        <v>2</v>
      </c>
      <c r="G6" s="69" t="s">
        <v>161</v>
      </c>
      <c r="H6" s="70"/>
      <c r="J6" s="2" t="s">
        <v>21</v>
      </c>
      <c r="K6" s="64" t="str">
        <f>'Avg Week Kanoni-Ssembabule'!K6:L6</f>
        <v>ONYUTI BETTY</v>
      </c>
      <c r="L6" s="65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0" t="s">
        <v>88</v>
      </c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49">
        <f>'Avg Week Ssembabule-Kanoni'!C10+'Avg Week Kanoni-Ssembabule'!C10</f>
        <v>1.4285714285714286</v>
      </c>
      <c r="D10" s="49">
        <f>'Avg Week Ssembabule-Kanoni'!D10+'Avg Week Kanoni-Ssembabule'!D10</f>
        <v>0.5714285714285714</v>
      </c>
      <c r="E10" s="49">
        <f>'Avg Week Ssembabule-Kanoni'!E10+'Avg Week Kanoni-Ssembabule'!E10</f>
        <v>0.2857142857142857</v>
      </c>
      <c r="F10" s="49">
        <f>'Avg Week Ssembabule-Kanoni'!F10+'Avg Week Kanoni-Ssembabule'!F10</f>
        <v>1.7142857142857144</v>
      </c>
      <c r="G10" s="49">
        <f>'Avg Week Ssembabule-Kanoni'!G10+'Avg Week Kanoni-Ssembabule'!G10</f>
        <v>0.42857142857142855</v>
      </c>
      <c r="H10" s="49">
        <f>'Avg Week Ssembabule-Kanoni'!H10+'Avg Week Kanoni-Ssembabule'!H10</f>
        <v>0</v>
      </c>
      <c r="I10" s="49">
        <f>'Avg Week Ssembabule-Kanoni'!I10+'Avg Week Kanoni-Ssembabule'!I10</f>
        <v>1.2857142857142856</v>
      </c>
      <c r="J10" s="49">
        <f>'Avg Week Ssembabule-Kanoni'!J10+'Avg Week Kanoni-Ssembabule'!J10</f>
        <v>0.2857142857142857</v>
      </c>
      <c r="K10" s="49">
        <f>'Avg Week Ssembabule-Kanoni'!K10+'Avg Week Kanoni-Ssembabule'!K10</f>
        <v>0.14285714285714285</v>
      </c>
      <c r="L10" s="49">
        <f>'Avg Week Ssembabule-Kanoni'!L10+'Avg Week Kanoni-Ssembabule'!L10</f>
        <v>0</v>
      </c>
      <c r="M10" s="49">
        <f>'Avg Week Ssembabule-Kanoni'!M10+'Avg Week Kanoni-Ssembabule'!M10</f>
        <v>11.285714285714286</v>
      </c>
      <c r="N10" s="49">
        <f>'Avg Week Ssembabule-Kanoni'!N10+'Avg Week Kanoni-Ssembabule'!N10</f>
        <v>0</v>
      </c>
      <c r="O10" s="15">
        <f t="shared" ref="O10:O73" si="0">SUM(C10:L10,N10)</f>
        <v>6.1428571428571432</v>
      </c>
      <c r="P10" s="15">
        <f t="shared" ref="P10:P73" si="1">SUM(C10:N10)</f>
        <v>17.428571428571431</v>
      </c>
      <c r="R10" s="1" t="s">
        <v>6</v>
      </c>
      <c r="S10" s="17">
        <f t="shared" ref="S10:AF10" si="2">SUM(C10:C13)</f>
        <v>7.7142857142857144</v>
      </c>
      <c r="T10" s="17">
        <f t="shared" si="2"/>
        <v>2.1428571428571428</v>
      </c>
      <c r="U10" s="17">
        <f t="shared" si="2"/>
        <v>1.714285714285714</v>
      </c>
      <c r="V10" s="17">
        <f t="shared" si="2"/>
        <v>4.1428571428571423</v>
      </c>
      <c r="W10" s="17">
        <f t="shared" si="2"/>
        <v>0.5714285714285714</v>
      </c>
      <c r="X10" s="17">
        <f t="shared" si="2"/>
        <v>0.2857142857142857</v>
      </c>
      <c r="Y10" s="17">
        <f t="shared" si="2"/>
        <v>4.9999999999999991</v>
      </c>
      <c r="Z10" s="17">
        <f t="shared" si="2"/>
        <v>1.5714285714285712</v>
      </c>
      <c r="AA10" s="17">
        <f t="shared" si="2"/>
        <v>1.7142857142857144</v>
      </c>
      <c r="AB10" s="17">
        <f t="shared" si="2"/>
        <v>0</v>
      </c>
      <c r="AC10" s="17">
        <f t="shared" si="2"/>
        <v>51.428571428571431</v>
      </c>
      <c r="AD10" s="17">
        <f t="shared" si="2"/>
        <v>0</v>
      </c>
      <c r="AE10" s="31">
        <f t="shared" si="2"/>
        <v>24.857142857142858</v>
      </c>
      <c r="AF10" s="31">
        <f t="shared" si="2"/>
        <v>76.285714285714292</v>
      </c>
    </row>
    <row r="11" spans="2:32" s="6" customFormat="1" ht="23.1" customHeight="1" x14ac:dyDescent="0.25">
      <c r="B11" s="23" t="s">
        <v>38</v>
      </c>
      <c r="C11" s="49">
        <f>'Avg Week Ssembabule-Kanoni'!C11+'Avg Week Kanoni-Ssembabule'!C11</f>
        <v>2.1428571428571428</v>
      </c>
      <c r="D11" s="49">
        <f>'Avg Week Ssembabule-Kanoni'!D11+'Avg Week Kanoni-Ssembabule'!D11</f>
        <v>0.14285714285714285</v>
      </c>
      <c r="E11" s="49">
        <f>'Avg Week Ssembabule-Kanoni'!E11+'Avg Week Kanoni-Ssembabule'!E11</f>
        <v>0.5714285714285714</v>
      </c>
      <c r="F11" s="49">
        <f>'Avg Week Ssembabule-Kanoni'!F11+'Avg Week Kanoni-Ssembabule'!F11</f>
        <v>0.5714285714285714</v>
      </c>
      <c r="G11" s="49">
        <f>'Avg Week Ssembabule-Kanoni'!G11+'Avg Week Kanoni-Ssembabule'!G11</f>
        <v>0</v>
      </c>
      <c r="H11" s="49">
        <f>'Avg Week Ssembabule-Kanoni'!H11+'Avg Week Kanoni-Ssembabule'!H11</f>
        <v>0</v>
      </c>
      <c r="I11" s="49">
        <f>'Avg Week Ssembabule-Kanoni'!I11+'Avg Week Kanoni-Ssembabule'!I11</f>
        <v>1.1428571428571428</v>
      </c>
      <c r="J11" s="49">
        <f>'Avg Week Ssembabule-Kanoni'!J11+'Avg Week Kanoni-Ssembabule'!J11</f>
        <v>0</v>
      </c>
      <c r="K11" s="49">
        <f>'Avg Week Ssembabule-Kanoni'!K11+'Avg Week Kanoni-Ssembabule'!K11</f>
        <v>0.2857142857142857</v>
      </c>
      <c r="L11" s="49">
        <f>'Avg Week Ssembabule-Kanoni'!L11+'Avg Week Kanoni-Ssembabule'!L11</f>
        <v>0</v>
      </c>
      <c r="M11" s="49">
        <f>'Avg Week Ssembabule-Kanoni'!M11+'Avg Week Kanoni-Ssembabule'!M11</f>
        <v>12.428571428571427</v>
      </c>
      <c r="N11" s="49">
        <f>'Avg Week Ssembabule-Kanoni'!N11+'Avg Week Kanoni-Ssembabule'!N11</f>
        <v>0</v>
      </c>
      <c r="O11" s="15">
        <f t="shared" si="0"/>
        <v>4.8571428571428568</v>
      </c>
      <c r="P11" s="15">
        <f t="shared" si="1"/>
        <v>17.285714285714285</v>
      </c>
      <c r="R11" s="1" t="s">
        <v>7</v>
      </c>
      <c r="S11" s="17">
        <f t="shared" ref="S11:AF11" si="3">SUM(C14:C17)</f>
        <v>7</v>
      </c>
      <c r="T11" s="17">
        <f t="shared" si="3"/>
        <v>3</v>
      </c>
      <c r="U11" s="17">
        <f t="shared" si="3"/>
        <v>2.1428571428571423</v>
      </c>
      <c r="V11" s="17">
        <f t="shared" si="3"/>
        <v>4.5714285714285712</v>
      </c>
      <c r="W11" s="17">
        <f t="shared" si="3"/>
        <v>0.2857142857142857</v>
      </c>
      <c r="X11" s="17">
        <f t="shared" si="3"/>
        <v>0.14285714285714285</v>
      </c>
      <c r="Y11" s="17">
        <f t="shared" si="3"/>
        <v>3.2857142857142856</v>
      </c>
      <c r="Z11" s="17">
        <f t="shared" si="3"/>
        <v>1.4285714285714284</v>
      </c>
      <c r="AA11" s="17">
        <f t="shared" si="3"/>
        <v>2.5714285714285712</v>
      </c>
      <c r="AB11" s="17">
        <f t="shared" si="3"/>
        <v>0.14285714285714285</v>
      </c>
      <c r="AC11" s="17">
        <f t="shared" si="3"/>
        <v>51.714285714285708</v>
      </c>
      <c r="AD11" s="17">
        <f t="shared" si="3"/>
        <v>0</v>
      </c>
      <c r="AE11" s="31">
        <f t="shared" si="3"/>
        <v>24.571428571428573</v>
      </c>
      <c r="AF11" s="31">
        <f t="shared" si="3"/>
        <v>76.285714285714278</v>
      </c>
    </row>
    <row r="12" spans="2:32" ht="23.1" customHeight="1" x14ac:dyDescent="0.25">
      <c r="B12" s="23" t="s">
        <v>39</v>
      </c>
      <c r="C12" s="49">
        <f>'Avg Week Ssembabule-Kanoni'!C12+'Avg Week Kanoni-Ssembabule'!C12</f>
        <v>2.7142857142857144</v>
      </c>
      <c r="D12" s="49">
        <f>'Avg Week Ssembabule-Kanoni'!D12+'Avg Week Kanoni-Ssembabule'!D12</f>
        <v>1.1428571428571428</v>
      </c>
      <c r="E12" s="49">
        <f>'Avg Week Ssembabule-Kanoni'!E12+'Avg Week Kanoni-Ssembabule'!E12</f>
        <v>0.5714285714285714</v>
      </c>
      <c r="F12" s="49">
        <f>'Avg Week Ssembabule-Kanoni'!F12+'Avg Week Kanoni-Ssembabule'!F12</f>
        <v>0.42857142857142855</v>
      </c>
      <c r="G12" s="49">
        <f>'Avg Week Ssembabule-Kanoni'!G12+'Avg Week Kanoni-Ssembabule'!G12</f>
        <v>0</v>
      </c>
      <c r="H12" s="49">
        <f>'Avg Week Ssembabule-Kanoni'!H12+'Avg Week Kanoni-Ssembabule'!H12</f>
        <v>0.14285714285714285</v>
      </c>
      <c r="I12" s="49">
        <f>'Avg Week Ssembabule-Kanoni'!I12+'Avg Week Kanoni-Ssembabule'!I12</f>
        <v>1.7142857142857144</v>
      </c>
      <c r="J12" s="49">
        <f>'Avg Week Ssembabule-Kanoni'!J12+'Avg Week Kanoni-Ssembabule'!J12</f>
        <v>1.1428571428571428</v>
      </c>
      <c r="K12" s="49">
        <f>'Avg Week Ssembabule-Kanoni'!K12+'Avg Week Kanoni-Ssembabule'!K12</f>
        <v>0</v>
      </c>
      <c r="L12" s="49">
        <f>'Avg Week Ssembabule-Kanoni'!L12+'Avg Week Kanoni-Ssembabule'!L12</f>
        <v>0</v>
      </c>
      <c r="M12" s="49">
        <f>'Avg Week Ssembabule-Kanoni'!M12+'Avg Week Kanoni-Ssembabule'!M12</f>
        <v>12.857142857142858</v>
      </c>
      <c r="N12" s="49">
        <f>'Avg Week Ssembabule-Kanoni'!N12+'Avg Week Kanoni-Ssembabule'!N12</f>
        <v>0</v>
      </c>
      <c r="O12" s="15">
        <f t="shared" si="0"/>
        <v>7.8571428571428577</v>
      </c>
      <c r="P12" s="15">
        <f t="shared" si="1"/>
        <v>20.714285714285715</v>
      </c>
      <c r="R12" s="1" t="s">
        <v>8</v>
      </c>
      <c r="S12" s="17">
        <f t="shared" ref="S12:AF12" si="4">SUM(C18:C21)</f>
        <v>6.5714285714285712</v>
      </c>
      <c r="T12" s="17">
        <f t="shared" si="4"/>
        <v>2.4285714285714284</v>
      </c>
      <c r="U12" s="17">
        <f t="shared" si="4"/>
        <v>2.5714285714285712</v>
      </c>
      <c r="V12" s="17">
        <f t="shared" si="4"/>
        <v>3</v>
      </c>
      <c r="W12" s="17">
        <f t="shared" si="4"/>
        <v>0.5714285714285714</v>
      </c>
      <c r="X12" s="17">
        <f t="shared" si="4"/>
        <v>0.14285714285714285</v>
      </c>
      <c r="Y12" s="17">
        <f t="shared" si="4"/>
        <v>3.8571428571428568</v>
      </c>
      <c r="Z12" s="17">
        <f t="shared" si="4"/>
        <v>2.4285714285714288</v>
      </c>
      <c r="AA12" s="17">
        <f t="shared" si="4"/>
        <v>4.2857142857142856</v>
      </c>
      <c r="AB12" s="17">
        <f t="shared" si="4"/>
        <v>0.5714285714285714</v>
      </c>
      <c r="AC12" s="17">
        <f t="shared" si="4"/>
        <v>61.428571428571431</v>
      </c>
      <c r="AD12" s="17">
        <f t="shared" si="4"/>
        <v>0</v>
      </c>
      <c r="AE12" s="31">
        <f t="shared" si="4"/>
        <v>26.428571428571423</v>
      </c>
      <c r="AF12" s="31">
        <f t="shared" si="4"/>
        <v>87.857142857142847</v>
      </c>
    </row>
    <row r="13" spans="2:32" ht="23.1" customHeight="1" x14ac:dyDescent="0.25">
      <c r="B13" s="23" t="s">
        <v>40</v>
      </c>
      <c r="C13" s="49">
        <f>'Avg Week Ssembabule-Kanoni'!C13+'Avg Week Kanoni-Ssembabule'!C13</f>
        <v>1.4285714285714286</v>
      </c>
      <c r="D13" s="49">
        <f>'Avg Week Ssembabule-Kanoni'!D13+'Avg Week Kanoni-Ssembabule'!D13</f>
        <v>0.2857142857142857</v>
      </c>
      <c r="E13" s="49">
        <f>'Avg Week Ssembabule-Kanoni'!E13+'Avg Week Kanoni-Ssembabule'!E13</f>
        <v>0.2857142857142857</v>
      </c>
      <c r="F13" s="49">
        <f>'Avg Week Ssembabule-Kanoni'!F13+'Avg Week Kanoni-Ssembabule'!F13</f>
        <v>1.4285714285714286</v>
      </c>
      <c r="G13" s="49">
        <f>'Avg Week Ssembabule-Kanoni'!G13+'Avg Week Kanoni-Ssembabule'!G13</f>
        <v>0.14285714285714285</v>
      </c>
      <c r="H13" s="49">
        <f>'Avg Week Ssembabule-Kanoni'!H13+'Avg Week Kanoni-Ssembabule'!H13</f>
        <v>0.14285714285714285</v>
      </c>
      <c r="I13" s="49">
        <f>'Avg Week Ssembabule-Kanoni'!I13+'Avg Week Kanoni-Ssembabule'!I13</f>
        <v>0.8571428571428571</v>
      </c>
      <c r="J13" s="49">
        <f>'Avg Week Ssembabule-Kanoni'!J13+'Avg Week Kanoni-Ssembabule'!J13</f>
        <v>0.14285714285714285</v>
      </c>
      <c r="K13" s="49">
        <f>'Avg Week Ssembabule-Kanoni'!K13+'Avg Week Kanoni-Ssembabule'!K13</f>
        <v>1.2857142857142858</v>
      </c>
      <c r="L13" s="49">
        <f>'Avg Week Ssembabule-Kanoni'!L13+'Avg Week Kanoni-Ssembabule'!L13</f>
        <v>0</v>
      </c>
      <c r="M13" s="49">
        <f>'Avg Week Ssembabule-Kanoni'!M13+'Avg Week Kanoni-Ssembabule'!M13</f>
        <v>14.857142857142858</v>
      </c>
      <c r="N13" s="49">
        <f>'Avg Week Ssembabule-Kanoni'!N13+'Avg Week Kanoni-Ssembabule'!N13</f>
        <v>0</v>
      </c>
      <c r="O13" s="15">
        <f t="shared" si="0"/>
        <v>6</v>
      </c>
      <c r="P13" s="15">
        <f t="shared" si="1"/>
        <v>20.857142857142858</v>
      </c>
      <c r="R13" s="1" t="s">
        <v>9</v>
      </c>
      <c r="S13" s="17">
        <f t="shared" ref="S13:AF13" si="5">SUM(C22:C25)</f>
        <v>6.1428571428571432</v>
      </c>
      <c r="T13" s="17">
        <f t="shared" si="5"/>
        <v>3.7142857142857144</v>
      </c>
      <c r="U13" s="17">
        <f t="shared" si="5"/>
        <v>4.1428571428571423</v>
      </c>
      <c r="V13" s="17">
        <f t="shared" si="5"/>
        <v>1.1428571428571428</v>
      </c>
      <c r="W13" s="17">
        <f t="shared" si="5"/>
        <v>0.2857142857142857</v>
      </c>
      <c r="X13" s="17">
        <f t="shared" si="5"/>
        <v>0</v>
      </c>
      <c r="Y13" s="17">
        <f t="shared" si="5"/>
        <v>3.8571428571428572</v>
      </c>
      <c r="Z13" s="17">
        <f t="shared" si="5"/>
        <v>0.71428571428571419</v>
      </c>
      <c r="AA13" s="17">
        <f t="shared" si="5"/>
        <v>3.9999999999999996</v>
      </c>
      <c r="AB13" s="17">
        <f t="shared" si="5"/>
        <v>0.71428571428571419</v>
      </c>
      <c r="AC13" s="17">
        <f t="shared" si="5"/>
        <v>66.428571428571445</v>
      </c>
      <c r="AD13" s="17">
        <f t="shared" si="5"/>
        <v>0.2857142857142857</v>
      </c>
      <c r="AE13" s="31">
        <f t="shared" si="5"/>
        <v>25</v>
      </c>
      <c r="AF13" s="31">
        <f t="shared" si="5"/>
        <v>91.428571428571445</v>
      </c>
    </row>
    <row r="14" spans="2:32" ht="23.1" customHeight="1" x14ac:dyDescent="0.25">
      <c r="B14" s="23" t="s">
        <v>41</v>
      </c>
      <c r="C14" s="49">
        <f>'Avg Week Ssembabule-Kanoni'!C14+'Avg Week Kanoni-Ssembabule'!C14</f>
        <v>1.7142857142857144</v>
      </c>
      <c r="D14" s="49">
        <f>'Avg Week Ssembabule-Kanoni'!D14+'Avg Week Kanoni-Ssembabule'!D14</f>
        <v>0.5714285714285714</v>
      </c>
      <c r="E14" s="49">
        <f>'Avg Week Ssembabule-Kanoni'!E14+'Avg Week Kanoni-Ssembabule'!E14</f>
        <v>0.5714285714285714</v>
      </c>
      <c r="F14" s="49">
        <f>'Avg Week Ssembabule-Kanoni'!F14+'Avg Week Kanoni-Ssembabule'!F14</f>
        <v>0.8571428571428571</v>
      </c>
      <c r="G14" s="49">
        <f>'Avg Week Ssembabule-Kanoni'!G14+'Avg Week Kanoni-Ssembabule'!G14</f>
        <v>0</v>
      </c>
      <c r="H14" s="49">
        <f>'Avg Week Ssembabule-Kanoni'!H14+'Avg Week Kanoni-Ssembabule'!H14</f>
        <v>0</v>
      </c>
      <c r="I14" s="49">
        <f>'Avg Week Ssembabule-Kanoni'!I14+'Avg Week Kanoni-Ssembabule'!I14</f>
        <v>1.1428571428571428</v>
      </c>
      <c r="J14" s="49">
        <f>'Avg Week Ssembabule-Kanoni'!J14+'Avg Week Kanoni-Ssembabule'!J14</f>
        <v>0.2857142857142857</v>
      </c>
      <c r="K14" s="49">
        <f>'Avg Week Ssembabule-Kanoni'!K14+'Avg Week Kanoni-Ssembabule'!K14</f>
        <v>1.2857142857142858</v>
      </c>
      <c r="L14" s="49">
        <f>'Avg Week Ssembabule-Kanoni'!L14+'Avg Week Kanoni-Ssembabule'!L14</f>
        <v>0</v>
      </c>
      <c r="M14" s="49">
        <f>'Avg Week Ssembabule-Kanoni'!M14+'Avg Week Kanoni-Ssembabule'!M14</f>
        <v>14.142857142857142</v>
      </c>
      <c r="N14" s="49">
        <f>'Avg Week Ssembabule-Kanoni'!N14+'Avg Week Kanoni-Ssembabule'!N14</f>
        <v>0</v>
      </c>
      <c r="O14" s="15">
        <f t="shared" si="0"/>
        <v>6.4285714285714279</v>
      </c>
      <c r="P14" s="15">
        <f t="shared" si="1"/>
        <v>20.571428571428569</v>
      </c>
      <c r="R14" s="1" t="s">
        <v>10</v>
      </c>
      <c r="S14" s="17">
        <f t="shared" ref="S14:AF14" si="6">SUM(C26:C29)</f>
        <v>9.1428571428571423</v>
      </c>
      <c r="T14" s="17">
        <f t="shared" si="6"/>
        <v>5</v>
      </c>
      <c r="U14" s="17">
        <f t="shared" si="6"/>
        <v>3.8571428571428568</v>
      </c>
      <c r="V14" s="17">
        <f t="shared" si="6"/>
        <v>3.2857142857142856</v>
      </c>
      <c r="W14" s="17">
        <f t="shared" si="6"/>
        <v>0.2857142857142857</v>
      </c>
      <c r="X14" s="17">
        <f t="shared" si="6"/>
        <v>0</v>
      </c>
      <c r="Y14" s="17">
        <f t="shared" si="6"/>
        <v>4.5714285714285712</v>
      </c>
      <c r="Z14" s="17">
        <f t="shared" si="6"/>
        <v>1.714285714285714</v>
      </c>
      <c r="AA14" s="17">
        <f t="shared" si="6"/>
        <v>3.714285714285714</v>
      </c>
      <c r="AB14" s="17">
        <f t="shared" si="6"/>
        <v>0.42857142857142855</v>
      </c>
      <c r="AC14" s="17">
        <f t="shared" si="6"/>
        <v>69.285714285714278</v>
      </c>
      <c r="AD14" s="17">
        <f t="shared" si="6"/>
        <v>0</v>
      </c>
      <c r="AE14" s="31">
        <f t="shared" si="6"/>
        <v>31.999999999999996</v>
      </c>
      <c r="AF14" s="31">
        <f t="shared" si="6"/>
        <v>101.28571428571428</v>
      </c>
    </row>
    <row r="15" spans="2:32" ht="23.1" customHeight="1" x14ac:dyDescent="0.25">
      <c r="B15" s="23" t="s">
        <v>42</v>
      </c>
      <c r="C15" s="49">
        <f>'Avg Week Ssembabule-Kanoni'!C15+'Avg Week Kanoni-Ssembabule'!C15</f>
        <v>1.7142857142857144</v>
      </c>
      <c r="D15" s="49">
        <f>'Avg Week Ssembabule-Kanoni'!D15+'Avg Week Kanoni-Ssembabule'!D15</f>
        <v>0.5714285714285714</v>
      </c>
      <c r="E15" s="49">
        <f>'Avg Week Ssembabule-Kanoni'!E15+'Avg Week Kanoni-Ssembabule'!E15</f>
        <v>0.8571428571428571</v>
      </c>
      <c r="F15" s="49">
        <f>'Avg Week Ssembabule-Kanoni'!F15+'Avg Week Kanoni-Ssembabule'!F15</f>
        <v>1.5714285714285714</v>
      </c>
      <c r="G15" s="49">
        <f>'Avg Week Ssembabule-Kanoni'!G15+'Avg Week Kanoni-Ssembabule'!G15</f>
        <v>0</v>
      </c>
      <c r="H15" s="49">
        <f>'Avg Week Ssembabule-Kanoni'!H15+'Avg Week Kanoni-Ssembabule'!H15</f>
        <v>0</v>
      </c>
      <c r="I15" s="49">
        <f>'Avg Week Ssembabule-Kanoni'!I15+'Avg Week Kanoni-Ssembabule'!I15</f>
        <v>0.71428571428571419</v>
      </c>
      <c r="J15" s="49">
        <f>'Avg Week Ssembabule-Kanoni'!J15+'Avg Week Kanoni-Ssembabule'!J15</f>
        <v>0.42857142857142855</v>
      </c>
      <c r="K15" s="49">
        <f>'Avg Week Ssembabule-Kanoni'!K15+'Avg Week Kanoni-Ssembabule'!K15</f>
        <v>0.42857142857142855</v>
      </c>
      <c r="L15" s="49">
        <f>'Avg Week Ssembabule-Kanoni'!L15+'Avg Week Kanoni-Ssembabule'!L15</f>
        <v>0</v>
      </c>
      <c r="M15" s="49">
        <f>'Avg Week Ssembabule-Kanoni'!M15+'Avg Week Kanoni-Ssembabule'!M15</f>
        <v>11.857142857142858</v>
      </c>
      <c r="N15" s="49">
        <f>'Avg Week Ssembabule-Kanoni'!N15+'Avg Week Kanoni-Ssembabule'!N15</f>
        <v>0</v>
      </c>
      <c r="O15" s="15">
        <f t="shared" si="0"/>
        <v>6.2857142857142865</v>
      </c>
      <c r="P15" s="15">
        <f t="shared" si="1"/>
        <v>18.142857142857146</v>
      </c>
      <c r="R15" s="1" t="s">
        <v>11</v>
      </c>
      <c r="S15" s="17">
        <f t="shared" ref="S15:AF15" si="7">SUM(C30:C33)</f>
        <v>10.428571428571429</v>
      </c>
      <c r="T15" s="17">
        <f t="shared" si="7"/>
        <v>3.285714285714286</v>
      </c>
      <c r="U15" s="17">
        <f t="shared" si="7"/>
        <v>2.714285714285714</v>
      </c>
      <c r="V15" s="17">
        <f t="shared" si="7"/>
        <v>3.5714285714285712</v>
      </c>
      <c r="W15" s="17">
        <f t="shared" si="7"/>
        <v>0.2857142857142857</v>
      </c>
      <c r="X15" s="17">
        <f t="shared" si="7"/>
        <v>0.14285714285714285</v>
      </c>
      <c r="Y15" s="17">
        <f t="shared" si="7"/>
        <v>4</v>
      </c>
      <c r="Z15" s="17">
        <f t="shared" si="7"/>
        <v>1.4285714285714284</v>
      </c>
      <c r="AA15" s="17">
        <f t="shared" si="7"/>
        <v>3.714285714285714</v>
      </c>
      <c r="AB15" s="17">
        <f t="shared" si="7"/>
        <v>0.2857142857142857</v>
      </c>
      <c r="AC15" s="17">
        <f t="shared" si="7"/>
        <v>69</v>
      </c>
      <c r="AD15" s="17">
        <f t="shared" si="7"/>
        <v>0</v>
      </c>
      <c r="AE15" s="31">
        <f t="shared" si="7"/>
        <v>29.857142857142861</v>
      </c>
      <c r="AF15" s="31">
        <f t="shared" si="7"/>
        <v>98.857142857142861</v>
      </c>
    </row>
    <row r="16" spans="2:32" ht="23.1" customHeight="1" x14ac:dyDescent="0.25">
      <c r="B16" s="23" t="s">
        <v>43</v>
      </c>
      <c r="C16" s="49">
        <f>'Avg Week Ssembabule-Kanoni'!C16+'Avg Week Kanoni-Ssembabule'!C16</f>
        <v>2</v>
      </c>
      <c r="D16" s="49">
        <f>'Avg Week Ssembabule-Kanoni'!D16+'Avg Week Kanoni-Ssembabule'!D16</f>
        <v>1.2857142857142856</v>
      </c>
      <c r="E16" s="49">
        <f>'Avg Week Ssembabule-Kanoni'!E16+'Avg Week Kanoni-Ssembabule'!E16</f>
        <v>0.2857142857142857</v>
      </c>
      <c r="F16" s="49">
        <f>'Avg Week Ssembabule-Kanoni'!F16+'Avg Week Kanoni-Ssembabule'!F16</f>
        <v>1.4285714285714286</v>
      </c>
      <c r="G16" s="49">
        <f>'Avg Week Ssembabule-Kanoni'!G16+'Avg Week Kanoni-Ssembabule'!G16</f>
        <v>0</v>
      </c>
      <c r="H16" s="49">
        <f>'Avg Week Ssembabule-Kanoni'!H16+'Avg Week Kanoni-Ssembabule'!H16</f>
        <v>0</v>
      </c>
      <c r="I16" s="49">
        <f>'Avg Week Ssembabule-Kanoni'!I16+'Avg Week Kanoni-Ssembabule'!I16</f>
        <v>0.71428571428571419</v>
      </c>
      <c r="J16" s="49">
        <f>'Avg Week Ssembabule-Kanoni'!J16+'Avg Week Kanoni-Ssembabule'!J16</f>
        <v>0.42857142857142855</v>
      </c>
      <c r="K16" s="49">
        <f>'Avg Week Ssembabule-Kanoni'!K16+'Avg Week Kanoni-Ssembabule'!K16</f>
        <v>0.5714285714285714</v>
      </c>
      <c r="L16" s="49">
        <f>'Avg Week Ssembabule-Kanoni'!L16+'Avg Week Kanoni-Ssembabule'!L16</f>
        <v>0</v>
      </c>
      <c r="M16" s="49">
        <f>'Avg Week Ssembabule-Kanoni'!M16+'Avg Week Kanoni-Ssembabule'!M16</f>
        <v>11.142857142857142</v>
      </c>
      <c r="N16" s="49">
        <f>'Avg Week Ssembabule-Kanoni'!N16+'Avg Week Kanoni-Ssembabule'!N16</f>
        <v>0</v>
      </c>
      <c r="O16" s="15">
        <f t="shared" si="0"/>
        <v>6.7142857142857144</v>
      </c>
      <c r="P16" s="15">
        <f t="shared" si="1"/>
        <v>17.857142857142858</v>
      </c>
      <c r="R16" s="1" t="s">
        <v>12</v>
      </c>
      <c r="S16" s="17">
        <f t="shared" ref="S16:AF16" si="8">SUM(C34:C37)</f>
        <v>9.571428571428573</v>
      </c>
      <c r="T16" s="17">
        <f t="shared" si="8"/>
        <v>3.1428571428571428</v>
      </c>
      <c r="U16" s="17">
        <f t="shared" si="8"/>
        <v>3.1428571428571423</v>
      </c>
      <c r="V16" s="17">
        <f t="shared" si="8"/>
        <v>2.7142857142857144</v>
      </c>
      <c r="W16" s="17">
        <f t="shared" si="8"/>
        <v>0.14285714285714285</v>
      </c>
      <c r="X16" s="17">
        <f t="shared" si="8"/>
        <v>0</v>
      </c>
      <c r="Y16" s="17">
        <f t="shared" si="8"/>
        <v>5</v>
      </c>
      <c r="Z16" s="17">
        <f t="shared" si="8"/>
        <v>2.1428571428571428</v>
      </c>
      <c r="AA16" s="17">
        <f t="shared" si="8"/>
        <v>3.4285714285714279</v>
      </c>
      <c r="AB16" s="17">
        <f t="shared" si="8"/>
        <v>0.2857142857142857</v>
      </c>
      <c r="AC16" s="17">
        <f t="shared" si="8"/>
        <v>67.714285714285722</v>
      </c>
      <c r="AD16" s="17">
        <f t="shared" si="8"/>
        <v>0.14285714285714285</v>
      </c>
      <c r="AE16" s="31">
        <f t="shared" si="8"/>
        <v>29.714285714285715</v>
      </c>
      <c r="AF16" s="31">
        <f t="shared" si="8"/>
        <v>97.428571428571445</v>
      </c>
    </row>
    <row r="17" spans="2:32" ht="23.1" customHeight="1" x14ac:dyDescent="0.25">
      <c r="B17" s="23" t="s">
        <v>44</v>
      </c>
      <c r="C17" s="49">
        <f>'Avg Week Ssembabule-Kanoni'!C17+'Avg Week Kanoni-Ssembabule'!C17</f>
        <v>1.5714285714285714</v>
      </c>
      <c r="D17" s="49">
        <f>'Avg Week Ssembabule-Kanoni'!D17+'Avg Week Kanoni-Ssembabule'!D17</f>
        <v>0.5714285714285714</v>
      </c>
      <c r="E17" s="49">
        <f>'Avg Week Ssembabule-Kanoni'!E17+'Avg Week Kanoni-Ssembabule'!E17</f>
        <v>0.42857142857142855</v>
      </c>
      <c r="F17" s="49">
        <f>'Avg Week Ssembabule-Kanoni'!F17+'Avg Week Kanoni-Ssembabule'!F17</f>
        <v>0.71428571428571419</v>
      </c>
      <c r="G17" s="49">
        <f>'Avg Week Ssembabule-Kanoni'!G17+'Avg Week Kanoni-Ssembabule'!G17</f>
        <v>0.2857142857142857</v>
      </c>
      <c r="H17" s="49">
        <f>'Avg Week Ssembabule-Kanoni'!H17+'Avg Week Kanoni-Ssembabule'!H17</f>
        <v>0.14285714285714285</v>
      </c>
      <c r="I17" s="49">
        <f>'Avg Week Ssembabule-Kanoni'!I17+'Avg Week Kanoni-Ssembabule'!I17</f>
        <v>0.71428571428571419</v>
      </c>
      <c r="J17" s="49">
        <f>'Avg Week Ssembabule-Kanoni'!J17+'Avg Week Kanoni-Ssembabule'!J17</f>
        <v>0.2857142857142857</v>
      </c>
      <c r="K17" s="49">
        <f>'Avg Week Ssembabule-Kanoni'!K17+'Avg Week Kanoni-Ssembabule'!K17</f>
        <v>0.2857142857142857</v>
      </c>
      <c r="L17" s="49">
        <f>'Avg Week Ssembabule-Kanoni'!L17+'Avg Week Kanoni-Ssembabule'!L17</f>
        <v>0.14285714285714285</v>
      </c>
      <c r="M17" s="49">
        <f>'Avg Week Ssembabule-Kanoni'!M17+'Avg Week Kanoni-Ssembabule'!M17</f>
        <v>14.571428571428571</v>
      </c>
      <c r="N17" s="49">
        <f>'Avg Week Ssembabule-Kanoni'!N17+'Avg Week Kanoni-Ssembabule'!N17</f>
        <v>0</v>
      </c>
      <c r="O17" s="15">
        <f t="shared" si="0"/>
        <v>5.1428571428571423</v>
      </c>
      <c r="P17" s="15">
        <f t="shared" si="1"/>
        <v>19.714285714285715</v>
      </c>
      <c r="R17" s="1" t="s">
        <v>13</v>
      </c>
      <c r="S17" s="17">
        <f t="shared" ref="S17:AF17" si="9">SUM(C38:C41)</f>
        <v>9.4285714285714288</v>
      </c>
      <c r="T17" s="17">
        <f t="shared" si="9"/>
        <v>4.2857142857142856</v>
      </c>
      <c r="U17" s="17">
        <f t="shared" si="9"/>
        <v>2.8571428571428568</v>
      </c>
      <c r="V17" s="17">
        <f t="shared" si="9"/>
        <v>3.7142857142857144</v>
      </c>
      <c r="W17" s="17">
        <f t="shared" si="9"/>
        <v>0.2857142857142857</v>
      </c>
      <c r="X17" s="17">
        <f t="shared" si="9"/>
        <v>0</v>
      </c>
      <c r="Y17" s="17">
        <f t="shared" si="9"/>
        <v>4.1428571428571432</v>
      </c>
      <c r="Z17" s="17">
        <f t="shared" si="9"/>
        <v>1.857142857142857</v>
      </c>
      <c r="AA17" s="17">
        <f t="shared" si="9"/>
        <v>4.8571428571428559</v>
      </c>
      <c r="AB17" s="17">
        <f t="shared" si="9"/>
        <v>0.2857142857142857</v>
      </c>
      <c r="AC17" s="17">
        <f t="shared" si="9"/>
        <v>60.428571428571431</v>
      </c>
      <c r="AD17" s="17">
        <f t="shared" si="9"/>
        <v>0.14285714285714285</v>
      </c>
      <c r="AE17" s="31">
        <f t="shared" si="9"/>
        <v>31.857142857142854</v>
      </c>
      <c r="AF17" s="31">
        <f t="shared" si="9"/>
        <v>92.285714285714292</v>
      </c>
    </row>
    <row r="18" spans="2:32" ht="23.1" customHeight="1" x14ac:dyDescent="0.25">
      <c r="B18" s="23" t="s">
        <v>45</v>
      </c>
      <c r="C18" s="49">
        <f>'Avg Week Ssembabule-Kanoni'!C18+'Avg Week Kanoni-Ssembabule'!C18</f>
        <v>1.2857142857142856</v>
      </c>
      <c r="D18" s="49">
        <f>'Avg Week Ssembabule-Kanoni'!D18+'Avg Week Kanoni-Ssembabule'!D18</f>
        <v>0.2857142857142857</v>
      </c>
      <c r="E18" s="49">
        <f>'Avg Week Ssembabule-Kanoni'!E18+'Avg Week Kanoni-Ssembabule'!E18</f>
        <v>0.5714285714285714</v>
      </c>
      <c r="F18" s="49">
        <f>'Avg Week Ssembabule-Kanoni'!F18+'Avg Week Kanoni-Ssembabule'!F18</f>
        <v>1</v>
      </c>
      <c r="G18" s="49">
        <f>'Avg Week Ssembabule-Kanoni'!G18+'Avg Week Kanoni-Ssembabule'!G18</f>
        <v>0.2857142857142857</v>
      </c>
      <c r="H18" s="49">
        <f>'Avg Week Ssembabule-Kanoni'!H18+'Avg Week Kanoni-Ssembabule'!H18</f>
        <v>0</v>
      </c>
      <c r="I18" s="49">
        <f>'Avg Week Ssembabule-Kanoni'!I18+'Avg Week Kanoni-Ssembabule'!I18</f>
        <v>1.2857142857142856</v>
      </c>
      <c r="J18" s="49">
        <f>'Avg Week Ssembabule-Kanoni'!J18+'Avg Week Kanoni-Ssembabule'!J18</f>
        <v>0.14285714285714285</v>
      </c>
      <c r="K18" s="49">
        <f>'Avg Week Ssembabule-Kanoni'!K18+'Avg Week Kanoni-Ssembabule'!K18</f>
        <v>1</v>
      </c>
      <c r="L18" s="49">
        <f>'Avg Week Ssembabule-Kanoni'!L18+'Avg Week Kanoni-Ssembabule'!L18</f>
        <v>0</v>
      </c>
      <c r="M18" s="49">
        <f>'Avg Week Ssembabule-Kanoni'!M18+'Avg Week Kanoni-Ssembabule'!M18</f>
        <v>16</v>
      </c>
      <c r="N18" s="49">
        <f>'Avg Week Ssembabule-Kanoni'!N18+'Avg Week Kanoni-Ssembabule'!N18</f>
        <v>0</v>
      </c>
      <c r="O18" s="15">
        <f t="shared" si="0"/>
        <v>5.8571428571428568</v>
      </c>
      <c r="P18" s="15">
        <f t="shared" si="1"/>
        <v>21.857142857142858</v>
      </c>
      <c r="R18" s="1" t="s">
        <v>14</v>
      </c>
      <c r="S18" s="17">
        <f t="shared" ref="S18:AF18" si="10">SUM(C42:C45)</f>
        <v>8.7142857142857153</v>
      </c>
      <c r="T18" s="17">
        <f t="shared" si="10"/>
        <v>2.5714285714285712</v>
      </c>
      <c r="U18" s="17">
        <f t="shared" si="10"/>
        <v>1.4285714285714284</v>
      </c>
      <c r="V18" s="17">
        <f t="shared" si="10"/>
        <v>2.4285714285714284</v>
      </c>
      <c r="W18" s="17">
        <f t="shared" si="10"/>
        <v>0</v>
      </c>
      <c r="X18" s="17">
        <f t="shared" si="10"/>
        <v>0</v>
      </c>
      <c r="Y18" s="17">
        <f t="shared" si="10"/>
        <v>5.5714285714285712</v>
      </c>
      <c r="Z18" s="17">
        <f t="shared" si="10"/>
        <v>2.9999999999999996</v>
      </c>
      <c r="AA18" s="17">
        <f t="shared" si="10"/>
        <v>2.4285714285714284</v>
      </c>
      <c r="AB18" s="17">
        <f t="shared" si="10"/>
        <v>0.2857142857142857</v>
      </c>
      <c r="AC18" s="17">
        <f t="shared" si="10"/>
        <v>71</v>
      </c>
      <c r="AD18" s="17">
        <f t="shared" si="10"/>
        <v>0</v>
      </c>
      <c r="AE18" s="31">
        <f t="shared" si="10"/>
        <v>26.428571428571431</v>
      </c>
      <c r="AF18" s="31">
        <f t="shared" si="10"/>
        <v>97.428571428571431</v>
      </c>
    </row>
    <row r="19" spans="2:32" ht="23.1" customHeight="1" x14ac:dyDescent="0.25">
      <c r="B19" s="23" t="s">
        <v>46</v>
      </c>
      <c r="C19" s="49">
        <f>'Avg Week Ssembabule-Kanoni'!C19+'Avg Week Kanoni-Ssembabule'!C19</f>
        <v>1.5714285714285714</v>
      </c>
      <c r="D19" s="49">
        <f>'Avg Week Ssembabule-Kanoni'!D19+'Avg Week Kanoni-Ssembabule'!D19</f>
        <v>0.71428571428571419</v>
      </c>
      <c r="E19" s="49">
        <f>'Avg Week Ssembabule-Kanoni'!E19+'Avg Week Kanoni-Ssembabule'!E19</f>
        <v>0.5714285714285714</v>
      </c>
      <c r="F19" s="49">
        <f>'Avg Week Ssembabule-Kanoni'!F19+'Avg Week Kanoni-Ssembabule'!F19</f>
        <v>0.85714285714285721</v>
      </c>
      <c r="G19" s="49">
        <f>'Avg Week Ssembabule-Kanoni'!G19+'Avg Week Kanoni-Ssembabule'!G19</f>
        <v>0.2857142857142857</v>
      </c>
      <c r="H19" s="49">
        <f>'Avg Week Ssembabule-Kanoni'!H19+'Avg Week Kanoni-Ssembabule'!H19</f>
        <v>0</v>
      </c>
      <c r="I19" s="49">
        <f>'Avg Week Ssembabule-Kanoni'!I19+'Avg Week Kanoni-Ssembabule'!I19</f>
        <v>0.71428571428571419</v>
      </c>
      <c r="J19" s="49">
        <f>'Avg Week Ssembabule-Kanoni'!J19+'Avg Week Kanoni-Ssembabule'!J19</f>
        <v>0.2857142857142857</v>
      </c>
      <c r="K19" s="49">
        <f>'Avg Week Ssembabule-Kanoni'!K19+'Avg Week Kanoni-Ssembabule'!K19</f>
        <v>0.8571428571428571</v>
      </c>
      <c r="L19" s="49">
        <f>'Avg Week Ssembabule-Kanoni'!L19+'Avg Week Kanoni-Ssembabule'!L19</f>
        <v>0</v>
      </c>
      <c r="M19" s="49">
        <f>'Avg Week Ssembabule-Kanoni'!M19+'Avg Week Kanoni-Ssembabule'!M19</f>
        <v>12.428571428571429</v>
      </c>
      <c r="N19" s="49">
        <f>'Avg Week Ssembabule-Kanoni'!N19+'Avg Week Kanoni-Ssembabule'!N19</f>
        <v>0</v>
      </c>
      <c r="O19" s="15">
        <f t="shared" si="0"/>
        <v>5.8571428571428559</v>
      </c>
      <c r="P19" s="15">
        <f t="shared" si="1"/>
        <v>18.285714285714285</v>
      </c>
      <c r="R19" s="1" t="s">
        <v>15</v>
      </c>
      <c r="S19" s="17">
        <f t="shared" ref="S19:AF19" si="11">SUM(C46:C49)</f>
        <v>6.5714285714285712</v>
      </c>
      <c r="T19" s="17">
        <f t="shared" si="11"/>
        <v>3.4285714285714288</v>
      </c>
      <c r="U19" s="17">
        <f t="shared" si="11"/>
        <v>1.2857142857142856</v>
      </c>
      <c r="V19" s="17">
        <f t="shared" si="11"/>
        <v>2.7142857142857144</v>
      </c>
      <c r="W19" s="17">
        <f t="shared" si="11"/>
        <v>0.14285714285714285</v>
      </c>
      <c r="X19" s="17">
        <f t="shared" si="11"/>
        <v>0.2857142857142857</v>
      </c>
      <c r="Y19" s="17">
        <f t="shared" si="11"/>
        <v>4.5714285714285712</v>
      </c>
      <c r="Z19" s="17">
        <f t="shared" si="11"/>
        <v>4.2857142857142856</v>
      </c>
      <c r="AA19" s="17">
        <f t="shared" si="11"/>
        <v>2.4285714285714284</v>
      </c>
      <c r="AB19" s="17">
        <f t="shared" si="11"/>
        <v>0.42857142857142855</v>
      </c>
      <c r="AC19" s="17">
        <f t="shared" si="11"/>
        <v>65.857142857142861</v>
      </c>
      <c r="AD19" s="17">
        <f t="shared" si="11"/>
        <v>0</v>
      </c>
      <c r="AE19" s="31">
        <f t="shared" si="11"/>
        <v>26.142857142857142</v>
      </c>
      <c r="AF19" s="31">
        <f t="shared" si="11"/>
        <v>92</v>
      </c>
    </row>
    <row r="20" spans="2:32" ht="23.1" customHeight="1" x14ac:dyDescent="0.25">
      <c r="B20" s="23" t="s">
        <v>47</v>
      </c>
      <c r="C20" s="49">
        <f>'Avg Week Ssembabule-Kanoni'!C20+'Avg Week Kanoni-Ssembabule'!C20</f>
        <v>2.2857142857142856</v>
      </c>
      <c r="D20" s="49">
        <f>'Avg Week Ssembabule-Kanoni'!D20+'Avg Week Kanoni-Ssembabule'!D20</f>
        <v>0.5714285714285714</v>
      </c>
      <c r="E20" s="49">
        <f>'Avg Week Ssembabule-Kanoni'!E20+'Avg Week Kanoni-Ssembabule'!E20</f>
        <v>0.42857142857142855</v>
      </c>
      <c r="F20" s="49">
        <f>'Avg Week Ssembabule-Kanoni'!F20+'Avg Week Kanoni-Ssembabule'!F20</f>
        <v>0.8571428571428571</v>
      </c>
      <c r="G20" s="49">
        <f>'Avg Week Ssembabule-Kanoni'!G20+'Avg Week Kanoni-Ssembabule'!G20</f>
        <v>0</v>
      </c>
      <c r="H20" s="49">
        <f>'Avg Week Ssembabule-Kanoni'!H20+'Avg Week Kanoni-Ssembabule'!H20</f>
        <v>0.14285714285714285</v>
      </c>
      <c r="I20" s="49">
        <f>'Avg Week Ssembabule-Kanoni'!I20+'Avg Week Kanoni-Ssembabule'!I20</f>
        <v>0.71428571428571419</v>
      </c>
      <c r="J20" s="49">
        <f>'Avg Week Ssembabule-Kanoni'!J20+'Avg Week Kanoni-Ssembabule'!J20</f>
        <v>1</v>
      </c>
      <c r="K20" s="49">
        <f>'Avg Week Ssembabule-Kanoni'!K20+'Avg Week Kanoni-Ssembabule'!K20</f>
        <v>1.2857142857142856</v>
      </c>
      <c r="L20" s="49">
        <f>'Avg Week Ssembabule-Kanoni'!L20+'Avg Week Kanoni-Ssembabule'!L20</f>
        <v>0.14285714285714285</v>
      </c>
      <c r="M20" s="49">
        <f>'Avg Week Ssembabule-Kanoni'!M20+'Avg Week Kanoni-Ssembabule'!M20</f>
        <v>15.857142857142858</v>
      </c>
      <c r="N20" s="49">
        <f>'Avg Week Ssembabule-Kanoni'!N20+'Avg Week Kanoni-Ssembabule'!N20</f>
        <v>0</v>
      </c>
      <c r="O20" s="15">
        <f t="shared" si="0"/>
        <v>7.4285714285714288</v>
      </c>
      <c r="P20" s="15">
        <f t="shared" si="1"/>
        <v>23.285714285714285</v>
      </c>
      <c r="R20" s="1" t="s">
        <v>16</v>
      </c>
      <c r="S20" s="17">
        <f t="shared" ref="S20:AF20" si="12">SUM(C50:C53)</f>
        <v>10.857142857142858</v>
      </c>
      <c r="T20" s="17">
        <f t="shared" si="12"/>
        <v>5</v>
      </c>
      <c r="U20" s="17">
        <f t="shared" si="12"/>
        <v>2.5714285714285712</v>
      </c>
      <c r="V20" s="17">
        <f t="shared" si="12"/>
        <v>4.1428571428571423</v>
      </c>
      <c r="W20" s="17">
        <f t="shared" si="12"/>
        <v>1.2857142857142856</v>
      </c>
      <c r="X20" s="17">
        <f t="shared" si="12"/>
        <v>0</v>
      </c>
      <c r="Y20" s="17">
        <f t="shared" si="12"/>
        <v>6.7142857142857144</v>
      </c>
      <c r="Z20" s="17">
        <f t="shared" si="12"/>
        <v>2</v>
      </c>
      <c r="AA20" s="17">
        <f t="shared" si="12"/>
        <v>2.5714285714285712</v>
      </c>
      <c r="AB20" s="17">
        <f t="shared" si="12"/>
        <v>0.2857142857142857</v>
      </c>
      <c r="AC20" s="17">
        <f t="shared" si="12"/>
        <v>76.857142857142861</v>
      </c>
      <c r="AD20" s="17">
        <f t="shared" si="12"/>
        <v>0</v>
      </c>
      <c r="AE20" s="31">
        <f t="shared" si="12"/>
        <v>35.428571428571431</v>
      </c>
      <c r="AF20" s="31">
        <f t="shared" si="12"/>
        <v>112.28571428571428</v>
      </c>
    </row>
    <row r="21" spans="2:32" ht="23.1" customHeight="1" x14ac:dyDescent="0.25">
      <c r="B21" s="23" t="s">
        <v>48</v>
      </c>
      <c r="C21" s="49">
        <f>'Avg Week Ssembabule-Kanoni'!C21+'Avg Week Kanoni-Ssembabule'!C21</f>
        <v>1.4285714285714284</v>
      </c>
      <c r="D21" s="49">
        <f>'Avg Week Ssembabule-Kanoni'!D21+'Avg Week Kanoni-Ssembabule'!D21</f>
        <v>0.8571428571428571</v>
      </c>
      <c r="E21" s="49">
        <f>'Avg Week Ssembabule-Kanoni'!E21+'Avg Week Kanoni-Ssembabule'!E21</f>
        <v>1</v>
      </c>
      <c r="F21" s="49">
        <f>'Avg Week Ssembabule-Kanoni'!F21+'Avg Week Kanoni-Ssembabule'!F21</f>
        <v>0.2857142857142857</v>
      </c>
      <c r="G21" s="49">
        <f>'Avg Week Ssembabule-Kanoni'!G21+'Avg Week Kanoni-Ssembabule'!G21</f>
        <v>0</v>
      </c>
      <c r="H21" s="49">
        <f>'Avg Week Ssembabule-Kanoni'!H21+'Avg Week Kanoni-Ssembabule'!H21</f>
        <v>0</v>
      </c>
      <c r="I21" s="49">
        <f>'Avg Week Ssembabule-Kanoni'!I21+'Avg Week Kanoni-Ssembabule'!I21</f>
        <v>1.1428571428571428</v>
      </c>
      <c r="J21" s="49">
        <f>'Avg Week Ssembabule-Kanoni'!J21+'Avg Week Kanoni-Ssembabule'!J21</f>
        <v>1</v>
      </c>
      <c r="K21" s="49">
        <f>'Avg Week Ssembabule-Kanoni'!K21+'Avg Week Kanoni-Ssembabule'!K21</f>
        <v>1.1428571428571428</v>
      </c>
      <c r="L21" s="49">
        <f>'Avg Week Ssembabule-Kanoni'!L21+'Avg Week Kanoni-Ssembabule'!L21</f>
        <v>0.42857142857142855</v>
      </c>
      <c r="M21" s="49">
        <f>'Avg Week Ssembabule-Kanoni'!M21+'Avg Week Kanoni-Ssembabule'!M21</f>
        <v>17.142857142857142</v>
      </c>
      <c r="N21" s="49">
        <f>'Avg Week Ssembabule-Kanoni'!N21+'Avg Week Kanoni-Ssembabule'!N21</f>
        <v>0</v>
      </c>
      <c r="O21" s="15">
        <f t="shared" si="0"/>
        <v>7.2857142857142847</v>
      </c>
      <c r="P21" s="15">
        <f t="shared" si="1"/>
        <v>24.428571428571427</v>
      </c>
      <c r="R21" s="36" t="s">
        <v>20</v>
      </c>
      <c r="S21" s="34">
        <f t="shared" ref="S21:AF21" si="13">SUM(C54:C57)</f>
        <v>12.857142857142858</v>
      </c>
      <c r="T21" s="17">
        <f t="shared" si="13"/>
        <v>4.2857142857142856</v>
      </c>
      <c r="U21" s="17">
        <f t="shared" si="13"/>
        <v>2</v>
      </c>
      <c r="V21" s="17">
        <f t="shared" si="13"/>
        <v>3.2857142857142856</v>
      </c>
      <c r="W21" s="17">
        <f t="shared" si="13"/>
        <v>1.4285714285714286</v>
      </c>
      <c r="X21" s="17">
        <f t="shared" si="13"/>
        <v>0.42857142857142855</v>
      </c>
      <c r="Y21" s="17">
        <f t="shared" si="13"/>
        <v>6</v>
      </c>
      <c r="Z21" s="17">
        <f t="shared" si="13"/>
        <v>3.4285714285714284</v>
      </c>
      <c r="AA21" s="17">
        <f t="shared" si="13"/>
        <v>3.2857142857142856</v>
      </c>
      <c r="AB21" s="17">
        <f t="shared" si="13"/>
        <v>0.85714285714285698</v>
      </c>
      <c r="AC21" s="17">
        <f t="shared" si="13"/>
        <v>82.428571428571416</v>
      </c>
      <c r="AD21" s="17">
        <f t="shared" si="13"/>
        <v>0</v>
      </c>
      <c r="AE21" s="31">
        <f t="shared" si="13"/>
        <v>37.857142857142854</v>
      </c>
      <c r="AF21" s="31">
        <f t="shared" si="13"/>
        <v>120.28571428571428</v>
      </c>
    </row>
    <row r="22" spans="2:32" ht="23.1" customHeight="1" x14ac:dyDescent="0.25">
      <c r="B22" s="23" t="s">
        <v>49</v>
      </c>
      <c r="C22" s="49">
        <f>'Avg Week Ssembabule-Kanoni'!C22+'Avg Week Kanoni-Ssembabule'!C22</f>
        <v>1.8571428571428572</v>
      </c>
      <c r="D22" s="49">
        <f>'Avg Week Ssembabule-Kanoni'!D22+'Avg Week Kanoni-Ssembabule'!D22</f>
        <v>0.8571428571428571</v>
      </c>
      <c r="E22" s="49">
        <f>'Avg Week Ssembabule-Kanoni'!E22+'Avg Week Kanoni-Ssembabule'!E22</f>
        <v>1</v>
      </c>
      <c r="F22" s="49">
        <f>'Avg Week Ssembabule-Kanoni'!F22+'Avg Week Kanoni-Ssembabule'!F22</f>
        <v>0.2857142857142857</v>
      </c>
      <c r="G22" s="49">
        <f>'Avg Week Ssembabule-Kanoni'!G22+'Avg Week Kanoni-Ssembabule'!G22</f>
        <v>0</v>
      </c>
      <c r="H22" s="49">
        <f>'Avg Week Ssembabule-Kanoni'!H22+'Avg Week Kanoni-Ssembabule'!H22</f>
        <v>0</v>
      </c>
      <c r="I22" s="49">
        <f>'Avg Week Ssembabule-Kanoni'!I22+'Avg Week Kanoni-Ssembabule'!I22</f>
        <v>0.5714285714285714</v>
      </c>
      <c r="J22" s="49">
        <f>'Avg Week Ssembabule-Kanoni'!J22+'Avg Week Kanoni-Ssembabule'!J22</f>
        <v>0.14285714285714285</v>
      </c>
      <c r="K22" s="49">
        <f>'Avg Week Ssembabule-Kanoni'!K22+'Avg Week Kanoni-Ssembabule'!K22</f>
        <v>1</v>
      </c>
      <c r="L22" s="49">
        <f>'Avg Week Ssembabule-Kanoni'!L22+'Avg Week Kanoni-Ssembabule'!L22</f>
        <v>0.2857142857142857</v>
      </c>
      <c r="M22" s="49">
        <f>'Avg Week Ssembabule-Kanoni'!M22+'Avg Week Kanoni-Ssembabule'!M22</f>
        <v>16.714285714285715</v>
      </c>
      <c r="N22" s="49">
        <f>'Avg Week Ssembabule-Kanoni'!N22+'Avg Week Kanoni-Ssembabule'!N22</f>
        <v>0.14285714285714285</v>
      </c>
      <c r="O22" s="15">
        <f t="shared" si="0"/>
        <v>6.1428571428571432</v>
      </c>
      <c r="P22" s="15">
        <f t="shared" si="1"/>
        <v>22.857142857142858</v>
      </c>
      <c r="R22" s="1" t="s">
        <v>146</v>
      </c>
      <c r="S22" s="34">
        <f>SUM(C58:C61)</f>
        <v>14</v>
      </c>
      <c r="T22" s="34">
        <f t="shared" ref="T22:AF22" si="14">SUM(D58:D61)</f>
        <v>6.5</v>
      </c>
      <c r="U22" s="34">
        <f t="shared" si="14"/>
        <v>2.5</v>
      </c>
      <c r="V22" s="34">
        <f t="shared" si="14"/>
        <v>4</v>
      </c>
      <c r="W22" s="34">
        <f t="shared" si="14"/>
        <v>0.5</v>
      </c>
      <c r="X22" s="34">
        <f t="shared" si="14"/>
        <v>0</v>
      </c>
      <c r="Y22" s="34">
        <f t="shared" si="14"/>
        <v>4</v>
      </c>
      <c r="Z22" s="34">
        <f t="shared" si="14"/>
        <v>6</v>
      </c>
      <c r="AA22" s="34">
        <f t="shared" si="14"/>
        <v>0.5</v>
      </c>
      <c r="AB22" s="34">
        <f t="shared" si="14"/>
        <v>0</v>
      </c>
      <c r="AC22" s="34">
        <f t="shared" si="14"/>
        <v>85.5</v>
      </c>
      <c r="AD22" s="34">
        <f t="shared" si="14"/>
        <v>0</v>
      </c>
      <c r="AE22" s="31">
        <f t="shared" si="14"/>
        <v>38</v>
      </c>
      <c r="AF22" s="31">
        <f t="shared" si="14"/>
        <v>123.5</v>
      </c>
    </row>
    <row r="23" spans="2:32" ht="23.1" customHeight="1" x14ac:dyDescent="0.25">
      <c r="B23" s="23" t="s">
        <v>50</v>
      </c>
      <c r="C23" s="49">
        <f>'Avg Week Ssembabule-Kanoni'!C23+'Avg Week Kanoni-Ssembabule'!C23</f>
        <v>1.2857142857142856</v>
      </c>
      <c r="D23" s="49">
        <f>'Avg Week Ssembabule-Kanoni'!D23+'Avg Week Kanoni-Ssembabule'!D23</f>
        <v>0.2857142857142857</v>
      </c>
      <c r="E23" s="49">
        <f>'Avg Week Ssembabule-Kanoni'!E23+'Avg Week Kanoni-Ssembabule'!E23</f>
        <v>0.71428571428571419</v>
      </c>
      <c r="F23" s="49">
        <f>'Avg Week Ssembabule-Kanoni'!F23+'Avg Week Kanoni-Ssembabule'!F23</f>
        <v>0.42857142857142855</v>
      </c>
      <c r="G23" s="49">
        <f>'Avg Week Ssembabule-Kanoni'!G23+'Avg Week Kanoni-Ssembabule'!G23</f>
        <v>0.14285714285714285</v>
      </c>
      <c r="H23" s="49">
        <f>'Avg Week Ssembabule-Kanoni'!H23+'Avg Week Kanoni-Ssembabule'!H23</f>
        <v>0</v>
      </c>
      <c r="I23" s="49">
        <f>'Avg Week Ssembabule-Kanoni'!I23+'Avg Week Kanoni-Ssembabule'!I23</f>
        <v>0.71428571428571419</v>
      </c>
      <c r="J23" s="49">
        <f>'Avg Week Ssembabule-Kanoni'!J23+'Avg Week Kanoni-Ssembabule'!J23</f>
        <v>0.2857142857142857</v>
      </c>
      <c r="K23" s="49">
        <f>'Avg Week Ssembabule-Kanoni'!K23+'Avg Week Kanoni-Ssembabule'!K23</f>
        <v>1.2857142857142856</v>
      </c>
      <c r="L23" s="49">
        <f>'Avg Week Ssembabule-Kanoni'!L23+'Avg Week Kanoni-Ssembabule'!L23</f>
        <v>0.14285714285714285</v>
      </c>
      <c r="M23" s="49">
        <f>'Avg Week Ssembabule-Kanoni'!M23+'Avg Week Kanoni-Ssembabule'!M23</f>
        <v>16.142857142857142</v>
      </c>
      <c r="N23" s="49">
        <f>'Avg Week Ssembabule-Kanoni'!N23+'Avg Week Kanoni-Ssembabule'!N23</f>
        <v>0</v>
      </c>
      <c r="O23" s="15">
        <f t="shared" si="0"/>
        <v>5.2857142857142856</v>
      </c>
      <c r="P23" s="15">
        <f t="shared" si="1"/>
        <v>21.428571428571427</v>
      </c>
      <c r="R23" s="1" t="s">
        <v>147</v>
      </c>
      <c r="S23" s="34">
        <f>SUM(C62:C65)</f>
        <v>9</v>
      </c>
      <c r="T23" s="34">
        <f t="shared" ref="T23:AF23" si="15">SUM(D62:D65)</f>
        <v>4</v>
      </c>
      <c r="U23" s="34">
        <f t="shared" si="15"/>
        <v>2</v>
      </c>
      <c r="V23" s="34">
        <f t="shared" si="15"/>
        <v>4</v>
      </c>
      <c r="W23" s="34">
        <f t="shared" si="15"/>
        <v>0</v>
      </c>
      <c r="X23" s="34">
        <f t="shared" si="15"/>
        <v>0</v>
      </c>
      <c r="Y23" s="34">
        <f t="shared" si="15"/>
        <v>6</v>
      </c>
      <c r="Z23" s="34">
        <f t="shared" si="15"/>
        <v>4</v>
      </c>
      <c r="AA23" s="34">
        <f t="shared" si="15"/>
        <v>1.5</v>
      </c>
      <c r="AB23" s="34">
        <f t="shared" si="15"/>
        <v>1</v>
      </c>
      <c r="AC23" s="34">
        <f t="shared" si="15"/>
        <v>38</v>
      </c>
      <c r="AD23" s="34">
        <f t="shared" si="15"/>
        <v>0</v>
      </c>
      <c r="AE23" s="31">
        <f t="shared" si="15"/>
        <v>31.5</v>
      </c>
      <c r="AF23" s="31">
        <f t="shared" si="15"/>
        <v>69.5</v>
      </c>
    </row>
    <row r="24" spans="2:32" ht="23.1" customHeight="1" x14ac:dyDescent="0.25">
      <c r="B24" s="23" t="s">
        <v>51</v>
      </c>
      <c r="C24" s="49">
        <f>'Avg Week Ssembabule-Kanoni'!C24+'Avg Week Kanoni-Ssembabule'!C24</f>
        <v>1.2857142857142856</v>
      </c>
      <c r="D24" s="49">
        <f>'Avg Week Ssembabule-Kanoni'!D24+'Avg Week Kanoni-Ssembabule'!D24</f>
        <v>0.85714285714285721</v>
      </c>
      <c r="E24" s="49">
        <f>'Avg Week Ssembabule-Kanoni'!E24+'Avg Week Kanoni-Ssembabule'!E24</f>
        <v>1</v>
      </c>
      <c r="F24" s="49">
        <f>'Avg Week Ssembabule-Kanoni'!F24+'Avg Week Kanoni-Ssembabule'!F24</f>
        <v>0.14285714285714285</v>
      </c>
      <c r="G24" s="49">
        <f>'Avg Week Ssembabule-Kanoni'!G24+'Avg Week Kanoni-Ssembabule'!G24</f>
        <v>0.14285714285714285</v>
      </c>
      <c r="H24" s="49">
        <f>'Avg Week Ssembabule-Kanoni'!H24+'Avg Week Kanoni-Ssembabule'!H24</f>
        <v>0</v>
      </c>
      <c r="I24" s="49">
        <f>'Avg Week Ssembabule-Kanoni'!I24+'Avg Week Kanoni-Ssembabule'!I24</f>
        <v>0.8571428571428571</v>
      </c>
      <c r="J24" s="49">
        <f>'Avg Week Ssembabule-Kanoni'!J24+'Avg Week Kanoni-Ssembabule'!J24</f>
        <v>0</v>
      </c>
      <c r="K24" s="49">
        <f>'Avg Week Ssembabule-Kanoni'!K24+'Avg Week Kanoni-Ssembabule'!K24</f>
        <v>1.4285714285714284</v>
      </c>
      <c r="L24" s="49">
        <f>'Avg Week Ssembabule-Kanoni'!L24+'Avg Week Kanoni-Ssembabule'!L24</f>
        <v>0</v>
      </c>
      <c r="M24" s="49">
        <f>'Avg Week Ssembabule-Kanoni'!M24+'Avg Week Kanoni-Ssembabule'!M24</f>
        <v>18.142857142857146</v>
      </c>
      <c r="N24" s="49">
        <f>'Avg Week Ssembabule-Kanoni'!N24+'Avg Week Kanoni-Ssembabule'!N24</f>
        <v>0.14285714285714285</v>
      </c>
      <c r="O24" s="15">
        <f t="shared" si="0"/>
        <v>5.8571428571428568</v>
      </c>
      <c r="P24" s="15">
        <f t="shared" si="1"/>
        <v>24.000000000000004</v>
      </c>
      <c r="R24" s="1" t="s">
        <v>148</v>
      </c>
      <c r="S24" s="34">
        <f>SUM(C66:C69)</f>
        <v>6</v>
      </c>
      <c r="T24" s="34">
        <f t="shared" ref="T24:AF24" si="16">SUM(D66:D69)</f>
        <v>4.5</v>
      </c>
      <c r="U24" s="34">
        <f t="shared" si="16"/>
        <v>0</v>
      </c>
      <c r="V24" s="34">
        <f t="shared" si="16"/>
        <v>1.5</v>
      </c>
      <c r="W24" s="34">
        <f t="shared" si="16"/>
        <v>0</v>
      </c>
      <c r="X24" s="34">
        <f t="shared" si="16"/>
        <v>0</v>
      </c>
      <c r="Y24" s="34">
        <f t="shared" si="16"/>
        <v>1.5</v>
      </c>
      <c r="Z24" s="34">
        <f t="shared" si="16"/>
        <v>4</v>
      </c>
      <c r="AA24" s="34">
        <f t="shared" si="16"/>
        <v>1.5</v>
      </c>
      <c r="AB24" s="34">
        <f t="shared" si="16"/>
        <v>0.5</v>
      </c>
      <c r="AC24" s="34">
        <f t="shared" si="16"/>
        <v>18</v>
      </c>
      <c r="AD24" s="34">
        <f t="shared" si="16"/>
        <v>0</v>
      </c>
      <c r="AE24" s="31">
        <f t="shared" si="16"/>
        <v>19.5</v>
      </c>
      <c r="AF24" s="31">
        <f t="shared" si="16"/>
        <v>37.5</v>
      </c>
    </row>
    <row r="25" spans="2:32" ht="23.1" customHeight="1" x14ac:dyDescent="0.25">
      <c r="B25" s="23" t="s">
        <v>52</v>
      </c>
      <c r="C25" s="49">
        <f>'Avg Week Ssembabule-Kanoni'!C25+'Avg Week Kanoni-Ssembabule'!C25</f>
        <v>1.7142857142857142</v>
      </c>
      <c r="D25" s="49">
        <f>'Avg Week Ssembabule-Kanoni'!D25+'Avg Week Kanoni-Ssembabule'!D25</f>
        <v>1.7142857142857142</v>
      </c>
      <c r="E25" s="49">
        <f>'Avg Week Ssembabule-Kanoni'!E25+'Avg Week Kanoni-Ssembabule'!E25</f>
        <v>1.4285714285714284</v>
      </c>
      <c r="F25" s="49">
        <f>'Avg Week Ssembabule-Kanoni'!F25+'Avg Week Kanoni-Ssembabule'!F25</f>
        <v>0.2857142857142857</v>
      </c>
      <c r="G25" s="49">
        <f>'Avg Week Ssembabule-Kanoni'!G25+'Avg Week Kanoni-Ssembabule'!G25</f>
        <v>0</v>
      </c>
      <c r="H25" s="49">
        <f>'Avg Week Ssembabule-Kanoni'!H25+'Avg Week Kanoni-Ssembabule'!H25</f>
        <v>0</v>
      </c>
      <c r="I25" s="49">
        <f>'Avg Week Ssembabule-Kanoni'!I25+'Avg Week Kanoni-Ssembabule'!I25</f>
        <v>1.7142857142857144</v>
      </c>
      <c r="J25" s="49">
        <f>'Avg Week Ssembabule-Kanoni'!J25+'Avg Week Kanoni-Ssembabule'!J25</f>
        <v>0.2857142857142857</v>
      </c>
      <c r="K25" s="49">
        <f>'Avg Week Ssembabule-Kanoni'!K25+'Avg Week Kanoni-Ssembabule'!K25</f>
        <v>0.2857142857142857</v>
      </c>
      <c r="L25" s="49">
        <f>'Avg Week Ssembabule-Kanoni'!L25+'Avg Week Kanoni-Ssembabule'!L25</f>
        <v>0.2857142857142857</v>
      </c>
      <c r="M25" s="49">
        <f>'Avg Week Ssembabule-Kanoni'!M25+'Avg Week Kanoni-Ssembabule'!M25</f>
        <v>15.428571428571431</v>
      </c>
      <c r="N25" s="49">
        <f>'Avg Week Ssembabule-Kanoni'!N25+'Avg Week Kanoni-Ssembabule'!N25</f>
        <v>0</v>
      </c>
      <c r="O25" s="15">
        <f t="shared" si="0"/>
        <v>7.7142857142857135</v>
      </c>
      <c r="P25" s="15">
        <f t="shared" si="1"/>
        <v>23.142857142857146</v>
      </c>
      <c r="R25" s="1" t="s">
        <v>149</v>
      </c>
      <c r="S25" s="34">
        <f>SUM(C70:C73)</f>
        <v>1.5</v>
      </c>
      <c r="T25" s="34">
        <f t="shared" ref="T25:AF25" si="17">SUM(D70:D73)</f>
        <v>1</v>
      </c>
      <c r="U25" s="34">
        <f t="shared" si="17"/>
        <v>1</v>
      </c>
      <c r="V25" s="34">
        <f t="shared" si="17"/>
        <v>1</v>
      </c>
      <c r="W25" s="34">
        <f t="shared" si="17"/>
        <v>0</v>
      </c>
      <c r="X25" s="34">
        <f t="shared" si="17"/>
        <v>0</v>
      </c>
      <c r="Y25" s="34">
        <f t="shared" si="17"/>
        <v>3</v>
      </c>
      <c r="Z25" s="34">
        <f t="shared" si="17"/>
        <v>2.5</v>
      </c>
      <c r="AA25" s="34">
        <f t="shared" si="17"/>
        <v>1</v>
      </c>
      <c r="AB25" s="34">
        <f t="shared" si="17"/>
        <v>0.5</v>
      </c>
      <c r="AC25" s="34">
        <f t="shared" si="17"/>
        <v>13.5</v>
      </c>
      <c r="AD25" s="34">
        <f t="shared" si="17"/>
        <v>0</v>
      </c>
      <c r="AE25" s="31">
        <f t="shared" si="17"/>
        <v>11.5</v>
      </c>
      <c r="AF25" s="31">
        <f t="shared" si="17"/>
        <v>25</v>
      </c>
    </row>
    <row r="26" spans="2:32" ht="23.1" customHeight="1" x14ac:dyDescent="0.25">
      <c r="B26" s="23" t="s">
        <v>53</v>
      </c>
      <c r="C26" s="49">
        <f>'Avg Week Ssembabule-Kanoni'!C26+'Avg Week Kanoni-Ssembabule'!C26</f>
        <v>2.5714285714285712</v>
      </c>
      <c r="D26" s="49">
        <f>'Avg Week Ssembabule-Kanoni'!D26+'Avg Week Kanoni-Ssembabule'!D26</f>
        <v>1.7142857142857142</v>
      </c>
      <c r="E26" s="49">
        <f>'Avg Week Ssembabule-Kanoni'!E26+'Avg Week Kanoni-Ssembabule'!E26</f>
        <v>1.2857142857142856</v>
      </c>
      <c r="F26" s="49">
        <f>'Avg Week Ssembabule-Kanoni'!F26+'Avg Week Kanoni-Ssembabule'!F26</f>
        <v>0.71428571428571419</v>
      </c>
      <c r="G26" s="49">
        <f>'Avg Week Ssembabule-Kanoni'!G26+'Avg Week Kanoni-Ssembabule'!G26</f>
        <v>0.14285714285714285</v>
      </c>
      <c r="H26" s="49">
        <f>'Avg Week Ssembabule-Kanoni'!H26+'Avg Week Kanoni-Ssembabule'!H26</f>
        <v>0</v>
      </c>
      <c r="I26" s="49">
        <f>'Avg Week Ssembabule-Kanoni'!I26+'Avg Week Kanoni-Ssembabule'!I26</f>
        <v>1.1428571428571428</v>
      </c>
      <c r="J26" s="49">
        <f>'Avg Week Ssembabule-Kanoni'!J26+'Avg Week Kanoni-Ssembabule'!J26</f>
        <v>0.42857142857142855</v>
      </c>
      <c r="K26" s="49">
        <f>'Avg Week Ssembabule-Kanoni'!K26+'Avg Week Kanoni-Ssembabule'!K26</f>
        <v>0.71428571428571419</v>
      </c>
      <c r="L26" s="49">
        <f>'Avg Week Ssembabule-Kanoni'!L26+'Avg Week Kanoni-Ssembabule'!L26</f>
        <v>0.14285714285714285</v>
      </c>
      <c r="M26" s="49">
        <f>'Avg Week Ssembabule-Kanoni'!M26+'Avg Week Kanoni-Ssembabule'!M26</f>
        <v>17.428571428571427</v>
      </c>
      <c r="N26" s="49">
        <f>'Avg Week Ssembabule-Kanoni'!N26+'Avg Week Kanoni-Ssembabule'!N26</f>
        <v>0</v>
      </c>
      <c r="O26" s="15">
        <f t="shared" si="0"/>
        <v>8.8571428571428559</v>
      </c>
      <c r="P26" s="15">
        <f t="shared" si="1"/>
        <v>26.285714285714285</v>
      </c>
      <c r="R26" s="1" t="s">
        <v>150</v>
      </c>
      <c r="S26" s="34">
        <f>SUM(C74:C77)</f>
        <v>4</v>
      </c>
      <c r="T26" s="34">
        <f t="shared" ref="T26:AF26" si="18">SUM(D74:D77)</f>
        <v>0</v>
      </c>
      <c r="U26" s="34">
        <f t="shared" si="18"/>
        <v>0</v>
      </c>
      <c r="V26" s="34">
        <f t="shared" si="18"/>
        <v>2.5</v>
      </c>
      <c r="W26" s="34">
        <f t="shared" si="18"/>
        <v>0</v>
      </c>
      <c r="X26" s="34">
        <f t="shared" si="18"/>
        <v>0</v>
      </c>
      <c r="Y26" s="34">
        <f t="shared" si="18"/>
        <v>1.5</v>
      </c>
      <c r="Z26" s="34">
        <f t="shared" si="18"/>
        <v>1</v>
      </c>
      <c r="AA26" s="34">
        <f t="shared" si="18"/>
        <v>2.5</v>
      </c>
      <c r="AB26" s="34">
        <f t="shared" si="18"/>
        <v>2.5</v>
      </c>
      <c r="AC26" s="34">
        <f t="shared" si="18"/>
        <v>4.5</v>
      </c>
      <c r="AD26" s="34">
        <f t="shared" si="18"/>
        <v>0</v>
      </c>
      <c r="AE26" s="31">
        <f t="shared" si="18"/>
        <v>14</v>
      </c>
      <c r="AF26" s="31">
        <f t="shared" si="18"/>
        <v>18.5</v>
      </c>
    </row>
    <row r="27" spans="2:32" ht="23.1" customHeight="1" x14ac:dyDescent="0.25">
      <c r="B27" s="23" t="s">
        <v>54</v>
      </c>
      <c r="C27" s="49">
        <f>'Avg Week Ssembabule-Kanoni'!C27+'Avg Week Kanoni-Ssembabule'!C27</f>
        <v>2</v>
      </c>
      <c r="D27" s="49">
        <f>'Avg Week Ssembabule-Kanoni'!D27+'Avg Week Kanoni-Ssembabule'!D27</f>
        <v>1.1428571428571428</v>
      </c>
      <c r="E27" s="49">
        <f>'Avg Week Ssembabule-Kanoni'!E27+'Avg Week Kanoni-Ssembabule'!E27</f>
        <v>1</v>
      </c>
      <c r="F27" s="49">
        <f>'Avg Week Ssembabule-Kanoni'!F27+'Avg Week Kanoni-Ssembabule'!F27</f>
        <v>0.42857142857142855</v>
      </c>
      <c r="G27" s="49">
        <f>'Avg Week Ssembabule-Kanoni'!G27+'Avg Week Kanoni-Ssembabule'!G27</f>
        <v>0</v>
      </c>
      <c r="H27" s="49">
        <f>'Avg Week Ssembabule-Kanoni'!H27+'Avg Week Kanoni-Ssembabule'!H27</f>
        <v>0</v>
      </c>
      <c r="I27" s="49">
        <f>'Avg Week Ssembabule-Kanoni'!I27+'Avg Week Kanoni-Ssembabule'!I27</f>
        <v>1.1428571428571428</v>
      </c>
      <c r="J27" s="49">
        <f>'Avg Week Ssembabule-Kanoni'!J27+'Avg Week Kanoni-Ssembabule'!J27</f>
        <v>0.8571428571428571</v>
      </c>
      <c r="K27" s="49">
        <f>'Avg Week Ssembabule-Kanoni'!K27+'Avg Week Kanoni-Ssembabule'!K27</f>
        <v>0.71428571428571419</v>
      </c>
      <c r="L27" s="49">
        <f>'Avg Week Ssembabule-Kanoni'!L27+'Avg Week Kanoni-Ssembabule'!L27</f>
        <v>0</v>
      </c>
      <c r="M27" s="49">
        <f>'Avg Week Ssembabule-Kanoni'!M27+'Avg Week Kanoni-Ssembabule'!M27</f>
        <v>18</v>
      </c>
      <c r="N27" s="49">
        <f>'Avg Week Ssembabule-Kanoni'!N27+'Avg Week Kanoni-Ssembabule'!N27</f>
        <v>0</v>
      </c>
      <c r="O27" s="15">
        <f t="shared" si="0"/>
        <v>7.2857142857142847</v>
      </c>
      <c r="P27" s="15">
        <f t="shared" si="1"/>
        <v>25.285714285714285</v>
      </c>
      <c r="R27" s="1" t="s">
        <v>151</v>
      </c>
      <c r="S27" s="34">
        <f>SUM(C78:C81)</f>
        <v>3</v>
      </c>
      <c r="T27" s="34">
        <f t="shared" ref="T27:AF27" si="19">SUM(D78:D81)</f>
        <v>3.5</v>
      </c>
      <c r="U27" s="34">
        <f t="shared" si="19"/>
        <v>0</v>
      </c>
      <c r="V27" s="34">
        <f t="shared" si="19"/>
        <v>1</v>
      </c>
      <c r="W27" s="34">
        <f t="shared" si="19"/>
        <v>1</v>
      </c>
      <c r="X27" s="34">
        <f t="shared" si="19"/>
        <v>0</v>
      </c>
      <c r="Y27" s="34">
        <f t="shared" si="19"/>
        <v>2</v>
      </c>
      <c r="Z27" s="34">
        <f t="shared" si="19"/>
        <v>1</v>
      </c>
      <c r="AA27" s="34">
        <f t="shared" si="19"/>
        <v>4</v>
      </c>
      <c r="AB27" s="34">
        <f t="shared" si="19"/>
        <v>2</v>
      </c>
      <c r="AC27" s="34">
        <f t="shared" si="19"/>
        <v>8</v>
      </c>
      <c r="AD27" s="34">
        <f t="shared" si="19"/>
        <v>0</v>
      </c>
      <c r="AE27" s="31">
        <f t="shared" si="19"/>
        <v>17.5</v>
      </c>
      <c r="AF27" s="31">
        <f t="shared" si="19"/>
        <v>25.5</v>
      </c>
    </row>
    <row r="28" spans="2:32" ht="23.1" customHeight="1" x14ac:dyDescent="0.25">
      <c r="B28" s="23" t="s">
        <v>55</v>
      </c>
      <c r="C28" s="49">
        <f>'Avg Week Ssembabule-Kanoni'!C28+'Avg Week Kanoni-Ssembabule'!C28</f>
        <v>2.8571428571428572</v>
      </c>
      <c r="D28" s="49">
        <f>'Avg Week Ssembabule-Kanoni'!D28+'Avg Week Kanoni-Ssembabule'!D28</f>
        <v>1</v>
      </c>
      <c r="E28" s="49">
        <f>'Avg Week Ssembabule-Kanoni'!E28+'Avg Week Kanoni-Ssembabule'!E28</f>
        <v>0.8571428571428571</v>
      </c>
      <c r="F28" s="49">
        <f>'Avg Week Ssembabule-Kanoni'!F28+'Avg Week Kanoni-Ssembabule'!F28</f>
        <v>1.2857142857142856</v>
      </c>
      <c r="G28" s="49">
        <f>'Avg Week Ssembabule-Kanoni'!G28+'Avg Week Kanoni-Ssembabule'!G28</f>
        <v>0.14285714285714285</v>
      </c>
      <c r="H28" s="49">
        <f>'Avg Week Ssembabule-Kanoni'!H28+'Avg Week Kanoni-Ssembabule'!H28</f>
        <v>0</v>
      </c>
      <c r="I28" s="49">
        <f>'Avg Week Ssembabule-Kanoni'!I28+'Avg Week Kanoni-Ssembabule'!I28</f>
        <v>0.8571428571428571</v>
      </c>
      <c r="J28" s="49">
        <f>'Avg Week Ssembabule-Kanoni'!J28+'Avg Week Kanoni-Ssembabule'!J28</f>
        <v>0.2857142857142857</v>
      </c>
      <c r="K28" s="49">
        <f>'Avg Week Ssembabule-Kanoni'!K28+'Avg Week Kanoni-Ssembabule'!K28</f>
        <v>1.4285714285714284</v>
      </c>
      <c r="L28" s="49">
        <f>'Avg Week Ssembabule-Kanoni'!L28+'Avg Week Kanoni-Ssembabule'!L28</f>
        <v>0</v>
      </c>
      <c r="M28" s="49">
        <f>'Avg Week Ssembabule-Kanoni'!M28+'Avg Week Kanoni-Ssembabule'!M28</f>
        <v>17.142857142857142</v>
      </c>
      <c r="N28" s="49">
        <f>'Avg Week Ssembabule-Kanoni'!N28+'Avg Week Kanoni-Ssembabule'!N28</f>
        <v>0</v>
      </c>
      <c r="O28" s="15">
        <f t="shared" si="0"/>
        <v>8.7142857142857135</v>
      </c>
      <c r="P28" s="15">
        <f t="shared" si="1"/>
        <v>25.857142857142854</v>
      </c>
      <c r="R28" s="1" t="s">
        <v>152</v>
      </c>
      <c r="S28" s="34">
        <f>SUM(C82:C85)</f>
        <v>1</v>
      </c>
      <c r="T28" s="34">
        <f t="shared" ref="T28:AF28" si="20">SUM(D82:D85)</f>
        <v>1.5</v>
      </c>
      <c r="U28" s="34">
        <f t="shared" si="20"/>
        <v>0.5</v>
      </c>
      <c r="V28" s="34">
        <f t="shared" si="20"/>
        <v>0</v>
      </c>
      <c r="W28" s="34">
        <f t="shared" si="20"/>
        <v>1</v>
      </c>
      <c r="X28" s="34">
        <f t="shared" si="20"/>
        <v>0.5</v>
      </c>
      <c r="Y28" s="34">
        <f t="shared" si="20"/>
        <v>4</v>
      </c>
      <c r="Z28" s="34">
        <f t="shared" si="20"/>
        <v>2</v>
      </c>
      <c r="AA28" s="34">
        <f t="shared" si="20"/>
        <v>3.5</v>
      </c>
      <c r="AB28" s="34">
        <f t="shared" si="20"/>
        <v>0.5</v>
      </c>
      <c r="AC28" s="34">
        <f t="shared" si="20"/>
        <v>6.5</v>
      </c>
      <c r="AD28" s="34">
        <f t="shared" si="20"/>
        <v>0</v>
      </c>
      <c r="AE28" s="31">
        <f t="shared" si="20"/>
        <v>14.5</v>
      </c>
      <c r="AF28" s="31">
        <f t="shared" si="20"/>
        <v>21</v>
      </c>
    </row>
    <row r="29" spans="2:32" ht="23.1" customHeight="1" x14ac:dyDescent="0.25">
      <c r="B29" s="23" t="s">
        <v>56</v>
      </c>
      <c r="C29" s="49">
        <f>'Avg Week Ssembabule-Kanoni'!C29+'Avg Week Kanoni-Ssembabule'!C29</f>
        <v>1.7142857142857144</v>
      </c>
      <c r="D29" s="49">
        <f>'Avg Week Ssembabule-Kanoni'!D29+'Avg Week Kanoni-Ssembabule'!D29</f>
        <v>1.1428571428571428</v>
      </c>
      <c r="E29" s="49">
        <f>'Avg Week Ssembabule-Kanoni'!E29+'Avg Week Kanoni-Ssembabule'!E29</f>
        <v>0.71428571428571419</v>
      </c>
      <c r="F29" s="49">
        <f>'Avg Week Ssembabule-Kanoni'!F29+'Avg Week Kanoni-Ssembabule'!F29</f>
        <v>0.8571428571428571</v>
      </c>
      <c r="G29" s="49">
        <f>'Avg Week Ssembabule-Kanoni'!G29+'Avg Week Kanoni-Ssembabule'!G29</f>
        <v>0</v>
      </c>
      <c r="H29" s="49">
        <f>'Avg Week Ssembabule-Kanoni'!H29+'Avg Week Kanoni-Ssembabule'!H29</f>
        <v>0</v>
      </c>
      <c r="I29" s="49">
        <f>'Avg Week Ssembabule-Kanoni'!I29+'Avg Week Kanoni-Ssembabule'!I29</f>
        <v>1.4285714285714284</v>
      </c>
      <c r="J29" s="49">
        <f>'Avg Week Ssembabule-Kanoni'!J29+'Avg Week Kanoni-Ssembabule'!J29</f>
        <v>0.14285714285714285</v>
      </c>
      <c r="K29" s="49">
        <f>'Avg Week Ssembabule-Kanoni'!K29+'Avg Week Kanoni-Ssembabule'!K29</f>
        <v>0.8571428571428571</v>
      </c>
      <c r="L29" s="49">
        <f>'Avg Week Ssembabule-Kanoni'!L29+'Avg Week Kanoni-Ssembabule'!L29</f>
        <v>0.2857142857142857</v>
      </c>
      <c r="M29" s="49">
        <f>'Avg Week Ssembabule-Kanoni'!M29+'Avg Week Kanoni-Ssembabule'!M29</f>
        <v>16.714285714285715</v>
      </c>
      <c r="N29" s="49">
        <f>'Avg Week Ssembabule-Kanoni'!N29+'Avg Week Kanoni-Ssembabule'!N29</f>
        <v>0</v>
      </c>
      <c r="O29" s="15">
        <f t="shared" si="0"/>
        <v>7.1428571428571415</v>
      </c>
      <c r="P29" s="15">
        <f t="shared" si="1"/>
        <v>23.857142857142858</v>
      </c>
      <c r="R29" s="1" t="s">
        <v>153</v>
      </c>
      <c r="S29" s="34">
        <f>SUM(C86:C89)</f>
        <v>2</v>
      </c>
      <c r="T29" s="34">
        <f t="shared" ref="T29:AF29" si="21">SUM(D86:D89)</f>
        <v>0</v>
      </c>
      <c r="U29" s="34">
        <f t="shared" si="21"/>
        <v>0</v>
      </c>
      <c r="V29" s="34">
        <f t="shared" si="21"/>
        <v>0</v>
      </c>
      <c r="W29" s="34">
        <f t="shared" si="21"/>
        <v>0</v>
      </c>
      <c r="X29" s="34">
        <f t="shared" si="21"/>
        <v>1</v>
      </c>
      <c r="Y29" s="34">
        <f t="shared" si="21"/>
        <v>1.5</v>
      </c>
      <c r="Z29" s="34">
        <f t="shared" si="21"/>
        <v>2.5</v>
      </c>
      <c r="AA29" s="34">
        <f t="shared" si="21"/>
        <v>2.5</v>
      </c>
      <c r="AB29" s="34">
        <f t="shared" si="21"/>
        <v>1.5</v>
      </c>
      <c r="AC29" s="34">
        <f t="shared" si="21"/>
        <v>2.5</v>
      </c>
      <c r="AD29" s="34">
        <f t="shared" si="21"/>
        <v>0</v>
      </c>
      <c r="AE29" s="31">
        <f t="shared" si="21"/>
        <v>11</v>
      </c>
      <c r="AF29" s="31">
        <f t="shared" si="21"/>
        <v>13.5</v>
      </c>
    </row>
    <row r="30" spans="2:32" ht="23.1" customHeight="1" x14ac:dyDescent="0.25">
      <c r="B30" s="23" t="s">
        <v>57</v>
      </c>
      <c r="C30" s="49">
        <f>'Avg Week Ssembabule-Kanoni'!C30+'Avg Week Kanoni-Ssembabule'!C30</f>
        <v>2.5714285714285712</v>
      </c>
      <c r="D30" s="49">
        <f>'Avg Week Ssembabule-Kanoni'!D30+'Avg Week Kanoni-Ssembabule'!D30</f>
        <v>0.5714285714285714</v>
      </c>
      <c r="E30" s="49">
        <f>'Avg Week Ssembabule-Kanoni'!E30+'Avg Week Kanoni-Ssembabule'!E30</f>
        <v>0.2857142857142857</v>
      </c>
      <c r="F30" s="49">
        <f>'Avg Week Ssembabule-Kanoni'!F30+'Avg Week Kanoni-Ssembabule'!F30</f>
        <v>1.4285714285714286</v>
      </c>
      <c r="G30" s="49">
        <f>'Avg Week Ssembabule-Kanoni'!G30+'Avg Week Kanoni-Ssembabule'!G30</f>
        <v>0.14285714285714285</v>
      </c>
      <c r="H30" s="49">
        <f>'Avg Week Ssembabule-Kanoni'!H30+'Avg Week Kanoni-Ssembabule'!H30</f>
        <v>0</v>
      </c>
      <c r="I30" s="49">
        <f>'Avg Week Ssembabule-Kanoni'!I30+'Avg Week Kanoni-Ssembabule'!I30</f>
        <v>0.71428571428571419</v>
      </c>
      <c r="J30" s="49">
        <f>'Avg Week Ssembabule-Kanoni'!J30+'Avg Week Kanoni-Ssembabule'!J30</f>
        <v>0.14285714285714285</v>
      </c>
      <c r="K30" s="49">
        <f>'Avg Week Ssembabule-Kanoni'!K30+'Avg Week Kanoni-Ssembabule'!K30</f>
        <v>1</v>
      </c>
      <c r="L30" s="49">
        <f>'Avg Week Ssembabule-Kanoni'!L30+'Avg Week Kanoni-Ssembabule'!L30</f>
        <v>0</v>
      </c>
      <c r="M30" s="49">
        <f>'Avg Week Ssembabule-Kanoni'!M30+'Avg Week Kanoni-Ssembabule'!M30</f>
        <v>12.714285714285714</v>
      </c>
      <c r="N30" s="49">
        <f>'Avg Week Ssembabule-Kanoni'!N30+'Avg Week Kanoni-Ssembabule'!N30</f>
        <v>0</v>
      </c>
      <c r="O30" s="15">
        <f t="shared" si="0"/>
        <v>6.8571428571428577</v>
      </c>
      <c r="P30" s="15">
        <f t="shared" si="1"/>
        <v>19.571428571428569</v>
      </c>
      <c r="R30" s="1" t="s">
        <v>154</v>
      </c>
      <c r="S30" s="34">
        <f>SUM(C90:C93)</f>
        <v>3.5</v>
      </c>
      <c r="T30" s="34">
        <f t="shared" ref="T30:AF30" si="22">SUM(D90:D93)</f>
        <v>1.5</v>
      </c>
      <c r="U30" s="34">
        <f t="shared" si="22"/>
        <v>0.5</v>
      </c>
      <c r="V30" s="34">
        <f t="shared" si="22"/>
        <v>0.5</v>
      </c>
      <c r="W30" s="34">
        <f t="shared" si="22"/>
        <v>1</v>
      </c>
      <c r="X30" s="34">
        <f t="shared" si="22"/>
        <v>0</v>
      </c>
      <c r="Y30" s="34">
        <f t="shared" si="22"/>
        <v>1.5</v>
      </c>
      <c r="Z30" s="34">
        <f t="shared" si="22"/>
        <v>2</v>
      </c>
      <c r="AA30" s="34">
        <f t="shared" si="22"/>
        <v>2</v>
      </c>
      <c r="AB30" s="34">
        <f t="shared" si="22"/>
        <v>1.5</v>
      </c>
      <c r="AC30" s="34">
        <f t="shared" si="22"/>
        <v>0</v>
      </c>
      <c r="AD30" s="34">
        <f t="shared" si="22"/>
        <v>0</v>
      </c>
      <c r="AE30" s="31">
        <f t="shared" si="22"/>
        <v>14</v>
      </c>
      <c r="AF30" s="31">
        <f t="shared" si="22"/>
        <v>14</v>
      </c>
    </row>
    <row r="31" spans="2:32" ht="23.1" customHeight="1" x14ac:dyDescent="0.25">
      <c r="B31" s="24" t="s">
        <v>58</v>
      </c>
      <c r="C31" s="49">
        <f>'Avg Week Ssembabule-Kanoni'!C31+'Avg Week Kanoni-Ssembabule'!C31</f>
        <v>3</v>
      </c>
      <c r="D31" s="49">
        <f>'Avg Week Ssembabule-Kanoni'!D31+'Avg Week Kanoni-Ssembabule'!D31</f>
        <v>1</v>
      </c>
      <c r="E31" s="49">
        <f>'Avg Week Ssembabule-Kanoni'!E31+'Avg Week Kanoni-Ssembabule'!E31</f>
        <v>1</v>
      </c>
      <c r="F31" s="49">
        <f>'Avg Week Ssembabule-Kanoni'!F31+'Avg Week Kanoni-Ssembabule'!F31</f>
        <v>0.42857142857142855</v>
      </c>
      <c r="G31" s="49">
        <f>'Avg Week Ssembabule-Kanoni'!G31+'Avg Week Kanoni-Ssembabule'!G31</f>
        <v>0</v>
      </c>
      <c r="H31" s="49">
        <f>'Avg Week Ssembabule-Kanoni'!H31+'Avg Week Kanoni-Ssembabule'!H31</f>
        <v>0</v>
      </c>
      <c r="I31" s="49">
        <f>'Avg Week Ssembabule-Kanoni'!I31+'Avg Week Kanoni-Ssembabule'!I31</f>
        <v>1.4285714285714286</v>
      </c>
      <c r="J31" s="49">
        <f>'Avg Week Ssembabule-Kanoni'!J31+'Avg Week Kanoni-Ssembabule'!J31</f>
        <v>0.8571428571428571</v>
      </c>
      <c r="K31" s="49">
        <f>'Avg Week Ssembabule-Kanoni'!K31+'Avg Week Kanoni-Ssembabule'!K31</f>
        <v>1.1428571428571428</v>
      </c>
      <c r="L31" s="49">
        <f>'Avg Week Ssembabule-Kanoni'!L31+'Avg Week Kanoni-Ssembabule'!L31</f>
        <v>0.14285714285714285</v>
      </c>
      <c r="M31" s="49">
        <f>'Avg Week Ssembabule-Kanoni'!M31+'Avg Week Kanoni-Ssembabule'!M31</f>
        <v>16.714285714285715</v>
      </c>
      <c r="N31" s="49">
        <f>'Avg Week Ssembabule-Kanoni'!N31+'Avg Week Kanoni-Ssembabule'!N31</f>
        <v>0</v>
      </c>
      <c r="O31" s="15">
        <f t="shared" si="0"/>
        <v>9</v>
      </c>
      <c r="P31" s="15">
        <f t="shared" si="1"/>
        <v>25.714285714285715</v>
      </c>
      <c r="R31" s="1" t="s">
        <v>155</v>
      </c>
      <c r="S31" s="34">
        <f>SUM(C94:C97)</f>
        <v>1.5</v>
      </c>
      <c r="T31" s="34">
        <f t="shared" ref="T31:AF31" si="23">SUM(D94:D97)</f>
        <v>2.5</v>
      </c>
      <c r="U31" s="34">
        <f t="shared" si="23"/>
        <v>0</v>
      </c>
      <c r="V31" s="34">
        <f t="shared" si="23"/>
        <v>1.5</v>
      </c>
      <c r="W31" s="34">
        <f t="shared" si="23"/>
        <v>2</v>
      </c>
      <c r="X31" s="34">
        <f t="shared" si="23"/>
        <v>0.5</v>
      </c>
      <c r="Y31" s="34">
        <f t="shared" si="23"/>
        <v>2.5</v>
      </c>
      <c r="Z31" s="34">
        <f t="shared" si="23"/>
        <v>0.5</v>
      </c>
      <c r="AA31" s="34">
        <f t="shared" si="23"/>
        <v>2.5</v>
      </c>
      <c r="AB31" s="34">
        <f t="shared" si="23"/>
        <v>1.5</v>
      </c>
      <c r="AC31" s="34">
        <f t="shared" si="23"/>
        <v>2</v>
      </c>
      <c r="AD31" s="34">
        <f t="shared" si="23"/>
        <v>0</v>
      </c>
      <c r="AE31" s="31">
        <f t="shared" si="23"/>
        <v>15</v>
      </c>
      <c r="AF31" s="31">
        <f t="shared" si="23"/>
        <v>17</v>
      </c>
    </row>
    <row r="32" spans="2:32" ht="23.1" customHeight="1" x14ac:dyDescent="0.25">
      <c r="B32" s="24" t="s">
        <v>59</v>
      </c>
      <c r="C32" s="49">
        <f>'Avg Week Ssembabule-Kanoni'!C32+'Avg Week Kanoni-Ssembabule'!C32</f>
        <v>1.7142857142857144</v>
      </c>
      <c r="D32" s="49">
        <f>'Avg Week Ssembabule-Kanoni'!D32+'Avg Week Kanoni-Ssembabule'!D32</f>
        <v>0.85714285714285721</v>
      </c>
      <c r="E32" s="49">
        <f>'Avg Week Ssembabule-Kanoni'!E32+'Avg Week Kanoni-Ssembabule'!E32</f>
        <v>0.71428571428571419</v>
      </c>
      <c r="F32" s="49">
        <f>'Avg Week Ssembabule-Kanoni'!F32+'Avg Week Kanoni-Ssembabule'!F32</f>
        <v>1</v>
      </c>
      <c r="G32" s="49">
        <f>'Avg Week Ssembabule-Kanoni'!G32+'Avg Week Kanoni-Ssembabule'!G32</f>
        <v>0</v>
      </c>
      <c r="H32" s="49">
        <f>'Avg Week Ssembabule-Kanoni'!H32+'Avg Week Kanoni-Ssembabule'!H32</f>
        <v>0.14285714285714285</v>
      </c>
      <c r="I32" s="49">
        <f>'Avg Week Ssembabule-Kanoni'!I32+'Avg Week Kanoni-Ssembabule'!I32</f>
        <v>1</v>
      </c>
      <c r="J32" s="49">
        <f>'Avg Week Ssembabule-Kanoni'!J32+'Avg Week Kanoni-Ssembabule'!J32</f>
        <v>0.14285714285714285</v>
      </c>
      <c r="K32" s="49">
        <f>'Avg Week Ssembabule-Kanoni'!K32+'Avg Week Kanoni-Ssembabule'!K32</f>
        <v>0.71428571428571419</v>
      </c>
      <c r="L32" s="49">
        <f>'Avg Week Ssembabule-Kanoni'!L32+'Avg Week Kanoni-Ssembabule'!L32</f>
        <v>0.14285714285714285</v>
      </c>
      <c r="M32" s="49">
        <f>'Avg Week Ssembabule-Kanoni'!M32+'Avg Week Kanoni-Ssembabule'!M32</f>
        <v>19.428571428571427</v>
      </c>
      <c r="N32" s="49">
        <f>'Avg Week Ssembabule-Kanoni'!N32+'Avg Week Kanoni-Ssembabule'!N32</f>
        <v>0</v>
      </c>
      <c r="O32" s="15">
        <f t="shared" si="0"/>
        <v>6.4285714285714297</v>
      </c>
      <c r="P32" s="15">
        <f t="shared" si="1"/>
        <v>25.857142857142858</v>
      </c>
      <c r="R32" s="1" t="s">
        <v>156</v>
      </c>
      <c r="S32" s="34">
        <f>SUM(C98:C101)</f>
        <v>2.5</v>
      </c>
      <c r="T32" s="34">
        <f t="shared" ref="T32:AF32" si="24">SUM(D98:D101)</f>
        <v>0</v>
      </c>
      <c r="U32" s="34">
        <f t="shared" si="24"/>
        <v>0</v>
      </c>
      <c r="V32" s="34">
        <f t="shared" si="24"/>
        <v>2</v>
      </c>
      <c r="W32" s="34">
        <f t="shared" si="24"/>
        <v>0</v>
      </c>
      <c r="X32" s="34">
        <f t="shared" si="24"/>
        <v>0</v>
      </c>
      <c r="Y32" s="34">
        <f t="shared" si="24"/>
        <v>2</v>
      </c>
      <c r="Z32" s="34">
        <f t="shared" si="24"/>
        <v>1</v>
      </c>
      <c r="AA32" s="34">
        <f t="shared" si="24"/>
        <v>0.5</v>
      </c>
      <c r="AB32" s="34">
        <f t="shared" si="24"/>
        <v>0</v>
      </c>
      <c r="AC32" s="34">
        <f t="shared" si="24"/>
        <v>3</v>
      </c>
      <c r="AD32" s="34">
        <f t="shared" si="24"/>
        <v>0</v>
      </c>
      <c r="AE32" s="31">
        <f t="shared" si="24"/>
        <v>8</v>
      </c>
      <c r="AF32" s="31">
        <f t="shared" si="24"/>
        <v>11</v>
      </c>
    </row>
    <row r="33" spans="2:32" ht="23.1" customHeight="1" x14ac:dyDescent="0.25">
      <c r="B33" s="23" t="s">
        <v>60</v>
      </c>
      <c r="C33" s="49">
        <f>'Avg Week Ssembabule-Kanoni'!C33+'Avg Week Kanoni-Ssembabule'!C33</f>
        <v>3.1428571428571428</v>
      </c>
      <c r="D33" s="49">
        <f>'Avg Week Ssembabule-Kanoni'!D33+'Avg Week Kanoni-Ssembabule'!D33</f>
        <v>0.8571428571428571</v>
      </c>
      <c r="E33" s="49">
        <f>'Avg Week Ssembabule-Kanoni'!E33+'Avg Week Kanoni-Ssembabule'!E33</f>
        <v>0.71428571428571419</v>
      </c>
      <c r="F33" s="49">
        <f>'Avg Week Ssembabule-Kanoni'!F33+'Avg Week Kanoni-Ssembabule'!F33</f>
        <v>0.71428571428571419</v>
      </c>
      <c r="G33" s="49">
        <f>'Avg Week Ssembabule-Kanoni'!G33+'Avg Week Kanoni-Ssembabule'!G33</f>
        <v>0.14285714285714285</v>
      </c>
      <c r="H33" s="49">
        <f>'Avg Week Ssembabule-Kanoni'!H33+'Avg Week Kanoni-Ssembabule'!H33</f>
        <v>0</v>
      </c>
      <c r="I33" s="49">
        <f>'Avg Week Ssembabule-Kanoni'!I33+'Avg Week Kanoni-Ssembabule'!I33</f>
        <v>0.8571428571428571</v>
      </c>
      <c r="J33" s="49">
        <f>'Avg Week Ssembabule-Kanoni'!J33+'Avg Week Kanoni-Ssembabule'!J33</f>
        <v>0.2857142857142857</v>
      </c>
      <c r="K33" s="49">
        <f>'Avg Week Ssembabule-Kanoni'!K33+'Avg Week Kanoni-Ssembabule'!K33</f>
        <v>0.8571428571428571</v>
      </c>
      <c r="L33" s="49">
        <f>'Avg Week Ssembabule-Kanoni'!L33+'Avg Week Kanoni-Ssembabule'!L33</f>
        <v>0</v>
      </c>
      <c r="M33" s="49">
        <f>'Avg Week Ssembabule-Kanoni'!M33+'Avg Week Kanoni-Ssembabule'!M33</f>
        <v>20.142857142857146</v>
      </c>
      <c r="N33" s="49">
        <f>'Avg Week Ssembabule-Kanoni'!N33+'Avg Week Kanoni-Ssembabule'!N33</f>
        <v>0</v>
      </c>
      <c r="O33" s="15">
        <f t="shared" si="0"/>
        <v>7.5714285714285712</v>
      </c>
      <c r="P33" s="15">
        <f t="shared" si="1"/>
        <v>27.714285714285715</v>
      </c>
      <c r="R33" s="1" t="s">
        <v>157</v>
      </c>
      <c r="S33" s="34">
        <f>SUM(C102:C105)</f>
        <v>3</v>
      </c>
      <c r="T33" s="34">
        <f t="shared" ref="T33:AF33" si="25">SUM(D102:D105)</f>
        <v>2.5</v>
      </c>
      <c r="U33" s="34">
        <f t="shared" si="25"/>
        <v>4</v>
      </c>
      <c r="V33" s="34">
        <f t="shared" si="25"/>
        <v>6</v>
      </c>
      <c r="W33" s="34">
        <f t="shared" si="25"/>
        <v>1.5</v>
      </c>
      <c r="X33" s="34">
        <f t="shared" si="25"/>
        <v>1</v>
      </c>
      <c r="Y33" s="34">
        <f t="shared" si="25"/>
        <v>1</v>
      </c>
      <c r="Z33" s="34">
        <f t="shared" si="25"/>
        <v>1.5</v>
      </c>
      <c r="AA33" s="34">
        <f t="shared" si="25"/>
        <v>0</v>
      </c>
      <c r="AB33" s="34">
        <f t="shared" si="25"/>
        <v>0</v>
      </c>
      <c r="AC33" s="34">
        <f t="shared" si="25"/>
        <v>17.5</v>
      </c>
      <c r="AD33" s="34">
        <f t="shared" si="25"/>
        <v>0</v>
      </c>
      <c r="AE33" s="31">
        <f t="shared" si="25"/>
        <v>20.5</v>
      </c>
      <c r="AF33" s="31">
        <f t="shared" si="25"/>
        <v>38</v>
      </c>
    </row>
    <row r="34" spans="2:32" ht="23.1" customHeight="1" x14ac:dyDescent="0.25">
      <c r="B34" s="24" t="s">
        <v>61</v>
      </c>
      <c r="C34" s="49">
        <f>'Avg Week Ssembabule-Kanoni'!C34+'Avg Week Kanoni-Ssembabule'!C34</f>
        <v>2.7142857142857144</v>
      </c>
      <c r="D34" s="49">
        <f>'Avg Week Ssembabule-Kanoni'!D34+'Avg Week Kanoni-Ssembabule'!D34</f>
        <v>1.7142857142857144</v>
      </c>
      <c r="E34" s="49">
        <f>'Avg Week Ssembabule-Kanoni'!E34+'Avg Week Kanoni-Ssembabule'!E34</f>
        <v>1</v>
      </c>
      <c r="F34" s="49">
        <f>'Avg Week Ssembabule-Kanoni'!F34+'Avg Week Kanoni-Ssembabule'!F34</f>
        <v>0.71428571428571419</v>
      </c>
      <c r="G34" s="49">
        <f>'Avg Week Ssembabule-Kanoni'!G34+'Avg Week Kanoni-Ssembabule'!G34</f>
        <v>0</v>
      </c>
      <c r="H34" s="49">
        <f>'Avg Week Ssembabule-Kanoni'!H34+'Avg Week Kanoni-Ssembabule'!H34</f>
        <v>0</v>
      </c>
      <c r="I34" s="49">
        <f>'Avg Week Ssembabule-Kanoni'!I34+'Avg Week Kanoni-Ssembabule'!I34</f>
        <v>1.1428571428571428</v>
      </c>
      <c r="J34" s="49">
        <f>'Avg Week Ssembabule-Kanoni'!J34+'Avg Week Kanoni-Ssembabule'!J34</f>
        <v>0.42857142857142855</v>
      </c>
      <c r="K34" s="49">
        <f>'Avg Week Ssembabule-Kanoni'!K34+'Avg Week Kanoni-Ssembabule'!K34</f>
        <v>0.5714285714285714</v>
      </c>
      <c r="L34" s="49">
        <f>'Avg Week Ssembabule-Kanoni'!L34+'Avg Week Kanoni-Ssembabule'!L34</f>
        <v>0</v>
      </c>
      <c r="M34" s="49">
        <f>'Avg Week Ssembabule-Kanoni'!M34+'Avg Week Kanoni-Ssembabule'!M34</f>
        <v>16</v>
      </c>
      <c r="N34" s="49">
        <f>'Avg Week Ssembabule-Kanoni'!N34+'Avg Week Kanoni-Ssembabule'!N34</f>
        <v>0</v>
      </c>
      <c r="O34" s="15">
        <f t="shared" si="0"/>
        <v>8.2857142857142865</v>
      </c>
      <c r="P34" s="15">
        <f t="shared" si="1"/>
        <v>24.285714285714285</v>
      </c>
      <c r="R34" s="52" t="s">
        <v>90</v>
      </c>
      <c r="S34" s="53">
        <f t="shared" ref="S34:AF34" si="26">MAX(S10:S12)</f>
        <v>7.7142857142857144</v>
      </c>
      <c r="T34" s="53">
        <f t="shared" si="26"/>
        <v>3</v>
      </c>
      <c r="U34" s="53">
        <f t="shared" si="26"/>
        <v>2.5714285714285712</v>
      </c>
      <c r="V34" s="53">
        <f t="shared" si="26"/>
        <v>4.5714285714285712</v>
      </c>
      <c r="W34" s="53">
        <f t="shared" si="26"/>
        <v>0.5714285714285714</v>
      </c>
      <c r="X34" s="53">
        <f t="shared" si="26"/>
        <v>0.2857142857142857</v>
      </c>
      <c r="Y34" s="53">
        <f t="shared" si="26"/>
        <v>4.9999999999999991</v>
      </c>
      <c r="Z34" s="53">
        <f t="shared" si="26"/>
        <v>2.4285714285714288</v>
      </c>
      <c r="AA34" s="53">
        <f t="shared" si="26"/>
        <v>4.2857142857142856</v>
      </c>
      <c r="AB34" s="53">
        <f t="shared" si="26"/>
        <v>0.5714285714285714</v>
      </c>
      <c r="AC34" s="53">
        <f t="shared" si="26"/>
        <v>61.428571428571431</v>
      </c>
      <c r="AD34" s="53">
        <f t="shared" si="26"/>
        <v>0</v>
      </c>
      <c r="AE34" s="40">
        <f t="shared" si="26"/>
        <v>26.428571428571423</v>
      </c>
      <c r="AF34" s="40">
        <f t="shared" si="26"/>
        <v>87.857142857142847</v>
      </c>
    </row>
    <row r="35" spans="2:32" ht="23.1" customHeight="1" x14ac:dyDescent="0.25">
      <c r="B35" s="24" t="s">
        <v>62</v>
      </c>
      <c r="C35" s="49">
        <f>'Avg Week Ssembabule-Kanoni'!C35+'Avg Week Kanoni-Ssembabule'!C35</f>
        <v>2.1428571428571428</v>
      </c>
      <c r="D35" s="49">
        <f>'Avg Week Ssembabule-Kanoni'!D35+'Avg Week Kanoni-Ssembabule'!D35</f>
        <v>0.42857142857142855</v>
      </c>
      <c r="E35" s="49">
        <f>'Avg Week Ssembabule-Kanoni'!E35+'Avg Week Kanoni-Ssembabule'!E35</f>
        <v>1</v>
      </c>
      <c r="F35" s="49">
        <f>'Avg Week Ssembabule-Kanoni'!F35+'Avg Week Kanoni-Ssembabule'!F35</f>
        <v>0.42857142857142855</v>
      </c>
      <c r="G35" s="49">
        <f>'Avg Week Ssembabule-Kanoni'!G35+'Avg Week Kanoni-Ssembabule'!G35</f>
        <v>0.14285714285714285</v>
      </c>
      <c r="H35" s="49">
        <f>'Avg Week Ssembabule-Kanoni'!H35+'Avg Week Kanoni-Ssembabule'!H35</f>
        <v>0</v>
      </c>
      <c r="I35" s="49">
        <f>'Avg Week Ssembabule-Kanoni'!I35+'Avg Week Kanoni-Ssembabule'!I35</f>
        <v>0.71428571428571419</v>
      </c>
      <c r="J35" s="49">
        <f>'Avg Week Ssembabule-Kanoni'!J35+'Avg Week Kanoni-Ssembabule'!J35</f>
        <v>0.71428571428571419</v>
      </c>
      <c r="K35" s="49">
        <f>'Avg Week Ssembabule-Kanoni'!K35+'Avg Week Kanoni-Ssembabule'!K35</f>
        <v>0.8571428571428571</v>
      </c>
      <c r="L35" s="49">
        <f>'Avg Week Ssembabule-Kanoni'!L35+'Avg Week Kanoni-Ssembabule'!L35</f>
        <v>0</v>
      </c>
      <c r="M35" s="49">
        <f>'Avg Week Ssembabule-Kanoni'!M35+'Avg Week Kanoni-Ssembabule'!M35</f>
        <v>15.285714285714285</v>
      </c>
      <c r="N35" s="49">
        <f>'Avg Week Ssembabule-Kanoni'!N35+'Avg Week Kanoni-Ssembabule'!N35</f>
        <v>0</v>
      </c>
      <c r="O35" s="15">
        <f t="shared" si="0"/>
        <v>6.4285714285714279</v>
      </c>
      <c r="P35" s="15">
        <f t="shared" si="1"/>
        <v>21.714285714285712</v>
      </c>
      <c r="R35" s="52" t="s">
        <v>91</v>
      </c>
      <c r="S35" s="53">
        <f t="shared" ref="S35:AF35" si="27">MAX(S13:S18)</f>
        <v>10.428571428571429</v>
      </c>
      <c r="T35" s="53">
        <f t="shared" si="27"/>
        <v>5</v>
      </c>
      <c r="U35" s="53">
        <f t="shared" si="27"/>
        <v>4.1428571428571423</v>
      </c>
      <c r="V35" s="53">
        <f t="shared" si="27"/>
        <v>3.7142857142857144</v>
      </c>
      <c r="W35" s="53">
        <f t="shared" si="27"/>
        <v>0.2857142857142857</v>
      </c>
      <c r="X35" s="53">
        <f t="shared" si="27"/>
        <v>0.14285714285714285</v>
      </c>
      <c r="Y35" s="53">
        <f t="shared" si="27"/>
        <v>5.5714285714285712</v>
      </c>
      <c r="Z35" s="53">
        <f t="shared" si="27"/>
        <v>2.9999999999999996</v>
      </c>
      <c r="AA35" s="53">
        <f t="shared" si="27"/>
        <v>4.8571428571428559</v>
      </c>
      <c r="AB35" s="53">
        <f t="shared" si="27"/>
        <v>0.71428571428571419</v>
      </c>
      <c r="AC35" s="53">
        <f t="shared" si="27"/>
        <v>71</v>
      </c>
      <c r="AD35" s="53">
        <f t="shared" si="27"/>
        <v>0.2857142857142857</v>
      </c>
      <c r="AE35" s="40">
        <f t="shared" si="27"/>
        <v>31.999999999999996</v>
      </c>
      <c r="AF35" s="40">
        <f t="shared" si="27"/>
        <v>101.28571428571428</v>
      </c>
    </row>
    <row r="36" spans="2:32" ht="23.1" customHeight="1" x14ac:dyDescent="0.25">
      <c r="B36" s="24" t="s">
        <v>63</v>
      </c>
      <c r="C36" s="49">
        <f>'Avg Week Ssembabule-Kanoni'!C36+'Avg Week Kanoni-Ssembabule'!C36</f>
        <v>3</v>
      </c>
      <c r="D36" s="49">
        <f>'Avg Week Ssembabule-Kanoni'!D36+'Avg Week Kanoni-Ssembabule'!D36</f>
        <v>0.2857142857142857</v>
      </c>
      <c r="E36" s="49">
        <f>'Avg Week Ssembabule-Kanoni'!E36+'Avg Week Kanoni-Ssembabule'!E36</f>
        <v>0.42857142857142855</v>
      </c>
      <c r="F36" s="49">
        <f>'Avg Week Ssembabule-Kanoni'!F36+'Avg Week Kanoni-Ssembabule'!F36</f>
        <v>0.42857142857142855</v>
      </c>
      <c r="G36" s="49">
        <f>'Avg Week Ssembabule-Kanoni'!G36+'Avg Week Kanoni-Ssembabule'!G36</f>
        <v>0</v>
      </c>
      <c r="H36" s="49">
        <f>'Avg Week Ssembabule-Kanoni'!H36+'Avg Week Kanoni-Ssembabule'!H36</f>
        <v>0</v>
      </c>
      <c r="I36" s="49">
        <f>'Avg Week Ssembabule-Kanoni'!I36+'Avg Week Kanoni-Ssembabule'!I36</f>
        <v>0.8571428571428571</v>
      </c>
      <c r="J36" s="49">
        <f>'Avg Week Ssembabule-Kanoni'!J36+'Avg Week Kanoni-Ssembabule'!J36</f>
        <v>0.5714285714285714</v>
      </c>
      <c r="K36" s="49">
        <f>'Avg Week Ssembabule-Kanoni'!K36+'Avg Week Kanoni-Ssembabule'!K36</f>
        <v>1.2857142857142856</v>
      </c>
      <c r="L36" s="49">
        <f>'Avg Week Ssembabule-Kanoni'!L36+'Avg Week Kanoni-Ssembabule'!L36</f>
        <v>0.2857142857142857</v>
      </c>
      <c r="M36" s="49">
        <f>'Avg Week Ssembabule-Kanoni'!M36+'Avg Week Kanoni-Ssembabule'!M36</f>
        <v>21.571428571428573</v>
      </c>
      <c r="N36" s="49">
        <f>'Avg Week Ssembabule-Kanoni'!N36+'Avg Week Kanoni-Ssembabule'!N36</f>
        <v>0</v>
      </c>
      <c r="O36" s="15">
        <f t="shared" si="0"/>
        <v>7.1428571428571415</v>
      </c>
      <c r="P36" s="15">
        <f t="shared" si="1"/>
        <v>28.714285714285715</v>
      </c>
      <c r="R36" s="52" t="s">
        <v>92</v>
      </c>
      <c r="S36" s="53">
        <f t="shared" ref="S36:AF36" si="28">MAX(S19:S21)</f>
        <v>12.857142857142858</v>
      </c>
      <c r="T36" s="53">
        <f t="shared" si="28"/>
        <v>5</v>
      </c>
      <c r="U36" s="53">
        <f t="shared" si="28"/>
        <v>2.5714285714285712</v>
      </c>
      <c r="V36" s="53">
        <f t="shared" si="28"/>
        <v>4.1428571428571423</v>
      </c>
      <c r="W36" s="53">
        <f t="shared" si="28"/>
        <v>1.4285714285714286</v>
      </c>
      <c r="X36" s="53">
        <f t="shared" si="28"/>
        <v>0.42857142857142855</v>
      </c>
      <c r="Y36" s="53">
        <f t="shared" si="28"/>
        <v>6.7142857142857144</v>
      </c>
      <c r="Z36" s="53">
        <f t="shared" si="28"/>
        <v>4.2857142857142856</v>
      </c>
      <c r="AA36" s="53">
        <f t="shared" si="28"/>
        <v>3.2857142857142856</v>
      </c>
      <c r="AB36" s="53">
        <f t="shared" si="28"/>
        <v>0.85714285714285698</v>
      </c>
      <c r="AC36" s="53">
        <f t="shared" si="28"/>
        <v>82.428571428571416</v>
      </c>
      <c r="AD36" s="53">
        <f t="shared" si="28"/>
        <v>0</v>
      </c>
      <c r="AE36" s="40">
        <f t="shared" si="28"/>
        <v>37.857142857142854</v>
      </c>
      <c r="AF36" s="40">
        <f t="shared" si="28"/>
        <v>120.28571428571428</v>
      </c>
    </row>
    <row r="37" spans="2:32" ht="23.1" customHeight="1" x14ac:dyDescent="0.25">
      <c r="B37" s="23" t="s">
        <v>64</v>
      </c>
      <c r="C37" s="49">
        <f>'Avg Week Ssembabule-Kanoni'!C37+'Avg Week Kanoni-Ssembabule'!C37</f>
        <v>1.7142857142857144</v>
      </c>
      <c r="D37" s="49">
        <f>'Avg Week Ssembabule-Kanoni'!D37+'Avg Week Kanoni-Ssembabule'!D37</f>
        <v>0.7142857142857143</v>
      </c>
      <c r="E37" s="49">
        <f>'Avg Week Ssembabule-Kanoni'!E37+'Avg Week Kanoni-Ssembabule'!E37</f>
        <v>0.71428571428571419</v>
      </c>
      <c r="F37" s="49">
        <f>'Avg Week Ssembabule-Kanoni'!F37+'Avg Week Kanoni-Ssembabule'!F37</f>
        <v>1.1428571428571428</v>
      </c>
      <c r="G37" s="49">
        <f>'Avg Week Ssembabule-Kanoni'!G37+'Avg Week Kanoni-Ssembabule'!G37</f>
        <v>0</v>
      </c>
      <c r="H37" s="49">
        <f>'Avg Week Ssembabule-Kanoni'!H37+'Avg Week Kanoni-Ssembabule'!H37</f>
        <v>0</v>
      </c>
      <c r="I37" s="49">
        <f>'Avg Week Ssembabule-Kanoni'!I37+'Avg Week Kanoni-Ssembabule'!I37</f>
        <v>2.2857142857142856</v>
      </c>
      <c r="J37" s="49">
        <f>'Avg Week Ssembabule-Kanoni'!J37+'Avg Week Kanoni-Ssembabule'!J37</f>
        <v>0.42857142857142855</v>
      </c>
      <c r="K37" s="49">
        <f>'Avg Week Ssembabule-Kanoni'!K37+'Avg Week Kanoni-Ssembabule'!K37</f>
        <v>0.71428571428571419</v>
      </c>
      <c r="L37" s="49">
        <f>'Avg Week Ssembabule-Kanoni'!L37+'Avg Week Kanoni-Ssembabule'!L37</f>
        <v>0</v>
      </c>
      <c r="M37" s="49">
        <f>'Avg Week Ssembabule-Kanoni'!M37+'Avg Week Kanoni-Ssembabule'!M37</f>
        <v>14.857142857142858</v>
      </c>
      <c r="N37" s="49">
        <f>'Avg Week Ssembabule-Kanoni'!N37+'Avg Week Kanoni-Ssembabule'!N37</f>
        <v>0.14285714285714285</v>
      </c>
      <c r="O37" s="15">
        <f t="shared" si="0"/>
        <v>7.8571428571428585</v>
      </c>
      <c r="P37" s="15">
        <f t="shared" si="1"/>
        <v>22.714285714285715</v>
      </c>
      <c r="R37" s="37" t="s">
        <v>85</v>
      </c>
      <c r="S37" s="54">
        <f t="shared" ref="S37:AF37" si="29">SUM(S10:S12)</f>
        <v>21.285714285714285</v>
      </c>
      <c r="T37" s="55">
        <f t="shared" si="29"/>
        <v>7.5714285714285712</v>
      </c>
      <c r="U37" s="55">
        <f t="shared" si="29"/>
        <v>6.428571428571427</v>
      </c>
      <c r="V37" s="55">
        <f t="shared" si="29"/>
        <v>11.714285714285714</v>
      </c>
      <c r="W37" s="55">
        <f t="shared" si="29"/>
        <v>1.4285714285714284</v>
      </c>
      <c r="X37" s="55">
        <f t="shared" si="29"/>
        <v>0.5714285714285714</v>
      </c>
      <c r="Y37" s="55">
        <f t="shared" si="29"/>
        <v>12.142857142857142</v>
      </c>
      <c r="Z37" s="55">
        <f t="shared" si="29"/>
        <v>5.4285714285714288</v>
      </c>
      <c r="AA37" s="55">
        <f t="shared" si="29"/>
        <v>8.5714285714285712</v>
      </c>
      <c r="AB37" s="55">
        <f t="shared" si="29"/>
        <v>0.71428571428571419</v>
      </c>
      <c r="AC37" s="55">
        <f t="shared" si="29"/>
        <v>164.57142857142856</v>
      </c>
      <c r="AD37" s="55">
        <f t="shared" si="29"/>
        <v>0</v>
      </c>
      <c r="AE37" s="56">
        <f t="shared" si="29"/>
        <v>75.857142857142861</v>
      </c>
      <c r="AF37" s="56">
        <f t="shared" si="29"/>
        <v>240.42857142857139</v>
      </c>
    </row>
    <row r="38" spans="2:32" ht="23.1" customHeight="1" x14ac:dyDescent="0.25">
      <c r="B38" s="24" t="s">
        <v>65</v>
      </c>
      <c r="C38" s="49">
        <f>'Avg Week Ssembabule-Kanoni'!C38+'Avg Week Kanoni-Ssembabule'!C38</f>
        <v>1</v>
      </c>
      <c r="D38" s="49">
        <f>'Avg Week Ssembabule-Kanoni'!D38+'Avg Week Kanoni-Ssembabule'!D38</f>
        <v>0.8571428571428571</v>
      </c>
      <c r="E38" s="49">
        <f>'Avg Week Ssembabule-Kanoni'!E38+'Avg Week Kanoni-Ssembabule'!E38</f>
        <v>0.42857142857142855</v>
      </c>
      <c r="F38" s="49">
        <f>'Avg Week Ssembabule-Kanoni'!F38+'Avg Week Kanoni-Ssembabule'!F38</f>
        <v>0.8571428571428571</v>
      </c>
      <c r="G38" s="49">
        <f>'Avg Week Ssembabule-Kanoni'!G38+'Avg Week Kanoni-Ssembabule'!G38</f>
        <v>0</v>
      </c>
      <c r="H38" s="49">
        <f>'Avg Week Ssembabule-Kanoni'!H38+'Avg Week Kanoni-Ssembabule'!H38</f>
        <v>0</v>
      </c>
      <c r="I38" s="49">
        <f>'Avg Week Ssembabule-Kanoni'!I38+'Avg Week Kanoni-Ssembabule'!I38</f>
        <v>1.2857142857142856</v>
      </c>
      <c r="J38" s="49">
        <f>'Avg Week Ssembabule-Kanoni'!J38+'Avg Week Kanoni-Ssembabule'!J38</f>
        <v>0.5714285714285714</v>
      </c>
      <c r="K38" s="49">
        <f>'Avg Week Ssembabule-Kanoni'!K38+'Avg Week Kanoni-Ssembabule'!K38</f>
        <v>2.714285714285714</v>
      </c>
      <c r="L38" s="49">
        <f>'Avg Week Ssembabule-Kanoni'!L38+'Avg Week Kanoni-Ssembabule'!L38</f>
        <v>0.2857142857142857</v>
      </c>
      <c r="M38" s="49">
        <f>'Avg Week Ssembabule-Kanoni'!M38+'Avg Week Kanoni-Ssembabule'!M38</f>
        <v>13.428571428571427</v>
      </c>
      <c r="N38" s="49">
        <f>'Avg Week Ssembabule-Kanoni'!N38+'Avg Week Kanoni-Ssembabule'!N38</f>
        <v>0</v>
      </c>
      <c r="O38" s="15">
        <f t="shared" si="0"/>
        <v>7.9999999999999991</v>
      </c>
      <c r="P38" s="15">
        <f t="shared" si="1"/>
        <v>21.428571428571427</v>
      </c>
      <c r="R38" s="28" t="s">
        <v>86</v>
      </c>
      <c r="S38" s="55">
        <f t="shared" ref="S38:AF38" si="30">SUM(S13:S18)</f>
        <v>53.428571428571438</v>
      </c>
      <c r="T38" s="55">
        <f t="shared" si="30"/>
        <v>22</v>
      </c>
      <c r="U38" s="55">
        <f t="shared" si="30"/>
        <v>18.142857142857139</v>
      </c>
      <c r="V38" s="55">
        <f t="shared" si="30"/>
        <v>16.857142857142858</v>
      </c>
      <c r="W38" s="55">
        <f t="shared" si="30"/>
        <v>1.2857142857142856</v>
      </c>
      <c r="X38" s="55">
        <f t="shared" si="30"/>
        <v>0.14285714285714285</v>
      </c>
      <c r="Y38" s="55">
        <f t="shared" si="30"/>
        <v>27.142857142857146</v>
      </c>
      <c r="Z38" s="55">
        <f t="shared" si="30"/>
        <v>10.857142857142856</v>
      </c>
      <c r="AA38" s="55">
        <f t="shared" si="30"/>
        <v>22.142857142857135</v>
      </c>
      <c r="AB38" s="55">
        <f t="shared" si="30"/>
        <v>2.2857142857142851</v>
      </c>
      <c r="AC38" s="55">
        <f t="shared" si="30"/>
        <v>403.85714285714289</v>
      </c>
      <c r="AD38" s="55">
        <f t="shared" si="30"/>
        <v>0.5714285714285714</v>
      </c>
      <c r="AE38" s="56">
        <f t="shared" si="30"/>
        <v>174.85714285714289</v>
      </c>
      <c r="AF38" s="56">
        <f t="shared" si="30"/>
        <v>578.71428571428567</v>
      </c>
    </row>
    <row r="39" spans="2:32" ht="23.1" customHeight="1" x14ac:dyDescent="0.25">
      <c r="B39" s="24" t="s">
        <v>66</v>
      </c>
      <c r="C39" s="49">
        <f>'Avg Week Ssembabule-Kanoni'!C39+'Avg Week Kanoni-Ssembabule'!C39</f>
        <v>2.1428571428571428</v>
      </c>
      <c r="D39" s="49">
        <f>'Avg Week Ssembabule-Kanoni'!D39+'Avg Week Kanoni-Ssembabule'!D39</f>
        <v>1</v>
      </c>
      <c r="E39" s="49">
        <f>'Avg Week Ssembabule-Kanoni'!E39+'Avg Week Kanoni-Ssembabule'!E39</f>
        <v>0.5714285714285714</v>
      </c>
      <c r="F39" s="49">
        <f>'Avg Week Ssembabule-Kanoni'!F39+'Avg Week Kanoni-Ssembabule'!F39</f>
        <v>1.2857142857142856</v>
      </c>
      <c r="G39" s="49">
        <f>'Avg Week Ssembabule-Kanoni'!G39+'Avg Week Kanoni-Ssembabule'!G39</f>
        <v>0</v>
      </c>
      <c r="H39" s="49">
        <f>'Avg Week Ssembabule-Kanoni'!H39+'Avg Week Kanoni-Ssembabule'!H39</f>
        <v>0</v>
      </c>
      <c r="I39" s="49">
        <f>'Avg Week Ssembabule-Kanoni'!I39+'Avg Week Kanoni-Ssembabule'!I39</f>
        <v>0.5714285714285714</v>
      </c>
      <c r="J39" s="49">
        <f>'Avg Week Ssembabule-Kanoni'!J39+'Avg Week Kanoni-Ssembabule'!J39</f>
        <v>0.5714285714285714</v>
      </c>
      <c r="K39" s="49">
        <f>'Avg Week Ssembabule-Kanoni'!K39+'Avg Week Kanoni-Ssembabule'!K39</f>
        <v>0.71428571428571419</v>
      </c>
      <c r="L39" s="49">
        <f>'Avg Week Ssembabule-Kanoni'!L39+'Avg Week Kanoni-Ssembabule'!L39</f>
        <v>0</v>
      </c>
      <c r="M39" s="49">
        <f>'Avg Week Ssembabule-Kanoni'!M39+'Avg Week Kanoni-Ssembabule'!M39</f>
        <v>15</v>
      </c>
      <c r="N39" s="49">
        <f>'Avg Week Ssembabule-Kanoni'!N39+'Avg Week Kanoni-Ssembabule'!N39</f>
        <v>0</v>
      </c>
      <c r="O39" s="15">
        <f t="shared" si="0"/>
        <v>6.8571428571428568</v>
      </c>
      <c r="P39" s="15">
        <f t="shared" si="1"/>
        <v>21.857142857142858</v>
      </c>
      <c r="R39" s="29" t="s">
        <v>87</v>
      </c>
      <c r="S39" s="55">
        <f t="shared" ref="S39:AF39" si="31">SUM(S19:S21)</f>
        <v>30.285714285714288</v>
      </c>
      <c r="T39" s="55">
        <f t="shared" si="31"/>
        <v>12.714285714285715</v>
      </c>
      <c r="U39" s="55">
        <f t="shared" si="31"/>
        <v>5.8571428571428568</v>
      </c>
      <c r="V39" s="55">
        <f t="shared" si="31"/>
        <v>10.142857142857142</v>
      </c>
      <c r="W39" s="55">
        <f t="shared" si="31"/>
        <v>2.8571428571428568</v>
      </c>
      <c r="X39" s="55">
        <f t="shared" si="31"/>
        <v>0.71428571428571419</v>
      </c>
      <c r="Y39" s="55">
        <f t="shared" si="31"/>
        <v>17.285714285714285</v>
      </c>
      <c r="Z39" s="55">
        <f t="shared" si="31"/>
        <v>9.7142857142857135</v>
      </c>
      <c r="AA39" s="55">
        <f t="shared" si="31"/>
        <v>8.2857142857142847</v>
      </c>
      <c r="AB39" s="55">
        <f t="shared" si="31"/>
        <v>1.5714285714285712</v>
      </c>
      <c r="AC39" s="55">
        <f t="shared" si="31"/>
        <v>225.14285714285714</v>
      </c>
      <c r="AD39" s="55">
        <f t="shared" si="31"/>
        <v>0</v>
      </c>
      <c r="AE39" s="56">
        <f t="shared" si="31"/>
        <v>99.428571428571416</v>
      </c>
      <c r="AF39" s="56">
        <f t="shared" si="31"/>
        <v>324.57142857142856</v>
      </c>
    </row>
    <row r="40" spans="2:32" ht="23.1" customHeight="1" x14ac:dyDescent="0.25">
      <c r="B40" s="24" t="s">
        <v>67</v>
      </c>
      <c r="C40" s="49">
        <f>'Avg Week Ssembabule-Kanoni'!C40+'Avg Week Kanoni-Ssembabule'!C40</f>
        <v>3.1428571428571428</v>
      </c>
      <c r="D40" s="49">
        <f>'Avg Week Ssembabule-Kanoni'!D40+'Avg Week Kanoni-Ssembabule'!D40</f>
        <v>2</v>
      </c>
      <c r="E40" s="49">
        <f>'Avg Week Ssembabule-Kanoni'!E40+'Avg Week Kanoni-Ssembabule'!E40</f>
        <v>0.5714285714285714</v>
      </c>
      <c r="F40" s="49">
        <f>'Avg Week Ssembabule-Kanoni'!F40+'Avg Week Kanoni-Ssembabule'!F40</f>
        <v>0.8571428571428571</v>
      </c>
      <c r="G40" s="49">
        <f>'Avg Week Ssembabule-Kanoni'!G40+'Avg Week Kanoni-Ssembabule'!G40</f>
        <v>0</v>
      </c>
      <c r="H40" s="49">
        <f>'Avg Week Ssembabule-Kanoni'!H40+'Avg Week Kanoni-Ssembabule'!H40</f>
        <v>0</v>
      </c>
      <c r="I40" s="49">
        <f>'Avg Week Ssembabule-Kanoni'!I40+'Avg Week Kanoni-Ssembabule'!I40</f>
        <v>0.85714285714285721</v>
      </c>
      <c r="J40" s="49">
        <f>'Avg Week Ssembabule-Kanoni'!J40+'Avg Week Kanoni-Ssembabule'!J40</f>
        <v>0.71428571428571419</v>
      </c>
      <c r="K40" s="49">
        <f>'Avg Week Ssembabule-Kanoni'!K40+'Avg Week Kanoni-Ssembabule'!K40</f>
        <v>0.8571428571428571</v>
      </c>
      <c r="L40" s="49">
        <f>'Avg Week Ssembabule-Kanoni'!L40+'Avg Week Kanoni-Ssembabule'!L40</f>
        <v>0</v>
      </c>
      <c r="M40" s="49">
        <f>'Avg Week Ssembabule-Kanoni'!M40+'Avg Week Kanoni-Ssembabule'!M40</f>
        <v>17</v>
      </c>
      <c r="N40" s="49">
        <f>'Avg Week Ssembabule-Kanoni'!N40+'Avg Week Kanoni-Ssembabule'!N40</f>
        <v>0.14285714285714285</v>
      </c>
      <c r="O40" s="15">
        <f t="shared" si="0"/>
        <v>9.1428571428571406</v>
      </c>
      <c r="P40" s="15">
        <f t="shared" si="1"/>
        <v>26.142857142857142</v>
      </c>
      <c r="R40" s="5" t="s">
        <v>17</v>
      </c>
      <c r="S40" s="55">
        <f t="shared" ref="S40:AF40" si="32">SUM(S10:S21)</f>
        <v>105.00000000000001</v>
      </c>
      <c r="T40" s="55">
        <f t="shared" si="32"/>
        <v>42.285714285714285</v>
      </c>
      <c r="U40" s="55">
        <f t="shared" si="32"/>
        <v>30.428571428571423</v>
      </c>
      <c r="V40" s="55">
        <f t="shared" si="32"/>
        <v>38.714285714285715</v>
      </c>
      <c r="W40" s="55">
        <f t="shared" si="32"/>
        <v>5.5714285714285712</v>
      </c>
      <c r="X40" s="55">
        <f t="shared" si="32"/>
        <v>1.4285714285714284</v>
      </c>
      <c r="Y40" s="55">
        <f t="shared" si="32"/>
        <v>56.571428571428569</v>
      </c>
      <c r="Z40" s="55">
        <f t="shared" si="32"/>
        <v>25.999999999999996</v>
      </c>
      <c r="AA40" s="55">
        <f t="shared" si="32"/>
        <v>38.999999999999993</v>
      </c>
      <c r="AB40" s="55">
        <f t="shared" si="32"/>
        <v>4.5714285714285703</v>
      </c>
      <c r="AC40" s="55">
        <f t="shared" si="32"/>
        <v>793.57142857142867</v>
      </c>
      <c r="AD40" s="55">
        <f t="shared" si="32"/>
        <v>0.5714285714285714</v>
      </c>
      <c r="AE40" s="56">
        <f t="shared" si="32"/>
        <v>350.14285714285717</v>
      </c>
      <c r="AF40" s="56">
        <f t="shared" si="32"/>
        <v>1143.7142857142858</v>
      </c>
    </row>
    <row r="41" spans="2:32" ht="23.1" customHeight="1" x14ac:dyDescent="0.25">
      <c r="B41" s="23" t="s">
        <v>68</v>
      </c>
      <c r="C41" s="49">
        <f>'Avg Week Ssembabule-Kanoni'!C41+'Avg Week Kanoni-Ssembabule'!C41</f>
        <v>3.1428571428571428</v>
      </c>
      <c r="D41" s="49">
        <f>'Avg Week Ssembabule-Kanoni'!D41+'Avg Week Kanoni-Ssembabule'!D41</f>
        <v>0.42857142857142855</v>
      </c>
      <c r="E41" s="49">
        <f>'Avg Week Ssembabule-Kanoni'!E41+'Avg Week Kanoni-Ssembabule'!E41</f>
        <v>1.2857142857142856</v>
      </c>
      <c r="F41" s="49">
        <f>'Avg Week Ssembabule-Kanoni'!F41+'Avg Week Kanoni-Ssembabule'!F41</f>
        <v>0.71428571428571419</v>
      </c>
      <c r="G41" s="49">
        <f>'Avg Week Ssembabule-Kanoni'!G41+'Avg Week Kanoni-Ssembabule'!G41</f>
        <v>0.2857142857142857</v>
      </c>
      <c r="H41" s="49">
        <f>'Avg Week Ssembabule-Kanoni'!H41+'Avg Week Kanoni-Ssembabule'!H41</f>
        <v>0</v>
      </c>
      <c r="I41" s="49">
        <f>'Avg Week Ssembabule-Kanoni'!I41+'Avg Week Kanoni-Ssembabule'!I41</f>
        <v>1.4285714285714286</v>
      </c>
      <c r="J41" s="49">
        <f>'Avg Week Ssembabule-Kanoni'!J41+'Avg Week Kanoni-Ssembabule'!J41</f>
        <v>0</v>
      </c>
      <c r="K41" s="49">
        <f>'Avg Week Ssembabule-Kanoni'!K41+'Avg Week Kanoni-Ssembabule'!K41</f>
        <v>0.5714285714285714</v>
      </c>
      <c r="L41" s="49">
        <f>'Avg Week Ssembabule-Kanoni'!L41+'Avg Week Kanoni-Ssembabule'!L41</f>
        <v>0</v>
      </c>
      <c r="M41" s="49">
        <f>'Avg Week Ssembabule-Kanoni'!M41+'Avg Week Kanoni-Ssembabule'!M41</f>
        <v>15</v>
      </c>
      <c r="N41" s="49">
        <f>'Avg Week Ssembabule-Kanoni'!N41+'Avg Week Kanoni-Ssembabule'!N41</f>
        <v>0</v>
      </c>
      <c r="O41" s="15">
        <f t="shared" si="0"/>
        <v>7.8571428571428568</v>
      </c>
      <c r="P41" s="15">
        <f t="shared" si="1"/>
        <v>22.857142857142858</v>
      </c>
      <c r="R41" s="5" t="s">
        <v>184</v>
      </c>
      <c r="S41" s="55">
        <f>SUM(S10:S33)</f>
        <v>156</v>
      </c>
      <c r="T41" s="55">
        <f t="shared" ref="T41:AD41" si="33">SUM(T10:T33)</f>
        <v>69.785714285714278</v>
      </c>
      <c r="U41" s="55">
        <f t="shared" si="33"/>
        <v>40.928571428571423</v>
      </c>
      <c r="V41" s="55">
        <f t="shared" si="33"/>
        <v>62.714285714285715</v>
      </c>
      <c r="W41" s="55">
        <f t="shared" si="33"/>
        <v>12.571428571428571</v>
      </c>
      <c r="X41" s="55">
        <f t="shared" si="33"/>
        <v>4.4285714285714288</v>
      </c>
      <c r="Y41" s="55">
        <f t="shared" si="33"/>
        <v>87.071428571428569</v>
      </c>
      <c r="Z41" s="55">
        <f t="shared" si="33"/>
        <v>54</v>
      </c>
      <c r="AA41" s="55">
        <f t="shared" si="33"/>
        <v>60.999999999999993</v>
      </c>
      <c r="AB41" s="55">
        <f t="shared" si="33"/>
        <v>16.071428571428569</v>
      </c>
      <c r="AC41" s="55">
        <f t="shared" si="33"/>
        <v>992.57142857142867</v>
      </c>
      <c r="AD41" s="55">
        <f t="shared" si="33"/>
        <v>0.5714285714285714</v>
      </c>
      <c r="AE41" s="56">
        <f>SUM(AE10:AE33)</f>
        <v>565.14285714285711</v>
      </c>
      <c r="AF41" s="56">
        <f>SUM(AF10:AF33)</f>
        <v>1557.7142857142858</v>
      </c>
    </row>
    <row r="42" spans="2:32" ht="23.1" customHeight="1" x14ac:dyDescent="0.25">
      <c r="B42" s="24" t="s">
        <v>69</v>
      </c>
      <c r="C42" s="49">
        <f>'Avg Week Ssembabule-Kanoni'!C42+'Avg Week Kanoni-Ssembabule'!C42</f>
        <v>2.2857142857142856</v>
      </c>
      <c r="D42" s="49">
        <f>'Avg Week Ssembabule-Kanoni'!D42+'Avg Week Kanoni-Ssembabule'!D42</f>
        <v>0.5714285714285714</v>
      </c>
      <c r="E42" s="49">
        <f>'Avg Week Ssembabule-Kanoni'!E42+'Avg Week Kanoni-Ssembabule'!E42</f>
        <v>0.42857142857142855</v>
      </c>
      <c r="F42" s="49">
        <f>'Avg Week Ssembabule-Kanoni'!F42+'Avg Week Kanoni-Ssembabule'!F42</f>
        <v>0.5714285714285714</v>
      </c>
      <c r="G42" s="49">
        <f>'Avg Week Ssembabule-Kanoni'!G42+'Avg Week Kanoni-Ssembabule'!G42</f>
        <v>0</v>
      </c>
      <c r="H42" s="49">
        <f>'Avg Week Ssembabule-Kanoni'!H42+'Avg Week Kanoni-Ssembabule'!H42</f>
        <v>0</v>
      </c>
      <c r="I42" s="49">
        <f>'Avg Week Ssembabule-Kanoni'!I42+'Avg Week Kanoni-Ssembabule'!I42</f>
        <v>0.8571428571428571</v>
      </c>
      <c r="J42" s="49">
        <f>'Avg Week Ssembabule-Kanoni'!J42+'Avg Week Kanoni-Ssembabule'!J42</f>
        <v>0.14285714285714285</v>
      </c>
      <c r="K42" s="49">
        <f>'Avg Week Ssembabule-Kanoni'!K42+'Avg Week Kanoni-Ssembabule'!K42</f>
        <v>0.8571428571428571</v>
      </c>
      <c r="L42" s="49">
        <f>'Avg Week Ssembabule-Kanoni'!L42+'Avg Week Kanoni-Ssembabule'!L42</f>
        <v>0.14285714285714285</v>
      </c>
      <c r="M42" s="49">
        <f>'Avg Week Ssembabule-Kanoni'!M42+'Avg Week Kanoni-Ssembabule'!M42</f>
        <v>19.142857142857142</v>
      </c>
      <c r="N42" s="49">
        <f>'Avg Week Ssembabule-Kanoni'!N42+'Avg Week Kanoni-Ssembabule'!N42</f>
        <v>0</v>
      </c>
      <c r="O42" s="15">
        <f t="shared" si="0"/>
        <v>5.8571428571428568</v>
      </c>
      <c r="P42" s="15">
        <f t="shared" si="1"/>
        <v>25</v>
      </c>
      <c r="R42" s="5" t="s">
        <v>160</v>
      </c>
      <c r="S42" s="48">
        <f>S41/S40</f>
        <v>1.4857142857142855</v>
      </c>
      <c r="T42" s="48">
        <f t="shared" ref="T42:AF42" si="34">T41/T40</f>
        <v>1.6503378378378377</v>
      </c>
      <c r="U42" s="48">
        <f t="shared" si="34"/>
        <v>1.3450704225352113</v>
      </c>
      <c r="V42" s="48">
        <f t="shared" si="34"/>
        <v>1.6199261992619927</v>
      </c>
      <c r="W42" s="48">
        <f t="shared" si="34"/>
        <v>2.2564102564102564</v>
      </c>
      <c r="X42" s="48">
        <f t="shared" si="34"/>
        <v>3.1000000000000005</v>
      </c>
      <c r="Y42" s="48">
        <f t="shared" si="34"/>
        <v>1.5391414141414141</v>
      </c>
      <c r="Z42" s="48">
        <f t="shared" si="34"/>
        <v>2.0769230769230771</v>
      </c>
      <c r="AA42" s="48">
        <f t="shared" si="34"/>
        <v>1.5641025641025641</v>
      </c>
      <c r="AB42" s="48">
        <f t="shared" si="34"/>
        <v>3.5156250000000004</v>
      </c>
      <c r="AC42" s="48">
        <f t="shared" si="34"/>
        <v>1.2507650765076508</v>
      </c>
      <c r="AD42" s="48">
        <f t="shared" si="34"/>
        <v>1</v>
      </c>
      <c r="AE42" s="57">
        <f t="shared" si="34"/>
        <v>1.6140350877192979</v>
      </c>
      <c r="AF42" s="57">
        <f t="shared" si="34"/>
        <v>1.3619785161129152</v>
      </c>
    </row>
    <row r="43" spans="2:32" ht="23.1" customHeight="1" x14ac:dyDescent="0.25">
      <c r="B43" s="23" t="s">
        <v>70</v>
      </c>
      <c r="C43" s="49">
        <f>'Avg Week Ssembabule-Kanoni'!C43+'Avg Week Kanoni-Ssembabule'!C43</f>
        <v>2.5714285714285716</v>
      </c>
      <c r="D43" s="49">
        <f>'Avg Week Ssembabule-Kanoni'!D43+'Avg Week Kanoni-Ssembabule'!D43</f>
        <v>0.71428571428571419</v>
      </c>
      <c r="E43" s="49">
        <f>'Avg Week Ssembabule-Kanoni'!E43+'Avg Week Kanoni-Ssembabule'!E43</f>
        <v>0.42857142857142855</v>
      </c>
      <c r="F43" s="49">
        <f>'Avg Week Ssembabule-Kanoni'!F43+'Avg Week Kanoni-Ssembabule'!F43</f>
        <v>0.42857142857142855</v>
      </c>
      <c r="G43" s="49">
        <f>'Avg Week Ssembabule-Kanoni'!G43+'Avg Week Kanoni-Ssembabule'!G43</f>
        <v>0</v>
      </c>
      <c r="H43" s="49">
        <f>'Avg Week Ssembabule-Kanoni'!H43+'Avg Week Kanoni-Ssembabule'!H43</f>
        <v>0</v>
      </c>
      <c r="I43" s="49">
        <f>'Avg Week Ssembabule-Kanoni'!I43+'Avg Week Kanoni-Ssembabule'!I43</f>
        <v>1.7142857142857142</v>
      </c>
      <c r="J43" s="49">
        <f>'Avg Week Ssembabule-Kanoni'!J43+'Avg Week Kanoni-Ssembabule'!J43</f>
        <v>1.4285714285714286</v>
      </c>
      <c r="K43" s="49">
        <f>'Avg Week Ssembabule-Kanoni'!K43+'Avg Week Kanoni-Ssembabule'!K43</f>
        <v>0.42857142857142855</v>
      </c>
      <c r="L43" s="49">
        <f>'Avg Week Ssembabule-Kanoni'!L43+'Avg Week Kanoni-Ssembabule'!L43</f>
        <v>0.14285714285714285</v>
      </c>
      <c r="M43" s="49">
        <f>'Avg Week Ssembabule-Kanoni'!M43+'Avg Week Kanoni-Ssembabule'!M43</f>
        <v>18.714285714285715</v>
      </c>
      <c r="N43" s="49">
        <f>'Avg Week Ssembabule-Kanoni'!N43+'Avg Week Kanoni-Ssembabule'!N43</f>
        <v>0</v>
      </c>
      <c r="O43" s="15">
        <f t="shared" si="0"/>
        <v>7.8571428571428577</v>
      </c>
      <c r="P43" s="15">
        <f t="shared" si="1"/>
        <v>26.571428571428573</v>
      </c>
    </row>
    <row r="44" spans="2:32" ht="23.1" customHeight="1" x14ac:dyDescent="0.25">
      <c r="B44" s="25" t="s">
        <v>71</v>
      </c>
      <c r="C44" s="49">
        <f>'Avg Week Ssembabule-Kanoni'!C44+'Avg Week Kanoni-Ssembabule'!C44</f>
        <v>2.2857142857142856</v>
      </c>
      <c r="D44" s="49">
        <f>'Avg Week Ssembabule-Kanoni'!D44+'Avg Week Kanoni-Ssembabule'!D44</f>
        <v>0.42857142857142855</v>
      </c>
      <c r="E44" s="49">
        <f>'Avg Week Ssembabule-Kanoni'!E44+'Avg Week Kanoni-Ssembabule'!E44</f>
        <v>0</v>
      </c>
      <c r="F44" s="49">
        <f>'Avg Week Ssembabule-Kanoni'!F44+'Avg Week Kanoni-Ssembabule'!F44</f>
        <v>0.71428571428571419</v>
      </c>
      <c r="G44" s="49">
        <f>'Avg Week Ssembabule-Kanoni'!G44+'Avg Week Kanoni-Ssembabule'!G44</f>
        <v>0</v>
      </c>
      <c r="H44" s="49">
        <f>'Avg Week Ssembabule-Kanoni'!H44+'Avg Week Kanoni-Ssembabule'!H44</f>
        <v>0</v>
      </c>
      <c r="I44" s="49">
        <f>'Avg Week Ssembabule-Kanoni'!I44+'Avg Week Kanoni-Ssembabule'!I44</f>
        <v>1.2857142857142856</v>
      </c>
      <c r="J44" s="49">
        <f>'Avg Week Ssembabule-Kanoni'!J44+'Avg Week Kanoni-Ssembabule'!J44</f>
        <v>1</v>
      </c>
      <c r="K44" s="49">
        <f>'Avg Week Ssembabule-Kanoni'!K44+'Avg Week Kanoni-Ssembabule'!K44</f>
        <v>0.5714285714285714</v>
      </c>
      <c r="L44" s="49">
        <f>'Avg Week Ssembabule-Kanoni'!L44+'Avg Week Kanoni-Ssembabule'!L44</f>
        <v>0</v>
      </c>
      <c r="M44" s="49">
        <f>'Avg Week Ssembabule-Kanoni'!M44+'Avg Week Kanoni-Ssembabule'!M44</f>
        <v>15.714285714285715</v>
      </c>
      <c r="N44" s="49">
        <f>'Avg Week Ssembabule-Kanoni'!N44+'Avg Week Kanoni-Ssembabule'!N44</f>
        <v>0</v>
      </c>
      <c r="O44" s="15">
        <f t="shared" si="0"/>
        <v>6.2857142857142847</v>
      </c>
      <c r="P44" s="15">
        <f t="shared" si="1"/>
        <v>22</v>
      </c>
    </row>
    <row r="45" spans="2:32" ht="23.1" customHeight="1" x14ac:dyDescent="0.25">
      <c r="B45" s="23" t="s">
        <v>72</v>
      </c>
      <c r="C45" s="49">
        <f>'Avg Week Ssembabule-Kanoni'!C45+'Avg Week Kanoni-Ssembabule'!C45</f>
        <v>1.5714285714285714</v>
      </c>
      <c r="D45" s="49">
        <f>'Avg Week Ssembabule-Kanoni'!D45+'Avg Week Kanoni-Ssembabule'!D45</f>
        <v>0.8571428571428571</v>
      </c>
      <c r="E45" s="49">
        <f>'Avg Week Ssembabule-Kanoni'!E45+'Avg Week Kanoni-Ssembabule'!E45</f>
        <v>0.5714285714285714</v>
      </c>
      <c r="F45" s="49">
        <f>'Avg Week Ssembabule-Kanoni'!F45+'Avg Week Kanoni-Ssembabule'!F45</f>
        <v>0.71428571428571419</v>
      </c>
      <c r="G45" s="49">
        <f>'Avg Week Ssembabule-Kanoni'!G45+'Avg Week Kanoni-Ssembabule'!G45</f>
        <v>0</v>
      </c>
      <c r="H45" s="49">
        <f>'Avg Week Ssembabule-Kanoni'!H45+'Avg Week Kanoni-Ssembabule'!H45</f>
        <v>0</v>
      </c>
      <c r="I45" s="49">
        <f>'Avg Week Ssembabule-Kanoni'!I45+'Avg Week Kanoni-Ssembabule'!I45</f>
        <v>1.7142857142857144</v>
      </c>
      <c r="J45" s="49">
        <f>'Avg Week Ssembabule-Kanoni'!J45+'Avg Week Kanoni-Ssembabule'!J45</f>
        <v>0.42857142857142855</v>
      </c>
      <c r="K45" s="49">
        <f>'Avg Week Ssembabule-Kanoni'!K45+'Avg Week Kanoni-Ssembabule'!K45</f>
        <v>0.5714285714285714</v>
      </c>
      <c r="L45" s="49">
        <f>'Avg Week Ssembabule-Kanoni'!L45+'Avg Week Kanoni-Ssembabule'!L45</f>
        <v>0</v>
      </c>
      <c r="M45" s="49">
        <f>'Avg Week Ssembabule-Kanoni'!M45+'Avg Week Kanoni-Ssembabule'!M45</f>
        <v>17.428571428571431</v>
      </c>
      <c r="N45" s="49">
        <f>'Avg Week Ssembabule-Kanoni'!N45+'Avg Week Kanoni-Ssembabule'!N45</f>
        <v>0</v>
      </c>
      <c r="O45" s="15">
        <f t="shared" si="0"/>
        <v>6.4285714285714288</v>
      </c>
      <c r="P45" s="15">
        <f t="shared" si="1"/>
        <v>23.857142857142861</v>
      </c>
    </row>
    <row r="46" spans="2:32" ht="23.1" customHeight="1" x14ac:dyDescent="0.25">
      <c r="B46" s="24" t="s">
        <v>73</v>
      </c>
      <c r="C46" s="49">
        <f>'Avg Week Ssembabule-Kanoni'!C46+'Avg Week Kanoni-Ssembabule'!C46</f>
        <v>1.5714285714285714</v>
      </c>
      <c r="D46" s="49">
        <f>'Avg Week Ssembabule-Kanoni'!D46+'Avg Week Kanoni-Ssembabule'!D46</f>
        <v>0.7142857142857143</v>
      </c>
      <c r="E46" s="49">
        <f>'Avg Week Ssembabule-Kanoni'!E46+'Avg Week Kanoni-Ssembabule'!E46</f>
        <v>0.2857142857142857</v>
      </c>
      <c r="F46" s="49">
        <f>'Avg Week Ssembabule-Kanoni'!F46+'Avg Week Kanoni-Ssembabule'!F46</f>
        <v>1</v>
      </c>
      <c r="G46" s="49">
        <f>'Avg Week Ssembabule-Kanoni'!G46+'Avg Week Kanoni-Ssembabule'!G46</f>
        <v>0</v>
      </c>
      <c r="H46" s="49">
        <f>'Avg Week Ssembabule-Kanoni'!H46+'Avg Week Kanoni-Ssembabule'!H46</f>
        <v>0</v>
      </c>
      <c r="I46" s="49">
        <f>'Avg Week Ssembabule-Kanoni'!I46+'Avg Week Kanoni-Ssembabule'!I46</f>
        <v>1.2857142857142856</v>
      </c>
      <c r="J46" s="49">
        <f>'Avg Week Ssembabule-Kanoni'!J46+'Avg Week Kanoni-Ssembabule'!J46</f>
        <v>1.8571428571428572</v>
      </c>
      <c r="K46" s="49">
        <f>'Avg Week Ssembabule-Kanoni'!K46+'Avg Week Kanoni-Ssembabule'!K46</f>
        <v>0.5714285714285714</v>
      </c>
      <c r="L46" s="49">
        <f>'Avg Week Ssembabule-Kanoni'!L46+'Avg Week Kanoni-Ssembabule'!L46</f>
        <v>0.14285714285714285</v>
      </c>
      <c r="M46" s="49">
        <f>'Avg Week Ssembabule-Kanoni'!M46+'Avg Week Kanoni-Ssembabule'!M46</f>
        <v>15</v>
      </c>
      <c r="N46" s="49">
        <f>'Avg Week Ssembabule-Kanoni'!N46+'Avg Week Kanoni-Ssembabule'!N46</f>
        <v>0</v>
      </c>
      <c r="O46" s="15">
        <f t="shared" si="0"/>
        <v>7.4285714285714279</v>
      </c>
      <c r="P46" s="15">
        <f t="shared" si="1"/>
        <v>22.428571428571427</v>
      </c>
      <c r="R46" s="8"/>
      <c r="T46"/>
    </row>
    <row r="47" spans="2:32" ht="23.1" customHeight="1" x14ac:dyDescent="0.25">
      <c r="B47" s="24" t="s">
        <v>74</v>
      </c>
      <c r="C47" s="49">
        <f>'Avg Week Ssembabule-Kanoni'!C47+'Avg Week Kanoni-Ssembabule'!C47</f>
        <v>1.8571428571428572</v>
      </c>
      <c r="D47" s="49">
        <f>'Avg Week Ssembabule-Kanoni'!D47+'Avg Week Kanoni-Ssembabule'!D47</f>
        <v>0.85714285714285721</v>
      </c>
      <c r="E47" s="49">
        <f>'Avg Week Ssembabule-Kanoni'!E47+'Avg Week Kanoni-Ssembabule'!E47</f>
        <v>0.2857142857142857</v>
      </c>
      <c r="F47" s="49">
        <f>'Avg Week Ssembabule-Kanoni'!F47+'Avg Week Kanoni-Ssembabule'!F47</f>
        <v>0.42857142857142855</v>
      </c>
      <c r="G47" s="49">
        <f>'Avg Week Ssembabule-Kanoni'!G47+'Avg Week Kanoni-Ssembabule'!G47</f>
        <v>0</v>
      </c>
      <c r="H47" s="49">
        <f>'Avg Week Ssembabule-Kanoni'!H47+'Avg Week Kanoni-Ssembabule'!H47</f>
        <v>0</v>
      </c>
      <c r="I47" s="49">
        <f>'Avg Week Ssembabule-Kanoni'!I47+'Avg Week Kanoni-Ssembabule'!I47</f>
        <v>1</v>
      </c>
      <c r="J47" s="49">
        <f>'Avg Week Ssembabule-Kanoni'!J47+'Avg Week Kanoni-Ssembabule'!J47</f>
        <v>0.85714285714285721</v>
      </c>
      <c r="K47" s="49">
        <f>'Avg Week Ssembabule-Kanoni'!K47+'Avg Week Kanoni-Ssembabule'!K47</f>
        <v>0.14285714285714285</v>
      </c>
      <c r="L47" s="49">
        <f>'Avg Week Ssembabule-Kanoni'!L47+'Avg Week Kanoni-Ssembabule'!L47</f>
        <v>0.14285714285714285</v>
      </c>
      <c r="M47" s="49">
        <f>'Avg Week Ssembabule-Kanoni'!M47+'Avg Week Kanoni-Ssembabule'!M47</f>
        <v>17.857142857142858</v>
      </c>
      <c r="N47" s="49">
        <f>'Avg Week Ssembabule-Kanoni'!N47+'Avg Week Kanoni-Ssembabule'!N47</f>
        <v>0</v>
      </c>
      <c r="O47" s="15">
        <f t="shared" si="0"/>
        <v>5.571428571428573</v>
      </c>
      <c r="P47" s="15">
        <f t="shared" si="1"/>
        <v>23.428571428571431</v>
      </c>
      <c r="R47" s="8"/>
      <c r="T47"/>
    </row>
    <row r="48" spans="2:32" ht="23.1" customHeight="1" x14ac:dyDescent="0.25">
      <c r="B48" s="24" t="s">
        <v>75</v>
      </c>
      <c r="C48" s="49">
        <f>'Avg Week Ssembabule-Kanoni'!C48+'Avg Week Kanoni-Ssembabule'!C48</f>
        <v>1.5714285714285714</v>
      </c>
      <c r="D48" s="49">
        <f>'Avg Week Ssembabule-Kanoni'!D48+'Avg Week Kanoni-Ssembabule'!D48</f>
        <v>0.8571428571428571</v>
      </c>
      <c r="E48" s="49">
        <f>'Avg Week Ssembabule-Kanoni'!E48+'Avg Week Kanoni-Ssembabule'!E48</f>
        <v>0.5714285714285714</v>
      </c>
      <c r="F48" s="49">
        <f>'Avg Week Ssembabule-Kanoni'!F48+'Avg Week Kanoni-Ssembabule'!F48</f>
        <v>0.42857142857142855</v>
      </c>
      <c r="G48" s="49">
        <f>'Avg Week Ssembabule-Kanoni'!G48+'Avg Week Kanoni-Ssembabule'!G48</f>
        <v>0</v>
      </c>
      <c r="H48" s="49">
        <f>'Avg Week Ssembabule-Kanoni'!H48+'Avg Week Kanoni-Ssembabule'!H48</f>
        <v>0</v>
      </c>
      <c r="I48" s="49">
        <f>'Avg Week Ssembabule-Kanoni'!I48+'Avg Week Kanoni-Ssembabule'!I48</f>
        <v>0.71428571428571419</v>
      </c>
      <c r="J48" s="49">
        <f>'Avg Week Ssembabule-Kanoni'!J48+'Avg Week Kanoni-Ssembabule'!J48</f>
        <v>1</v>
      </c>
      <c r="K48" s="49">
        <f>'Avg Week Ssembabule-Kanoni'!K48+'Avg Week Kanoni-Ssembabule'!K48</f>
        <v>0.71428571428571419</v>
      </c>
      <c r="L48" s="49">
        <f>'Avg Week Ssembabule-Kanoni'!L48+'Avg Week Kanoni-Ssembabule'!L48</f>
        <v>0.14285714285714285</v>
      </c>
      <c r="M48" s="49">
        <f>'Avg Week Ssembabule-Kanoni'!M48+'Avg Week Kanoni-Ssembabule'!M48</f>
        <v>15</v>
      </c>
      <c r="N48" s="49">
        <f>'Avg Week Ssembabule-Kanoni'!N48+'Avg Week Kanoni-Ssembabule'!N48</f>
        <v>0</v>
      </c>
      <c r="O48" s="15">
        <f t="shared" si="0"/>
        <v>6</v>
      </c>
      <c r="P48" s="15">
        <f t="shared" si="1"/>
        <v>21</v>
      </c>
      <c r="R48" s="8"/>
      <c r="T48"/>
    </row>
    <row r="49" spans="2:20" ht="23.1" customHeight="1" x14ac:dyDescent="0.25">
      <c r="B49" s="23" t="s">
        <v>76</v>
      </c>
      <c r="C49" s="49">
        <f>'Avg Week Ssembabule-Kanoni'!C49+'Avg Week Kanoni-Ssembabule'!C49</f>
        <v>1.5714285714285714</v>
      </c>
      <c r="D49" s="49">
        <f>'Avg Week Ssembabule-Kanoni'!D49+'Avg Week Kanoni-Ssembabule'!D49</f>
        <v>1</v>
      </c>
      <c r="E49" s="49">
        <f>'Avg Week Ssembabule-Kanoni'!E49+'Avg Week Kanoni-Ssembabule'!E49</f>
        <v>0.14285714285714285</v>
      </c>
      <c r="F49" s="49">
        <f>'Avg Week Ssembabule-Kanoni'!F49+'Avg Week Kanoni-Ssembabule'!F49</f>
        <v>0.8571428571428571</v>
      </c>
      <c r="G49" s="49">
        <f>'Avg Week Ssembabule-Kanoni'!G49+'Avg Week Kanoni-Ssembabule'!G49</f>
        <v>0.14285714285714285</v>
      </c>
      <c r="H49" s="49">
        <f>'Avg Week Ssembabule-Kanoni'!H49+'Avg Week Kanoni-Ssembabule'!H49</f>
        <v>0.2857142857142857</v>
      </c>
      <c r="I49" s="49">
        <f>'Avg Week Ssembabule-Kanoni'!I49+'Avg Week Kanoni-Ssembabule'!I49</f>
        <v>1.5714285714285714</v>
      </c>
      <c r="J49" s="49">
        <f>'Avg Week Ssembabule-Kanoni'!J49+'Avg Week Kanoni-Ssembabule'!J49</f>
        <v>0.5714285714285714</v>
      </c>
      <c r="K49" s="49">
        <f>'Avg Week Ssembabule-Kanoni'!K49+'Avg Week Kanoni-Ssembabule'!K49</f>
        <v>1</v>
      </c>
      <c r="L49" s="49">
        <f>'Avg Week Ssembabule-Kanoni'!L49+'Avg Week Kanoni-Ssembabule'!L49</f>
        <v>0</v>
      </c>
      <c r="M49" s="49">
        <f>'Avg Week Ssembabule-Kanoni'!M49+'Avg Week Kanoni-Ssembabule'!M49</f>
        <v>18</v>
      </c>
      <c r="N49" s="49">
        <f>'Avg Week Ssembabule-Kanoni'!N49+'Avg Week Kanoni-Ssembabule'!N49</f>
        <v>0</v>
      </c>
      <c r="O49" s="15">
        <f t="shared" si="0"/>
        <v>7.1428571428571423</v>
      </c>
      <c r="P49" s="15">
        <f t="shared" si="1"/>
        <v>25.142857142857142</v>
      </c>
      <c r="R49" s="8"/>
      <c r="T49"/>
    </row>
    <row r="50" spans="2:20" ht="23.1" customHeight="1" x14ac:dyDescent="0.25">
      <c r="B50" s="24" t="s">
        <v>77</v>
      </c>
      <c r="C50" s="49">
        <f>'Avg Week Ssembabule-Kanoni'!C50+'Avg Week Kanoni-Ssembabule'!C50</f>
        <v>2</v>
      </c>
      <c r="D50" s="49">
        <f>'Avg Week Ssembabule-Kanoni'!D50+'Avg Week Kanoni-Ssembabule'!D50</f>
        <v>0.8571428571428571</v>
      </c>
      <c r="E50" s="49">
        <f>'Avg Week Ssembabule-Kanoni'!E50+'Avg Week Kanoni-Ssembabule'!E50</f>
        <v>0.5714285714285714</v>
      </c>
      <c r="F50" s="49">
        <f>'Avg Week Ssembabule-Kanoni'!F50+'Avg Week Kanoni-Ssembabule'!F50</f>
        <v>1.5714285714285714</v>
      </c>
      <c r="G50" s="49">
        <f>'Avg Week Ssembabule-Kanoni'!G50+'Avg Week Kanoni-Ssembabule'!G50</f>
        <v>0.14285714285714285</v>
      </c>
      <c r="H50" s="49">
        <f>'Avg Week Ssembabule-Kanoni'!H50+'Avg Week Kanoni-Ssembabule'!H50</f>
        <v>0</v>
      </c>
      <c r="I50" s="49">
        <f>'Avg Week Ssembabule-Kanoni'!I50+'Avg Week Kanoni-Ssembabule'!I50</f>
        <v>1.1428571428571428</v>
      </c>
      <c r="J50" s="49">
        <f>'Avg Week Ssembabule-Kanoni'!J50+'Avg Week Kanoni-Ssembabule'!J50</f>
        <v>0.7142857142857143</v>
      </c>
      <c r="K50" s="49">
        <f>'Avg Week Ssembabule-Kanoni'!K50+'Avg Week Kanoni-Ssembabule'!K50</f>
        <v>0.8571428571428571</v>
      </c>
      <c r="L50" s="49">
        <f>'Avg Week Ssembabule-Kanoni'!L50+'Avg Week Kanoni-Ssembabule'!L50</f>
        <v>0.14285714285714285</v>
      </c>
      <c r="M50" s="49">
        <f>'Avg Week Ssembabule-Kanoni'!M50+'Avg Week Kanoni-Ssembabule'!M50</f>
        <v>19.571428571428569</v>
      </c>
      <c r="N50" s="49">
        <f>'Avg Week Ssembabule-Kanoni'!N50+'Avg Week Kanoni-Ssembabule'!N50</f>
        <v>0</v>
      </c>
      <c r="O50" s="15">
        <f t="shared" si="0"/>
        <v>8</v>
      </c>
      <c r="P50" s="15">
        <f t="shared" si="1"/>
        <v>27.571428571428569</v>
      </c>
      <c r="R50" s="8"/>
      <c r="T50"/>
    </row>
    <row r="51" spans="2:20" ht="23.1" customHeight="1" x14ac:dyDescent="0.25">
      <c r="B51" s="24" t="s">
        <v>78</v>
      </c>
      <c r="C51" s="49">
        <f>'Avg Week Ssembabule-Kanoni'!C51+'Avg Week Kanoni-Ssembabule'!C51</f>
        <v>3</v>
      </c>
      <c r="D51" s="49">
        <f>'Avg Week Ssembabule-Kanoni'!D51+'Avg Week Kanoni-Ssembabule'!D51</f>
        <v>1.1428571428571428</v>
      </c>
      <c r="E51" s="49">
        <f>'Avg Week Ssembabule-Kanoni'!E51+'Avg Week Kanoni-Ssembabule'!E51</f>
        <v>1.1428571428571428</v>
      </c>
      <c r="F51" s="49">
        <f>'Avg Week Ssembabule-Kanoni'!F51+'Avg Week Kanoni-Ssembabule'!F51</f>
        <v>0.42857142857142855</v>
      </c>
      <c r="G51" s="49">
        <f>'Avg Week Ssembabule-Kanoni'!G51+'Avg Week Kanoni-Ssembabule'!G51</f>
        <v>0.14285714285714285</v>
      </c>
      <c r="H51" s="49">
        <f>'Avg Week Ssembabule-Kanoni'!H51+'Avg Week Kanoni-Ssembabule'!H51</f>
        <v>0</v>
      </c>
      <c r="I51" s="49">
        <f>'Avg Week Ssembabule-Kanoni'!I51+'Avg Week Kanoni-Ssembabule'!I51</f>
        <v>1</v>
      </c>
      <c r="J51" s="49">
        <f>'Avg Week Ssembabule-Kanoni'!J51+'Avg Week Kanoni-Ssembabule'!J51</f>
        <v>0.42857142857142855</v>
      </c>
      <c r="K51" s="49">
        <f>'Avg Week Ssembabule-Kanoni'!K51+'Avg Week Kanoni-Ssembabule'!K51</f>
        <v>0.85714285714285721</v>
      </c>
      <c r="L51" s="49">
        <f>'Avg Week Ssembabule-Kanoni'!L51+'Avg Week Kanoni-Ssembabule'!L51</f>
        <v>0</v>
      </c>
      <c r="M51" s="49">
        <f>'Avg Week Ssembabule-Kanoni'!M51+'Avg Week Kanoni-Ssembabule'!M51</f>
        <v>17.285714285714285</v>
      </c>
      <c r="N51" s="49">
        <f>'Avg Week Ssembabule-Kanoni'!N51+'Avg Week Kanoni-Ssembabule'!N51</f>
        <v>0</v>
      </c>
      <c r="O51" s="15">
        <f t="shared" si="0"/>
        <v>8.1428571428571423</v>
      </c>
      <c r="P51" s="15">
        <f t="shared" si="1"/>
        <v>25.428571428571427</v>
      </c>
      <c r="R51" s="8"/>
      <c r="T51"/>
    </row>
    <row r="52" spans="2:20" ht="23.1" customHeight="1" x14ac:dyDescent="0.25">
      <c r="B52" s="24" t="s">
        <v>79</v>
      </c>
      <c r="C52" s="49">
        <f>'Avg Week Ssembabule-Kanoni'!C52+'Avg Week Kanoni-Ssembabule'!C52</f>
        <v>2.2857142857142856</v>
      </c>
      <c r="D52" s="49">
        <f>'Avg Week Ssembabule-Kanoni'!D52+'Avg Week Kanoni-Ssembabule'!D52</f>
        <v>0.42857142857142855</v>
      </c>
      <c r="E52" s="49">
        <f>'Avg Week Ssembabule-Kanoni'!E52+'Avg Week Kanoni-Ssembabule'!E52</f>
        <v>0.14285714285714285</v>
      </c>
      <c r="F52" s="49">
        <f>'Avg Week Ssembabule-Kanoni'!F52+'Avg Week Kanoni-Ssembabule'!F52</f>
        <v>1.1428571428571428</v>
      </c>
      <c r="G52" s="49">
        <f>'Avg Week Ssembabule-Kanoni'!G52+'Avg Week Kanoni-Ssembabule'!G52</f>
        <v>0.42857142857142855</v>
      </c>
      <c r="H52" s="49">
        <f>'Avg Week Ssembabule-Kanoni'!H52+'Avg Week Kanoni-Ssembabule'!H52</f>
        <v>0</v>
      </c>
      <c r="I52" s="49">
        <f>'Avg Week Ssembabule-Kanoni'!I52+'Avg Week Kanoni-Ssembabule'!I52</f>
        <v>1.8571428571428572</v>
      </c>
      <c r="J52" s="49">
        <f>'Avg Week Ssembabule-Kanoni'!J52+'Avg Week Kanoni-Ssembabule'!J52</f>
        <v>0.42857142857142855</v>
      </c>
      <c r="K52" s="49">
        <f>'Avg Week Ssembabule-Kanoni'!K52+'Avg Week Kanoni-Ssembabule'!K52</f>
        <v>0.2857142857142857</v>
      </c>
      <c r="L52" s="49">
        <f>'Avg Week Ssembabule-Kanoni'!L52+'Avg Week Kanoni-Ssembabule'!L52</f>
        <v>0</v>
      </c>
      <c r="M52" s="49">
        <f>'Avg Week Ssembabule-Kanoni'!M52+'Avg Week Kanoni-Ssembabule'!M52</f>
        <v>22</v>
      </c>
      <c r="N52" s="49">
        <f>'Avg Week Ssembabule-Kanoni'!N52+'Avg Week Kanoni-Ssembabule'!N52</f>
        <v>0</v>
      </c>
      <c r="O52" s="15">
        <f t="shared" si="0"/>
        <v>6.9999999999999991</v>
      </c>
      <c r="P52" s="15">
        <f t="shared" si="1"/>
        <v>29</v>
      </c>
      <c r="R52" s="8"/>
      <c r="T52"/>
    </row>
    <row r="53" spans="2:20" ht="23.1" customHeight="1" x14ac:dyDescent="0.25">
      <c r="B53" s="23" t="s">
        <v>80</v>
      </c>
      <c r="C53" s="49">
        <f>'Avg Week Ssembabule-Kanoni'!C53+'Avg Week Kanoni-Ssembabule'!C53</f>
        <v>3.5714285714285712</v>
      </c>
      <c r="D53" s="49">
        <f>'Avg Week Ssembabule-Kanoni'!D53+'Avg Week Kanoni-Ssembabule'!D53</f>
        <v>2.5714285714285712</v>
      </c>
      <c r="E53" s="49">
        <f>'Avg Week Ssembabule-Kanoni'!E53+'Avg Week Kanoni-Ssembabule'!E53</f>
        <v>0.7142857142857143</v>
      </c>
      <c r="F53" s="49">
        <f>'Avg Week Ssembabule-Kanoni'!F53+'Avg Week Kanoni-Ssembabule'!F53</f>
        <v>1</v>
      </c>
      <c r="G53" s="49">
        <f>'Avg Week Ssembabule-Kanoni'!G53+'Avg Week Kanoni-Ssembabule'!G53</f>
        <v>0.5714285714285714</v>
      </c>
      <c r="H53" s="49">
        <f>'Avg Week Ssembabule-Kanoni'!H53+'Avg Week Kanoni-Ssembabule'!H53</f>
        <v>0</v>
      </c>
      <c r="I53" s="49">
        <f>'Avg Week Ssembabule-Kanoni'!I53+'Avg Week Kanoni-Ssembabule'!I53</f>
        <v>2.7142857142857144</v>
      </c>
      <c r="J53" s="49">
        <f>'Avg Week Ssembabule-Kanoni'!J53+'Avg Week Kanoni-Ssembabule'!J53</f>
        <v>0.42857142857142855</v>
      </c>
      <c r="K53" s="49">
        <f>'Avg Week Ssembabule-Kanoni'!K53+'Avg Week Kanoni-Ssembabule'!K53</f>
        <v>0.5714285714285714</v>
      </c>
      <c r="L53" s="49">
        <f>'Avg Week Ssembabule-Kanoni'!L53+'Avg Week Kanoni-Ssembabule'!L53</f>
        <v>0.14285714285714285</v>
      </c>
      <c r="M53" s="49">
        <f>'Avg Week Ssembabule-Kanoni'!M53+'Avg Week Kanoni-Ssembabule'!M53</f>
        <v>18</v>
      </c>
      <c r="N53" s="49">
        <f>'Avg Week Ssembabule-Kanoni'!N53+'Avg Week Kanoni-Ssembabule'!N53</f>
        <v>0</v>
      </c>
      <c r="O53" s="15">
        <f t="shared" si="0"/>
        <v>12.285714285714285</v>
      </c>
      <c r="P53" s="15">
        <f t="shared" si="1"/>
        <v>30.285714285714285</v>
      </c>
      <c r="R53" s="8"/>
      <c r="T53"/>
    </row>
    <row r="54" spans="2:20" ht="23.1" customHeight="1" x14ac:dyDescent="0.25">
      <c r="B54" s="23" t="s">
        <v>81</v>
      </c>
      <c r="C54" s="49">
        <f>'Avg Week Ssembabule-Kanoni'!C54+'Avg Week Kanoni-Ssembabule'!C54</f>
        <v>2.8571428571428572</v>
      </c>
      <c r="D54" s="49">
        <f>'Avg Week Ssembabule-Kanoni'!D54+'Avg Week Kanoni-Ssembabule'!D54</f>
        <v>0.71428571428571419</v>
      </c>
      <c r="E54" s="49">
        <f>'Avg Week Ssembabule-Kanoni'!E54+'Avg Week Kanoni-Ssembabule'!E54</f>
        <v>0.2857142857142857</v>
      </c>
      <c r="F54" s="49">
        <f>'Avg Week Ssembabule-Kanoni'!F54+'Avg Week Kanoni-Ssembabule'!F54</f>
        <v>1.1428571428571428</v>
      </c>
      <c r="G54" s="49">
        <f>'Avg Week Ssembabule-Kanoni'!G54+'Avg Week Kanoni-Ssembabule'!G54</f>
        <v>0.5714285714285714</v>
      </c>
      <c r="H54" s="49">
        <f>'Avg Week Ssembabule-Kanoni'!H54+'Avg Week Kanoni-Ssembabule'!H54</f>
        <v>0.2857142857142857</v>
      </c>
      <c r="I54" s="49">
        <f>'Avg Week Ssembabule-Kanoni'!I54+'Avg Week Kanoni-Ssembabule'!I54</f>
        <v>1.1428571428571428</v>
      </c>
      <c r="J54" s="49">
        <f>'Avg Week Ssembabule-Kanoni'!J54+'Avg Week Kanoni-Ssembabule'!J54</f>
        <v>0.42857142857142855</v>
      </c>
      <c r="K54" s="49">
        <f>'Avg Week Ssembabule-Kanoni'!K54+'Avg Week Kanoni-Ssembabule'!K54</f>
        <v>0.8571428571428571</v>
      </c>
      <c r="L54" s="49">
        <f>'Avg Week Ssembabule-Kanoni'!L54+'Avg Week Kanoni-Ssembabule'!L54</f>
        <v>0</v>
      </c>
      <c r="M54" s="49">
        <f>'Avg Week Ssembabule-Kanoni'!M54+'Avg Week Kanoni-Ssembabule'!M54</f>
        <v>19.285714285714285</v>
      </c>
      <c r="N54" s="49">
        <f>'Avg Week Ssembabule-Kanoni'!N54+'Avg Week Kanoni-Ssembabule'!N54</f>
        <v>0</v>
      </c>
      <c r="O54" s="15">
        <f t="shared" si="0"/>
        <v>8.2857142857142865</v>
      </c>
      <c r="P54" s="15">
        <f t="shared" si="1"/>
        <v>27.571428571428569</v>
      </c>
      <c r="R54" s="8"/>
      <c r="T54"/>
    </row>
    <row r="55" spans="2:20" ht="23.1" customHeight="1" x14ac:dyDescent="0.25">
      <c r="B55" s="23" t="s">
        <v>82</v>
      </c>
      <c r="C55" s="49">
        <f>'Avg Week Ssembabule-Kanoni'!C55+'Avg Week Kanoni-Ssembabule'!C55</f>
        <v>3.2857142857142856</v>
      </c>
      <c r="D55" s="49">
        <f>'Avg Week Ssembabule-Kanoni'!D55+'Avg Week Kanoni-Ssembabule'!D55</f>
        <v>0.8571428571428571</v>
      </c>
      <c r="E55" s="49">
        <f>'Avg Week Ssembabule-Kanoni'!E55+'Avg Week Kanoni-Ssembabule'!E55</f>
        <v>0.42857142857142855</v>
      </c>
      <c r="F55" s="49">
        <f>'Avg Week Ssembabule-Kanoni'!F55+'Avg Week Kanoni-Ssembabule'!F55</f>
        <v>1.1428571428571428</v>
      </c>
      <c r="G55" s="49">
        <f>'Avg Week Ssembabule-Kanoni'!G55+'Avg Week Kanoni-Ssembabule'!G55</f>
        <v>0.2857142857142857</v>
      </c>
      <c r="H55" s="49">
        <f>'Avg Week Ssembabule-Kanoni'!H55+'Avg Week Kanoni-Ssembabule'!H55</f>
        <v>0</v>
      </c>
      <c r="I55" s="49">
        <f>'Avg Week Ssembabule-Kanoni'!I55+'Avg Week Kanoni-Ssembabule'!I55</f>
        <v>2.1428571428571428</v>
      </c>
      <c r="J55" s="49">
        <f>'Avg Week Ssembabule-Kanoni'!J55+'Avg Week Kanoni-Ssembabule'!J55</f>
        <v>1.1428571428571428</v>
      </c>
      <c r="K55" s="49">
        <f>'Avg Week Ssembabule-Kanoni'!K55+'Avg Week Kanoni-Ssembabule'!K55</f>
        <v>1.1428571428571428</v>
      </c>
      <c r="L55" s="49">
        <f>'Avg Week Ssembabule-Kanoni'!L55+'Avg Week Kanoni-Ssembabule'!L55</f>
        <v>0.5714285714285714</v>
      </c>
      <c r="M55" s="49">
        <f>'Avg Week Ssembabule-Kanoni'!M55+'Avg Week Kanoni-Ssembabule'!M55</f>
        <v>18.571428571428569</v>
      </c>
      <c r="N55" s="49">
        <f>'Avg Week Ssembabule-Kanoni'!N55+'Avg Week Kanoni-Ssembabule'!N55</f>
        <v>0</v>
      </c>
      <c r="O55" s="15">
        <f t="shared" si="0"/>
        <v>10.999999999999998</v>
      </c>
      <c r="P55" s="15">
        <f t="shared" si="1"/>
        <v>29.571428571428569</v>
      </c>
      <c r="R55" s="8"/>
      <c r="T55"/>
    </row>
    <row r="56" spans="2:20" ht="23.1" customHeight="1" x14ac:dyDescent="0.25">
      <c r="B56" s="23" t="s">
        <v>83</v>
      </c>
      <c r="C56" s="49">
        <f>'Avg Week Ssembabule-Kanoni'!C56+'Avg Week Kanoni-Ssembabule'!C56</f>
        <v>3.4285714285714288</v>
      </c>
      <c r="D56" s="49">
        <f>'Avg Week Ssembabule-Kanoni'!D56+'Avg Week Kanoni-Ssembabule'!D56</f>
        <v>1</v>
      </c>
      <c r="E56" s="49">
        <f>'Avg Week Ssembabule-Kanoni'!E56+'Avg Week Kanoni-Ssembabule'!E56</f>
        <v>0.42857142857142855</v>
      </c>
      <c r="F56" s="49">
        <f>'Avg Week Ssembabule-Kanoni'!F56+'Avg Week Kanoni-Ssembabule'!F56</f>
        <v>0.14285714285714285</v>
      </c>
      <c r="G56" s="49">
        <f>'Avg Week Ssembabule-Kanoni'!G56+'Avg Week Kanoni-Ssembabule'!G56</f>
        <v>0.14285714285714285</v>
      </c>
      <c r="H56" s="49">
        <f>'Avg Week Ssembabule-Kanoni'!H56+'Avg Week Kanoni-Ssembabule'!H56</f>
        <v>0</v>
      </c>
      <c r="I56" s="49">
        <f>'Avg Week Ssembabule-Kanoni'!I56+'Avg Week Kanoni-Ssembabule'!I56</f>
        <v>1.4285714285714286</v>
      </c>
      <c r="J56" s="49">
        <f>'Avg Week Ssembabule-Kanoni'!J56+'Avg Week Kanoni-Ssembabule'!J56</f>
        <v>1</v>
      </c>
      <c r="K56" s="49">
        <f>'Avg Week Ssembabule-Kanoni'!K56+'Avg Week Kanoni-Ssembabule'!K56</f>
        <v>0.5714285714285714</v>
      </c>
      <c r="L56" s="49">
        <f>'Avg Week Ssembabule-Kanoni'!L56+'Avg Week Kanoni-Ssembabule'!L56</f>
        <v>0.14285714285714285</v>
      </c>
      <c r="M56" s="49">
        <f>'Avg Week Ssembabule-Kanoni'!M56+'Avg Week Kanoni-Ssembabule'!M56</f>
        <v>22.285714285714285</v>
      </c>
      <c r="N56" s="49">
        <f>'Avg Week Ssembabule-Kanoni'!N56+'Avg Week Kanoni-Ssembabule'!N56</f>
        <v>0</v>
      </c>
      <c r="O56" s="15">
        <f t="shared" si="0"/>
        <v>8.2857142857142865</v>
      </c>
      <c r="P56" s="15">
        <f t="shared" si="1"/>
        <v>30.571428571428569</v>
      </c>
      <c r="R56" s="8"/>
      <c r="T56"/>
    </row>
    <row r="57" spans="2:20" ht="23.1" customHeight="1" x14ac:dyDescent="0.25">
      <c r="B57" s="23" t="s">
        <v>84</v>
      </c>
      <c r="C57" s="49">
        <f>'Avg Week Ssembabule-Kanoni'!C57+'Avg Week Kanoni-Ssembabule'!C57</f>
        <v>3.2857142857142856</v>
      </c>
      <c r="D57" s="49">
        <f>'Avg Week Ssembabule-Kanoni'!D57+'Avg Week Kanoni-Ssembabule'!D57</f>
        <v>1.7142857142857144</v>
      </c>
      <c r="E57" s="49">
        <f>'Avg Week Ssembabule-Kanoni'!E57+'Avg Week Kanoni-Ssembabule'!E57</f>
        <v>0.85714285714285721</v>
      </c>
      <c r="F57" s="49">
        <f>'Avg Week Ssembabule-Kanoni'!F57+'Avg Week Kanoni-Ssembabule'!F57</f>
        <v>0.8571428571428571</v>
      </c>
      <c r="G57" s="49">
        <f>'Avg Week Ssembabule-Kanoni'!G57+'Avg Week Kanoni-Ssembabule'!G57</f>
        <v>0.42857142857142855</v>
      </c>
      <c r="H57" s="49">
        <f>'Avg Week Ssembabule-Kanoni'!H57+'Avg Week Kanoni-Ssembabule'!H57</f>
        <v>0.14285714285714285</v>
      </c>
      <c r="I57" s="49">
        <f>'Avg Week Ssembabule-Kanoni'!I57+'Avg Week Kanoni-Ssembabule'!I57</f>
        <v>1.2857142857142856</v>
      </c>
      <c r="J57" s="49">
        <f>'Avg Week Ssembabule-Kanoni'!J57+'Avg Week Kanoni-Ssembabule'!J57</f>
        <v>0.8571428571428571</v>
      </c>
      <c r="K57" s="49">
        <f>'Avg Week Ssembabule-Kanoni'!K57+'Avg Week Kanoni-Ssembabule'!K57</f>
        <v>0.71428571428571419</v>
      </c>
      <c r="L57" s="49">
        <f>'Avg Week Ssembabule-Kanoni'!L57+'Avg Week Kanoni-Ssembabule'!L57</f>
        <v>0.14285714285714285</v>
      </c>
      <c r="M57" s="49">
        <f>'Avg Week Ssembabule-Kanoni'!M57+'Avg Week Kanoni-Ssembabule'!M57</f>
        <v>22.285714285714285</v>
      </c>
      <c r="N57" s="49">
        <f>'Avg Week Ssembabule-Kanoni'!N57+'Avg Week Kanoni-Ssembabule'!N57</f>
        <v>0</v>
      </c>
      <c r="O57" s="15">
        <f t="shared" si="0"/>
        <v>10.285714285714286</v>
      </c>
      <c r="P57" s="15">
        <f t="shared" si="1"/>
        <v>32.571428571428569</v>
      </c>
      <c r="R57" s="8"/>
      <c r="T57"/>
    </row>
    <row r="58" spans="2:20" ht="23.1" customHeight="1" x14ac:dyDescent="0.25">
      <c r="B58" s="23" t="s">
        <v>99</v>
      </c>
      <c r="C58" s="49">
        <f>'Avg Week Ssembabule-Kanoni'!C58+'Avg Week Kanoni-Ssembabule'!C58</f>
        <v>3</v>
      </c>
      <c r="D58" s="49">
        <f>'Avg Week Ssembabule-Kanoni'!D58+'Avg Week Kanoni-Ssembabule'!D58</f>
        <v>2.5</v>
      </c>
      <c r="E58" s="49">
        <f>'Avg Week Ssembabule-Kanoni'!E58+'Avg Week Kanoni-Ssembabule'!E58</f>
        <v>1.5</v>
      </c>
      <c r="F58" s="49">
        <f>'Avg Week Ssembabule-Kanoni'!F58+'Avg Week Kanoni-Ssembabule'!F58</f>
        <v>1</v>
      </c>
      <c r="G58" s="49">
        <f>'Avg Week Ssembabule-Kanoni'!G58+'Avg Week Kanoni-Ssembabule'!G58</f>
        <v>0.5</v>
      </c>
      <c r="H58" s="49">
        <f>'Avg Week Ssembabule-Kanoni'!H58+'Avg Week Kanoni-Ssembabule'!H58</f>
        <v>0</v>
      </c>
      <c r="I58" s="49">
        <f>'Avg Week Ssembabule-Kanoni'!I58+'Avg Week Kanoni-Ssembabule'!I58</f>
        <v>1.5</v>
      </c>
      <c r="J58" s="49">
        <f>'Avg Week Ssembabule-Kanoni'!J58+'Avg Week Kanoni-Ssembabule'!J58</f>
        <v>1.5</v>
      </c>
      <c r="K58" s="49">
        <f>'Avg Week Ssembabule-Kanoni'!K58+'Avg Week Kanoni-Ssembabule'!K58</f>
        <v>0</v>
      </c>
      <c r="L58" s="49">
        <f>'Avg Week Ssembabule-Kanoni'!L58+'Avg Week Kanoni-Ssembabule'!L58</f>
        <v>0</v>
      </c>
      <c r="M58" s="49">
        <f>'Avg Week Ssembabule-Kanoni'!M58+'Avg Week Kanoni-Ssembabule'!M58</f>
        <v>23</v>
      </c>
      <c r="N58" s="49">
        <f>'Avg Week Ssembabule-Kanoni'!N58+'Avg Week Kanoni-Ssembabule'!N58</f>
        <v>0</v>
      </c>
      <c r="O58" s="15">
        <f t="shared" si="0"/>
        <v>11.5</v>
      </c>
      <c r="P58" s="15">
        <f t="shared" si="1"/>
        <v>34.5</v>
      </c>
      <c r="R58" s="8"/>
      <c r="T58"/>
    </row>
    <row r="59" spans="2:20" ht="23.1" customHeight="1" x14ac:dyDescent="0.25">
      <c r="B59" s="23" t="s">
        <v>100</v>
      </c>
      <c r="C59" s="49">
        <f>'Avg Week Ssembabule-Kanoni'!C59+'Avg Week Kanoni-Ssembabule'!C59</f>
        <v>5</v>
      </c>
      <c r="D59" s="49">
        <f>'Avg Week Ssembabule-Kanoni'!D59+'Avg Week Kanoni-Ssembabule'!D59</f>
        <v>1</v>
      </c>
      <c r="E59" s="49">
        <f>'Avg Week Ssembabule-Kanoni'!E59+'Avg Week Kanoni-Ssembabule'!E59</f>
        <v>0.5</v>
      </c>
      <c r="F59" s="49">
        <f>'Avg Week Ssembabule-Kanoni'!F59+'Avg Week Kanoni-Ssembabule'!F59</f>
        <v>1.5</v>
      </c>
      <c r="G59" s="49">
        <f>'Avg Week Ssembabule-Kanoni'!G59+'Avg Week Kanoni-Ssembabule'!G59</f>
        <v>0</v>
      </c>
      <c r="H59" s="49">
        <f>'Avg Week Ssembabule-Kanoni'!H59+'Avg Week Kanoni-Ssembabule'!H59</f>
        <v>0</v>
      </c>
      <c r="I59" s="49">
        <f>'Avg Week Ssembabule-Kanoni'!I59+'Avg Week Kanoni-Ssembabule'!I59</f>
        <v>1.5</v>
      </c>
      <c r="J59" s="49">
        <f>'Avg Week Ssembabule-Kanoni'!J59+'Avg Week Kanoni-Ssembabule'!J59</f>
        <v>1.5</v>
      </c>
      <c r="K59" s="49">
        <f>'Avg Week Ssembabule-Kanoni'!K59+'Avg Week Kanoni-Ssembabule'!K59</f>
        <v>0.5</v>
      </c>
      <c r="L59" s="49">
        <f>'Avg Week Ssembabule-Kanoni'!L59+'Avg Week Kanoni-Ssembabule'!L59</f>
        <v>0</v>
      </c>
      <c r="M59" s="49">
        <f>'Avg Week Ssembabule-Kanoni'!M59+'Avg Week Kanoni-Ssembabule'!M59</f>
        <v>19.5</v>
      </c>
      <c r="N59" s="49">
        <f>'Avg Week Ssembabule-Kanoni'!N59+'Avg Week Kanoni-Ssembabule'!N59</f>
        <v>0</v>
      </c>
      <c r="O59" s="15">
        <f t="shared" si="0"/>
        <v>11.5</v>
      </c>
      <c r="P59" s="15">
        <f t="shared" si="1"/>
        <v>31</v>
      </c>
      <c r="R59" s="8"/>
      <c r="T59"/>
    </row>
    <row r="60" spans="2:20" ht="23.1" customHeight="1" x14ac:dyDescent="0.25">
      <c r="B60" s="23" t="s">
        <v>101</v>
      </c>
      <c r="C60" s="49">
        <f>'Avg Week Ssembabule-Kanoni'!C60+'Avg Week Kanoni-Ssembabule'!C60</f>
        <v>3</v>
      </c>
      <c r="D60" s="49">
        <f>'Avg Week Ssembabule-Kanoni'!D60+'Avg Week Kanoni-Ssembabule'!D60</f>
        <v>0.5</v>
      </c>
      <c r="E60" s="49">
        <f>'Avg Week Ssembabule-Kanoni'!E60+'Avg Week Kanoni-Ssembabule'!E60</f>
        <v>0</v>
      </c>
      <c r="F60" s="49">
        <f>'Avg Week Ssembabule-Kanoni'!F60+'Avg Week Kanoni-Ssembabule'!F60</f>
        <v>0</v>
      </c>
      <c r="G60" s="49">
        <f>'Avg Week Ssembabule-Kanoni'!G60+'Avg Week Kanoni-Ssembabule'!G60</f>
        <v>0</v>
      </c>
      <c r="H60" s="49">
        <f>'Avg Week Ssembabule-Kanoni'!H60+'Avg Week Kanoni-Ssembabule'!H60</f>
        <v>0</v>
      </c>
      <c r="I60" s="49">
        <f>'Avg Week Ssembabule-Kanoni'!I60+'Avg Week Kanoni-Ssembabule'!I60</f>
        <v>0.5</v>
      </c>
      <c r="J60" s="49">
        <f>'Avg Week Ssembabule-Kanoni'!J60+'Avg Week Kanoni-Ssembabule'!J60</f>
        <v>2</v>
      </c>
      <c r="K60" s="49">
        <f>'Avg Week Ssembabule-Kanoni'!K60+'Avg Week Kanoni-Ssembabule'!K60</f>
        <v>0</v>
      </c>
      <c r="L60" s="49">
        <f>'Avg Week Ssembabule-Kanoni'!L60+'Avg Week Kanoni-Ssembabule'!L60</f>
        <v>0</v>
      </c>
      <c r="M60" s="49">
        <f>'Avg Week Ssembabule-Kanoni'!M60+'Avg Week Kanoni-Ssembabule'!M60</f>
        <v>25</v>
      </c>
      <c r="N60" s="49">
        <f>'Avg Week Ssembabule-Kanoni'!N60+'Avg Week Kanoni-Ssembabule'!N60</f>
        <v>0</v>
      </c>
      <c r="O60" s="15">
        <f t="shared" si="0"/>
        <v>6</v>
      </c>
      <c r="P60" s="15">
        <f t="shared" si="1"/>
        <v>31</v>
      </c>
      <c r="R60" s="8"/>
      <c r="T60"/>
    </row>
    <row r="61" spans="2:20" ht="23.1" customHeight="1" x14ac:dyDescent="0.25">
      <c r="B61" s="23" t="s">
        <v>102</v>
      </c>
      <c r="C61" s="49">
        <f>'Avg Week Ssembabule-Kanoni'!C61+'Avg Week Kanoni-Ssembabule'!C61</f>
        <v>3</v>
      </c>
      <c r="D61" s="49">
        <f>'Avg Week Ssembabule-Kanoni'!D61+'Avg Week Kanoni-Ssembabule'!D61</f>
        <v>2.5</v>
      </c>
      <c r="E61" s="49">
        <f>'Avg Week Ssembabule-Kanoni'!E61+'Avg Week Kanoni-Ssembabule'!E61</f>
        <v>0.5</v>
      </c>
      <c r="F61" s="49">
        <f>'Avg Week Ssembabule-Kanoni'!F61+'Avg Week Kanoni-Ssembabule'!F61</f>
        <v>1.5</v>
      </c>
      <c r="G61" s="49">
        <f>'Avg Week Ssembabule-Kanoni'!G61+'Avg Week Kanoni-Ssembabule'!G61</f>
        <v>0</v>
      </c>
      <c r="H61" s="49">
        <f>'Avg Week Ssembabule-Kanoni'!H61+'Avg Week Kanoni-Ssembabule'!H61</f>
        <v>0</v>
      </c>
      <c r="I61" s="49">
        <f>'Avg Week Ssembabule-Kanoni'!I61+'Avg Week Kanoni-Ssembabule'!I61</f>
        <v>0.5</v>
      </c>
      <c r="J61" s="49">
        <f>'Avg Week Ssembabule-Kanoni'!J61+'Avg Week Kanoni-Ssembabule'!J61</f>
        <v>1</v>
      </c>
      <c r="K61" s="49">
        <f>'Avg Week Ssembabule-Kanoni'!K61+'Avg Week Kanoni-Ssembabule'!K61</f>
        <v>0</v>
      </c>
      <c r="L61" s="49">
        <f>'Avg Week Ssembabule-Kanoni'!L61+'Avg Week Kanoni-Ssembabule'!L61</f>
        <v>0</v>
      </c>
      <c r="M61" s="49">
        <f>'Avg Week Ssembabule-Kanoni'!M61+'Avg Week Kanoni-Ssembabule'!M61</f>
        <v>18</v>
      </c>
      <c r="N61" s="49">
        <f>'Avg Week Ssembabule-Kanoni'!N61+'Avg Week Kanoni-Ssembabule'!N61</f>
        <v>0</v>
      </c>
      <c r="O61" s="15">
        <f t="shared" si="0"/>
        <v>9</v>
      </c>
      <c r="P61" s="15">
        <f t="shared" si="1"/>
        <v>27</v>
      </c>
      <c r="R61" s="8"/>
      <c r="T61"/>
    </row>
    <row r="62" spans="2:20" ht="23.1" customHeight="1" x14ac:dyDescent="0.25">
      <c r="B62" s="23" t="s">
        <v>107</v>
      </c>
      <c r="C62" s="49">
        <f>'Avg Week Ssembabule-Kanoni'!C62+'Avg Week Kanoni-Ssembabule'!C62</f>
        <v>2</v>
      </c>
      <c r="D62" s="49">
        <f>'Avg Week Ssembabule-Kanoni'!D62+'Avg Week Kanoni-Ssembabule'!D62</f>
        <v>2.5</v>
      </c>
      <c r="E62" s="49">
        <f>'Avg Week Ssembabule-Kanoni'!E62+'Avg Week Kanoni-Ssembabule'!E62</f>
        <v>1</v>
      </c>
      <c r="F62" s="49">
        <f>'Avg Week Ssembabule-Kanoni'!F62+'Avg Week Kanoni-Ssembabule'!F62</f>
        <v>2</v>
      </c>
      <c r="G62" s="49">
        <f>'Avg Week Ssembabule-Kanoni'!G62+'Avg Week Kanoni-Ssembabule'!G62</f>
        <v>0</v>
      </c>
      <c r="H62" s="49">
        <f>'Avg Week Ssembabule-Kanoni'!H62+'Avg Week Kanoni-Ssembabule'!H62</f>
        <v>0</v>
      </c>
      <c r="I62" s="49">
        <f>'Avg Week Ssembabule-Kanoni'!I62+'Avg Week Kanoni-Ssembabule'!I62</f>
        <v>1</v>
      </c>
      <c r="J62" s="49">
        <f>'Avg Week Ssembabule-Kanoni'!J62+'Avg Week Kanoni-Ssembabule'!J62</f>
        <v>1</v>
      </c>
      <c r="K62" s="49">
        <f>'Avg Week Ssembabule-Kanoni'!K62+'Avg Week Kanoni-Ssembabule'!K62</f>
        <v>0.5</v>
      </c>
      <c r="L62" s="49">
        <f>'Avg Week Ssembabule-Kanoni'!L62+'Avg Week Kanoni-Ssembabule'!L62</f>
        <v>1</v>
      </c>
      <c r="M62" s="49">
        <f>'Avg Week Ssembabule-Kanoni'!M62+'Avg Week Kanoni-Ssembabule'!M62</f>
        <v>14.5</v>
      </c>
      <c r="N62" s="49">
        <f>'Avg Week Ssembabule-Kanoni'!N62+'Avg Week Kanoni-Ssembabule'!N62</f>
        <v>0</v>
      </c>
      <c r="O62" s="15">
        <f t="shared" si="0"/>
        <v>11</v>
      </c>
      <c r="P62" s="15">
        <f t="shared" si="1"/>
        <v>25.5</v>
      </c>
      <c r="R62" s="8"/>
      <c r="T62"/>
    </row>
    <row r="63" spans="2:20" ht="23.1" customHeight="1" x14ac:dyDescent="0.25">
      <c r="B63" s="23" t="s">
        <v>108</v>
      </c>
      <c r="C63" s="49">
        <f>'Avg Week Ssembabule-Kanoni'!C63+'Avg Week Kanoni-Ssembabule'!C63</f>
        <v>4</v>
      </c>
      <c r="D63" s="49">
        <f>'Avg Week Ssembabule-Kanoni'!D63+'Avg Week Kanoni-Ssembabule'!D63</f>
        <v>0.5</v>
      </c>
      <c r="E63" s="49">
        <f>'Avg Week Ssembabule-Kanoni'!E63+'Avg Week Kanoni-Ssembabule'!E63</f>
        <v>1</v>
      </c>
      <c r="F63" s="49">
        <f>'Avg Week Ssembabule-Kanoni'!F63+'Avg Week Kanoni-Ssembabule'!F63</f>
        <v>0.5</v>
      </c>
      <c r="G63" s="49">
        <f>'Avg Week Ssembabule-Kanoni'!G63+'Avg Week Kanoni-Ssembabule'!G63</f>
        <v>0</v>
      </c>
      <c r="H63" s="49">
        <f>'Avg Week Ssembabule-Kanoni'!H63+'Avg Week Kanoni-Ssembabule'!H63</f>
        <v>0</v>
      </c>
      <c r="I63" s="49">
        <f>'Avg Week Ssembabule-Kanoni'!I63+'Avg Week Kanoni-Ssembabule'!I63</f>
        <v>2</v>
      </c>
      <c r="J63" s="49">
        <f>'Avg Week Ssembabule-Kanoni'!J63+'Avg Week Kanoni-Ssembabule'!J63</f>
        <v>2.5</v>
      </c>
      <c r="K63" s="49">
        <f>'Avg Week Ssembabule-Kanoni'!K63+'Avg Week Kanoni-Ssembabule'!K63</f>
        <v>0</v>
      </c>
      <c r="L63" s="49">
        <f>'Avg Week Ssembabule-Kanoni'!L63+'Avg Week Kanoni-Ssembabule'!L63</f>
        <v>0</v>
      </c>
      <c r="M63" s="49">
        <f>'Avg Week Ssembabule-Kanoni'!M63+'Avg Week Kanoni-Ssembabule'!M63</f>
        <v>9.5</v>
      </c>
      <c r="N63" s="49">
        <f>'Avg Week Ssembabule-Kanoni'!N63+'Avg Week Kanoni-Ssembabule'!N63</f>
        <v>0</v>
      </c>
      <c r="O63" s="15">
        <f t="shared" si="0"/>
        <v>10.5</v>
      </c>
      <c r="P63" s="15">
        <f t="shared" si="1"/>
        <v>20</v>
      </c>
      <c r="R63" s="8"/>
      <c r="T63"/>
    </row>
    <row r="64" spans="2:20" ht="23.1" customHeight="1" x14ac:dyDescent="0.25">
      <c r="B64" s="23" t="s">
        <v>109</v>
      </c>
      <c r="C64" s="49">
        <f>'Avg Week Ssembabule-Kanoni'!C64+'Avg Week Kanoni-Ssembabule'!C64</f>
        <v>2</v>
      </c>
      <c r="D64" s="49">
        <f>'Avg Week Ssembabule-Kanoni'!D64+'Avg Week Kanoni-Ssembabule'!D64</f>
        <v>0.5</v>
      </c>
      <c r="E64" s="49">
        <f>'Avg Week Ssembabule-Kanoni'!E64+'Avg Week Kanoni-Ssembabule'!E64</f>
        <v>0</v>
      </c>
      <c r="F64" s="49">
        <f>'Avg Week Ssembabule-Kanoni'!F64+'Avg Week Kanoni-Ssembabule'!F64</f>
        <v>1.5</v>
      </c>
      <c r="G64" s="49">
        <f>'Avg Week Ssembabule-Kanoni'!G64+'Avg Week Kanoni-Ssembabule'!G64</f>
        <v>0</v>
      </c>
      <c r="H64" s="49">
        <f>'Avg Week Ssembabule-Kanoni'!H64+'Avg Week Kanoni-Ssembabule'!H64</f>
        <v>0</v>
      </c>
      <c r="I64" s="49">
        <f>'Avg Week Ssembabule-Kanoni'!I64+'Avg Week Kanoni-Ssembabule'!I64</f>
        <v>1.5</v>
      </c>
      <c r="J64" s="49">
        <f>'Avg Week Ssembabule-Kanoni'!J64+'Avg Week Kanoni-Ssembabule'!J64</f>
        <v>0.5</v>
      </c>
      <c r="K64" s="49">
        <f>'Avg Week Ssembabule-Kanoni'!K64+'Avg Week Kanoni-Ssembabule'!K64</f>
        <v>1</v>
      </c>
      <c r="L64" s="49">
        <f>'Avg Week Ssembabule-Kanoni'!L64+'Avg Week Kanoni-Ssembabule'!L64</f>
        <v>0</v>
      </c>
      <c r="M64" s="49">
        <f>'Avg Week Ssembabule-Kanoni'!M64+'Avg Week Kanoni-Ssembabule'!M64</f>
        <v>8</v>
      </c>
      <c r="N64" s="49">
        <f>'Avg Week Ssembabule-Kanoni'!N64+'Avg Week Kanoni-Ssembabule'!N64</f>
        <v>0</v>
      </c>
      <c r="O64" s="15">
        <f t="shared" si="0"/>
        <v>7</v>
      </c>
      <c r="P64" s="15">
        <f t="shared" si="1"/>
        <v>15</v>
      </c>
      <c r="R64" s="8"/>
      <c r="T64"/>
    </row>
    <row r="65" spans="2:20" ht="23.1" customHeight="1" x14ac:dyDescent="0.25">
      <c r="B65" s="23" t="s">
        <v>158</v>
      </c>
      <c r="C65" s="49">
        <f>'Avg Week Ssembabule-Kanoni'!C65+'Avg Week Kanoni-Ssembabule'!C65</f>
        <v>1</v>
      </c>
      <c r="D65" s="49">
        <f>'Avg Week Ssembabule-Kanoni'!D65+'Avg Week Kanoni-Ssembabule'!D65</f>
        <v>0.5</v>
      </c>
      <c r="E65" s="49">
        <f>'Avg Week Ssembabule-Kanoni'!E65+'Avg Week Kanoni-Ssembabule'!E65</f>
        <v>0</v>
      </c>
      <c r="F65" s="49">
        <f>'Avg Week Ssembabule-Kanoni'!F65+'Avg Week Kanoni-Ssembabule'!F65</f>
        <v>0</v>
      </c>
      <c r="G65" s="49">
        <f>'Avg Week Ssembabule-Kanoni'!G65+'Avg Week Kanoni-Ssembabule'!G65</f>
        <v>0</v>
      </c>
      <c r="H65" s="49">
        <f>'Avg Week Ssembabule-Kanoni'!H65+'Avg Week Kanoni-Ssembabule'!H65</f>
        <v>0</v>
      </c>
      <c r="I65" s="49">
        <f>'Avg Week Ssembabule-Kanoni'!I65+'Avg Week Kanoni-Ssembabule'!I65</f>
        <v>1.5</v>
      </c>
      <c r="J65" s="49">
        <f>'Avg Week Ssembabule-Kanoni'!J65+'Avg Week Kanoni-Ssembabule'!J65</f>
        <v>0</v>
      </c>
      <c r="K65" s="49">
        <f>'Avg Week Ssembabule-Kanoni'!K65+'Avg Week Kanoni-Ssembabule'!K65</f>
        <v>0</v>
      </c>
      <c r="L65" s="49">
        <f>'Avg Week Ssembabule-Kanoni'!L65+'Avg Week Kanoni-Ssembabule'!L65</f>
        <v>0</v>
      </c>
      <c r="M65" s="49">
        <f>'Avg Week Ssembabule-Kanoni'!M65+'Avg Week Kanoni-Ssembabule'!M65</f>
        <v>6</v>
      </c>
      <c r="N65" s="49">
        <f>'Avg Week Ssembabule-Kanoni'!N65+'Avg Week Kanoni-Ssembabule'!N65</f>
        <v>0</v>
      </c>
      <c r="O65" s="15">
        <f t="shared" si="0"/>
        <v>3</v>
      </c>
      <c r="P65" s="15">
        <f t="shared" si="1"/>
        <v>9</v>
      </c>
      <c r="R65" s="8"/>
      <c r="T65"/>
    </row>
    <row r="66" spans="2:20" ht="23.1" customHeight="1" x14ac:dyDescent="0.25">
      <c r="B66" s="23" t="s">
        <v>103</v>
      </c>
      <c r="C66" s="49">
        <f>'Avg Week Ssembabule-Kanoni'!C66+'Avg Week Kanoni-Ssembabule'!C66</f>
        <v>1.5</v>
      </c>
      <c r="D66" s="49">
        <f>'Avg Week Ssembabule-Kanoni'!D66+'Avg Week Kanoni-Ssembabule'!D66</f>
        <v>3.5</v>
      </c>
      <c r="E66" s="49">
        <f>'Avg Week Ssembabule-Kanoni'!E66+'Avg Week Kanoni-Ssembabule'!E66</f>
        <v>0</v>
      </c>
      <c r="F66" s="49">
        <f>'Avg Week Ssembabule-Kanoni'!F66+'Avg Week Kanoni-Ssembabule'!F66</f>
        <v>0.5</v>
      </c>
      <c r="G66" s="49">
        <f>'Avg Week Ssembabule-Kanoni'!G66+'Avg Week Kanoni-Ssembabule'!G66</f>
        <v>0</v>
      </c>
      <c r="H66" s="49">
        <f>'Avg Week Ssembabule-Kanoni'!H66+'Avg Week Kanoni-Ssembabule'!H66</f>
        <v>0</v>
      </c>
      <c r="I66" s="49">
        <f>'Avg Week Ssembabule-Kanoni'!I66+'Avg Week Kanoni-Ssembabule'!I66</f>
        <v>1</v>
      </c>
      <c r="J66" s="49">
        <f>'Avg Week Ssembabule-Kanoni'!J66+'Avg Week Kanoni-Ssembabule'!J66</f>
        <v>0.5</v>
      </c>
      <c r="K66" s="49">
        <f>'Avg Week Ssembabule-Kanoni'!K66+'Avg Week Kanoni-Ssembabule'!K66</f>
        <v>0.5</v>
      </c>
      <c r="L66" s="49">
        <f>'Avg Week Ssembabule-Kanoni'!L66+'Avg Week Kanoni-Ssembabule'!L66</f>
        <v>0</v>
      </c>
      <c r="M66" s="49">
        <f>'Avg Week Ssembabule-Kanoni'!M66+'Avg Week Kanoni-Ssembabule'!M66</f>
        <v>8.5</v>
      </c>
      <c r="N66" s="49">
        <f>'Avg Week Ssembabule-Kanoni'!N66+'Avg Week Kanoni-Ssembabule'!N66</f>
        <v>0</v>
      </c>
      <c r="O66" s="15">
        <f t="shared" si="0"/>
        <v>7.5</v>
      </c>
      <c r="P66" s="15">
        <f t="shared" si="1"/>
        <v>16</v>
      </c>
      <c r="R66" s="8"/>
      <c r="T66"/>
    </row>
    <row r="67" spans="2:20" ht="23.1" customHeight="1" x14ac:dyDescent="0.25">
      <c r="B67" s="23" t="s">
        <v>104</v>
      </c>
      <c r="C67" s="49">
        <f>'Avg Week Ssembabule-Kanoni'!C67+'Avg Week Kanoni-Ssembabule'!C67</f>
        <v>2</v>
      </c>
      <c r="D67" s="49">
        <f>'Avg Week Ssembabule-Kanoni'!D67+'Avg Week Kanoni-Ssembabule'!D67</f>
        <v>0</v>
      </c>
      <c r="E67" s="49">
        <f>'Avg Week Ssembabule-Kanoni'!E67+'Avg Week Kanoni-Ssembabule'!E67</f>
        <v>0</v>
      </c>
      <c r="F67" s="49">
        <f>'Avg Week Ssembabule-Kanoni'!F67+'Avg Week Kanoni-Ssembabule'!F67</f>
        <v>0</v>
      </c>
      <c r="G67" s="49">
        <f>'Avg Week Ssembabule-Kanoni'!G67+'Avg Week Kanoni-Ssembabule'!G67</f>
        <v>0</v>
      </c>
      <c r="H67" s="49">
        <f>'Avg Week Ssembabule-Kanoni'!H67+'Avg Week Kanoni-Ssembabule'!H67</f>
        <v>0</v>
      </c>
      <c r="I67" s="49">
        <f>'Avg Week Ssembabule-Kanoni'!I67+'Avg Week Kanoni-Ssembabule'!I67</f>
        <v>0</v>
      </c>
      <c r="J67" s="49">
        <f>'Avg Week Ssembabule-Kanoni'!J67+'Avg Week Kanoni-Ssembabule'!J67</f>
        <v>0.5</v>
      </c>
      <c r="K67" s="49">
        <f>'Avg Week Ssembabule-Kanoni'!K67+'Avg Week Kanoni-Ssembabule'!K67</f>
        <v>1</v>
      </c>
      <c r="L67" s="49">
        <f>'Avg Week Ssembabule-Kanoni'!L67+'Avg Week Kanoni-Ssembabule'!L67</f>
        <v>0.5</v>
      </c>
      <c r="M67" s="49">
        <f>'Avg Week Ssembabule-Kanoni'!M67+'Avg Week Kanoni-Ssembabule'!M67</f>
        <v>1.5</v>
      </c>
      <c r="N67" s="49">
        <f>'Avg Week Ssembabule-Kanoni'!N67+'Avg Week Kanoni-Ssembabule'!N67</f>
        <v>0</v>
      </c>
      <c r="O67" s="15">
        <f t="shared" si="0"/>
        <v>4</v>
      </c>
      <c r="P67" s="15">
        <f t="shared" si="1"/>
        <v>5.5</v>
      </c>
      <c r="R67" s="8"/>
      <c r="T67"/>
    </row>
    <row r="68" spans="2:20" ht="23.1" customHeight="1" x14ac:dyDescent="0.25">
      <c r="B68" s="23" t="s">
        <v>105</v>
      </c>
      <c r="C68" s="49">
        <f>'Avg Week Ssembabule-Kanoni'!C68+'Avg Week Kanoni-Ssembabule'!C68</f>
        <v>2</v>
      </c>
      <c r="D68" s="49">
        <f>'Avg Week Ssembabule-Kanoni'!D68+'Avg Week Kanoni-Ssembabule'!D68</f>
        <v>0.5</v>
      </c>
      <c r="E68" s="49">
        <f>'Avg Week Ssembabule-Kanoni'!E68+'Avg Week Kanoni-Ssembabule'!E68</f>
        <v>0</v>
      </c>
      <c r="F68" s="49">
        <f>'Avg Week Ssembabule-Kanoni'!F68+'Avg Week Kanoni-Ssembabule'!F68</f>
        <v>0.5</v>
      </c>
      <c r="G68" s="49">
        <f>'Avg Week Ssembabule-Kanoni'!G68+'Avg Week Kanoni-Ssembabule'!G68</f>
        <v>0</v>
      </c>
      <c r="H68" s="49">
        <f>'Avg Week Ssembabule-Kanoni'!H68+'Avg Week Kanoni-Ssembabule'!H68</f>
        <v>0</v>
      </c>
      <c r="I68" s="49">
        <f>'Avg Week Ssembabule-Kanoni'!I68+'Avg Week Kanoni-Ssembabule'!I68</f>
        <v>0.5</v>
      </c>
      <c r="J68" s="49">
        <f>'Avg Week Ssembabule-Kanoni'!J68+'Avg Week Kanoni-Ssembabule'!J68</f>
        <v>1.5</v>
      </c>
      <c r="K68" s="49">
        <f>'Avg Week Ssembabule-Kanoni'!K68+'Avg Week Kanoni-Ssembabule'!K68</f>
        <v>0</v>
      </c>
      <c r="L68" s="49">
        <f>'Avg Week Ssembabule-Kanoni'!L68+'Avg Week Kanoni-Ssembabule'!L68</f>
        <v>0</v>
      </c>
      <c r="M68" s="49">
        <f>'Avg Week Ssembabule-Kanoni'!M68+'Avg Week Kanoni-Ssembabule'!M68</f>
        <v>5.5</v>
      </c>
      <c r="N68" s="49">
        <f>'Avg Week Ssembabule-Kanoni'!N68+'Avg Week Kanoni-Ssembabule'!N68</f>
        <v>0</v>
      </c>
      <c r="O68" s="15">
        <f t="shared" si="0"/>
        <v>5</v>
      </c>
      <c r="P68" s="15">
        <f t="shared" si="1"/>
        <v>10.5</v>
      </c>
      <c r="R68" s="8"/>
      <c r="T68"/>
    </row>
    <row r="69" spans="2:20" ht="23.1" customHeight="1" x14ac:dyDescent="0.25">
      <c r="B69" s="23" t="s">
        <v>106</v>
      </c>
      <c r="C69" s="49">
        <f>'Avg Week Ssembabule-Kanoni'!C69+'Avg Week Kanoni-Ssembabule'!C69</f>
        <v>0.5</v>
      </c>
      <c r="D69" s="49">
        <f>'Avg Week Ssembabule-Kanoni'!D69+'Avg Week Kanoni-Ssembabule'!D69</f>
        <v>0.5</v>
      </c>
      <c r="E69" s="49">
        <f>'Avg Week Ssembabule-Kanoni'!E69+'Avg Week Kanoni-Ssembabule'!E69</f>
        <v>0</v>
      </c>
      <c r="F69" s="49">
        <f>'Avg Week Ssembabule-Kanoni'!F69+'Avg Week Kanoni-Ssembabule'!F69</f>
        <v>0.5</v>
      </c>
      <c r="G69" s="49">
        <f>'Avg Week Ssembabule-Kanoni'!G69+'Avg Week Kanoni-Ssembabule'!G69</f>
        <v>0</v>
      </c>
      <c r="H69" s="49">
        <f>'Avg Week Ssembabule-Kanoni'!H69+'Avg Week Kanoni-Ssembabule'!H69</f>
        <v>0</v>
      </c>
      <c r="I69" s="49">
        <f>'Avg Week Ssembabule-Kanoni'!I69+'Avg Week Kanoni-Ssembabule'!I69</f>
        <v>0</v>
      </c>
      <c r="J69" s="49">
        <f>'Avg Week Ssembabule-Kanoni'!J69+'Avg Week Kanoni-Ssembabule'!J69</f>
        <v>1.5</v>
      </c>
      <c r="K69" s="49">
        <f>'Avg Week Ssembabule-Kanoni'!K69+'Avg Week Kanoni-Ssembabule'!K69</f>
        <v>0</v>
      </c>
      <c r="L69" s="49">
        <f>'Avg Week Ssembabule-Kanoni'!L69+'Avg Week Kanoni-Ssembabule'!L69</f>
        <v>0</v>
      </c>
      <c r="M69" s="49">
        <f>'Avg Week Ssembabule-Kanoni'!M69+'Avg Week Kanoni-Ssembabule'!M69</f>
        <v>2.5</v>
      </c>
      <c r="N69" s="49">
        <f>'Avg Week Ssembabule-Kanoni'!N69+'Avg Week Kanoni-Ssembabule'!N69</f>
        <v>0</v>
      </c>
      <c r="O69" s="15">
        <f t="shared" si="0"/>
        <v>3</v>
      </c>
      <c r="P69" s="15">
        <f t="shared" si="1"/>
        <v>5.5</v>
      </c>
      <c r="R69" s="8"/>
      <c r="T69"/>
    </row>
    <row r="70" spans="2:20" ht="23.1" customHeight="1" x14ac:dyDescent="0.25">
      <c r="B70" s="23" t="s">
        <v>110</v>
      </c>
      <c r="C70" s="49">
        <f>'Avg Week Ssembabule-Kanoni'!C70+'Avg Week Kanoni-Ssembabule'!C70</f>
        <v>0.5</v>
      </c>
      <c r="D70" s="49">
        <f>'Avg Week Ssembabule-Kanoni'!D70+'Avg Week Kanoni-Ssembabule'!D70</f>
        <v>0.5</v>
      </c>
      <c r="E70" s="49">
        <f>'Avg Week Ssembabule-Kanoni'!E70+'Avg Week Kanoni-Ssembabule'!E70</f>
        <v>0</v>
      </c>
      <c r="F70" s="49">
        <f>'Avg Week Ssembabule-Kanoni'!F70+'Avg Week Kanoni-Ssembabule'!F70</f>
        <v>0.5</v>
      </c>
      <c r="G70" s="49">
        <f>'Avg Week Ssembabule-Kanoni'!G70+'Avg Week Kanoni-Ssembabule'!G70</f>
        <v>0</v>
      </c>
      <c r="H70" s="49">
        <f>'Avg Week Ssembabule-Kanoni'!H70+'Avg Week Kanoni-Ssembabule'!H70</f>
        <v>0</v>
      </c>
      <c r="I70" s="49">
        <f>'Avg Week Ssembabule-Kanoni'!I70+'Avg Week Kanoni-Ssembabule'!I70</f>
        <v>1</v>
      </c>
      <c r="J70" s="49">
        <f>'Avg Week Ssembabule-Kanoni'!J70+'Avg Week Kanoni-Ssembabule'!J70</f>
        <v>0.5</v>
      </c>
      <c r="K70" s="49">
        <f>'Avg Week Ssembabule-Kanoni'!K70+'Avg Week Kanoni-Ssembabule'!K70</f>
        <v>0</v>
      </c>
      <c r="L70" s="49">
        <f>'Avg Week Ssembabule-Kanoni'!L70+'Avg Week Kanoni-Ssembabule'!L70</f>
        <v>0.5</v>
      </c>
      <c r="M70" s="49">
        <f>'Avg Week Ssembabule-Kanoni'!M70+'Avg Week Kanoni-Ssembabule'!M70</f>
        <v>4</v>
      </c>
      <c r="N70" s="49">
        <f>'Avg Week Ssembabule-Kanoni'!N70+'Avg Week Kanoni-Ssembabule'!N70</f>
        <v>0</v>
      </c>
      <c r="O70" s="15">
        <f t="shared" si="0"/>
        <v>3.5</v>
      </c>
      <c r="P70" s="15">
        <f t="shared" si="1"/>
        <v>7.5</v>
      </c>
      <c r="R70" s="8"/>
      <c r="T70"/>
    </row>
    <row r="71" spans="2:20" ht="23.1" customHeight="1" x14ac:dyDescent="0.25">
      <c r="B71" s="23" t="s">
        <v>111</v>
      </c>
      <c r="C71" s="49">
        <f>'Avg Week Ssembabule-Kanoni'!C71+'Avg Week Kanoni-Ssembabule'!C71</f>
        <v>0</v>
      </c>
      <c r="D71" s="49">
        <f>'Avg Week Ssembabule-Kanoni'!D71+'Avg Week Kanoni-Ssembabule'!D71</f>
        <v>0</v>
      </c>
      <c r="E71" s="49">
        <f>'Avg Week Ssembabule-Kanoni'!E71+'Avg Week Kanoni-Ssembabule'!E71</f>
        <v>0.5</v>
      </c>
      <c r="F71" s="49">
        <f>'Avg Week Ssembabule-Kanoni'!F71+'Avg Week Kanoni-Ssembabule'!F71</f>
        <v>0</v>
      </c>
      <c r="G71" s="49">
        <f>'Avg Week Ssembabule-Kanoni'!G71+'Avg Week Kanoni-Ssembabule'!G71</f>
        <v>0</v>
      </c>
      <c r="H71" s="49">
        <f>'Avg Week Ssembabule-Kanoni'!H71+'Avg Week Kanoni-Ssembabule'!H71</f>
        <v>0</v>
      </c>
      <c r="I71" s="49">
        <f>'Avg Week Ssembabule-Kanoni'!I71+'Avg Week Kanoni-Ssembabule'!I71</f>
        <v>0.5</v>
      </c>
      <c r="J71" s="49">
        <f>'Avg Week Ssembabule-Kanoni'!J71+'Avg Week Kanoni-Ssembabule'!J71</f>
        <v>0</v>
      </c>
      <c r="K71" s="49">
        <f>'Avg Week Ssembabule-Kanoni'!K71+'Avg Week Kanoni-Ssembabule'!K71</f>
        <v>0</v>
      </c>
      <c r="L71" s="49">
        <f>'Avg Week Ssembabule-Kanoni'!L71+'Avg Week Kanoni-Ssembabule'!L71</f>
        <v>0</v>
      </c>
      <c r="M71" s="49">
        <f>'Avg Week Ssembabule-Kanoni'!M71+'Avg Week Kanoni-Ssembabule'!M71</f>
        <v>2</v>
      </c>
      <c r="N71" s="49">
        <f>'Avg Week Ssembabule-Kanoni'!N71+'Avg Week Kanoni-Ssembabule'!N71</f>
        <v>0</v>
      </c>
      <c r="O71" s="15">
        <f t="shared" si="0"/>
        <v>1</v>
      </c>
      <c r="P71" s="15">
        <f t="shared" si="1"/>
        <v>3</v>
      </c>
      <c r="R71" s="8"/>
      <c r="T71"/>
    </row>
    <row r="72" spans="2:20" ht="23.1" customHeight="1" x14ac:dyDescent="0.25">
      <c r="B72" s="23" t="s">
        <v>112</v>
      </c>
      <c r="C72" s="49">
        <f>'Avg Week Ssembabule-Kanoni'!C72+'Avg Week Kanoni-Ssembabule'!C72</f>
        <v>0.5</v>
      </c>
      <c r="D72" s="49">
        <f>'Avg Week Ssembabule-Kanoni'!D72+'Avg Week Kanoni-Ssembabule'!D72</f>
        <v>0</v>
      </c>
      <c r="E72" s="49">
        <f>'Avg Week Ssembabule-Kanoni'!E72+'Avg Week Kanoni-Ssembabule'!E72</f>
        <v>0</v>
      </c>
      <c r="F72" s="49">
        <f>'Avg Week Ssembabule-Kanoni'!F72+'Avg Week Kanoni-Ssembabule'!F72</f>
        <v>0.5</v>
      </c>
      <c r="G72" s="49">
        <f>'Avg Week Ssembabule-Kanoni'!G72+'Avg Week Kanoni-Ssembabule'!G72</f>
        <v>0</v>
      </c>
      <c r="H72" s="49">
        <f>'Avg Week Ssembabule-Kanoni'!H72+'Avg Week Kanoni-Ssembabule'!H72</f>
        <v>0</v>
      </c>
      <c r="I72" s="49">
        <f>'Avg Week Ssembabule-Kanoni'!I72+'Avg Week Kanoni-Ssembabule'!I72</f>
        <v>0.5</v>
      </c>
      <c r="J72" s="49">
        <f>'Avg Week Ssembabule-Kanoni'!J72+'Avg Week Kanoni-Ssembabule'!J72</f>
        <v>1.5</v>
      </c>
      <c r="K72" s="49">
        <f>'Avg Week Ssembabule-Kanoni'!K72+'Avg Week Kanoni-Ssembabule'!K72</f>
        <v>0</v>
      </c>
      <c r="L72" s="49">
        <f>'Avg Week Ssembabule-Kanoni'!L72+'Avg Week Kanoni-Ssembabule'!L72</f>
        <v>0</v>
      </c>
      <c r="M72" s="49">
        <f>'Avg Week Ssembabule-Kanoni'!M72+'Avg Week Kanoni-Ssembabule'!M72</f>
        <v>3</v>
      </c>
      <c r="N72" s="49">
        <f>'Avg Week Ssembabule-Kanoni'!N72+'Avg Week Kanoni-Ssembabule'!N72</f>
        <v>0</v>
      </c>
      <c r="O72" s="15">
        <f t="shared" si="0"/>
        <v>3</v>
      </c>
      <c r="P72" s="15">
        <f t="shared" si="1"/>
        <v>6</v>
      </c>
      <c r="R72" s="8"/>
      <c r="T72"/>
    </row>
    <row r="73" spans="2:20" ht="23.1" customHeight="1" x14ac:dyDescent="0.25">
      <c r="B73" s="23" t="s">
        <v>113</v>
      </c>
      <c r="C73" s="49">
        <f>'Avg Week Ssembabule-Kanoni'!C73+'Avg Week Kanoni-Ssembabule'!C73</f>
        <v>0.5</v>
      </c>
      <c r="D73" s="49">
        <f>'Avg Week Ssembabule-Kanoni'!D73+'Avg Week Kanoni-Ssembabule'!D73</f>
        <v>0.5</v>
      </c>
      <c r="E73" s="49">
        <f>'Avg Week Ssembabule-Kanoni'!E73+'Avg Week Kanoni-Ssembabule'!E73</f>
        <v>0.5</v>
      </c>
      <c r="F73" s="49">
        <f>'Avg Week Ssembabule-Kanoni'!F73+'Avg Week Kanoni-Ssembabule'!F73</f>
        <v>0</v>
      </c>
      <c r="G73" s="49">
        <f>'Avg Week Ssembabule-Kanoni'!G73+'Avg Week Kanoni-Ssembabule'!G73</f>
        <v>0</v>
      </c>
      <c r="H73" s="49">
        <f>'Avg Week Ssembabule-Kanoni'!H73+'Avg Week Kanoni-Ssembabule'!H73</f>
        <v>0</v>
      </c>
      <c r="I73" s="49">
        <f>'Avg Week Ssembabule-Kanoni'!I73+'Avg Week Kanoni-Ssembabule'!I73</f>
        <v>1</v>
      </c>
      <c r="J73" s="49">
        <f>'Avg Week Ssembabule-Kanoni'!J73+'Avg Week Kanoni-Ssembabule'!J73</f>
        <v>0.5</v>
      </c>
      <c r="K73" s="49">
        <f>'Avg Week Ssembabule-Kanoni'!K73+'Avg Week Kanoni-Ssembabule'!K73</f>
        <v>1</v>
      </c>
      <c r="L73" s="49">
        <f>'Avg Week Ssembabule-Kanoni'!L73+'Avg Week Kanoni-Ssembabule'!L73</f>
        <v>0</v>
      </c>
      <c r="M73" s="49">
        <f>'Avg Week Ssembabule-Kanoni'!M73+'Avg Week Kanoni-Ssembabule'!M73</f>
        <v>4.5</v>
      </c>
      <c r="N73" s="49">
        <f>'Avg Week Ssembabule-Kanoni'!N73+'Avg Week Kanoni-Ssembabule'!N73</f>
        <v>0</v>
      </c>
      <c r="O73" s="15">
        <f t="shared" si="0"/>
        <v>4</v>
      </c>
      <c r="P73" s="15">
        <f t="shared" si="1"/>
        <v>8.5</v>
      </c>
      <c r="R73" s="8"/>
      <c r="T73"/>
    </row>
    <row r="74" spans="2:20" ht="23.1" customHeight="1" x14ac:dyDescent="0.25">
      <c r="B74" s="23" t="s">
        <v>114</v>
      </c>
      <c r="C74" s="49">
        <f>'Avg Week Ssembabule-Kanoni'!C74+'Avg Week Kanoni-Ssembabule'!C74</f>
        <v>0.5</v>
      </c>
      <c r="D74" s="49">
        <f>'Avg Week Ssembabule-Kanoni'!D74+'Avg Week Kanoni-Ssembabule'!D74</f>
        <v>0</v>
      </c>
      <c r="E74" s="49">
        <f>'Avg Week Ssembabule-Kanoni'!E74+'Avg Week Kanoni-Ssembabule'!E74</f>
        <v>0</v>
      </c>
      <c r="F74" s="49">
        <f>'Avg Week Ssembabule-Kanoni'!F74+'Avg Week Kanoni-Ssembabule'!F74</f>
        <v>0.5</v>
      </c>
      <c r="G74" s="49">
        <f>'Avg Week Ssembabule-Kanoni'!G74+'Avg Week Kanoni-Ssembabule'!G74</f>
        <v>0</v>
      </c>
      <c r="H74" s="49">
        <f>'Avg Week Ssembabule-Kanoni'!H74+'Avg Week Kanoni-Ssembabule'!H74</f>
        <v>0</v>
      </c>
      <c r="I74" s="49">
        <f>'Avg Week Ssembabule-Kanoni'!I74+'Avg Week Kanoni-Ssembabule'!I74</f>
        <v>0</v>
      </c>
      <c r="J74" s="49">
        <f>'Avg Week Ssembabule-Kanoni'!J74+'Avg Week Kanoni-Ssembabule'!J74</f>
        <v>0</v>
      </c>
      <c r="K74" s="49">
        <f>'Avg Week Ssembabule-Kanoni'!K74+'Avg Week Kanoni-Ssembabule'!K74</f>
        <v>1</v>
      </c>
      <c r="L74" s="49">
        <f>'Avg Week Ssembabule-Kanoni'!L74+'Avg Week Kanoni-Ssembabule'!L74</f>
        <v>1</v>
      </c>
      <c r="M74" s="49">
        <f>'Avg Week Ssembabule-Kanoni'!M74+'Avg Week Kanoni-Ssembabule'!M74</f>
        <v>2</v>
      </c>
      <c r="N74" s="49">
        <f>'Avg Week Ssembabule-Kanoni'!N74+'Avg Week Kanoni-Ssembabule'!N74</f>
        <v>0</v>
      </c>
      <c r="O74" s="15">
        <f t="shared" ref="O74:O105" si="35">SUM(C74:L74,N74)</f>
        <v>3</v>
      </c>
      <c r="P74" s="15">
        <f t="shared" ref="P74:P105" si="36">SUM(C74:N74)</f>
        <v>5</v>
      </c>
      <c r="R74" s="8"/>
      <c r="T74"/>
    </row>
    <row r="75" spans="2:20" ht="23.1" customHeight="1" x14ac:dyDescent="0.25">
      <c r="B75" s="23" t="s">
        <v>115</v>
      </c>
      <c r="C75" s="49">
        <f>'Avg Week Ssembabule-Kanoni'!C75+'Avg Week Kanoni-Ssembabule'!C75</f>
        <v>1</v>
      </c>
      <c r="D75" s="49">
        <f>'Avg Week Ssembabule-Kanoni'!D75+'Avg Week Kanoni-Ssembabule'!D75</f>
        <v>0</v>
      </c>
      <c r="E75" s="49">
        <f>'Avg Week Ssembabule-Kanoni'!E75+'Avg Week Kanoni-Ssembabule'!E75</f>
        <v>0</v>
      </c>
      <c r="F75" s="49">
        <f>'Avg Week Ssembabule-Kanoni'!F75+'Avg Week Kanoni-Ssembabule'!F75</f>
        <v>0.5</v>
      </c>
      <c r="G75" s="49">
        <f>'Avg Week Ssembabule-Kanoni'!G75+'Avg Week Kanoni-Ssembabule'!G75</f>
        <v>0</v>
      </c>
      <c r="H75" s="49">
        <f>'Avg Week Ssembabule-Kanoni'!H75+'Avg Week Kanoni-Ssembabule'!H75</f>
        <v>0</v>
      </c>
      <c r="I75" s="49">
        <f>'Avg Week Ssembabule-Kanoni'!I75+'Avg Week Kanoni-Ssembabule'!I75</f>
        <v>1.5</v>
      </c>
      <c r="J75" s="49">
        <f>'Avg Week Ssembabule-Kanoni'!J75+'Avg Week Kanoni-Ssembabule'!J75</f>
        <v>0</v>
      </c>
      <c r="K75" s="49">
        <f>'Avg Week Ssembabule-Kanoni'!K75+'Avg Week Kanoni-Ssembabule'!K75</f>
        <v>0.5</v>
      </c>
      <c r="L75" s="49">
        <f>'Avg Week Ssembabule-Kanoni'!L75+'Avg Week Kanoni-Ssembabule'!L75</f>
        <v>1</v>
      </c>
      <c r="M75" s="49">
        <f>'Avg Week Ssembabule-Kanoni'!M75+'Avg Week Kanoni-Ssembabule'!M75</f>
        <v>1.5</v>
      </c>
      <c r="N75" s="49">
        <f>'Avg Week Ssembabule-Kanoni'!N75+'Avg Week Kanoni-Ssembabule'!N75</f>
        <v>0</v>
      </c>
      <c r="O75" s="15">
        <f t="shared" si="35"/>
        <v>4.5</v>
      </c>
      <c r="P75" s="15">
        <f t="shared" si="36"/>
        <v>6</v>
      </c>
      <c r="R75" s="8"/>
      <c r="T75"/>
    </row>
    <row r="76" spans="2:20" ht="23.1" customHeight="1" x14ac:dyDescent="0.25">
      <c r="B76" s="23" t="s">
        <v>116</v>
      </c>
      <c r="C76" s="49">
        <f>'Avg Week Ssembabule-Kanoni'!C76+'Avg Week Kanoni-Ssembabule'!C76</f>
        <v>1.5</v>
      </c>
      <c r="D76" s="49">
        <f>'Avg Week Ssembabule-Kanoni'!D76+'Avg Week Kanoni-Ssembabule'!D76</f>
        <v>0</v>
      </c>
      <c r="E76" s="49">
        <f>'Avg Week Ssembabule-Kanoni'!E76+'Avg Week Kanoni-Ssembabule'!E76</f>
        <v>0</v>
      </c>
      <c r="F76" s="49">
        <f>'Avg Week Ssembabule-Kanoni'!F76+'Avg Week Kanoni-Ssembabule'!F76</f>
        <v>1.5</v>
      </c>
      <c r="G76" s="49">
        <f>'Avg Week Ssembabule-Kanoni'!G76+'Avg Week Kanoni-Ssembabule'!G76</f>
        <v>0</v>
      </c>
      <c r="H76" s="49">
        <f>'Avg Week Ssembabule-Kanoni'!H76+'Avg Week Kanoni-Ssembabule'!H76</f>
        <v>0</v>
      </c>
      <c r="I76" s="49">
        <f>'Avg Week Ssembabule-Kanoni'!I76+'Avg Week Kanoni-Ssembabule'!I76</f>
        <v>0</v>
      </c>
      <c r="J76" s="49">
        <f>'Avg Week Ssembabule-Kanoni'!J76+'Avg Week Kanoni-Ssembabule'!J76</f>
        <v>0.5</v>
      </c>
      <c r="K76" s="49">
        <f>'Avg Week Ssembabule-Kanoni'!K76+'Avg Week Kanoni-Ssembabule'!K76</f>
        <v>1</v>
      </c>
      <c r="L76" s="49">
        <f>'Avg Week Ssembabule-Kanoni'!L76+'Avg Week Kanoni-Ssembabule'!L76</f>
        <v>0</v>
      </c>
      <c r="M76" s="49">
        <f>'Avg Week Ssembabule-Kanoni'!M76+'Avg Week Kanoni-Ssembabule'!M76</f>
        <v>0</v>
      </c>
      <c r="N76" s="49">
        <f>'Avg Week Ssembabule-Kanoni'!N76+'Avg Week Kanoni-Ssembabule'!N76</f>
        <v>0</v>
      </c>
      <c r="O76" s="15">
        <f t="shared" si="35"/>
        <v>4.5</v>
      </c>
      <c r="P76" s="15">
        <f t="shared" si="36"/>
        <v>4.5</v>
      </c>
      <c r="R76" s="8"/>
      <c r="T76"/>
    </row>
    <row r="77" spans="2:20" ht="23.1" customHeight="1" x14ac:dyDescent="0.25">
      <c r="B77" s="23" t="s">
        <v>117</v>
      </c>
      <c r="C77" s="49">
        <f>'Avg Week Ssembabule-Kanoni'!C77+'Avg Week Kanoni-Ssembabule'!C77</f>
        <v>1</v>
      </c>
      <c r="D77" s="49">
        <f>'Avg Week Ssembabule-Kanoni'!D77+'Avg Week Kanoni-Ssembabule'!D77</f>
        <v>0</v>
      </c>
      <c r="E77" s="49">
        <f>'Avg Week Ssembabule-Kanoni'!E77+'Avg Week Kanoni-Ssembabule'!E77</f>
        <v>0</v>
      </c>
      <c r="F77" s="49">
        <f>'Avg Week Ssembabule-Kanoni'!F77+'Avg Week Kanoni-Ssembabule'!F77</f>
        <v>0</v>
      </c>
      <c r="G77" s="49">
        <f>'Avg Week Ssembabule-Kanoni'!G77+'Avg Week Kanoni-Ssembabule'!G77</f>
        <v>0</v>
      </c>
      <c r="H77" s="49">
        <f>'Avg Week Ssembabule-Kanoni'!H77+'Avg Week Kanoni-Ssembabule'!H77</f>
        <v>0</v>
      </c>
      <c r="I77" s="49">
        <f>'Avg Week Ssembabule-Kanoni'!I77+'Avg Week Kanoni-Ssembabule'!I77</f>
        <v>0</v>
      </c>
      <c r="J77" s="49">
        <f>'Avg Week Ssembabule-Kanoni'!J77+'Avg Week Kanoni-Ssembabule'!J77</f>
        <v>0.5</v>
      </c>
      <c r="K77" s="49">
        <f>'Avg Week Ssembabule-Kanoni'!K77+'Avg Week Kanoni-Ssembabule'!K77</f>
        <v>0</v>
      </c>
      <c r="L77" s="49">
        <f>'Avg Week Ssembabule-Kanoni'!L77+'Avg Week Kanoni-Ssembabule'!L77</f>
        <v>0.5</v>
      </c>
      <c r="M77" s="49">
        <f>'Avg Week Ssembabule-Kanoni'!M77+'Avg Week Kanoni-Ssembabule'!M77</f>
        <v>1</v>
      </c>
      <c r="N77" s="49">
        <f>'Avg Week Ssembabule-Kanoni'!N77+'Avg Week Kanoni-Ssembabule'!N77</f>
        <v>0</v>
      </c>
      <c r="O77" s="15">
        <f t="shared" si="35"/>
        <v>2</v>
      </c>
      <c r="P77" s="15">
        <f t="shared" si="36"/>
        <v>3</v>
      </c>
      <c r="R77" s="8"/>
      <c r="T77"/>
    </row>
    <row r="78" spans="2:20" ht="23.1" customHeight="1" x14ac:dyDescent="0.25">
      <c r="B78" s="24" t="s">
        <v>118</v>
      </c>
      <c r="C78" s="49">
        <f>'Avg Week Ssembabule-Kanoni'!C78+'Avg Week Kanoni-Ssembabule'!C78</f>
        <v>3</v>
      </c>
      <c r="D78" s="49">
        <f>'Avg Week Ssembabule-Kanoni'!D78+'Avg Week Kanoni-Ssembabule'!D78</f>
        <v>3</v>
      </c>
      <c r="E78" s="49">
        <f>'Avg Week Ssembabule-Kanoni'!E78+'Avg Week Kanoni-Ssembabule'!E78</f>
        <v>0</v>
      </c>
      <c r="F78" s="49">
        <f>'Avg Week Ssembabule-Kanoni'!F78+'Avg Week Kanoni-Ssembabule'!F78</f>
        <v>1</v>
      </c>
      <c r="G78" s="49">
        <f>'Avg Week Ssembabule-Kanoni'!G78+'Avg Week Kanoni-Ssembabule'!G78</f>
        <v>0</v>
      </c>
      <c r="H78" s="49">
        <f>'Avg Week Ssembabule-Kanoni'!H78+'Avg Week Kanoni-Ssembabule'!H78</f>
        <v>0</v>
      </c>
      <c r="I78" s="49">
        <f>'Avg Week Ssembabule-Kanoni'!I78+'Avg Week Kanoni-Ssembabule'!I78</f>
        <v>1</v>
      </c>
      <c r="J78" s="49">
        <f>'Avg Week Ssembabule-Kanoni'!J78+'Avg Week Kanoni-Ssembabule'!J78</f>
        <v>0</v>
      </c>
      <c r="K78" s="49">
        <f>'Avg Week Ssembabule-Kanoni'!K78+'Avg Week Kanoni-Ssembabule'!K78</f>
        <v>0.5</v>
      </c>
      <c r="L78" s="49">
        <f>'Avg Week Ssembabule-Kanoni'!L78+'Avg Week Kanoni-Ssembabule'!L78</f>
        <v>0.5</v>
      </c>
      <c r="M78" s="49">
        <f>'Avg Week Ssembabule-Kanoni'!M78+'Avg Week Kanoni-Ssembabule'!M78</f>
        <v>2</v>
      </c>
      <c r="N78" s="49">
        <f>'Avg Week Ssembabule-Kanoni'!N78+'Avg Week Kanoni-Ssembabule'!N78</f>
        <v>0</v>
      </c>
      <c r="O78" s="15">
        <f t="shared" si="35"/>
        <v>9</v>
      </c>
      <c r="P78" s="15">
        <f t="shared" si="36"/>
        <v>11</v>
      </c>
      <c r="R78" s="8"/>
      <c r="T78"/>
    </row>
    <row r="79" spans="2:20" ht="23.1" customHeight="1" x14ac:dyDescent="0.25">
      <c r="B79" s="23" t="s">
        <v>119</v>
      </c>
      <c r="C79" s="49">
        <f>'Avg Week Ssembabule-Kanoni'!C79+'Avg Week Kanoni-Ssembabule'!C79</f>
        <v>0</v>
      </c>
      <c r="D79" s="49">
        <f>'Avg Week Ssembabule-Kanoni'!D79+'Avg Week Kanoni-Ssembabule'!D79</f>
        <v>0.5</v>
      </c>
      <c r="E79" s="49">
        <f>'Avg Week Ssembabule-Kanoni'!E79+'Avg Week Kanoni-Ssembabule'!E79</f>
        <v>0</v>
      </c>
      <c r="F79" s="49">
        <f>'Avg Week Ssembabule-Kanoni'!F79+'Avg Week Kanoni-Ssembabule'!F79</f>
        <v>0</v>
      </c>
      <c r="G79" s="49">
        <f>'Avg Week Ssembabule-Kanoni'!G79+'Avg Week Kanoni-Ssembabule'!G79</f>
        <v>0.5</v>
      </c>
      <c r="H79" s="49">
        <f>'Avg Week Ssembabule-Kanoni'!H79+'Avg Week Kanoni-Ssembabule'!H79</f>
        <v>0</v>
      </c>
      <c r="I79" s="49">
        <f>'Avg Week Ssembabule-Kanoni'!I79+'Avg Week Kanoni-Ssembabule'!I79</f>
        <v>0</v>
      </c>
      <c r="J79" s="49">
        <f>'Avg Week Ssembabule-Kanoni'!J79+'Avg Week Kanoni-Ssembabule'!J79</f>
        <v>1</v>
      </c>
      <c r="K79" s="49">
        <f>'Avg Week Ssembabule-Kanoni'!K79+'Avg Week Kanoni-Ssembabule'!K79</f>
        <v>1.5</v>
      </c>
      <c r="L79" s="49">
        <f>'Avg Week Ssembabule-Kanoni'!L79+'Avg Week Kanoni-Ssembabule'!L79</f>
        <v>1</v>
      </c>
      <c r="M79" s="49">
        <f>'Avg Week Ssembabule-Kanoni'!M79+'Avg Week Kanoni-Ssembabule'!M79</f>
        <v>2.5</v>
      </c>
      <c r="N79" s="49">
        <f>'Avg Week Ssembabule-Kanoni'!N79+'Avg Week Kanoni-Ssembabule'!N79</f>
        <v>0</v>
      </c>
      <c r="O79" s="15">
        <f t="shared" si="35"/>
        <v>4.5</v>
      </c>
      <c r="P79" s="15">
        <f t="shared" si="36"/>
        <v>7</v>
      </c>
      <c r="R79" s="8"/>
      <c r="T79"/>
    </row>
    <row r="80" spans="2:20" ht="23.1" customHeight="1" x14ac:dyDescent="0.25">
      <c r="B80" s="25" t="s">
        <v>120</v>
      </c>
      <c r="C80" s="49">
        <f>'Avg Week Ssembabule-Kanoni'!C80+'Avg Week Kanoni-Ssembabule'!C80</f>
        <v>0</v>
      </c>
      <c r="D80" s="49">
        <f>'Avg Week Ssembabule-Kanoni'!D80+'Avg Week Kanoni-Ssembabule'!D80</f>
        <v>0</v>
      </c>
      <c r="E80" s="49">
        <f>'Avg Week Ssembabule-Kanoni'!E80+'Avg Week Kanoni-Ssembabule'!E80</f>
        <v>0</v>
      </c>
      <c r="F80" s="49">
        <f>'Avg Week Ssembabule-Kanoni'!F80+'Avg Week Kanoni-Ssembabule'!F80</f>
        <v>0</v>
      </c>
      <c r="G80" s="49">
        <f>'Avg Week Ssembabule-Kanoni'!G80+'Avg Week Kanoni-Ssembabule'!G80</f>
        <v>0.5</v>
      </c>
      <c r="H80" s="49">
        <f>'Avg Week Ssembabule-Kanoni'!H80+'Avg Week Kanoni-Ssembabule'!H80</f>
        <v>0</v>
      </c>
      <c r="I80" s="49">
        <f>'Avg Week Ssembabule-Kanoni'!I80+'Avg Week Kanoni-Ssembabule'!I80</f>
        <v>1</v>
      </c>
      <c r="J80" s="49">
        <f>'Avg Week Ssembabule-Kanoni'!J80+'Avg Week Kanoni-Ssembabule'!J80</f>
        <v>0</v>
      </c>
      <c r="K80" s="49">
        <f>'Avg Week Ssembabule-Kanoni'!K80+'Avg Week Kanoni-Ssembabule'!K80</f>
        <v>1.5</v>
      </c>
      <c r="L80" s="49">
        <f>'Avg Week Ssembabule-Kanoni'!L80+'Avg Week Kanoni-Ssembabule'!L80</f>
        <v>0.5</v>
      </c>
      <c r="M80" s="49">
        <f>'Avg Week Ssembabule-Kanoni'!M80+'Avg Week Kanoni-Ssembabule'!M80</f>
        <v>2.5</v>
      </c>
      <c r="N80" s="49">
        <f>'Avg Week Ssembabule-Kanoni'!N80+'Avg Week Kanoni-Ssembabule'!N80</f>
        <v>0</v>
      </c>
      <c r="O80" s="15">
        <f t="shared" si="35"/>
        <v>3.5</v>
      </c>
      <c r="P80" s="15">
        <f t="shared" si="36"/>
        <v>6</v>
      </c>
      <c r="R80" s="8"/>
      <c r="T80"/>
    </row>
    <row r="81" spans="2:20" ht="23.1" customHeight="1" x14ac:dyDescent="0.25">
      <c r="B81" s="23" t="s">
        <v>121</v>
      </c>
      <c r="C81" s="49">
        <f>'Avg Week Ssembabule-Kanoni'!C81+'Avg Week Kanoni-Ssembabule'!C81</f>
        <v>0</v>
      </c>
      <c r="D81" s="49">
        <f>'Avg Week Ssembabule-Kanoni'!D81+'Avg Week Kanoni-Ssembabule'!D81</f>
        <v>0</v>
      </c>
      <c r="E81" s="49">
        <f>'Avg Week Ssembabule-Kanoni'!E81+'Avg Week Kanoni-Ssembabule'!E81</f>
        <v>0</v>
      </c>
      <c r="F81" s="49">
        <f>'Avg Week Ssembabule-Kanoni'!F81+'Avg Week Kanoni-Ssembabule'!F81</f>
        <v>0</v>
      </c>
      <c r="G81" s="49">
        <f>'Avg Week Ssembabule-Kanoni'!G81+'Avg Week Kanoni-Ssembabule'!G81</f>
        <v>0</v>
      </c>
      <c r="H81" s="49">
        <f>'Avg Week Ssembabule-Kanoni'!H81+'Avg Week Kanoni-Ssembabule'!H81</f>
        <v>0</v>
      </c>
      <c r="I81" s="49">
        <f>'Avg Week Ssembabule-Kanoni'!I81+'Avg Week Kanoni-Ssembabule'!I81</f>
        <v>0</v>
      </c>
      <c r="J81" s="49">
        <f>'Avg Week Ssembabule-Kanoni'!J81+'Avg Week Kanoni-Ssembabule'!J81</f>
        <v>0</v>
      </c>
      <c r="K81" s="49">
        <f>'Avg Week Ssembabule-Kanoni'!K81+'Avg Week Kanoni-Ssembabule'!K81</f>
        <v>0.5</v>
      </c>
      <c r="L81" s="49">
        <f>'Avg Week Ssembabule-Kanoni'!L81+'Avg Week Kanoni-Ssembabule'!L81</f>
        <v>0</v>
      </c>
      <c r="M81" s="49">
        <f>'Avg Week Ssembabule-Kanoni'!M81+'Avg Week Kanoni-Ssembabule'!M81</f>
        <v>1</v>
      </c>
      <c r="N81" s="49">
        <f>'Avg Week Ssembabule-Kanoni'!N81+'Avg Week Kanoni-Ssembabule'!N81</f>
        <v>0</v>
      </c>
      <c r="O81" s="15">
        <f t="shared" si="35"/>
        <v>0.5</v>
      </c>
      <c r="P81" s="15">
        <f t="shared" si="36"/>
        <v>1.5</v>
      </c>
      <c r="R81" s="8"/>
      <c r="T81"/>
    </row>
    <row r="82" spans="2:20" ht="23.1" customHeight="1" x14ac:dyDescent="0.25">
      <c r="B82" s="24" t="s">
        <v>122</v>
      </c>
      <c r="C82" s="49">
        <f>'Avg Week Ssembabule-Kanoni'!C82+'Avg Week Kanoni-Ssembabule'!C82</f>
        <v>0</v>
      </c>
      <c r="D82" s="49">
        <f>'Avg Week Ssembabule-Kanoni'!D82+'Avg Week Kanoni-Ssembabule'!D82</f>
        <v>0.5</v>
      </c>
      <c r="E82" s="49">
        <f>'Avg Week Ssembabule-Kanoni'!E82+'Avg Week Kanoni-Ssembabule'!E82</f>
        <v>0</v>
      </c>
      <c r="F82" s="49">
        <f>'Avg Week Ssembabule-Kanoni'!F82+'Avg Week Kanoni-Ssembabule'!F82</f>
        <v>0</v>
      </c>
      <c r="G82" s="49">
        <f>'Avg Week Ssembabule-Kanoni'!G82+'Avg Week Kanoni-Ssembabule'!G82</f>
        <v>0.5</v>
      </c>
      <c r="H82" s="49">
        <f>'Avg Week Ssembabule-Kanoni'!H82+'Avg Week Kanoni-Ssembabule'!H82</f>
        <v>0</v>
      </c>
      <c r="I82" s="49">
        <f>'Avg Week Ssembabule-Kanoni'!I82+'Avg Week Kanoni-Ssembabule'!I82</f>
        <v>2.5</v>
      </c>
      <c r="J82" s="49">
        <f>'Avg Week Ssembabule-Kanoni'!J82+'Avg Week Kanoni-Ssembabule'!J82</f>
        <v>1.5</v>
      </c>
      <c r="K82" s="49">
        <f>'Avg Week Ssembabule-Kanoni'!K82+'Avg Week Kanoni-Ssembabule'!K82</f>
        <v>0.5</v>
      </c>
      <c r="L82" s="49">
        <f>'Avg Week Ssembabule-Kanoni'!L82+'Avg Week Kanoni-Ssembabule'!L82</f>
        <v>0.5</v>
      </c>
      <c r="M82" s="49">
        <f>'Avg Week Ssembabule-Kanoni'!M82+'Avg Week Kanoni-Ssembabule'!M82</f>
        <v>3</v>
      </c>
      <c r="N82" s="49">
        <f>'Avg Week Ssembabule-Kanoni'!N82+'Avg Week Kanoni-Ssembabule'!N82</f>
        <v>0</v>
      </c>
      <c r="O82" s="15">
        <f t="shared" si="35"/>
        <v>6</v>
      </c>
      <c r="P82" s="15">
        <f t="shared" si="36"/>
        <v>9</v>
      </c>
      <c r="R82" s="8"/>
      <c r="T82"/>
    </row>
    <row r="83" spans="2:20" ht="23.1" customHeight="1" x14ac:dyDescent="0.25">
      <c r="B83" s="23" t="s">
        <v>123</v>
      </c>
      <c r="C83" s="49">
        <f>'Avg Week Ssembabule-Kanoni'!C83+'Avg Week Kanoni-Ssembabule'!C83</f>
        <v>0.5</v>
      </c>
      <c r="D83" s="49">
        <f>'Avg Week Ssembabule-Kanoni'!D83+'Avg Week Kanoni-Ssembabule'!D83</f>
        <v>0</v>
      </c>
      <c r="E83" s="49">
        <f>'Avg Week Ssembabule-Kanoni'!E83+'Avg Week Kanoni-Ssembabule'!E83</f>
        <v>0.5</v>
      </c>
      <c r="F83" s="49">
        <f>'Avg Week Ssembabule-Kanoni'!F83+'Avg Week Kanoni-Ssembabule'!F83</f>
        <v>0</v>
      </c>
      <c r="G83" s="49">
        <f>'Avg Week Ssembabule-Kanoni'!G83+'Avg Week Kanoni-Ssembabule'!G83</f>
        <v>0</v>
      </c>
      <c r="H83" s="49">
        <f>'Avg Week Ssembabule-Kanoni'!H83+'Avg Week Kanoni-Ssembabule'!H83</f>
        <v>0.5</v>
      </c>
      <c r="I83" s="49">
        <f>'Avg Week Ssembabule-Kanoni'!I83+'Avg Week Kanoni-Ssembabule'!I83</f>
        <v>0</v>
      </c>
      <c r="J83" s="49">
        <f>'Avg Week Ssembabule-Kanoni'!J83+'Avg Week Kanoni-Ssembabule'!J83</f>
        <v>0.5</v>
      </c>
      <c r="K83" s="49">
        <f>'Avg Week Ssembabule-Kanoni'!K83+'Avg Week Kanoni-Ssembabule'!K83</f>
        <v>1.5</v>
      </c>
      <c r="L83" s="49">
        <f>'Avg Week Ssembabule-Kanoni'!L83+'Avg Week Kanoni-Ssembabule'!L83</f>
        <v>0</v>
      </c>
      <c r="M83" s="49">
        <f>'Avg Week Ssembabule-Kanoni'!M83+'Avg Week Kanoni-Ssembabule'!M83</f>
        <v>1.5</v>
      </c>
      <c r="N83" s="49">
        <f>'Avg Week Ssembabule-Kanoni'!N83+'Avg Week Kanoni-Ssembabule'!N83</f>
        <v>0</v>
      </c>
      <c r="O83" s="15">
        <f t="shared" si="35"/>
        <v>3.5</v>
      </c>
      <c r="P83" s="15">
        <f t="shared" si="36"/>
        <v>5</v>
      </c>
      <c r="R83" s="8"/>
      <c r="T83"/>
    </row>
    <row r="84" spans="2:20" ht="23.1" customHeight="1" x14ac:dyDescent="0.25">
      <c r="B84" s="25" t="s">
        <v>124</v>
      </c>
      <c r="C84" s="49">
        <f>'Avg Week Ssembabule-Kanoni'!C84+'Avg Week Kanoni-Ssembabule'!C84</f>
        <v>0</v>
      </c>
      <c r="D84" s="49">
        <f>'Avg Week Ssembabule-Kanoni'!D84+'Avg Week Kanoni-Ssembabule'!D84</f>
        <v>0</v>
      </c>
      <c r="E84" s="49">
        <f>'Avg Week Ssembabule-Kanoni'!E84+'Avg Week Kanoni-Ssembabule'!E84</f>
        <v>0</v>
      </c>
      <c r="F84" s="49">
        <f>'Avg Week Ssembabule-Kanoni'!F84+'Avg Week Kanoni-Ssembabule'!F84</f>
        <v>0</v>
      </c>
      <c r="G84" s="49">
        <f>'Avg Week Ssembabule-Kanoni'!G84+'Avg Week Kanoni-Ssembabule'!G84</f>
        <v>0</v>
      </c>
      <c r="H84" s="49">
        <f>'Avg Week Ssembabule-Kanoni'!H84+'Avg Week Kanoni-Ssembabule'!H84</f>
        <v>0</v>
      </c>
      <c r="I84" s="49">
        <f>'Avg Week Ssembabule-Kanoni'!I84+'Avg Week Kanoni-Ssembabule'!I84</f>
        <v>1.5</v>
      </c>
      <c r="J84" s="49">
        <f>'Avg Week Ssembabule-Kanoni'!J84+'Avg Week Kanoni-Ssembabule'!J84</f>
        <v>0</v>
      </c>
      <c r="K84" s="49">
        <f>'Avg Week Ssembabule-Kanoni'!K84+'Avg Week Kanoni-Ssembabule'!K84</f>
        <v>0</v>
      </c>
      <c r="L84" s="49">
        <f>'Avg Week Ssembabule-Kanoni'!L84+'Avg Week Kanoni-Ssembabule'!L84</f>
        <v>0</v>
      </c>
      <c r="M84" s="49">
        <f>'Avg Week Ssembabule-Kanoni'!M84+'Avg Week Kanoni-Ssembabule'!M84</f>
        <v>0.5</v>
      </c>
      <c r="N84" s="49">
        <f>'Avg Week Ssembabule-Kanoni'!N84+'Avg Week Kanoni-Ssembabule'!N84</f>
        <v>0</v>
      </c>
      <c r="O84" s="15">
        <f t="shared" si="35"/>
        <v>1.5</v>
      </c>
      <c r="P84" s="15">
        <f t="shared" si="36"/>
        <v>2</v>
      </c>
      <c r="R84" s="8"/>
      <c r="T84"/>
    </row>
    <row r="85" spans="2:20" ht="23.1" customHeight="1" x14ac:dyDescent="0.25">
      <c r="B85" s="23" t="s">
        <v>125</v>
      </c>
      <c r="C85" s="49">
        <f>'Avg Week Ssembabule-Kanoni'!C85+'Avg Week Kanoni-Ssembabule'!C85</f>
        <v>0.5</v>
      </c>
      <c r="D85" s="49">
        <f>'Avg Week Ssembabule-Kanoni'!D85+'Avg Week Kanoni-Ssembabule'!D85</f>
        <v>1</v>
      </c>
      <c r="E85" s="49">
        <f>'Avg Week Ssembabule-Kanoni'!E85+'Avg Week Kanoni-Ssembabule'!E85</f>
        <v>0</v>
      </c>
      <c r="F85" s="49">
        <f>'Avg Week Ssembabule-Kanoni'!F85+'Avg Week Kanoni-Ssembabule'!F85</f>
        <v>0</v>
      </c>
      <c r="G85" s="49">
        <f>'Avg Week Ssembabule-Kanoni'!G85+'Avg Week Kanoni-Ssembabule'!G85</f>
        <v>0.5</v>
      </c>
      <c r="H85" s="49">
        <f>'Avg Week Ssembabule-Kanoni'!H85+'Avg Week Kanoni-Ssembabule'!H85</f>
        <v>0</v>
      </c>
      <c r="I85" s="49">
        <f>'Avg Week Ssembabule-Kanoni'!I85+'Avg Week Kanoni-Ssembabule'!I85</f>
        <v>0</v>
      </c>
      <c r="J85" s="49">
        <f>'Avg Week Ssembabule-Kanoni'!J85+'Avg Week Kanoni-Ssembabule'!J85</f>
        <v>0</v>
      </c>
      <c r="K85" s="49">
        <f>'Avg Week Ssembabule-Kanoni'!K85+'Avg Week Kanoni-Ssembabule'!K85</f>
        <v>1.5</v>
      </c>
      <c r="L85" s="49">
        <f>'Avg Week Ssembabule-Kanoni'!L85+'Avg Week Kanoni-Ssembabule'!L85</f>
        <v>0</v>
      </c>
      <c r="M85" s="49">
        <f>'Avg Week Ssembabule-Kanoni'!M85+'Avg Week Kanoni-Ssembabule'!M85</f>
        <v>1.5</v>
      </c>
      <c r="N85" s="49">
        <f>'Avg Week Ssembabule-Kanoni'!N85+'Avg Week Kanoni-Ssembabule'!N85</f>
        <v>0</v>
      </c>
      <c r="O85" s="15">
        <f t="shared" si="35"/>
        <v>3.5</v>
      </c>
      <c r="P85" s="15">
        <f t="shared" si="36"/>
        <v>5</v>
      </c>
      <c r="R85" s="8"/>
      <c r="T85"/>
    </row>
    <row r="86" spans="2:20" ht="23.1" customHeight="1" x14ac:dyDescent="0.25">
      <c r="B86" s="24" t="s">
        <v>126</v>
      </c>
      <c r="C86" s="49">
        <f>'Avg Week Ssembabule-Kanoni'!C86+'Avg Week Kanoni-Ssembabule'!C86</f>
        <v>0.5</v>
      </c>
      <c r="D86" s="49">
        <f>'Avg Week Ssembabule-Kanoni'!D86+'Avg Week Kanoni-Ssembabule'!D86</f>
        <v>0</v>
      </c>
      <c r="E86" s="49">
        <f>'Avg Week Ssembabule-Kanoni'!E86+'Avg Week Kanoni-Ssembabule'!E86</f>
        <v>0</v>
      </c>
      <c r="F86" s="49">
        <f>'Avg Week Ssembabule-Kanoni'!F86+'Avg Week Kanoni-Ssembabule'!F86</f>
        <v>0</v>
      </c>
      <c r="G86" s="49">
        <f>'Avg Week Ssembabule-Kanoni'!G86+'Avg Week Kanoni-Ssembabule'!G86</f>
        <v>0</v>
      </c>
      <c r="H86" s="49">
        <f>'Avg Week Ssembabule-Kanoni'!H86+'Avg Week Kanoni-Ssembabule'!H86</f>
        <v>0</v>
      </c>
      <c r="I86" s="49">
        <f>'Avg Week Ssembabule-Kanoni'!I86+'Avg Week Kanoni-Ssembabule'!I86</f>
        <v>0.5</v>
      </c>
      <c r="J86" s="49">
        <f>'Avg Week Ssembabule-Kanoni'!J86+'Avg Week Kanoni-Ssembabule'!J86</f>
        <v>2</v>
      </c>
      <c r="K86" s="49">
        <f>'Avg Week Ssembabule-Kanoni'!K86+'Avg Week Kanoni-Ssembabule'!K86</f>
        <v>1</v>
      </c>
      <c r="L86" s="49">
        <f>'Avg Week Ssembabule-Kanoni'!L86+'Avg Week Kanoni-Ssembabule'!L86</f>
        <v>0.5</v>
      </c>
      <c r="M86" s="49">
        <f>'Avg Week Ssembabule-Kanoni'!M86+'Avg Week Kanoni-Ssembabule'!M86</f>
        <v>0.5</v>
      </c>
      <c r="N86" s="49">
        <f>'Avg Week Ssembabule-Kanoni'!N86+'Avg Week Kanoni-Ssembabule'!N86</f>
        <v>0</v>
      </c>
      <c r="O86" s="15">
        <f t="shared" si="35"/>
        <v>4.5</v>
      </c>
      <c r="P86" s="15">
        <f t="shared" si="36"/>
        <v>5</v>
      </c>
      <c r="R86" s="8"/>
      <c r="T86"/>
    </row>
    <row r="87" spans="2:20" ht="23.1" customHeight="1" x14ac:dyDescent="0.25">
      <c r="B87" s="23" t="s">
        <v>127</v>
      </c>
      <c r="C87" s="49">
        <f>'Avg Week Ssembabule-Kanoni'!C87+'Avg Week Kanoni-Ssembabule'!C87</f>
        <v>1</v>
      </c>
      <c r="D87" s="49">
        <f>'Avg Week Ssembabule-Kanoni'!D87+'Avg Week Kanoni-Ssembabule'!D87</f>
        <v>0</v>
      </c>
      <c r="E87" s="49">
        <f>'Avg Week Ssembabule-Kanoni'!E87+'Avg Week Kanoni-Ssembabule'!E87</f>
        <v>0</v>
      </c>
      <c r="F87" s="49">
        <f>'Avg Week Ssembabule-Kanoni'!F87+'Avg Week Kanoni-Ssembabule'!F87</f>
        <v>0</v>
      </c>
      <c r="G87" s="49">
        <f>'Avg Week Ssembabule-Kanoni'!G87+'Avg Week Kanoni-Ssembabule'!G87</f>
        <v>0</v>
      </c>
      <c r="H87" s="49">
        <f>'Avg Week Ssembabule-Kanoni'!H87+'Avg Week Kanoni-Ssembabule'!H87</f>
        <v>0</v>
      </c>
      <c r="I87" s="49">
        <f>'Avg Week Ssembabule-Kanoni'!I87+'Avg Week Kanoni-Ssembabule'!I87</f>
        <v>1</v>
      </c>
      <c r="J87" s="49">
        <f>'Avg Week Ssembabule-Kanoni'!J87+'Avg Week Kanoni-Ssembabule'!J87</f>
        <v>0</v>
      </c>
      <c r="K87" s="49">
        <f>'Avg Week Ssembabule-Kanoni'!K87+'Avg Week Kanoni-Ssembabule'!K87</f>
        <v>1</v>
      </c>
      <c r="L87" s="49">
        <f>'Avg Week Ssembabule-Kanoni'!L87+'Avg Week Kanoni-Ssembabule'!L87</f>
        <v>0.5</v>
      </c>
      <c r="M87" s="49">
        <f>'Avg Week Ssembabule-Kanoni'!M87+'Avg Week Kanoni-Ssembabule'!M87</f>
        <v>0.5</v>
      </c>
      <c r="N87" s="49">
        <f>'Avg Week Ssembabule-Kanoni'!N87+'Avg Week Kanoni-Ssembabule'!N87</f>
        <v>0</v>
      </c>
      <c r="O87" s="15">
        <f t="shared" si="35"/>
        <v>3.5</v>
      </c>
      <c r="P87" s="15">
        <f t="shared" si="36"/>
        <v>4</v>
      </c>
      <c r="R87" s="8"/>
      <c r="T87"/>
    </row>
    <row r="88" spans="2:20" ht="23.1" customHeight="1" x14ac:dyDescent="0.25">
      <c r="B88" s="25" t="s">
        <v>128</v>
      </c>
      <c r="C88" s="49">
        <f>'Avg Week Ssembabule-Kanoni'!C88+'Avg Week Kanoni-Ssembabule'!C88</f>
        <v>0</v>
      </c>
      <c r="D88" s="49">
        <f>'Avg Week Ssembabule-Kanoni'!D88+'Avg Week Kanoni-Ssembabule'!D88</f>
        <v>0</v>
      </c>
      <c r="E88" s="49">
        <f>'Avg Week Ssembabule-Kanoni'!E88+'Avg Week Kanoni-Ssembabule'!E88</f>
        <v>0</v>
      </c>
      <c r="F88" s="49">
        <f>'Avg Week Ssembabule-Kanoni'!F88+'Avg Week Kanoni-Ssembabule'!F88</f>
        <v>0</v>
      </c>
      <c r="G88" s="49">
        <f>'Avg Week Ssembabule-Kanoni'!G88+'Avg Week Kanoni-Ssembabule'!G88</f>
        <v>0</v>
      </c>
      <c r="H88" s="49">
        <f>'Avg Week Ssembabule-Kanoni'!H88+'Avg Week Kanoni-Ssembabule'!H88</f>
        <v>0</v>
      </c>
      <c r="I88" s="49">
        <f>'Avg Week Ssembabule-Kanoni'!I88+'Avg Week Kanoni-Ssembabule'!I88</f>
        <v>0</v>
      </c>
      <c r="J88" s="49">
        <f>'Avg Week Ssembabule-Kanoni'!J88+'Avg Week Kanoni-Ssembabule'!J88</f>
        <v>0</v>
      </c>
      <c r="K88" s="49">
        <f>'Avg Week Ssembabule-Kanoni'!K88+'Avg Week Kanoni-Ssembabule'!K88</f>
        <v>0</v>
      </c>
      <c r="L88" s="49">
        <f>'Avg Week Ssembabule-Kanoni'!L88+'Avg Week Kanoni-Ssembabule'!L88</f>
        <v>0</v>
      </c>
      <c r="M88" s="49">
        <f>'Avg Week Ssembabule-Kanoni'!M88+'Avg Week Kanoni-Ssembabule'!M88</f>
        <v>1</v>
      </c>
      <c r="N88" s="49">
        <f>'Avg Week Ssembabule-Kanoni'!N88+'Avg Week Kanoni-Ssembabule'!N88</f>
        <v>0</v>
      </c>
      <c r="O88" s="15">
        <f t="shared" si="35"/>
        <v>0</v>
      </c>
      <c r="P88" s="15">
        <f t="shared" si="36"/>
        <v>1</v>
      </c>
      <c r="R88" s="8"/>
      <c r="T88"/>
    </row>
    <row r="89" spans="2:20" ht="23.1" customHeight="1" x14ac:dyDescent="0.25">
      <c r="B89" s="23" t="s">
        <v>129</v>
      </c>
      <c r="C89" s="49">
        <f>'Avg Week Ssembabule-Kanoni'!C89+'Avg Week Kanoni-Ssembabule'!C89</f>
        <v>0.5</v>
      </c>
      <c r="D89" s="49">
        <f>'Avg Week Ssembabule-Kanoni'!D89+'Avg Week Kanoni-Ssembabule'!D89</f>
        <v>0</v>
      </c>
      <c r="E89" s="49">
        <f>'Avg Week Ssembabule-Kanoni'!E89+'Avg Week Kanoni-Ssembabule'!E89</f>
        <v>0</v>
      </c>
      <c r="F89" s="49">
        <f>'Avg Week Ssembabule-Kanoni'!F89+'Avg Week Kanoni-Ssembabule'!F89</f>
        <v>0</v>
      </c>
      <c r="G89" s="49">
        <f>'Avg Week Ssembabule-Kanoni'!G89+'Avg Week Kanoni-Ssembabule'!G89</f>
        <v>0</v>
      </c>
      <c r="H89" s="49">
        <f>'Avg Week Ssembabule-Kanoni'!H89+'Avg Week Kanoni-Ssembabule'!H89</f>
        <v>1</v>
      </c>
      <c r="I89" s="49">
        <f>'Avg Week Ssembabule-Kanoni'!I89+'Avg Week Kanoni-Ssembabule'!I89</f>
        <v>0</v>
      </c>
      <c r="J89" s="49">
        <f>'Avg Week Ssembabule-Kanoni'!J89+'Avg Week Kanoni-Ssembabule'!J89</f>
        <v>0.5</v>
      </c>
      <c r="K89" s="49">
        <f>'Avg Week Ssembabule-Kanoni'!K89+'Avg Week Kanoni-Ssembabule'!K89</f>
        <v>0.5</v>
      </c>
      <c r="L89" s="49">
        <f>'Avg Week Ssembabule-Kanoni'!L89+'Avg Week Kanoni-Ssembabule'!L89</f>
        <v>0.5</v>
      </c>
      <c r="M89" s="49">
        <f>'Avg Week Ssembabule-Kanoni'!M89+'Avg Week Kanoni-Ssembabule'!M89</f>
        <v>0.5</v>
      </c>
      <c r="N89" s="49">
        <f>'Avg Week Ssembabule-Kanoni'!N89+'Avg Week Kanoni-Ssembabule'!N89</f>
        <v>0</v>
      </c>
      <c r="O89" s="15">
        <f t="shared" si="35"/>
        <v>3</v>
      </c>
      <c r="P89" s="15">
        <f t="shared" si="36"/>
        <v>3.5</v>
      </c>
      <c r="R89" s="8"/>
      <c r="T89"/>
    </row>
    <row r="90" spans="2:20" ht="23.1" customHeight="1" x14ac:dyDescent="0.25">
      <c r="B90" s="24" t="s">
        <v>130</v>
      </c>
      <c r="C90" s="49">
        <f>'Avg Week Ssembabule-Kanoni'!C90+'Avg Week Kanoni-Ssembabule'!C90</f>
        <v>0.5</v>
      </c>
      <c r="D90" s="49">
        <f>'Avg Week Ssembabule-Kanoni'!D90+'Avg Week Kanoni-Ssembabule'!D90</f>
        <v>0</v>
      </c>
      <c r="E90" s="49">
        <f>'Avg Week Ssembabule-Kanoni'!E90+'Avg Week Kanoni-Ssembabule'!E90</f>
        <v>0.5</v>
      </c>
      <c r="F90" s="49">
        <f>'Avg Week Ssembabule-Kanoni'!F90+'Avg Week Kanoni-Ssembabule'!F90</f>
        <v>0</v>
      </c>
      <c r="G90" s="49">
        <f>'Avg Week Ssembabule-Kanoni'!G90+'Avg Week Kanoni-Ssembabule'!G90</f>
        <v>0</v>
      </c>
      <c r="H90" s="49">
        <f>'Avg Week Ssembabule-Kanoni'!H90+'Avg Week Kanoni-Ssembabule'!H90</f>
        <v>0</v>
      </c>
      <c r="I90" s="49">
        <f>'Avg Week Ssembabule-Kanoni'!I90+'Avg Week Kanoni-Ssembabule'!I90</f>
        <v>1.5</v>
      </c>
      <c r="J90" s="49">
        <f>'Avg Week Ssembabule-Kanoni'!J90+'Avg Week Kanoni-Ssembabule'!J90</f>
        <v>0</v>
      </c>
      <c r="K90" s="49">
        <f>'Avg Week Ssembabule-Kanoni'!K90+'Avg Week Kanoni-Ssembabule'!K90</f>
        <v>0.5</v>
      </c>
      <c r="L90" s="49">
        <f>'Avg Week Ssembabule-Kanoni'!L90+'Avg Week Kanoni-Ssembabule'!L90</f>
        <v>0.5</v>
      </c>
      <c r="M90" s="49">
        <f>'Avg Week Ssembabule-Kanoni'!M90+'Avg Week Kanoni-Ssembabule'!M90</f>
        <v>0</v>
      </c>
      <c r="N90" s="49">
        <f>'Avg Week Ssembabule-Kanoni'!N90+'Avg Week Kanoni-Ssembabule'!N90</f>
        <v>0</v>
      </c>
      <c r="O90" s="15">
        <f t="shared" si="35"/>
        <v>3.5</v>
      </c>
      <c r="P90" s="15">
        <f t="shared" si="36"/>
        <v>3.5</v>
      </c>
      <c r="R90" s="8"/>
      <c r="T90"/>
    </row>
    <row r="91" spans="2:20" ht="23.1" customHeight="1" x14ac:dyDescent="0.25">
      <c r="B91" s="23" t="s">
        <v>131</v>
      </c>
      <c r="C91" s="49">
        <f>'Avg Week Ssembabule-Kanoni'!C91+'Avg Week Kanoni-Ssembabule'!C91</f>
        <v>0.5</v>
      </c>
      <c r="D91" s="49">
        <f>'Avg Week Ssembabule-Kanoni'!D91+'Avg Week Kanoni-Ssembabule'!D91</f>
        <v>1.5</v>
      </c>
      <c r="E91" s="49">
        <f>'Avg Week Ssembabule-Kanoni'!E91+'Avg Week Kanoni-Ssembabule'!E91</f>
        <v>0</v>
      </c>
      <c r="F91" s="49">
        <f>'Avg Week Ssembabule-Kanoni'!F91+'Avg Week Kanoni-Ssembabule'!F91</f>
        <v>0</v>
      </c>
      <c r="G91" s="49">
        <f>'Avg Week Ssembabule-Kanoni'!G91+'Avg Week Kanoni-Ssembabule'!G91</f>
        <v>1</v>
      </c>
      <c r="H91" s="49">
        <f>'Avg Week Ssembabule-Kanoni'!H91+'Avg Week Kanoni-Ssembabule'!H91</f>
        <v>0</v>
      </c>
      <c r="I91" s="49">
        <f>'Avg Week Ssembabule-Kanoni'!I91+'Avg Week Kanoni-Ssembabule'!I91</f>
        <v>0</v>
      </c>
      <c r="J91" s="49">
        <f>'Avg Week Ssembabule-Kanoni'!J91+'Avg Week Kanoni-Ssembabule'!J91</f>
        <v>1.5</v>
      </c>
      <c r="K91" s="49">
        <f>'Avg Week Ssembabule-Kanoni'!K91+'Avg Week Kanoni-Ssembabule'!K91</f>
        <v>1.5</v>
      </c>
      <c r="L91" s="49">
        <f>'Avg Week Ssembabule-Kanoni'!L91+'Avg Week Kanoni-Ssembabule'!L91</f>
        <v>0</v>
      </c>
      <c r="M91" s="49">
        <f>'Avg Week Ssembabule-Kanoni'!M91+'Avg Week Kanoni-Ssembabule'!M91</f>
        <v>0</v>
      </c>
      <c r="N91" s="49">
        <f>'Avg Week Ssembabule-Kanoni'!N91+'Avg Week Kanoni-Ssembabule'!N91</f>
        <v>0</v>
      </c>
      <c r="O91" s="15">
        <f t="shared" si="35"/>
        <v>6</v>
      </c>
      <c r="P91" s="15">
        <f t="shared" si="36"/>
        <v>6</v>
      </c>
      <c r="R91" s="8"/>
      <c r="T91"/>
    </row>
    <row r="92" spans="2:20" ht="23.1" customHeight="1" x14ac:dyDescent="0.25">
      <c r="B92" s="25" t="s">
        <v>132</v>
      </c>
      <c r="C92" s="49">
        <f>'Avg Week Ssembabule-Kanoni'!C92+'Avg Week Kanoni-Ssembabule'!C92</f>
        <v>0</v>
      </c>
      <c r="D92" s="49">
        <f>'Avg Week Ssembabule-Kanoni'!D92+'Avg Week Kanoni-Ssembabule'!D92</f>
        <v>0</v>
      </c>
      <c r="E92" s="49">
        <f>'Avg Week Ssembabule-Kanoni'!E92+'Avg Week Kanoni-Ssembabule'!E92</f>
        <v>0</v>
      </c>
      <c r="F92" s="49">
        <f>'Avg Week Ssembabule-Kanoni'!F92+'Avg Week Kanoni-Ssembabule'!F92</f>
        <v>0</v>
      </c>
      <c r="G92" s="49">
        <f>'Avg Week Ssembabule-Kanoni'!G92+'Avg Week Kanoni-Ssembabule'!G92</f>
        <v>0</v>
      </c>
      <c r="H92" s="49">
        <f>'Avg Week Ssembabule-Kanoni'!H92+'Avg Week Kanoni-Ssembabule'!H92</f>
        <v>0</v>
      </c>
      <c r="I92" s="49">
        <f>'Avg Week Ssembabule-Kanoni'!I92+'Avg Week Kanoni-Ssembabule'!I92</f>
        <v>0</v>
      </c>
      <c r="J92" s="49">
        <f>'Avg Week Ssembabule-Kanoni'!J92+'Avg Week Kanoni-Ssembabule'!J92</f>
        <v>0</v>
      </c>
      <c r="K92" s="49">
        <f>'Avg Week Ssembabule-Kanoni'!K92+'Avg Week Kanoni-Ssembabule'!K92</f>
        <v>0</v>
      </c>
      <c r="L92" s="49">
        <f>'Avg Week Ssembabule-Kanoni'!L92+'Avg Week Kanoni-Ssembabule'!L92</f>
        <v>0.5</v>
      </c>
      <c r="M92" s="49">
        <f>'Avg Week Ssembabule-Kanoni'!M92+'Avg Week Kanoni-Ssembabule'!M92</f>
        <v>0</v>
      </c>
      <c r="N92" s="49">
        <f>'Avg Week Ssembabule-Kanoni'!N92+'Avg Week Kanoni-Ssembabule'!N92</f>
        <v>0</v>
      </c>
      <c r="O92" s="15">
        <f t="shared" si="35"/>
        <v>0.5</v>
      </c>
      <c r="P92" s="15">
        <f t="shared" si="36"/>
        <v>0.5</v>
      </c>
      <c r="R92" s="8"/>
      <c r="T92"/>
    </row>
    <row r="93" spans="2:20" ht="23.1" customHeight="1" x14ac:dyDescent="0.25">
      <c r="B93" s="23" t="s">
        <v>133</v>
      </c>
      <c r="C93" s="49">
        <f>'Avg Week Ssembabule-Kanoni'!C93+'Avg Week Kanoni-Ssembabule'!C93</f>
        <v>2.5</v>
      </c>
      <c r="D93" s="49">
        <f>'Avg Week Ssembabule-Kanoni'!D93+'Avg Week Kanoni-Ssembabule'!D93</f>
        <v>0</v>
      </c>
      <c r="E93" s="49">
        <f>'Avg Week Ssembabule-Kanoni'!E93+'Avg Week Kanoni-Ssembabule'!E93</f>
        <v>0</v>
      </c>
      <c r="F93" s="49">
        <f>'Avg Week Ssembabule-Kanoni'!F93+'Avg Week Kanoni-Ssembabule'!F93</f>
        <v>0.5</v>
      </c>
      <c r="G93" s="49">
        <f>'Avg Week Ssembabule-Kanoni'!G93+'Avg Week Kanoni-Ssembabule'!G93</f>
        <v>0</v>
      </c>
      <c r="H93" s="49">
        <f>'Avg Week Ssembabule-Kanoni'!H93+'Avg Week Kanoni-Ssembabule'!H93</f>
        <v>0</v>
      </c>
      <c r="I93" s="49">
        <f>'Avg Week Ssembabule-Kanoni'!I93+'Avg Week Kanoni-Ssembabule'!I93</f>
        <v>0</v>
      </c>
      <c r="J93" s="49">
        <f>'Avg Week Ssembabule-Kanoni'!J93+'Avg Week Kanoni-Ssembabule'!J93</f>
        <v>0.5</v>
      </c>
      <c r="K93" s="49">
        <f>'Avg Week Ssembabule-Kanoni'!K93+'Avg Week Kanoni-Ssembabule'!K93</f>
        <v>0</v>
      </c>
      <c r="L93" s="49">
        <f>'Avg Week Ssembabule-Kanoni'!L93+'Avg Week Kanoni-Ssembabule'!L93</f>
        <v>0.5</v>
      </c>
      <c r="M93" s="49">
        <f>'Avg Week Ssembabule-Kanoni'!M93+'Avg Week Kanoni-Ssembabule'!M93</f>
        <v>0</v>
      </c>
      <c r="N93" s="49">
        <f>'Avg Week Ssembabule-Kanoni'!N93+'Avg Week Kanoni-Ssembabule'!N93</f>
        <v>0</v>
      </c>
      <c r="O93" s="15">
        <f t="shared" si="35"/>
        <v>4</v>
      </c>
      <c r="P93" s="15">
        <f t="shared" si="36"/>
        <v>4</v>
      </c>
      <c r="R93" s="8"/>
      <c r="T93"/>
    </row>
    <row r="94" spans="2:20" ht="23.1" customHeight="1" x14ac:dyDescent="0.25">
      <c r="B94" s="24" t="s">
        <v>134</v>
      </c>
      <c r="C94" s="49">
        <f>'Avg Week Ssembabule-Kanoni'!C94+'Avg Week Kanoni-Ssembabule'!C94</f>
        <v>1</v>
      </c>
      <c r="D94" s="49">
        <f>'Avg Week Ssembabule-Kanoni'!D94+'Avg Week Kanoni-Ssembabule'!D94</f>
        <v>1</v>
      </c>
      <c r="E94" s="49">
        <f>'Avg Week Ssembabule-Kanoni'!E94+'Avg Week Kanoni-Ssembabule'!E94</f>
        <v>0</v>
      </c>
      <c r="F94" s="49">
        <f>'Avg Week Ssembabule-Kanoni'!F94+'Avg Week Kanoni-Ssembabule'!F94</f>
        <v>0.5</v>
      </c>
      <c r="G94" s="49">
        <f>'Avg Week Ssembabule-Kanoni'!G94+'Avg Week Kanoni-Ssembabule'!G94</f>
        <v>0</v>
      </c>
      <c r="H94" s="49">
        <f>'Avg Week Ssembabule-Kanoni'!H94+'Avg Week Kanoni-Ssembabule'!H94</f>
        <v>0.5</v>
      </c>
      <c r="I94" s="49">
        <f>'Avg Week Ssembabule-Kanoni'!I94+'Avg Week Kanoni-Ssembabule'!I94</f>
        <v>0.5</v>
      </c>
      <c r="J94" s="49">
        <f>'Avg Week Ssembabule-Kanoni'!J94+'Avg Week Kanoni-Ssembabule'!J94</f>
        <v>0.5</v>
      </c>
      <c r="K94" s="49">
        <f>'Avg Week Ssembabule-Kanoni'!K94+'Avg Week Kanoni-Ssembabule'!K94</f>
        <v>2</v>
      </c>
      <c r="L94" s="49">
        <f>'Avg Week Ssembabule-Kanoni'!L94+'Avg Week Kanoni-Ssembabule'!L94</f>
        <v>0.5</v>
      </c>
      <c r="M94" s="49">
        <f>'Avg Week Ssembabule-Kanoni'!M94+'Avg Week Kanoni-Ssembabule'!M94</f>
        <v>1</v>
      </c>
      <c r="N94" s="49">
        <f>'Avg Week Ssembabule-Kanoni'!N94+'Avg Week Kanoni-Ssembabule'!N94</f>
        <v>0</v>
      </c>
      <c r="O94" s="15">
        <f t="shared" si="35"/>
        <v>6.5</v>
      </c>
      <c r="P94" s="15">
        <f t="shared" si="36"/>
        <v>7.5</v>
      </c>
      <c r="R94" s="8"/>
      <c r="T94"/>
    </row>
    <row r="95" spans="2:20" ht="23.1" customHeight="1" x14ac:dyDescent="0.25">
      <c r="B95" s="23" t="s">
        <v>135</v>
      </c>
      <c r="C95" s="49">
        <f>'Avg Week Ssembabule-Kanoni'!C95+'Avg Week Kanoni-Ssembabule'!C95</f>
        <v>0</v>
      </c>
      <c r="D95" s="49">
        <f>'Avg Week Ssembabule-Kanoni'!D95+'Avg Week Kanoni-Ssembabule'!D95</f>
        <v>1</v>
      </c>
      <c r="E95" s="49">
        <f>'Avg Week Ssembabule-Kanoni'!E95+'Avg Week Kanoni-Ssembabule'!E95</f>
        <v>0</v>
      </c>
      <c r="F95" s="49">
        <f>'Avg Week Ssembabule-Kanoni'!F95+'Avg Week Kanoni-Ssembabule'!F95</f>
        <v>0.5</v>
      </c>
      <c r="G95" s="49">
        <f>'Avg Week Ssembabule-Kanoni'!G95+'Avg Week Kanoni-Ssembabule'!G95</f>
        <v>0</v>
      </c>
      <c r="H95" s="49">
        <f>'Avg Week Ssembabule-Kanoni'!H95+'Avg Week Kanoni-Ssembabule'!H95</f>
        <v>0</v>
      </c>
      <c r="I95" s="49">
        <f>'Avg Week Ssembabule-Kanoni'!I95+'Avg Week Kanoni-Ssembabule'!I95</f>
        <v>1.5</v>
      </c>
      <c r="J95" s="49">
        <f>'Avg Week Ssembabule-Kanoni'!J95+'Avg Week Kanoni-Ssembabule'!J95</f>
        <v>0</v>
      </c>
      <c r="K95" s="49">
        <f>'Avg Week Ssembabule-Kanoni'!K95+'Avg Week Kanoni-Ssembabule'!K95</f>
        <v>0</v>
      </c>
      <c r="L95" s="49">
        <f>'Avg Week Ssembabule-Kanoni'!L95+'Avg Week Kanoni-Ssembabule'!L95</f>
        <v>0.5</v>
      </c>
      <c r="M95" s="49">
        <f>'Avg Week Ssembabule-Kanoni'!M95+'Avg Week Kanoni-Ssembabule'!M95</f>
        <v>1</v>
      </c>
      <c r="N95" s="49">
        <f>'Avg Week Ssembabule-Kanoni'!N95+'Avg Week Kanoni-Ssembabule'!N95</f>
        <v>0</v>
      </c>
      <c r="O95" s="15">
        <f t="shared" si="35"/>
        <v>3.5</v>
      </c>
      <c r="P95" s="15">
        <f t="shared" si="36"/>
        <v>4.5</v>
      </c>
      <c r="R95" s="8"/>
      <c r="T95"/>
    </row>
    <row r="96" spans="2:20" ht="23.1" customHeight="1" x14ac:dyDescent="0.25">
      <c r="B96" s="25" t="s">
        <v>136</v>
      </c>
      <c r="C96" s="49">
        <f>'Avg Week Ssembabule-Kanoni'!C96+'Avg Week Kanoni-Ssembabule'!C96</f>
        <v>0</v>
      </c>
      <c r="D96" s="49">
        <f>'Avg Week Ssembabule-Kanoni'!D96+'Avg Week Kanoni-Ssembabule'!D96</f>
        <v>0</v>
      </c>
      <c r="E96" s="49">
        <f>'Avg Week Ssembabule-Kanoni'!E96+'Avg Week Kanoni-Ssembabule'!E96</f>
        <v>0</v>
      </c>
      <c r="F96" s="49">
        <f>'Avg Week Ssembabule-Kanoni'!F96+'Avg Week Kanoni-Ssembabule'!F96</f>
        <v>0</v>
      </c>
      <c r="G96" s="49">
        <f>'Avg Week Ssembabule-Kanoni'!G96+'Avg Week Kanoni-Ssembabule'!G96</f>
        <v>2</v>
      </c>
      <c r="H96" s="49">
        <f>'Avg Week Ssembabule-Kanoni'!H96+'Avg Week Kanoni-Ssembabule'!H96</f>
        <v>0</v>
      </c>
      <c r="I96" s="49">
        <f>'Avg Week Ssembabule-Kanoni'!I96+'Avg Week Kanoni-Ssembabule'!I96</f>
        <v>0.5</v>
      </c>
      <c r="J96" s="49">
        <f>'Avg Week Ssembabule-Kanoni'!J96+'Avg Week Kanoni-Ssembabule'!J96</f>
        <v>0</v>
      </c>
      <c r="K96" s="49">
        <f>'Avg Week Ssembabule-Kanoni'!K96+'Avg Week Kanoni-Ssembabule'!K96</f>
        <v>0.5</v>
      </c>
      <c r="L96" s="49">
        <f>'Avg Week Ssembabule-Kanoni'!L96+'Avg Week Kanoni-Ssembabule'!L96</f>
        <v>0.5</v>
      </c>
      <c r="M96" s="49">
        <f>'Avg Week Ssembabule-Kanoni'!M96+'Avg Week Kanoni-Ssembabule'!M96</f>
        <v>0</v>
      </c>
      <c r="N96" s="49">
        <f>'Avg Week Ssembabule-Kanoni'!N96+'Avg Week Kanoni-Ssembabule'!N96</f>
        <v>0</v>
      </c>
      <c r="O96" s="15">
        <f t="shared" si="35"/>
        <v>3.5</v>
      </c>
      <c r="P96" s="15">
        <f t="shared" si="36"/>
        <v>3.5</v>
      </c>
      <c r="R96" s="8"/>
      <c r="T96"/>
    </row>
    <row r="97" spans="2:20" ht="23.1" customHeight="1" x14ac:dyDescent="0.25">
      <c r="B97" s="23" t="s">
        <v>137</v>
      </c>
      <c r="C97" s="49">
        <f>'Avg Week Ssembabule-Kanoni'!C97+'Avg Week Kanoni-Ssembabule'!C97</f>
        <v>0.5</v>
      </c>
      <c r="D97" s="49">
        <f>'Avg Week Ssembabule-Kanoni'!D97+'Avg Week Kanoni-Ssembabule'!D97</f>
        <v>0.5</v>
      </c>
      <c r="E97" s="49">
        <f>'Avg Week Ssembabule-Kanoni'!E97+'Avg Week Kanoni-Ssembabule'!E97</f>
        <v>0</v>
      </c>
      <c r="F97" s="49">
        <f>'Avg Week Ssembabule-Kanoni'!F97+'Avg Week Kanoni-Ssembabule'!F97</f>
        <v>0.5</v>
      </c>
      <c r="G97" s="49">
        <f>'Avg Week Ssembabule-Kanoni'!G97+'Avg Week Kanoni-Ssembabule'!G97</f>
        <v>0</v>
      </c>
      <c r="H97" s="49">
        <f>'Avg Week Ssembabule-Kanoni'!H97+'Avg Week Kanoni-Ssembabule'!H97</f>
        <v>0</v>
      </c>
      <c r="I97" s="49">
        <f>'Avg Week Ssembabule-Kanoni'!I97+'Avg Week Kanoni-Ssembabule'!I97</f>
        <v>0</v>
      </c>
      <c r="J97" s="49">
        <f>'Avg Week Ssembabule-Kanoni'!J97+'Avg Week Kanoni-Ssembabule'!J97</f>
        <v>0</v>
      </c>
      <c r="K97" s="49">
        <f>'Avg Week Ssembabule-Kanoni'!K97+'Avg Week Kanoni-Ssembabule'!K97</f>
        <v>0</v>
      </c>
      <c r="L97" s="49">
        <f>'Avg Week Ssembabule-Kanoni'!L97+'Avg Week Kanoni-Ssembabule'!L97</f>
        <v>0</v>
      </c>
      <c r="M97" s="49">
        <f>'Avg Week Ssembabule-Kanoni'!M97+'Avg Week Kanoni-Ssembabule'!M97</f>
        <v>0</v>
      </c>
      <c r="N97" s="49">
        <f>'Avg Week Ssembabule-Kanoni'!N97+'Avg Week Kanoni-Ssembabule'!N97</f>
        <v>0</v>
      </c>
      <c r="O97" s="15">
        <f t="shared" si="35"/>
        <v>1.5</v>
      </c>
      <c r="P97" s="15">
        <f t="shared" si="36"/>
        <v>1.5</v>
      </c>
      <c r="R97" s="8"/>
      <c r="T97"/>
    </row>
    <row r="98" spans="2:20" ht="23.1" customHeight="1" x14ac:dyDescent="0.25">
      <c r="B98" s="24" t="s">
        <v>138</v>
      </c>
      <c r="C98" s="49">
        <f>'Avg Week Ssembabule-Kanoni'!C98+'Avg Week Kanoni-Ssembabule'!C98</f>
        <v>1</v>
      </c>
      <c r="D98" s="49">
        <f>'Avg Week Ssembabule-Kanoni'!D98+'Avg Week Kanoni-Ssembabule'!D98</f>
        <v>0</v>
      </c>
      <c r="E98" s="49">
        <f>'Avg Week Ssembabule-Kanoni'!E98+'Avg Week Kanoni-Ssembabule'!E98</f>
        <v>0</v>
      </c>
      <c r="F98" s="49">
        <f>'Avg Week Ssembabule-Kanoni'!F98+'Avg Week Kanoni-Ssembabule'!F98</f>
        <v>1</v>
      </c>
      <c r="G98" s="49">
        <f>'Avg Week Ssembabule-Kanoni'!G98+'Avg Week Kanoni-Ssembabule'!G98</f>
        <v>0</v>
      </c>
      <c r="H98" s="49">
        <f>'Avg Week Ssembabule-Kanoni'!H98+'Avg Week Kanoni-Ssembabule'!H98</f>
        <v>0</v>
      </c>
      <c r="I98" s="49">
        <f>'Avg Week Ssembabule-Kanoni'!I98+'Avg Week Kanoni-Ssembabule'!I98</f>
        <v>2</v>
      </c>
      <c r="J98" s="49">
        <f>'Avg Week Ssembabule-Kanoni'!J98+'Avg Week Kanoni-Ssembabule'!J98</f>
        <v>0</v>
      </c>
      <c r="K98" s="49">
        <f>'Avg Week Ssembabule-Kanoni'!K98+'Avg Week Kanoni-Ssembabule'!K98</f>
        <v>0.5</v>
      </c>
      <c r="L98" s="49">
        <f>'Avg Week Ssembabule-Kanoni'!L98+'Avg Week Kanoni-Ssembabule'!L98</f>
        <v>0</v>
      </c>
      <c r="M98" s="49">
        <f>'Avg Week Ssembabule-Kanoni'!M98+'Avg Week Kanoni-Ssembabule'!M98</f>
        <v>0</v>
      </c>
      <c r="N98" s="49">
        <f>'Avg Week Ssembabule-Kanoni'!N98+'Avg Week Kanoni-Ssembabule'!N98</f>
        <v>0</v>
      </c>
      <c r="O98" s="15">
        <f t="shared" si="35"/>
        <v>4.5</v>
      </c>
      <c r="P98" s="15">
        <f t="shared" si="36"/>
        <v>4.5</v>
      </c>
      <c r="R98" s="8"/>
      <c r="T98"/>
    </row>
    <row r="99" spans="2:20" ht="23.1" customHeight="1" x14ac:dyDescent="0.25">
      <c r="B99" s="23" t="s">
        <v>139</v>
      </c>
      <c r="C99" s="49">
        <f>'Avg Week Ssembabule-Kanoni'!C99+'Avg Week Kanoni-Ssembabule'!C99</f>
        <v>1</v>
      </c>
      <c r="D99" s="49">
        <f>'Avg Week Ssembabule-Kanoni'!D99+'Avg Week Kanoni-Ssembabule'!D99</f>
        <v>0</v>
      </c>
      <c r="E99" s="49">
        <f>'Avg Week Ssembabule-Kanoni'!E99+'Avg Week Kanoni-Ssembabule'!E99</f>
        <v>0</v>
      </c>
      <c r="F99" s="49">
        <f>'Avg Week Ssembabule-Kanoni'!F99+'Avg Week Kanoni-Ssembabule'!F99</f>
        <v>0</v>
      </c>
      <c r="G99" s="49">
        <f>'Avg Week Ssembabule-Kanoni'!G99+'Avg Week Kanoni-Ssembabule'!G99</f>
        <v>0</v>
      </c>
      <c r="H99" s="49">
        <f>'Avg Week Ssembabule-Kanoni'!H99+'Avg Week Kanoni-Ssembabule'!H99</f>
        <v>0</v>
      </c>
      <c r="I99" s="49">
        <f>'Avg Week Ssembabule-Kanoni'!I99+'Avg Week Kanoni-Ssembabule'!I99</f>
        <v>0</v>
      </c>
      <c r="J99" s="49">
        <f>'Avg Week Ssembabule-Kanoni'!J99+'Avg Week Kanoni-Ssembabule'!J99</f>
        <v>1</v>
      </c>
      <c r="K99" s="49">
        <f>'Avg Week Ssembabule-Kanoni'!K99+'Avg Week Kanoni-Ssembabule'!K99</f>
        <v>0</v>
      </c>
      <c r="L99" s="49">
        <f>'Avg Week Ssembabule-Kanoni'!L99+'Avg Week Kanoni-Ssembabule'!L99</f>
        <v>0</v>
      </c>
      <c r="M99" s="49">
        <f>'Avg Week Ssembabule-Kanoni'!M99+'Avg Week Kanoni-Ssembabule'!M99</f>
        <v>0.5</v>
      </c>
      <c r="N99" s="49">
        <f>'Avg Week Ssembabule-Kanoni'!N99+'Avg Week Kanoni-Ssembabule'!N99</f>
        <v>0</v>
      </c>
      <c r="O99" s="15">
        <f t="shared" si="35"/>
        <v>2</v>
      </c>
      <c r="P99" s="15">
        <f t="shared" si="36"/>
        <v>2.5</v>
      </c>
      <c r="R99" s="8"/>
      <c r="T99"/>
    </row>
    <row r="100" spans="2:20" ht="23.1" customHeight="1" x14ac:dyDescent="0.25">
      <c r="B100" s="25" t="s">
        <v>140</v>
      </c>
      <c r="C100" s="49">
        <f>'Avg Week Ssembabule-Kanoni'!C100+'Avg Week Kanoni-Ssembabule'!C100</f>
        <v>0</v>
      </c>
      <c r="D100" s="49">
        <f>'Avg Week Ssembabule-Kanoni'!D100+'Avg Week Kanoni-Ssembabule'!D100</f>
        <v>0</v>
      </c>
      <c r="E100" s="49">
        <f>'Avg Week Ssembabule-Kanoni'!E100+'Avg Week Kanoni-Ssembabule'!E100</f>
        <v>0</v>
      </c>
      <c r="F100" s="49">
        <f>'Avg Week Ssembabule-Kanoni'!F100+'Avg Week Kanoni-Ssembabule'!F100</f>
        <v>0</v>
      </c>
      <c r="G100" s="49">
        <f>'Avg Week Ssembabule-Kanoni'!G100+'Avg Week Kanoni-Ssembabule'!G100</f>
        <v>0</v>
      </c>
      <c r="H100" s="49">
        <f>'Avg Week Ssembabule-Kanoni'!H100+'Avg Week Kanoni-Ssembabule'!H100</f>
        <v>0</v>
      </c>
      <c r="I100" s="49">
        <f>'Avg Week Ssembabule-Kanoni'!I100+'Avg Week Kanoni-Ssembabule'!I100</f>
        <v>0</v>
      </c>
      <c r="J100" s="49">
        <f>'Avg Week Ssembabule-Kanoni'!J100+'Avg Week Kanoni-Ssembabule'!J100</f>
        <v>0</v>
      </c>
      <c r="K100" s="49">
        <f>'Avg Week Ssembabule-Kanoni'!K100+'Avg Week Kanoni-Ssembabule'!K100</f>
        <v>0</v>
      </c>
      <c r="L100" s="49">
        <f>'Avg Week Ssembabule-Kanoni'!L100+'Avg Week Kanoni-Ssembabule'!L100</f>
        <v>0</v>
      </c>
      <c r="M100" s="49">
        <f>'Avg Week Ssembabule-Kanoni'!M100+'Avg Week Kanoni-Ssembabule'!M100</f>
        <v>0</v>
      </c>
      <c r="N100" s="49">
        <f>'Avg Week Ssembabule-Kanoni'!N100+'Avg Week Kanoni-Ssembabule'!N100</f>
        <v>0</v>
      </c>
      <c r="O100" s="15">
        <f t="shared" si="35"/>
        <v>0</v>
      </c>
      <c r="P100" s="15">
        <f t="shared" si="36"/>
        <v>0</v>
      </c>
      <c r="R100" s="8"/>
      <c r="T100"/>
    </row>
    <row r="101" spans="2:20" ht="23.1" customHeight="1" x14ac:dyDescent="0.25">
      <c r="B101" s="23" t="s">
        <v>141</v>
      </c>
      <c r="C101" s="49">
        <f>'Avg Week Ssembabule-Kanoni'!C101+'Avg Week Kanoni-Ssembabule'!C101</f>
        <v>0.5</v>
      </c>
      <c r="D101" s="49">
        <f>'Avg Week Ssembabule-Kanoni'!D101+'Avg Week Kanoni-Ssembabule'!D101</f>
        <v>0</v>
      </c>
      <c r="E101" s="49">
        <f>'Avg Week Ssembabule-Kanoni'!E101+'Avg Week Kanoni-Ssembabule'!E101</f>
        <v>0</v>
      </c>
      <c r="F101" s="49">
        <f>'Avg Week Ssembabule-Kanoni'!F101+'Avg Week Kanoni-Ssembabule'!F101</f>
        <v>1</v>
      </c>
      <c r="G101" s="49">
        <f>'Avg Week Ssembabule-Kanoni'!G101+'Avg Week Kanoni-Ssembabule'!G101</f>
        <v>0</v>
      </c>
      <c r="H101" s="49">
        <f>'Avg Week Ssembabule-Kanoni'!H101+'Avg Week Kanoni-Ssembabule'!H101</f>
        <v>0</v>
      </c>
      <c r="I101" s="49">
        <f>'Avg Week Ssembabule-Kanoni'!I101+'Avg Week Kanoni-Ssembabule'!I101</f>
        <v>0</v>
      </c>
      <c r="J101" s="49">
        <f>'Avg Week Ssembabule-Kanoni'!J101+'Avg Week Kanoni-Ssembabule'!J101</f>
        <v>0</v>
      </c>
      <c r="K101" s="49">
        <f>'Avg Week Ssembabule-Kanoni'!K101+'Avg Week Kanoni-Ssembabule'!K101</f>
        <v>0</v>
      </c>
      <c r="L101" s="49">
        <f>'Avg Week Ssembabule-Kanoni'!L101+'Avg Week Kanoni-Ssembabule'!L101</f>
        <v>0</v>
      </c>
      <c r="M101" s="49">
        <f>'Avg Week Ssembabule-Kanoni'!M101+'Avg Week Kanoni-Ssembabule'!M101</f>
        <v>2.5</v>
      </c>
      <c r="N101" s="49">
        <f>'Avg Week Ssembabule-Kanoni'!N101+'Avg Week Kanoni-Ssembabule'!N101</f>
        <v>0</v>
      </c>
      <c r="O101" s="15">
        <f t="shared" si="35"/>
        <v>1.5</v>
      </c>
      <c r="P101" s="15">
        <f t="shared" si="36"/>
        <v>4</v>
      </c>
      <c r="R101" s="8"/>
      <c r="T101"/>
    </row>
    <row r="102" spans="2:20" ht="23.1" customHeight="1" x14ac:dyDescent="0.25">
      <c r="B102" s="24" t="s">
        <v>142</v>
      </c>
      <c r="C102" s="49">
        <f>'Avg Week Ssembabule-Kanoni'!C102+'Avg Week Kanoni-Ssembabule'!C102</f>
        <v>0.5</v>
      </c>
      <c r="D102" s="49">
        <f>'Avg Week Ssembabule-Kanoni'!D102+'Avg Week Kanoni-Ssembabule'!D102</f>
        <v>0</v>
      </c>
      <c r="E102" s="49">
        <f>'Avg Week Ssembabule-Kanoni'!E102+'Avg Week Kanoni-Ssembabule'!E102</f>
        <v>0</v>
      </c>
      <c r="F102" s="49">
        <f>'Avg Week Ssembabule-Kanoni'!F102+'Avg Week Kanoni-Ssembabule'!F102</f>
        <v>2</v>
      </c>
      <c r="G102" s="49">
        <f>'Avg Week Ssembabule-Kanoni'!G102+'Avg Week Kanoni-Ssembabule'!G102</f>
        <v>1</v>
      </c>
      <c r="H102" s="49">
        <f>'Avg Week Ssembabule-Kanoni'!H102+'Avg Week Kanoni-Ssembabule'!H102</f>
        <v>0</v>
      </c>
      <c r="I102" s="49">
        <f>'Avg Week Ssembabule-Kanoni'!I102+'Avg Week Kanoni-Ssembabule'!I102</f>
        <v>0</v>
      </c>
      <c r="J102" s="49">
        <f>'Avg Week Ssembabule-Kanoni'!J102+'Avg Week Kanoni-Ssembabule'!J102</f>
        <v>0</v>
      </c>
      <c r="K102" s="49">
        <f>'Avg Week Ssembabule-Kanoni'!K102+'Avg Week Kanoni-Ssembabule'!K102</f>
        <v>0</v>
      </c>
      <c r="L102" s="49">
        <f>'Avg Week Ssembabule-Kanoni'!L102+'Avg Week Kanoni-Ssembabule'!L102</f>
        <v>0</v>
      </c>
      <c r="M102" s="49">
        <f>'Avg Week Ssembabule-Kanoni'!M102+'Avg Week Kanoni-Ssembabule'!M102</f>
        <v>0.5</v>
      </c>
      <c r="N102" s="49">
        <f>'Avg Week Ssembabule-Kanoni'!N102+'Avg Week Kanoni-Ssembabule'!N102</f>
        <v>0</v>
      </c>
      <c r="O102" s="15">
        <f t="shared" si="35"/>
        <v>3.5</v>
      </c>
      <c r="P102" s="15">
        <f t="shared" si="36"/>
        <v>4</v>
      </c>
      <c r="R102" s="8"/>
      <c r="T102"/>
    </row>
    <row r="103" spans="2:20" ht="23.1" customHeight="1" x14ac:dyDescent="0.25">
      <c r="B103" s="23" t="s">
        <v>143</v>
      </c>
      <c r="C103" s="49">
        <f>'Avg Week Ssembabule-Kanoni'!C103+'Avg Week Kanoni-Ssembabule'!C103</f>
        <v>1</v>
      </c>
      <c r="D103" s="49">
        <f>'Avg Week Ssembabule-Kanoni'!D103+'Avg Week Kanoni-Ssembabule'!D103</f>
        <v>0</v>
      </c>
      <c r="E103" s="49">
        <f>'Avg Week Ssembabule-Kanoni'!E103+'Avg Week Kanoni-Ssembabule'!E103</f>
        <v>0</v>
      </c>
      <c r="F103" s="49">
        <f>'Avg Week Ssembabule-Kanoni'!F103+'Avg Week Kanoni-Ssembabule'!F103</f>
        <v>0.5</v>
      </c>
      <c r="G103" s="49">
        <f>'Avg Week Ssembabule-Kanoni'!G103+'Avg Week Kanoni-Ssembabule'!G103</f>
        <v>0</v>
      </c>
      <c r="H103" s="49">
        <f>'Avg Week Ssembabule-Kanoni'!H103+'Avg Week Kanoni-Ssembabule'!H103</f>
        <v>0</v>
      </c>
      <c r="I103" s="49">
        <f>'Avg Week Ssembabule-Kanoni'!I103+'Avg Week Kanoni-Ssembabule'!I103</f>
        <v>0</v>
      </c>
      <c r="J103" s="49">
        <f>'Avg Week Ssembabule-Kanoni'!J103+'Avg Week Kanoni-Ssembabule'!J103</f>
        <v>1</v>
      </c>
      <c r="K103" s="49">
        <f>'Avg Week Ssembabule-Kanoni'!K103+'Avg Week Kanoni-Ssembabule'!K103</f>
        <v>0</v>
      </c>
      <c r="L103" s="49">
        <f>'Avg Week Ssembabule-Kanoni'!L103+'Avg Week Kanoni-Ssembabule'!L103</f>
        <v>0</v>
      </c>
      <c r="M103" s="49">
        <f>'Avg Week Ssembabule-Kanoni'!M103+'Avg Week Kanoni-Ssembabule'!M103</f>
        <v>0</v>
      </c>
      <c r="N103" s="49">
        <f>'Avg Week Ssembabule-Kanoni'!N103+'Avg Week Kanoni-Ssembabule'!N103</f>
        <v>0</v>
      </c>
      <c r="O103" s="15">
        <f t="shared" si="35"/>
        <v>2.5</v>
      </c>
      <c r="P103" s="15">
        <f t="shared" si="36"/>
        <v>2.5</v>
      </c>
      <c r="R103" s="8"/>
      <c r="T103"/>
    </row>
    <row r="104" spans="2:20" ht="23.1" customHeight="1" x14ac:dyDescent="0.25">
      <c r="B104" s="25" t="s">
        <v>144</v>
      </c>
      <c r="C104" s="49">
        <f>'Avg Week Ssembabule-Kanoni'!C104+'Avg Week Kanoni-Ssembabule'!C104</f>
        <v>0.5</v>
      </c>
      <c r="D104" s="49">
        <f>'Avg Week Ssembabule-Kanoni'!D104+'Avg Week Kanoni-Ssembabule'!D104</f>
        <v>1</v>
      </c>
      <c r="E104" s="49">
        <f>'Avg Week Ssembabule-Kanoni'!E104+'Avg Week Kanoni-Ssembabule'!E104</f>
        <v>1</v>
      </c>
      <c r="F104" s="49">
        <f>'Avg Week Ssembabule-Kanoni'!F104+'Avg Week Kanoni-Ssembabule'!F104</f>
        <v>2</v>
      </c>
      <c r="G104" s="49">
        <f>'Avg Week Ssembabule-Kanoni'!G104+'Avg Week Kanoni-Ssembabule'!G104</f>
        <v>0.5</v>
      </c>
      <c r="H104" s="49">
        <f>'Avg Week Ssembabule-Kanoni'!H104+'Avg Week Kanoni-Ssembabule'!H104</f>
        <v>0.5</v>
      </c>
      <c r="I104" s="49">
        <f>'Avg Week Ssembabule-Kanoni'!I104+'Avg Week Kanoni-Ssembabule'!I104</f>
        <v>0</v>
      </c>
      <c r="J104" s="49">
        <f>'Avg Week Ssembabule-Kanoni'!J104+'Avg Week Kanoni-Ssembabule'!J104</f>
        <v>0</v>
      </c>
      <c r="K104" s="49">
        <f>'Avg Week Ssembabule-Kanoni'!K104+'Avg Week Kanoni-Ssembabule'!K104</f>
        <v>0</v>
      </c>
      <c r="L104" s="49">
        <f>'Avg Week Ssembabule-Kanoni'!L104+'Avg Week Kanoni-Ssembabule'!L104</f>
        <v>0</v>
      </c>
      <c r="M104" s="49">
        <f>'Avg Week Ssembabule-Kanoni'!M104+'Avg Week Kanoni-Ssembabule'!M104</f>
        <v>7</v>
      </c>
      <c r="N104" s="49">
        <f>'Avg Week Ssembabule-Kanoni'!N104+'Avg Week Kanoni-Ssembabule'!N104</f>
        <v>0</v>
      </c>
      <c r="O104" s="15">
        <f t="shared" si="35"/>
        <v>5.5</v>
      </c>
      <c r="P104" s="15">
        <f t="shared" si="36"/>
        <v>12.5</v>
      </c>
      <c r="R104" s="8"/>
      <c r="T104"/>
    </row>
    <row r="105" spans="2:20" ht="23.1" customHeight="1" x14ac:dyDescent="0.25">
      <c r="B105" s="23" t="s">
        <v>145</v>
      </c>
      <c r="C105" s="49">
        <f>'Avg Week Ssembabule-Kanoni'!C105+'Avg Week Kanoni-Ssembabule'!C105</f>
        <v>1</v>
      </c>
      <c r="D105" s="49">
        <f>'Avg Week Ssembabule-Kanoni'!D105+'Avg Week Kanoni-Ssembabule'!D105</f>
        <v>1.5</v>
      </c>
      <c r="E105" s="49">
        <f>'Avg Week Ssembabule-Kanoni'!E105+'Avg Week Kanoni-Ssembabule'!E105</f>
        <v>3</v>
      </c>
      <c r="F105" s="49">
        <f>'Avg Week Ssembabule-Kanoni'!F105+'Avg Week Kanoni-Ssembabule'!F105</f>
        <v>1.5</v>
      </c>
      <c r="G105" s="49">
        <f>'Avg Week Ssembabule-Kanoni'!G105+'Avg Week Kanoni-Ssembabule'!G105</f>
        <v>0</v>
      </c>
      <c r="H105" s="49">
        <f>'Avg Week Ssembabule-Kanoni'!H105+'Avg Week Kanoni-Ssembabule'!H105</f>
        <v>0.5</v>
      </c>
      <c r="I105" s="49">
        <f>'Avg Week Ssembabule-Kanoni'!I105+'Avg Week Kanoni-Ssembabule'!I105</f>
        <v>1</v>
      </c>
      <c r="J105" s="49">
        <f>'Avg Week Ssembabule-Kanoni'!J105+'Avg Week Kanoni-Ssembabule'!J105</f>
        <v>0.5</v>
      </c>
      <c r="K105" s="49">
        <f>'Avg Week Ssembabule-Kanoni'!K105+'Avg Week Kanoni-Ssembabule'!K105</f>
        <v>0</v>
      </c>
      <c r="L105" s="49">
        <f>'Avg Week Ssembabule-Kanoni'!L105+'Avg Week Kanoni-Ssembabule'!L105</f>
        <v>0</v>
      </c>
      <c r="M105" s="49">
        <f>'Avg Week Ssembabule-Kanoni'!M105+'Avg Week Kanoni-Ssembabule'!M105</f>
        <v>10</v>
      </c>
      <c r="N105" s="49">
        <f>'Avg Week Ssembabule-Kanoni'!N105+'Avg Week Kanoni-Ssembabule'!N105</f>
        <v>0</v>
      </c>
      <c r="O105" s="15">
        <f t="shared" si="35"/>
        <v>9</v>
      </c>
      <c r="P105" s="15">
        <f t="shared" si="36"/>
        <v>19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156.00000000000006</v>
      </c>
      <c r="D106" s="16">
        <f t="shared" ref="D106:P106" si="37">SUM(D10:D105)</f>
        <v>69.785714285714278</v>
      </c>
      <c r="E106" s="16">
        <f t="shared" si="37"/>
        <v>40.928571428571431</v>
      </c>
      <c r="F106" s="16">
        <f t="shared" si="37"/>
        <v>62.714285714285722</v>
      </c>
      <c r="G106" s="16">
        <f t="shared" si="37"/>
        <v>12.571428571428569</v>
      </c>
      <c r="H106" s="16">
        <f t="shared" si="37"/>
        <v>4.4285714285714288</v>
      </c>
      <c r="I106" s="16">
        <f t="shared" si="37"/>
        <v>87.071428571428569</v>
      </c>
      <c r="J106" s="16">
        <f t="shared" si="37"/>
        <v>53.999999999999993</v>
      </c>
      <c r="K106" s="16">
        <f t="shared" si="37"/>
        <v>61</v>
      </c>
      <c r="L106" s="16">
        <f t="shared" si="37"/>
        <v>16.071428571428569</v>
      </c>
      <c r="M106" s="16">
        <f t="shared" si="37"/>
        <v>992.57142857142878</v>
      </c>
      <c r="N106" s="16">
        <f t="shared" si="37"/>
        <v>0.5714285714285714</v>
      </c>
      <c r="O106" s="16">
        <f t="shared" si="37"/>
        <v>565.14285714285711</v>
      </c>
      <c r="P106" s="16">
        <f t="shared" si="37"/>
        <v>1557.714285714286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0.10014673514306678</v>
      </c>
      <c r="D107" s="43">
        <f t="shared" si="38"/>
        <v>4.4800073367571518E-2</v>
      </c>
      <c r="E107" s="43">
        <f t="shared" si="38"/>
        <v>2.6274761555392514E-2</v>
      </c>
      <c r="F107" s="43">
        <f t="shared" si="38"/>
        <v>4.0260454878943502E-2</v>
      </c>
      <c r="G107" s="43">
        <f t="shared" si="38"/>
        <v>8.0704328686720447E-3</v>
      </c>
      <c r="H107" s="43">
        <f t="shared" si="38"/>
        <v>2.8429933969185616E-3</v>
      </c>
      <c r="I107" s="43">
        <f t="shared" si="38"/>
        <v>5.5896918561995586E-2</v>
      </c>
      <c r="J107" s="43">
        <f t="shared" si="38"/>
        <v>3.46661775495231E-2</v>
      </c>
      <c r="K107" s="43">
        <f t="shared" si="38"/>
        <v>3.9159941305942768E-2</v>
      </c>
      <c r="L107" s="43">
        <f t="shared" si="38"/>
        <v>1.0317314746881875E-2</v>
      </c>
      <c r="M107" s="43">
        <f t="shared" si="38"/>
        <v>0.63719735876742478</v>
      </c>
      <c r="N107" s="43">
        <f t="shared" si="38"/>
        <v>3.6683785766691114E-4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0.27603640040444904</v>
      </c>
      <c r="D108" s="44">
        <f t="shared" ref="D108:N108" si="39">D106/$O$106</f>
        <v>0.12348331648129422</v>
      </c>
      <c r="E108" s="44">
        <f t="shared" si="39"/>
        <v>7.2421638018200216E-2</v>
      </c>
      <c r="F108" s="44">
        <f t="shared" si="39"/>
        <v>0.11097067745197171</v>
      </c>
      <c r="G108" s="44">
        <f t="shared" si="39"/>
        <v>2.2244691607684528E-2</v>
      </c>
      <c r="H108" s="44">
        <f t="shared" si="39"/>
        <v>7.8361981799797784E-3</v>
      </c>
      <c r="I108" s="44">
        <f t="shared" si="39"/>
        <v>0.15406976744186046</v>
      </c>
      <c r="J108" s="44">
        <f t="shared" si="39"/>
        <v>9.5551061678463084E-2</v>
      </c>
      <c r="K108" s="44">
        <f t="shared" si="39"/>
        <v>0.10793731041456017</v>
      </c>
      <c r="L108" s="44">
        <f t="shared" si="39"/>
        <v>2.8437815975733062E-2</v>
      </c>
      <c r="M108" s="44"/>
      <c r="N108" s="44">
        <f t="shared" si="39"/>
        <v>1.0111223458038423E-3</v>
      </c>
      <c r="Q108" s="7"/>
      <c r="R108" s="8"/>
      <c r="T108"/>
    </row>
    <row r="109" spans="2:20" ht="20.10000000000000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0.10000000000000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0.10000000000000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0.10000000000000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0.10000000000000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0.10000000000000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0.10000000000000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0.10000000000000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0.10000000000000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0.10000000000000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0.10000000000000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0.10000000000000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0.10000000000000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0.10000000000000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0.10000000000000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0.10000000000000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0.10000000000000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0.10000000000000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0.10000000000000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0.10000000000000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0.10000000000000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0.10000000000000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0.10000000000000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0.10000000000000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0.10000000000000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0.10000000000000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0.10000000000000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0.10000000000000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0.10000000000000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2.5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0.10000000000000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0.10000000000000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0.10000000000000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0.10000000000000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0.10000000000000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0.10000000000000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0.10000000000000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0.10000000000000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0.10000000000000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0.10000000000000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0.10000000000000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0.10000000000000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0.10000000000000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0.10000000000000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0.10000000000000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0.10000000000000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0.10000000000000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0.10000000000000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0.10000000000000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0.10000000000000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0.10000000000000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0.10000000000000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10">
    <mergeCell ref="R8:AF8"/>
    <mergeCell ref="D6:E6"/>
    <mergeCell ref="K5:L5"/>
    <mergeCell ref="K6:L6"/>
    <mergeCell ref="D5:E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2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34</vt:i4>
      </vt:variant>
    </vt:vector>
  </HeadingPairs>
  <TitlesOfParts>
    <vt:vector size="51" baseType="lpstr">
      <vt:lpstr>17.10 SSEMBABULE-KANONI</vt:lpstr>
      <vt:lpstr>17.10 KANONI-SSEMBABULE</vt:lpstr>
      <vt:lpstr>18.10 SSEMBABULE-KANONI-24h</vt:lpstr>
      <vt:lpstr>18.10 KANONI-SSEMBABULE-24h</vt:lpstr>
      <vt:lpstr>19.10  SSEMBABULE- KANONI-24h</vt:lpstr>
      <vt:lpstr>19.10 KANONI-SSEMBABULE-24h</vt:lpstr>
      <vt:lpstr>20.10 SSEMBABULE-KANONI</vt:lpstr>
      <vt:lpstr>20.10 KANONI-SSEMBABULE</vt:lpstr>
      <vt:lpstr>21.10 SSEMBABULE-KANONI</vt:lpstr>
      <vt:lpstr>21.10 KANONI-SSEMBABULE</vt:lpstr>
      <vt:lpstr>22.10 SSEMBABULE-KANONI</vt:lpstr>
      <vt:lpstr>22.10 KANONI-SSEMBABULE</vt:lpstr>
      <vt:lpstr>23.10 SSEMBABULE-KANONI</vt:lpstr>
      <vt:lpstr>23.10 KANONI-SSEMBABULE</vt:lpstr>
      <vt:lpstr>Avg Week Ssembabule-Kanoni</vt:lpstr>
      <vt:lpstr>Avg Week Kanoni-Ssembabule</vt:lpstr>
      <vt:lpstr>Avg Week Ssembabule-Kanoni-2Dir</vt:lpstr>
      <vt:lpstr>'17.10 KANONI-SSEMBABULE'!Print_Area</vt:lpstr>
      <vt:lpstr>'17.10 SSEMBABULE-KANONI'!Print_Area</vt:lpstr>
      <vt:lpstr>'18.10 KANONI-SSEMBABULE-24h'!Print_Area</vt:lpstr>
      <vt:lpstr>'18.10 SSEMBABULE-KANONI-24h'!Print_Area</vt:lpstr>
      <vt:lpstr>'19.10  SSEMBABULE- KANONI-24h'!Print_Area</vt:lpstr>
      <vt:lpstr>'19.10 KANONI-SSEMBABULE-24h'!Print_Area</vt:lpstr>
      <vt:lpstr>'20.10 KANONI-SSEMBABULE'!Print_Area</vt:lpstr>
      <vt:lpstr>'20.10 SSEMBABULE-KANONI'!Print_Area</vt:lpstr>
      <vt:lpstr>'21.10 KANONI-SSEMBABULE'!Print_Area</vt:lpstr>
      <vt:lpstr>'21.10 SSEMBABULE-KANONI'!Print_Area</vt:lpstr>
      <vt:lpstr>'22.10 KANONI-SSEMBABULE'!Print_Area</vt:lpstr>
      <vt:lpstr>'22.10 SSEMBABULE-KANONI'!Print_Area</vt:lpstr>
      <vt:lpstr>'23.10 KANONI-SSEMBABULE'!Print_Area</vt:lpstr>
      <vt:lpstr>'23.10 SSEMBABULE-KANONI'!Print_Area</vt:lpstr>
      <vt:lpstr>'Avg Week Kanoni-Ssembabule'!Print_Area</vt:lpstr>
      <vt:lpstr>'Avg Week Ssembabule-Kanoni'!Print_Area</vt:lpstr>
      <vt:lpstr>'Avg Week Ssembabule-Kanoni-2Dir'!Print_Area</vt:lpstr>
      <vt:lpstr>'17.10 KANONI-SSEMBABULE'!Print_Titles</vt:lpstr>
      <vt:lpstr>'17.10 SSEMBABULE-KANONI'!Print_Titles</vt:lpstr>
      <vt:lpstr>'18.10 KANONI-SSEMBABULE-24h'!Print_Titles</vt:lpstr>
      <vt:lpstr>'18.10 SSEMBABULE-KANONI-24h'!Print_Titles</vt:lpstr>
      <vt:lpstr>'19.10  SSEMBABULE- KANONI-24h'!Print_Titles</vt:lpstr>
      <vt:lpstr>'19.10 KANONI-SSEMBABULE-24h'!Print_Titles</vt:lpstr>
      <vt:lpstr>'20.10 KANONI-SSEMBABULE'!Print_Titles</vt:lpstr>
      <vt:lpstr>'20.10 SSEMBABULE-KANONI'!Print_Titles</vt:lpstr>
      <vt:lpstr>'21.10 KANONI-SSEMBABULE'!Print_Titles</vt:lpstr>
      <vt:lpstr>'21.10 SSEMBABULE-KANONI'!Print_Titles</vt:lpstr>
      <vt:lpstr>'22.10 KANONI-SSEMBABULE'!Print_Titles</vt:lpstr>
      <vt:lpstr>'22.10 SSEMBABULE-KANONI'!Print_Titles</vt:lpstr>
      <vt:lpstr>'23.10 KANONI-SSEMBABULE'!Print_Titles</vt:lpstr>
      <vt:lpstr>'23.10 SSEMBABULE-KANONI'!Print_Titles</vt:lpstr>
      <vt:lpstr>'Avg Week Kanoni-Ssembabule'!Print_Titles</vt:lpstr>
      <vt:lpstr>'Avg Week Ssembabule-Kanoni'!Print_Titles</vt:lpstr>
      <vt:lpstr>'Avg Week Ssembabule-Kanoni-2Dir'!Print_Titles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steward consultancy</dc:creator>
  <cp:lastModifiedBy>st</cp:lastModifiedBy>
  <cp:lastPrinted>2019-07-25T18:18:41Z</cp:lastPrinted>
  <dcterms:created xsi:type="dcterms:W3CDTF">2010-07-06T07:39:49Z</dcterms:created>
  <dcterms:modified xsi:type="dcterms:W3CDTF">2019-11-29T06:21:16Z</dcterms:modified>
</cp:coreProperties>
</file>