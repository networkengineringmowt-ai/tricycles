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3 Analysis Complete\STN86-SEMUTO ROAD\MCC\"/>
    </mc:Choice>
  </mc:AlternateContent>
  <xr:revisionPtr revIDLastSave="0" documentId="13_ncr:1_{8703BE7A-66EA-4A1C-9530-2F1971E7D615}" xr6:coauthVersionLast="45" xr6:coauthVersionMax="45" xr10:uidLastSave="{00000000-0000-0000-0000-000000000000}"/>
  <bookViews>
    <workbookView xWindow="-120" yWindow="-120" windowWidth="20730" windowHeight="11160" tabRatio="908" firstSheet="12" activeTab="16" xr2:uid="{00000000-000D-0000-FFFF-FFFF00000000}"/>
  </bookViews>
  <sheets>
    <sheet name="20.08 KAPEKA-MATUGA" sheetId="93" r:id="rId1"/>
    <sheet name="20.08 MATUGA-KAPEKA" sheetId="94" r:id="rId2"/>
    <sheet name="21.08 KAPEKA-MATUGA" sheetId="95" r:id="rId3"/>
    <sheet name="21.08 MATUGA-KAPEKA" sheetId="96" r:id="rId4"/>
    <sheet name="22.08 KAPEKA-MATUGA" sheetId="97" r:id="rId5"/>
    <sheet name="22.08 MATUGA-KAPEKA" sheetId="98" r:id="rId6"/>
    <sheet name="23.08 KAPEKA-MATUGA" sheetId="99" r:id="rId7"/>
    <sheet name="23.08 MATUGA-KAPEKA" sheetId="100" r:id="rId8"/>
    <sheet name="24.08 KAPEKA-MATUGA-24h" sheetId="101" r:id="rId9"/>
    <sheet name="24.08 MATUGA-KAPEKA-24h" sheetId="109" r:id="rId10"/>
    <sheet name="25.08 KAPEEKA-MATUGA-24h" sheetId="105" r:id="rId11"/>
    <sheet name="25.08 MATUGA-KAPEKA-24h" sheetId="110" r:id="rId12"/>
    <sheet name="26.08 KAPEKA-MATUGA" sheetId="103" r:id="rId13"/>
    <sheet name="26.08 MATUGA-KAPEEKA" sheetId="104" r:id="rId14"/>
    <sheet name="Avg KAPEEKA-MATUGA" sheetId="107" r:id="rId15"/>
    <sheet name="Avg Week MATUGGA-KAPEEKA" sheetId="108" r:id="rId16"/>
    <sheet name="Avg Week KAPEEKA-MATUGGA-2Dir" sheetId="111" r:id="rId17"/>
  </sheets>
  <definedNames>
    <definedName name="_xlnm.Print_Area" localSheetId="0">'20.08 KAPEKA-MATUGA'!$A$1:$AF$60</definedName>
    <definedName name="_xlnm.Print_Area" localSheetId="1">'20.08 MATUGA-KAPEKA'!$A$1:$AF$60</definedName>
    <definedName name="_xlnm.Print_Area" localSheetId="2">'21.08 KAPEKA-MATUGA'!$A$1:$AF$60</definedName>
    <definedName name="_xlnm.Print_Area" localSheetId="3">'21.08 MATUGA-KAPEKA'!$A$1:$AF$60</definedName>
    <definedName name="_xlnm.Print_Area" localSheetId="4">'22.08 KAPEKA-MATUGA'!$A$1:$AF$60</definedName>
    <definedName name="_xlnm.Print_Area" localSheetId="5">'22.08 MATUGA-KAPEKA'!$A$1:$AF$60</definedName>
    <definedName name="_xlnm.Print_Area" localSheetId="6">'23.08 KAPEKA-MATUGA'!$A$1:$AF$60</definedName>
    <definedName name="_xlnm.Print_Area" localSheetId="7">'23.08 MATUGA-KAPEKA'!$A$1:$AF$60</definedName>
    <definedName name="_xlnm.Print_Area" localSheetId="8">'24.08 KAPEKA-MATUGA-24h'!$A$1:$AF$108</definedName>
    <definedName name="_xlnm.Print_Area" localSheetId="9">'24.08 MATUGA-KAPEKA-24h'!$A$1:$AF$108</definedName>
    <definedName name="_xlnm.Print_Area" localSheetId="10">'25.08 KAPEEKA-MATUGA-24h'!$A$1:$AF$108</definedName>
    <definedName name="_xlnm.Print_Area" localSheetId="11">'25.08 MATUGA-KAPEKA-24h'!$A$1:$AF$108</definedName>
    <definedName name="_xlnm.Print_Area" localSheetId="12">'26.08 KAPEKA-MATUGA'!$A$1:$AF$60</definedName>
    <definedName name="_xlnm.Print_Area" localSheetId="13">'26.08 MATUGA-KAPEEKA'!$A$1:$AF$60</definedName>
    <definedName name="_xlnm.Print_Area" localSheetId="14">'Avg KAPEEKA-MATUGA'!$A$1:$AF$108</definedName>
    <definedName name="_xlnm.Print_Area" localSheetId="16">'Avg Week KAPEEKA-MATUGGA-2Dir'!$A$1:$AF$108</definedName>
    <definedName name="_xlnm.Print_Area" localSheetId="15">'Avg Week MATUGGA-KAPEEKA'!$A$1:$AF$108</definedName>
    <definedName name="_xlnm.Print_Titles" localSheetId="0">'20.08 KAPEKA-MATUGA'!$1:$8</definedName>
    <definedName name="_xlnm.Print_Titles" localSheetId="1">'20.08 MATUGA-KAPEKA'!$1:$8</definedName>
    <definedName name="_xlnm.Print_Titles" localSheetId="2">'21.08 KAPEKA-MATUGA'!$1:$8</definedName>
    <definedName name="_xlnm.Print_Titles" localSheetId="3">'21.08 MATUGA-KAPEKA'!$1:$8</definedName>
    <definedName name="_xlnm.Print_Titles" localSheetId="4">'22.08 KAPEKA-MATUGA'!$1:$8</definedName>
    <definedName name="_xlnm.Print_Titles" localSheetId="5">'22.08 MATUGA-KAPEKA'!$1:$8</definedName>
    <definedName name="_xlnm.Print_Titles" localSheetId="6">'23.08 KAPEKA-MATUGA'!$1:$8</definedName>
    <definedName name="_xlnm.Print_Titles" localSheetId="7">'23.08 MATUGA-KAPEKA'!$1:$8</definedName>
    <definedName name="_xlnm.Print_Titles" localSheetId="8">'24.08 KAPEKA-MATUGA-24h'!$1:$8</definedName>
    <definedName name="_xlnm.Print_Titles" localSheetId="9">'24.08 MATUGA-KAPEKA-24h'!$1:$8</definedName>
    <definedName name="_xlnm.Print_Titles" localSheetId="10">'25.08 KAPEEKA-MATUGA-24h'!$1:$8</definedName>
    <definedName name="_xlnm.Print_Titles" localSheetId="11">'25.08 MATUGA-KAPEKA-24h'!$1:$8</definedName>
    <definedName name="_xlnm.Print_Titles" localSheetId="12">'26.08 KAPEKA-MATUGA'!$1:$8</definedName>
    <definedName name="_xlnm.Print_Titles" localSheetId="13">'26.08 MATUGA-KAPEEKA'!$1:$8</definedName>
    <definedName name="_xlnm.Print_Titles" localSheetId="14">'Avg KAPEEKA-MATUGA'!$1:$8</definedName>
    <definedName name="_xlnm.Print_Titles" localSheetId="16">'Avg Week KAPEEKA-MATUGGA-2Dir'!$1:$8</definedName>
    <definedName name="_xlnm.Print_Titles" localSheetId="15">'Avg Week MATUGGA-KAPEEKA'!$1:$8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9" i="108" l="1"/>
  <c r="E59" i="108"/>
  <c r="D60" i="108"/>
  <c r="E60" i="108"/>
  <c r="D61" i="108"/>
  <c r="E61" i="108"/>
  <c r="D62" i="108"/>
  <c r="E62" i="108"/>
  <c r="D63" i="108"/>
  <c r="E63" i="108"/>
  <c r="D64" i="108"/>
  <c r="E64" i="108"/>
  <c r="D65" i="108"/>
  <c r="E65" i="108"/>
  <c r="D66" i="108"/>
  <c r="E66" i="108"/>
  <c r="D67" i="108"/>
  <c r="E67" i="108"/>
  <c r="D68" i="108"/>
  <c r="E68" i="108"/>
  <c r="D69" i="108"/>
  <c r="E69" i="108"/>
  <c r="D70" i="108"/>
  <c r="E70" i="108"/>
  <c r="D71" i="108"/>
  <c r="E71" i="108"/>
  <c r="D72" i="108"/>
  <c r="E72" i="108"/>
  <c r="D73" i="108"/>
  <c r="E73" i="108"/>
  <c r="D74" i="108"/>
  <c r="E74" i="108"/>
  <c r="D75" i="108"/>
  <c r="E75" i="108"/>
  <c r="D76" i="108"/>
  <c r="E76" i="108"/>
  <c r="D77" i="108"/>
  <c r="E77" i="108"/>
  <c r="D78" i="108"/>
  <c r="E78" i="108"/>
  <c r="D79" i="108"/>
  <c r="E79" i="108"/>
  <c r="D80" i="108"/>
  <c r="E80" i="108"/>
  <c r="D81" i="108"/>
  <c r="E81" i="108"/>
  <c r="D82" i="108"/>
  <c r="E82" i="108"/>
  <c r="D83" i="108"/>
  <c r="E83" i="108"/>
  <c r="D84" i="108"/>
  <c r="E84" i="108"/>
  <c r="D85" i="108"/>
  <c r="E85" i="108"/>
  <c r="D86" i="108"/>
  <c r="E86" i="108"/>
  <c r="D87" i="108"/>
  <c r="E87" i="108"/>
  <c r="D88" i="108"/>
  <c r="E88" i="108"/>
  <c r="D89" i="108"/>
  <c r="E89" i="108"/>
  <c r="D90" i="108"/>
  <c r="E90" i="108"/>
  <c r="D91" i="108"/>
  <c r="E91" i="108"/>
  <c r="D92" i="108"/>
  <c r="E92" i="108"/>
  <c r="D93" i="108"/>
  <c r="E93" i="108"/>
  <c r="D94" i="108"/>
  <c r="E94" i="108"/>
  <c r="D95" i="108"/>
  <c r="E95" i="108"/>
  <c r="D96" i="108"/>
  <c r="E96" i="108"/>
  <c r="D97" i="108"/>
  <c r="E97" i="108"/>
  <c r="D98" i="108"/>
  <c r="E98" i="108"/>
  <c r="D99" i="108"/>
  <c r="E99" i="108"/>
  <c r="D100" i="108"/>
  <c r="E100" i="108"/>
  <c r="D101" i="108"/>
  <c r="E101" i="108"/>
  <c r="D102" i="108"/>
  <c r="E102" i="108"/>
  <c r="D103" i="108"/>
  <c r="E103" i="108"/>
  <c r="D104" i="108"/>
  <c r="E104" i="108"/>
  <c r="E58" i="108"/>
  <c r="D58" i="108"/>
  <c r="D11" i="108"/>
  <c r="E11" i="108"/>
  <c r="D12" i="108"/>
  <c r="E12" i="108"/>
  <c r="D13" i="108"/>
  <c r="E13" i="108"/>
  <c r="D14" i="108"/>
  <c r="E14" i="108"/>
  <c r="D15" i="108"/>
  <c r="E15" i="108"/>
  <c r="D16" i="108"/>
  <c r="E16" i="108"/>
  <c r="D17" i="108"/>
  <c r="E17" i="108"/>
  <c r="D18" i="108"/>
  <c r="E18" i="108"/>
  <c r="D19" i="108"/>
  <c r="E19" i="108"/>
  <c r="D20" i="108"/>
  <c r="E20" i="108"/>
  <c r="D21" i="108"/>
  <c r="E21" i="108"/>
  <c r="D22" i="108"/>
  <c r="E22" i="108"/>
  <c r="D23" i="108"/>
  <c r="E23" i="108"/>
  <c r="D24" i="108"/>
  <c r="E24" i="108"/>
  <c r="D25" i="108"/>
  <c r="E25" i="108"/>
  <c r="D26" i="108"/>
  <c r="E26" i="108"/>
  <c r="D27" i="108"/>
  <c r="E27" i="108"/>
  <c r="D28" i="108"/>
  <c r="E28" i="108"/>
  <c r="D29" i="108"/>
  <c r="E29" i="108"/>
  <c r="D30" i="108"/>
  <c r="E30" i="108"/>
  <c r="D31" i="108"/>
  <c r="E31" i="108"/>
  <c r="D32" i="108"/>
  <c r="E32" i="108"/>
  <c r="D33" i="108"/>
  <c r="E33" i="108"/>
  <c r="D34" i="108"/>
  <c r="E34" i="108"/>
  <c r="D35" i="108"/>
  <c r="E35" i="108"/>
  <c r="D36" i="108"/>
  <c r="E36" i="108"/>
  <c r="D37" i="108"/>
  <c r="E37" i="108"/>
  <c r="D38" i="108"/>
  <c r="E38" i="108"/>
  <c r="D39" i="108"/>
  <c r="E39" i="108"/>
  <c r="D40" i="108"/>
  <c r="E40" i="108"/>
  <c r="D41" i="108"/>
  <c r="E41" i="108"/>
  <c r="D42" i="108"/>
  <c r="E42" i="108"/>
  <c r="D43" i="108"/>
  <c r="E43" i="108"/>
  <c r="D44" i="108"/>
  <c r="E44" i="108"/>
  <c r="D45" i="108"/>
  <c r="E45" i="108"/>
  <c r="D46" i="108"/>
  <c r="E46" i="108"/>
  <c r="D47" i="108"/>
  <c r="E47" i="108"/>
  <c r="D48" i="108"/>
  <c r="E48" i="108"/>
  <c r="D49" i="108"/>
  <c r="E49" i="108"/>
  <c r="D50" i="108"/>
  <c r="E50" i="108"/>
  <c r="D51" i="108"/>
  <c r="E51" i="108"/>
  <c r="D52" i="108"/>
  <c r="E52" i="108"/>
  <c r="D53" i="108"/>
  <c r="E53" i="108"/>
  <c r="D54" i="108"/>
  <c r="E54" i="108"/>
  <c r="D55" i="108"/>
  <c r="E55" i="108"/>
  <c r="D56" i="108"/>
  <c r="E56" i="108"/>
  <c r="D57" i="108"/>
  <c r="E57" i="108"/>
  <c r="E10" i="108"/>
  <c r="D10" i="108"/>
  <c r="D59" i="107"/>
  <c r="E59" i="107"/>
  <c r="D60" i="107"/>
  <c r="E60" i="107"/>
  <c r="D61" i="107"/>
  <c r="E61" i="107"/>
  <c r="D62" i="107"/>
  <c r="E62" i="107"/>
  <c r="D63" i="107"/>
  <c r="E63" i="107"/>
  <c r="D64" i="107"/>
  <c r="E64" i="107"/>
  <c r="D65" i="107"/>
  <c r="E65" i="107"/>
  <c r="D66" i="107"/>
  <c r="E66" i="107"/>
  <c r="D67" i="107"/>
  <c r="E67" i="107"/>
  <c r="D68" i="107"/>
  <c r="E68" i="107"/>
  <c r="D69" i="107"/>
  <c r="E69" i="107"/>
  <c r="D70" i="107"/>
  <c r="E70" i="107"/>
  <c r="D71" i="107"/>
  <c r="E71" i="107"/>
  <c r="D72" i="107"/>
  <c r="E72" i="107"/>
  <c r="D73" i="107"/>
  <c r="E73" i="107"/>
  <c r="D74" i="107"/>
  <c r="E74" i="107"/>
  <c r="D75" i="107"/>
  <c r="E75" i="107"/>
  <c r="D76" i="107"/>
  <c r="E76" i="107"/>
  <c r="D77" i="107"/>
  <c r="E77" i="107"/>
  <c r="D78" i="107"/>
  <c r="E78" i="107"/>
  <c r="D79" i="107"/>
  <c r="E79" i="107"/>
  <c r="D80" i="107"/>
  <c r="E80" i="107"/>
  <c r="D81" i="107"/>
  <c r="E81" i="107"/>
  <c r="D82" i="107"/>
  <c r="E82" i="107"/>
  <c r="D83" i="107"/>
  <c r="E83" i="107"/>
  <c r="D84" i="107"/>
  <c r="E84" i="107"/>
  <c r="D85" i="107"/>
  <c r="E85" i="107"/>
  <c r="D86" i="107"/>
  <c r="E86" i="107"/>
  <c r="D87" i="107"/>
  <c r="E87" i="107"/>
  <c r="D88" i="107"/>
  <c r="E88" i="107"/>
  <c r="D89" i="107"/>
  <c r="E89" i="107"/>
  <c r="D90" i="107"/>
  <c r="E90" i="107"/>
  <c r="D91" i="107"/>
  <c r="E91" i="107"/>
  <c r="D92" i="107"/>
  <c r="E92" i="107"/>
  <c r="D93" i="107"/>
  <c r="E93" i="107"/>
  <c r="D94" i="107"/>
  <c r="E94" i="107"/>
  <c r="D95" i="107"/>
  <c r="E95" i="107"/>
  <c r="D96" i="107"/>
  <c r="E96" i="107"/>
  <c r="D97" i="107"/>
  <c r="E97" i="107"/>
  <c r="D98" i="107"/>
  <c r="E98" i="107"/>
  <c r="D99" i="107"/>
  <c r="E99" i="107"/>
  <c r="D100" i="107"/>
  <c r="E100" i="107"/>
  <c r="D101" i="107"/>
  <c r="E101" i="107"/>
  <c r="D102" i="107"/>
  <c r="E102" i="107"/>
  <c r="D103" i="107"/>
  <c r="E103" i="107"/>
  <c r="D104" i="107"/>
  <c r="E104" i="107"/>
  <c r="E58" i="107"/>
  <c r="D58" i="107"/>
  <c r="D11" i="107"/>
  <c r="E11" i="107"/>
  <c r="D12" i="107"/>
  <c r="E12" i="107"/>
  <c r="D13" i="107"/>
  <c r="E13" i="107"/>
  <c r="D14" i="107"/>
  <c r="E14" i="107"/>
  <c r="D15" i="107"/>
  <c r="E15" i="107"/>
  <c r="D16" i="107"/>
  <c r="E16" i="107"/>
  <c r="D17" i="107"/>
  <c r="E17" i="107"/>
  <c r="D18" i="107"/>
  <c r="E18" i="107"/>
  <c r="D19" i="107"/>
  <c r="E19" i="107"/>
  <c r="D20" i="107"/>
  <c r="E20" i="107"/>
  <c r="D21" i="107"/>
  <c r="E21" i="107"/>
  <c r="D22" i="107"/>
  <c r="E22" i="107"/>
  <c r="D23" i="107"/>
  <c r="E23" i="107"/>
  <c r="D24" i="107"/>
  <c r="E24" i="107"/>
  <c r="D25" i="107"/>
  <c r="E25" i="107"/>
  <c r="D26" i="107"/>
  <c r="E26" i="107"/>
  <c r="D27" i="107"/>
  <c r="E27" i="107"/>
  <c r="D28" i="107"/>
  <c r="E28" i="107"/>
  <c r="D29" i="107"/>
  <c r="E29" i="107"/>
  <c r="D30" i="107"/>
  <c r="E30" i="107"/>
  <c r="D31" i="107"/>
  <c r="E31" i="107"/>
  <c r="D32" i="107"/>
  <c r="E32" i="107"/>
  <c r="D33" i="107"/>
  <c r="E33" i="107"/>
  <c r="D34" i="107"/>
  <c r="E34" i="107"/>
  <c r="D35" i="107"/>
  <c r="E35" i="107"/>
  <c r="D36" i="107"/>
  <c r="E36" i="107"/>
  <c r="D37" i="107"/>
  <c r="E37" i="107"/>
  <c r="D38" i="107"/>
  <c r="E38" i="107"/>
  <c r="D39" i="107"/>
  <c r="E39" i="107"/>
  <c r="D40" i="107"/>
  <c r="E40" i="107"/>
  <c r="D41" i="107"/>
  <c r="E41" i="107"/>
  <c r="D42" i="107"/>
  <c r="E42" i="107"/>
  <c r="D43" i="107"/>
  <c r="E43" i="107"/>
  <c r="D44" i="107"/>
  <c r="E44" i="107"/>
  <c r="D45" i="107"/>
  <c r="E45" i="107"/>
  <c r="D46" i="107"/>
  <c r="E46" i="107"/>
  <c r="D47" i="107"/>
  <c r="E47" i="107"/>
  <c r="D48" i="107"/>
  <c r="E48" i="107"/>
  <c r="D49" i="107"/>
  <c r="E49" i="107"/>
  <c r="D50" i="107"/>
  <c r="E50" i="107"/>
  <c r="D51" i="107"/>
  <c r="E51" i="107"/>
  <c r="D52" i="107"/>
  <c r="E52" i="107"/>
  <c r="D53" i="107"/>
  <c r="E53" i="107"/>
  <c r="D54" i="107"/>
  <c r="E54" i="107"/>
  <c r="D55" i="107"/>
  <c r="E55" i="107"/>
  <c r="D56" i="107"/>
  <c r="E56" i="107"/>
  <c r="D57" i="107"/>
  <c r="E57" i="107"/>
  <c r="E10" i="107"/>
  <c r="D10" i="107"/>
  <c r="J90" i="110" l="1"/>
  <c r="G90" i="110"/>
  <c r="L85" i="110"/>
  <c r="I85" i="110"/>
  <c r="D85" i="110"/>
  <c r="K84" i="110"/>
  <c r="F84" i="110"/>
  <c r="C84" i="110"/>
  <c r="H83" i="110"/>
  <c r="E83" i="110"/>
  <c r="J82" i="110"/>
  <c r="G82" i="110"/>
  <c r="L81" i="110"/>
  <c r="L92" i="110" s="1"/>
  <c r="I81" i="110"/>
  <c r="I92" i="110" s="1"/>
  <c r="D81" i="110"/>
  <c r="D92" i="110" s="1"/>
  <c r="K80" i="110"/>
  <c r="F80" i="110"/>
  <c r="C80" i="110"/>
  <c r="L79" i="110"/>
  <c r="L90" i="110" s="1"/>
  <c r="K79" i="110"/>
  <c r="K90" i="110" s="1"/>
  <c r="J79" i="110"/>
  <c r="I79" i="110"/>
  <c r="I90" i="110" s="1"/>
  <c r="H79" i="110"/>
  <c r="H90" i="110" s="1"/>
  <c r="G79" i="110"/>
  <c r="F79" i="110"/>
  <c r="F90" i="110" s="1"/>
  <c r="E79" i="110"/>
  <c r="E90" i="110" s="1"/>
  <c r="D79" i="110"/>
  <c r="D90" i="110" s="1"/>
  <c r="C79" i="110"/>
  <c r="C90" i="110" s="1"/>
  <c r="L78" i="110"/>
  <c r="K78" i="110"/>
  <c r="J78" i="110"/>
  <c r="I78" i="110"/>
  <c r="H78" i="110"/>
  <c r="G78" i="110"/>
  <c r="F78" i="110"/>
  <c r="E78" i="110"/>
  <c r="D78" i="110"/>
  <c r="C78" i="110"/>
  <c r="L77" i="110"/>
  <c r="K77" i="110"/>
  <c r="J77" i="110"/>
  <c r="I77" i="110"/>
  <c r="H77" i="110"/>
  <c r="G77" i="110"/>
  <c r="F77" i="110"/>
  <c r="E77" i="110"/>
  <c r="D77" i="110"/>
  <c r="C77" i="110"/>
  <c r="L76" i="110"/>
  <c r="K76" i="110"/>
  <c r="J76" i="110"/>
  <c r="I76" i="110"/>
  <c r="H76" i="110"/>
  <c r="G76" i="110"/>
  <c r="F76" i="110"/>
  <c r="E76" i="110"/>
  <c r="D76" i="110"/>
  <c r="C76" i="110"/>
  <c r="L75" i="110"/>
  <c r="K75" i="110"/>
  <c r="J75" i="110"/>
  <c r="I75" i="110"/>
  <c r="H75" i="110"/>
  <c r="G75" i="110"/>
  <c r="F75" i="110"/>
  <c r="E75" i="110"/>
  <c r="D75" i="110"/>
  <c r="C75" i="110"/>
  <c r="L74" i="110"/>
  <c r="K74" i="110"/>
  <c r="K85" i="110" s="1"/>
  <c r="J74" i="110"/>
  <c r="J85" i="110" s="1"/>
  <c r="I74" i="110"/>
  <c r="H74" i="110"/>
  <c r="H85" i="110" s="1"/>
  <c r="G74" i="110"/>
  <c r="G85" i="110" s="1"/>
  <c r="F74" i="110"/>
  <c r="F85" i="110" s="1"/>
  <c r="E74" i="110"/>
  <c r="E85" i="110" s="1"/>
  <c r="D74" i="110"/>
  <c r="C74" i="110"/>
  <c r="C85" i="110" s="1"/>
  <c r="L73" i="110"/>
  <c r="L84" i="110" s="1"/>
  <c r="K73" i="110"/>
  <c r="J73" i="110"/>
  <c r="J84" i="110" s="1"/>
  <c r="I73" i="110"/>
  <c r="I84" i="110" s="1"/>
  <c r="H73" i="110"/>
  <c r="H84" i="110" s="1"/>
  <c r="G73" i="110"/>
  <c r="G84" i="110" s="1"/>
  <c r="F73" i="110"/>
  <c r="E73" i="110"/>
  <c r="E84" i="110" s="1"/>
  <c r="D73" i="110"/>
  <c r="D84" i="110" s="1"/>
  <c r="C73" i="110"/>
  <c r="L72" i="110"/>
  <c r="L83" i="110" s="1"/>
  <c r="K72" i="110"/>
  <c r="K83" i="110" s="1"/>
  <c r="J72" i="110"/>
  <c r="J83" i="110" s="1"/>
  <c r="I72" i="110"/>
  <c r="I83" i="110" s="1"/>
  <c r="H72" i="110"/>
  <c r="G72" i="110"/>
  <c r="G83" i="110" s="1"/>
  <c r="F72" i="110"/>
  <c r="F83" i="110" s="1"/>
  <c r="E72" i="110"/>
  <c r="D72" i="110"/>
  <c r="D83" i="110" s="1"/>
  <c r="C72" i="110"/>
  <c r="C83" i="110" s="1"/>
  <c r="L71" i="110"/>
  <c r="L82" i="110" s="1"/>
  <c r="K71" i="110"/>
  <c r="K82" i="110" s="1"/>
  <c r="J71" i="110"/>
  <c r="I71" i="110"/>
  <c r="I82" i="110" s="1"/>
  <c r="H71" i="110"/>
  <c r="H82" i="110" s="1"/>
  <c r="G71" i="110"/>
  <c r="F71" i="110"/>
  <c r="F82" i="110" s="1"/>
  <c r="E71" i="110"/>
  <c r="E82" i="110" s="1"/>
  <c r="D71" i="110"/>
  <c r="D82" i="110" s="1"/>
  <c r="C71" i="110"/>
  <c r="C82" i="110" s="1"/>
  <c r="L70" i="110"/>
  <c r="K70" i="110"/>
  <c r="K81" i="110" s="1"/>
  <c r="K92" i="110" s="1"/>
  <c r="J70" i="110"/>
  <c r="J81" i="110" s="1"/>
  <c r="J92" i="110" s="1"/>
  <c r="I70" i="110"/>
  <c r="H70" i="110"/>
  <c r="H81" i="110" s="1"/>
  <c r="H92" i="110" s="1"/>
  <c r="G70" i="110"/>
  <c r="G81" i="110" s="1"/>
  <c r="G92" i="110" s="1"/>
  <c r="F70" i="110"/>
  <c r="F81" i="110" s="1"/>
  <c r="F92" i="110" s="1"/>
  <c r="E70" i="110"/>
  <c r="E81" i="110" s="1"/>
  <c r="E92" i="110" s="1"/>
  <c r="D70" i="110"/>
  <c r="C70" i="110"/>
  <c r="C81" i="110" s="1"/>
  <c r="C92" i="110" s="1"/>
  <c r="L69" i="110"/>
  <c r="L80" i="110" s="1"/>
  <c r="K69" i="110"/>
  <c r="J69" i="110"/>
  <c r="J80" i="110" s="1"/>
  <c r="I69" i="110"/>
  <c r="I80" i="110" s="1"/>
  <c r="H69" i="110"/>
  <c r="H80" i="110" s="1"/>
  <c r="G69" i="110"/>
  <c r="G80" i="110" s="1"/>
  <c r="F69" i="110"/>
  <c r="E69" i="110"/>
  <c r="E80" i="110" s="1"/>
  <c r="D69" i="110"/>
  <c r="D80" i="110" s="1"/>
  <c r="C69" i="110"/>
  <c r="L90" i="105"/>
  <c r="G90" i="105"/>
  <c r="F90" i="105"/>
  <c r="E90" i="105"/>
  <c r="D90" i="105"/>
  <c r="I85" i="105"/>
  <c r="H85" i="105"/>
  <c r="G85" i="105"/>
  <c r="F85" i="105"/>
  <c r="K84" i="105"/>
  <c r="J84" i="105"/>
  <c r="I84" i="105"/>
  <c r="H84" i="105"/>
  <c r="C84" i="105"/>
  <c r="L83" i="105"/>
  <c r="K83" i="105"/>
  <c r="J83" i="105"/>
  <c r="E83" i="105"/>
  <c r="D83" i="105"/>
  <c r="C83" i="105"/>
  <c r="L82" i="105"/>
  <c r="G82" i="105"/>
  <c r="F82" i="105"/>
  <c r="E82" i="105"/>
  <c r="D82" i="105"/>
  <c r="I81" i="105"/>
  <c r="I92" i="105" s="1"/>
  <c r="H81" i="105"/>
  <c r="H92" i="105" s="1"/>
  <c r="G81" i="105"/>
  <c r="G92" i="105" s="1"/>
  <c r="F81" i="105"/>
  <c r="F92" i="105" s="1"/>
  <c r="K80" i="105"/>
  <c r="J80" i="105"/>
  <c r="I80" i="105"/>
  <c r="H80" i="105"/>
  <c r="C80" i="105"/>
  <c r="L79" i="105"/>
  <c r="K79" i="105"/>
  <c r="K90" i="105" s="1"/>
  <c r="J79" i="105"/>
  <c r="J90" i="105" s="1"/>
  <c r="I79" i="105"/>
  <c r="I90" i="105" s="1"/>
  <c r="H79" i="105"/>
  <c r="H90" i="105" s="1"/>
  <c r="G79" i="105"/>
  <c r="F79" i="105"/>
  <c r="E79" i="105"/>
  <c r="D79" i="105"/>
  <c r="C79" i="105"/>
  <c r="C90" i="105" s="1"/>
  <c r="L78" i="105"/>
  <c r="K78" i="105"/>
  <c r="J78" i="105"/>
  <c r="I78" i="105"/>
  <c r="H78" i="105"/>
  <c r="G78" i="105"/>
  <c r="F78" i="105"/>
  <c r="E78" i="105"/>
  <c r="D78" i="105"/>
  <c r="C78" i="105"/>
  <c r="L77" i="105"/>
  <c r="K77" i="105"/>
  <c r="J77" i="105"/>
  <c r="I77" i="105"/>
  <c r="H77" i="105"/>
  <c r="G77" i="105"/>
  <c r="F77" i="105"/>
  <c r="E77" i="105"/>
  <c r="D77" i="105"/>
  <c r="C77" i="105"/>
  <c r="L76" i="105"/>
  <c r="K76" i="105"/>
  <c r="J76" i="105"/>
  <c r="I76" i="105"/>
  <c r="H76" i="105"/>
  <c r="G76" i="105"/>
  <c r="F76" i="105"/>
  <c r="E76" i="105"/>
  <c r="D76" i="105"/>
  <c r="C76" i="105"/>
  <c r="L75" i="105"/>
  <c r="K75" i="105"/>
  <c r="J75" i="105"/>
  <c r="I75" i="105"/>
  <c r="H75" i="105"/>
  <c r="G75" i="105"/>
  <c r="F75" i="105"/>
  <c r="E75" i="105"/>
  <c r="D75" i="105"/>
  <c r="C75" i="105"/>
  <c r="L74" i="105"/>
  <c r="L85" i="105" s="1"/>
  <c r="K74" i="105"/>
  <c r="K85" i="105" s="1"/>
  <c r="J74" i="105"/>
  <c r="J85" i="105" s="1"/>
  <c r="I74" i="105"/>
  <c r="H74" i="105"/>
  <c r="G74" i="105"/>
  <c r="F74" i="105"/>
  <c r="E74" i="105"/>
  <c r="E85" i="105" s="1"/>
  <c r="D74" i="105"/>
  <c r="D85" i="105" s="1"/>
  <c r="C74" i="105"/>
  <c r="C85" i="105" s="1"/>
  <c r="L73" i="105"/>
  <c r="L84" i="105" s="1"/>
  <c r="K73" i="105"/>
  <c r="J73" i="105"/>
  <c r="I73" i="105"/>
  <c r="H73" i="105"/>
  <c r="G73" i="105"/>
  <c r="G84" i="105" s="1"/>
  <c r="F73" i="105"/>
  <c r="F84" i="105" s="1"/>
  <c r="E73" i="105"/>
  <c r="E84" i="105" s="1"/>
  <c r="D73" i="105"/>
  <c r="D84" i="105" s="1"/>
  <c r="C73" i="105"/>
  <c r="L72" i="105"/>
  <c r="K72" i="105"/>
  <c r="J72" i="105"/>
  <c r="I72" i="105"/>
  <c r="I83" i="105" s="1"/>
  <c r="H72" i="105"/>
  <c r="H83" i="105" s="1"/>
  <c r="G72" i="105"/>
  <c r="G83" i="105" s="1"/>
  <c r="F72" i="105"/>
  <c r="F83" i="105" s="1"/>
  <c r="E72" i="105"/>
  <c r="D72" i="105"/>
  <c r="C72" i="105"/>
  <c r="L71" i="105"/>
  <c r="K71" i="105"/>
  <c r="K82" i="105" s="1"/>
  <c r="J71" i="105"/>
  <c r="J82" i="105" s="1"/>
  <c r="I71" i="105"/>
  <c r="I82" i="105" s="1"/>
  <c r="H71" i="105"/>
  <c r="H82" i="105" s="1"/>
  <c r="G71" i="105"/>
  <c r="F71" i="105"/>
  <c r="E71" i="105"/>
  <c r="D71" i="105"/>
  <c r="C71" i="105"/>
  <c r="C82" i="105" s="1"/>
  <c r="L70" i="105"/>
  <c r="L81" i="105" s="1"/>
  <c r="L92" i="105" s="1"/>
  <c r="K70" i="105"/>
  <c r="K81" i="105" s="1"/>
  <c r="K92" i="105" s="1"/>
  <c r="J70" i="105"/>
  <c r="J81" i="105" s="1"/>
  <c r="J92" i="105" s="1"/>
  <c r="I70" i="105"/>
  <c r="H70" i="105"/>
  <c r="G70" i="105"/>
  <c r="F70" i="105"/>
  <c r="E70" i="105"/>
  <c r="E81" i="105" s="1"/>
  <c r="E92" i="105" s="1"/>
  <c r="D70" i="105"/>
  <c r="D81" i="105" s="1"/>
  <c r="D92" i="105" s="1"/>
  <c r="C70" i="105"/>
  <c r="C81" i="105" s="1"/>
  <c r="C92" i="105" s="1"/>
  <c r="L69" i="105"/>
  <c r="L80" i="105" s="1"/>
  <c r="K69" i="105"/>
  <c r="J69" i="105"/>
  <c r="I69" i="105"/>
  <c r="H69" i="105"/>
  <c r="G69" i="105"/>
  <c r="G80" i="105" s="1"/>
  <c r="F69" i="105"/>
  <c r="F80" i="105" s="1"/>
  <c r="E69" i="105"/>
  <c r="E80" i="105" s="1"/>
  <c r="D69" i="105"/>
  <c r="D80" i="105" s="1"/>
  <c r="C69" i="105"/>
  <c r="H90" i="109"/>
  <c r="G90" i="109"/>
  <c r="F90" i="109"/>
  <c r="J85" i="109"/>
  <c r="I85" i="109"/>
  <c r="H85" i="109"/>
  <c r="L84" i="109"/>
  <c r="K84" i="109"/>
  <c r="J84" i="109"/>
  <c r="D84" i="109"/>
  <c r="C84" i="109"/>
  <c r="L83" i="109"/>
  <c r="F83" i="109"/>
  <c r="E83" i="109"/>
  <c r="D83" i="109"/>
  <c r="H82" i="109"/>
  <c r="G82" i="109"/>
  <c r="F82" i="109"/>
  <c r="J81" i="109"/>
  <c r="J92" i="109" s="1"/>
  <c r="I81" i="109"/>
  <c r="I92" i="109" s="1"/>
  <c r="H81" i="109"/>
  <c r="H92" i="109" s="1"/>
  <c r="L80" i="109"/>
  <c r="K80" i="109"/>
  <c r="J80" i="109"/>
  <c r="D80" i="109"/>
  <c r="C80" i="109"/>
  <c r="L79" i="109"/>
  <c r="L90" i="109" s="1"/>
  <c r="K79" i="109"/>
  <c r="K90" i="109" s="1"/>
  <c r="J79" i="109"/>
  <c r="J90" i="109" s="1"/>
  <c r="I79" i="109"/>
  <c r="I90" i="109" s="1"/>
  <c r="H79" i="109"/>
  <c r="G79" i="109"/>
  <c r="F79" i="109"/>
  <c r="E79" i="109"/>
  <c r="E90" i="109" s="1"/>
  <c r="D79" i="109"/>
  <c r="D90" i="109" s="1"/>
  <c r="C79" i="109"/>
  <c r="C90" i="109" s="1"/>
  <c r="L78" i="109"/>
  <c r="K78" i="109"/>
  <c r="J78" i="109"/>
  <c r="I78" i="109"/>
  <c r="H78" i="109"/>
  <c r="G78" i="109"/>
  <c r="F78" i="109"/>
  <c r="E78" i="109"/>
  <c r="D78" i="109"/>
  <c r="C78" i="109"/>
  <c r="L77" i="109"/>
  <c r="K77" i="109"/>
  <c r="J77" i="109"/>
  <c r="I77" i="109"/>
  <c r="H77" i="109"/>
  <c r="G77" i="109"/>
  <c r="F77" i="109"/>
  <c r="E77" i="109"/>
  <c r="D77" i="109"/>
  <c r="C77" i="109"/>
  <c r="L76" i="109"/>
  <c r="K76" i="109"/>
  <c r="J76" i="109"/>
  <c r="I76" i="109"/>
  <c r="H76" i="109"/>
  <c r="G76" i="109"/>
  <c r="F76" i="109"/>
  <c r="E76" i="109"/>
  <c r="D76" i="109"/>
  <c r="C76" i="109"/>
  <c r="L75" i="109"/>
  <c r="K75" i="109"/>
  <c r="J75" i="109"/>
  <c r="I75" i="109"/>
  <c r="H75" i="109"/>
  <c r="G75" i="109"/>
  <c r="F75" i="109"/>
  <c r="E75" i="109"/>
  <c r="D75" i="109"/>
  <c r="C75" i="109"/>
  <c r="L74" i="109"/>
  <c r="L85" i="109" s="1"/>
  <c r="K74" i="109"/>
  <c r="K85" i="109" s="1"/>
  <c r="J74" i="109"/>
  <c r="I74" i="109"/>
  <c r="H74" i="109"/>
  <c r="G74" i="109"/>
  <c r="G85" i="109" s="1"/>
  <c r="F74" i="109"/>
  <c r="F85" i="109" s="1"/>
  <c r="E74" i="109"/>
  <c r="E85" i="109" s="1"/>
  <c r="D74" i="109"/>
  <c r="D85" i="109" s="1"/>
  <c r="C74" i="109"/>
  <c r="C85" i="109" s="1"/>
  <c r="L73" i="109"/>
  <c r="K73" i="109"/>
  <c r="J73" i="109"/>
  <c r="I73" i="109"/>
  <c r="I84" i="109" s="1"/>
  <c r="H73" i="109"/>
  <c r="H84" i="109" s="1"/>
  <c r="G73" i="109"/>
  <c r="G84" i="109" s="1"/>
  <c r="F73" i="109"/>
  <c r="F84" i="109" s="1"/>
  <c r="E73" i="109"/>
  <c r="E84" i="109" s="1"/>
  <c r="D73" i="109"/>
  <c r="C73" i="109"/>
  <c r="L72" i="109"/>
  <c r="K72" i="109"/>
  <c r="K83" i="109" s="1"/>
  <c r="J72" i="109"/>
  <c r="J83" i="109" s="1"/>
  <c r="I72" i="109"/>
  <c r="I83" i="109" s="1"/>
  <c r="H72" i="109"/>
  <c r="H83" i="109" s="1"/>
  <c r="G72" i="109"/>
  <c r="G83" i="109" s="1"/>
  <c r="F72" i="109"/>
  <c r="E72" i="109"/>
  <c r="D72" i="109"/>
  <c r="C72" i="109"/>
  <c r="C83" i="109" s="1"/>
  <c r="L71" i="109"/>
  <c r="L82" i="109" s="1"/>
  <c r="K71" i="109"/>
  <c r="K82" i="109" s="1"/>
  <c r="J71" i="109"/>
  <c r="J82" i="109" s="1"/>
  <c r="I71" i="109"/>
  <c r="I82" i="109" s="1"/>
  <c r="H71" i="109"/>
  <c r="G71" i="109"/>
  <c r="F71" i="109"/>
  <c r="E71" i="109"/>
  <c r="E82" i="109" s="1"/>
  <c r="D71" i="109"/>
  <c r="D82" i="109" s="1"/>
  <c r="C71" i="109"/>
  <c r="C82" i="109" s="1"/>
  <c r="L70" i="109"/>
  <c r="L81" i="109" s="1"/>
  <c r="L92" i="109" s="1"/>
  <c r="K70" i="109"/>
  <c r="K81" i="109" s="1"/>
  <c r="K92" i="109" s="1"/>
  <c r="J70" i="109"/>
  <c r="I70" i="109"/>
  <c r="H70" i="109"/>
  <c r="G70" i="109"/>
  <c r="G81" i="109" s="1"/>
  <c r="G92" i="109" s="1"/>
  <c r="F70" i="109"/>
  <c r="F81" i="109" s="1"/>
  <c r="F92" i="109" s="1"/>
  <c r="E70" i="109"/>
  <c r="E81" i="109" s="1"/>
  <c r="E92" i="109" s="1"/>
  <c r="D70" i="109"/>
  <c r="D81" i="109" s="1"/>
  <c r="D92" i="109" s="1"/>
  <c r="C70" i="109"/>
  <c r="C81" i="109" s="1"/>
  <c r="C92" i="109" s="1"/>
  <c r="L69" i="109"/>
  <c r="K69" i="109"/>
  <c r="J69" i="109"/>
  <c r="I69" i="109"/>
  <c r="I80" i="109" s="1"/>
  <c r="H69" i="109"/>
  <c r="H80" i="109" s="1"/>
  <c r="G69" i="109"/>
  <c r="G80" i="109" s="1"/>
  <c r="F69" i="109"/>
  <c r="F80" i="109" s="1"/>
  <c r="E69" i="109"/>
  <c r="E80" i="109" s="1"/>
  <c r="D69" i="109"/>
  <c r="C69" i="109"/>
  <c r="L92" i="101"/>
  <c r="K92" i="101"/>
  <c r="J92" i="101"/>
  <c r="I92" i="101"/>
  <c r="H92" i="101"/>
  <c r="G92" i="101"/>
  <c r="F92" i="101"/>
  <c r="E92" i="101"/>
  <c r="D92" i="101"/>
  <c r="C92" i="101"/>
  <c r="L90" i="101"/>
  <c r="K90" i="101"/>
  <c r="J90" i="101"/>
  <c r="I90" i="101"/>
  <c r="H90" i="101"/>
  <c r="G90" i="101"/>
  <c r="F90" i="101"/>
  <c r="E90" i="101"/>
  <c r="D90" i="101"/>
  <c r="C90" i="101"/>
  <c r="C70" i="101"/>
  <c r="C81" i="101" s="1"/>
  <c r="D70" i="101"/>
  <c r="E70" i="101"/>
  <c r="F70" i="101"/>
  <c r="G70" i="101"/>
  <c r="H70" i="101"/>
  <c r="I70" i="101"/>
  <c r="J70" i="101"/>
  <c r="J81" i="101" s="1"/>
  <c r="K70" i="101"/>
  <c r="K81" i="101" s="1"/>
  <c r="L70" i="101"/>
  <c r="C71" i="101"/>
  <c r="D71" i="101"/>
  <c r="E71" i="101"/>
  <c r="F71" i="101"/>
  <c r="G71" i="101"/>
  <c r="H71" i="101"/>
  <c r="H82" i="101" s="1"/>
  <c r="I71" i="101"/>
  <c r="I82" i="101" s="1"/>
  <c r="J71" i="101"/>
  <c r="K71" i="101"/>
  <c r="L71" i="101"/>
  <c r="C72" i="101"/>
  <c r="D72" i="101"/>
  <c r="E72" i="101"/>
  <c r="F72" i="101"/>
  <c r="F83" i="101" s="1"/>
  <c r="G72" i="101"/>
  <c r="G83" i="101" s="1"/>
  <c r="H72" i="101"/>
  <c r="I72" i="101"/>
  <c r="J72" i="101"/>
  <c r="K72" i="101"/>
  <c r="L72" i="101"/>
  <c r="C73" i="101"/>
  <c r="D73" i="101"/>
  <c r="D84" i="101" s="1"/>
  <c r="E73" i="101"/>
  <c r="E84" i="101" s="1"/>
  <c r="F73" i="101"/>
  <c r="G73" i="101"/>
  <c r="H73" i="101"/>
  <c r="I73" i="101"/>
  <c r="J73" i="101"/>
  <c r="K73" i="101"/>
  <c r="L73" i="101"/>
  <c r="L84" i="101" s="1"/>
  <c r="C74" i="101"/>
  <c r="C85" i="101" s="1"/>
  <c r="D74" i="101"/>
  <c r="E74" i="101"/>
  <c r="F74" i="101"/>
  <c r="G74" i="101"/>
  <c r="H74" i="101"/>
  <c r="I74" i="101"/>
  <c r="J74" i="101"/>
  <c r="J85" i="101" s="1"/>
  <c r="K74" i="101"/>
  <c r="K85" i="101" s="1"/>
  <c r="L74" i="101"/>
  <c r="C75" i="101"/>
  <c r="D75" i="101"/>
  <c r="E75" i="101"/>
  <c r="F75" i="101"/>
  <c r="G75" i="101"/>
  <c r="H75" i="101"/>
  <c r="I75" i="101"/>
  <c r="J75" i="101"/>
  <c r="K75" i="101"/>
  <c r="L75" i="101"/>
  <c r="C76" i="101"/>
  <c r="D76" i="101"/>
  <c r="E76" i="101"/>
  <c r="F76" i="101"/>
  <c r="G76" i="101"/>
  <c r="H76" i="101"/>
  <c r="I76" i="101"/>
  <c r="J76" i="101"/>
  <c r="K76" i="101"/>
  <c r="L76" i="101"/>
  <c r="C77" i="101"/>
  <c r="D77" i="101"/>
  <c r="E77" i="101"/>
  <c r="F77" i="101"/>
  <c r="G77" i="101"/>
  <c r="H77" i="101"/>
  <c r="I77" i="101"/>
  <c r="J77" i="101"/>
  <c r="K77" i="101"/>
  <c r="L77" i="101"/>
  <c r="C78" i="101"/>
  <c r="D78" i="101"/>
  <c r="E78" i="101"/>
  <c r="F78" i="101"/>
  <c r="G78" i="101"/>
  <c r="H78" i="101"/>
  <c r="I78" i="101"/>
  <c r="J78" i="101"/>
  <c r="K78" i="101"/>
  <c r="L78" i="101"/>
  <c r="C79" i="101"/>
  <c r="D79" i="101"/>
  <c r="E79" i="101"/>
  <c r="F79" i="101"/>
  <c r="G79" i="101"/>
  <c r="H79" i="101"/>
  <c r="I79" i="101"/>
  <c r="J79" i="101"/>
  <c r="K79" i="101"/>
  <c r="L79" i="101"/>
  <c r="C80" i="101"/>
  <c r="D80" i="101"/>
  <c r="E80" i="101"/>
  <c r="F80" i="101"/>
  <c r="G80" i="101"/>
  <c r="H80" i="101"/>
  <c r="I80" i="101"/>
  <c r="J80" i="101"/>
  <c r="K80" i="101"/>
  <c r="L80" i="101"/>
  <c r="D81" i="101"/>
  <c r="E81" i="101"/>
  <c r="F81" i="101"/>
  <c r="G81" i="101"/>
  <c r="H81" i="101"/>
  <c r="I81" i="101"/>
  <c r="L81" i="101"/>
  <c r="C82" i="101"/>
  <c r="D82" i="101"/>
  <c r="E82" i="101"/>
  <c r="F82" i="101"/>
  <c r="G82" i="101"/>
  <c r="J82" i="101"/>
  <c r="K82" i="101"/>
  <c r="L82" i="101"/>
  <c r="C83" i="101"/>
  <c r="D83" i="101"/>
  <c r="E83" i="101"/>
  <c r="H83" i="101"/>
  <c r="I83" i="101"/>
  <c r="J83" i="101"/>
  <c r="K83" i="101"/>
  <c r="L83" i="101"/>
  <c r="C84" i="101"/>
  <c r="F84" i="101"/>
  <c r="G84" i="101"/>
  <c r="H84" i="101"/>
  <c r="I84" i="101"/>
  <c r="J84" i="101"/>
  <c r="K84" i="101"/>
  <c r="D85" i="101"/>
  <c r="E85" i="101"/>
  <c r="F85" i="101"/>
  <c r="G85" i="101"/>
  <c r="H85" i="101"/>
  <c r="I85" i="101"/>
  <c r="L85" i="101"/>
  <c r="D69" i="101"/>
  <c r="E69" i="101"/>
  <c r="F69" i="101"/>
  <c r="G69" i="101"/>
  <c r="H69" i="101"/>
  <c r="I69" i="101"/>
  <c r="J69" i="101"/>
  <c r="K69" i="101"/>
  <c r="L69" i="101"/>
  <c r="C69" i="101"/>
  <c r="C59" i="108" l="1"/>
  <c r="F59" i="108"/>
  <c r="G59" i="108"/>
  <c r="H59" i="108"/>
  <c r="I59" i="108"/>
  <c r="J59" i="108"/>
  <c r="K59" i="108"/>
  <c r="L59" i="108"/>
  <c r="M59" i="108"/>
  <c r="N59" i="108"/>
  <c r="C60" i="108"/>
  <c r="F60" i="108"/>
  <c r="G60" i="108"/>
  <c r="H60" i="108"/>
  <c r="I60" i="108"/>
  <c r="J60" i="108"/>
  <c r="K60" i="108"/>
  <c r="L60" i="108"/>
  <c r="M60" i="108"/>
  <c r="N60" i="108"/>
  <c r="C61" i="108"/>
  <c r="F61" i="108"/>
  <c r="G61" i="108"/>
  <c r="H61" i="108"/>
  <c r="I61" i="108"/>
  <c r="J61" i="108"/>
  <c r="K61" i="108"/>
  <c r="L61" i="108"/>
  <c r="M61" i="108"/>
  <c r="N61" i="108"/>
  <c r="C62" i="108"/>
  <c r="F62" i="108"/>
  <c r="G62" i="108"/>
  <c r="H62" i="108"/>
  <c r="I62" i="108"/>
  <c r="J62" i="108"/>
  <c r="K62" i="108"/>
  <c r="L62" i="108"/>
  <c r="M62" i="108"/>
  <c r="N62" i="108"/>
  <c r="C63" i="108"/>
  <c r="F63" i="108"/>
  <c r="G63" i="108"/>
  <c r="H63" i="108"/>
  <c r="I63" i="108"/>
  <c r="J63" i="108"/>
  <c r="K63" i="108"/>
  <c r="L63" i="108"/>
  <c r="M63" i="108"/>
  <c r="N63" i="108"/>
  <c r="C64" i="108"/>
  <c r="F64" i="108"/>
  <c r="G64" i="108"/>
  <c r="H64" i="108"/>
  <c r="I64" i="108"/>
  <c r="J64" i="108"/>
  <c r="K64" i="108"/>
  <c r="L64" i="108"/>
  <c r="M64" i="108"/>
  <c r="N64" i="108"/>
  <c r="C65" i="108"/>
  <c r="F65" i="108"/>
  <c r="G65" i="108"/>
  <c r="H65" i="108"/>
  <c r="I65" i="108"/>
  <c r="J65" i="108"/>
  <c r="K65" i="108"/>
  <c r="L65" i="108"/>
  <c r="M65" i="108"/>
  <c r="N65" i="108"/>
  <c r="C66" i="108"/>
  <c r="F66" i="108"/>
  <c r="G66" i="108"/>
  <c r="H66" i="108"/>
  <c r="I66" i="108"/>
  <c r="J66" i="108"/>
  <c r="K66" i="108"/>
  <c r="L66" i="108"/>
  <c r="M66" i="108"/>
  <c r="N66" i="108"/>
  <c r="C67" i="108"/>
  <c r="F67" i="108"/>
  <c r="G67" i="108"/>
  <c r="H67" i="108"/>
  <c r="I67" i="108"/>
  <c r="J67" i="108"/>
  <c r="K67" i="108"/>
  <c r="L67" i="108"/>
  <c r="M67" i="108"/>
  <c r="N67" i="108"/>
  <c r="C68" i="108"/>
  <c r="F68" i="108"/>
  <c r="G68" i="108"/>
  <c r="H68" i="108"/>
  <c r="I68" i="108"/>
  <c r="J68" i="108"/>
  <c r="K68" i="108"/>
  <c r="L68" i="108"/>
  <c r="M68" i="108"/>
  <c r="N68" i="108"/>
  <c r="C69" i="108"/>
  <c r="F69" i="108"/>
  <c r="G69" i="108"/>
  <c r="H69" i="108"/>
  <c r="I69" i="108"/>
  <c r="J69" i="108"/>
  <c r="K69" i="108"/>
  <c r="L69" i="108"/>
  <c r="M69" i="108"/>
  <c r="N69" i="108"/>
  <c r="C70" i="108"/>
  <c r="F70" i="108"/>
  <c r="G70" i="108"/>
  <c r="H70" i="108"/>
  <c r="I70" i="108"/>
  <c r="J70" i="108"/>
  <c r="K70" i="108"/>
  <c r="L70" i="108"/>
  <c r="M70" i="108"/>
  <c r="N70" i="108"/>
  <c r="C71" i="108"/>
  <c r="F71" i="108"/>
  <c r="G71" i="108"/>
  <c r="H71" i="108"/>
  <c r="I71" i="108"/>
  <c r="J71" i="108"/>
  <c r="K71" i="108"/>
  <c r="L71" i="108"/>
  <c r="M71" i="108"/>
  <c r="N71" i="108"/>
  <c r="C72" i="108"/>
  <c r="F72" i="108"/>
  <c r="G72" i="108"/>
  <c r="H72" i="108"/>
  <c r="I72" i="108"/>
  <c r="Y25" i="108" s="1"/>
  <c r="J72" i="108"/>
  <c r="K72" i="108"/>
  <c r="L72" i="108"/>
  <c r="M72" i="108"/>
  <c r="N72" i="108"/>
  <c r="C73" i="108"/>
  <c r="F73" i="108"/>
  <c r="G73" i="108"/>
  <c r="H73" i="108"/>
  <c r="I73" i="108"/>
  <c r="J73" i="108"/>
  <c r="K73" i="108"/>
  <c r="L73" i="108"/>
  <c r="M73" i="108"/>
  <c r="N73" i="108"/>
  <c r="C74" i="108"/>
  <c r="F74" i="108"/>
  <c r="G74" i="108"/>
  <c r="H74" i="108"/>
  <c r="I74" i="108"/>
  <c r="J74" i="108"/>
  <c r="K74" i="108"/>
  <c r="L74" i="108"/>
  <c r="M74" i="108"/>
  <c r="N74" i="108"/>
  <c r="C75" i="108"/>
  <c r="F75" i="108"/>
  <c r="G75" i="108"/>
  <c r="H75" i="108"/>
  <c r="I75" i="108"/>
  <c r="J75" i="108"/>
  <c r="K75" i="108"/>
  <c r="L75" i="108"/>
  <c r="M75" i="108"/>
  <c r="N75" i="108"/>
  <c r="C76" i="108"/>
  <c r="F76" i="108"/>
  <c r="G76" i="108"/>
  <c r="H76" i="108"/>
  <c r="I76" i="108"/>
  <c r="J76" i="108"/>
  <c r="K76" i="108"/>
  <c r="L76" i="108"/>
  <c r="M76" i="108"/>
  <c r="N76" i="108"/>
  <c r="C77" i="108"/>
  <c r="F77" i="108"/>
  <c r="G77" i="108"/>
  <c r="H77" i="108"/>
  <c r="I77" i="108"/>
  <c r="J77" i="108"/>
  <c r="K77" i="108"/>
  <c r="L77" i="108"/>
  <c r="M77" i="108"/>
  <c r="N77" i="108"/>
  <c r="C78" i="108"/>
  <c r="F78" i="108"/>
  <c r="G78" i="108"/>
  <c r="H78" i="108"/>
  <c r="I78" i="108"/>
  <c r="J78" i="108"/>
  <c r="K78" i="108"/>
  <c r="L78" i="108"/>
  <c r="M78" i="108"/>
  <c r="N78" i="108"/>
  <c r="C79" i="108"/>
  <c r="F79" i="108"/>
  <c r="G79" i="108"/>
  <c r="H79" i="108"/>
  <c r="I79" i="108"/>
  <c r="J79" i="108"/>
  <c r="K79" i="108"/>
  <c r="L79" i="108"/>
  <c r="M79" i="108"/>
  <c r="N79" i="108"/>
  <c r="C80" i="108"/>
  <c r="F80" i="108"/>
  <c r="G80" i="108"/>
  <c r="H80" i="108"/>
  <c r="I80" i="108"/>
  <c r="J80" i="108"/>
  <c r="K80" i="108"/>
  <c r="L80" i="108"/>
  <c r="M80" i="108"/>
  <c r="N80" i="108"/>
  <c r="C81" i="108"/>
  <c r="F81" i="108"/>
  <c r="G81" i="108"/>
  <c r="H81" i="108"/>
  <c r="I81" i="108"/>
  <c r="J81" i="108"/>
  <c r="K81" i="108"/>
  <c r="L81" i="108"/>
  <c r="M81" i="108"/>
  <c r="N81" i="108"/>
  <c r="C82" i="108"/>
  <c r="F82" i="108"/>
  <c r="G82" i="108"/>
  <c r="H82" i="108"/>
  <c r="I82" i="108"/>
  <c r="J82" i="108"/>
  <c r="K82" i="108"/>
  <c r="L82" i="108"/>
  <c r="M82" i="108"/>
  <c r="N82" i="108"/>
  <c r="C83" i="108"/>
  <c r="F83" i="108"/>
  <c r="G83" i="108"/>
  <c r="H83" i="108"/>
  <c r="I83" i="108"/>
  <c r="J83" i="108"/>
  <c r="K83" i="108"/>
  <c r="L83" i="108"/>
  <c r="M83" i="108"/>
  <c r="N83" i="108"/>
  <c r="C84" i="108"/>
  <c r="F84" i="108"/>
  <c r="G84" i="108"/>
  <c r="H84" i="108"/>
  <c r="I84" i="108"/>
  <c r="J84" i="108"/>
  <c r="K84" i="108"/>
  <c r="L84" i="108"/>
  <c r="M84" i="108"/>
  <c r="N84" i="108"/>
  <c r="C85" i="108"/>
  <c r="F85" i="108"/>
  <c r="G85" i="108"/>
  <c r="H85" i="108"/>
  <c r="I85" i="108"/>
  <c r="J85" i="108"/>
  <c r="K85" i="108"/>
  <c r="L85" i="108"/>
  <c r="M85" i="108"/>
  <c r="N85" i="108"/>
  <c r="C86" i="108"/>
  <c r="T29" i="108"/>
  <c r="F86" i="108"/>
  <c r="G86" i="108"/>
  <c r="H86" i="108"/>
  <c r="I86" i="108"/>
  <c r="J86" i="108"/>
  <c r="K86" i="108"/>
  <c r="L86" i="108"/>
  <c r="M86" i="108"/>
  <c r="N86" i="108"/>
  <c r="C87" i="108"/>
  <c r="F87" i="108"/>
  <c r="G87" i="108"/>
  <c r="H87" i="108"/>
  <c r="I87" i="108"/>
  <c r="J87" i="108"/>
  <c r="K87" i="108"/>
  <c r="L87" i="108"/>
  <c r="M87" i="108"/>
  <c r="N87" i="108"/>
  <c r="C88" i="108"/>
  <c r="F88" i="108"/>
  <c r="G88" i="108"/>
  <c r="H88" i="108"/>
  <c r="I88" i="108"/>
  <c r="J88" i="108"/>
  <c r="K88" i="108"/>
  <c r="L88" i="108"/>
  <c r="M88" i="108"/>
  <c r="N88" i="108"/>
  <c r="C89" i="108"/>
  <c r="F89" i="108"/>
  <c r="G89" i="108"/>
  <c r="H89" i="108"/>
  <c r="I89" i="108"/>
  <c r="J89" i="108"/>
  <c r="K89" i="108"/>
  <c r="L89" i="108"/>
  <c r="M89" i="108"/>
  <c r="N89" i="108"/>
  <c r="C90" i="108"/>
  <c r="F90" i="108"/>
  <c r="G90" i="108"/>
  <c r="H90" i="108"/>
  <c r="X30" i="108" s="1"/>
  <c r="I90" i="108"/>
  <c r="J90" i="108"/>
  <c r="K90" i="108"/>
  <c r="L90" i="108"/>
  <c r="M90" i="108"/>
  <c r="N90" i="108"/>
  <c r="C91" i="108"/>
  <c r="F91" i="108"/>
  <c r="G91" i="108"/>
  <c r="H91" i="108"/>
  <c r="I91" i="108"/>
  <c r="J91" i="108"/>
  <c r="K91" i="108"/>
  <c r="L91" i="108"/>
  <c r="M91" i="108"/>
  <c r="N91" i="108"/>
  <c r="C92" i="108"/>
  <c r="F92" i="108"/>
  <c r="G92" i="108"/>
  <c r="H92" i="108"/>
  <c r="I92" i="108"/>
  <c r="J92" i="108"/>
  <c r="K92" i="108"/>
  <c r="L92" i="108"/>
  <c r="M92" i="108"/>
  <c r="N92" i="108"/>
  <c r="C93" i="108"/>
  <c r="F93" i="108"/>
  <c r="G93" i="108"/>
  <c r="H93" i="108"/>
  <c r="I93" i="108"/>
  <c r="J93" i="108"/>
  <c r="K93" i="108"/>
  <c r="L93" i="108"/>
  <c r="M93" i="108"/>
  <c r="N93" i="108"/>
  <c r="C94" i="108"/>
  <c r="F94" i="108"/>
  <c r="G94" i="108"/>
  <c r="H94" i="108"/>
  <c r="X31" i="108" s="1"/>
  <c r="I94" i="108"/>
  <c r="J94" i="108"/>
  <c r="K94" i="108"/>
  <c r="L94" i="108"/>
  <c r="AB31" i="108" s="1"/>
  <c r="M94" i="108"/>
  <c r="N94" i="108"/>
  <c r="C95" i="108"/>
  <c r="F95" i="108"/>
  <c r="G95" i="108"/>
  <c r="H95" i="108"/>
  <c r="I95" i="108"/>
  <c r="J95" i="108"/>
  <c r="K95" i="108"/>
  <c r="L95" i="108"/>
  <c r="M95" i="108"/>
  <c r="N95" i="108"/>
  <c r="C96" i="108"/>
  <c r="F96" i="108"/>
  <c r="G96" i="108"/>
  <c r="H96" i="108"/>
  <c r="I96" i="108"/>
  <c r="J96" i="108"/>
  <c r="K96" i="108"/>
  <c r="L96" i="108"/>
  <c r="M96" i="108"/>
  <c r="N96" i="108"/>
  <c r="C97" i="108"/>
  <c r="F97" i="108"/>
  <c r="G97" i="108"/>
  <c r="H97" i="108"/>
  <c r="I97" i="108"/>
  <c r="J97" i="108"/>
  <c r="K97" i="108"/>
  <c r="L97" i="108"/>
  <c r="M97" i="108"/>
  <c r="N97" i="108"/>
  <c r="C98" i="108"/>
  <c r="F98" i="108"/>
  <c r="G98" i="108"/>
  <c r="H98" i="108"/>
  <c r="X32" i="108" s="1"/>
  <c r="I98" i="108"/>
  <c r="J98" i="108"/>
  <c r="K98" i="108"/>
  <c r="L98" i="108"/>
  <c r="M98" i="108"/>
  <c r="N98" i="108"/>
  <c r="C99" i="108"/>
  <c r="F99" i="108"/>
  <c r="G99" i="108"/>
  <c r="H99" i="108"/>
  <c r="I99" i="108"/>
  <c r="J99" i="108"/>
  <c r="K99" i="108"/>
  <c r="L99" i="108"/>
  <c r="M99" i="108"/>
  <c r="N99" i="108"/>
  <c r="C100" i="108"/>
  <c r="F100" i="108"/>
  <c r="G100" i="108"/>
  <c r="H100" i="108"/>
  <c r="I100" i="108"/>
  <c r="J100" i="108"/>
  <c r="K100" i="108"/>
  <c r="L100" i="108"/>
  <c r="M100" i="108"/>
  <c r="N100" i="108"/>
  <c r="C101" i="108"/>
  <c r="F101" i="108"/>
  <c r="G101" i="108"/>
  <c r="H101" i="108"/>
  <c r="I101" i="108"/>
  <c r="J101" i="108"/>
  <c r="K101" i="108"/>
  <c r="L101" i="108"/>
  <c r="M101" i="108"/>
  <c r="N101" i="108"/>
  <c r="C102" i="108"/>
  <c r="F102" i="108"/>
  <c r="G102" i="108"/>
  <c r="H102" i="108"/>
  <c r="I102" i="108"/>
  <c r="J102" i="108"/>
  <c r="K102" i="108"/>
  <c r="L102" i="108"/>
  <c r="M102" i="108"/>
  <c r="N102" i="108"/>
  <c r="C103" i="108"/>
  <c r="F103" i="108"/>
  <c r="G103" i="108"/>
  <c r="H103" i="108"/>
  <c r="I103" i="108"/>
  <c r="J103" i="108"/>
  <c r="K103" i="108"/>
  <c r="L103" i="108"/>
  <c r="M103" i="108"/>
  <c r="N103" i="108"/>
  <c r="C104" i="108"/>
  <c r="F104" i="108"/>
  <c r="G104" i="108"/>
  <c r="H104" i="108"/>
  <c r="I104" i="108"/>
  <c r="J104" i="108"/>
  <c r="K104" i="108"/>
  <c r="L104" i="108"/>
  <c r="M104" i="108"/>
  <c r="N104" i="108"/>
  <c r="C105" i="108"/>
  <c r="F105" i="108"/>
  <c r="G105" i="108"/>
  <c r="H105" i="108"/>
  <c r="I105" i="108"/>
  <c r="J105" i="108"/>
  <c r="K105" i="108"/>
  <c r="L105" i="108"/>
  <c r="M105" i="108"/>
  <c r="N105" i="108"/>
  <c r="F58" i="108"/>
  <c r="G58" i="108"/>
  <c r="W22" i="108" s="1"/>
  <c r="H58" i="108"/>
  <c r="I58" i="108"/>
  <c r="J58" i="108"/>
  <c r="K58" i="108"/>
  <c r="M58" i="108"/>
  <c r="N58" i="108"/>
  <c r="C58" i="108"/>
  <c r="C59" i="107"/>
  <c r="F59" i="107"/>
  <c r="G59" i="107"/>
  <c r="G59" i="111" s="1"/>
  <c r="H59" i="107"/>
  <c r="I59" i="107"/>
  <c r="I59" i="111" s="1"/>
  <c r="J59" i="107"/>
  <c r="K59" i="107"/>
  <c r="L59" i="107"/>
  <c r="M59" i="107"/>
  <c r="N59" i="107"/>
  <c r="N59" i="111" s="1"/>
  <c r="C60" i="107"/>
  <c r="C60" i="111" s="1"/>
  <c r="E60" i="111"/>
  <c r="F60" i="107"/>
  <c r="G60" i="107"/>
  <c r="H60" i="107"/>
  <c r="I60" i="107"/>
  <c r="J60" i="107"/>
  <c r="J60" i="111" s="1"/>
  <c r="K60" i="107"/>
  <c r="K60" i="111" s="1"/>
  <c r="L60" i="107"/>
  <c r="M60" i="107"/>
  <c r="M60" i="111" s="1"/>
  <c r="N60" i="107"/>
  <c r="C61" i="107"/>
  <c r="F61" i="107"/>
  <c r="F61" i="111" s="1"/>
  <c r="G61" i="107"/>
  <c r="G61" i="111" s="1"/>
  <c r="H61" i="107"/>
  <c r="I61" i="107"/>
  <c r="I61" i="111" s="1"/>
  <c r="J61" i="107"/>
  <c r="K61" i="107"/>
  <c r="L61" i="107"/>
  <c r="M61" i="107"/>
  <c r="N61" i="107"/>
  <c r="N61" i="111" s="1"/>
  <c r="C62" i="107"/>
  <c r="C62" i="111" s="1"/>
  <c r="F62" i="107"/>
  <c r="G62" i="107"/>
  <c r="W23" i="107" s="1"/>
  <c r="H62" i="107"/>
  <c r="I62" i="107"/>
  <c r="J62" i="107"/>
  <c r="J62" i="111" s="1"/>
  <c r="K62" i="107"/>
  <c r="K62" i="111" s="1"/>
  <c r="L62" i="107"/>
  <c r="M62" i="107"/>
  <c r="M62" i="111" s="1"/>
  <c r="N62" i="107"/>
  <c r="C63" i="107"/>
  <c r="S23" i="107" s="1"/>
  <c r="F63" i="107"/>
  <c r="F63" i="111" s="1"/>
  <c r="G63" i="107"/>
  <c r="G63" i="111" s="1"/>
  <c r="H63" i="107"/>
  <c r="I63" i="107"/>
  <c r="I63" i="111" s="1"/>
  <c r="J63" i="107"/>
  <c r="K63" i="107"/>
  <c r="L63" i="107"/>
  <c r="M63" i="107"/>
  <c r="N63" i="107"/>
  <c r="N63" i="111" s="1"/>
  <c r="C64" i="107"/>
  <c r="C64" i="111" s="1"/>
  <c r="E64" i="111"/>
  <c r="F64" i="107"/>
  <c r="G64" i="107"/>
  <c r="H64" i="107"/>
  <c r="I64" i="107"/>
  <c r="J64" i="107"/>
  <c r="J64" i="111" s="1"/>
  <c r="K64" i="107"/>
  <c r="K64" i="111" s="1"/>
  <c r="L64" i="107"/>
  <c r="M64" i="107"/>
  <c r="M64" i="111" s="1"/>
  <c r="N64" i="107"/>
  <c r="C65" i="107"/>
  <c r="F65" i="107"/>
  <c r="F65" i="111" s="1"/>
  <c r="G65" i="107"/>
  <c r="G65" i="111" s="1"/>
  <c r="H65" i="107"/>
  <c r="I65" i="107"/>
  <c r="I65" i="111" s="1"/>
  <c r="J65" i="107"/>
  <c r="K65" i="107"/>
  <c r="L65" i="107"/>
  <c r="M65" i="107"/>
  <c r="N65" i="107"/>
  <c r="N65" i="111" s="1"/>
  <c r="C66" i="107"/>
  <c r="C66" i="111" s="1"/>
  <c r="E66" i="111"/>
  <c r="F66" i="107"/>
  <c r="G66" i="107"/>
  <c r="W24" i="107" s="1"/>
  <c r="H66" i="107"/>
  <c r="I66" i="107"/>
  <c r="J66" i="107"/>
  <c r="J66" i="111" s="1"/>
  <c r="K66" i="107"/>
  <c r="K66" i="111" s="1"/>
  <c r="L66" i="107"/>
  <c r="M66" i="107"/>
  <c r="N66" i="107"/>
  <c r="C67" i="107"/>
  <c r="F67" i="107"/>
  <c r="F67" i="111" s="1"/>
  <c r="G67" i="107"/>
  <c r="G67" i="111" s="1"/>
  <c r="H67" i="107"/>
  <c r="I67" i="107"/>
  <c r="I67" i="111" s="1"/>
  <c r="J67" i="107"/>
  <c r="K67" i="107"/>
  <c r="AA24" i="107" s="1"/>
  <c r="L67" i="107"/>
  <c r="M67" i="107"/>
  <c r="N67" i="107"/>
  <c r="N67" i="111" s="1"/>
  <c r="C68" i="107"/>
  <c r="C68" i="111" s="1"/>
  <c r="T24" i="107"/>
  <c r="E68" i="111"/>
  <c r="F68" i="107"/>
  <c r="G68" i="107"/>
  <c r="H68" i="107"/>
  <c r="I68" i="107"/>
  <c r="J68" i="107"/>
  <c r="J68" i="111" s="1"/>
  <c r="K68" i="107"/>
  <c r="K68" i="111" s="1"/>
  <c r="L68" i="107"/>
  <c r="M68" i="107"/>
  <c r="M68" i="111" s="1"/>
  <c r="N68" i="107"/>
  <c r="C69" i="107"/>
  <c r="F69" i="107"/>
  <c r="F69" i="111" s="1"/>
  <c r="G69" i="107"/>
  <c r="G69" i="111" s="1"/>
  <c r="H69" i="107"/>
  <c r="I69" i="107"/>
  <c r="I69" i="111" s="1"/>
  <c r="J69" i="107"/>
  <c r="K69" i="107"/>
  <c r="L69" i="107"/>
  <c r="M69" i="107"/>
  <c r="N69" i="107"/>
  <c r="N69" i="111" s="1"/>
  <c r="C70" i="107"/>
  <c r="C70" i="111" s="1"/>
  <c r="F70" i="107"/>
  <c r="G70" i="107"/>
  <c r="H70" i="107"/>
  <c r="I70" i="107"/>
  <c r="J70" i="107"/>
  <c r="K70" i="107"/>
  <c r="K70" i="111" s="1"/>
  <c r="L70" i="107"/>
  <c r="M70" i="107"/>
  <c r="M70" i="111" s="1"/>
  <c r="N70" i="107"/>
  <c r="C71" i="107"/>
  <c r="F71" i="107"/>
  <c r="F71" i="111" s="1"/>
  <c r="G71" i="107"/>
  <c r="G71" i="111" s="1"/>
  <c r="H71" i="107"/>
  <c r="I71" i="107"/>
  <c r="I71" i="111" s="1"/>
  <c r="J71" i="107"/>
  <c r="K71" i="107"/>
  <c r="AA25" i="107" s="1"/>
  <c r="L71" i="107"/>
  <c r="M71" i="107"/>
  <c r="N71" i="107"/>
  <c r="N71" i="111" s="1"/>
  <c r="C72" i="107"/>
  <c r="C72" i="111" s="1"/>
  <c r="E72" i="111"/>
  <c r="F72" i="107"/>
  <c r="G72" i="107"/>
  <c r="H72" i="107"/>
  <c r="I72" i="107"/>
  <c r="J72" i="107"/>
  <c r="J72" i="111" s="1"/>
  <c r="K72" i="107"/>
  <c r="K72" i="111" s="1"/>
  <c r="L72" i="107"/>
  <c r="M72" i="107"/>
  <c r="M72" i="111" s="1"/>
  <c r="N72" i="107"/>
  <c r="C73" i="107"/>
  <c r="F73" i="107"/>
  <c r="F73" i="111" s="1"/>
  <c r="G73" i="107"/>
  <c r="G73" i="111" s="1"/>
  <c r="H73" i="107"/>
  <c r="I73" i="107"/>
  <c r="I73" i="111" s="1"/>
  <c r="J73" i="107"/>
  <c r="K73" i="107"/>
  <c r="L73" i="107"/>
  <c r="M73" i="107"/>
  <c r="N73" i="107"/>
  <c r="N73" i="111" s="1"/>
  <c r="C74" i="107"/>
  <c r="C74" i="111" s="1"/>
  <c r="E74" i="111"/>
  <c r="F74" i="107"/>
  <c r="G74" i="107"/>
  <c r="W26" i="107" s="1"/>
  <c r="H74" i="107"/>
  <c r="I74" i="107"/>
  <c r="J74" i="107"/>
  <c r="K74" i="107"/>
  <c r="K74" i="111" s="1"/>
  <c r="L74" i="107"/>
  <c r="M74" i="107"/>
  <c r="N74" i="107"/>
  <c r="C75" i="107"/>
  <c r="F75" i="107"/>
  <c r="F75" i="111" s="1"/>
  <c r="G75" i="107"/>
  <c r="G75" i="111" s="1"/>
  <c r="H75" i="107"/>
  <c r="I75" i="107"/>
  <c r="I75" i="111" s="1"/>
  <c r="J75" i="107"/>
  <c r="K75" i="107"/>
  <c r="AA26" i="107" s="1"/>
  <c r="L75" i="107"/>
  <c r="M75" i="107"/>
  <c r="N75" i="107"/>
  <c r="N75" i="111" s="1"/>
  <c r="C76" i="107"/>
  <c r="C76" i="111" s="1"/>
  <c r="E76" i="111"/>
  <c r="F76" i="107"/>
  <c r="G76" i="107"/>
  <c r="H76" i="107"/>
  <c r="I76" i="107"/>
  <c r="J76" i="107"/>
  <c r="J76" i="111" s="1"/>
  <c r="K76" i="107"/>
  <c r="K76" i="111" s="1"/>
  <c r="L76" i="107"/>
  <c r="M76" i="107"/>
  <c r="M76" i="111" s="1"/>
  <c r="N76" i="107"/>
  <c r="C77" i="107"/>
  <c r="F77" i="107"/>
  <c r="G77" i="107"/>
  <c r="G77" i="111" s="1"/>
  <c r="H77" i="107"/>
  <c r="I77" i="107"/>
  <c r="I77" i="111" s="1"/>
  <c r="J77" i="107"/>
  <c r="K77" i="107"/>
  <c r="L77" i="107"/>
  <c r="M77" i="107"/>
  <c r="N77" i="107"/>
  <c r="N77" i="111" s="1"/>
  <c r="C78" i="107"/>
  <c r="C78" i="111" s="1"/>
  <c r="F78" i="107"/>
  <c r="G78" i="107"/>
  <c r="H78" i="107"/>
  <c r="I78" i="107"/>
  <c r="J78" i="107"/>
  <c r="J78" i="111" s="1"/>
  <c r="K78" i="107"/>
  <c r="K78" i="111" s="1"/>
  <c r="L78" i="107"/>
  <c r="M78" i="107"/>
  <c r="M78" i="111" s="1"/>
  <c r="N78" i="107"/>
  <c r="C79" i="107"/>
  <c r="F79" i="107"/>
  <c r="F79" i="111" s="1"/>
  <c r="G79" i="107"/>
  <c r="G79" i="111" s="1"/>
  <c r="H79" i="107"/>
  <c r="I79" i="107"/>
  <c r="I79" i="111" s="1"/>
  <c r="J79" i="107"/>
  <c r="K79" i="107"/>
  <c r="L79" i="107"/>
  <c r="M79" i="107"/>
  <c r="N79" i="107"/>
  <c r="N79" i="111" s="1"/>
  <c r="C80" i="107"/>
  <c r="C80" i="111" s="1"/>
  <c r="E80" i="111"/>
  <c r="F80" i="107"/>
  <c r="G80" i="107"/>
  <c r="H80" i="107"/>
  <c r="I80" i="107"/>
  <c r="J80" i="107"/>
  <c r="J80" i="111" s="1"/>
  <c r="K80" i="107"/>
  <c r="K80" i="111" s="1"/>
  <c r="L80" i="107"/>
  <c r="M80" i="107"/>
  <c r="M80" i="111" s="1"/>
  <c r="N80" i="107"/>
  <c r="C81" i="107"/>
  <c r="F81" i="107"/>
  <c r="F81" i="111" s="1"/>
  <c r="G81" i="107"/>
  <c r="G81" i="111" s="1"/>
  <c r="H81" i="107"/>
  <c r="I81" i="107"/>
  <c r="I81" i="111" s="1"/>
  <c r="J81" i="107"/>
  <c r="K81" i="107"/>
  <c r="L81" i="107"/>
  <c r="M81" i="107"/>
  <c r="N81" i="107"/>
  <c r="N81" i="111" s="1"/>
  <c r="C82" i="107"/>
  <c r="C82" i="111" s="1"/>
  <c r="E82" i="111"/>
  <c r="F82" i="107"/>
  <c r="G82" i="107"/>
  <c r="H82" i="107"/>
  <c r="I82" i="107"/>
  <c r="J82" i="107"/>
  <c r="K82" i="107"/>
  <c r="K82" i="111" s="1"/>
  <c r="L82" i="107"/>
  <c r="M82" i="107"/>
  <c r="M82" i="111" s="1"/>
  <c r="N82" i="107"/>
  <c r="C83" i="107"/>
  <c r="F83" i="107"/>
  <c r="F83" i="111" s="1"/>
  <c r="G83" i="107"/>
  <c r="G83" i="111" s="1"/>
  <c r="H83" i="107"/>
  <c r="I83" i="107"/>
  <c r="I83" i="111" s="1"/>
  <c r="J83" i="107"/>
  <c r="K83" i="107"/>
  <c r="L83" i="107"/>
  <c r="M83" i="107"/>
  <c r="N83" i="107"/>
  <c r="N83" i="111" s="1"/>
  <c r="C84" i="107"/>
  <c r="C84" i="111" s="1"/>
  <c r="E84" i="111"/>
  <c r="F84" i="107"/>
  <c r="G84" i="107"/>
  <c r="H84" i="107"/>
  <c r="I84" i="107"/>
  <c r="J84" i="107"/>
  <c r="J84" i="111" s="1"/>
  <c r="K84" i="107"/>
  <c r="K84" i="111" s="1"/>
  <c r="L84" i="107"/>
  <c r="M84" i="107"/>
  <c r="M84" i="111" s="1"/>
  <c r="N84" i="107"/>
  <c r="C85" i="107"/>
  <c r="F85" i="107"/>
  <c r="F85" i="111" s="1"/>
  <c r="G85" i="107"/>
  <c r="G85" i="111" s="1"/>
  <c r="H85" i="107"/>
  <c r="I85" i="107"/>
  <c r="I85" i="111" s="1"/>
  <c r="J85" i="107"/>
  <c r="K85" i="107"/>
  <c r="L85" i="107"/>
  <c r="M85" i="107"/>
  <c r="N85" i="107"/>
  <c r="N85" i="111" s="1"/>
  <c r="C86" i="107"/>
  <c r="C86" i="111" s="1"/>
  <c r="F86" i="107"/>
  <c r="G86" i="107"/>
  <c r="W29" i="107" s="1"/>
  <c r="H86" i="107"/>
  <c r="I86" i="107"/>
  <c r="J86" i="107"/>
  <c r="K86" i="107"/>
  <c r="L86" i="107"/>
  <c r="M86" i="107"/>
  <c r="M86" i="111" s="1"/>
  <c r="N86" i="107"/>
  <c r="C87" i="107"/>
  <c r="F87" i="107"/>
  <c r="F87" i="111" s="1"/>
  <c r="G87" i="107"/>
  <c r="G87" i="111" s="1"/>
  <c r="H87" i="107"/>
  <c r="I87" i="107"/>
  <c r="I87" i="111" s="1"/>
  <c r="J87" i="107"/>
  <c r="K87" i="107"/>
  <c r="L87" i="107"/>
  <c r="M87" i="107"/>
  <c r="N87" i="107"/>
  <c r="N87" i="111" s="1"/>
  <c r="C88" i="107"/>
  <c r="C88" i="111" s="1"/>
  <c r="E88" i="111"/>
  <c r="F88" i="107"/>
  <c r="G88" i="107"/>
  <c r="H88" i="107"/>
  <c r="I88" i="107"/>
  <c r="J88" i="107"/>
  <c r="J88" i="111" s="1"/>
  <c r="K88" i="107"/>
  <c r="K88" i="111" s="1"/>
  <c r="L88" i="107"/>
  <c r="M88" i="107"/>
  <c r="M88" i="111" s="1"/>
  <c r="N88" i="107"/>
  <c r="C89" i="107"/>
  <c r="F89" i="107"/>
  <c r="F89" i="111" s="1"/>
  <c r="G89" i="107"/>
  <c r="G89" i="111" s="1"/>
  <c r="H89" i="107"/>
  <c r="I89" i="107"/>
  <c r="I89" i="111" s="1"/>
  <c r="J89" i="107"/>
  <c r="K89" i="107"/>
  <c r="L89" i="107"/>
  <c r="M89" i="107"/>
  <c r="N89" i="107"/>
  <c r="N89" i="111" s="1"/>
  <c r="C90" i="107"/>
  <c r="C90" i="111" s="1"/>
  <c r="F90" i="107"/>
  <c r="G90" i="107"/>
  <c r="H90" i="107"/>
  <c r="I90" i="107"/>
  <c r="J90" i="107"/>
  <c r="K90" i="107"/>
  <c r="K90" i="111" s="1"/>
  <c r="L90" i="107"/>
  <c r="M90" i="107"/>
  <c r="M90" i="111" s="1"/>
  <c r="N90" i="107"/>
  <c r="C91" i="107"/>
  <c r="F91" i="107"/>
  <c r="F91" i="111" s="1"/>
  <c r="G91" i="107"/>
  <c r="G91" i="111" s="1"/>
  <c r="H91" i="107"/>
  <c r="I91" i="107"/>
  <c r="I91" i="111" s="1"/>
  <c r="J91" i="107"/>
  <c r="K91" i="107"/>
  <c r="AA30" i="107" s="1"/>
  <c r="L91" i="107"/>
  <c r="M91" i="107"/>
  <c r="N91" i="107"/>
  <c r="N91" i="111" s="1"/>
  <c r="C92" i="107"/>
  <c r="C92" i="111" s="1"/>
  <c r="E92" i="111"/>
  <c r="F92" i="107"/>
  <c r="G92" i="107"/>
  <c r="H92" i="107"/>
  <c r="I92" i="107"/>
  <c r="J92" i="107"/>
  <c r="J92" i="111" s="1"/>
  <c r="K92" i="107"/>
  <c r="K92" i="111" s="1"/>
  <c r="L92" i="107"/>
  <c r="M92" i="107"/>
  <c r="M92" i="111" s="1"/>
  <c r="N92" i="107"/>
  <c r="C93" i="107"/>
  <c r="F93" i="107"/>
  <c r="F93" i="111" s="1"/>
  <c r="G93" i="107"/>
  <c r="G93" i="111" s="1"/>
  <c r="H93" i="107"/>
  <c r="I93" i="107"/>
  <c r="I93" i="111" s="1"/>
  <c r="J93" i="107"/>
  <c r="K93" i="107"/>
  <c r="L93" i="107"/>
  <c r="M93" i="107"/>
  <c r="N93" i="107"/>
  <c r="N93" i="111" s="1"/>
  <c r="C94" i="107"/>
  <c r="C94" i="111" s="1"/>
  <c r="F94" i="107"/>
  <c r="G94" i="107"/>
  <c r="W31" i="107" s="1"/>
  <c r="H94" i="107"/>
  <c r="I94" i="107"/>
  <c r="J94" i="107"/>
  <c r="K94" i="107"/>
  <c r="K94" i="111" s="1"/>
  <c r="L94" i="107"/>
  <c r="M94" i="107"/>
  <c r="N94" i="107"/>
  <c r="C95" i="107"/>
  <c r="S31" i="107" s="1"/>
  <c r="F95" i="107"/>
  <c r="F95" i="111" s="1"/>
  <c r="G95" i="107"/>
  <c r="G95" i="111" s="1"/>
  <c r="H95" i="107"/>
  <c r="I95" i="107"/>
  <c r="I95" i="111" s="1"/>
  <c r="J95" i="107"/>
  <c r="K95" i="107"/>
  <c r="L95" i="107"/>
  <c r="M95" i="107"/>
  <c r="N95" i="107"/>
  <c r="N95" i="111" s="1"/>
  <c r="C96" i="107"/>
  <c r="E96" i="111"/>
  <c r="F96" i="107"/>
  <c r="G96" i="107"/>
  <c r="H96" i="107"/>
  <c r="I96" i="107"/>
  <c r="J96" i="107"/>
  <c r="J96" i="111" s="1"/>
  <c r="K96" i="107"/>
  <c r="K96" i="111" s="1"/>
  <c r="L96" i="107"/>
  <c r="M96" i="107"/>
  <c r="M96" i="111" s="1"/>
  <c r="N96" i="107"/>
  <c r="C97" i="107"/>
  <c r="F97" i="107"/>
  <c r="F97" i="111" s="1"/>
  <c r="G97" i="107"/>
  <c r="H97" i="107"/>
  <c r="I97" i="107"/>
  <c r="I97" i="111" s="1"/>
  <c r="J97" i="107"/>
  <c r="K97" i="107"/>
  <c r="L97" i="107"/>
  <c r="M97" i="107"/>
  <c r="N97" i="107"/>
  <c r="N97" i="111" s="1"/>
  <c r="C98" i="107"/>
  <c r="C98" i="111" s="1"/>
  <c r="E98" i="111"/>
  <c r="F98" i="107"/>
  <c r="G98" i="107"/>
  <c r="H98" i="107"/>
  <c r="I98" i="107"/>
  <c r="J98" i="107"/>
  <c r="K98" i="107"/>
  <c r="K98" i="111" s="1"/>
  <c r="L98" i="107"/>
  <c r="M98" i="107"/>
  <c r="M98" i="111" s="1"/>
  <c r="N98" i="107"/>
  <c r="C99" i="107"/>
  <c r="F99" i="107"/>
  <c r="F99" i="111" s="1"/>
  <c r="G99" i="107"/>
  <c r="G99" i="111" s="1"/>
  <c r="H99" i="107"/>
  <c r="I99" i="107"/>
  <c r="I99" i="111" s="1"/>
  <c r="J99" i="107"/>
  <c r="K99" i="107"/>
  <c r="L99" i="107"/>
  <c r="M99" i="107"/>
  <c r="N99" i="107"/>
  <c r="N99" i="111" s="1"/>
  <c r="C100" i="107"/>
  <c r="C100" i="111" s="1"/>
  <c r="E100" i="111"/>
  <c r="F100" i="107"/>
  <c r="G100" i="107"/>
  <c r="H100" i="107"/>
  <c r="I100" i="107"/>
  <c r="J100" i="107"/>
  <c r="J100" i="111" s="1"/>
  <c r="K100" i="107"/>
  <c r="K100" i="111" s="1"/>
  <c r="L100" i="107"/>
  <c r="M100" i="107"/>
  <c r="M100" i="111" s="1"/>
  <c r="N100" i="107"/>
  <c r="C101" i="107"/>
  <c r="F101" i="107"/>
  <c r="F101" i="111" s="1"/>
  <c r="G101" i="107"/>
  <c r="G101" i="111" s="1"/>
  <c r="H101" i="107"/>
  <c r="I101" i="107"/>
  <c r="I101" i="111" s="1"/>
  <c r="J101" i="107"/>
  <c r="K101" i="107"/>
  <c r="L101" i="107"/>
  <c r="M101" i="107"/>
  <c r="N101" i="107"/>
  <c r="N101" i="111" s="1"/>
  <c r="C102" i="107"/>
  <c r="C102" i="111" s="1"/>
  <c r="F102" i="107"/>
  <c r="G102" i="107"/>
  <c r="W33" i="107" s="1"/>
  <c r="H102" i="107"/>
  <c r="I102" i="107"/>
  <c r="J102" i="107"/>
  <c r="J102" i="111" s="1"/>
  <c r="K102" i="107"/>
  <c r="K102" i="111" s="1"/>
  <c r="L102" i="107"/>
  <c r="M102" i="107"/>
  <c r="N102" i="107"/>
  <c r="C103" i="107"/>
  <c r="F103" i="107"/>
  <c r="F103" i="111" s="1"/>
  <c r="G103" i="107"/>
  <c r="G103" i="111" s="1"/>
  <c r="H103" i="107"/>
  <c r="I103" i="107"/>
  <c r="I103" i="111" s="1"/>
  <c r="J103" i="107"/>
  <c r="K103" i="107"/>
  <c r="L103" i="107"/>
  <c r="M103" i="107"/>
  <c r="N103" i="107"/>
  <c r="N103" i="111" s="1"/>
  <c r="C104" i="107"/>
  <c r="C104" i="111" s="1"/>
  <c r="E104" i="111"/>
  <c r="F104" i="107"/>
  <c r="G104" i="107"/>
  <c r="H104" i="107"/>
  <c r="I104" i="107"/>
  <c r="J104" i="107"/>
  <c r="J104" i="111" s="1"/>
  <c r="K104" i="107"/>
  <c r="K104" i="111" s="1"/>
  <c r="L104" i="107"/>
  <c r="M104" i="107"/>
  <c r="M104" i="111" s="1"/>
  <c r="N104" i="107"/>
  <c r="C105" i="107"/>
  <c r="F105" i="107"/>
  <c r="F105" i="111" s="1"/>
  <c r="G105" i="107"/>
  <c r="G105" i="111" s="1"/>
  <c r="H105" i="107"/>
  <c r="I105" i="107"/>
  <c r="I105" i="111" s="1"/>
  <c r="J105" i="107"/>
  <c r="K105" i="107"/>
  <c r="L105" i="107"/>
  <c r="M105" i="107"/>
  <c r="N105" i="107"/>
  <c r="N105" i="111" s="1"/>
  <c r="D58" i="111"/>
  <c r="F58" i="107"/>
  <c r="F58" i="111" s="1"/>
  <c r="G58" i="107"/>
  <c r="H58" i="107"/>
  <c r="X22" i="107" s="1"/>
  <c r="I58" i="107"/>
  <c r="J58" i="107"/>
  <c r="K58" i="107"/>
  <c r="L58" i="107"/>
  <c r="M58" i="107"/>
  <c r="N58" i="107"/>
  <c r="N58" i="111" s="1"/>
  <c r="C58" i="107"/>
  <c r="AB33" i="108"/>
  <c r="S32" i="108"/>
  <c r="AB29" i="108"/>
  <c r="AB28" i="108"/>
  <c r="W27" i="108"/>
  <c r="T27" i="108"/>
  <c r="X26" i="108"/>
  <c r="AA25" i="108"/>
  <c r="X25" i="108"/>
  <c r="T25" i="108"/>
  <c r="AB24" i="108"/>
  <c r="U24" i="108"/>
  <c r="AC23" i="108"/>
  <c r="X23" i="108"/>
  <c r="T23" i="108"/>
  <c r="AA22" i="108"/>
  <c r="T22" i="108"/>
  <c r="AA32" i="107"/>
  <c r="X30" i="107"/>
  <c r="AB28" i="107"/>
  <c r="X28" i="107"/>
  <c r="X27" i="107"/>
  <c r="T27" i="107"/>
  <c r="AB26" i="107"/>
  <c r="X25" i="107"/>
  <c r="T25" i="107"/>
  <c r="S25" i="107"/>
  <c r="J105" i="111" l="1"/>
  <c r="N104" i="111"/>
  <c r="F104" i="111"/>
  <c r="J103" i="111"/>
  <c r="F102" i="111"/>
  <c r="J101" i="111"/>
  <c r="N100" i="111"/>
  <c r="F100" i="111"/>
  <c r="P100" i="111" s="1"/>
  <c r="J99" i="111"/>
  <c r="J97" i="111"/>
  <c r="N96" i="111"/>
  <c r="F96" i="111"/>
  <c r="J95" i="111"/>
  <c r="J93" i="111"/>
  <c r="N92" i="111"/>
  <c r="F92" i="111"/>
  <c r="J91" i="111"/>
  <c r="J89" i="111"/>
  <c r="N88" i="111"/>
  <c r="F88" i="111"/>
  <c r="J87" i="111"/>
  <c r="J85" i="111"/>
  <c r="N84" i="111"/>
  <c r="F84" i="111"/>
  <c r="P84" i="111" s="1"/>
  <c r="J83" i="111"/>
  <c r="J81" i="111"/>
  <c r="N80" i="111"/>
  <c r="F80" i="111"/>
  <c r="J79" i="111"/>
  <c r="N78" i="111"/>
  <c r="AD27" i="111" s="1"/>
  <c r="J77" i="111"/>
  <c r="N76" i="111"/>
  <c r="F76" i="111"/>
  <c r="J75" i="111"/>
  <c r="N74" i="111"/>
  <c r="F74" i="111"/>
  <c r="J73" i="111"/>
  <c r="N72" i="111"/>
  <c r="F72" i="111"/>
  <c r="J71" i="111"/>
  <c r="F70" i="111"/>
  <c r="J69" i="111"/>
  <c r="N68" i="111"/>
  <c r="F68" i="111"/>
  <c r="J67" i="111"/>
  <c r="N66" i="111"/>
  <c r="AD24" i="111" s="1"/>
  <c r="J65" i="111"/>
  <c r="N64" i="111"/>
  <c r="AD23" i="111" s="1"/>
  <c r="F64" i="111"/>
  <c r="J63" i="111"/>
  <c r="N62" i="111"/>
  <c r="J61" i="111"/>
  <c r="N60" i="111"/>
  <c r="F60" i="111"/>
  <c r="J59" i="111"/>
  <c r="H105" i="111"/>
  <c r="X33" i="111" s="1"/>
  <c r="L104" i="111"/>
  <c r="H103" i="111"/>
  <c r="H101" i="111"/>
  <c r="L100" i="111"/>
  <c r="D100" i="111"/>
  <c r="H99" i="111"/>
  <c r="X32" i="111" s="1"/>
  <c r="L98" i="111"/>
  <c r="D98" i="111"/>
  <c r="T32" i="111" s="1"/>
  <c r="H97" i="111"/>
  <c r="L96" i="111"/>
  <c r="H95" i="111"/>
  <c r="L94" i="111"/>
  <c r="H93" i="111"/>
  <c r="L92" i="111"/>
  <c r="D92" i="111"/>
  <c r="H91" i="111"/>
  <c r="X30" i="111" s="1"/>
  <c r="D90" i="111"/>
  <c r="H89" i="111"/>
  <c r="L88" i="111"/>
  <c r="H87" i="111"/>
  <c r="H85" i="111"/>
  <c r="L84" i="111"/>
  <c r="D84" i="111"/>
  <c r="H83" i="111"/>
  <c r="P83" i="111" s="1"/>
  <c r="L82" i="111"/>
  <c r="H81" i="111"/>
  <c r="L80" i="111"/>
  <c r="H79" i="111"/>
  <c r="D78" i="111"/>
  <c r="H77" i="111"/>
  <c r="L76" i="111"/>
  <c r="D76" i="111"/>
  <c r="O76" i="111" s="1"/>
  <c r="H75" i="111"/>
  <c r="L74" i="111"/>
  <c r="H73" i="111"/>
  <c r="L72" i="111"/>
  <c r="D72" i="111"/>
  <c r="H71" i="111"/>
  <c r="O71" i="111" s="1"/>
  <c r="D70" i="111"/>
  <c r="H69" i="111"/>
  <c r="L68" i="111"/>
  <c r="H67" i="111"/>
  <c r="D66" i="111"/>
  <c r="H65" i="111"/>
  <c r="L64" i="111"/>
  <c r="H63" i="111"/>
  <c r="X23" i="111" s="1"/>
  <c r="L62" i="111"/>
  <c r="H61" i="111"/>
  <c r="L60" i="111"/>
  <c r="D60" i="111"/>
  <c r="H59" i="111"/>
  <c r="O98" i="108"/>
  <c r="O76" i="108"/>
  <c r="P60" i="108"/>
  <c r="AC33" i="108"/>
  <c r="U33" i="108"/>
  <c r="AC32" i="108"/>
  <c r="U32" i="108"/>
  <c r="Y32" i="108"/>
  <c r="U31" i="108"/>
  <c r="AC30" i="108"/>
  <c r="Y30" i="108"/>
  <c r="U29" i="108"/>
  <c r="AC28" i="108"/>
  <c r="U28" i="108"/>
  <c r="U27" i="108"/>
  <c r="Y27" i="108"/>
  <c r="U26" i="108"/>
  <c r="AC25" i="108"/>
  <c r="AC24" i="108"/>
  <c r="U23" i="108"/>
  <c r="Y23" i="108"/>
  <c r="Y22" i="108"/>
  <c r="I58" i="111"/>
  <c r="L105" i="111"/>
  <c r="H104" i="111"/>
  <c r="L103" i="111"/>
  <c r="D103" i="111"/>
  <c r="H102" i="111"/>
  <c r="L101" i="111"/>
  <c r="AB32" i="111" s="1"/>
  <c r="D101" i="111"/>
  <c r="H100" i="111"/>
  <c r="L99" i="111"/>
  <c r="H98" i="111"/>
  <c r="L97" i="111"/>
  <c r="D97" i="111"/>
  <c r="H96" i="111"/>
  <c r="L95" i="111"/>
  <c r="AB31" i="111" s="1"/>
  <c r="L93" i="111"/>
  <c r="D93" i="111"/>
  <c r="H92" i="111"/>
  <c r="L91" i="111"/>
  <c r="H90" i="111"/>
  <c r="L89" i="111"/>
  <c r="H88" i="111"/>
  <c r="L87" i="111"/>
  <c r="D87" i="111"/>
  <c r="H86" i="111"/>
  <c r="L85" i="111"/>
  <c r="D85" i="111"/>
  <c r="H84" i="111"/>
  <c r="L83" i="111"/>
  <c r="D83" i="111"/>
  <c r="H82" i="111"/>
  <c r="X28" i="111" s="1"/>
  <c r="L81" i="111"/>
  <c r="D81" i="111"/>
  <c r="H80" i="111"/>
  <c r="L79" i="111"/>
  <c r="H78" i="111"/>
  <c r="L77" i="111"/>
  <c r="D77" i="111"/>
  <c r="H76" i="111"/>
  <c r="L75" i="111"/>
  <c r="L73" i="111"/>
  <c r="H72" i="111"/>
  <c r="L71" i="111"/>
  <c r="D71" i="111"/>
  <c r="H70" i="111"/>
  <c r="X25" i="111" s="1"/>
  <c r="L69" i="111"/>
  <c r="H68" i="111"/>
  <c r="L67" i="111"/>
  <c r="D67" i="111"/>
  <c r="L65" i="111"/>
  <c r="D65" i="111"/>
  <c r="H64" i="111"/>
  <c r="L63" i="111"/>
  <c r="AB23" i="111" s="1"/>
  <c r="H62" i="111"/>
  <c r="L61" i="111"/>
  <c r="D61" i="111"/>
  <c r="H60" i="111"/>
  <c r="AA33" i="108"/>
  <c r="S33" i="108"/>
  <c r="P100" i="108"/>
  <c r="O99" i="108"/>
  <c r="AA31" i="108"/>
  <c r="W31" i="108"/>
  <c r="AA29" i="108"/>
  <c r="AA28" i="108"/>
  <c r="W28" i="108"/>
  <c r="AA27" i="108"/>
  <c r="AA26" i="108"/>
  <c r="O75" i="108"/>
  <c r="W26" i="108"/>
  <c r="S25" i="108"/>
  <c r="P68" i="108"/>
  <c r="AA24" i="108"/>
  <c r="P67" i="108"/>
  <c r="S23" i="108"/>
  <c r="G97" i="111"/>
  <c r="C96" i="111"/>
  <c r="K86" i="111"/>
  <c r="Y29" i="108"/>
  <c r="P59" i="108"/>
  <c r="S24" i="108"/>
  <c r="J58" i="111"/>
  <c r="M105" i="111"/>
  <c r="E105" i="111"/>
  <c r="I104" i="111"/>
  <c r="M103" i="111"/>
  <c r="E103" i="111"/>
  <c r="M101" i="111"/>
  <c r="E101" i="111"/>
  <c r="I100" i="111"/>
  <c r="M99" i="111"/>
  <c r="E99" i="111"/>
  <c r="I98" i="111"/>
  <c r="Y32" i="111" s="1"/>
  <c r="M97" i="111"/>
  <c r="E97" i="111"/>
  <c r="I96" i="111"/>
  <c r="M95" i="111"/>
  <c r="E95" i="111"/>
  <c r="M93" i="111"/>
  <c r="E93" i="111"/>
  <c r="I92" i="111"/>
  <c r="M91" i="111"/>
  <c r="AC30" i="111" s="1"/>
  <c r="E91" i="111"/>
  <c r="M89" i="111"/>
  <c r="E89" i="111"/>
  <c r="I88" i="111"/>
  <c r="M87" i="111"/>
  <c r="E87" i="111"/>
  <c r="M85" i="111"/>
  <c r="AC28" i="111" s="1"/>
  <c r="E85" i="111"/>
  <c r="I84" i="111"/>
  <c r="M83" i="111"/>
  <c r="E83" i="111"/>
  <c r="M81" i="111"/>
  <c r="E81" i="111"/>
  <c r="I80" i="111"/>
  <c r="M79" i="111"/>
  <c r="AC27" i="111" s="1"/>
  <c r="E79" i="111"/>
  <c r="I78" i="111"/>
  <c r="Y27" i="111" s="1"/>
  <c r="M77" i="111"/>
  <c r="E77" i="111"/>
  <c r="I76" i="111"/>
  <c r="M75" i="111"/>
  <c r="E75" i="111"/>
  <c r="M73" i="111"/>
  <c r="E73" i="111"/>
  <c r="I72" i="111"/>
  <c r="Y25" i="111" s="1"/>
  <c r="E71" i="111"/>
  <c r="I70" i="111"/>
  <c r="M69" i="111"/>
  <c r="E69" i="111"/>
  <c r="I68" i="111"/>
  <c r="M67" i="111"/>
  <c r="E67" i="111"/>
  <c r="M65" i="111"/>
  <c r="P65" i="111" s="1"/>
  <c r="E65" i="111"/>
  <c r="I64" i="111"/>
  <c r="M63" i="111"/>
  <c r="E63" i="111"/>
  <c r="M61" i="111"/>
  <c r="E61" i="111"/>
  <c r="I60" i="111"/>
  <c r="M59" i="111"/>
  <c r="E59" i="111"/>
  <c r="T32" i="108"/>
  <c r="P92" i="108"/>
  <c r="AB30" i="108"/>
  <c r="AB26" i="108"/>
  <c r="P99" i="108"/>
  <c r="P91" i="108"/>
  <c r="P76" i="108"/>
  <c r="O66" i="108"/>
  <c r="W24" i="108"/>
  <c r="H58" i="111"/>
  <c r="K105" i="111"/>
  <c r="C105" i="111"/>
  <c r="G104" i="111"/>
  <c r="G102" i="111"/>
  <c r="K101" i="111"/>
  <c r="AA32" i="111" s="1"/>
  <c r="C101" i="111"/>
  <c r="G100" i="111"/>
  <c r="K99" i="111"/>
  <c r="C99" i="111"/>
  <c r="G98" i="111"/>
  <c r="K97" i="111"/>
  <c r="AA31" i="111" s="1"/>
  <c r="C97" i="111"/>
  <c r="G96" i="111"/>
  <c r="W31" i="111" s="1"/>
  <c r="K95" i="111"/>
  <c r="C95" i="111"/>
  <c r="G94" i="111"/>
  <c r="K93" i="111"/>
  <c r="C93" i="111"/>
  <c r="G92" i="111"/>
  <c r="P92" i="111" s="1"/>
  <c r="K91" i="111"/>
  <c r="C91" i="111"/>
  <c r="S30" i="111" s="1"/>
  <c r="G90" i="111"/>
  <c r="K89" i="111"/>
  <c r="C89" i="111"/>
  <c r="G88" i="111"/>
  <c r="K87" i="111"/>
  <c r="G86" i="111"/>
  <c r="W29" i="111" s="1"/>
  <c r="K85" i="111"/>
  <c r="C85" i="111"/>
  <c r="S28" i="111" s="1"/>
  <c r="G84" i="111"/>
  <c r="C83" i="111"/>
  <c r="G82" i="111"/>
  <c r="K81" i="111"/>
  <c r="C81" i="111"/>
  <c r="G80" i="111"/>
  <c r="C79" i="111"/>
  <c r="S27" i="111" s="1"/>
  <c r="K77" i="111"/>
  <c r="C77" i="111"/>
  <c r="G76" i="111"/>
  <c r="K75" i="111"/>
  <c r="C75" i="111"/>
  <c r="G74" i="111"/>
  <c r="K73" i="111"/>
  <c r="AA25" i="111" s="1"/>
  <c r="C73" i="111"/>
  <c r="S25" i="111" s="1"/>
  <c r="G72" i="111"/>
  <c r="O72" i="111" s="1"/>
  <c r="K71" i="111"/>
  <c r="C71" i="111"/>
  <c r="G70" i="111"/>
  <c r="K69" i="111"/>
  <c r="C69" i="111"/>
  <c r="G68" i="111"/>
  <c r="W24" i="111" s="1"/>
  <c r="K67" i="111"/>
  <c r="AA24" i="111" s="1"/>
  <c r="C67" i="111"/>
  <c r="G66" i="111"/>
  <c r="K65" i="111"/>
  <c r="C65" i="111"/>
  <c r="G64" i="111"/>
  <c r="K63" i="111"/>
  <c r="C63" i="111"/>
  <c r="S23" i="111" s="1"/>
  <c r="G62" i="111"/>
  <c r="W23" i="111" s="1"/>
  <c r="K61" i="111"/>
  <c r="C61" i="111"/>
  <c r="G60" i="111"/>
  <c r="K59" i="111"/>
  <c r="C59" i="111"/>
  <c r="O90" i="108"/>
  <c r="O84" i="108"/>
  <c r="O64" i="108"/>
  <c r="O100" i="108"/>
  <c r="O68" i="108"/>
  <c r="W33" i="108"/>
  <c r="O83" i="108"/>
  <c r="O60" i="108"/>
  <c r="S30" i="108"/>
  <c r="P86" i="108"/>
  <c r="P82" i="108"/>
  <c r="P80" i="108"/>
  <c r="P78" i="108"/>
  <c r="P74" i="108"/>
  <c r="P72" i="108"/>
  <c r="P70" i="108"/>
  <c r="P66" i="108"/>
  <c r="P64" i="108"/>
  <c r="P62" i="108"/>
  <c r="O82" i="108"/>
  <c r="O67" i="108"/>
  <c r="U22" i="108"/>
  <c r="W30" i="108"/>
  <c r="W26" i="111"/>
  <c r="S24" i="111"/>
  <c r="O74" i="108"/>
  <c r="W32" i="107"/>
  <c r="S30" i="107"/>
  <c r="W30" i="107"/>
  <c r="W25" i="107"/>
  <c r="S27" i="107"/>
  <c r="Y25" i="107"/>
  <c r="S28" i="107"/>
  <c r="S26" i="107"/>
  <c r="W28" i="107"/>
  <c r="AA23" i="107"/>
  <c r="AB23" i="107"/>
  <c r="S24" i="107"/>
  <c r="U24" i="107"/>
  <c r="AC23" i="107"/>
  <c r="AC28" i="107"/>
  <c r="AC32" i="107"/>
  <c r="Y27" i="107"/>
  <c r="P104" i="108"/>
  <c r="P102" i="108"/>
  <c r="P98" i="108"/>
  <c r="P96" i="108"/>
  <c r="P94" i="108"/>
  <c r="P90" i="108"/>
  <c r="P88" i="108"/>
  <c r="O92" i="108"/>
  <c r="X23" i="107"/>
  <c r="U26" i="107"/>
  <c r="AC27" i="107"/>
  <c r="AA29" i="107"/>
  <c r="AA31" i="107"/>
  <c r="S28" i="108"/>
  <c r="O91" i="108"/>
  <c r="AC30" i="107"/>
  <c r="X29" i="107"/>
  <c r="X33" i="107"/>
  <c r="S32" i="107"/>
  <c r="Y33" i="108"/>
  <c r="AC31" i="108"/>
  <c r="Y31" i="108"/>
  <c r="U30" i="108"/>
  <c r="AC29" i="108"/>
  <c r="Y28" i="108"/>
  <c r="AC27" i="108"/>
  <c r="AC26" i="108"/>
  <c r="Y26" i="108"/>
  <c r="U25" i="108"/>
  <c r="Y24" i="108"/>
  <c r="AC22" i="108"/>
  <c r="P84" i="108"/>
  <c r="M71" i="111"/>
  <c r="AC25" i="107"/>
  <c r="I66" i="111"/>
  <c r="Y24" i="111" s="1"/>
  <c r="Y24" i="107"/>
  <c r="AC23" i="111"/>
  <c r="T33" i="108"/>
  <c r="X33" i="108"/>
  <c r="AB32" i="108"/>
  <c r="T31" i="108"/>
  <c r="T30" i="108"/>
  <c r="X29" i="108"/>
  <c r="T28" i="108"/>
  <c r="X28" i="108"/>
  <c r="AB27" i="108"/>
  <c r="X27" i="108"/>
  <c r="T26" i="108"/>
  <c r="AB25" i="108"/>
  <c r="T24" i="108"/>
  <c r="X24" i="108"/>
  <c r="AB23" i="108"/>
  <c r="P83" i="108"/>
  <c r="Y32" i="107"/>
  <c r="D99" i="111"/>
  <c r="P99" i="111" s="1"/>
  <c r="T32" i="107"/>
  <c r="X22" i="108"/>
  <c r="P105" i="108"/>
  <c r="O105" i="108"/>
  <c r="P103" i="108"/>
  <c r="O103" i="108"/>
  <c r="P101" i="108"/>
  <c r="O101" i="108"/>
  <c r="AA32" i="108"/>
  <c r="W32" i="108"/>
  <c r="P97" i="108"/>
  <c r="O97" i="108"/>
  <c r="S31" i="108"/>
  <c r="P95" i="108"/>
  <c r="O95" i="108"/>
  <c r="P93" i="108"/>
  <c r="O93" i="108"/>
  <c r="AA30" i="108"/>
  <c r="P89" i="108"/>
  <c r="O89" i="108"/>
  <c r="P87" i="108"/>
  <c r="O87" i="108"/>
  <c r="S29" i="108"/>
  <c r="W29" i="108"/>
  <c r="P85" i="108"/>
  <c r="O85" i="108"/>
  <c r="P81" i="108"/>
  <c r="O81" i="108"/>
  <c r="S27" i="108"/>
  <c r="P79" i="108"/>
  <c r="O79" i="108"/>
  <c r="P77" i="108"/>
  <c r="O77" i="108"/>
  <c r="S26" i="108"/>
  <c r="P73" i="108"/>
  <c r="O73" i="108"/>
  <c r="P71" i="108"/>
  <c r="O71" i="108"/>
  <c r="W25" i="108"/>
  <c r="P69" i="108"/>
  <c r="AF24" i="108" s="1"/>
  <c r="O69" i="108"/>
  <c r="AE24" i="108" s="1"/>
  <c r="P65" i="108"/>
  <c r="O65" i="108"/>
  <c r="AA23" i="108"/>
  <c r="P63" i="108"/>
  <c r="O63" i="108"/>
  <c r="W23" i="108"/>
  <c r="P61" i="108"/>
  <c r="O61" i="108"/>
  <c r="S22" i="108"/>
  <c r="I90" i="111"/>
  <c r="Y30" i="107"/>
  <c r="H94" i="111"/>
  <c r="X31" i="111" s="1"/>
  <c r="X31" i="107"/>
  <c r="D91" i="111"/>
  <c r="T30" i="107"/>
  <c r="K103" i="111"/>
  <c r="AA33" i="107"/>
  <c r="C103" i="111"/>
  <c r="S33" i="107"/>
  <c r="C87" i="111"/>
  <c r="P87" i="111" s="1"/>
  <c r="S29" i="107"/>
  <c r="K83" i="111"/>
  <c r="AA28" i="107"/>
  <c r="K79" i="111"/>
  <c r="AA27" i="107"/>
  <c r="G78" i="111"/>
  <c r="W27" i="107"/>
  <c r="S26" i="111"/>
  <c r="AA23" i="111"/>
  <c r="O59" i="108"/>
  <c r="P75" i="108"/>
  <c r="S22" i="107"/>
  <c r="W22" i="107"/>
  <c r="AD33" i="108"/>
  <c r="V33" i="108"/>
  <c r="AD32" i="108"/>
  <c r="V32" i="108"/>
  <c r="AD31" i="108"/>
  <c r="V31" i="108"/>
  <c r="AD30" i="108"/>
  <c r="V30" i="108"/>
  <c r="AD29" i="108"/>
  <c r="V29" i="108"/>
  <c r="AD28" i="108"/>
  <c r="V28" i="108"/>
  <c r="AD27" i="108"/>
  <c r="V27" i="108"/>
  <c r="AD26" i="108"/>
  <c r="V26" i="108"/>
  <c r="AD25" i="108"/>
  <c r="V25" i="108"/>
  <c r="AD24" i="108"/>
  <c r="V24" i="108"/>
  <c r="AD23" i="108"/>
  <c r="V23" i="108"/>
  <c r="Z22" i="108"/>
  <c r="U32" i="111"/>
  <c r="O104" i="108"/>
  <c r="O96" i="108"/>
  <c r="O88" i="108"/>
  <c r="O80" i="108"/>
  <c r="O72" i="108"/>
  <c r="O102" i="108"/>
  <c r="O94" i="108"/>
  <c r="O86" i="108"/>
  <c r="O78" i="108"/>
  <c r="O70" i="108"/>
  <c r="O62" i="108"/>
  <c r="AA22" i="107"/>
  <c r="Z27" i="111"/>
  <c r="P77" i="107"/>
  <c r="Z33" i="108"/>
  <c r="Z32" i="108"/>
  <c r="Z31" i="108"/>
  <c r="Z30" i="108"/>
  <c r="Z29" i="108"/>
  <c r="Z28" i="108"/>
  <c r="Z27" i="108"/>
  <c r="Z26" i="108"/>
  <c r="Z25" i="108"/>
  <c r="Z24" i="108"/>
  <c r="Z23" i="108"/>
  <c r="AD22" i="108"/>
  <c r="V22" i="108"/>
  <c r="AD26" i="111"/>
  <c r="W28" i="111"/>
  <c r="P99" i="107"/>
  <c r="F77" i="111"/>
  <c r="V26" i="111" s="1"/>
  <c r="O93" i="107"/>
  <c r="O72" i="107"/>
  <c r="P92" i="107"/>
  <c r="P71" i="107"/>
  <c r="K58" i="111"/>
  <c r="O97" i="107"/>
  <c r="O88" i="107"/>
  <c r="X29" i="111"/>
  <c r="X27" i="111"/>
  <c r="O87" i="107"/>
  <c r="O65" i="107"/>
  <c r="P88" i="107"/>
  <c r="P67" i="107"/>
  <c r="G58" i="111"/>
  <c r="W22" i="111" s="1"/>
  <c r="O76" i="107"/>
  <c r="O83" i="107"/>
  <c r="O61" i="107"/>
  <c r="P81" i="107"/>
  <c r="P60" i="107"/>
  <c r="E58" i="111"/>
  <c r="U22" i="107"/>
  <c r="P105" i="107"/>
  <c r="O105" i="107"/>
  <c r="D105" i="111"/>
  <c r="P104" i="107"/>
  <c r="Y22" i="107"/>
  <c r="O104" i="107"/>
  <c r="D104" i="111"/>
  <c r="O100" i="111"/>
  <c r="S32" i="111"/>
  <c r="AC29" i="111"/>
  <c r="AC22" i="107"/>
  <c r="M58" i="111"/>
  <c r="AB28" i="111"/>
  <c r="O84" i="111"/>
  <c r="P103" i="107"/>
  <c r="W32" i="111"/>
  <c r="X32" i="107"/>
  <c r="AC33" i="107"/>
  <c r="Y33" i="107"/>
  <c r="I102" i="111"/>
  <c r="U33" i="107"/>
  <c r="E102" i="111"/>
  <c r="U32" i="107"/>
  <c r="AC31" i="107"/>
  <c r="M94" i="111"/>
  <c r="AC31" i="111" s="1"/>
  <c r="Y31" i="107"/>
  <c r="I94" i="111"/>
  <c r="Y31" i="111" s="1"/>
  <c r="U31" i="107"/>
  <c r="E90" i="111"/>
  <c r="U30" i="107"/>
  <c r="AC29" i="107"/>
  <c r="Y29" i="107"/>
  <c r="I86" i="111"/>
  <c r="Y29" i="111" s="1"/>
  <c r="U29" i="107"/>
  <c r="E86" i="111"/>
  <c r="U29" i="111" s="1"/>
  <c r="I82" i="111"/>
  <c r="Y28" i="107"/>
  <c r="U28" i="107"/>
  <c r="E78" i="111"/>
  <c r="U27" i="107"/>
  <c r="M74" i="111"/>
  <c r="AC26" i="111" s="1"/>
  <c r="AC26" i="107"/>
  <c r="I74" i="111"/>
  <c r="Y26" i="111" s="1"/>
  <c r="Y26" i="107"/>
  <c r="U26" i="111"/>
  <c r="E70" i="111"/>
  <c r="U25" i="107"/>
  <c r="M66" i="111"/>
  <c r="AC24" i="107"/>
  <c r="I62" i="111"/>
  <c r="Y23" i="111" s="1"/>
  <c r="Y23" i="107"/>
  <c r="E62" i="111"/>
  <c r="U23" i="111" s="1"/>
  <c r="U23" i="107"/>
  <c r="O103" i="107"/>
  <c r="O92" i="107"/>
  <c r="O81" i="107"/>
  <c r="O71" i="107"/>
  <c r="O60" i="107"/>
  <c r="P97" i="107"/>
  <c r="P87" i="107"/>
  <c r="P76" i="107"/>
  <c r="P65" i="107"/>
  <c r="M102" i="111"/>
  <c r="V33" i="111"/>
  <c r="D88" i="111"/>
  <c r="V25" i="111"/>
  <c r="AB33" i="107"/>
  <c r="D102" i="111"/>
  <c r="T33" i="107"/>
  <c r="P101" i="107"/>
  <c r="O101" i="107"/>
  <c r="P100" i="107"/>
  <c r="O100" i="107"/>
  <c r="AB32" i="107"/>
  <c r="D96" i="111"/>
  <c r="O96" i="107"/>
  <c r="P96" i="107"/>
  <c r="P95" i="107"/>
  <c r="O95" i="107"/>
  <c r="D95" i="111"/>
  <c r="P95" i="111" s="1"/>
  <c r="AB31" i="107"/>
  <c r="D94" i="111"/>
  <c r="T31" i="107"/>
  <c r="P91" i="107"/>
  <c r="O91" i="107"/>
  <c r="L90" i="111"/>
  <c r="AB30" i="107"/>
  <c r="T30" i="111"/>
  <c r="P89" i="107"/>
  <c r="O89" i="107"/>
  <c r="D89" i="111"/>
  <c r="AB29" i="107"/>
  <c r="L86" i="111"/>
  <c r="D86" i="111"/>
  <c r="T29" i="107"/>
  <c r="P85" i="107"/>
  <c r="O85" i="107"/>
  <c r="P84" i="107"/>
  <c r="O84" i="107"/>
  <c r="D82" i="111"/>
  <c r="T28" i="111" s="1"/>
  <c r="T28" i="107"/>
  <c r="D80" i="111"/>
  <c r="P80" i="107"/>
  <c r="O80" i="107"/>
  <c r="D79" i="111"/>
  <c r="P79" i="107"/>
  <c r="O79" i="107"/>
  <c r="L78" i="111"/>
  <c r="AB27" i="111" s="1"/>
  <c r="AB27" i="107"/>
  <c r="D75" i="111"/>
  <c r="P75" i="107"/>
  <c r="O75" i="107"/>
  <c r="AB26" i="111"/>
  <c r="H74" i="111"/>
  <c r="X26" i="107"/>
  <c r="D74" i="111"/>
  <c r="T26" i="107"/>
  <c r="D73" i="111"/>
  <c r="T25" i="111" s="1"/>
  <c r="P73" i="107"/>
  <c r="O73" i="107"/>
  <c r="L70" i="111"/>
  <c r="AB25" i="111" s="1"/>
  <c r="AB25" i="107"/>
  <c r="D69" i="111"/>
  <c r="P69" i="107"/>
  <c r="O69" i="107"/>
  <c r="D68" i="111"/>
  <c r="P68" i="107"/>
  <c r="O68" i="107"/>
  <c r="L66" i="111"/>
  <c r="AB24" i="111" s="1"/>
  <c r="AB24" i="107"/>
  <c r="H66" i="111"/>
  <c r="X24" i="107"/>
  <c r="O65" i="111"/>
  <c r="D64" i="111"/>
  <c r="P64" i="107"/>
  <c r="O64" i="107"/>
  <c r="D63" i="111"/>
  <c r="P63" i="107"/>
  <c r="O63" i="107"/>
  <c r="D62" i="111"/>
  <c r="T23" i="107"/>
  <c r="L59" i="111"/>
  <c r="AB22" i="107"/>
  <c r="D59" i="111"/>
  <c r="T22" i="111" s="1"/>
  <c r="P59" i="107"/>
  <c r="O59" i="107"/>
  <c r="T22" i="107"/>
  <c r="O99" i="107"/>
  <c r="O77" i="107"/>
  <c r="O67" i="107"/>
  <c r="P93" i="107"/>
  <c r="P83" i="107"/>
  <c r="P72" i="107"/>
  <c r="P61" i="107"/>
  <c r="L102" i="111"/>
  <c r="AB33" i="111" s="1"/>
  <c r="E94" i="111"/>
  <c r="O81" i="111"/>
  <c r="X22" i="111"/>
  <c r="Z23" i="111"/>
  <c r="AD22" i="111"/>
  <c r="O101" i="111"/>
  <c r="P98" i="107"/>
  <c r="P94" i="107"/>
  <c r="P90" i="107"/>
  <c r="P86" i="107"/>
  <c r="O83" i="111"/>
  <c r="P82" i="107"/>
  <c r="Z33" i="111"/>
  <c r="Z24" i="111"/>
  <c r="Z22" i="111"/>
  <c r="P58" i="107"/>
  <c r="O58" i="107"/>
  <c r="AD33" i="107"/>
  <c r="Z33" i="107"/>
  <c r="V33" i="107"/>
  <c r="AD32" i="107"/>
  <c r="N98" i="111"/>
  <c r="AD32" i="111" s="1"/>
  <c r="Z32" i="107"/>
  <c r="J98" i="111"/>
  <c r="V32" i="107"/>
  <c r="F98" i="111"/>
  <c r="AD31" i="107"/>
  <c r="N94" i="111"/>
  <c r="AD31" i="111" s="1"/>
  <c r="Z31" i="107"/>
  <c r="J94" i="111"/>
  <c r="Z31" i="111" s="1"/>
  <c r="V31" i="107"/>
  <c r="F94" i="111"/>
  <c r="V31" i="111" s="1"/>
  <c r="AD30" i="107"/>
  <c r="N90" i="111"/>
  <c r="AD30" i="111" s="1"/>
  <c r="Z30" i="107"/>
  <c r="J90" i="111"/>
  <c r="V30" i="107"/>
  <c r="F90" i="111"/>
  <c r="AD29" i="107"/>
  <c r="N86" i="111"/>
  <c r="AD29" i="111" s="1"/>
  <c r="Z29" i="107"/>
  <c r="J86" i="111"/>
  <c r="Z29" i="111" s="1"/>
  <c r="V29" i="107"/>
  <c r="F86" i="111"/>
  <c r="V29" i="111" s="1"/>
  <c r="AD28" i="107"/>
  <c r="N82" i="111"/>
  <c r="AD28" i="111" s="1"/>
  <c r="Z28" i="107"/>
  <c r="J82" i="111"/>
  <c r="V28" i="107"/>
  <c r="F82" i="111"/>
  <c r="AD27" i="107"/>
  <c r="Z27" i="107"/>
  <c r="V27" i="107"/>
  <c r="F78" i="111"/>
  <c r="V27" i="111" s="1"/>
  <c r="AD26" i="107"/>
  <c r="Z26" i="107"/>
  <c r="J74" i="111"/>
  <c r="Z26" i="111" s="1"/>
  <c r="V26" i="107"/>
  <c r="AD25" i="107"/>
  <c r="N70" i="111"/>
  <c r="Z25" i="107"/>
  <c r="V25" i="107"/>
  <c r="AD24" i="107"/>
  <c r="Z24" i="107"/>
  <c r="V24" i="107"/>
  <c r="AD23" i="107"/>
  <c r="Z23" i="107"/>
  <c r="V23" i="107"/>
  <c r="F62" i="111"/>
  <c r="V23" i="111" s="1"/>
  <c r="AD22" i="107"/>
  <c r="Z22" i="107"/>
  <c r="V22" i="107"/>
  <c r="F59" i="111"/>
  <c r="V22" i="111" s="1"/>
  <c r="C58" i="111"/>
  <c r="N102" i="111"/>
  <c r="AD33" i="111" s="1"/>
  <c r="J70" i="111"/>
  <c r="F66" i="111"/>
  <c r="V24" i="111" s="1"/>
  <c r="P72" i="111"/>
  <c r="O102" i="107"/>
  <c r="O98" i="107"/>
  <c r="O94" i="107"/>
  <c r="O90" i="107"/>
  <c r="O86" i="107"/>
  <c r="O82" i="107"/>
  <c r="O78" i="107"/>
  <c r="O74" i="107"/>
  <c r="O70" i="107"/>
  <c r="O66" i="107"/>
  <c r="O62" i="107"/>
  <c r="P102" i="107"/>
  <c r="P78" i="107"/>
  <c r="P74" i="107"/>
  <c r="P70" i="107"/>
  <c r="P66" i="107"/>
  <c r="P62" i="107"/>
  <c r="L58" i="108"/>
  <c r="AB22" i="108" s="1"/>
  <c r="AE32" i="108" l="1"/>
  <c r="P80" i="111"/>
  <c r="P93" i="111"/>
  <c r="P101" i="111"/>
  <c r="P76" i="111"/>
  <c r="AF27" i="108"/>
  <c r="U31" i="111"/>
  <c r="U30" i="111"/>
  <c r="V28" i="111"/>
  <c r="V32" i="111"/>
  <c r="Y28" i="111"/>
  <c r="O91" i="111"/>
  <c r="S31" i="111"/>
  <c r="W33" i="111"/>
  <c r="P60" i="111"/>
  <c r="AA29" i="111"/>
  <c r="W25" i="111"/>
  <c r="Z28" i="111"/>
  <c r="AB30" i="111"/>
  <c r="O93" i="111"/>
  <c r="O75" i="111"/>
  <c r="O99" i="111"/>
  <c r="P81" i="111"/>
  <c r="AC32" i="111"/>
  <c r="P104" i="111"/>
  <c r="O77" i="111"/>
  <c r="V30" i="111"/>
  <c r="X24" i="111"/>
  <c r="AB29" i="111"/>
  <c r="AA22" i="111"/>
  <c r="AA26" i="111"/>
  <c r="AC22" i="111"/>
  <c r="Z25" i="111"/>
  <c r="O95" i="111"/>
  <c r="AE28" i="108"/>
  <c r="AC25" i="111"/>
  <c r="P61" i="111"/>
  <c r="Z32" i="111"/>
  <c r="P77" i="111"/>
  <c r="AD25" i="111"/>
  <c r="Z30" i="111"/>
  <c r="X26" i="111"/>
  <c r="U33" i="111"/>
  <c r="AE26" i="108"/>
  <c r="AA27" i="111"/>
  <c r="AA33" i="111"/>
  <c r="AE30" i="107"/>
  <c r="P91" i="111"/>
  <c r="P64" i="111"/>
  <c r="P88" i="111"/>
  <c r="P105" i="111"/>
  <c r="O60" i="111"/>
  <c r="AE31" i="107"/>
  <c r="P75" i="111"/>
  <c r="O104" i="111"/>
  <c r="AA28" i="111"/>
  <c r="O67" i="111"/>
  <c r="P85" i="111"/>
  <c r="P63" i="111"/>
  <c r="P96" i="111"/>
  <c r="O61" i="111"/>
  <c r="O92" i="111"/>
  <c r="O85" i="111"/>
  <c r="T31" i="111"/>
  <c r="W30" i="111"/>
  <c r="O96" i="111"/>
  <c r="O97" i="111"/>
  <c r="U24" i="111"/>
  <c r="U25" i="111"/>
  <c r="P97" i="111"/>
  <c r="P68" i="111"/>
  <c r="U22" i="111"/>
  <c r="AF30" i="108"/>
  <c r="AA30" i="111"/>
  <c r="U28" i="111"/>
  <c r="P67" i="111"/>
  <c r="O80" i="111"/>
  <c r="AE25" i="108"/>
  <c r="AF23" i="108"/>
  <c r="AF25" i="108"/>
  <c r="U27" i="111"/>
  <c r="Y22" i="111"/>
  <c r="Y33" i="111"/>
  <c r="AE27" i="108"/>
  <c r="P71" i="111"/>
  <c r="AC33" i="111"/>
  <c r="AC24" i="111"/>
  <c r="W27" i="111"/>
  <c r="P103" i="111"/>
  <c r="Y30" i="111"/>
  <c r="AF32" i="108"/>
  <c r="O105" i="111"/>
  <c r="S33" i="111"/>
  <c r="O103" i="111"/>
  <c r="AE33" i="107"/>
  <c r="T27" i="111"/>
  <c r="AE22" i="107"/>
  <c r="P62" i="111"/>
  <c r="O66" i="111"/>
  <c r="AF23" i="107"/>
  <c r="AF22" i="107"/>
  <c r="O70" i="111"/>
  <c r="O86" i="111"/>
  <c r="AE31" i="108"/>
  <c r="AF29" i="108"/>
  <c r="O82" i="111"/>
  <c r="AE29" i="108"/>
  <c r="AF33" i="108"/>
  <c r="AF27" i="107"/>
  <c r="AE29" i="107"/>
  <c r="O88" i="111"/>
  <c r="T29" i="111"/>
  <c r="AE33" i="108"/>
  <c r="O58" i="108"/>
  <c r="AE22" i="108" s="1"/>
  <c r="AE30" i="108"/>
  <c r="AF29" i="107"/>
  <c r="AE23" i="107"/>
  <c r="O64" i="111"/>
  <c r="O78" i="111"/>
  <c r="O87" i="111"/>
  <c r="AF26" i="108"/>
  <c r="AF28" i="108"/>
  <c r="P58" i="108"/>
  <c r="AF22" i="108" s="1"/>
  <c r="S29" i="111"/>
  <c r="P79" i="111"/>
  <c r="T33" i="111"/>
  <c r="AE23" i="108"/>
  <c r="L58" i="111"/>
  <c r="O58" i="111" s="1"/>
  <c r="AF31" i="108"/>
  <c r="P70" i="111"/>
  <c r="AF30" i="107"/>
  <c r="O102" i="111"/>
  <c r="T26" i="111"/>
  <c r="AE25" i="107"/>
  <c r="AF28" i="107"/>
  <c r="O90" i="111"/>
  <c r="AE26" i="107"/>
  <c r="O59" i="111"/>
  <c r="O63" i="111"/>
  <c r="O68" i="111"/>
  <c r="O74" i="111"/>
  <c r="AE26" i="111" s="1"/>
  <c r="P86" i="111"/>
  <c r="P82" i="111"/>
  <c r="AF28" i="111" s="1"/>
  <c r="O98" i="111"/>
  <c r="P102" i="111"/>
  <c r="T24" i="111"/>
  <c r="AF31" i="107"/>
  <c r="P90" i="111"/>
  <c r="AF26" i="107"/>
  <c r="O94" i="111"/>
  <c r="AF25" i="107"/>
  <c r="P59" i="111"/>
  <c r="P66" i="111"/>
  <c r="P74" i="111"/>
  <c r="P78" i="111"/>
  <c r="P98" i="111"/>
  <c r="AF32" i="111" s="1"/>
  <c r="AE24" i="107"/>
  <c r="O73" i="111"/>
  <c r="AE25" i="111" s="1"/>
  <c r="P73" i="111"/>
  <c r="AE27" i="107"/>
  <c r="P94" i="111"/>
  <c r="AF33" i="107"/>
  <c r="AE32" i="107"/>
  <c r="O62" i="111"/>
  <c r="O79" i="111"/>
  <c r="S22" i="111"/>
  <c r="T23" i="111"/>
  <c r="AF24" i="107"/>
  <c r="P69" i="111"/>
  <c r="O69" i="111"/>
  <c r="AE28" i="107"/>
  <c r="O89" i="111"/>
  <c r="P89" i="111"/>
  <c r="AF32" i="107"/>
  <c r="C3" i="94"/>
  <c r="AF33" i="111" l="1"/>
  <c r="AE28" i="111"/>
  <c r="AF26" i="111"/>
  <c r="AF23" i="111"/>
  <c r="AE32" i="111"/>
  <c r="AE27" i="111"/>
  <c r="AF30" i="111"/>
  <c r="AE30" i="111"/>
  <c r="AF31" i="111"/>
  <c r="AE22" i="111"/>
  <c r="AE31" i="111"/>
  <c r="AE29" i="111"/>
  <c r="AE33" i="111"/>
  <c r="AF27" i="111"/>
  <c r="P58" i="111"/>
  <c r="AF22" i="111" s="1"/>
  <c r="AB22" i="111"/>
  <c r="AF25" i="111"/>
  <c r="AF29" i="111"/>
  <c r="AF24" i="111"/>
  <c r="AE23" i="111"/>
  <c r="AE24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27" i="103" l="1"/>
  <c r="AD27" i="103"/>
  <c r="Z39" i="105"/>
  <c r="X27" i="97"/>
  <c r="V27" i="99"/>
  <c r="AD27" i="99"/>
  <c r="V39" i="101"/>
  <c r="W27" i="103"/>
  <c r="AA39" i="105"/>
  <c r="U39" i="109"/>
  <c r="W27" i="99"/>
  <c r="W39" i="101"/>
  <c r="X27" i="103"/>
  <c r="AD38" i="101"/>
  <c r="Y39" i="109"/>
  <c r="AA27" i="99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AD12" i="108" s="1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X19" i="108" s="1"/>
  <c r="J46" i="108"/>
  <c r="Z19" i="108" s="1"/>
  <c r="L46" i="108"/>
  <c r="N46" i="108"/>
  <c r="F47" i="108"/>
  <c r="H47" i="108"/>
  <c r="J47" i="108"/>
  <c r="L47" i="108"/>
  <c r="N47" i="108"/>
  <c r="F48" i="108"/>
  <c r="H48" i="108"/>
  <c r="J48" i="108"/>
  <c r="L48" i="108"/>
  <c r="N48" i="108"/>
  <c r="F49" i="108"/>
  <c r="H49" i="108"/>
  <c r="J49" i="108"/>
  <c r="L49" i="108"/>
  <c r="N49" i="108"/>
  <c r="F50" i="108"/>
  <c r="H50" i="108"/>
  <c r="X20" i="108" s="1"/>
  <c r="J50" i="108"/>
  <c r="Z20" i="108" s="1"/>
  <c r="L50" i="108"/>
  <c r="N50" i="108"/>
  <c r="F51" i="108"/>
  <c r="H51" i="108"/>
  <c r="J51" i="108"/>
  <c r="L51" i="108"/>
  <c r="N51" i="108"/>
  <c r="F52" i="108"/>
  <c r="H52" i="108"/>
  <c r="J52" i="108"/>
  <c r="L52" i="108"/>
  <c r="N52" i="108"/>
  <c r="F53" i="108"/>
  <c r="H53" i="108"/>
  <c r="J53" i="108"/>
  <c r="L53" i="108"/>
  <c r="N53" i="108"/>
  <c r="F54" i="108"/>
  <c r="H54" i="108"/>
  <c r="X21" i="108" s="1"/>
  <c r="J54" i="108"/>
  <c r="Z21" i="108" s="1"/>
  <c r="L54" i="108"/>
  <c r="N54" i="108"/>
  <c r="F55" i="108"/>
  <c r="H55" i="108"/>
  <c r="J55" i="108"/>
  <c r="L55" i="108"/>
  <c r="N55" i="108"/>
  <c r="F56" i="108"/>
  <c r="H56" i="108"/>
  <c r="J56" i="108"/>
  <c r="L56" i="108"/>
  <c r="N56" i="108"/>
  <c r="F57" i="108"/>
  <c r="H57" i="108"/>
  <c r="J57" i="108"/>
  <c r="L57" i="108"/>
  <c r="N57" i="108"/>
  <c r="I47" i="108"/>
  <c r="M48" i="108"/>
  <c r="I51" i="108"/>
  <c r="M52" i="108"/>
  <c r="I55" i="108"/>
  <c r="M56" i="108"/>
  <c r="G10" i="108"/>
  <c r="I10" i="108"/>
  <c r="K10" i="108"/>
  <c r="M10" i="108"/>
  <c r="C11" i="108"/>
  <c r="G11" i="108"/>
  <c r="I11" i="108"/>
  <c r="K11" i="108"/>
  <c r="M11" i="108"/>
  <c r="C13" i="108"/>
  <c r="G13" i="108"/>
  <c r="I13" i="108"/>
  <c r="K13" i="108"/>
  <c r="M13" i="108"/>
  <c r="C14" i="108"/>
  <c r="G14" i="108"/>
  <c r="I14" i="108"/>
  <c r="Y11" i="108" s="1"/>
  <c r="K14" i="108"/>
  <c r="AA11" i="108" s="1"/>
  <c r="M14" i="108"/>
  <c r="C15" i="108"/>
  <c r="G15" i="108"/>
  <c r="I15" i="108"/>
  <c r="K15" i="108"/>
  <c r="M15" i="108"/>
  <c r="C16" i="108"/>
  <c r="G16" i="108"/>
  <c r="I16" i="108"/>
  <c r="K16" i="108"/>
  <c r="M16" i="108"/>
  <c r="C17" i="108"/>
  <c r="G17" i="108"/>
  <c r="I17" i="108"/>
  <c r="K17" i="108"/>
  <c r="M17" i="108"/>
  <c r="C18" i="108"/>
  <c r="G18" i="108"/>
  <c r="I18" i="108"/>
  <c r="K18" i="108"/>
  <c r="M18" i="108"/>
  <c r="C24" i="108"/>
  <c r="G24" i="108"/>
  <c r="I24" i="108"/>
  <c r="K24" i="108"/>
  <c r="M24" i="108"/>
  <c r="C25" i="108"/>
  <c r="G25" i="108"/>
  <c r="I25" i="108"/>
  <c r="K25" i="108"/>
  <c r="M25" i="108"/>
  <c r="I26" i="108"/>
  <c r="M26" i="108"/>
  <c r="AC14" i="108" s="1"/>
  <c r="C27" i="108"/>
  <c r="G27" i="108"/>
  <c r="I27" i="108"/>
  <c r="K27" i="108"/>
  <c r="M27" i="108"/>
  <c r="C28" i="108"/>
  <c r="G28" i="108"/>
  <c r="I28" i="108"/>
  <c r="K28" i="108"/>
  <c r="M28" i="108"/>
  <c r="C29" i="108"/>
  <c r="G29" i="108"/>
  <c r="I29" i="108"/>
  <c r="K29" i="108"/>
  <c r="M29" i="108"/>
  <c r="I30" i="108"/>
  <c r="M30" i="108"/>
  <c r="C31" i="108"/>
  <c r="G31" i="108"/>
  <c r="I31" i="108"/>
  <c r="K31" i="108"/>
  <c r="M31" i="108"/>
  <c r="C32" i="108"/>
  <c r="G32" i="108"/>
  <c r="I32" i="108"/>
  <c r="K32" i="108"/>
  <c r="M32" i="108"/>
  <c r="C33" i="108"/>
  <c r="G33" i="108"/>
  <c r="I33" i="108"/>
  <c r="K33" i="108"/>
  <c r="M33" i="108"/>
  <c r="U16" i="108"/>
  <c r="G34" i="108"/>
  <c r="I34" i="108"/>
  <c r="M34" i="108"/>
  <c r="C35" i="108"/>
  <c r="G35" i="108"/>
  <c r="I35" i="108"/>
  <c r="K35" i="108"/>
  <c r="M35" i="108"/>
  <c r="C36" i="108"/>
  <c r="G36" i="108"/>
  <c r="I36" i="108"/>
  <c r="P23" i="110"/>
  <c r="S13" i="110"/>
  <c r="S38" i="110" s="1"/>
  <c r="P31" i="110"/>
  <c r="S15" i="110"/>
  <c r="K36" i="108"/>
  <c r="M36" i="108"/>
  <c r="C37" i="108"/>
  <c r="G37" i="108"/>
  <c r="I37" i="108"/>
  <c r="K37" i="108"/>
  <c r="M37" i="108"/>
  <c r="I38" i="108"/>
  <c r="K38" i="108"/>
  <c r="M38" i="108"/>
  <c r="C39" i="108"/>
  <c r="G39" i="108"/>
  <c r="I39" i="108"/>
  <c r="K39" i="108"/>
  <c r="M39" i="108"/>
  <c r="C40" i="108"/>
  <c r="G40" i="108"/>
  <c r="I40" i="108"/>
  <c r="K40" i="108"/>
  <c r="M40" i="108"/>
  <c r="C41" i="108"/>
  <c r="G41" i="108"/>
  <c r="I41" i="108"/>
  <c r="K41" i="108"/>
  <c r="M41" i="108"/>
  <c r="U18" i="108"/>
  <c r="G42" i="108"/>
  <c r="I42" i="108"/>
  <c r="M42" i="108"/>
  <c r="C43" i="108"/>
  <c r="G43" i="108"/>
  <c r="I43" i="108"/>
  <c r="K43" i="108"/>
  <c r="M43" i="108"/>
  <c r="C44" i="108"/>
  <c r="G44" i="108"/>
  <c r="I44" i="108"/>
  <c r="K44" i="108"/>
  <c r="M44" i="108"/>
  <c r="C45" i="108"/>
  <c r="G45" i="108"/>
  <c r="I45" i="108"/>
  <c r="K45" i="108"/>
  <c r="M45" i="108"/>
  <c r="I46" i="108"/>
  <c r="M47" i="108"/>
  <c r="I48" i="108"/>
  <c r="M49" i="108"/>
  <c r="M51" i="108"/>
  <c r="I52" i="108"/>
  <c r="M53" i="108"/>
  <c r="M55" i="108"/>
  <c r="I56" i="108"/>
  <c r="M57" i="108"/>
  <c r="I49" i="108"/>
  <c r="I53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8" i="94"/>
  <c r="K42" i="108"/>
  <c r="AA18" i="108" s="1"/>
  <c r="M54" i="108"/>
  <c r="M50" i="108"/>
  <c r="M46" i="108"/>
  <c r="AC19" i="108" s="1"/>
  <c r="C42" i="108"/>
  <c r="C34" i="108"/>
  <c r="S16" i="108" s="1"/>
  <c r="C26" i="108"/>
  <c r="F10" i="108"/>
  <c r="J10" i="108"/>
  <c r="N10" i="108"/>
  <c r="F11" i="108"/>
  <c r="H11" i="108"/>
  <c r="J11" i="108"/>
  <c r="L11" i="108"/>
  <c r="N11" i="108"/>
  <c r="F12" i="108"/>
  <c r="J12" i="108"/>
  <c r="P19" i="110"/>
  <c r="S12" i="110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G12" i="108"/>
  <c r="I12" i="108"/>
  <c r="K12" i="108"/>
  <c r="M12" i="108"/>
  <c r="C19" i="108"/>
  <c r="G19" i="108"/>
  <c r="I19" i="108"/>
  <c r="K19" i="108"/>
  <c r="M19" i="108"/>
  <c r="C20" i="108"/>
  <c r="G20" i="108"/>
  <c r="I20" i="108"/>
  <c r="K20" i="108"/>
  <c r="M20" i="108"/>
  <c r="C21" i="108"/>
  <c r="G21" i="108"/>
  <c r="I21" i="108"/>
  <c r="K21" i="108"/>
  <c r="M21" i="108"/>
  <c r="C22" i="108"/>
  <c r="U13" i="108"/>
  <c r="G22" i="108"/>
  <c r="W13" i="108" s="1"/>
  <c r="I22" i="108"/>
  <c r="K22" i="108"/>
  <c r="M22" i="108"/>
  <c r="C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K50" i="108"/>
  <c r="AA20" i="108" s="1"/>
  <c r="G50" i="108"/>
  <c r="C50" i="108"/>
  <c r="K46" i="108"/>
  <c r="G46" i="108"/>
  <c r="G38" i="108"/>
  <c r="G30" i="108"/>
  <c r="G26" i="108"/>
  <c r="W14" i="108" s="1"/>
  <c r="F22" i="108"/>
  <c r="H12" i="108"/>
  <c r="L12" i="108"/>
  <c r="H13" i="108"/>
  <c r="L13" i="108"/>
  <c r="H14" i="108"/>
  <c r="L14" i="108"/>
  <c r="AB11" i="108" s="1"/>
  <c r="H15" i="108"/>
  <c r="L15" i="108"/>
  <c r="H16" i="108"/>
  <c r="L16" i="108"/>
  <c r="H17" i="108"/>
  <c r="L17" i="108"/>
  <c r="H18" i="108"/>
  <c r="X12" i="108" s="1"/>
  <c r="L18" i="108"/>
  <c r="H19" i="108"/>
  <c r="L19" i="108"/>
  <c r="H20" i="108"/>
  <c r="L20" i="108"/>
  <c r="H21" i="108"/>
  <c r="L21" i="108"/>
  <c r="H22" i="108"/>
  <c r="X13" i="108" s="1"/>
  <c r="L22" i="108"/>
  <c r="AB13" i="108" s="1"/>
  <c r="H23" i="108"/>
  <c r="L23" i="108"/>
  <c r="H24" i="108"/>
  <c r="L24" i="108"/>
  <c r="F25" i="108"/>
  <c r="H25" i="108"/>
  <c r="J25" i="108"/>
  <c r="L25" i="108"/>
  <c r="N25" i="108"/>
  <c r="F26" i="108"/>
  <c r="H26" i="108"/>
  <c r="X14" i="108" s="1"/>
  <c r="J26" i="108"/>
  <c r="Z14" i="108" s="1"/>
  <c r="L26" i="108"/>
  <c r="N26" i="108"/>
  <c r="F27" i="108"/>
  <c r="H27" i="108"/>
  <c r="J27" i="108"/>
  <c r="L27" i="108"/>
  <c r="N27" i="108"/>
  <c r="F28" i="108"/>
  <c r="H28" i="108"/>
  <c r="J28" i="108"/>
  <c r="L28" i="108"/>
  <c r="N28" i="108"/>
  <c r="F29" i="108"/>
  <c r="H29" i="108"/>
  <c r="J29" i="108"/>
  <c r="L29" i="108"/>
  <c r="N29" i="108"/>
  <c r="F30" i="108"/>
  <c r="H30" i="108"/>
  <c r="X15" i="108" s="1"/>
  <c r="J30" i="108"/>
  <c r="Z15" i="108" s="1"/>
  <c r="L30" i="108"/>
  <c r="N30" i="108"/>
  <c r="F31" i="108"/>
  <c r="H31" i="108"/>
  <c r="J31" i="108"/>
  <c r="L31" i="108"/>
  <c r="N31" i="108"/>
  <c r="F32" i="108"/>
  <c r="H32" i="108"/>
  <c r="J32" i="108"/>
  <c r="L32" i="108"/>
  <c r="N32" i="108"/>
  <c r="F33" i="108"/>
  <c r="H33" i="108"/>
  <c r="J33" i="108"/>
  <c r="L33" i="108"/>
  <c r="N33" i="108"/>
  <c r="F34" i="108"/>
  <c r="H34" i="108"/>
  <c r="X16" i="108" s="1"/>
  <c r="J34" i="108"/>
  <c r="Z16" i="108" s="1"/>
  <c r="L34" i="108"/>
  <c r="N34" i="108"/>
  <c r="F35" i="108"/>
  <c r="H35" i="108"/>
  <c r="J35" i="108"/>
  <c r="L35" i="108"/>
  <c r="N35" i="108"/>
  <c r="F36" i="108"/>
  <c r="H36" i="108"/>
  <c r="J36" i="108"/>
  <c r="L36" i="108"/>
  <c r="N36" i="108"/>
  <c r="F37" i="108"/>
  <c r="H37" i="108"/>
  <c r="J37" i="108"/>
  <c r="L37" i="108"/>
  <c r="N37" i="108"/>
  <c r="F38" i="108"/>
  <c r="H38" i="108"/>
  <c r="X17" i="108" s="1"/>
  <c r="J38" i="108"/>
  <c r="Z17" i="108" s="1"/>
  <c r="L38" i="108"/>
  <c r="N38" i="108"/>
  <c r="F39" i="108"/>
  <c r="H39" i="108"/>
  <c r="J39" i="108"/>
  <c r="L39" i="108"/>
  <c r="N39" i="108"/>
  <c r="F40" i="108"/>
  <c r="H40" i="108"/>
  <c r="J40" i="108"/>
  <c r="L40" i="108"/>
  <c r="N40" i="108"/>
  <c r="F41" i="108"/>
  <c r="H41" i="108"/>
  <c r="J41" i="108"/>
  <c r="L41" i="108"/>
  <c r="N41" i="108"/>
  <c r="F42" i="108"/>
  <c r="H42" i="108"/>
  <c r="X18" i="108" s="1"/>
  <c r="J42" i="108"/>
  <c r="Z18" i="108" s="1"/>
  <c r="L42" i="108"/>
  <c r="N42" i="108"/>
  <c r="F43" i="108"/>
  <c r="H43" i="108"/>
  <c r="J43" i="108"/>
  <c r="L43" i="108"/>
  <c r="N43" i="108"/>
  <c r="F44" i="108"/>
  <c r="H44" i="108"/>
  <c r="J44" i="108"/>
  <c r="L44" i="108"/>
  <c r="N44" i="108"/>
  <c r="F45" i="108"/>
  <c r="H45" i="108"/>
  <c r="J45" i="108"/>
  <c r="L45" i="108"/>
  <c r="N45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F11" i="107"/>
  <c r="G11" i="107"/>
  <c r="H11" i="107"/>
  <c r="I11" i="107"/>
  <c r="J11" i="107"/>
  <c r="K11" i="107"/>
  <c r="L11" i="107"/>
  <c r="M11" i="107"/>
  <c r="N11" i="107"/>
  <c r="C12" i="107"/>
  <c r="F12" i="107"/>
  <c r="G12" i="107"/>
  <c r="H12" i="107"/>
  <c r="I12" i="107"/>
  <c r="J12" i="107"/>
  <c r="K12" i="107"/>
  <c r="L12" i="107"/>
  <c r="M12" i="107"/>
  <c r="N12" i="107"/>
  <c r="C13" i="107"/>
  <c r="F13" i="107"/>
  <c r="G13" i="107"/>
  <c r="H13" i="107"/>
  <c r="I13" i="107"/>
  <c r="J13" i="107"/>
  <c r="K13" i="107"/>
  <c r="L13" i="107"/>
  <c r="M13" i="107"/>
  <c r="N13" i="107"/>
  <c r="C14" i="107"/>
  <c r="F14" i="107"/>
  <c r="G14" i="107"/>
  <c r="H14" i="107"/>
  <c r="I14" i="107"/>
  <c r="J14" i="107"/>
  <c r="K14" i="107"/>
  <c r="L14" i="107"/>
  <c r="M14" i="107"/>
  <c r="N14" i="107"/>
  <c r="C15" i="107"/>
  <c r="F15" i="107"/>
  <c r="G15" i="107"/>
  <c r="H15" i="107"/>
  <c r="I15" i="107"/>
  <c r="J15" i="107"/>
  <c r="K15" i="107"/>
  <c r="L15" i="107"/>
  <c r="M15" i="107"/>
  <c r="N15" i="107"/>
  <c r="C16" i="107"/>
  <c r="F16" i="107"/>
  <c r="G16" i="107"/>
  <c r="H16" i="107"/>
  <c r="I16" i="107"/>
  <c r="J16" i="107"/>
  <c r="K16" i="107"/>
  <c r="L16" i="107"/>
  <c r="M16" i="107"/>
  <c r="N16" i="107"/>
  <c r="C17" i="107"/>
  <c r="F17" i="107"/>
  <c r="G17" i="107"/>
  <c r="H17" i="107"/>
  <c r="I17" i="107"/>
  <c r="J17" i="107"/>
  <c r="K17" i="107"/>
  <c r="L17" i="107"/>
  <c r="M17" i="107"/>
  <c r="N17" i="107"/>
  <c r="C18" i="107"/>
  <c r="F18" i="107"/>
  <c r="G18" i="107"/>
  <c r="H18" i="107"/>
  <c r="I18" i="107"/>
  <c r="J18" i="107"/>
  <c r="K18" i="107"/>
  <c r="L18" i="107"/>
  <c r="M18" i="107"/>
  <c r="N18" i="107"/>
  <c r="C19" i="107"/>
  <c r="F19" i="107"/>
  <c r="G19" i="107"/>
  <c r="H19" i="107"/>
  <c r="I19" i="107"/>
  <c r="J19" i="107"/>
  <c r="K19" i="107"/>
  <c r="L19" i="107"/>
  <c r="M19" i="107"/>
  <c r="N19" i="107"/>
  <c r="C20" i="107"/>
  <c r="F20" i="107"/>
  <c r="G20" i="107"/>
  <c r="H20" i="107"/>
  <c r="I20" i="107"/>
  <c r="J20" i="107"/>
  <c r="K20" i="107"/>
  <c r="L20" i="107"/>
  <c r="M20" i="107"/>
  <c r="N20" i="107"/>
  <c r="C21" i="107"/>
  <c r="F21" i="107"/>
  <c r="G21" i="107"/>
  <c r="H21" i="107"/>
  <c r="I21" i="107"/>
  <c r="J21" i="107"/>
  <c r="K21" i="107"/>
  <c r="L21" i="107"/>
  <c r="M21" i="107"/>
  <c r="N21" i="107"/>
  <c r="C22" i="107"/>
  <c r="F22" i="107"/>
  <c r="G22" i="107"/>
  <c r="H22" i="107"/>
  <c r="I22" i="107"/>
  <c r="J22" i="107"/>
  <c r="K22" i="107"/>
  <c r="L22" i="107"/>
  <c r="M22" i="107"/>
  <c r="N22" i="107"/>
  <c r="C23" i="107"/>
  <c r="F23" i="107"/>
  <c r="G23" i="107"/>
  <c r="H23" i="107"/>
  <c r="I23" i="107"/>
  <c r="J23" i="107"/>
  <c r="K23" i="107"/>
  <c r="L23" i="107"/>
  <c r="M23" i="107"/>
  <c r="N23" i="107"/>
  <c r="C24" i="107"/>
  <c r="F24" i="107"/>
  <c r="G24" i="107"/>
  <c r="H24" i="107"/>
  <c r="I24" i="107"/>
  <c r="J24" i="107"/>
  <c r="K24" i="107"/>
  <c r="L24" i="107"/>
  <c r="M24" i="107"/>
  <c r="N24" i="107"/>
  <c r="C25" i="107"/>
  <c r="F25" i="107"/>
  <c r="G25" i="107"/>
  <c r="H25" i="107"/>
  <c r="I25" i="107"/>
  <c r="J25" i="107"/>
  <c r="K25" i="107"/>
  <c r="L25" i="107"/>
  <c r="M25" i="107"/>
  <c r="N25" i="107"/>
  <c r="C26" i="107"/>
  <c r="F26" i="107"/>
  <c r="G26" i="107"/>
  <c r="H26" i="107"/>
  <c r="I26" i="107"/>
  <c r="J26" i="107"/>
  <c r="K26" i="107"/>
  <c r="L26" i="107"/>
  <c r="M26" i="107"/>
  <c r="N26" i="107"/>
  <c r="C27" i="107"/>
  <c r="F27" i="107"/>
  <c r="G27" i="107"/>
  <c r="H27" i="107"/>
  <c r="I27" i="107"/>
  <c r="J27" i="107"/>
  <c r="K27" i="107"/>
  <c r="L27" i="107"/>
  <c r="M27" i="107"/>
  <c r="N27" i="107"/>
  <c r="C28" i="107"/>
  <c r="F28" i="107"/>
  <c r="G28" i="107"/>
  <c r="H28" i="107"/>
  <c r="I28" i="107"/>
  <c r="J28" i="107"/>
  <c r="K28" i="107"/>
  <c r="L28" i="107"/>
  <c r="M28" i="107"/>
  <c r="N28" i="107"/>
  <c r="C29" i="107"/>
  <c r="F29" i="107"/>
  <c r="G29" i="107"/>
  <c r="H29" i="107"/>
  <c r="I29" i="107"/>
  <c r="J29" i="107"/>
  <c r="K29" i="107"/>
  <c r="L29" i="107"/>
  <c r="M29" i="107"/>
  <c r="N29" i="107"/>
  <c r="C30" i="107"/>
  <c r="F30" i="107"/>
  <c r="G30" i="107"/>
  <c r="H30" i="107"/>
  <c r="I30" i="107"/>
  <c r="J30" i="107"/>
  <c r="K30" i="107"/>
  <c r="L30" i="107"/>
  <c r="M30" i="107"/>
  <c r="N30" i="107"/>
  <c r="C31" i="107"/>
  <c r="F31" i="107"/>
  <c r="G31" i="107"/>
  <c r="H31" i="107"/>
  <c r="I31" i="107"/>
  <c r="J31" i="107"/>
  <c r="K31" i="107"/>
  <c r="L31" i="107"/>
  <c r="M31" i="107"/>
  <c r="N31" i="107"/>
  <c r="C32" i="107"/>
  <c r="F32" i="107"/>
  <c r="G32" i="107"/>
  <c r="H32" i="107"/>
  <c r="I32" i="107"/>
  <c r="J32" i="107"/>
  <c r="K32" i="107"/>
  <c r="L32" i="107"/>
  <c r="M32" i="107"/>
  <c r="N32" i="107"/>
  <c r="C33" i="107"/>
  <c r="F33" i="107"/>
  <c r="G33" i="107"/>
  <c r="H33" i="107"/>
  <c r="I33" i="107"/>
  <c r="J33" i="107"/>
  <c r="K33" i="107"/>
  <c r="L33" i="107"/>
  <c r="M33" i="107"/>
  <c r="N33" i="107"/>
  <c r="C34" i="107"/>
  <c r="F34" i="107"/>
  <c r="G34" i="107"/>
  <c r="H34" i="107"/>
  <c r="I34" i="107"/>
  <c r="J34" i="107"/>
  <c r="K34" i="107"/>
  <c r="L34" i="107"/>
  <c r="M34" i="107"/>
  <c r="N34" i="107"/>
  <c r="C35" i="107"/>
  <c r="F35" i="107"/>
  <c r="G35" i="107"/>
  <c r="H35" i="107"/>
  <c r="I35" i="107"/>
  <c r="J35" i="107"/>
  <c r="K35" i="107"/>
  <c r="L35" i="107"/>
  <c r="M35" i="107"/>
  <c r="N35" i="107"/>
  <c r="C36" i="107"/>
  <c r="F36" i="107"/>
  <c r="G36" i="107"/>
  <c r="H36" i="107"/>
  <c r="I36" i="107"/>
  <c r="J36" i="107"/>
  <c r="K36" i="107"/>
  <c r="L36" i="107"/>
  <c r="M36" i="107"/>
  <c r="N36" i="107"/>
  <c r="C37" i="107"/>
  <c r="F37" i="107"/>
  <c r="G37" i="107"/>
  <c r="H37" i="107"/>
  <c r="I37" i="107"/>
  <c r="J37" i="107"/>
  <c r="K37" i="107"/>
  <c r="L37" i="107"/>
  <c r="M37" i="107"/>
  <c r="N37" i="107"/>
  <c r="C38" i="107"/>
  <c r="F38" i="107"/>
  <c r="G38" i="107"/>
  <c r="H38" i="107"/>
  <c r="I38" i="107"/>
  <c r="J38" i="107"/>
  <c r="K38" i="107"/>
  <c r="L38" i="107"/>
  <c r="M38" i="107"/>
  <c r="N38" i="107"/>
  <c r="C39" i="107"/>
  <c r="F39" i="107"/>
  <c r="G39" i="107"/>
  <c r="H39" i="107"/>
  <c r="I39" i="107"/>
  <c r="J39" i="107"/>
  <c r="K39" i="107"/>
  <c r="L39" i="107"/>
  <c r="M39" i="107"/>
  <c r="N39" i="107"/>
  <c r="C40" i="107"/>
  <c r="F40" i="107"/>
  <c r="G40" i="107"/>
  <c r="H40" i="107"/>
  <c r="I40" i="107"/>
  <c r="J40" i="107"/>
  <c r="K40" i="107"/>
  <c r="L40" i="107"/>
  <c r="M40" i="107"/>
  <c r="N40" i="107"/>
  <c r="C41" i="107"/>
  <c r="F41" i="107"/>
  <c r="G41" i="107"/>
  <c r="H41" i="107"/>
  <c r="I41" i="107"/>
  <c r="J41" i="107"/>
  <c r="K41" i="107"/>
  <c r="L41" i="107"/>
  <c r="M41" i="107"/>
  <c r="N41" i="107"/>
  <c r="C42" i="107"/>
  <c r="F42" i="107"/>
  <c r="G42" i="107"/>
  <c r="H42" i="107"/>
  <c r="I42" i="107"/>
  <c r="J42" i="107"/>
  <c r="K42" i="107"/>
  <c r="L42" i="107"/>
  <c r="M42" i="107"/>
  <c r="N42" i="107"/>
  <c r="C43" i="107"/>
  <c r="F43" i="107"/>
  <c r="G43" i="107"/>
  <c r="H43" i="107"/>
  <c r="I43" i="107"/>
  <c r="J43" i="107"/>
  <c r="K43" i="107"/>
  <c r="L43" i="107"/>
  <c r="M43" i="107"/>
  <c r="N43" i="107"/>
  <c r="C44" i="107"/>
  <c r="F44" i="107"/>
  <c r="G44" i="107"/>
  <c r="H44" i="107"/>
  <c r="I44" i="107"/>
  <c r="J44" i="107"/>
  <c r="K44" i="107"/>
  <c r="L44" i="107"/>
  <c r="M44" i="107"/>
  <c r="N44" i="107"/>
  <c r="C45" i="107"/>
  <c r="F45" i="107"/>
  <c r="G45" i="107"/>
  <c r="H45" i="107"/>
  <c r="I45" i="107"/>
  <c r="J45" i="107"/>
  <c r="K45" i="107"/>
  <c r="L45" i="107"/>
  <c r="M45" i="107"/>
  <c r="N45" i="107"/>
  <c r="C46" i="107"/>
  <c r="F46" i="107"/>
  <c r="G46" i="107"/>
  <c r="H46" i="107"/>
  <c r="I46" i="107"/>
  <c r="J46" i="107"/>
  <c r="K46" i="107"/>
  <c r="L46" i="107"/>
  <c r="M46" i="107"/>
  <c r="N46" i="107"/>
  <c r="C47" i="107"/>
  <c r="F47" i="107"/>
  <c r="G47" i="107"/>
  <c r="H47" i="107"/>
  <c r="I47" i="107"/>
  <c r="J47" i="107"/>
  <c r="K47" i="107"/>
  <c r="L47" i="107"/>
  <c r="M47" i="107"/>
  <c r="N47" i="107"/>
  <c r="C48" i="107"/>
  <c r="F48" i="107"/>
  <c r="G48" i="107"/>
  <c r="H48" i="107"/>
  <c r="I48" i="107"/>
  <c r="J48" i="107"/>
  <c r="K48" i="107"/>
  <c r="L48" i="107"/>
  <c r="M48" i="107"/>
  <c r="N48" i="107"/>
  <c r="C49" i="107"/>
  <c r="F49" i="107"/>
  <c r="G49" i="107"/>
  <c r="H49" i="107"/>
  <c r="I49" i="107"/>
  <c r="J49" i="107"/>
  <c r="K49" i="107"/>
  <c r="L49" i="107"/>
  <c r="M49" i="107"/>
  <c r="N49" i="107"/>
  <c r="C50" i="107"/>
  <c r="F50" i="107"/>
  <c r="G50" i="107"/>
  <c r="H50" i="107"/>
  <c r="I50" i="107"/>
  <c r="J50" i="107"/>
  <c r="K50" i="107"/>
  <c r="L50" i="107"/>
  <c r="M50" i="107"/>
  <c r="N50" i="107"/>
  <c r="C51" i="107"/>
  <c r="F51" i="107"/>
  <c r="G51" i="107"/>
  <c r="H51" i="107"/>
  <c r="I51" i="107"/>
  <c r="J51" i="107"/>
  <c r="K51" i="107"/>
  <c r="L51" i="107"/>
  <c r="M51" i="107"/>
  <c r="N51" i="107"/>
  <c r="C52" i="107"/>
  <c r="F52" i="107"/>
  <c r="G52" i="107"/>
  <c r="H52" i="107"/>
  <c r="I52" i="107"/>
  <c r="J52" i="107"/>
  <c r="K52" i="107"/>
  <c r="L52" i="107"/>
  <c r="M52" i="107"/>
  <c r="N52" i="107"/>
  <c r="C53" i="107"/>
  <c r="F53" i="107"/>
  <c r="G53" i="107"/>
  <c r="H53" i="107"/>
  <c r="I53" i="107"/>
  <c r="J53" i="107"/>
  <c r="K53" i="107"/>
  <c r="L53" i="107"/>
  <c r="M53" i="107"/>
  <c r="N53" i="107"/>
  <c r="C54" i="107"/>
  <c r="F54" i="107"/>
  <c r="G54" i="107"/>
  <c r="H54" i="107"/>
  <c r="I54" i="107"/>
  <c r="J54" i="107"/>
  <c r="K54" i="107"/>
  <c r="L54" i="107"/>
  <c r="M54" i="107"/>
  <c r="N54" i="107"/>
  <c r="C55" i="107"/>
  <c r="F55" i="107"/>
  <c r="G55" i="107"/>
  <c r="H55" i="107"/>
  <c r="I55" i="107"/>
  <c r="J55" i="107"/>
  <c r="K55" i="107"/>
  <c r="L55" i="107"/>
  <c r="M55" i="107"/>
  <c r="N55" i="107"/>
  <c r="C56" i="107"/>
  <c r="F56" i="107"/>
  <c r="G56" i="107"/>
  <c r="H56" i="107"/>
  <c r="I56" i="107"/>
  <c r="J56" i="107"/>
  <c r="K56" i="107"/>
  <c r="L56" i="107"/>
  <c r="M56" i="107"/>
  <c r="N56" i="107"/>
  <c r="C57" i="107"/>
  <c r="F57" i="107"/>
  <c r="G57" i="107"/>
  <c r="H57" i="107"/>
  <c r="I57" i="107"/>
  <c r="J57" i="107"/>
  <c r="K57" i="107"/>
  <c r="L57" i="107"/>
  <c r="M57" i="107"/>
  <c r="N57" i="107"/>
  <c r="F10" i="107"/>
  <c r="G10" i="107"/>
  <c r="H10" i="107"/>
  <c r="I10" i="107"/>
  <c r="J10" i="107"/>
  <c r="K10" i="107"/>
  <c r="L10" i="107"/>
  <c r="M10" i="107"/>
  <c r="N10" i="107"/>
  <c r="C10" i="107"/>
  <c r="AF25" i="101" l="1"/>
  <c r="Z11" i="108"/>
  <c r="X38" i="108"/>
  <c r="X35" i="108"/>
  <c r="X36" i="108"/>
  <c r="X39" i="108"/>
  <c r="Z12" i="108"/>
  <c r="N106" i="107"/>
  <c r="F106" i="107"/>
  <c r="AB26" i="103"/>
  <c r="Y38" i="105"/>
  <c r="D106" i="108"/>
  <c r="T10" i="108"/>
  <c r="V19" i="108"/>
  <c r="V18" i="108"/>
  <c r="V17" i="108"/>
  <c r="V16" i="108"/>
  <c r="V15" i="108"/>
  <c r="V14" i="108"/>
  <c r="T13" i="108"/>
  <c r="T11" i="108"/>
  <c r="W15" i="108"/>
  <c r="W38" i="108" s="1"/>
  <c r="S13" i="108"/>
  <c r="U20" i="108"/>
  <c r="S14" i="108"/>
  <c r="AA16" i="108"/>
  <c r="U19" i="108"/>
  <c r="U14" i="108"/>
  <c r="W12" i="108"/>
  <c r="W11" i="108"/>
  <c r="K106" i="108"/>
  <c r="AA10" i="108"/>
  <c r="V21" i="108"/>
  <c r="V20" i="108"/>
  <c r="S10" i="107"/>
  <c r="C106" i="107"/>
  <c r="X11" i="108"/>
  <c r="S21" i="108"/>
  <c r="S19" i="108"/>
  <c r="F106" i="108"/>
  <c r="V10" i="108"/>
  <c r="Y14" i="108"/>
  <c r="Y12" i="108"/>
  <c r="M106" i="108"/>
  <c r="AC10" i="108"/>
  <c r="AC10" i="107"/>
  <c r="M106" i="107"/>
  <c r="U10" i="107"/>
  <c r="U34" i="107" s="1"/>
  <c r="E106" i="107"/>
  <c r="X23" i="103"/>
  <c r="H106" i="108"/>
  <c r="X10" i="108"/>
  <c r="T19" i="108"/>
  <c r="T18" i="108"/>
  <c r="T17" i="108"/>
  <c r="T16" i="108"/>
  <c r="T15" i="108"/>
  <c r="T14" i="108"/>
  <c r="W17" i="108"/>
  <c r="Y20" i="108"/>
  <c r="Y36" i="108" s="1"/>
  <c r="U21" i="108"/>
  <c r="AC17" i="108"/>
  <c r="AC15" i="108"/>
  <c r="U12" i="108"/>
  <c r="U11" i="108"/>
  <c r="I106" i="108"/>
  <c r="Y10" i="108"/>
  <c r="T21" i="108"/>
  <c r="T20" i="108"/>
  <c r="X10" i="107"/>
  <c r="H106" i="107"/>
  <c r="W10" i="107"/>
  <c r="G106" i="107"/>
  <c r="AB10" i="107"/>
  <c r="L106" i="107"/>
  <c r="T10" i="107"/>
  <c r="D106" i="107"/>
  <c r="T26" i="103"/>
  <c r="T36" i="105"/>
  <c r="L106" i="108"/>
  <c r="AB10" i="108"/>
  <c r="AB12" i="108"/>
  <c r="W19" i="108"/>
  <c r="AA21" i="108"/>
  <c r="S18" i="108"/>
  <c r="AA15" i="108"/>
  <c r="AA17" i="108"/>
  <c r="Y15" i="108"/>
  <c r="S12" i="108"/>
  <c r="S11" i="108"/>
  <c r="G106" i="108"/>
  <c r="W10" i="108"/>
  <c r="AF28" i="101"/>
  <c r="C106" i="108"/>
  <c r="S10" i="108"/>
  <c r="AA19" i="108"/>
  <c r="AC13" i="108"/>
  <c r="AC35" i="108" s="1"/>
  <c r="AC18" i="108"/>
  <c r="Y17" i="108"/>
  <c r="AC16" i="108"/>
  <c r="U15" i="108"/>
  <c r="E106" i="108"/>
  <c r="U10" i="108"/>
  <c r="AD13" i="108"/>
  <c r="J106" i="108"/>
  <c r="Z10" i="108"/>
  <c r="J106" i="107"/>
  <c r="X36" i="101"/>
  <c r="AD18" i="108"/>
  <c r="AD17" i="108"/>
  <c r="AD16" i="108"/>
  <c r="AD15" i="108"/>
  <c r="AD14" i="108"/>
  <c r="T12" i="108"/>
  <c r="S20" i="108"/>
  <c r="AA13" i="108"/>
  <c r="AC20" i="108"/>
  <c r="AC39" i="108" s="1"/>
  <c r="Y18" i="108"/>
  <c r="U17" i="108"/>
  <c r="Y16" i="108"/>
  <c r="AD21" i="108"/>
  <c r="AD20" i="108"/>
  <c r="AD19" i="108"/>
  <c r="Z13" i="108"/>
  <c r="AB26" i="98"/>
  <c r="V13" i="108"/>
  <c r="AA12" i="108"/>
  <c r="Z39" i="108"/>
  <c r="Z36" i="108"/>
  <c r="Y19" i="108"/>
  <c r="AA10" i="107"/>
  <c r="K106" i="107"/>
  <c r="Y10" i="107"/>
  <c r="I106" i="107"/>
  <c r="AB18" i="108"/>
  <c r="AB17" i="108"/>
  <c r="AB16" i="108"/>
  <c r="AB15" i="108"/>
  <c r="AB14" i="108"/>
  <c r="AB38" i="108" s="1"/>
  <c r="W20" i="108"/>
  <c r="Y13" i="108"/>
  <c r="N106" i="108"/>
  <c r="AD10" i="108"/>
  <c r="AC21" i="108"/>
  <c r="W18" i="108"/>
  <c r="W16" i="108"/>
  <c r="AC12" i="108"/>
  <c r="AC11" i="108"/>
  <c r="AB21" i="108"/>
  <c r="AB20" i="108"/>
  <c r="AB19" i="108"/>
  <c r="AD11" i="108"/>
  <c r="AD21" i="107"/>
  <c r="Z20" i="107"/>
  <c r="Z19" i="107"/>
  <c r="V18" i="107"/>
  <c r="Z17" i="107"/>
  <c r="V16" i="107"/>
  <c r="Z15" i="107"/>
  <c r="V14" i="107"/>
  <c r="Z13" i="107"/>
  <c r="V12" i="107"/>
  <c r="Z11" i="107"/>
  <c r="V10" i="107"/>
  <c r="U21" i="107"/>
  <c r="U20" i="107"/>
  <c r="U19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AC37" i="107" s="1"/>
  <c r="Y12" i="107"/>
  <c r="Y37" i="107" s="1"/>
  <c r="U12" i="107"/>
  <c r="AC11" i="107"/>
  <c r="Y11" i="107"/>
  <c r="U11" i="107"/>
  <c r="Z21" i="107"/>
  <c r="AD20" i="107"/>
  <c r="AD19" i="107"/>
  <c r="AD18" i="107"/>
  <c r="AD17" i="107"/>
  <c r="AD16" i="107"/>
  <c r="AD15" i="107"/>
  <c r="AD14" i="107"/>
  <c r="AD13" i="107"/>
  <c r="AD12" i="107"/>
  <c r="AD11" i="107"/>
  <c r="Z10" i="107"/>
  <c r="Y21" i="107"/>
  <c r="Y20" i="107"/>
  <c r="Y36" i="107" s="1"/>
  <c r="Y19" i="107"/>
  <c r="Y18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X37" i="107" s="1"/>
  <c r="T11" i="107"/>
  <c r="V21" i="107"/>
  <c r="V20" i="107"/>
  <c r="V19" i="107"/>
  <c r="Z18" i="107"/>
  <c r="V17" i="107"/>
  <c r="Z16" i="107"/>
  <c r="V15" i="107"/>
  <c r="Z14" i="107"/>
  <c r="V13" i="107"/>
  <c r="Z12" i="107"/>
  <c r="V11" i="107"/>
  <c r="AD10" i="107"/>
  <c r="AC21" i="107"/>
  <c r="AC20" i="107"/>
  <c r="AC19" i="107"/>
  <c r="AC39" i="107" s="1"/>
  <c r="AC18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AF32" i="101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X17" i="111" s="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X15" i="111" s="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S12" i="111" s="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Z20" i="111" s="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Z18" i="111" s="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Z16" i="111" s="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Z14" i="111" s="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AB12" i="111" s="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AC17" i="111" s="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AE18" i="108" s="1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AF15" i="107" s="1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4" i="108" l="1"/>
  <c r="U35" i="108"/>
  <c r="AE21" i="108"/>
  <c r="T41" i="107"/>
  <c r="T34" i="107"/>
  <c r="T37" i="107"/>
  <c r="M106" i="111"/>
  <c r="AF20" i="108"/>
  <c r="AF15" i="108"/>
  <c r="AE20" i="108"/>
  <c r="AD10" i="111"/>
  <c r="N106" i="111"/>
  <c r="E106" i="111"/>
  <c r="Y39" i="108"/>
  <c r="Z37" i="108"/>
  <c r="Z34" i="108"/>
  <c r="Z40" i="108"/>
  <c r="Z41" i="108"/>
  <c r="Z42" i="108" s="1"/>
  <c r="W40" i="108"/>
  <c r="W34" i="108"/>
  <c r="W41" i="108"/>
  <c r="W42" i="108" s="1"/>
  <c r="W37" i="108"/>
  <c r="S35" i="108"/>
  <c r="S38" i="108"/>
  <c r="AD35" i="108"/>
  <c r="AD38" i="108"/>
  <c r="X40" i="108"/>
  <c r="X37" i="108"/>
  <c r="X34" i="108"/>
  <c r="X41" i="108"/>
  <c r="X42" i="108" s="1"/>
  <c r="AF21" i="108"/>
  <c r="AE11" i="108"/>
  <c r="AE17" i="108"/>
  <c r="AF13" i="108"/>
  <c r="Z13" i="111"/>
  <c r="Z15" i="111"/>
  <c r="Z17" i="111"/>
  <c r="Z19" i="111"/>
  <c r="Z39" i="111" s="1"/>
  <c r="Z21" i="111"/>
  <c r="S11" i="111"/>
  <c r="S13" i="111"/>
  <c r="X14" i="111"/>
  <c r="X16" i="111"/>
  <c r="X18" i="111"/>
  <c r="X20" i="111"/>
  <c r="I106" i="111"/>
  <c r="S18" i="111"/>
  <c r="AA41" i="107"/>
  <c r="W40" i="107"/>
  <c r="W39" i="108"/>
  <c r="W36" i="108"/>
  <c r="T36" i="108"/>
  <c r="T39" i="108"/>
  <c r="AC41" i="108"/>
  <c r="AC37" i="108"/>
  <c r="AC34" i="108"/>
  <c r="AC40" i="108"/>
  <c r="V39" i="108"/>
  <c r="V36" i="108"/>
  <c r="AE12" i="108"/>
  <c r="AE10" i="107"/>
  <c r="O106" i="107"/>
  <c r="H108" i="107" s="1"/>
  <c r="AE16" i="108"/>
  <c r="AE13" i="108"/>
  <c r="C106" i="111"/>
  <c r="J106" i="111"/>
  <c r="AC34" i="107"/>
  <c r="AB36" i="108"/>
  <c r="AB39" i="108"/>
  <c r="AD41" i="108"/>
  <c r="AD34" i="108"/>
  <c r="AD40" i="108"/>
  <c r="AD37" i="108"/>
  <c r="U37" i="108"/>
  <c r="U41" i="108"/>
  <c r="U34" i="108"/>
  <c r="U40" i="108"/>
  <c r="AA36" i="108"/>
  <c r="AA39" i="108"/>
  <c r="AB40" i="108"/>
  <c r="AB34" i="108"/>
  <c r="AB37" i="108"/>
  <c r="AB41" i="108"/>
  <c r="AB42" i="108" s="1"/>
  <c r="Y40" i="108"/>
  <c r="Y37" i="108"/>
  <c r="Y34" i="108"/>
  <c r="Y41" i="108"/>
  <c r="U38" i="108"/>
  <c r="T38" i="108"/>
  <c r="T35" i="108"/>
  <c r="AF19" i="108"/>
  <c r="D106" i="111"/>
  <c r="T40" i="108"/>
  <c r="T34" i="108"/>
  <c r="T37" i="108"/>
  <c r="T41" i="108"/>
  <c r="P106" i="107"/>
  <c r="C107" i="107" s="1"/>
  <c r="AE14" i="108"/>
  <c r="P106" i="108"/>
  <c r="H107" i="108" s="1"/>
  <c r="AF10" i="108"/>
  <c r="V12" i="111"/>
  <c r="L106" i="111"/>
  <c r="V35" i="108"/>
  <c r="V38" i="108"/>
  <c r="S40" i="108"/>
  <c r="S41" i="108"/>
  <c r="S42" i="108" s="1"/>
  <c r="S37" i="108"/>
  <c r="S34" i="108"/>
  <c r="Y38" i="108"/>
  <c r="U39" i="108"/>
  <c r="AE11" i="107"/>
  <c r="AE15" i="108"/>
  <c r="X19" i="111"/>
  <c r="X21" i="111"/>
  <c r="S17" i="111"/>
  <c r="AD38" i="107"/>
  <c r="U40" i="107"/>
  <c r="Y35" i="108"/>
  <c r="AC36" i="108"/>
  <c r="AB35" i="108"/>
  <c r="V34" i="108"/>
  <c r="V40" i="108"/>
  <c r="V41" i="108"/>
  <c r="V37" i="108"/>
  <c r="AF16" i="108"/>
  <c r="AE19" i="108"/>
  <c r="O106" i="108"/>
  <c r="H108" i="108" s="1"/>
  <c r="AE10" i="108"/>
  <c r="G106" i="111"/>
  <c r="V10" i="111"/>
  <c r="F106" i="111"/>
  <c r="AD12" i="111"/>
  <c r="V39" i="107"/>
  <c r="AB34" i="107"/>
  <c r="Z35" i="108"/>
  <c r="Z38" i="108"/>
  <c r="AA35" i="108"/>
  <c r="AA38" i="108"/>
  <c r="W35" i="108"/>
  <c r="AF19" i="107"/>
  <c r="AF18" i="108"/>
  <c r="AF11" i="108"/>
  <c r="AF17" i="108"/>
  <c r="K106" i="111"/>
  <c r="H106" i="111"/>
  <c r="S37" i="107"/>
  <c r="AD39" i="108"/>
  <c r="AD36" i="108"/>
  <c r="AC38" i="108"/>
  <c r="S36" i="108"/>
  <c r="S39" i="108"/>
  <c r="AA40" i="108"/>
  <c r="AA41" i="108"/>
  <c r="AA42" i="108" s="1"/>
  <c r="AA37" i="108"/>
  <c r="AA34" i="108"/>
  <c r="U36" i="108"/>
  <c r="X41" i="107"/>
  <c r="Y34" i="107"/>
  <c r="AB37" i="107"/>
  <c r="Z11" i="111"/>
  <c r="W34" i="107"/>
  <c r="AF11" i="107"/>
  <c r="S14" i="111"/>
  <c r="S38" i="111" s="1"/>
  <c r="V11" i="111"/>
  <c r="X13" i="111"/>
  <c r="X35" i="111" s="1"/>
  <c r="AC35" i="107"/>
  <c r="Z35" i="107"/>
  <c r="AC20" i="111"/>
  <c r="S38" i="107"/>
  <c r="S35" i="107"/>
  <c r="X36" i="107"/>
  <c r="X39" i="107"/>
  <c r="Z41" i="107"/>
  <c r="Z37" i="107"/>
  <c r="Z34" i="107"/>
  <c r="Z40" i="107"/>
  <c r="AA34" i="107"/>
  <c r="AF17" i="107"/>
  <c r="AE14" i="107"/>
  <c r="AE16" i="107"/>
  <c r="AE17" i="107"/>
  <c r="AE13" i="107"/>
  <c r="W10" i="111"/>
  <c r="U11" i="111"/>
  <c r="U12" i="111"/>
  <c r="U13" i="111"/>
  <c r="W14" i="111"/>
  <c r="U15" i="111"/>
  <c r="W16" i="111"/>
  <c r="S19" i="111"/>
  <c r="W20" i="111"/>
  <c r="S21" i="111"/>
  <c r="V37" i="111"/>
  <c r="V34" i="111"/>
  <c r="AB13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W15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AC10" i="111"/>
  <c r="U17" i="111"/>
  <c r="U18" i="111"/>
  <c r="U19" i="111"/>
  <c r="S20" i="111"/>
  <c r="W21" i="111"/>
  <c r="T10" i="111"/>
  <c r="W38" i="107"/>
  <c r="W35" i="107"/>
  <c r="X34" i="107"/>
  <c r="AB41" i="107"/>
  <c r="AC36" i="107"/>
  <c r="V36" i="107"/>
  <c r="W41" i="107"/>
  <c r="W42" i="107" s="1"/>
  <c r="T38" i="107"/>
  <c r="T35" i="107"/>
  <c r="AB36" i="107"/>
  <c r="AB39" i="107"/>
  <c r="U37" i="107"/>
  <c r="Y40" i="107"/>
  <c r="AC41" i="107"/>
  <c r="Y39" i="107"/>
  <c r="AD39" i="107"/>
  <c r="AA40" i="107"/>
  <c r="U38" i="107"/>
  <c r="V34" i="107"/>
  <c r="V41" i="107"/>
  <c r="V37" i="107"/>
  <c r="V40" i="107"/>
  <c r="V38" i="107"/>
  <c r="S41" i="107"/>
  <c r="X38" i="111"/>
  <c r="X36" i="111"/>
  <c r="X39" i="111"/>
  <c r="Y10" i="111"/>
  <c r="AE15" i="107"/>
  <c r="AF14" i="107"/>
  <c r="AE12" i="107"/>
  <c r="AF18" i="107"/>
  <c r="AF20" i="107"/>
  <c r="AE21" i="107"/>
  <c r="AF13" i="107"/>
  <c r="AA10" i="111"/>
  <c r="Y11" i="111"/>
  <c r="Y12" i="111"/>
  <c r="Y13" i="111"/>
  <c r="Y14" i="111"/>
  <c r="AC15" i="111"/>
  <c r="AC16" i="111"/>
  <c r="W17" i="111"/>
  <c r="W18" i="111"/>
  <c r="Y20" i="111"/>
  <c r="U21" i="111"/>
  <c r="X10" i="111"/>
  <c r="T11" i="111"/>
  <c r="T12" i="111"/>
  <c r="T13" i="111"/>
  <c r="AA11" i="111"/>
  <c r="AA12" i="111"/>
  <c r="AA13" i="111"/>
  <c r="AA14" i="111"/>
  <c r="Y15" i="111"/>
  <c r="Y16" i="111"/>
  <c r="AD11" i="111"/>
  <c r="AD37" i="111" s="1"/>
  <c r="S10" i="111"/>
  <c r="AA17" i="111"/>
  <c r="Y18" i="111"/>
  <c r="W19" i="111"/>
  <c r="U20" i="111"/>
  <c r="Y21" i="111"/>
  <c r="Z10" i="111"/>
  <c r="AA38" i="107"/>
  <c r="AA35" i="107"/>
  <c r="S36" i="107"/>
  <c r="S39" i="107"/>
  <c r="T40" i="107"/>
  <c r="X40" i="107"/>
  <c r="AB40" i="107"/>
  <c r="V35" i="107"/>
  <c r="W37" i="107"/>
  <c r="X38" i="107"/>
  <c r="X35" i="107"/>
  <c r="U41" i="107"/>
  <c r="Y41" i="107"/>
  <c r="AD36" i="107"/>
  <c r="AA37" i="107"/>
  <c r="U35" i="107"/>
  <c r="U39" i="107"/>
  <c r="Z39" i="107"/>
  <c r="Z36" i="107"/>
  <c r="S34" i="107"/>
  <c r="Z35" i="111"/>
  <c r="Z38" i="111"/>
  <c r="S35" i="111"/>
  <c r="X12" i="111"/>
  <c r="AA36" i="107"/>
  <c r="AA39" i="107"/>
  <c r="AF10" i="107"/>
  <c r="AF16" i="107"/>
  <c r="AE18" i="107"/>
  <c r="AE19" i="107"/>
  <c r="AE20" i="107"/>
  <c r="AF21" i="107"/>
  <c r="AF12" i="107"/>
  <c r="AC11" i="111"/>
  <c r="AC12" i="111"/>
  <c r="AC13" i="111"/>
  <c r="Y17" i="111"/>
  <c r="AC18" i="111"/>
  <c r="AA19" i="111"/>
  <c r="AC21" i="111"/>
  <c r="AD34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15" i="111"/>
  <c r="T16" i="111"/>
  <c r="T17" i="111"/>
  <c r="T18" i="111"/>
  <c r="T19" i="111"/>
  <c r="T20" i="111"/>
  <c r="T21" i="111"/>
  <c r="U10" i="111"/>
  <c r="AA18" i="111"/>
  <c r="AA20" i="111"/>
  <c r="AA21" i="111"/>
  <c r="AB10" i="111"/>
  <c r="W36" i="107"/>
  <c r="W39" i="107"/>
  <c r="AD34" i="107"/>
  <c r="AD37" i="107"/>
  <c r="AD40" i="107"/>
  <c r="AD41" i="107"/>
  <c r="Z38" i="107"/>
  <c r="AB38" i="107"/>
  <c r="AB35" i="107"/>
  <c r="T39" i="107"/>
  <c r="T36" i="107"/>
  <c r="AC40" i="107"/>
  <c r="AD35" i="107"/>
  <c r="Y38" i="107"/>
  <c r="Y35" i="107"/>
  <c r="AC38" i="107"/>
  <c r="U36" i="107"/>
  <c r="S40" i="107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U42" i="108" l="1"/>
  <c r="T42" i="107"/>
  <c r="U42" i="107"/>
  <c r="AE34" i="107"/>
  <c r="AA42" i="107"/>
  <c r="O106" i="111"/>
  <c r="K108" i="111" s="1"/>
  <c r="AE39" i="108"/>
  <c r="AE36" i="108"/>
  <c r="AF39" i="107"/>
  <c r="AF40" i="108"/>
  <c r="AF41" i="108"/>
  <c r="AF42" i="108" s="1"/>
  <c r="AF37" i="108"/>
  <c r="AF34" i="108"/>
  <c r="Z36" i="111"/>
  <c r="V42" i="108"/>
  <c r="AF36" i="108"/>
  <c r="AF39" i="108"/>
  <c r="AE12" i="111"/>
  <c r="AF38" i="108"/>
  <c r="AF35" i="108"/>
  <c r="AC42" i="108"/>
  <c r="P106" i="111"/>
  <c r="N107" i="111" s="1"/>
  <c r="AC38" i="111"/>
  <c r="AE40" i="108"/>
  <c r="AE41" i="108"/>
  <c r="AE37" i="108"/>
  <c r="AE34" i="108"/>
  <c r="T42" i="108"/>
  <c r="AD42" i="108"/>
  <c r="AE38" i="108"/>
  <c r="AE35" i="108"/>
  <c r="Y42" i="108"/>
  <c r="AF13" i="111"/>
  <c r="AE19" i="111"/>
  <c r="AE17" i="111"/>
  <c r="AF16" i="111"/>
  <c r="AF15" i="111"/>
  <c r="AE18" i="111"/>
  <c r="AD42" i="107"/>
  <c r="V41" i="111"/>
  <c r="Y38" i="111"/>
  <c r="AF36" i="107"/>
  <c r="AE37" i="107"/>
  <c r="AE21" i="111"/>
  <c r="AE41" i="107"/>
  <c r="X42" i="107"/>
  <c r="U36" i="111"/>
  <c r="AC42" i="107"/>
  <c r="AD41" i="111"/>
  <c r="Z42" i="107"/>
  <c r="AE40" i="107"/>
  <c r="AC36" i="111"/>
  <c r="W40" i="111"/>
  <c r="W41" i="111"/>
  <c r="W34" i="111"/>
  <c r="T36" i="111"/>
  <c r="T39" i="111"/>
  <c r="T38" i="111"/>
  <c r="T35" i="111"/>
  <c r="AF38" i="107"/>
  <c r="AF35" i="107"/>
  <c r="Y40" i="111"/>
  <c r="Y37" i="111"/>
  <c r="Y34" i="111"/>
  <c r="Y41" i="111"/>
  <c r="U39" i="111"/>
  <c r="AD35" i="111"/>
  <c r="AD38" i="111"/>
  <c r="W37" i="111"/>
  <c r="S39" i="111"/>
  <c r="S36" i="111"/>
  <c r="AE38" i="107"/>
  <c r="AE35" i="107"/>
  <c r="AE20" i="111"/>
  <c r="AF18" i="111"/>
  <c r="AE15" i="111"/>
  <c r="AF21" i="111"/>
  <c r="AE14" i="111"/>
  <c r="AE16" i="111"/>
  <c r="AE13" i="111"/>
  <c r="AB40" i="111"/>
  <c r="AB34" i="111"/>
  <c r="AB41" i="111"/>
  <c r="AB37" i="111"/>
  <c r="U34" i="111"/>
  <c r="U41" i="111"/>
  <c r="U40" i="111"/>
  <c r="U37" i="111"/>
  <c r="V35" i="111"/>
  <c r="V38" i="111"/>
  <c r="AC39" i="111"/>
  <c r="Y42" i="107"/>
  <c r="W36" i="111"/>
  <c r="W39" i="111"/>
  <c r="AA38" i="111"/>
  <c r="AA35" i="111"/>
  <c r="Y36" i="111"/>
  <c r="S42" i="107"/>
  <c r="V42" i="107"/>
  <c r="AB42" i="107"/>
  <c r="T40" i="111"/>
  <c r="T37" i="111"/>
  <c r="T34" i="111"/>
  <c r="T41" i="111"/>
  <c r="U38" i="111"/>
  <c r="AB38" i="111"/>
  <c r="AB35" i="111"/>
  <c r="V40" i="111"/>
  <c r="AF20" i="111"/>
  <c r="AE11" i="111"/>
  <c r="AF19" i="111"/>
  <c r="V39" i="111"/>
  <c r="V36" i="111"/>
  <c r="AA39" i="111"/>
  <c r="AA36" i="111"/>
  <c r="AF40" i="107"/>
  <c r="AF41" i="107"/>
  <c r="AF37" i="107"/>
  <c r="AF34" i="107"/>
  <c r="X40" i="111"/>
  <c r="X41" i="111"/>
  <c r="X42" i="111" s="1"/>
  <c r="X37" i="111"/>
  <c r="X34" i="111"/>
  <c r="AA40" i="111"/>
  <c r="AA37" i="111"/>
  <c r="AA41" i="111"/>
  <c r="AA34" i="111"/>
  <c r="AC41" i="111"/>
  <c r="AC37" i="111"/>
  <c r="AC40" i="111"/>
  <c r="AC34" i="111"/>
  <c r="AD39" i="111"/>
  <c r="AD36" i="111"/>
  <c r="AF12" i="111"/>
  <c r="AE10" i="111"/>
  <c r="AF17" i="111"/>
  <c r="AF14" i="111"/>
  <c r="AE36" i="107"/>
  <c r="AE39" i="107"/>
  <c r="S40" i="111"/>
  <c r="S37" i="111"/>
  <c r="S34" i="111"/>
  <c r="S41" i="111"/>
  <c r="Y35" i="111"/>
  <c r="U35" i="111"/>
  <c r="AF11" i="111"/>
  <c r="AF10" i="111"/>
  <c r="AD40" i="111"/>
  <c r="AD42" i="111" s="1"/>
  <c r="AC35" i="111"/>
  <c r="Z41" i="111"/>
  <c r="Z34" i="111"/>
  <c r="Z40" i="111"/>
  <c r="Z37" i="111"/>
  <c r="Y39" i="111"/>
  <c r="AB36" i="111"/>
  <c r="AB39" i="111"/>
  <c r="W38" i="111"/>
  <c r="W35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2" i="108" l="1"/>
  <c r="U42" i="111"/>
  <c r="AF42" i="107"/>
  <c r="V42" i="111"/>
  <c r="K107" i="111"/>
  <c r="AE42" i="107"/>
  <c r="AC42" i="111"/>
  <c r="AE36" i="111"/>
  <c r="AF38" i="111"/>
  <c r="S42" i="111"/>
  <c r="W42" i="111"/>
  <c r="Z42" i="111"/>
  <c r="AA42" i="111"/>
  <c r="AF35" i="111"/>
  <c r="Y42" i="111"/>
  <c r="AE39" i="111"/>
  <c r="T42" i="111"/>
  <c r="AE35" i="111"/>
  <c r="AE38" i="111"/>
  <c r="AF40" i="111"/>
  <c r="AF37" i="111"/>
  <c r="AF34" i="111"/>
  <c r="AF41" i="111"/>
  <c r="AE40" i="111"/>
  <c r="AE41" i="111"/>
  <c r="AE37" i="111"/>
  <c r="AE34" i="111"/>
  <c r="AF36" i="111"/>
  <c r="AF39" i="111"/>
  <c r="AB42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<sst xmlns="http://schemas.openxmlformats.org/spreadsheetml/2006/main" count="2325" uniqueCount="176">
  <si>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</si>
  <si>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</si>
  <si>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</si>
  <si>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</si>
  <si>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</si>
  <si>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</si>
  <si>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</si>
  <si>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</si>
  <si>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</si>
  <si>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</si>
  <si>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</si>
  <si>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</si>
  <si>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</si>
  <si>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</si>
  <si>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</si>
  <si>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</si>
  <si>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</si>
  <si>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</si>
  <si>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</si>
  <si>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</si>
  <si>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</si>
  <si>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</si>
  <si>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</si>
  <si>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</si>
  <si>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</si>
  <si>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</si>
  <si>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</si>
  <si>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</si>
  <si>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</si>
  <si>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</si>
  <si>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</si>
  <si>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</si>
  <si>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</si>
  <si>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</si>
  <si>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</si>
  <si>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</si>
  <si>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</si>
  <si>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</si>
  <si>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</si>
  <si>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</si>
  <si>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</si>
  <si>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</si>
  <si>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</si>
  <si>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</si>
  <si>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</si>
  <si>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</si>
  <si>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</si>
  <si>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</si>
  <si>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</si>
  <si>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</si>
  <si>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</si>
  <si>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</si>
  <si>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</si>
  <si>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</si>
  <si>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</si>
  <si>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</si>
  <si>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</si>
  <si>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</si>
  <si>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</si>
  <si>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</si>
  <si>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</si>
  <si>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</si>
  <si>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</si>
  <si>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</si>
  <si>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</si>
  <si>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</si>
  <si>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</si>
  <si>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</si>
  <si>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</si>
  <si>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</si>
  <si>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</si>
  <si>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</si>
  <si>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</si>
  <si>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</si>
  <si>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</si>
  <si>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</si>
  <si>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</si>
  <si>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</si>
  <si>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</si>
  <si>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</si>
  <si>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</si>
  <si>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</si>
  <si>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</si>
  <si>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</si>
  <si>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</si>
  <si>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</si>
  <si>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</si>
  <si>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</si>
  <si>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</si>
  <si>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</si>
  <si>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</si>
  <si>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</si>
  <si>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</si>
  <si>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</si>
  <si>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</si>
  <si>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</si>
  <si>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</si>
  <si>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</si>
  <si>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</si>
  <si>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</si>
  <si>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</si>
  <si>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</si>
  <si>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</si>
  <si>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</si>
  <si>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</si>
  <si>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</si>
  <si>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</si>
  <si>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</si>
  <si>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</si>
  <si>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</si>
  <si>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</si>
  <si>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</si>
  <si>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</si>
  <si>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</si>
  <si>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</si>
  <si>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</si>
  <si>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</si>
  <si>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</si>
  <si>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</si>
  <si>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</si>
  <si>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</si>
  <si>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</si>
  <si>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</si>
  <si>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</si>
  <si>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</si>
  <si>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</si>
  <si>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</si>
  <si>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</si>
  <si>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</si>
  <si>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</si>
  <si>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</si>
  <si>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</si>
  <si>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</si>
  <si>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</si>
  <si>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</si>
  <si>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</si>
  <si>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</si>
  <si>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</si>
  <si>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</si>
  <si>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</si>
  <si>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</si>
  <si>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</si>
  <si>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</si>
  <si>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</si>
  <si>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</si>
  <si>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</si>
  <si>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</si>
  <si>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</si>
  <si>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</si>
  <si>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</si>
  <si>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</si>
  <si>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</si>
  <si>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</si>
  <si>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</si>
  <si>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</si>
  <si>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</si>
  <si>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</si>
  <si>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</si>
  <si>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</si>
  <si>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</si>
  <si>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</si>
  <si>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</si>
  <si>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</si>
  <si>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</si>
  <si>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KAPEKA</t>
  </si>
  <si>
    <t>MATUGA</t>
  </si>
  <si>
    <t>20.08.19</t>
  </si>
  <si>
    <t>21.08.19</t>
  </si>
  <si>
    <t>22.08.19</t>
  </si>
  <si>
    <t>23.08.19</t>
  </si>
  <si>
    <t>24.08.19</t>
  </si>
  <si>
    <t>25.08.19</t>
  </si>
  <si>
    <t>26.08.19</t>
  </si>
  <si>
    <t>MCC - C3- STN86 - SEMUTO  ROAD</t>
  </si>
  <si>
    <t>Kapeeka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</si>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</sst>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'20.08 KAPEKA-MATUGA'!$AE$9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'20.08 KAPEKA-MATUGA'!$AE$10:$AE$21</c:f>
              <c:numCache>
                <c:formatCode>0</c:formatCode>
                <c:ptCount val="12"/>
                <c:pt idx="0">
                  <c:v>25</c:v>
                </c:pt>
                <c:pt idx="1">
                  <c:v>24</c:v>
                </c:pt>
                <c:pt idx="2">
                  <c:v>44</c:v>
                </c:pt>
                <c:pt idx="3">
                  <c:v>38</c:v>
                </c:pt>
                <c:pt idx="4">
                  <c:v>37</c:v>
                </c:pt>
                <c:pt idx="5">
                  <c:v>46</c:v>
                </c:pt>
                <c:pt idx="6">
                  <c:v>38</c:v>
                </c:pt>
                <c:pt idx="7">
                  <c:v>38</c:v>
                </c:pt>
                <c:pt idx="8">
                  <c:v>38</c:v>
                </c:pt>
                <c:pt idx="9">
                  <c:v>36</c:v>
                </c:pt>
                <c:pt idx="10">
                  <c:v>41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'20.08 KAPEKA-MATUGA'!$AF$9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'20.08 KAPEKA-MATUGA'!$AF$10:$AF$21</c:f>
              <c:numCache>
                <c:formatCode>0</c:formatCode>
                <c:ptCount val="12"/>
                <c:pt idx="0">
                  <c:v>93</c:v>
                </c:pt>
                <c:pt idx="1">
                  <c:v>112</c:v>
                </c:pt>
                <c:pt idx="2">
                  <c:v>114</c:v>
                </c:pt>
                <c:pt idx="3">
                  <c:v>118</c:v>
                </c:pt>
                <c:pt idx="4">
                  <c:v>129</c:v>
                </c:pt>
                <c:pt idx="5">
                  <c:v>131</c:v>
                </c:pt>
                <c:pt idx="6">
                  <c:v>115</c:v>
                </c:pt>
                <c:pt idx="7">
                  <c:v>97</c:v>
                </c:pt>
                <c:pt idx="8">
                  <c:v>103</c:v>
                </c:pt>
                <c:pt idx="9">
                  <c:v>48</c:v>
                </c:pt>
                <c:pt idx="10">
                  <c:v>145</c:v>
                </c:pt>
                <c:pt idx="11">
                  <c:v>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567288"/>
        <c:axId val="192012688"/>
      </c:lineChart>
      <c:catAx>
        <c:axId val="193567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012688"/>
        <c:crosses val="autoZero"/>
        <c:auto val="1"/>
        <c:lblAlgn val="ctr"/>
        <c:lblOffset val="100"/>
        <c:noMultiLvlLbl val="0"/>
      </c:catAx>
      <c:valAx>
        <c:axId val="192012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356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'20.08 KAPEKA-MATUGA'!$C$59:$N$59</c:f>
              <c:numCache>
                <c:formatCode>0.0%</c:formatCode>
                <c:ptCount val="12"/>
                <c:pt idx="0">
                  <c:v>6.6220238095238096E-2</c:v>
                </c:pt>
                <c:pt idx="1">
                  <c:v>0</c:v>
                </c:pt>
                <c:pt idx="2">
                  <c:v>6.101190476190476E-2</c:v>
                </c:pt>
                <c:pt idx="3">
                  <c:v>6.1755952380952384E-2</c:v>
                </c:pt>
                <c:pt idx="4">
                  <c:v>2.232142857142857E-3</c:v>
                </c:pt>
                <c:pt idx="5">
                  <c:v>0</c:v>
                </c:pt>
                <c:pt idx="6">
                  <c:v>9.9702380952380959E-2</c:v>
                </c:pt>
                <c:pt idx="7">
                  <c:v>1.8601190476190476E-2</c:v>
                </c:pt>
                <c:pt idx="8">
                  <c:v>1.1904761904761904E-2</c:v>
                </c:pt>
                <c:pt idx="9">
                  <c:v>0</c:v>
                </c:pt>
                <c:pt idx="10">
                  <c:v>0.6785714285714286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'20.08 KAPEKA-MATUGA'!$C$60:$N$60</c:f>
              <c:numCache>
                <c:formatCode>0.00%</c:formatCode>
                <c:ptCount val="12"/>
                <c:pt idx="0">
                  <c:v>0.20601851851851852</c:v>
                </c:pt>
                <c:pt idx="1">
                  <c:v>0</c:v>
                </c:pt>
                <c:pt idx="2">
                  <c:v>0.18981481481481483</c:v>
                </c:pt>
                <c:pt idx="3">
                  <c:v>0.19212962962962962</c:v>
                </c:pt>
                <c:pt idx="4">
                  <c:v>6.9444444444444441E-3</c:v>
                </c:pt>
                <c:pt idx="5">
                  <c:v>0</c:v>
                </c:pt>
                <c:pt idx="6">
                  <c:v>0.31018518518518517</c:v>
                </c:pt>
                <c:pt idx="7">
                  <c:v>5.7870370370370371E-2</c:v>
                </c:pt>
                <c:pt idx="8">
                  <c:v>3.7037037037037035E-2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'20.08 MATUGA-KAPEKA'!$AE$9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'20.08 MATUGA-KAPEKA'!$AE$10:$AE$21</c:f>
              <c:numCache>
                <c:formatCode>0</c:formatCode>
                <c:ptCount val="12"/>
                <c:pt idx="0">
                  <c:v>14</c:v>
                </c:pt>
                <c:pt idx="1">
                  <c:v>25</c:v>
                </c:pt>
                <c:pt idx="2">
                  <c:v>22</c:v>
                </c:pt>
                <c:pt idx="3">
                  <c:v>23</c:v>
                </c:pt>
                <c:pt idx="4">
                  <c:v>29</c:v>
                </c:pt>
                <c:pt idx="5">
                  <c:v>41</c:v>
                </c:pt>
                <c:pt idx="6">
                  <c:v>42</c:v>
                </c:pt>
                <c:pt idx="7">
                  <c:v>37</c:v>
                </c:pt>
                <c:pt idx="8">
                  <c:v>40</c:v>
                </c:pt>
                <c:pt idx="9">
                  <c:v>37</c:v>
                </c:pt>
                <c:pt idx="10">
                  <c:v>52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'20.08 MATUGA-KAPEKA'!$AF$9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'20.08 MATUGA-KAPEKA'!$AF$10:$AF$21</c:f>
              <c:numCache>
                <c:formatCode>0</c:formatCode>
                <c:ptCount val="12"/>
                <c:pt idx="0">
                  <c:v>61</c:v>
                </c:pt>
                <c:pt idx="1">
                  <c:v>90</c:v>
                </c:pt>
                <c:pt idx="2">
                  <c:v>103</c:v>
                </c:pt>
                <c:pt idx="3">
                  <c:v>100</c:v>
                </c:pt>
                <c:pt idx="4">
                  <c:v>125</c:v>
                </c:pt>
                <c:pt idx="5">
                  <c:v>119</c:v>
                </c:pt>
                <c:pt idx="6">
                  <c:v>113</c:v>
                </c:pt>
                <c:pt idx="7">
                  <c:v>113</c:v>
                </c:pt>
                <c:pt idx="8">
                  <c:v>125</c:v>
                </c:pt>
                <c:pt idx="9">
                  <c:v>41</c:v>
                </c:pt>
                <c:pt idx="10">
                  <c:v>152</c:v>
                </c:pt>
                <c:pt idx="11">
                  <c:v>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729336"/>
        <c:axId val="192657512"/>
      </c:lineChart>
      <c:catAx>
        <c:axId val="153729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657512"/>
        <c:crosses val="autoZero"/>
        <c:auto val="1"/>
        <c:lblAlgn val="ctr"/>
        <c:lblOffset val="100"/>
        <c:noMultiLvlLbl val="0"/>
      </c:catAx>
      <c:valAx>
        <c:axId val="192657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3729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'20.08 MATUGA-KAPEKA'!$C$59:$N$59</c:f>
              <c:numCache>
                <c:formatCode>0.0%</c:formatCode>
                <c:ptCount val="12"/>
                <c:pt idx="0">
                  <c:v>6.7077872012336157E-2</c:v>
                </c:pt>
                <c:pt idx="1">
                  <c:v>0</c:v>
                </c:pt>
                <c:pt idx="2">
                  <c:v>6.7848882035466462E-2</c:v>
                </c:pt>
                <c:pt idx="3">
                  <c:v>6.2451811873554357E-2</c:v>
                </c:pt>
                <c:pt idx="4">
                  <c:v>1.5420200462606013E-3</c:v>
                </c:pt>
                <c:pt idx="5">
                  <c:v>0</c:v>
                </c:pt>
                <c:pt idx="6">
                  <c:v>8.326908249807248E-2</c:v>
                </c:pt>
                <c:pt idx="7">
                  <c:v>1.5420200462606014E-2</c:v>
                </c:pt>
                <c:pt idx="8">
                  <c:v>1.3878180416345412E-2</c:v>
                </c:pt>
                <c:pt idx="9">
                  <c:v>0</c:v>
                </c:pt>
                <c:pt idx="10">
                  <c:v>0.68851195065535853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'20.08 MATUGA-KAPEKA'!$S$9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'20.08 MATUGA-KAPEKA'!$S$10:$S$21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  <c:pt idx="4">
                  <c:v>3</c:v>
                </c:pt>
                <c:pt idx="5">
                  <c:v>8</c:v>
                </c:pt>
                <c:pt idx="6">
                  <c:v>7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14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'20.08 MATUGA-KAPEKA'!$T$9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'20.08 MATUGA-KAPEKA'!$T$10:$T$21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'20.08 MATUGA-KAPEKA'!$U$9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11</c:v>
                </c:pt>
                <c:pt idx="7">
                  <c:v>8</c:v>
                </c:pt>
                <c:pt idx="8">
                  <c:v>14</c:v>
                </c:pt>
                <c:pt idx="9">
                  <c:v>10</c:v>
                </c:pt>
                <c:pt idx="10">
                  <c:v>15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'20.08 MATUGA-KAPEKA'!$V$9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MATUGA-KAPEKA'!$V$10:$V$21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  <c:pt idx="6">
                  <c:v>9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'20.08 MATUGA-KAPEKA'!$W$9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'20.08 MATUGA-KAPEKA'!$X$9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'20.08 MATUGA-KAPEKA'!$Y$9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MATUGA-KAPEKA'!$Y$10:$Y$21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4</c:v>
                </c:pt>
                <c:pt idx="4">
                  <c:v>11</c:v>
                </c:pt>
                <c:pt idx="5">
                  <c:v>10</c:v>
                </c:pt>
                <c:pt idx="6">
                  <c:v>12</c:v>
                </c:pt>
                <c:pt idx="7">
                  <c:v>11</c:v>
                </c:pt>
                <c:pt idx="8">
                  <c:v>6</c:v>
                </c:pt>
                <c:pt idx="9">
                  <c:v>8</c:v>
                </c:pt>
                <c:pt idx="10">
                  <c:v>9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'20.08 MATUGA-KAPEKA'!$Z$9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'20.08 MATUGA-KAPEKA'!$AA$9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'20.08 MATUGA-KAPEKA'!$AB$9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'20.08 MATUGA-KAPEKA'!$AC$9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MATUGA-KAPEKA'!$AC$10:$AC$21</c:f>
              <c:numCache>
                <c:formatCode>0</c:formatCode>
                <c:ptCount val="12"/>
                <c:pt idx="0">
                  <c:v>47</c:v>
                </c:pt>
                <c:pt idx="1">
                  <c:v>65</c:v>
                </c:pt>
                <c:pt idx="2">
                  <c:v>81</c:v>
                </c:pt>
                <c:pt idx="3">
                  <c:v>77</c:v>
                </c:pt>
                <c:pt idx="4">
                  <c:v>96</c:v>
                </c:pt>
                <c:pt idx="5">
                  <c:v>78</c:v>
                </c:pt>
                <c:pt idx="6">
                  <c:v>71</c:v>
                </c:pt>
                <c:pt idx="7">
                  <c:v>76</c:v>
                </c:pt>
                <c:pt idx="8">
                  <c:v>85</c:v>
                </c:pt>
                <c:pt idx="9">
                  <c:v>4</c:v>
                </c:pt>
                <c:pt idx="10">
                  <c:v>100</c:v>
                </c:pt>
                <c:pt idx="11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'20.08 MATUGA-KAPEKA'!$AD$9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'20.08 MATUGA-KAPEKA'!$AD$10:$AD$21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774576"/>
        <c:axId val="208967832"/>
      </c:lineChart>
      <c:catAx>
        <c:axId val="19277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967832"/>
        <c:crosses val="autoZero"/>
        <c:auto val="1"/>
        <c:lblAlgn val="ctr"/>
        <c:lblOffset val="100"/>
        <c:noMultiLvlLbl val="0"/>
      </c:catAx>
      <c:valAx>
        <c:axId val="208967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9277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'20.08 MATUGA-KAPEKA'!$C$60:$N$60</c:f>
              <c:numCache>
                <c:formatCode>0.00%</c:formatCode>
                <c:ptCount val="12"/>
                <c:pt idx="0">
                  <c:v>0.21534653465346534</c:v>
                </c:pt>
                <c:pt idx="1">
                  <c:v>0</c:v>
                </c:pt>
                <c:pt idx="2">
                  <c:v>0.21782178217821782</c:v>
                </c:pt>
                <c:pt idx="3">
                  <c:v>0.20049504950495051</c:v>
                </c:pt>
                <c:pt idx="4">
                  <c:v>4.9504950495049506E-3</c:v>
                </c:pt>
                <c:pt idx="5">
                  <c:v>0</c:v>
                </c:pt>
                <c:pt idx="6">
                  <c:v>0.26732673267326734</c:v>
                </c:pt>
                <c:pt idx="7">
                  <c:v>4.9504950495049507E-2</c:v>
                </c:pt>
                <c:pt idx="8">
                  <c:v>4.4554455445544552E-2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'21.08 KAPEKA-MATUGA'!$AE$9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KAPEKA-MATUGA'!$AE$10:$AE$21</c:f>
              <c:numCache>
                <c:formatCode>0</c:formatCode>
                <c:ptCount val="12"/>
                <c:pt idx="0">
                  <c:v>24</c:v>
                </c:pt>
                <c:pt idx="1">
                  <c:v>37</c:v>
                </c:pt>
                <c:pt idx="2">
                  <c:v>44</c:v>
                </c:pt>
                <c:pt idx="3">
                  <c:v>56</c:v>
                </c:pt>
                <c:pt idx="4">
                  <c:v>38</c:v>
                </c:pt>
                <c:pt idx="5">
                  <c:v>48</c:v>
                </c:pt>
                <c:pt idx="6">
                  <c:v>33</c:v>
                </c:pt>
                <c:pt idx="7">
                  <c:v>38</c:v>
                </c:pt>
                <c:pt idx="8">
                  <c:v>43</c:v>
                </c:pt>
                <c:pt idx="9">
                  <c:v>47</c:v>
                </c:pt>
                <c:pt idx="10">
                  <c:v>40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'21.08 KAPEKA-MATUGA'!$AF$9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KAPEKA-MATUGA'!$AF$10:$AF$21</c:f>
              <c:numCache>
                <c:formatCode>0</c:formatCode>
                <c:ptCount val="12"/>
                <c:pt idx="0">
                  <c:v>81</c:v>
                </c:pt>
                <c:pt idx="1">
                  <c:v>89</c:v>
                </c:pt>
                <c:pt idx="2">
                  <c:v>120</c:v>
                </c:pt>
                <c:pt idx="3">
                  <c:v>136</c:v>
                </c:pt>
                <c:pt idx="4">
                  <c:v>113</c:v>
                </c:pt>
                <c:pt idx="5">
                  <c:v>134</c:v>
                </c:pt>
                <c:pt idx="6">
                  <c:v>122</c:v>
                </c:pt>
                <c:pt idx="7">
                  <c:v>110</c:v>
                </c:pt>
                <c:pt idx="8">
                  <c:v>134</c:v>
                </c:pt>
                <c:pt idx="9">
                  <c:v>119</c:v>
                </c:pt>
                <c:pt idx="10">
                  <c:v>121</c:v>
                </c:pt>
                <c:pt idx="11">
                  <c:v>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149656"/>
        <c:axId val="209151008"/>
      </c:lineChart>
      <c:catAx>
        <c:axId val="209149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51008"/>
        <c:crosses val="autoZero"/>
        <c:auto val="1"/>
        <c:lblAlgn val="ctr"/>
        <c:lblOffset val="100"/>
        <c:noMultiLvlLbl val="0"/>
      </c:catAx>
      <c:valAx>
        <c:axId val="209151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9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'21.08 KAPEKA-MATUGA'!$C$59:$N$59</c:f>
              <c:numCache>
                <c:formatCode>0.0%</c:formatCode>
                <c:ptCount val="12"/>
                <c:pt idx="0">
                  <c:v>5.1152737752161385E-2</c:v>
                </c:pt>
                <c:pt idx="1">
                  <c:v>0</c:v>
                </c:pt>
                <c:pt idx="2">
                  <c:v>8.861671469740634E-2</c:v>
                </c:pt>
                <c:pt idx="3">
                  <c:v>4.8270893371757925E-2</c:v>
                </c:pt>
                <c:pt idx="4">
                  <c:v>0</c:v>
                </c:pt>
                <c:pt idx="5">
                  <c:v>0</c:v>
                </c:pt>
                <c:pt idx="6">
                  <c:v>0.11167146974063401</c:v>
                </c:pt>
                <c:pt idx="7">
                  <c:v>5.763688760806916E-3</c:v>
                </c:pt>
                <c:pt idx="8">
                  <c:v>9.3659942363112387E-3</c:v>
                </c:pt>
                <c:pt idx="9">
                  <c:v>3.4582132564841501E-2</c:v>
                </c:pt>
                <c:pt idx="10">
                  <c:v>0.65057636887608072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'21.08 KAPEKA-MATUGA'!$S$9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KAPEKA-MATUGA'!$S$10:$S$21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7</c:v>
                </c:pt>
                <c:pt idx="3">
                  <c:v>14</c:v>
                </c:pt>
                <c:pt idx="4">
                  <c:v>8</c:v>
                </c:pt>
                <c:pt idx="5">
                  <c:v>5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8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'21.08 KAPEKA-MATUGA'!$T$9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KAPEKA-MATUGA'!$T$10:$T$21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'21.08 KAPEKA-MATUGA'!$U$9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KAPEKA-MATUGA'!$U$10:$U$21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16</c:v>
                </c:pt>
                <c:pt idx="3">
                  <c:v>11</c:v>
                </c:pt>
                <c:pt idx="4">
                  <c:v>13</c:v>
                </c:pt>
                <c:pt idx="5">
                  <c:v>14</c:v>
                </c:pt>
                <c:pt idx="6">
                  <c:v>5</c:v>
                </c:pt>
                <c:pt idx="7">
                  <c:v>9</c:v>
                </c:pt>
                <c:pt idx="8">
                  <c:v>17</c:v>
                </c:pt>
                <c:pt idx="9">
                  <c:v>8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'21.08 KAPEKA-MATUGA'!$V$9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KAPEKA-MATUGA'!$V$10:$V$21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6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5</c:v>
                </c:pt>
                <c:pt idx="9">
                  <c:v>8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'21.08 KAPEKA-MATUGA'!$W$9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'21.08 KAPEKA-MATUGA'!$X$9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'21.08 KAPEKA-MATUGA'!$Y$9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KAPEKA-MATUGA'!$Y$10:$Y$21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12</c:v>
                </c:pt>
                <c:pt idx="3">
                  <c:v>18</c:v>
                </c:pt>
                <c:pt idx="4">
                  <c:v>8</c:v>
                </c:pt>
                <c:pt idx="5">
                  <c:v>19</c:v>
                </c:pt>
                <c:pt idx="6">
                  <c:v>11</c:v>
                </c:pt>
                <c:pt idx="7">
                  <c:v>6</c:v>
                </c:pt>
                <c:pt idx="8">
                  <c:v>8</c:v>
                </c:pt>
                <c:pt idx="9">
                  <c:v>17</c:v>
                </c:pt>
                <c:pt idx="10">
                  <c:v>13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'21.08 KAPEKA-MATUGA'!$Z$9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'21.08 KAPEKA-MATUGA'!$AA$9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'21.08 KAPEKA-MATUGA'!$AB$9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KAPEKA-MATUGA'!$AB$10:$AB$21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'21.08 KAPEKA-MATUGA'!$AC$9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KAPEKA-MATUGA'!$AC$10:$AC$21</c:f>
              <c:numCache>
                <c:formatCode>0</c:formatCode>
                <c:ptCount val="12"/>
                <c:pt idx="0">
                  <c:v>57</c:v>
                </c:pt>
                <c:pt idx="1">
                  <c:v>52</c:v>
                </c:pt>
                <c:pt idx="2">
                  <c:v>76</c:v>
                </c:pt>
                <c:pt idx="3">
                  <c:v>80</c:v>
                </c:pt>
                <c:pt idx="4">
                  <c:v>75</c:v>
                </c:pt>
                <c:pt idx="5">
                  <c:v>86</c:v>
                </c:pt>
                <c:pt idx="6">
                  <c:v>89</c:v>
                </c:pt>
                <c:pt idx="7">
                  <c:v>72</c:v>
                </c:pt>
                <c:pt idx="8">
                  <c:v>91</c:v>
                </c:pt>
                <c:pt idx="9">
                  <c:v>72</c:v>
                </c:pt>
                <c:pt idx="10">
                  <c:v>81</c:v>
                </c:pt>
                <c:pt idx="1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'21.08 KAPEKA-MATUGA'!$AD$9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KAPEKA-MATUGA'!$AD$10:$AD$21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06744"/>
        <c:axId val="153230456"/>
      </c:lineChart>
      <c:catAx>
        <c:axId val="189806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3230456"/>
        <c:crosses val="autoZero"/>
        <c:auto val="1"/>
        <c:lblAlgn val="ctr"/>
        <c:lblOffset val="100"/>
        <c:noMultiLvlLbl val="0"/>
      </c:catAx>
      <c:valAx>
        <c:axId val="153230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9806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'21.08 KAPEKA-MATUGA'!$C$60:$N$60</c:f>
              <c:numCache>
                <c:formatCode>0.00%</c:formatCode>
                <c:ptCount val="12"/>
                <c:pt idx="0">
                  <c:v>0.14639175257731959</c:v>
                </c:pt>
                <c:pt idx="1">
                  <c:v>0</c:v>
                </c:pt>
                <c:pt idx="2">
                  <c:v>0.2536082474226804</c:v>
                </c:pt>
                <c:pt idx="3">
                  <c:v>0.13814432989690723</c:v>
                </c:pt>
                <c:pt idx="4">
                  <c:v>0</c:v>
                </c:pt>
                <c:pt idx="5">
                  <c:v>0</c:v>
                </c:pt>
                <c:pt idx="6">
                  <c:v>0.31958762886597936</c:v>
                </c:pt>
                <c:pt idx="7">
                  <c:v>1.6494845360824743E-2</c:v>
                </c:pt>
                <c:pt idx="8">
                  <c:v>2.6804123711340205E-2</c:v>
                </c:pt>
                <c:pt idx="9">
                  <c:v>9.8969072164948449E-2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'21.08 MATUGA-KAPEKA'!$AE$9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MATUGA-KAPEKA'!$AE$10:$AE$21</c:f>
              <c:numCache>
                <c:formatCode>0</c:formatCode>
                <c:ptCount val="12"/>
                <c:pt idx="0">
                  <c:v>13</c:v>
                </c:pt>
                <c:pt idx="1">
                  <c:v>15</c:v>
                </c:pt>
                <c:pt idx="2">
                  <c:v>18</c:v>
                </c:pt>
                <c:pt idx="3">
                  <c:v>27</c:v>
                </c:pt>
                <c:pt idx="4">
                  <c:v>35</c:v>
                </c:pt>
                <c:pt idx="5">
                  <c:v>23</c:v>
                </c:pt>
                <c:pt idx="6">
                  <c:v>25</c:v>
                </c:pt>
                <c:pt idx="7">
                  <c:v>35</c:v>
                </c:pt>
                <c:pt idx="8">
                  <c:v>37</c:v>
                </c:pt>
                <c:pt idx="9">
                  <c:v>43</c:v>
                </c:pt>
                <c:pt idx="10">
                  <c:v>51</c:v>
                </c:pt>
                <c:pt idx="11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'21.08 MATUGA-KAPEKA'!$AF$9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MATUGA-KAPEKA'!$AF$10:$AF$21</c:f>
              <c:numCache>
                <c:formatCode>0</c:formatCode>
                <c:ptCount val="12"/>
                <c:pt idx="0">
                  <c:v>50</c:v>
                </c:pt>
                <c:pt idx="1">
                  <c:v>61</c:v>
                </c:pt>
                <c:pt idx="2">
                  <c:v>73</c:v>
                </c:pt>
                <c:pt idx="3">
                  <c:v>97</c:v>
                </c:pt>
                <c:pt idx="4">
                  <c:v>119</c:v>
                </c:pt>
                <c:pt idx="5">
                  <c:v>115</c:v>
                </c:pt>
                <c:pt idx="6">
                  <c:v>109</c:v>
                </c:pt>
                <c:pt idx="7">
                  <c:v>107</c:v>
                </c:pt>
                <c:pt idx="8">
                  <c:v>120</c:v>
                </c:pt>
                <c:pt idx="9">
                  <c:v>119</c:v>
                </c:pt>
                <c:pt idx="10">
                  <c:v>148</c:v>
                </c:pt>
                <c:pt idx="11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990808"/>
        <c:axId val="214997080"/>
      </c:lineChart>
      <c:catAx>
        <c:axId val="214990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7080"/>
        <c:crosses val="autoZero"/>
        <c:auto val="1"/>
        <c:lblAlgn val="ctr"/>
        <c:lblOffset val="100"/>
        <c:noMultiLvlLbl val="0"/>
      </c:catAx>
      <c:valAx>
        <c:axId val="214997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0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'21.08 MATUGA-KAPEKA'!$C$59:$N$59</c:f>
              <c:numCache>
                <c:formatCode>0.0%</c:formatCode>
                <c:ptCount val="12"/>
                <c:pt idx="0">
                  <c:v>5.3585500394011033E-2</c:v>
                </c:pt>
                <c:pt idx="1">
                  <c:v>0</c:v>
                </c:pt>
                <c:pt idx="2">
                  <c:v>9.0622537431048075E-2</c:v>
                </c:pt>
                <c:pt idx="3">
                  <c:v>5.1221434200157602E-2</c:v>
                </c:pt>
                <c:pt idx="4">
                  <c:v>0</c:v>
                </c:pt>
                <c:pt idx="5">
                  <c:v>0</c:v>
                </c:pt>
                <c:pt idx="6">
                  <c:v>8.1166272655634364E-2</c:v>
                </c:pt>
                <c:pt idx="7">
                  <c:v>6.3041765169424748E-3</c:v>
                </c:pt>
                <c:pt idx="8">
                  <c:v>1.3396375098502758E-2</c:v>
                </c:pt>
                <c:pt idx="9">
                  <c:v>0</c:v>
                </c:pt>
                <c:pt idx="10">
                  <c:v>0.70291568163908591</c:v>
                </c:pt>
                <c:pt idx="11">
                  <c:v>7.8802206461780935E-4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'21.08 MATUGA-KAPEKA'!$S$9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MATUGA-KAPEKA'!$S$10:$S$21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11</c:v>
                </c:pt>
                <c:pt idx="8">
                  <c:v>7</c:v>
                </c:pt>
                <c:pt idx="9">
                  <c:v>8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'21.08 MATUGA-KAPEKA'!$T$9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'21.08 MATUGA-KAPEKA'!$T$10:$T$21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'21.08 MATUGA-KAPEKA'!$U$9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MATUGA-KAPEKA'!$U$10:$U$21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9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'21.08 MATUGA-KAPEKA'!$V$9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MATUGA-KAPEKA'!$V$10:$V$21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6</c:v>
                </c:pt>
                <c:pt idx="9">
                  <c:v>8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'21.08 MATUGA-KAPEKA'!$W$9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'21.08 MATUGA-KAPEKA'!$X$9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'21.08 MATUGA-KAPEKA'!$Y$9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9</c:v>
                </c:pt>
                <c:pt idx="4">
                  <c:v>10</c:v>
                </c:pt>
                <c:pt idx="5">
                  <c:v>4</c:v>
                </c:pt>
                <c:pt idx="6">
                  <c:v>8</c:v>
                </c:pt>
                <c:pt idx="7">
                  <c:v>11</c:v>
                </c:pt>
                <c:pt idx="8">
                  <c:v>10</c:v>
                </c:pt>
                <c:pt idx="9">
                  <c:v>14</c:v>
                </c:pt>
                <c:pt idx="10">
                  <c:v>12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'21.08 MATUGA-KAPEKA'!$Z$9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'21.08 MATUGA-KAPEKA'!$AA$9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3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'21.08 MATUGA-KAPEKA'!$AB$9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'21.08 MATUGA-KAPEKA'!$AC$9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MATUGA-KAPEKA'!$AC$10:$AC$21</c:f>
              <c:numCache>
                <c:formatCode>0</c:formatCode>
                <c:ptCount val="12"/>
                <c:pt idx="0">
                  <c:v>37</c:v>
                </c:pt>
                <c:pt idx="1">
                  <c:v>46</c:v>
                </c:pt>
                <c:pt idx="2">
                  <c:v>55</c:v>
                </c:pt>
                <c:pt idx="3">
                  <c:v>70</c:v>
                </c:pt>
                <c:pt idx="4">
                  <c:v>84</c:v>
                </c:pt>
                <c:pt idx="5">
                  <c:v>92</c:v>
                </c:pt>
                <c:pt idx="6">
                  <c:v>84</c:v>
                </c:pt>
                <c:pt idx="7">
                  <c:v>72</c:v>
                </c:pt>
                <c:pt idx="8">
                  <c:v>83</c:v>
                </c:pt>
                <c:pt idx="9">
                  <c:v>76</c:v>
                </c:pt>
                <c:pt idx="10">
                  <c:v>97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'21.08 MATUGA-KAPEKA'!$AD$9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'21.08 MATUGA-KAPEKA'!$AD$10:$AD$21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997472"/>
        <c:axId val="214991984"/>
      </c:lineChart>
      <c:catAx>
        <c:axId val="2149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1984"/>
        <c:crosses val="autoZero"/>
        <c:auto val="1"/>
        <c:lblAlgn val="ctr"/>
        <c:lblOffset val="100"/>
        <c:noMultiLvlLbl val="0"/>
      </c:catAx>
      <c:valAx>
        <c:axId val="21499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'21.08 MATUGA-KAPEKA'!$C$60:$N$60</c:f>
              <c:numCache>
                <c:formatCode>0.00%</c:formatCode>
                <c:ptCount val="12"/>
                <c:pt idx="0">
                  <c:v>0.18037135278514588</c:v>
                </c:pt>
                <c:pt idx="1">
                  <c:v>0</c:v>
                </c:pt>
                <c:pt idx="2">
                  <c:v>0.30503978779840851</c:v>
                </c:pt>
                <c:pt idx="3">
                  <c:v>0.17241379310344829</c:v>
                </c:pt>
                <c:pt idx="4">
                  <c:v>0</c:v>
                </c:pt>
                <c:pt idx="5">
                  <c:v>0</c:v>
                </c:pt>
                <c:pt idx="6">
                  <c:v>0.27320954907161804</c:v>
                </c:pt>
                <c:pt idx="7">
                  <c:v>2.1220159151193633E-2</c:v>
                </c:pt>
                <c:pt idx="8">
                  <c:v>4.5092838196286469E-2</c:v>
                </c:pt>
                <c:pt idx="9">
                  <c:v>0</c:v>
                </c:pt>
                <c:pt idx="11">
                  <c:v>2.6525198938992041E-3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KAPEKA-MATUGA'!$AE$9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KAPEKA-MATUGA'!$AE$10:$AE$21</c:f>
              <c:numCache>
                <c:formatCode>0</c:formatCode>
                <c:ptCount val="12"/>
                <c:pt idx="0">
                  <c:v>43</c:v>
                </c:pt>
                <c:pt idx="1">
                  <c:v>41</c:v>
                </c:pt>
                <c:pt idx="2">
                  <c:v>33</c:v>
                </c:pt>
                <c:pt idx="3">
                  <c:v>38</c:v>
                </c:pt>
                <c:pt idx="4">
                  <c:v>45</c:v>
                </c:pt>
                <c:pt idx="5">
                  <c:v>54</c:v>
                </c:pt>
                <c:pt idx="6">
                  <c:v>49</c:v>
                </c:pt>
                <c:pt idx="7">
                  <c:v>48</c:v>
                </c:pt>
                <c:pt idx="8">
                  <c:v>51</c:v>
                </c:pt>
                <c:pt idx="9">
                  <c:v>35</c:v>
                </c:pt>
                <c:pt idx="10">
                  <c:v>39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'22.08 KAPEKA-MATUGA'!$AF$9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KAPEKA-MATUGA'!$AF$10:$AF$21</c:f>
              <c:numCache>
                <c:formatCode>0</c:formatCode>
                <c:ptCount val="12"/>
                <c:pt idx="0">
                  <c:v>158</c:v>
                </c:pt>
                <c:pt idx="1">
                  <c:v>137</c:v>
                </c:pt>
                <c:pt idx="2">
                  <c:v>119</c:v>
                </c:pt>
                <c:pt idx="3">
                  <c:v>129</c:v>
                </c:pt>
                <c:pt idx="4">
                  <c:v>121</c:v>
                </c:pt>
                <c:pt idx="5">
                  <c:v>157</c:v>
                </c:pt>
                <c:pt idx="6">
                  <c:v>146</c:v>
                </c:pt>
                <c:pt idx="7">
                  <c:v>152</c:v>
                </c:pt>
                <c:pt idx="8">
                  <c:v>164</c:v>
                </c:pt>
                <c:pt idx="9">
                  <c:v>149</c:v>
                </c:pt>
                <c:pt idx="10">
                  <c:v>151</c:v>
                </c:pt>
                <c:pt idx="11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993944"/>
        <c:axId val="214993160"/>
      </c:lineChart>
      <c:catAx>
        <c:axId val="214993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3160"/>
        <c:crosses val="autoZero"/>
        <c:auto val="1"/>
        <c:lblAlgn val="ctr"/>
        <c:lblOffset val="100"/>
        <c:noMultiLvlLbl val="0"/>
      </c:catAx>
      <c:valAx>
        <c:axId val="214993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3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KAPEKA-MATUGA'!$C$59:$N$59</c:f>
              <c:numCache>
                <c:formatCode>0.0%</c:formatCode>
                <c:ptCount val="12"/>
                <c:pt idx="0">
                  <c:v>5.9848925043579311E-2</c:v>
                </c:pt>
                <c:pt idx="1">
                  <c:v>0</c:v>
                </c:pt>
                <c:pt idx="2">
                  <c:v>6.3335270191748977E-2</c:v>
                </c:pt>
                <c:pt idx="3">
                  <c:v>4.3579314352120861E-2</c:v>
                </c:pt>
                <c:pt idx="4">
                  <c:v>1.1621150493898896E-3</c:v>
                </c:pt>
                <c:pt idx="5">
                  <c:v>0</c:v>
                </c:pt>
                <c:pt idx="6">
                  <c:v>0.10226612434631029</c:v>
                </c:pt>
                <c:pt idx="7">
                  <c:v>1.2202208018593841E-2</c:v>
                </c:pt>
                <c:pt idx="8">
                  <c:v>1.1621150493898896E-2</c:v>
                </c:pt>
                <c:pt idx="9">
                  <c:v>0</c:v>
                </c:pt>
                <c:pt idx="10">
                  <c:v>0.70366066240557812</c:v>
                </c:pt>
                <c:pt idx="11">
                  <c:v>2.3242300987797791E-3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KAPEKA-MATUGA'!$S$9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KAPEKA-MATUGA'!$S$10:$S$21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11</c:v>
                </c:pt>
                <c:pt idx="5">
                  <c:v>19</c:v>
                </c:pt>
                <c:pt idx="6">
                  <c:v>9</c:v>
                </c:pt>
                <c:pt idx="7">
                  <c:v>9</c:v>
                </c:pt>
                <c:pt idx="8">
                  <c:v>11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'22.08 KAPEKA-MATUGA'!$T$9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KAPEKA-MATUGA'!$T$10:$T$21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'22.08 KAPEKA-MATUGA'!$U$9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9</c:v>
                </c:pt>
                <c:pt idx="4">
                  <c:v>10</c:v>
                </c:pt>
                <c:pt idx="5">
                  <c:v>12</c:v>
                </c:pt>
                <c:pt idx="6">
                  <c:v>10</c:v>
                </c:pt>
                <c:pt idx="7">
                  <c:v>13</c:v>
                </c:pt>
                <c:pt idx="8">
                  <c:v>8</c:v>
                </c:pt>
                <c:pt idx="9">
                  <c:v>11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'22.08 KAPEKA-MATUGA'!$V$9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KAPEKA-MATUGA'!$V$10:$V$21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4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'22.08 KAPEKA-MATUGA'!$W$9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'22.08 KAPEKA-MATUGA'!$X$9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'22.08 KAPEKA-MATUGA'!$Y$9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KAPEKA-MATUGA'!$Y$10:$Y$21</c:f>
              <c:numCache>
                <c:formatCode>0</c:formatCode>
                <c:ptCount val="12"/>
                <c:pt idx="0">
                  <c:v>24</c:v>
                </c:pt>
                <c:pt idx="1">
                  <c:v>20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17</c:v>
                </c:pt>
                <c:pt idx="8">
                  <c:v>20</c:v>
                </c:pt>
                <c:pt idx="9">
                  <c:v>8</c:v>
                </c:pt>
                <c:pt idx="10">
                  <c:v>14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'22.08 KAPEKA-MATUGA'!$Z$9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'22.08 KAPEKA-MATUGA'!$AA$9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'22.08 KAPEKA-MATUGA'!$AB$9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'22.08 KAPEKA-MATUGA'!$AC$9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KAPEKA-MATUGA'!$AC$10:$AC$21</c:f>
              <c:numCache>
                <c:formatCode>0</c:formatCode>
                <c:ptCount val="12"/>
                <c:pt idx="0">
                  <c:v>115</c:v>
                </c:pt>
                <c:pt idx="1">
                  <c:v>96</c:v>
                </c:pt>
                <c:pt idx="2">
                  <c:v>86</c:v>
                </c:pt>
                <c:pt idx="3">
                  <c:v>91</c:v>
                </c:pt>
                <c:pt idx="4">
                  <c:v>76</c:v>
                </c:pt>
                <c:pt idx="5">
                  <c:v>103</c:v>
                </c:pt>
                <c:pt idx="6">
                  <c:v>97</c:v>
                </c:pt>
                <c:pt idx="7">
                  <c:v>104</c:v>
                </c:pt>
                <c:pt idx="8">
                  <c:v>113</c:v>
                </c:pt>
                <c:pt idx="9">
                  <c:v>114</c:v>
                </c:pt>
                <c:pt idx="10">
                  <c:v>112</c:v>
                </c:pt>
                <c:pt idx="11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'22.08 KAPEKA-MATUGA'!$AD$9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KAPEKA-MATUGA'!$AD$10:$AD$21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995120"/>
        <c:axId val="214995512"/>
      </c:lineChart>
      <c:catAx>
        <c:axId val="21499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5512"/>
        <c:crosses val="autoZero"/>
        <c:auto val="1"/>
        <c:lblAlgn val="ctr"/>
        <c:lblOffset val="100"/>
        <c:noMultiLvlLbl val="0"/>
      </c:catAx>
      <c:valAx>
        <c:axId val="214995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99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KAPEKA-MATUGA'!$C$60:$N$60</c:f>
              <c:numCache>
                <c:formatCode>0.00%</c:formatCode>
                <c:ptCount val="12"/>
                <c:pt idx="0">
                  <c:v>0.20196078431372549</c:v>
                </c:pt>
                <c:pt idx="1">
                  <c:v>0</c:v>
                </c:pt>
                <c:pt idx="2">
                  <c:v>0.21372549019607842</c:v>
                </c:pt>
                <c:pt idx="3">
                  <c:v>0.14705882352941177</c:v>
                </c:pt>
                <c:pt idx="4">
                  <c:v>3.9215686274509803E-3</c:v>
                </c:pt>
                <c:pt idx="5">
                  <c:v>0</c:v>
                </c:pt>
                <c:pt idx="6">
                  <c:v>0.34509803921568627</c:v>
                </c:pt>
                <c:pt idx="7">
                  <c:v>4.1176470588235294E-2</c:v>
                </c:pt>
                <c:pt idx="8">
                  <c:v>3.9215686274509803E-2</c:v>
                </c:pt>
                <c:pt idx="9">
                  <c:v>0</c:v>
                </c:pt>
                <c:pt idx="11">
                  <c:v>7.8431372549019607E-3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MATUGA-KAPEKA'!$AE$9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MATUGA-KAPEKA'!$AE$10:$AE$21</c:f>
              <c:numCache>
                <c:formatCode>0</c:formatCode>
                <c:ptCount val="12"/>
                <c:pt idx="0">
                  <c:v>16</c:v>
                </c:pt>
                <c:pt idx="1">
                  <c:v>18</c:v>
                </c:pt>
                <c:pt idx="2">
                  <c:v>41</c:v>
                </c:pt>
                <c:pt idx="3">
                  <c:v>26</c:v>
                </c:pt>
                <c:pt idx="4">
                  <c:v>27</c:v>
                </c:pt>
                <c:pt idx="5">
                  <c:v>23</c:v>
                </c:pt>
                <c:pt idx="6">
                  <c:v>32</c:v>
                </c:pt>
                <c:pt idx="7">
                  <c:v>39</c:v>
                </c:pt>
                <c:pt idx="8">
                  <c:v>49</c:v>
                </c:pt>
                <c:pt idx="9">
                  <c:v>74</c:v>
                </c:pt>
                <c:pt idx="10">
                  <c:v>57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'22.08 MATUGA-KAPEKA'!$AF$9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MATUGA-KAPEKA'!$AF$10:$AF$21</c:f>
              <c:numCache>
                <c:formatCode>0</c:formatCode>
                <c:ptCount val="12"/>
                <c:pt idx="0">
                  <c:v>78</c:v>
                </c:pt>
                <c:pt idx="1">
                  <c:v>103</c:v>
                </c:pt>
                <c:pt idx="2">
                  <c:v>118</c:v>
                </c:pt>
                <c:pt idx="3">
                  <c:v>116</c:v>
                </c:pt>
                <c:pt idx="4">
                  <c:v>110</c:v>
                </c:pt>
                <c:pt idx="5">
                  <c:v>107</c:v>
                </c:pt>
                <c:pt idx="6">
                  <c:v>127</c:v>
                </c:pt>
                <c:pt idx="7">
                  <c:v>143</c:v>
                </c:pt>
                <c:pt idx="8">
                  <c:v>151</c:v>
                </c:pt>
                <c:pt idx="9">
                  <c:v>196</c:v>
                </c:pt>
                <c:pt idx="10">
                  <c:v>180</c:v>
                </c:pt>
                <c:pt idx="11">
                  <c:v>196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04392"/>
        <c:axId val="189811056"/>
      </c:lineChart>
      <c:catAx>
        <c:axId val="189804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9811056"/>
        <c:crosses val="autoZero"/>
        <c:auto val="1"/>
        <c:lblAlgn val="ctr"/>
        <c:lblOffset val="100"/>
        <c:noMultiLvlLbl val="0"/>
      </c:catAx>
      <c:valAx>
        <c:axId val="189811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9804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MATUGA-KAPEKA'!$C$59:$N$59</c:f>
              <c:numCache>
                <c:formatCode>0.0%</c:formatCode>
                <c:ptCount val="12"/>
                <c:pt idx="0">
                  <c:v>5.169230769230769E-2</c:v>
                </c:pt>
                <c:pt idx="1">
                  <c:v>0</c:v>
                </c:pt>
                <c:pt idx="2">
                  <c:v>7.4461538461538468E-2</c:v>
                </c:pt>
                <c:pt idx="3">
                  <c:v>4.492307692307692E-2</c:v>
                </c:pt>
                <c:pt idx="4">
                  <c:v>2.4615384615384616E-3</c:v>
                </c:pt>
                <c:pt idx="5">
                  <c:v>0</c:v>
                </c:pt>
                <c:pt idx="6">
                  <c:v>8.2461538461538461E-2</c:v>
                </c:pt>
                <c:pt idx="7">
                  <c:v>1.3538461538461539E-2</c:v>
                </c:pt>
                <c:pt idx="8">
                  <c:v>1.5384615384615385E-2</c:v>
                </c:pt>
                <c:pt idx="9">
                  <c:v>0</c:v>
                </c:pt>
                <c:pt idx="10">
                  <c:v>0.7138461538461538</c:v>
                </c:pt>
                <c:pt idx="11">
                  <c:v>1.2307692307692308E-3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MATUGA-KAPEKA'!$C$60:$N$60</c:f>
              <c:numCache>
                <c:formatCode>0.00%</c:formatCode>
                <c:ptCount val="12"/>
                <c:pt idx="0">
                  <c:v>0.18064516129032257</c:v>
                </c:pt>
                <c:pt idx="1">
                  <c:v>0</c:v>
                </c:pt>
                <c:pt idx="2">
                  <c:v>0.26021505376344084</c:v>
                </c:pt>
                <c:pt idx="3">
                  <c:v>0.15698924731182795</c:v>
                </c:pt>
                <c:pt idx="4">
                  <c:v>8.6021505376344086E-3</c:v>
                </c:pt>
                <c:pt idx="5">
                  <c:v>0</c:v>
                </c:pt>
                <c:pt idx="6">
                  <c:v>0.28817204301075267</c:v>
                </c:pt>
                <c:pt idx="7">
                  <c:v>4.7311827956989246E-2</c:v>
                </c:pt>
                <c:pt idx="8">
                  <c:v>5.3763440860215055E-2</c:v>
                </c:pt>
                <c:pt idx="9">
                  <c:v>0</c:v>
                </c:pt>
                <c:pt idx="11">
                  <c:v>4.3010752688172043E-3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KAPEKA-MATUGA'!$AE$9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KAPEKA-MATUGA'!$AE$10:$AE$21</c:f>
              <c:numCache>
                <c:formatCode>0</c:formatCode>
                <c:ptCount val="12"/>
                <c:pt idx="0">
                  <c:v>23</c:v>
                </c:pt>
                <c:pt idx="1">
                  <c:v>35</c:v>
                </c:pt>
                <c:pt idx="2">
                  <c:v>30</c:v>
                </c:pt>
                <c:pt idx="3">
                  <c:v>37</c:v>
                </c:pt>
                <c:pt idx="4">
                  <c:v>37</c:v>
                </c:pt>
                <c:pt idx="5">
                  <c:v>37</c:v>
                </c:pt>
                <c:pt idx="6">
                  <c:v>35</c:v>
                </c:pt>
                <c:pt idx="7">
                  <c:v>36</c:v>
                </c:pt>
                <c:pt idx="8">
                  <c:v>43</c:v>
                </c:pt>
                <c:pt idx="9">
                  <c:v>40</c:v>
                </c:pt>
                <c:pt idx="10">
                  <c:v>43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'23.08 KAPEKA-MATUGA'!$AF$9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KAPEKA-MATUGA'!$AF$10:$AF$21</c:f>
              <c:numCache>
                <c:formatCode>0</c:formatCode>
                <c:ptCount val="12"/>
                <c:pt idx="0">
                  <c:v>92</c:v>
                </c:pt>
                <c:pt idx="1">
                  <c:v>119</c:v>
                </c:pt>
                <c:pt idx="2">
                  <c:v>109</c:v>
                </c:pt>
                <c:pt idx="3">
                  <c:v>117</c:v>
                </c:pt>
                <c:pt idx="4">
                  <c:v>117</c:v>
                </c:pt>
                <c:pt idx="5">
                  <c:v>128</c:v>
                </c:pt>
                <c:pt idx="6">
                  <c:v>115</c:v>
                </c:pt>
                <c:pt idx="7">
                  <c:v>109</c:v>
                </c:pt>
                <c:pt idx="8">
                  <c:v>122</c:v>
                </c:pt>
                <c:pt idx="9">
                  <c:v>131</c:v>
                </c:pt>
                <c:pt idx="10">
                  <c:v>127</c:v>
                </c:pt>
                <c:pt idx="11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09880"/>
        <c:axId val="215734072"/>
      </c:lineChart>
      <c:catAx>
        <c:axId val="189809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34072"/>
        <c:crosses val="autoZero"/>
        <c:auto val="1"/>
        <c:lblAlgn val="ctr"/>
        <c:lblOffset val="100"/>
        <c:noMultiLvlLbl val="0"/>
      </c:catAx>
      <c:valAx>
        <c:axId val="215734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980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KAPEKA-MATUGA'!$C$59:$N$59</c:f>
              <c:numCache>
                <c:formatCode>0.0%</c:formatCode>
                <c:ptCount val="12"/>
                <c:pt idx="0">
                  <c:v>5.894886363636364E-2</c:v>
                </c:pt>
                <c:pt idx="1">
                  <c:v>0</c:v>
                </c:pt>
                <c:pt idx="2">
                  <c:v>8.59375E-2</c:v>
                </c:pt>
                <c:pt idx="3">
                  <c:v>4.1193181818181816E-2</c:v>
                </c:pt>
                <c:pt idx="4">
                  <c:v>7.1022727272727275E-4</c:v>
                </c:pt>
                <c:pt idx="5">
                  <c:v>0</c:v>
                </c:pt>
                <c:pt idx="6">
                  <c:v>0.10014204545454546</c:v>
                </c:pt>
                <c:pt idx="7">
                  <c:v>1.065340909090909E-2</c:v>
                </c:pt>
                <c:pt idx="8">
                  <c:v>1.065340909090909E-2</c:v>
                </c:pt>
                <c:pt idx="9">
                  <c:v>0</c:v>
                </c:pt>
                <c:pt idx="10">
                  <c:v>0.69176136363636365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KAPEKA-MATUGA'!$S$9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KAPEKA-MATUGA'!$S$10:$S$21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  <c:pt idx="4">
                  <c:v>11</c:v>
                </c:pt>
                <c:pt idx="5">
                  <c:v>4</c:v>
                </c:pt>
                <c:pt idx="6">
                  <c:v>8</c:v>
                </c:pt>
                <c:pt idx="7">
                  <c:v>11</c:v>
                </c:pt>
                <c:pt idx="8">
                  <c:v>10</c:v>
                </c:pt>
                <c:pt idx="9">
                  <c:v>7</c:v>
                </c:pt>
                <c:pt idx="10">
                  <c:v>12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'23.08 KAPEKA-MATUGA'!$T$9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KAPEKA-MATUGA'!$T$10:$T$21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'23.08 KAPEKA-MATUGA'!$U$9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KAPEKA-MATUGA'!$U$10:$U$21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15</c:v>
                </c:pt>
                <c:pt idx="6">
                  <c:v>12</c:v>
                </c:pt>
                <c:pt idx="7">
                  <c:v>10</c:v>
                </c:pt>
                <c:pt idx="8">
                  <c:v>8</c:v>
                </c:pt>
                <c:pt idx="9">
                  <c:v>8</c:v>
                </c:pt>
                <c:pt idx="10">
                  <c:v>16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'23.08 KAPEKA-MATUGA'!$V$9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KAPEKA-MATUGA'!$V$10:$V$21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6</c:v>
                </c:pt>
                <c:pt idx="6">
                  <c:v>5</c:v>
                </c:pt>
                <c:pt idx="7">
                  <c:v>1</c:v>
                </c:pt>
                <c:pt idx="8">
                  <c:v>7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'23.08 KAPEKA-MATUGA'!$W$9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'23.08 KAPEKA-MATUGA'!$X$9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'23.08 KAPEKA-MATUGA'!$Y$9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KAPEKA-MATUGA'!$Y$10:$Y$21</c:f>
              <c:numCache>
                <c:formatCode>0</c:formatCode>
                <c:ptCount val="12"/>
                <c:pt idx="0">
                  <c:v>9</c:v>
                </c:pt>
                <c:pt idx="1">
                  <c:v>17</c:v>
                </c:pt>
                <c:pt idx="2">
                  <c:v>13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  <c:pt idx="6">
                  <c:v>8</c:v>
                </c:pt>
                <c:pt idx="7">
                  <c:v>10</c:v>
                </c:pt>
                <c:pt idx="8">
                  <c:v>18</c:v>
                </c:pt>
                <c:pt idx="9">
                  <c:v>14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'23.08 KAPEKA-MATUGA'!$Z$9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'23.08 KAPEKA-MATUGA'!$AA$9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'23.08 KAPEKA-MATUGA'!$AB$9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'23.08 KAPEKA-MATUGA'!$AC$9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KAPEKA-MATUGA'!$AC$10:$AC$21</c:f>
              <c:numCache>
                <c:formatCode>0</c:formatCode>
                <c:ptCount val="12"/>
                <c:pt idx="0">
                  <c:v>69</c:v>
                </c:pt>
                <c:pt idx="1">
                  <c:v>84</c:v>
                </c:pt>
                <c:pt idx="2">
                  <c:v>79</c:v>
                </c:pt>
                <c:pt idx="3">
                  <c:v>80</c:v>
                </c:pt>
                <c:pt idx="4">
                  <c:v>80</c:v>
                </c:pt>
                <c:pt idx="5">
                  <c:v>91</c:v>
                </c:pt>
                <c:pt idx="6">
                  <c:v>80</c:v>
                </c:pt>
                <c:pt idx="7">
                  <c:v>73</c:v>
                </c:pt>
                <c:pt idx="8">
                  <c:v>79</c:v>
                </c:pt>
                <c:pt idx="9">
                  <c:v>91</c:v>
                </c:pt>
                <c:pt idx="10">
                  <c:v>84</c:v>
                </c:pt>
                <c:pt idx="1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'23.08 KAPEKA-MATUGA'!$AD$9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KAPEKA-MATUGA'!$AD$10:$AD$21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734464"/>
        <c:axId val="215728584"/>
      </c:lineChart>
      <c:catAx>
        <c:axId val="21573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28584"/>
        <c:crosses val="autoZero"/>
        <c:auto val="1"/>
        <c:lblAlgn val="ctr"/>
        <c:lblOffset val="100"/>
        <c:noMultiLvlLbl val="0"/>
      </c:catAx>
      <c:valAx>
        <c:axId val="21572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3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KAPEKA-MATUGA'!$C$60:$N$60</c:f>
              <c:numCache>
                <c:formatCode>0.00%</c:formatCode>
                <c:ptCount val="12"/>
                <c:pt idx="0">
                  <c:v>0.19124423963133641</c:v>
                </c:pt>
                <c:pt idx="1">
                  <c:v>0</c:v>
                </c:pt>
                <c:pt idx="2">
                  <c:v>0.27880184331797236</c:v>
                </c:pt>
                <c:pt idx="3">
                  <c:v>0.13364055299539171</c:v>
                </c:pt>
                <c:pt idx="4">
                  <c:v>2.304147465437788E-3</c:v>
                </c:pt>
                <c:pt idx="5">
                  <c:v>0</c:v>
                </c:pt>
                <c:pt idx="6">
                  <c:v>0.32488479262672809</c:v>
                </c:pt>
                <c:pt idx="7">
                  <c:v>3.4562211981566823E-2</c:v>
                </c:pt>
                <c:pt idx="8">
                  <c:v>3.4562211981566823E-2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MATUGA-KAPEKA'!$AE$9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MATUGA-KAPEKA'!$AE$10:$AE$21</c:f>
              <c:numCache>
                <c:formatCode>0</c:formatCode>
                <c:ptCount val="12"/>
                <c:pt idx="0">
                  <c:v>19</c:v>
                </c:pt>
                <c:pt idx="1">
                  <c:v>26</c:v>
                </c:pt>
                <c:pt idx="2">
                  <c:v>28</c:v>
                </c:pt>
                <c:pt idx="3">
                  <c:v>30</c:v>
                </c:pt>
                <c:pt idx="4">
                  <c:v>23</c:v>
                </c:pt>
                <c:pt idx="5">
                  <c:v>29</c:v>
                </c:pt>
                <c:pt idx="6">
                  <c:v>32</c:v>
                </c:pt>
                <c:pt idx="7">
                  <c:v>40</c:v>
                </c:pt>
                <c:pt idx="8">
                  <c:v>34</c:v>
                </c:pt>
                <c:pt idx="9">
                  <c:v>41</c:v>
                </c:pt>
                <c:pt idx="10">
                  <c:v>43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'23.08 MATUGA-KAPEKA'!$AF$9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MATUGA-KAPEKA'!$AF$10:$AF$21</c:f>
              <c:numCache>
                <c:formatCode>0</c:formatCode>
                <c:ptCount val="12"/>
                <c:pt idx="0">
                  <c:v>71</c:v>
                </c:pt>
                <c:pt idx="1">
                  <c:v>111</c:v>
                </c:pt>
                <c:pt idx="2">
                  <c:v>103</c:v>
                </c:pt>
                <c:pt idx="3">
                  <c:v>102</c:v>
                </c:pt>
                <c:pt idx="4">
                  <c:v>102</c:v>
                </c:pt>
                <c:pt idx="5">
                  <c:v>98</c:v>
                </c:pt>
                <c:pt idx="6">
                  <c:v>104</c:v>
                </c:pt>
                <c:pt idx="7">
                  <c:v>125</c:v>
                </c:pt>
                <c:pt idx="8">
                  <c:v>108</c:v>
                </c:pt>
                <c:pt idx="9">
                  <c:v>126</c:v>
                </c:pt>
                <c:pt idx="10">
                  <c:v>136</c:v>
                </c:pt>
                <c:pt idx="11">
                  <c:v>147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735248"/>
        <c:axId val="215732896"/>
      </c:lineChart>
      <c:catAx>
        <c:axId val="215735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32896"/>
        <c:crosses val="autoZero"/>
        <c:auto val="1"/>
        <c:lblAlgn val="ctr"/>
        <c:lblOffset val="100"/>
        <c:noMultiLvlLbl val="0"/>
      </c:catAx>
      <c:valAx>
        <c:axId val="215732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3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MATUGA-KAPEKA'!$C$59:$N$59</c:f>
              <c:numCache>
                <c:formatCode>0.0%</c:formatCode>
                <c:ptCount val="12"/>
                <c:pt idx="0">
                  <c:v>4.8762190547636912E-2</c:v>
                </c:pt>
                <c:pt idx="1">
                  <c:v>0</c:v>
                </c:pt>
                <c:pt idx="2">
                  <c:v>8.4771192798199543E-2</c:v>
                </c:pt>
                <c:pt idx="3">
                  <c:v>4.3510877719429859E-2</c:v>
                </c:pt>
                <c:pt idx="4">
                  <c:v>0</c:v>
                </c:pt>
                <c:pt idx="5">
                  <c:v>0</c:v>
                </c:pt>
                <c:pt idx="6">
                  <c:v>9.5273818454613649E-2</c:v>
                </c:pt>
                <c:pt idx="7">
                  <c:v>1.0502625656414103E-2</c:v>
                </c:pt>
                <c:pt idx="8">
                  <c:v>1.5003750937734433E-2</c:v>
                </c:pt>
                <c:pt idx="9">
                  <c:v>0</c:v>
                </c:pt>
                <c:pt idx="10">
                  <c:v>0.70217554388597148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MATUGA-KAPEKA'!$S$9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MATUGA-KAPEKA'!$S$10:$S$21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11</c:v>
                </c:pt>
                <c:pt idx="9">
                  <c:v>7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'23.08 MATUGA-KAPEKA'!$T$9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'23.08 MATUGA-KAPEKA'!$R$10:$R$21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MATUGA-KAPEKA'!$T$10:$T$21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'23.08 MATUGA-KAPEKA'!$U$9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MATUGA-KAPEKA'!$U$10:$U$21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9</c:v>
                </c:pt>
                <c:pt idx="3">
                  <c:v>7</c:v>
                </c:pt>
                <c:pt idx="4">
                  <c:v>9</c:v>
                </c:pt>
                <c:pt idx="5">
                  <c:v>7</c:v>
                </c:pt>
                <c:pt idx="6">
                  <c:v>12</c:v>
                </c:pt>
                <c:pt idx="7">
                  <c:v>16</c:v>
                </c:pt>
                <c:pt idx="8">
                  <c:v>6</c:v>
                </c:pt>
                <c:pt idx="9">
                  <c:v>12</c:v>
                </c:pt>
                <c:pt idx="10">
                  <c:v>12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'23.08 MATUGA-KAPEKA'!$V$9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MATUGA-KAPEKA'!$V$10:$V$21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'23.08 MATUGA-KAPEKA'!$W$9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'23.08 MATUGA-KAPEKA'!$X$9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'23.08 MATUGA-KAPEKA'!$Y$9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MATUGA-KAPEKA'!$Y$10:$Y$21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6</c:v>
                </c:pt>
                <c:pt idx="3">
                  <c:v>11</c:v>
                </c:pt>
                <c:pt idx="4">
                  <c:v>3</c:v>
                </c:pt>
                <c:pt idx="5">
                  <c:v>7</c:v>
                </c:pt>
                <c:pt idx="6">
                  <c:v>9</c:v>
                </c:pt>
                <c:pt idx="7">
                  <c:v>13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'23.08 MATUGA-KAPEKA'!$Z$9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'23.08 MATUGA-KAPEKA'!$AA$9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'23.08 MATUGA-KAPEKA'!$AB$9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'23.08 MATUGA-KAPEKA'!$AC$9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MATUGA-KAPEKA'!$AC$10:$AC$21</c:f>
              <c:numCache>
                <c:formatCode>0</c:formatCode>
                <c:ptCount val="12"/>
                <c:pt idx="0">
                  <c:v>52</c:v>
                </c:pt>
                <c:pt idx="1">
                  <c:v>85</c:v>
                </c:pt>
                <c:pt idx="2">
                  <c:v>75</c:v>
                </c:pt>
                <c:pt idx="3">
                  <c:v>72</c:v>
                </c:pt>
                <c:pt idx="4">
                  <c:v>79</c:v>
                </c:pt>
                <c:pt idx="5">
                  <c:v>69</c:v>
                </c:pt>
                <c:pt idx="6">
                  <c:v>72</c:v>
                </c:pt>
                <c:pt idx="7">
                  <c:v>85</c:v>
                </c:pt>
                <c:pt idx="8">
                  <c:v>74</c:v>
                </c:pt>
                <c:pt idx="9">
                  <c:v>85</c:v>
                </c:pt>
                <c:pt idx="10">
                  <c:v>93</c:v>
                </c:pt>
                <c:pt idx="1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'23.08 MATUGA-KAPEKA'!$AD$9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MATUGA-KAPEKA'!$AD$10:$AD$21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735640"/>
        <c:axId val="215729368"/>
      </c:lineChart>
      <c:catAx>
        <c:axId val="21573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29368"/>
        <c:crosses val="autoZero"/>
        <c:auto val="1"/>
        <c:lblAlgn val="ctr"/>
        <c:lblOffset val="100"/>
        <c:noMultiLvlLbl val="0"/>
      </c:catAx>
      <c:valAx>
        <c:axId val="21572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35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MATUGA-KAPEKA'!$C$9:$N$9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MATUGA-KAPEKA'!$C$60:$N$60</c:f>
              <c:numCache>
                <c:formatCode>0.00%</c:formatCode>
                <c:ptCount val="12"/>
                <c:pt idx="0">
                  <c:v>0.16372795969773299</c:v>
                </c:pt>
                <c:pt idx="1">
                  <c:v>0</c:v>
                </c:pt>
                <c:pt idx="2">
                  <c:v>0.28463476070528965</c:v>
                </c:pt>
                <c:pt idx="3">
                  <c:v>0.14609571788413098</c:v>
                </c:pt>
                <c:pt idx="4">
                  <c:v>0</c:v>
                </c:pt>
                <c:pt idx="5">
                  <c:v>0</c:v>
                </c:pt>
                <c:pt idx="6">
                  <c:v>0.31989924433249373</c:v>
                </c:pt>
                <c:pt idx="7">
                  <c:v>3.5264483627204031E-2</c:v>
                </c:pt>
                <c:pt idx="8">
                  <c:v>5.0377833753148617E-2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KAPEKA-MATUGA-24h'!$AE$9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KAPEKA-MATUGA-24h'!$R$10:$R$33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KAPEKA-MATUGA-24h'!$AE$10:$AE$33</c:f>
              <c:numCache>
                <c:formatCode>0</c:formatCode>
                <c:ptCount val="24"/>
                <c:pt idx="0">
                  <c:v>25</c:v>
                </c:pt>
                <c:pt idx="1">
                  <c:v>44</c:v>
                </c:pt>
                <c:pt idx="2">
                  <c:v>38</c:v>
                </c:pt>
                <c:pt idx="3">
                  <c:v>37</c:v>
                </c:pt>
                <c:pt idx="4">
                  <c:v>46</c:v>
                </c:pt>
                <c:pt idx="5">
                  <c:v>50</c:v>
                </c:pt>
                <c:pt idx="6">
                  <c:v>44</c:v>
                </c:pt>
                <c:pt idx="7">
                  <c:v>36</c:v>
                </c:pt>
                <c:pt idx="8">
                  <c:v>36</c:v>
                </c:pt>
                <c:pt idx="9">
                  <c:v>30</c:v>
                </c:pt>
                <c:pt idx="10">
                  <c:v>37</c:v>
                </c:pt>
                <c:pt idx="11">
                  <c:v>34</c:v>
                </c:pt>
                <c:pt idx="12">
                  <c:v>30</c:v>
                </c:pt>
                <c:pt idx="13">
                  <c:v>37</c:v>
                </c:pt>
                <c:pt idx="14">
                  <c:v>33</c:v>
                </c:pt>
                <c:pt idx="15">
                  <c:v>21</c:v>
                </c:pt>
                <c:pt idx="16">
                  <c:v>23</c:v>
                </c:pt>
                <c:pt idx="17">
                  <c:v>20</c:v>
                </c:pt>
                <c:pt idx="18">
                  <c:v>15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'24.08 KAPEKA-MATUGA-24h'!$AF$9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KAPEKA-MATUGA-24h'!$R$10:$R$33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KAPEKA-MATUGA-24h'!$AF$10:$AF$33</c:f>
              <c:numCache>
                <c:formatCode>0</c:formatCode>
                <c:ptCount val="24"/>
                <c:pt idx="0">
                  <c:v>88</c:v>
                </c:pt>
                <c:pt idx="1">
                  <c:v>105</c:v>
                </c:pt>
                <c:pt idx="2">
                  <c:v>104</c:v>
                </c:pt>
                <c:pt idx="3">
                  <c:v>114</c:v>
                </c:pt>
                <c:pt idx="4">
                  <c:v>111</c:v>
                </c:pt>
                <c:pt idx="5">
                  <c:v>126</c:v>
                </c:pt>
                <c:pt idx="6">
                  <c:v>126</c:v>
                </c:pt>
                <c:pt idx="7">
                  <c:v>114</c:v>
                </c:pt>
                <c:pt idx="8">
                  <c:v>98</c:v>
                </c:pt>
                <c:pt idx="9">
                  <c:v>95</c:v>
                </c:pt>
                <c:pt idx="10">
                  <c:v>100</c:v>
                </c:pt>
                <c:pt idx="11">
                  <c:v>125</c:v>
                </c:pt>
                <c:pt idx="12">
                  <c:v>89</c:v>
                </c:pt>
                <c:pt idx="13">
                  <c:v>76</c:v>
                </c:pt>
                <c:pt idx="14">
                  <c:v>54</c:v>
                </c:pt>
                <c:pt idx="15">
                  <c:v>34</c:v>
                </c:pt>
                <c:pt idx="16">
                  <c:v>25</c:v>
                </c:pt>
                <c:pt idx="17">
                  <c:v>21</c:v>
                </c:pt>
                <c:pt idx="18">
                  <c:v>16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13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816080"/>
        <c:axId val="211819216"/>
      </c:lineChart>
      <c:catAx>
        <c:axId val="211816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1819216"/>
        <c:crosses val="autoZero"/>
        <c:auto val="1"/>
        <c:lblAlgn val="ctr"/>
        <c:lblOffset val="100"/>
        <c:noMultiLvlLbl val="0"/>
      </c:catAx>
      <c:valAx>
        <c:axId val="211819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18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KAPEKA-MATUGA-24h'!$C$9:$N$9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KAPEKA-MATUGA-24h'!$C$107:$N$107</c:f>
              <c:numCache>
                <c:formatCode>0.0%</c:formatCode>
                <c:ptCount val="12"/>
                <c:pt idx="0">
                  <c:v>9.400705052878966E-2</c:v>
                </c:pt>
                <c:pt idx="1">
                  <c:v>1.7626321974148062E-3</c:v>
                </c:pt>
                <c:pt idx="2">
                  <c:v>0.10752056404230317</c:v>
                </c:pt>
                <c:pt idx="3">
                  <c:v>5.4054054054054057E-2</c:v>
                </c:pt>
                <c:pt idx="4">
                  <c:v>2.9377203290246769E-3</c:v>
                </c:pt>
                <c:pt idx="5">
                  <c:v>5.8754406580493535E-4</c:v>
                </c:pt>
                <c:pt idx="6">
                  <c:v>9.870740305522914E-2</c:v>
                </c:pt>
                <c:pt idx="7">
                  <c:v>1.7038777908343124E-2</c:v>
                </c:pt>
                <c:pt idx="8">
                  <c:v>2.2326674500587545E-2</c:v>
                </c:pt>
                <c:pt idx="9">
                  <c:v>0</c:v>
                </c:pt>
                <c:pt idx="10">
                  <c:v>0.60105757931844883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KAPEKA-MATUGA-24h'!$C$9:$N$9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KAPEKA-MATUGA-24h'!$C$108:$N$108</c:f>
              <c:numCache>
                <c:formatCode>0.00%</c:formatCode>
                <c:ptCount val="12"/>
                <c:pt idx="0">
                  <c:v>0.23564064801178203</c:v>
                </c:pt>
                <c:pt idx="1">
                  <c:v>4.418262150220913E-3</c:v>
                </c:pt>
                <c:pt idx="2">
                  <c:v>0.26951399116347569</c:v>
                </c:pt>
                <c:pt idx="3">
                  <c:v>0.13549337260677466</c:v>
                </c:pt>
                <c:pt idx="4">
                  <c:v>7.3637702503681884E-3</c:v>
                </c:pt>
                <c:pt idx="5">
                  <c:v>1.4727540500736377E-3</c:v>
                </c:pt>
                <c:pt idx="6">
                  <c:v>0.24742268041237114</c:v>
                </c:pt>
                <c:pt idx="7">
                  <c:v>4.2709867452135494E-2</c:v>
                </c:pt>
                <c:pt idx="8">
                  <c:v>5.5964653902798235E-2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MATUGA-KAPEKA-24h'!$AE$9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MATUGA-KAPEKA-24h'!$R$10:$R$33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MATUGA-KAPEKA-24h'!$AE$10:$AE$33</c:f>
              <c:numCache>
                <c:formatCode>0</c:formatCode>
                <c:ptCount val="24"/>
                <c:pt idx="0">
                  <c:v>21</c:v>
                </c:pt>
                <c:pt idx="1">
                  <c:v>19</c:v>
                </c:pt>
                <c:pt idx="2">
                  <c:v>26</c:v>
                </c:pt>
                <c:pt idx="3">
                  <c:v>36</c:v>
                </c:pt>
                <c:pt idx="4">
                  <c:v>30</c:v>
                </c:pt>
                <c:pt idx="5">
                  <c:v>29</c:v>
                </c:pt>
                <c:pt idx="6">
                  <c:v>32</c:v>
                </c:pt>
                <c:pt idx="7">
                  <c:v>48</c:v>
                </c:pt>
                <c:pt idx="8">
                  <c:v>44</c:v>
                </c:pt>
                <c:pt idx="9">
                  <c:v>54</c:v>
                </c:pt>
                <c:pt idx="10">
                  <c:v>54</c:v>
                </c:pt>
                <c:pt idx="11">
                  <c:v>50</c:v>
                </c:pt>
                <c:pt idx="12">
                  <c:v>30</c:v>
                </c:pt>
                <c:pt idx="13">
                  <c:v>37</c:v>
                </c:pt>
                <c:pt idx="14">
                  <c:v>33</c:v>
                </c:pt>
                <c:pt idx="15">
                  <c:v>21</c:v>
                </c:pt>
                <c:pt idx="16">
                  <c:v>23</c:v>
                </c:pt>
                <c:pt idx="17">
                  <c:v>20</c:v>
                </c:pt>
                <c:pt idx="18">
                  <c:v>15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'24.08 MATUGA-KAPEKA-24h'!$AF$9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MATUGA-KAPEKA-24h'!$R$10:$R$33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MATUGA-KAPEKA-24h'!$AF$10:$AF$33</c:f>
              <c:numCache>
                <c:formatCode>0</c:formatCode>
                <c:ptCount val="24"/>
                <c:pt idx="0">
                  <c:v>73</c:v>
                </c:pt>
                <c:pt idx="1">
                  <c:v>78</c:v>
                </c:pt>
                <c:pt idx="2">
                  <c:v>74</c:v>
                </c:pt>
                <c:pt idx="3">
                  <c:v>94</c:v>
                </c:pt>
                <c:pt idx="4">
                  <c:v>96</c:v>
                </c:pt>
                <c:pt idx="5">
                  <c:v>104</c:v>
                </c:pt>
                <c:pt idx="6">
                  <c:v>106</c:v>
                </c:pt>
                <c:pt idx="7">
                  <c:v>118</c:v>
                </c:pt>
                <c:pt idx="8">
                  <c:v>114</c:v>
                </c:pt>
                <c:pt idx="9">
                  <c:v>135</c:v>
                </c:pt>
                <c:pt idx="10">
                  <c:v>123</c:v>
                </c:pt>
                <c:pt idx="11">
                  <c:v>154</c:v>
                </c:pt>
                <c:pt idx="12">
                  <c:v>89</c:v>
                </c:pt>
                <c:pt idx="13">
                  <c:v>76</c:v>
                </c:pt>
                <c:pt idx="14">
                  <c:v>54</c:v>
                </c:pt>
                <c:pt idx="15">
                  <c:v>34</c:v>
                </c:pt>
                <c:pt idx="16">
                  <c:v>25</c:v>
                </c:pt>
                <c:pt idx="17">
                  <c:v>21</c:v>
                </c:pt>
                <c:pt idx="18">
                  <c:v>16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13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820000"/>
        <c:axId val="211816864"/>
      </c:lineChart>
      <c:catAx>
        <c:axId val="211820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1816864"/>
        <c:crosses val="autoZero"/>
        <c:auto val="1"/>
        <c:lblAlgn val="ctr"/>
        <c:lblOffset val="100"/>
        <c:noMultiLvlLbl val="0"/>
      </c:catAx>
      <c:valAx>
        <c:axId val="211816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182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MATUGA-KAPEKA-24h'!$C$9:$N$9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MATUGA-KAPEKA-24h'!$C$107:$N$107</c:f>
              <c:numCache>
                <c:formatCode>0.0%</c:formatCode>
                <c:ptCount val="12"/>
                <c:pt idx="0">
                  <c:v>9.4894894894894902E-2</c:v>
                </c:pt>
                <c:pt idx="1">
                  <c:v>1.8018018018018018E-3</c:v>
                </c:pt>
                <c:pt idx="2">
                  <c:v>0.1021021021021021</c:v>
                </c:pt>
                <c:pt idx="3">
                  <c:v>5.9459459459459463E-2</c:v>
                </c:pt>
                <c:pt idx="4">
                  <c:v>2.4024024024024023E-3</c:v>
                </c:pt>
                <c:pt idx="5">
                  <c:v>1.2012012012012011E-3</c:v>
                </c:pt>
                <c:pt idx="6">
                  <c:v>9.4894894894894902E-2</c:v>
                </c:pt>
                <c:pt idx="7">
                  <c:v>2.0420420420420419E-2</c:v>
                </c:pt>
                <c:pt idx="8">
                  <c:v>2.2222222222222223E-2</c:v>
                </c:pt>
                <c:pt idx="9">
                  <c:v>0</c:v>
                </c:pt>
                <c:pt idx="10">
                  <c:v>0.60060060060060061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MATUGA-KAPEKA-24h'!$C$9:$N$9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MATUGA-KAPEKA-24h'!$C$108:$N$108</c:f>
              <c:numCache>
                <c:formatCode>0.00%</c:formatCode>
                <c:ptCount val="12"/>
                <c:pt idx="0">
                  <c:v>0.23759398496240602</c:v>
                </c:pt>
                <c:pt idx="1">
                  <c:v>4.5112781954887221E-3</c:v>
                </c:pt>
                <c:pt idx="2">
                  <c:v>0.25563909774436089</c:v>
                </c:pt>
                <c:pt idx="3">
                  <c:v>0.14887218045112782</c:v>
                </c:pt>
                <c:pt idx="4">
                  <c:v>6.0150375939849628E-3</c:v>
                </c:pt>
                <c:pt idx="5">
                  <c:v>3.0075187969924814E-3</c:v>
                </c:pt>
                <c:pt idx="6">
                  <c:v>0.23759398496240602</c:v>
                </c:pt>
                <c:pt idx="7">
                  <c:v>5.1127819548872182E-2</c:v>
                </c:pt>
                <c:pt idx="8">
                  <c:v>5.5639097744360905E-2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KAPEEKA-MATUGA-24h'!$AE$9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KAPEEKA-MATUGA-24h'!$R$10:$R$33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'25.08 KAPEEKA-MATUGA-24h'!$AE$10:$AE$33</c:f>
              <c:numCache>
                <c:formatCode>0</c:formatCode>
                <c:ptCount val="24"/>
                <c:pt idx="0">
                  <c:v>23</c:v>
                </c:pt>
                <c:pt idx="1">
                  <c:v>54</c:v>
                </c:pt>
                <c:pt idx="2">
                  <c:v>44</c:v>
                </c:pt>
                <c:pt idx="3">
                  <c:v>47</c:v>
                </c:pt>
                <c:pt idx="4">
                  <c:v>53</c:v>
                </c:pt>
                <c:pt idx="5">
                  <c:v>49</c:v>
                </c:pt>
                <c:pt idx="6">
                  <c:v>51</c:v>
                </c:pt>
                <c:pt idx="7">
                  <c:v>34</c:v>
                </c:pt>
                <c:pt idx="8">
                  <c:v>21</c:v>
                </c:pt>
                <c:pt idx="9">
                  <c:v>41</c:v>
                </c:pt>
                <c:pt idx="10">
                  <c:v>36</c:v>
                </c:pt>
                <c:pt idx="11">
                  <c:v>34</c:v>
                </c:pt>
                <c:pt idx="12">
                  <c:v>30</c:v>
                </c:pt>
                <c:pt idx="13">
                  <c:v>37</c:v>
                </c:pt>
                <c:pt idx="14">
                  <c:v>33</c:v>
                </c:pt>
                <c:pt idx="15">
                  <c:v>21</c:v>
                </c:pt>
                <c:pt idx="16">
                  <c:v>23</c:v>
                </c:pt>
                <c:pt idx="17">
                  <c:v>20</c:v>
                </c:pt>
                <c:pt idx="18">
                  <c:v>15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'25.08 KAPEEKA-MATUGA-24h'!$AF$9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KAPEEKA-MATUGA-24h'!$R$10:$R$33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'25.08 KAPEEKA-MATUGA-24h'!$AF$10:$AF$33</c:f>
              <c:numCache>
                <c:formatCode>0</c:formatCode>
                <c:ptCount val="24"/>
                <c:pt idx="0">
                  <c:v>101</c:v>
                </c:pt>
                <c:pt idx="1">
                  <c:v>139</c:v>
                </c:pt>
                <c:pt idx="2">
                  <c:v>123</c:v>
                </c:pt>
                <c:pt idx="3">
                  <c:v>145</c:v>
                </c:pt>
                <c:pt idx="4">
                  <c:v>161</c:v>
                </c:pt>
                <c:pt idx="5">
                  <c:v>148</c:v>
                </c:pt>
                <c:pt idx="6">
                  <c:v>129</c:v>
                </c:pt>
                <c:pt idx="7">
                  <c:v>123</c:v>
                </c:pt>
                <c:pt idx="8">
                  <c:v>90</c:v>
                </c:pt>
                <c:pt idx="9">
                  <c:v>116</c:v>
                </c:pt>
                <c:pt idx="10">
                  <c:v>122</c:v>
                </c:pt>
                <c:pt idx="11">
                  <c:v>118</c:v>
                </c:pt>
                <c:pt idx="12">
                  <c:v>89</c:v>
                </c:pt>
                <c:pt idx="13">
                  <c:v>76</c:v>
                </c:pt>
                <c:pt idx="14">
                  <c:v>54</c:v>
                </c:pt>
                <c:pt idx="15">
                  <c:v>34</c:v>
                </c:pt>
                <c:pt idx="16">
                  <c:v>25</c:v>
                </c:pt>
                <c:pt idx="17">
                  <c:v>21</c:v>
                </c:pt>
                <c:pt idx="18">
                  <c:v>16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13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814904"/>
        <c:axId val="215730936"/>
      </c:lineChart>
      <c:catAx>
        <c:axId val="211814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5730936"/>
        <c:crosses val="autoZero"/>
        <c:auto val="1"/>
        <c:lblAlgn val="ctr"/>
        <c:lblOffset val="100"/>
        <c:noMultiLvlLbl val="0"/>
      </c:catAx>
      <c:valAx>
        <c:axId val="215730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1814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KAPEEKA-MATUGA-24h'!$C$9:$N$9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KAPEEKA-MATUGA-24h'!$C$107:$N$107</c:f>
              <c:numCache>
                <c:formatCode>0.0%</c:formatCode>
                <c:ptCount val="12"/>
                <c:pt idx="0">
                  <c:v>9.3144950287807435E-2</c:v>
                </c:pt>
                <c:pt idx="1">
                  <c:v>1.5698587127158557E-3</c:v>
                </c:pt>
                <c:pt idx="2">
                  <c:v>8.8958660387231811E-2</c:v>
                </c:pt>
                <c:pt idx="3">
                  <c:v>5.1805337519623233E-2</c:v>
                </c:pt>
                <c:pt idx="4">
                  <c:v>2.0931449502878076E-3</c:v>
                </c:pt>
                <c:pt idx="5">
                  <c:v>1.0465724751439038E-3</c:v>
                </c:pt>
                <c:pt idx="6">
                  <c:v>9.1051805337519623E-2</c:v>
                </c:pt>
                <c:pt idx="7">
                  <c:v>2.0408163265306121E-2</c:v>
                </c:pt>
                <c:pt idx="8">
                  <c:v>2.0408163265306121E-2</c:v>
                </c:pt>
                <c:pt idx="9">
                  <c:v>0</c:v>
                </c:pt>
                <c:pt idx="10">
                  <c:v>0.62899005756148618</c:v>
                </c:pt>
                <c:pt idx="11">
                  <c:v>5.2328623757195189E-4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KAPEEKA-MATUGA-24h'!$C$9:$N$9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KAPEEKA-MATUGA-24h'!$C$108:$N$108</c:f>
              <c:numCache>
                <c:formatCode>0.00%</c:formatCode>
                <c:ptCount val="12"/>
                <c:pt idx="0">
                  <c:v>0.25105782792665726</c:v>
                </c:pt>
                <c:pt idx="1">
                  <c:v>4.2313117066290554E-3</c:v>
                </c:pt>
                <c:pt idx="2">
                  <c:v>0.23977433004231311</c:v>
                </c:pt>
                <c:pt idx="3">
                  <c:v>0.13963328631875882</c:v>
                </c:pt>
                <c:pt idx="4">
                  <c:v>5.6417489421720732E-3</c:v>
                </c:pt>
                <c:pt idx="5">
                  <c:v>2.8208744710860366E-3</c:v>
                </c:pt>
                <c:pt idx="6">
                  <c:v>0.2454160789844852</c:v>
                </c:pt>
                <c:pt idx="7">
                  <c:v>5.5007052186177713E-2</c:v>
                </c:pt>
                <c:pt idx="8">
                  <c:v>5.5007052186177713E-2</c:v>
                </c:pt>
                <c:pt idx="9">
                  <c:v>0</c:v>
                </c:pt>
                <c:pt idx="11">
                  <c:v>1.4104372355430183E-3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MATUGA-KAPEKA-24h'!$AE$9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MATUGA-KAPEKA-24h'!$R$10:$R$33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'25.08 MATUGA-KAPEKA-24h'!$AE$10:$AE$33</c:f>
              <c:numCache>
                <c:formatCode>0</c:formatCode>
                <c:ptCount val="24"/>
                <c:pt idx="0">
                  <c:v>15</c:v>
                </c:pt>
                <c:pt idx="1">
                  <c:v>23</c:v>
                </c:pt>
                <c:pt idx="2">
                  <c:v>24</c:v>
                </c:pt>
                <c:pt idx="3">
                  <c:v>28</c:v>
                </c:pt>
                <c:pt idx="4">
                  <c:v>42</c:v>
                </c:pt>
                <c:pt idx="5">
                  <c:v>27</c:v>
                </c:pt>
                <c:pt idx="6">
                  <c:v>33</c:v>
                </c:pt>
                <c:pt idx="7">
                  <c:v>35</c:v>
                </c:pt>
                <c:pt idx="8">
                  <c:v>31</c:v>
                </c:pt>
                <c:pt idx="9">
                  <c:v>44</c:v>
                </c:pt>
                <c:pt idx="10">
                  <c:v>65</c:v>
                </c:pt>
                <c:pt idx="11">
                  <c:v>42</c:v>
                </c:pt>
                <c:pt idx="12">
                  <c:v>30</c:v>
                </c:pt>
                <c:pt idx="13">
                  <c:v>37</c:v>
                </c:pt>
                <c:pt idx="14">
                  <c:v>33</c:v>
                </c:pt>
                <c:pt idx="15">
                  <c:v>21</c:v>
                </c:pt>
                <c:pt idx="16">
                  <c:v>23</c:v>
                </c:pt>
                <c:pt idx="17">
                  <c:v>20</c:v>
                </c:pt>
                <c:pt idx="18">
                  <c:v>15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'25.08 MATUGA-KAPEKA-24h'!$AF$9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MATUGA-KAPEKA-24h'!$R$10:$R$33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'25.08 MATUGA-KAPEKA-24h'!$AF$10:$AF$33</c:f>
              <c:numCache>
                <c:formatCode>0</c:formatCode>
                <c:ptCount val="24"/>
                <c:pt idx="0">
                  <c:v>76</c:v>
                </c:pt>
                <c:pt idx="1">
                  <c:v>100</c:v>
                </c:pt>
                <c:pt idx="2">
                  <c:v>102</c:v>
                </c:pt>
                <c:pt idx="3">
                  <c:v>124</c:v>
                </c:pt>
                <c:pt idx="4">
                  <c:v>134</c:v>
                </c:pt>
                <c:pt idx="5">
                  <c:v>125</c:v>
                </c:pt>
                <c:pt idx="6">
                  <c:v>116</c:v>
                </c:pt>
                <c:pt idx="7">
                  <c:v>119</c:v>
                </c:pt>
                <c:pt idx="8">
                  <c:v>102</c:v>
                </c:pt>
                <c:pt idx="9">
                  <c:v>119</c:v>
                </c:pt>
                <c:pt idx="10">
                  <c:v>148</c:v>
                </c:pt>
                <c:pt idx="11">
                  <c:v>121</c:v>
                </c:pt>
                <c:pt idx="12">
                  <c:v>89</c:v>
                </c:pt>
                <c:pt idx="13">
                  <c:v>76</c:v>
                </c:pt>
                <c:pt idx="14">
                  <c:v>54</c:v>
                </c:pt>
                <c:pt idx="15">
                  <c:v>34</c:v>
                </c:pt>
                <c:pt idx="16">
                  <c:v>25</c:v>
                </c:pt>
                <c:pt idx="17">
                  <c:v>21</c:v>
                </c:pt>
                <c:pt idx="18">
                  <c:v>16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13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56840"/>
        <c:axId val="212657624"/>
      </c:lineChart>
      <c:catAx>
        <c:axId val="212656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57624"/>
        <c:crosses val="autoZero"/>
        <c:auto val="1"/>
        <c:lblAlgn val="ctr"/>
        <c:lblOffset val="100"/>
        <c:noMultiLvlLbl val="0"/>
      </c:catAx>
      <c:valAx>
        <c:axId val="212657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56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MATUGA-KAPEKA-24h'!$C$9:$N$9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MATUGA-KAPEKA-24h'!$C$107:$N$107</c:f>
              <c:numCache>
                <c:formatCode>0.0%</c:formatCode>
                <c:ptCount val="12"/>
                <c:pt idx="0">
                  <c:v>7.6879910213243544E-2</c:v>
                </c:pt>
                <c:pt idx="1">
                  <c:v>1.6835016835016834E-3</c:v>
                </c:pt>
                <c:pt idx="2">
                  <c:v>9.1470258136924804E-2</c:v>
                </c:pt>
                <c:pt idx="3">
                  <c:v>5.2749719416386086E-2</c:v>
                </c:pt>
                <c:pt idx="4">
                  <c:v>2.2446689113355782E-3</c:v>
                </c:pt>
                <c:pt idx="5">
                  <c:v>5.6116722783389455E-4</c:v>
                </c:pt>
                <c:pt idx="6">
                  <c:v>8.3052749719416383E-2</c:v>
                </c:pt>
                <c:pt idx="7">
                  <c:v>2.1885521885521887E-2</c:v>
                </c:pt>
                <c:pt idx="8">
                  <c:v>2.3569023569023569E-2</c:v>
                </c:pt>
                <c:pt idx="9">
                  <c:v>0</c:v>
                </c:pt>
                <c:pt idx="10">
                  <c:v>0.64590347923681257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MATUGA-KAPEKA-24h'!$C$9:$N$9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MATUGA-KAPEKA-24h'!$C$108:$N$108</c:f>
              <c:numCache>
                <c:formatCode>0.00%</c:formatCode>
                <c:ptCount val="12"/>
                <c:pt idx="0">
                  <c:v>0.21711568938193343</c:v>
                </c:pt>
                <c:pt idx="1">
                  <c:v>4.7543581616481777E-3</c:v>
                </c:pt>
                <c:pt idx="2">
                  <c:v>0.2583201267828843</c:v>
                </c:pt>
                <c:pt idx="3">
                  <c:v>0.14896988906497624</c:v>
                </c:pt>
                <c:pt idx="4">
                  <c:v>6.3391442155309036E-3</c:v>
                </c:pt>
                <c:pt idx="5">
                  <c:v>1.5847860538827259E-3</c:v>
                </c:pt>
                <c:pt idx="6">
                  <c:v>0.23454833597464342</c:v>
                </c:pt>
                <c:pt idx="7">
                  <c:v>6.1806656101426306E-2</c:v>
                </c:pt>
                <c:pt idx="8">
                  <c:v>6.6561014263074481E-2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KAPEKA-MATUGA'!$AE$9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KAPEKA-MATUGA'!$AE$10:$AE$21</c:f>
              <c:numCache>
                <c:formatCode>0</c:formatCode>
                <c:ptCount val="12"/>
                <c:pt idx="0">
                  <c:v>23</c:v>
                </c:pt>
                <c:pt idx="1">
                  <c:v>32</c:v>
                </c:pt>
                <c:pt idx="2">
                  <c:v>47</c:v>
                </c:pt>
                <c:pt idx="3">
                  <c:v>43</c:v>
                </c:pt>
                <c:pt idx="4">
                  <c:v>49</c:v>
                </c:pt>
                <c:pt idx="5">
                  <c:v>35</c:v>
                </c:pt>
                <c:pt idx="6">
                  <c:v>45</c:v>
                </c:pt>
                <c:pt idx="7">
                  <c:v>54</c:v>
                </c:pt>
                <c:pt idx="8">
                  <c:v>53</c:v>
                </c:pt>
                <c:pt idx="9">
                  <c:v>37</c:v>
                </c:pt>
                <c:pt idx="10">
                  <c:v>41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'26.08 KAPEKA-MATUGA'!$AF$9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KAPEKA-MATUGA'!$AF$10:$AF$21</c:f>
              <c:numCache>
                <c:formatCode>0</c:formatCode>
                <c:ptCount val="12"/>
                <c:pt idx="0">
                  <c:v>77</c:v>
                </c:pt>
                <c:pt idx="1">
                  <c:v>93</c:v>
                </c:pt>
                <c:pt idx="2">
                  <c:v>122</c:v>
                </c:pt>
                <c:pt idx="3">
                  <c:v>120</c:v>
                </c:pt>
                <c:pt idx="4">
                  <c:v>146</c:v>
                </c:pt>
                <c:pt idx="5">
                  <c:v>116</c:v>
                </c:pt>
                <c:pt idx="6">
                  <c:v>133</c:v>
                </c:pt>
                <c:pt idx="7">
                  <c:v>146</c:v>
                </c:pt>
                <c:pt idx="8">
                  <c:v>146</c:v>
                </c:pt>
                <c:pt idx="9">
                  <c:v>115</c:v>
                </c:pt>
                <c:pt idx="10">
                  <c:v>134</c:v>
                </c:pt>
                <c:pt idx="11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59976"/>
        <c:axId val="212663896"/>
      </c:lineChart>
      <c:catAx>
        <c:axId val="212659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63896"/>
        <c:crosses val="autoZero"/>
        <c:auto val="1"/>
        <c:lblAlgn val="ctr"/>
        <c:lblOffset val="100"/>
        <c:noMultiLvlLbl val="0"/>
      </c:catAx>
      <c:valAx>
        <c:axId val="212663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59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KAPEKA-MATUGA'!$C$59:$N$59</c:f>
              <c:numCache>
                <c:formatCode>0.0%</c:formatCode>
                <c:ptCount val="12"/>
                <c:pt idx="0">
                  <c:v>6.3914780292942744E-2</c:v>
                </c:pt>
                <c:pt idx="1">
                  <c:v>0</c:v>
                </c:pt>
                <c:pt idx="2">
                  <c:v>7.3235685752330221E-2</c:v>
                </c:pt>
                <c:pt idx="3">
                  <c:v>5.8588548601864181E-2</c:v>
                </c:pt>
                <c:pt idx="4">
                  <c:v>1.3315579227696406E-3</c:v>
                </c:pt>
                <c:pt idx="5">
                  <c:v>0</c:v>
                </c:pt>
                <c:pt idx="6">
                  <c:v>0.1085219707057257</c:v>
                </c:pt>
                <c:pt idx="7">
                  <c:v>1.5312916111850865E-2</c:v>
                </c:pt>
                <c:pt idx="8">
                  <c:v>1.0652463382157125E-2</c:v>
                </c:pt>
                <c:pt idx="9">
                  <c:v>0</c:v>
                </c:pt>
                <c:pt idx="10">
                  <c:v>0.66844207723035953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KAPEKA-MATUGA'!$S$9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KAPEKA-MATUGA'!$S$10:$S$21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8</c:v>
                </c:pt>
                <c:pt idx="5">
                  <c:v>9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6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'26.08 KAPEKA-MATUGA'!$T$9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'26.08 KAPEKA-MATUGA'!$R$10:$R$21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KAPEKA-MATUGA'!$T$10:$T$21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'26.08 KAPEKA-MATUGA'!$U$9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11</c:v>
                </c:pt>
                <c:pt idx="4">
                  <c:v>15</c:v>
                </c:pt>
                <c:pt idx="5">
                  <c:v>5</c:v>
                </c:pt>
                <c:pt idx="6">
                  <c:v>14</c:v>
                </c:pt>
                <c:pt idx="7">
                  <c:v>15</c:v>
                </c:pt>
                <c:pt idx="8">
                  <c:v>13</c:v>
                </c:pt>
                <c:pt idx="9">
                  <c:v>5</c:v>
                </c:pt>
                <c:pt idx="10">
                  <c:v>12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'26.08 KAPEKA-MATUGA'!$V$9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KAPEKA-MATUGA'!$V$10:$V$21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4</c:v>
                </c:pt>
                <c:pt idx="3">
                  <c:v>6</c:v>
                </c:pt>
                <c:pt idx="4">
                  <c:v>10</c:v>
                </c:pt>
                <c:pt idx="5">
                  <c:v>6</c:v>
                </c:pt>
                <c:pt idx="6">
                  <c:v>9</c:v>
                </c:pt>
                <c:pt idx="7">
                  <c:v>5</c:v>
                </c:pt>
                <c:pt idx="8">
                  <c:v>9</c:v>
                </c:pt>
                <c:pt idx="9">
                  <c:v>11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'26.08 KAPEKA-MATUGA'!$W$9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'26.08 KAPEKA-MATUGA'!$X$9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'26.08 KAPEKA-MATUGA'!$Y$9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KAPEKA-MATUGA'!$Y$10:$Y$21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23</c:v>
                </c:pt>
                <c:pt idx="3">
                  <c:v>12</c:v>
                </c:pt>
                <c:pt idx="4">
                  <c:v>12</c:v>
                </c:pt>
                <c:pt idx="5">
                  <c:v>11</c:v>
                </c:pt>
                <c:pt idx="6">
                  <c:v>13</c:v>
                </c:pt>
                <c:pt idx="7">
                  <c:v>21</c:v>
                </c:pt>
                <c:pt idx="8">
                  <c:v>14</c:v>
                </c:pt>
                <c:pt idx="9">
                  <c:v>12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'26.08 KAPEKA-MATUGA'!$Z$9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'26.08 KAPEKA-MATUGA'!$AA$9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'26.08 KAPEKA-MATUGA'!$AB$9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'26.08 KAPEKA-MATUGA'!$AC$9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KAPEKA-MATUGA'!$AC$10:$AC$21</c:f>
              <c:numCache>
                <c:formatCode>0</c:formatCode>
                <c:ptCount val="12"/>
                <c:pt idx="0">
                  <c:v>54</c:v>
                </c:pt>
                <c:pt idx="1">
                  <c:v>61</c:v>
                </c:pt>
                <c:pt idx="2">
                  <c:v>75</c:v>
                </c:pt>
                <c:pt idx="3">
                  <c:v>77</c:v>
                </c:pt>
                <c:pt idx="4">
                  <c:v>97</c:v>
                </c:pt>
                <c:pt idx="5">
                  <c:v>81</c:v>
                </c:pt>
                <c:pt idx="6">
                  <c:v>88</c:v>
                </c:pt>
                <c:pt idx="7">
                  <c:v>92</c:v>
                </c:pt>
                <c:pt idx="8">
                  <c:v>93</c:v>
                </c:pt>
                <c:pt idx="9">
                  <c:v>78</c:v>
                </c:pt>
                <c:pt idx="10">
                  <c:v>93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'26.08 KAPEKA-MATUGA'!$AD$9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KAPEKA-MATUGA'!$AD$10:$AD$21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57232"/>
        <c:axId val="212660368"/>
      </c:lineChart>
      <c:catAx>
        <c:axId val="21265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60368"/>
        <c:crosses val="autoZero"/>
        <c:auto val="1"/>
        <c:lblAlgn val="ctr"/>
        <c:lblOffset val="100"/>
        <c:noMultiLvlLbl val="0"/>
      </c:catAx>
      <c:valAx>
        <c:axId val="2126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KAPEKA-MATUGA'!$C$9:$N$9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KAPEKA-MATUGA'!$C$60:$N$60</c:f>
              <c:numCache>
                <c:formatCode>0.00%</c:formatCode>
                <c:ptCount val="12"/>
                <c:pt idx="0">
                  <c:v>0.19277108433734941</c:v>
                </c:pt>
                <c:pt idx="1">
                  <c:v>0</c:v>
                </c:pt>
                <c:pt idx="2">
                  <c:v>0.22088353413654618</c:v>
                </c:pt>
                <c:pt idx="3">
                  <c:v>0.17670682730923695</c:v>
                </c:pt>
                <c:pt idx="4">
                  <c:v>4.0160642570281121E-3</c:v>
                </c:pt>
                <c:pt idx="5">
                  <c:v>0</c:v>
                </c:pt>
                <c:pt idx="6">
                  <c:v>0.32730923694779118</c:v>
                </c:pt>
                <c:pt idx="7">
                  <c:v>4.6184738955823292E-2</c:v>
                </c:pt>
                <c:pt idx="8">
                  <c:v>3.2128514056224897E-2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MATUGA-KAPEEKA'!$AE$9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MATUGA-KAPEEKA'!$R$10:$R$21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MATUGA-KAPEEKA'!$AE$10:$AE$21</c:f>
              <c:numCache>
                <c:formatCode>0</c:formatCode>
                <c:ptCount val="12"/>
                <c:pt idx="0">
                  <c:v>19</c:v>
                </c:pt>
                <c:pt idx="1">
                  <c:v>16</c:v>
                </c:pt>
                <c:pt idx="2">
                  <c:v>32</c:v>
                </c:pt>
                <c:pt idx="3">
                  <c:v>32</c:v>
                </c:pt>
                <c:pt idx="4">
                  <c:v>26</c:v>
                </c:pt>
                <c:pt idx="5">
                  <c:v>27</c:v>
                </c:pt>
                <c:pt idx="6">
                  <c:v>41</c:v>
                </c:pt>
                <c:pt idx="7">
                  <c:v>37</c:v>
                </c:pt>
                <c:pt idx="8">
                  <c:v>35</c:v>
                </c:pt>
                <c:pt idx="9">
                  <c:v>54</c:v>
                </c:pt>
                <c:pt idx="10">
                  <c:v>64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'26.08 MATUGA-KAPEEKA'!$AF$9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MATUGA-KAPEEKA'!$R$10:$R$21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MATUGA-KAPEEKA'!$AF$10:$AF$21</c:f>
              <c:numCache>
                <c:formatCode>0</c:formatCode>
                <c:ptCount val="12"/>
                <c:pt idx="0">
                  <c:v>62</c:v>
                </c:pt>
                <c:pt idx="1">
                  <c:v>51</c:v>
                </c:pt>
                <c:pt idx="2">
                  <c:v>96</c:v>
                </c:pt>
                <c:pt idx="3">
                  <c:v>113</c:v>
                </c:pt>
                <c:pt idx="4">
                  <c:v>103</c:v>
                </c:pt>
                <c:pt idx="5">
                  <c:v>110</c:v>
                </c:pt>
                <c:pt idx="6">
                  <c:v>119</c:v>
                </c:pt>
                <c:pt idx="7">
                  <c:v>129</c:v>
                </c:pt>
                <c:pt idx="8">
                  <c:v>119</c:v>
                </c:pt>
                <c:pt idx="9">
                  <c:v>129</c:v>
                </c:pt>
                <c:pt idx="10">
                  <c:v>170</c:v>
                </c:pt>
                <c:pt idx="11">
                  <c:v>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62328"/>
        <c:axId val="212662720"/>
      </c:lineChart>
      <c:catAx>
        <c:axId val="212662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62720"/>
        <c:crosses val="autoZero"/>
        <c:auto val="1"/>
        <c:lblAlgn val="ctr"/>
        <c:lblOffset val="100"/>
        <c:noMultiLvlLbl val="0"/>
      </c:catAx>
      <c:valAx>
        <c:axId val="212662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2662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MATUGA-KAPEEKA'!$C$9:$N$9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MATUGA-KAPEEKA'!$C$59:$N$59</c:f>
              <c:numCache>
                <c:formatCode>0.0%</c:formatCode>
                <c:ptCount val="12"/>
                <c:pt idx="0">
                  <c:v>7.1900220102714602E-2</c:v>
                </c:pt>
                <c:pt idx="1">
                  <c:v>0</c:v>
                </c:pt>
                <c:pt idx="2">
                  <c:v>7.0432868672046955E-2</c:v>
                </c:pt>
                <c:pt idx="3">
                  <c:v>6.016140865737344E-2</c:v>
                </c:pt>
                <c:pt idx="4">
                  <c:v>1.467351430667645E-3</c:v>
                </c:pt>
                <c:pt idx="5">
                  <c:v>0</c:v>
                </c:pt>
                <c:pt idx="6">
                  <c:v>8.4372707263389579E-2</c:v>
                </c:pt>
                <c:pt idx="7">
                  <c:v>1.6140865737344093E-2</c:v>
                </c:pt>
                <c:pt idx="8">
                  <c:v>1.3939838591342627E-2</c:v>
                </c:pt>
                <c:pt idx="9">
                  <c:v>0</c:v>
                </c:pt>
                <c:pt idx="10">
                  <c:v>0.68158473954512111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MATUGA-KAPEEKA'!$S$9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'26.08 MATUGA-KAPEEKA'!$R$10:$R$21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MATUGA-KAPEEKA'!$S$10:$S$21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11</c:v>
                </c:pt>
                <c:pt idx="8">
                  <c:v>7</c:v>
                </c:pt>
                <c:pt idx="9">
                  <c:v>14</c:v>
                </c:pt>
                <c:pt idx="10">
                  <c:v>17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'26.08 MATUGA-KAPEEKA'!$T$9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'26.08 MATUGA-KAPEEKA'!$R$10:$R$21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MATUGA-KAPEEKA'!$T$10:$T$21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'26.08 MATUGA-KAPEEKA'!$U$9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MATUGA-KAPEEKA'!$U$10:$U$21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9</c:v>
                </c:pt>
                <c:pt idx="9">
                  <c:v>14</c:v>
                </c:pt>
                <c:pt idx="10">
                  <c:v>14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'26.08 MATUGA-KAPEEKA'!$V$9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MATUGA-KAPEEKA'!$V$10:$V$21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12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'26.08 MATUGA-KAPEEKA'!$W$9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'26.08 MATUGA-KAPEEKA'!$X$9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'26.08 MATUGA-KAPEEKA'!$Y$9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MATUGA-KAPEEKA'!$Y$10:$Y$21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11</c:v>
                </c:pt>
                <c:pt idx="7">
                  <c:v>11</c:v>
                </c:pt>
                <c:pt idx="8">
                  <c:v>9</c:v>
                </c:pt>
                <c:pt idx="9">
                  <c:v>13</c:v>
                </c:pt>
                <c:pt idx="10">
                  <c:v>17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'26.08 MATUGA-KAPEEKA'!$Z$9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'26.08 MATUGA-KAPEEKA'!$AA$9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'26.08 MATUGA-KAPEEKA'!$AB$9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'26.08 MATUGA-KAPEEKA'!$AC$9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MATUGA-KAPEEKA'!$AC$10:$AC$21</c:f>
              <c:numCache>
                <c:formatCode>0</c:formatCode>
                <c:ptCount val="12"/>
                <c:pt idx="0">
                  <c:v>43</c:v>
                </c:pt>
                <c:pt idx="1">
                  <c:v>35</c:v>
                </c:pt>
                <c:pt idx="2">
                  <c:v>64</c:v>
                </c:pt>
                <c:pt idx="3">
                  <c:v>81</c:v>
                </c:pt>
                <c:pt idx="4">
                  <c:v>77</c:v>
                </c:pt>
                <c:pt idx="5">
                  <c:v>83</c:v>
                </c:pt>
                <c:pt idx="6">
                  <c:v>78</c:v>
                </c:pt>
                <c:pt idx="7">
                  <c:v>92</c:v>
                </c:pt>
                <c:pt idx="8">
                  <c:v>84</c:v>
                </c:pt>
                <c:pt idx="9">
                  <c:v>75</c:v>
                </c:pt>
                <c:pt idx="10">
                  <c:v>106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'26.08 MATUGA-KAPEEKA'!$AD$9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MATUGA-KAPEEKA'!$AD$10:$AD$21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09640"/>
        <c:axId val="214204936"/>
      </c:lineChart>
      <c:catAx>
        <c:axId val="214209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204936"/>
        <c:crosses val="autoZero"/>
        <c:auto val="1"/>
        <c:lblAlgn val="ctr"/>
        <c:lblOffset val="100"/>
        <c:noMultiLvlLbl val="0"/>
      </c:catAx>
      <c:valAx>
        <c:axId val="21420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209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MATUGA-KAPEEKA'!$C$9:$N$9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MATUGA-KAPEEKA'!$C$60:$N$60</c:f>
              <c:numCache>
                <c:formatCode>0.00%</c:formatCode>
                <c:ptCount val="12"/>
                <c:pt idx="0">
                  <c:v>0.22580645161290322</c:v>
                </c:pt>
                <c:pt idx="1">
                  <c:v>0</c:v>
                </c:pt>
                <c:pt idx="2">
                  <c:v>0.22119815668202766</c:v>
                </c:pt>
                <c:pt idx="3">
                  <c:v>0.1889400921658986</c:v>
                </c:pt>
                <c:pt idx="4">
                  <c:v>4.608294930875576E-3</c:v>
                </c:pt>
                <c:pt idx="5">
                  <c:v>0</c:v>
                </c:pt>
                <c:pt idx="6">
                  <c:v>0.26497695852534564</c:v>
                </c:pt>
                <c:pt idx="7">
                  <c:v>5.0691244239631339E-2</c:v>
                </c:pt>
                <c:pt idx="8">
                  <c:v>4.377880184331797E-2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KAPEEKA-MATUGA'!$AE$9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KAPEEKA-MATUGA'!$R$10:$R$33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KAPEEKA-MATUGA'!$AE$10:$AE$33</c:f>
              <c:numCache>
                <c:formatCode>0</c:formatCode>
                <c:ptCount val="24"/>
                <c:pt idx="0">
                  <c:v>26.571428571428573</c:v>
                </c:pt>
                <c:pt idx="1">
                  <c:v>38.142857142857139</c:v>
                </c:pt>
                <c:pt idx="2">
                  <c:v>40</c:v>
                </c:pt>
                <c:pt idx="3">
                  <c:v>42.285714285714285</c:v>
                </c:pt>
                <c:pt idx="4">
                  <c:v>43.571428571428569</c:v>
                </c:pt>
                <c:pt idx="5">
                  <c:v>45.571428571428569</c:v>
                </c:pt>
                <c:pt idx="6">
                  <c:v>42.142857142857139</c:v>
                </c:pt>
                <c:pt idx="7">
                  <c:v>40.571428571428577</c:v>
                </c:pt>
                <c:pt idx="8">
                  <c:v>40.714285714285715</c:v>
                </c:pt>
                <c:pt idx="9">
                  <c:v>37.999999999999993</c:v>
                </c:pt>
                <c:pt idx="10">
                  <c:v>39.571428571428569</c:v>
                </c:pt>
                <c:pt idx="11">
                  <c:v>34.714285714285715</c:v>
                </c:pt>
                <c:pt idx="12">
                  <c:v>30</c:v>
                </c:pt>
                <c:pt idx="13">
                  <c:v>37</c:v>
                </c:pt>
                <c:pt idx="14">
                  <c:v>33</c:v>
                </c:pt>
                <c:pt idx="15">
                  <c:v>21</c:v>
                </c:pt>
                <c:pt idx="16">
                  <c:v>23</c:v>
                </c:pt>
                <c:pt idx="17">
                  <c:v>20</c:v>
                </c:pt>
                <c:pt idx="18">
                  <c:v>15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KAPEEKA-MATUGA'!$AF$9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KAPEEKA-MATUGA'!$R$10:$R$33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KAPEEKA-MATUGA'!$AF$10:$AF$33</c:f>
              <c:numCache>
                <c:formatCode>0</c:formatCode>
                <c:ptCount val="24"/>
                <c:pt idx="0">
                  <c:v>98.571428571428584</c:v>
                </c:pt>
                <c:pt idx="1">
                  <c:v>113.42857142857143</c:v>
                </c:pt>
                <c:pt idx="2">
                  <c:v>115.85714285714285</c:v>
                </c:pt>
                <c:pt idx="3">
                  <c:v>125.57142857142857</c:v>
                </c:pt>
                <c:pt idx="4">
                  <c:v>128.28571428571428</c:v>
                </c:pt>
                <c:pt idx="5">
                  <c:v>134.28571428571428</c:v>
                </c:pt>
                <c:pt idx="6">
                  <c:v>126.57142857142858</c:v>
                </c:pt>
                <c:pt idx="7">
                  <c:v>121.57142857142856</c:v>
                </c:pt>
                <c:pt idx="8">
                  <c:v>122.42857142857143</c:v>
                </c:pt>
                <c:pt idx="9">
                  <c:v>110.42857142857142</c:v>
                </c:pt>
                <c:pt idx="10">
                  <c:v>128.57142857142856</c:v>
                </c:pt>
                <c:pt idx="11">
                  <c:v>129.28571428571428</c:v>
                </c:pt>
                <c:pt idx="12">
                  <c:v>89</c:v>
                </c:pt>
                <c:pt idx="13">
                  <c:v>76</c:v>
                </c:pt>
                <c:pt idx="14">
                  <c:v>54</c:v>
                </c:pt>
                <c:pt idx="15">
                  <c:v>34</c:v>
                </c:pt>
                <c:pt idx="16">
                  <c:v>25</c:v>
                </c:pt>
                <c:pt idx="17">
                  <c:v>21</c:v>
                </c:pt>
                <c:pt idx="18">
                  <c:v>16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13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207680"/>
        <c:axId val="214210424"/>
      </c:lineChart>
      <c:catAx>
        <c:axId val="214207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210424"/>
        <c:crosses val="autoZero"/>
        <c:auto val="1"/>
        <c:lblAlgn val="ctr"/>
        <c:lblOffset val="100"/>
        <c:noMultiLvlLbl val="0"/>
      </c:catAx>
      <c:valAx>
        <c:axId val="214210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20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KAPEEKA-MATUGA'!$C$9:$N$9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KAPEEKA-MATUGA'!$C$107:$N$107</c:f>
              <c:numCache>
                <c:formatCode>0.0%</c:formatCode>
                <c:ptCount val="12"/>
                <c:pt idx="0">
                  <c:v>8.2201296696511245E-2</c:v>
                </c:pt>
                <c:pt idx="1">
                  <c:v>3.6832355665328782E-2</c:v>
                </c:pt>
                <c:pt idx="2">
                  <c:v>5.4167953071935733E-2</c:v>
                </c:pt>
                <c:pt idx="3">
                  <c:v>5.4955233096634762E-2</c:v>
                </c:pt>
                <c:pt idx="4">
                  <c:v>1.3121333744983013E-3</c:v>
                </c:pt>
                <c:pt idx="5">
                  <c:v>6.174745291756714E-4</c:v>
                </c:pt>
                <c:pt idx="6">
                  <c:v>0.10581969743748068</c:v>
                </c:pt>
                <c:pt idx="7">
                  <c:v>1.7752392713800556E-2</c:v>
                </c:pt>
                <c:pt idx="8">
                  <c:v>1.7134918184624884E-2</c:v>
                </c:pt>
                <c:pt idx="9">
                  <c:v>3.7048471750540319E-3</c:v>
                </c:pt>
                <c:pt idx="10">
                  <c:v>0.62511577647422034</c:v>
                </c:pt>
                <c:pt idx="11">
                  <c:v>3.8592158073479457E-4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KAPEEKA-MATUGA'!$C$9:$N$9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KAPEEKA-MATUGA'!$C$108:$N$108</c:f>
              <c:numCache>
                <c:formatCode>0.00%</c:formatCode>
                <c:ptCount val="12"/>
                <c:pt idx="0">
                  <c:v>0.21927115503397154</c:v>
                </c:pt>
                <c:pt idx="1">
                  <c:v>9.8249948527897826E-2</c:v>
                </c:pt>
                <c:pt idx="2">
                  <c:v>0.14449248507309026</c:v>
                </c:pt>
                <c:pt idx="3">
                  <c:v>0.14659254683961292</c:v>
                </c:pt>
                <c:pt idx="4">
                  <c:v>3.5001029442042401E-3</c:v>
                </c:pt>
                <c:pt idx="5">
                  <c:v>1.6471072678608193E-3</c:v>
                </c:pt>
                <c:pt idx="6">
                  <c:v>0.28227300802964789</c:v>
                </c:pt>
                <c:pt idx="7">
                  <c:v>4.7354333950998563E-2</c:v>
                </c:pt>
                <c:pt idx="8">
                  <c:v>4.5707226683137737E-2</c:v>
                </c:pt>
                <c:pt idx="9">
                  <c:v>9.8826436071649242E-3</c:v>
                </c:pt>
                <c:pt idx="11">
                  <c:v>1.0294420424130119E-3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MATUGGA-KAPEEKA'!$AE$9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MATUGGA-KAPEEKA'!$R$10:$R$33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MATUGGA-KAPEEKA'!$AE$10:$AE$33</c:f>
              <c:numCache>
                <c:formatCode>0</c:formatCode>
                <c:ptCount val="24"/>
                <c:pt idx="0">
                  <c:v>16.714285714285715</c:v>
                </c:pt>
                <c:pt idx="1">
                  <c:v>20.285714285714285</c:v>
                </c:pt>
                <c:pt idx="2">
                  <c:v>27.285714285714285</c:v>
                </c:pt>
                <c:pt idx="3">
                  <c:v>28.857142857142854</c:v>
                </c:pt>
                <c:pt idx="4">
                  <c:v>30.285714285714285</c:v>
                </c:pt>
                <c:pt idx="5">
                  <c:v>28.428571428571427</c:v>
                </c:pt>
                <c:pt idx="6">
                  <c:v>33.857142857142861</c:v>
                </c:pt>
                <c:pt idx="7">
                  <c:v>38.714285714285715</c:v>
                </c:pt>
                <c:pt idx="8">
                  <c:v>38.571428571428569</c:v>
                </c:pt>
                <c:pt idx="9">
                  <c:v>49.571428571428569</c:v>
                </c:pt>
                <c:pt idx="10">
                  <c:v>55.142857142857146</c:v>
                </c:pt>
                <c:pt idx="11">
                  <c:v>50.714285714285715</c:v>
                </c:pt>
                <c:pt idx="12">
                  <c:v>30</c:v>
                </c:pt>
                <c:pt idx="13">
                  <c:v>37</c:v>
                </c:pt>
                <c:pt idx="14">
                  <c:v>33</c:v>
                </c:pt>
                <c:pt idx="15">
                  <c:v>21</c:v>
                </c:pt>
                <c:pt idx="16">
                  <c:v>23</c:v>
                </c:pt>
                <c:pt idx="17">
                  <c:v>20</c:v>
                </c:pt>
                <c:pt idx="18">
                  <c:v>15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6</c:v>
                </c:pt>
                <c:pt idx="23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MATUGGA-KAPEEKA'!$AF$9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MATUGGA-KAPEEKA'!$R$10:$R$33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MATUGGA-KAPEEKA'!$AF$10:$AF$33</c:f>
              <c:numCache>
                <c:formatCode>0</c:formatCode>
                <c:ptCount val="24"/>
                <c:pt idx="0">
                  <c:v>67.285714285714278</c:v>
                </c:pt>
                <c:pt idx="1">
                  <c:v>84.857142857142861</c:v>
                </c:pt>
                <c:pt idx="2">
                  <c:v>95.571428571428569</c:v>
                </c:pt>
                <c:pt idx="3">
                  <c:v>106.57142857142857</c:v>
                </c:pt>
                <c:pt idx="4">
                  <c:v>112.71428571428572</c:v>
                </c:pt>
                <c:pt idx="5">
                  <c:v>111.14285714285714</c:v>
                </c:pt>
                <c:pt idx="6">
                  <c:v>113.42857142857143</c:v>
                </c:pt>
                <c:pt idx="7">
                  <c:v>122</c:v>
                </c:pt>
                <c:pt idx="8">
                  <c:v>119.85714285714286</c:v>
                </c:pt>
                <c:pt idx="9">
                  <c:v>123.57142857142858</c:v>
                </c:pt>
                <c:pt idx="10">
                  <c:v>151</c:v>
                </c:pt>
                <c:pt idx="11">
                  <c:v>155.14285714285714</c:v>
                </c:pt>
                <c:pt idx="12">
                  <c:v>89</c:v>
                </c:pt>
                <c:pt idx="13">
                  <c:v>76</c:v>
                </c:pt>
                <c:pt idx="14">
                  <c:v>54</c:v>
                </c:pt>
                <c:pt idx="15">
                  <c:v>34</c:v>
                </c:pt>
                <c:pt idx="16">
                  <c:v>25</c:v>
                </c:pt>
                <c:pt idx="17">
                  <c:v>21</c:v>
                </c:pt>
                <c:pt idx="18">
                  <c:v>16</c:v>
                </c:pt>
                <c:pt idx="19">
                  <c:v>0</c:v>
                </c:pt>
                <c:pt idx="20">
                  <c:v>10</c:v>
                </c:pt>
                <c:pt idx="21">
                  <c:v>0</c:v>
                </c:pt>
                <c:pt idx="22">
                  <c:v>13</c:v>
                </c:pt>
                <c:pt idx="23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206896"/>
        <c:axId val="214207288"/>
      </c:lineChart>
      <c:catAx>
        <c:axId val="214206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207288"/>
        <c:crosses val="autoZero"/>
        <c:auto val="1"/>
        <c:lblAlgn val="ctr"/>
        <c:lblOffset val="100"/>
        <c:noMultiLvlLbl val="0"/>
      </c:catAx>
      <c:valAx>
        <c:axId val="214207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1420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MATUGGA-KAPEEKA'!$C$9:$N$9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MATUGGA-KAPEEKA'!$C$107:$N$107</c:f>
              <c:numCache>
                <c:formatCode>0.0%</c:formatCode>
                <c:ptCount val="12"/>
                <c:pt idx="0">
                  <c:v>7.9656067488643734E-2</c:v>
                </c:pt>
                <c:pt idx="1">
                  <c:v>3.8238157040882528E-2</c:v>
                </c:pt>
                <c:pt idx="2">
                  <c:v>5.593770279039581E-2</c:v>
                </c:pt>
                <c:pt idx="3">
                  <c:v>5.6943543153796232E-2</c:v>
                </c:pt>
                <c:pt idx="4">
                  <c:v>1.2978585334198572E-3</c:v>
                </c:pt>
                <c:pt idx="5">
                  <c:v>6.4892926670992858E-4</c:v>
                </c:pt>
                <c:pt idx="6">
                  <c:v>9.3526930564568456E-2</c:v>
                </c:pt>
                <c:pt idx="7">
                  <c:v>1.8575600259571702E-2</c:v>
                </c:pt>
                <c:pt idx="8">
                  <c:v>1.9711226476314084E-2</c:v>
                </c:pt>
                <c:pt idx="9">
                  <c:v>0</c:v>
                </c:pt>
                <c:pt idx="10">
                  <c:v>0.63522063595068146</c:v>
                </c:pt>
                <c:pt idx="11">
                  <c:v>2.4334847501622322E-4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MATUGGA-KAPEEKA'!$C$9:$N$9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MATUGGA-KAPEEKA'!$C$108:$N$108</c:f>
              <c:numCache>
                <c:formatCode>0.00%</c:formatCode>
                <c:ptCount val="12"/>
                <c:pt idx="0">
                  <c:v>0.2183678007560596</c:v>
                </c:pt>
                <c:pt idx="1">
                  <c:v>0.10482543918167664</c:v>
                </c:pt>
                <c:pt idx="2">
                  <c:v>0.15334667556148535</c:v>
                </c:pt>
                <c:pt idx="3">
                  <c:v>0.1561040693795864</c:v>
                </c:pt>
                <c:pt idx="4">
                  <c:v>3.5579275072270405E-3</c:v>
                </c:pt>
                <c:pt idx="5">
                  <c:v>1.7789637536135203E-3</c:v>
                </c:pt>
                <c:pt idx="6">
                  <c:v>0.25639315098954857</c:v>
                </c:pt>
                <c:pt idx="7">
                  <c:v>5.0922837447187015E-2</c:v>
                </c:pt>
                <c:pt idx="8">
                  <c:v>5.4036024016010681E-2</c:v>
                </c:pt>
                <c:pt idx="9">
                  <c:v>0</c:v>
                </c:pt>
                <c:pt idx="11">
                  <c:v>6.671114076050701E-4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KAPEEKA-MATUGGA-2Dir'!$C$9:$N$9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KAPEEKA-MATUGGA-2Dir'!$C$107:$N$107</c:f>
              <c:numCache>
                <c:formatCode>0.0%</c:formatCode>
                <c:ptCount val="12"/>
                <c:pt idx="0">
                  <c:v>8.096029109318148E-2</c:v>
                </c:pt>
                <c:pt idx="1">
                  <c:v>3.7517797816801132E-2</c:v>
                </c:pt>
                <c:pt idx="2">
                  <c:v>5.5030849549121956E-2</c:v>
                </c:pt>
                <c:pt idx="3">
                  <c:v>5.5924695459579211E-2</c:v>
                </c:pt>
                <c:pt idx="4">
                  <c:v>1.305173232083531E-3</c:v>
                </c:pt>
                <c:pt idx="5">
                  <c:v>6.3281126404050002E-4</c:v>
                </c:pt>
                <c:pt idx="6">
                  <c:v>9.9825976902388897E-2</c:v>
                </c:pt>
                <c:pt idx="7">
                  <c:v>1.8153773137161846E-2</c:v>
                </c:pt>
                <c:pt idx="8">
                  <c:v>1.8391077361177038E-2</c:v>
                </c:pt>
                <c:pt idx="9">
                  <c:v>1.8984337921215018E-3</c:v>
                </c:pt>
                <c:pt idx="10">
                  <c:v>0.63004271476032292</c:v>
                </c:pt>
                <c:pt idx="11">
                  <c:v>3.1640563202024995E-4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KAPEEKA-MATUGGA-2Dir'!$C$9:$N$9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KAPEEKA-MATUGGA-2Dir'!$C$108:$N$108</c:f>
              <c:numCache>
                <c:formatCode>0.00%</c:formatCode>
                <c:ptCount val="12"/>
                <c:pt idx="0">
                  <c:v>0.21883686123583496</c:v>
                </c:pt>
                <c:pt idx="1">
                  <c:v>0.10141116100064139</c:v>
                </c:pt>
                <c:pt idx="2">
                  <c:v>0.14874919820397683</c:v>
                </c:pt>
                <c:pt idx="3">
                  <c:v>0.15116527688689335</c:v>
                </c:pt>
                <c:pt idx="4">
                  <c:v>3.527902501603591E-3</c:v>
                </c:pt>
                <c:pt idx="5">
                  <c:v>1.7104981825956809E-3</c:v>
                </c:pt>
                <c:pt idx="6">
                  <c:v>0.26983108830446872</c:v>
                </c:pt>
                <c:pt idx="7">
                  <c:v>4.9069916613213596E-2</c:v>
                </c:pt>
                <c:pt idx="8">
                  <c:v>4.9711353431686991E-2</c:v>
                </c:pt>
                <c:pt idx="9">
                  <c:v>5.1314945477870478E-3</c:v>
                </c:pt>
                <c:pt idx="11">
                  <c:v>8.5524909129784036E-4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KAPEEKA-MATUGGA-2Dir'!$AE$9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KAPEEKA-MATUGGA-2Dir'!$R$10:$R$33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KAPEEKA-MATUGGA-2Dir'!$AE$10:$AE$33</c:f>
              <c:numCache>
                <c:formatCode>0</c:formatCode>
                <c:ptCount val="24"/>
                <c:pt idx="0">
                  <c:v>43.285714285714278</c:v>
                </c:pt>
                <c:pt idx="1">
                  <c:v>58.428571428571431</c:v>
                </c:pt>
                <c:pt idx="2">
                  <c:v>67.285714285714278</c:v>
                </c:pt>
                <c:pt idx="3">
                  <c:v>71.142857142857139</c:v>
                </c:pt>
                <c:pt idx="4">
                  <c:v>73.857142857142861</c:v>
                </c:pt>
                <c:pt idx="5">
                  <c:v>73.999999999999986</c:v>
                </c:pt>
                <c:pt idx="6">
                  <c:v>76</c:v>
                </c:pt>
                <c:pt idx="7">
                  <c:v>79.285714285714278</c:v>
                </c:pt>
                <c:pt idx="8">
                  <c:v>79.285714285714278</c:v>
                </c:pt>
                <c:pt idx="9">
                  <c:v>87.571428571428569</c:v>
                </c:pt>
                <c:pt idx="10">
                  <c:v>94.714285714285708</c:v>
                </c:pt>
                <c:pt idx="11">
                  <c:v>85.428571428571416</c:v>
                </c:pt>
                <c:pt idx="12">
                  <c:v>60</c:v>
                </c:pt>
                <c:pt idx="13">
                  <c:v>74</c:v>
                </c:pt>
                <c:pt idx="14">
                  <c:v>66</c:v>
                </c:pt>
                <c:pt idx="15">
                  <c:v>42</c:v>
                </c:pt>
                <c:pt idx="16">
                  <c:v>46</c:v>
                </c:pt>
                <c:pt idx="17">
                  <c:v>40</c:v>
                </c:pt>
                <c:pt idx="18">
                  <c:v>30</c:v>
                </c:pt>
                <c:pt idx="19">
                  <c:v>0</c:v>
                </c:pt>
                <c:pt idx="20">
                  <c:v>20</c:v>
                </c:pt>
                <c:pt idx="21">
                  <c:v>0</c:v>
                </c:pt>
                <c:pt idx="22">
                  <c:v>12</c:v>
                </c:pt>
                <c:pt idx="23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4A-4796-9C62-ECAB5F35485D}"/>
            </c:ext>
          </c:extLst>
        </c:ser>
        <c:ser>
          <c:idx val="1"/>
          <c:order val="1"/>
          <c:tx>
            <c:strRef>
              <c:f>'Avg Week KAPEEKA-MATUGGA-2Dir'!$AF$9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KAPEEKA-MATUGGA-2Dir'!$R$10:$R$33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KAPEEKA-MATUGGA-2Dir'!$AF$10:$AF$33</c:f>
              <c:numCache>
                <c:formatCode>0</c:formatCode>
                <c:ptCount val="24"/>
                <c:pt idx="0">
                  <c:v>165.85714285714289</c:v>
                </c:pt>
                <c:pt idx="1">
                  <c:v>198.28571428571428</c:v>
                </c:pt>
                <c:pt idx="2">
                  <c:v>211.42857142857144</c:v>
                </c:pt>
                <c:pt idx="3">
                  <c:v>232.14285714285711</c:v>
                </c:pt>
                <c:pt idx="4">
                  <c:v>241</c:v>
                </c:pt>
                <c:pt idx="5">
                  <c:v>245.42857142857144</c:v>
                </c:pt>
                <c:pt idx="6">
                  <c:v>240</c:v>
                </c:pt>
                <c:pt idx="7">
                  <c:v>243.57142857142856</c:v>
                </c:pt>
                <c:pt idx="8">
                  <c:v>242.28571428571428</c:v>
                </c:pt>
                <c:pt idx="9">
                  <c:v>234</c:v>
                </c:pt>
                <c:pt idx="10">
                  <c:v>279.57142857142861</c:v>
                </c:pt>
                <c:pt idx="11">
                  <c:v>284.42857142857144</c:v>
                </c:pt>
                <c:pt idx="12">
                  <c:v>178</c:v>
                </c:pt>
                <c:pt idx="13">
                  <c:v>152</c:v>
                </c:pt>
                <c:pt idx="14">
                  <c:v>108</c:v>
                </c:pt>
                <c:pt idx="15">
                  <c:v>68</c:v>
                </c:pt>
                <c:pt idx="16">
                  <c:v>50</c:v>
                </c:pt>
                <c:pt idx="17">
                  <c:v>42</c:v>
                </c:pt>
                <c:pt idx="18">
                  <c:v>32</c:v>
                </c:pt>
                <c:pt idx="19">
                  <c:v>0</c:v>
                </c:pt>
                <c:pt idx="20">
                  <c:v>20</c:v>
                </c:pt>
                <c:pt idx="21">
                  <c:v>0</c:v>
                </c:pt>
                <c:pt idx="22">
                  <c:v>26</c:v>
                </c:pt>
                <c:pt idx="23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14A-4796-9C62-ECAB5F35485D}"/>
            </c:ext>
          </c:extLst>
        </c:ser>
        <c:ser>
          <c:idx val="5"/>
          <c:order val="2"/>
          <c:tx>
            <c:strRef>
              <c:f>'Avg Week KAPEEKA-MATUGGA-2Dir'!$AC$9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KAPEEKA-MATUGGA-2Dir'!$R$10:$R$33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KAPEEKA-MATUGGA-2Dir'!$AC$10:$AC$33</c:f>
              <c:numCache>
                <c:formatCode>0</c:formatCode>
                <c:ptCount val="24"/>
                <c:pt idx="0">
                  <c:v>122.57142857142858</c:v>
                </c:pt>
                <c:pt idx="1">
                  <c:v>139.85714285714283</c:v>
                </c:pt>
                <c:pt idx="2">
                  <c:v>144.14285714285714</c:v>
                </c:pt>
                <c:pt idx="3">
                  <c:v>161</c:v>
                </c:pt>
                <c:pt idx="4">
                  <c:v>167.14285714285714</c:v>
                </c:pt>
                <c:pt idx="5">
                  <c:v>171.42857142857144</c:v>
                </c:pt>
                <c:pt idx="6">
                  <c:v>164</c:v>
                </c:pt>
                <c:pt idx="7">
                  <c:v>164.28571428571428</c:v>
                </c:pt>
                <c:pt idx="8">
                  <c:v>163</c:v>
                </c:pt>
                <c:pt idx="9">
                  <c:v>146.42857142857144</c:v>
                </c:pt>
                <c:pt idx="10">
                  <c:v>184.85714285714286</c:v>
                </c:pt>
                <c:pt idx="11">
                  <c:v>199</c:v>
                </c:pt>
                <c:pt idx="12">
                  <c:v>118</c:v>
                </c:pt>
                <c:pt idx="13">
                  <c:v>78</c:v>
                </c:pt>
                <c:pt idx="14">
                  <c:v>42</c:v>
                </c:pt>
                <c:pt idx="15">
                  <c:v>26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A-4796-9C62-ECAB5F354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KAPEEKA-MATUGGA-2Dir'!$S$9:$AF$9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KAPEEKA-MATUGGA-2Dir'!$S$41:$AF$41</c:f>
              <c:numCache>
                <c:formatCode>_(* #,##0_);_(* \(#,##0\);_(* "-"_);_(@_)</c:formatCode>
                <c:ptCount val="14"/>
                <c:pt idx="0">
                  <c:v>292.42857142857144</c:v>
                </c:pt>
                <c:pt idx="1">
                  <c:v>135.51428571428573</c:v>
                </c:pt>
                <c:pt idx="2">
                  <c:v>198.7714285714286</c:v>
                </c:pt>
                <c:pt idx="3">
                  <c:v>202</c:v>
                </c:pt>
                <c:pt idx="4">
                  <c:v>4.7142857142857135</c:v>
                </c:pt>
                <c:pt idx="5">
                  <c:v>2.2857142857142856</c:v>
                </c:pt>
                <c:pt idx="6">
                  <c:v>360.57142857142856</c:v>
                </c:pt>
                <c:pt idx="7">
                  <c:v>65.571428571428569</c:v>
                </c:pt>
                <c:pt idx="8">
                  <c:v>66.428571428571416</c:v>
                </c:pt>
                <c:pt idx="9">
                  <c:v>6.857142857142855</c:v>
                </c:pt>
                <c:pt idx="10">
                  <c:v>2275.7142857142853</c:v>
                </c:pt>
                <c:pt idx="11">
                  <c:v>1.1428571428571428</c:v>
                </c:pt>
                <c:pt idx="12">
                  <c:v>1336.2857142857142</c:v>
                </c:pt>
                <c:pt idx="13">
                  <c:v>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22-4BC7-8681-8B1E8ED7E5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KAPEEKA-MATUGGA-2Dir'!$S$9:$AF$9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KAPEEKA-MATUGGA-2Dir'!$S$42:$AF$42</c:f>
              <c:numCache>
                <c:formatCode>0.000</c:formatCode>
                <c:ptCount val="14"/>
                <c:pt idx="0">
                  <c:v>1.6389111289031226</c:v>
                </c:pt>
                <c:pt idx="1">
                  <c:v>1.5241002570694091</c:v>
                </c:pt>
                <c:pt idx="2">
                  <c:v>1.4903598971722367</c:v>
                </c:pt>
                <c:pt idx="3">
                  <c:v>1.4225352112676057</c:v>
                </c:pt>
                <c:pt idx="4">
                  <c:v>1</c:v>
                </c:pt>
                <c:pt idx="5">
                  <c:v>8</c:v>
                </c:pt>
                <c:pt idx="6">
                  <c:v>1.4053452115812919</c:v>
                </c:pt>
                <c:pt idx="7">
                  <c:v>1.7452471482889733</c:v>
                </c:pt>
                <c:pt idx="8">
                  <c:v>1.6431095406360423</c:v>
                </c:pt>
                <c:pt idx="9">
                  <c:v>1</c:v>
                </c:pt>
                <c:pt idx="10">
                  <c:v>1.1805246776345042</c:v>
                </c:pt>
                <c:pt idx="11">
                  <c:v>1</c:v>
                </c:pt>
                <c:pt idx="12">
                  <c:v>1.5009627727856227</c:v>
                </c:pt>
                <c:pt idx="13">
                  <c:v>1.2817601135557133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F0-48C2-A398-B6A193AC18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60</xdr:row>
      <xdr:rowOff>9526</xdr:rowOff>
    </xdr:from>
    <xdr:to>
      <xdr:col>23</xdr:col>
      <xdr:colOff>1</xdr:colOff>
      <xdr:row>74</xdr:row>
      <xdr:rowOff>15876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60</xdr:row>
      <xdr:rowOff>15875</xdr:rowOff>
    </xdr:from>
    <xdr:to>
      <xdr:col>31</xdr:col>
      <xdr:colOff>1</xdr:colOff>
      <xdr:row>74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28</xdr:col>
      <xdr:colOff>15874</xdr:colOff>
      <xdr:row>58</xdr:row>
      <xdr:rowOff>254000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59</xdr:row>
      <xdr:rowOff>279401</xdr:rowOff>
    </xdr:from>
    <xdr:to>
      <xdr:col>23</xdr:col>
      <xdr:colOff>15876</xdr:colOff>
      <xdr:row>74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60</xdr:row>
      <xdr:rowOff>0</xdr:rowOff>
    </xdr:from>
    <xdr:to>
      <xdr:col>31</xdr:col>
      <xdr:colOff>1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263525</xdr:rowOff>
    </xdr:from>
    <xdr:to>
      <xdr:col>23</xdr:col>
      <xdr:colOff>634999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75</xdr:row>
      <xdr:rowOff>0</xdr:rowOff>
    </xdr:from>
    <xdr:to>
      <xdr:col>23</xdr:col>
      <xdr:colOff>634999</xdr:colOff>
      <xdr:row>91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28</xdr:col>
      <xdr:colOff>15876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D43C7E6-B2C4-4BE4-94DE-BA416C1B09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650875</xdr:colOff>
      <xdr:row>59</xdr:row>
      <xdr:rowOff>0</xdr:rowOff>
    </xdr:from>
    <xdr:to>
      <xdr:col>30</xdr:col>
      <xdr:colOff>635000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0AF1E26-280F-4342-A132-31AAC0DA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650875</xdr:colOff>
      <xdr:row>75</xdr:row>
      <xdr:rowOff>0</xdr:rowOff>
    </xdr:from>
    <xdr:to>
      <xdr:col>30</xdr:col>
      <xdr:colOff>635000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0501AF7-DADF-4789-A2CC-897AC13C0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57" t="s">
        <v>174</v>
      </c>
      <c r="H5" s="58"/>
      <c r="I5" s="14"/>
      <c r="J5" s="2" t="s">
        <v>5</v>
      </c>
      <c r="K5" s="57" t="s">
        <v>162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164</v>
      </c>
      <c r="E6" s="58"/>
      <c r="F6" s="2" t="s">
        <v>2</v>
      </c>
      <c r="G6" s="57" t="s">
        <v>165</v>
      </c>
      <c r="H6" s="58"/>
      <c r="J6" s="2" t="s">
        <v>21</v>
      </c>
      <c r="K6" s="57" t="s">
        <v>162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3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12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68</v>
      </c>
      <c r="AD10" s="17">
        <f t="shared" si="2"/>
        <v>0</v>
      </c>
      <c r="AE10" s="31">
        <f t="shared" si="2"/>
        <v>25</v>
      </c>
      <c r="AF10" s="31">
        <f t="shared" si="2"/>
        <v>93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24</v>
      </c>
      <c r="N11" s="50">
        <v>0</v>
      </c>
      <c r="O11" s="15">
        <f t="shared" si="0"/>
        <v>5</v>
      </c>
      <c r="P11" s="15">
        <f t="shared" si="1"/>
        <v>29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3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88</v>
      </c>
      <c r="AD11" s="17">
        <f t="shared" si="3"/>
        <v>0</v>
      </c>
      <c r="AE11" s="31">
        <f t="shared" si="3"/>
        <v>24</v>
      </c>
      <c r="AF11" s="31">
        <f t="shared" si="3"/>
        <v>112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5">
        <f t="shared" si="0"/>
        <v>7</v>
      </c>
      <c r="P12" s="15">
        <f t="shared" si="1"/>
        <v>25</v>
      </c>
      <c r="R12" s="1" t="s">
        <v>8</v>
      </c>
      <c r="S12" s="17">
        <f t="shared" ref="S12:AF12" si="4">SUM(C18:C21)</f>
        <v>12</v>
      </c>
      <c r="T12" s="17">
        <f t="shared" si="4"/>
        <v>0</v>
      </c>
      <c r="U12" s="17">
        <f t="shared" si="4"/>
        <v>5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20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70</v>
      </c>
      <c r="AD12" s="17">
        <f t="shared" si="4"/>
        <v>0</v>
      </c>
      <c r="AE12" s="31">
        <f t="shared" si="4"/>
        <v>44</v>
      </c>
      <c r="AF12" s="31">
        <f t="shared" si="4"/>
        <v>114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7</v>
      </c>
      <c r="P13" s="15">
        <f t="shared" si="1"/>
        <v>20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13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10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80</v>
      </c>
      <c r="AD13" s="17">
        <f t="shared" si="5"/>
        <v>0</v>
      </c>
      <c r="AE13" s="31">
        <f t="shared" si="5"/>
        <v>38</v>
      </c>
      <c r="AF13" s="31">
        <f t="shared" si="5"/>
        <v>118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17</v>
      </c>
      <c r="N14" s="50">
        <v>0</v>
      </c>
      <c r="O14" s="15">
        <f t="shared" si="0"/>
        <v>4</v>
      </c>
      <c r="P14" s="15">
        <f t="shared" si="1"/>
        <v>21</v>
      </c>
      <c r="R14" s="1" t="s">
        <v>10</v>
      </c>
      <c r="S14" s="17">
        <f t="shared" ref="S14:AF14" si="6">SUM(C26:C29)</f>
        <v>10</v>
      </c>
      <c r="T14" s="17">
        <f t="shared" si="6"/>
        <v>0</v>
      </c>
      <c r="U14" s="17">
        <f t="shared" si="6"/>
        <v>10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92</v>
      </c>
      <c r="AD14" s="17">
        <f t="shared" si="6"/>
        <v>0</v>
      </c>
      <c r="AE14" s="31">
        <f t="shared" si="6"/>
        <v>37</v>
      </c>
      <c r="AF14" s="31">
        <f t="shared" si="6"/>
        <v>129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25</v>
      </c>
      <c r="N15" s="50">
        <v>0</v>
      </c>
      <c r="O15" s="15">
        <f t="shared" si="0"/>
        <v>6</v>
      </c>
      <c r="P15" s="15">
        <f t="shared" si="1"/>
        <v>31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10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85</v>
      </c>
      <c r="AD15" s="17">
        <f t="shared" si="7"/>
        <v>0</v>
      </c>
      <c r="AE15" s="31">
        <f t="shared" si="7"/>
        <v>46</v>
      </c>
      <c r="AF15" s="31">
        <f t="shared" si="7"/>
        <v>131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1</v>
      </c>
      <c r="F16" s="50">
        <v>2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30</v>
      </c>
      <c r="N16" s="50">
        <v>0</v>
      </c>
      <c r="O16" s="15">
        <f t="shared" si="0"/>
        <v>9</v>
      </c>
      <c r="P16" s="15">
        <f t="shared" si="1"/>
        <v>39</v>
      </c>
      <c r="R16" s="1" t="s">
        <v>12</v>
      </c>
      <c r="S16" s="17">
        <f t="shared" ref="S16:AF16" si="8">SUM(C34:C37)</f>
        <v>14</v>
      </c>
      <c r="T16" s="17">
        <f t="shared" si="8"/>
        <v>0</v>
      </c>
      <c r="U16" s="17">
        <f t="shared" si="8"/>
        <v>5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4</v>
      </c>
      <c r="AA16" s="17">
        <f t="shared" si="8"/>
        <v>3</v>
      </c>
      <c r="AB16" s="17">
        <f t="shared" si="8"/>
        <v>0</v>
      </c>
      <c r="AC16" s="17">
        <f t="shared" si="8"/>
        <v>77</v>
      </c>
      <c r="AD16" s="17">
        <f t="shared" si="8"/>
        <v>0</v>
      </c>
      <c r="AE16" s="31">
        <f t="shared" si="8"/>
        <v>38</v>
      </c>
      <c r="AF16" s="31">
        <f t="shared" si="8"/>
        <v>115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5">
        <f t="shared" si="0"/>
        <v>5</v>
      </c>
      <c r="P17" s="15">
        <f t="shared" si="1"/>
        <v>21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0</v>
      </c>
      <c r="V17" s="17">
        <f t="shared" si="9"/>
        <v>12</v>
      </c>
      <c r="W17" s="17">
        <f t="shared" si="9"/>
        <v>2</v>
      </c>
      <c r="X17" s="17">
        <f t="shared" si="9"/>
        <v>0</v>
      </c>
      <c r="Y17" s="17">
        <f t="shared" si="9"/>
        <v>11</v>
      </c>
      <c r="Z17" s="17">
        <f t="shared" si="9"/>
        <v>3</v>
      </c>
      <c r="AA17" s="17">
        <f t="shared" si="9"/>
        <v>1</v>
      </c>
      <c r="AB17" s="17">
        <f t="shared" si="9"/>
        <v>0</v>
      </c>
      <c r="AC17" s="17">
        <f t="shared" si="9"/>
        <v>59</v>
      </c>
      <c r="AD17" s="17">
        <f t="shared" si="9"/>
        <v>0</v>
      </c>
      <c r="AE17" s="31">
        <f t="shared" si="9"/>
        <v>38</v>
      </c>
      <c r="AF17" s="31">
        <f t="shared" si="9"/>
        <v>97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8</v>
      </c>
      <c r="J18" s="50">
        <v>0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13</v>
      </c>
      <c r="P18" s="15">
        <f t="shared" si="1"/>
        <v>32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9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1</v>
      </c>
      <c r="AA18" s="17">
        <f t="shared" si="10"/>
        <v>3</v>
      </c>
      <c r="AB18" s="17">
        <f t="shared" si="10"/>
        <v>0</v>
      </c>
      <c r="AC18" s="17">
        <f t="shared" si="10"/>
        <v>65</v>
      </c>
      <c r="AD18" s="17">
        <f t="shared" si="10"/>
        <v>0</v>
      </c>
      <c r="AE18" s="31">
        <f t="shared" si="10"/>
        <v>38</v>
      </c>
      <c r="AF18" s="31">
        <f t="shared" si="10"/>
        <v>103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22</v>
      </c>
      <c r="N19" s="50">
        <v>0</v>
      </c>
      <c r="O19" s="15">
        <f t="shared" si="0"/>
        <v>10</v>
      </c>
      <c r="P19" s="15">
        <f t="shared" si="1"/>
        <v>32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9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36</v>
      </c>
      <c r="AF19" s="31">
        <f t="shared" si="11"/>
        <v>48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3</v>
      </c>
      <c r="F20" s="50">
        <v>2</v>
      </c>
      <c r="G20" s="50">
        <v>0</v>
      </c>
      <c r="H20" s="50">
        <v>0</v>
      </c>
      <c r="I20" s="50">
        <v>2</v>
      </c>
      <c r="J20" s="50">
        <v>1</v>
      </c>
      <c r="K20" s="50">
        <v>1</v>
      </c>
      <c r="L20" s="50">
        <v>0</v>
      </c>
      <c r="M20" s="50">
        <v>18</v>
      </c>
      <c r="N20" s="50">
        <v>0</v>
      </c>
      <c r="O20" s="15">
        <f t="shared" si="0"/>
        <v>13</v>
      </c>
      <c r="P20" s="15">
        <f t="shared" si="1"/>
        <v>31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8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2</v>
      </c>
      <c r="AA20" s="17">
        <f t="shared" si="12"/>
        <v>5</v>
      </c>
      <c r="AB20" s="17">
        <f t="shared" si="12"/>
        <v>0</v>
      </c>
      <c r="AC20" s="17">
        <f t="shared" si="12"/>
        <v>104</v>
      </c>
      <c r="AD20" s="17">
        <f t="shared" si="12"/>
        <v>0</v>
      </c>
      <c r="AE20" s="31">
        <f t="shared" si="12"/>
        <v>41</v>
      </c>
      <c r="AF20" s="31">
        <f t="shared" si="12"/>
        <v>145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8</v>
      </c>
      <c r="P21" s="15">
        <f t="shared" si="1"/>
        <v>19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7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112</v>
      </c>
      <c r="AD21" s="17">
        <f t="shared" si="13"/>
        <v>0</v>
      </c>
      <c r="AE21" s="31">
        <f t="shared" si="13"/>
        <v>27</v>
      </c>
      <c r="AF21" s="31">
        <f t="shared" si="13"/>
        <v>139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3</v>
      </c>
      <c r="F22" s="50">
        <v>1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7</v>
      </c>
      <c r="P22" s="15">
        <f t="shared" si="1"/>
        <v>26</v>
      </c>
      <c r="R22" s="38" t="s">
        <v>90</v>
      </c>
      <c r="S22" s="39">
        <f>MAX(S10:S12)</f>
        <v>12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5</v>
      </c>
      <c r="W22" s="39">
        <f t="shared" si="14"/>
        <v>0</v>
      </c>
      <c r="X22" s="39">
        <f t="shared" si="14"/>
        <v>0</v>
      </c>
      <c r="Y22" s="39">
        <f t="shared" si="14"/>
        <v>20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88</v>
      </c>
      <c r="AD22" s="39">
        <f t="shared" si="14"/>
        <v>0</v>
      </c>
      <c r="AE22" s="40">
        <f t="shared" si="14"/>
        <v>44</v>
      </c>
      <c r="AF22" s="40">
        <f t="shared" si="14"/>
        <v>114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22</v>
      </c>
      <c r="N23" s="50">
        <v>0</v>
      </c>
      <c r="O23" s="15">
        <f t="shared" si="0"/>
        <v>7</v>
      </c>
      <c r="P23" s="15">
        <f t="shared" si="1"/>
        <v>29</v>
      </c>
      <c r="R23" s="38" t="s">
        <v>91</v>
      </c>
      <c r="S23" s="39">
        <f>MAX(S13:S18)</f>
        <v>14</v>
      </c>
      <c r="T23" s="39">
        <f t="shared" ref="T23:AF23" si="15">MAX(T13:T18)</f>
        <v>0</v>
      </c>
      <c r="U23" s="39">
        <f t="shared" si="15"/>
        <v>13</v>
      </c>
      <c r="V23" s="39">
        <f t="shared" si="15"/>
        <v>12</v>
      </c>
      <c r="W23" s="39">
        <f t="shared" si="15"/>
        <v>2</v>
      </c>
      <c r="X23" s="39">
        <f t="shared" si="15"/>
        <v>0</v>
      </c>
      <c r="Y23" s="39">
        <f t="shared" si="15"/>
        <v>16</v>
      </c>
      <c r="Z23" s="39">
        <f t="shared" si="15"/>
        <v>4</v>
      </c>
      <c r="AA23" s="39">
        <f t="shared" si="15"/>
        <v>3</v>
      </c>
      <c r="AB23" s="39">
        <f t="shared" si="15"/>
        <v>0</v>
      </c>
      <c r="AC23" s="39">
        <f t="shared" si="15"/>
        <v>92</v>
      </c>
      <c r="AD23" s="39">
        <f t="shared" si="15"/>
        <v>0</v>
      </c>
      <c r="AE23" s="40">
        <f t="shared" si="15"/>
        <v>46</v>
      </c>
      <c r="AF23" s="40">
        <f t="shared" si="15"/>
        <v>131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5</v>
      </c>
      <c r="F24" s="50">
        <v>2</v>
      </c>
      <c r="G24" s="50">
        <v>0</v>
      </c>
      <c r="H24" s="50">
        <v>0</v>
      </c>
      <c r="I24" s="50">
        <v>1</v>
      </c>
      <c r="J24" s="50">
        <v>2</v>
      </c>
      <c r="K24" s="50">
        <v>1</v>
      </c>
      <c r="L24" s="50">
        <v>0</v>
      </c>
      <c r="M24" s="50">
        <v>21</v>
      </c>
      <c r="N24" s="50">
        <v>0</v>
      </c>
      <c r="O24" s="15">
        <f t="shared" si="0"/>
        <v>11</v>
      </c>
      <c r="P24" s="15">
        <f t="shared" si="1"/>
        <v>32</v>
      </c>
      <c r="R24" s="38" t="s">
        <v>92</v>
      </c>
      <c r="S24" s="39">
        <f>MAX(S19:S21)</f>
        <v>10</v>
      </c>
      <c r="T24" s="39">
        <f t="shared" ref="T24:AF24" si="16">MAX(T19:T21)</f>
        <v>0</v>
      </c>
      <c r="U24" s="39">
        <f t="shared" si="16"/>
        <v>9</v>
      </c>
      <c r="V24" s="39">
        <f t="shared" si="16"/>
        <v>9</v>
      </c>
      <c r="W24" s="39">
        <f t="shared" si="16"/>
        <v>0</v>
      </c>
      <c r="X24" s="39">
        <f t="shared" si="16"/>
        <v>0</v>
      </c>
      <c r="Y24" s="39">
        <f t="shared" si="16"/>
        <v>12</v>
      </c>
      <c r="Z24" s="39">
        <f t="shared" si="16"/>
        <v>2</v>
      </c>
      <c r="AA24" s="39">
        <f t="shared" si="16"/>
        <v>5</v>
      </c>
      <c r="AB24" s="39">
        <f t="shared" si="16"/>
        <v>0</v>
      </c>
      <c r="AC24" s="39">
        <f t="shared" si="16"/>
        <v>112</v>
      </c>
      <c r="AD24" s="39">
        <f t="shared" si="16"/>
        <v>0</v>
      </c>
      <c r="AE24" s="40">
        <f t="shared" si="16"/>
        <v>41</v>
      </c>
      <c r="AF24" s="40">
        <f t="shared" si="16"/>
        <v>145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3</v>
      </c>
      <c r="F25" s="50">
        <v>1</v>
      </c>
      <c r="G25" s="50">
        <v>0</v>
      </c>
      <c r="H25" s="50">
        <v>0</v>
      </c>
      <c r="I25" s="50">
        <v>7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13</v>
      </c>
      <c r="P25" s="15">
        <f t="shared" si="1"/>
        <v>31</v>
      </c>
      <c r="R25" s="37" t="s">
        <v>85</v>
      </c>
      <c r="S25" s="35">
        <f t="shared" ref="S25:AF25" si="17">SUM(S10:S12)</f>
        <v>24</v>
      </c>
      <c r="T25" s="16">
        <f t="shared" si="17"/>
        <v>0</v>
      </c>
      <c r="U25" s="16">
        <f t="shared" si="17"/>
        <v>11</v>
      </c>
      <c r="V25" s="16">
        <f t="shared" si="17"/>
        <v>14</v>
      </c>
      <c r="W25" s="16">
        <f t="shared" si="17"/>
        <v>0</v>
      </c>
      <c r="X25" s="16">
        <f t="shared" si="17"/>
        <v>0</v>
      </c>
      <c r="Y25" s="16">
        <f t="shared" si="17"/>
        <v>38</v>
      </c>
      <c r="Z25" s="16">
        <f t="shared" si="17"/>
        <v>5</v>
      </c>
      <c r="AA25" s="16">
        <f t="shared" si="17"/>
        <v>1</v>
      </c>
      <c r="AB25" s="16">
        <f t="shared" si="17"/>
        <v>0</v>
      </c>
      <c r="AC25" s="16">
        <f t="shared" si="17"/>
        <v>226</v>
      </c>
      <c r="AD25" s="16">
        <f t="shared" si="17"/>
        <v>0</v>
      </c>
      <c r="AE25" s="32">
        <f t="shared" si="17"/>
        <v>93</v>
      </c>
      <c r="AF25" s="32">
        <f t="shared" si="17"/>
        <v>319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4</v>
      </c>
      <c r="F26" s="50">
        <v>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28</v>
      </c>
      <c r="N26" s="50">
        <v>0</v>
      </c>
      <c r="O26" s="15">
        <f t="shared" si="0"/>
        <v>12</v>
      </c>
      <c r="P26" s="15">
        <f t="shared" si="1"/>
        <v>40</v>
      </c>
      <c r="R26" s="28" t="s">
        <v>86</v>
      </c>
      <c r="S26" s="16">
        <f t="shared" ref="S26:AF26" si="18">SUM(S13:S18)</f>
        <v>48</v>
      </c>
      <c r="T26" s="16">
        <f t="shared" si="18"/>
        <v>0</v>
      </c>
      <c r="U26" s="16">
        <f t="shared" si="18"/>
        <v>47</v>
      </c>
      <c r="V26" s="16">
        <f t="shared" si="18"/>
        <v>46</v>
      </c>
      <c r="W26" s="16">
        <f t="shared" si="18"/>
        <v>3</v>
      </c>
      <c r="X26" s="16">
        <f t="shared" si="18"/>
        <v>0</v>
      </c>
      <c r="Y26" s="16">
        <f t="shared" si="18"/>
        <v>67</v>
      </c>
      <c r="Z26" s="16">
        <f t="shared" si="18"/>
        <v>14</v>
      </c>
      <c r="AA26" s="16">
        <f t="shared" si="18"/>
        <v>10</v>
      </c>
      <c r="AB26" s="16">
        <f t="shared" si="18"/>
        <v>0</v>
      </c>
      <c r="AC26" s="16">
        <f t="shared" si="18"/>
        <v>458</v>
      </c>
      <c r="AD26" s="16">
        <f t="shared" si="18"/>
        <v>0</v>
      </c>
      <c r="AE26" s="32">
        <f t="shared" si="18"/>
        <v>235</v>
      </c>
      <c r="AF26" s="32">
        <f t="shared" si="18"/>
        <v>693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7</v>
      </c>
      <c r="P27" s="15">
        <f t="shared" si="1"/>
        <v>37</v>
      </c>
      <c r="R27" s="29" t="s">
        <v>87</v>
      </c>
      <c r="S27" s="16">
        <f t="shared" ref="S27:AF27" si="19">SUM(S19:S21)</f>
        <v>17</v>
      </c>
      <c r="T27" s="16">
        <f t="shared" si="19"/>
        <v>0</v>
      </c>
      <c r="U27" s="16">
        <f t="shared" si="19"/>
        <v>24</v>
      </c>
      <c r="V27" s="16">
        <f t="shared" si="19"/>
        <v>23</v>
      </c>
      <c r="W27" s="16">
        <f t="shared" si="19"/>
        <v>0</v>
      </c>
      <c r="X27" s="16">
        <f t="shared" si="19"/>
        <v>0</v>
      </c>
      <c r="Y27" s="16">
        <f t="shared" si="19"/>
        <v>29</v>
      </c>
      <c r="Z27" s="16">
        <f t="shared" si="19"/>
        <v>6</v>
      </c>
      <c r="AA27" s="16">
        <f t="shared" si="19"/>
        <v>5</v>
      </c>
      <c r="AB27" s="16">
        <f t="shared" si="19"/>
        <v>0</v>
      </c>
      <c r="AC27" s="16">
        <f t="shared" si="19"/>
        <v>228</v>
      </c>
      <c r="AD27" s="16">
        <f t="shared" si="19"/>
        <v>0</v>
      </c>
      <c r="AE27" s="32">
        <f t="shared" si="19"/>
        <v>104</v>
      </c>
      <c r="AF27" s="32">
        <f t="shared" si="19"/>
        <v>332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20</v>
      </c>
      <c r="N28" s="50">
        <v>0</v>
      </c>
      <c r="O28" s="15">
        <f t="shared" si="0"/>
        <v>7</v>
      </c>
      <c r="P28" s="15">
        <f t="shared" si="1"/>
        <v>27</v>
      </c>
      <c r="R28" s="5" t="s">
        <v>17</v>
      </c>
      <c r="S28" s="16">
        <f t="shared" ref="S28:AF28" si="20">SUM(S10:S21)</f>
        <v>89</v>
      </c>
      <c r="T28" s="16">
        <f t="shared" si="20"/>
        <v>0</v>
      </c>
      <c r="U28" s="16">
        <f t="shared" si="20"/>
        <v>82</v>
      </c>
      <c r="V28" s="16">
        <f t="shared" si="20"/>
        <v>83</v>
      </c>
      <c r="W28" s="16">
        <f t="shared" si="20"/>
        <v>3</v>
      </c>
      <c r="X28" s="16">
        <f t="shared" si="20"/>
        <v>0</v>
      </c>
      <c r="Y28" s="16">
        <f t="shared" si="20"/>
        <v>134</v>
      </c>
      <c r="Z28" s="16">
        <f t="shared" si="20"/>
        <v>25</v>
      </c>
      <c r="AA28" s="16">
        <f t="shared" si="20"/>
        <v>16</v>
      </c>
      <c r="AB28" s="16">
        <f t="shared" si="20"/>
        <v>0</v>
      </c>
      <c r="AC28" s="16">
        <f t="shared" si="20"/>
        <v>912</v>
      </c>
      <c r="AD28" s="16">
        <f t="shared" si="20"/>
        <v>0</v>
      </c>
      <c r="AE28" s="32">
        <f t="shared" si="20"/>
        <v>432</v>
      </c>
      <c r="AF28" s="32">
        <f t="shared" si="20"/>
        <v>1344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3</v>
      </c>
      <c r="F29" s="50">
        <v>2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11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6</v>
      </c>
      <c r="F30" s="50">
        <v>2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0</v>
      </c>
      <c r="M30" s="50">
        <v>23</v>
      </c>
      <c r="N30" s="50">
        <v>0</v>
      </c>
      <c r="O30" s="15">
        <f t="shared" si="0"/>
        <v>15</v>
      </c>
      <c r="P30" s="15">
        <f t="shared" si="1"/>
        <v>38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3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21</v>
      </c>
      <c r="N31" s="50">
        <v>0</v>
      </c>
      <c r="O31" s="15">
        <f t="shared" si="0"/>
        <v>9</v>
      </c>
      <c r="P31" s="15">
        <f t="shared" si="1"/>
        <v>30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5</v>
      </c>
      <c r="J32" s="50">
        <v>1</v>
      </c>
      <c r="K32" s="50">
        <v>2</v>
      </c>
      <c r="L32" s="50">
        <v>0</v>
      </c>
      <c r="M32" s="50">
        <v>23</v>
      </c>
      <c r="N32" s="50">
        <v>0</v>
      </c>
      <c r="O32" s="15">
        <f t="shared" si="0"/>
        <v>11</v>
      </c>
      <c r="P32" s="15">
        <f t="shared" si="1"/>
        <v>34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2</v>
      </c>
      <c r="F33" s="50">
        <v>2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11</v>
      </c>
      <c r="P33" s="15">
        <f t="shared" si="1"/>
        <v>29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11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22</v>
      </c>
      <c r="N35" s="50">
        <v>0</v>
      </c>
      <c r="O35" s="15">
        <f t="shared" si="0"/>
        <v>9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1</v>
      </c>
      <c r="L36" s="50">
        <v>0</v>
      </c>
      <c r="M36" s="50">
        <v>22</v>
      </c>
      <c r="N36" s="50">
        <v>0</v>
      </c>
      <c r="O36" s="15">
        <f t="shared" si="0"/>
        <v>6</v>
      </c>
      <c r="P36" s="15">
        <f t="shared" si="1"/>
        <v>28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4</v>
      </c>
      <c r="J37" s="50">
        <v>1</v>
      </c>
      <c r="K37" s="50">
        <v>2</v>
      </c>
      <c r="L37" s="50">
        <v>0</v>
      </c>
      <c r="M37" s="50">
        <v>17</v>
      </c>
      <c r="N37" s="50">
        <v>0</v>
      </c>
      <c r="O37" s="15">
        <f t="shared" si="0"/>
        <v>12</v>
      </c>
      <c r="P37" s="15">
        <f t="shared" si="1"/>
        <v>29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4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13</v>
      </c>
      <c r="N38" s="50">
        <v>0</v>
      </c>
      <c r="O38" s="15">
        <f t="shared" si="0"/>
        <v>10</v>
      </c>
      <c r="P38" s="15">
        <f t="shared" si="1"/>
        <v>23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8</v>
      </c>
      <c r="P39" s="15">
        <f t="shared" si="1"/>
        <v>22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3</v>
      </c>
      <c r="G40" s="50">
        <v>2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9</v>
      </c>
      <c r="P40" s="15">
        <f t="shared" si="1"/>
        <v>30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3</v>
      </c>
      <c r="G41" s="50">
        <v>0</v>
      </c>
      <c r="H41" s="50">
        <v>0</v>
      </c>
      <c r="I41" s="50">
        <v>2</v>
      </c>
      <c r="J41" s="50">
        <v>3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11</v>
      </c>
      <c r="P41" s="15">
        <f t="shared" si="1"/>
        <v>22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8</v>
      </c>
      <c r="P42" s="15">
        <f t="shared" si="1"/>
        <v>25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3</v>
      </c>
      <c r="G43" s="50">
        <v>0</v>
      </c>
      <c r="H43" s="50">
        <v>0</v>
      </c>
      <c r="I43" s="50">
        <v>7</v>
      </c>
      <c r="J43" s="50">
        <v>0</v>
      </c>
      <c r="K43" s="50">
        <v>0</v>
      </c>
      <c r="L43" s="50">
        <v>0</v>
      </c>
      <c r="M43" s="50">
        <v>13</v>
      </c>
      <c r="N43" s="50">
        <v>0</v>
      </c>
      <c r="O43" s="15">
        <f t="shared" si="0"/>
        <v>12</v>
      </c>
      <c r="P43" s="15">
        <f t="shared" si="1"/>
        <v>25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5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2</v>
      </c>
      <c r="L44" s="50">
        <v>0</v>
      </c>
      <c r="M44" s="50">
        <v>22</v>
      </c>
      <c r="N44" s="50">
        <v>0</v>
      </c>
      <c r="O44" s="15">
        <f t="shared" si="0"/>
        <v>10</v>
      </c>
      <c r="P44" s="15">
        <f t="shared" si="1"/>
        <v>32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13</v>
      </c>
      <c r="N45" s="50">
        <v>0</v>
      </c>
      <c r="O45" s="15">
        <f t="shared" si="0"/>
        <v>8</v>
      </c>
      <c r="P45" s="15">
        <f t="shared" si="1"/>
        <v>21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5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6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9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3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6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2</v>
      </c>
      <c r="F49" s="50">
        <v>3</v>
      </c>
      <c r="G49" s="50">
        <v>0</v>
      </c>
      <c r="H49" s="50">
        <v>0</v>
      </c>
      <c r="I49" s="50">
        <v>7</v>
      </c>
      <c r="J49" s="50">
        <v>1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16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4</v>
      </c>
      <c r="J50" s="50">
        <v>1</v>
      </c>
      <c r="K50" s="50">
        <v>1</v>
      </c>
      <c r="L50" s="50">
        <v>0</v>
      </c>
      <c r="M50" s="50">
        <v>10</v>
      </c>
      <c r="N50" s="50">
        <v>0</v>
      </c>
      <c r="O50" s="15">
        <f t="shared" si="0"/>
        <v>10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3</v>
      </c>
      <c r="F51" s="50">
        <v>5</v>
      </c>
      <c r="G51" s="50">
        <v>0</v>
      </c>
      <c r="H51" s="50">
        <v>0</v>
      </c>
      <c r="I51" s="50">
        <v>0</v>
      </c>
      <c r="J51" s="50">
        <v>1</v>
      </c>
      <c r="K51" s="50">
        <v>3</v>
      </c>
      <c r="L51" s="50">
        <v>0</v>
      </c>
      <c r="M51" s="50">
        <v>21</v>
      </c>
      <c r="N51" s="50">
        <v>0</v>
      </c>
      <c r="O51" s="15">
        <f t="shared" si="0"/>
        <v>15</v>
      </c>
      <c r="P51" s="15">
        <f t="shared" si="1"/>
        <v>36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39</v>
      </c>
      <c r="N52" s="50">
        <v>0</v>
      </c>
      <c r="O52" s="15">
        <f t="shared" si="0"/>
        <v>6</v>
      </c>
      <c r="P52" s="15">
        <f t="shared" si="1"/>
        <v>45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1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1</v>
      </c>
      <c r="L53" s="50">
        <v>0</v>
      </c>
      <c r="M53" s="50">
        <v>34</v>
      </c>
      <c r="N53" s="50">
        <v>0</v>
      </c>
      <c r="O53" s="15">
        <f t="shared" si="0"/>
        <v>10</v>
      </c>
      <c r="P53" s="15">
        <f t="shared" si="1"/>
        <v>44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4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36</v>
      </c>
      <c r="N54" s="50">
        <v>0</v>
      </c>
      <c r="O54" s="15">
        <f t="shared" si="0"/>
        <v>8</v>
      </c>
      <c r="P54" s="15">
        <f t="shared" si="1"/>
        <v>44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18</v>
      </c>
      <c r="N55" s="50">
        <v>0</v>
      </c>
      <c r="O55" s="15">
        <f t="shared" si="0"/>
        <v>2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4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31</v>
      </c>
      <c r="N56" s="50">
        <v>0</v>
      </c>
      <c r="O56" s="15">
        <f t="shared" si="0"/>
        <v>7</v>
      </c>
      <c r="P56" s="15">
        <f t="shared" si="1"/>
        <v>38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3</v>
      </c>
      <c r="F57" s="50">
        <v>1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27</v>
      </c>
      <c r="N57" s="50">
        <v>0</v>
      </c>
      <c r="O57" s="15">
        <f t="shared" si="0"/>
        <v>10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89</v>
      </c>
      <c r="D58" s="16">
        <f t="shared" si="21"/>
        <v>0</v>
      </c>
      <c r="E58" s="16">
        <f t="shared" si="21"/>
        <v>82</v>
      </c>
      <c r="F58" s="16">
        <f t="shared" si="21"/>
        <v>83</v>
      </c>
      <c r="G58" s="16">
        <f t="shared" si="21"/>
        <v>3</v>
      </c>
      <c r="H58" s="16">
        <f t="shared" si="21"/>
        <v>0</v>
      </c>
      <c r="I58" s="16">
        <f t="shared" si="21"/>
        <v>134</v>
      </c>
      <c r="J58" s="16">
        <f t="shared" si="21"/>
        <v>25</v>
      </c>
      <c r="K58" s="16">
        <f t="shared" si="21"/>
        <v>16</v>
      </c>
      <c r="L58" s="16">
        <f t="shared" si="21"/>
        <v>0</v>
      </c>
      <c r="M58" s="16">
        <f t="shared" si="21"/>
        <v>912</v>
      </c>
      <c r="N58" s="16">
        <f t="shared" si="21"/>
        <v>0</v>
      </c>
      <c r="O58" s="16">
        <f t="shared" si="21"/>
        <v>432</v>
      </c>
      <c r="P58" s="16">
        <f t="shared" si="21"/>
        <v>1344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6.6220238095238096E-2</v>
      </c>
      <c r="D59" s="43">
        <f t="shared" si="22"/>
        <v>0</v>
      </c>
      <c r="E59" s="43">
        <f t="shared" si="22"/>
        <v>6.101190476190476E-2</v>
      </c>
      <c r="F59" s="43">
        <f t="shared" si="22"/>
        <v>6.1755952380952384E-2</v>
      </c>
      <c r="G59" s="43">
        <f t="shared" si="22"/>
        <v>2.232142857142857E-3</v>
      </c>
      <c r="H59" s="43">
        <f t="shared" si="22"/>
        <v>0</v>
      </c>
      <c r="I59" s="43">
        <f t="shared" si="22"/>
        <v>9.9702380952380959E-2</v>
      </c>
      <c r="J59" s="43">
        <f t="shared" si="22"/>
        <v>1.8601190476190476E-2</v>
      </c>
      <c r="K59" s="43">
        <f t="shared" si="22"/>
        <v>1.1904761904761904E-2</v>
      </c>
      <c r="L59" s="43">
        <f t="shared" si="22"/>
        <v>0</v>
      </c>
      <c r="M59" s="43">
        <f t="shared" si="22"/>
        <v>0.6785714285714286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0.20601851851851852</v>
      </c>
      <c r="D60" s="44">
        <f t="shared" ref="D60:N60" si="23">D58/$O$58</f>
        <v>0</v>
      </c>
      <c r="E60" s="44">
        <f t="shared" si="23"/>
        <v>0.18981481481481483</v>
      </c>
      <c r="F60" s="44">
        <f t="shared" si="23"/>
        <v>0.19212962962962962</v>
      </c>
      <c r="G60" s="44">
        <f t="shared" si="23"/>
        <v>6.9444444444444441E-3</v>
      </c>
      <c r="H60" s="44">
        <f t="shared" si="23"/>
        <v>0</v>
      </c>
      <c r="I60" s="44">
        <f t="shared" si="23"/>
        <v>0.31018518518518517</v>
      </c>
      <c r="J60" s="44">
        <f t="shared" si="23"/>
        <v>5.7870370370370371E-2</v>
      </c>
      <c r="K60" s="44">
        <f t="shared" si="23"/>
        <v>3.7037037037037035E-2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3" t="str">
        <f>'20.08 KAPEKA-MATUGA'!G5:H5</f>
        <v>Kapeeka</v>
      </c>
      <c r="H5" s="64"/>
      <c r="I5" s="14"/>
      <c r="J5" s="2" t="s">
        <v>5</v>
      </c>
      <c r="K5" s="63" t="str">
        <f>'20.08 KAPEKA-MATUGA'!K5:L5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164</v>
      </c>
      <c r="H6" s="58"/>
      <c r="J6" s="2" t="s">
        <v>21</v>
      </c>
      <c r="K6" s="63" t="str">
        <f>'20.08 KAPEKA-MATUGA'!K6:L6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2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47</v>
      </c>
      <c r="AD10" s="17">
        <f t="shared" si="2"/>
        <v>0</v>
      </c>
      <c r="AE10" s="31">
        <f t="shared" si="2"/>
        <v>14</v>
      </c>
      <c r="AF10" s="31">
        <f t="shared" si="2"/>
        <v>61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3</v>
      </c>
      <c r="P11" s="15">
        <f t="shared" si="1"/>
        <v>8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3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65</v>
      </c>
      <c r="AD11" s="17">
        <f t="shared" si="3"/>
        <v>0</v>
      </c>
      <c r="AE11" s="31">
        <f t="shared" si="3"/>
        <v>25</v>
      </c>
      <c r="AF11" s="31">
        <f t="shared" si="3"/>
        <v>90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17</v>
      </c>
      <c r="N12" s="50">
        <v>0</v>
      </c>
      <c r="O12" s="15">
        <f t="shared" si="0"/>
        <v>3</v>
      </c>
      <c r="P12" s="15">
        <f t="shared" si="1"/>
        <v>20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3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81</v>
      </c>
      <c r="AD12" s="17">
        <f t="shared" si="4"/>
        <v>0</v>
      </c>
      <c r="AE12" s="31">
        <f t="shared" si="4"/>
        <v>22</v>
      </c>
      <c r="AF12" s="31">
        <f t="shared" si="4"/>
        <v>103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4</v>
      </c>
      <c r="P13" s="15">
        <f t="shared" si="1"/>
        <v>19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4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77</v>
      </c>
      <c r="AD13" s="17">
        <f t="shared" si="5"/>
        <v>0</v>
      </c>
      <c r="AE13" s="31">
        <f t="shared" si="5"/>
        <v>23</v>
      </c>
      <c r="AF13" s="31">
        <f t="shared" si="5"/>
        <v>100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6</v>
      </c>
      <c r="P14" s="15">
        <f t="shared" si="1"/>
        <v>19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5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2</v>
      </c>
      <c r="AA14" s="17">
        <f t="shared" si="6"/>
        <v>3</v>
      </c>
      <c r="AB14" s="17">
        <f t="shared" si="6"/>
        <v>0</v>
      </c>
      <c r="AC14" s="17">
        <f t="shared" si="6"/>
        <v>96</v>
      </c>
      <c r="AD14" s="17">
        <f t="shared" si="6"/>
        <v>0</v>
      </c>
      <c r="AE14" s="31">
        <f t="shared" si="6"/>
        <v>29</v>
      </c>
      <c r="AF14" s="31">
        <f t="shared" si="6"/>
        <v>125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2</v>
      </c>
      <c r="P15" s="15">
        <f t="shared" si="1"/>
        <v>22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10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3</v>
      </c>
      <c r="AA15" s="17">
        <f t="shared" si="7"/>
        <v>3</v>
      </c>
      <c r="AB15" s="17">
        <f t="shared" si="7"/>
        <v>0</v>
      </c>
      <c r="AC15" s="17">
        <f t="shared" si="7"/>
        <v>78</v>
      </c>
      <c r="AD15" s="17">
        <f t="shared" si="7"/>
        <v>0</v>
      </c>
      <c r="AE15" s="31">
        <f t="shared" si="7"/>
        <v>41</v>
      </c>
      <c r="AF15" s="31">
        <f t="shared" si="7"/>
        <v>119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2</v>
      </c>
      <c r="F16" s="50">
        <v>2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10</v>
      </c>
      <c r="P16" s="15">
        <f t="shared" si="1"/>
        <v>24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11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71</v>
      </c>
      <c r="AD16" s="17">
        <f t="shared" si="8"/>
        <v>0</v>
      </c>
      <c r="AE16" s="31">
        <f t="shared" si="8"/>
        <v>42</v>
      </c>
      <c r="AF16" s="31">
        <f t="shared" si="8"/>
        <v>113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18</v>
      </c>
      <c r="N17" s="50">
        <v>0</v>
      </c>
      <c r="O17" s="15">
        <f t="shared" si="0"/>
        <v>7</v>
      </c>
      <c r="P17" s="15">
        <f t="shared" si="1"/>
        <v>25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8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76</v>
      </c>
      <c r="AD17" s="17">
        <f t="shared" si="9"/>
        <v>0</v>
      </c>
      <c r="AE17" s="31">
        <f t="shared" si="9"/>
        <v>37</v>
      </c>
      <c r="AF17" s="31">
        <f t="shared" si="9"/>
        <v>113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20</v>
      </c>
      <c r="N18" s="50">
        <v>0</v>
      </c>
      <c r="O18" s="15">
        <f t="shared" si="0"/>
        <v>5</v>
      </c>
      <c r="P18" s="15">
        <f t="shared" si="1"/>
        <v>25</v>
      </c>
      <c r="R18" s="1" t="s">
        <v>14</v>
      </c>
      <c r="S18" s="17">
        <f t="shared" ref="S18:AF18" si="10">SUM(C42:C45)</f>
        <v>9</v>
      </c>
      <c r="T18" s="17">
        <f t="shared" si="10"/>
        <v>0</v>
      </c>
      <c r="U18" s="17">
        <f t="shared" si="10"/>
        <v>14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85</v>
      </c>
      <c r="AD18" s="17">
        <f t="shared" si="10"/>
        <v>0</v>
      </c>
      <c r="AE18" s="31">
        <f t="shared" si="10"/>
        <v>40</v>
      </c>
      <c r="AF18" s="31">
        <f t="shared" si="10"/>
        <v>125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3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21</v>
      </c>
      <c r="N19" s="50">
        <v>0</v>
      </c>
      <c r="O19" s="15">
        <f t="shared" si="0"/>
        <v>8</v>
      </c>
      <c r="P19" s="15">
        <f t="shared" si="1"/>
        <v>29</v>
      </c>
      <c r="R19" s="1" t="s">
        <v>15</v>
      </c>
      <c r="S19" s="17">
        <f t="shared" ref="S19:AF19" si="11">SUM(C46:C49)</f>
        <v>9</v>
      </c>
      <c r="T19" s="17">
        <f t="shared" si="11"/>
        <v>0</v>
      </c>
      <c r="U19" s="17">
        <f t="shared" si="11"/>
        <v>10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4</v>
      </c>
      <c r="AD19" s="17">
        <f t="shared" si="11"/>
        <v>0</v>
      </c>
      <c r="AE19" s="31">
        <f t="shared" si="11"/>
        <v>37</v>
      </c>
      <c r="AF19" s="31">
        <f t="shared" si="11"/>
        <v>41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7</v>
      </c>
      <c r="P20" s="15">
        <f t="shared" si="1"/>
        <v>26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15</v>
      </c>
      <c r="V20" s="17">
        <f t="shared" si="12"/>
        <v>8</v>
      </c>
      <c r="W20" s="17">
        <f t="shared" si="12"/>
        <v>1</v>
      </c>
      <c r="X20" s="17">
        <f t="shared" si="12"/>
        <v>0</v>
      </c>
      <c r="Y20" s="17">
        <f t="shared" si="12"/>
        <v>9</v>
      </c>
      <c r="Z20" s="17">
        <f t="shared" si="12"/>
        <v>3</v>
      </c>
      <c r="AA20" s="17">
        <f t="shared" si="12"/>
        <v>2</v>
      </c>
      <c r="AB20" s="17">
        <f t="shared" si="12"/>
        <v>0</v>
      </c>
      <c r="AC20" s="17">
        <f t="shared" si="12"/>
        <v>100</v>
      </c>
      <c r="AD20" s="17">
        <f t="shared" si="12"/>
        <v>0</v>
      </c>
      <c r="AE20" s="31">
        <f t="shared" si="12"/>
        <v>52</v>
      </c>
      <c r="AF20" s="31">
        <f t="shared" si="12"/>
        <v>152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21</v>
      </c>
      <c r="N21" s="50">
        <v>0</v>
      </c>
      <c r="O21" s="15">
        <f t="shared" si="0"/>
        <v>2</v>
      </c>
      <c r="P21" s="15">
        <f t="shared" si="1"/>
        <v>23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3</v>
      </c>
      <c r="V21" s="17">
        <f t="shared" si="13"/>
        <v>9</v>
      </c>
      <c r="W21" s="17">
        <f t="shared" si="13"/>
        <v>1</v>
      </c>
      <c r="X21" s="17">
        <f t="shared" si="13"/>
        <v>0</v>
      </c>
      <c r="Y21" s="17">
        <f t="shared" si="13"/>
        <v>18</v>
      </c>
      <c r="Z21" s="17">
        <f t="shared" si="13"/>
        <v>0</v>
      </c>
      <c r="AA21" s="17">
        <f t="shared" si="13"/>
        <v>3</v>
      </c>
      <c r="AB21" s="17">
        <f t="shared" si="13"/>
        <v>0</v>
      </c>
      <c r="AC21" s="17">
        <f t="shared" si="13"/>
        <v>113</v>
      </c>
      <c r="AD21" s="17">
        <f t="shared" si="13"/>
        <v>0</v>
      </c>
      <c r="AE21" s="31">
        <f t="shared" si="13"/>
        <v>42</v>
      </c>
      <c r="AF21" s="31">
        <f t="shared" si="13"/>
        <v>155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3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6</v>
      </c>
      <c r="P22" s="15">
        <f t="shared" si="1"/>
        <v>25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6</v>
      </c>
      <c r="W22" s="39">
        <f t="shared" si="14"/>
        <v>0</v>
      </c>
      <c r="X22" s="39">
        <f t="shared" si="14"/>
        <v>0</v>
      </c>
      <c r="Y22" s="39">
        <f t="shared" si="14"/>
        <v>9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81</v>
      </c>
      <c r="AD22" s="39">
        <f t="shared" si="14"/>
        <v>0</v>
      </c>
      <c r="AE22" s="40">
        <f t="shared" si="14"/>
        <v>25</v>
      </c>
      <c r="AF22" s="40">
        <f t="shared" si="14"/>
        <v>103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24</v>
      </c>
      <c r="N23" s="50">
        <v>0</v>
      </c>
      <c r="O23" s="15">
        <f t="shared" si="0"/>
        <v>6</v>
      </c>
      <c r="P23" s="15">
        <f t="shared" si="1"/>
        <v>30</v>
      </c>
      <c r="R23" s="38" t="s">
        <v>91</v>
      </c>
      <c r="S23" s="39">
        <f>MAX(S13:S18)</f>
        <v>10</v>
      </c>
      <c r="T23" s="39">
        <f t="shared" ref="T23:AF23" si="15">MAX(T13:T18)</f>
        <v>0</v>
      </c>
      <c r="U23" s="39">
        <f t="shared" si="15"/>
        <v>14</v>
      </c>
      <c r="V23" s="39">
        <f t="shared" si="15"/>
        <v>9</v>
      </c>
      <c r="W23" s="39">
        <f t="shared" si="15"/>
        <v>0</v>
      </c>
      <c r="X23" s="39">
        <f t="shared" si="15"/>
        <v>0</v>
      </c>
      <c r="Y23" s="39">
        <f t="shared" si="15"/>
        <v>12</v>
      </c>
      <c r="Z23" s="39">
        <f t="shared" si="15"/>
        <v>3</v>
      </c>
      <c r="AA23" s="39">
        <f t="shared" si="15"/>
        <v>3</v>
      </c>
      <c r="AB23" s="39">
        <f t="shared" si="15"/>
        <v>0</v>
      </c>
      <c r="AC23" s="39">
        <f t="shared" si="15"/>
        <v>96</v>
      </c>
      <c r="AD23" s="39">
        <f t="shared" si="15"/>
        <v>0</v>
      </c>
      <c r="AE23" s="40">
        <f t="shared" si="15"/>
        <v>42</v>
      </c>
      <c r="AF23" s="40">
        <f t="shared" si="15"/>
        <v>125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21</v>
      </c>
      <c r="N24" s="50">
        <v>0</v>
      </c>
      <c r="O24" s="15">
        <f t="shared" si="0"/>
        <v>5</v>
      </c>
      <c r="P24" s="15">
        <f t="shared" si="1"/>
        <v>26</v>
      </c>
      <c r="R24" s="38" t="s">
        <v>92</v>
      </c>
      <c r="S24" s="39">
        <f>MAX(S19:S21)</f>
        <v>14</v>
      </c>
      <c r="T24" s="39">
        <f t="shared" ref="T24:AF24" si="16">MAX(T19:T21)</f>
        <v>0</v>
      </c>
      <c r="U24" s="39">
        <f t="shared" si="16"/>
        <v>15</v>
      </c>
      <c r="V24" s="39">
        <f t="shared" si="16"/>
        <v>9</v>
      </c>
      <c r="W24" s="39">
        <f t="shared" si="16"/>
        <v>1</v>
      </c>
      <c r="X24" s="39">
        <f t="shared" si="16"/>
        <v>0</v>
      </c>
      <c r="Y24" s="39">
        <f t="shared" si="16"/>
        <v>18</v>
      </c>
      <c r="Z24" s="39">
        <f t="shared" si="16"/>
        <v>3</v>
      </c>
      <c r="AA24" s="39">
        <f t="shared" si="16"/>
        <v>3</v>
      </c>
      <c r="AB24" s="39">
        <f t="shared" si="16"/>
        <v>0</v>
      </c>
      <c r="AC24" s="39">
        <f t="shared" si="16"/>
        <v>113</v>
      </c>
      <c r="AD24" s="39">
        <f t="shared" si="16"/>
        <v>0</v>
      </c>
      <c r="AE24" s="40">
        <f t="shared" si="16"/>
        <v>52</v>
      </c>
      <c r="AF24" s="40">
        <f t="shared" si="16"/>
        <v>155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13</v>
      </c>
      <c r="N25" s="50">
        <v>0</v>
      </c>
      <c r="O25" s="15">
        <f t="shared" si="0"/>
        <v>6</v>
      </c>
      <c r="P25" s="15">
        <f t="shared" si="1"/>
        <v>19</v>
      </c>
      <c r="R25" s="37" t="s">
        <v>85</v>
      </c>
      <c r="S25" s="35">
        <f t="shared" ref="S25:AF25" si="17">SUM(S10:S12)</f>
        <v>12</v>
      </c>
      <c r="T25" s="16">
        <f t="shared" si="17"/>
        <v>0</v>
      </c>
      <c r="U25" s="16">
        <f t="shared" si="17"/>
        <v>8</v>
      </c>
      <c r="V25" s="16">
        <f t="shared" si="17"/>
        <v>16</v>
      </c>
      <c r="W25" s="16">
        <f t="shared" si="17"/>
        <v>0</v>
      </c>
      <c r="X25" s="16">
        <f t="shared" si="17"/>
        <v>0</v>
      </c>
      <c r="Y25" s="16">
        <f t="shared" si="17"/>
        <v>19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193</v>
      </c>
      <c r="AD25" s="16">
        <f t="shared" si="17"/>
        <v>0</v>
      </c>
      <c r="AE25" s="32">
        <f t="shared" si="17"/>
        <v>61</v>
      </c>
      <c r="AF25" s="32">
        <f t="shared" si="17"/>
        <v>254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3</v>
      </c>
      <c r="J26" s="50">
        <v>0</v>
      </c>
      <c r="K26" s="50">
        <v>1</v>
      </c>
      <c r="L26" s="50">
        <v>0</v>
      </c>
      <c r="M26" s="50">
        <v>26</v>
      </c>
      <c r="N26" s="50">
        <v>0</v>
      </c>
      <c r="O26" s="15">
        <f t="shared" si="0"/>
        <v>7</v>
      </c>
      <c r="P26" s="15">
        <f t="shared" si="1"/>
        <v>33</v>
      </c>
      <c r="R26" s="28" t="s">
        <v>86</v>
      </c>
      <c r="S26" s="16">
        <f t="shared" ref="S26:AF26" si="18">SUM(S13:S18)</f>
        <v>44</v>
      </c>
      <c r="T26" s="16">
        <f t="shared" si="18"/>
        <v>0</v>
      </c>
      <c r="U26" s="16">
        <f t="shared" si="18"/>
        <v>52</v>
      </c>
      <c r="V26" s="16">
        <f t="shared" si="18"/>
        <v>40</v>
      </c>
      <c r="W26" s="16">
        <f t="shared" si="18"/>
        <v>0</v>
      </c>
      <c r="X26" s="16">
        <f t="shared" si="18"/>
        <v>0</v>
      </c>
      <c r="Y26" s="16">
        <f t="shared" si="18"/>
        <v>54</v>
      </c>
      <c r="Z26" s="16">
        <f t="shared" si="18"/>
        <v>11</v>
      </c>
      <c r="AA26" s="16">
        <f t="shared" si="18"/>
        <v>11</v>
      </c>
      <c r="AB26" s="16">
        <f t="shared" si="18"/>
        <v>0</v>
      </c>
      <c r="AC26" s="16">
        <f t="shared" si="18"/>
        <v>483</v>
      </c>
      <c r="AD26" s="16">
        <f t="shared" si="18"/>
        <v>0</v>
      </c>
      <c r="AE26" s="32">
        <f t="shared" si="18"/>
        <v>212</v>
      </c>
      <c r="AF26" s="32">
        <f t="shared" si="18"/>
        <v>695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1</v>
      </c>
      <c r="L27" s="50">
        <v>0</v>
      </c>
      <c r="M27" s="50">
        <v>18</v>
      </c>
      <c r="N27" s="50">
        <v>0</v>
      </c>
      <c r="O27" s="15">
        <f t="shared" si="0"/>
        <v>5</v>
      </c>
      <c r="P27" s="15">
        <f t="shared" si="1"/>
        <v>23</v>
      </c>
      <c r="R27" s="29" t="s">
        <v>87</v>
      </c>
      <c r="S27" s="16">
        <f t="shared" ref="S27:AF27" si="19">SUM(S19:S21)</f>
        <v>31</v>
      </c>
      <c r="T27" s="16">
        <f t="shared" si="19"/>
        <v>0</v>
      </c>
      <c r="U27" s="16">
        <f t="shared" si="19"/>
        <v>28</v>
      </c>
      <c r="V27" s="16">
        <f t="shared" si="19"/>
        <v>25</v>
      </c>
      <c r="W27" s="16">
        <f t="shared" si="19"/>
        <v>2</v>
      </c>
      <c r="X27" s="16">
        <f t="shared" si="19"/>
        <v>0</v>
      </c>
      <c r="Y27" s="16">
        <f t="shared" si="19"/>
        <v>35</v>
      </c>
      <c r="Z27" s="16">
        <f t="shared" si="19"/>
        <v>3</v>
      </c>
      <c r="AA27" s="16">
        <f t="shared" si="19"/>
        <v>7</v>
      </c>
      <c r="AB27" s="16">
        <f t="shared" si="19"/>
        <v>0</v>
      </c>
      <c r="AC27" s="16">
        <f t="shared" si="19"/>
        <v>217</v>
      </c>
      <c r="AD27" s="16">
        <f t="shared" si="19"/>
        <v>0</v>
      </c>
      <c r="AE27" s="32">
        <f t="shared" si="19"/>
        <v>131</v>
      </c>
      <c r="AF27" s="32">
        <f t="shared" si="19"/>
        <v>348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3</v>
      </c>
      <c r="F28" s="50">
        <v>1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9</v>
      </c>
      <c r="P28" s="15">
        <f t="shared" si="1"/>
        <v>41</v>
      </c>
      <c r="R28" s="5" t="s">
        <v>17</v>
      </c>
      <c r="S28" s="16">
        <f t="shared" ref="S28:AF28" si="20">SUM(S10:S21)</f>
        <v>87</v>
      </c>
      <c r="T28" s="16">
        <f t="shared" si="20"/>
        <v>0</v>
      </c>
      <c r="U28" s="16">
        <f t="shared" si="20"/>
        <v>88</v>
      </c>
      <c r="V28" s="16">
        <f t="shared" si="20"/>
        <v>81</v>
      </c>
      <c r="W28" s="16">
        <f t="shared" si="20"/>
        <v>2</v>
      </c>
      <c r="X28" s="16">
        <f t="shared" si="20"/>
        <v>0</v>
      </c>
      <c r="Y28" s="16">
        <f t="shared" si="20"/>
        <v>108</v>
      </c>
      <c r="Z28" s="16">
        <f t="shared" si="20"/>
        <v>20</v>
      </c>
      <c r="AA28" s="16">
        <f t="shared" si="20"/>
        <v>18</v>
      </c>
      <c r="AB28" s="16">
        <f t="shared" si="20"/>
        <v>0</v>
      </c>
      <c r="AC28" s="16">
        <f t="shared" si="20"/>
        <v>893</v>
      </c>
      <c r="AD28" s="16">
        <f t="shared" si="20"/>
        <v>0</v>
      </c>
      <c r="AE28" s="32">
        <f t="shared" si="20"/>
        <v>404</v>
      </c>
      <c r="AF28" s="32">
        <f t="shared" si="20"/>
        <v>1297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4</v>
      </c>
      <c r="J29" s="50">
        <v>0</v>
      </c>
      <c r="K29" s="50">
        <v>1</v>
      </c>
      <c r="L29" s="50">
        <v>0</v>
      </c>
      <c r="M29" s="50">
        <v>20</v>
      </c>
      <c r="N29" s="50">
        <v>0</v>
      </c>
      <c r="O29" s="15">
        <f t="shared" si="0"/>
        <v>8</v>
      </c>
      <c r="P29" s="15">
        <f t="shared" si="1"/>
        <v>28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3</v>
      </c>
      <c r="F30" s="50">
        <v>2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24</v>
      </c>
      <c r="N30" s="50">
        <v>0</v>
      </c>
      <c r="O30" s="15">
        <f t="shared" si="0"/>
        <v>8</v>
      </c>
      <c r="P30" s="15">
        <f t="shared" si="1"/>
        <v>32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7</v>
      </c>
      <c r="P31" s="15">
        <f t="shared" si="1"/>
        <v>27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6</v>
      </c>
      <c r="P32" s="15">
        <f t="shared" si="1"/>
        <v>24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6</v>
      </c>
      <c r="F33" s="50">
        <v>2</v>
      </c>
      <c r="G33" s="50">
        <v>0</v>
      </c>
      <c r="H33" s="50">
        <v>0</v>
      </c>
      <c r="I33" s="50">
        <v>4</v>
      </c>
      <c r="J33" s="50">
        <v>1</v>
      </c>
      <c r="K33" s="50">
        <v>3</v>
      </c>
      <c r="L33" s="50">
        <v>0</v>
      </c>
      <c r="M33" s="50">
        <v>16</v>
      </c>
      <c r="N33" s="50">
        <v>0</v>
      </c>
      <c r="O33" s="15">
        <f t="shared" si="0"/>
        <v>20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4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9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4</v>
      </c>
      <c r="F35" s="50">
        <v>4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19</v>
      </c>
      <c r="N35" s="50">
        <v>0</v>
      </c>
      <c r="O35" s="15">
        <f t="shared" si="0"/>
        <v>14</v>
      </c>
      <c r="P35" s="15">
        <f t="shared" si="1"/>
        <v>33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21</v>
      </c>
      <c r="N36" s="50">
        <v>0</v>
      </c>
      <c r="O36" s="15">
        <f t="shared" si="0"/>
        <v>7</v>
      </c>
      <c r="P36" s="15">
        <f t="shared" si="1"/>
        <v>28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2</v>
      </c>
      <c r="F37" s="50">
        <v>3</v>
      </c>
      <c r="G37" s="50">
        <v>0</v>
      </c>
      <c r="H37" s="50">
        <v>0</v>
      </c>
      <c r="I37" s="50">
        <v>3</v>
      </c>
      <c r="J37" s="50">
        <v>1</v>
      </c>
      <c r="K37" s="50">
        <v>1</v>
      </c>
      <c r="L37" s="50">
        <v>0</v>
      </c>
      <c r="M37" s="50">
        <v>16</v>
      </c>
      <c r="N37" s="50">
        <v>0</v>
      </c>
      <c r="O37" s="15">
        <f t="shared" si="0"/>
        <v>12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14</v>
      </c>
      <c r="N38" s="50">
        <v>0</v>
      </c>
      <c r="O38" s="15">
        <f t="shared" si="0"/>
        <v>6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3</v>
      </c>
      <c r="J39" s="50">
        <v>0</v>
      </c>
      <c r="K39" s="50">
        <v>2</v>
      </c>
      <c r="L39" s="50">
        <v>0</v>
      </c>
      <c r="M39" s="50">
        <v>29</v>
      </c>
      <c r="N39" s="50">
        <v>0</v>
      </c>
      <c r="O39" s="15">
        <f t="shared" si="0"/>
        <v>11</v>
      </c>
      <c r="P39" s="15">
        <f t="shared" si="1"/>
        <v>40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4</v>
      </c>
      <c r="F40" s="50">
        <v>2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20</v>
      </c>
      <c r="N40" s="50">
        <v>0</v>
      </c>
      <c r="O40" s="15">
        <f t="shared" si="0"/>
        <v>10</v>
      </c>
      <c r="P40" s="15">
        <f t="shared" si="1"/>
        <v>30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10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5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20</v>
      </c>
      <c r="N42" s="50">
        <v>0</v>
      </c>
      <c r="O42" s="15">
        <f t="shared" si="0"/>
        <v>12</v>
      </c>
      <c r="P42" s="15">
        <f t="shared" si="1"/>
        <v>32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4</v>
      </c>
      <c r="F43" s="50">
        <v>2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24</v>
      </c>
      <c r="N43" s="50">
        <v>0</v>
      </c>
      <c r="O43" s="15">
        <f t="shared" si="0"/>
        <v>10</v>
      </c>
      <c r="P43" s="15">
        <f t="shared" si="1"/>
        <v>34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3</v>
      </c>
      <c r="F44" s="50">
        <v>3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27</v>
      </c>
      <c r="N44" s="50">
        <v>0</v>
      </c>
      <c r="O44" s="15">
        <f t="shared" si="0"/>
        <v>11</v>
      </c>
      <c r="P44" s="15">
        <f t="shared" si="1"/>
        <v>38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14</v>
      </c>
      <c r="N45" s="50">
        <v>0</v>
      </c>
      <c r="O45" s="15">
        <f t="shared" si="0"/>
        <v>7</v>
      </c>
      <c r="P45" s="15">
        <f t="shared" si="1"/>
        <v>21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2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2</v>
      </c>
      <c r="L46" s="50">
        <v>0</v>
      </c>
      <c r="M46" s="50">
        <v>0</v>
      </c>
      <c r="N46" s="50">
        <v>0</v>
      </c>
      <c r="O46" s="15">
        <f t="shared" si="0"/>
        <v>8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4</v>
      </c>
      <c r="F47" s="50">
        <v>5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17</v>
      </c>
      <c r="P47" s="15">
        <f t="shared" si="1"/>
        <v>19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7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3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5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3</v>
      </c>
      <c r="F50" s="50">
        <v>1</v>
      </c>
      <c r="G50" s="50">
        <v>0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5</v>
      </c>
      <c r="N50" s="50">
        <v>0</v>
      </c>
      <c r="O50" s="15">
        <f t="shared" si="0"/>
        <v>12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3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31</v>
      </c>
      <c r="N51" s="50">
        <v>0</v>
      </c>
      <c r="O51" s="15">
        <f t="shared" si="0"/>
        <v>8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8</v>
      </c>
      <c r="F52" s="50">
        <v>2</v>
      </c>
      <c r="G52" s="50">
        <v>1</v>
      </c>
      <c r="H52" s="50">
        <v>0</v>
      </c>
      <c r="I52" s="50">
        <v>4</v>
      </c>
      <c r="J52" s="50">
        <v>0</v>
      </c>
      <c r="K52" s="50">
        <v>1</v>
      </c>
      <c r="L52" s="50">
        <v>0</v>
      </c>
      <c r="M52" s="50">
        <v>32</v>
      </c>
      <c r="N52" s="50">
        <v>0</v>
      </c>
      <c r="O52" s="15">
        <f t="shared" si="0"/>
        <v>20</v>
      </c>
      <c r="P52" s="15">
        <f t="shared" si="1"/>
        <v>52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1</v>
      </c>
      <c r="L53" s="50">
        <v>0</v>
      </c>
      <c r="M53" s="50">
        <v>32</v>
      </c>
      <c r="N53" s="50">
        <v>0</v>
      </c>
      <c r="O53" s="15">
        <f t="shared" si="0"/>
        <v>12</v>
      </c>
      <c r="P53" s="15">
        <f t="shared" si="1"/>
        <v>44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2</v>
      </c>
      <c r="G54" s="50">
        <v>1</v>
      </c>
      <c r="H54" s="50">
        <v>0</v>
      </c>
      <c r="I54" s="50">
        <v>5</v>
      </c>
      <c r="J54" s="50">
        <v>0</v>
      </c>
      <c r="K54" s="50">
        <v>2</v>
      </c>
      <c r="L54" s="50">
        <v>0</v>
      </c>
      <c r="M54" s="50">
        <v>32</v>
      </c>
      <c r="N54" s="50">
        <v>0</v>
      </c>
      <c r="O54" s="15">
        <f t="shared" si="0"/>
        <v>12</v>
      </c>
      <c r="P54" s="15">
        <f t="shared" si="1"/>
        <v>44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27</v>
      </c>
      <c r="N55" s="50">
        <v>0</v>
      </c>
      <c r="O55" s="15">
        <f t="shared" si="0"/>
        <v>6</v>
      </c>
      <c r="P55" s="15">
        <f t="shared" si="1"/>
        <v>33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1</v>
      </c>
      <c r="F56" s="50">
        <v>4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32</v>
      </c>
      <c r="N56" s="50">
        <v>0</v>
      </c>
      <c r="O56" s="15">
        <f t="shared" si="0"/>
        <v>11</v>
      </c>
      <c r="P56" s="15">
        <f t="shared" si="1"/>
        <v>43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8</v>
      </c>
      <c r="J57" s="50">
        <v>0</v>
      </c>
      <c r="K57" s="50">
        <v>1</v>
      </c>
      <c r="L57" s="50">
        <v>0</v>
      </c>
      <c r="M57" s="50">
        <v>22</v>
      </c>
      <c r="N57" s="50">
        <v>0</v>
      </c>
      <c r="O57" s="15">
        <f t="shared" si="0"/>
        <v>13</v>
      </c>
      <c r="P57" s="15">
        <f t="shared" si="1"/>
        <v>35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87</v>
      </c>
      <c r="D58" s="16">
        <f t="shared" si="21"/>
        <v>0</v>
      </c>
      <c r="E58" s="16">
        <f t="shared" si="21"/>
        <v>88</v>
      </c>
      <c r="F58" s="16">
        <f t="shared" si="21"/>
        <v>81</v>
      </c>
      <c r="G58" s="16">
        <f t="shared" si="21"/>
        <v>2</v>
      </c>
      <c r="H58" s="16">
        <f t="shared" si="21"/>
        <v>0</v>
      </c>
      <c r="I58" s="16">
        <f t="shared" si="21"/>
        <v>108</v>
      </c>
      <c r="J58" s="16">
        <f t="shared" si="21"/>
        <v>20</v>
      </c>
      <c r="K58" s="16">
        <f t="shared" si="21"/>
        <v>18</v>
      </c>
      <c r="L58" s="16">
        <f t="shared" si="21"/>
        <v>0</v>
      </c>
      <c r="M58" s="16">
        <f t="shared" si="21"/>
        <v>893</v>
      </c>
      <c r="N58" s="16">
        <f t="shared" si="21"/>
        <v>0</v>
      </c>
      <c r="O58" s="16">
        <f t="shared" si="21"/>
        <v>404</v>
      </c>
      <c r="P58" s="16">
        <f t="shared" si="21"/>
        <v>1297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6.7077872012336157E-2</v>
      </c>
      <c r="D59" s="43">
        <f t="shared" si="22"/>
        <v>0</v>
      </c>
      <c r="E59" s="43">
        <f t="shared" si="22"/>
        <v>6.7848882035466462E-2</v>
      </c>
      <c r="F59" s="43">
        <f t="shared" si="22"/>
        <v>6.2451811873554357E-2</v>
      </c>
      <c r="G59" s="43">
        <f t="shared" si="22"/>
        <v>1.5420200462606013E-3</v>
      </c>
      <c r="H59" s="43">
        <f t="shared" si="22"/>
        <v>0</v>
      </c>
      <c r="I59" s="43">
        <f t="shared" si="22"/>
        <v>8.326908249807248E-2</v>
      </c>
      <c r="J59" s="43">
        <f t="shared" si="22"/>
        <v>1.5420200462606014E-2</v>
      </c>
      <c r="K59" s="43">
        <f t="shared" si="22"/>
        <v>1.3878180416345412E-2</v>
      </c>
      <c r="L59" s="43">
        <f t="shared" si="22"/>
        <v>0</v>
      </c>
      <c r="M59" s="43">
        <f t="shared" si="22"/>
        <v>0.68851195065535853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0.21534653465346534</v>
      </c>
      <c r="D60" s="44">
        <f t="shared" ref="D60:N60" si="23">D58/$O$58</f>
        <v>0</v>
      </c>
      <c r="E60" s="44">
        <f t="shared" si="23"/>
        <v>0.21782178217821782</v>
      </c>
      <c r="F60" s="44">
        <f t="shared" si="23"/>
        <v>0.20049504950495051</v>
      </c>
      <c r="G60" s="44">
        <f t="shared" si="23"/>
        <v>4.9504950495049506E-3</v>
      </c>
      <c r="H60" s="44">
        <f t="shared" si="23"/>
        <v>0</v>
      </c>
      <c r="I60" s="44">
        <f t="shared" si="23"/>
        <v>0.26732673267326734</v>
      </c>
      <c r="J60" s="44">
        <f t="shared" si="23"/>
        <v>4.9504950495049507E-2</v>
      </c>
      <c r="K60" s="44">
        <f t="shared" si="23"/>
        <v>4.4554455445544552E-2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I4" sqref="I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6" t="str">
        <f>'20.08 KAPEKA-MATUGA'!G5:H5</f>
        <v>Kapeeka</v>
      </c>
      <c r="H5" s="67"/>
      <c r="I5" s="14"/>
      <c r="J5" s="2" t="s">
        <v>5</v>
      </c>
      <c r="K5" s="66" t="str">
        <f>'20.08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KAPEKA-MATUGA'!D6:E6</f>
        <v>KAPEKA</v>
      </c>
      <c r="E6" s="67"/>
      <c r="F6" s="2" t="s">
        <v>2</v>
      </c>
      <c r="G6" s="66" t="str">
        <f>'20.08 KAPEKA-MATUGA'!G6:H6</f>
        <v>MATUGA</v>
      </c>
      <c r="H6" s="67"/>
      <c r="J6" s="2" t="s">
        <v>21</v>
      </c>
      <c r="K6" s="66" t="str">
        <f>'20.08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16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20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5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4</v>
      </c>
      <c r="AC10" s="17">
        <f t="shared" si="2"/>
        <v>57</v>
      </c>
      <c r="AD10" s="17">
        <f t="shared" si="2"/>
        <v>0</v>
      </c>
      <c r="AE10" s="31">
        <f t="shared" si="2"/>
        <v>24</v>
      </c>
      <c r="AF10" s="31">
        <f t="shared" si="2"/>
        <v>81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15</v>
      </c>
      <c r="N11" s="50">
        <v>0</v>
      </c>
      <c r="O11" s="15">
        <f t="shared" si="0"/>
        <v>3</v>
      </c>
      <c r="P11" s="15">
        <f t="shared" si="1"/>
        <v>18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7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15</v>
      </c>
      <c r="Z11" s="17">
        <f t="shared" si="3"/>
        <v>0</v>
      </c>
      <c r="AA11" s="17">
        <f t="shared" si="3"/>
        <v>2</v>
      </c>
      <c r="AB11" s="17">
        <f t="shared" si="3"/>
        <v>4</v>
      </c>
      <c r="AC11" s="17">
        <f t="shared" si="3"/>
        <v>52</v>
      </c>
      <c r="AD11" s="17">
        <f t="shared" si="3"/>
        <v>0</v>
      </c>
      <c r="AE11" s="31">
        <f t="shared" si="3"/>
        <v>37</v>
      </c>
      <c r="AF11" s="31">
        <f t="shared" si="3"/>
        <v>89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6</v>
      </c>
      <c r="J12" s="50">
        <v>0</v>
      </c>
      <c r="K12" s="50">
        <v>0</v>
      </c>
      <c r="L12" s="50">
        <v>1</v>
      </c>
      <c r="M12" s="50">
        <v>11</v>
      </c>
      <c r="N12" s="50">
        <v>0</v>
      </c>
      <c r="O12" s="15">
        <f t="shared" si="0"/>
        <v>10</v>
      </c>
      <c r="P12" s="15">
        <f t="shared" si="1"/>
        <v>21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16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12</v>
      </c>
      <c r="Z12" s="17">
        <f t="shared" si="4"/>
        <v>0</v>
      </c>
      <c r="AA12" s="17">
        <f t="shared" si="4"/>
        <v>1</v>
      </c>
      <c r="AB12" s="17">
        <f t="shared" si="4"/>
        <v>4</v>
      </c>
      <c r="AC12" s="17">
        <f t="shared" si="4"/>
        <v>76</v>
      </c>
      <c r="AD12" s="17">
        <f t="shared" si="4"/>
        <v>0</v>
      </c>
      <c r="AE12" s="31">
        <f t="shared" si="4"/>
        <v>44</v>
      </c>
      <c r="AF12" s="31">
        <f t="shared" si="4"/>
        <v>120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1</v>
      </c>
      <c r="M13" s="50">
        <v>15</v>
      </c>
      <c r="N13" s="50">
        <v>0</v>
      </c>
      <c r="O13" s="15">
        <f t="shared" si="0"/>
        <v>7</v>
      </c>
      <c r="P13" s="15">
        <f t="shared" si="1"/>
        <v>22</v>
      </c>
      <c r="R13" s="1" t="s">
        <v>9</v>
      </c>
      <c r="S13" s="17">
        <f t="shared" ref="S13:AF13" si="5">SUM(C22:C25)</f>
        <v>14</v>
      </c>
      <c r="T13" s="17">
        <f t="shared" si="5"/>
        <v>0</v>
      </c>
      <c r="U13" s="17">
        <f t="shared" si="5"/>
        <v>11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18</v>
      </c>
      <c r="Z13" s="17">
        <f t="shared" si="5"/>
        <v>0</v>
      </c>
      <c r="AA13" s="17">
        <f t="shared" si="5"/>
        <v>3</v>
      </c>
      <c r="AB13" s="17">
        <f t="shared" si="5"/>
        <v>4</v>
      </c>
      <c r="AC13" s="17">
        <f t="shared" si="5"/>
        <v>80</v>
      </c>
      <c r="AD13" s="17">
        <f t="shared" si="5"/>
        <v>0</v>
      </c>
      <c r="AE13" s="31">
        <f t="shared" si="5"/>
        <v>56</v>
      </c>
      <c r="AF13" s="31">
        <f t="shared" si="5"/>
        <v>136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1</v>
      </c>
      <c r="M14" s="50">
        <v>13</v>
      </c>
      <c r="N14" s="50">
        <v>0</v>
      </c>
      <c r="O14" s="15">
        <f t="shared" si="0"/>
        <v>10</v>
      </c>
      <c r="P14" s="15">
        <f t="shared" si="1"/>
        <v>23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13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0</v>
      </c>
      <c r="AA14" s="17">
        <f t="shared" si="6"/>
        <v>1</v>
      </c>
      <c r="AB14" s="17">
        <f t="shared" si="6"/>
        <v>4</v>
      </c>
      <c r="AC14" s="17">
        <f t="shared" si="6"/>
        <v>75</v>
      </c>
      <c r="AD14" s="17">
        <f t="shared" si="6"/>
        <v>0</v>
      </c>
      <c r="AE14" s="31">
        <f t="shared" si="6"/>
        <v>38</v>
      </c>
      <c r="AF14" s="31">
        <f t="shared" si="6"/>
        <v>113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1</v>
      </c>
      <c r="M15" s="50">
        <v>16</v>
      </c>
      <c r="N15" s="50">
        <v>0</v>
      </c>
      <c r="O15" s="15">
        <f t="shared" si="0"/>
        <v>9</v>
      </c>
      <c r="P15" s="15">
        <f t="shared" si="1"/>
        <v>25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14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19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86</v>
      </c>
      <c r="AD15" s="17">
        <f t="shared" si="7"/>
        <v>0</v>
      </c>
      <c r="AE15" s="31">
        <f t="shared" si="7"/>
        <v>48</v>
      </c>
      <c r="AF15" s="31">
        <f t="shared" si="7"/>
        <v>134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4</v>
      </c>
      <c r="F16" s="50">
        <v>1</v>
      </c>
      <c r="G16" s="50">
        <v>0</v>
      </c>
      <c r="H16" s="50">
        <v>0</v>
      </c>
      <c r="I16" s="50">
        <v>4</v>
      </c>
      <c r="J16" s="50">
        <v>0</v>
      </c>
      <c r="K16" s="50">
        <v>1</v>
      </c>
      <c r="L16" s="50">
        <v>1</v>
      </c>
      <c r="M16" s="50">
        <v>12</v>
      </c>
      <c r="N16" s="50">
        <v>0</v>
      </c>
      <c r="O16" s="15">
        <f t="shared" si="0"/>
        <v>11</v>
      </c>
      <c r="P16" s="15">
        <f t="shared" si="1"/>
        <v>23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5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89</v>
      </c>
      <c r="AD16" s="17">
        <f t="shared" si="8"/>
        <v>0</v>
      </c>
      <c r="AE16" s="31">
        <f t="shared" si="8"/>
        <v>33</v>
      </c>
      <c r="AF16" s="31">
        <f t="shared" si="8"/>
        <v>122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1</v>
      </c>
      <c r="M17" s="50">
        <v>11</v>
      </c>
      <c r="N17" s="50">
        <v>0</v>
      </c>
      <c r="O17" s="15">
        <f t="shared" si="0"/>
        <v>7</v>
      </c>
      <c r="P17" s="15">
        <f t="shared" si="1"/>
        <v>18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9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2</v>
      </c>
      <c r="AB17" s="17">
        <f t="shared" si="9"/>
        <v>4</v>
      </c>
      <c r="AC17" s="17">
        <f t="shared" si="9"/>
        <v>72</v>
      </c>
      <c r="AD17" s="17">
        <f t="shared" si="9"/>
        <v>0</v>
      </c>
      <c r="AE17" s="31">
        <f t="shared" si="9"/>
        <v>38</v>
      </c>
      <c r="AF17" s="31">
        <f t="shared" si="9"/>
        <v>110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v>1</v>
      </c>
      <c r="M18" s="50">
        <v>15</v>
      </c>
      <c r="N18" s="50">
        <v>0</v>
      </c>
      <c r="O18" s="15">
        <f t="shared" si="0"/>
        <v>8</v>
      </c>
      <c r="P18" s="15">
        <f t="shared" si="1"/>
        <v>23</v>
      </c>
      <c r="R18" s="1" t="s">
        <v>14</v>
      </c>
      <c r="S18" s="17">
        <f t="shared" ref="S18:AF18" si="10">SUM(C42:C45)</f>
        <v>6</v>
      </c>
      <c r="T18" s="17">
        <f t="shared" si="10"/>
        <v>0</v>
      </c>
      <c r="U18" s="17">
        <f t="shared" si="10"/>
        <v>17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2</v>
      </c>
      <c r="AB18" s="17">
        <f t="shared" si="10"/>
        <v>4</v>
      </c>
      <c r="AC18" s="17">
        <f t="shared" si="10"/>
        <v>91</v>
      </c>
      <c r="AD18" s="17">
        <f t="shared" si="10"/>
        <v>0</v>
      </c>
      <c r="AE18" s="31">
        <f t="shared" si="10"/>
        <v>43</v>
      </c>
      <c r="AF18" s="31">
        <f t="shared" si="10"/>
        <v>134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5</v>
      </c>
      <c r="F19" s="50">
        <v>2</v>
      </c>
      <c r="G19" s="50">
        <v>0</v>
      </c>
      <c r="H19" s="50">
        <v>0</v>
      </c>
      <c r="I19" s="50">
        <v>2</v>
      </c>
      <c r="J19" s="50">
        <v>0</v>
      </c>
      <c r="K19" s="50">
        <v>1</v>
      </c>
      <c r="L19" s="50">
        <v>1</v>
      </c>
      <c r="M19" s="50">
        <v>21</v>
      </c>
      <c r="N19" s="50">
        <v>0</v>
      </c>
      <c r="O19" s="15">
        <f t="shared" si="0"/>
        <v>14</v>
      </c>
      <c r="P19" s="15">
        <f t="shared" si="1"/>
        <v>35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8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17</v>
      </c>
      <c r="Z19" s="17">
        <f t="shared" si="11"/>
        <v>1</v>
      </c>
      <c r="AA19" s="17">
        <f t="shared" si="11"/>
        <v>1</v>
      </c>
      <c r="AB19" s="17">
        <f t="shared" si="11"/>
        <v>4</v>
      </c>
      <c r="AC19" s="17">
        <f t="shared" si="11"/>
        <v>72</v>
      </c>
      <c r="AD19" s="17">
        <f t="shared" si="11"/>
        <v>0</v>
      </c>
      <c r="AE19" s="31">
        <f t="shared" si="11"/>
        <v>47</v>
      </c>
      <c r="AF19" s="31">
        <f t="shared" si="11"/>
        <v>119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1</v>
      </c>
      <c r="M20" s="50">
        <v>21</v>
      </c>
      <c r="N20" s="50">
        <v>0</v>
      </c>
      <c r="O20" s="15">
        <f t="shared" si="0"/>
        <v>8</v>
      </c>
      <c r="P20" s="15">
        <f t="shared" si="1"/>
        <v>29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10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0</v>
      </c>
      <c r="AA20" s="17">
        <f t="shared" si="12"/>
        <v>1</v>
      </c>
      <c r="AB20" s="17">
        <f t="shared" si="12"/>
        <v>4</v>
      </c>
      <c r="AC20" s="17">
        <f t="shared" si="12"/>
        <v>81</v>
      </c>
      <c r="AD20" s="17">
        <f t="shared" si="12"/>
        <v>0</v>
      </c>
      <c r="AE20" s="31">
        <f t="shared" si="12"/>
        <v>40</v>
      </c>
      <c r="AF20" s="31">
        <f t="shared" si="12"/>
        <v>121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7</v>
      </c>
      <c r="F21" s="50">
        <v>2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1</v>
      </c>
      <c r="M21" s="50">
        <v>19</v>
      </c>
      <c r="N21" s="50">
        <v>0</v>
      </c>
      <c r="O21" s="15">
        <f t="shared" si="0"/>
        <v>14</v>
      </c>
      <c r="P21" s="15">
        <f t="shared" si="1"/>
        <v>33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8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18</v>
      </c>
      <c r="Z21" s="17">
        <f t="shared" si="13"/>
        <v>3</v>
      </c>
      <c r="AA21" s="17">
        <f t="shared" si="13"/>
        <v>0</v>
      </c>
      <c r="AB21" s="17">
        <f t="shared" si="13"/>
        <v>4</v>
      </c>
      <c r="AC21" s="17">
        <f t="shared" si="13"/>
        <v>72</v>
      </c>
      <c r="AD21" s="17">
        <f t="shared" si="13"/>
        <v>0</v>
      </c>
      <c r="AE21" s="31">
        <f t="shared" si="13"/>
        <v>37</v>
      </c>
      <c r="AF21" s="31">
        <f t="shared" si="13"/>
        <v>109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5</v>
      </c>
      <c r="J22" s="50">
        <v>0</v>
      </c>
      <c r="K22" s="50">
        <v>2</v>
      </c>
      <c r="L22" s="50">
        <v>1</v>
      </c>
      <c r="M22" s="50">
        <v>15</v>
      </c>
      <c r="N22" s="50">
        <v>0</v>
      </c>
      <c r="O22" s="15">
        <f t="shared" si="0"/>
        <v>17</v>
      </c>
      <c r="P22" s="15">
        <f t="shared" si="1"/>
        <v>32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16</v>
      </c>
      <c r="V22" s="39">
        <f t="shared" si="14"/>
        <v>5</v>
      </c>
      <c r="W22" s="39">
        <f t="shared" si="14"/>
        <v>0</v>
      </c>
      <c r="X22" s="39">
        <f t="shared" si="14"/>
        <v>0</v>
      </c>
      <c r="Y22" s="39">
        <f t="shared" si="14"/>
        <v>15</v>
      </c>
      <c r="Z22" s="39">
        <f t="shared" si="14"/>
        <v>0</v>
      </c>
      <c r="AA22" s="39">
        <f t="shared" si="14"/>
        <v>2</v>
      </c>
      <c r="AB22" s="39">
        <f t="shared" si="14"/>
        <v>4</v>
      </c>
      <c r="AC22" s="39">
        <f t="shared" si="14"/>
        <v>76</v>
      </c>
      <c r="AD22" s="39">
        <f t="shared" si="14"/>
        <v>0</v>
      </c>
      <c r="AE22" s="40">
        <f t="shared" si="14"/>
        <v>44</v>
      </c>
      <c r="AF22" s="40">
        <f t="shared" si="14"/>
        <v>120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5</v>
      </c>
      <c r="F23" s="50">
        <v>1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1</v>
      </c>
      <c r="M23" s="50">
        <v>15</v>
      </c>
      <c r="N23" s="50">
        <v>0</v>
      </c>
      <c r="O23" s="15">
        <f t="shared" si="0"/>
        <v>15</v>
      </c>
      <c r="P23" s="15">
        <f t="shared" si="1"/>
        <v>30</v>
      </c>
      <c r="R23" s="38" t="s">
        <v>91</v>
      </c>
      <c r="S23" s="39">
        <f>MAX(S13:S18)</f>
        <v>14</v>
      </c>
      <c r="T23" s="39">
        <f t="shared" ref="T23:AF23" si="15">MAX(T13:T18)</f>
        <v>0</v>
      </c>
      <c r="U23" s="39">
        <f t="shared" si="15"/>
        <v>17</v>
      </c>
      <c r="V23" s="39">
        <f t="shared" si="15"/>
        <v>8</v>
      </c>
      <c r="W23" s="39">
        <f t="shared" si="15"/>
        <v>0</v>
      </c>
      <c r="X23" s="39">
        <f t="shared" si="15"/>
        <v>0</v>
      </c>
      <c r="Y23" s="39">
        <f t="shared" si="15"/>
        <v>19</v>
      </c>
      <c r="Z23" s="39">
        <f t="shared" si="15"/>
        <v>2</v>
      </c>
      <c r="AA23" s="39">
        <f t="shared" si="15"/>
        <v>3</v>
      </c>
      <c r="AB23" s="39">
        <f t="shared" si="15"/>
        <v>4</v>
      </c>
      <c r="AC23" s="39">
        <f t="shared" si="15"/>
        <v>91</v>
      </c>
      <c r="AD23" s="39">
        <f t="shared" si="15"/>
        <v>0</v>
      </c>
      <c r="AE23" s="40">
        <f t="shared" si="15"/>
        <v>56</v>
      </c>
      <c r="AF23" s="40">
        <f t="shared" si="15"/>
        <v>136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2</v>
      </c>
      <c r="F24" s="50">
        <v>1</v>
      </c>
      <c r="G24" s="50">
        <v>0</v>
      </c>
      <c r="H24" s="50">
        <v>0</v>
      </c>
      <c r="I24" s="50">
        <v>4</v>
      </c>
      <c r="J24" s="50">
        <v>0</v>
      </c>
      <c r="K24" s="50">
        <v>1</v>
      </c>
      <c r="L24" s="50">
        <v>1</v>
      </c>
      <c r="M24" s="50">
        <v>28</v>
      </c>
      <c r="N24" s="50">
        <v>0</v>
      </c>
      <c r="O24" s="15">
        <f t="shared" si="0"/>
        <v>13</v>
      </c>
      <c r="P24" s="15">
        <f t="shared" si="1"/>
        <v>41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10</v>
      </c>
      <c r="V24" s="39">
        <f t="shared" si="16"/>
        <v>8</v>
      </c>
      <c r="W24" s="39">
        <f t="shared" si="16"/>
        <v>0</v>
      </c>
      <c r="X24" s="39">
        <f t="shared" si="16"/>
        <v>0</v>
      </c>
      <c r="Y24" s="39">
        <f t="shared" si="16"/>
        <v>18</v>
      </c>
      <c r="Z24" s="39">
        <f t="shared" si="16"/>
        <v>3</v>
      </c>
      <c r="AA24" s="39">
        <f t="shared" si="16"/>
        <v>1</v>
      </c>
      <c r="AB24" s="39">
        <f t="shared" si="16"/>
        <v>4</v>
      </c>
      <c r="AC24" s="39">
        <f t="shared" si="16"/>
        <v>81</v>
      </c>
      <c r="AD24" s="39">
        <f t="shared" si="16"/>
        <v>0</v>
      </c>
      <c r="AE24" s="40">
        <f t="shared" si="16"/>
        <v>47</v>
      </c>
      <c r="AF24" s="40">
        <f t="shared" si="16"/>
        <v>121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2</v>
      </c>
      <c r="F25" s="50">
        <v>2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1</v>
      </c>
      <c r="M25" s="50">
        <v>22</v>
      </c>
      <c r="N25" s="50">
        <v>0</v>
      </c>
      <c r="O25" s="15">
        <f t="shared" si="0"/>
        <v>11</v>
      </c>
      <c r="P25" s="15">
        <f t="shared" si="1"/>
        <v>33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28</v>
      </c>
      <c r="V25" s="16">
        <f t="shared" si="17"/>
        <v>14</v>
      </c>
      <c r="W25" s="16">
        <f t="shared" si="17"/>
        <v>0</v>
      </c>
      <c r="X25" s="16">
        <f t="shared" si="17"/>
        <v>0</v>
      </c>
      <c r="Y25" s="16">
        <f t="shared" si="17"/>
        <v>37</v>
      </c>
      <c r="Z25" s="16">
        <f t="shared" si="17"/>
        <v>0</v>
      </c>
      <c r="AA25" s="16">
        <f t="shared" si="17"/>
        <v>3</v>
      </c>
      <c r="AB25" s="16">
        <f t="shared" si="17"/>
        <v>12</v>
      </c>
      <c r="AC25" s="16">
        <f t="shared" si="17"/>
        <v>185</v>
      </c>
      <c r="AD25" s="16">
        <f t="shared" si="17"/>
        <v>0</v>
      </c>
      <c r="AE25" s="32">
        <f t="shared" si="17"/>
        <v>105</v>
      </c>
      <c r="AF25" s="32">
        <f t="shared" si="17"/>
        <v>290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11</v>
      </c>
      <c r="N26" s="50">
        <v>0</v>
      </c>
      <c r="O26" s="15">
        <f t="shared" si="0"/>
        <v>8</v>
      </c>
      <c r="P26" s="15">
        <f t="shared" si="1"/>
        <v>19</v>
      </c>
      <c r="R26" s="28" t="s">
        <v>86</v>
      </c>
      <c r="S26" s="16">
        <f t="shared" ref="S26:AF26" si="18">SUM(S13:S18)</f>
        <v>47</v>
      </c>
      <c r="T26" s="16">
        <f t="shared" si="18"/>
        <v>0</v>
      </c>
      <c r="U26" s="16">
        <f t="shared" si="18"/>
        <v>69</v>
      </c>
      <c r="V26" s="16">
        <f t="shared" si="18"/>
        <v>34</v>
      </c>
      <c r="W26" s="16">
        <f t="shared" si="18"/>
        <v>0</v>
      </c>
      <c r="X26" s="16">
        <f t="shared" si="18"/>
        <v>0</v>
      </c>
      <c r="Y26" s="16">
        <f t="shared" si="18"/>
        <v>70</v>
      </c>
      <c r="Z26" s="16">
        <f t="shared" si="18"/>
        <v>4</v>
      </c>
      <c r="AA26" s="16">
        <f t="shared" si="18"/>
        <v>8</v>
      </c>
      <c r="AB26" s="16">
        <f t="shared" si="18"/>
        <v>24</v>
      </c>
      <c r="AC26" s="16">
        <f t="shared" si="18"/>
        <v>493</v>
      </c>
      <c r="AD26" s="16">
        <f t="shared" si="18"/>
        <v>0</v>
      </c>
      <c r="AE26" s="32">
        <f t="shared" si="18"/>
        <v>256</v>
      </c>
      <c r="AF26" s="32">
        <f t="shared" si="18"/>
        <v>749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5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1</v>
      </c>
      <c r="M27" s="50">
        <v>27</v>
      </c>
      <c r="N27" s="50">
        <v>0</v>
      </c>
      <c r="O27" s="15">
        <f t="shared" si="0"/>
        <v>10</v>
      </c>
      <c r="P27" s="15">
        <f t="shared" si="1"/>
        <v>37</v>
      </c>
      <c r="R27" s="29" t="s">
        <v>87</v>
      </c>
      <c r="S27" s="16">
        <f t="shared" ref="S27:AF27" si="19">SUM(S19:S21)</f>
        <v>13</v>
      </c>
      <c r="T27" s="16">
        <f t="shared" si="19"/>
        <v>0</v>
      </c>
      <c r="U27" s="16">
        <f t="shared" si="19"/>
        <v>26</v>
      </c>
      <c r="V27" s="16">
        <f t="shared" si="19"/>
        <v>19</v>
      </c>
      <c r="W27" s="16">
        <f t="shared" si="19"/>
        <v>0</v>
      </c>
      <c r="X27" s="16">
        <f t="shared" si="19"/>
        <v>0</v>
      </c>
      <c r="Y27" s="16">
        <f t="shared" si="19"/>
        <v>48</v>
      </c>
      <c r="Z27" s="16">
        <f t="shared" si="19"/>
        <v>4</v>
      </c>
      <c r="AA27" s="16">
        <f t="shared" si="19"/>
        <v>2</v>
      </c>
      <c r="AB27" s="16">
        <f t="shared" si="19"/>
        <v>12</v>
      </c>
      <c r="AC27" s="16">
        <f t="shared" si="19"/>
        <v>225</v>
      </c>
      <c r="AD27" s="16">
        <f t="shared" si="19"/>
        <v>0</v>
      </c>
      <c r="AE27" s="32">
        <f t="shared" si="19"/>
        <v>124</v>
      </c>
      <c r="AF27" s="32">
        <f t="shared" si="19"/>
        <v>349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5</v>
      </c>
      <c r="F28" s="50">
        <v>3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1</v>
      </c>
      <c r="M28" s="50">
        <v>16</v>
      </c>
      <c r="N28" s="50">
        <v>0</v>
      </c>
      <c r="O28" s="15">
        <f t="shared" si="0"/>
        <v>13</v>
      </c>
      <c r="P28" s="15">
        <f t="shared" si="1"/>
        <v>29</v>
      </c>
      <c r="R28" s="5" t="s">
        <v>17</v>
      </c>
      <c r="S28" s="16">
        <f t="shared" ref="S28:AF28" si="20">SUM(S10:S21)</f>
        <v>71</v>
      </c>
      <c r="T28" s="16">
        <f t="shared" si="20"/>
        <v>0</v>
      </c>
      <c r="U28" s="16">
        <f t="shared" si="20"/>
        <v>123</v>
      </c>
      <c r="V28" s="16">
        <f t="shared" si="20"/>
        <v>67</v>
      </c>
      <c r="W28" s="16">
        <f t="shared" si="20"/>
        <v>0</v>
      </c>
      <c r="X28" s="16">
        <f t="shared" si="20"/>
        <v>0</v>
      </c>
      <c r="Y28" s="16">
        <f t="shared" si="20"/>
        <v>155</v>
      </c>
      <c r="Z28" s="16">
        <f t="shared" si="20"/>
        <v>8</v>
      </c>
      <c r="AA28" s="16">
        <f t="shared" si="20"/>
        <v>13</v>
      </c>
      <c r="AB28" s="16">
        <f t="shared" si="20"/>
        <v>48</v>
      </c>
      <c r="AC28" s="16">
        <f t="shared" si="20"/>
        <v>903</v>
      </c>
      <c r="AD28" s="16">
        <f t="shared" si="20"/>
        <v>0</v>
      </c>
      <c r="AE28" s="32">
        <f t="shared" si="20"/>
        <v>485</v>
      </c>
      <c r="AF28" s="32">
        <f t="shared" si="20"/>
        <v>1388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1</v>
      </c>
      <c r="M29" s="50">
        <v>21</v>
      </c>
      <c r="N29" s="50">
        <v>0</v>
      </c>
      <c r="O29" s="15">
        <f t="shared" si="0"/>
        <v>7</v>
      </c>
      <c r="P29" s="15">
        <f t="shared" si="1"/>
        <v>28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3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13</v>
      </c>
      <c r="N30" s="50">
        <v>0</v>
      </c>
      <c r="O30" s="15">
        <f t="shared" si="0"/>
        <v>7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5</v>
      </c>
      <c r="F31" s="50">
        <v>1</v>
      </c>
      <c r="G31" s="50">
        <v>0</v>
      </c>
      <c r="H31" s="50">
        <v>0</v>
      </c>
      <c r="I31" s="50">
        <v>7</v>
      </c>
      <c r="J31" s="50">
        <v>0</v>
      </c>
      <c r="K31" s="50">
        <v>0</v>
      </c>
      <c r="L31" s="50">
        <v>1</v>
      </c>
      <c r="M31" s="50">
        <v>20</v>
      </c>
      <c r="N31" s="50">
        <v>0</v>
      </c>
      <c r="O31" s="15">
        <f t="shared" si="0"/>
        <v>16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3</v>
      </c>
      <c r="F32" s="50">
        <v>1</v>
      </c>
      <c r="G32" s="50">
        <v>0</v>
      </c>
      <c r="H32" s="50">
        <v>0</v>
      </c>
      <c r="I32" s="50">
        <v>5</v>
      </c>
      <c r="J32" s="50">
        <v>1</v>
      </c>
      <c r="K32" s="50">
        <v>0</v>
      </c>
      <c r="L32" s="50">
        <v>1</v>
      </c>
      <c r="M32" s="50">
        <v>27</v>
      </c>
      <c r="N32" s="50">
        <v>0</v>
      </c>
      <c r="O32" s="15">
        <f t="shared" si="0"/>
        <v>11</v>
      </c>
      <c r="P32" s="15">
        <f t="shared" si="1"/>
        <v>38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3</v>
      </c>
      <c r="F33" s="50">
        <v>2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1</v>
      </c>
      <c r="M33" s="50">
        <v>26</v>
      </c>
      <c r="N33" s="50">
        <v>0</v>
      </c>
      <c r="O33" s="15">
        <f t="shared" si="0"/>
        <v>14</v>
      </c>
      <c r="P33" s="15">
        <f t="shared" si="1"/>
        <v>40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1</v>
      </c>
      <c r="M34" s="50">
        <v>26</v>
      </c>
      <c r="N34" s="50">
        <v>0</v>
      </c>
      <c r="O34" s="15">
        <f t="shared" si="0"/>
        <v>10</v>
      </c>
      <c r="P34" s="15">
        <f t="shared" si="1"/>
        <v>36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1</v>
      </c>
      <c r="M35" s="50">
        <v>18</v>
      </c>
      <c r="N35" s="50">
        <v>0</v>
      </c>
      <c r="O35" s="15">
        <f t="shared" si="0"/>
        <v>8</v>
      </c>
      <c r="P35" s="15">
        <f t="shared" si="1"/>
        <v>26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17</v>
      </c>
      <c r="N36" s="50">
        <v>0</v>
      </c>
      <c r="O36" s="15">
        <f t="shared" si="0"/>
        <v>6</v>
      </c>
      <c r="P36" s="15">
        <f t="shared" si="1"/>
        <v>23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1</v>
      </c>
      <c r="M37" s="50">
        <v>28</v>
      </c>
      <c r="N37" s="50">
        <v>0</v>
      </c>
      <c r="O37" s="15">
        <f t="shared" si="0"/>
        <v>9</v>
      </c>
      <c r="P37" s="15">
        <f t="shared" si="1"/>
        <v>37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2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1</v>
      </c>
      <c r="M38" s="50">
        <v>21</v>
      </c>
      <c r="N38" s="50">
        <v>0</v>
      </c>
      <c r="O38" s="15">
        <f t="shared" si="0"/>
        <v>14</v>
      </c>
      <c r="P38" s="15">
        <f t="shared" si="1"/>
        <v>35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5</v>
      </c>
      <c r="F39" s="50">
        <v>3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1</v>
      </c>
      <c r="M39" s="50">
        <v>12</v>
      </c>
      <c r="N39" s="50">
        <v>0</v>
      </c>
      <c r="O39" s="15">
        <f t="shared" si="0"/>
        <v>12</v>
      </c>
      <c r="P39" s="15">
        <f t="shared" si="1"/>
        <v>24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1</v>
      </c>
      <c r="M40" s="50">
        <v>18</v>
      </c>
      <c r="N40" s="50">
        <v>0</v>
      </c>
      <c r="O40" s="15">
        <f t="shared" si="0"/>
        <v>8</v>
      </c>
      <c r="P40" s="15">
        <f t="shared" si="1"/>
        <v>26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1</v>
      </c>
      <c r="M41" s="50">
        <v>21</v>
      </c>
      <c r="N41" s="50">
        <v>0</v>
      </c>
      <c r="O41" s="15">
        <f t="shared" si="0"/>
        <v>4</v>
      </c>
      <c r="P41" s="15">
        <f t="shared" si="1"/>
        <v>25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4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1</v>
      </c>
      <c r="L42" s="50">
        <v>1</v>
      </c>
      <c r="M42" s="50">
        <v>25</v>
      </c>
      <c r="N42" s="50">
        <v>0</v>
      </c>
      <c r="O42" s="15">
        <f t="shared" si="0"/>
        <v>8</v>
      </c>
      <c r="P42" s="15">
        <f t="shared" si="1"/>
        <v>33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5</v>
      </c>
      <c r="F43" s="50">
        <v>3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1</v>
      </c>
      <c r="M43" s="50">
        <v>18</v>
      </c>
      <c r="N43" s="50">
        <v>0</v>
      </c>
      <c r="O43" s="15">
        <f t="shared" si="0"/>
        <v>13</v>
      </c>
      <c r="P43" s="15">
        <f t="shared" si="1"/>
        <v>31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1</v>
      </c>
      <c r="M44" s="50">
        <v>22</v>
      </c>
      <c r="N44" s="50">
        <v>0</v>
      </c>
      <c r="O44" s="15">
        <f t="shared" si="0"/>
        <v>11</v>
      </c>
      <c r="P44" s="15">
        <f t="shared" si="1"/>
        <v>33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5</v>
      </c>
      <c r="F45" s="50">
        <v>2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26</v>
      </c>
      <c r="N45" s="50">
        <v>0</v>
      </c>
      <c r="O45" s="15">
        <f t="shared" si="0"/>
        <v>11</v>
      </c>
      <c r="P45" s="15">
        <f t="shared" si="1"/>
        <v>37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3</v>
      </c>
      <c r="F46" s="50">
        <v>2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1</v>
      </c>
      <c r="M46" s="50">
        <v>21</v>
      </c>
      <c r="N46" s="50">
        <v>0</v>
      </c>
      <c r="O46" s="15">
        <f t="shared" si="0"/>
        <v>15</v>
      </c>
      <c r="P46" s="15">
        <f t="shared" si="1"/>
        <v>36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2</v>
      </c>
      <c r="G47" s="50">
        <v>0</v>
      </c>
      <c r="H47" s="50">
        <v>0</v>
      </c>
      <c r="I47" s="50">
        <v>4</v>
      </c>
      <c r="J47" s="50">
        <v>0</v>
      </c>
      <c r="K47" s="50">
        <v>1</v>
      </c>
      <c r="L47" s="50">
        <v>1</v>
      </c>
      <c r="M47" s="50">
        <v>20</v>
      </c>
      <c r="N47" s="50">
        <v>0</v>
      </c>
      <c r="O47" s="15">
        <f t="shared" si="0"/>
        <v>11</v>
      </c>
      <c r="P47" s="15">
        <f t="shared" si="1"/>
        <v>31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1</v>
      </c>
      <c r="M48" s="50">
        <v>13</v>
      </c>
      <c r="N48" s="50">
        <v>0</v>
      </c>
      <c r="O48" s="15">
        <f t="shared" si="0"/>
        <v>9</v>
      </c>
      <c r="P48" s="15">
        <f t="shared" si="1"/>
        <v>22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3</v>
      </c>
      <c r="F49" s="50">
        <v>3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1</v>
      </c>
      <c r="M49" s="50">
        <v>18</v>
      </c>
      <c r="N49" s="50">
        <v>0</v>
      </c>
      <c r="O49" s="15">
        <f t="shared" si="0"/>
        <v>12</v>
      </c>
      <c r="P49" s="15">
        <f t="shared" si="1"/>
        <v>30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4</v>
      </c>
      <c r="F50" s="50">
        <v>0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1</v>
      </c>
      <c r="M50" s="50">
        <v>24</v>
      </c>
      <c r="N50" s="50">
        <v>0</v>
      </c>
      <c r="O50" s="15">
        <f t="shared" si="0"/>
        <v>10</v>
      </c>
      <c r="P50" s="15">
        <f t="shared" si="1"/>
        <v>34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3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1</v>
      </c>
      <c r="M51" s="50">
        <v>17</v>
      </c>
      <c r="N51" s="50">
        <v>0</v>
      </c>
      <c r="O51" s="15">
        <f t="shared" si="0"/>
        <v>11</v>
      </c>
      <c r="P51" s="15">
        <f t="shared" si="1"/>
        <v>28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3</v>
      </c>
      <c r="F52" s="50">
        <v>2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1</v>
      </c>
      <c r="M52" s="50">
        <v>24</v>
      </c>
      <c r="N52" s="50">
        <v>0</v>
      </c>
      <c r="O52" s="15">
        <f t="shared" si="0"/>
        <v>13</v>
      </c>
      <c r="P52" s="15">
        <f t="shared" si="1"/>
        <v>37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1</v>
      </c>
      <c r="M53" s="50">
        <v>16</v>
      </c>
      <c r="N53" s="50">
        <v>0</v>
      </c>
      <c r="O53" s="15">
        <f t="shared" si="0"/>
        <v>6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5</v>
      </c>
      <c r="F54" s="50">
        <v>1</v>
      </c>
      <c r="G54" s="50">
        <v>0</v>
      </c>
      <c r="H54" s="50">
        <v>0</v>
      </c>
      <c r="I54" s="50">
        <v>4</v>
      </c>
      <c r="J54" s="50">
        <v>2</v>
      </c>
      <c r="K54" s="50">
        <v>0</v>
      </c>
      <c r="L54" s="50">
        <v>1</v>
      </c>
      <c r="M54" s="50">
        <v>20</v>
      </c>
      <c r="N54" s="50">
        <v>0</v>
      </c>
      <c r="O54" s="15">
        <f t="shared" si="0"/>
        <v>13</v>
      </c>
      <c r="P54" s="15">
        <f t="shared" si="1"/>
        <v>33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3</v>
      </c>
      <c r="F55" s="50">
        <v>1</v>
      </c>
      <c r="G55" s="50">
        <v>0</v>
      </c>
      <c r="H55" s="50">
        <v>0</v>
      </c>
      <c r="I55" s="50">
        <v>5</v>
      </c>
      <c r="J55" s="50">
        <v>1</v>
      </c>
      <c r="K55" s="50">
        <v>0</v>
      </c>
      <c r="L55" s="50">
        <v>1</v>
      </c>
      <c r="M55" s="50">
        <v>22</v>
      </c>
      <c r="N55" s="50">
        <v>0</v>
      </c>
      <c r="O55" s="15">
        <f t="shared" si="0"/>
        <v>11</v>
      </c>
      <c r="P55" s="15">
        <f t="shared" si="1"/>
        <v>33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1</v>
      </c>
      <c r="M56" s="50">
        <v>10</v>
      </c>
      <c r="N56" s="50">
        <v>0</v>
      </c>
      <c r="O56" s="15">
        <f t="shared" si="0"/>
        <v>7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1</v>
      </c>
      <c r="M57" s="50">
        <v>20</v>
      </c>
      <c r="N57" s="50">
        <v>0</v>
      </c>
      <c r="O57" s="15">
        <f t="shared" si="0"/>
        <v>6</v>
      </c>
      <c r="P57" s="15">
        <f t="shared" si="1"/>
        <v>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71</v>
      </c>
      <c r="D58" s="16">
        <f t="shared" si="21"/>
        <v>0</v>
      </c>
      <c r="E58" s="16">
        <f t="shared" si="21"/>
        <v>123</v>
      </c>
      <c r="F58" s="16">
        <f t="shared" si="21"/>
        <v>67</v>
      </c>
      <c r="G58" s="16">
        <f t="shared" si="21"/>
        <v>0</v>
      </c>
      <c r="H58" s="16">
        <f t="shared" si="21"/>
        <v>0</v>
      </c>
      <c r="I58" s="16">
        <f t="shared" si="21"/>
        <v>155</v>
      </c>
      <c r="J58" s="16">
        <f t="shared" si="21"/>
        <v>8</v>
      </c>
      <c r="K58" s="16">
        <f t="shared" si="21"/>
        <v>13</v>
      </c>
      <c r="L58" s="16">
        <f t="shared" si="21"/>
        <v>48</v>
      </c>
      <c r="M58" s="16">
        <f t="shared" si="21"/>
        <v>903</v>
      </c>
      <c r="N58" s="16">
        <f t="shared" si="21"/>
        <v>0</v>
      </c>
      <c r="O58" s="16">
        <f t="shared" si="21"/>
        <v>485</v>
      </c>
      <c r="P58" s="16">
        <f t="shared" si="21"/>
        <v>1388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5.1152737752161385E-2</v>
      </c>
      <c r="D59" s="43">
        <f t="shared" si="22"/>
        <v>0</v>
      </c>
      <c r="E59" s="43">
        <f t="shared" si="22"/>
        <v>8.861671469740634E-2</v>
      </c>
      <c r="F59" s="43">
        <f t="shared" si="22"/>
        <v>4.8270893371757925E-2</v>
      </c>
      <c r="G59" s="43">
        <f t="shared" si="22"/>
        <v>0</v>
      </c>
      <c r="H59" s="43">
        <f t="shared" si="22"/>
        <v>0</v>
      </c>
      <c r="I59" s="43">
        <f t="shared" si="22"/>
        <v>0.11167146974063401</v>
      </c>
      <c r="J59" s="43">
        <f t="shared" si="22"/>
        <v>5.763688760806916E-3</v>
      </c>
      <c r="K59" s="43">
        <f t="shared" si="22"/>
        <v>9.3659942363112387E-3</v>
      </c>
      <c r="L59" s="43">
        <f t="shared" si="22"/>
        <v>3.4582132564841501E-2</v>
      </c>
      <c r="M59" s="43">
        <f t="shared" si="22"/>
        <v>0.65057636887608072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0.14639175257731959</v>
      </c>
      <c r="D60" s="44">
        <f t="shared" ref="D60:N60" si="23">D58/$O$58</f>
        <v>0</v>
      </c>
      <c r="E60" s="44">
        <f t="shared" si="23"/>
        <v>0.2536082474226804</v>
      </c>
      <c r="F60" s="44">
        <f t="shared" si="23"/>
        <v>0.13814432989690723</v>
      </c>
      <c r="G60" s="44">
        <f t="shared" si="23"/>
        <v>0</v>
      </c>
      <c r="H60" s="44">
        <f t="shared" si="23"/>
        <v>0</v>
      </c>
      <c r="I60" s="44">
        <f t="shared" si="23"/>
        <v>0.31958762886597936</v>
      </c>
      <c r="J60" s="44">
        <f t="shared" si="23"/>
        <v>1.6494845360824743E-2</v>
      </c>
      <c r="K60" s="44">
        <f t="shared" si="23"/>
        <v>2.6804123711340205E-2</v>
      </c>
      <c r="L60" s="44">
        <f t="shared" si="23"/>
        <v>9.8969072164948449E-2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MATUGA-KAPEKA'!C3:G3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'21.08 KAPEKA-MATUGA'!D5</f>
        <v>21.08.19</v>
      </c>
      <c r="E5" s="3"/>
      <c r="F5" s="41" t="s">
        <v>1</v>
      </c>
      <c r="G5" s="66" t="str">
        <f>'20.08 KAPEKA-MATUGA'!G5:H5</f>
        <v>Kapeeka</v>
      </c>
      <c r="H5" s="67"/>
      <c r="I5" s="14"/>
      <c r="J5" s="2" t="s">
        <v>5</v>
      </c>
      <c r="K5" s="66" t="str">
        <f>'20.08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MATUGA-KAPEKA'!D6:E6</f>
        <v>MATUGA</v>
      </c>
      <c r="E6" s="67"/>
      <c r="F6" s="2" t="s">
        <v>2</v>
      </c>
      <c r="G6" s="66" t="str">
        <f>'20.08 MATUGA-KAPEKA'!G6:H6</f>
        <v>KAPEKA</v>
      </c>
      <c r="H6" s="67"/>
      <c r="J6" s="2" t="s">
        <v>21</v>
      </c>
      <c r="K6" s="66" t="str">
        <f>'20.08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5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37</v>
      </c>
      <c r="AD10" s="17">
        <f t="shared" si="2"/>
        <v>0</v>
      </c>
      <c r="AE10" s="31">
        <f t="shared" si="2"/>
        <v>13</v>
      </c>
      <c r="AF10" s="31">
        <f t="shared" si="2"/>
        <v>50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3</v>
      </c>
      <c r="P11" s="15">
        <f t="shared" si="1"/>
        <v>11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5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46</v>
      </c>
      <c r="AD11" s="17">
        <f t="shared" si="3"/>
        <v>0</v>
      </c>
      <c r="AE11" s="31">
        <f t="shared" si="3"/>
        <v>15</v>
      </c>
      <c r="AF11" s="31">
        <f t="shared" si="3"/>
        <v>61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4</v>
      </c>
      <c r="P12" s="15">
        <f t="shared" si="1"/>
        <v>17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4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5</v>
      </c>
      <c r="AB12" s="17">
        <f t="shared" si="4"/>
        <v>0</v>
      </c>
      <c r="AC12" s="17">
        <f t="shared" si="4"/>
        <v>55</v>
      </c>
      <c r="AD12" s="17">
        <f t="shared" si="4"/>
        <v>0</v>
      </c>
      <c r="AE12" s="31">
        <f t="shared" si="4"/>
        <v>18</v>
      </c>
      <c r="AF12" s="31">
        <f t="shared" si="4"/>
        <v>73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3</v>
      </c>
      <c r="P13" s="15">
        <f t="shared" si="1"/>
        <v>15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9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0</v>
      </c>
      <c r="AA13" s="17">
        <f t="shared" si="5"/>
        <v>3</v>
      </c>
      <c r="AB13" s="17">
        <f t="shared" si="5"/>
        <v>0</v>
      </c>
      <c r="AC13" s="17">
        <f t="shared" si="5"/>
        <v>70</v>
      </c>
      <c r="AD13" s="17">
        <f t="shared" si="5"/>
        <v>1</v>
      </c>
      <c r="AE13" s="31">
        <f t="shared" si="5"/>
        <v>27</v>
      </c>
      <c r="AF13" s="31">
        <f t="shared" si="5"/>
        <v>97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1</v>
      </c>
      <c r="P14" s="15">
        <f t="shared" si="1"/>
        <v>14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13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2</v>
      </c>
      <c r="AA14" s="17">
        <f t="shared" si="6"/>
        <v>4</v>
      </c>
      <c r="AB14" s="17">
        <f t="shared" si="6"/>
        <v>0</v>
      </c>
      <c r="AC14" s="17">
        <f t="shared" si="6"/>
        <v>84</v>
      </c>
      <c r="AD14" s="17">
        <f t="shared" si="6"/>
        <v>0</v>
      </c>
      <c r="AE14" s="31">
        <f t="shared" si="6"/>
        <v>35</v>
      </c>
      <c r="AF14" s="31">
        <f t="shared" si="6"/>
        <v>119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2</v>
      </c>
      <c r="F15" s="50">
        <v>3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13</v>
      </c>
      <c r="N15" s="50">
        <v>0</v>
      </c>
      <c r="O15" s="15">
        <f t="shared" si="0"/>
        <v>7</v>
      </c>
      <c r="P15" s="15">
        <f t="shared" si="1"/>
        <v>20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9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92</v>
      </c>
      <c r="AD15" s="17">
        <f t="shared" si="7"/>
        <v>0</v>
      </c>
      <c r="AE15" s="31">
        <f t="shared" si="7"/>
        <v>23</v>
      </c>
      <c r="AF15" s="31">
        <f t="shared" si="7"/>
        <v>115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3</v>
      </c>
      <c r="P16" s="15">
        <f t="shared" si="1"/>
        <v>12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8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84</v>
      </c>
      <c r="AD16" s="17">
        <f t="shared" si="8"/>
        <v>0</v>
      </c>
      <c r="AE16" s="31">
        <f t="shared" si="8"/>
        <v>25</v>
      </c>
      <c r="AF16" s="31">
        <f t="shared" si="8"/>
        <v>109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4</v>
      </c>
      <c r="P17" s="15">
        <f t="shared" si="1"/>
        <v>15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9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72</v>
      </c>
      <c r="AD17" s="17">
        <f t="shared" si="9"/>
        <v>0</v>
      </c>
      <c r="AE17" s="31">
        <f t="shared" si="9"/>
        <v>35</v>
      </c>
      <c r="AF17" s="31">
        <f t="shared" si="9"/>
        <v>107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3</v>
      </c>
      <c r="L18" s="50">
        <v>0</v>
      </c>
      <c r="M18" s="50">
        <v>8</v>
      </c>
      <c r="N18" s="50">
        <v>0</v>
      </c>
      <c r="O18" s="15">
        <f t="shared" si="0"/>
        <v>5</v>
      </c>
      <c r="P18" s="15">
        <f t="shared" si="1"/>
        <v>13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11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83</v>
      </c>
      <c r="AD18" s="17">
        <f t="shared" si="10"/>
        <v>0</v>
      </c>
      <c r="AE18" s="31">
        <f t="shared" si="10"/>
        <v>37</v>
      </c>
      <c r="AF18" s="31">
        <f t="shared" si="10"/>
        <v>120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13</v>
      </c>
      <c r="N19" s="50">
        <v>0</v>
      </c>
      <c r="O19" s="15">
        <f t="shared" si="0"/>
        <v>2</v>
      </c>
      <c r="P19" s="15">
        <f t="shared" si="1"/>
        <v>15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10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76</v>
      </c>
      <c r="AD19" s="17">
        <f t="shared" si="11"/>
        <v>0</v>
      </c>
      <c r="AE19" s="31">
        <f t="shared" si="11"/>
        <v>43</v>
      </c>
      <c r="AF19" s="31">
        <f t="shared" si="11"/>
        <v>119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18</v>
      </c>
      <c r="N20" s="50">
        <v>0</v>
      </c>
      <c r="O20" s="15">
        <f t="shared" si="0"/>
        <v>6</v>
      </c>
      <c r="P20" s="15">
        <f t="shared" si="1"/>
        <v>24</v>
      </c>
      <c r="R20" s="1" t="s">
        <v>16</v>
      </c>
      <c r="S20" s="17">
        <f t="shared" ref="S20:AF20" si="12">SUM(C50:C53)</f>
        <v>11</v>
      </c>
      <c r="T20" s="17">
        <f t="shared" si="12"/>
        <v>0</v>
      </c>
      <c r="U20" s="17">
        <f t="shared" si="12"/>
        <v>18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12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97</v>
      </c>
      <c r="AD20" s="17">
        <f t="shared" si="12"/>
        <v>0</v>
      </c>
      <c r="AE20" s="31">
        <f t="shared" si="12"/>
        <v>51</v>
      </c>
      <c r="AF20" s="31">
        <f t="shared" si="12"/>
        <v>148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3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16</v>
      </c>
      <c r="N21" s="50">
        <v>0</v>
      </c>
      <c r="O21" s="15">
        <f t="shared" si="0"/>
        <v>5</v>
      </c>
      <c r="P21" s="15">
        <f t="shared" si="1"/>
        <v>21</v>
      </c>
      <c r="R21" s="36" t="s">
        <v>20</v>
      </c>
      <c r="S21" s="34">
        <f t="shared" ref="S21:AF21" si="13">SUM(C54:C57)</f>
        <v>14</v>
      </c>
      <c r="T21" s="17">
        <f t="shared" si="13"/>
        <v>0</v>
      </c>
      <c r="U21" s="17">
        <f t="shared" si="13"/>
        <v>14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17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96</v>
      </c>
      <c r="AD21" s="17">
        <f t="shared" si="13"/>
        <v>0</v>
      </c>
      <c r="AE21" s="31">
        <f t="shared" si="13"/>
        <v>55</v>
      </c>
      <c r="AF21" s="31">
        <f t="shared" si="13"/>
        <v>151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2</v>
      </c>
      <c r="L22" s="50">
        <v>0</v>
      </c>
      <c r="M22" s="50">
        <v>11</v>
      </c>
      <c r="N22" s="50">
        <v>0</v>
      </c>
      <c r="O22" s="15">
        <f t="shared" si="0"/>
        <v>4</v>
      </c>
      <c r="P22" s="15">
        <f t="shared" si="1"/>
        <v>15</v>
      </c>
      <c r="R22" s="38" t="s">
        <v>90</v>
      </c>
      <c r="S22" s="39">
        <f>MAX(S10:S12)</f>
        <v>2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5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5</v>
      </c>
      <c r="AB22" s="39">
        <f t="shared" si="14"/>
        <v>0</v>
      </c>
      <c r="AC22" s="39">
        <f t="shared" si="14"/>
        <v>55</v>
      </c>
      <c r="AD22" s="39">
        <f t="shared" si="14"/>
        <v>0</v>
      </c>
      <c r="AE22" s="40">
        <f t="shared" si="14"/>
        <v>18</v>
      </c>
      <c r="AF22" s="40">
        <f t="shared" si="14"/>
        <v>73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1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19</v>
      </c>
      <c r="N23" s="50">
        <v>1</v>
      </c>
      <c r="O23" s="15">
        <f t="shared" si="0"/>
        <v>10</v>
      </c>
      <c r="P23" s="15">
        <f t="shared" si="1"/>
        <v>29</v>
      </c>
      <c r="R23" s="38" t="s">
        <v>91</v>
      </c>
      <c r="S23" s="39">
        <f>MAX(S13:S18)</f>
        <v>11</v>
      </c>
      <c r="T23" s="39">
        <f t="shared" ref="T23:AF23" si="15">MAX(T13:T18)</f>
        <v>0</v>
      </c>
      <c r="U23" s="39">
        <f t="shared" si="15"/>
        <v>13</v>
      </c>
      <c r="V23" s="39">
        <f t="shared" si="15"/>
        <v>6</v>
      </c>
      <c r="W23" s="39">
        <f t="shared" si="15"/>
        <v>0</v>
      </c>
      <c r="X23" s="39">
        <f t="shared" si="15"/>
        <v>0</v>
      </c>
      <c r="Y23" s="39">
        <f t="shared" si="15"/>
        <v>11</v>
      </c>
      <c r="Z23" s="39">
        <f t="shared" si="15"/>
        <v>2</v>
      </c>
      <c r="AA23" s="39">
        <f t="shared" si="15"/>
        <v>4</v>
      </c>
      <c r="AB23" s="39">
        <f t="shared" si="15"/>
        <v>0</v>
      </c>
      <c r="AC23" s="39">
        <f t="shared" si="15"/>
        <v>92</v>
      </c>
      <c r="AD23" s="39">
        <f t="shared" si="15"/>
        <v>1</v>
      </c>
      <c r="AE23" s="40">
        <f t="shared" si="15"/>
        <v>37</v>
      </c>
      <c r="AF23" s="40">
        <f t="shared" si="15"/>
        <v>120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4</v>
      </c>
      <c r="P24" s="15">
        <f t="shared" si="1"/>
        <v>22</v>
      </c>
      <c r="R24" s="38" t="s">
        <v>92</v>
      </c>
      <c r="S24" s="39">
        <f>MAX(S19:S21)</f>
        <v>14</v>
      </c>
      <c r="T24" s="39">
        <f t="shared" ref="T24:AF24" si="16">MAX(T19:T21)</f>
        <v>0</v>
      </c>
      <c r="U24" s="39">
        <f t="shared" si="16"/>
        <v>18</v>
      </c>
      <c r="V24" s="39">
        <f t="shared" si="16"/>
        <v>9</v>
      </c>
      <c r="W24" s="39">
        <f t="shared" si="16"/>
        <v>0</v>
      </c>
      <c r="X24" s="39">
        <f t="shared" si="16"/>
        <v>0</v>
      </c>
      <c r="Y24" s="39">
        <f t="shared" si="16"/>
        <v>17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97</v>
      </c>
      <c r="AD24" s="39">
        <f t="shared" si="16"/>
        <v>0</v>
      </c>
      <c r="AE24" s="40">
        <f t="shared" si="16"/>
        <v>55</v>
      </c>
      <c r="AF24" s="40">
        <f t="shared" si="16"/>
        <v>151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5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22</v>
      </c>
      <c r="N25" s="50">
        <v>0</v>
      </c>
      <c r="O25" s="15">
        <f t="shared" si="0"/>
        <v>9</v>
      </c>
      <c r="P25" s="15">
        <f t="shared" si="1"/>
        <v>31</v>
      </c>
      <c r="R25" s="37" t="s">
        <v>85</v>
      </c>
      <c r="S25" s="35">
        <f t="shared" ref="S25:AF25" si="17">SUM(S10:S12)</f>
        <v>5</v>
      </c>
      <c r="T25" s="16">
        <f t="shared" si="17"/>
        <v>0</v>
      </c>
      <c r="U25" s="16">
        <f t="shared" si="17"/>
        <v>14</v>
      </c>
      <c r="V25" s="16">
        <f t="shared" si="17"/>
        <v>13</v>
      </c>
      <c r="W25" s="16">
        <f t="shared" si="17"/>
        <v>0</v>
      </c>
      <c r="X25" s="16">
        <f t="shared" si="17"/>
        <v>0</v>
      </c>
      <c r="Y25" s="16">
        <f t="shared" si="17"/>
        <v>8</v>
      </c>
      <c r="Z25" s="16">
        <f t="shared" si="17"/>
        <v>1</v>
      </c>
      <c r="AA25" s="16">
        <f t="shared" si="17"/>
        <v>5</v>
      </c>
      <c r="AB25" s="16">
        <f t="shared" si="17"/>
        <v>0</v>
      </c>
      <c r="AC25" s="16">
        <f t="shared" si="17"/>
        <v>138</v>
      </c>
      <c r="AD25" s="16">
        <f t="shared" si="17"/>
        <v>0</v>
      </c>
      <c r="AE25" s="32">
        <f t="shared" si="17"/>
        <v>46</v>
      </c>
      <c r="AF25" s="32">
        <f t="shared" si="17"/>
        <v>184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4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2</v>
      </c>
      <c r="L26" s="50">
        <v>0</v>
      </c>
      <c r="M26" s="50">
        <v>18</v>
      </c>
      <c r="N26" s="50">
        <v>0</v>
      </c>
      <c r="O26" s="15">
        <f t="shared" si="0"/>
        <v>8</v>
      </c>
      <c r="P26" s="15">
        <f t="shared" si="1"/>
        <v>26</v>
      </c>
      <c r="R26" s="28" t="s">
        <v>86</v>
      </c>
      <c r="S26" s="16">
        <f t="shared" ref="S26:AF26" si="18">SUM(S13:S18)</f>
        <v>30</v>
      </c>
      <c r="T26" s="16">
        <f t="shared" si="18"/>
        <v>0</v>
      </c>
      <c r="U26" s="16">
        <f t="shared" si="18"/>
        <v>59</v>
      </c>
      <c r="V26" s="16">
        <f t="shared" si="18"/>
        <v>26</v>
      </c>
      <c r="W26" s="16">
        <f t="shared" si="18"/>
        <v>0</v>
      </c>
      <c r="X26" s="16">
        <f t="shared" si="18"/>
        <v>0</v>
      </c>
      <c r="Y26" s="16">
        <f t="shared" si="18"/>
        <v>52</v>
      </c>
      <c r="Z26" s="16">
        <f t="shared" si="18"/>
        <v>5</v>
      </c>
      <c r="AA26" s="16">
        <f t="shared" si="18"/>
        <v>9</v>
      </c>
      <c r="AB26" s="16">
        <f t="shared" si="18"/>
        <v>0</v>
      </c>
      <c r="AC26" s="16">
        <f t="shared" si="18"/>
        <v>485</v>
      </c>
      <c r="AD26" s="16">
        <f t="shared" si="18"/>
        <v>1</v>
      </c>
      <c r="AE26" s="32">
        <f t="shared" si="18"/>
        <v>182</v>
      </c>
      <c r="AF26" s="32">
        <f t="shared" si="18"/>
        <v>667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4</v>
      </c>
      <c r="J27" s="50">
        <v>0</v>
      </c>
      <c r="K27" s="50">
        <v>1</v>
      </c>
      <c r="L27" s="50">
        <v>0</v>
      </c>
      <c r="M27" s="50">
        <v>20</v>
      </c>
      <c r="N27" s="50">
        <v>0</v>
      </c>
      <c r="O27" s="15">
        <f t="shared" si="0"/>
        <v>8</v>
      </c>
      <c r="P27" s="15">
        <f t="shared" si="1"/>
        <v>28</v>
      </c>
      <c r="R27" s="29" t="s">
        <v>87</v>
      </c>
      <c r="S27" s="16">
        <f t="shared" ref="S27:AF27" si="19">SUM(S19:S21)</f>
        <v>33</v>
      </c>
      <c r="T27" s="16">
        <f t="shared" si="19"/>
        <v>0</v>
      </c>
      <c r="U27" s="16">
        <f t="shared" si="19"/>
        <v>42</v>
      </c>
      <c r="V27" s="16">
        <f t="shared" si="19"/>
        <v>26</v>
      </c>
      <c r="W27" s="16">
        <f t="shared" si="19"/>
        <v>0</v>
      </c>
      <c r="X27" s="16">
        <f t="shared" si="19"/>
        <v>0</v>
      </c>
      <c r="Y27" s="16">
        <f t="shared" si="19"/>
        <v>43</v>
      </c>
      <c r="Z27" s="16">
        <f t="shared" si="19"/>
        <v>2</v>
      </c>
      <c r="AA27" s="16">
        <f t="shared" si="19"/>
        <v>3</v>
      </c>
      <c r="AB27" s="16">
        <f t="shared" si="19"/>
        <v>0</v>
      </c>
      <c r="AC27" s="16">
        <f t="shared" si="19"/>
        <v>269</v>
      </c>
      <c r="AD27" s="16">
        <f t="shared" si="19"/>
        <v>0</v>
      </c>
      <c r="AE27" s="32">
        <f t="shared" si="19"/>
        <v>149</v>
      </c>
      <c r="AF27" s="32">
        <f t="shared" si="19"/>
        <v>418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3</v>
      </c>
      <c r="J28" s="50">
        <v>2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8</v>
      </c>
      <c r="P28" s="15">
        <f t="shared" si="1"/>
        <v>26</v>
      </c>
      <c r="R28" s="5" t="s">
        <v>17</v>
      </c>
      <c r="S28" s="16">
        <f t="shared" ref="S28:AF28" si="20">SUM(S10:S21)</f>
        <v>68</v>
      </c>
      <c r="T28" s="16">
        <f t="shared" si="20"/>
        <v>0</v>
      </c>
      <c r="U28" s="16">
        <f t="shared" si="20"/>
        <v>115</v>
      </c>
      <c r="V28" s="16">
        <f t="shared" si="20"/>
        <v>65</v>
      </c>
      <c r="W28" s="16">
        <f t="shared" si="20"/>
        <v>0</v>
      </c>
      <c r="X28" s="16">
        <f t="shared" si="20"/>
        <v>0</v>
      </c>
      <c r="Y28" s="16">
        <f t="shared" si="20"/>
        <v>103</v>
      </c>
      <c r="Z28" s="16">
        <f t="shared" si="20"/>
        <v>8</v>
      </c>
      <c r="AA28" s="16">
        <f t="shared" si="20"/>
        <v>17</v>
      </c>
      <c r="AB28" s="16">
        <f t="shared" si="20"/>
        <v>0</v>
      </c>
      <c r="AC28" s="16">
        <f t="shared" si="20"/>
        <v>892</v>
      </c>
      <c r="AD28" s="16">
        <f t="shared" si="20"/>
        <v>1</v>
      </c>
      <c r="AE28" s="32">
        <f t="shared" si="20"/>
        <v>377</v>
      </c>
      <c r="AF28" s="32">
        <f t="shared" si="20"/>
        <v>1269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6</v>
      </c>
      <c r="F29" s="50">
        <v>1</v>
      </c>
      <c r="G29" s="50">
        <v>0</v>
      </c>
      <c r="H29" s="50">
        <v>0</v>
      </c>
      <c r="I29" s="50">
        <v>3</v>
      </c>
      <c r="J29" s="50">
        <v>0</v>
      </c>
      <c r="K29" s="50">
        <v>1</v>
      </c>
      <c r="L29" s="50">
        <v>0</v>
      </c>
      <c r="M29" s="50">
        <v>28</v>
      </c>
      <c r="N29" s="50">
        <v>0</v>
      </c>
      <c r="O29" s="15">
        <f t="shared" si="0"/>
        <v>11</v>
      </c>
      <c r="P29" s="15">
        <f t="shared" si="1"/>
        <v>39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4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17</v>
      </c>
      <c r="N30" s="50">
        <v>0</v>
      </c>
      <c r="O30" s="15">
        <f t="shared" si="0"/>
        <v>8</v>
      </c>
      <c r="P30" s="15">
        <f t="shared" si="1"/>
        <v>25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35</v>
      </c>
      <c r="N31" s="50">
        <v>0</v>
      </c>
      <c r="O31" s="15">
        <f t="shared" si="0"/>
        <v>3</v>
      </c>
      <c r="P31" s="15">
        <f t="shared" si="1"/>
        <v>38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4</v>
      </c>
      <c r="F32" s="50">
        <v>3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9</v>
      </c>
      <c r="P32" s="15">
        <f t="shared" si="1"/>
        <v>26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23</v>
      </c>
      <c r="N33" s="50">
        <v>0</v>
      </c>
      <c r="O33" s="15">
        <f t="shared" si="0"/>
        <v>3</v>
      </c>
      <c r="P33" s="15">
        <f t="shared" si="1"/>
        <v>26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20</v>
      </c>
      <c r="N34" s="50">
        <v>0</v>
      </c>
      <c r="O34" s="15">
        <f t="shared" si="0"/>
        <v>7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2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4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21</v>
      </c>
      <c r="N36" s="50">
        <v>0</v>
      </c>
      <c r="O36" s="15">
        <f t="shared" si="0"/>
        <v>7</v>
      </c>
      <c r="P36" s="15">
        <f t="shared" si="1"/>
        <v>28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2</v>
      </c>
      <c r="F37" s="50">
        <v>2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28</v>
      </c>
      <c r="N37" s="50">
        <v>0</v>
      </c>
      <c r="O37" s="15">
        <f t="shared" si="0"/>
        <v>9</v>
      </c>
      <c r="P37" s="15">
        <f t="shared" si="1"/>
        <v>37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4</v>
      </c>
      <c r="F38" s="50">
        <v>0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27</v>
      </c>
      <c r="N38" s="50">
        <v>0</v>
      </c>
      <c r="O38" s="15">
        <f t="shared" si="0"/>
        <v>9</v>
      </c>
      <c r="P38" s="15">
        <f t="shared" si="1"/>
        <v>36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10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3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9</v>
      </c>
      <c r="P40" s="15">
        <f t="shared" si="1"/>
        <v>28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7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2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9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4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30</v>
      </c>
      <c r="N43" s="50">
        <v>0</v>
      </c>
      <c r="O43" s="15">
        <f t="shared" si="0"/>
        <v>7</v>
      </c>
      <c r="P43" s="15">
        <f t="shared" si="1"/>
        <v>37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0</v>
      </c>
      <c r="M44" s="50">
        <v>15</v>
      </c>
      <c r="N44" s="50">
        <v>0</v>
      </c>
      <c r="O44" s="15">
        <f t="shared" si="0"/>
        <v>9</v>
      </c>
      <c r="P44" s="15">
        <f t="shared" si="1"/>
        <v>24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4</v>
      </c>
      <c r="F45" s="50">
        <v>1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5">
        <f t="shared" si="0"/>
        <v>12</v>
      </c>
      <c r="P45" s="15">
        <f t="shared" si="1"/>
        <v>29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5</v>
      </c>
      <c r="J46" s="50">
        <v>0</v>
      </c>
      <c r="K46" s="50">
        <v>0</v>
      </c>
      <c r="L46" s="50">
        <v>0</v>
      </c>
      <c r="M46" s="50">
        <v>24</v>
      </c>
      <c r="N46" s="50">
        <v>0</v>
      </c>
      <c r="O46" s="15">
        <f t="shared" si="0"/>
        <v>10</v>
      </c>
      <c r="P46" s="15">
        <f t="shared" si="1"/>
        <v>34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6</v>
      </c>
      <c r="F47" s="50">
        <v>1</v>
      </c>
      <c r="G47" s="50">
        <v>0</v>
      </c>
      <c r="H47" s="50">
        <v>0</v>
      </c>
      <c r="I47" s="50">
        <v>6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14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3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8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2</v>
      </c>
      <c r="F49" s="50">
        <v>3</v>
      </c>
      <c r="G49" s="50">
        <v>0</v>
      </c>
      <c r="H49" s="50">
        <v>0</v>
      </c>
      <c r="I49" s="50">
        <v>1</v>
      </c>
      <c r="J49" s="50">
        <v>1</v>
      </c>
      <c r="K49" s="50">
        <v>1</v>
      </c>
      <c r="L49" s="50">
        <v>0</v>
      </c>
      <c r="M49" s="50">
        <v>21</v>
      </c>
      <c r="N49" s="50">
        <v>0</v>
      </c>
      <c r="O49" s="15">
        <f t="shared" si="0"/>
        <v>11</v>
      </c>
      <c r="P49" s="15">
        <f t="shared" si="1"/>
        <v>32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10</v>
      </c>
      <c r="F50" s="50">
        <v>5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0</v>
      </c>
      <c r="M50" s="50">
        <v>27</v>
      </c>
      <c r="N50" s="50">
        <v>0</v>
      </c>
      <c r="O50" s="15">
        <f t="shared" si="0"/>
        <v>22</v>
      </c>
      <c r="P50" s="15">
        <f t="shared" si="1"/>
        <v>49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1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27</v>
      </c>
      <c r="N51" s="50">
        <v>0</v>
      </c>
      <c r="O51" s="15">
        <f t="shared" si="0"/>
        <v>6</v>
      </c>
      <c r="P51" s="15">
        <f t="shared" si="1"/>
        <v>33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5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21</v>
      </c>
      <c r="N52" s="50">
        <v>0</v>
      </c>
      <c r="O52" s="15">
        <f t="shared" si="0"/>
        <v>13</v>
      </c>
      <c r="P52" s="15">
        <f t="shared" si="1"/>
        <v>34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1</v>
      </c>
      <c r="F53" s="50">
        <v>1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10</v>
      </c>
      <c r="P53" s="15">
        <f t="shared" si="1"/>
        <v>32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4</v>
      </c>
      <c r="F54" s="50">
        <v>1</v>
      </c>
      <c r="G54" s="50">
        <v>0</v>
      </c>
      <c r="H54" s="50">
        <v>0</v>
      </c>
      <c r="I54" s="50">
        <v>7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16</v>
      </c>
      <c r="P54" s="15">
        <f t="shared" si="1"/>
        <v>31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3</v>
      </c>
      <c r="F55" s="50">
        <v>3</v>
      </c>
      <c r="G55" s="50">
        <v>0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22</v>
      </c>
      <c r="N55" s="50">
        <v>0</v>
      </c>
      <c r="O55" s="15">
        <f t="shared" si="0"/>
        <v>17</v>
      </c>
      <c r="P55" s="15">
        <f t="shared" si="1"/>
        <v>39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4</v>
      </c>
      <c r="F56" s="50">
        <v>3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26</v>
      </c>
      <c r="N56" s="50">
        <v>0</v>
      </c>
      <c r="O56" s="15">
        <f t="shared" si="0"/>
        <v>12</v>
      </c>
      <c r="P56" s="15">
        <f t="shared" si="1"/>
        <v>38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3</v>
      </c>
      <c r="F57" s="50">
        <v>2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33</v>
      </c>
      <c r="N57" s="50">
        <v>0</v>
      </c>
      <c r="O57" s="15">
        <f t="shared" si="0"/>
        <v>10</v>
      </c>
      <c r="P57" s="15">
        <f t="shared" si="1"/>
        <v>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68</v>
      </c>
      <c r="D58" s="16">
        <f t="shared" si="21"/>
        <v>0</v>
      </c>
      <c r="E58" s="16">
        <f t="shared" si="21"/>
        <v>115</v>
      </c>
      <c r="F58" s="16">
        <f t="shared" si="21"/>
        <v>65</v>
      </c>
      <c r="G58" s="16">
        <f t="shared" si="21"/>
        <v>0</v>
      </c>
      <c r="H58" s="16">
        <f t="shared" si="21"/>
        <v>0</v>
      </c>
      <c r="I58" s="16">
        <f t="shared" si="21"/>
        <v>103</v>
      </c>
      <c r="J58" s="16">
        <f t="shared" si="21"/>
        <v>8</v>
      </c>
      <c r="K58" s="16">
        <f t="shared" si="21"/>
        <v>17</v>
      </c>
      <c r="L58" s="16">
        <f t="shared" si="21"/>
        <v>0</v>
      </c>
      <c r="M58" s="16">
        <f t="shared" si="21"/>
        <v>892</v>
      </c>
      <c r="N58" s="16">
        <f t="shared" si="21"/>
        <v>1</v>
      </c>
      <c r="O58" s="16">
        <f t="shared" si="21"/>
        <v>377</v>
      </c>
      <c r="P58" s="16">
        <f t="shared" si="21"/>
        <v>1269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5.3585500394011033E-2</v>
      </c>
      <c r="D59" s="43">
        <f t="shared" si="22"/>
        <v>0</v>
      </c>
      <c r="E59" s="43">
        <f t="shared" si="22"/>
        <v>9.0622537431048075E-2</v>
      </c>
      <c r="F59" s="43">
        <f t="shared" si="22"/>
        <v>5.1221434200157602E-2</v>
      </c>
      <c r="G59" s="43">
        <f t="shared" si="22"/>
        <v>0</v>
      </c>
      <c r="H59" s="43">
        <f t="shared" si="22"/>
        <v>0</v>
      </c>
      <c r="I59" s="43">
        <f t="shared" si="22"/>
        <v>8.1166272655634364E-2</v>
      </c>
      <c r="J59" s="43">
        <f t="shared" si="22"/>
        <v>6.3041765169424748E-3</v>
      </c>
      <c r="K59" s="43">
        <f t="shared" si="22"/>
        <v>1.3396375098502758E-2</v>
      </c>
      <c r="L59" s="43">
        <f t="shared" si="22"/>
        <v>0</v>
      </c>
      <c r="M59" s="43">
        <f t="shared" si="22"/>
        <v>0.70291568163908591</v>
      </c>
      <c r="N59" s="43">
        <f t="shared" si="22"/>
        <v>7.8802206461780935E-4</v>
      </c>
      <c r="R59" s="8"/>
      <c r="T59"/>
    </row>
    <row r="60" spans="2:20" ht="23.1" customHeight="1" x14ac:dyDescent="0.25">
      <c r="B60" s="42" t="s">
        <v>94</v>
      </c>
      <c r="C60" s="44">
        <f>C58/$O$58</f>
        <v>0.18037135278514588</v>
      </c>
      <c r="D60" s="44">
        <f t="shared" ref="D60:N60" si="23">D58/$O$58</f>
        <v>0</v>
      </c>
      <c r="E60" s="44">
        <f t="shared" si="23"/>
        <v>0.30503978779840851</v>
      </c>
      <c r="F60" s="44">
        <f t="shared" si="23"/>
        <v>0.17241379310344829</v>
      </c>
      <c r="G60" s="44">
        <f t="shared" si="23"/>
        <v>0</v>
      </c>
      <c r="H60" s="44">
        <f t="shared" si="23"/>
        <v>0</v>
      </c>
      <c r="I60" s="44">
        <f t="shared" si="23"/>
        <v>0.27320954907161804</v>
      </c>
      <c r="J60" s="44">
        <f t="shared" si="23"/>
        <v>2.1220159151193633E-2</v>
      </c>
      <c r="K60" s="44">
        <f t="shared" si="23"/>
        <v>4.5092838196286469E-2</v>
      </c>
      <c r="L60" s="44">
        <f t="shared" si="23"/>
        <v>0</v>
      </c>
      <c r="M60" s="44"/>
      <c r="N60" s="44">
        <f t="shared" si="23"/>
        <v>2.6525198938992041E-3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6" t="str">
        <f>'20.08 KAPEKA-MATUGA'!G5:H5</f>
        <v>Kapeeka</v>
      </c>
      <c r="H5" s="67"/>
      <c r="I5" s="14"/>
      <c r="J5" s="2" t="s">
        <v>5</v>
      </c>
      <c r="K5" s="66" t="str">
        <f>'20.08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KAPEKA-MATUGA'!D6:E6</f>
        <v>KAPEKA</v>
      </c>
      <c r="E6" s="67"/>
      <c r="F6" s="2" t="s">
        <v>2</v>
      </c>
      <c r="G6" s="66" t="str">
        <f>'20.08 KAPEKA-MATUGA'!G6:H6</f>
        <v>MATUGA</v>
      </c>
      <c r="H6" s="67"/>
      <c r="J6" s="2" t="s">
        <v>21</v>
      </c>
      <c r="K6" s="66" t="str">
        <f>'20.08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2</v>
      </c>
      <c r="F10" s="50">
        <v>4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5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24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115</v>
      </c>
      <c r="AD10" s="17">
        <f t="shared" si="2"/>
        <v>0</v>
      </c>
      <c r="AE10" s="31">
        <f t="shared" si="2"/>
        <v>43</v>
      </c>
      <c r="AF10" s="31">
        <f t="shared" si="2"/>
        <v>158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7</v>
      </c>
      <c r="J11" s="50">
        <v>0</v>
      </c>
      <c r="K11" s="50">
        <v>1</v>
      </c>
      <c r="L11" s="50">
        <v>0</v>
      </c>
      <c r="M11" s="50">
        <v>32</v>
      </c>
      <c r="N11" s="50">
        <v>0</v>
      </c>
      <c r="O11" s="15">
        <f t="shared" si="0"/>
        <v>10</v>
      </c>
      <c r="P11" s="15">
        <f t="shared" si="1"/>
        <v>42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6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20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96</v>
      </c>
      <c r="AD11" s="17">
        <f t="shared" si="3"/>
        <v>0</v>
      </c>
      <c r="AE11" s="31">
        <f t="shared" si="3"/>
        <v>41</v>
      </c>
      <c r="AF11" s="31">
        <f t="shared" si="3"/>
        <v>137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1</v>
      </c>
      <c r="G12" s="50">
        <v>0</v>
      </c>
      <c r="H12" s="50">
        <v>0</v>
      </c>
      <c r="I12" s="50">
        <v>6</v>
      </c>
      <c r="J12" s="50">
        <v>0</v>
      </c>
      <c r="K12" s="50">
        <v>0</v>
      </c>
      <c r="L12" s="50">
        <v>0</v>
      </c>
      <c r="M12" s="50">
        <v>40</v>
      </c>
      <c r="N12" s="50">
        <v>0</v>
      </c>
      <c r="O12" s="15">
        <f t="shared" si="0"/>
        <v>9</v>
      </c>
      <c r="P12" s="15">
        <f t="shared" si="1"/>
        <v>49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5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11</v>
      </c>
      <c r="Z12" s="17">
        <f t="shared" si="4"/>
        <v>1</v>
      </c>
      <c r="AA12" s="17">
        <f t="shared" si="4"/>
        <v>3</v>
      </c>
      <c r="AB12" s="17">
        <f t="shared" si="4"/>
        <v>0</v>
      </c>
      <c r="AC12" s="17">
        <f t="shared" si="4"/>
        <v>86</v>
      </c>
      <c r="AD12" s="17">
        <f t="shared" si="4"/>
        <v>0</v>
      </c>
      <c r="AE12" s="31">
        <f t="shared" si="4"/>
        <v>33</v>
      </c>
      <c r="AF12" s="31">
        <f t="shared" si="4"/>
        <v>119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1</v>
      </c>
      <c r="F13" s="50">
        <v>4</v>
      </c>
      <c r="G13" s="50">
        <v>0</v>
      </c>
      <c r="H13" s="50">
        <v>0</v>
      </c>
      <c r="I13" s="50">
        <v>8</v>
      </c>
      <c r="J13" s="50">
        <v>0</v>
      </c>
      <c r="K13" s="50">
        <v>0</v>
      </c>
      <c r="L13" s="50">
        <v>0</v>
      </c>
      <c r="M13" s="50">
        <v>22</v>
      </c>
      <c r="N13" s="50">
        <v>0</v>
      </c>
      <c r="O13" s="15">
        <f t="shared" si="0"/>
        <v>15</v>
      </c>
      <c r="P13" s="15">
        <f t="shared" si="1"/>
        <v>37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9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12</v>
      </c>
      <c r="Z13" s="17">
        <f t="shared" si="5"/>
        <v>3</v>
      </c>
      <c r="AA13" s="17">
        <f t="shared" si="5"/>
        <v>1</v>
      </c>
      <c r="AB13" s="17">
        <f t="shared" si="5"/>
        <v>0</v>
      </c>
      <c r="AC13" s="17">
        <f t="shared" si="5"/>
        <v>91</v>
      </c>
      <c r="AD13" s="17">
        <f t="shared" si="5"/>
        <v>0</v>
      </c>
      <c r="AE13" s="31">
        <f t="shared" si="5"/>
        <v>38</v>
      </c>
      <c r="AF13" s="31">
        <f t="shared" si="5"/>
        <v>129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18</v>
      </c>
      <c r="N14" s="50">
        <v>0</v>
      </c>
      <c r="O14" s="15">
        <f t="shared" si="0"/>
        <v>7</v>
      </c>
      <c r="P14" s="15">
        <f t="shared" si="1"/>
        <v>25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10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1</v>
      </c>
      <c r="AA14" s="17">
        <f t="shared" si="6"/>
        <v>4</v>
      </c>
      <c r="AB14" s="17">
        <f t="shared" si="6"/>
        <v>0</v>
      </c>
      <c r="AC14" s="17">
        <f t="shared" si="6"/>
        <v>76</v>
      </c>
      <c r="AD14" s="17">
        <f t="shared" si="6"/>
        <v>0</v>
      </c>
      <c r="AE14" s="31">
        <f t="shared" si="6"/>
        <v>45</v>
      </c>
      <c r="AF14" s="31">
        <f t="shared" si="6"/>
        <v>121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10</v>
      </c>
      <c r="J15" s="50">
        <v>0</v>
      </c>
      <c r="K15" s="50">
        <v>0</v>
      </c>
      <c r="L15" s="50">
        <v>0</v>
      </c>
      <c r="M15" s="50">
        <v>21</v>
      </c>
      <c r="N15" s="50">
        <v>0</v>
      </c>
      <c r="O15" s="15">
        <f t="shared" si="0"/>
        <v>15</v>
      </c>
      <c r="P15" s="15">
        <f t="shared" si="1"/>
        <v>36</v>
      </c>
      <c r="R15" s="1" t="s">
        <v>11</v>
      </c>
      <c r="S15" s="17">
        <f t="shared" ref="S15:AF15" si="7">SUM(C30:C33)</f>
        <v>19</v>
      </c>
      <c r="T15" s="17">
        <f t="shared" si="7"/>
        <v>0</v>
      </c>
      <c r="U15" s="17">
        <f t="shared" si="7"/>
        <v>12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103</v>
      </c>
      <c r="AD15" s="17">
        <f t="shared" si="7"/>
        <v>2</v>
      </c>
      <c r="AE15" s="31">
        <f t="shared" si="7"/>
        <v>54</v>
      </c>
      <c r="AF15" s="31">
        <f t="shared" si="7"/>
        <v>157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2</v>
      </c>
      <c r="F16" s="50">
        <v>3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30</v>
      </c>
      <c r="N16" s="50">
        <v>0</v>
      </c>
      <c r="O16" s="15">
        <f t="shared" si="0"/>
        <v>10</v>
      </c>
      <c r="P16" s="15">
        <f t="shared" si="1"/>
        <v>40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10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16</v>
      </c>
      <c r="Z16" s="17">
        <f t="shared" si="8"/>
        <v>1</v>
      </c>
      <c r="AA16" s="17">
        <f t="shared" si="8"/>
        <v>5</v>
      </c>
      <c r="AB16" s="17">
        <f t="shared" si="8"/>
        <v>0</v>
      </c>
      <c r="AC16" s="17">
        <f t="shared" si="8"/>
        <v>97</v>
      </c>
      <c r="AD16" s="17">
        <f t="shared" si="8"/>
        <v>2</v>
      </c>
      <c r="AE16" s="31">
        <f t="shared" si="8"/>
        <v>49</v>
      </c>
      <c r="AF16" s="31">
        <f t="shared" si="8"/>
        <v>146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4</v>
      </c>
      <c r="J17" s="50">
        <v>1</v>
      </c>
      <c r="K17" s="50">
        <v>0</v>
      </c>
      <c r="L17" s="50">
        <v>0</v>
      </c>
      <c r="M17" s="50">
        <v>27</v>
      </c>
      <c r="N17" s="50">
        <v>0</v>
      </c>
      <c r="O17" s="15">
        <f t="shared" si="0"/>
        <v>9</v>
      </c>
      <c r="P17" s="15">
        <f t="shared" si="1"/>
        <v>36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13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17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104</v>
      </c>
      <c r="AD17" s="17">
        <f t="shared" si="9"/>
        <v>0</v>
      </c>
      <c r="AE17" s="31">
        <f t="shared" si="9"/>
        <v>48</v>
      </c>
      <c r="AF17" s="31">
        <f t="shared" si="9"/>
        <v>152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1</v>
      </c>
      <c r="L18" s="50">
        <v>0</v>
      </c>
      <c r="M18" s="50">
        <v>22</v>
      </c>
      <c r="N18" s="50">
        <v>0</v>
      </c>
      <c r="O18" s="15">
        <f t="shared" si="0"/>
        <v>5</v>
      </c>
      <c r="P18" s="15">
        <f t="shared" si="1"/>
        <v>27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8</v>
      </c>
      <c r="V18" s="17">
        <f t="shared" si="10"/>
        <v>7</v>
      </c>
      <c r="W18" s="17">
        <f t="shared" si="10"/>
        <v>1</v>
      </c>
      <c r="X18" s="17">
        <f t="shared" si="10"/>
        <v>0</v>
      </c>
      <c r="Y18" s="17">
        <f t="shared" si="10"/>
        <v>20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113</v>
      </c>
      <c r="AD18" s="17">
        <f t="shared" si="10"/>
        <v>0</v>
      </c>
      <c r="AE18" s="31">
        <f t="shared" si="10"/>
        <v>51</v>
      </c>
      <c r="AF18" s="31">
        <f t="shared" si="10"/>
        <v>164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3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2</v>
      </c>
      <c r="L19" s="50">
        <v>0</v>
      </c>
      <c r="M19" s="50">
        <v>20</v>
      </c>
      <c r="N19" s="50">
        <v>0</v>
      </c>
      <c r="O19" s="15">
        <f t="shared" si="0"/>
        <v>9</v>
      </c>
      <c r="P19" s="15">
        <f t="shared" si="1"/>
        <v>29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11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114</v>
      </c>
      <c r="AD19" s="17">
        <f t="shared" si="11"/>
        <v>0</v>
      </c>
      <c r="AE19" s="31">
        <f t="shared" si="11"/>
        <v>35</v>
      </c>
      <c r="AF19" s="31">
        <f t="shared" si="11"/>
        <v>149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1</v>
      </c>
      <c r="G20" s="50">
        <v>1</v>
      </c>
      <c r="H20" s="50">
        <v>0</v>
      </c>
      <c r="I20" s="50">
        <v>7</v>
      </c>
      <c r="J20" s="50">
        <v>0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13</v>
      </c>
      <c r="P20" s="15">
        <f t="shared" si="1"/>
        <v>34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10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14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112</v>
      </c>
      <c r="AD20" s="17">
        <f t="shared" si="12"/>
        <v>0</v>
      </c>
      <c r="AE20" s="31">
        <f t="shared" si="12"/>
        <v>39</v>
      </c>
      <c r="AF20" s="31">
        <f t="shared" si="12"/>
        <v>151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23</v>
      </c>
      <c r="N21" s="50">
        <v>0</v>
      </c>
      <c r="O21" s="15">
        <f t="shared" si="0"/>
        <v>6</v>
      </c>
      <c r="P21" s="15">
        <f t="shared" si="1"/>
        <v>29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10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104</v>
      </c>
      <c r="AD21" s="17">
        <f t="shared" si="13"/>
        <v>0</v>
      </c>
      <c r="AE21" s="31">
        <f t="shared" si="13"/>
        <v>34</v>
      </c>
      <c r="AF21" s="31">
        <f t="shared" si="13"/>
        <v>138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23</v>
      </c>
      <c r="N22" s="50">
        <v>0</v>
      </c>
      <c r="O22" s="15">
        <f t="shared" si="0"/>
        <v>9</v>
      </c>
      <c r="P22" s="15">
        <f t="shared" si="1"/>
        <v>32</v>
      </c>
      <c r="R22" s="38" t="s">
        <v>90</v>
      </c>
      <c r="S22" s="39">
        <f>MAX(S10:S12)</f>
        <v>8</v>
      </c>
      <c r="T22" s="39">
        <f t="shared" ref="T22:AF22" si="14">MAX(T10:T12)</f>
        <v>0</v>
      </c>
      <c r="U22" s="39">
        <f t="shared" si="14"/>
        <v>6</v>
      </c>
      <c r="V22" s="39">
        <f t="shared" si="14"/>
        <v>10</v>
      </c>
      <c r="W22" s="39">
        <f t="shared" si="14"/>
        <v>1</v>
      </c>
      <c r="X22" s="39">
        <f t="shared" si="14"/>
        <v>0</v>
      </c>
      <c r="Y22" s="39">
        <f t="shared" si="14"/>
        <v>24</v>
      </c>
      <c r="Z22" s="39">
        <f t="shared" si="14"/>
        <v>1</v>
      </c>
      <c r="AA22" s="39">
        <f t="shared" si="14"/>
        <v>3</v>
      </c>
      <c r="AB22" s="39">
        <f t="shared" si="14"/>
        <v>0</v>
      </c>
      <c r="AC22" s="39">
        <f t="shared" si="14"/>
        <v>115</v>
      </c>
      <c r="AD22" s="39">
        <f t="shared" si="14"/>
        <v>0</v>
      </c>
      <c r="AE22" s="40">
        <f t="shared" si="14"/>
        <v>43</v>
      </c>
      <c r="AF22" s="40">
        <f t="shared" si="14"/>
        <v>158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19</v>
      </c>
      <c r="N23" s="50">
        <v>0</v>
      </c>
      <c r="O23" s="15">
        <f t="shared" si="0"/>
        <v>8</v>
      </c>
      <c r="P23" s="15">
        <f t="shared" si="1"/>
        <v>27</v>
      </c>
      <c r="R23" s="38" t="s">
        <v>91</v>
      </c>
      <c r="S23" s="39">
        <f>MAX(S13:S18)</f>
        <v>19</v>
      </c>
      <c r="T23" s="39">
        <f t="shared" ref="T23:AF23" si="15">MAX(T13:T18)</f>
        <v>0</v>
      </c>
      <c r="U23" s="39">
        <f t="shared" si="15"/>
        <v>13</v>
      </c>
      <c r="V23" s="39">
        <f t="shared" si="15"/>
        <v>8</v>
      </c>
      <c r="W23" s="39">
        <f t="shared" si="15"/>
        <v>1</v>
      </c>
      <c r="X23" s="39">
        <f t="shared" si="15"/>
        <v>0</v>
      </c>
      <c r="Y23" s="39">
        <f t="shared" si="15"/>
        <v>20</v>
      </c>
      <c r="Z23" s="39">
        <f t="shared" si="15"/>
        <v>3</v>
      </c>
      <c r="AA23" s="39">
        <f t="shared" si="15"/>
        <v>5</v>
      </c>
      <c r="AB23" s="39">
        <f t="shared" si="15"/>
        <v>0</v>
      </c>
      <c r="AC23" s="39">
        <f t="shared" si="15"/>
        <v>113</v>
      </c>
      <c r="AD23" s="39">
        <f t="shared" si="15"/>
        <v>2</v>
      </c>
      <c r="AE23" s="40">
        <f t="shared" si="15"/>
        <v>54</v>
      </c>
      <c r="AF23" s="40">
        <f t="shared" si="15"/>
        <v>164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3</v>
      </c>
      <c r="F24" s="50">
        <v>1</v>
      </c>
      <c r="G24" s="50">
        <v>0</v>
      </c>
      <c r="H24" s="50">
        <v>0</v>
      </c>
      <c r="I24" s="50">
        <v>4</v>
      </c>
      <c r="J24" s="50">
        <v>2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13</v>
      </c>
      <c r="P24" s="15">
        <f t="shared" si="1"/>
        <v>35</v>
      </c>
      <c r="R24" s="38" t="s">
        <v>92</v>
      </c>
      <c r="S24" s="39">
        <f>MAX(S19:S21)</f>
        <v>6</v>
      </c>
      <c r="T24" s="39">
        <f t="shared" ref="T24:AF24" si="16">MAX(T19:T21)</f>
        <v>0</v>
      </c>
      <c r="U24" s="39">
        <f t="shared" si="16"/>
        <v>11</v>
      </c>
      <c r="V24" s="39">
        <f t="shared" si="16"/>
        <v>6</v>
      </c>
      <c r="W24" s="39">
        <f t="shared" si="16"/>
        <v>0</v>
      </c>
      <c r="X24" s="39">
        <f t="shared" si="16"/>
        <v>0</v>
      </c>
      <c r="Y24" s="39">
        <f t="shared" si="16"/>
        <v>14</v>
      </c>
      <c r="Z24" s="39">
        <f t="shared" si="16"/>
        <v>3</v>
      </c>
      <c r="AA24" s="39">
        <f t="shared" si="16"/>
        <v>1</v>
      </c>
      <c r="AB24" s="39">
        <f t="shared" si="16"/>
        <v>0</v>
      </c>
      <c r="AC24" s="39">
        <f t="shared" si="16"/>
        <v>114</v>
      </c>
      <c r="AD24" s="39">
        <f t="shared" si="16"/>
        <v>0</v>
      </c>
      <c r="AE24" s="40">
        <f t="shared" si="16"/>
        <v>39</v>
      </c>
      <c r="AF24" s="40">
        <f t="shared" si="16"/>
        <v>151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3</v>
      </c>
      <c r="J25" s="50">
        <v>1</v>
      </c>
      <c r="K25" s="50">
        <v>1</v>
      </c>
      <c r="L25" s="50">
        <v>0</v>
      </c>
      <c r="M25" s="50">
        <v>27</v>
      </c>
      <c r="N25" s="50">
        <v>0</v>
      </c>
      <c r="O25" s="15">
        <f t="shared" si="0"/>
        <v>8</v>
      </c>
      <c r="P25" s="15">
        <f t="shared" si="1"/>
        <v>35</v>
      </c>
      <c r="R25" s="37" t="s">
        <v>85</v>
      </c>
      <c r="S25" s="35">
        <f t="shared" ref="S25:AF25" si="17">SUM(S10:S12)</f>
        <v>18</v>
      </c>
      <c r="T25" s="16">
        <f t="shared" si="17"/>
        <v>0</v>
      </c>
      <c r="U25" s="16">
        <f t="shared" si="17"/>
        <v>16</v>
      </c>
      <c r="V25" s="16">
        <f t="shared" si="17"/>
        <v>20</v>
      </c>
      <c r="W25" s="16">
        <f t="shared" si="17"/>
        <v>1</v>
      </c>
      <c r="X25" s="16">
        <f t="shared" si="17"/>
        <v>0</v>
      </c>
      <c r="Y25" s="16">
        <f t="shared" si="17"/>
        <v>55</v>
      </c>
      <c r="Z25" s="16">
        <f t="shared" si="17"/>
        <v>2</v>
      </c>
      <c r="AA25" s="16">
        <f t="shared" si="17"/>
        <v>5</v>
      </c>
      <c r="AB25" s="16">
        <f t="shared" si="17"/>
        <v>0</v>
      </c>
      <c r="AC25" s="16">
        <f t="shared" si="17"/>
        <v>297</v>
      </c>
      <c r="AD25" s="16">
        <f t="shared" si="17"/>
        <v>0</v>
      </c>
      <c r="AE25" s="32">
        <f t="shared" si="17"/>
        <v>117</v>
      </c>
      <c r="AF25" s="32">
        <f t="shared" si="17"/>
        <v>414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2</v>
      </c>
      <c r="F26" s="50">
        <v>3</v>
      </c>
      <c r="G26" s="50">
        <v>0</v>
      </c>
      <c r="H26" s="50">
        <v>0</v>
      </c>
      <c r="I26" s="50">
        <v>5</v>
      </c>
      <c r="J26" s="50">
        <v>0</v>
      </c>
      <c r="K26" s="50">
        <v>3</v>
      </c>
      <c r="L26" s="50">
        <v>0</v>
      </c>
      <c r="M26" s="50">
        <v>16</v>
      </c>
      <c r="N26" s="50">
        <v>0</v>
      </c>
      <c r="O26" s="15">
        <f t="shared" si="0"/>
        <v>16</v>
      </c>
      <c r="P26" s="15">
        <f t="shared" si="1"/>
        <v>32</v>
      </c>
      <c r="R26" s="28" t="s">
        <v>86</v>
      </c>
      <c r="S26" s="16">
        <f t="shared" ref="S26:AF26" si="18">SUM(S13:S18)</f>
        <v>67</v>
      </c>
      <c r="T26" s="16">
        <f t="shared" si="18"/>
        <v>0</v>
      </c>
      <c r="U26" s="16">
        <f t="shared" si="18"/>
        <v>62</v>
      </c>
      <c r="V26" s="16">
        <f t="shared" si="18"/>
        <v>37</v>
      </c>
      <c r="W26" s="16">
        <f t="shared" si="18"/>
        <v>1</v>
      </c>
      <c r="X26" s="16">
        <f t="shared" si="18"/>
        <v>0</v>
      </c>
      <c r="Y26" s="16">
        <f t="shared" si="18"/>
        <v>90</v>
      </c>
      <c r="Z26" s="16">
        <f t="shared" si="18"/>
        <v>11</v>
      </c>
      <c r="AA26" s="16">
        <f t="shared" si="18"/>
        <v>13</v>
      </c>
      <c r="AB26" s="16">
        <f t="shared" si="18"/>
        <v>0</v>
      </c>
      <c r="AC26" s="16">
        <f t="shared" si="18"/>
        <v>584</v>
      </c>
      <c r="AD26" s="16">
        <f t="shared" si="18"/>
        <v>4</v>
      </c>
      <c r="AE26" s="32">
        <f t="shared" si="18"/>
        <v>285</v>
      </c>
      <c r="AF26" s="32">
        <f t="shared" si="18"/>
        <v>869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4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7</v>
      </c>
      <c r="P27" s="15">
        <f t="shared" si="1"/>
        <v>22</v>
      </c>
      <c r="R27" s="29" t="s">
        <v>87</v>
      </c>
      <c r="S27" s="16">
        <f t="shared" ref="S27:AF27" si="19">SUM(S19:S21)</f>
        <v>18</v>
      </c>
      <c r="T27" s="16">
        <f t="shared" si="19"/>
        <v>0</v>
      </c>
      <c r="U27" s="16">
        <f t="shared" si="19"/>
        <v>31</v>
      </c>
      <c r="V27" s="16">
        <f t="shared" si="19"/>
        <v>18</v>
      </c>
      <c r="W27" s="16">
        <f t="shared" si="19"/>
        <v>0</v>
      </c>
      <c r="X27" s="16">
        <f t="shared" si="19"/>
        <v>0</v>
      </c>
      <c r="Y27" s="16">
        <f t="shared" si="19"/>
        <v>31</v>
      </c>
      <c r="Z27" s="16">
        <f t="shared" si="19"/>
        <v>8</v>
      </c>
      <c r="AA27" s="16">
        <f t="shared" si="19"/>
        <v>2</v>
      </c>
      <c r="AB27" s="16">
        <f t="shared" si="19"/>
        <v>0</v>
      </c>
      <c r="AC27" s="16">
        <f t="shared" si="19"/>
        <v>330</v>
      </c>
      <c r="AD27" s="16">
        <f t="shared" si="19"/>
        <v>0</v>
      </c>
      <c r="AE27" s="32">
        <f t="shared" si="19"/>
        <v>108</v>
      </c>
      <c r="AF27" s="32">
        <f t="shared" si="19"/>
        <v>438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19</v>
      </c>
      <c r="N28" s="50">
        <v>0</v>
      </c>
      <c r="O28" s="15">
        <f t="shared" si="0"/>
        <v>7</v>
      </c>
      <c r="P28" s="15">
        <f t="shared" si="1"/>
        <v>26</v>
      </c>
      <c r="R28" s="5" t="s">
        <v>17</v>
      </c>
      <c r="S28" s="16">
        <f t="shared" ref="S28:AF28" si="20">SUM(S10:S21)</f>
        <v>103</v>
      </c>
      <c r="T28" s="16">
        <f t="shared" si="20"/>
        <v>0</v>
      </c>
      <c r="U28" s="16">
        <f t="shared" si="20"/>
        <v>109</v>
      </c>
      <c r="V28" s="16">
        <f t="shared" si="20"/>
        <v>75</v>
      </c>
      <c r="W28" s="16">
        <f t="shared" si="20"/>
        <v>2</v>
      </c>
      <c r="X28" s="16">
        <f t="shared" si="20"/>
        <v>0</v>
      </c>
      <c r="Y28" s="16">
        <f t="shared" si="20"/>
        <v>176</v>
      </c>
      <c r="Z28" s="16">
        <f t="shared" si="20"/>
        <v>21</v>
      </c>
      <c r="AA28" s="16">
        <f t="shared" si="20"/>
        <v>20</v>
      </c>
      <c r="AB28" s="16">
        <f t="shared" si="20"/>
        <v>0</v>
      </c>
      <c r="AC28" s="16">
        <f t="shared" si="20"/>
        <v>1211</v>
      </c>
      <c r="AD28" s="16">
        <f t="shared" si="20"/>
        <v>4</v>
      </c>
      <c r="AE28" s="32">
        <f t="shared" si="20"/>
        <v>510</v>
      </c>
      <c r="AF28" s="32">
        <f t="shared" si="20"/>
        <v>1721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3</v>
      </c>
      <c r="F29" s="50">
        <v>3</v>
      </c>
      <c r="G29" s="50">
        <v>0</v>
      </c>
      <c r="H29" s="50">
        <v>0</v>
      </c>
      <c r="I29" s="50">
        <v>4</v>
      </c>
      <c r="J29" s="50">
        <v>1</v>
      </c>
      <c r="K29" s="50">
        <v>1</v>
      </c>
      <c r="L29" s="50">
        <v>0</v>
      </c>
      <c r="M29" s="50">
        <v>26</v>
      </c>
      <c r="N29" s="50">
        <v>0</v>
      </c>
      <c r="O29" s="15">
        <f t="shared" si="0"/>
        <v>15</v>
      </c>
      <c r="P29" s="15">
        <f t="shared" si="1"/>
        <v>41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3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19</v>
      </c>
      <c r="N30" s="50">
        <v>1</v>
      </c>
      <c r="O30" s="15">
        <f t="shared" si="0"/>
        <v>11</v>
      </c>
      <c r="P30" s="15">
        <f t="shared" si="1"/>
        <v>30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3</v>
      </c>
      <c r="F31" s="50">
        <v>0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27</v>
      </c>
      <c r="N31" s="50">
        <v>1</v>
      </c>
      <c r="O31" s="15">
        <f t="shared" si="0"/>
        <v>10</v>
      </c>
      <c r="P31" s="15">
        <f t="shared" si="1"/>
        <v>37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2</v>
      </c>
      <c r="F32" s="50">
        <v>1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28</v>
      </c>
      <c r="N32" s="50">
        <v>0</v>
      </c>
      <c r="O32" s="15">
        <f t="shared" si="0"/>
        <v>11</v>
      </c>
      <c r="P32" s="15">
        <f t="shared" si="1"/>
        <v>39</v>
      </c>
    </row>
    <row r="33" spans="2:20" ht="23.1" customHeight="1" x14ac:dyDescent="0.25">
      <c r="B33" s="23" t="s">
        <v>60</v>
      </c>
      <c r="C33" s="50">
        <v>10</v>
      </c>
      <c r="D33" s="50">
        <v>0</v>
      </c>
      <c r="E33" s="50">
        <v>4</v>
      </c>
      <c r="F33" s="50">
        <v>3</v>
      </c>
      <c r="G33" s="50">
        <v>0</v>
      </c>
      <c r="H33" s="50">
        <v>0</v>
      </c>
      <c r="I33" s="50">
        <v>5</v>
      </c>
      <c r="J33" s="50">
        <v>0</v>
      </c>
      <c r="K33" s="50">
        <v>0</v>
      </c>
      <c r="L33" s="50">
        <v>0</v>
      </c>
      <c r="M33" s="50">
        <v>29</v>
      </c>
      <c r="N33" s="50">
        <v>0</v>
      </c>
      <c r="O33" s="15">
        <f t="shared" si="0"/>
        <v>22</v>
      </c>
      <c r="P33" s="15">
        <f t="shared" si="1"/>
        <v>51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4</v>
      </c>
      <c r="F34" s="50">
        <v>1</v>
      </c>
      <c r="G34" s="50">
        <v>0</v>
      </c>
      <c r="H34" s="50">
        <v>0</v>
      </c>
      <c r="I34" s="50">
        <v>5</v>
      </c>
      <c r="J34" s="50">
        <v>0</v>
      </c>
      <c r="K34" s="50">
        <v>2</v>
      </c>
      <c r="L34" s="50">
        <v>0</v>
      </c>
      <c r="M34" s="50">
        <v>23</v>
      </c>
      <c r="N34" s="50">
        <v>1</v>
      </c>
      <c r="O34" s="15">
        <f t="shared" si="0"/>
        <v>17</v>
      </c>
      <c r="P34" s="15">
        <f t="shared" si="1"/>
        <v>40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25</v>
      </c>
      <c r="N35" s="50">
        <v>1</v>
      </c>
      <c r="O35" s="15">
        <f t="shared" si="0"/>
        <v>9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3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25</v>
      </c>
      <c r="N36" s="50">
        <v>0</v>
      </c>
      <c r="O36" s="15">
        <f t="shared" si="0"/>
        <v>10</v>
      </c>
      <c r="P36" s="15">
        <f t="shared" si="1"/>
        <v>35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4</v>
      </c>
      <c r="F37" s="50">
        <v>1</v>
      </c>
      <c r="G37" s="50">
        <v>0</v>
      </c>
      <c r="H37" s="50">
        <v>0</v>
      </c>
      <c r="I37" s="50">
        <v>5</v>
      </c>
      <c r="J37" s="50">
        <v>1</v>
      </c>
      <c r="K37" s="50">
        <v>2</v>
      </c>
      <c r="L37" s="50">
        <v>0</v>
      </c>
      <c r="M37" s="50">
        <v>24</v>
      </c>
      <c r="N37" s="50">
        <v>0</v>
      </c>
      <c r="O37" s="15">
        <f t="shared" si="0"/>
        <v>13</v>
      </c>
      <c r="P37" s="15">
        <f t="shared" si="1"/>
        <v>37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5</v>
      </c>
      <c r="J38" s="50">
        <v>2</v>
      </c>
      <c r="K38" s="50">
        <v>0</v>
      </c>
      <c r="L38" s="50">
        <v>0</v>
      </c>
      <c r="M38" s="50">
        <v>28</v>
      </c>
      <c r="N38" s="50">
        <v>0</v>
      </c>
      <c r="O38" s="15">
        <f t="shared" si="0"/>
        <v>12</v>
      </c>
      <c r="P38" s="15">
        <f t="shared" si="1"/>
        <v>40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9</v>
      </c>
      <c r="P39" s="15">
        <f t="shared" si="1"/>
        <v>36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7</v>
      </c>
      <c r="F40" s="50">
        <v>4</v>
      </c>
      <c r="G40" s="50">
        <v>0</v>
      </c>
      <c r="H40" s="50">
        <v>0</v>
      </c>
      <c r="I40" s="50">
        <v>5</v>
      </c>
      <c r="J40" s="50">
        <v>0</v>
      </c>
      <c r="K40" s="50">
        <v>0</v>
      </c>
      <c r="L40" s="50">
        <v>0</v>
      </c>
      <c r="M40" s="50">
        <v>26</v>
      </c>
      <c r="N40" s="50">
        <v>0</v>
      </c>
      <c r="O40" s="15">
        <f t="shared" si="0"/>
        <v>19</v>
      </c>
      <c r="P40" s="15">
        <f t="shared" si="1"/>
        <v>45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23</v>
      </c>
      <c r="N41" s="50">
        <v>0</v>
      </c>
      <c r="O41" s="15">
        <f t="shared" si="0"/>
        <v>8</v>
      </c>
      <c r="P41" s="15">
        <f t="shared" si="1"/>
        <v>31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6</v>
      </c>
      <c r="J42" s="50">
        <v>0</v>
      </c>
      <c r="K42" s="50">
        <v>1</v>
      </c>
      <c r="L42" s="50">
        <v>0</v>
      </c>
      <c r="M42" s="50">
        <v>24</v>
      </c>
      <c r="N42" s="50">
        <v>0</v>
      </c>
      <c r="O42" s="15">
        <f t="shared" si="0"/>
        <v>14</v>
      </c>
      <c r="P42" s="15">
        <f t="shared" si="1"/>
        <v>38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40</v>
      </c>
      <c r="N43" s="50">
        <v>0</v>
      </c>
      <c r="O43" s="15">
        <f t="shared" si="0"/>
        <v>10</v>
      </c>
      <c r="P43" s="15">
        <f t="shared" si="1"/>
        <v>50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2</v>
      </c>
      <c r="F44" s="50">
        <v>4</v>
      </c>
      <c r="G44" s="50">
        <v>0</v>
      </c>
      <c r="H44" s="50">
        <v>0</v>
      </c>
      <c r="I44" s="50">
        <v>6</v>
      </c>
      <c r="J44" s="50">
        <v>0</v>
      </c>
      <c r="K44" s="50">
        <v>0</v>
      </c>
      <c r="L44" s="50">
        <v>0</v>
      </c>
      <c r="M44" s="50">
        <v>28</v>
      </c>
      <c r="N44" s="50">
        <v>0</v>
      </c>
      <c r="O44" s="15">
        <f t="shared" si="0"/>
        <v>12</v>
      </c>
      <c r="P44" s="15">
        <f t="shared" si="1"/>
        <v>40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2</v>
      </c>
      <c r="G45" s="50">
        <v>1</v>
      </c>
      <c r="H45" s="50">
        <v>0</v>
      </c>
      <c r="I45" s="50">
        <v>5</v>
      </c>
      <c r="J45" s="50">
        <v>2</v>
      </c>
      <c r="K45" s="50">
        <v>1</v>
      </c>
      <c r="L45" s="50">
        <v>0</v>
      </c>
      <c r="M45" s="50">
        <v>21</v>
      </c>
      <c r="N45" s="50">
        <v>0</v>
      </c>
      <c r="O45" s="15">
        <f t="shared" si="0"/>
        <v>15</v>
      </c>
      <c r="P45" s="15">
        <f t="shared" si="1"/>
        <v>36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2</v>
      </c>
      <c r="F46" s="50">
        <v>1</v>
      </c>
      <c r="G46" s="50">
        <v>0</v>
      </c>
      <c r="H46" s="50">
        <v>0</v>
      </c>
      <c r="I46" s="50">
        <v>4</v>
      </c>
      <c r="J46" s="50">
        <v>3</v>
      </c>
      <c r="K46" s="50">
        <v>0</v>
      </c>
      <c r="L46" s="50">
        <v>0</v>
      </c>
      <c r="M46" s="50">
        <v>27</v>
      </c>
      <c r="N46" s="50">
        <v>0</v>
      </c>
      <c r="O46" s="15">
        <f t="shared" si="0"/>
        <v>11</v>
      </c>
      <c r="P46" s="15">
        <f t="shared" si="1"/>
        <v>38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27</v>
      </c>
      <c r="N47" s="50">
        <v>0</v>
      </c>
      <c r="O47" s="15">
        <f t="shared" si="0"/>
        <v>7</v>
      </c>
      <c r="P47" s="15">
        <f t="shared" si="1"/>
        <v>34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32</v>
      </c>
      <c r="N48" s="50">
        <v>0</v>
      </c>
      <c r="O48" s="15">
        <f t="shared" si="0"/>
        <v>7</v>
      </c>
      <c r="P48" s="15">
        <f t="shared" si="1"/>
        <v>39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5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28</v>
      </c>
      <c r="N49" s="50">
        <v>0</v>
      </c>
      <c r="O49" s="15">
        <f t="shared" si="0"/>
        <v>10</v>
      </c>
      <c r="P49" s="15">
        <f t="shared" si="1"/>
        <v>38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5</v>
      </c>
      <c r="P50" s="15">
        <f t="shared" si="1"/>
        <v>35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3</v>
      </c>
      <c r="F51" s="50">
        <v>3</v>
      </c>
      <c r="G51" s="50">
        <v>0</v>
      </c>
      <c r="H51" s="50">
        <v>0</v>
      </c>
      <c r="I51" s="50">
        <v>6</v>
      </c>
      <c r="J51" s="50">
        <v>0</v>
      </c>
      <c r="K51" s="50">
        <v>0</v>
      </c>
      <c r="L51" s="50">
        <v>0</v>
      </c>
      <c r="M51" s="50">
        <v>32</v>
      </c>
      <c r="N51" s="50">
        <v>0</v>
      </c>
      <c r="O51" s="15">
        <f t="shared" si="0"/>
        <v>14</v>
      </c>
      <c r="P51" s="15">
        <f t="shared" si="1"/>
        <v>46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1</v>
      </c>
      <c r="L52" s="50">
        <v>0</v>
      </c>
      <c r="M52" s="50">
        <v>27</v>
      </c>
      <c r="N52" s="50">
        <v>0</v>
      </c>
      <c r="O52" s="15">
        <f t="shared" si="0"/>
        <v>6</v>
      </c>
      <c r="P52" s="15">
        <f t="shared" si="1"/>
        <v>33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4</v>
      </c>
      <c r="F53" s="50">
        <v>2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23</v>
      </c>
      <c r="N53" s="50">
        <v>0</v>
      </c>
      <c r="O53" s="15">
        <f t="shared" si="0"/>
        <v>14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38</v>
      </c>
      <c r="N54" s="50">
        <v>0</v>
      </c>
      <c r="O54" s="15">
        <f t="shared" si="0"/>
        <v>4</v>
      </c>
      <c r="P54" s="15">
        <f t="shared" si="1"/>
        <v>42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4</v>
      </c>
      <c r="F55" s="50">
        <v>1</v>
      </c>
      <c r="G55" s="50">
        <v>0</v>
      </c>
      <c r="H55" s="50">
        <v>0</v>
      </c>
      <c r="I55" s="50">
        <v>3</v>
      </c>
      <c r="J55" s="50">
        <v>2</v>
      </c>
      <c r="K55" s="50">
        <v>0</v>
      </c>
      <c r="L55" s="50">
        <v>0</v>
      </c>
      <c r="M55" s="50">
        <v>27</v>
      </c>
      <c r="N55" s="50">
        <v>0</v>
      </c>
      <c r="O55" s="15">
        <f t="shared" si="0"/>
        <v>11</v>
      </c>
      <c r="P55" s="15">
        <f t="shared" si="1"/>
        <v>38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4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9</v>
      </c>
      <c r="P56" s="15">
        <f t="shared" si="1"/>
        <v>26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2</v>
      </c>
      <c r="F57" s="50">
        <v>1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22</v>
      </c>
      <c r="N57" s="50">
        <v>0</v>
      </c>
      <c r="O57" s="15">
        <f t="shared" si="0"/>
        <v>10</v>
      </c>
      <c r="P57" s="15">
        <f t="shared" si="1"/>
        <v>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103</v>
      </c>
      <c r="D58" s="16">
        <f t="shared" si="21"/>
        <v>0</v>
      </c>
      <c r="E58" s="16">
        <f t="shared" si="21"/>
        <v>109</v>
      </c>
      <c r="F58" s="16">
        <f t="shared" si="21"/>
        <v>75</v>
      </c>
      <c r="G58" s="16">
        <f t="shared" si="21"/>
        <v>2</v>
      </c>
      <c r="H58" s="16">
        <f t="shared" si="21"/>
        <v>0</v>
      </c>
      <c r="I58" s="16">
        <f t="shared" si="21"/>
        <v>176</v>
      </c>
      <c r="J58" s="16">
        <f t="shared" si="21"/>
        <v>21</v>
      </c>
      <c r="K58" s="16">
        <f t="shared" si="21"/>
        <v>20</v>
      </c>
      <c r="L58" s="16">
        <f t="shared" si="21"/>
        <v>0</v>
      </c>
      <c r="M58" s="16">
        <f t="shared" si="21"/>
        <v>1211</v>
      </c>
      <c r="N58" s="16">
        <f t="shared" si="21"/>
        <v>4</v>
      </c>
      <c r="O58" s="16">
        <f t="shared" si="21"/>
        <v>510</v>
      </c>
      <c r="P58" s="16">
        <f t="shared" si="21"/>
        <v>1721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5.9848925043579311E-2</v>
      </c>
      <c r="D59" s="43">
        <f t="shared" si="22"/>
        <v>0</v>
      </c>
      <c r="E59" s="43">
        <f t="shared" si="22"/>
        <v>6.3335270191748977E-2</v>
      </c>
      <c r="F59" s="43">
        <f t="shared" si="22"/>
        <v>4.3579314352120861E-2</v>
      </c>
      <c r="G59" s="43">
        <f t="shared" si="22"/>
        <v>1.1621150493898896E-3</v>
      </c>
      <c r="H59" s="43">
        <f t="shared" si="22"/>
        <v>0</v>
      </c>
      <c r="I59" s="43">
        <f t="shared" si="22"/>
        <v>0.10226612434631029</v>
      </c>
      <c r="J59" s="43">
        <f t="shared" si="22"/>
        <v>1.2202208018593841E-2</v>
      </c>
      <c r="K59" s="43">
        <f t="shared" si="22"/>
        <v>1.1621150493898896E-2</v>
      </c>
      <c r="L59" s="43">
        <f t="shared" si="22"/>
        <v>0</v>
      </c>
      <c r="M59" s="43">
        <f t="shared" si="22"/>
        <v>0.70366066240557812</v>
      </c>
      <c r="N59" s="43">
        <f t="shared" si="22"/>
        <v>2.3242300987797791E-3</v>
      </c>
      <c r="R59" s="8"/>
      <c r="T59"/>
    </row>
    <row r="60" spans="2:20" ht="23.1" customHeight="1" x14ac:dyDescent="0.25">
      <c r="B60" s="42" t="s">
        <v>94</v>
      </c>
      <c r="C60" s="44">
        <f>C58/$O$58</f>
        <v>0.20196078431372549</v>
      </c>
      <c r="D60" s="44">
        <f t="shared" ref="D60:N60" si="23">D58/$O$58</f>
        <v>0</v>
      </c>
      <c r="E60" s="44">
        <f t="shared" si="23"/>
        <v>0.21372549019607842</v>
      </c>
      <c r="F60" s="44">
        <f t="shared" si="23"/>
        <v>0.14705882352941177</v>
      </c>
      <c r="G60" s="44">
        <f t="shared" si="23"/>
        <v>3.9215686274509803E-3</v>
      </c>
      <c r="H60" s="44">
        <f t="shared" si="23"/>
        <v>0</v>
      </c>
      <c r="I60" s="44">
        <f t="shared" si="23"/>
        <v>0.34509803921568627</v>
      </c>
      <c r="J60" s="44">
        <f t="shared" si="23"/>
        <v>4.1176470588235294E-2</v>
      </c>
      <c r="K60" s="44">
        <f t="shared" si="23"/>
        <v>3.9215686274509803E-2</v>
      </c>
      <c r="L60" s="44">
        <f t="shared" si="23"/>
        <v>0</v>
      </c>
      <c r="M60" s="44"/>
      <c r="N60" s="44">
        <f t="shared" si="23"/>
        <v>7.8431372549019607E-3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M10" sqref="M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MATUGA-KAPEKA'!C3:G3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'22.08 KAPEKA-MATUGA'!D5</f>
        <v>22.08.19</v>
      </c>
      <c r="E5" s="3"/>
      <c r="F5" s="41" t="s">
        <v>1</v>
      </c>
      <c r="G5" s="66" t="str">
        <f>'20.08 KAPEKA-MATUGA'!G5:H5</f>
        <v>Kapeeka</v>
      </c>
      <c r="H5" s="67"/>
      <c r="I5" s="14"/>
      <c r="J5" s="2" t="s">
        <v>5</v>
      </c>
      <c r="K5" s="66" t="str">
        <f>'20.08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MATUGA-KAPEKA'!D6:E6</f>
        <v>MATUGA</v>
      </c>
      <c r="E6" s="67"/>
      <c r="F6" s="2" t="s">
        <v>2</v>
      </c>
      <c r="G6" s="66" t="str">
        <f>'20.08 MATUGA-KAPEKA'!G6:H6</f>
        <v>KAPEKA</v>
      </c>
      <c r="H6" s="67"/>
      <c r="J6" s="2" t="s">
        <v>21</v>
      </c>
      <c r="K6" s="66" t="str">
        <f>'20.08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2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4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62</v>
      </c>
      <c r="AD10" s="17">
        <f t="shared" si="2"/>
        <v>1</v>
      </c>
      <c r="AE10" s="31">
        <f t="shared" si="2"/>
        <v>16</v>
      </c>
      <c r="AF10" s="31">
        <f t="shared" si="2"/>
        <v>78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14</v>
      </c>
      <c r="N11" s="50">
        <v>0</v>
      </c>
      <c r="O11" s="15">
        <f t="shared" si="0"/>
        <v>0</v>
      </c>
      <c r="P11" s="15">
        <f t="shared" si="1"/>
        <v>14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6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85</v>
      </c>
      <c r="AD11" s="17">
        <f t="shared" si="3"/>
        <v>1</v>
      </c>
      <c r="AE11" s="31">
        <f t="shared" si="3"/>
        <v>18</v>
      </c>
      <c r="AF11" s="31">
        <f t="shared" si="3"/>
        <v>103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7</v>
      </c>
      <c r="P12" s="15">
        <f t="shared" si="1"/>
        <v>22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7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13</v>
      </c>
      <c r="Z12" s="17">
        <f t="shared" si="4"/>
        <v>4</v>
      </c>
      <c r="AA12" s="17">
        <f t="shared" si="4"/>
        <v>6</v>
      </c>
      <c r="AB12" s="17">
        <f t="shared" si="4"/>
        <v>0</v>
      </c>
      <c r="AC12" s="17">
        <f t="shared" si="4"/>
        <v>77</v>
      </c>
      <c r="AD12" s="17">
        <f t="shared" si="4"/>
        <v>0</v>
      </c>
      <c r="AE12" s="31">
        <f t="shared" si="4"/>
        <v>41</v>
      </c>
      <c r="AF12" s="31">
        <f t="shared" si="4"/>
        <v>118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23</v>
      </c>
      <c r="N13" s="50">
        <v>1</v>
      </c>
      <c r="O13" s="15">
        <f t="shared" si="0"/>
        <v>5</v>
      </c>
      <c r="P13" s="15">
        <f t="shared" si="1"/>
        <v>28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9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90</v>
      </c>
      <c r="AD13" s="17">
        <f t="shared" si="5"/>
        <v>0</v>
      </c>
      <c r="AE13" s="31">
        <f t="shared" si="5"/>
        <v>26</v>
      </c>
      <c r="AF13" s="31">
        <f t="shared" si="5"/>
        <v>116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18</v>
      </c>
      <c r="N14" s="50">
        <v>0</v>
      </c>
      <c r="O14" s="15">
        <f t="shared" si="0"/>
        <v>3</v>
      </c>
      <c r="P14" s="15">
        <f t="shared" si="1"/>
        <v>21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6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5</v>
      </c>
      <c r="AB14" s="17">
        <f t="shared" si="6"/>
        <v>0</v>
      </c>
      <c r="AC14" s="17">
        <f t="shared" si="6"/>
        <v>83</v>
      </c>
      <c r="AD14" s="17">
        <f t="shared" si="6"/>
        <v>0</v>
      </c>
      <c r="AE14" s="31">
        <f t="shared" si="6"/>
        <v>27</v>
      </c>
      <c r="AF14" s="31">
        <f t="shared" si="6"/>
        <v>110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19</v>
      </c>
      <c r="N15" s="50">
        <v>1</v>
      </c>
      <c r="O15" s="15">
        <f t="shared" si="0"/>
        <v>7</v>
      </c>
      <c r="P15" s="15">
        <f t="shared" si="1"/>
        <v>26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5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84</v>
      </c>
      <c r="AD15" s="17">
        <f t="shared" si="7"/>
        <v>0</v>
      </c>
      <c r="AE15" s="31">
        <f t="shared" si="7"/>
        <v>23</v>
      </c>
      <c r="AF15" s="31">
        <f t="shared" si="7"/>
        <v>107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26</v>
      </c>
      <c r="N16" s="50">
        <v>0</v>
      </c>
      <c r="O16" s="15">
        <f t="shared" si="0"/>
        <v>4</v>
      </c>
      <c r="P16" s="15">
        <f t="shared" si="1"/>
        <v>30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7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8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95</v>
      </c>
      <c r="AD16" s="17">
        <f t="shared" si="8"/>
        <v>0</v>
      </c>
      <c r="AE16" s="31">
        <f t="shared" si="8"/>
        <v>32</v>
      </c>
      <c r="AF16" s="31">
        <f t="shared" si="8"/>
        <v>127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22</v>
      </c>
      <c r="N17" s="50">
        <v>0</v>
      </c>
      <c r="O17" s="15">
        <f t="shared" si="0"/>
        <v>4</v>
      </c>
      <c r="P17" s="15">
        <f t="shared" si="1"/>
        <v>26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9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4</v>
      </c>
      <c r="AA17" s="17">
        <f t="shared" si="9"/>
        <v>1</v>
      </c>
      <c r="AB17" s="17">
        <f t="shared" si="9"/>
        <v>0</v>
      </c>
      <c r="AC17" s="17">
        <f t="shared" si="9"/>
        <v>104</v>
      </c>
      <c r="AD17" s="17">
        <f t="shared" si="9"/>
        <v>0</v>
      </c>
      <c r="AE17" s="31">
        <f t="shared" si="9"/>
        <v>39</v>
      </c>
      <c r="AF17" s="31">
        <f t="shared" si="9"/>
        <v>143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3</v>
      </c>
      <c r="J18" s="50">
        <v>2</v>
      </c>
      <c r="K18" s="50">
        <v>1</v>
      </c>
      <c r="L18" s="50">
        <v>0</v>
      </c>
      <c r="M18" s="50">
        <v>18</v>
      </c>
      <c r="N18" s="50">
        <v>0</v>
      </c>
      <c r="O18" s="15">
        <f t="shared" si="0"/>
        <v>11</v>
      </c>
      <c r="P18" s="15">
        <f t="shared" si="1"/>
        <v>29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9</v>
      </c>
      <c r="V18" s="17">
        <f t="shared" si="10"/>
        <v>7</v>
      </c>
      <c r="W18" s="17">
        <f t="shared" si="10"/>
        <v>1</v>
      </c>
      <c r="X18" s="17">
        <f t="shared" si="10"/>
        <v>0</v>
      </c>
      <c r="Y18" s="17">
        <f t="shared" si="10"/>
        <v>15</v>
      </c>
      <c r="Z18" s="17">
        <f t="shared" si="10"/>
        <v>0</v>
      </c>
      <c r="AA18" s="17">
        <f t="shared" si="10"/>
        <v>5</v>
      </c>
      <c r="AB18" s="17">
        <f t="shared" si="10"/>
        <v>0</v>
      </c>
      <c r="AC18" s="17">
        <f t="shared" si="10"/>
        <v>102</v>
      </c>
      <c r="AD18" s="17">
        <f t="shared" si="10"/>
        <v>0</v>
      </c>
      <c r="AE18" s="31">
        <f t="shared" si="10"/>
        <v>49</v>
      </c>
      <c r="AF18" s="31">
        <f t="shared" si="10"/>
        <v>151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4</v>
      </c>
      <c r="J19" s="50">
        <v>1</v>
      </c>
      <c r="K19" s="50">
        <v>3</v>
      </c>
      <c r="L19" s="50">
        <v>0</v>
      </c>
      <c r="M19" s="50">
        <v>19</v>
      </c>
      <c r="N19" s="50">
        <v>0</v>
      </c>
      <c r="O19" s="15">
        <f t="shared" si="0"/>
        <v>11</v>
      </c>
      <c r="P19" s="15">
        <f t="shared" si="1"/>
        <v>30</v>
      </c>
      <c r="R19" s="1" t="s">
        <v>15</v>
      </c>
      <c r="S19" s="17">
        <f t="shared" ref="S19:AF19" si="11">SUM(C46:C49)</f>
        <v>14</v>
      </c>
      <c r="T19" s="17">
        <f t="shared" si="11"/>
        <v>0</v>
      </c>
      <c r="U19" s="17">
        <f t="shared" si="11"/>
        <v>23</v>
      </c>
      <c r="V19" s="17">
        <f t="shared" si="11"/>
        <v>16</v>
      </c>
      <c r="W19" s="17">
        <f t="shared" si="11"/>
        <v>2</v>
      </c>
      <c r="X19" s="17">
        <f t="shared" si="11"/>
        <v>0</v>
      </c>
      <c r="Y19" s="17">
        <f t="shared" si="11"/>
        <v>13</v>
      </c>
      <c r="Z19" s="17">
        <f t="shared" si="11"/>
        <v>4</v>
      </c>
      <c r="AA19" s="17">
        <f t="shared" si="11"/>
        <v>2</v>
      </c>
      <c r="AB19" s="17">
        <f t="shared" si="11"/>
        <v>0</v>
      </c>
      <c r="AC19" s="17">
        <f t="shared" si="11"/>
        <v>122</v>
      </c>
      <c r="AD19" s="17">
        <f t="shared" si="11"/>
        <v>0</v>
      </c>
      <c r="AE19" s="31">
        <f t="shared" si="11"/>
        <v>74</v>
      </c>
      <c r="AF19" s="31">
        <f t="shared" si="11"/>
        <v>196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4</v>
      </c>
      <c r="F20" s="50">
        <v>1</v>
      </c>
      <c r="G20" s="50">
        <v>0</v>
      </c>
      <c r="H20" s="50">
        <v>0</v>
      </c>
      <c r="I20" s="50">
        <v>0</v>
      </c>
      <c r="J20" s="50">
        <v>1</v>
      </c>
      <c r="K20" s="50">
        <v>1</v>
      </c>
      <c r="L20" s="50">
        <v>0</v>
      </c>
      <c r="M20" s="50">
        <v>22</v>
      </c>
      <c r="N20" s="50">
        <v>0</v>
      </c>
      <c r="O20" s="15">
        <f t="shared" si="0"/>
        <v>11</v>
      </c>
      <c r="P20" s="15">
        <f t="shared" si="1"/>
        <v>33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23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17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123</v>
      </c>
      <c r="AD20" s="17">
        <f t="shared" si="12"/>
        <v>0</v>
      </c>
      <c r="AE20" s="31">
        <f t="shared" si="12"/>
        <v>57</v>
      </c>
      <c r="AF20" s="31">
        <f t="shared" si="12"/>
        <v>180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6</v>
      </c>
      <c r="J21" s="50">
        <v>0</v>
      </c>
      <c r="K21" s="50">
        <v>1</v>
      </c>
      <c r="L21" s="50">
        <v>0</v>
      </c>
      <c r="M21" s="50">
        <v>18</v>
      </c>
      <c r="N21" s="50">
        <v>0</v>
      </c>
      <c r="O21" s="15">
        <f t="shared" si="0"/>
        <v>8</v>
      </c>
      <c r="P21" s="15">
        <f t="shared" si="1"/>
        <v>26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13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30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133</v>
      </c>
      <c r="AD21" s="17">
        <f t="shared" si="13"/>
        <v>0</v>
      </c>
      <c r="AE21" s="31">
        <f t="shared" si="13"/>
        <v>63</v>
      </c>
      <c r="AF21" s="31">
        <f t="shared" si="13"/>
        <v>196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0</v>
      </c>
      <c r="J22" s="50">
        <v>1</v>
      </c>
      <c r="K22" s="50">
        <v>1</v>
      </c>
      <c r="L22" s="50">
        <v>0</v>
      </c>
      <c r="M22" s="50">
        <v>24</v>
      </c>
      <c r="N22" s="50">
        <v>0</v>
      </c>
      <c r="O22" s="15">
        <f t="shared" si="0"/>
        <v>6</v>
      </c>
      <c r="P22" s="15">
        <f t="shared" si="1"/>
        <v>30</v>
      </c>
      <c r="R22" s="38" t="s">
        <v>90</v>
      </c>
      <c r="S22" s="39">
        <f>MAX(S10:S12)</f>
        <v>8</v>
      </c>
      <c r="T22" s="39">
        <f t="shared" ref="T22:AF22" si="14">MAX(T10:T12)</f>
        <v>0</v>
      </c>
      <c r="U22" s="39">
        <f t="shared" si="14"/>
        <v>7</v>
      </c>
      <c r="V22" s="39">
        <f t="shared" si="14"/>
        <v>4</v>
      </c>
      <c r="W22" s="39">
        <f t="shared" si="14"/>
        <v>0</v>
      </c>
      <c r="X22" s="39">
        <f t="shared" si="14"/>
        <v>0</v>
      </c>
      <c r="Y22" s="39">
        <f t="shared" si="14"/>
        <v>13</v>
      </c>
      <c r="Z22" s="39">
        <f t="shared" si="14"/>
        <v>4</v>
      </c>
      <c r="AA22" s="39">
        <f t="shared" si="14"/>
        <v>6</v>
      </c>
      <c r="AB22" s="39">
        <f t="shared" si="14"/>
        <v>0</v>
      </c>
      <c r="AC22" s="39">
        <f t="shared" si="14"/>
        <v>85</v>
      </c>
      <c r="AD22" s="39">
        <f t="shared" si="14"/>
        <v>1</v>
      </c>
      <c r="AE22" s="40">
        <f t="shared" si="14"/>
        <v>41</v>
      </c>
      <c r="AF22" s="40">
        <f t="shared" si="14"/>
        <v>118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7</v>
      </c>
      <c r="P23" s="15">
        <f t="shared" si="1"/>
        <v>24</v>
      </c>
      <c r="R23" s="38" t="s">
        <v>91</v>
      </c>
      <c r="S23" s="39">
        <f>MAX(S13:S18)</f>
        <v>12</v>
      </c>
      <c r="T23" s="39">
        <f t="shared" ref="T23:AF23" si="15">MAX(T13:T18)</f>
        <v>0</v>
      </c>
      <c r="U23" s="39">
        <f t="shared" si="15"/>
        <v>9</v>
      </c>
      <c r="V23" s="39">
        <f t="shared" si="15"/>
        <v>7</v>
      </c>
      <c r="W23" s="39">
        <f t="shared" si="15"/>
        <v>1</v>
      </c>
      <c r="X23" s="39">
        <f t="shared" si="15"/>
        <v>0</v>
      </c>
      <c r="Y23" s="39">
        <f t="shared" si="15"/>
        <v>15</v>
      </c>
      <c r="Z23" s="39">
        <f t="shared" si="15"/>
        <v>4</v>
      </c>
      <c r="AA23" s="39">
        <f t="shared" si="15"/>
        <v>5</v>
      </c>
      <c r="AB23" s="39">
        <f t="shared" si="15"/>
        <v>0</v>
      </c>
      <c r="AC23" s="39">
        <f t="shared" si="15"/>
        <v>104</v>
      </c>
      <c r="AD23" s="39">
        <f t="shared" si="15"/>
        <v>0</v>
      </c>
      <c r="AE23" s="40">
        <f t="shared" si="15"/>
        <v>49</v>
      </c>
      <c r="AF23" s="40">
        <f t="shared" si="15"/>
        <v>151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3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24</v>
      </c>
      <c r="N24" s="50">
        <v>0</v>
      </c>
      <c r="O24" s="15">
        <f t="shared" si="0"/>
        <v>5</v>
      </c>
      <c r="P24" s="15">
        <f t="shared" si="1"/>
        <v>29</v>
      </c>
      <c r="R24" s="38" t="s">
        <v>92</v>
      </c>
      <c r="S24" s="39">
        <f>MAX(S19:S21)</f>
        <v>14</v>
      </c>
      <c r="T24" s="39">
        <f t="shared" ref="T24:AF24" si="16">MAX(T19:T21)</f>
        <v>0</v>
      </c>
      <c r="U24" s="39">
        <f t="shared" si="16"/>
        <v>23</v>
      </c>
      <c r="V24" s="39">
        <f t="shared" si="16"/>
        <v>16</v>
      </c>
      <c r="W24" s="39">
        <f t="shared" si="16"/>
        <v>2</v>
      </c>
      <c r="X24" s="39">
        <f t="shared" si="16"/>
        <v>0</v>
      </c>
      <c r="Y24" s="39">
        <f t="shared" si="16"/>
        <v>30</v>
      </c>
      <c r="Z24" s="39">
        <f t="shared" si="16"/>
        <v>4</v>
      </c>
      <c r="AA24" s="39">
        <f t="shared" si="16"/>
        <v>2</v>
      </c>
      <c r="AB24" s="39">
        <f t="shared" si="16"/>
        <v>0</v>
      </c>
      <c r="AC24" s="39">
        <f t="shared" si="16"/>
        <v>133</v>
      </c>
      <c r="AD24" s="39">
        <f t="shared" si="16"/>
        <v>0</v>
      </c>
      <c r="AE24" s="40">
        <f t="shared" si="16"/>
        <v>74</v>
      </c>
      <c r="AF24" s="40">
        <f t="shared" si="16"/>
        <v>196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4</v>
      </c>
      <c r="J25" s="50">
        <v>1</v>
      </c>
      <c r="K25" s="50">
        <v>0</v>
      </c>
      <c r="L25" s="50">
        <v>0</v>
      </c>
      <c r="M25" s="50">
        <v>25</v>
      </c>
      <c r="N25" s="50">
        <v>0</v>
      </c>
      <c r="O25" s="15">
        <f t="shared" si="0"/>
        <v>8</v>
      </c>
      <c r="P25" s="15">
        <f t="shared" si="1"/>
        <v>33</v>
      </c>
      <c r="R25" s="37" t="s">
        <v>85</v>
      </c>
      <c r="S25" s="35">
        <f t="shared" ref="S25:AF25" si="17">SUM(S10:S12)</f>
        <v>13</v>
      </c>
      <c r="T25" s="16">
        <f t="shared" si="17"/>
        <v>0</v>
      </c>
      <c r="U25" s="16">
        <f t="shared" si="17"/>
        <v>17</v>
      </c>
      <c r="V25" s="16">
        <f t="shared" si="17"/>
        <v>11</v>
      </c>
      <c r="W25" s="16">
        <f t="shared" si="17"/>
        <v>0</v>
      </c>
      <c r="X25" s="16">
        <f t="shared" si="17"/>
        <v>0</v>
      </c>
      <c r="Y25" s="16">
        <f t="shared" si="17"/>
        <v>20</v>
      </c>
      <c r="Z25" s="16">
        <f t="shared" si="17"/>
        <v>6</v>
      </c>
      <c r="AA25" s="16">
        <f t="shared" si="17"/>
        <v>6</v>
      </c>
      <c r="AB25" s="16">
        <f t="shared" si="17"/>
        <v>0</v>
      </c>
      <c r="AC25" s="16">
        <f t="shared" si="17"/>
        <v>224</v>
      </c>
      <c r="AD25" s="16">
        <f t="shared" si="17"/>
        <v>2</v>
      </c>
      <c r="AE25" s="32">
        <f t="shared" si="17"/>
        <v>75</v>
      </c>
      <c r="AF25" s="32">
        <f t="shared" si="17"/>
        <v>299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26</v>
      </c>
      <c r="N26" s="50">
        <v>0</v>
      </c>
      <c r="O26" s="15">
        <f t="shared" si="0"/>
        <v>5</v>
      </c>
      <c r="P26" s="15">
        <f t="shared" si="1"/>
        <v>31</v>
      </c>
      <c r="R26" s="28" t="s">
        <v>86</v>
      </c>
      <c r="S26" s="16">
        <f t="shared" ref="S26:AF26" si="18">SUM(S13:S18)</f>
        <v>38</v>
      </c>
      <c r="T26" s="16">
        <f t="shared" si="18"/>
        <v>0</v>
      </c>
      <c r="U26" s="16">
        <f t="shared" si="18"/>
        <v>45</v>
      </c>
      <c r="V26" s="16">
        <f t="shared" si="18"/>
        <v>32</v>
      </c>
      <c r="W26" s="16">
        <f t="shared" si="18"/>
        <v>2</v>
      </c>
      <c r="X26" s="16">
        <f t="shared" si="18"/>
        <v>0</v>
      </c>
      <c r="Y26" s="16">
        <f t="shared" si="18"/>
        <v>54</v>
      </c>
      <c r="Z26" s="16">
        <f t="shared" si="18"/>
        <v>10</v>
      </c>
      <c r="AA26" s="16">
        <f t="shared" si="18"/>
        <v>15</v>
      </c>
      <c r="AB26" s="16">
        <f t="shared" si="18"/>
        <v>0</v>
      </c>
      <c r="AC26" s="16">
        <f t="shared" si="18"/>
        <v>558</v>
      </c>
      <c r="AD26" s="16">
        <f t="shared" si="18"/>
        <v>0</v>
      </c>
      <c r="AE26" s="32">
        <f t="shared" si="18"/>
        <v>196</v>
      </c>
      <c r="AF26" s="32">
        <f t="shared" si="18"/>
        <v>754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2</v>
      </c>
      <c r="L27" s="50">
        <v>0</v>
      </c>
      <c r="M27" s="50">
        <v>15</v>
      </c>
      <c r="N27" s="50">
        <v>0</v>
      </c>
      <c r="O27" s="15">
        <f t="shared" si="0"/>
        <v>4</v>
      </c>
      <c r="P27" s="15">
        <f t="shared" si="1"/>
        <v>19</v>
      </c>
      <c r="R27" s="29" t="s">
        <v>87</v>
      </c>
      <c r="S27" s="16">
        <f t="shared" ref="S27:AF27" si="19">SUM(S19:S21)</f>
        <v>33</v>
      </c>
      <c r="T27" s="16">
        <f t="shared" si="19"/>
        <v>0</v>
      </c>
      <c r="U27" s="16">
        <f t="shared" si="19"/>
        <v>59</v>
      </c>
      <c r="V27" s="16">
        <f t="shared" si="19"/>
        <v>30</v>
      </c>
      <c r="W27" s="16">
        <f t="shared" si="19"/>
        <v>2</v>
      </c>
      <c r="X27" s="16">
        <f t="shared" si="19"/>
        <v>0</v>
      </c>
      <c r="Y27" s="16">
        <f t="shared" si="19"/>
        <v>60</v>
      </c>
      <c r="Z27" s="16">
        <f t="shared" si="19"/>
        <v>6</v>
      </c>
      <c r="AA27" s="16">
        <f t="shared" si="19"/>
        <v>4</v>
      </c>
      <c r="AB27" s="16">
        <f t="shared" si="19"/>
        <v>0</v>
      </c>
      <c r="AC27" s="16">
        <f t="shared" si="19"/>
        <v>378</v>
      </c>
      <c r="AD27" s="16">
        <f t="shared" si="19"/>
        <v>0</v>
      </c>
      <c r="AE27" s="32">
        <f t="shared" si="19"/>
        <v>194</v>
      </c>
      <c r="AF27" s="32">
        <f t="shared" si="19"/>
        <v>572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2</v>
      </c>
      <c r="J28" s="50">
        <v>0</v>
      </c>
      <c r="K28" s="50">
        <v>2</v>
      </c>
      <c r="L28" s="50">
        <v>0</v>
      </c>
      <c r="M28" s="50">
        <v>19</v>
      </c>
      <c r="N28" s="50">
        <v>0</v>
      </c>
      <c r="O28" s="15">
        <f t="shared" si="0"/>
        <v>9</v>
      </c>
      <c r="P28" s="15">
        <f t="shared" si="1"/>
        <v>28</v>
      </c>
      <c r="R28" s="5" t="s">
        <v>17</v>
      </c>
      <c r="S28" s="16">
        <f t="shared" ref="S28:AF28" si="20">SUM(S10:S21)</f>
        <v>84</v>
      </c>
      <c r="T28" s="16">
        <f t="shared" si="20"/>
        <v>0</v>
      </c>
      <c r="U28" s="16">
        <f t="shared" si="20"/>
        <v>121</v>
      </c>
      <c r="V28" s="16">
        <f t="shared" si="20"/>
        <v>73</v>
      </c>
      <c r="W28" s="16">
        <f t="shared" si="20"/>
        <v>4</v>
      </c>
      <c r="X28" s="16">
        <f t="shared" si="20"/>
        <v>0</v>
      </c>
      <c r="Y28" s="16">
        <f t="shared" si="20"/>
        <v>134</v>
      </c>
      <c r="Z28" s="16">
        <f t="shared" si="20"/>
        <v>22</v>
      </c>
      <c r="AA28" s="16">
        <f t="shared" si="20"/>
        <v>25</v>
      </c>
      <c r="AB28" s="16">
        <f t="shared" si="20"/>
        <v>0</v>
      </c>
      <c r="AC28" s="16">
        <f t="shared" si="20"/>
        <v>1160</v>
      </c>
      <c r="AD28" s="16">
        <f t="shared" si="20"/>
        <v>2</v>
      </c>
      <c r="AE28" s="32">
        <f t="shared" si="20"/>
        <v>465</v>
      </c>
      <c r="AF28" s="32">
        <f t="shared" si="20"/>
        <v>1625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4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v>0</v>
      </c>
      <c r="M29" s="50">
        <v>23</v>
      </c>
      <c r="N29" s="50">
        <v>0</v>
      </c>
      <c r="O29" s="15">
        <f t="shared" si="0"/>
        <v>9</v>
      </c>
      <c r="P29" s="15">
        <f t="shared" si="1"/>
        <v>32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2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25</v>
      </c>
      <c r="N31" s="50">
        <v>0</v>
      </c>
      <c r="O31" s="15">
        <f t="shared" si="0"/>
        <v>4</v>
      </c>
      <c r="P31" s="15">
        <f t="shared" si="1"/>
        <v>29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5</v>
      </c>
      <c r="J32" s="50">
        <v>2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10</v>
      </c>
      <c r="P32" s="15">
        <f t="shared" si="1"/>
        <v>29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3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22</v>
      </c>
      <c r="N33" s="50">
        <v>0</v>
      </c>
      <c r="O33" s="15">
        <f t="shared" si="0"/>
        <v>7</v>
      </c>
      <c r="P33" s="15">
        <f t="shared" si="1"/>
        <v>29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1</v>
      </c>
      <c r="G34" s="50">
        <v>1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8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28</v>
      </c>
      <c r="N35" s="50">
        <v>0</v>
      </c>
      <c r="O35" s="15">
        <f t="shared" si="0"/>
        <v>10</v>
      </c>
      <c r="P35" s="15">
        <f t="shared" si="1"/>
        <v>38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2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1</v>
      </c>
      <c r="L36" s="50">
        <v>0</v>
      </c>
      <c r="M36" s="50">
        <v>28</v>
      </c>
      <c r="N36" s="50">
        <v>0</v>
      </c>
      <c r="O36" s="15">
        <f t="shared" si="0"/>
        <v>7</v>
      </c>
      <c r="P36" s="15">
        <f t="shared" si="1"/>
        <v>35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23</v>
      </c>
      <c r="N37" s="50">
        <v>0</v>
      </c>
      <c r="O37" s="15">
        <f t="shared" si="0"/>
        <v>7</v>
      </c>
      <c r="P37" s="15">
        <f t="shared" si="1"/>
        <v>30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1</v>
      </c>
      <c r="G38" s="50">
        <v>0</v>
      </c>
      <c r="H38" s="50">
        <v>0</v>
      </c>
      <c r="I38" s="50">
        <v>3</v>
      </c>
      <c r="J38" s="50">
        <v>0</v>
      </c>
      <c r="K38" s="50">
        <v>1</v>
      </c>
      <c r="L38" s="50">
        <v>0</v>
      </c>
      <c r="M38" s="50">
        <v>30</v>
      </c>
      <c r="N38" s="50">
        <v>0</v>
      </c>
      <c r="O38" s="15">
        <f t="shared" si="0"/>
        <v>6</v>
      </c>
      <c r="P38" s="15">
        <f t="shared" si="1"/>
        <v>36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4</v>
      </c>
      <c r="F39" s="50">
        <v>0</v>
      </c>
      <c r="G39" s="50">
        <v>0</v>
      </c>
      <c r="H39" s="50">
        <v>0</v>
      </c>
      <c r="I39" s="50">
        <v>6</v>
      </c>
      <c r="J39" s="50">
        <v>1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15</v>
      </c>
      <c r="P39" s="15">
        <f t="shared" si="1"/>
        <v>36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3</v>
      </c>
      <c r="J40" s="50">
        <v>3</v>
      </c>
      <c r="K40" s="50">
        <v>0</v>
      </c>
      <c r="L40" s="50">
        <v>0</v>
      </c>
      <c r="M40" s="50">
        <v>22</v>
      </c>
      <c r="N40" s="50">
        <v>0</v>
      </c>
      <c r="O40" s="15">
        <f t="shared" si="0"/>
        <v>13</v>
      </c>
      <c r="P40" s="15">
        <f t="shared" si="1"/>
        <v>35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3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31</v>
      </c>
      <c r="N41" s="50">
        <v>0</v>
      </c>
      <c r="O41" s="15">
        <f t="shared" si="0"/>
        <v>5</v>
      </c>
      <c r="P41" s="15">
        <f t="shared" si="1"/>
        <v>36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3</v>
      </c>
      <c r="F42" s="50">
        <v>2</v>
      </c>
      <c r="G42" s="50">
        <v>0</v>
      </c>
      <c r="H42" s="50">
        <v>0</v>
      </c>
      <c r="I42" s="50">
        <v>3</v>
      </c>
      <c r="J42" s="50">
        <v>0</v>
      </c>
      <c r="K42" s="50">
        <v>1</v>
      </c>
      <c r="L42" s="50">
        <v>0</v>
      </c>
      <c r="M42" s="50">
        <v>21</v>
      </c>
      <c r="N42" s="50">
        <v>0</v>
      </c>
      <c r="O42" s="15">
        <f t="shared" si="0"/>
        <v>13</v>
      </c>
      <c r="P42" s="15">
        <f t="shared" si="1"/>
        <v>34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2</v>
      </c>
      <c r="F43" s="50">
        <v>1</v>
      </c>
      <c r="G43" s="50">
        <v>0</v>
      </c>
      <c r="H43" s="50">
        <v>0</v>
      </c>
      <c r="I43" s="50">
        <v>3</v>
      </c>
      <c r="J43" s="50">
        <v>0</v>
      </c>
      <c r="K43" s="50">
        <v>2</v>
      </c>
      <c r="L43" s="50">
        <v>0</v>
      </c>
      <c r="M43" s="50">
        <v>31</v>
      </c>
      <c r="N43" s="50">
        <v>0</v>
      </c>
      <c r="O43" s="15">
        <f t="shared" si="0"/>
        <v>10</v>
      </c>
      <c r="P43" s="15">
        <f t="shared" si="1"/>
        <v>41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1</v>
      </c>
      <c r="F44" s="50">
        <v>0</v>
      </c>
      <c r="G44" s="50">
        <v>1</v>
      </c>
      <c r="H44" s="50">
        <v>0</v>
      </c>
      <c r="I44" s="50">
        <v>6</v>
      </c>
      <c r="J44" s="50">
        <v>0</v>
      </c>
      <c r="K44" s="50">
        <v>2</v>
      </c>
      <c r="L44" s="50">
        <v>0</v>
      </c>
      <c r="M44" s="50">
        <v>24</v>
      </c>
      <c r="N44" s="50">
        <v>0</v>
      </c>
      <c r="O44" s="15">
        <f t="shared" si="0"/>
        <v>14</v>
      </c>
      <c r="P44" s="15">
        <f t="shared" si="1"/>
        <v>38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3</v>
      </c>
      <c r="F45" s="50">
        <v>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26</v>
      </c>
      <c r="N45" s="50">
        <v>0</v>
      </c>
      <c r="O45" s="15">
        <f t="shared" si="0"/>
        <v>12</v>
      </c>
      <c r="P45" s="15">
        <f t="shared" si="1"/>
        <v>38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1</v>
      </c>
      <c r="F46" s="50">
        <v>2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20</v>
      </c>
      <c r="N46" s="50">
        <v>0</v>
      </c>
      <c r="O46" s="15">
        <f t="shared" si="0"/>
        <v>12</v>
      </c>
      <c r="P46" s="15">
        <f t="shared" si="1"/>
        <v>32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5</v>
      </c>
      <c r="F47" s="50">
        <v>1</v>
      </c>
      <c r="G47" s="50">
        <v>0</v>
      </c>
      <c r="H47" s="50">
        <v>0</v>
      </c>
      <c r="I47" s="50">
        <v>2</v>
      </c>
      <c r="J47" s="50">
        <v>1</v>
      </c>
      <c r="K47" s="50">
        <v>2</v>
      </c>
      <c r="L47" s="50">
        <v>0</v>
      </c>
      <c r="M47" s="50">
        <v>39</v>
      </c>
      <c r="N47" s="50">
        <v>0</v>
      </c>
      <c r="O47" s="15">
        <f t="shared" si="0"/>
        <v>14</v>
      </c>
      <c r="P47" s="15">
        <f t="shared" si="1"/>
        <v>53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0</v>
      </c>
      <c r="E48" s="50">
        <v>12</v>
      </c>
      <c r="F48" s="50">
        <v>6</v>
      </c>
      <c r="G48" s="50">
        <v>2</v>
      </c>
      <c r="H48" s="50">
        <v>0</v>
      </c>
      <c r="I48" s="50">
        <v>3</v>
      </c>
      <c r="J48" s="50">
        <v>2</v>
      </c>
      <c r="K48" s="50">
        <v>0</v>
      </c>
      <c r="L48" s="50">
        <v>0</v>
      </c>
      <c r="M48" s="50">
        <v>36</v>
      </c>
      <c r="N48" s="50">
        <v>0</v>
      </c>
      <c r="O48" s="15">
        <f t="shared" si="0"/>
        <v>32</v>
      </c>
      <c r="P48" s="15">
        <f t="shared" si="1"/>
        <v>68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5</v>
      </c>
      <c r="F49" s="50">
        <v>7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27</v>
      </c>
      <c r="N49" s="50">
        <v>0</v>
      </c>
      <c r="O49" s="15">
        <f t="shared" si="0"/>
        <v>16</v>
      </c>
      <c r="P49" s="15">
        <f t="shared" si="1"/>
        <v>43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3</v>
      </c>
      <c r="F50" s="50">
        <v>1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28</v>
      </c>
      <c r="N50" s="50">
        <v>0</v>
      </c>
      <c r="O50" s="15">
        <f t="shared" si="0"/>
        <v>7</v>
      </c>
      <c r="P50" s="15">
        <f t="shared" si="1"/>
        <v>35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4</v>
      </c>
      <c r="F51" s="50">
        <v>1</v>
      </c>
      <c r="G51" s="50">
        <v>0</v>
      </c>
      <c r="H51" s="50">
        <v>0</v>
      </c>
      <c r="I51" s="50">
        <v>8</v>
      </c>
      <c r="J51" s="50">
        <v>0</v>
      </c>
      <c r="K51" s="50">
        <v>1</v>
      </c>
      <c r="L51" s="50">
        <v>0</v>
      </c>
      <c r="M51" s="50">
        <v>31</v>
      </c>
      <c r="N51" s="50">
        <v>0</v>
      </c>
      <c r="O51" s="15">
        <f t="shared" si="0"/>
        <v>19</v>
      </c>
      <c r="P51" s="15">
        <f t="shared" si="1"/>
        <v>50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13</v>
      </c>
      <c r="F52" s="50">
        <v>3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34</v>
      </c>
      <c r="N52" s="50">
        <v>0</v>
      </c>
      <c r="O52" s="15">
        <f t="shared" si="0"/>
        <v>20</v>
      </c>
      <c r="P52" s="15">
        <f t="shared" si="1"/>
        <v>54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3</v>
      </c>
      <c r="F53" s="50">
        <v>1</v>
      </c>
      <c r="G53" s="50">
        <v>0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30</v>
      </c>
      <c r="N53" s="50">
        <v>0</v>
      </c>
      <c r="O53" s="15">
        <f t="shared" si="0"/>
        <v>11</v>
      </c>
      <c r="P53" s="15">
        <f t="shared" si="1"/>
        <v>41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3</v>
      </c>
      <c r="F54" s="50">
        <v>3</v>
      </c>
      <c r="G54" s="50">
        <v>0</v>
      </c>
      <c r="H54" s="50">
        <v>0</v>
      </c>
      <c r="I54" s="50">
        <v>6</v>
      </c>
      <c r="J54" s="50">
        <v>0</v>
      </c>
      <c r="K54" s="50">
        <v>1</v>
      </c>
      <c r="L54" s="50">
        <v>0</v>
      </c>
      <c r="M54" s="50">
        <v>19</v>
      </c>
      <c r="N54" s="50">
        <v>0</v>
      </c>
      <c r="O54" s="15">
        <f t="shared" si="0"/>
        <v>15</v>
      </c>
      <c r="P54" s="15">
        <f t="shared" si="1"/>
        <v>34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6</v>
      </c>
      <c r="F55" s="50">
        <v>2</v>
      </c>
      <c r="G55" s="50">
        <v>0</v>
      </c>
      <c r="H55" s="50">
        <v>0</v>
      </c>
      <c r="I55" s="50">
        <v>8</v>
      </c>
      <c r="J55" s="50">
        <v>0</v>
      </c>
      <c r="K55" s="50">
        <v>0</v>
      </c>
      <c r="L55" s="50">
        <v>0</v>
      </c>
      <c r="M55" s="50">
        <v>45</v>
      </c>
      <c r="N55" s="50">
        <v>0</v>
      </c>
      <c r="O55" s="15">
        <f t="shared" si="0"/>
        <v>17</v>
      </c>
      <c r="P55" s="15">
        <f t="shared" si="1"/>
        <v>62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3</v>
      </c>
      <c r="F56" s="50">
        <v>2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35</v>
      </c>
      <c r="N56" s="50">
        <v>0</v>
      </c>
      <c r="O56" s="15">
        <f t="shared" si="0"/>
        <v>11</v>
      </c>
      <c r="P56" s="15">
        <f t="shared" si="1"/>
        <v>46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13</v>
      </c>
      <c r="J57" s="50">
        <v>1</v>
      </c>
      <c r="K57" s="50">
        <v>0</v>
      </c>
      <c r="L57" s="50">
        <v>0</v>
      </c>
      <c r="M57" s="50">
        <v>34</v>
      </c>
      <c r="N57" s="50">
        <v>0</v>
      </c>
      <c r="O57" s="15">
        <f t="shared" si="0"/>
        <v>20</v>
      </c>
      <c r="P57" s="15">
        <f t="shared" si="1"/>
        <v>54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84</v>
      </c>
      <c r="D58" s="16">
        <f t="shared" si="21"/>
        <v>0</v>
      </c>
      <c r="E58" s="16">
        <f t="shared" si="21"/>
        <v>121</v>
      </c>
      <c r="F58" s="16">
        <f t="shared" si="21"/>
        <v>73</v>
      </c>
      <c r="G58" s="16">
        <f t="shared" si="21"/>
        <v>4</v>
      </c>
      <c r="H58" s="16">
        <f t="shared" si="21"/>
        <v>0</v>
      </c>
      <c r="I58" s="16">
        <f t="shared" si="21"/>
        <v>134</v>
      </c>
      <c r="J58" s="16">
        <f t="shared" si="21"/>
        <v>22</v>
      </c>
      <c r="K58" s="16">
        <f t="shared" si="21"/>
        <v>25</v>
      </c>
      <c r="L58" s="16">
        <f t="shared" si="21"/>
        <v>0</v>
      </c>
      <c r="M58" s="16">
        <f t="shared" si="21"/>
        <v>1160</v>
      </c>
      <c r="N58" s="16">
        <f t="shared" si="21"/>
        <v>2</v>
      </c>
      <c r="O58" s="16">
        <f t="shared" si="21"/>
        <v>465</v>
      </c>
      <c r="P58" s="16">
        <f t="shared" si="21"/>
        <v>1625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5.169230769230769E-2</v>
      </c>
      <c r="D59" s="43">
        <f t="shared" si="22"/>
        <v>0</v>
      </c>
      <c r="E59" s="43">
        <f t="shared" si="22"/>
        <v>7.4461538461538468E-2</v>
      </c>
      <c r="F59" s="43">
        <f t="shared" si="22"/>
        <v>4.492307692307692E-2</v>
      </c>
      <c r="G59" s="43">
        <f t="shared" si="22"/>
        <v>2.4615384615384616E-3</v>
      </c>
      <c r="H59" s="43">
        <f t="shared" si="22"/>
        <v>0</v>
      </c>
      <c r="I59" s="43">
        <f t="shared" si="22"/>
        <v>8.2461538461538461E-2</v>
      </c>
      <c r="J59" s="43">
        <f t="shared" si="22"/>
        <v>1.3538461538461539E-2</v>
      </c>
      <c r="K59" s="43">
        <f t="shared" si="22"/>
        <v>1.5384615384615385E-2</v>
      </c>
      <c r="L59" s="43">
        <f t="shared" si="22"/>
        <v>0</v>
      </c>
      <c r="M59" s="43">
        <f t="shared" si="22"/>
        <v>0.7138461538461538</v>
      </c>
      <c r="N59" s="43">
        <f t="shared" si="22"/>
        <v>1.2307692307692308E-3</v>
      </c>
      <c r="R59" s="8"/>
      <c r="T59"/>
    </row>
    <row r="60" spans="2:20" ht="23.1" customHeight="1" x14ac:dyDescent="0.25">
      <c r="B60" s="42" t="s">
        <v>94</v>
      </c>
      <c r="C60" s="44">
        <f>C58/$O$58</f>
        <v>0.18064516129032257</v>
      </c>
      <c r="D60" s="44">
        <f t="shared" ref="D60:N60" si="23">D58/$O$58</f>
        <v>0</v>
      </c>
      <c r="E60" s="44">
        <f t="shared" si="23"/>
        <v>0.26021505376344084</v>
      </c>
      <c r="F60" s="44">
        <f t="shared" si="23"/>
        <v>0.15698924731182795</v>
      </c>
      <c r="G60" s="44">
        <f t="shared" si="23"/>
        <v>8.6021505376344086E-3</v>
      </c>
      <c r="H60" s="44">
        <f t="shared" si="23"/>
        <v>0</v>
      </c>
      <c r="I60" s="44">
        <f t="shared" si="23"/>
        <v>0.28817204301075267</v>
      </c>
      <c r="J60" s="44">
        <f t="shared" si="23"/>
        <v>4.7311827956989246E-2</v>
      </c>
      <c r="K60" s="44">
        <f t="shared" si="23"/>
        <v>5.3763440860215055E-2</v>
      </c>
      <c r="L60" s="44">
        <f t="shared" si="23"/>
        <v>0</v>
      </c>
      <c r="M60" s="44"/>
      <c r="N60" s="44">
        <f t="shared" si="23"/>
        <v>4.3010752688172043E-3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6" t="str">
        <f>'22.08 MATUGA-KAPEKA'!G5:H5</f>
        <v>Kapeeka</v>
      </c>
      <c r="H5" s="67"/>
      <c r="I5" s="14"/>
      <c r="J5" s="2" t="s">
        <v>5</v>
      </c>
      <c r="K5" s="66" t="str">
        <f>'22.08 MATUGA-KAPEKA'!K5:L5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KAPEKA-MATUGA'!D6:E6</f>
        <v>KAPEKA</v>
      </c>
      <c r="E6" s="67"/>
      <c r="F6" s="2" t="s">
        <v>2</v>
      </c>
      <c r="G6" s="66" t="str">
        <f>'20.08 KAPEKA-MATUGA'!G6:H6</f>
        <v>MATUGA</v>
      </c>
      <c r="H6" s="67"/>
      <c r="J6" s="2" t="s">
        <v>21</v>
      </c>
      <c r="K6" s="66" t="str">
        <f>'22.08 MATUGA-KAPEKA'!K6:L6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16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6</v>
      </c>
      <c r="V10" s="17">
        <f t="shared" si="2"/>
        <v>3</v>
      </c>
      <c r="W10" s="17">
        <f t="shared" si="2"/>
        <v>1</v>
      </c>
      <c r="X10" s="17">
        <f t="shared" si="2"/>
        <v>0</v>
      </c>
      <c r="Y10" s="17">
        <f t="shared" si="2"/>
        <v>9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69</v>
      </c>
      <c r="AD10" s="17">
        <f t="shared" si="2"/>
        <v>0</v>
      </c>
      <c r="AE10" s="31">
        <f t="shared" si="2"/>
        <v>23</v>
      </c>
      <c r="AF10" s="31">
        <f t="shared" si="2"/>
        <v>92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0</v>
      </c>
      <c r="M11" s="50">
        <v>18</v>
      </c>
      <c r="N11" s="50">
        <v>0</v>
      </c>
      <c r="O11" s="15">
        <f t="shared" si="0"/>
        <v>7</v>
      </c>
      <c r="P11" s="15">
        <f t="shared" si="1"/>
        <v>25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6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17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84</v>
      </c>
      <c r="AD11" s="17">
        <f t="shared" si="3"/>
        <v>0</v>
      </c>
      <c r="AE11" s="31">
        <f t="shared" si="3"/>
        <v>35</v>
      </c>
      <c r="AF11" s="31">
        <f t="shared" si="3"/>
        <v>119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21</v>
      </c>
      <c r="N12" s="50">
        <v>0</v>
      </c>
      <c r="O12" s="15">
        <f t="shared" si="0"/>
        <v>6</v>
      </c>
      <c r="P12" s="15">
        <f t="shared" si="1"/>
        <v>27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13</v>
      </c>
      <c r="Z12" s="17">
        <f t="shared" si="4"/>
        <v>2</v>
      </c>
      <c r="AA12" s="17">
        <f t="shared" si="4"/>
        <v>2</v>
      </c>
      <c r="AB12" s="17">
        <f t="shared" si="4"/>
        <v>0</v>
      </c>
      <c r="AC12" s="17">
        <f t="shared" si="4"/>
        <v>79</v>
      </c>
      <c r="AD12" s="17">
        <f t="shared" si="4"/>
        <v>0</v>
      </c>
      <c r="AE12" s="31">
        <f t="shared" si="4"/>
        <v>30</v>
      </c>
      <c r="AF12" s="31">
        <f t="shared" si="4"/>
        <v>109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3</v>
      </c>
      <c r="F13" s="50">
        <v>1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7</v>
      </c>
      <c r="P13" s="15">
        <f t="shared" si="1"/>
        <v>21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8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16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80</v>
      </c>
      <c r="AD13" s="17">
        <f t="shared" si="5"/>
        <v>0</v>
      </c>
      <c r="AE13" s="31">
        <f t="shared" si="5"/>
        <v>37</v>
      </c>
      <c r="AF13" s="31">
        <f t="shared" si="5"/>
        <v>117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24</v>
      </c>
      <c r="N14" s="50">
        <v>0</v>
      </c>
      <c r="O14" s="15">
        <f t="shared" si="0"/>
        <v>10</v>
      </c>
      <c r="P14" s="15">
        <f t="shared" si="1"/>
        <v>34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11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80</v>
      </c>
      <c r="AD14" s="17">
        <f t="shared" si="6"/>
        <v>0</v>
      </c>
      <c r="AE14" s="31">
        <f t="shared" si="6"/>
        <v>37</v>
      </c>
      <c r="AF14" s="31">
        <f t="shared" si="6"/>
        <v>117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3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10</v>
      </c>
      <c r="P15" s="15">
        <f t="shared" si="1"/>
        <v>30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15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91</v>
      </c>
      <c r="AD15" s="17">
        <f t="shared" si="7"/>
        <v>0</v>
      </c>
      <c r="AE15" s="31">
        <f t="shared" si="7"/>
        <v>37</v>
      </c>
      <c r="AF15" s="31">
        <f t="shared" si="7"/>
        <v>128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27</v>
      </c>
      <c r="N16" s="50">
        <v>0</v>
      </c>
      <c r="O16" s="15">
        <f t="shared" si="0"/>
        <v>8</v>
      </c>
      <c r="P16" s="15">
        <f t="shared" si="1"/>
        <v>35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12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80</v>
      </c>
      <c r="AD16" s="17">
        <f t="shared" si="8"/>
        <v>0</v>
      </c>
      <c r="AE16" s="31">
        <f t="shared" si="8"/>
        <v>35</v>
      </c>
      <c r="AF16" s="31">
        <f t="shared" si="8"/>
        <v>115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6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7</v>
      </c>
      <c r="P17" s="15">
        <f t="shared" si="1"/>
        <v>20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10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3</v>
      </c>
      <c r="AA17" s="17">
        <f t="shared" si="9"/>
        <v>1</v>
      </c>
      <c r="AB17" s="17">
        <f t="shared" si="9"/>
        <v>0</v>
      </c>
      <c r="AC17" s="17">
        <f t="shared" si="9"/>
        <v>73</v>
      </c>
      <c r="AD17" s="17">
        <f t="shared" si="9"/>
        <v>0</v>
      </c>
      <c r="AE17" s="31">
        <f t="shared" si="9"/>
        <v>36</v>
      </c>
      <c r="AF17" s="31">
        <f t="shared" si="9"/>
        <v>109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6</v>
      </c>
      <c r="J18" s="50">
        <v>1</v>
      </c>
      <c r="K18" s="50">
        <v>2</v>
      </c>
      <c r="L18" s="50">
        <v>0</v>
      </c>
      <c r="M18" s="50">
        <v>20</v>
      </c>
      <c r="N18" s="50">
        <v>0</v>
      </c>
      <c r="O18" s="15">
        <f t="shared" si="0"/>
        <v>11</v>
      </c>
      <c r="P18" s="15">
        <f t="shared" si="1"/>
        <v>31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8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18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79</v>
      </c>
      <c r="AD18" s="17">
        <f t="shared" si="10"/>
        <v>0</v>
      </c>
      <c r="AE18" s="31">
        <f t="shared" si="10"/>
        <v>43</v>
      </c>
      <c r="AF18" s="31">
        <f t="shared" si="10"/>
        <v>122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3</v>
      </c>
      <c r="P19" s="15">
        <f t="shared" si="1"/>
        <v>20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8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91</v>
      </c>
      <c r="AD19" s="17">
        <f t="shared" si="11"/>
        <v>0</v>
      </c>
      <c r="AE19" s="31">
        <f t="shared" si="11"/>
        <v>40</v>
      </c>
      <c r="AF19" s="31">
        <f t="shared" si="11"/>
        <v>131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2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5</v>
      </c>
      <c r="P20" s="15">
        <f t="shared" si="1"/>
        <v>26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16</v>
      </c>
      <c r="V20" s="17">
        <f t="shared" si="12"/>
        <v>5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0</v>
      </c>
      <c r="AA20" s="17">
        <f t="shared" si="12"/>
        <v>3</v>
      </c>
      <c r="AB20" s="17">
        <f t="shared" si="12"/>
        <v>0</v>
      </c>
      <c r="AC20" s="17">
        <f t="shared" si="12"/>
        <v>84</v>
      </c>
      <c r="AD20" s="17">
        <f t="shared" si="12"/>
        <v>0</v>
      </c>
      <c r="AE20" s="31">
        <f t="shared" si="12"/>
        <v>43</v>
      </c>
      <c r="AF20" s="31">
        <f t="shared" si="12"/>
        <v>127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3</v>
      </c>
      <c r="F21" s="50">
        <v>1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21</v>
      </c>
      <c r="N21" s="50">
        <v>0</v>
      </c>
      <c r="O21" s="15">
        <f t="shared" si="0"/>
        <v>11</v>
      </c>
      <c r="P21" s="15">
        <f t="shared" si="1"/>
        <v>32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15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2</v>
      </c>
      <c r="AA21" s="17">
        <f t="shared" si="13"/>
        <v>2</v>
      </c>
      <c r="AB21" s="17">
        <f t="shared" si="13"/>
        <v>0</v>
      </c>
      <c r="AC21" s="17">
        <f t="shared" si="13"/>
        <v>84</v>
      </c>
      <c r="AD21" s="17">
        <f t="shared" si="13"/>
        <v>0</v>
      </c>
      <c r="AE21" s="31">
        <f t="shared" si="13"/>
        <v>38</v>
      </c>
      <c r="AF21" s="31">
        <f t="shared" si="13"/>
        <v>122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1</v>
      </c>
      <c r="L22" s="50">
        <v>0</v>
      </c>
      <c r="M22" s="50">
        <v>20</v>
      </c>
      <c r="N22" s="50">
        <v>0</v>
      </c>
      <c r="O22" s="15">
        <f t="shared" si="0"/>
        <v>8</v>
      </c>
      <c r="P22" s="15">
        <f t="shared" si="1"/>
        <v>28</v>
      </c>
      <c r="R22" s="38" t="s">
        <v>90</v>
      </c>
      <c r="S22" s="39">
        <f>MAX(S10:S12)</f>
        <v>5</v>
      </c>
      <c r="T22" s="39">
        <f t="shared" ref="T22:AF22" si="14">MAX(T10:T12)</f>
        <v>0</v>
      </c>
      <c r="U22" s="39">
        <f t="shared" si="14"/>
        <v>6</v>
      </c>
      <c r="V22" s="39">
        <f t="shared" si="14"/>
        <v>6</v>
      </c>
      <c r="W22" s="39">
        <f t="shared" si="14"/>
        <v>1</v>
      </c>
      <c r="X22" s="39">
        <f t="shared" si="14"/>
        <v>0</v>
      </c>
      <c r="Y22" s="39">
        <f t="shared" si="14"/>
        <v>17</v>
      </c>
      <c r="Z22" s="39">
        <f t="shared" si="14"/>
        <v>2</v>
      </c>
      <c r="AA22" s="39">
        <f t="shared" si="14"/>
        <v>2</v>
      </c>
      <c r="AB22" s="39">
        <f t="shared" si="14"/>
        <v>0</v>
      </c>
      <c r="AC22" s="39">
        <f t="shared" si="14"/>
        <v>84</v>
      </c>
      <c r="AD22" s="39">
        <f t="shared" si="14"/>
        <v>0</v>
      </c>
      <c r="AE22" s="40">
        <f t="shared" si="14"/>
        <v>35</v>
      </c>
      <c r="AF22" s="40">
        <f t="shared" si="14"/>
        <v>119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10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15</v>
      </c>
      <c r="P23" s="15">
        <f t="shared" si="1"/>
        <v>33</v>
      </c>
      <c r="R23" s="38" t="s">
        <v>91</v>
      </c>
      <c r="S23" s="39">
        <f>MAX(S13:S18)</f>
        <v>11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7</v>
      </c>
      <c r="W23" s="39">
        <f t="shared" si="15"/>
        <v>0</v>
      </c>
      <c r="X23" s="39">
        <f t="shared" si="15"/>
        <v>0</v>
      </c>
      <c r="Y23" s="39">
        <f t="shared" si="15"/>
        <v>18</v>
      </c>
      <c r="Z23" s="39">
        <f t="shared" si="15"/>
        <v>3</v>
      </c>
      <c r="AA23" s="39">
        <f t="shared" si="15"/>
        <v>1</v>
      </c>
      <c r="AB23" s="39">
        <f t="shared" si="15"/>
        <v>0</v>
      </c>
      <c r="AC23" s="39">
        <f t="shared" si="15"/>
        <v>91</v>
      </c>
      <c r="AD23" s="39">
        <f t="shared" si="15"/>
        <v>0</v>
      </c>
      <c r="AE23" s="40">
        <f t="shared" si="15"/>
        <v>43</v>
      </c>
      <c r="AF23" s="40">
        <f t="shared" si="15"/>
        <v>128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27</v>
      </c>
      <c r="N24" s="50">
        <v>0</v>
      </c>
      <c r="O24" s="15">
        <f t="shared" si="0"/>
        <v>6</v>
      </c>
      <c r="P24" s="15">
        <f t="shared" si="1"/>
        <v>33</v>
      </c>
      <c r="R24" s="38" t="s">
        <v>92</v>
      </c>
      <c r="S24" s="39">
        <f>MAX(S19:S21)</f>
        <v>12</v>
      </c>
      <c r="T24" s="39">
        <f t="shared" ref="T24:AF24" si="16">MAX(T19:T21)</f>
        <v>0</v>
      </c>
      <c r="U24" s="39">
        <f t="shared" si="16"/>
        <v>16</v>
      </c>
      <c r="V24" s="39">
        <f t="shared" si="16"/>
        <v>8</v>
      </c>
      <c r="W24" s="39">
        <f t="shared" si="16"/>
        <v>0</v>
      </c>
      <c r="X24" s="39">
        <f t="shared" si="16"/>
        <v>0</v>
      </c>
      <c r="Y24" s="39">
        <f t="shared" si="16"/>
        <v>14</v>
      </c>
      <c r="Z24" s="39">
        <f t="shared" si="16"/>
        <v>4</v>
      </c>
      <c r="AA24" s="39">
        <f t="shared" si="16"/>
        <v>3</v>
      </c>
      <c r="AB24" s="39">
        <f t="shared" si="16"/>
        <v>0</v>
      </c>
      <c r="AC24" s="39">
        <f t="shared" si="16"/>
        <v>91</v>
      </c>
      <c r="AD24" s="39">
        <f t="shared" si="16"/>
        <v>0</v>
      </c>
      <c r="AE24" s="40">
        <f t="shared" si="16"/>
        <v>43</v>
      </c>
      <c r="AF24" s="40">
        <f t="shared" si="16"/>
        <v>131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2</v>
      </c>
      <c r="F25" s="50">
        <v>3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8</v>
      </c>
      <c r="P25" s="15">
        <f t="shared" si="1"/>
        <v>23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18</v>
      </c>
      <c r="V25" s="16">
        <f t="shared" si="17"/>
        <v>13</v>
      </c>
      <c r="W25" s="16">
        <f t="shared" si="17"/>
        <v>1</v>
      </c>
      <c r="X25" s="16">
        <f t="shared" si="17"/>
        <v>0</v>
      </c>
      <c r="Y25" s="16">
        <f t="shared" si="17"/>
        <v>39</v>
      </c>
      <c r="Z25" s="16">
        <f t="shared" si="17"/>
        <v>2</v>
      </c>
      <c r="AA25" s="16">
        <f t="shared" si="17"/>
        <v>4</v>
      </c>
      <c r="AB25" s="16">
        <f t="shared" si="17"/>
        <v>0</v>
      </c>
      <c r="AC25" s="16">
        <f t="shared" si="17"/>
        <v>232</v>
      </c>
      <c r="AD25" s="16">
        <f t="shared" si="17"/>
        <v>0</v>
      </c>
      <c r="AE25" s="32">
        <f t="shared" si="17"/>
        <v>88</v>
      </c>
      <c r="AF25" s="32">
        <f t="shared" si="17"/>
        <v>320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5</v>
      </c>
      <c r="F26" s="50">
        <v>1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11</v>
      </c>
      <c r="P26" s="15">
        <f t="shared" si="1"/>
        <v>31</v>
      </c>
      <c r="R26" s="28" t="s">
        <v>86</v>
      </c>
      <c r="S26" s="16">
        <f t="shared" ref="S26:AF26" si="18">SUM(S13:S18)</f>
        <v>50</v>
      </c>
      <c r="T26" s="16">
        <f t="shared" si="18"/>
        <v>0</v>
      </c>
      <c r="U26" s="16">
        <f t="shared" si="18"/>
        <v>64</v>
      </c>
      <c r="V26" s="16">
        <f t="shared" si="18"/>
        <v>26</v>
      </c>
      <c r="W26" s="16">
        <f t="shared" si="18"/>
        <v>0</v>
      </c>
      <c r="X26" s="16">
        <f t="shared" si="18"/>
        <v>0</v>
      </c>
      <c r="Y26" s="16">
        <f t="shared" si="18"/>
        <v>73</v>
      </c>
      <c r="Z26" s="16">
        <f t="shared" si="18"/>
        <v>7</v>
      </c>
      <c r="AA26" s="16">
        <f t="shared" si="18"/>
        <v>5</v>
      </c>
      <c r="AB26" s="16">
        <f t="shared" si="18"/>
        <v>0</v>
      </c>
      <c r="AC26" s="16">
        <f t="shared" si="18"/>
        <v>483</v>
      </c>
      <c r="AD26" s="16">
        <f t="shared" si="18"/>
        <v>0</v>
      </c>
      <c r="AE26" s="32">
        <f t="shared" si="18"/>
        <v>225</v>
      </c>
      <c r="AF26" s="32">
        <f t="shared" si="18"/>
        <v>708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5</v>
      </c>
      <c r="F27" s="50">
        <v>0</v>
      </c>
      <c r="G27" s="50">
        <v>0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16</v>
      </c>
      <c r="N27" s="50">
        <v>0</v>
      </c>
      <c r="O27" s="15">
        <f t="shared" si="0"/>
        <v>12</v>
      </c>
      <c r="P27" s="15">
        <f t="shared" si="1"/>
        <v>28</v>
      </c>
      <c r="R27" s="29" t="s">
        <v>87</v>
      </c>
      <c r="S27" s="16">
        <f t="shared" ref="S27:AF27" si="19">SUM(S19:S21)</f>
        <v>22</v>
      </c>
      <c r="T27" s="16">
        <f t="shared" si="19"/>
        <v>0</v>
      </c>
      <c r="U27" s="16">
        <f t="shared" si="19"/>
        <v>39</v>
      </c>
      <c r="V27" s="16">
        <f t="shared" si="19"/>
        <v>19</v>
      </c>
      <c r="W27" s="16">
        <f t="shared" si="19"/>
        <v>0</v>
      </c>
      <c r="X27" s="16">
        <f t="shared" si="19"/>
        <v>0</v>
      </c>
      <c r="Y27" s="16">
        <f t="shared" si="19"/>
        <v>29</v>
      </c>
      <c r="Z27" s="16">
        <f t="shared" si="19"/>
        <v>6</v>
      </c>
      <c r="AA27" s="16">
        <f t="shared" si="19"/>
        <v>6</v>
      </c>
      <c r="AB27" s="16">
        <f t="shared" si="19"/>
        <v>0</v>
      </c>
      <c r="AC27" s="16">
        <f t="shared" si="19"/>
        <v>259</v>
      </c>
      <c r="AD27" s="16">
        <f t="shared" si="19"/>
        <v>0</v>
      </c>
      <c r="AE27" s="32">
        <f t="shared" si="19"/>
        <v>121</v>
      </c>
      <c r="AF27" s="32">
        <f t="shared" si="19"/>
        <v>380</v>
      </c>
    </row>
    <row r="28" spans="2:32" ht="23.1" customHeight="1" x14ac:dyDescent="0.25">
      <c r="B28" s="23" t="s">
        <v>55</v>
      </c>
      <c r="C28" s="50">
        <v>5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7</v>
      </c>
      <c r="P28" s="15">
        <f t="shared" si="1"/>
        <v>25</v>
      </c>
      <c r="R28" s="5" t="s">
        <v>17</v>
      </c>
      <c r="S28" s="16">
        <f t="shared" ref="S28:AF28" si="20">SUM(S10:S21)</f>
        <v>83</v>
      </c>
      <c r="T28" s="16">
        <f t="shared" si="20"/>
        <v>0</v>
      </c>
      <c r="U28" s="16">
        <f t="shared" si="20"/>
        <v>121</v>
      </c>
      <c r="V28" s="16">
        <f t="shared" si="20"/>
        <v>58</v>
      </c>
      <c r="W28" s="16">
        <f t="shared" si="20"/>
        <v>1</v>
      </c>
      <c r="X28" s="16">
        <f t="shared" si="20"/>
        <v>0</v>
      </c>
      <c r="Y28" s="16">
        <f t="shared" si="20"/>
        <v>141</v>
      </c>
      <c r="Z28" s="16">
        <f t="shared" si="20"/>
        <v>15</v>
      </c>
      <c r="AA28" s="16">
        <f t="shared" si="20"/>
        <v>15</v>
      </c>
      <c r="AB28" s="16">
        <f t="shared" si="20"/>
        <v>0</v>
      </c>
      <c r="AC28" s="16">
        <f t="shared" si="20"/>
        <v>974</v>
      </c>
      <c r="AD28" s="16">
        <f t="shared" si="20"/>
        <v>0</v>
      </c>
      <c r="AE28" s="32">
        <f t="shared" si="20"/>
        <v>434</v>
      </c>
      <c r="AF28" s="32">
        <f t="shared" si="20"/>
        <v>1408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v>0</v>
      </c>
      <c r="M29" s="50">
        <v>26</v>
      </c>
      <c r="N29" s="50">
        <v>0</v>
      </c>
      <c r="O29" s="15">
        <f t="shared" si="0"/>
        <v>7</v>
      </c>
      <c r="P29" s="15">
        <f t="shared" si="1"/>
        <v>33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7</v>
      </c>
      <c r="F30" s="50">
        <v>3</v>
      </c>
      <c r="G30" s="50">
        <v>0</v>
      </c>
      <c r="H30" s="50">
        <v>0</v>
      </c>
      <c r="I30" s="50">
        <v>3</v>
      </c>
      <c r="J30" s="50">
        <v>0</v>
      </c>
      <c r="K30" s="50">
        <v>1</v>
      </c>
      <c r="L30" s="50">
        <v>0</v>
      </c>
      <c r="M30" s="50">
        <v>19</v>
      </c>
      <c r="N30" s="50">
        <v>0</v>
      </c>
      <c r="O30" s="15">
        <f t="shared" si="0"/>
        <v>14</v>
      </c>
      <c r="P30" s="15">
        <f t="shared" si="1"/>
        <v>33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4</v>
      </c>
      <c r="F31" s="50">
        <v>0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9</v>
      </c>
      <c r="P31" s="15">
        <f t="shared" si="1"/>
        <v>31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3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8</v>
      </c>
      <c r="P32" s="15">
        <f t="shared" si="1"/>
        <v>29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29</v>
      </c>
      <c r="N33" s="50">
        <v>0</v>
      </c>
      <c r="O33" s="15">
        <f t="shared" si="0"/>
        <v>6</v>
      </c>
      <c r="P33" s="15">
        <f t="shared" si="1"/>
        <v>35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5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10</v>
      </c>
      <c r="P34" s="15">
        <f t="shared" si="1"/>
        <v>31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7</v>
      </c>
      <c r="P35" s="15">
        <f t="shared" si="1"/>
        <v>22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2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1</v>
      </c>
      <c r="L36" s="50">
        <v>0</v>
      </c>
      <c r="M36" s="50">
        <v>26</v>
      </c>
      <c r="N36" s="50">
        <v>0</v>
      </c>
      <c r="O36" s="15">
        <f t="shared" si="0"/>
        <v>8</v>
      </c>
      <c r="P36" s="15">
        <f t="shared" si="1"/>
        <v>34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3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10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4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0</v>
      </c>
      <c r="M38" s="50">
        <v>16</v>
      </c>
      <c r="N38" s="50">
        <v>0</v>
      </c>
      <c r="O38" s="15">
        <f t="shared" si="0"/>
        <v>12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18</v>
      </c>
      <c r="N39" s="50">
        <v>0</v>
      </c>
      <c r="O39" s="15">
        <f t="shared" si="0"/>
        <v>5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3</v>
      </c>
      <c r="F40" s="50">
        <v>0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0</v>
      </c>
      <c r="M40" s="50">
        <v>22</v>
      </c>
      <c r="N40" s="50">
        <v>0</v>
      </c>
      <c r="O40" s="15">
        <f t="shared" si="0"/>
        <v>8</v>
      </c>
      <c r="P40" s="15">
        <f t="shared" si="1"/>
        <v>30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11</v>
      </c>
      <c r="P41" s="15">
        <f t="shared" si="1"/>
        <v>28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3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20</v>
      </c>
      <c r="N42" s="50">
        <v>0</v>
      </c>
      <c r="O42" s="15">
        <f t="shared" si="0"/>
        <v>12</v>
      </c>
      <c r="P42" s="15">
        <f t="shared" si="1"/>
        <v>32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7</v>
      </c>
      <c r="P43" s="15">
        <f t="shared" si="1"/>
        <v>27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7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14</v>
      </c>
      <c r="P44" s="15">
        <f t="shared" si="1"/>
        <v>30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2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23</v>
      </c>
      <c r="N45" s="50">
        <v>0</v>
      </c>
      <c r="O45" s="15">
        <f t="shared" si="0"/>
        <v>10</v>
      </c>
      <c r="P45" s="15">
        <f t="shared" si="1"/>
        <v>33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3</v>
      </c>
      <c r="F46" s="50">
        <v>2</v>
      </c>
      <c r="G46" s="50">
        <v>0</v>
      </c>
      <c r="H46" s="50">
        <v>0</v>
      </c>
      <c r="I46" s="50">
        <v>5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5">
        <f t="shared" si="0"/>
        <v>10</v>
      </c>
      <c r="P46" s="15">
        <f t="shared" si="1"/>
        <v>29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2</v>
      </c>
      <c r="F47" s="50">
        <v>2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30</v>
      </c>
      <c r="N47" s="50">
        <v>0</v>
      </c>
      <c r="O47" s="15">
        <f t="shared" si="0"/>
        <v>11</v>
      </c>
      <c r="P47" s="15">
        <f t="shared" si="1"/>
        <v>41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4</v>
      </c>
      <c r="J48" s="50">
        <v>1</v>
      </c>
      <c r="K48" s="50">
        <v>1</v>
      </c>
      <c r="L48" s="50">
        <v>0</v>
      </c>
      <c r="M48" s="50">
        <v>19</v>
      </c>
      <c r="N48" s="50">
        <v>0</v>
      </c>
      <c r="O48" s="15">
        <f t="shared" si="0"/>
        <v>7</v>
      </c>
      <c r="P48" s="15">
        <f t="shared" si="1"/>
        <v>26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2</v>
      </c>
      <c r="F49" s="50">
        <v>2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23</v>
      </c>
      <c r="N49" s="50">
        <v>0</v>
      </c>
      <c r="O49" s="15">
        <f t="shared" si="0"/>
        <v>12</v>
      </c>
      <c r="P49" s="15">
        <f t="shared" si="1"/>
        <v>35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4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2</v>
      </c>
      <c r="L50" s="50">
        <v>0</v>
      </c>
      <c r="M50" s="50">
        <v>17</v>
      </c>
      <c r="N50" s="50">
        <v>0</v>
      </c>
      <c r="O50" s="15">
        <f t="shared" si="0"/>
        <v>11</v>
      </c>
      <c r="P50" s="15">
        <f t="shared" si="1"/>
        <v>28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2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1</v>
      </c>
      <c r="L51" s="50">
        <v>0</v>
      </c>
      <c r="M51" s="50">
        <v>25</v>
      </c>
      <c r="N51" s="50">
        <v>0</v>
      </c>
      <c r="O51" s="15">
        <f t="shared" si="0"/>
        <v>8</v>
      </c>
      <c r="P51" s="15">
        <f t="shared" si="1"/>
        <v>33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4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9</v>
      </c>
      <c r="P52" s="15">
        <f t="shared" si="1"/>
        <v>27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6</v>
      </c>
      <c r="F53" s="50">
        <v>1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24</v>
      </c>
      <c r="N53" s="50">
        <v>0</v>
      </c>
      <c r="O53" s="15">
        <f t="shared" si="0"/>
        <v>15</v>
      </c>
      <c r="P53" s="15">
        <f t="shared" si="1"/>
        <v>39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5</v>
      </c>
      <c r="F54" s="50">
        <v>2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23</v>
      </c>
      <c r="N54" s="50">
        <v>0</v>
      </c>
      <c r="O54" s="15">
        <f t="shared" si="0"/>
        <v>10</v>
      </c>
      <c r="P54" s="15">
        <f t="shared" si="1"/>
        <v>33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3</v>
      </c>
      <c r="F55" s="50">
        <v>1</v>
      </c>
      <c r="G55" s="50">
        <v>0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18</v>
      </c>
      <c r="N55" s="50">
        <v>0</v>
      </c>
      <c r="O55" s="15">
        <f t="shared" si="0"/>
        <v>10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4</v>
      </c>
      <c r="F56" s="50">
        <v>1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8</v>
      </c>
      <c r="P56" s="15">
        <f t="shared" si="1"/>
        <v>28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3</v>
      </c>
      <c r="F57" s="50">
        <v>4</v>
      </c>
      <c r="G57" s="50">
        <v>0</v>
      </c>
      <c r="H57" s="50">
        <v>0</v>
      </c>
      <c r="I57" s="50">
        <v>1</v>
      </c>
      <c r="J57" s="50">
        <v>1</v>
      </c>
      <c r="K57" s="50">
        <v>1</v>
      </c>
      <c r="L57" s="50">
        <v>0</v>
      </c>
      <c r="M57" s="50">
        <v>23</v>
      </c>
      <c r="N57" s="50">
        <v>0</v>
      </c>
      <c r="O57" s="15">
        <f t="shared" si="0"/>
        <v>10</v>
      </c>
      <c r="P57" s="15">
        <f t="shared" si="1"/>
        <v>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83</v>
      </c>
      <c r="D58" s="16">
        <f t="shared" si="21"/>
        <v>0</v>
      </c>
      <c r="E58" s="16">
        <f t="shared" si="21"/>
        <v>121</v>
      </c>
      <c r="F58" s="16">
        <f t="shared" si="21"/>
        <v>58</v>
      </c>
      <c r="G58" s="16">
        <f t="shared" si="21"/>
        <v>1</v>
      </c>
      <c r="H58" s="16">
        <f t="shared" si="21"/>
        <v>0</v>
      </c>
      <c r="I58" s="16">
        <f t="shared" si="21"/>
        <v>141</v>
      </c>
      <c r="J58" s="16">
        <f t="shared" si="21"/>
        <v>15</v>
      </c>
      <c r="K58" s="16">
        <f t="shared" si="21"/>
        <v>15</v>
      </c>
      <c r="L58" s="16">
        <f t="shared" si="21"/>
        <v>0</v>
      </c>
      <c r="M58" s="16">
        <f t="shared" si="21"/>
        <v>974</v>
      </c>
      <c r="N58" s="16">
        <f t="shared" si="21"/>
        <v>0</v>
      </c>
      <c r="O58" s="16">
        <f t="shared" si="21"/>
        <v>434</v>
      </c>
      <c r="P58" s="16">
        <f t="shared" si="21"/>
        <v>1408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5.894886363636364E-2</v>
      </c>
      <c r="D59" s="43">
        <f t="shared" si="22"/>
        <v>0</v>
      </c>
      <c r="E59" s="43">
        <f t="shared" si="22"/>
        <v>8.59375E-2</v>
      </c>
      <c r="F59" s="43">
        <f t="shared" si="22"/>
        <v>4.1193181818181816E-2</v>
      </c>
      <c r="G59" s="43">
        <f t="shared" si="22"/>
        <v>7.1022727272727275E-4</v>
      </c>
      <c r="H59" s="43">
        <f t="shared" si="22"/>
        <v>0</v>
      </c>
      <c r="I59" s="43">
        <f t="shared" si="22"/>
        <v>0.10014204545454546</v>
      </c>
      <c r="J59" s="43">
        <f t="shared" si="22"/>
        <v>1.065340909090909E-2</v>
      </c>
      <c r="K59" s="43">
        <f t="shared" si="22"/>
        <v>1.065340909090909E-2</v>
      </c>
      <c r="L59" s="43">
        <f t="shared" si="22"/>
        <v>0</v>
      </c>
      <c r="M59" s="43">
        <f t="shared" si="22"/>
        <v>0.69176136363636365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0.19124423963133641</v>
      </c>
      <c r="D60" s="44">
        <f t="shared" ref="D60:N60" si="23">D58/$O$58</f>
        <v>0</v>
      </c>
      <c r="E60" s="44">
        <f t="shared" si="23"/>
        <v>0.27880184331797236</v>
      </c>
      <c r="F60" s="44">
        <f t="shared" si="23"/>
        <v>0.13364055299539171</v>
      </c>
      <c r="G60" s="44">
        <f t="shared" si="23"/>
        <v>2.304147465437788E-3</v>
      </c>
      <c r="H60" s="44">
        <f t="shared" si="23"/>
        <v>0</v>
      </c>
      <c r="I60" s="44">
        <f t="shared" si="23"/>
        <v>0.32488479262672809</v>
      </c>
      <c r="J60" s="44">
        <f t="shared" si="23"/>
        <v>3.4562211981566823E-2</v>
      </c>
      <c r="K60" s="44">
        <f t="shared" si="23"/>
        <v>3.4562211981566823E-2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MATUGA-KAPEKA'!C3:G3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'23.08 KAPEKA-MATUGA'!D5</f>
        <v>23.08.19</v>
      </c>
      <c r="E5" s="3"/>
      <c r="F5" s="41" t="s">
        <v>1</v>
      </c>
      <c r="G5" s="66" t="str">
        <f>'23.08 KAPEKA-MATUGA'!G5:H5</f>
        <v>Kapeeka</v>
      </c>
      <c r="H5" s="67"/>
      <c r="I5" s="14"/>
      <c r="J5" s="2" t="s">
        <v>5</v>
      </c>
      <c r="K5" s="66" t="str">
        <f>'23.08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MATUGA-KAPEKA'!D6:E6</f>
        <v>MATUGA</v>
      </c>
      <c r="E6" s="67"/>
      <c r="F6" s="2" t="s">
        <v>2</v>
      </c>
      <c r="G6" s="66" t="str">
        <f>'20.08 MATUGA-KAPEKA'!G6:H6</f>
        <v>KAPEKA</v>
      </c>
      <c r="H6" s="67"/>
      <c r="J6" s="2" t="s">
        <v>21</v>
      </c>
      <c r="K6" s="66" t="str">
        <f>'23.08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4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52</v>
      </c>
      <c r="AD10" s="17">
        <f t="shared" si="2"/>
        <v>0</v>
      </c>
      <c r="AE10" s="31">
        <f t="shared" si="2"/>
        <v>19</v>
      </c>
      <c r="AF10" s="31">
        <f t="shared" si="2"/>
        <v>71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14</v>
      </c>
      <c r="N11" s="50">
        <v>0</v>
      </c>
      <c r="O11" s="15">
        <f t="shared" si="0"/>
        <v>2</v>
      </c>
      <c r="P11" s="15">
        <f t="shared" si="1"/>
        <v>16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6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85</v>
      </c>
      <c r="AD11" s="17">
        <f t="shared" si="3"/>
        <v>0</v>
      </c>
      <c r="AE11" s="31">
        <f t="shared" si="3"/>
        <v>26</v>
      </c>
      <c r="AF11" s="31">
        <f t="shared" si="3"/>
        <v>111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1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5</v>
      </c>
      <c r="P12" s="15">
        <f t="shared" si="1"/>
        <v>18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9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3</v>
      </c>
      <c r="AB12" s="17">
        <f t="shared" si="4"/>
        <v>0</v>
      </c>
      <c r="AC12" s="17">
        <f t="shared" si="4"/>
        <v>75</v>
      </c>
      <c r="AD12" s="17">
        <f t="shared" si="4"/>
        <v>0</v>
      </c>
      <c r="AE12" s="31">
        <f t="shared" si="4"/>
        <v>28</v>
      </c>
      <c r="AF12" s="31">
        <f t="shared" si="4"/>
        <v>103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6</v>
      </c>
      <c r="P13" s="15">
        <f t="shared" si="1"/>
        <v>20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7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72</v>
      </c>
      <c r="AD13" s="17">
        <f t="shared" si="5"/>
        <v>0</v>
      </c>
      <c r="AE13" s="31">
        <f t="shared" si="5"/>
        <v>30</v>
      </c>
      <c r="AF13" s="31">
        <f t="shared" si="5"/>
        <v>102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3</v>
      </c>
      <c r="F14" s="50">
        <v>1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20</v>
      </c>
      <c r="N14" s="50">
        <v>0</v>
      </c>
      <c r="O14" s="15">
        <f t="shared" si="0"/>
        <v>9</v>
      </c>
      <c r="P14" s="15">
        <f t="shared" si="1"/>
        <v>29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9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2</v>
      </c>
      <c r="AB14" s="17">
        <f t="shared" si="6"/>
        <v>0</v>
      </c>
      <c r="AC14" s="17">
        <f t="shared" si="6"/>
        <v>79</v>
      </c>
      <c r="AD14" s="17">
        <f t="shared" si="6"/>
        <v>0</v>
      </c>
      <c r="AE14" s="31">
        <f t="shared" si="6"/>
        <v>23</v>
      </c>
      <c r="AF14" s="31">
        <f t="shared" si="6"/>
        <v>102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26</v>
      </c>
      <c r="N15" s="50">
        <v>0</v>
      </c>
      <c r="O15" s="15">
        <f t="shared" si="0"/>
        <v>5</v>
      </c>
      <c r="P15" s="15">
        <f t="shared" si="1"/>
        <v>31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7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2</v>
      </c>
      <c r="AA15" s="17">
        <f t="shared" si="7"/>
        <v>3</v>
      </c>
      <c r="AB15" s="17">
        <f t="shared" si="7"/>
        <v>0</v>
      </c>
      <c r="AC15" s="17">
        <f t="shared" si="7"/>
        <v>69</v>
      </c>
      <c r="AD15" s="17">
        <f t="shared" si="7"/>
        <v>0</v>
      </c>
      <c r="AE15" s="31">
        <f t="shared" si="7"/>
        <v>29</v>
      </c>
      <c r="AF15" s="31">
        <f t="shared" si="7"/>
        <v>98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3</v>
      </c>
      <c r="J16" s="50">
        <v>0</v>
      </c>
      <c r="K16" s="50">
        <v>1</v>
      </c>
      <c r="L16" s="50">
        <v>0</v>
      </c>
      <c r="M16" s="50">
        <v>17</v>
      </c>
      <c r="N16" s="50">
        <v>0</v>
      </c>
      <c r="O16" s="15">
        <f t="shared" si="0"/>
        <v>8</v>
      </c>
      <c r="P16" s="15">
        <f t="shared" si="1"/>
        <v>25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12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2</v>
      </c>
      <c r="AA16" s="17">
        <f t="shared" si="8"/>
        <v>2</v>
      </c>
      <c r="AB16" s="17">
        <f t="shared" si="8"/>
        <v>0</v>
      </c>
      <c r="AC16" s="17">
        <f t="shared" si="8"/>
        <v>72</v>
      </c>
      <c r="AD16" s="17">
        <f t="shared" si="8"/>
        <v>0</v>
      </c>
      <c r="AE16" s="31">
        <f t="shared" si="8"/>
        <v>32</v>
      </c>
      <c r="AF16" s="31">
        <f t="shared" si="8"/>
        <v>104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22</v>
      </c>
      <c r="N17" s="50">
        <v>0</v>
      </c>
      <c r="O17" s="15">
        <f t="shared" si="0"/>
        <v>4</v>
      </c>
      <c r="P17" s="15">
        <f t="shared" si="1"/>
        <v>26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16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85</v>
      </c>
      <c r="AD17" s="17">
        <f t="shared" si="9"/>
        <v>0</v>
      </c>
      <c r="AE17" s="31">
        <f t="shared" si="9"/>
        <v>40</v>
      </c>
      <c r="AF17" s="31">
        <f t="shared" si="9"/>
        <v>125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2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23</v>
      </c>
      <c r="N18" s="50">
        <v>0</v>
      </c>
      <c r="O18" s="15">
        <f t="shared" si="0"/>
        <v>8</v>
      </c>
      <c r="P18" s="15">
        <f t="shared" si="1"/>
        <v>31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6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74</v>
      </c>
      <c r="AD18" s="17">
        <f t="shared" si="10"/>
        <v>0</v>
      </c>
      <c r="AE18" s="31">
        <f t="shared" si="10"/>
        <v>34</v>
      </c>
      <c r="AF18" s="31">
        <f t="shared" si="10"/>
        <v>108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19</v>
      </c>
      <c r="N19" s="50">
        <v>0</v>
      </c>
      <c r="O19" s="15">
        <f t="shared" si="0"/>
        <v>6</v>
      </c>
      <c r="P19" s="15">
        <f t="shared" si="1"/>
        <v>25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12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85</v>
      </c>
      <c r="AD19" s="17">
        <f t="shared" si="11"/>
        <v>0</v>
      </c>
      <c r="AE19" s="31">
        <f t="shared" si="11"/>
        <v>41</v>
      </c>
      <c r="AF19" s="31">
        <f t="shared" si="11"/>
        <v>126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4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0</v>
      </c>
      <c r="M20" s="50">
        <v>12</v>
      </c>
      <c r="N20" s="50">
        <v>0</v>
      </c>
      <c r="O20" s="15">
        <f t="shared" si="0"/>
        <v>8</v>
      </c>
      <c r="P20" s="15">
        <f t="shared" si="1"/>
        <v>20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12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15</v>
      </c>
      <c r="Z20" s="17">
        <f t="shared" si="12"/>
        <v>0</v>
      </c>
      <c r="AA20" s="17">
        <f t="shared" si="12"/>
        <v>3</v>
      </c>
      <c r="AB20" s="17">
        <f t="shared" si="12"/>
        <v>0</v>
      </c>
      <c r="AC20" s="17">
        <f t="shared" si="12"/>
        <v>93</v>
      </c>
      <c r="AD20" s="17">
        <f t="shared" si="12"/>
        <v>0</v>
      </c>
      <c r="AE20" s="31">
        <f t="shared" si="12"/>
        <v>43</v>
      </c>
      <c r="AF20" s="31">
        <f t="shared" si="12"/>
        <v>136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21</v>
      </c>
      <c r="N21" s="50">
        <v>0</v>
      </c>
      <c r="O21" s="15">
        <f t="shared" si="0"/>
        <v>6</v>
      </c>
      <c r="P21" s="15">
        <f t="shared" si="1"/>
        <v>27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13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23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95</v>
      </c>
      <c r="AD21" s="17">
        <f t="shared" si="13"/>
        <v>0</v>
      </c>
      <c r="AE21" s="31">
        <f t="shared" si="13"/>
        <v>52</v>
      </c>
      <c r="AF21" s="31">
        <f t="shared" si="13"/>
        <v>147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14</v>
      </c>
      <c r="N22" s="50">
        <v>0</v>
      </c>
      <c r="O22" s="15">
        <f t="shared" si="0"/>
        <v>7</v>
      </c>
      <c r="P22" s="15">
        <f t="shared" si="1"/>
        <v>21</v>
      </c>
      <c r="R22" s="38" t="s">
        <v>90</v>
      </c>
      <c r="S22" s="39">
        <f>MAX(S10:S12)</f>
        <v>5</v>
      </c>
      <c r="T22" s="39">
        <f t="shared" ref="T22:AF22" si="14">MAX(T10:T12)</f>
        <v>0</v>
      </c>
      <c r="U22" s="39">
        <f t="shared" si="14"/>
        <v>9</v>
      </c>
      <c r="V22" s="39">
        <f t="shared" si="14"/>
        <v>6</v>
      </c>
      <c r="W22" s="39">
        <f t="shared" si="14"/>
        <v>0</v>
      </c>
      <c r="X22" s="39">
        <f t="shared" si="14"/>
        <v>0</v>
      </c>
      <c r="Y22" s="39">
        <f t="shared" si="14"/>
        <v>11</v>
      </c>
      <c r="Z22" s="39">
        <f t="shared" si="14"/>
        <v>2</v>
      </c>
      <c r="AA22" s="39">
        <f t="shared" si="14"/>
        <v>3</v>
      </c>
      <c r="AB22" s="39">
        <f t="shared" si="14"/>
        <v>0</v>
      </c>
      <c r="AC22" s="39">
        <f t="shared" si="14"/>
        <v>85</v>
      </c>
      <c r="AD22" s="39">
        <f t="shared" si="14"/>
        <v>0</v>
      </c>
      <c r="AE22" s="40">
        <f t="shared" si="14"/>
        <v>28</v>
      </c>
      <c r="AF22" s="40">
        <f t="shared" si="14"/>
        <v>111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3</v>
      </c>
      <c r="F23" s="50">
        <v>2</v>
      </c>
      <c r="G23" s="50">
        <v>0</v>
      </c>
      <c r="H23" s="50">
        <v>0</v>
      </c>
      <c r="I23" s="50">
        <v>5</v>
      </c>
      <c r="J23" s="50">
        <v>0</v>
      </c>
      <c r="K23" s="50">
        <v>1</v>
      </c>
      <c r="L23" s="50">
        <v>0</v>
      </c>
      <c r="M23" s="50">
        <v>21</v>
      </c>
      <c r="N23" s="50">
        <v>0</v>
      </c>
      <c r="O23" s="15">
        <f t="shared" si="0"/>
        <v>13</v>
      </c>
      <c r="P23" s="15">
        <f t="shared" si="1"/>
        <v>34</v>
      </c>
      <c r="R23" s="38" t="s">
        <v>91</v>
      </c>
      <c r="S23" s="39">
        <f>MAX(S13:S18)</f>
        <v>11</v>
      </c>
      <c r="T23" s="39">
        <f t="shared" ref="T23:AF23" si="15">MAX(T13:T18)</f>
        <v>0</v>
      </c>
      <c r="U23" s="39">
        <f t="shared" si="15"/>
        <v>16</v>
      </c>
      <c r="V23" s="39">
        <f t="shared" si="15"/>
        <v>5</v>
      </c>
      <c r="W23" s="39">
        <f t="shared" si="15"/>
        <v>0</v>
      </c>
      <c r="X23" s="39">
        <f t="shared" si="15"/>
        <v>0</v>
      </c>
      <c r="Y23" s="39">
        <f t="shared" si="15"/>
        <v>13</v>
      </c>
      <c r="Z23" s="39">
        <f t="shared" si="15"/>
        <v>2</v>
      </c>
      <c r="AA23" s="39">
        <f t="shared" si="15"/>
        <v>3</v>
      </c>
      <c r="AB23" s="39">
        <f t="shared" si="15"/>
        <v>0</v>
      </c>
      <c r="AC23" s="39">
        <f t="shared" si="15"/>
        <v>85</v>
      </c>
      <c r="AD23" s="39">
        <f t="shared" si="15"/>
        <v>0</v>
      </c>
      <c r="AE23" s="40">
        <f t="shared" si="15"/>
        <v>40</v>
      </c>
      <c r="AF23" s="40">
        <f t="shared" si="15"/>
        <v>125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1</v>
      </c>
      <c r="L24" s="50">
        <v>0</v>
      </c>
      <c r="M24" s="50">
        <v>19</v>
      </c>
      <c r="N24" s="50">
        <v>0</v>
      </c>
      <c r="O24" s="15">
        <f t="shared" si="0"/>
        <v>5</v>
      </c>
      <c r="P24" s="15">
        <f t="shared" si="1"/>
        <v>24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13</v>
      </c>
      <c r="V24" s="39">
        <f t="shared" si="16"/>
        <v>8</v>
      </c>
      <c r="W24" s="39">
        <f t="shared" si="16"/>
        <v>0</v>
      </c>
      <c r="X24" s="39">
        <f t="shared" si="16"/>
        <v>0</v>
      </c>
      <c r="Y24" s="39">
        <f t="shared" si="16"/>
        <v>23</v>
      </c>
      <c r="Z24" s="39">
        <f t="shared" si="16"/>
        <v>3</v>
      </c>
      <c r="AA24" s="39">
        <f t="shared" si="16"/>
        <v>3</v>
      </c>
      <c r="AB24" s="39">
        <f t="shared" si="16"/>
        <v>0</v>
      </c>
      <c r="AC24" s="39">
        <f t="shared" si="16"/>
        <v>95</v>
      </c>
      <c r="AD24" s="39">
        <f t="shared" si="16"/>
        <v>0</v>
      </c>
      <c r="AE24" s="40">
        <f t="shared" si="16"/>
        <v>52</v>
      </c>
      <c r="AF24" s="40">
        <f t="shared" si="16"/>
        <v>147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5</v>
      </c>
      <c r="P25" s="15">
        <f t="shared" si="1"/>
        <v>23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19</v>
      </c>
      <c r="V25" s="16">
        <f t="shared" si="17"/>
        <v>13</v>
      </c>
      <c r="W25" s="16">
        <f t="shared" si="17"/>
        <v>0</v>
      </c>
      <c r="X25" s="16">
        <f t="shared" si="17"/>
        <v>0</v>
      </c>
      <c r="Y25" s="16">
        <f t="shared" si="17"/>
        <v>23</v>
      </c>
      <c r="Z25" s="16">
        <f t="shared" si="17"/>
        <v>3</v>
      </c>
      <c r="AA25" s="16">
        <f t="shared" si="17"/>
        <v>4</v>
      </c>
      <c r="AB25" s="16">
        <f t="shared" si="17"/>
        <v>0</v>
      </c>
      <c r="AC25" s="16">
        <f t="shared" si="17"/>
        <v>212</v>
      </c>
      <c r="AD25" s="16">
        <f t="shared" si="17"/>
        <v>0</v>
      </c>
      <c r="AE25" s="32">
        <f t="shared" si="17"/>
        <v>73</v>
      </c>
      <c r="AF25" s="32">
        <f t="shared" si="17"/>
        <v>285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3</v>
      </c>
      <c r="P26" s="15">
        <f t="shared" si="1"/>
        <v>18</v>
      </c>
      <c r="R26" s="28" t="s">
        <v>86</v>
      </c>
      <c r="S26" s="16">
        <f t="shared" ref="S26:AF26" si="18">SUM(S13:S18)</f>
        <v>34</v>
      </c>
      <c r="T26" s="16">
        <f t="shared" si="18"/>
        <v>0</v>
      </c>
      <c r="U26" s="16">
        <f t="shared" si="18"/>
        <v>57</v>
      </c>
      <c r="V26" s="16">
        <f t="shared" si="18"/>
        <v>25</v>
      </c>
      <c r="W26" s="16">
        <f t="shared" si="18"/>
        <v>0</v>
      </c>
      <c r="X26" s="16">
        <f t="shared" si="18"/>
        <v>0</v>
      </c>
      <c r="Y26" s="16">
        <f t="shared" si="18"/>
        <v>54</v>
      </c>
      <c r="Z26" s="16">
        <f t="shared" si="18"/>
        <v>7</v>
      </c>
      <c r="AA26" s="16">
        <f t="shared" si="18"/>
        <v>11</v>
      </c>
      <c r="AB26" s="16">
        <f t="shared" si="18"/>
        <v>0</v>
      </c>
      <c r="AC26" s="16">
        <f t="shared" si="18"/>
        <v>451</v>
      </c>
      <c r="AD26" s="16">
        <f t="shared" si="18"/>
        <v>0</v>
      </c>
      <c r="AE26" s="32">
        <f t="shared" si="18"/>
        <v>188</v>
      </c>
      <c r="AF26" s="32">
        <f t="shared" si="18"/>
        <v>639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6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0</v>
      </c>
      <c r="M27" s="50">
        <v>21</v>
      </c>
      <c r="N27" s="50">
        <v>0</v>
      </c>
      <c r="O27" s="15">
        <f t="shared" si="0"/>
        <v>9</v>
      </c>
      <c r="P27" s="15">
        <f t="shared" si="1"/>
        <v>30</v>
      </c>
      <c r="R27" s="29" t="s">
        <v>87</v>
      </c>
      <c r="S27" s="16">
        <f t="shared" ref="S27:AF27" si="19">SUM(S19:S21)</f>
        <v>20</v>
      </c>
      <c r="T27" s="16">
        <f t="shared" si="19"/>
        <v>0</v>
      </c>
      <c r="U27" s="16">
        <f t="shared" si="19"/>
        <v>37</v>
      </c>
      <c r="V27" s="16">
        <f t="shared" si="19"/>
        <v>20</v>
      </c>
      <c r="W27" s="16">
        <f t="shared" si="19"/>
        <v>0</v>
      </c>
      <c r="X27" s="16">
        <f t="shared" si="19"/>
        <v>0</v>
      </c>
      <c r="Y27" s="16">
        <f t="shared" si="19"/>
        <v>50</v>
      </c>
      <c r="Z27" s="16">
        <f t="shared" si="19"/>
        <v>4</v>
      </c>
      <c r="AA27" s="16">
        <f t="shared" si="19"/>
        <v>5</v>
      </c>
      <c r="AB27" s="16">
        <f t="shared" si="19"/>
        <v>0</v>
      </c>
      <c r="AC27" s="16">
        <f t="shared" si="19"/>
        <v>273</v>
      </c>
      <c r="AD27" s="16">
        <f t="shared" si="19"/>
        <v>0</v>
      </c>
      <c r="AE27" s="32">
        <f t="shared" si="19"/>
        <v>136</v>
      </c>
      <c r="AF27" s="32">
        <f t="shared" si="19"/>
        <v>409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26</v>
      </c>
      <c r="N28" s="50">
        <v>0</v>
      </c>
      <c r="O28" s="15">
        <f t="shared" si="0"/>
        <v>5</v>
      </c>
      <c r="P28" s="15">
        <f t="shared" si="1"/>
        <v>31</v>
      </c>
      <c r="R28" s="5" t="s">
        <v>17</v>
      </c>
      <c r="S28" s="16">
        <f t="shared" ref="S28:AF28" si="20">SUM(S10:S21)</f>
        <v>65</v>
      </c>
      <c r="T28" s="16">
        <f t="shared" si="20"/>
        <v>0</v>
      </c>
      <c r="U28" s="16">
        <f t="shared" si="20"/>
        <v>113</v>
      </c>
      <c r="V28" s="16">
        <f t="shared" si="20"/>
        <v>58</v>
      </c>
      <c r="W28" s="16">
        <f t="shared" si="20"/>
        <v>0</v>
      </c>
      <c r="X28" s="16">
        <f t="shared" si="20"/>
        <v>0</v>
      </c>
      <c r="Y28" s="16">
        <f t="shared" si="20"/>
        <v>127</v>
      </c>
      <c r="Z28" s="16">
        <f t="shared" si="20"/>
        <v>14</v>
      </c>
      <c r="AA28" s="16">
        <f t="shared" si="20"/>
        <v>20</v>
      </c>
      <c r="AB28" s="16">
        <f t="shared" si="20"/>
        <v>0</v>
      </c>
      <c r="AC28" s="16">
        <f t="shared" si="20"/>
        <v>936</v>
      </c>
      <c r="AD28" s="16">
        <f t="shared" si="20"/>
        <v>0</v>
      </c>
      <c r="AE28" s="32">
        <f t="shared" si="20"/>
        <v>397</v>
      </c>
      <c r="AF28" s="32">
        <f t="shared" si="20"/>
        <v>1333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v>0</v>
      </c>
      <c r="M29" s="50">
        <v>17</v>
      </c>
      <c r="N29" s="50">
        <v>0</v>
      </c>
      <c r="O29" s="15">
        <f t="shared" si="0"/>
        <v>6</v>
      </c>
      <c r="P29" s="15">
        <f t="shared" si="1"/>
        <v>23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24</v>
      </c>
      <c r="N30" s="50">
        <v>0</v>
      </c>
      <c r="O30" s="15">
        <f t="shared" si="0"/>
        <v>4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16</v>
      </c>
      <c r="N31" s="50">
        <v>0</v>
      </c>
      <c r="O31" s="15">
        <f t="shared" si="0"/>
        <v>7</v>
      </c>
      <c r="P31" s="15">
        <f t="shared" si="1"/>
        <v>23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1</v>
      </c>
      <c r="G32" s="50">
        <v>0</v>
      </c>
      <c r="H32" s="50">
        <v>0</v>
      </c>
      <c r="I32" s="50">
        <v>2</v>
      </c>
      <c r="J32" s="50">
        <v>0</v>
      </c>
      <c r="K32" s="50">
        <v>2</v>
      </c>
      <c r="L32" s="50">
        <v>0</v>
      </c>
      <c r="M32" s="50">
        <v>13</v>
      </c>
      <c r="N32" s="50">
        <v>0</v>
      </c>
      <c r="O32" s="15">
        <f t="shared" si="0"/>
        <v>8</v>
      </c>
      <c r="P32" s="15">
        <f t="shared" si="1"/>
        <v>21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3</v>
      </c>
      <c r="F33" s="50">
        <v>1</v>
      </c>
      <c r="G33" s="50">
        <v>0</v>
      </c>
      <c r="H33" s="50">
        <v>0</v>
      </c>
      <c r="I33" s="50">
        <v>3</v>
      </c>
      <c r="J33" s="50">
        <v>2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10</v>
      </c>
      <c r="P33" s="15">
        <f t="shared" si="1"/>
        <v>26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4</v>
      </c>
      <c r="F34" s="50">
        <v>1</v>
      </c>
      <c r="G34" s="50">
        <v>0</v>
      </c>
      <c r="H34" s="50">
        <v>0</v>
      </c>
      <c r="I34" s="50">
        <v>4</v>
      </c>
      <c r="J34" s="50">
        <v>2</v>
      </c>
      <c r="K34" s="50">
        <v>0</v>
      </c>
      <c r="L34" s="50">
        <v>0</v>
      </c>
      <c r="M34" s="50">
        <v>22</v>
      </c>
      <c r="N34" s="50">
        <v>0</v>
      </c>
      <c r="O34" s="15">
        <f t="shared" si="0"/>
        <v>11</v>
      </c>
      <c r="P34" s="15">
        <f t="shared" si="1"/>
        <v>33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4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23</v>
      </c>
      <c r="N35" s="50">
        <v>0</v>
      </c>
      <c r="O35" s="15">
        <f t="shared" si="0"/>
        <v>8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1</v>
      </c>
      <c r="L36" s="50">
        <v>0</v>
      </c>
      <c r="M36" s="50">
        <v>15</v>
      </c>
      <c r="N36" s="50">
        <v>0</v>
      </c>
      <c r="O36" s="15">
        <f t="shared" si="0"/>
        <v>7</v>
      </c>
      <c r="P36" s="15">
        <f t="shared" si="1"/>
        <v>22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6</v>
      </c>
      <c r="P37" s="15">
        <f t="shared" si="1"/>
        <v>18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23</v>
      </c>
      <c r="N38" s="50">
        <v>0</v>
      </c>
      <c r="O38" s="15">
        <f t="shared" si="0"/>
        <v>3</v>
      </c>
      <c r="P38" s="15">
        <f t="shared" si="1"/>
        <v>26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5</v>
      </c>
      <c r="F39" s="50">
        <v>1</v>
      </c>
      <c r="G39" s="50">
        <v>0</v>
      </c>
      <c r="H39" s="50">
        <v>0</v>
      </c>
      <c r="I39" s="50">
        <v>4</v>
      </c>
      <c r="J39" s="50">
        <v>0</v>
      </c>
      <c r="K39" s="50">
        <v>1</v>
      </c>
      <c r="L39" s="50">
        <v>0</v>
      </c>
      <c r="M39" s="50">
        <v>16</v>
      </c>
      <c r="N39" s="50">
        <v>0</v>
      </c>
      <c r="O39" s="15">
        <f t="shared" si="0"/>
        <v>12</v>
      </c>
      <c r="P39" s="15">
        <f t="shared" si="1"/>
        <v>28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7</v>
      </c>
      <c r="F40" s="50">
        <v>2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25</v>
      </c>
      <c r="N40" s="50">
        <v>0</v>
      </c>
      <c r="O40" s="15">
        <f t="shared" si="0"/>
        <v>15</v>
      </c>
      <c r="P40" s="15">
        <f t="shared" si="1"/>
        <v>40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7</v>
      </c>
      <c r="J41" s="50">
        <v>0</v>
      </c>
      <c r="K41" s="50">
        <v>1</v>
      </c>
      <c r="L41" s="50">
        <v>0</v>
      </c>
      <c r="M41" s="50">
        <v>21</v>
      </c>
      <c r="N41" s="50">
        <v>0</v>
      </c>
      <c r="O41" s="15">
        <f t="shared" si="0"/>
        <v>10</v>
      </c>
      <c r="P41" s="15">
        <f t="shared" si="1"/>
        <v>31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9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3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5">
        <f t="shared" si="0"/>
        <v>9</v>
      </c>
      <c r="P43" s="15">
        <f t="shared" si="1"/>
        <v>27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5</v>
      </c>
      <c r="J44" s="50">
        <v>0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11</v>
      </c>
      <c r="P44" s="15">
        <f t="shared" si="1"/>
        <v>25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5</v>
      </c>
      <c r="P45" s="15">
        <f t="shared" si="1"/>
        <v>26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4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1</v>
      </c>
      <c r="L46" s="50">
        <v>0</v>
      </c>
      <c r="M46" s="50">
        <v>21</v>
      </c>
      <c r="N46" s="50">
        <v>0</v>
      </c>
      <c r="O46" s="15">
        <f t="shared" si="0"/>
        <v>13</v>
      </c>
      <c r="P46" s="15">
        <f t="shared" si="1"/>
        <v>34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24</v>
      </c>
      <c r="N47" s="50">
        <v>0</v>
      </c>
      <c r="O47" s="15">
        <f t="shared" si="0"/>
        <v>8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2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9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3</v>
      </c>
      <c r="F49" s="50">
        <v>1</v>
      </c>
      <c r="G49" s="50">
        <v>0</v>
      </c>
      <c r="H49" s="50">
        <v>0</v>
      </c>
      <c r="I49" s="50">
        <v>3</v>
      </c>
      <c r="J49" s="50">
        <v>2</v>
      </c>
      <c r="K49" s="50">
        <v>1</v>
      </c>
      <c r="L49" s="50">
        <v>0</v>
      </c>
      <c r="M49" s="50">
        <v>26</v>
      </c>
      <c r="N49" s="50">
        <v>0</v>
      </c>
      <c r="O49" s="15">
        <f t="shared" si="0"/>
        <v>11</v>
      </c>
      <c r="P49" s="15">
        <f t="shared" si="1"/>
        <v>37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3</v>
      </c>
      <c r="F50" s="50">
        <v>2</v>
      </c>
      <c r="G50" s="50">
        <v>0</v>
      </c>
      <c r="H50" s="50">
        <v>0</v>
      </c>
      <c r="I50" s="50">
        <v>6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12</v>
      </c>
      <c r="P50" s="15">
        <f t="shared" si="1"/>
        <v>32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3</v>
      </c>
      <c r="F51" s="50">
        <v>1</v>
      </c>
      <c r="G51" s="50">
        <v>0</v>
      </c>
      <c r="H51" s="50">
        <v>0</v>
      </c>
      <c r="I51" s="50">
        <v>3</v>
      </c>
      <c r="J51" s="50">
        <v>0</v>
      </c>
      <c r="K51" s="50">
        <v>2</v>
      </c>
      <c r="L51" s="50">
        <v>0</v>
      </c>
      <c r="M51" s="50">
        <v>28</v>
      </c>
      <c r="N51" s="50">
        <v>0</v>
      </c>
      <c r="O51" s="15">
        <f t="shared" si="0"/>
        <v>11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3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1</v>
      </c>
      <c r="L52" s="50">
        <v>0</v>
      </c>
      <c r="M52" s="50">
        <v>21</v>
      </c>
      <c r="N52" s="50">
        <v>0</v>
      </c>
      <c r="O52" s="15">
        <f t="shared" si="0"/>
        <v>10</v>
      </c>
      <c r="P52" s="15">
        <f t="shared" si="1"/>
        <v>31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3</v>
      </c>
      <c r="F53" s="50">
        <v>1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24</v>
      </c>
      <c r="N53" s="50">
        <v>0</v>
      </c>
      <c r="O53" s="15">
        <f t="shared" si="0"/>
        <v>10</v>
      </c>
      <c r="P53" s="15">
        <f t="shared" si="1"/>
        <v>34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7</v>
      </c>
      <c r="J54" s="50">
        <v>0</v>
      </c>
      <c r="K54" s="50">
        <v>0</v>
      </c>
      <c r="L54" s="50">
        <v>0</v>
      </c>
      <c r="M54" s="50">
        <v>24</v>
      </c>
      <c r="N54" s="50">
        <v>0</v>
      </c>
      <c r="O54" s="15">
        <f t="shared" si="0"/>
        <v>9</v>
      </c>
      <c r="P54" s="15">
        <f t="shared" si="1"/>
        <v>33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4</v>
      </c>
      <c r="F55" s="50">
        <v>1</v>
      </c>
      <c r="G55" s="50">
        <v>0</v>
      </c>
      <c r="H55" s="50">
        <v>0</v>
      </c>
      <c r="I55" s="50">
        <v>6</v>
      </c>
      <c r="J55" s="50">
        <v>0</v>
      </c>
      <c r="K55" s="50">
        <v>0</v>
      </c>
      <c r="L55" s="50">
        <v>0</v>
      </c>
      <c r="M55" s="50">
        <v>24</v>
      </c>
      <c r="N55" s="50">
        <v>0</v>
      </c>
      <c r="O55" s="15">
        <f t="shared" si="0"/>
        <v>13</v>
      </c>
      <c r="P55" s="15">
        <f t="shared" si="1"/>
        <v>37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2</v>
      </c>
      <c r="F56" s="50">
        <v>2</v>
      </c>
      <c r="G56" s="50">
        <v>0</v>
      </c>
      <c r="H56" s="50">
        <v>0</v>
      </c>
      <c r="I56" s="50">
        <v>5</v>
      </c>
      <c r="J56" s="50">
        <v>1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13</v>
      </c>
      <c r="P56" s="15">
        <f t="shared" si="1"/>
        <v>33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7</v>
      </c>
      <c r="F57" s="50">
        <v>3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27</v>
      </c>
      <c r="N57" s="50">
        <v>0</v>
      </c>
      <c r="O57" s="15">
        <f t="shared" si="0"/>
        <v>17</v>
      </c>
      <c r="P57" s="15">
        <f t="shared" si="1"/>
        <v>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65</v>
      </c>
      <c r="D58" s="16">
        <f t="shared" si="21"/>
        <v>0</v>
      </c>
      <c r="E58" s="16">
        <f t="shared" si="21"/>
        <v>113</v>
      </c>
      <c r="F58" s="16">
        <f t="shared" si="21"/>
        <v>58</v>
      </c>
      <c r="G58" s="16">
        <f t="shared" si="21"/>
        <v>0</v>
      </c>
      <c r="H58" s="16">
        <f t="shared" si="21"/>
        <v>0</v>
      </c>
      <c r="I58" s="16">
        <f t="shared" si="21"/>
        <v>127</v>
      </c>
      <c r="J58" s="16">
        <f t="shared" si="21"/>
        <v>14</v>
      </c>
      <c r="K58" s="16">
        <f t="shared" si="21"/>
        <v>20</v>
      </c>
      <c r="L58" s="16">
        <f t="shared" si="21"/>
        <v>0</v>
      </c>
      <c r="M58" s="16">
        <f t="shared" si="21"/>
        <v>936</v>
      </c>
      <c r="N58" s="16">
        <f t="shared" si="21"/>
        <v>0</v>
      </c>
      <c r="O58" s="16">
        <f t="shared" si="21"/>
        <v>397</v>
      </c>
      <c r="P58" s="16">
        <f t="shared" si="21"/>
        <v>1333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4.8762190547636912E-2</v>
      </c>
      <c r="D59" s="43">
        <f t="shared" si="22"/>
        <v>0</v>
      </c>
      <c r="E59" s="43">
        <f t="shared" si="22"/>
        <v>8.4771192798199543E-2</v>
      </c>
      <c r="F59" s="43">
        <f t="shared" si="22"/>
        <v>4.3510877719429859E-2</v>
      </c>
      <c r="G59" s="43">
        <f t="shared" si="22"/>
        <v>0</v>
      </c>
      <c r="H59" s="43">
        <f t="shared" si="22"/>
        <v>0</v>
      </c>
      <c r="I59" s="43">
        <f t="shared" si="22"/>
        <v>9.5273818454613649E-2</v>
      </c>
      <c r="J59" s="43">
        <f t="shared" si="22"/>
        <v>1.0502625656414103E-2</v>
      </c>
      <c r="K59" s="43">
        <f t="shared" si="22"/>
        <v>1.5003750937734433E-2</v>
      </c>
      <c r="L59" s="43">
        <f t="shared" si="22"/>
        <v>0</v>
      </c>
      <c r="M59" s="43">
        <f t="shared" si="22"/>
        <v>0.70217554388597148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0.16372795969773299</v>
      </c>
      <c r="D60" s="44">
        <f t="shared" ref="D60:N60" si="23">D58/$O$58</f>
        <v>0</v>
      </c>
      <c r="E60" s="44">
        <f t="shared" si="23"/>
        <v>0.28463476070528965</v>
      </c>
      <c r="F60" s="44">
        <f t="shared" si="23"/>
        <v>0.14609571788413098</v>
      </c>
      <c r="G60" s="44">
        <f t="shared" si="23"/>
        <v>0</v>
      </c>
      <c r="H60" s="44">
        <f t="shared" si="23"/>
        <v>0</v>
      </c>
      <c r="I60" s="44">
        <f t="shared" si="23"/>
        <v>0.31989924433249373</v>
      </c>
      <c r="J60" s="44">
        <f t="shared" si="23"/>
        <v>3.5264483627204031E-2</v>
      </c>
      <c r="K60" s="44">
        <f t="shared" si="23"/>
        <v>5.0377833753148617E-2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54" zoomScale="60" workbookViewId="0">
      <selection activeCell="C105" sqref="C58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'23.08 MATUGA-KAPEKA'!G5:H5</f>
        <v>Kapeeka</v>
      </c>
      <c r="H5" s="67"/>
      <c r="I5" s="14"/>
      <c r="J5" s="2" t="s">
        <v>5</v>
      </c>
      <c r="K5" s="66" t="str">
        <f>'23.08 MATUGA-KAPEKA'!K5:L5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KAPEKA-MATUGA'!D6:E6</f>
        <v>KAPEKA</v>
      </c>
      <c r="E6" s="67"/>
      <c r="F6" s="2" t="s">
        <v>2</v>
      </c>
      <c r="G6" s="66" t="str">
        <f>'20.08 KAPEKA-MATUGA'!G6:H6</f>
        <v>MATUGA</v>
      </c>
      <c r="H6" s="67"/>
      <c r="J6" s="2" t="s">
        <v>21</v>
      </c>
      <c r="K6" s="66" t="str">
        <f>'23.08 MATUGA-KAPEKA'!K6:L6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20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9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63</v>
      </c>
      <c r="AD10" s="17">
        <f t="shared" si="2"/>
        <v>0</v>
      </c>
      <c r="AE10" s="31">
        <f t="shared" si="2"/>
        <v>25</v>
      </c>
      <c r="AF10" s="31">
        <f t="shared" si="2"/>
        <v>88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2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16</v>
      </c>
      <c r="N11" s="50">
        <v>0</v>
      </c>
      <c r="O11" s="15">
        <f t="shared" si="0"/>
        <v>6</v>
      </c>
      <c r="P11" s="15">
        <f t="shared" si="1"/>
        <v>22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12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61</v>
      </c>
      <c r="AD11" s="17">
        <f t="shared" si="3"/>
        <v>0</v>
      </c>
      <c r="AE11" s="31">
        <f t="shared" si="3"/>
        <v>44</v>
      </c>
      <c r="AF11" s="31">
        <f t="shared" si="3"/>
        <v>105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4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2</v>
      </c>
      <c r="L12" s="50">
        <v>0</v>
      </c>
      <c r="M12" s="50">
        <v>16</v>
      </c>
      <c r="N12" s="50">
        <v>0</v>
      </c>
      <c r="O12" s="15">
        <f t="shared" si="0"/>
        <v>9</v>
      </c>
      <c r="P12" s="15">
        <f t="shared" si="1"/>
        <v>25</v>
      </c>
      <c r="R12" s="1" t="s">
        <v>8</v>
      </c>
      <c r="S12" s="17">
        <f t="shared" ref="S12:AF12" si="4">SUM(C18:C21)</f>
        <v>10</v>
      </c>
      <c r="T12" s="17">
        <f t="shared" si="4"/>
        <v>0</v>
      </c>
      <c r="U12" s="17">
        <f t="shared" si="4"/>
        <v>5</v>
      </c>
      <c r="V12" s="17">
        <f t="shared" si="4"/>
        <v>5</v>
      </c>
      <c r="W12" s="17">
        <f t="shared" si="4"/>
        <v>3</v>
      </c>
      <c r="X12" s="17">
        <f t="shared" si="4"/>
        <v>0</v>
      </c>
      <c r="Y12" s="17">
        <f t="shared" si="4"/>
        <v>12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66</v>
      </c>
      <c r="AD12" s="17">
        <f t="shared" si="4"/>
        <v>0</v>
      </c>
      <c r="AE12" s="31">
        <f t="shared" si="4"/>
        <v>38</v>
      </c>
      <c r="AF12" s="31">
        <f t="shared" si="4"/>
        <v>104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17</v>
      </c>
      <c r="N13" s="50">
        <v>0</v>
      </c>
      <c r="O13" s="15">
        <f t="shared" si="0"/>
        <v>4</v>
      </c>
      <c r="P13" s="15">
        <f t="shared" si="1"/>
        <v>21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17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77</v>
      </c>
      <c r="AD13" s="17">
        <f t="shared" si="5"/>
        <v>0</v>
      </c>
      <c r="AE13" s="31">
        <f t="shared" si="5"/>
        <v>37</v>
      </c>
      <c r="AF13" s="31">
        <f t="shared" si="5"/>
        <v>114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9</v>
      </c>
      <c r="P14" s="15">
        <f t="shared" si="1"/>
        <v>21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15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16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65</v>
      </c>
      <c r="AD14" s="17">
        <f t="shared" si="6"/>
        <v>0</v>
      </c>
      <c r="AE14" s="31">
        <f t="shared" si="6"/>
        <v>46</v>
      </c>
      <c r="AF14" s="31">
        <f t="shared" si="6"/>
        <v>111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1</v>
      </c>
      <c r="J15" s="50">
        <v>0</v>
      </c>
      <c r="K15" s="50">
        <v>1</v>
      </c>
      <c r="L15" s="50">
        <v>0</v>
      </c>
      <c r="M15" s="50">
        <v>18</v>
      </c>
      <c r="N15" s="50">
        <v>0</v>
      </c>
      <c r="O15" s="15">
        <f t="shared" si="0"/>
        <v>8</v>
      </c>
      <c r="P15" s="15">
        <f t="shared" si="1"/>
        <v>26</v>
      </c>
      <c r="R15" s="1" t="s">
        <v>11</v>
      </c>
      <c r="S15" s="17">
        <f t="shared" ref="S15:AF15" si="7">SUM(C30:C33)</f>
        <v>18</v>
      </c>
      <c r="T15" s="17">
        <f t="shared" si="7"/>
        <v>0</v>
      </c>
      <c r="U15" s="17">
        <f t="shared" si="7"/>
        <v>12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76</v>
      </c>
      <c r="AD15" s="17">
        <f t="shared" si="7"/>
        <v>0</v>
      </c>
      <c r="AE15" s="31">
        <f t="shared" si="7"/>
        <v>50</v>
      </c>
      <c r="AF15" s="31">
        <f t="shared" si="7"/>
        <v>126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2</v>
      </c>
      <c r="F16" s="50">
        <v>4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18</v>
      </c>
      <c r="N16" s="50">
        <v>0</v>
      </c>
      <c r="O16" s="15">
        <f t="shared" si="0"/>
        <v>12</v>
      </c>
      <c r="P16" s="15">
        <f t="shared" si="1"/>
        <v>30</v>
      </c>
      <c r="R16" s="1" t="s">
        <v>12</v>
      </c>
      <c r="S16" s="17">
        <f t="shared" ref="S16:AF16" si="8">SUM(C34:C37)</f>
        <v>15</v>
      </c>
      <c r="T16" s="17">
        <f t="shared" si="8"/>
        <v>0</v>
      </c>
      <c r="U16" s="17">
        <f t="shared" si="8"/>
        <v>14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82</v>
      </c>
      <c r="AD16" s="17">
        <f t="shared" si="8"/>
        <v>0</v>
      </c>
      <c r="AE16" s="31">
        <f t="shared" si="8"/>
        <v>44</v>
      </c>
      <c r="AF16" s="31">
        <f t="shared" si="8"/>
        <v>126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6</v>
      </c>
      <c r="F17" s="50">
        <v>1</v>
      </c>
      <c r="G17" s="50">
        <v>0</v>
      </c>
      <c r="H17" s="50">
        <v>0</v>
      </c>
      <c r="I17" s="50">
        <v>3</v>
      </c>
      <c r="J17" s="50">
        <v>2</v>
      </c>
      <c r="K17" s="50">
        <v>2</v>
      </c>
      <c r="L17" s="50">
        <v>0</v>
      </c>
      <c r="M17" s="50">
        <v>13</v>
      </c>
      <c r="N17" s="50">
        <v>0</v>
      </c>
      <c r="O17" s="15">
        <f t="shared" si="0"/>
        <v>15</v>
      </c>
      <c r="P17" s="15">
        <f t="shared" si="1"/>
        <v>28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14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78</v>
      </c>
      <c r="AD17" s="17">
        <f t="shared" si="9"/>
        <v>0</v>
      </c>
      <c r="AE17" s="31">
        <f t="shared" si="9"/>
        <v>36</v>
      </c>
      <c r="AF17" s="31">
        <f t="shared" si="9"/>
        <v>114</v>
      </c>
    </row>
    <row r="18" spans="2:32" ht="23.1" customHeight="1" x14ac:dyDescent="0.25">
      <c r="B18" s="45" t="s">
        <v>45</v>
      </c>
      <c r="C18" s="50">
        <v>4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22</v>
      </c>
      <c r="N18" s="50">
        <v>0</v>
      </c>
      <c r="O18" s="15">
        <f t="shared" si="0"/>
        <v>4</v>
      </c>
      <c r="P18" s="15">
        <f t="shared" si="1"/>
        <v>26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10</v>
      </c>
      <c r="V18" s="17">
        <f t="shared" si="10"/>
        <v>6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3</v>
      </c>
      <c r="AB18" s="17">
        <f t="shared" si="10"/>
        <v>0</v>
      </c>
      <c r="AC18" s="17">
        <f t="shared" si="10"/>
        <v>62</v>
      </c>
      <c r="AD18" s="17">
        <f t="shared" si="10"/>
        <v>0</v>
      </c>
      <c r="AE18" s="31">
        <f t="shared" si="10"/>
        <v>36</v>
      </c>
      <c r="AF18" s="31">
        <f t="shared" si="10"/>
        <v>98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3</v>
      </c>
      <c r="F19" s="50">
        <v>1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10</v>
      </c>
      <c r="P19" s="15">
        <f t="shared" si="1"/>
        <v>23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8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65</v>
      </c>
      <c r="AD19" s="17">
        <f t="shared" si="11"/>
        <v>0</v>
      </c>
      <c r="AE19" s="31">
        <f t="shared" si="11"/>
        <v>30</v>
      </c>
      <c r="AF19" s="31">
        <f t="shared" si="11"/>
        <v>95</v>
      </c>
    </row>
    <row r="20" spans="2:32" ht="23.1" customHeight="1" x14ac:dyDescent="0.25">
      <c r="B20" s="45" t="s">
        <v>47</v>
      </c>
      <c r="C20" s="50">
        <v>4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5</v>
      </c>
      <c r="J20" s="50">
        <v>1</v>
      </c>
      <c r="K20" s="50">
        <v>1</v>
      </c>
      <c r="L20" s="50">
        <v>0</v>
      </c>
      <c r="M20" s="50">
        <v>16</v>
      </c>
      <c r="N20" s="50">
        <v>0</v>
      </c>
      <c r="O20" s="15">
        <f t="shared" si="0"/>
        <v>13</v>
      </c>
      <c r="P20" s="15">
        <f t="shared" si="1"/>
        <v>29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9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1</v>
      </c>
      <c r="AA20" s="17">
        <f t="shared" si="12"/>
        <v>4</v>
      </c>
      <c r="AB20" s="17">
        <f t="shared" si="12"/>
        <v>0</v>
      </c>
      <c r="AC20" s="17">
        <f t="shared" si="12"/>
        <v>63</v>
      </c>
      <c r="AD20" s="17">
        <f t="shared" si="12"/>
        <v>0</v>
      </c>
      <c r="AE20" s="31">
        <f t="shared" si="12"/>
        <v>37</v>
      </c>
      <c r="AF20" s="31">
        <f t="shared" si="12"/>
        <v>100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2</v>
      </c>
      <c r="F21" s="50">
        <v>2</v>
      </c>
      <c r="G21" s="50">
        <v>3</v>
      </c>
      <c r="H21" s="50">
        <v>0</v>
      </c>
      <c r="I21" s="50">
        <v>3</v>
      </c>
      <c r="J21" s="50">
        <v>0</v>
      </c>
      <c r="K21" s="50">
        <v>1</v>
      </c>
      <c r="L21" s="50">
        <v>0</v>
      </c>
      <c r="M21" s="50">
        <v>15</v>
      </c>
      <c r="N21" s="50">
        <v>0</v>
      </c>
      <c r="O21" s="15">
        <f t="shared" si="0"/>
        <v>11</v>
      </c>
      <c r="P21" s="15">
        <f t="shared" si="1"/>
        <v>26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6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3</v>
      </c>
      <c r="AA21" s="17">
        <f t="shared" si="13"/>
        <v>3</v>
      </c>
      <c r="AB21" s="17">
        <f t="shared" si="13"/>
        <v>0</v>
      </c>
      <c r="AC21" s="17">
        <f t="shared" si="13"/>
        <v>91</v>
      </c>
      <c r="AD21" s="17">
        <f t="shared" si="13"/>
        <v>0</v>
      </c>
      <c r="AE21" s="31">
        <f t="shared" si="13"/>
        <v>34</v>
      </c>
      <c r="AF21" s="31">
        <f t="shared" si="13"/>
        <v>125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3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1</v>
      </c>
      <c r="L22" s="50">
        <v>0</v>
      </c>
      <c r="M22" s="50">
        <v>19</v>
      </c>
      <c r="N22" s="50">
        <v>0</v>
      </c>
      <c r="O22" s="15">
        <f t="shared" si="0"/>
        <v>6</v>
      </c>
      <c r="P22" s="15">
        <f t="shared" si="1"/>
        <v>25</v>
      </c>
      <c r="R22" s="36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8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59</v>
      </c>
      <c r="AD22" s="34">
        <f t="shared" si="14"/>
        <v>0</v>
      </c>
      <c r="AE22" s="31">
        <f t="shared" si="14"/>
        <v>30</v>
      </c>
      <c r="AF22" s="31">
        <f t="shared" si="14"/>
        <v>89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4</v>
      </c>
      <c r="F23" s="50">
        <v>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19</v>
      </c>
      <c r="N23" s="50">
        <v>0</v>
      </c>
      <c r="O23" s="15">
        <f t="shared" si="0"/>
        <v>9</v>
      </c>
      <c r="P23" s="15">
        <f t="shared" si="1"/>
        <v>28</v>
      </c>
      <c r="R23" s="36" t="s">
        <v>147</v>
      </c>
      <c r="S23" s="34">
        <f>SUM(C62:C65)</f>
        <v>10</v>
      </c>
      <c r="T23" s="34">
        <f t="shared" ref="T23:AF23" si="15">SUM(D62:D65)</f>
        <v>0</v>
      </c>
      <c r="U23" s="34">
        <f t="shared" si="15"/>
        <v>9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37</v>
      </c>
      <c r="AF23" s="31">
        <f t="shared" si="15"/>
        <v>76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7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1</v>
      </c>
      <c r="L24" s="50">
        <v>0</v>
      </c>
      <c r="M24" s="50">
        <v>20</v>
      </c>
      <c r="N24" s="50">
        <v>0</v>
      </c>
      <c r="O24" s="15">
        <f t="shared" si="0"/>
        <v>13</v>
      </c>
      <c r="P24" s="15">
        <f t="shared" si="1"/>
        <v>33</v>
      </c>
      <c r="R24" s="36" t="s">
        <v>148</v>
      </c>
      <c r="S24" s="34">
        <f>SUM(C66:C69)</f>
        <v>11</v>
      </c>
      <c r="T24" s="34">
        <f t="shared" ref="T24:AF24" si="16">SUM(D66:D69)</f>
        <v>0</v>
      </c>
      <c r="U24" s="34">
        <f t="shared" si="16"/>
        <v>8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33</v>
      </c>
      <c r="AF24" s="31">
        <f t="shared" si="16"/>
        <v>54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3</v>
      </c>
      <c r="F25" s="50">
        <v>1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0</v>
      </c>
      <c r="M25" s="50">
        <v>19</v>
      </c>
      <c r="N25" s="50">
        <v>0</v>
      </c>
      <c r="O25" s="15">
        <f t="shared" si="0"/>
        <v>9</v>
      </c>
      <c r="P25" s="15">
        <f t="shared" si="1"/>
        <v>28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21</v>
      </c>
      <c r="AF25" s="31">
        <f t="shared" si="17"/>
        <v>34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4</v>
      </c>
      <c r="F26" s="50">
        <v>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9</v>
      </c>
      <c r="P26" s="15">
        <f t="shared" si="1"/>
        <v>27</v>
      </c>
      <c r="R26" s="36" t="s">
        <v>150</v>
      </c>
      <c r="S26" s="34">
        <f>SUM(C74:C77)</f>
        <v>6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3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3</v>
      </c>
      <c r="F27" s="50">
        <v>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8</v>
      </c>
      <c r="P27" s="15">
        <f t="shared" si="1"/>
        <v>21</v>
      </c>
      <c r="R27" s="36" t="s">
        <v>151</v>
      </c>
      <c r="S27" s="34">
        <f>SUM(C78:C81)</f>
        <v>7</v>
      </c>
      <c r="T27" s="34">
        <f t="shared" ref="T27:AF27" si="19">SUM(D78:D81)</f>
        <v>0</v>
      </c>
      <c r="U27" s="34">
        <f t="shared" si="19"/>
        <v>5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3</v>
      </c>
      <c r="F28" s="50">
        <v>1</v>
      </c>
      <c r="G28" s="50">
        <v>0</v>
      </c>
      <c r="H28" s="50">
        <v>0</v>
      </c>
      <c r="I28" s="50">
        <v>6</v>
      </c>
      <c r="J28" s="50">
        <v>0</v>
      </c>
      <c r="K28" s="50">
        <v>1</v>
      </c>
      <c r="L28" s="50">
        <v>0</v>
      </c>
      <c r="M28" s="50">
        <v>17</v>
      </c>
      <c r="N28" s="50">
        <v>0</v>
      </c>
      <c r="O28" s="15">
        <f t="shared" si="0"/>
        <v>14</v>
      </c>
      <c r="P28" s="15">
        <f t="shared" si="1"/>
        <v>31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5</v>
      </c>
      <c r="F29" s="50">
        <v>2</v>
      </c>
      <c r="G29" s="50">
        <v>0</v>
      </c>
      <c r="H29" s="50">
        <v>0</v>
      </c>
      <c r="I29" s="50">
        <v>4</v>
      </c>
      <c r="J29" s="50">
        <v>1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15</v>
      </c>
      <c r="P29" s="15">
        <f t="shared" si="1"/>
        <v>32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4</v>
      </c>
      <c r="D30" s="50">
        <v>0</v>
      </c>
      <c r="E30" s="50">
        <v>4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25</v>
      </c>
      <c r="N30" s="50">
        <v>0</v>
      </c>
      <c r="O30" s="15">
        <f t="shared" si="0"/>
        <v>10</v>
      </c>
      <c r="P30" s="15">
        <f t="shared" si="1"/>
        <v>35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4</v>
      </c>
      <c r="F31" s="50">
        <v>3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14</v>
      </c>
      <c r="P31" s="15">
        <f t="shared" si="1"/>
        <v>34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6</v>
      </c>
      <c r="P32" s="15">
        <f t="shared" si="1"/>
        <v>17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6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8</v>
      </c>
      <c r="D33" s="50">
        <v>0</v>
      </c>
      <c r="E33" s="50">
        <v>4</v>
      </c>
      <c r="F33" s="50">
        <v>2</v>
      </c>
      <c r="G33" s="50">
        <v>0</v>
      </c>
      <c r="H33" s="50">
        <v>0</v>
      </c>
      <c r="I33" s="50">
        <v>5</v>
      </c>
      <c r="J33" s="50">
        <v>0</v>
      </c>
      <c r="K33" s="50">
        <v>1</v>
      </c>
      <c r="L33" s="50">
        <v>0</v>
      </c>
      <c r="M33" s="50">
        <v>20</v>
      </c>
      <c r="N33" s="50">
        <v>0</v>
      </c>
      <c r="O33" s="15">
        <f t="shared" si="0"/>
        <v>20</v>
      </c>
      <c r="P33" s="15">
        <f t="shared" si="1"/>
        <v>40</v>
      </c>
      <c r="R33" s="33" t="s">
        <v>157</v>
      </c>
      <c r="S33" s="34">
        <f>SUM(C102:C105)</f>
        <v>8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4</v>
      </c>
      <c r="W33" s="34">
        <f t="shared" si="25"/>
        <v>0</v>
      </c>
      <c r="X33" s="34">
        <f t="shared" si="25"/>
        <v>1</v>
      </c>
      <c r="Y33" s="34">
        <f t="shared" si="25"/>
        <v>6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27</v>
      </c>
      <c r="AF33" s="31">
        <f t="shared" si="25"/>
        <v>58</v>
      </c>
    </row>
    <row r="34" spans="2:32" ht="23.1" customHeight="1" x14ac:dyDescent="0.25">
      <c r="B34" s="46" t="s">
        <v>61</v>
      </c>
      <c r="C34" s="50">
        <v>4</v>
      </c>
      <c r="D34" s="50">
        <v>0</v>
      </c>
      <c r="E34" s="50">
        <v>6</v>
      </c>
      <c r="F34" s="50">
        <v>2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13</v>
      </c>
      <c r="P34" s="15">
        <f t="shared" si="1"/>
        <v>32</v>
      </c>
      <c r="R34" s="38" t="s">
        <v>90</v>
      </c>
      <c r="S34" s="39">
        <f t="shared" ref="S34:AF34" si="26">MAX(S10:S12)</f>
        <v>10</v>
      </c>
      <c r="T34" s="39">
        <f t="shared" si="26"/>
        <v>0</v>
      </c>
      <c r="U34" s="39">
        <f t="shared" si="26"/>
        <v>12</v>
      </c>
      <c r="V34" s="39">
        <f t="shared" si="26"/>
        <v>10</v>
      </c>
      <c r="W34" s="39">
        <f t="shared" si="26"/>
        <v>3</v>
      </c>
      <c r="X34" s="39">
        <f t="shared" si="26"/>
        <v>0</v>
      </c>
      <c r="Y34" s="39">
        <f t="shared" si="26"/>
        <v>12</v>
      </c>
      <c r="Z34" s="39">
        <f t="shared" si="26"/>
        <v>2</v>
      </c>
      <c r="AA34" s="39">
        <f t="shared" si="26"/>
        <v>3</v>
      </c>
      <c r="AB34" s="39">
        <f t="shared" si="26"/>
        <v>0</v>
      </c>
      <c r="AC34" s="39">
        <f t="shared" si="26"/>
        <v>66</v>
      </c>
      <c r="AD34" s="39">
        <f t="shared" si="26"/>
        <v>0</v>
      </c>
      <c r="AE34" s="40">
        <f t="shared" si="26"/>
        <v>44</v>
      </c>
      <c r="AF34" s="40">
        <f t="shared" si="26"/>
        <v>105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21</v>
      </c>
      <c r="N35" s="50">
        <v>0</v>
      </c>
      <c r="O35" s="15">
        <f t="shared" si="0"/>
        <v>4</v>
      </c>
      <c r="P35" s="15">
        <f t="shared" si="1"/>
        <v>25</v>
      </c>
      <c r="R35" s="38" t="s">
        <v>91</v>
      </c>
      <c r="S35" s="39">
        <f t="shared" ref="S35:AF35" si="27">MAX(S13:S18)</f>
        <v>18</v>
      </c>
      <c r="T35" s="39">
        <f t="shared" si="27"/>
        <v>0</v>
      </c>
      <c r="U35" s="39">
        <f t="shared" si="27"/>
        <v>17</v>
      </c>
      <c r="V35" s="39">
        <f t="shared" si="27"/>
        <v>6</v>
      </c>
      <c r="W35" s="39">
        <f t="shared" si="27"/>
        <v>1</v>
      </c>
      <c r="X35" s="39">
        <f t="shared" si="27"/>
        <v>0</v>
      </c>
      <c r="Y35" s="39">
        <f t="shared" si="27"/>
        <v>16</v>
      </c>
      <c r="Z35" s="39">
        <f t="shared" si="27"/>
        <v>2</v>
      </c>
      <c r="AA35" s="39">
        <f t="shared" si="27"/>
        <v>3</v>
      </c>
      <c r="AB35" s="39">
        <f t="shared" si="27"/>
        <v>0</v>
      </c>
      <c r="AC35" s="39">
        <f t="shared" si="27"/>
        <v>82</v>
      </c>
      <c r="AD35" s="39">
        <f t="shared" si="27"/>
        <v>0</v>
      </c>
      <c r="AE35" s="40">
        <f t="shared" si="27"/>
        <v>50</v>
      </c>
      <c r="AF35" s="40">
        <f t="shared" si="27"/>
        <v>126</v>
      </c>
    </row>
    <row r="36" spans="2:32" ht="23.1" customHeight="1" x14ac:dyDescent="0.25">
      <c r="B36" s="46" t="s">
        <v>63</v>
      </c>
      <c r="C36" s="50">
        <v>7</v>
      </c>
      <c r="D36" s="50">
        <v>0</v>
      </c>
      <c r="E36" s="50">
        <v>4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20</v>
      </c>
      <c r="N36" s="50">
        <v>0</v>
      </c>
      <c r="O36" s="15">
        <f t="shared" si="0"/>
        <v>12</v>
      </c>
      <c r="P36" s="15">
        <f t="shared" si="1"/>
        <v>32</v>
      </c>
      <c r="R36" s="38" t="s">
        <v>92</v>
      </c>
      <c r="S36" s="39">
        <f t="shared" ref="S36:AF36" si="28">MAX(S19:S21)</f>
        <v>11</v>
      </c>
      <c r="T36" s="39">
        <f t="shared" si="28"/>
        <v>0</v>
      </c>
      <c r="U36" s="39">
        <f t="shared" si="28"/>
        <v>9</v>
      </c>
      <c r="V36" s="39">
        <f t="shared" si="28"/>
        <v>6</v>
      </c>
      <c r="W36" s="39">
        <f t="shared" si="28"/>
        <v>0</v>
      </c>
      <c r="X36" s="39">
        <f t="shared" si="28"/>
        <v>0</v>
      </c>
      <c r="Y36" s="39">
        <f t="shared" si="28"/>
        <v>12</v>
      </c>
      <c r="Z36" s="39">
        <f t="shared" si="28"/>
        <v>3</v>
      </c>
      <c r="AA36" s="39">
        <f t="shared" si="28"/>
        <v>4</v>
      </c>
      <c r="AB36" s="39">
        <f t="shared" si="28"/>
        <v>0</v>
      </c>
      <c r="AC36" s="39">
        <f t="shared" si="28"/>
        <v>91</v>
      </c>
      <c r="AD36" s="39">
        <f t="shared" si="28"/>
        <v>0</v>
      </c>
      <c r="AE36" s="40">
        <f t="shared" si="28"/>
        <v>37</v>
      </c>
      <c r="AF36" s="40">
        <f t="shared" si="28"/>
        <v>125</v>
      </c>
    </row>
    <row r="37" spans="2:32" ht="23.1" customHeight="1" x14ac:dyDescent="0.25">
      <c r="B37" s="45" t="s">
        <v>64</v>
      </c>
      <c r="C37" s="50">
        <v>4</v>
      </c>
      <c r="D37" s="50">
        <v>0</v>
      </c>
      <c r="E37" s="50">
        <v>3</v>
      </c>
      <c r="F37" s="50">
        <v>3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0</v>
      </c>
      <c r="M37" s="50">
        <v>22</v>
      </c>
      <c r="N37" s="50">
        <v>0</v>
      </c>
      <c r="O37" s="15">
        <f t="shared" si="0"/>
        <v>15</v>
      </c>
      <c r="P37" s="15">
        <f t="shared" si="1"/>
        <v>37</v>
      </c>
      <c r="R37" s="37" t="s">
        <v>85</v>
      </c>
      <c r="S37" s="35">
        <f t="shared" ref="S37:AF37" si="29">SUM(S10:S12)</f>
        <v>20</v>
      </c>
      <c r="T37" s="16">
        <f t="shared" si="29"/>
        <v>0</v>
      </c>
      <c r="U37" s="16">
        <f t="shared" si="29"/>
        <v>26</v>
      </c>
      <c r="V37" s="16">
        <f t="shared" si="29"/>
        <v>19</v>
      </c>
      <c r="W37" s="16">
        <f t="shared" si="29"/>
        <v>4</v>
      </c>
      <c r="X37" s="16">
        <f t="shared" si="29"/>
        <v>0</v>
      </c>
      <c r="Y37" s="16">
        <f t="shared" si="29"/>
        <v>28</v>
      </c>
      <c r="Z37" s="16">
        <f t="shared" si="29"/>
        <v>3</v>
      </c>
      <c r="AA37" s="16">
        <f t="shared" si="29"/>
        <v>7</v>
      </c>
      <c r="AB37" s="16">
        <f t="shared" si="29"/>
        <v>0</v>
      </c>
      <c r="AC37" s="16">
        <f t="shared" si="29"/>
        <v>190</v>
      </c>
      <c r="AD37" s="16">
        <f t="shared" si="29"/>
        <v>0</v>
      </c>
      <c r="AE37" s="32">
        <f t="shared" si="29"/>
        <v>107</v>
      </c>
      <c r="AF37" s="32">
        <f t="shared" si="29"/>
        <v>297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4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24</v>
      </c>
      <c r="N38" s="50">
        <v>0</v>
      </c>
      <c r="O38" s="15">
        <f t="shared" si="0"/>
        <v>10</v>
      </c>
      <c r="P38" s="15">
        <f t="shared" si="1"/>
        <v>34</v>
      </c>
      <c r="R38" s="28" t="s">
        <v>86</v>
      </c>
      <c r="S38" s="16">
        <f t="shared" ref="S38:AF38" si="30">SUM(S13:S18)</f>
        <v>58</v>
      </c>
      <c r="T38" s="16">
        <f t="shared" si="30"/>
        <v>0</v>
      </c>
      <c r="U38" s="16">
        <f t="shared" si="30"/>
        <v>82</v>
      </c>
      <c r="V38" s="16">
        <f t="shared" si="30"/>
        <v>29</v>
      </c>
      <c r="W38" s="16">
        <f t="shared" si="30"/>
        <v>1</v>
      </c>
      <c r="X38" s="16">
        <f t="shared" si="30"/>
        <v>0</v>
      </c>
      <c r="Y38" s="16">
        <f t="shared" si="30"/>
        <v>62</v>
      </c>
      <c r="Z38" s="16">
        <f t="shared" si="30"/>
        <v>6</v>
      </c>
      <c r="AA38" s="16">
        <f t="shared" si="30"/>
        <v>11</v>
      </c>
      <c r="AB38" s="16">
        <f t="shared" si="30"/>
        <v>0</v>
      </c>
      <c r="AC38" s="16">
        <f t="shared" si="30"/>
        <v>440</v>
      </c>
      <c r="AD38" s="16">
        <f t="shared" si="30"/>
        <v>0</v>
      </c>
      <c r="AE38" s="32">
        <f t="shared" si="30"/>
        <v>249</v>
      </c>
      <c r="AF38" s="32">
        <f t="shared" si="30"/>
        <v>689</v>
      </c>
    </row>
    <row r="39" spans="2:32" ht="23.1" customHeight="1" x14ac:dyDescent="0.25">
      <c r="B39" s="46" t="s">
        <v>66</v>
      </c>
      <c r="C39" s="50">
        <v>3</v>
      </c>
      <c r="D39" s="50">
        <v>0</v>
      </c>
      <c r="E39" s="50">
        <v>4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9</v>
      </c>
      <c r="P39" s="15">
        <f t="shared" si="1"/>
        <v>24</v>
      </c>
      <c r="R39" s="29" t="s">
        <v>87</v>
      </c>
      <c r="S39" s="16">
        <f t="shared" ref="S39:AF39" si="31">SUM(S19:S21)</f>
        <v>25</v>
      </c>
      <c r="T39" s="16">
        <f t="shared" si="31"/>
        <v>0</v>
      </c>
      <c r="U39" s="16">
        <f t="shared" si="31"/>
        <v>23</v>
      </c>
      <c r="V39" s="16">
        <f t="shared" si="31"/>
        <v>14</v>
      </c>
      <c r="W39" s="16">
        <f t="shared" si="31"/>
        <v>0</v>
      </c>
      <c r="X39" s="16">
        <f t="shared" si="31"/>
        <v>0</v>
      </c>
      <c r="Y39" s="16">
        <f t="shared" si="31"/>
        <v>26</v>
      </c>
      <c r="Z39" s="16">
        <f t="shared" si="31"/>
        <v>6</v>
      </c>
      <c r="AA39" s="16">
        <f t="shared" si="31"/>
        <v>7</v>
      </c>
      <c r="AB39" s="16">
        <f t="shared" si="31"/>
        <v>0</v>
      </c>
      <c r="AC39" s="16">
        <f t="shared" si="31"/>
        <v>219</v>
      </c>
      <c r="AD39" s="16">
        <f t="shared" si="31"/>
        <v>0</v>
      </c>
      <c r="AE39" s="32">
        <f t="shared" si="31"/>
        <v>101</v>
      </c>
      <c r="AF39" s="32">
        <f t="shared" si="31"/>
        <v>320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2</v>
      </c>
      <c r="F40" s="50">
        <v>3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7</v>
      </c>
      <c r="P40" s="15">
        <f t="shared" si="1"/>
        <v>24</v>
      </c>
      <c r="R40" s="5" t="s">
        <v>17</v>
      </c>
      <c r="S40" s="16">
        <f t="shared" ref="S40:AF40" si="32">SUM(S10:S21)</f>
        <v>103</v>
      </c>
      <c r="T40" s="16">
        <f t="shared" si="32"/>
        <v>0</v>
      </c>
      <c r="U40" s="16">
        <f t="shared" si="32"/>
        <v>131</v>
      </c>
      <c r="V40" s="16">
        <f t="shared" si="32"/>
        <v>62</v>
      </c>
      <c r="W40" s="16">
        <f t="shared" si="32"/>
        <v>5</v>
      </c>
      <c r="X40" s="16">
        <f t="shared" si="32"/>
        <v>0</v>
      </c>
      <c r="Y40" s="16">
        <f t="shared" si="32"/>
        <v>116</v>
      </c>
      <c r="Z40" s="16">
        <f t="shared" si="32"/>
        <v>15</v>
      </c>
      <c r="AA40" s="16">
        <f t="shared" si="32"/>
        <v>25</v>
      </c>
      <c r="AB40" s="16">
        <f t="shared" si="32"/>
        <v>0</v>
      </c>
      <c r="AC40" s="16">
        <f t="shared" si="32"/>
        <v>849</v>
      </c>
      <c r="AD40" s="16">
        <f t="shared" si="32"/>
        <v>0</v>
      </c>
      <c r="AE40" s="32">
        <f t="shared" si="32"/>
        <v>457</v>
      </c>
      <c r="AF40" s="32">
        <f t="shared" si="32"/>
        <v>1306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4</v>
      </c>
      <c r="F41" s="50">
        <v>1</v>
      </c>
      <c r="G41" s="50">
        <v>0</v>
      </c>
      <c r="H41" s="50">
        <v>0</v>
      </c>
      <c r="I41" s="50">
        <v>3</v>
      </c>
      <c r="J41" s="50">
        <v>0</v>
      </c>
      <c r="K41" s="50">
        <v>2</v>
      </c>
      <c r="L41" s="50">
        <v>0</v>
      </c>
      <c r="M41" s="50">
        <v>22</v>
      </c>
      <c r="N41" s="50">
        <v>0</v>
      </c>
      <c r="O41" s="15">
        <f t="shared" si="0"/>
        <v>10</v>
      </c>
      <c r="P41" s="15">
        <f t="shared" si="1"/>
        <v>32</v>
      </c>
      <c r="R41" s="5" t="s">
        <v>159</v>
      </c>
      <c r="S41" s="16">
        <f>SUM(S10:S33)</f>
        <v>160</v>
      </c>
      <c r="T41" s="16">
        <f t="shared" ref="T41:AF41" si="33">SUM(T10:T33)</f>
        <v>3</v>
      </c>
      <c r="U41" s="16">
        <f t="shared" si="33"/>
        <v>183</v>
      </c>
      <c r="V41" s="16">
        <f t="shared" si="33"/>
        <v>92</v>
      </c>
      <c r="W41" s="16">
        <f t="shared" si="33"/>
        <v>5</v>
      </c>
      <c r="X41" s="16">
        <f t="shared" si="33"/>
        <v>1</v>
      </c>
      <c r="Y41" s="16">
        <f t="shared" si="33"/>
        <v>168</v>
      </c>
      <c r="Z41" s="16">
        <f t="shared" si="33"/>
        <v>29</v>
      </c>
      <c r="AA41" s="16">
        <f t="shared" si="33"/>
        <v>38</v>
      </c>
      <c r="AB41" s="16">
        <f t="shared" si="33"/>
        <v>0</v>
      </c>
      <c r="AC41" s="16">
        <f t="shared" si="33"/>
        <v>1023</v>
      </c>
      <c r="AD41" s="16">
        <f t="shared" si="33"/>
        <v>0</v>
      </c>
      <c r="AE41" s="32">
        <f t="shared" si="33"/>
        <v>679</v>
      </c>
      <c r="AF41" s="32">
        <f t="shared" si="33"/>
        <v>1702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1</v>
      </c>
      <c r="F42" s="50">
        <v>1</v>
      </c>
      <c r="G42" s="50">
        <v>1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8</v>
      </c>
      <c r="P42" s="15">
        <f t="shared" si="1"/>
        <v>22</v>
      </c>
      <c r="R42" s="5" t="s">
        <v>160</v>
      </c>
      <c r="S42" s="48">
        <f>S41/S40</f>
        <v>1.5533980582524272</v>
      </c>
      <c r="T42" s="48" t="e">
        <f t="shared" ref="T42:AF42" si="34">T41/T40</f>
        <v>#DIV/0!</v>
      </c>
      <c r="U42" s="48">
        <f t="shared" si="34"/>
        <v>1.3969465648854962</v>
      </c>
      <c r="V42" s="48">
        <f t="shared" si="34"/>
        <v>1.4838709677419355</v>
      </c>
      <c r="W42" s="48">
        <f t="shared" si="34"/>
        <v>1</v>
      </c>
      <c r="X42" s="48" t="e">
        <f t="shared" si="34"/>
        <v>#DIV/0!</v>
      </c>
      <c r="Y42" s="48">
        <f t="shared" si="34"/>
        <v>1.4482758620689655</v>
      </c>
      <c r="Z42" s="48">
        <f t="shared" si="34"/>
        <v>1.9333333333333333</v>
      </c>
      <c r="AA42" s="48">
        <f t="shared" si="34"/>
        <v>1.52</v>
      </c>
      <c r="AB42" s="48" t="e">
        <f t="shared" si="34"/>
        <v>#DIV/0!</v>
      </c>
      <c r="AC42" s="48">
        <f t="shared" si="34"/>
        <v>1.204946996466431</v>
      </c>
      <c r="AD42" s="48" t="e">
        <f t="shared" si="34"/>
        <v>#DIV/0!</v>
      </c>
      <c r="AE42" s="48">
        <f t="shared" si="34"/>
        <v>1.4857768052516411</v>
      </c>
      <c r="AF42" s="48">
        <f t="shared" si="34"/>
        <v>1.3032159264931087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3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5</v>
      </c>
      <c r="P43" s="15">
        <f t="shared" si="1"/>
        <v>22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3</v>
      </c>
      <c r="F44" s="50">
        <v>2</v>
      </c>
      <c r="G44" s="50">
        <v>0</v>
      </c>
      <c r="H44" s="50">
        <v>0</v>
      </c>
      <c r="I44" s="50">
        <v>2</v>
      </c>
      <c r="J44" s="50">
        <v>0</v>
      </c>
      <c r="K44" s="50">
        <v>2</v>
      </c>
      <c r="L44" s="50">
        <v>0</v>
      </c>
      <c r="M44" s="50">
        <v>21</v>
      </c>
      <c r="N44" s="50">
        <v>0</v>
      </c>
      <c r="O44" s="15">
        <f t="shared" si="0"/>
        <v>10</v>
      </c>
      <c r="P44" s="15">
        <f t="shared" si="1"/>
        <v>31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3</v>
      </c>
      <c r="F45" s="50">
        <v>2</v>
      </c>
      <c r="G45" s="50">
        <v>0</v>
      </c>
      <c r="H45" s="50">
        <v>0</v>
      </c>
      <c r="I45" s="50">
        <v>5</v>
      </c>
      <c r="J45" s="50">
        <v>0</v>
      </c>
      <c r="K45" s="50">
        <v>1</v>
      </c>
      <c r="L45" s="50">
        <v>0</v>
      </c>
      <c r="M45" s="50">
        <v>10</v>
      </c>
      <c r="N45" s="50">
        <v>0</v>
      </c>
      <c r="O45" s="15">
        <f t="shared" si="0"/>
        <v>13</v>
      </c>
      <c r="P45" s="15">
        <f t="shared" si="1"/>
        <v>23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4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7</v>
      </c>
      <c r="P46" s="15">
        <f t="shared" si="1"/>
        <v>22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4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10</v>
      </c>
      <c r="P47" s="15">
        <f t="shared" si="1"/>
        <v>25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5</v>
      </c>
      <c r="P48" s="15">
        <f t="shared" si="1"/>
        <v>17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23</v>
      </c>
      <c r="N49" s="50">
        <v>0</v>
      </c>
      <c r="O49" s="15">
        <f t="shared" si="0"/>
        <v>8</v>
      </c>
      <c r="P49" s="15">
        <f t="shared" si="1"/>
        <v>31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2</v>
      </c>
      <c r="F50" s="50">
        <v>3</v>
      </c>
      <c r="G50" s="50">
        <v>0</v>
      </c>
      <c r="H50" s="50">
        <v>0</v>
      </c>
      <c r="I50" s="50">
        <v>2</v>
      </c>
      <c r="J50" s="50">
        <v>0</v>
      </c>
      <c r="K50" s="50">
        <v>2</v>
      </c>
      <c r="L50" s="50">
        <v>0</v>
      </c>
      <c r="M50" s="50">
        <v>18</v>
      </c>
      <c r="N50" s="50">
        <v>0</v>
      </c>
      <c r="O50" s="15">
        <f t="shared" si="0"/>
        <v>11</v>
      </c>
      <c r="P50" s="15">
        <f t="shared" si="1"/>
        <v>29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13</v>
      </c>
      <c r="N51" s="50">
        <v>0</v>
      </c>
      <c r="O51" s="15">
        <f t="shared" si="0"/>
        <v>6</v>
      </c>
      <c r="P51" s="15">
        <f t="shared" si="1"/>
        <v>19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4</v>
      </c>
      <c r="F52" s="50">
        <v>1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17</v>
      </c>
      <c r="N52" s="50">
        <v>0</v>
      </c>
      <c r="O52" s="15">
        <f t="shared" si="0"/>
        <v>12</v>
      </c>
      <c r="P52" s="15">
        <f t="shared" si="1"/>
        <v>29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15</v>
      </c>
      <c r="N53" s="50">
        <v>0</v>
      </c>
      <c r="O53" s="15">
        <f t="shared" si="0"/>
        <v>8</v>
      </c>
      <c r="P53" s="15">
        <f t="shared" si="1"/>
        <v>23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2</v>
      </c>
      <c r="J54" s="50">
        <v>1</v>
      </c>
      <c r="K54" s="50">
        <v>1</v>
      </c>
      <c r="L54" s="50">
        <v>0</v>
      </c>
      <c r="M54" s="50">
        <v>26</v>
      </c>
      <c r="N54" s="50">
        <v>0</v>
      </c>
      <c r="O54" s="15">
        <f t="shared" si="0"/>
        <v>7</v>
      </c>
      <c r="P54" s="15">
        <f t="shared" si="1"/>
        <v>33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17</v>
      </c>
      <c r="N55" s="50">
        <v>0</v>
      </c>
      <c r="O55" s="15">
        <f t="shared" si="0"/>
        <v>9</v>
      </c>
      <c r="P55" s="15">
        <f t="shared" si="1"/>
        <v>26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0</v>
      </c>
      <c r="E56" s="50">
        <v>3</v>
      </c>
      <c r="F56" s="50">
        <v>1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13</v>
      </c>
      <c r="P56" s="15">
        <f t="shared" si="1"/>
        <v>35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2</v>
      </c>
      <c r="L57" s="50">
        <v>0</v>
      </c>
      <c r="M57" s="50">
        <v>26</v>
      </c>
      <c r="N57" s="50">
        <v>0</v>
      </c>
      <c r="O57" s="15">
        <f t="shared" si="0"/>
        <v>5</v>
      </c>
      <c r="P57" s="15">
        <f t="shared" si="1"/>
        <v>31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4</v>
      </c>
      <c r="F58" s="50">
        <v>0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15</v>
      </c>
      <c r="N58" s="50">
        <v>0</v>
      </c>
      <c r="O58" s="15">
        <f t="shared" ref="O58:O105" si="35">SUM(C58:L58,N58)</f>
        <v>7</v>
      </c>
      <c r="P58" s="15">
        <f t="shared" ref="P58:P105" si="36">SUM(C58:N58)</f>
        <v>22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4</v>
      </c>
      <c r="G59" s="50">
        <v>0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17</v>
      </c>
      <c r="N59" s="50">
        <v>0</v>
      </c>
      <c r="O59" s="15">
        <f t="shared" si="35"/>
        <v>10</v>
      </c>
      <c r="P59" s="15">
        <f t="shared" si="36"/>
        <v>27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3</v>
      </c>
      <c r="J60" s="50">
        <v>1</v>
      </c>
      <c r="K60" s="50">
        <v>0</v>
      </c>
      <c r="L60" s="50">
        <v>0</v>
      </c>
      <c r="M60" s="50">
        <v>13</v>
      </c>
      <c r="N60" s="50">
        <v>0</v>
      </c>
      <c r="O60" s="15">
        <f t="shared" si="35"/>
        <v>5</v>
      </c>
      <c r="P60" s="15">
        <f t="shared" si="36"/>
        <v>18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3</v>
      </c>
      <c r="J61" s="50">
        <v>1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35"/>
        <v>8</v>
      </c>
      <c r="P61" s="15">
        <f t="shared" si="36"/>
        <v>22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2</v>
      </c>
      <c r="F62" s="50">
        <v>3</v>
      </c>
      <c r="G62" s="50">
        <v>0</v>
      </c>
      <c r="H62" s="50">
        <v>0</v>
      </c>
      <c r="I62" s="50">
        <v>2</v>
      </c>
      <c r="J62" s="50">
        <v>0</v>
      </c>
      <c r="K62" s="50">
        <v>2</v>
      </c>
      <c r="L62" s="50">
        <v>0</v>
      </c>
      <c r="M62" s="50">
        <v>11</v>
      </c>
      <c r="N62" s="50">
        <v>0</v>
      </c>
      <c r="O62" s="15">
        <f t="shared" si="35"/>
        <v>11</v>
      </c>
      <c r="P62" s="15">
        <f t="shared" si="36"/>
        <v>22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3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7</v>
      </c>
      <c r="N63" s="50">
        <v>0</v>
      </c>
      <c r="O63" s="15">
        <f t="shared" si="35"/>
        <v>6</v>
      </c>
      <c r="P63" s="15">
        <f t="shared" si="36"/>
        <v>13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4</v>
      </c>
      <c r="F64" s="50">
        <v>1</v>
      </c>
      <c r="G64" s="50">
        <v>0</v>
      </c>
      <c r="H64" s="50">
        <v>0</v>
      </c>
      <c r="I64" s="50">
        <v>4</v>
      </c>
      <c r="J64" s="50">
        <v>0</v>
      </c>
      <c r="K64" s="50">
        <v>0</v>
      </c>
      <c r="L64" s="50">
        <v>0</v>
      </c>
      <c r="M64" s="50">
        <v>11</v>
      </c>
      <c r="N64" s="50">
        <v>0</v>
      </c>
      <c r="O64" s="15">
        <f t="shared" si="35"/>
        <v>12</v>
      </c>
      <c r="P64" s="15">
        <f t="shared" si="36"/>
        <v>23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1</v>
      </c>
      <c r="K65" s="50">
        <v>1</v>
      </c>
      <c r="L65" s="50">
        <v>0</v>
      </c>
      <c r="M65" s="50">
        <v>10</v>
      </c>
      <c r="N65" s="50">
        <v>0</v>
      </c>
      <c r="O65" s="15">
        <f t="shared" si="35"/>
        <v>8</v>
      </c>
      <c r="P65" s="15">
        <f t="shared" si="36"/>
        <v>18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2</v>
      </c>
      <c r="J66" s="50">
        <v>1</v>
      </c>
      <c r="K66" s="50">
        <v>1</v>
      </c>
      <c r="L66" s="50">
        <v>0</v>
      </c>
      <c r="M66" s="50">
        <v>6</v>
      </c>
      <c r="N66" s="50">
        <v>0</v>
      </c>
      <c r="O66" s="15">
        <f t="shared" si="35"/>
        <v>7</v>
      </c>
      <c r="P66" s="15">
        <f t="shared" si="36"/>
        <v>13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2</v>
      </c>
      <c r="F67" s="50">
        <v>1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35"/>
        <v>9</v>
      </c>
      <c r="P67" s="15">
        <f t="shared" si="36"/>
        <v>13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3</v>
      </c>
      <c r="F68" s="50">
        <v>1</v>
      </c>
      <c r="G68" s="50">
        <v>0</v>
      </c>
      <c r="H68" s="50">
        <v>0</v>
      </c>
      <c r="I68" s="50">
        <v>2</v>
      </c>
      <c r="J68" s="50">
        <v>2</v>
      </c>
      <c r="K68" s="50">
        <v>0</v>
      </c>
      <c r="L68" s="50">
        <v>0</v>
      </c>
      <c r="M68" s="50">
        <v>5</v>
      </c>
      <c r="N68" s="50">
        <v>0</v>
      </c>
      <c r="O68" s="15">
        <f t="shared" si="35"/>
        <v>13</v>
      </c>
      <c r="P68" s="15">
        <f t="shared" si="36"/>
        <v>18</v>
      </c>
      <c r="R68" s="8"/>
      <c r="T68"/>
    </row>
    <row r="69" spans="2:20" ht="23.1" customHeight="1" x14ac:dyDescent="0.25">
      <c r="B69" s="45" t="s">
        <v>106</v>
      </c>
      <c r="C69" s="50">
        <f>ROUND(C58/2,0)</f>
        <v>1</v>
      </c>
      <c r="D69" s="50">
        <f t="shared" ref="D69:L69" si="37">ROUND(D58/2,0)</f>
        <v>0</v>
      </c>
      <c r="E69" s="50">
        <f t="shared" si="37"/>
        <v>2</v>
      </c>
      <c r="F69" s="50">
        <f t="shared" si="37"/>
        <v>0</v>
      </c>
      <c r="G69" s="50">
        <f t="shared" si="37"/>
        <v>0</v>
      </c>
      <c r="H69" s="50">
        <f t="shared" si="37"/>
        <v>0</v>
      </c>
      <c r="I69" s="50">
        <f t="shared" si="37"/>
        <v>1</v>
      </c>
      <c r="J69" s="50">
        <f t="shared" si="37"/>
        <v>0</v>
      </c>
      <c r="K69" s="50">
        <f t="shared" si="37"/>
        <v>0</v>
      </c>
      <c r="L69" s="50">
        <f t="shared" si="37"/>
        <v>0</v>
      </c>
      <c r="M69" s="50">
        <v>6</v>
      </c>
      <c r="N69" s="50">
        <v>0</v>
      </c>
      <c r="O69" s="15">
        <f t="shared" si="35"/>
        <v>4</v>
      </c>
      <c r="P69" s="15">
        <f t="shared" si="36"/>
        <v>10</v>
      </c>
      <c r="R69" s="8"/>
      <c r="T69"/>
    </row>
    <row r="70" spans="2:20" ht="23.1" customHeight="1" x14ac:dyDescent="0.25">
      <c r="B70" s="45" t="s">
        <v>110</v>
      </c>
      <c r="C70" s="50">
        <f t="shared" ref="C70:L70" si="38">ROUND(C59/2,0)</f>
        <v>1</v>
      </c>
      <c r="D70" s="50">
        <f t="shared" si="38"/>
        <v>0</v>
      </c>
      <c r="E70" s="50">
        <f t="shared" si="38"/>
        <v>1</v>
      </c>
      <c r="F70" s="50">
        <f t="shared" si="38"/>
        <v>2</v>
      </c>
      <c r="G70" s="50">
        <f t="shared" si="38"/>
        <v>0</v>
      </c>
      <c r="H70" s="50">
        <f t="shared" si="38"/>
        <v>0</v>
      </c>
      <c r="I70" s="50">
        <f t="shared" si="38"/>
        <v>2</v>
      </c>
      <c r="J70" s="50">
        <f t="shared" si="38"/>
        <v>0</v>
      </c>
      <c r="K70" s="50">
        <f t="shared" si="38"/>
        <v>0</v>
      </c>
      <c r="L70" s="50">
        <f t="shared" si="38"/>
        <v>0</v>
      </c>
      <c r="M70" s="50">
        <v>7</v>
      </c>
      <c r="N70" s="50">
        <v>0</v>
      </c>
      <c r="O70" s="15">
        <f t="shared" si="35"/>
        <v>6</v>
      </c>
      <c r="P70" s="15">
        <f t="shared" si="36"/>
        <v>13</v>
      </c>
      <c r="R70" s="8"/>
      <c r="T70"/>
    </row>
    <row r="71" spans="2:20" ht="23.1" customHeight="1" x14ac:dyDescent="0.25">
      <c r="B71" s="45" t="s">
        <v>111</v>
      </c>
      <c r="C71" s="50">
        <f t="shared" ref="C71:L71" si="39">ROUND(C60/2,0)</f>
        <v>0</v>
      </c>
      <c r="D71" s="50">
        <f t="shared" si="39"/>
        <v>0</v>
      </c>
      <c r="E71" s="50">
        <f t="shared" si="39"/>
        <v>1</v>
      </c>
      <c r="F71" s="50">
        <f t="shared" si="39"/>
        <v>0</v>
      </c>
      <c r="G71" s="50">
        <f t="shared" si="39"/>
        <v>0</v>
      </c>
      <c r="H71" s="50">
        <f t="shared" si="39"/>
        <v>0</v>
      </c>
      <c r="I71" s="50">
        <f t="shared" si="39"/>
        <v>2</v>
      </c>
      <c r="J71" s="50">
        <f t="shared" si="39"/>
        <v>1</v>
      </c>
      <c r="K71" s="50">
        <f t="shared" si="39"/>
        <v>0</v>
      </c>
      <c r="L71" s="50">
        <f t="shared" si="39"/>
        <v>0</v>
      </c>
      <c r="M71" s="50">
        <v>3</v>
      </c>
      <c r="N71" s="50">
        <v>0</v>
      </c>
      <c r="O71" s="15">
        <f t="shared" si="35"/>
        <v>4</v>
      </c>
      <c r="P71" s="15">
        <f t="shared" si="36"/>
        <v>7</v>
      </c>
      <c r="R71" s="8"/>
      <c r="T71"/>
    </row>
    <row r="72" spans="2:20" ht="23.1" customHeight="1" x14ac:dyDescent="0.25">
      <c r="B72" s="45" t="s">
        <v>112</v>
      </c>
      <c r="C72" s="50">
        <f t="shared" ref="C72:L72" si="40">ROUND(C61/2,0)</f>
        <v>1</v>
      </c>
      <c r="D72" s="50">
        <f t="shared" si="40"/>
        <v>0</v>
      </c>
      <c r="E72" s="50">
        <f t="shared" si="40"/>
        <v>1</v>
      </c>
      <c r="F72" s="50">
        <f t="shared" si="40"/>
        <v>0</v>
      </c>
      <c r="G72" s="50">
        <f t="shared" si="40"/>
        <v>0</v>
      </c>
      <c r="H72" s="50">
        <f t="shared" si="40"/>
        <v>0</v>
      </c>
      <c r="I72" s="50">
        <f t="shared" si="40"/>
        <v>2</v>
      </c>
      <c r="J72" s="50">
        <f t="shared" si="40"/>
        <v>1</v>
      </c>
      <c r="K72" s="50">
        <f t="shared" si="40"/>
        <v>0</v>
      </c>
      <c r="L72" s="50">
        <f t="shared" si="40"/>
        <v>0</v>
      </c>
      <c r="M72" s="50">
        <v>2</v>
      </c>
      <c r="N72" s="50">
        <v>0</v>
      </c>
      <c r="O72" s="15">
        <f t="shared" si="35"/>
        <v>5</v>
      </c>
      <c r="P72" s="15">
        <f t="shared" si="36"/>
        <v>7</v>
      </c>
      <c r="R72" s="8"/>
      <c r="T72"/>
    </row>
    <row r="73" spans="2:20" ht="23.1" customHeight="1" x14ac:dyDescent="0.25">
      <c r="B73" s="45" t="s">
        <v>113</v>
      </c>
      <c r="C73" s="50">
        <f t="shared" ref="C73:L73" si="41">ROUND(C62/2,0)</f>
        <v>1</v>
      </c>
      <c r="D73" s="50">
        <f t="shared" si="41"/>
        <v>0</v>
      </c>
      <c r="E73" s="50">
        <f t="shared" si="41"/>
        <v>1</v>
      </c>
      <c r="F73" s="50">
        <f t="shared" si="41"/>
        <v>2</v>
      </c>
      <c r="G73" s="50">
        <f t="shared" si="41"/>
        <v>0</v>
      </c>
      <c r="H73" s="50">
        <f t="shared" si="41"/>
        <v>0</v>
      </c>
      <c r="I73" s="50">
        <f t="shared" si="41"/>
        <v>1</v>
      </c>
      <c r="J73" s="50">
        <f t="shared" si="41"/>
        <v>0</v>
      </c>
      <c r="K73" s="50">
        <f t="shared" si="41"/>
        <v>1</v>
      </c>
      <c r="L73" s="50">
        <f t="shared" si="41"/>
        <v>0</v>
      </c>
      <c r="M73" s="50">
        <v>1</v>
      </c>
      <c r="N73" s="50">
        <v>0</v>
      </c>
      <c r="O73" s="15">
        <f t="shared" si="35"/>
        <v>6</v>
      </c>
      <c r="P73" s="15">
        <f t="shared" si="36"/>
        <v>7</v>
      </c>
      <c r="R73" s="8"/>
      <c r="T73"/>
    </row>
    <row r="74" spans="2:20" ht="23.1" customHeight="1" x14ac:dyDescent="0.25">
      <c r="B74" s="45" t="s">
        <v>114</v>
      </c>
      <c r="C74" s="50">
        <f t="shared" ref="C74:L74" si="42">ROUND(C63/2,0)</f>
        <v>1</v>
      </c>
      <c r="D74" s="50">
        <f t="shared" si="42"/>
        <v>0</v>
      </c>
      <c r="E74" s="50">
        <f t="shared" si="42"/>
        <v>2</v>
      </c>
      <c r="F74" s="50">
        <f t="shared" si="42"/>
        <v>0</v>
      </c>
      <c r="G74" s="50">
        <f t="shared" si="42"/>
        <v>0</v>
      </c>
      <c r="H74" s="50">
        <f t="shared" si="42"/>
        <v>0</v>
      </c>
      <c r="I74" s="50">
        <f t="shared" si="42"/>
        <v>0</v>
      </c>
      <c r="J74" s="50">
        <f t="shared" si="42"/>
        <v>0</v>
      </c>
      <c r="K74" s="50">
        <f t="shared" si="42"/>
        <v>1</v>
      </c>
      <c r="L74" s="50">
        <f t="shared" si="42"/>
        <v>0</v>
      </c>
      <c r="M74" s="50">
        <v>1</v>
      </c>
      <c r="N74" s="50">
        <v>0</v>
      </c>
      <c r="O74" s="15">
        <f t="shared" si="35"/>
        <v>4</v>
      </c>
      <c r="P74" s="15">
        <f t="shared" si="36"/>
        <v>5</v>
      </c>
      <c r="R74" s="8"/>
      <c r="T74"/>
    </row>
    <row r="75" spans="2:20" ht="23.1" customHeight="1" x14ac:dyDescent="0.25">
      <c r="B75" s="45" t="s">
        <v>115</v>
      </c>
      <c r="C75" s="50">
        <f t="shared" ref="C75:L75" si="43">ROUND(C64/2,0)</f>
        <v>2</v>
      </c>
      <c r="D75" s="50">
        <f t="shared" si="43"/>
        <v>0</v>
      </c>
      <c r="E75" s="50">
        <f t="shared" si="43"/>
        <v>2</v>
      </c>
      <c r="F75" s="50">
        <f t="shared" si="43"/>
        <v>1</v>
      </c>
      <c r="G75" s="50">
        <f t="shared" si="43"/>
        <v>0</v>
      </c>
      <c r="H75" s="50">
        <f t="shared" si="43"/>
        <v>0</v>
      </c>
      <c r="I75" s="50">
        <f t="shared" si="43"/>
        <v>2</v>
      </c>
      <c r="J75" s="50">
        <f t="shared" si="43"/>
        <v>0</v>
      </c>
      <c r="K75" s="50">
        <f t="shared" si="43"/>
        <v>0</v>
      </c>
      <c r="L75" s="50">
        <f t="shared" si="43"/>
        <v>0</v>
      </c>
      <c r="M75" s="50">
        <v>0</v>
      </c>
      <c r="N75" s="50">
        <v>0</v>
      </c>
      <c r="O75" s="15">
        <f t="shared" si="35"/>
        <v>7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f t="shared" ref="C76:L76" si="44">ROUND(C65/2,0)</f>
        <v>2</v>
      </c>
      <c r="D76" s="50">
        <f t="shared" si="44"/>
        <v>0</v>
      </c>
      <c r="E76" s="50">
        <f t="shared" si="44"/>
        <v>0</v>
      </c>
      <c r="F76" s="50">
        <f t="shared" si="44"/>
        <v>1</v>
      </c>
      <c r="G76" s="50">
        <f t="shared" si="44"/>
        <v>0</v>
      </c>
      <c r="H76" s="50">
        <f t="shared" si="44"/>
        <v>0</v>
      </c>
      <c r="I76" s="50">
        <f t="shared" si="44"/>
        <v>1</v>
      </c>
      <c r="J76" s="50">
        <f t="shared" si="44"/>
        <v>1</v>
      </c>
      <c r="K76" s="50">
        <f t="shared" si="44"/>
        <v>1</v>
      </c>
      <c r="L76" s="50">
        <f t="shared" si="44"/>
        <v>0</v>
      </c>
      <c r="M76" s="50">
        <v>0</v>
      </c>
      <c r="N76" s="50"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f t="shared" ref="C77:L77" si="45">ROUND(C66/2,0)</f>
        <v>1</v>
      </c>
      <c r="D77" s="50">
        <f t="shared" si="45"/>
        <v>0</v>
      </c>
      <c r="E77" s="50">
        <f t="shared" si="45"/>
        <v>1</v>
      </c>
      <c r="F77" s="50">
        <f t="shared" si="45"/>
        <v>1</v>
      </c>
      <c r="G77" s="50">
        <f t="shared" si="45"/>
        <v>0</v>
      </c>
      <c r="H77" s="50">
        <f t="shared" si="45"/>
        <v>0</v>
      </c>
      <c r="I77" s="50">
        <f t="shared" si="45"/>
        <v>1</v>
      </c>
      <c r="J77" s="50">
        <f t="shared" si="45"/>
        <v>1</v>
      </c>
      <c r="K77" s="50">
        <f t="shared" si="45"/>
        <v>1</v>
      </c>
      <c r="L77" s="50">
        <f t="shared" si="45"/>
        <v>0</v>
      </c>
      <c r="M77" s="50">
        <v>1</v>
      </c>
      <c r="N77" s="50">
        <v>0</v>
      </c>
      <c r="O77" s="15">
        <f t="shared" si="35"/>
        <v>6</v>
      </c>
      <c r="P77" s="15">
        <f t="shared" si="36"/>
        <v>7</v>
      </c>
      <c r="R77" s="8"/>
      <c r="T77"/>
    </row>
    <row r="78" spans="2:20" ht="23.1" customHeight="1" x14ac:dyDescent="0.25">
      <c r="B78" s="46" t="s">
        <v>118</v>
      </c>
      <c r="C78" s="50">
        <f t="shared" ref="C78:L78" si="46">ROUND(C67/2,0)</f>
        <v>2</v>
      </c>
      <c r="D78" s="50">
        <f t="shared" si="46"/>
        <v>0</v>
      </c>
      <c r="E78" s="50">
        <f t="shared" si="46"/>
        <v>1</v>
      </c>
      <c r="F78" s="50">
        <f t="shared" si="46"/>
        <v>1</v>
      </c>
      <c r="G78" s="50">
        <f t="shared" si="46"/>
        <v>0</v>
      </c>
      <c r="H78" s="50">
        <f t="shared" si="46"/>
        <v>0</v>
      </c>
      <c r="I78" s="50">
        <f t="shared" si="46"/>
        <v>1</v>
      </c>
      <c r="J78" s="50">
        <f t="shared" si="46"/>
        <v>0</v>
      </c>
      <c r="K78" s="50">
        <f t="shared" si="46"/>
        <v>0</v>
      </c>
      <c r="L78" s="50">
        <f t="shared" si="46"/>
        <v>0</v>
      </c>
      <c r="M78" s="50">
        <v>0</v>
      </c>
      <c r="N78" s="50"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f t="shared" ref="C79:L79" si="47">ROUND(C68/2,0)</f>
        <v>3</v>
      </c>
      <c r="D79" s="50">
        <f t="shared" si="47"/>
        <v>0</v>
      </c>
      <c r="E79" s="50">
        <f t="shared" si="47"/>
        <v>2</v>
      </c>
      <c r="F79" s="50">
        <f t="shared" si="47"/>
        <v>1</v>
      </c>
      <c r="G79" s="50">
        <f t="shared" si="47"/>
        <v>0</v>
      </c>
      <c r="H79" s="50">
        <f t="shared" si="47"/>
        <v>0</v>
      </c>
      <c r="I79" s="50">
        <f t="shared" si="47"/>
        <v>1</v>
      </c>
      <c r="J79" s="50">
        <f t="shared" si="47"/>
        <v>1</v>
      </c>
      <c r="K79" s="50">
        <f t="shared" si="47"/>
        <v>0</v>
      </c>
      <c r="L79" s="50">
        <f t="shared" si="47"/>
        <v>0</v>
      </c>
      <c r="M79" s="50">
        <v>0</v>
      </c>
      <c r="N79" s="50">
        <v>0</v>
      </c>
      <c r="O79" s="15">
        <f t="shared" si="35"/>
        <v>8</v>
      </c>
      <c r="P79" s="15">
        <f t="shared" si="36"/>
        <v>8</v>
      </c>
      <c r="R79" s="8"/>
      <c r="T79"/>
    </row>
    <row r="80" spans="2:20" ht="23.1" customHeight="1" x14ac:dyDescent="0.25">
      <c r="B80" s="47" t="s">
        <v>120</v>
      </c>
      <c r="C80" s="50">
        <f t="shared" ref="C80:L80" si="48">ROUND(C69/2,0)</f>
        <v>1</v>
      </c>
      <c r="D80" s="50">
        <f t="shared" si="48"/>
        <v>0</v>
      </c>
      <c r="E80" s="50">
        <f t="shared" si="48"/>
        <v>1</v>
      </c>
      <c r="F80" s="50">
        <f t="shared" si="48"/>
        <v>0</v>
      </c>
      <c r="G80" s="50">
        <f t="shared" si="48"/>
        <v>0</v>
      </c>
      <c r="H80" s="50">
        <f t="shared" si="48"/>
        <v>0</v>
      </c>
      <c r="I80" s="50">
        <f t="shared" si="48"/>
        <v>1</v>
      </c>
      <c r="J80" s="50">
        <f t="shared" si="48"/>
        <v>0</v>
      </c>
      <c r="K80" s="50">
        <f t="shared" si="48"/>
        <v>0</v>
      </c>
      <c r="L80" s="50">
        <f t="shared" si="48"/>
        <v>0</v>
      </c>
      <c r="M80" s="50">
        <v>1</v>
      </c>
      <c r="N80" s="50">
        <v>0</v>
      </c>
      <c r="O80" s="15">
        <f t="shared" si="35"/>
        <v>3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f t="shared" ref="C81:L81" si="49">ROUND(C70/2,0)</f>
        <v>1</v>
      </c>
      <c r="D81" s="50">
        <f t="shared" si="49"/>
        <v>0</v>
      </c>
      <c r="E81" s="50">
        <f t="shared" si="49"/>
        <v>1</v>
      </c>
      <c r="F81" s="50">
        <f t="shared" si="49"/>
        <v>1</v>
      </c>
      <c r="G81" s="50">
        <f t="shared" si="49"/>
        <v>0</v>
      </c>
      <c r="H81" s="50">
        <f t="shared" si="49"/>
        <v>0</v>
      </c>
      <c r="I81" s="50">
        <f t="shared" si="49"/>
        <v>1</v>
      </c>
      <c r="J81" s="50">
        <f t="shared" si="49"/>
        <v>0</v>
      </c>
      <c r="K81" s="50">
        <f t="shared" si="49"/>
        <v>0</v>
      </c>
      <c r="L81" s="50">
        <f t="shared" si="49"/>
        <v>0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f t="shared" ref="C82:L82" si="50">ROUND(C71/2,0)</f>
        <v>0</v>
      </c>
      <c r="D82" s="50">
        <f t="shared" si="50"/>
        <v>0</v>
      </c>
      <c r="E82" s="50">
        <f t="shared" si="50"/>
        <v>1</v>
      </c>
      <c r="F82" s="50">
        <f t="shared" si="50"/>
        <v>0</v>
      </c>
      <c r="G82" s="50">
        <f t="shared" si="50"/>
        <v>0</v>
      </c>
      <c r="H82" s="50">
        <f t="shared" si="50"/>
        <v>0</v>
      </c>
      <c r="I82" s="50">
        <f t="shared" si="50"/>
        <v>1</v>
      </c>
      <c r="J82" s="50">
        <f t="shared" si="50"/>
        <v>1</v>
      </c>
      <c r="K82" s="50">
        <f t="shared" si="50"/>
        <v>0</v>
      </c>
      <c r="L82" s="50">
        <f t="shared" si="50"/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f t="shared" ref="C83:L83" si="51">ROUND(C72/2,0)</f>
        <v>1</v>
      </c>
      <c r="D83" s="50">
        <f t="shared" si="51"/>
        <v>0</v>
      </c>
      <c r="E83" s="50">
        <f t="shared" si="51"/>
        <v>1</v>
      </c>
      <c r="F83" s="50">
        <f t="shared" si="51"/>
        <v>0</v>
      </c>
      <c r="G83" s="50">
        <f t="shared" si="51"/>
        <v>0</v>
      </c>
      <c r="H83" s="50">
        <f t="shared" si="51"/>
        <v>0</v>
      </c>
      <c r="I83" s="50">
        <f t="shared" si="51"/>
        <v>1</v>
      </c>
      <c r="J83" s="50">
        <f t="shared" si="51"/>
        <v>1</v>
      </c>
      <c r="K83" s="50">
        <f t="shared" si="51"/>
        <v>0</v>
      </c>
      <c r="L83" s="50">
        <f t="shared" si="51"/>
        <v>0</v>
      </c>
      <c r="M83" s="50">
        <v>0</v>
      </c>
      <c r="N83" s="50"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f t="shared" ref="C84:L84" si="52">ROUND(C73/2,0)</f>
        <v>1</v>
      </c>
      <c r="D84" s="50">
        <f t="shared" si="52"/>
        <v>0</v>
      </c>
      <c r="E84" s="50">
        <f t="shared" si="52"/>
        <v>1</v>
      </c>
      <c r="F84" s="50">
        <f t="shared" si="52"/>
        <v>1</v>
      </c>
      <c r="G84" s="50">
        <f t="shared" si="52"/>
        <v>0</v>
      </c>
      <c r="H84" s="50">
        <f t="shared" si="52"/>
        <v>0</v>
      </c>
      <c r="I84" s="50">
        <f t="shared" si="52"/>
        <v>1</v>
      </c>
      <c r="J84" s="50">
        <f t="shared" si="52"/>
        <v>0</v>
      </c>
      <c r="K84" s="50">
        <f t="shared" si="52"/>
        <v>1</v>
      </c>
      <c r="L84" s="50">
        <f t="shared" si="52"/>
        <v>0</v>
      </c>
      <c r="M84" s="50">
        <v>1</v>
      </c>
      <c r="N84" s="50">
        <v>0</v>
      </c>
      <c r="O84" s="15">
        <f t="shared" si="35"/>
        <v>5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f t="shared" ref="C85:L85" si="53">ROUND(C74/2,0)</f>
        <v>1</v>
      </c>
      <c r="D85" s="50">
        <f t="shared" si="53"/>
        <v>0</v>
      </c>
      <c r="E85" s="50">
        <f t="shared" si="53"/>
        <v>1</v>
      </c>
      <c r="F85" s="50">
        <f t="shared" si="53"/>
        <v>0</v>
      </c>
      <c r="G85" s="50">
        <f t="shared" si="53"/>
        <v>0</v>
      </c>
      <c r="H85" s="50">
        <f t="shared" si="53"/>
        <v>0</v>
      </c>
      <c r="I85" s="50">
        <f t="shared" si="53"/>
        <v>0</v>
      </c>
      <c r="J85" s="50">
        <f t="shared" si="53"/>
        <v>0</v>
      </c>
      <c r="K85" s="50">
        <f t="shared" si="53"/>
        <v>1</v>
      </c>
      <c r="L85" s="50">
        <f t="shared" si="53"/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f t="shared" ref="C90:L90" si="54">ROUND(C79/2,0)</f>
        <v>2</v>
      </c>
      <c r="D90" s="50">
        <f t="shared" si="54"/>
        <v>0</v>
      </c>
      <c r="E90" s="50">
        <f t="shared" si="54"/>
        <v>1</v>
      </c>
      <c r="F90" s="50">
        <f t="shared" si="54"/>
        <v>1</v>
      </c>
      <c r="G90" s="50">
        <f t="shared" si="54"/>
        <v>0</v>
      </c>
      <c r="H90" s="50">
        <f t="shared" si="54"/>
        <v>0</v>
      </c>
      <c r="I90" s="50">
        <f t="shared" si="54"/>
        <v>1</v>
      </c>
      <c r="J90" s="50">
        <f t="shared" si="54"/>
        <v>1</v>
      </c>
      <c r="K90" s="50">
        <f t="shared" si="54"/>
        <v>0</v>
      </c>
      <c r="L90" s="50">
        <f t="shared" si="54"/>
        <v>0</v>
      </c>
      <c r="M90" s="50">
        <v>0</v>
      </c>
      <c r="N90" s="50">
        <v>0</v>
      </c>
      <c r="O90" s="15">
        <f t="shared" si="35"/>
        <v>6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f t="shared" ref="C92:L92" si="55">ROUND(C81/2,0)</f>
        <v>1</v>
      </c>
      <c r="D92" s="50">
        <f t="shared" si="55"/>
        <v>0</v>
      </c>
      <c r="E92" s="50">
        <f t="shared" si="55"/>
        <v>1</v>
      </c>
      <c r="F92" s="50">
        <f t="shared" si="55"/>
        <v>1</v>
      </c>
      <c r="G92" s="50">
        <f t="shared" si="55"/>
        <v>0</v>
      </c>
      <c r="H92" s="50">
        <f t="shared" si="55"/>
        <v>0</v>
      </c>
      <c r="I92" s="50">
        <f t="shared" si="55"/>
        <v>1</v>
      </c>
      <c r="J92" s="50">
        <f t="shared" si="55"/>
        <v>0</v>
      </c>
      <c r="K92" s="50">
        <f t="shared" si="55"/>
        <v>0</v>
      </c>
      <c r="L92" s="50">
        <f t="shared" si="55"/>
        <v>0</v>
      </c>
      <c r="M92" s="50">
        <v>0</v>
      </c>
      <c r="N92" s="50">
        <v>0</v>
      </c>
      <c r="O92" s="15">
        <f t="shared" si="35"/>
        <v>4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3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3</v>
      </c>
      <c r="N101" s="50">
        <v>0</v>
      </c>
      <c r="O101" s="15">
        <f t="shared" si="35"/>
        <v>6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0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2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1</v>
      </c>
      <c r="L103" s="50">
        <v>0</v>
      </c>
      <c r="M103" s="50">
        <v>7</v>
      </c>
      <c r="N103" s="50">
        <v>0</v>
      </c>
      <c r="O103" s="15">
        <f t="shared" si="35"/>
        <v>7</v>
      </c>
      <c r="P103" s="15">
        <f t="shared" si="36"/>
        <v>14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2</v>
      </c>
      <c r="G104" s="50">
        <v>0</v>
      </c>
      <c r="H104" s="50">
        <v>1</v>
      </c>
      <c r="I104" s="50">
        <v>2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5"/>
        <v>9</v>
      </c>
      <c r="P104" s="15">
        <f t="shared" si="36"/>
        <v>15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3</v>
      </c>
      <c r="E105" s="50">
        <v>0</v>
      </c>
      <c r="F105" s="50">
        <v>1</v>
      </c>
      <c r="G105" s="50">
        <v>0</v>
      </c>
      <c r="H105" s="50">
        <v>0</v>
      </c>
      <c r="I105" s="50">
        <v>3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5"/>
        <v>11</v>
      </c>
      <c r="P105" s="15">
        <f t="shared" si="36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160</v>
      </c>
      <c r="D106" s="16">
        <f t="shared" ref="D106:P106" si="56">SUM(D10:D105)</f>
        <v>3</v>
      </c>
      <c r="E106" s="16">
        <f t="shared" si="56"/>
        <v>183</v>
      </c>
      <c r="F106" s="16">
        <f t="shared" si="56"/>
        <v>92</v>
      </c>
      <c r="G106" s="16">
        <f t="shared" si="56"/>
        <v>5</v>
      </c>
      <c r="H106" s="16">
        <f t="shared" si="56"/>
        <v>1</v>
      </c>
      <c r="I106" s="16">
        <f t="shared" si="56"/>
        <v>168</v>
      </c>
      <c r="J106" s="16">
        <f t="shared" si="56"/>
        <v>29</v>
      </c>
      <c r="K106" s="16">
        <f t="shared" si="56"/>
        <v>38</v>
      </c>
      <c r="L106" s="16">
        <f t="shared" si="56"/>
        <v>0</v>
      </c>
      <c r="M106" s="16">
        <f t="shared" si="56"/>
        <v>1023</v>
      </c>
      <c r="N106" s="16">
        <f t="shared" si="56"/>
        <v>0</v>
      </c>
      <c r="O106" s="16">
        <f t="shared" si="56"/>
        <v>679</v>
      </c>
      <c r="P106" s="16">
        <f t="shared" si="56"/>
        <v>1702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57">C106/$P$106</f>
        <v>9.400705052878966E-2</v>
      </c>
      <c r="D107" s="43">
        <f t="shared" si="57"/>
        <v>1.7626321974148062E-3</v>
      </c>
      <c r="E107" s="43">
        <f t="shared" si="57"/>
        <v>0.10752056404230317</v>
      </c>
      <c r="F107" s="43">
        <f t="shared" si="57"/>
        <v>5.4054054054054057E-2</v>
      </c>
      <c r="G107" s="43">
        <f t="shared" si="57"/>
        <v>2.9377203290246769E-3</v>
      </c>
      <c r="H107" s="43">
        <f t="shared" si="57"/>
        <v>5.8754406580493535E-4</v>
      </c>
      <c r="I107" s="43">
        <f t="shared" si="57"/>
        <v>9.870740305522914E-2</v>
      </c>
      <c r="J107" s="43">
        <f t="shared" si="57"/>
        <v>1.7038777908343124E-2</v>
      </c>
      <c r="K107" s="43">
        <f t="shared" si="57"/>
        <v>2.2326674500587545E-2</v>
      </c>
      <c r="L107" s="43">
        <f t="shared" si="57"/>
        <v>0</v>
      </c>
      <c r="M107" s="43">
        <f t="shared" si="57"/>
        <v>0.60105757931844883</v>
      </c>
      <c r="N107" s="43">
        <f t="shared" si="57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0.23564064801178203</v>
      </c>
      <c r="D108" s="44">
        <f t="shared" ref="D108:N108" si="58">D106/$O$106</f>
        <v>4.418262150220913E-3</v>
      </c>
      <c r="E108" s="44">
        <f t="shared" si="58"/>
        <v>0.26951399116347569</v>
      </c>
      <c r="F108" s="44">
        <f t="shared" si="58"/>
        <v>0.13549337260677466</v>
      </c>
      <c r="G108" s="44">
        <f t="shared" si="58"/>
        <v>7.3637702503681884E-3</v>
      </c>
      <c r="H108" s="44">
        <f t="shared" si="58"/>
        <v>1.4727540500736377E-3</v>
      </c>
      <c r="I108" s="44">
        <f t="shared" si="58"/>
        <v>0.24742268041237114</v>
      </c>
      <c r="J108" s="44">
        <f t="shared" si="58"/>
        <v>4.2709867452135494E-2</v>
      </c>
      <c r="K108" s="44">
        <f t="shared" si="58"/>
        <v>5.5964653902798235E-2</v>
      </c>
      <c r="L108" s="44">
        <f t="shared" si="58"/>
        <v>0</v>
      </c>
      <c r="M108" s="44"/>
      <c r="N108" s="44">
        <f t="shared" si="58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58" zoomScale="60" workbookViewId="0">
      <selection activeCell="C58" sqref="C58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'24.08 KAPEKA-MATUGA-24h'!D5</f>
        <v>24.08.19</v>
      </c>
      <c r="E5" s="3"/>
      <c r="F5" s="41" t="s">
        <v>1</v>
      </c>
      <c r="G5" s="66" t="str">
        <f>'24.08 KAPEKA-MATUGA-24h'!G5:H5</f>
        <v>Kapeeka</v>
      </c>
      <c r="H5" s="67"/>
      <c r="I5" s="14"/>
      <c r="J5" s="2" t="s">
        <v>5</v>
      </c>
      <c r="K5" s="66" t="str">
        <f>'24.08 KAPEKA-MATUGA-24h'!K5:L5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MATUGA-KAPEKA'!D6:E6</f>
        <v>MATUGA</v>
      </c>
      <c r="E6" s="67"/>
      <c r="F6" s="2" t="s">
        <v>2</v>
      </c>
      <c r="G6" s="66" t="str">
        <f>'21.08 MATUGA-KAPEKA'!G6:H6</f>
        <v>KAPEKA</v>
      </c>
      <c r="H6" s="67"/>
      <c r="J6" s="2" t="s">
        <v>21</v>
      </c>
      <c r="K6" s="66" t="str">
        <f>'24.08 KAPEKA-MATUGA-24h'!K6:L6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0</v>
      </c>
      <c r="M10" s="50">
        <v>8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13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3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52</v>
      </c>
      <c r="AD10" s="17">
        <f t="shared" si="2"/>
        <v>0</v>
      </c>
      <c r="AE10" s="31">
        <f t="shared" si="2"/>
        <v>21</v>
      </c>
      <c r="AF10" s="31">
        <f t="shared" si="2"/>
        <v>73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13</v>
      </c>
      <c r="N11" s="50">
        <v>0</v>
      </c>
      <c r="O11" s="15">
        <f t="shared" si="0"/>
        <v>2</v>
      </c>
      <c r="P11" s="15">
        <f t="shared" si="1"/>
        <v>15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5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59</v>
      </c>
      <c r="AD11" s="17">
        <f t="shared" si="3"/>
        <v>0</v>
      </c>
      <c r="AE11" s="31">
        <f t="shared" si="3"/>
        <v>19</v>
      </c>
      <c r="AF11" s="31">
        <f t="shared" si="3"/>
        <v>78</v>
      </c>
    </row>
    <row r="12" spans="2:32" ht="23.1" customHeight="1" x14ac:dyDescent="0.25">
      <c r="B12" s="45" t="s">
        <v>39</v>
      </c>
      <c r="C12" s="50">
        <v>5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9</v>
      </c>
      <c r="P12" s="15">
        <f t="shared" si="1"/>
        <v>22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9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3</v>
      </c>
      <c r="AB12" s="17">
        <f t="shared" si="4"/>
        <v>0</v>
      </c>
      <c r="AC12" s="17">
        <f t="shared" si="4"/>
        <v>48</v>
      </c>
      <c r="AD12" s="17">
        <f t="shared" si="4"/>
        <v>0</v>
      </c>
      <c r="AE12" s="31">
        <f t="shared" si="4"/>
        <v>26</v>
      </c>
      <c r="AF12" s="31">
        <f t="shared" si="4"/>
        <v>74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5</v>
      </c>
      <c r="P13" s="15">
        <f t="shared" si="1"/>
        <v>23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9</v>
      </c>
      <c r="V13" s="17">
        <f t="shared" si="5"/>
        <v>7</v>
      </c>
      <c r="W13" s="17">
        <f t="shared" si="5"/>
        <v>0</v>
      </c>
      <c r="X13" s="17">
        <f t="shared" si="5"/>
        <v>1</v>
      </c>
      <c r="Y13" s="17">
        <f t="shared" si="5"/>
        <v>8</v>
      </c>
      <c r="Z13" s="17">
        <f t="shared" si="5"/>
        <v>2</v>
      </c>
      <c r="AA13" s="17">
        <f t="shared" si="5"/>
        <v>5</v>
      </c>
      <c r="AB13" s="17">
        <f t="shared" si="5"/>
        <v>0</v>
      </c>
      <c r="AC13" s="17">
        <f t="shared" si="5"/>
        <v>58</v>
      </c>
      <c r="AD13" s="17">
        <f t="shared" si="5"/>
        <v>0</v>
      </c>
      <c r="AE13" s="31">
        <f t="shared" si="5"/>
        <v>36</v>
      </c>
      <c r="AF13" s="31">
        <f t="shared" si="5"/>
        <v>94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4</v>
      </c>
      <c r="P14" s="15">
        <f t="shared" si="1"/>
        <v>13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10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66</v>
      </c>
      <c r="AD14" s="17">
        <f t="shared" si="6"/>
        <v>0</v>
      </c>
      <c r="AE14" s="31">
        <f t="shared" si="6"/>
        <v>30</v>
      </c>
      <c r="AF14" s="31">
        <f t="shared" si="6"/>
        <v>96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3</v>
      </c>
      <c r="P15" s="15">
        <f t="shared" si="1"/>
        <v>17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11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75</v>
      </c>
      <c r="AD15" s="17">
        <f t="shared" si="7"/>
        <v>0</v>
      </c>
      <c r="AE15" s="31">
        <f t="shared" si="7"/>
        <v>29</v>
      </c>
      <c r="AF15" s="31">
        <f t="shared" si="7"/>
        <v>104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2</v>
      </c>
      <c r="P16" s="15">
        <f t="shared" si="1"/>
        <v>15</v>
      </c>
      <c r="R16" s="1" t="s">
        <v>12</v>
      </c>
      <c r="S16" s="17">
        <f t="shared" ref="S16:AF16" si="8">SUM(C34:C37)</f>
        <v>12</v>
      </c>
      <c r="T16" s="17">
        <f t="shared" si="8"/>
        <v>0</v>
      </c>
      <c r="U16" s="17">
        <f t="shared" si="8"/>
        <v>10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74</v>
      </c>
      <c r="AD16" s="17">
        <f t="shared" si="8"/>
        <v>0</v>
      </c>
      <c r="AE16" s="31">
        <f t="shared" si="8"/>
        <v>32</v>
      </c>
      <c r="AF16" s="31">
        <f t="shared" si="8"/>
        <v>106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3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2</v>
      </c>
      <c r="L17" s="50">
        <v>0</v>
      </c>
      <c r="M17" s="50">
        <v>23</v>
      </c>
      <c r="N17" s="50">
        <v>0</v>
      </c>
      <c r="O17" s="15">
        <f t="shared" si="0"/>
        <v>10</v>
      </c>
      <c r="P17" s="15">
        <f t="shared" si="1"/>
        <v>33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16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70</v>
      </c>
      <c r="AD17" s="17">
        <f t="shared" si="9"/>
        <v>0</v>
      </c>
      <c r="AE17" s="31">
        <f t="shared" si="9"/>
        <v>48</v>
      </c>
      <c r="AF17" s="31">
        <f t="shared" si="9"/>
        <v>118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3</v>
      </c>
      <c r="F18" s="50">
        <v>1</v>
      </c>
      <c r="G18" s="50">
        <v>0</v>
      </c>
      <c r="H18" s="50">
        <v>0</v>
      </c>
      <c r="I18" s="50">
        <v>3</v>
      </c>
      <c r="J18" s="50">
        <v>0</v>
      </c>
      <c r="K18" s="50">
        <v>1</v>
      </c>
      <c r="L18" s="50">
        <v>0</v>
      </c>
      <c r="M18" s="50">
        <v>11</v>
      </c>
      <c r="N18" s="50">
        <v>0</v>
      </c>
      <c r="O18" s="15">
        <f t="shared" si="0"/>
        <v>10</v>
      </c>
      <c r="P18" s="15">
        <f t="shared" si="1"/>
        <v>21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7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70</v>
      </c>
      <c r="AD18" s="17">
        <f t="shared" si="10"/>
        <v>0</v>
      </c>
      <c r="AE18" s="31">
        <f t="shared" si="10"/>
        <v>44</v>
      </c>
      <c r="AF18" s="31">
        <f t="shared" si="10"/>
        <v>114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4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7</v>
      </c>
      <c r="P19" s="15">
        <f t="shared" si="1"/>
        <v>22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14</v>
      </c>
      <c r="V19" s="17">
        <f t="shared" si="11"/>
        <v>8</v>
      </c>
      <c r="W19" s="17">
        <f t="shared" si="11"/>
        <v>4</v>
      </c>
      <c r="X19" s="17">
        <f t="shared" si="11"/>
        <v>0</v>
      </c>
      <c r="Y19" s="17">
        <f t="shared" si="11"/>
        <v>14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81</v>
      </c>
      <c r="AD19" s="17">
        <f t="shared" si="11"/>
        <v>0</v>
      </c>
      <c r="AE19" s="31">
        <f t="shared" si="11"/>
        <v>54</v>
      </c>
      <c r="AF19" s="31">
        <f t="shared" si="11"/>
        <v>135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2</v>
      </c>
      <c r="F20" s="50">
        <v>3</v>
      </c>
      <c r="G20" s="50">
        <v>0</v>
      </c>
      <c r="H20" s="50">
        <v>0</v>
      </c>
      <c r="I20" s="50">
        <v>1</v>
      </c>
      <c r="J20" s="50">
        <v>1</v>
      </c>
      <c r="K20" s="50">
        <v>1</v>
      </c>
      <c r="L20" s="50">
        <v>0</v>
      </c>
      <c r="M20" s="50">
        <v>11</v>
      </c>
      <c r="N20" s="50">
        <v>0</v>
      </c>
      <c r="O20" s="15">
        <f t="shared" si="0"/>
        <v>8</v>
      </c>
      <c r="P20" s="15">
        <f t="shared" si="1"/>
        <v>19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13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17</v>
      </c>
      <c r="Z20" s="17">
        <f t="shared" si="12"/>
        <v>2</v>
      </c>
      <c r="AA20" s="17">
        <f t="shared" si="12"/>
        <v>3</v>
      </c>
      <c r="AB20" s="17">
        <f t="shared" si="12"/>
        <v>0</v>
      </c>
      <c r="AC20" s="17">
        <f t="shared" si="12"/>
        <v>69</v>
      </c>
      <c r="AD20" s="17">
        <f t="shared" si="12"/>
        <v>0</v>
      </c>
      <c r="AE20" s="31">
        <f t="shared" si="12"/>
        <v>54</v>
      </c>
      <c r="AF20" s="31">
        <f t="shared" si="12"/>
        <v>123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11</v>
      </c>
      <c r="N21" s="50">
        <v>0</v>
      </c>
      <c r="O21" s="15">
        <f t="shared" si="0"/>
        <v>1</v>
      </c>
      <c r="P21" s="15">
        <f t="shared" si="1"/>
        <v>12</v>
      </c>
      <c r="R21" s="36" t="s">
        <v>20</v>
      </c>
      <c r="S21" s="34">
        <f t="shared" ref="S21:AF21" si="13">SUM(C54:C57)</f>
        <v>16</v>
      </c>
      <c r="T21" s="17">
        <f t="shared" si="13"/>
        <v>0</v>
      </c>
      <c r="U21" s="17">
        <f t="shared" si="13"/>
        <v>11</v>
      </c>
      <c r="V21" s="17">
        <f t="shared" si="13"/>
        <v>10</v>
      </c>
      <c r="W21" s="17">
        <f t="shared" si="13"/>
        <v>0</v>
      </c>
      <c r="X21" s="17">
        <f t="shared" si="13"/>
        <v>0</v>
      </c>
      <c r="Y21" s="17">
        <f t="shared" si="13"/>
        <v>10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104</v>
      </c>
      <c r="AD21" s="17">
        <f t="shared" si="13"/>
        <v>0</v>
      </c>
      <c r="AE21" s="31">
        <f t="shared" si="13"/>
        <v>50</v>
      </c>
      <c r="AF21" s="31">
        <f t="shared" si="13"/>
        <v>154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2</v>
      </c>
      <c r="F22" s="50">
        <v>2</v>
      </c>
      <c r="G22" s="50">
        <v>0</v>
      </c>
      <c r="H22" s="50">
        <v>1</v>
      </c>
      <c r="I22" s="50">
        <v>4</v>
      </c>
      <c r="J22" s="50">
        <v>1</v>
      </c>
      <c r="K22" s="50">
        <v>1</v>
      </c>
      <c r="L22" s="50">
        <v>0</v>
      </c>
      <c r="M22" s="50">
        <v>12</v>
      </c>
      <c r="N22" s="50">
        <v>0</v>
      </c>
      <c r="O22" s="15">
        <f t="shared" si="0"/>
        <v>12</v>
      </c>
      <c r="P22" s="15">
        <f t="shared" si="1"/>
        <v>24</v>
      </c>
      <c r="R22" s="36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8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59</v>
      </c>
      <c r="AD22" s="34">
        <f t="shared" si="14"/>
        <v>0</v>
      </c>
      <c r="AE22" s="31">
        <f t="shared" si="14"/>
        <v>30</v>
      </c>
      <c r="AF22" s="31">
        <f t="shared" si="14"/>
        <v>89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3</v>
      </c>
      <c r="F23" s="50">
        <v>2</v>
      </c>
      <c r="G23" s="50">
        <v>0</v>
      </c>
      <c r="H23" s="50">
        <v>0</v>
      </c>
      <c r="I23" s="50">
        <v>2</v>
      </c>
      <c r="J23" s="50">
        <v>1</v>
      </c>
      <c r="K23" s="50">
        <v>1</v>
      </c>
      <c r="L23" s="50">
        <v>0</v>
      </c>
      <c r="M23" s="50">
        <v>17</v>
      </c>
      <c r="N23" s="50">
        <v>0</v>
      </c>
      <c r="O23" s="15">
        <f t="shared" si="0"/>
        <v>11</v>
      </c>
      <c r="P23" s="15">
        <f t="shared" si="1"/>
        <v>28</v>
      </c>
      <c r="R23" s="36" t="s">
        <v>147</v>
      </c>
      <c r="S23" s="34">
        <f>SUM(C62:C65)</f>
        <v>10</v>
      </c>
      <c r="T23" s="34">
        <f t="shared" ref="T23:AF23" si="15">SUM(D62:D65)</f>
        <v>0</v>
      </c>
      <c r="U23" s="34">
        <f t="shared" si="15"/>
        <v>9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37</v>
      </c>
      <c r="AF23" s="31">
        <f t="shared" si="15"/>
        <v>76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2</v>
      </c>
      <c r="L24" s="50">
        <v>0</v>
      </c>
      <c r="M24" s="50">
        <v>16</v>
      </c>
      <c r="N24" s="50">
        <v>0</v>
      </c>
      <c r="O24" s="15">
        <f t="shared" si="0"/>
        <v>8</v>
      </c>
      <c r="P24" s="15">
        <f t="shared" si="1"/>
        <v>24</v>
      </c>
      <c r="R24" s="36" t="s">
        <v>148</v>
      </c>
      <c r="S24" s="34">
        <f>SUM(C66:C69)</f>
        <v>11</v>
      </c>
      <c r="T24" s="34">
        <f t="shared" ref="T24:AF24" si="16">SUM(D66:D69)</f>
        <v>0</v>
      </c>
      <c r="U24" s="34">
        <f t="shared" si="16"/>
        <v>8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33</v>
      </c>
      <c r="AF24" s="31">
        <f t="shared" si="16"/>
        <v>54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13</v>
      </c>
      <c r="N25" s="50">
        <v>0</v>
      </c>
      <c r="O25" s="15">
        <f t="shared" si="0"/>
        <v>5</v>
      </c>
      <c r="P25" s="15">
        <f t="shared" si="1"/>
        <v>18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21</v>
      </c>
      <c r="AF25" s="31">
        <f t="shared" si="17"/>
        <v>34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7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9</v>
      </c>
      <c r="P26" s="15">
        <f t="shared" si="1"/>
        <v>21</v>
      </c>
      <c r="R26" s="36" t="s">
        <v>150</v>
      </c>
      <c r="S26" s="34">
        <f>SUM(C74:C77)</f>
        <v>6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3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1</v>
      </c>
      <c r="L27" s="50">
        <v>0</v>
      </c>
      <c r="M27" s="50">
        <v>26</v>
      </c>
      <c r="N27" s="50">
        <v>0</v>
      </c>
      <c r="O27" s="15">
        <f t="shared" si="0"/>
        <v>7</v>
      </c>
      <c r="P27" s="15">
        <f t="shared" si="1"/>
        <v>33</v>
      </c>
      <c r="R27" s="36" t="s">
        <v>151</v>
      </c>
      <c r="S27" s="34">
        <f>SUM(C78:C81)</f>
        <v>7</v>
      </c>
      <c r="T27" s="34">
        <f t="shared" ref="T27:AF27" si="19">SUM(D78:D81)</f>
        <v>0</v>
      </c>
      <c r="U27" s="34">
        <f t="shared" si="19"/>
        <v>5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5</v>
      </c>
      <c r="F28" s="50">
        <v>2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9</v>
      </c>
      <c r="P28" s="15">
        <f t="shared" si="1"/>
        <v>26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1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5</v>
      </c>
      <c r="P29" s="15">
        <f t="shared" si="1"/>
        <v>16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3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21</v>
      </c>
      <c r="N30" s="50">
        <v>0</v>
      </c>
      <c r="O30" s="15">
        <f t="shared" si="0"/>
        <v>7</v>
      </c>
      <c r="P30" s="15">
        <f t="shared" si="1"/>
        <v>28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4</v>
      </c>
      <c r="F31" s="50">
        <v>1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11</v>
      </c>
      <c r="P31" s="15">
        <f t="shared" si="1"/>
        <v>22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24</v>
      </c>
      <c r="N32" s="50">
        <v>0</v>
      </c>
      <c r="O32" s="15">
        <f t="shared" si="0"/>
        <v>5</v>
      </c>
      <c r="P32" s="15">
        <f t="shared" si="1"/>
        <v>29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6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3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19</v>
      </c>
      <c r="N33" s="50">
        <v>0</v>
      </c>
      <c r="O33" s="15">
        <f t="shared" si="0"/>
        <v>6</v>
      </c>
      <c r="P33" s="15">
        <f t="shared" si="1"/>
        <v>25</v>
      </c>
      <c r="R33" s="33" t="s">
        <v>157</v>
      </c>
      <c r="S33" s="34">
        <f>SUM(C102:C105)</f>
        <v>8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4</v>
      </c>
      <c r="W33" s="34">
        <f t="shared" si="25"/>
        <v>0</v>
      </c>
      <c r="X33" s="34">
        <f t="shared" si="25"/>
        <v>1</v>
      </c>
      <c r="Y33" s="34">
        <f t="shared" si="25"/>
        <v>6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27</v>
      </c>
      <c r="AF33" s="31">
        <f t="shared" si="25"/>
        <v>58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29</v>
      </c>
      <c r="N34" s="50">
        <v>0</v>
      </c>
      <c r="O34" s="15">
        <f t="shared" si="0"/>
        <v>6</v>
      </c>
      <c r="P34" s="15">
        <f t="shared" si="1"/>
        <v>35</v>
      </c>
      <c r="R34" s="38" t="s">
        <v>90</v>
      </c>
      <c r="S34" s="39">
        <f t="shared" ref="S34:AF34" si="26">MAX(S10:S12)</f>
        <v>6</v>
      </c>
      <c r="T34" s="39">
        <f t="shared" si="26"/>
        <v>0</v>
      </c>
      <c r="U34" s="39">
        <f t="shared" si="26"/>
        <v>9</v>
      </c>
      <c r="V34" s="39">
        <f t="shared" si="26"/>
        <v>5</v>
      </c>
      <c r="W34" s="39">
        <f t="shared" si="26"/>
        <v>0</v>
      </c>
      <c r="X34" s="39">
        <f t="shared" si="26"/>
        <v>0</v>
      </c>
      <c r="Y34" s="39">
        <f t="shared" si="26"/>
        <v>5</v>
      </c>
      <c r="Z34" s="39">
        <f t="shared" si="26"/>
        <v>2</v>
      </c>
      <c r="AA34" s="39">
        <f t="shared" si="26"/>
        <v>3</v>
      </c>
      <c r="AB34" s="39">
        <f t="shared" si="26"/>
        <v>0</v>
      </c>
      <c r="AC34" s="39">
        <f t="shared" si="26"/>
        <v>59</v>
      </c>
      <c r="AD34" s="39">
        <f t="shared" si="26"/>
        <v>0</v>
      </c>
      <c r="AE34" s="40">
        <f t="shared" si="26"/>
        <v>26</v>
      </c>
      <c r="AF34" s="40">
        <f t="shared" si="26"/>
        <v>78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4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9</v>
      </c>
      <c r="P35" s="15">
        <f t="shared" si="1"/>
        <v>17</v>
      </c>
      <c r="R35" s="38" t="s">
        <v>91</v>
      </c>
      <c r="S35" s="39">
        <f t="shared" ref="S35:AF35" si="27">MAX(S13:S18)</f>
        <v>18</v>
      </c>
      <c r="T35" s="39">
        <f t="shared" si="27"/>
        <v>0</v>
      </c>
      <c r="U35" s="39">
        <f t="shared" si="27"/>
        <v>16</v>
      </c>
      <c r="V35" s="39">
        <f t="shared" si="27"/>
        <v>7</v>
      </c>
      <c r="W35" s="39">
        <f t="shared" si="27"/>
        <v>0</v>
      </c>
      <c r="X35" s="39">
        <f t="shared" si="27"/>
        <v>1</v>
      </c>
      <c r="Y35" s="39">
        <f t="shared" si="27"/>
        <v>12</v>
      </c>
      <c r="Z35" s="39">
        <f t="shared" si="27"/>
        <v>3</v>
      </c>
      <c r="AA35" s="39">
        <f t="shared" si="27"/>
        <v>5</v>
      </c>
      <c r="AB35" s="39">
        <f t="shared" si="27"/>
        <v>0</v>
      </c>
      <c r="AC35" s="39">
        <f t="shared" si="27"/>
        <v>75</v>
      </c>
      <c r="AD35" s="39">
        <f t="shared" si="27"/>
        <v>0</v>
      </c>
      <c r="AE35" s="40">
        <f t="shared" si="27"/>
        <v>48</v>
      </c>
      <c r="AF35" s="40">
        <f t="shared" si="27"/>
        <v>118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3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20</v>
      </c>
      <c r="N36" s="50">
        <v>0</v>
      </c>
      <c r="O36" s="15">
        <f t="shared" si="0"/>
        <v>9</v>
      </c>
      <c r="P36" s="15">
        <f t="shared" si="1"/>
        <v>29</v>
      </c>
      <c r="R36" s="38" t="s">
        <v>92</v>
      </c>
      <c r="S36" s="39">
        <f t="shared" ref="S36:AF36" si="28">MAX(S19:S21)</f>
        <v>16</v>
      </c>
      <c r="T36" s="39">
        <f t="shared" si="28"/>
        <v>0</v>
      </c>
      <c r="U36" s="39">
        <f t="shared" si="28"/>
        <v>14</v>
      </c>
      <c r="V36" s="39">
        <f t="shared" si="28"/>
        <v>10</v>
      </c>
      <c r="W36" s="39">
        <f t="shared" si="28"/>
        <v>4</v>
      </c>
      <c r="X36" s="39">
        <f t="shared" si="28"/>
        <v>0</v>
      </c>
      <c r="Y36" s="39">
        <f t="shared" si="28"/>
        <v>17</v>
      </c>
      <c r="Z36" s="39">
        <f t="shared" si="28"/>
        <v>2</v>
      </c>
      <c r="AA36" s="39">
        <f t="shared" si="28"/>
        <v>3</v>
      </c>
      <c r="AB36" s="39">
        <f t="shared" si="28"/>
        <v>0</v>
      </c>
      <c r="AC36" s="39">
        <f t="shared" si="28"/>
        <v>104</v>
      </c>
      <c r="AD36" s="39">
        <f t="shared" si="28"/>
        <v>0</v>
      </c>
      <c r="AE36" s="40">
        <f t="shared" si="28"/>
        <v>54</v>
      </c>
      <c r="AF36" s="40">
        <f t="shared" si="28"/>
        <v>154</v>
      </c>
    </row>
    <row r="37" spans="2:32" ht="23.1" customHeight="1" x14ac:dyDescent="0.25">
      <c r="B37" s="45" t="s">
        <v>64</v>
      </c>
      <c r="C37" s="50">
        <v>5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17</v>
      </c>
      <c r="N37" s="50">
        <v>0</v>
      </c>
      <c r="O37" s="15">
        <f t="shared" si="0"/>
        <v>8</v>
      </c>
      <c r="P37" s="15">
        <f t="shared" si="1"/>
        <v>25</v>
      </c>
      <c r="R37" s="37" t="s">
        <v>85</v>
      </c>
      <c r="S37" s="35">
        <f t="shared" ref="S37:AF37" si="29">SUM(S10:S12)</f>
        <v>12</v>
      </c>
      <c r="T37" s="16">
        <f t="shared" si="29"/>
        <v>0</v>
      </c>
      <c r="U37" s="16">
        <f t="shared" si="29"/>
        <v>17</v>
      </c>
      <c r="V37" s="16">
        <f t="shared" si="29"/>
        <v>14</v>
      </c>
      <c r="W37" s="16">
        <f t="shared" si="29"/>
        <v>0</v>
      </c>
      <c r="X37" s="16">
        <f t="shared" si="29"/>
        <v>0</v>
      </c>
      <c r="Y37" s="16">
        <f t="shared" si="29"/>
        <v>12</v>
      </c>
      <c r="Z37" s="16">
        <f t="shared" si="29"/>
        <v>5</v>
      </c>
      <c r="AA37" s="16">
        <f t="shared" si="29"/>
        <v>6</v>
      </c>
      <c r="AB37" s="16">
        <f t="shared" si="29"/>
        <v>0</v>
      </c>
      <c r="AC37" s="16">
        <f t="shared" si="29"/>
        <v>159</v>
      </c>
      <c r="AD37" s="16">
        <f t="shared" si="29"/>
        <v>0</v>
      </c>
      <c r="AE37" s="32">
        <f t="shared" si="29"/>
        <v>66</v>
      </c>
      <c r="AF37" s="32">
        <f t="shared" si="29"/>
        <v>225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4</v>
      </c>
      <c r="J38" s="50">
        <v>1</v>
      </c>
      <c r="K38" s="50">
        <v>1</v>
      </c>
      <c r="L38" s="50">
        <v>0</v>
      </c>
      <c r="M38" s="50">
        <v>18</v>
      </c>
      <c r="N38" s="50">
        <v>0</v>
      </c>
      <c r="O38" s="15">
        <f t="shared" si="0"/>
        <v>9</v>
      </c>
      <c r="P38" s="15">
        <f t="shared" si="1"/>
        <v>27</v>
      </c>
      <c r="R38" s="28" t="s">
        <v>86</v>
      </c>
      <c r="S38" s="16">
        <f t="shared" ref="S38:AF38" si="30">SUM(S13:S18)</f>
        <v>51</v>
      </c>
      <c r="T38" s="16">
        <f t="shared" si="30"/>
        <v>0</v>
      </c>
      <c r="U38" s="16">
        <f t="shared" si="30"/>
        <v>63</v>
      </c>
      <c r="V38" s="16">
        <f t="shared" si="30"/>
        <v>30</v>
      </c>
      <c r="W38" s="16">
        <f t="shared" si="30"/>
        <v>0</v>
      </c>
      <c r="X38" s="16">
        <f t="shared" si="30"/>
        <v>1</v>
      </c>
      <c r="Y38" s="16">
        <f t="shared" si="30"/>
        <v>53</v>
      </c>
      <c r="Z38" s="16">
        <f t="shared" si="30"/>
        <v>9</v>
      </c>
      <c r="AA38" s="16">
        <f t="shared" si="30"/>
        <v>12</v>
      </c>
      <c r="AB38" s="16">
        <f t="shared" si="30"/>
        <v>0</v>
      </c>
      <c r="AC38" s="16">
        <f t="shared" si="30"/>
        <v>413</v>
      </c>
      <c r="AD38" s="16">
        <f t="shared" si="30"/>
        <v>0</v>
      </c>
      <c r="AE38" s="32">
        <f t="shared" si="30"/>
        <v>219</v>
      </c>
      <c r="AF38" s="32">
        <f t="shared" si="30"/>
        <v>632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6</v>
      </c>
      <c r="F39" s="50">
        <v>2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16</v>
      </c>
      <c r="N39" s="50">
        <v>0</v>
      </c>
      <c r="O39" s="15">
        <f t="shared" si="0"/>
        <v>12</v>
      </c>
      <c r="P39" s="15">
        <f t="shared" si="1"/>
        <v>28</v>
      </c>
      <c r="R39" s="29" t="s">
        <v>87</v>
      </c>
      <c r="S39" s="16">
        <f t="shared" ref="S39:AF39" si="31">SUM(S19:S21)</f>
        <v>38</v>
      </c>
      <c r="T39" s="16">
        <f t="shared" si="31"/>
        <v>0</v>
      </c>
      <c r="U39" s="16">
        <f t="shared" si="31"/>
        <v>38</v>
      </c>
      <c r="V39" s="16">
        <f t="shared" si="31"/>
        <v>25</v>
      </c>
      <c r="W39" s="16">
        <f t="shared" si="31"/>
        <v>4</v>
      </c>
      <c r="X39" s="16">
        <f t="shared" si="31"/>
        <v>0</v>
      </c>
      <c r="Y39" s="16">
        <f t="shared" si="31"/>
        <v>41</v>
      </c>
      <c r="Z39" s="16">
        <f t="shared" si="31"/>
        <v>6</v>
      </c>
      <c r="AA39" s="16">
        <f t="shared" si="31"/>
        <v>6</v>
      </c>
      <c r="AB39" s="16">
        <f t="shared" si="31"/>
        <v>0</v>
      </c>
      <c r="AC39" s="16">
        <f t="shared" si="31"/>
        <v>254</v>
      </c>
      <c r="AD39" s="16">
        <f t="shared" si="31"/>
        <v>0</v>
      </c>
      <c r="AE39" s="32">
        <f t="shared" si="31"/>
        <v>158</v>
      </c>
      <c r="AF39" s="32">
        <f t="shared" si="31"/>
        <v>412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8</v>
      </c>
      <c r="F40" s="50">
        <v>1</v>
      </c>
      <c r="G40" s="50">
        <v>0</v>
      </c>
      <c r="H40" s="50">
        <v>0</v>
      </c>
      <c r="I40" s="50">
        <v>2</v>
      </c>
      <c r="J40" s="50">
        <v>1</v>
      </c>
      <c r="K40" s="50">
        <v>1</v>
      </c>
      <c r="L40" s="50">
        <v>0</v>
      </c>
      <c r="M40" s="50">
        <v>17</v>
      </c>
      <c r="N40" s="50">
        <v>0</v>
      </c>
      <c r="O40" s="15">
        <f t="shared" si="0"/>
        <v>17</v>
      </c>
      <c r="P40" s="15">
        <f t="shared" si="1"/>
        <v>34</v>
      </c>
      <c r="R40" s="5" t="s">
        <v>17</v>
      </c>
      <c r="S40" s="16">
        <f t="shared" ref="S40:AF40" si="32">SUM(S10:S21)</f>
        <v>101</v>
      </c>
      <c r="T40" s="16">
        <f t="shared" si="32"/>
        <v>0</v>
      </c>
      <c r="U40" s="16">
        <f t="shared" si="32"/>
        <v>118</v>
      </c>
      <c r="V40" s="16">
        <f t="shared" si="32"/>
        <v>69</v>
      </c>
      <c r="W40" s="16">
        <f t="shared" si="32"/>
        <v>4</v>
      </c>
      <c r="X40" s="16">
        <f t="shared" si="32"/>
        <v>1</v>
      </c>
      <c r="Y40" s="16">
        <f t="shared" si="32"/>
        <v>106</v>
      </c>
      <c r="Z40" s="16">
        <f t="shared" si="32"/>
        <v>20</v>
      </c>
      <c r="AA40" s="16">
        <f t="shared" si="32"/>
        <v>24</v>
      </c>
      <c r="AB40" s="16">
        <f t="shared" si="32"/>
        <v>0</v>
      </c>
      <c r="AC40" s="16">
        <f t="shared" si="32"/>
        <v>826</v>
      </c>
      <c r="AD40" s="16">
        <f t="shared" si="32"/>
        <v>0</v>
      </c>
      <c r="AE40" s="32">
        <f t="shared" si="32"/>
        <v>443</v>
      </c>
      <c r="AF40" s="32">
        <f t="shared" si="32"/>
        <v>1269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2</v>
      </c>
      <c r="F41" s="50">
        <v>2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19</v>
      </c>
      <c r="N41" s="50">
        <v>0</v>
      </c>
      <c r="O41" s="15">
        <f t="shared" si="0"/>
        <v>10</v>
      </c>
      <c r="P41" s="15">
        <f t="shared" si="1"/>
        <v>29</v>
      </c>
      <c r="R41" s="5" t="s">
        <v>159</v>
      </c>
      <c r="S41" s="16">
        <f>SUM(S10:S33)</f>
        <v>158</v>
      </c>
      <c r="T41" s="16">
        <f t="shared" ref="T41:AF41" si="33">SUM(T10:T33)</f>
        <v>3</v>
      </c>
      <c r="U41" s="16">
        <f t="shared" si="33"/>
        <v>170</v>
      </c>
      <c r="V41" s="16">
        <f t="shared" si="33"/>
        <v>99</v>
      </c>
      <c r="W41" s="16">
        <f t="shared" si="33"/>
        <v>4</v>
      </c>
      <c r="X41" s="16">
        <f t="shared" si="33"/>
        <v>2</v>
      </c>
      <c r="Y41" s="16">
        <f t="shared" si="33"/>
        <v>158</v>
      </c>
      <c r="Z41" s="16">
        <f t="shared" si="33"/>
        <v>34</v>
      </c>
      <c r="AA41" s="16">
        <f t="shared" si="33"/>
        <v>37</v>
      </c>
      <c r="AB41" s="16">
        <f t="shared" si="33"/>
        <v>0</v>
      </c>
      <c r="AC41" s="16">
        <f t="shared" si="33"/>
        <v>1000</v>
      </c>
      <c r="AD41" s="16">
        <f t="shared" si="33"/>
        <v>0</v>
      </c>
      <c r="AE41" s="32">
        <f t="shared" si="33"/>
        <v>665</v>
      </c>
      <c r="AF41" s="32">
        <f t="shared" si="33"/>
        <v>1665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20</v>
      </c>
      <c r="N42" s="50">
        <v>0</v>
      </c>
      <c r="O42" s="15">
        <f t="shared" si="0"/>
        <v>3</v>
      </c>
      <c r="P42" s="15">
        <f t="shared" si="1"/>
        <v>23</v>
      </c>
      <c r="R42" s="5" t="s">
        <v>160</v>
      </c>
      <c r="S42" s="48">
        <f>S41/S40</f>
        <v>1.5643564356435644</v>
      </c>
      <c r="T42" s="48" t="e">
        <f t="shared" ref="T42:AF42" si="34">T41/T40</f>
        <v>#DIV/0!</v>
      </c>
      <c r="U42" s="48">
        <f t="shared" si="34"/>
        <v>1.4406779661016949</v>
      </c>
      <c r="V42" s="48">
        <f t="shared" si="34"/>
        <v>1.4347826086956521</v>
      </c>
      <c r="W42" s="48">
        <f t="shared" si="34"/>
        <v>1</v>
      </c>
      <c r="X42" s="48">
        <f t="shared" si="34"/>
        <v>2</v>
      </c>
      <c r="Y42" s="48">
        <f t="shared" si="34"/>
        <v>1.4905660377358489</v>
      </c>
      <c r="Z42" s="48">
        <f t="shared" si="34"/>
        <v>1.7</v>
      </c>
      <c r="AA42" s="48">
        <f t="shared" si="34"/>
        <v>1.5416666666666667</v>
      </c>
      <c r="AB42" s="48" t="e">
        <f t="shared" si="34"/>
        <v>#DIV/0!</v>
      </c>
      <c r="AC42" s="48">
        <f t="shared" si="34"/>
        <v>1.2106537530266344</v>
      </c>
      <c r="AD42" s="48" t="e">
        <f t="shared" si="34"/>
        <v>#DIV/0!</v>
      </c>
      <c r="AE42" s="48">
        <f t="shared" si="34"/>
        <v>1.5011286681715577</v>
      </c>
      <c r="AF42" s="48">
        <f t="shared" si="34"/>
        <v>1.3120567375886525</v>
      </c>
    </row>
    <row r="43" spans="2:32" ht="23.1" customHeight="1" x14ac:dyDescent="0.25">
      <c r="B43" s="45" t="s">
        <v>70</v>
      </c>
      <c r="C43" s="50">
        <v>7</v>
      </c>
      <c r="D43" s="50">
        <v>0</v>
      </c>
      <c r="E43" s="50">
        <v>3</v>
      </c>
      <c r="F43" s="50">
        <v>1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13</v>
      </c>
      <c r="P43" s="15">
        <f t="shared" si="1"/>
        <v>28</v>
      </c>
    </row>
    <row r="44" spans="2:32" ht="23.1" customHeight="1" x14ac:dyDescent="0.25">
      <c r="B44" s="47" t="s">
        <v>71</v>
      </c>
      <c r="C44" s="50">
        <v>4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3</v>
      </c>
      <c r="J44" s="50">
        <v>2</v>
      </c>
      <c r="K44" s="50">
        <v>1</v>
      </c>
      <c r="L44" s="50">
        <v>0</v>
      </c>
      <c r="M44" s="50">
        <v>12</v>
      </c>
      <c r="N44" s="50">
        <v>0</v>
      </c>
      <c r="O44" s="15">
        <f t="shared" si="0"/>
        <v>12</v>
      </c>
      <c r="P44" s="15">
        <f t="shared" si="1"/>
        <v>24</v>
      </c>
    </row>
    <row r="45" spans="2:32" ht="23.1" customHeight="1" x14ac:dyDescent="0.25">
      <c r="B45" s="45" t="s">
        <v>72</v>
      </c>
      <c r="C45" s="50">
        <v>6</v>
      </c>
      <c r="D45" s="50">
        <v>0</v>
      </c>
      <c r="E45" s="50">
        <v>3</v>
      </c>
      <c r="F45" s="50">
        <v>2</v>
      </c>
      <c r="G45" s="50">
        <v>0</v>
      </c>
      <c r="H45" s="50">
        <v>0</v>
      </c>
      <c r="I45" s="50">
        <v>4</v>
      </c>
      <c r="J45" s="50">
        <v>0</v>
      </c>
      <c r="K45" s="50">
        <v>1</v>
      </c>
      <c r="L45" s="50">
        <v>0</v>
      </c>
      <c r="M45" s="50">
        <v>23</v>
      </c>
      <c r="N45" s="50">
        <v>0</v>
      </c>
      <c r="O45" s="15">
        <f t="shared" si="0"/>
        <v>16</v>
      </c>
      <c r="P45" s="15">
        <f t="shared" si="1"/>
        <v>39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3</v>
      </c>
      <c r="F46" s="50">
        <v>2</v>
      </c>
      <c r="G46" s="50">
        <v>2</v>
      </c>
      <c r="H46" s="50">
        <v>0</v>
      </c>
      <c r="I46" s="50">
        <v>3</v>
      </c>
      <c r="J46" s="50">
        <v>0</v>
      </c>
      <c r="K46" s="50">
        <v>1</v>
      </c>
      <c r="L46" s="50">
        <v>0</v>
      </c>
      <c r="M46" s="50">
        <v>24</v>
      </c>
      <c r="N46" s="50">
        <v>0</v>
      </c>
      <c r="O46" s="15">
        <f t="shared" si="0"/>
        <v>13</v>
      </c>
      <c r="P46" s="15">
        <f t="shared" si="1"/>
        <v>37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5</v>
      </c>
      <c r="F47" s="50">
        <v>3</v>
      </c>
      <c r="G47" s="50">
        <v>1</v>
      </c>
      <c r="H47" s="50">
        <v>0</v>
      </c>
      <c r="I47" s="50">
        <v>7</v>
      </c>
      <c r="J47" s="50">
        <v>1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20</v>
      </c>
      <c r="P47" s="15">
        <f t="shared" si="1"/>
        <v>31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2</v>
      </c>
      <c r="F48" s="50">
        <v>2</v>
      </c>
      <c r="G48" s="50">
        <v>1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26</v>
      </c>
      <c r="N48" s="50">
        <v>0</v>
      </c>
      <c r="O48" s="15">
        <f t="shared" si="0"/>
        <v>10</v>
      </c>
      <c r="P48" s="15">
        <f t="shared" si="1"/>
        <v>36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4</v>
      </c>
      <c r="F49" s="50">
        <v>1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11</v>
      </c>
      <c r="P49" s="15">
        <f t="shared" si="1"/>
        <v>31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2</v>
      </c>
      <c r="F50" s="50">
        <v>2</v>
      </c>
      <c r="G50" s="50">
        <v>0</v>
      </c>
      <c r="H50" s="50">
        <v>0</v>
      </c>
      <c r="I50" s="50">
        <v>5</v>
      </c>
      <c r="J50" s="50">
        <v>1</v>
      </c>
      <c r="K50" s="50">
        <v>0</v>
      </c>
      <c r="L50" s="50">
        <v>0</v>
      </c>
      <c r="M50" s="50">
        <v>11</v>
      </c>
      <c r="N50" s="50">
        <v>0</v>
      </c>
      <c r="O50" s="15">
        <f t="shared" si="0"/>
        <v>10</v>
      </c>
      <c r="P50" s="15">
        <f t="shared" si="1"/>
        <v>21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5">
        <f t="shared" si="0"/>
        <v>5</v>
      </c>
      <c r="P51" s="15">
        <f t="shared" si="1"/>
        <v>26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7</v>
      </c>
      <c r="F52" s="50">
        <v>2</v>
      </c>
      <c r="G52" s="50">
        <v>0</v>
      </c>
      <c r="H52" s="50">
        <v>0</v>
      </c>
      <c r="I52" s="50">
        <v>6</v>
      </c>
      <c r="J52" s="50">
        <v>1</v>
      </c>
      <c r="K52" s="50">
        <v>3</v>
      </c>
      <c r="L52" s="50">
        <v>0</v>
      </c>
      <c r="M52" s="50">
        <v>21</v>
      </c>
      <c r="N52" s="50">
        <v>0</v>
      </c>
      <c r="O52" s="15">
        <f t="shared" si="0"/>
        <v>22</v>
      </c>
      <c r="P52" s="15">
        <f t="shared" si="1"/>
        <v>43</v>
      </c>
      <c r="R52" s="8"/>
      <c r="T52"/>
    </row>
    <row r="53" spans="2:20" ht="23.1" customHeight="1" x14ac:dyDescent="0.25">
      <c r="B53" s="45" t="s">
        <v>80</v>
      </c>
      <c r="C53" s="50">
        <v>7</v>
      </c>
      <c r="D53" s="50">
        <v>0</v>
      </c>
      <c r="E53" s="50">
        <v>4</v>
      </c>
      <c r="F53" s="50">
        <v>2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16</v>
      </c>
      <c r="N53" s="50">
        <v>0</v>
      </c>
      <c r="O53" s="15">
        <f t="shared" si="0"/>
        <v>17</v>
      </c>
      <c r="P53" s="15">
        <f t="shared" si="1"/>
        <v>33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0</v>
      </c>
      <c r="E54" s="50">
        <v>4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29</v>
      </c>
      <c r="N54" s="50">
        <v>0</v>
      </c>
      <c r="O54" s="15">
        <f t="shared" si="0"/>
        <v>12</v>
      </c>
      <c r="P54" s="15">
        <f t="shared" si="1"/>
        <v>41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0</v>
      </c>
      <c r="E55" s="50">
        <v>0</v>
      </c>
      <c r="F55" s="50">
        <v>3</v>
      </c>
      <c r="G55" s="50">
        <v>0</v>
      </c>
      <c r="H55" s="50">
        <v>0</v>
      </c>
      <c r="I55" s="50">
        <v>4</v>
      </c>
      <c r="J55" s="50">
        <v>1</v>
      </c>
      <c r="K55" s="50">
        <v>0</v>
      </c>
      <c r="L55" s="50">
        <v>0</v>
      </c>
      <c r="M55" s="50">
        <v>24</v>
      </c>
      <c r="N55" s="50">
        <v>0</v>
      </c>
      <c r="O55" s="15">
        <f t="shared" si="0"/>
        <v>13</v>
      </c>
      <c r="P55" s="15">
        <f t="shared" si="1"/>
        <v>37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3</v>
      </c>
      <c r="F56" s="50">
        <v>3</v>
      </c>
      <c r="G56" s="50">
        <v>0</v>
      </c>
      <c r="H56" s="50">
        <v>0</v>
      </c>
      <c r="I56" s="50">
        <v>1</v>
      </c>
      <c r="J56" s="50">
        <v>1</v>
      </c>
      <c r="K56" s="50">
        <v>1</v>
      </c>
      <c r="L56" s="50">
        <v>0</v>
      </c>
      <c r="M56" s="50">
        <v>26</v>
      </c>
      <c r="N56" s="50">
        <v>0</v>
      </c>
      <c r="O56" s="15">
        <f t="shared" si="0"/>
        <v>11</v>
      </c>
      <c r="P56" s="15">
        <f t="shared" si="1"/>
        <v>37</v>
      </c>
      <c r="R56" s="8"/>
      <c r="T56"/>
    </row>
    <row r="57" spans="2:20" ht="23.1" customHeight="1" x14ac:dyDescent="0.25">
      <c r="B57" s="45" t="s">
        <v>84</v>
      </c>
      <c r="C57" s="50">
        <v>4</v>
      </c>
      <c r="D57" s="50">
        <v>0</v>
      </c>
      <c r="E57" s="50">
        <v>4</v>
      </c>
      <c r="F57" s="50">
        <v>2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14</v>
      </c>
      <c r="P57" s="15">
        <f t="shared" si="1"/>
        <v>39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4</v>
      </c>
      <c r="F58" s="50">
        <v>0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15</v>
      </c>
      <c r="N58" s="50">
        <v>0</v>
      </c>
      <c r="O58" s="15">
        <f t="shared" si="0"/>
        <v>7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4</v>
      </c>
      <c r="G59" s="50">
        <v>0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17</v>
      </c>
      <c r="N59" s="50">
        <v>0</v>
      </c>
      <c r="O59" s="15">
        <f t="shared" si="0"/>
        <v>10</v>
      </c>
      <c r="P59" s="15">
        <f t="shared" si="1"/>
        <v>27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3</v>
      </c>
      <c r="J60" s="50">
        <v>1</v>
      </c>
      <c r="K60" s="50">
        <v>0</v>
      </c>
      <c r="L60" s="50">
        <v>0</v>
      </c>
      <c r="M60" s="50">
        <v>13</v>
      </c>
      <c r="N60" s="50">
        <v>0</v>
      </c>
      <c r="O60" s="15">
        <f t="shared" si="0"/>
        <v>5</v>
      </c>
      <c r="P60" s="15">
        <f t="shared" si="1"/>
        <v>18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3</v>
      </c>
      <c r="J61" s="50">
        <v>1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0"/>
        <v>8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2</v>
      </c>
      <c r="F62" s="50">
        <v>3</v>
      </c>
      <c r="G62" s="50">
        <v>0</v>
      </c>
      <c r="H62" s="50">
        <v>0</v>
      </c>
      <c r="I62" s="50">
        <v>2</v>
      </c>
      <c r="J62" s="50">
        <v>0</v>
      </c>
      <c r="K62" s="50">
        <v>2</v>
      </c>
      <c r="L62" s="50">
        <v>0</v>
      </c>
      <c r="M62" s="50">
        <v>11</v>
      </c>
      <c r="N62" s="50">
        <v>0</v>
      </c>
      <c r="O62" s="15">
        <f t="shared" si="0"/>
        <v>11</v>
      </c>
      <c r="P62" s="15">
        <f t="shared" si="1"/>
        <v>22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3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7</v>
      </c>
      <c r="N63" s="50">
        <v>0</v>
      </c>
      <c r="O63" s="15">
        <f t="shared" si="0"/>
        <v>6</v>
      </c>
      <c r="P63" s="15">
        <f t="shared" si="1"/>
        <v>13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4</v>
      </c>
      <c r="F64" s="50">
        <v>1</v>
      </c>
      <c r="G64" s="50">
        <v>0</v>
      </c>
      <c r="H64" s="50">
        <v>0</v>
      </c>
      <c r="I64" s="50">
        <v>4</v>
      </c>
      <c r="J64" s="50">
        <v>0</v>
      </c>
      <c r="K64" s="50">
        <v>0</v>
      </c>
      <c r="L64" s="50">
        <v>0</v>
      </c>
      <c r="M64" s="50">
        <v>11</v>
      </c>
      <c r="N64" s="50">
        <v>0</v>
      </c>
      <c r="O64" s="15">
        <f t="shared" si="0"/>
        <v>12</v>
      </c>
      <c r="P64" s="15">
        <f t="shared" si="1"/>
        <v>23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1</v>
      </c>
      <c r="K65" s="50">
        <v>1</v>
      </c>
      <c r="L65" s="50">
        <v>0</v>
      </c>
      <c r="M65" s="50">
        <v>10</v>
      </c>
      <c r="N65" s="50">
        <v>0</v>
      </c>
      <c r="O65" s="15">
        <f t="shared" si="0"/>
        <v>8</v>
      </c>
      <c r="P65" s="15">
        <f t="shared" si="1"/>
        <v>18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2</v>
      </c>
      <c r="J66" s="50">
        <v>1</v>
      </c>
      <c r="K66" s="50">
        <v>1</v>
      </c>
      <c r="L66" s="50">
        <v>0</v>
      </c>
      <c r="M66" s="50">
        <v>6</v>
      </c>
      <c r="N66" s="50">
        <v>0</v>
      </c>
      <c r="O66" s="15">
        <f t="shared" si="0"/>
        <v>7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2</v>
      </c>
      <c r="F67" s="50">
        <v>1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0"/>
        <v>9</v>
      </c>
      <c r="P67" s="15">
        <f t="shared" si="1"/>
        <v>13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3</v>
      </c>
      <c r="F68" s="50">
        <v>1</v>
      </c>
      <c r="G68" s="50">
        <v>0</v>
      </c>
      <c r="H68" s="50">
        <v>0</v>
      </c>
      <c r="I68" s="50">
        <v>2</v>
      </c>
      <c r="J68" s="50">
        <v>2</v>
      </c>
      <c r="K68" s="50">
        <v>0</v>
      </c>
      <c r="L68" s="50">
        <v>0</v>
      </c>
      <c r="M68" s="50">
        <v>5</v>
      </c>
      <c r="N68" s="50">
        <v>0</v>
      </c>
      <c r="O68" s="15">
        <f t="shared" si="0"/>
        <v>13</v>
      </c>
      <c r="P68" s="15">
        <f t="shared" si="1"/>
        <v>18</v>
      </c>
      <c r="R68" s="8"/>
      <c r="T68"/>
    </row>
    <row r="69" spans="2:20" ht="23.1" customHeight="1" x14ac:dyDescent="0.25">
      <c r="B69" s="45" t="s">
        <v>106</v>
      </c>
      <c r="C69" s="50">
        <f>ROUND(C58/2,0)</f>
        <v>1</v>
      </c>
      <c r="D69" s="50">
        <f t="shared" ref="D69:L69" si="35">ROUND(D58/2,0)</f>
        <v>0</v>
      </c>
      <c r="E69" s="50">
        <f t="shared" si="35"/>
        <v>2</v>
      </c>
      <c r="F69" s="50">
        <f t="shared" si="35"/>
        <v>0</v>
      </c>
      <c r="G69" s="50">
        <f t="shared" si="35"/>
        <v>0</v>
      </c>
      <c r="H69" s="50">
        <f t="shared" si="35"/>
        <v>0</v>
      </c>
      <c r="I69" s="50">
        <f t="shared" si="35"/>
        <v>1</v>
      </c>
      <c r="J69" s="50">
        <f t="shared" si="35"/>
        <v>0</v>
      </c>
      <c r="K69" s="50">
        <f t="shared" si="35"/>
        <v>0</v>
      </c>
      <c r="L69" s="50">
        <f t="shared" si="35"/>
        <v>0</v>
      </c>
      <c r="M69" s="50">
        <v>6</v>
      </c>
      <c r="N69" s="50"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45" t="s">
        <v>110</v>
      </c>
      <c r="C70" s="50">
        <f t="shared" ref="C70:L85" si="36">ROUND(C59/2,0)</f>
        <v>1</v>
      </c>
      <c r="D70" s="50">
        <f t="shared" si="36"/>
        <v>0</v>
      </c>
      <c r="E70" s="50">
        <f t="shared" si="36"/>
        <v>1</v>
      </c>
      <c r="F70" s="50">
        <f t="shared" si="36"/>
        <v>2</v>
      </c>
      <c r="G70" s="50">
        <f t="shared" si="36"/>
        <v>0</v>
      </c>
      <c r="H70" s="50">
        <f t="shared" si="36"/>
        <v>0</v>
      </c>
      <c r="I70" s="50">
        <f t="shared" si="36"/>
        <v>2</v>
      </c>
      <c r="J70" s="50">
        <f t="shared" si="36"/>
        <v>0</v>
      </c>
      <c r="K70" s="50">
        <f t="shared" si="36"/>
        <v>0</v>
      </c>
      <c r="L70" s="50">
        <f t="shared" si="36"/>
        <v>0</v>
      </c>
      <c r="M70" s="50">
        <v>7</v>
      </c>
      <c r="N70" s="50">
        <v>0</v>
      </c>
      <c r="O70" s="15">
        <f t="shared" si="0"/>
        <v>6</v>
      </c>
      <c r="P70" s="15">
        <f t="shared" si="1"/>
        <v>13</v>
      </c>
      <c r="R70" s="8"/>
      <c r="T70"/>
    </row>
    <row r="71" spans="2:20" ht="23.1" customHeight="1" x14ac:dyDescent="0.25">
      <c r="B71" s="45" t="s">
        <v>111</v>
      </c>
      <c r="C71" s="50">
        <f t="shared" si="36"/>
        <v>0</v>
      </c>
      <c r="D71" s="50">
        <f t="shared" si="36"/>
        <v>0</v>
      </c>
      <c r="E71" s="50">
        <f t="shared" si="36"/>
        <v>1</v>
      </c>
      <c r="F71" s="50">
        <f t="shared" si="36"/>
        <v>0</v>
      </c>
      <c r="G71" s="50">
        <f t="shared" si="36"/>
        <v>0</v>
      </c>
      <c r="H71" s="50">
        <f t="shared" si="36"/>
        <v>0</v>
      </c>
      <c r="I71" s="50">
        <f t="shared" si="36"/>
        <v>2</v>
      </c>
      <c r="J71" s="50">
        <f t="shared" si="36"/>
        <v>1</v>
      </c>
      <c r="K71" s="50">
        <f t="shared" si="36"/>
        <v>0</v>
      </c>
      <c r="L71" s="50">
        <f t="shared" si="36"/>
        <v>0</v>
      </c>
      <c r="M71" s="50">
        <v>3</v>
      </c>
      <c r="N71" s="50">
        <v>0</v>
      </c>
      <c r="O71" s="15">
        <f t="shared" si="0"/>
        <v>4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f t="shared" si="36"/>
        <v>1</v>
      </c>
      <c r="D72" s="50">
        <f t="shared" si="36"/>
        <v>0</v>
      </c>
      <c r="E72" s="50">
        <f t="shared" si="36"/>
        <v>1</v>
      </c>
      <c r="F72" s="50">
        <f t="shared" si="36"/>
        <v>0</v>
      </c>
      <c r="G72" s="50">
        <f t="shared" si="36"/>
        <v>0</v>
      </c>
      <c r="H72" s="50">
        <f t="shared" si="36"/>
        <v>0</v>
      </c>
      <c r="I72" s="50">
        <f t="shared" si="36"/>
        <v>2</v>
      </c>
      <c r="J72" s="50">
        <f t="shared" si="36"/>
        <v>1</v>
      </c>
      <c r="K72" s="50">
        <f t="shared" si="36"/>
        <v>0</v>
      </c>
      <c r="L72" s="50">
        <f t="shared" si="36"/>
        <v>0</v>
      </c>
      <c r="M72" s="50">
        <v>2</v>
      </c>
      <c r="N72" s="50">
        <v>0</v>
      </c>
      <c r="O72" s="15">
        <f t="shared" si="0"/>
        <v>5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f t="shared" si="36"/>
        <v>1</v>
      </c>
      <c r="D73" s="50">
        <f t="shared" si="36"/>
        <v>0</v>
      </c>
      <c r="E73" s="50">
        <f t="shared" si="36"/>
        <v>1</v>
      </c>
      <c r="F73" s="50">
        <f t="shared" si="36"/>
        <v>2</v>
      </c>
      <c r="G73" s="50">
        <f t="shared" si="36"/>
        <v>0</v>
      </c>
      <c r="H73" s="50">
        <f t="shared" si="36"/>
        <v>0</v>
      </c>
      <c r="I73" s="50">
        <f t="shared" si="36"/>
        <v>1</v>
      </c>
      <c r="J73" s="50">
        <f t="shared" si="36"/>
        <v>0</v>
      </c>
      <c r="K73" s="50">
        <f t="shared" si="36"/>
        <v>1</v>
      </c>
      <c r="L73" s="50">
        <f t="shared" si="36"/>
        <v>0</v>
      </c>
      <c r="M73" s="50">
        <v>1</v>
      </c>
      <c r="N73" s="50">
        <v>0</v>
      </c>
      <c r="O73" s="15">
        <f t="shared" si="0"/>
        <v>6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f t="shared" si="36"/>
        <v>1</v>
      </c>
      <c r="D74" s="50">
        <f t="shared" si="36"/>
        <v>0</v>
      </c>
      <c r="E74" s="50">
        <f t="shared" si="36"/>
        <v>2</v>
      </c>
      <c r="F74" s="50">
        <f t="shared" si="36"/>
        <v>0</v>
      </c>
      <c r="G74" s="50">
        <f t="shared" si="36"/>
        <v>0</v>
      </c>
      <c r="H74" s="50">
        <f t="shared" si="36"/>
        <v>0</v>
      </c>
      <c r="I74" s="50">
        <f t="shared" si="36"/>
        <v>0</v>
      </c>
      <c r="J74" s="50">
        <f t="shared" si="36"/>
        <v>0</v>
      </c>
      <c r="K74" s="50">
        <f t="shared" si="36"/>
        <v>1</v>
      </c>
      <c r="L74" s="50">
        <f t="shared" si="36"/>
        <v>0</v>
      </c>
      <c r="M74" s="50">
        <v>1</v>
      </c>
      <c r="N74" s="50">
        <v>0</v>
      </c>
      <c r="O74" s="15">
        <f t="shared" ref="O74:O105" si="37">SUM(C74:L74,N74)</f>
        <v>4</v>
      </c>
      <c r="P74" s="15">
        <f t="shared" ref="P74:P105" si="38">SUM(C74:N74)</f>
        <v>5</v>
      </c>
      <c r="R74" s="8"/>
      <c r="T74"/>
    </row>
    <row r="75" spans="2:20" ht="23.1" customHeight="1" x14ac:dyDescent="0.25">
      <c r="B75" s="45" t="s">
        <v>115</v>
      </c>
      <c r="C75" s="50">
        <f t="shared" si="36"/>
        <v>2</v>
      </c>
      <c r="D75" s="50">
        <f t="shared" si="36"/>
        <v>0</v>
      </c>
      <c r="E75" s="50">
        <f t="shared" si="36"/>
        <v>2</v>
      </c>
      <c r="F75" s="50">
        <f t="shared" si="36"/>
        <v>1</v>
      </c>
      <c r="G75" s="50">
        <f t="shared" si="36"/>
        <v>0</v>
      </c>
      <c r="H75" s="50">
        <f t="shared" si="36"/>
        <v>0</v>
      </c>
      <c r="I75" s="50">
        <f t="shared" si="36"/>
        <v>2</v>
      </c>
      <c r="J75" s="50">
        <f t="shared" si="36"/>
        <v>0</v>
      </c>
      <c r="K75" s="50">
        <f t="shared" si="36"/>
        <v>0</v>
      </c>
      <c r="L75" s="50">
        <f t="shared" si="36"/>
        <v>0</v>
      </c>
      <c r="M75" s="50">
        <v>0</v>
      </c>
      <c r="N75" s="50">
        <v>0</v>
      </c>
      <c r="O75" s="15">
        <f t="shared" si="37"/>
        <v>7</v>
      </c>
      <c r="P75" s="15">
        <f t="shared" si="38"/>
        <v>7</v>
      </c>
      <c r="R75" s="8"/>
      <c r="T75"/>
    </row>
    <row r="76" spans="2:20" ht="23.1" customHeight="1" x14ac:dyDescent="0.25">
      <c r="B76" s="45" t="s">
        <v>116</v>
      </c>
      <c r="C76" s="50">
        <f t="shared" si="36"/>
        <v>2</v>
      </c>
      <c r="D76" s="50">
        <f t="shared" si="36"/>
        <v>0</v>
      </c>
      <c r="E76" s="50">
        <f t="shared" si="36"/>
        <v>0</v>
      </c>
      <c r="F76" s="50">
        <f t="shared" si="36"/>
        <v>1</v>
      </c>
      <c r="G76" s="50">
        <f t="shared" si="36"/>
        <v>0</v>
      </c>
      <c r="H76" s="50">
        <f t="shared" si="36"/>
        <v>0</v>
      </c>
      <c r="I76" s="50">
        <f t="shared" si="36"/>
        <v>1</v>
      </c>
      <c r="J76" s="50">
        <f t="shared" si="36"/>
        <v>1</v>
      </c>
      <c r="K76" s="50">
        <f t="shared" si="36"/>
        <v>1</v>
      </c>
      <c r="L76" s="50">
        <f t="shared" si="36"/>
        <v>0</v>
      </c>
      <c r="M76" s="50">
        <v>0</v>
      </c>
      <c r="N76" s="50">
        <v>0</v>
      </c>
      <c r="O76" s="15">
        <f t="shared" si="37"/>
        <v>6</v>
      </c>
      <c r="P76" s="15">
        <f t="shared" si="38"/>
        <v>6</v>
      </c>
      <c r="R76" s="8"/>
      <c r="T76"/>
    </row>
    <row r="77" spans="2:20" ht="23.1" customHeight="1" x14ac:dyDescent="0.25">
      <c r="B77" s="45" t="s">
        <v>117</v>
      </c>
      <c r="C77" s="50">
        <f t="shared" si="36"/>
        <v>1</v>
      </c>
      <c r="D77" s="50">
        <f t="shared" si="36"/>
        <v>0</v>
      </c>
      <c r="E77" s="50">
        <f t="shared" si="36"/>
        <v>1</v>
      </c>
      <c r="F77" s="50">
        <f t="shared" si="36"/>
        <v>1</v>
      </c>
      <c r="G77" s="50">
        <f t="shared" si="36"/>
        <v>0</v>
      </c>
      <c r="H77" s="50">
        <f t="shared" si="36"/>
        <v>0</v>
      </c>
      <c r="I77" s="50">
        <f t="shared" si="36"/>
        <v>1</v>
      </c>
      <c r="J77" s="50">
        <f t="shared" si="36"/>
        <v>1</v>
      </c>
      <c r="K77" s="50">
        <f t="shared" si="36"/>
        <v>1</v>
      </c>
      <c r="L77" s="50">
        <f t="shared" si="36"/>
        <v>0</v>
      </c>
      <c r="M77" s="50">
        <v>1</v>
      </c>
      <c r="N77" s="50">
        <v>0</v>
      </c>
      <c r="O77" s="15">
        <f t="shared" si="37"/>
        <v>6</v>
      </c>
      <c r="P77" s="15">
        <f t="shared" si="38"/>
        <v>7</v>
      </c>
      <c r="R77" s="8"/>
      <c r="T77"/>
    </row>
    <row r="78" spans="2:20" ht="23.1" customHeight="1" x14ac:dyDescent="0.25">
      <c r="B78" s="46" t="s">
        <v>118</v>
      </c>
      <c r="C78" s="50">
        <f t="shared" si="36"/>
        <v>2</v>
      </c>
      <c r="D78" s="50">
        <f t="shared" si="36"/>
        <v>0</v>
      </c>
      <c r="E78" s="50">
        <f t="shared" si="36"/>
        <v>1</v>
      </c>
      <c r="F78" s="50">
        <f t="shared" si="36"/>
        <v>1</v>
      </c>
      <c r="G78" s="50">
        <f t="shared" si="36"/>
        <v>0</v>
      </c>
      <c r="H78" s="50">
        <f t="shared" si="36"/>
        <v>0</v>
      </c>
      <c r="I78" s="50">
        <f t="shared" si="36"/>
        <v>1</v>
      </c>
      <c r="J78" s="50">
        <f t="shared" si="36"/>
        <v>0</v>
      </c>
      <c r="K78" s="50">
        <f t="shared" si="36"/>
        <v>0</v>
      </c>
      <c r="L78" s="50">
        <f t="shared" si="36"/>
        <v>0</v>
      </c>
      <c r="M78" s="50">
        <v>0</v>
      </c>
      <c r="N78" s="50">
        <v>0</v>
      </c>
      <c r="O78" s="15">
        <f t="shared" si="37"/>
        <v>5</v>
      </c>
      <c r="P78" s="15">
        <f t="shared" si="38"/>
        <v>5</v>
      </c>
      <c r="R78" s="8"/>
      <c r="T78"/>
    </row>
    <row r="79" spans="2:20" ht="23.1" customHeight="1" x14ac:dyDescent="0.25">
      <c r="B79" s="45" t="s">
        <v>119</v>
      </c>
      <c r="C79" s="50">
        <f t="shared" si="36"/>
        <v>3</v>
      </c>
      <c r="D79" s="50">
        <f t="shared" si="36"/>
        <v>0</v>
      </c>
      <c r="E79" s="50">
        <f t="shared" si="36"/>
        <v>2</v>
      </c>
      <c r="F79" s="50">
        <f t="shared" si="36"/>
        <v>1</v>
      </c>
      <c r="G79" s="50">
        <f t="shared" si="36"/>
        <v>0</v>
      </c>
      <c r="H79" s="50">
        <f t="shared" si="36"/>
        <v>0</v>
      </c>
      <c r="I79" s="50">
        <f t="shared" si="36"/>
        <v>1</v>
      </c>
      <c r="J79" s="50">
        <f t="shared" si="36"/>
        <v>1</v>
      </c>
      <c r="K79" s="50">
        <f t="shared" si="36"/>
        <v>0</v>
      </c>
      <c r="L79" s="50">
        <f t="shared" si="36"/>
        <v>0</v>
      </c>
      <c r="M79" s="50">
        <v>0</v>
      </c>
      <c r="N79" s="50">
        <v>0</v>
      </c>
      <c r="O79" s="15">
        <f t="shared" si="37"/>
        <v>8</v>
      </c>
      <c r="P79" s="15">
        <f t="shared" si="38"/>
        <v>8</v>
      </c>
      <c r="R79" s="8"/>
      <c r="T79"/>
    </row>
    <row r="80" spans="2:20" ht="23.1" customHeight="1" x14ac:dyDescent="0.25">
      <c r="B80" s="47" t="s">
        <v>120</v>
      </c>
      <c r="C80" s="50">
        <f t="shared" si="36"/>
        <v>1</v>
      </c>
      <c r="D80" s="50">
        <f t="shared" si="36"/>
        <v>0</v>
      </c>
      <c r="E80" s="50">
        <f t="shared" si="36"/>
        <v>1</v>
      </c>
      <c r="F80" s="50">
        <f t="shared" si="36"/>
        <v>0</v>
      </c>
      <c r="G80" s="50">
        <f t="shared" si="36"/>
        <v>0</v>
      </c>
      <c r="H80" s="50">
        <f t="shared" si="36"/>
        <v>0</v>
      </c>
      <c r="I80" s="50">
        <f t="shared" si="36"/>
        <v>1</v>
      </c>
      <c r="J80" s="50">
        <f t="shared" si="36"/>
        <v>0</v>
      </c>
      <c r="K80" s="50">
        <f t="shared" si="36"/>
        <v>0</v>
      </c>
      <c r="L80" s="50">
        <f t="shared" si="36"/>
        <v>0</v>
      </c>
      <c r="M80" s="50">
        <v>1</v>
      </c>
      <c r="N80" s="50">
        <v>0</v>
      </c>
      <c r="O80" s="15">
        <f t="shared" si="37"/>
        <v>3</v>
      </c>
      <c r="P80" s="15">
        <f t="shared" si="38"/>
        <v>4</v>
      </c>
      <c r="R80" s="8"/>
      <c r="T80"/>
    </row>
    <row r="81" spans="2:20" ht="23.1" customHeight="1" x14ac:dyDescent="0.25">
      <c r="B81" s="45" t="s">
        <v>121</v>
      </c>
      <c r="C81" s="50">
        <f t="shared" si="36"/>
        <v>1</v>
      </c>
      <c r="D81" s="50">
        <f t="shared" si="36"/>
        <v>0</v>
      </c>
      <c r="E81" s="50">
        <f t="shared" si="36"/>
        <v>1</v>
      </c>
      <c r="F81" s="50">
        <f t="shared" si="36"/>
        <v>1</v>
      </c>
      <c r="G81" s="50">
        <f t="shared" si="36"/>
        <v>0</v>
      </c>
      <c r="H81" s="50">
        <f t="shared" si="36"/>
        <v>0</v>
      </c>
      <c r="I81" s="50">
        <f t="shared" si="36"/>
        <v>1</v>
      </c>
      <c r="J81" s="50">
        <f t="shared" si="36"/>
        <v>0</v>
      </c>
      <c r="K81" s="50">
        <f t="shared" si="36"/>
        <v>0</v>
      </c>
      <c r="L81" s="50">
        <f t="shared" si="36"/>
        <v>0</v>
      </c>
      <c r="M81" s="50">
        <v>0</v>
      </c>
      <c r="N81" s="50">
        <v>0</v>
      </c>
      <c r="O81" s="15">
        <f t="shared" si="37"/>
        <v>4</v>
      </c>
      <c r="P81" s="15">
        <f t="shared" si="38"/>
        <v>4</v>
      </c>
      <c r="R81" s="8"/>
      <c r="T81"/>
    </row>
    <row r="82" spans="2:20" ht="23.1" customHeight="1" x14ac:dyDescent="0.25">
      <c r="B82" s="46" t="s">
        <v>122</v>
      </c>
      <c r="C82" s="50">
        <f t="shared" si="36"/>
        <v>0</v>
      </c>
      <c r="D82" s="50">
        <f t="shared" si="36"/>
        <v>0</v>
      </c>
      <c r="E82" s="50">
        <f t="shared" si="36"/>
        <v>1</v>
      </c>
      <c r="F82" s="50">
        <f t="shared" si="36"/>
        <v>0</v>
      </c>
      <c r="G82" s="50">
        <f t="shared" si="36"/>
        <v>0</v>
      </c>
      <c r="H82" s="50">
        <f t="shared" si="36"/>
        <v>0</v>
      </c>
      <c r="I82" s="50">
        <f t="shared" si="36"/>
        <v>1</v>
      </c>
      <c r="J82" s="50">
        <f t="shared" si="36"/>
        <v>1</v>
      </c>
      <c r="K82" s="50">
        <f t="shared" si="36"/>
        <v>0</v>
      </c>
      <c r="L82" s="50">
        <f t="shared" si="36"/>
        <v>0</v>
      </c>
      <c r="M82" s="50">
        <v>0</v>
      </c>
      <c r="N82" s="50">
        <v>0</v>
      </c>
      <c r="O82" s="15">
        <f t="shared" si="37"/>
        <v>3</v>
      </c>
      <c r="P82" s="15">
        <f t="shared" si="38"/>
        <v>3</v>
      </c>
      <c r="R82" s="8"/>
      <c r="T82"/>
    </row>
    <row r="83" spans="2:20" ht="23.1" customHeight="1" x14ac:dyDescent="0.25">
      <c r="B83" s="45" t="s">
        <v>123</v>
      </c>
      <c r="C83" s="50">
        <f t="shared" si="36"/>
        <v>1</v>
      </c>
      <c r="D83" s="50">
        <f t="shared" si="36"/>
        <v>0</v>
      </c>
      <c r="E83" s="50">
        <f t="shared" si="36"/>
        <v>1</v>
      </c>
      <c r="F83" s="50">
        <f t="shared" si="36"/>
        <v>0</v>
      </c>
      <c r="G83" s="50">
        <f t="shared" si="36"/>
        <v>0</v>
      </c>
      <c r="H83" s="50">
        <f t="shared" si="36"/>
        <v>0</v>
      </c>
      <c r="I83" s="50">
        <f t="shared" si="36"/>
        <v>1</v>
      </c>
      <c r="J83" s="50">
        <f t="shared" si="36"/>
        <v>1</v>
      </c>
      <c r="K83" s="50">
        <f t="shared" si="36"/>
        <v>0</v>
      </c>
      <c r="L83" s="50">
        <f t="shared" si="36"/>
        <v>0</v>
      </c>
      <c r="M83" s="50">
        <v>0</v>
      </c>
      <c r="N83" s="50">
        <v>0</v>
      </c>
      <c r="O83" s="15">
        <f t="shared" si="37"/>
        <v>4</v>
      </c>
      <c r="P83" s="15">
        <f t="shared" si="38"/>
        <v>4</v>
      </c>
      <c r="R83" s="8"/>
      <c r="T83"/>
    </row>
    <row r="84" spans="2:20" ht="23.1" customHeight="1" x14ac:dyDescent="0.25">
      <c r="B84" s="47" t="s">
        <v>124</v>
      </c>
      <c r="C84" s="50">
        <f t="shared" si="36"/>
        <v>1</v>
      </c>
      <c r="D84" s="50">
        <f t="shared" si="36"/>
        <v>0</v>
      </c>
      <c r="E84" s="50">
        <f t="shared" si="36"/>
        <v>1</v>
      </c>
      <c r="F84" s="50">
        <f t="shared" si="36"/>
        <v>1</v>
      </c>
      <c r="G84" s="50">
        <f t="shared" si="36"/>
        <v>0</v>
      </c>
      <c r="H84" s="50">
        <f t="shared" si="36"/>
        <v>0</v>
      </c>
      <c r="I84" s="50">
        <f t="shared" si="36"/>
        <v>1</v>
      </c>
      <c r="J84" s="50">
        <f t="shared" si="36"/>
        <v>0</v>
      </c>
      <c r="K84" s="50">
        <f t="shared" si="36"/>
        <v>1</v>
      </c>
      <c r="L84" s="50">
        <f t="shared" si="36"/>
        <v>0</v>
      </c>
      <c r="M84" s="50">
        <v>1</v>
      </c>
      <c r="N84" s="50">
        <v>0</v>
      </c>
      <c r="O84" s="15">
        <f t="shared" si="37"/>
        <v>5</v>
      </c>
      <c r="P84" s="15">
        <f t="shared" si="38"/>
        <v>6</v>
      </c>
      <c r="R84" s="8"/>
      <c r="T84"/>
    </row>
    <row r="85" spans="2:20" ht="23.1" customHeight="1" x14ac:dyDescent="0.25">
      <c r="B85" s="45" t="s">
        <v>125</v>
      </c>
      <c r="C85" s="50">
        <f t="shared" si="36"/>
        <v>1</v>
      </c>
      <c r="D85" s="50">
        <f t="shared" si="36"/>
        <v>0</v>
      </c>
      <c r="E85" s="50">
        <f t="shared" si="36"/>
        <v>1</v>
      </c>
      <c r="F85" s="50">
        <f t="shared" si="36"/>
        <v>0</v>
      </c>
      <c r="G85" s="50">
        <f t="shared" si="36"/>
        <v>0</v>
      </c>
      <c r="H85" s="50">
        <f t="shared" si="36"/>
        <v>0</v>
      </c>
      <c r="I85" s="50">
        <f t="shared" si="36"/>
        <v>0</v>
      </c>
      <c r="J85" s="50">
        <f t="shared" si="36"/>
        <v>0</v>
      </c>
      <c r="K85" s="50">
        <f t="shared" si="36"/>
        <v>1</v>
      </c>
      <c r="L85" s="50">
        <f t="shared" si="36"/>
        <v>0</v>
      </c>
      <c r="M85" s="50">
        <v>0</v>
      </c>
      <c r="N85" s="50">
        <v>0</v>
      </c>
      <c r="O85" s="15">
        <f t="shared" si="37"/>
        <v>3</v>
      </c>
      <c r="P85" s="15">
        <f t="shared" si="38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7"/>
        <v>0</v>
      </c>
      <c r="P86" s="15">
        <f t="shared" si="38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7"/>
        <v>0</v>
      </c>
      <c r="P87" s="15">
        <f t="shared" si="38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7"/>
        <v>0</v>
      </c>
      <c r="P88" s="15">
        <f t="shared" si="38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7"/>
        <v>0</v>
      </c>
      <c r="P89" s="15">
        <f t="shared" si="38"/>
        <v>0</v>
      </c>
      <c r="R89" s="8"/>
      <c r="T89"/>
    </row>
    <row r="90" spans="2:20" ht="23.1" customHeight="1" x14ac:dyDescent="0.25">
      <c r="B90" s="46" t="s">
        <v>130</v>
      </c>
      <c r="C90" s="50">
        <f t="shared" ref="C90:L90" si="39">ROUND(C79/2,0)</f>
        <v>2</v>
      </c>
      <c r="D90" s="50">
        <f t="shared" si="39"/>
        <v>0</v>
      </c>
      <c r="E90" s="50">
        <f t="shared" si="39"/>
        <v>1</v>
      </c>
      <c r="F90" s="50">
        <f t="shared" si="39"/>
        <v>1</v>
      </c>
      <c r="G90" s="50">
        <f t="shared" si="39"/>
        <v>0</v>
      </c>
      <c r="H90" s="50">
        <f t="shared" si="39"/>
        <v>0</v>
      </c>
      <c r="I90" s="50">
        <f t="shared" si="39"/>
        <v>1</v>
      </c>
      <c r="J90" s="50">
        <f t="shared" si="39"/>
        <v>1</v>
      </c>
      <c r="K90" s="50">
        <f t="shared" si="39"/>
        <v>0</v>
      </c>
      <c r="L90" s="50">
        <f t="shared" si="39"/>
        <v>0</v>
      </c>
      <c r="M90" s="50">
        <v>0</v>
      </c>
      <c r="N90" s="50">
        <v>0</v>
      </c>
      <c r="O90" s="15">
        <f t="shared" si="37"/>
        <v>6</v>
      </c>
      <c r="P90" s="15">
        <f t="shared" si="38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7"/>
        <v>0</v>
      </c>
      <c r="P91" s="15">
        <f t="shared" si="38"/>
        <v>0</v>
      </c>
      <c r="R91" s="8"/>
      <c r="T91"/>
    </row>
    <row r="92" spans="2:20" ht="23.1" customHeight="1" x14ac:dyDescent="0.25">
      <c r="B92" s="47" t="s">
        <v>132</v>
      </c>
      <c r="C92" s="50">
        <f t="shared" ref="C92:L92" si="40">ROUND(C81/2,0)</f>
        <v>1</v>
      </c>
      <c r="D92" s="50">
        <f t="shared" si="40"/>
        <v>0</v>
      </c>
      <c r="E92" s="50">
        <f t="shared" si="40"/>
        <v>1</v>
      </c>
      <c r="F92" s="50">
        <f t="shared" si="40"/>
        <v>1</v>
      </c>
      <c r="G92" s="50">
        <f t="shared" si="40"/>
        <v>0</v>
      </c>
      <c r="H92" s="50">
        <f t="shared" si="40"/>
        <v>0</v>
      </c>
      <c r="I92" s="50">
        <f t="shared" si="40"/>
        <v>1</v>
      </c>
      <c r="J92" s="50">
        <f t="shared" si="40"/>
        <v>0</v>
      </c>
      <c r="K92" s="50">
        <f t="shared" si="40"/>
        <v>0</v>
      </c>
      <c r="L92" s="50">
        <f t="shared" si="40"/>
        <v>0</v>
      </c>
      <c r="M92" s="50">
        <v>0</v>
      </c>
      <c r="N92" s="50">
        <v>0</v>
      </c>
      <c r="O92" s="15">
        <f t="shared" si="37"/>
        <v>4</v>
      </c>
      <c r="P92" s="15">
        <f t="shared" si="38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7"/>
        <v>0</v>
      </c>
      <c r="P93" s="15">
        <f t="shared" si="38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7"/>
        <v>0</v>
      </c>
      <c r="P94" s="15">
        <f t="shared" si="38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7"/>
        <v>0</v>
      </c>
      <c r="P95" s="15">
        <f t="shared" si="38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7"/>
        <v>0</v>
      </c>
      <c r="P96" s="15">
        <f t="shared" si="38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7"/>
        <v>0</v>
      </c>
      <c r="P97" s="15">
        <f t="shared" si="38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7"/>
        <v>0</v>
      </c>
      <c r="P98" s="15">
        <f t="shared" si="38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7"/>
        <v>0</v>
      </c>
      <c r="P99" s="15">
        <f t="shared" si="38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7"/>
        <v>0</v>
      </c>
      <c r="P100" s="15">
        <f t="shared" si="38"/>
        <v>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3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3</v>
      </c>
      <c r="N101" s="50">
        <v>0</v>
      </c>
      <c r="O101" s="15">
        <f t="shared" si="37"/>
        <v>6</v>
      </c>
      <c r="P101" s="15">
        <f t="shared" si="38"/>
        <v>9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7"/>
        <v>0</v>
      </c>
      <c r="P102" s="15">
        <f t="shared" si="38"/>
        <v>6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2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1</v>
      </c>
      <c r="L103" s="50">
        <v>0</v>
      </c>
      <c r="M103" s="50">
        <v>7</v>
      </c>
      <c r="N103" s="50">
        <v>0</v>
      </c>
      <c r="O103" s="15">
        <f t="shared" si="37"/>
        <v>7</v>
      </c>
      <c r="P103" s="15">
        <f t="shared" si="38"/>
        <v>14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2</v>
      </c>
      <c r="G104" s="50">
        <v>0</v>
      </c>
      <c r="H104" s="50">
        <v>1</v>
      </c>
      <c r="I104" s="50">
        <v>2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7"/>
        <v>9</v>
      </c>
      <c r="P104" s="15">
        <f t="shared" si="38"/>
        <v>15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3</v>
      </c>
      <c r="E105" s="50">
        <v>0</v>
      </c>
      <c r="F105" s="50">
        <v>1</v>
      </c>
      <c r="G105" s="50">
        <v>0</v>
      </c>
      <c r="H105" s="50">
        <v>0</v>
      </c>
      <c r="I105" s="50">
        <v>3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7"/>
        <v>11</v>
      </c>
      <c r="P105" s="15">
        <f t="shared" si="38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158</v>
      </c>
      <c r="D106" s="16">
        <f t="shared" ref="D106:P106" si="41">SUM(D10:D105)</f>
        <v>3</v>
      </c>
      <c r="E106" s="16">
        <f t="shared" si="41"/>
        <v>170</v>
      </c>
      <c r="F106" s="16">
        <f t="shared" si="41"/>
        <v>99</v>
      </c>
      <c r="G106" s="16">
        <f t="shared" si="41"/>
        <v>4</v>
      </c>
      <c r="H106" s="16">
        <f t="shared" si="41"/>
        <v>2</v>
      </c>
      <c r="I106" s="16">
        <f t="shared" si="41"/>
        <v>158</v>
      </c>
      <c r="J106" s="16">
        <f t="shared" si="41"/>
        <v>34</v>
      </c>
      <c r="K106" s="16">
        <f t="shared" si="41"/>
        <v>37</v>
      </c>
      <c r="L106" s="16">
        <f t="shared" si="41"/>
        <v>0</v>
      </c>
      <c r="M106" s="16">
        <f t="shared" si="41"/>
        <v>1000</v>
      </c>
      <c r="N106" s="16">
        <f t="shared" si="41"/>
        <v>0</v>
      </c>
      <c r="O106" s="16">
        <f t="shared" si="41"/>
        <v>665</v>
      </c>
      <c r="P106" s="16">
        <f t="shared" si="41"/>
        <v>1665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2">C106/$P$106</f>
        <v>9.4894894894894902E-2</v>
      </c>
      <c r="D107" s="43">
        <f t="shared" si="42"/>
        <v>1.8018018018018018E-3</v>
      </c>
      <c r="E107" s="43">
        <f t="shared" si="42"/>
        <v>0.1021021021021021</v>
      </c>
      <c r="F107" s="43">
        <f t="shared" si="42"/>
        <v>5.9459459459459463E-2</v>
      </c>
      <c r="G107" s="43">
        <f t="shared" si="42"/>
        <v>2.4024024024024023E-3</v>
      </c>
      <c r="H107" s="43">
        <f t="shared" si="42"/>
        <v>1.2012012012012011E-3</v>
      </c>
      <c r="I107" s="43">
        <f t="shared" si="42"/>
        <v>9.4894894894894902E-2</v>
      </c>
      <c r="J107" s="43">
        <f t="shared" si="42"/>
        <v>2.0420420420420419E-2</v>
      </c>
      <c r="K107" s="43">
        <f t="shared" si="42"/>
        <v>2.2222222222222223E-2</v>
      </c>
      <c r="L107" s="43">
        <f t="shared" si="42"/>
        <v>0</v>
      </c>
      <c r="M107" s="43">
        <f t="shared" si="42"/>
        <v>0.60060060060060061</v>
      </c>
      <c r="N107" s="43">
        <f t="shared" si="42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0.23759398496240602</v>
      </c>
      <c r="D108" s="44">
        <f t="shared" ref="D108:N108" si="43">D106/$O$106</f>
        <v>4.5112781954887221E-3</v>
      </c>
      <c r="E108" s="44">
        <f t="shared" si="43"/>
        <v>0.25563909774436089</v>
      </c>
      <c r="F108" s="44">
        <f t="shared" si="43"/>
        <v>0.14887218045112782</v>
      </c>
      <c r="G108" s="44">
        <f t="shared" si="43"/>
        <v>6.0150375939849628E-3</v>
      </c>
      <c r="H108" s="44">
        <f t="shared" si="43"/>
        <v>3.0075187969924814E-3</v>
      </c>
      <c r="I108" s="44">
        <f t="shared" si="43"/>
        <v>0.23759398496240602</v>
      </c>
      <c r="J108" s="44">
        <f t="shared" si="43"/>
        <v>5.1127819548872182E-2</v>
      </c>
      <c r="K108" s="44">
        <f t="shared" si="43"/>
        <v>5.5639097744360905E-2</v>
      </c>
      <c r="L108" s="44">
        <f t="shared" si="43"/>
        <v>0</v>
      </c>
      <c r="M108" s="44"/>
      <c r="N108" s="44">
        <f t="shared" si="43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55" zoomScale="60" workbookViewId="0">
      <selection activeCell="C58" sqref="C58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'24.08 MATUGA-KAPEKA-24h'!G5:H5</f>
        <v>Kapeeka</v>
      </c>
      <c r="H5" s="67"/>
      <c r="I5" s="14"/>
      <c r="J5" s="2" t="s">
        <v>5</v>
      </c>
      <c r="K5" s="66" t="str">
        <f>'24.08 MATUGA-KAPEKA-24h'!K5:L5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KAPEKA-MATUGA'!D6:E6</f>
        <v>KAPEKA</v>
      </c>
      <c r="E6" s="67"/>
      <c r="F6" s="2" t="s">
        <v>2</v>
      </c>
      <c r="G6" s="66" t="str">
        <f>'20.08 KAPEKA-MATUGA'!G6:H6</f>
        <v>MATUGA</v>
      </c>
      <c r="H6" s="67"/>
      <c r="J6" s="2" t="s">
        <v>21</v>
      </c>
      <c r="K6" s="66" t="str">
        <f>'24.08 MATUGA-KAPEKA-24h'!K6:L6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2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16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22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5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78</v>
      </c>
      <c r="AD10" s="17">
        <f t="shared" si="2"/>
        <v>0</v>
      </c>
      <c r="AE10" s="31">
        <f t="shared" si="2"/>
        <v>23</v>
      </c>
      <c r="AF10" s="31">
        <f t="shared" si="2"/>
        <v>101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17</v>
      </c>
      <c r="N11" s="50">
        <v>0</v>
      </c>
      <c r="O11" s="15">
        <f t="shared" si="0"/>
        <v>6</v>
      </c>
      <c r="P11" s="15">
        <f t="shared" si="1"/>
        <v>23</v>
      </c>
      <c r="R11" s="1" t="s">
        <v>7</v>
      </c>
      <c r="S11" s="17">
        <f t="shared" ref="S11:AF11" si="3">SUM(C14:C17)</f>
        <v>16</v>
      </c>
      <c r="T11" s="17">
        <f t="shared" si="3"/>
        <v>0</v>
      </c>
      <c r="U11" s="17">
        <f t="shared" si="3"/>
        <v>12</v>
      </c>
      <c r="V11" s="17">
        <f t="shared" si="3"/>
        <v>5</v>
      </c>
      <c r="W11" s="17">
        <f t="shared" si="3"/>
        <v>2</v>
      </c>
      <c r="X11" s="17">
        <f t="shared" si="3"/>
        <v>0</v>
      </c>
      <c r="Y11" s="17">
        <f t="shared" si="3"/>
        <v>12</v>
      </c>
      <c r="Z11" s="17">
        <f t="shared" si="3"/>
        <v>1</v>
      </c>
      <c r="AA11" s="17">
        <f t="shared" si="3"/>
        <v>6</v>
      </c>
      <c r="AB11" s="17">
        <f t="shared" si="3"/>
        <v>0</v>
      </c>
      <c r="AC11" s="17">
        <f t="shared" si="3"/>
        <v>85</v>
      </c>
      <c r="AD11" s="17">
        <f t="shared" si="3"/>
        <v>0</v>
      </c>
      <c r="AE11" s="31">
        <f t="shared" si="3"/>
        <v>54</v>
      </c>
      <c r="AF11" s="31">
        <f t="shared" si="3"/>
        <v>139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23</v>
      </c>
      <c r="N12" s="50">
        <v>0</v>
      </c>
      <c r="O12" s="15">
        <f t="shared" si="0"/>
        <v>7</v>
      </c>
      <c r="P12" s="15">
        <f t="shared" si="1"/>
        <v>30</v>
      </c>
      <c r="R12" s="1" t="s">
        <v>8</v>
      </c>
      <c r="S12" s="17">
        <f t="shared" ref="S12:AF12" si="4">SUM(C18:C21)</f>
        <v>10</v>
      </c>
      <c r="T12" s="17">
        <f t="shared" si="4"/>
        <v>0</v>
      </c>
      <c r="U12" s="17">
        <f t="shared" si="4"/>
        <v>15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79</v>
      </c>
      <c r="AD12" s="17">
        <f t="shared" si="4"/>
        <v>0</v>
      </c>
      <c r="AE12" s="31">
        <f t="shared" si="4"/>
        <v>44</v>
      </c>
      <c r="AF12" s="31">
        <f t="shared" si="4"/>
        <v>123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22</v>
      </c>
      <c r="N13" s="50">
        <v>0</v>
      </c>
      <c r="O13" s="15">
        <f t="shared" si="0"/>
        <v>4</v>
      </c>
      <c r="P13" s="15">
        <f t="shared" si="1"/>
        <v>26</v>
      </c>
      <c r="R13" s="1" t="s">
        <v>9</v>
      </c>
      <c r="S13" s="17">
        <f t="shared" ref="S13:AF13" si="5">SUM(C22:C25)</f>
        <v>11</v>
      </c>
      <c r="T13" s="17">
        <f t="shared" si="5"/>
        <v>0</v>
      </c>
      <c r="U13" s="17">
        <f t="shared" si="5"/>
        <v>13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12</v>
      </c>
      <c r="Z13" s="17">
        <f t="shared" si="5"/>
        <v>2</v>
      </c>
      <c r="AA13" s="17">
        <f t="shared" si="5"/>
        <v>4</v>
      </c>
      <c r="AB13" s="17">
        <f t="shared" si="5"/>
        <v>0</v>
      </c>
      <c r="AC13" s="17">
        <f t="shared" si="5"/>
        <v>98</v>
      </c>
      <c r="AD13" s="17">
        <f t="shared" si="5"/>
        <v>0</v>
      </c>
      <c r="AE13" s="31">
        <f t="shared" si="5"/>
        <v>47</v>
      </c>
      <c r="AF13" s="31">
        <f t="shared" si="5"/>
        <v>145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1</v>
      </c>
      <c r="F14" s="50">
        <v>1</v>
      </c>
      <c r="G14" s="50">
        <v>1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24</v>
      </c>
      <c r="N14" s="50">
        <v>0</v>
      </c>
      <c r="O14" s="15">
        <f t="shared" si="0"/>
        <v>8</v>
      </c>
      <c r="P14" s="15">
        <f t="shared" si="1"/>
        <v>32</v>
      </c>
      <c r="R14" s="1" t="s">
        <v>10</v>
      </c>
      <c r="S14" s="17">
        <f t="shared" ref="S14:AF14" si="6">SUM(C26:C29)</f>
        <v>20</v>
      </c>
      <c r="T14" s="17">
        <f t="shared" si="6"/>
        <v>0</v>
      </c>
      <c r="U14" s="17">
        <f t="shared" si="6"/>
        <v>14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108</v>
      </c>
      <c r="AD14" s="17">
        <f t="shared" si="6"/>
        <v>1</v>
      </c>
      <c r="AE14" s="31">
        <f t="shared" si="6"/>
        <v>53</v>
      </c>
      <c r="AF14" s="31">
        <f t="shared" si="6"/>
        <v>161</v>
      </c>
    </row>
    <row r="15" spans="2:32" ht="23.1" customHeight="1" x14ac:dyDescent="0.25">
      <c r="B15" s="45" t="s">
        <v>42</v>
      </c>
      <c r="C15" s="50">
        <v>3</v>
      </c>
      <c r="D15" s="50">
        <v>0</v>
      </c>
      <c r="E15" s="50">
        <v>2</v>
      </c>
      <c r="F15" s="50">
        <v>0</v>
      </c>
      <c r="G15" s="50">
        <v>1</v>
      </c>
      <c r="H15" s="50">
        <v>0</v>
      </c>
      <c r="I15" s="50">
        <v>3</v>
      </c>
      <c r="J15" s="50">
        <v>1</v>
      </c>
      <c r="K15" s="50">
        <v>3</v>
      </c>
      <c r="L15" s="50">
        <v>0</v>
      </c>
      <c r="M15" s="50">
        <v>23</v>
      </c>
      <c r="N15" s="50">
        <v>0</v>
      </c>
      <c r="O15" s="15">
        <f t="shared" si="0"/>
        <v>13</v>
      </c>
      <c r="P15" s="15">
        <f t="shared" si="1"/>
        <v>36</v>
      </c>
      <c r="R15" s="1" t="s">
        <v>11</v>
      </c>
      <c r="S15" s="17">
        <f t="shared" ref="S15:AF15" si="7">SUM(C30:C33)</f>
        <v>16</v>
      </c>
      <c r="T15" s="17">
        <f t="shared" si="7"/>
        <v>0</v>
      </c>
      <c r="U15" s="17">
        <f t="shared" si="7"/>
        <v>17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99</v>
      </c>
      <c r="AD15" s="17">
        <f t="shared" si="7"/>
        <v>0</v>
      </c>
      <c r="AE15" s="31">
        <f t="shared" si="7"/>
        <v>49</v>
      </c>
      <c r="AF15" s="31">
        <f t="shared" si="7"/>
        <v>148</v>
      </c>
    </row>
    <row r="16" spans="2:32" ht="23.1" customHeight="1" x14ac:dyDescent="0.25">
      <c r="B16" s="45" t="s">
        <v>43</v>
      </c>
      <c r="C16" s="50">
        <v>7</v>
      </c>
      <c r="D16" s="50">
        <v>0</v>
      </c>
      <c r="E16" s="50">
        <v>7</v>
      </c>
      <c r="F16" s="50">
        <v>3</v>
      </c>
      <c r="G16" s="50">
        <v>0</v>
      </c>
      <c r="H16" s="50">
        <v>0</v>
      </c>
      <c r="I16" s="50">
        <v>6</v>
      </c>
      <c r="J16" s="50">
        <v>0</v>
      </c>
      <c r="K16" s="50">
        <v>2</v>
      </c>
      <c r="L16" s="50">
        <v>0</v>
      </c>
      <c r="M16" s="50">
        <v>21</v>
      </c>
      <c r="N16" s="50">
        <v>0</v>
      </c>
      <c r="O16" s="15">
        <f t="shared" si="0"/>
        <v>25</v>
      </c>
      <c r="P16" s="15">
        <f t="shared" si="1"/>
        <v>46</v>
      </c>
      <c r="R16" s="1" t="s">
        <v>12</v>
      </c>
      <c r="S16" s="17">
        <f t="shared" ref="S16:AF16" si="8">SUM(C34:C37)</f>
        <v>15</v>
      </c>
      <c r="T16" s="17">
        <f t="shared" si="8"/>
        <v>0</v>
      </c>
      <c r="U16" s="17">
        <f t="shared" si="8"/>
        <v>10</v>
      </c>
      <c r="V16" s="17">
        <f t="shared" si="8"/>
        <v>7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3</v>
      </c>
      <c r="AA16" s="17">
        <f t="shared" si="8"/>
        <v>2</v>
      </c>
      <c r="AB16" s="17">
        <f t="shared" si="8"/>
        <v>0</v>
      </c>
      <c r="AC16" s="17">
        <f t="shared" si="8"/>
        <v>78</v>
      </c>
      <c r="AD16" s="17">
        <f t="shared" si="8"/>
        <v>0</v>
      </c>
      <c r="AE16" s="31">
        <f t="shared" si="8"/>
        <v>51</v>
      </c>
      <c r="AF16" s="31">
        <f t="shared" si="8"/>
        <v>129</v>
      </c>
    </row>
    <row r="17" spans="2:32" ht="23.1" customHeight="1" x14ac:dyDescent="0.25">
      <c r="B17" s="45" t="s">
        <v>44</v>
      </c>
      <c r="C17" s="50">
        <v>3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17</v>
      </c>
      <c r="N17" s="50">
        <v>0</v>
      </c>
      <c r="O17" s="15">
        <f t="shared" si="0"/>
        <v>8</v>
      </c>
      <c r="P17" s="15">
        <f t="shared" si="1"/>
        <v>25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4</v>
      </c>
      <c r="V17" s="17">
        <f t="shared" si="9"/>
        <v>7</v>
      </c>
      <c r="W17" s="17">
        <f t="shared" si="9"/>
        <v>1</v>
      </c>
      <c r="X17" s="17">
        <f t="shared" si="9"/>
        <v>0</v>
      </c>
      <c r="Y17" s="17">
        <f t="shared" si="9"/>
        <v>10</v>
      </c>
      <c r="Z17" s="17">
        <f t="shared" si="9"/>
        <v>4</v>
      </c>
      <c r="AA17" s="17">
        <f t="shared" si="9"/>
        <v>2</v>
      </c>
      <c r="AB17" s="17">
        <f t="shared" si="9"/>
        <v>0</v>
      </c>
      <c r="AC17" s="17">
        <f t="shared" si="9"/>
        <v>89</v>
      </c>
      <c r="AD17" s="17">
        <f t="shared" si="9"/>
        <v>0</v>
      </c>
      <c r="AE17" s="31">
        <f t="shared" si="9"/>
        <v>34</v>
      </c>
      <c r="AF17" s="31">
        <f t="shared" si="9"/>
        <v>123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5</v>
      </c>
      <c r="F18" s="50">
        <v>3</v>
      </c>
      <c r="G18" s="50">
        <v>0</v>
      </c>
      <c r="H18" s="50">
        <v>0</v>
      </c>
      <c r="I18" s="50">
        <v>5</v>
      </c>
      <c r="J18" s="50">
        <v>1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15</v>
      </c>
      <c r="P18" s="15">
        <f t="shared" si="1"/>
        <v>32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5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69</v>
      </c>
      <c r="AD18" s="17">
        <f t="shared" si="10"/>
        <v>0</v>
      </c>
      <c r="AE18" s="31">
        <f t="shared" si="10"/>
        <v>21</v>
      </c>
      <c r="AF18" s="31">
        <f t="shared" si="10"/>
        <v>90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3</v>
      </c>
      <c r="F19" s="50">
        <v>2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9</v>
      </c>
      <c r="P19" s="15">
        <f t="shared" si="1"/>
        <v>25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13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4</v>
      </c>
      <c r="AA19" s="17">
        <f t="shared" si="11"/>
        <v>2</v>
      </c>
      <c r="AB19" s="17">
        <f t="shared" si="11"/>
        <v>0</v>
      </c>
      <c r="AC19" s="17">
        <f t="shared" si="11"/>
        <v>75</v>
      </c>
      <c r="AD19" s="17">
        <f t="shared" si="11"/>
        <v>0</v>
      </c>
      <c r="AE19" s="31">
        <f t="shared" si="11"/>
        <v>41</v>
      </c>
      <c r="AF19" s="31">
        <f t="shared" si="11"/>
        <v>116</v>
      </c>
    </row>
    <row r="20" spans="2:32" ht="23.1" customHeight="1" x14ac:dyDescent="0.25">
      <c r="B20" s="45" t="s">
        <v>47</v>
      </c>
      <c r="C20" s="50">
        <v>4</v>
      </c>
      <c r="D20" s="50">
        <v>0</v>
      </c>
      <c r="E20" s="50">
        <v>4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11</v>
      </c>
      <c r="P20" s="15">
        <f t="shared" si="1"/>
        <v>32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4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4</v>
      </c>
      <c r="AA20" s="17">
        <f t="shared" si="12"/>
        <v>3</v>
      </c>
      <c r="AB20" s="17">
        <f t="shared" si="12"/>
        <v>0</v>
      </c>
      <c r="AC20" s="17">
        <f t="shared" si="12"/>
        <v>86</v>
      </c>
      <c r="AD20" s="17">
        <f t="shared" si="12"/>
        <v>0</v>
      </c>
      <c r="AE20" s="31">
        <f t="shared" si="12"/>
        <v>36</v>
      </c>
      <c r="AF20" s="31">
        <f t="shared" si="12"/>
        <v>122</v>
      </c>
    </row>
    <row r="21" spans="2:32" ht="23.1" customHeight="1" x14ac:dyDescent="0.25">
      <c r="B21" s="45" t="s">
        <v>48</v>
      </c>
      <c r="C21" s="50">
        <v>3</v>
      </c>
      <c r="D21" s="50">
        <v>0</v>
      </c>
      <c r="E21" s="50">
        <v>3</v>
      </c>
      <c r="F21" s="50">
        <v>0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25</v>
      </c>
      <c r="N21" s="50">
        <v>0</v>
      </c>
      <c r="O21" s="15">
        <f t="shared" si="0"/>
        <v>9</v>
      </c>
      <c r="P21" s="15">
        <f t="shared" si="1"/>
        <v>34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6</v>
      </c>
      <c r="V21" s="17">
        <f t="shared" si="13"/>
        <v>7</v>
      </c>
      <c r="W21" s="17">
        <f t="shared" si="13"/>
        <v>1</v>
      </c>
      <c r="X21" s="17">
        <f t="shared" si="13"/>
        <v>1</v>
      </c>
      <c r="Y21" s="17">
        <f t="shared" si="13"/>
        <v>9</v>
      </c>
      <c r="Z21" s="17">
        <f t="shared" si="13"/>
        <v>1</v>
      </c>
      <c r="AA21" s="17">
        <f t="shared" si="13"/>
        <v>3</v>
      </c>
      <c r="AB21" s="17">
        <f t="shared" si="13"/>
        <v>0</v>
      </c>
      <c r="AC21" s="17">
        <f t="shared" si="13"/>
        <v>84</v>
      </c>
      <c r="AD21" s="17">
        <f t="shared" si="13"/>
        <v>0</v>
      </c>
      <c r="AE21" s="31">
        <f t="shared" si="13"/>
        <v>34</v>
      </c>
      <c r="AF21" s="31">
        <f t="shared" si="13"/>
        <v>118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4</v>
      </c>
      <c r="F22" s="50">
        <v>0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21</v>
      </c>
      <c r="N22" s="50">
        <v>0</v>
      </c>
      <c r="O22" s="15">
        <f t="shared" si="0"/>
        <v>8</v>
      </c>
      <c r="P22" s="15">
        <f t="shared" si="1"/>
        <v>29</v>
      </c>
      <c r="R22" s="36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8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59</v>
      </c>
      <c r="AD22" s="34">
        <f t="shared" si="14"/>
        <v>0</v>
      </c>
      <c r="AE22" s="31">
        <f t="shared" si="14"/>
        <v>30</v>
      </c>
      <c r="AF22" s="31">
        <f t="shared" si="14"/>
        <v>89</v>
      </c>
    </row>
    <row r="23" spans="2:32" ht="23.1" customHeight="1" x14ac:dyDescent="0.25">
      <c r="B23" s="45" t="s">
        <v>50</v>
      </c>
      <c r="C23" s="50">
        <v>6</v>
      </c>
      <c r="D23" s="50">
        <v>0</v>
      </c>
      <c r="E23" s="50">
        <v>5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2</v>
      </c>
      <c r="L23" s="50">
        <v>0</v>
      </c>
      <c r="M23" s="50">
        <v>30</v>
      </c>
      <c r="N23" s="50">
        <v>0</v>
      </c>
      <c r="O23" s="15">
        <f t="shared" si="0"/>
        <v>14</v>
      </c>
      <c r="P23" s="15">
        <f t="shared" si="1"/>
        <v>44</v>
      </c>
      <c r="R23" s="36" t="s">
        <v>147</v>
      </c>
      <c r="S23" s="34">
        <f>SUM(C62:C65)</f>
        <v>10</v>
      </c>
      <c r="T23" s="34">
        <f t="shared" ref="T23:AF23" si="15">SUM(D62:D65)</f>
        <v>0</v>
      </c>
      <c r="U23" s="34">
        <f t="shared" si="15"/>
        <v>9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37</v>
      </c>
      <c r="AF23" s="31">
        <f t="shared" si="15"/>
        <v>76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4</v>
      </c>
      <c r="F24" s="50">
        <v>2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25</v>
      </c>
      <c r="N24" s="50">
        <v>0</v>
      </c>
      <c r="O24" s="15">
        <f t="shared" si="0"/>
        <v>13</v>
      </c>
      <c r="P24" s="15">
        <f t="shared" si="1"/>
        <v>38</v>
      </c>
      <c r="R24" s="36" t="s">
        <v>148</v>
      </c>
      <c r="S24" s="34">
        <f>SUM(C66:C69)</f>
        <v>11</v>
      </c>
      <c r="T24" s="34">
        <f t="shared" ref="T24:AF24" si="16">SUM(D66:D69)</f>
        <v>0</v>
      </c>
      <c r="U24" s="34">
        <f t="shared" si="16"/>
        <v>8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33</v>
      </c>
      <c r="AF24" s="31">
        <f t="shared" si="16"/>
        <v>54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5</v>
      </c>
      <c r="J25" s="50">
        <v>1</v>
      </c>
      <c r="K25" s="50">
        <v>2</v>
      </c>
      <c r="L25" s="50">
        <v>0</v>
      </c>
      <c r="M25" s="50">
        <v>22</v>
      </c>
      <c r="N25" s="50">
        <v>0</v>
      </c>
      <c r="O25" s="15">
        <f t="shared" si="0"/>
        <v>12</v>
      </c>
      <c r="P25" s="15">
        <f t="shared" si="1"/>
        <v>34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21</v>
      </c>
      <c r="AF25" s="31">
        <f t="shared" si="17"/>
        <v>34</v>
      </c>
    </row>
    <row r="26" spans="2:32" ht="23.1" customHeight="1" x14ac:dyDescent="0.25">
      <c r="B26" s="45" t="s">
        <v>53</v>
      </c>
      <c r="C26" s="50">
        <v>4</v>
      </c>
      <c r="D26" s="50">
        <v>0</v>
      </c>
      <c r="E26" s="50">
        <v>6</v>
      </c>
      <c r="F26" s="50">
        <v>1</v>
      </c>
      <c r="G26" s="50">
        <v>0</v>
      </c>
      <c r="H26" s="50">
        <v>0</v>
      </c>
      <c r="I26" s="50">
        <v>1</v>
      </c>
      <c r="J26" s="50">
        <v>2</v>
      </c>
      <c r="K26" s="50">
        <v>1</v>
      </c>
      <c r="L26" s="50">
        <v>0</v>
      </c>
      <c r="M26" s="50">
        <v>25</v>
      </c>
      <c r="N26" s="50">
        <v>0</v>
      </c>
      <c r="O26" s="15">
        <f t="shared" si="0"/>
        <v>15</v>
      </c>
      <c r="P26" s="15">
        <f t="shared" si="1"/>
        <v>40</v>
      </c>
      <c r="R26" s="36" t="s">
        <v>150</v>
      </c>
      <c r="S26" s="34">
        <f>SUM(C74:C77)</f>
        <v>6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3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45" t="s">
        <v>54</v>
      </c>
      <c r="C27" s="50">
        <v>7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26</v>
      </c>
      <c r="N27" s="50">
        <v>1</v>
      </c>
      <c r="O27" s="15">
        <f t="shared" si="0"/>
        <v>13</v>
      </c>
      <c r="P27" s="15">
        <f t="shared" si="1"/>
        <v>39</v>
      </c>
      <c r="R27" s="36" t="s">
        <v>151</v>
      </c>
      <c r="S27" s="34">
        <f>SUM(C78:C81)</f>
        <v>7</v>
      </c>
      <c r="T27" s="34">
        <f t="shared" ref="T27:AF27" si="19">SUM(D78:D81)</f>
        <v>0</v>
      </c>
      <c r="U27" s="34">
        <f t="shared" si="19"/>
        <v>5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45" t="s">
        <v>55</v>
      </c>
      <c r="C28" s="50">
        <v>4</v>
      </c>
      <c r="D28" s="50">
        <v>0</v>
      </c>
      <c r="E28" s="50">
        <v>3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1</v>
      </c>
      <c r="L28" s="50">
        <v>0</v>
      </c>
      <c r="M28" s="50">
        <v>31</v>
      </c>
      <c r="N28" s="50">
        <v>0</v>
      </c>
      <c r="O28" s="15">
        <f t="shared" si="0"/>
        <v>11</v>
      </c>
      <c r="P28" s="15">
        <f t="shared" si="1"/>
        <v>42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45" t="s">
        <v>56</v>
      </c>
      <c r="C29" s="50">
        <v>5</v>
      </c>
      <c r="D29" s="50">
        <v>0</v>
      </c>
      <c r="E29" s="50">
        <v>5</v>
      </c>
      <c r="F29" s="50">
        <v>1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26</v>
      </c>
      <c r="N29" s="50">
        <v>0</v>
      </c>
      <c r="O29" s="15">
        <f t="shared" si="0"/>
        <v>14</v>
      </c>
      <c r="P29" s="15">
        <f t="shared" si="1"/>
        <v>40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7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29</v>
      </c>
      <c r="N30" s="50">
        <v>0</v>
      </c>
      <c r="O30" s="15">
        <f t="shared" si="0"/>
        <v>12</v>
      </c>
      <c r="P30" s="15">
        <f t="shared" si="1"/>
        <v>41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6</v>
      </c>
      <c r="D31" s="50">
        <v>0</v>
      </c>
      <c r="E31" s="50">
        <v>5</v>
      </c>
      <c r="F31" s="50">
        <v>3</v>
      </c>
      <c r="G31" s="50">
        <v>0</v>
      </c>
      <c r="H31" s="50">
        <v>0</v>
      </c>
      <c r="I31" s="50">
        <v>3</v>
      </c>
      <c r="J31" s="50">
        <v>1</v>
      </c>
      <c r="K31" s="50">
        <v>1</v>
      </c>
      <c r="L31" s="50">
        <v>0</v>
      </c>
      <c r="M31" s="50">
        <v>25</v>
      </c>
      <c r="N31" s="50">
        <v>0</v>
      </c>
      <c r="O31" s="15">
        <f t="shared" si="0"/>
        <v>19</v>
      </c>
      <c r="P31" s="15">
        <f t="shared" si="1"/>
        <v>44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2</v>
      </c>
      <c r="F32" s="50">
        <v>2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27</v>
      </c>
      <c r="N32" s="50">
        <v>0</v>
      </c>
      <c r="O32" s="15">
        <f t="shared" si="0"/>
        <v>10</v>
      </c>
      <c r="P32" s="15">
        <f t="shared" si="1"/>
        <v>37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6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4</v>
      </c>
      <c r="D33" s="50">
        <v>0</v>
      </c>
      <c r="E33" s="50">
        <v>3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8</v>
      </c>
      <c r="P33" s="15">
        <f t="shared" si="1"/>
        <v>26</v>
      </c>
      <c r="R33" s="33" t="s">
        <v>157</v>
      </c>
      <c r="S33" s="34">
        <f>SUM(C102:C105)</f>
        <v>8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4</v>
      </c>
      <c r="W33" s="34">
        <f t="shared" si="25"/>
        <v>0</v>
      </c>
      <c r="X33" s="34">
        <f t="shared" si="25"/>
        <v>1</v>
      </c>
      <c r="Y33" s="34">
        <f t="shared" si="25"/>
        <v>6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27</v>
      </c>
      <c r="AF33" s="31">
        <f t="shared" si="25"/>
        <v>58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2</v>
      </c>
      <c r="J34" s="50">
        <v>1</v>
      </c>
      <c r="K34" s="50">
        <v>2</v>
      </c>
      <c r="L34" s="50">
        <v>0</v>
      </c>
      <c r="M34" s="50">
        <v>23</v>
      </c>
      <c r="N34" s="50">
        <v>0</v>
      </c>
      <c r="O34" s="15">
        <f t="shared" si="0"/>
        <v>10</v>
      </c>
      <c r="P34" s="15">
        <f t="shared" si="1"/>
        <v>33</v>
      </c>
      <c r="R34" s="38" t="s">
        <v>90</v>
      </c>
      <c r="S34" s="39">
        <f t="shared" ref="S34:AF34" si="26">MAX(S10:S12)</f>
        <v>16</v>
      </c>
      <c r="T34" s="39">
        <f t="shared" si="26"/>
        <v>0</v>
      </c>
      <c r="U34" s="39">
        <f t="shared" si="26"/>
        <v>15</v>
      </c>
      <c r="V34" s="39">
        <f t="shared" si="26"/>
        <v>6</v>
      </c>
      <c r="W34" s="39">
        <f t="shared" si="26"/>
        <v>2</v>
      </c>
      <c r="X34" s="39">
        <f t="shared" si="26"/>
        <v>0</v>
      </c>
      <c r="Y34" s="39">
        <f t="shared" si="26"/>
        <v>12</v>
      </c>
      <c r="Z34" s="39">
        <f t="shared" si="26"/>
        <v>2</v>
      </c>
      <c r="AA34" s="39">
        <f t="shared" si="26"/>
        <v>6</v>
      </c>
      <c r="AB34" s="39">
        <f t="shared" si="26"/>
        <v>0</v>
      </c>
      <c r="AC34" s="39">
        <f t="shared" si="26"/>
        <v>85</v>
      </c>
      <c r="AD34" s="39">
        <f t="shared" si="26"/>
        <v>0</v>
      </c>
      <c r="AE34" s="40">
        <f t="shared" si="26"/>
        <v>54</v>
      </c>
      <c r="AF34" s="40">
        <f t="shared" si="26"/>
        <v>139</v>
      </c>
    </row>
    <row r="35" spans="2:32" ht="23.1" customHeight="1" x14ac:dyDescent="0.25">
      <c r="B35" s="46" t="s">
        <v>62</v>
      </c>
      <c r="C35" s="50">
        <v>8</v>
      </c>
      <c r="D35" s="50">
        <v>0</v>
      </c>
      <c r="E35" s="50">
        <v>3</v>
      </c>
      <c r="F35" s="50">
        <v>2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19</v>
      </c>
      <c r="N35" s="50">
        <v>0</v>
      </c>
      <c r="O35" s="15">
        <f t="shared" si="0"/>
        <v>16</v>
      </c>
      <c r="P35" s="15">
        <f t="shared" si="1"/>
        <v>35</v>
      </c>
      <c r="R35" s="38" t="s">
        <v>91</v>
      </c>
      <c r="S35" s="39">
        <f t="shared" ref="S35:AF35" si="27">MAX(S13:S18)</f>
        <v>20</v>
      </c>
      <c r="T35" s="39">
        <f t="shared" si="27"/>
        <v>0</v>
      </c>
      <c r="U35" s="39">
        <f t="shared" si="27"/>
        <v>17</v>
      </c>
      <c r="V35" s="39">
        <f t="shared" si="27"/>
        <v>7</v>
      </c>
      <c r="W35" s="39">
        <f t="shared" si="27"/>
        <v>1</v>
      </c>
      <c r="X35" s="39">
        <f t="shared" si="27"/>
        <v>0</v>
      </c>
      <c r="Y35" s="39">
        <f t="shared" si="27"/>
        <v>14</v>
      </c>
      <c r="Z35" s="39">
        <f t="shared" si="27"/>
        <v>4</v>
      </c>
      <c r="AA35" s="39">
        <f t="shared" si="27"/>
        <v>4</v>
      </c>
      <c r="AB35" s="39">
        <f t="shared" si="27"/>
        <v>0</v>
      </c>
      <c r="AC35" s="39">
        <f t="shared" si="27"/>
        <v>108</v>
      </c>
      <c r="AD35" s="39">
        <f t="shared" si="27"/>
        <v>1</v>
      </c>
      <c r="AE35" s="40">
        <f t="shared" si="27"/>
        <v>53</v>
      </c>
      <c r="AF35" s="40">
        <f t="shared" si="27"/>
        <v>161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3</v>
      </c>
      <c r="F36" s="50">
        <v>2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11</v>
      </c>
      <c r="P36" s="15">
        <f t="shared" si="1"/>
        <v>25</v>
      </c>
      <c r="R36" s="38" t="s">
        <v>92</v>
      </c>
      <c r="S36" s="39">
        <f t="shared" ref="S36:AF36" si="28">MAX(S19:S21)</f>
        <v>6</v>
      </c>
      <c r="T36" s="39">
        <f t="shared" si="28"/>
        <v>0</v>
      </c>
      <c r="U36" s="39">
        <f t="shared" si="28"/>
        <v>13</v>
      </c>
      <c r="V36" s="39">
        <f t="shared" si="28"/>
        <v>7</v>
      </c>
      <c r="W36" s="39">
        <f t="shared" si="28"/>
        <v>1</v>
      </c>
      <c r="X36" s="39">
        <f t="shared" si="28"/>
        <v>1</v>
      </c>
      <c r="Y36" s="39">
        <f t="shared" si="28"/>
        <v>13</v>
      </c>
      <c r="Z36" s="39">
        <f t="shared" si="28"/>
        <v>4</v>
      </c>
      <c r="AA36" s="39">
        <f t="shared" si="28"/>
        <v>3</v>
      </c>
      <c r="AB36" s="39">
        <f t="shared" si="28"/>
        <v>0</v>
      </c>
      <c r="AC36" s="39">
        <f t="shared" si="28"/>
        <v>86</v>
      </c>
      <c r="AD36" s="39">
        <f t="shared" si="28"/>
        <v>0</v>
      </c>
      <c r="AE36" s="40">
        <f t="shared" si="28"/>
        <v>41</v>
      </c>
      <c r="AF36" s="40">
        <f t="shared" si="28"/>
        <v>122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4</v>
      </c>
      <c r="F37" s="50">
        <v>1</v>
      </c>
      <c r="G37" s="50">
        <v>0</v>
      </c>
      <c r="H37" s="50">
        <v>0</v>
      </c>
      <c r="I37" s="50">
        <v>5</v>
      </c>
      <c r="J37" s="50">
        <v>1</v>
      </c>
      <c r="K37" s="50">
        <v>0</v>
      </c>
      <c r="L37" s="50">
        <v>0</v>
      </c>
      <c r="M37" s="50">
        <v>22</v>
      </c>
      <c r="N37" s="50">
        <v>0</v>
      </c>
      <c r="O37" s="15">
        <f t="shared" si="0"/>
        <v>14</v>
      </c>
      <c r="P37" s="15">
        <f t="shared" si="1"/>
        <v>36</v>
      </c>
      <c r="R37" s="37" t="s">
        <v>85</v>
      </c>
      <c r="S37" s="35">
        <f t="shared" ref="S37:AF37" si="29">SUM(S10:S12)</f>
        <v>31</v>
      </c>
      <c r="T37" s="16">
        <f t="shared" si="29"/>
        <v>0</v>
      </c>
      <c r="U37" s="16">
        <f t="shared" si="29"/>
        <v>32</v>
      </c>
      <c r="V37" s="16">
        <f t="shared" si="29"/>
        <v>14</v>
      </c>
      <c r="W37" s="16">
        <f t="shared" si="29"/>
        <v>2</v>
      </c>
      <c r="X37" s="16">
        <f t="shared" si="29"/>
        <v>0</v>
      </c>
      <c r="Y37" s="16">
        <f t="shared" si="29"/>
        <v>33</v>
      </c>
      <c r="Z37" s="16">
        <f t="shared" si="29"/>
        <v>3</v>
      </c>
      <c r="AA37" s="16">
        <f t="shared" si="29"/>
        <v>6</v>
      </c>
      <c r="AB37" s="16">
        <f t="shared" si="29"/>
        <v>0</v>
      </c>
      <c r="AC37" s="16">
        <f t="shared" si="29"/>
        <v>242</v>
      </c>
      <c r="AD37" s="16">
        <f t="shared" si="29"/>
        <v>0</v>
      </c>
      <c r="AE37" s="32">
        <f t="shared" si="29"/>
        <v>121</v>
      </c>
      <c r="AF37" s="32">
        <f t="shared" si="29"/>
        <v>363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2</v>
      </c>
      <c r="G38" s="50">
        <v>1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28</v>
      </c>
      <c r="N38" s="50">
        <v>0</v>
      </c>
      <c r="O38" s="15">
        <f t="shared" si="0"/>
        <v>5</v>
      </c>
      <c r="P38" s="15">
        <f t="shared" si="1"/>
        <v>33</v>
      </c>
      <c r="R38" s="28" t="s">
        <v>86</v>
      </c>
      <c r="S38" s="16">
        <f t="shared" ref="S38:AF38" si="30">SUM(S13:S18)</f>
        <v>75</v>
      </c>
      <c r="T38" s="16">
        <f t="shared" si="30"/>
        <v>0</v>
      </c>
      <c r="U38" s="16">
        <f t="shared" si="30"/>
        <v>63</v>
      </c>
      <c r="V38" s="16">
        <f t="shared" si="30"/>
        <v>35</v>
      </c>
      <c r="W38" s="16">
        <f t="shared" si="30"/>
        <v>1</v>
      </c>
      <c r="X38" s="16">
        <f t="shared" si="30"/>
        <v>0</v>
      </c>
      <c r="Y38" s="16">
        <f t="shared" si="30"/>
        <v>55</v>
      </c>
      <c r="Z38" s="16">
        <f t="shared" si="30"/>
        <v>13</v>
      </c>
      <c r="AA38" s="16">
        <f t="shared" si="30"/>
        <v>12</v>
      </c>
      <c r="AB38" s="16">
        <f t="shared" si="30"/>
        <v>0</v>
      </c>
      <c r="AC38" s="16">
        <f t="shared" si="30"/>
        <v>541</v>
      </c>
      <c r="AD38" s="16">
        <f t="shared" si="30"/>
        <v>1</v>
      </c>
      <c r="AE38" s="32">
        <f t="shared" si="30"/>
        <v>255</v>
      </c>
      <c r="AF38" s="32">
        <f t="shared" si="30"/>
        <v>796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5</v>
      </c>
      <c r="J39" s="50">
        <v>1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11</v>
      </c>
      <c r="P39" s="15">
        <f t="shared" si="1"/>
        <v>25</v>
      </c>
      <c r="R39" s="29" t="s">
        <v>87</v>
      </c>
      <c r="S39" s="16">
        <f t="shared" ref="S39:AF39" si="31">SUM(S19:S21)</f>
        <v>15</v>
      </c>
      <c r="T39" s="16">
        <f t="shared" si="31"/>
        <v>0</v>
      </c>
      <c r="U39" s="16">
        <f t="shared" si="31"/>
        <v>23</v>
      </c>
      <c r="V39" s="16">
        <f t="shared" si="31"/>
        <v>20</v>
      </c>
      <c r="W39" s="16">
        <f t="shared" si="31"/>
        <v>1</v>
      </c>
      <c r="X39" s="16">
        <f t="shared" si="31"/>
        <v>1</v>
      </c>
      <c r="Y39" s="16">
        <f t="shared" si="31"/>
        <v>34</v>
      </c>
      <c r="Z39" s="16">
        <f t="shared" si="31"/>
        <v>9</v>
      </c>
      <c r="AA39" s="16">
        <f t="shared" si="31"/>
        <v>8</v>
      </c>
      <c r="AB39" s="16">
        <f t="shared" si="31"/>
        <v>0</v>
      </c>
      <c r="AC39" s="16">
        <f t="shared" si="31"/>
        <v>245</v>
      </c>
      <c r="AD39" s="16">
        <f t="shared" si="31"/>
        <v>0</v>
      </c>
      <c r="AE39" s="32">
        <f t="shared" si="31"/>
        <v>111</v>
      </c>
      <c r="AF39" s="32">
        <f t="shared" si="31"/>
        <v>356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1</v>
      </c>
      <c r="F40" s="50">
        <v>3</v>
      </c>
      <c r="G40" s="50">
        <v>0</v>
      </c>
      <c r="H40" s="50">
        <v>0</v>
      </c>
      <c r="I40" s="50">
        <v>2</v>
      </c>
      <c r="J40" s="50">
        <v>2</v>
      </c>
      <c r="K40" s="50">
        <v>2</v>
      </c>
      <c r="L40" s="50">
        <v>0</v>
      </c>
      <c r="M40" s="50">
        <v>26</v>
      </c>
      <c r="N40" s="50">
        <v>0</v>
      </c>
      <c r="O40" s="15">
        <f t="shared" si="0"/>
        <v>14</v>
      </c>
      <c r="P40" s="15">
        <f t="shared" si="1"/>
        <v>40</v>
      </c>
      <c r="R40" s="5" t="s">
        <v>17</v>
      </c>
      <c r="S40" s="16">
        <f t="shared" ref="S40:AF40" si="32">SUM(S10:S21)</f>
        <v>121</v>
      </c>
      <c r="T40" s="16">
        <f t="shared" si="32"/>
        <v>0</v>
      </c>
      <c r="U40" s="16">
        <f t="shared" si="32"/>
        <v>118</v>
      </c>
      <c r="V40" s="16">
        <f t="shared" si="32"/>
        <v>69</v>
      </c>
      <c r="W40" s="16">
        <f t="shared" si="32"/>
        <v>4</v>
      </c>
      <c r="X40" s="16">
        <f t="shared" si="32"/>
        <v>1</v>
      </c>
      <c r="Y40" s="16">
        <f t="shared" si="32"/>
        <v>122</v>
      </c>
      <c r="Z40" s="16">
        <f t="shared" si="32"/>
        <v>25</v>
      </c>
      <c r="AA40" s="16">
        <f t="shared" si="32"/>
        <v>26</v>
      </c>
      <c r="AB40" s="16">
        <f t="shared" si="32"/>
        <v>0</v>
      </c>
      <c r="AC40" s="16">
        <f t="shared" si="32"/>
        <v>1028</v>
      </c>
      <c r="AD40" s="16">
        <f t="shared" si="32"/>
        <v>1</v>
      </c>
      <c r="AE40" s="32">
        <f t="shared" si="32"/>
        <v>487</v>
      </c>
      <c r="AF40" s="32">
        <f t="shared" si="32"/>
        <v>1515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21</v>
      </c>
      <c r="N41" s="50">
        <v>0</v>
      </c>
      <c r="O41" s="15">
        <f t="shared" si="0"/>
        <v>4</v>
      </c>
      <c r="P41" s="15">
        <f t="shared" si="1"/>
        <v>25</v>
      </c>
      <c r="R41" s="5" t="s">
        <v>159</v>
      </c>
      <c r="S41" s="16">
        <f>SUM(S10:S33)</f>
        <v>178</v>
      </c>
      <c r="T41" s="16">
        <f t="shared" ref="T41:AF41" si="33">SUM(T10:T33)</f>
        <v>3</v>
      </c>
      <c r="U41" s="16">
        <f t="shared" si="33"/>
        <v>170</v>
      </c>
      <c r="V41" s="16">
        <f t="shared" si="33"/>
        <v>99</v>
      </c>
      <c r="W41" s="16">
        <f t="shared" si="33"/>
        <v>4</v>
      </c>
      <c r="X41" s="16">
        <f t="shared" si="33"/>
        <v>2</v>
      </c>
      <c r="Y41" s="16">
        <f t="shared" si="33"/>
        <v>174</v>
      </c>
      <c r="Z41" s="16">
        <f t="shared" si="33"/>
        <v>39</v>
      </c>
      <c r="AA41" s="16">
        <f t="shared" si="33"/>
        <v>39</v>
      </c>
      <c r="AB41" s="16">
        <f t="shared" si="33"/>
        <v>0</v>
      </c>
      <c r="AC41" s="16">
        <f t="shared" si="33"/>
        <v>1202</v>
      </c>
      <c r="AD41" s="16">
        <f t="shared" si="33"/>
        <v>1</v>
      </c>
      <c r="AE41" s="32">
        <f t="shared" si="33"/>
        <v>709</v>
      </c>
      <c r="AF41" s="32">
        <f t="shared" si="33"/>
        <v>1911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3</v>
      </c>
      <c r="P42" s="15">
        <f t="shared" si="1"/>
        <v>20</v>
      </c>
      <c r="R42" s="5" t="s">
        <v>160</v>
      </c>
      <c r="S42" s="48">
        <f>S41/S40</f>
        <v>1.4710743801652892</v>
      </c>
      <c r="T42" s="48" t="e">
        <f t="shared" ref="T42:AF42" si="34">T41/T40</f>
        <v>#DIV/0!</v>
      </c>
      <c r="U42" s="48">
        <f t="shared" si="34"/>
        <v>1.4406779661016949</v>
      </c>
      <c r="V42" s="48">
        <f t="shared" si="34"/>
        <v>1.4347826086956521</v>
      </c>
      <c r="W42" s="48">
        <f t="shared" si="34"/>
        <v>1</v>
      </c>
      <c r="X42" s="48">
        <f t="shared" si="34"/>
        <v>2</v>
      </c>
      <c r="Y42" s="48">
        <f t="shared" si="34"/>
        <v>1.4262295081967213</v>
      </c>
      <c r="Z42" s="48">
        <f t="shared" si="34"/>
        <v>1.56</v>
      </c>
      <c r="AA42" s="48">
        <f t="shared" si="34"/>
        <v>1.5</v>
      </c>
      <c r="AB42" s="48" t="e">
        <f t="shared" si="34"/>
        <v>#DIV/0!</v>
      </c>
      <c r="AC42" s="48">
        <f t="shared" si="34"/>
        <v>1.1692607003891051</v>
      </c>
      <c r="AD42" s="48">
        <f t="shared" si="34"/>
        <v>1</v>
      </c>
      <c r="AE42" s="48">
        <f t="shared" si="34"/>
        <v>1.4558521560574949</v>
      </c>
      <c r="AF42" s="48">
        <f t="shared" si="34"/>
        <v>1.2613861386138614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17</v>
      </c>
      <c r="N43" s="50">
        <v>0</v>
      </c>
      <c r="O43" s="15">
        <f t="shared" si="0"/>
        <v>5</v>
      </c>
      <c r="P43" s="15">
        <f t="shared" si="1"/>
        <v>22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7</v>
      </c>
      <c r="P44" s="15">
        <f t="shared" si="1"/>
        <v>24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6</v>
      </c>
      <c r="P45" s="15">
        <f t="shared" si="1"/>
        <v>24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1</v>
      </c>
      <c r="J46" s="50">
        <v>3</v>
      </c>
      <c r="K46" s="50">
        <v>1</v>
      </c>
      <c r="L46" s="50">
        <v>0</v>
      </c>
      <c r="M46" s="50">
        <v>21</v>
      </c>
      <c r="N46" s="50">
        <v>0</v>
      </c>
      <c r="O46" s="15">
        <f t="shared" si="0"/>
        <v>10</v>
      </c>
      <c r="P46" s="15">
        <f t="shared" si="1"/>
        <v>31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1</v>
      </c>
      <c r="J47" s="50">
        <v>1</v>
      </c>
      <c r="K47" s="50">
        <v>1</v>
      </c>
      <c r="L47" s="50">
        <v>0</v>
      </c>
      <c r="M47" s="50">
        <v>21</v>
      </c>
      <c r="N47" s="50">
        <v>0</v>
      </c>
      <c r="O47" s="15">
        <f t="shared" si="0"/>
        <v>7</v>
      </c>
      <c r="P47" s="15">
        <f t="shared" si="1"/>
        <v>28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5</v>
      </c>
      <c r="F48" s="50">
        <v>2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12</v>
      </c>
      <c r="P48" s="15">
        <f t="shared" si="1"/>
        <v>24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4</v>
      </c>
      <c r="F49" s="50">
        <v>2</v>
      </c>
      <c r="G49" s="50">
        <v>0</v>
      </c>
      <c r="H49" s="50">
        <v>0</v>
      </c>
      <c r="I49" s="50">
        <v>6</v>
      </c>
      <c r="J49" s="50">
        <v>0</v>
      </c>
      <c r="K49" s="50">
        <v>0</v>
      </c>
      <c r="L49" s="50">
        <v>0</v>
      </c>
      <c r="M49" s="50">
        <v>21</v>
      </c>
      <c r="N49" s="50">
        <v>0</v>
      </c>
      <c r="O49" s="15">
        <f t="shared" si="0"/>
        <v>12</v>
      </c>
      <c r="P49" s="15">
        <f t="shared" si="1"/>
        <v>33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1</v>
      </c>
      <c r="F50" s="50">
        <v>3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16</v>
      </c>
      <c r="N50" s="50">
        <v>0</v>
      </c>
      <c r="O50" s="15">
        <f t="shared" si="0"/>
        <v>9</v>
      </c>
      <c r="P50" s="15">
        <f t="shared" si="1"/>
        <v>25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3</v>
      </c>
      <c r="J51" s="50">
        <v>1</v>
      </c>
      <c r="K51" s="50">
        <v>1</v>
      </c>
      <c r="L51" s="50">
        <v>0</v>
      </c>
      <c r="M51" s="50">
        <v>18</v>
      </c>
      <c r="N51" s="50">
        <v>0</v>
      </c>
      <c r="O51" s="15">
        <f t="shared" si="0"/>
        <v>9</v>
      </c>
      <c r="P51" s="15">
        <f t="shared" si="1"/>
        <v>27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3</v>
      </c>
      <c r="G52" s="50">
        <v>0</v>
      </c>
      <c r="H52" s="50">
        <v>0</v>
      </c>
      <c r="I52" s="50">
        <v>3</v>
      </c>
      <c r="J52" s="50">
        <v>2</v>
      </c>
      <c r="K52" s="50">
        <v>1</v>
      </c>
      <c r="L52" s="50">
        <v>0</v>
      </c>
      <c r="M52" s="50">
        <v>33</v>
      </c>
      <c r="N52" s="50">
        <v>0</v>
      </c>
      <c r="O52" s="15">
        <f t="shared" si="0"/>
        <v>11</v>
      </c>
      <c r="P52" s="15">
        <f t="shared" si="1"/>
        <v>44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2</v>
      </c>
      <c r="J53" s="50">
        <v>1</v>
      </c>
      <c r="K53" s="50">
        <v>1</v>
      </c>
      <c r="L53" s="50">
        <v>0</v>
      </c>
      <c r="M53" s="50">
        <v>19</v>
      </c>
      <c r="N53" s="50">
        <v>0</v>
      </c>
      <c r="O53" s="15">
        <f t="shared" si="0"/>
        <v>7</v>
      </c>
      <c r="P53" s="15">
        <f t="shared" si="1"/>
        <v>26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0</v>
      </c>
      <c r="J54" s="50">
        <v>1</v>
      </c>
      <c r="K54" s="50">
        <v>1</v>
      </c>
      <c r="L54" s="50">
        <v>0</v>
      </c>
      <c r="M54" s="50">
        <v>23</v>
      </c>
      <c r="N54" s="50">
        <v>0</v>
      </c>
      <c r="O54" s="15">
        <f t="shared" si="0"/>
        <v>5</v>
      </c>
      <c r="P54" s="15">
        <f t="shared" si="1"/>
        <v>28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0</v>
      </c>
      <c r="F55" s="50">
        <v>1</v>
      </c>
      <c r="G55" s="50">
        <v>1</v>
      </c>
      <c r="H55" s="50">
        <v>0</v>
      </c>
      <c r="I55" s="50">
        <v>6</v>
      </c>
      <c r="J55" s="50">
        <v>0</v>
      </c>
      <c r="K55" s="50">
        <v>1</v>
      </c>
      <c r="L55" s="50">
        <v>0</v>
      </c>
      <c r="M55" s="50">
        <v>23</v>
      </c>
      <c r="N55" s="50">
        <v>0</v>
      </c>
      <c r="O55" s="15">
        <f t="shared" si="0"/>
        <v>11</v>
      </c>
      <c r="P55" s="15">
        <f t="shared" si="1"/>
        <v>34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3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7</v>
      </c>
      <c r="P56" s="15">
        <f t="shared" si="1"/>
        <v>27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4</v>
      </c>
      <c r="F57" s="50">
        <v>2</v>
      </c>
      <c r="G57" s="50">
        <v>0</v>
      </c>
      <c r="H57" s="50">
        <v>1</v>
      </c>
      <c r="I57" s="50">
        <v>1</v>
      </c>
      <c r="J57" s="50">
        <v>0</v>
      </c>
      <c r="K57" s="50">
        <v>1</v>
      </c>
      <c r="L57" s="50">
        <v>0</v>
      </c>
      <c r="M57" s="50">
        <v>18</v>
      </c>
      <c r="N57" s="50">
        <v>0</v>
      </c>
      <c r="O57" s="15">
        <f t="shared" si="0"/>
        <v>11</v>
      </c>
      <c r="P57" s="15">
        <f t="shared" si="1"/>
        <v>29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4</v>
      </c>
      <c r="F58" s="50">
        <v>0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15</v>
      </c>
      <c r="N58" s="50">
        <v>0</v>
      </c>
      <c r="O58" s="15">
        <f t="shared" si="0"/>
        <v>7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4</v>
      </c>
      <c r="G59" s="50">
        <v>0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17</v>
      </c>
      <c r="N59" s="50">
        <v>0</v>
      </c>
      <c r="O59" s="15">
        <f t="shared" si="0"/>
        <v>10</v>
      </c>
      <c r="P59" s="15">
        <f t="shared" si="1"/>
        <v>27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3</v>
      </c>
      <c r="J60" s="50">
        <v>1</v>
      </c>
      <c r="K60" s="50">
        <v>0</v>
      </c>
      <c r="L60" s="50">
        <v>0</v>
      </c>
      <c r="M60" s="50">
        <v>13</v>
      </c>
      <c r="N60" s="50">
        <v>0</v>
      </c>
      <c r="O60" s="15">
        <f t="shared" si="0"/>
        <v>5</v>
      </c>
      <c r="P60" s="15">
        <f t="shared" si="1"/>
        <v>18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3</v>
      </c>
      <c r="J61" s="50">
        <v>1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0"/>
        <v>8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2</v>
      </c>
      <c r="F62" s="50">
        <v>3</v>
      </c>
      <c r="G62" s="50">
        <v>0</v>
      </c>
      <c r="H62" s="50">
        <v>0</v>
      </c>
      <c r="I62" s="50">
        <v>2</v>
      </c>
      <c r="J62" s="50">
        <v>0</v>
      </c>
      <c r="K62" s="50">
        <v>2</v>
      </c>
      <c r="L62" s="50">
        <v>0</v>
      </c>
      <c r="M62" s="50">
        <v>11</v>
      </c>
      <c r="N62" s="50">
        <v>0</v>
      </c>
      <c r="O62" s="15">
        <f t="shared" si="0"/>
        <v>11</v>
      </c>
      <c r="P62" s="15">
        <f t="shared" si="1"/>
        <v>22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3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7</v>
      </c>
      <c r="N63" s="50">
        <v>0</v>
      </c>
      <c r="O63" s="15">
        <f t="shared" si="0"/>
        <v>6</v>
      </c>
      <c r="P63" s="15">
        <f t="shared" si="1"/>
        <v>13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4</v>
      </c>
      <c r="F64" s="50">
        <v>1</v>
      </c>
      <c r="G64" s="50">
        <v>0</v>
      </c>
      <c r="H64" s="50">
        <v>0</v>
      </c>
      <c r="I64" s="50">
        <v>4</v>
      </c>
      <c r="J64" s="50">
        <v>0</v>
      </c>
      <c r="K64" s="50">
        <v>0</v>
      </c>
      <c r="L64" s="50">
        <v>0</v>
      </c>
      <c r="M64" s="50">
        <v>11</v>
      </c>
      <c r="N64" s="50">
        <v>0</v>
      </c>
      <c r="O64" s="15">
        <f t="shared" si="0"/>
        <v>12</v>
      </c>
      <c r="P64" s="15">
        <f t="shared" si="1"/>
        <v>23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1</v>
      </c>
      <c r="K65" s="50">
        <v>1</v>
      </c>
      <c r="L65" s="50">
        <v>0</v>
      </c>
      <c r="M65" s="50">
        <v>10</v>
      </c>
      <c r="N65" s="50">
        <v>0</v>
      </c>
      <c r="O65" s="15">
        <f t="shared" si="0"/>
        <v>8</v>
      </c>
      <c r="P65" s="15">
        <f t="shared" si="1"/>
        <v>18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2</v>
      </c>
      <c r="J66" s="50">
        <v>1</v>
      </c>
      <c r="K66" s="50">
        <v>1</v>
      </c>
      <c r="L66" s="50">
        <v>0</v>
      </c>
      <c r="M66" s="50">
        <v>6</v>
      </c>
      <c r="N66" s="50">
        <v>0</v>
      </c>
      <c r="O66" s="15">
        <f t="shared" si="0"/>
        <v>7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2</v>
      </c>
      <c r="F67" s="50">
        <v>1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0"/>
        <v>9</v>
      </c>
      <c r="P67" s="15">
        <f t="shared" si="1"/>
        <v>13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3</v>
      </c>
      <c r="F68" s="50">
        <v>1</v>
      </c>
      <c r="G68" s="50">
        <v>0</v>
      </c>
      <c r="H68" s="50">
        <v>0</v>
      </c>
      <c r="I68" s="50">
        <v>2</v>
      </c>
      <c r="J68" s="50">
        <v>2</v>
      </c>
      <c r="K68" s="50">
        <v>0</v>
      </c>
      <c r="L68" s="50">
        <v>0</v>
      </c>
      <c r="M68" s="50">
        <v>5</v>
      </c>
      <c r="N68" s="50">
        <v>0</v>
      </c>
      <c r="O68" s="15">
        <f t="shared" si="0"/>
        <v>13</v>
      </c>
      <c r="P68" s="15">
        <f t="shared" si="1"/>
        <v>18</v>
      </c>
      <c r="R68" s="8"/>
      <c r="T68"/>
    </row>
    <row r="69" spans="2:20" ht="23.1" customHeight="1" x14ac:dyDescent="0.25">
      <c r="B69" s="45" t="s">
        <v>106</v>
      </c>
      <c r="C69" s="50">
        <f>ROUND(C58/2,0)</f>
        <v>1</v>
      </c>
      <c r="D69" s="50">
        <f t="shared" ref="D69:L69" si="35">ROUND(D58/2,0)</f>
        <v>0</v>
      </c>
      <c r="E69" s="50">
        <f t="shared" si="35"/>
        <v>2</v>
      </c>
      <c r="F69" s="50">
        <f t="shared" si="35"/>
        <v>0</v>
      </c>
      <c r="G69" s="50">
        <f t="shared" si="35"/>
        <v>0</v>
      </c>
      <c r="H69" s="50">
        <f t="shared" si="35"/>
        <v>0</v>
      </c>
      <c r="I69" s="50">
        <f t="shared" si="35"/>
        <v>1</v>
      </c>
      <c r="J69" s="50">
        <f t="shared" si="35"/>
        <v>0</v>
      </c>
      <c r="K69" s="50">
        <f t="shared" si="35"/>
        <v>0</v>
      </c>
      <c r="L69" s="50">
        <f t="shared" si="35"/>
        <v>0</v>
      </c>
      <c r="M69" s="50">
        <v>6</v>
      </c>
      <c r="N69" s="50"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45" t="s">
        <v>110</v>
      </c>
      <c r="C70" s="50">
        <f t="shared" ref="C70:L85" si="36">ROUND(C59/2,0)</f>
        <v>1</v>
      </c>
      <c r="D70" s="50">
        <f t="shared" si="36"/>
        <v>0</v>
      </c>
      <c r="E70" s="50">
        <f t="shared" si="36"/>
        <v>1</v>
      </c>
      <c r="F70" s="50">
        <f t="shared" si="36"/>
        <v>2</v>
      </c>
      <c r="G70" s="50">
        <f t="shared" si="36"/>
        <v>0</v>
      </c>
      <c r="H70" s="50">
        <f t="shared" si="36"/>
        <v>0</v>
      </c>
      <c r="I70" s="50">
        <f t="shared" si="36"/>
        <v>2</v>
      </c>
      <c r="J70" s="50">
        <f t="shared" si="36"/>
        <v>0</v>
      </c>
      <c r="K70" s="50">
        <f t="shared" si="36"/>
        <v>0</v>
      </c>
      <c r="L70" s="50">
        <f t="shared" si="36"/>
        <v>0</v>
      </c>
      <c r="M70" s="50">
        <v>7</v>
      </c>
      <c r="N70" s="50">
        <v>0</v>
      </c>
      <c r="O70" s="15">
        <f t="shared" si="0"/>
        <v>6</v>
      </c>
      <c r="P70" s="15">
        <f t="shared" si="1"/>
        <v>13</v>
      </c>
      <c r="R70" s="8"/>
      <c r="T70"/>
    </row>
    <row r="71" spans="2:20" ht="23.1" customHeight="1" x14ac:dyDescent="0.25">
      <c r="B71" s="45" t="s">
        <v>111</v>
      </c>
      <c r="C71" s="50">
        <f t="shared" si="36"/>
        <v>0</v>
      </c>
      <c r="D71" s="50">
        <f t="shared" si="36"/>
        <v>0</v>
      </c>
      <c r="E71" s="50">
        <f t="shared" si="36"/>
        <v>1</v>
      </c>
      <c r="F71" s="50">
        <f t="shared" si="36"/>
        <v>0</v>
      </c>
      <c r="G71" s="50">
        <f t="shared" si="36"/>
        <v>0</v>
      </c>
      <c r="H71" s="50">
        <f t="shared" si="36"/>
        <v>0</v>
      </c>
      <c r="I71" s="50">
        <f t="shared" si="36"/>
        <v>2</v>
      </c>
      <c r="J71" s="50">
        <f t="shared" si="36"/>
        <v>1</v>
      </c>
      <c r="K71" s="50">
        <f t="shared" si="36"/>
        <v>0</v>
      </c>
      <c r="L71" s="50">
        <f t="shared" si="36"/>
        <v>0</v>
      </c>
      <c r="M71" s="50">
        <v>3</v>
      </c>
      <c r="N71" s="50">
        <v>0</v>
      </c>
      <c r="O71" s="15">
        <f t="shared" si="0"/>
        <v>4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f t="shared" si="36"/>
        <v>1</v>
      </c>
      <c r="D72" s="50">
        <f t="shared" si="36"/>
        <v>0</v>
      </c>
      <c r="E72" s="50">
        <f t="shared" si="36"/>
        <v>1</v>
      </c>
      <c r="F72" s="50">
        <f t="shared" si="36"/>
        <v>0</v>
      </c>
      <c r="G72" s="50">
        <f t="shared" si="36"/>
        <v>0</v>
      </c>
      <c r="H72" s="50">
        <f t="shared" si="36"/>
        <v>0</v>
      </c>
      <c r="I72" s="50">
        <f t="shared" si="36"/>
        <v>2</v>
      </c>
      <c r="J72" s="50">
        <f t="shared" si="36"/>
        <v>1</v>
      </c>
      <c r="K72" s="50">
        <f t="shared" si="36"/>
        <v>0</v>
      </c>
      <c r="L72" s="50">
        <f t="shared" si="36"/>
        <v>0</v>
      </c>
      <c r="M72" s="50">
        <v>2</v>
      </c>
      <c r="N72" s="50">
        <v>0</v>
      </c>
      <c r="O72" s="15">
        <f t="shared" si="0"/>
        <v>5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f t="shared" si="36"/>
        <v>1</v>
      </c>
      <c r="D73" s="50">
        <f t="shared" si="36"/>
        <v>0</v>
      </c>
      <c r="E73" s="50">
        <f t="shared" si="36"/>
        <v>1</v>
      </c>
      <c r="F73" s="50">
        <f t="shared" si="36"/>
        <v>2</v>
      </c>
      <c r="G73" s="50">
        <f t="shared" si="36"/>
        <v>0</v>
      </c>
      <c r="H73" s="50">
        <f t="shared" si="36"/>
        <v>0</v>
      </c>
      <c r="I73" s="50">
        <f t="shared" si="36"/>
        <v>1</v>
      </c>
      <c r="J73" s="50">
        <f t="shared" si="36"/>
        <v>0</v>
      </c>
      <c r="K73" s="50">
        <f t="shared" si="36"/>
        <v>1</v>
      </c>
      <c r="L73" s="50">
        <f t="shared" si="36"/>
        <v>0</v>
      </c>
      <c r="M73" s="50">
        <v>1</v>
      </c>
      <c r="N73" s="50">
        <v>0</v>
      </c>
      <c r="O73" s="15">
        <f t="shared" si="0"/>
        <v>6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f t="shared" si="36"/>
        <v>1</v>
      </c>
      <c r="D74" s="50">
        <f t="shared" si="36"/>
        <v>0</v>
      </c>
      <c r="E74" s="50">
        <f t="shared" si="36"/>
        <v>2</v>
      </c>
      <c r="F74" s="50">
        <f t="shared" si="36"/>
        <v>0</v>
      </c>
      <c r="G74" s="50">
        <f t="shared" si="36"/>
        <v>0</v>
      </c>
      <c r="H74" s="50">
        <f t="shared" si="36"/>
        <v>0</v>
      </c>
      <c r="I74" s="50">
        <f t="shared" si="36"/>
        <v>0</v>
      </c>
      <c r="J74" s="50">
        <f t="shared" si="36"/>
        <v>0</v>
      </c>
      <c r="K74" s="50">
        <f t="shared" si="36"/>
        <v>1</v>
      </c>
      <c r="L74" s="50">
        <f t="shared" si="36"/>
        <v>0</v>
      </c>
      <c r="M74" s="50">
        <v>1</v>
      </c>
      <c r="N74" s="50">
        <v>0</v>
      </c>
      <c r="O74" s="15">
        <f t="shared" ref="O74:O105" si="37">SUM(C74:L74,N74)</f>
        <v>4</v>
      </c>
      <c r="P74" s="15">
        <f t="shared" ref="P74:P105" si="38">SUM(C74:N74)</f>
        <v>5</v>
      </c>
      <c r="R74" s="8"/>
      <c r="T74"/>
    </row>
    <row r="75" spans="2:20" ht="23.1" customHeight="1" x14ac:dyDescent="0.25">
      <c r="B75" s="45" t="s">
        <v>115</v>
      </c>
      <c r="C75" s="50">
        <f t="shared" si="36"/>
        <v>2</v>
      </c>
      <c r="D75" s="50">
        <f t="shared" si="36"/>
        <v>0</v>
      </c>
      <c r="E75" s="50">
        <f t="shared" si="36"/>
        <v>2</v>
      </c>
      <c r="F75" s="50">
        <f t="shared" si="36"/>
        <v>1</v>
      </c>
      <c r="G75" s="50">
        <f t="shared" si="36"/>
        <v>0</v>
      </c>
      <c r="H75" s="50">
        <f t="shared" si="36"/>
        <v>0</v>
      </c>
      <c r="I75" s="50">
        <f t="shared" si="36"/>
        <v>2</v>
      </c>
      <c r="J75" s="50">
        <f t="shared" si="36"/>
        <v>0</v>
      </c>
      <c r="K75" s="50">
        <f t="shared" si="36"/>
        <v>0</v>
      </c>
      <c r="L75" s="50">
        <f t="shared" si="36"/>
        <v>0</v>
      </c>
      <c r="M75" s="50">
        <v>0</v>
      </c>
      <c r="N75" s="50">
        <v>0</v>
      </c>
      <c r="O75" s="15">
        <f t="shared" si="37"/>
        <v>7</v>
      </c>
      <c r="P75" s="15">
        <f t="shared" si="38"/>
        <v>7</v>
      </c>
      <c r="R75" s="8"/>
      <c r="T75"/>
    </row>
    <row r="76" spans="2:20" ht="23.1" customHeight="1" x14ac:dyDescent="0.25">
      <c r="B76" s="45" t="s">
        <v>116</v>
      </c>
      <c r="C76" s="50">
        <f t="shared" si="36"/>
        <v>2</v>
      </c>
      <c r="D76" s="50">
        <f t="shared" si="36"/>
        <v>0</v>
      </c>
      <c r="E76" s="50">
        <f t="shared" si="36"/>
        <v>0</v>
      </c>
      <c r="F76" s="50">
        <f t="shared" si="36"/>
        <v>1</v>
      </c>
      <c r="G76" s="50">
        <f t="shared" si="36"/>
        <v>0</v>
      </c>
      <c r="H76" s="50">
        <f t="shared" si="36"/>
        <v>0</v>
      </c>
      <c r="I76" s="50">
        <f t="shared" si="36"/>
        <v>1</v>
      </c>
      <c r="J76" s="50">
        <f t="shared" si="36"/>
        <v>1</v>
      </c>
      <c r="K76" s="50">
        <f t="shared" si="36"/>
        <v>1</v>
      </c>
      <c r="L76" s="50">
        <f t="shared" si="36"/>
        <v>0</v>
      </c>
      <c r="M76" s="50">
        <v>0</v>
      </c>
      <c r="N76" s="50">
        <v>0</v>
      </c>
      <c r="O76" s="15">
        <f t="shared" si="37"/>
        <v>6</v>
      </c>
      <c r="P76" s="15">
        <f t="shared" si="38"/>
        <v>6</v>
      </c>
      <c r="R76" s="8"/>
      <c r="T76"/>
    </row>
    <row r="77" spans="2:20" ht="23.1" customHeight="1" x14ac:dyDescent="0.25">
      <c r="B77" s="45" t="s">
        <v>117</v>
      </c>
      <c r="C77" s="50">
        <f t="shared" si="36"/>
        <v>1</v>
      </c>
      <c r="D77" s="50">
        <f t="shared" si="36"/>
        <v>0</v>
      </c>
      <c r="E77" s="50">
        <f t="shared" si="36"/>
        <v>1</v>
      </c>
      <c r="F77" s="50">
        <f t="shared" si="36"/>
        <v>1</v>
      </c>
      <c r="G77" s="50">
        <f t="shared" si="36"/>
        <v>0</v>
      </c>
      <c r="H77" s="50">
        <f t="shared" si="36"/>
        <v>0</v>
      </c>
      <c r="I77" s="50">
        <f t="shared" si="36"/>
        <v>1</v>
      </c>
      <c r="J77" s="50">
        <f t="shared" si="36"/>
        <v>1</v>
      </c>
      <c r="K77" s="50">
        <f t="shared" si="36"/>
        <v>1</v>
      </c>
      <c r="L77" s="50">
        <f t="shared" si="36"/>
        <v>0</v>
      </c>
      <c r="M77" s="50">
        <v>1</v>
      </c>
      <c r="N77" s="50">
        <v>0</v>
      </c>
      <c r="O77" s="15">
        <f t="shared" si="37"/>
        <v>6</v>
      </c>
      <c r="P77" s="15">
        <f t="shared" si="38"/>
        <v>7</v>
      </c>
      <c r="R77" s="8"/>
      <c r="T77"/>
    </row>
    <row r="78" spans="2:20" ht="23.1" customHeight="1" x14ac:dyDescent="0.25">
      <c r="B78" s="46" t="s">
        <v>118</v>
      </c>
      <c r="C78" s="50">
        <f t="shared" si="36"/>
        <v>2</v>
      </c>
      <c r="D78" s="50">
        <f t="shared" si="36"/>
        <v>0</v>
      </c>
      <c r="E78" s="50">
        <f t="shared" si="36"/>
        <v>1</v>
      </c>
      <c r="F78" s="50">
        <f t="shared" si="36"/>
        <v>1</v>
      </c>
      <c r="G78" s="50">
        <f t="shared" si="36"/>
        <v>0</v>
      </c>
      <c r="H78" s="50">
        <f t="shared" si="36"/>
        <v>0</v>
      </c>
      <c r="I78" s="50">
        <f t="shared" si="36"/>
        <v>1</v>
      </c>
      <c r="J78" s="50">
        <f t="shared" si="36"/>
        <v>0</v>
      </c>
      <c r="K78" s="50">
        <f t="shared" si="36"/>
        <v>0</v>
      </c>
      <c r="L78" s="50">
        <f t="shared" si="36"/>
        <v>0</v>
      </c>
      <c r="M78" s="50">
        <v>0</v>
      </c>
      <c r="N78" s="50">
        <v>0</v>
      </c>
      <c r="O78" s="15">
        <f t="shared" si="37"/>
        <v>5</v>
      </c>
      <c r="P78" s="15">
        <f t="shared" si="38"/>
        <v>5</v>
      </c>
      <c r="R78" s="8"/>
      <c r="T78"/>
    </row>
    <row r="79" spans="2:20" ht="23.1" customHeight="1" x14ac:dyDescent="0.25">
      <c r="B79" s="45" t="s">
        <v>119</v>
      </c>
      <c r="C79" s="50">
        <f t="shared" si="36"/>
        <v>3</v>
      </c>
      <c r="D79" s="50">
        <f t="shared" si="36"/>
        <v>0</v>
      </c>
      <c r="E79" s="50">
        <f t="shared" si="36"/>
        <v>2</v>
      </c>
      <c r="F79" s="50">
        <f t="shared" si="36"/>
        <v>1</v>
      </c>
      <c r="G79" s="50">
        <f t="shared" si="36"/>
        <v>0</v>
      </c>
      <c r="H79" s="50">
        <f t="shared" si="36"/>
        <v>0</v>
      </c>
      <c r="I79" s="50">
        <f t="shared" si="36"/>
        <v>1</v>
      </c>
      <c r="J79" s="50">
        <f t="shared" si="36"/>
        <v>1</v>
      </c>
      <c r="K79" s="50">
        <f t="shared" si="36"/>
        <v>0</v>
      </c>
      <c r="L79" s="50">
        <f t="shared" si="36"/>
        <v>0</v>
      </c>
      <c r="M79" s="50">
        <v>0</v>
      </c>
      <c r="N79" s="50">
        <v>0</v>
      </c>
      <c r="O79" s="15">
        <f t="shared" si="37"/>
        <v>8</v>
      </c>
      <c r="P79" s="15">
        <f t="shared" si="38"/>
        <v>8</v>
      </c>
      <c r="R79" s="8"/>
      <c r="T79"/>
    </row>
    <row r="80" spans="2:20" ht="23.1" customHeight="1" x14ac:dyDescent="0.25">
      <c r="B80" s="47" t="s">
        <v>120</v>
      </c>
      <c r="C80" s="50">
        <f t="shared" si="36"/>
        <v>1</v>
      </c>
      <c r="D80" s="50">
        <f t="shared" si="36"/>
        <v>0</v>
      </c>
      <c r="E80" s="50">
        <f t="shared" si="36"/>
        <v>1</v>
      </c>
      <c r="F80" s="50">
        <f t="shared" si="36"/>
        <v>0</v>
      </c>
      <c r="G80" s="50">
        <f t="shared" si="36"/>
        <v>0</v>
      </c>
      <c r="H80" s="50">
        <f t="shared" si="36"/>
        <v>0</v>
      </c>
      <c r="I80" s="50">
        <f t="shared" si="36"/>
        <v>1</v>
      </c>
      <c r="J80" s="50">
        <f t="shared" si="36"/>
        <v>0</v>
      </c>
      <c r="K80" s="50">
        <f t="shared" si="36"/>
        <v>0</v>
      </c>
      <c r="L80" s="50">
        <f t="shared" si="36"/>
        <v>0</v>
      </c>
      <c r="M80" s="50">
        <v>1</v>
      </c>
      <c r="N80" s="50">
        <v>0</v>
      </c>
      <c r="O80" s="15">
        <f t="shared" si="37"/>
        <v>3</v>
      </c>
      <c r="P80" s="15">
        <f t="shared" si="38"/>
        <v>4</v>
      </c>
      <c r="R80" s="8"/>
      <c r="T80"/>
    </row>
    <row r="81" spans="2:20" ht="23.1" customHeight="1" x14ac:dyDescent="0.25">
      <c r="B81" s="45" t="s">
        <v>121</v>
      </c>
      <c r="C81" s="50">
        <f t="shared" si="36"/>
        <v>1</v>
      </c>
      <c r="D81" s="50">
        <f t="shared" si="36"/>
        <v>0</v>
      </c>
      <c r="E81" s="50">
        <f t="shared" si="36"/>
        <v>1</v>
      </c>
      <c r="F81" s="50">
        <f t="shared" si="36"/>
        <v>1</v>
      </c>
      <c r="G81" s="50">
        <f t="shared" si="36"/>
        <v>0</v>
      </c>
      <c r="H81" s="50">
        <f t="shared" si="36"/>
        <v>0</v>
      </c>
      <c r="I81" s="50">
        <f t="shared" si="36"/>
        <v>1</v>
      </c>
      <c r="J81" s="50">
        <f t="shared" si="36"/>
        <v>0</v>
      </c>
      <c r="K81" s="50">
        <f t="shared" si="36"/>
        <v>0</v>
      </c>
      <c r="L81" s="50">
        <f t="shared" si="36"/>
        <v>0</v>
      </c>
      <c r="M81" s="50">
        <v>0</v>
      </c>
      <c r="N81" s="50">
        <v>0</v>
      </c>
      <c r="O81" s="15">
        <f t="shared" si="37"/>
        <v>4</v>
      </c>
      <c r="P81" s="15">
        <f t="shared" si="38"/>
        <v>4</v>
      </c>
      <c r="R81" s="8"/>
      <c r="T81"/>
    </row>
    <row r="82" spans="2:20" ht="23.1" customHeight="1" x14ac:dyDescent="0.25">
      <c r="B82" s="46" t="s">
        <v>122</v>
      </c>
      <c r="C82" s="50">
        <f t="shared" si="36"/>
        <v>0</v>
      </c>
      <c r="D82" s="50">
        <f t="shared" si="36"/>
        <v>0</v>
      </c>
      <c r="E82" s="50">
        <f t="shared" si="36"/>
        <v>1</v>
      </c>
      <c r="F82" s="50">
        <f t="shared" si="36"/>
        <v>0</v>
      </c>
      <c r="G82" s="50">
        <f t="shared" si="36"/>
        <v>0</v>
      </c>
      <c r="H82" s="50">
        <f t="shared" si="36"/>
        <v>0</v>
      </c>
      <c r="I82" s="50">
        <f t="shared" si="36"/>
        <v>1</v>
      </c>
      <c r="J82" s="50">
        <f t="shared" si="36"/>
        <v>1</v>
      </c>
      <c r="K82" s="50">
        <f t="shared" si="36"/>
        <v>0</v>
      </c>
      <c r="L82" s="50">
        <f t="shared" si="36"/>
        <v>0</v>
      </c>
      <c r="M82" s="50">
        <v>0</v>
      </c>
      <c r="N82" s="50">
        <v>0</v>
      </c>
      <c r="O82" s="15">
        <f t="shared" si="37"/>
        <v>3</v>
      </c>
      <c r="P82" s="15">
        <f t="shared" si="38"/>
        <v>3</v>
      </c>
      <c r="R82" s="8"/>
      <c r="T82"/>
    </row>
    <row r="83" spans="2:20" ht="23.1" customHeight="1" x14ac:dyDescent="0.25">
      <c r="B83" s="45" t="s">
        <v>123</v>
      </c>
      <c r="C83" s="50">
        <f t="shared" si="36"/>
        <v>1</v>
      </c>
      <c r="D83" s="50">
        <f t="shared" si="36"/>
        <v>0</v>
      </c>
      <c r="E83" s="50">
        <f t="shared" si="36"/>
        <v>1</v>
      </c>
      <c r="F83" s="50">
        <f t="shared" si="36"/>
        <v>0</v>
      </c>
      <c r="G83" s="50">
        <f t="shared" si="36"/>
        <v>0</v>
      </c>
      <c r="H83" s="50">
        <f t="shared" si="36"/>
        <v>0</v>
      </c>
      <c r="I83" s="50">
        <f t="shared" si="36"/>
        <v>1</v>
      </c>
      <c r="J83" s="50">
        <f t="shared" si="36"/>
        <v>1</v>
      </c>
      <c r="K83" s="50">
        <f t="shared" si="36"/>
        <v>0</v>
      </c>
      <c r="L83" s="50">
        <f t="shared" si="36"/>
        <v>0</v>
      </c>
      <c r="M83" s="50">
        <v>0</v>
      </c>
      <c r="N83" s="50">
        <v>0</v>
      </c>
      <c r="O83" s="15">
        <f t="shared" si="37"/>
        <v>4</v>
      </c>
      <c r="P83" s="15">
        <f t="shared" si="38"/>
        <v>4</v>
      </c>
      <c r="R83" s="8"/>
      <c r="T83"/>
    </row>
    <row r="84" spans="2:20" ht="23.1" customHeight="1" x14ac:dyDescent="0.25">
      <c r="B84" s="47" t="s">
        <v>124</v>
      </c>
      <c r="C84" s="50">
        <f t="shared" si="36"/>
        <v>1</v>
      </c>
      <c r="D84" s="50">
        <f t="shared" si="36"/>
        <v>0</v>
      </c>
      <c r="E84" s="50">
        <f t="shared" si="36"/>
        <v>1</v>
      </c>
      <c r="F84" s="50">
        <f t="shared" si="36"/>
        <v>1</v>
      </c>
      <c r="G84" s="50">
        <f t="shared" si="36"/>
        <v>0</v>
      </c>
      <c r="H84" s="50">
        <f t="shared" si="36"/>
        <v>0</v>
      </c>
      <c r="I84" s="50">
        <f t="shared" si="36"/>
        <v>1</v>
      </c>
      <c r="J84" s="50">
        <f t="shared" si="36"/>
        <v>0</v>
      </c>
      <c r="K84" s="50">
        <f t="shared" si="36"/>
        <v>1</v>
      </c>
      <c r="L84" s="50">
        <f t="shared" si="36"/>
        <v>0</v>
      </c>
      <c r="M84" s="50">
        <v>1</v>
      </c>
      <c r="N84" s="50">
        <v>0</v>
      </c>
      <c r="O84" s="15">
        <f t="shared" si="37"/>
        <v>5</v>
      </c>
      <c r="P84" s="15">
        <f t="shared" si="38"/>
        <v>6</v>
      </c>
      <c r="R84" s="8"/>
      <c r="T84"/>
    </row>
    <row r="85" spans="2:20" ht="23.1" customHeight="1" x14ac:dyDescent="0.25">
      <c r="B85" s="45" t="s">
        <v>125</v>
      </c>
      <c r="C85" s="50">
        <f t="shared" si="36"/>
        <v>1</v>
      </c>
      <c r="D85" s="50">
        <f t="shared" si="36"/>
        <v>0</v>
      </c>
      <c r="E85" s="50">
        <f t="shared" si="36"/>
        <v>1</v>
      </c>
      <c r="F85" s="50">
        <f t="shared" si="36"/>
        <v>0</v>
      </c>
      <c r="G85" s="50">
        <f t="shared" si="36"/>
        <v>0</v>
      </c>
      <c r="H85" s="50">
        <f t="shared" si="36"/>
        <v>0</v>
      </c>
      <c r="I85" s="50">
        <f t="shared" si="36"/>
        <v>0</v>
      </c>
      <c r="J85" s="50">
        <f t="shared" si="36"/>
        <v>0</v>
      </c>
      <c r="K85" s="50">
        <f t="shared" si="36"/>
        <v>1</v>
      </c>
      <c r="L85" s="50">
        <f t="shared" si="36"/>
        <v>0</v>
      </c>
      <c r="M85" s="50">
        <v>0</v>
      </c>
      <c r="N85" s="50">
        <v>0</v>
      </c>
      <c r="O85" s="15">
        <f t="shared" si="37"/>
        <v>3</v>
      </c>
      <c r="P85" s="15">
        <f t="shared" si="38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7"/>
        <v>0</v>
      </c>
      <c r="P86" s="15">
        <f t="shared" si="38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7"/>
        <v>0</v>
      </c>
      <c r="P87" s="15">
        <f t="shared" si="38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7"/>
        <v>0</v>
      </c>
      <c r="P88" s="15">
        <f t="shared" si="38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7"/>
        <v>0</v>
      </c>
      <c r="P89" s="15">
        <f t="shared" si="38"/>
        <v>0</v>
      </c>
      <c r="R89" s="8"/>
      <c r="T89"/>
    </row>
    <row r="90" spans="2:20" ht="23.1" customHeight="1" x14ac:dyDescent="0.25">
      <c r="B90" s="46" t="s">
        <v>130</v>
      </c>
      <c r="C90" s="50">
        <f t="shared" ref="C90:L90" si="39">ROUND(C79/2,0)</f>
        <v>2</v>
      </c>
      <c r="D90" s="50">
        <f t="shared" si="39"/>
        <v>0</v>
      </c>
      <c r="E90" s="50">
        <f t="shared" si="39"/>
        <v>1</v>
      </c>
      <c r="F90" s="50">
        <f t="shared" si="39"/>
        <v>1</v>
      </c>
      <c r="G90" s="50">
        <f t="shared" si="39"/>
        <v>0</v>
      </c>
      <c r="H90" s="50">
        <f t="shared" si="39"/>
        <v>0</v>
      </c>
      <c r="I90" s="50">
        <f t="shared" si="39"/>
        <v>1</v>
      </c>
      <c r="J90" s="50">
        <f t="shared" si="39"/>
        <v>1</v>
      </c>
      <c r="K90" s="50">
        <f t="shared" si="39"/>
        <v>0</v>
      </c>
      <c r="L90" s="50">
        <f t="shared" si="39"/>
        <v>0</v>
      </c>
      <c r="M90" s="50">
        <v>0</v>
      </c>
      <c r="N90" s="50">
        <v>0</v>
      </c>
      <c r="O90" s="15">
        <f t="shared" si="37"/>
        <v>6</v>
      </c>
      <c r="P90" s="15">
        <f t="shared" si="38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7"/>
        <v>0</v>
      </c>
      <c r="P91" s="15">
        <f t="shared" si="38"/>
        <v>0</v>
      </c>
      <c r="R91" s="8"/>
      <c r="T91"/>
    </row>
    <row r="92" spans="2:20" ht="23.1" customHeight="1" x14ac:dyDescent="0.25">
      <c r="B92" s="47" t="s">
        <v>132</v>
      </c>
      <c r="C92" s="50">
        <f t="shared" ref="C92:L92" si="40">ROUND(C81/2,0)</f>
        <v>1</v>
      </c>
      <c r="D92" s="50">
        <f t="shared" si="40"/>
        <v>0</v>
      </c>
      <c r="E92" s="50">
        <f t="shared" si="40"/>
        <v>1</v>
      </c>
      <c r="F92" s="50">
        <f t="shared" si="40"/>
        <v>1</v>
      </c>
      <c r="G92" s="50">
        <f t="shared" si="40"/>
        <v>0</v>
      </c>
      <c r="H92" s="50">
        <f t="shared" si="40"/>
        <v>0</v>
      </c>
      <c r="I92" s="50">
        <f t="shared" si="40"/>
        <v>1</v>
      </c>
      <c r="J92" s="50">
        <f t="shared" si="40"/>
        <v>0</v>
      </c>
      <c r="K92" s="50">
        <f t="shared" si="40"/>
        <v>0</v>
      </c>
      <c r="L92" s="50">
        <f t="shared" si="40"/>
        <v>0</v>
      </c>
      <c r="M92" s="50">
        <v>0</v>
      </c>
      <c r="N92" s="50">
        <v>0</v>
      </c>
      <c r="O92" s="15">
        <f t="shared" si="37"/>
        <v>4</v>
      </c>
      <c r="P92" s="15">
        <f t="shared" si="38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7"/>
        <v>0</v>
      </c>
      <c r="P93" s="15">
        <f t="shared" si="38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7"/>
        <v>0</v>
      </c>
      <c r="P94" s="15">
        <f t="shared" si="38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7"/>
        <v>0</v>
      </c>
      <c r="P95" s="15">
        <f t="shared" si="38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7"/>
        <v>0</v>
      </c>
      <c r="P96" s="15">
        <f t="shared" si="38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7"/>
        <v>0</v>
      </c>
      <c r="P97" s="15">
        <f t="shared" si="38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7"/>
        <v>0</v>
      </c>
      <c r="P98" s="15">
        <f t="shared" si="38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7"/>
        <v>0</v>
      </c>
      <c r="P99" s="15">
        <f t="shared" si="38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7"/>
        <v>0</v>
      </c>
      <c r="P100" s="15">
        <f t="shared" si="38"/>
        <v>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3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3</v>
      </c>
      <c r="N101" s="50">
        <v>0</v>
      </c>
      <c r="O101" s="15">
        <f t="shared" si="37"/>
        <v>6</v>
      </c>
      <c r="P101" s="15">
        <f t="shared" si="38"/>
        <v>9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7"/>
        <v>0</v>
      </c>
      <c r="P102" s="15">
        <f t="shared" si="38"/>
        <v>6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2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1</v>
      </c>
      <c r="L103" s="50">
        <v>0</v>
      </c>
      <c r="M103" s="50">
        <v>7</v>
      </c>
      <c r="N103" s="50">
        <v>0</v>
      </c>
      <c r="O103" s="15">
        <f t="shared" si="37"/>
        <v>7</v>
      </c>
      <c r="P103" s="15">
        <f t="shared" si="38"/>
        <v>14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2</v>
      </c>
      <c r="G104" s="50">
        <v>0</v>
      </c>
      <c r="H104" s="50">
        <v>1</v>
      </c>
      <c r="I104" s="50">
        <v>2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7"/>
        <v>9</v>
      </c>
      <c r="P104" s="15">
        <f t="shared" si="38"/>
        <v>15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3</v>
      </c>
      <c r="E105" s="50">
        <v>0</v>
      </c>
      <c r="F105" s="50">
        <v>1</v>
      </c>
      <c r="G105" s="50">
        <v>0</v>
      </c>
      <c r="H105" s="50">
        <v>0</v>
      </c>
      <c r="I105" s="50">
        <v>3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7"/>
        <v>11</v>
      </c>
      <c r="P105" s="15">
        <f t="shared" si="38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178</v>
      </c>
      <c r="D106" s="16">
        <f t="shared" ref="D106:P106" si="41">SUM(D10:D105)</f>
        <v>3</v>
      </c>
      <c r="E106" s="16">
        <f t="shared" si="41"/>
        <v>170</v>
      </c>
      <c r="F106" s="16">
        <f t="shared" si="41"/>
        <v>99</v>
      </c>
      <c r="G106" s="16">
        <f t="shared" si="41"/>
        <v>4</v>
      </c>
      <c r="H106" s="16">
        <f t="shared" si="41"/>
        <v>2</v>
      </c>
      <c r="I106" s="16">
        <f t="shared" si="41"/>
        <v>174</v>
      </c>
      <c r="J106" s="16">
        <f t="shared" si="41"/>
        <v>39</v>
      </c>
      <c r="K106" s="16">
        <f t="shared" si="41"/>
        <v>39</v>
      </c>
      <c r="L106" s="16">
        <f t="shared" si="41"/>
        <v>0</v>
      </c>
      <c r="M106" s="16">
        <f t="shared" si="41"/>
        <v>1202</v>
      </c>
      <c r="N106" s="16">
        <f t="shared" si="41"/>
        <v>1</v>
      </c>
      <c r="O106" s="16">
        <f t="shared" si="41"/>
        <v>709</v>
      </c>
      <c r="P106" s="16">
        <f t="shared" si="41"/>
        <v>1911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2">C106/$P$106</f>
        <v>9.3144950287807435E-2</v>
      </c>
      <c r="D107" s="43">
        <f t="shared" si="42"/>
        <v>1.5698587127158557E-3</v>
      </c>
      <c r="E107" s="43">
        <f t="shared" si="42"/>
        <v>8.8958660387231811E-2</v>
      </c>
      <c r="F107" s="43">
        <f t="shared" si="42"/>
        <v>5.1805337519623233E-2</v>
      </c>
      <c r="G107" s="43">
        <f t="shared" si="42"/>
        <v>2.0931449502878076E-3</v>
      </c>
      <c r="H107" s="43">
        <f t="shared" si="42"/>
        <v>1.0465724751439038E-3</v>
      </c>
      <c r="I107" s="43">
        <f t="shared" si="42"/>
        <v>9.1051805337519623E-2</v>
      </c>
      <c r="J107" s="43">
        <f t="shared" si="42"/>
        <v>2.0408163265306121E-2</v>
      </c>
      <c r="K107" s="43">
        <f t="shared" si="42"/>
        <v>2.0408163265306121E-2</v>
      </c>
      <c r="L107" s="43">
        <f t="shared" si="42"/>
        <v>0</v>
      </c>
      <c r="M107" s="43">
        <f t="shared" si="42"/>
        <v>0.62899005756148618</v>
      </c>
      <c r="N107" s="43">
        <f t="shared" si="42"/>
        <v>5.2328623757195189E-4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0.25105782792665726</v>
      </c>
      <c r="D108" s="44">
        <f t="shared" ref="D108:N108" si="43">D106/$O$106</f>
        <v>4.2313117066290554E-3</v>
      </c>
      <c r="E108" s="44">
        <f t="shared" si="43"/>
        <v>0.23977433004231311</v>
      </c>
      <c r="F108" s="44">
        <f t="shared" si="43"/>
        <v>0.13963328631875882</v>
      </c>
      <c r="G108" s="44">
        <f t="shared" si="43"/>
        <v>5.6417489421720732E-3</v>
      </c>
      <c r="H108" s="44">
        <f t="shared" si="43"/>
        <v>2.8208744710860366E-3</v>
      </c>
      <c r="I108" s="44">
        <f t="shared" si="43"/>
        <v>0.2454160789844852</v>
      </c>
      <c r="J108" s="44">
        <f t="shared" si="43"/>
        <v>5.5007052186177713E-2</v>
      </c>
      <c r="K108" s="44">
        <f t="shared" si="43"/>
        <v>5.5007052186177713E-2</v>
      </c>
      <c r="L108" s="44">
        <f t="shared" si="43"/>
        <v>0</v>
      </c>
      <c r="M108" s="44"/>
      <c r="N108" s="44">
        <f t="shared" si="43"/>
        <v>1.4104372355430183E-3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61" zoomScale="60" workbookViewId="0">
      <selection activeCell="J78" sqref="J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'25.08 KAPEEKA-MATUGA-24h'!D5</f>
        <v>25.08.19</v>
      </c>
      <c r="E5" s="3"/>
      <c r="F5" s="41" t="s">
        <v>1</v>
      </c>
      <c r="G5" s="66" t="str">
        <f>'25.08 KAPEEKA-MATUGA-24h'!G5:H5</f>
        <v>Kapeeka</v>
      </c>
      <c r="H5" s="67"/>
      <c r="I5" s="14"/>
      <c r="J5" s="2" t="s">
        <v>5</v>
      </c>
      <c r="K5" s="66" t="str">
        <f>'25.08 KAPEEKA-MATUGA-24h'!K5:L5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MATUGA-KAPEKA'!D6:E6</f>
        <v>MATUGA</v>
      </c>
      <c r="E6" s="67"/>
      <c r="F6" s="2" t="s">
        <v>2</v>
      </c>
      <c r="G6" s="66" t="str">
        <f>'20.08 MATUGA-KAPEKA'!G6:H6</f>
        <v>KAPEKA</v>
      </c>
      <c r="H6" s="67"/>
      <c r="J6" s="2" t="s">
        <v>21</v>
      </c>
      <c r="K6" s="66" t="str">
        <f>'25.08 KAPEEKA-MATUGA-24h'!K6:L6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13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5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61</v>
      </c>
      <c r="AD10" s="17">
        <f t="shared" si="2"/>
        <v>0</v>
      </c>
      <c r="AE10" s="31">
        <f t="shared" si="2"/>
        <v>15</v>
      </c>
      <c r="AF10" s="31">
        <f t="shared" si="2"/>
        <v>76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3</v>
      </c>
      <c r="F11" s="50">
        <v>1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15</v>
      </c>
      <c r="N11" s="50">
        <v>0</v>
      </c>
      <c r="O11" s="15">
        <f t="shared" si="0"/>
        <v>7</v>
      </c>
      <c r="P11" s="15">
        <f t="shared" si="1"/>
        <v>22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4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6</v>
      </c>
      <c r="AB11" s="17">
        <f t="shared" si="3"/>
        <v>0</v>
      </c>
      <c r="AC11" s="17">
        <f t="shared" si="3"/>
        <v>77</v>
      </c>
      <c r="AD11" s="17">
        <f t="shared" si="3"/>
        <v>0</v>
      </c>
      <c r="AE11" s="31">
        <f t="shared" si="3"/>
        <v>23</v>
      </c>
      <c r="AF11" s="31">
        <f t="shared" si="3"/>
        <v>100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3</v>
      </c>
      <c r="P12" s="15">
        <f t="shared" si="1"/>
        <v>19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5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3</v>
      </c>
      <c r="AA12" s="17">
        <f t="shared" si="4"/>
        <v>5</v>
      </c>
      <c r="AB12" s="17">
        <f t="shared" si="4"/>
        <v>0</v>
      </c>
      <c r="AC12" s="17">
        <f t="shared" si="4"/>
        <v>78</v>
      </c>
      <c r="AD12" s="17">
        <f t="shared" si="4"/>
        <v>0</v>
      </c>
      <c r="AE12" s="31">
        <f t="shared" si="4"/>
        <v>24</v>
      </c>
      <c r="AF12" s="31">
        <f t="shared" si="4"/>
        <v>102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19</v>
      </c>
      <c r="N13" s="50">
        <v>0</v>
      </c>
      <c r="O13" s="15">
        <f t="shared" si="0"/>
        <v>3</v>
      </c>
      <c r="P13" s="15">
        <f t="shared" si="1"/>
        <v>22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10</v>
      </c>
      <c r="V13" s="17">
        <f t="shared" si="5"/>
        <v>4</v>
      </c>
      <c r="W13" s="17">
        <f t="shared" si="5"/>
        <v>2</v>
      </c>
      <c r="X13" s="17">
        <f t="shared" si="5"/>
        <v>0</v>
      </c>
      <c r="Y13" s="17">
        <f t="shared" si="5"/>
        <v>6</v>
      </c>
      <c r="Z13" s="17">
        <f t="shared" si="5"/>
        <v>1</v>
      </c>
      <c r="AA13" s="17">
        <f t="shared" si="5"/>
        <v>2</v>
      </c>
      <c r="AB13" s="17">
        <f t="shared" si="5"/>
        <v>0</v>
      </c>
      <c r="AC13" s="17">
        <f t="shared" si="5"/>
        <v>96</v>
      </c>
      <c r="AD13" s="17">
        <f t="shared" si="5"/>
        <v>0</v>
      </c>
      <c r="AE13" s="31">
        <f t="shared" si="5"/>
        <v>28</v>
      </c>
      <c r="AF13" s="31">
        <f t="shared" si="5"/>
        <v>124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22</v>
      </c>
      <c r="N14" s="50">
        <v>0</v>
      </c>
      <c r="O14" s="15">
        <f t="shared" si="0"/>
        <v>3</v>
      </c>
      <c r="P14" s="15">
        <f t="shared" si="1"/>
        <v>25</v>
      </c>
      <c r="R14" s="1" t="s">
        <v>10</v>
      </c>
      <c r="S14" s="17">
        <f t="shared" ref="S14:AF14" si="6">SUM(C26:C29)</f>
        <v>10</v>
      </c>
      <c r="T14" s="17">
        <f t="shared" si="6"/>
        <v>0</v>
      </c>
      <c r="U14" s="17">
        <f t="shared" si="6"/>
        <v>5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4</v>
      </c>
      <c r="AA14" s="17">
        <f t="shared" si="6"/>
        <v>5</v>
      </c>
      <c r="AB14" s="17">
        <f t="shared" si="6"/>
        <v>0</v>
      </c>
      <c r="AC14" s="17">
        <f t="shared" si="6"/>
        <v>92</v>
      </c>
      <c r="AD14" s="17">
        <f t="shared" si="6"/>
        <v>0</v>
      </c>
      <c r="AE14" s="31">
        <f t="shared" si="6"/>
        <v>42</v>
      </c>
      <c r="AF14" s="31">
        <f t="shared" si="6"/>
        <v>134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2</v>
      </c>
      <c r="J15" s="50">
        <v>1</v>
      </c>
      <c r="K15" s="50">
        <v>1</v>
      </c>
      <c r="L15" s="50">
        <v>0</v>
      </c>
      <c r="M15" s="50">
        <v>20</v>
      </c>
      <c r="N15" s="50">
        <v>0</v>
      </c>
      <c r="O15" s="15">
        <f t="shared" si="0"/>
        <v>6</v>
      </c>
      <c r="P15" s="15">
        <f t="shared" si="1"/>
        <v>26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9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98</v>
      </c>
      <c r="AD15" s="17">
        <f t="shared" si="7"/>
        <v>0</v>
      </c>
      <c r="AE15" s="31">
        <f t="shared" si="7"/>
        <v>27</v>
      </c>
      <c r="AF15" s="31">
        <f t="shared" si="7"/>
        <v>125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3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6</v>
      </c>
      <c r="P16" s="15">
        <f t="shared" si="1"/>
        <v>22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11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2</v>
      </c>
      <c r="AB16" s="17">
        <f t="shared" si="8"/>
        <v>0</v>
      </c>
      <c r="AC16" s="17">
        <f t="shared" si="8"/>
        <v>83</v>
      </c>
      <c r="AD16" s="17">
        <f t="shared" si="8"/>
        <v>0</v>
      </c>
      <c r="AE16" s="31">
        <f t="shared" si="8"/>
        <v>33</v>
      </c>
      <c r="AF16" s="31">
        <f t="shared" si="8"/>
        <v>116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5</v>
      </c>
      <c r="L17" s="50">
        <v>0</v>
      </c>
      <c r="M17" s="50">
        <v>19</v>
      </c>
      <c r="N17" s="50">
        <v>0</v>
      </c>
      <c r="O17" s="15">
        <f t="shared" si="0"/>
        <v>8</v>
      </c>
      <c r="P17" s="15">
        <f t="shared" si="1"/>
        <v>27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9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4</v>
      </c>
      <c r="AA17" s="17">
        <f t="shared" si="9"/>
        <v>1</v>
      </c>
      <c r="AB17" s="17">
        <f t="shared" si="9"/>
        <v>0</v>
      </c>
      <c r="AC17" s="17">
        <f t="shared" si="9"/>
        <v>84</v>
      </c>
      <c r="AD17" s="17">
        <f t="shared" si="9"/>
        <v>0</v>
      </c>
      <c r="AE17" s="31">
        <f t="shared" si="9"/>
        <v>35</v>
      </c>
      <c r="AF17" s="31">
        <f t="shared" si="9"/>
        <v>119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18</v>
      </c>
      <c r="N18" s="50">
        <v>0</v>
      </c>
      <c r="O18" s="15">
        <f t="shared" si="0"/>
        <v>4</v>
      </c>
      <c r="P18" s="15">
        <f t="shared" si="1"/>
        <v>22</v>
      </c>
      <c r="R18" s="1" t="s">
        <v>14</v>
      </c>
      <c r="S18" s="17">
        <f t="shared" ref="S18:AF18" si="10">SUM(C42:C45)</f>
        <v>6</v>
      </c>
      <c r="T18" s="17">
        <f t="shared" si="10"/>
        <v>0</v>
      </c>
      <c r="U18" s="17">
        <f t="shared" si="10"/>
        <v>11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71</v>
      </c>
      <c r="AD18" s="17">
        <f t="shared" si="10"/>
        <v>0</v>
      </c>
      <c r="AE18" s="31">
        <f t="shared" si="10"/>
        <v>31</v>
      </c>
      <c r="AF18" s="31">
        <f t="shared" si="10"/>
        <v>102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2</v>
      </c>
      <c r="L19" s="50">
        <v>0</v>
      </c>
      <c r="M19" s="50">
        <v>20</v>
      </c>
      <c r="N19" s="50">
        <v>0</v>
      </c>
      <c r="O19" s="15">
        <f t="shared" si="0"/>
        <v>8</v>
      </c>
      <c r="P19" s="15">
        <f t="shared" si="1"/>
        <v>28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14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75</v>
      </c>
      <c r="AD19" s="17">
        <f t="shared" si="11"/>
        <v>0</v>
      </c>
      <c r="AE19" s="31">
        <f t="shared" si="11"/>
        <v>44</v>
      </c>
      <c r="AF19" s="31">
        <f t="shared" si="11"/>
        <v>119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1</v>
      </c>
      <c r="K20" s="50">
        <v>1</v>
      </c>
      <c r="L20" s="50">
        <v>0</v>
      </c>
      <c r="M20" s="50">
        <v>24</v>
      </c>
      <c r="N20" s="50">
        <v>0</v>
      </c>
      <c r="O20" s="15">
        <f t="shared" si="0"/>
        <v>5</v>
      </c>
      <c r="P20" s="15">
        <f t="shared" si="1"/>
        <v>29</v>
      </c>
      <c r="R20" s="1" t="s">
        <v>16</v>
      </c>
      <c r="S20" s="17">
        <f t="shared" ref="S20:AF20" si="12">SUM(C50:C53)</f>
        <v>18</v>
      </c>
      <c r="T20" s="17">
        <f t="shared" si="12"/>
        <v>0</v>
      </c>
      <c r="U20" s="17">
        <f t="shared" si="12"/>
        <v>19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16</v>
      </c>
      <c r="Z20" s="17">
        <f t="shared" si="12"/>
        <v>1</v>
      </c>
      <c r="AA20" s="17">
        <f t="shared" si="12"/>
        <v>2</v>
      </c>
      <c r="AB20" s="17">
        <f t="shared" si="12"/>
        <v>0</v>
      </c>
      <c r="AC20" s="17">
        <f t="shared" si="12"/>
        <v>83</v>
      </c>
      <c r="AD20" s="17">
        <f t="shared" si="12"/>
        <v>0</v>
      </c>
      <c r="AE20" s="31">
        <f t="shared" si="12"/>
        <v>65</v>
      </c>
      <c r="AF20" s="31">
        <f t="shared" si="12"/>
        <v>148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0</v>
      </c>
      <c r="M21" s="50">
        <v>16</v>
      </c>
      <c r="N21" s="50">
        <v>0</v>
      </c>
      <c r="O21" s="15">
        <f t="shared" si="0"/>
        <v>7</v>
      </c>
      <c r="P21" s="15">
        <f t="shared" si="1"/>
        <v>23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9</v>
      </c>
      <c r="V21" s="17">
        <f t="shared" si="13"/>
        <v>9</v>
      </c>
      <c r="W21" s="17">
        <f t="shared" si="13"/>
        <v>2</v>
      </c>
      <c r="X21" s="17">
        <f t="shared" si="13"/>
        <v>0</v>
      </c>
      <c r="Y21" s="17">
        <f t="shared" si="13"/>
        <v>10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79</v>
      </c>
      <c r="AD21" s="17">
        <f t="shared" si="13"/>
        <v>0</v>
      </c>
      <c r="AE21" s="31">
        <f t="shared" si="13"/>
        <v>42</v>
      </c>
      <c r="AF21" s="31">
        <f t="shared" si="13"/>
        <v>121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2</v>
      </c>
      <c r="G22" s="50">
        <v>1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29</v>
      </c>
      <c r="N22" s="50">
        <v>0</v>
      </c>
      <c r="O22" s="15">
        <f t="shared" si="0"/>
        <v>5</v>
      </c>
      <c r="P22" s="15">
        <f t="shared" si="1"/>
        <v>34</v>
      </c>
      <c r="R22" s="36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8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59</v>
      </c>
      <c r="AD22" s="34">
        <f t="shared" si="14"/>
        <v>0</v>
      </c>
      <c r="AE22" s="31">
        <f t="shared" si="14"/>
        <v>30</v>
      </c>
      <c r="AF22" s="31">
        <f t="shared" si="14"/>
        <v>89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20</v>
      </c>
      <c r="N23" s="50">
        <v>0</v>
      </c>
      <c r="O23" s="15">
        <f t="shared" si="0"/>
        <v>4</v>
      </c>
      <c r="P23" s="15">
        <f t="shared" si="1"/>
        <v>24</v>
      </c>
      <c r="R23" s="36" t="s">
        <v>147</v>
      </c>
      <c r="S23" s="34">
        <f>SUM(C62:C65)</f>
        <v>10</v>
      </c>
      <c r="T23" s="34">
        <f t="shared" ref="T23:AF23" si="15">SUM(D62:D65)</f>
        <v>0</v>
      </c>
      <c r="U23" s="34">
        <f t="shared" si="15"/>
        <v>9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37</v>
      </c>
      <c r="AF23" s="31">
        <f t="shared" si="15"/>
        <v>76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4</v>
      </c>
      <c r="F24" s="50">
        <v>0</v>
      </c>
      <c r="G24" s="50">
        <v>1</v>
      </c>
      <c r="H24" s="50">
        <v>0</v>
      </c>
      <c r="I24" s="50">
        <v>4</v>
      </c>
      <c r="J24" s="50">
        <v>0</v>
      </c>
      <c r="K24" s="50">
        <v>1</v>
      </c>
      <c r="L24" s="50">
        <v>0</v>
      </c>
      <c r="M24" s="50">
        <v>25</v>
      </c>
      <c r="N24" s="50">
        <v>0</v>
      </c>
      <c r="O24" s="15">
        <f t="shared" si="0"/>
        <v>11</v>
      </c>
      <c r="P24" s="15">
        <f t="shared" si="1"/>
        <v>36</v>
      </c>
      <c r="R24" s="36" t="s">
        <v>148</v>
      </c>
      <c r="S24" s="34">
        <f>SUM(C66:C69)</f>
        <v>11</v>
      </c>
      <c r="T24" s="34">
        <f t="shared" ref="T24:AF24" si="16">SUM(D66:D69)</f>
        <v>0</v>
      </c>
      <c r="U24" s="34">
        <f t="shared" si="16"/>
        <v>8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33</v>
      </c>
      <c r="AF24" s="31">
        <f t="shared" si="16"/>
        <v>54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4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22</v>
      </c>
      <c r="N25" s="50">
        <v>0</v>
      </c>
      <c r="O25" s="15">
        <f t="shared" si="0"/>
        <v>8</v>
      </c>
      <c r="P25" s="15">
        <f t="shared" si="1"/>
        <v>30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21</v>
      </c>
      <c r="AF25" s="31">
        <f t="shared" si="17"/>
        <v>34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1</v>
      </c>
      <c r="L26" s="50">
        <v>0</v>
      </c>
      <c r="M26" s="50">
        <v>29</v>
      </c>
      <c r="N26" s="50">
        <v>0</v>
      </c>
      <c r="O26" s="15">
        <f t="shared" si="0"/>
        <v>6</v>
      </c>
      <c r="P26" s="15">
        <f t="shared" si="1"/>
        <v>35</v>
      </c>
      <c r="R26" s="36" t="s">
        <v>150</v>
      </c>
      <c r="S26" s="34">
        <f>SUM(C74:C77)</f>
        <v>6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3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1</v>
      </c>
      <c r="F27" s="50">
        <v>3</v>
      </c>
      <c r="G27" s="50">
        <v>0</v>
      </c>
      <c r="H27" s="50">
        <v>0</v>
      </c>
      <c r="I27" s="50">
        <v>4</v>
      </c>
      <c r="J27" s="50">
        <v>3</v>
      </c>
      <c r="K27" s="50">
        <v>1</v>
      </c>
      <c r="L27" s="50">
        <v>0</v>
      </c>
      <c r="M27" s="50">
        <v>15</v>
      </c>
      <c r="N27" s="50">
        <v>0</v>
      </c>
      <c r="O27" s="15">
        <f t="shared" si="0"/>
        <v>13</v>
      </c>
      <c r="P27" s="15">
        <f t="shared" si="1"/>
        <v>28</v>
      </c>
      <c r="R27" s="36" t="s">
        <v>151</v>
      </c>
      <c r="S27" s="34">
        <f>SUM(C78:C81)</f>
        <v>7</v>
      </c>
      <c r="T27" s="34">
        <f t="shared" ref="T27:AF27" si="19">SUM(D78:D81)</f>
        <v>0</v>
      </c>
      <c r="U27" s="34">
        <f t="shared" si="19"/>
        <v>5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4</v>
      </c>
      <c r="J28" s="50">
        <v>0</v>
      </c>
      <c r="K28" s="50">
        <v>2</v>
      </c>
      <c r="L28" s="50">
        <v>0</v>
      </c>
      <c r="M28" s="50">
        <v>27</v>
      </c>
      <c r="N28" s="50">
        <v>0</v>
      </c>
      <c r="O28" s="15">
        <f t="shared" si="0"/>
        <v>10</v>
      </c>
      <c r="P28" s="15">
        <f t="shared" si="1"/>
        <v>37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45" t="s">
        <v>56</v>
      </c>
      <c r="C29" s="50">
        <v>4</v>
      </c>
      <c r="D29" s="50">
        <v>0</v>
      </c>
      <c r="E29" s="50">
        <v>1</v>
      </c>
      <c r="F29" s="50">
        <v>3</v>
      </c>
      <c r="G29" s="50">
        <v>0</v>
      </c>
      <c r="H29" s="50">
        <v>0</v>
      </c>
      <c r="I29" s="50">
        <v>3</v>
      </c>
      <c r="J29" s="50">
        <v>1</v>
      </c>
      <c r="K29" s="50">
        <v>1</v>
      </c>
      <c r="L29" s="50">
        <v>0</v>
      </c>
      <c r="M29" s="50">
        <v>21</v>
      </c>
      <c r="N29" s="50">
        <v>0</v>
      </c>
      <c r="O29" s="15">
        <f t="shared" si="0"/>
        <v>13</v>
      </c>
      <c r="P29" s="15">
        <f t="shared" si="1"/>
        <v>34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2</v>
      </c>
      <c r="D30" s="50">
        <v>0</v>
      </c>
      <c r="E30" s="50">
        <v>4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23</v>
      </c>
      <c r="N30" s="50">
        <v>0</v>
      </c>
      <c r="O30" s="15">
        <f t="shared" si="0"/>
        <v>9</v>
      </c>
      <c r="P30" s="15">
        <f t="shared" si="1"/>
        <v>32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25</v>
      </c>
      <c r="N31" s="50">
        <v>0</v>
      </c>
      <c r="O31" s="15">
        <f t="shared" si="0"/>
        <v>6</v>
      </c>
      <c r="P31" s="15">
        <f t="shared" si="1"/>
        <v>31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23</v>
      </c>
      <c r="N32" s="50">
        <v>0</v>
      </c>
      <c r="O32" s="15">
        <f t="shared" si="0"/>
        <v>6</v>
      </c>
      <c r="P32" s="15">
        <f t="shared" si="1"/>
        <v>29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6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3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6</v>
      </c>
      <c r="P33" s="15">
        <f t="shared" si="1"/>
        <v>33</v>
      </c>
      <c r="R33" s="33" t="s">
        <v>157</v>
      </c>
      <c r="S33" s="34">
        <f>SUM(C102:C105)</f>
        <v>8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4</v>
      </c>
      <c r="W33" s="34">
        <f t="shared" si="25"/>
        <v>0</v>
      </c>
      <c r="X33" s="34">
        <f t="shared" si="25"/>
        <v>1</v>
      </c>
      <c r="Y33" s="34">
        <f t="shared" si="25"/>
        <v>6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27</v>
      </c>
      <c r="AF33" s="31">
        <f t="shared" si="25"/>
        <v>58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0</v>
      </c>
      <c r="M34" s="50">
        <v>23</v>
      </c>
      <c r="N34" s="50">
        <v>0</v>
      </c>
      <c r="O34" s="15">
        <f t="shared" si="0"/>
        <v>8</v>
      </c>
      <c r="P34" s="15">
        <f t="shared" si="1"/>
        <v>31</v>
      </c>
      <c r="R34" s="38" t="s">
        <v>90</v>
      </c>
      <c r="S34" s="39">
        <f t="shared" ref="S34:AF34" si="26">MAX(S10:S12)</f>
        <v>4</v>
      </c>
      <c r="T34" s="39">
        <f t="shared" si="26"/>
        <v>0</v>
      </c>
      <c r="U34" s="39">
        <f t="shared" si="26"/>
        <v>5</v>
      </c>
      <c r="V34" s="39">
        <f t="shared" si="26"/>
        <v>4</v>
      </c>
      <c r="W34" s="39">
        <f t="shared" si="26"/>
        <v>0</v>
      </c>
      <c r="X34" s="39">
        <f t="shared" si="26"/>
        <v>0</v>
      </c>
      <c r="Y34" s="39">
        <f t="shared" si="26"/>
        <v>5</v>
      </c>
      <c r="Z34" s="39">
        <f t="shared" si="26"/>
        <v>3</v>
      </c>
      <c r="AA34" s="39">
        <f t="shared" si="26"/>
        <v>6</v>
      </c>
      <c r="AB34" s="39">
        <f t="shared" si="26"/>
        <v>0</v>
      </c>
      <c r="AC34" s="39">
        <f t="shared" si="26"/>
        <v>78</v>
      </c>
      <c r="AD34" s="39">
        <f t="shared" si="26"/>
        <v>0</v>
      </c>
      <c r="AE34" s="40">
        <f t="shared" si="26"/>
        <v>24</v>
      </c>
      <c r="AF34" s="40">
        <f t="shared" si="26"/>
        <v>102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19</v>
      </c>
      <c r="N35" s="50">
        <v>0</v>
      </c>
      <c r="O35" s="15">
        <f t="shared" si="0"/>
        <v>6</v>
      </c>
      <c r="P35" s="15">
        <f t="shared" si="1"/>
        <v>25</v>
      </c>
      <c r="R35" s="38" t="s">
        <v>91</v>
      </c>
      <c r="S35" s="39">
        <f t="shared" ref="S35:AF35" si="27">MAX(S13:S18)</f>
        <v>10</v>
      </c>
      <c r="T35" s="39">
        <f t="shared" si="27"/>
        <v>0</v>
      </c>
      <c r="U35" s="39">
        <f t="shared" si="27"/>
        <v>11</v>
      </c>
      <c r="V35" s="39">
        <f t="shared" si="27"/>
        <v>6</v>
      </c>
      <c r="W35" s="39">
        <f t="shared" si="27"/>
        <v>2</v>
      </c>
      <c r="X35" s="39">
        <f t="shared" si="27"/>
        <v>0</v>
      </c>
      <c r="Y35" s="39">
        <f t="shared" si="27"/>
        <v>12</v>
      </c>
      <c r="Z35" s="39">
        <f t="shared" si="27"/>
        <v>4</v>
      </c>
      <c r="AA35" s="39">
        <f t="shared" si="27"/>
        <v>5</v>
      </c>
      <c r="AB35" s="39">
        <f t="shared" si="27"/>
        <v>0</v>
      </c>
      <c r="AC35" s="39">
        <f t="shared" si="27"/>
        <v>98</v>
      </c>
      <c r="AD35" s="39">
        <f t="shared" si="27"/>
        <v>0</v>
      </c>
      <c r="AE35" s="40">
        <f t="shared" si="27"/>
        <v>42</v>
      </c>
      <c r="AF35" s="40">
        <f t="shared" si="27"/>
        <v>134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5</v>
      </c>
      <c r="F36" s="50">
        <v>1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12</v>
      </c>
      <c r="P36" s="15">
        <f t="shared" si="1"/>
        <v>28</v>
      </c>
      <c r="R36" s="38" t="s">
        <v>92</v>
      </c>
      <c r="S36" s="39">
        <f t="shared" ref="S36:AF36" si="28">MAX(S19:S21)</f>
        <v>18</v>
      </c>
      <c r="T36" s="39">
        <f t="shared" si="28"/>
        <v>0</v>
      </c>
      <c r="U36" s="39">
        <f t="shared" si="28"/>
        <v>19</v>
      </c>
      <c r="V36" s="39">
        <f t="shared" si="28"/>
        <v>9</v>
      </c>
      <c r="W36" s="39">
        <f t="shared" si="28"/>
        <v>2</v>
      </c>
      <c r="X36" s="39">
        <f t="shared" si="28"/>
        <v>0</v>
      </c>
      <c r="Y36" s="39">
        <f t="shared" si="28"/>
        <v>16</v>
      </c>
      <c r="Z36" s="39">
        <f t="shared" si="28"/>
        <v>3</v>
      </c>
      <c r="AA36" s="39">
        <f t="shared" si="28"/>
        <v>2</v>
      </c>
      <c r="AB36" s="39">
        <f t="shared" si="28"/>
        <v>0</v>
      </c>
      <c r="AC36" s="39">
        <f t="shared" si="28"/>
        <v>83</v>
      </c>
      <c r="AD36" s="39">
        <f t="shared" si="28"/>
        <v>0</v>
      </c>
      <c r="AE36" s="40">
        <f t="shared" si="28"/>
        <v>65</v>
      </c>
      <c r="AF36" s="40">
        <f t="shared" si="28"/>
        <v>148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0</v>
      </c>
      <c r="M37" s="50">
        <v>25</v>
      </c>
      <c r="N37" s="50">
        <v>0</v>
      </c>
      <c r="O37" s="15">
        <f t="shared" si="0"/>
        <v>7</v>
      </c>
      <c r="P37" s="15">
        <f t="shared" si="1"/>
        <v>32</v>
      </c>
      <c r="R37" s="37" t="s">
        <v>85</v>
      </c>
      <c r="S37" s="35">
        <f t="shared" ref="S37:AF37" si="29">SUM(S10:S12)</f>
        <v>8</v>
      </c>
      <c r="T37" s="16">
        <f t="shared" si="29"/>
        <v>0</v>
      </c>
      <c r="U37" s="16">
        <f t="shared" si="29"/>
        <v>14</v>
      </c>
      <c r="V37" s="16">
        <f t="shared" si="29"/>
        <v>11</v>
      </c>
      <c r="W37" s="16">
        <f t="shared" si="29"/>
        <v>0</v>
      </c>
      <c r="X37" s="16">
        <f t="shared" si="29"/>
        <v>0</v>
      </c>
      <c r="Y37" s="16">
        <f t="shared" si="29"/>
        <v>12</v>
      </c>
      <c r="Z37" s="16">
        <f t="shared" si="29"/>
        <v>6</v>
      </c>
      <c r="AA37" s="16">
        <f t="shared" si="29"/>
        <v>11</v>
      </c>
      <c r="AB37" s="16">
        <f t="shared" si="29"/>
        <v>0</v>
      </c>
      <c r="AC37" s="16">
        <f t="shared" si="29"/>
        <v>216</v>
      </c>
      <c r="AD37" s="16">
        <f t="shared" si="29"/>
        <v>0</v>
      </c>
      <c r="AE37" s="32">
        <f t="shared" si="29"/>
        <v>62</v>
      </c>
      <c r="AF37" s="32">
        <f t="shared" si="29"/>
        <v>278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5</v>
      </c>
      <c r="J38" s="50">
        <v>2</v>
      </c>
      <c r="K38" s="50">
        <v>0</v>
      </c>
      <c r="L38" s="50">
        <v>0</v>
      </c>
      <c r="M38" s="50">
        <v>25</v>
      </c>
      <c r="N38" s="50">
        <v>0</v>
      </c>
      <c r="O38" s="15">
        <f t="shared" si="0"/>
        <v>11</v>
      </c>
      <c r="P38" s="15">
        <f t="shared" si="1"/>
        <v>36</v>
      </c>
      <c r="R38" s="28" t="s">
        <v>86</v>
      </c>
      <c r="S38" s="16">
        <f t="shared" ref="S38:AF38" si="30">SUM(S13:S18)</f>
        <v>37</v>
      </c>
      <c r="T38" s="16">
        <f t="shared" si="30"/>
        <v>0</v>
      </c>
      <c r="U38" s="16">
        <f t="shared" si="30"/>
        <v>55</v>
      </c>
      <c r="V38" s="16">
        <f t="shared" si="30"/>
        <v>30</v>
      </c>
      <c r="W38" s="16">
        <f t="shared" si="30"/>
        <v>2</v>
      </c>
      <c r="X38" s="16">
        <f t="shared" si="30"/>
        <v>0</v>
      </c>
      <c r="Y38" s="16">
        <f t="shared" si="30"/>
        <v>45</v>
      </c>
      <c r="Z38" s="16">
        <f t="shared" si="30"/>
        <v>15</v>
      </c>
      <c r="AA38" s="16">
        <f t="shared" si="30"/>
        <v>12</v>
      </c>
      <c r="AB38" s="16">
        <f t="shared" si="30"/>
        <v>0</v>
      </c>
      <c r="AC38" s="16">
        <f t="shared" si="30"/>
        <v>524</v>
      </c>
      <c r="AD38" s="16">
        <f t="shared" si="30"/>
        <v>0</v>
      </c>
      <c r="AE38" s="32">
        <f t="shared" si="30"/>
        <v>196</v>
      </c>
      <c r="AF38" s="32">
        <f t="shared" si="30"/>
        <v>720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5</v>
      </c>
      <c r="P39" s="15">
        <f t="shared" si="1"/>
        <v>19</v>
      </c>
      <c r="R39" s="29" t="s">
        <v>87</v>
      </c>
      <c r="S39" s="16">
        <f t="shared" ref="S39:AF39" si="31">SUM(S19:S21)</f>
        <v>35</v>
      </c>
      <c r="T39" s="16">
        <f t="shared" si="31"/>
        <v>0</v>
      </c>
      <c r="U39" s="16">
        <f t="shared" si="31"/>
        <v>42</v>
      </c>
      <c r="V39" s="16">
        <f t="shared" si="31"/>
        <v>23</v>
      </c>
      <c r="W39" s="16">
        <f t="shared" si="31"/>
        <v>2</v>
      </c>
      <c r="X39" s="16">
        <f t="shared" si="31"/>
        <v>0</v>
      </c>
      <c r="Y39" s="16">
        <f t="shared" si="31"/>
        <v>39</v>
      </c>
      <c r="Z39" s="16">
        <f t="shared" si="31"/>
        <v>4</v>
      </c>
      <c r="AA39" s="16">
        <f t="shared" si="31"/>
        <v>6</v>
      </c>
      <c r="AB39" s="16">
        <f t="shared" si="31"/>
        <v>0</v>
      </c>
      <c r="AC39" s="16">
        <f t="shared" si="31"/>
        <v>237</v>
      </c>
      <c r="AD39" s="16">
        <f t="shared" si="31"/>
        <v>0</v>
      </c>
      <c r="AE39" s="32">
        <f t="shared" si="31"/>
        <v>151</v>
      </c>
      <c r="AF39" s="32">
        <f t="shared" si="31"/>
        <v>388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3</v>
      </c>
      <c r="F40" s="50">
        <v>1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0</v>
      </c>
      <c r="M40" s="50">
        <v>28</v>
      </c>
      <c r="N40" s="50">
        <v>0</v>
      </c>
      <c r="O40" s="15">
        <f t="shared" si="0"/>
        <v>8</v>
      </c>
      <c r="P40" s="15">
        <f t="shared" si="1"/>
        <v>36</v>
      </c>
      <c r="R40" s="5" t="s">
        <v>17</v>
      </c>
      <c r="S40" s="16">
        <f t="shared" ref="S40:AF40" si="32">SUM(S10:S21)</f>
        <v>80</v>
      </c>
      <c r="T40" s="16">
        <f t="shared" si="32"/>
        <v>0</v>
      </c>
      <c r="U40" s="16">
        <f t="shared" si="32"/>
        <v>111</v>
      </c>
      <c r="V40" s="16">
        <f t="shared" si="32"/>
        <v>64</v>
      </c>
      <c r="W40" s="16">
        <f t="shared" si="32"/>
        <v>4</v>
      </c>
      <c r="X40" s="16">
        <f t="shared" si="32"/>
        <v>0</v>
      </c>
      <c r="Y40" s="16">
        <f t="shared" si="32"/>
        <v>96</v>
      </c>
      <c r="Z40" s="16">
        <f t="shared" si="32"/>
        <v>25</v>
      </c>
      <c r="AA40" s="16">
        <f t="shared" si="32"/>
        <v>29</v>
      </c>
      <c r="AB40" s="16">
        <f t="shared" si="32"/>
        <v>0</v>
      </c>
      <c r="AC40" s="16">
        <f t="shared" si="32"/>
        <v>977</v>
      </c>
      <c r="AD40" s="16">
        <f t="shared" si="32"/>
        <v>0</v>
      </c>
      <c r="AE40" s="32">
        <f t="shared" si="32"/>
        <v>409</v>
      </c>
      <c r="AF40" s="32">
        <f t="shared" si="32"/>
        <v>1386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3</v>
      </c>
      <c r="J41" s="50">
        <v>1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11</v>
      </c>
      <c r="P41" s="15">
        <f t="shared" si="1"/>
        <v>28</v>
      </c>
      <c r="R41" s="5" t="s">
        <v>159</v>
      </c>
      <c r="S41" s="16">
        <f>SUM(S10:S33)</f>
        <v>137</v>
      </c>
      <c r="T41" s="16">
        <f t="shared" ref="T41:AF41" si="33">SUM(T10:T33)</f>
        <v>3</v>
      </c>
      <c r="U41" s="16">
        <f t="shared" si="33"/>
        <v>163</v>
      </c>
      <c r="V41" s="16">
        <f t="shared" si="33"/>
        <v>94</v>
      </c>
      <c r="W41" s="16">
        <f t="shared" si="33"/>
        <v>4</v>
      </c>
      <c r="X41" s="16">
        <f t="shared" si="33"/>
        <v>1</v>
      </c>
      <c r="Y41" s="16">
        <f t="shared" si="33"/>
        <v>148</v>
      </c>
      <c r="Z41" s="16">
        <f t="shared" si="33"/>
        <v>39</v>
      </c>
      <c r="AA41" s="16">
        <f t="shared" si="33"/>
        <v>42</v>
      </c>
      <c r="AB41" s="16">
        <f t="shared" si="33"/>
        <v>0</v>
      </c>
      <c r="AC41" s="16">
        <f t="shared" si="33"/>
        <v>1151</v>
      </c>
      <c r="AD41" s="16">
        <f t="shared" si="33"/>
        <v>0</v>
      </c>
      <c r="AE41" s="32">
        <f t="shared" si="33"/>
        <v>631</v>
      </c>
      <c r="AF41" s="32">
        <f t="shared" si="33"/>
        <v>1782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2</v>
      </c>
      <c r="K42" s="50">
        <v>1</v>
      </c>
      <c r="L42" s="50">
        <v>0</v>
      </c>
      <c r="M42" s="50">
        <v>23</v>
      </c>
      <c r="N42" s="50">
        <v>0</v>
      </c>
      <c r="O42" s="15">
        <f t="shared" si="0"/>
        <v>8</v>
      </c>
      <c r="P42" s="15">
        <f t="shared" si="1"/>
        <v>31</v>
      </c>
      <c r="R42" s="5" t="s">
        <v>160</v>
      </c>
      <c r="S42" s="48">
        <f>S41/S40</f>
        <v>1.7124999999999999</v>
      </c>
      <c r="T42" s="48" t="e">
        <f t="shared" ref="T42:AF42" si="34">T41/T40</f>
        <v>#DIV/0!</v>
      </c>
      <c r="U42" s="48">
        <f t="shared" si="34"/>
        <v>1.4684684684684686</v>
      </c>
      <c r="V42" s="48">
        <f t="shared" si="34"/>
        <v>1.46875</v>
      </c>
      <c r="W42" s="48">
        <f t="shared" si="34"/>
        <v>1</v>
      </c>
      <c r="X42" s="48" t="e">
        <f t="shared" si="34"/>
        <v>#DIV/0!</v>
      </c>
      <c r="Y42" s="48">
        <f t="shared" si="34"/>
        <v>1.5416666666666667</v>
      </c>
      <c r="Z42" s="48">
        <f t="shared" si="34"/>
        <v>1.56</v>
      </c>
      <c r="AA42" s="48">
        <f t="shared" si="34"/>
        <v>1.4482758620689655</v>
      </c>
      <c r="AB42" s="48" t="e">
        <f t="shared" si="34"/>
        <v>#DIV/0!</v>
      </c>
      <c r="AC42" s="48">
        <f t="shared" si="34"/>
        <v>1.1780962128966224</v>
      </c>
      <c r="AD42" s="48" t="e">
        <f t="shared" si="34"/>
        <v>#DIV/0!</v>
      </c>
      <c r="AE42" s="48">
        <f t="shared" si="34"/>
        <v>1.5427872860635696</v>
      </c>
      <c r="AF42" s="48">
        <f t="shared" si="34"/>
        <v>1.2857142857142858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3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7</v>
      </c>
      <c r="P43" s="15">
        <f t="shared" si="1"/>
        <v>23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6</v>
      </c>
      <c r="P44" s="15">
        <f t="shared" si="1"/>
        <v>21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4</v>
      </c>
      <c r="F45" s="50">
        <v>0</v>
      </c>
      <c r="G45" s="50">
        <v>0</v>
      </c>
      <c r="H45" s="50">
        <v>0</v>
      </c>
      <c r="I45" s="50">
        <v>3</v>
      </c>
      <c r="J45" s="50">
        <v>0</v>
      </c>
      <c r="K45" s="50">
        <v>1</v>
      </c>
      <c r="L45" s="50">
        <v>0</v>
      </c>
      <c r="M45" s="50">
        <v>17</v>
      </c>
      <c r="N45" s="50">
        <v>0</v>
      </c>
      <c r="O45" s="15">
        <f t="shared" si="0"/>
        <v>10</v>
      </c>
      <c r="P45" s="15">
        <f t="shared" si="1"/>
        <v>27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4</v>
      </c>
      <c r="F46" s="50">
        <v>1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17</v>
      </c>
      <c r="N46" s="50">
        <v>0</v>
      </c>
      <c r="O46" s="15">
        <f t="shared" si="0"/>
        <v>9</v>
      </c>
      <c r="P46" s="15">
        <f t="shared" si="1"/>
        <v>26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4</v>
      </c>
      <c r="J47" s="50">
        <v>0</v>
      </c>
      <c r="K47" s="50">
        <v>1</v>
      </c>
      <c r="L47" s="50">
        <v>0</v>
      </c>
      <c r="M47" s="50">
        <v>18</v>
      </c>
      <c r="N47" s="50">
        <v>0</v>
      </c>
      <c r="O47" s="15">
        <f t="shared" si="0"/>
        <v>9</v>
      </c>
      <c r="P47" s="15">
        <f t="shared" si="1"/>
        <v>27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4</v>
      </c>
      <c r="F48" s="50">
        <v>2</v>
      </c>
      <c r="G48" s="50">
        <v>0</v>
      </c>
      <c r="H48" s="50">
        <v>0</v>
      </c>
      <c r="I48" s="50">
        <v>3</v>
      </c>
      <c r="J48" s="50">
        <v>3</v>
      </c>
      <c r="K48" s="50">
        <v>0</v>
      </c>
      <c r="L48" s="50">
        <v>0</v>
      </c>
      <c r="M48" s="50">
        <v>26</v>
      </c>
      <c r="N48" s="50">
        <v>0</v>
      </c>
      <c r="O48" s="15">
        <f t="shared" si="0"/>
        <v>15</v>
      </c>
      <c r="P48" s="15">
        <f t="shared" si="1"/>
        <v>41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5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1</v>
      </c>
      <c r="L49" s="50">
        <v>0</v>
      </c>
      <c r="M49" s="50">
        <v>14</v>
      </c>
      <c r="N49" s="50">
        <v>0</v>
      </c>
      <c r="O49" s="15">
        <f t="shared" si="0"/>
        <v>11</v>
      </c>
      <c r="P49" s="15">
        <f t="shared" si="1"/>
        <v>25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0</v>
      </c>
      <c r="E50" s="50">
        <v>5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23</v>
      </c>
      <c r="N50" s="50">
        <v>0</v>
      </c>
      <c r="O50" s="15">
        <f t="shared" si="0"/>
        <v>19</v>
      </c>
      <c r="P50" s="15">
        <f t="shared" si="1"/>
        <v>42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0</v>
      </c>
      <c r="E51" s="50">
        <v>2</v>
      </c>
      <c r="F51" s="50">
        <v>3</v>
      </c>
      <c r="G51" s="50">
        <v>0</v>
      </c>
      <c r="H51" s="50">
        <v>0</v>
      </c>
      <c r="I51" s="50">
        <v>5</v>
      </c>
      <c r="J51" s="50">
        <v>0</v>
      </c>
      <c r="K51" s="50">
        <v>1</v>
      </c>
      <c r="L51" s="50">
        <v>0</v>
      </c>
      <c r="M51" s="50">
        <v>17</v>
      </c>
      <c r="N51" s="50">
        <v>0</v>
      </c>
      <c r="O51" s="15">
        <f t="shared" si="0"/>
        <v>15</v>
      </c>
      <c r="P51" s="15">
        <f t="shared" si="1"/>
        <v>32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8</v>
      </c>
      <c r="F52" s="50">
        <v>2</v>
      </c>
      <c r="G52" s="50">
        <v>0</v>
      </c>
      <c r="H52" s="50">
        <v>0</v>
      </c>
      <c r="I52" s="50">
        <v>5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5">
        <f t="shared" si="0"/>
        <v>16</v>
      </c>
      <c r="P52" s="15">
        <f t="shared" si="1"/>
        <v>39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4</v>
      </c>
      <c r="F53" s="50">
        <v>3</v>
      </c>
      <c r="G53" s="50">
        <v>0</v>
      </c>
      <c r="H53" s="50">
        <v>0</v>
      </c>
      <c r="I53" s="50">
        <v>4</v>
      </c>
      <c r="J53" s="50">
        <v>1</v>
      </c>
      <c r="K53" s="50">
        <v>1</v>
      </c>
      <c r="L53" s="50">
        <v>0</v>
      </c>
      <c r="M53" s="50">
        <v>20</v>
      </c>
      <c r="N53" s="50">
        <v>0</v>
      </c>
      <c r="O53" s="15">
        <f t="shared" si="0"/>
        <v>15</v>
      </c>
      <c r="P53" s="15">
        <f t="shared" si="1"/>
        <v>35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1</v>
      </c>
      <c r="F54" s="50">
        <v>4</v>
      </c>
      <c r="G54" s="50">
        <v>1</v>
      </c>
      <c r="H54" s="50">
        <v>0</v>
      </c>
      <c r="I54" s="50">
        <v>1</v>
      </c>
      <c r="J54" s="50">
        <v>0</v>
      </c>
      <c r="K54" s="50">
        <v>1</v>
      </c>
      <c r="L54" s="50">
        <v>0</v>
      </c>
      <c r="M54" s="50">
        <v>25</v>
      </c>
      <c r="N54" s="50">
        <v>0</v>
      </c>
      <c r="O54" s="15">
        <f t="shared" si="0"/>
        <v>10</v>
      </c>
      <c r="P54" s="15">
        <f t="shared" si="1"/>
        <v>35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5</v>
      </c>
      <c r="F55" s="50">
        <v>2</v>
      </c>
      <c r="G55" s="50">
        <v>1</v>
      </c>
      <c r="H55" s="50">
        <v>0</v>
      </c>
      <c r="I55" s="50">
        <v>6</v>
      </c>
      <c r="J55" s="50">
        <v>0</v>
      </c>
      <c r="K55" s="50">
        <v>0</v>
      </c>
      <c r="L55" s="50">
        <v>0</v>
      </c>
      <c r="M55" s="50">
        <v>29</v>
      </c>
      <c r="N55" s="50">
        <v>0</v>
      </c>
      <c r="O55" s="15">
        <f t="shared" si="0"/>
        <v>15</v>
      </c>
      <c r="P55" s="15">
        <f t="shared" si="1"/>
        <v>44</v>
      </c>
      <c r="R55" s="8"/>
      <c r="T55"/>
    </row>
    <row r="56" spans="2:20" ht="23.1" customHeight="1" x14ac:dyDescent="0.25">
      <c r="B56" s="45" t="s">
        <v>83</v>
      </c>
      <c r="C56" s="50">
        <v>6</v>
      </c>
      <c r="D56" s="50">
        <v>0</v>
      </c>
      <c r="E56" s="50">
        <v>3</v>
      </c>
      <c r="F56" s="50">
        <v>3</v>
      </c>
      <c r="G56" s="50">
        <v>0</v>
      </c>
      <c r="H56" s="50">
        <v>0</v>
      </c>
      <c r="I56" s="50">
        <v>3</v>
      </c>
      <c r="J56" s="50">
        <v>0</v>
      </c>
      <c r="K56" s="50">
        <v>1</v>
      </c>
      <c r="L56" s="50">
        <v>0</v>
      </c>
      <c r="M56" s="50">
        <v>25</v>
      </c>
      <c r="N56" s="50">
        <v>0</v>
      </c>
      <c r="O56" s="15">
        <f t="shared" si="0"/>
        <v>16</v>
      </c>
      <c r="P56" s="15">
        <f t="shared" si="1"/>
        <v>41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4</v>
      </c>
      <c r="F58" s="50">
        <v>0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15</v>
      </c>
      <c r="N58" s="50">
        <v>0</v>
      </c>
      <c r="O58" s="15">
        <f t="shared" si="0"/>
        <v>7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4</v>
      </c>
      <c r="G59" s="50">
        <v>0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17</v>
      </c>
      <c r="N59" s="50">
        <v>0</v>
      </c>
      <c r="O59" s="15">
        <f t="shared" si="0"/>
        <v>10</v>
      </c>
      <c r="P59" s="15">
        <f t="shared" si="1"/>
        <v>27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3</v>
      </c>
      <c r="J60" s="50">
        <v>1</v>
      </c>
      <c r="K60" s="50">
        <v>0</v>
      </c>
      <c r="L60" s="50">
        <v>0</v>
      </c>
      <c r="M60" s="50">
        <v>13</v>
      </c>
      <c r="N60" s="50">
        <v>0</v>
      </c>
      <c r="O60" s="15">
        <f t="shared" si="0"/>
        <v>5</v>
      </c>
      <c r="P60" s="15">
        <f t="shared" si="1"/>
        <v>18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3</v>
      </c>
      <c r="J61" s="50">
        <v>1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0"/>
        <v>8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2</v>
      </c>
      <c r="F62" s="50">
        <v>3</v>
      </c>
      <c r="G62" s="50">
        <v>0</v>
      </c>
      <c r="H62" s="50">
        <v>0</v>
      </c>
      <c r="I62" s="50">
        <v>2</v>
      </c>
      <c r="J62" s="50">
        <v>0</v>
      </c>
      <c r="K62" s="50">
        <v>2</v>
      </c>
      <c r="L62" s="50">
        <v>0</v>
      </c>
      <c r="M62" s="50">
        <v>11</v>
      </c>
      <c r="N62" s="50">
        <v>0</v>
      </c>
      <c r="O62" s="15">
        <f t="shared" si="0"/>
        <v>11</v>
      </c>
      <c r="P62" s="15">
        <f t="shared" si="1"/>
        <v>22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3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7</v>
      </c>
      <c r="N63" s="50">
        <v>0</v>
      </c>
      <c r="O63" s="15">
        <f t="shared" si="0"/>
        <v>6</v>
      </c>
      <c r="P63" s="15">
        <f t="shared" si="1"/>
        <v>13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4</v>
      </c>
      <c r="F64" s="50">
        <v>1</v>
      </c>
      <c r="G64" s="50">
        <v>0</v>
      </c>
      <c r="H64" s="50">
        <v>0</v>
      </c>
      <c r="I64" s="50">
        <v>4</v>
      </c>
      <c r="J64" s="50">
        <v>0</v>
      </c>
      <c r="K64" s="50">
        <v>0</v>
      </c>
      <c r="L64" s="50">
        <v>0</v>
      </c>
      <c r="M64" s="50">
        <v>11</v>
      </c>
      <c r="N64" s="50">
        <v>0</v>
      </c>
      <c r="O64" s="15">
        <f t="shared" si="0"/>
        <v>12</v>
      </c>
      <c r="P64" s="15">
        <f t="shared" si="1"/>
        <v>23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1</v>
      </c>
      <c r="K65" s="50">
        <v>1</v>
      </c>
      <c r="L65" s="50">
        <v>0</v>
      </c>
      <c r="M65" s="50">
        <v>10</v>
      </c>
      <c r="N65" s="50">
        <v>0</v>
      </c>
      <c r="O65" s="15">
        <f t="shared" si="0"/>
        <v>8</v>
      </c>
      <c r="P65" s="15">
        <f t="shared" si="1"/>
        <v>18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2</v>
      </c>
      <c r="J66" s="50">
        <v>1</v>
      </c>
      <c r="K66" s="50">
        <v>1</v>
      </c>
      <c r="L66" s="50">
        <v>0</v>
      </c>
      <c r="M66" s="50">
        <v>6</v>
      </c>
      <c r="N66" s="50">
        <v>0</v>
      </c>
      <c r="O66" s="15">
        <f t="shared" si="0"/>
        <v>7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2</v>
      </c>
      <c r="F67" s="50">
        <v>1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0"/>
        <v>9</v>
      </c>
      <c r="P67" s="15">
        <f t="shared" si="1"/>
        <v>13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3</v>
      </c>
      <c r="F68" s="50">
        <v>1</v>
      </c>
      <c r="G68" s="50">
        <v>0</v>
      </c>
      <c r="H68" s="50">
        <v>0</v>
      </c>
      <c r="I68" s="50">
        <v>2</v>
      </c>
      <c r="J68" s="50">
        <v>2</v>
      </c>
      <c r="K68" s="50">
        <v>0</v>
      </c>
      <c r="L68" s="50">
        <v>0</v>
      </c>
      <c r="M68" s="50">
        <v>5</v>
      </c>
      <c r="N68" s="50">
        <v>0</v>
      </c>
      <c r="O68" s="15">
        <f t="shared" si="0"/>
        <v>13</v>
      </c>
      <c r="P68" s="15">
        <f t="shared" si="1"/>
        <v>18</v>
      </c>
      <c r="R68" s="8"/>
      <c r="T68"/>
    </row>
    <row r="69" spans="2:20" ht="23.1" customHeight="1" x14ac:dyDescent="0.25">
      <c r="B69" s="45" t="s">
        <v>106</v>
      </c>
      <c r="C69" s="50">
        <f>ROUND(C58/2,0)</f>
        <v>1</v>
      </c>
      <c r="D69" s="50">
        <f t="shared" ref="D69:L69" si="35">ROUND(D58/2,0)</f>
        <v>0</v>
      </c>
      <c r="E69" s="50">
        <f t="shared" si="35"/>
        <v>2</v>
      </c>
      <c r="F69" s="50">
        <f t="shared" si="35"/>
        <v>0</v>
      </c>
      <c r="G69" s="50">
        <f t="shared" si="35"/>
        <v>0</v>
      </c>
      <c r="H69" s="50">
        <f t="shared" si="35"/>
        <v>0</v>
      </c>
      <c r="I69" s="50">
        <f t="shared" si="35"/>
        <v>1</v>
      </c>
      <c r="J69" s="50">
        <f t="shared" si="35"/>
        <v>0</v>
      </c>
      <c r="K69" s="50">
        <f t="shared" si="35"/>
        <v>0</v>
      </c>
      <c r="L69" s="50">
        <f t="shared" si="35"/>
        <v>0</v>
      </c>
      <c r="M69" s="50">
        <v>6</v>
      </c>
      <c r="N69" s="50"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45" t="s">
        <v>110</v>
      </c>
      <c r="C70" s="50">
        <f t="shared" ref="C70:L85" si="36">ROUND(C59/2,0)</f>
        <v>1</v>
      </c>
      <c r="D70" s="50">
        <f t="shared" si="36"/>
        <v>0</v>
      </c>
      <c r="E70" s="50">
        <f t="shared" si="36"/>
        <v>1</v>
      </c>
      <c r="F70" s="50">
        <f t="shared" si="36"/>
        <v>2</v>
      </c>
      <c r="G70" s="50">
        <f t="shared" si="36"/>
        <v>0</v>
      </c>
      <c r="H70" s="50">
        <f t="shared" si="36"/>
        <v>0</v>
      </c>
      <c r="I70" s="50">
        <f t="shared" si="36"/>
        <v>2</v>
      </c>
      <c r="J70" s="50">
        <f t="shared" si="36"/>
        <v>0</v>
      </c>
      <c r="K70" s="50">
        <f t="shared" si="36"/>
        <v>0</v>
      </c>
      <c r="L70" s="50">
        <f t="shared" si="36"/>
        <v>0</v>
      </c>
      <c r="M70" s="50">
        <v>7</v>
      </c>
      <c r="N70" s="50">
        <v>0</v>
      </c>
      <c r="O70" s="15">
        <f t="shared" si="0"/>
        <v>6</v>
      </c>
      <c r="P70" s="15">
        <f t="shared" si="1"/>
        <v>13</v>
      </c>
      <c r="R70" s="8"/>
      <c r="T70"/>
    </row>
    <row r="71" spans="2:20" ht="23.1" customHeight="1" x14ac:dyDescent="0.25">
      <c r="B71" s="45" t="s">
        <v>111</v>
      </c>
      <c r="C71" s="50">
        <f t="shared" si="36"/>
        <v>0</v>
      </c>
      <c r="D71" s="50">
        <f t="shared" si="36"/>
        <v>0</v>
      </c>
      <c r="E71" s="50">
        <f t="shared" si="36"/>
        <v>1</v>
      </c>
      <c r="F71" s="50">
        <f t="shared" si="36"/>
        <v>0</v>
      </c>
      <c r="G71" s="50">
        <f t="shared" si="36"/>
        <v>0</v>
      </c>
      <c r="H71" s="50">
        <f t="shared" si="36"/>
        <v>0</v>
      </c>
      <c r="I71" s="50">
        <f t="shared" si="36"/>
        <v>2</v>
      </c>
      <c r="J71" s="50">
        <f t="shared" si="36"/>
        <v>1</v>
      </c>
      <c r="K71" s="50">
        <f t="shared" si="36"/>
        <v>0</v>
      </c>
      <c r="L71" s="50">
        <f t="shared" si="36"/>
        <v>0</v>
      </c>
      <c r="M71" s="50">
        <v>3</v>
      </c>
      <c r="N71" s="50">
        <v>0</v>
      </c>
      <c r="O71" s="15">
        <f t="shared" si="0"/>
        <v>4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f t="shared" si="36"/>
        <v>1</v>
      </c>
      <c r="D72" s="50">
        <f t="shared" si="36"/>
        <v>0</v>
      </c>
      <c r="E72" s="50">
        <f t="shared" si="36"/>
        <v>1</v>
      </c>
      <c r="F72" s="50">
        <f t="shared" si="36"/>
        <v>0</v>
      </c>
      <c r="G72" s="50">
        <f t="shared" si="36"/>
        <v>0</v>
      </c>
      <c r="H72" s="50">
        <f t="shared" si="36"/>
        <v>0</v>
      </c>
      <c r="I72" s="50">
        <f t="shared" si="36"/>
        <v>2</v>
      </c>
      <c r="J72" s="50">
        <f t="shared" si="36"/>
        <v>1</v>
      </c>
      <c r="K72" s="50">
        <f t="shared" si="36"/>
        <v>0</v>
      </c>
      <c r="L72" s="50">
        <f t="shared" si="36"/>
        <v>0</v>
      </c>
      <c r="M72" s="50">
        <v>2</v>
      </c>
      <c r="N72" s="50">
        <v>0</v>
      </c>
      <c r="O72" s="15">
        <f t="shared" si="0"/>
        <v>5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f t="shared" si="36"/>
        <v>1</v>
      </c>
      <c r="D73" s="50">
        <f t="shared" si="36"/>
        <v>0</v>
      </c>
      <c r="E73" s="50">
        <f t="shared" si="36"/>
        <v>1</v>
      </c>
      <c r="F73" s="50">
        <f t="shared" si="36"/>
        <v>2</v>
      </c>
      <c r="G73" s="50">
        <f t="shared" si="36"/>
        <v>0</v>
      </c>
      <c r="H73" s="50">
        <f t="shared" si="36"/>
        <v>0</v>
      </c>
      <c r="I73" s="50">
        <f t="shared" si="36"/>
        <v>1</v>
      </c>
      <c r="J73" s="50">
        <f t="shared" si="36"/>
        <v>0</v>
      </c>
      <c r="K73" s="50">
        <f t="shared" si="36"/>
        <v>1</v>
      </c>
      <c r="L73" s="50">
        <f t="shared" si="36"/>
        <v>0</v>
      </c>
      <c r="M73" s="50">
        <v>1</v>
      </c>
      <c r="N73" s="50">
        <v>0</v>
      </c>
      <c r="O73" s="15">
        <f t="shared" si="0"/>
        <v>6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f t="shared" si="36"/>
        <v>1</v>
      </c>
      <c r="D74" s="50">
        <f t="shared" si="36"/>
        <v>0</v>
      </c>
      <c r="E74" s="50">
        <f t="shared" si="36"/>
        <v>2</v>
      </c>
      <c r="F74" s="50">
        <f t="shared" si="36"/>
        <v>0</v>
      </c>
      <c r="G74" s="50">
        <f t="shared" si="36"/>
        <v>0</v>
      </c>
      <c r="H74" s="50">
        <f t="shared" si="36"/>
        <v>0</v>
      </c>
      <c r="I74" s="50">
        <f t="shared" si="36"/>
        <v>0</v>
      </c>
      <c r="J74" s="50">
        <f t="shared" si="36"/>
        <v>0</v>
      </c>
      <c r="K74" s="50">
        <f t="shared" si="36"/>
        <v>1</v>
      </c>
      <c r="L74" s="50">
        <f t="shared" si="36"/>
        <v>0</v>
      </c>
      <c r="M74" s="50">
        <v>1</v>
      </c>
      <c r="N74" s="50">
        <v>0</v>
      </c>
      <c r="O74" s="15">
        <f t="shared" ref="O74:O105" si="37">SUM(C74:L74,N74)</f>
        <v>4</v>
      </c>
      <c r="P74" s="15">
        <f t="shared" ref="P74:P105" si="38">SUM(C74:N74)</f>
        <v>5</v>
      </c>
      <c r="R74" s="8"/>
      <c r="T74"/>
    </row>
    <row r="75" spans="2:20" ht="23.1" customHeight="1" x14ac:dyDescent="0.25">
      <c r="B75" s="45" t="s">
        <v>115</v>
      </c>
      <c r="C75" s="50">
        <f t="shared" si="36"/>
        <v>2</v>
      </c>
      <c r="D75" s="50">
        <f t="shared" si="36"/>
        <v>0</v>
      </c>
      <c r="E75" s="50">
        <f t="shared" si="36"/>
        <v>2</v>
      </c>
      <c r="F75" s="50">
        <f t="shared" si="36"/>
        <v>1</v>
      </c>
      <c r="G75" s="50">
        <f t="shared" si="36"/>
        <v>0</v>
      </c>
      <c r="H75" s="50">
        <f t="shared" si="36"/>
        <v>0</v>
      </c>
      <c r="I75" s="50">
        <f t="shared" si="36"/>
        <v>2</v>
      </c>
      <c r="J75" s="50">
        <f t="shared" si="36"/>
        <v>0</v>
      </c>
      <c r="K75" s="50">
        <f t="shared" si="36"/>
        <v>0</v>
      </c>
      <c r="L75" s="50">
        <f t="shared" si="36"/>
        <v>0</v>
      </c>
      <c r="M75" s="50">
        <v>0</v>
      </c>
      <c r="N75" s="50">
        <v>0</v>
      </c>
      <c r="O75" s="15">
        <f t="shared" si="37"/>
        <v>7</v>
      </c>
      <c r="P75" s="15">
        <f t="shared" si="38"/>
        <v>7</v>
      </c>
      <c r="R75" s="8"/>
      <c r="T75"/>
    </row>
    <row r="76" spans="2:20" ht="23.1" customHeight="1" x14ac:dyDescent="0.25">
      <c r="B76" s="45" t="s">
        <v>116</v>
      </c>
      <c r="C76" s="50">
        <f t="shared" si="36"/>
        <v>2</v>
      </c>
      <c r="D76" s="50">
        <f t="shared" si="36"/>
        <v>0</v>
      </c>
      <c r="E76" s="50">
        <f t="shared" si="36"/>
        <v>0</v>
      </c>
      <c r="F76" s="50">
        <f t="shared" si="36"/>
        <v>1</v>
      </c>
      <c r="G76" s="50">
        <f t="shared" si="36"/>
        <v>0</v>
      </c>
      <c r="H76" s="50">
        <f t="shared" si="36"/>
        <v>0</v>
      </c>
      <c r="I76" s="50">
        <f t="shared" si="36"/>
        <v>1</v>
      </c>
      <c r="J76" s="50">
        <f t="shared" si="36"/>
        <v>1</v>
      </c>
      <c r="K76" s="50">
        <f t="shared" si="36"/>
        <v>1</v>
      </c>
      <c r="L76" s="50">
        <f t="shared" si="36"/>
        <v>0</v>
      </c>
      <c r="M76" s="50">
        <v>0</v>
      </c>
      <c r="N76" s="50">
        <v>0</v>
      </c>
      <c r="O76" s="15">
        <f t="shared" si="37"/>
        <v>6</v>
      </c>
      <c r="P76" s="15">
        <f t="shared" si="38"/>
        <v>6</v>
      </c>
      <c r="R76" s="8"/>
      <c r="T76"/>
    </row>
    <row r="77" spans="2:20" ht="23.1" customHeight="1" x14ac:dyDescent="0.25">
      <c r="B77" s="45" t="s">
        <v>117</v>
      </c>
      <c r="C77" s="50">
        <f t="shared" si="36"/>
        <v>1</v>
      </c>
      <c r="D77" s="50">
        <f t="shared" si="36"/>
        <v>0</v>
      </c>
      <c r="E77" s="50">
        <f t="shared" si="36"/>
        <v>1</v>
      </c>
      <c r="F77" s="50">
        <f t="shared" si="36"/>
        <v>1</v>
      </c>
      <c r="G77" s="50">
        <f t="shared" si="36"/>
        <v>0</v>
      </c>
      <c r="H77" s="50">
        <f t="shared" si="36"/>
        <v>0</v>
      </c>
      <c r="I77" s="50">
        <f t="shared" si="36"/>
        <v>1</v>
      </c>
      <c r="J77" s="50">
        <f t="shared" si="36"/>
        <v>1</v>
      </c>
      <c r="K77" s="50">
        <f t="shared" si="36"/>
        <v>1</v>
      </c>
      <c r="L77" s="50">
        <f t="shared" si="36"/>
        <v>0</v>
      </c>
      <c r="M77" s="50">
        <v>1</v>
      </c>
      <c r="N77" s="50">
        <v>0</v>
      </c>
      <c r="O77" s="15">
        <f t="shared" si="37"/>
        <v>6</v>
      </c>
      <c r="P77" s="15">
        <f t="shared" si="38"/>
        <v>7</v>
      </c>
      <c r="R77" s="8"/>
      <c r="T77"/>
    </row>
    <row r="78" spans="2:20" ht="23.1" customHeight="1" x14ac:dyDescent="0.25">
      <c r="B78" s="46" t="s">
        <v>118</v>
      </c>
      <c r="C78" s="50">
        <f t="shared" si="36"/>
        <v>2</v>
      </c>
      <c r="D78" s="50">
        <f t="shared" si="36"/>
        <v>0</v>
      </c>
      <c r="E78" s="50">
        <f t="shared" si="36"/>
        <v>1</v>
      </c>
      <c r="F78" s="50">
        <f t="shared" si="36"/>
        <v>1</v>
      </c>
      <c r="G78" s="50">
        <f t="shared" si="36"/>
        <v>0</v>
      </c>
      <c r="H78" s="50">
        <f t="shared" si="36"/>
        <v>0</v>
      </c>
      <c r="I78" s="50">
        <f t="shared" si="36"/>
        <v>1</v>
      </c>
      <c r="J78" s="50">
        <f t="shared" si="36"/>
        <v>0</v>
      </c>
      <c r="K78" s="50">
        <f t="shared" si="36"/>
        <v>0</v>
      </c>
      <c r="L78" s="50">
        <f t="shared" si="36"/>
        <v>0</v>
      </c>
      <c r="M78" s="50">
        <v>0</v>
      </c>
      <c r="N78" s="50">
        <v>0</v>
      </c>
      <c r="O78" s="15">
        <f t="shared" si="37"/>
        <v>5</v>
      </c>
      <c r="P78" s="15">
        <f t="shared" si="38"/>
        <v>5</v>
      </c>
      <c r="R78" s="8"/>
      <c r="T78"/>
    </row>
    <row r="79" spans="2:20" ht="23.1" customHeight="1" x14ac:dyDescent="0.25">
      <c r="B79" s="45" t="s">
        <v>119</v>
      </c>
      <c r="C79" s="50">
        <f t="shared" si="36"/>
        <v>3</v>
      </c>
      <c r="D79" s="50">
        <f t="shared" si="36"/>
        <v>0</v>
      </c>
      <c r="E79" s="50">
        <f t="shared" si="36"/>
        <v>2</v>
      </c>
      <c r="F79" s="50">
        <f t="shared" si="36"/>
        <v>1</v>
      </c>
      <c r="G79" s="50">
        <f t="shared" si="36"/>
        <v>0</v>
      </c>
      <c r="H79" s="50">
        <f t="shared" si="36"/>
        <v>0</v>
      </c>
      <c r="I79" s="50">
        <f t="shared" si="36"/>
        <v>1</v>
      </c>
      <c r="J79" s="50">
        <f t="shared" si="36"/>
        <v>1</v>
      </c>
      <c r="K79" s="50">
        <f t="shared" si="36"/>
        <v>0</v>
      </c>
      <c r="L79" s="50">
        <f t="shared" si="36"/>
        <v>0</v>
      </c>
      <c r="M79" s="50">
        <v>0</v>
      </c>
      <c r="N79" s="50">
        <v>0</v>
      </c>
      <c r="O79" s="15">
        <f t="shared" si="37"/>
        <v>8</v>
      </c>
      <c r="P79" s="15">
        <f t="shared" si="38"/>
        <v>8</v>
      </c>
      <c r="R79" s="8"/>
      <c r="T79"/>
    </row>
    <row r="80" spans="2:20" ht="23.1" customHeight="1" x14ac:dyDescent="0.25">
      <c r="B80" s="47" t="s">
        <v>120</v>
      </c>
      <c r="C80" s="50">
        <f t="shared" si="36"/>
        <v>1</v>
      </c>
      <c r="D80" s="50">
        <f t="shared" si="36"/>
        <v>0</v>
      </c>
      <c r="E80" s="50">
        <f t="shared" si="36"/>
        <v>1</v>
      </c>
      <c r="F80" s="50">
        <f t="shared" si="36"/>
        <v>0</v>
      </c>
      <c r="G80" s="50">
        <f t="shared" si="36"/>
        <v>0</v>
      </c>
      <c r="H80" s="50">
        <f t="shared" si="36"/>
        <v>0</v>
      </c>
      <c r="I80" s="50">
        <f t="shared" si="36"/>
        <v>1</v>
      </c>
      <c r="J80" s="50">
        <f t="shared" si="36"/>
        <v>0</v>
      </c>
      <c r="K80" s="50">
        <f t="shared" si="36"/>
        <v>0</v>
      </c>
      <c r="L80" s="50">
        <f t="shared" si="36"/>
        <v>0</v>
      </c>
      <c r="M80" s="50">
        <v>1</v>
      </c>
      <c r="N80" s="50">
        <v>0</v>
      </c>
      <c r="O80" s="15">
        <f t="shared" si="37"/>
        <v>3</v>
      </c>
      <c r="P80" s="15">
        <f t="shared" si="38"/>
        <v>4</v>
      </c>
      <c r="R80" s="8"/>
      <c r="T80"/>
    </row>
    <row r="81" spans="2:20" ht="23.1" customHeight="1" x14ac:dyDescent="0.25">
      <c r="B81" s="45" t="s">
        <v>121</v>
      </c>
      <c r="C81" s="50">
        <f t="shared" si="36"/>
        <v>1</v>
      </c>
      <c r="D81" s="50">
        <f t="shared" si="36"/>
        <v>0</v>
      </c>
      <c r="E81" s="50">
        <f t="shared" si="36"/>
        <v>1</v>
      </c>
      <c r="F81" s="50">
        <f t="shared" si="36"/>
        <v>1</v>
      </c>
      <c r="G81" s="50">
        <f t="shared" si="36"/>
        <v>0</v>
      </c>
      <c r="H81" s="50">
        <f t="shared" si="36"/>
        <v>0</v>
      </c>
      <c r="I81" s="50">
        <f t="shared" si="36"/>
        <v>1</v>
      </c>
      <c r="J81" s="50">
        <f t="shared" si="36"/>
        <v>0</v>
      </c>
      <c r="K81" s="50">
        <f t="shared" si="36"/>
        <v>0</v>
      </c>
      <c r="L81" s="50">
        <f t="shared" si="36"/>
        <v>0</v>
      </c>
      <c r="M81" s="50">
        <v>0</v>
      </c>
      <c r="N81" s="50">
        <v>0</v>
      </c>
      <c r="O81" s="15">
        <f t="shared" si="37"/>
        <v>4</v>
      </c>
      <c r="P81" s="15">
        <f t="shared" si="38"/>
        <v>4</v>
      </c>
      <c r="R81" s="8"/>
      <c r="T81"/>
    </row>
    <row r="82" spans="2:20" ht="23.1" customHeight="1" x14ac:dyDescent="0.25">
      <c r="B82" s="46" t="s">
        <v>122</v>
      </c>
      <c r="C82" s="50">
        <f t="shared" si="36"/>
        <v>0</v>
      </c>
      <c r="D82" s="50">
        <f t="shared" si="36"/>
        <v>0</v>
      </c>
      <c r="E82" s="50">
        <f t="shared" si="36"/>
        <v>1</v>
      </c>
      <c r="F82" s="50">
        <f t="shared" si="36"/>
        <v>0</v>
      </c>
      <c r="G82" s="50">
        <f t="shared" si="36"/>
        <v>0</v>
      </c>
      <c r="H82" s="50">
        <f t="shared" si="36"/>
        <v>0</v>
      </c>
      <c r="I82" s="50">
        <f t="shared" si="36"/>
        <v>1</v>
      </c>
      <c r="J82" s="50">
        <f t="shared" si="36"/>
        <v>1</v>
      </c>
      <c r="K82" s="50">
        <f t="shared" si="36"/>
        <v>0</v>
      </c>
      <c r="L82" s="50">
        <f t="shared" si="36"/>
        <v>0</v>
      </c>
      <c r="M82" s="50">
        <v>0</v>
      </c>
      <c r="N82" s="50">
        <v>0</v>
      </c>
      <c r="O82" s="15">
        <f t="shared" si="37"/>
        <v>3</v>
      </c>
      <c r="P82" s="15">
        <f t="shared" si="38"/>
        <v>3</v>
      </c>
      <c r="R82" s="8"/>
      <c r="T82"/>
    </row>
    <row r="83" spans="2:20" ht="23.1" customHeight="1" x14ac:dyDescent="0.25">
      <c r="B83" s="45" t="s">
        <v>123</v>
      </c>
      <c r="C83" s="50">
        <f t="shared" si="36"/>
        <v>1</v>
      </c>
      <c r="D83" s="50">
        <f t="shared" si="36"/>
        <v>0</v>
      </c>
      <c r="E83" s="50">
        <f t="shared" si="36"/>
        <v>1</v>
      </c>
      <c r="F83" s="50">
        <f t="shared" si="36"/>
        <v>0</v>
      </c>
      <c r="G83" s="50">
        <f t="shared" si="36"/>
        <v>0</v>
      </c>
      <c r="H83" s="50">
        <f t="shared" si="36"/>
        <v>0</v>
      </c>
      <c r="I83" s="50">
        <f t="shared" si="36"/>
        <v>1</v>
      </c>
      <c r="J83" s="50">
        <f t="shared" si="36"/>
        <v>1</v>
      </c>
      <c r="K83" s="50">
        <f t="shared" si="36"/>
        <v>0</v>
      </c>
      <c r="L83" s="50">
        <f t="shared" si="36"/>
        <v>0</v>
      </c>
      <c r="M83" s="50">
        <v>0</v>
      </c>
      <c r="N83" s="50">
        <v>0</v>
      </c>
      <c r="O83" s="15">
        <f t="shared" si="37"/>
        <v>4</v>
      </c>
      <c r="P83" s="15">
        <f t="shared" si="38"/>
        <v>4</v>
      </c>
      <c r="R83" s="8"/>
      <c r="T83"/>
    </row>
    <row r="84" spans="2:20" ht="23.1" customHeight="1" x14ac:dyDescent="0.25">
      <c r="B84" s="47" t="s">
        <v>124</v>
      </c>
      <c r="C84" s="50">
        <f t="shared" si="36"/>
        <v>1</v>
      </c>
      <c r="D84" s="50">
        <f t="shared" si="36"/>
        <v>0</v>
      </c>
      <c r="E84" s="50">
        <f t="shared" si="36"/>
        <v>1</v>
      </c>
      <c r="F84" s="50">
        <f t="shared" si="36"/>
        <v>1</v>
      </c>
      <c r="G84" s="50">
        <f t="shared" si="36"/>
        <v>0</v>
      </c>
      <c r="H84" s="50">
        <f t="shared" si="36"/>
        <v>0</v>
      </c>
      <c r="I84" s="50">
        <f t="shared" si="36"/>
        <v>1</v>
      </c>
      <c r="J84" s="50">
        <f t="shared" si="36"/>
        <v>0</v>
      </c>
      <c r="K84" s="50">
        <f t="shared" si="36"/>
        <v>1</v>
      </c>
      <c r="L84" s="50">
        <f t="shared" si="36"/>
        <v>0</v>
      </c>
      <c r="M84" s="50">
        <v>1</v>
      </c>
      <c r="N84" s="50">
        <v>0</v>
      </c>
      <c r="O84" s="15">
        <f t="shared" si="37"/>
        <v>5</v>
      </c>
      <c r="P84" s="15">
        <f t="shared" si="38"/>
        <v>6</v>
      </c>
      <c r="R84" s="8"/>
      <c r="T84"/>
    </row>
    <row r="85" spans="2:20" ht="23.1" customHeight="1" x14ac:dyDescent="0.25">
      <c r="B85" s="45" t="s">
        <v>125</v>
      </c>
      <c r="C85" s="50">
        <f t="shared" si="36"/>
        <v>1</v>
      </c>
      <c r="D85" s="50">
        <f t="shared" si="36"/>
        <v>0</v>
      </c>
      <c r="E85" s="50">
        <f t="shared" si="36"/>
        <v>1</v>
      </c>
      <c r="F85" s="50">
        <f t="shared" si="36"/>
        <v>0</v>
      </c>
      <c r="G85" s="50">
        <f t="shared" si="36"/>
        <v>0</v>
      </c>
      <c r="H85" s="50">
        <f t="shared" si="36"/>
        <v>0</v>
      </c>
      <c r="I85" s="50">
        <f t="shared" si="36"/>
        <v>0</v>
      </c>
      <c r="J85" s="50">
        <f t="shared" si="36"/>
        <v>0</v>
      </c>
      <c r="K85" s="50">
        <f t="shared" si="36"/>
        <v>1</v>
      </c>
      <c r="L85" s="50">
        <f t="shared" si="36"/>
        <v>0</v>
      </c>
      <c r="M85" s="50">
        <v>0</v>
      </c>
      <c r="N85" s="50">
        <v>0</v>
      </c>
      <c r="O85" s="15">
        <f t="shared" si="37"/>
        <v>3</v>
      </c>
      <c r="P85" s="15">
        <f t="shared" si="38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7"/>
        <v>0</v>
      </c>
      <c r="P86" s="15">
        <f t="shared" si="38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7"/>
        <v>0</v>
      </c>
      <c r="P87" s="15">
        <f t="shared" si="38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7"/>
        <v>0</v>
      </c>
      <c r="P88" s="15">
        <f t="shared" si="38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7"/>
        <v>0</v>
      </c>
      <c r="P89" s="15">
        <f t="shared" si="38"/>
        <v>0</v>
      </c>
      <c r="R89" s="8"/>
      <c r="T89"/>
    </row>
    <row r="90" spans="2:20" ht="23.1" customHeight="1" x14ac:dyDescent="0.25">
      <c r="B90" s="46" t="s">
        <v>130</v>
      </c>
      <c r="C90" s="50">
        <f t="shared" ref="C90:L90" si="39">ROUND(C79/2,0)</f>
        <v>2</v>
      </c>
      <c r="D90" s="50">
        <f t="shared" si="39"/>
        <v>0</v>
      </c>
      <c r="E90" s="50">
        <f t="shared" si="39"/>
        <v>1</v>
      </c>
      <c r="F90" s="50">
        <f t="shared" si="39"/>
        <v>1</v>
      </c>
      <c r="G90" s="50">
        <f t="shared" si="39"/>
        <v>0</v>
      </c>
      <c r="H90" s="50">
        <f t="shared" si="39"/>
        <v>0</v>
      </c>
      <c r="I90" s="50">
        <f t="shared" si="39"/>
        <v>1</v>
      </c>
      <c r="J90" s="50">
        <f t="shared" si="39"/>
        <v>1</v>
      </c>
      <c r="K90" s="50">
        <f t="shared" si="39"/>
        <v>0</v>
      </c>
      <c r="L90" s="50">
        <f t="shared" si="39"/>
        <v>0</v>
      </c>
      <c r="M90" s="50">
        <v>0</v>
      </c>
      <c r="N90" s="50">
        <v>0</v>
      </c>
      <c r="O90" s="15">
        <f t="shared" si="37"/>
        <v>6</v>
      </c>
      <c r="P90" s="15">
        <f t="shared" si="38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7"/>
        <v>0</v>
      </c>
      <c r="P91" s="15">
        <f t="shared" si="38"/>
        <v>0</v>
      </c>
      <c r="R91" s="8"/>
      <c r="T91"/>
    </row>
    <row r="92" spans="2:20" ht="23.1" customHeight="1" x14ac:dyDescent="0.25">
      <c r="B92" s="47" t="s">
        <v>132</v>
      </c>
      <c r="C92" s="50">
        <f t="shared" ref="C92:L92" si="40">ROUND(C81/2,0)</f>
        <v>1</v>
      </c>
      <c r="D92" s="50">
        <f t="shared" si="40"/>
        <v>0</v>
      </c>
      <c r="E92" s="50">
        <f t="shared" si="40"/>
        <v>1</v>
      </c>
      <c r="F92" s="50">
        <f t="shared" si="40"/>
        <v>1</v>
      </c>
      <c r="G92" s="50">
        <f t="shared" si="40"/>
        <v>0</v>
      </c>
      <c r="H92" s="50">
        <f t="shared" si="40"/>
        <v>0</v>
      </c>
      <c r="I92" s="50">
        <f t="shared" si="40"/>
        <v>1</v>
      </c>
      <c r="J92" s="50">
        <f t="shared" si="40"/>
        <v>0</v>
      </c>
      <c r="K92" s="50">
        <f t="shared" si="40"/>
        <v>0</v>
      </c>
      <c r="L92" s="50">
        <f t="shared" si="40"/>
        <v>0</v>
      </c>
      <c r="M92" s="50">
        <v>0</v>
      </c>
      <c r="N92" s="50">
        <v>0</v>
      </c>
      <c r="O92" s="15">
        <f t="shared" si="37"/>
        <v>4</v>
      </c>
      <c r="P92" s="15">
        <f t="shared" si="38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7"/>
        <v>0</v>
      </c>
      <c r="P93" s="15">
        <f t="shared" si="38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7"/>
        <v>0</v>
      </c>
      <c r="P94" s="15">
        <f t="shared" si="38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7"/>
        <v>0</v>
      </c>
      <c r="P95" s="15">
        <f t="shared" si="38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7"/>
        <v>0</v>
      </c>
      <c r="P96" s="15">
        <f t="shared" si="38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7"/>
        <v>0</v>
      </c>
      <c r="P97" s="15">
        <f t="shared" si="38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7"/>
        <v>0</v>
      </c>
      <c r="P98" s="15">
        <f t="shared" si="38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7"/>
        <v>0</v>
      </c>
      <c r="P99" s="15">
        <f t="shared" si="38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7"/>
        <v>0</v>
      </c>
      <c r="P100" s="15">
        <f t="shared" si="38"/>
        <v>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3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3</v>
      </c>
      <c r="N101" s="50">
        <v>0</v>
      </c>
      <c r="O101" s="15">
        <f t="shared" si="37"/>
        <v>6</v>
      </c>
      <c r="P101" s="15">
        <f t="shared" si="38"/>
        <v>9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7"/>
        <v>0</v>
      </c>
      <c r="P102" s="15">
        <f t="shared" si="38"/>
        <v>6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2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1</v>
      </c>
      <c r="L103" s="50">
        <v>0</v>
      </c>
      <c r="M103" s="50">
        <v>7</v>
      </c>
      <c r="N103" s="50">
        <v>0</v>
      </c>
      <c r="O103" s="15">
        <f t="shared" si="37"/>
        <v>7</v>
      </c>
      <c r="P103" s="15">
        <f t="shared" si="38"/>
        <v>14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2</v>
      </c>
      <c r="G104" s="50">
        <v>0</v>
      </c>
      <c r="H104" s="50">
        <v>1</v>
      </c>
      <c r="I104" s="50">
        <v>2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7"/>
        <v>9</v>
      </c>
      <c r="P104" s="15">
        <f t="shared" si="38"/>
        <v>15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3</v>
      </c>
      <c r="E105" s="50">
        <v>0</v>
      </c>
      <c r="F105" s="50">
        <v>1</v>
      </c>
      <c r="G105" s="50">
        <v>0</v>
      </c>
      <c r="H105" s="50">
        <v>0</v>
      </c>
      <c r="I105" s="50">
        <v>3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7"/>
        <v>11</v>
      </c>
      <c r="P105" s="15">
        <f t="shared" si="38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137</v>
      </c>
      <c r="D106" s="16">
        <f t="shared" ref="D106:P106" si="41">SUM(D10:D105)</f>
        <v>3</v>
      </c>
      <c r="E106" s="16">
        <f t="shared" si="41"/>
        <v>163</v>
      </c>
      <c r="F106" s="16">
        <f t="shared" si="41"/>
        <v>94</v>
      </c>
      <c r="G106" s="16">
        <f t="shared" si="41"/>
        <v>4</v>
      </c>
      <c r="H106" s="16">
        <f t="shared" si="41"/>
        <v>1</v>
      </c>
      <c r="I106" s="16">
        <f t="shared" si="41"/>
        <v>148</v>
      </c>
      <c r="J106" s="16">
        <f t="shared" si="41"/>
        <v>39</v>
      </c>
      <c r="K106" s="16">
        <f t="shared" si="41"/>
        <v>42</v>
      </c>
      <c r="L106" s="16">
        <f t="shared" si="41"/>
        <v>0</v>
      </c>
      <c r="M106" s="16">
        <f t="shared" si="41"/>
        <v>1151</v>
      </c>
      <c r="N106" s="16">
        <f t="shared" si="41"/>
        <v>0</v>
      </c>
      <c r="O106" s="16">
        <f t="shared" si="41"/>
        <v>631</v>
      </c>
      <c r="P106" s="16">
        <f t="shared" si="41"/>
        <v>1782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2">C106/$P$106</f>
        <v>7.6879910213243544E-2</v>
      </c>
      <c r="D107" s="43">
        <f t="shared" si="42"/>
        <v>1.6835016835016834E-3</v>
      </c>
      <c r="E107" s="43">
        <f t="shared" si="42"/>
        <v>9.1470258136924804E-2</v>
      </c>
      <c r="F107" s="43">
        <f t="shared" si="42"/>
        <v>5.2749719416386086E-2</v>
      </c>
      <c r="G107" s="43">
        <f t="shared" si="42"/>
        <v>2.2446689113355782E-3</v>
      </c>
      <c r="H107" s="43">
        <f t="shared" si="42"/>
        <v>5.6116722783389455E-4</v>
      </c>
      <c r="I107" s="43">
        <f t="shared" si="42"/>
        <v>8.3052749719416383E-2</v>
      </c>
      <c r="J107" s="43">
        <f t="shared" si="42"/>
        <v>2.1885521885521887E-2</v>
      </c>
      <c r="K107" s="43">
        <f t="shared" si="42"/>
        <v>2.3569023569023569E-2</v>
      </c>
      <c r="L107" s="43">
        <f t="shared" si="42"/>
        <v>0</v>
      </c>
      <c r="M107" s="43">
        <f t="shared" si="42"/>
        <v>0.64590347923681257</v>
      </c>
      <c r="N107" s="43">
        <f t="shared" si="42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0.21711568938193343</v>
      </c>
      <c r="D108" s="44">
        <f t="shared" ref="D108:N108" si="43">D106/$O$106</f>
        <v>4.7543581616481777E-3</v>
      </c>
      <c r="E108" s="44">
        <f t="shared" si="43"/>
        <v>0.2583201267828843</v>
      </c>
      <c r="F108" s="44">
        <f t="shared" si="43"/>
        <v>0.14896988906497624</v>
      </c>
      <c r="G108" s="44">
        <f t="shared" si="43"/>
        <v>6.3391442155309036E-3</v>
      </c>
      <c r="H108" s="44">
        <f t="shared" si="43"/>
        <v>1.5847860538827259E-3</v>
      </c>
      <c r="I108" s="44">
        <f t="shared" si="43"/>
        <v>0.23454833597464342</v>
      </c>
      <c r="J108" s="44">
        <f t="shared" si="43"/>
        <v>6.1806656101426306E-2</v>
      </c>
      <c r="K108" s="44">
        <f t="shared" si="43"/>
        <v>6.6561014263074481E-2</v>
      </c>
      <c r="L108" s="44">
        <f t="shared" si="43"/>
        <v>0</v>
      </c>
      <c r="M108" s="44"/>
      <c r="N108" s="44">
        <f t="shared" si="43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S54" sqref="S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KAPEKA-MATUGA'!C3:G3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'25.08 MATUGA-KAPEKA-24h'!G5:H5</f>
        <v>Kapeeka</v>
      </c>
      <c r="H5" s="67"/>
      <c r="I5" s="14"/>
      <c r="J5" s="2" t="s">
        <v>5</v>
      </c>
      <c r="K5" s="66" t="str">
        <f>'25.08 MATUGA-KAPEKA-24h'!K5:L5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KAPEKA-MATUGA'!D6:E6</f>
        <v>KAPEKA</v>
      </c>
      <c r="E6" s="67"/>
      <c r="F6" s="2" t="s">
        <v>2</v>
      </c>
      <c r="G6" s="66" t="str">
        <f>'20.08 KAPEKA-MATUGA'!G6:H6</f>
        <v>MATUGA</v>
      </c>
      <c r="H6" s="67"/>
      <c r="J6" s="2" t="s">
        <v>21</v>
      </c>
      <c r="K6" s="66" t="str">
        <f>'25.08 MATUGA-KAPEKA-24h'!K6:L6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18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2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54</v>
      </c>
      <c r="AD10" s="17">
        <f t="shared" si="2"/>
        <v>0</v>
      </c>
      <c r="AE10" s="31">
        <f t="shared" si="2"/>
        <v>23</v>
      </c>
      <c r="AF10" s="31">
        <f t="shared" si="2"/>
        <v>77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15</v>
      </c>
      <c r="N11" s="50">
        <v>0</v>
      </c>
      <c r="O11" s="15">
        <f t="shared" si="0"/>
        <v>5</v>
      </c>
      <c r="P11" s="15">
        <f t="shared" si="1"/>
        <v>20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4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13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61</v>
      </c>
      <c r="AD11" s="17">
        <f t="shared" si="3"/>
        <v>0</v>
      </c>
      <c r="AE11" s="31">
        <f t="shared" si="3"/>
        <v>32</v>
      </c>
      <c r="AF11" s="31">
        <f t="shared" si="3"/>
        <v>93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2</v>
      </c>
      <c r="F12" s="50">
        <v>2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0</v>
      </c>
      <c r="M12" s="50">
        <v>9</v>
      </c>
      <c r="N12" s="50">
        <v>0</v>
      </c>
      <c r="O12" s="15">
        <f t="shared" si="0"/>
        <v>10</v>
      </c>
      <c r="P12" s="15">
        <f t="shared" si="1"/>
        <v>19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23</v>
      </c>
      <c r="Z12" s="17">
        <f t="shared" si="4"/>
        <v>3</v>
      </c>
      <c r="AA12" s="17">
        <f t="shared" si="4"/>
        <v>3</v>
      </c>
      <c r="AB12" s="17">
        <f t="shared" si="4"/>
        <v>0</v>
      </c>
      <c r="AC12" s="17">
        <f t="shared" si="4"/>
        <v>75</v>
      </c>
      <c r="AD12" s="17">
        <f t="shared" si="4"/>
        <v>0</v>
      </c>
      <c r="AE12" s="31">
        <f t="shared" si="4"/>
        <v>47</v>
      </c>
      <c r="AF12" s="31">
        <f t="shared" si="4"/>
        <v>122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16</v>
      </c>
      <c r="N13" s="50">
        <v>0</v>
      </c>
      <c r="O13" s="15">
        <f t="shared" si="0"/>
        <v>4</v>
      </c>
      <c r="P13" s="15">
        <f t="shared" si="1"/>
        <v>20</v>
      </c>
      <c r="R13" s="1" t="s">
        <v>9</v>
      </c>
      <c r="S13" s="17">
        <f t="shared" ref="S13:AF13" si="5">SUM(C22:C25)</f>
        <v>10</v>
      </c>
      <c r="T13" s="17">
        <f t="shared" si="5"/>
        <v>0</v>
      </c>
      <c r="U13" s="17">
        <f t="shared" si="5"/>
        <v>11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12</v>
      </c>
      <c r="Z13" s="17">
        <f t="shared" si="5"/>
        <v>1</v>
      </c>
      <c r="AA13" s="17">
        <f t="shared" si="5"/>
        <v>3</v>
      </c>
      <c r="AB13" s="17">
        <f t="shared" si="5"/>
        <v>0</v>
      </c>
      <c r="AC13" s="17">
        <f t="shared" si="5"/>
        <v>77</v>
      </c>
      <c r="AD13" s="17">
        <f t="shared" si="5"/>
        <v>0</v>
      </c>
      <c r="AE13" s="31">
        <f t="shared" si="5"/>
        <v>43</v>
      </c>
      <c r="AF13" s="31">
        <f t="shared" si="5"/>
        <v>120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4</v>
      </c>
      <c r="P14" s="15">
        <f t="shared" si="1"/>
        <v>9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15</v>
      </c>
      <c r="V14" s="17">
        <f t="shared" si="6"/>
        <v>10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97</v>
      </c>
      <c r="AD14" s="17">
        <f t="shared" si="6"/>
        <v>0</v>
      </c>
      <c r="AE14" s="31">
        <f t="shared" si="6"/>
        <v>49</v>
      </c>
      <c r="AF14" s="31">
        <f t="shared" si="6"/>
        <v>146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13</v>
      </c>
      <c r="N15" s="50">
        <v>0</v>
      </c>
      <c r="O15" s="15">
        <f t="shared" si="0"/>
        <v>8</v>
      </c>
      <c r="P15" s="15">
        <f t="shared" si="1"/>
        <v>21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5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1</v>
      </c>
      <c r="AA15" s="17">
        <f t="shared" si="7"/>
        <v>3</v>
      </c>
      <c r="AB15" s="17">
        <f t="shared" si="7"/>
        <v>0</v>
      </c>
      <c r="AC15" s="17">
        <f t="shared" si="7"/>
        <v>81</v>
      </c>
      <c r="AD15" s="17">
        <f t="shared" si="7"/>
        <v>0</v>
      </c>
      <c r="AE15" s="31">
        <f t="shared" si="7"/>
        <v>35</v>
      </c>
      <c r="AF15" s="31">
        <f t="shared" si="7"/>
        <v>116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5</v>
      </c>
      <c r="G16" s="50">
        <v>0</v>
      </c>
      <c r="H16" s="50">
        <v>0</v>
      </c>
      <c r="I16" s="50">
        <v>7</v>
      </c>
      <c r="J16" s="50">
        <v>0</v>
      </c>
      <c r="K16" s="50">
        <v>0</v>
      </c>
      <c r="L16" s="50">
        <v>0</v>
      </c>
      <c r="M16" s="50">
        <v>26</v>
      </c>
      <c r="N16" s="50">
        <v>0</v>
      </c>
      <c r="O16" s="15">
        <f t="shared" si="0"/>
        <v>14</v>
      </c>
      <c r="P16" s="15">
        <f t="shared" si="1"/>
        <v>40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14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88</v>
      </c>
      <c r="AD16" s="17">
        <f t="shared" si="8"/>
        <v>0</v>
      </c>
      <c r="AE16" s="31">
        <f t="shared" si="8"/>
        <v>45</v>
      </c>
      <c r="AF16" s="31">
        <f t="shared" si="8"/>
        <v>133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17</v>
      </c>
      <c r="N17" s="50">
        <v>0</v>
      </c>
      <c r="O17" s="15">
        <f t="shared" si="0"/>
        <v>6</v>
      </c>
      <c r="P17" s="15">
        <f t="shared" si="1"/>
        <v>23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15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21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92</v>
      </c>
      <c r="AD17" s="17">
        <f t="shared" si="9"/>
        <v>0</v>
      </c>
      <c r="AE17" s="31">
        <f t="shared" si="9"/>
        <v>54</v>
      </c>
      <c r="AF17" s="31">
        <f t="shared" si="9"/>
        <v>146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7</v>
      </c>
      <c r="J18" s="50">
        <v>0</v>
      </c>
      <c r="K18" s="50">
        <v>1</v>
      </c>
      <c r="L18" s="50">
        <v>0</v>
      </c>
      <c r="M18" s="50">
        <v>19</v>
      </c>
      <c r="N18" s="50">
        <v>0</v>
      </c>
      <c r="O18" s="15">
        <f t="shared" si="0"/>
        <v>9</v>
      </c>
      <c r="P18" s="15">
        <f t="shared" si="1"/>
        <v>28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13</v>
      </c>
      <c r="V18" s="17">
        <f t="shared" si="10"/>
        <v>9</v>
      </c>
      <c r="W18" s="17">
        <f t="shared" si="10"/>
        <v>1</v>
      </c>
      <c r="X18" s="17">
        <f t="shared" si="10"/>
        <v>0</v>
      </c>
      <c r="Y18" s="17">
        <f t="shared" si="10"/>
        <v>14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93</v>
      </c>
      <c r="AD18" s="17">
        <f t="shared" si="10"/>
        <v>0</v>
      </c>
      <c r="AE18" s="31">
        <f t="shared" si="10"/>
        <v>53</v>
      </c>
      <c r="AF18" s="31">
        <f t="shared" si="10"/>
        <v>146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2</v>
      </c>
      <c r="F19" s="50">
        <v>2</v>
      </c>
      <c r="G19" s="50">
        <v>0</v>
      </c>
      <c r="H19" s="50">
        <v>0</v>
      </c>
      <c r="I19" s="50">
        <v>4</v>
      </c>
      <c r="J19" s="50">
        <v>2</v>
      </c>
      <c r="K19" s="50">
        <v>1</v>
      </c>
      <c r="L19" s="50">
        <v>0</v>
      </c>
      <c r="M19" s="50">
        <v>12</v>
      </c>
      <c r="N19" s="50">
        <v>0</v>
      </c>
      <c r="O19" s="15">
        <f t="shared" si="0"/>
        <v>12</v>
      </c>
      <c r="P19" s="15">
        <f t="shared" si="1"/>
        <v>24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5</v>
      </c>
      <c r="V19" s="17">
        <f t="shared" si="11"/>
        <v>11</v>
      </c>
      <c r="W19" s="17">
        <f t="shared" si="11"/>
        <v>1</v>
      </c>
      <c r="X19" s="17">
        <f t="shared" si="11"/>
        <v>0</v>
      </c>
      <c r="Y19" s="17">
        <f t="shared" si="11"/>
        <v>12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78</v>
      </c>
      <c r="AD19" s="17">
        <f t="shared" si="11"/>
        <v>0</v>
      </c>
      <c r="AE19" s="31">
        <f t="shared" si="11"/>
        <v>37</v>
      </c>
      <c r="AF19" s="31">
        <f t="shared" si="11"/>
        <v>115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6</v>
      </c>
      <c r="J20" s="50">
        <v>1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10</v>
      </c>
      <c r="P20" s="15">
        <f t="shared" si="1"/>
        <v>29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12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93</v>
      </c>
      <c r="AD20" s="17">
        <f t="shared" si="12"/>
        <v>0</v>
      </c>
      <c r="AE20" s="31">
        <f t="shared" si="12"/>
        <v>41</v>
      </c>
      <c r="AF20" s="31">
        <f t="shared" si="12"/>
        <v>134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3</v>
      </c>
      <c r="F21" s="50">
        <v>2</v>
      </c>
      <c r="G21" s="50">
        <v>0</v>
      </c>
      <c r="H21" s="50">
        <v>0</v>
      </c>
      <c r="I21" s="50">
        <v>6</v>
      </c>
      <c r="J21" s="50">
        <v>0</v>
      </c>
      <c r="K21" s="50">
        <v>1</v>
      </c>
      <c r="L21" s="50">
        <v>0</v>
      </c>
      <c r="M21" s="50">
        <v>25</v>
      </c>
      <c r="N21" s="50">
        <v>0</v>
      </c>
      <c r="O21" s="15">
        <f t="shared" si="0"/>
        <v>16</v>
      </c>
      <c r="P21" s="15">
        <f t="shared" si="1"/>
        <v>41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8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11</v>
      </c>
      <c r="Z21" s="17">
        <f t="shared" si="13"/>
        <v>2</v>
      </c>
      <c r="AA21" s="17">
        <f t="shared" si="13"/>
        <v>2</v>
      </c>
      <c r="AB21" s="17">
        <f t="shared" si="13"/>
        <v>0</v>
      </c>
      <c r="AC21" s="17">
        <f t="shared" si="13"/>
        <v>115</v>
      </c>
      <c r="AD21" s="17">
        <f t="shared" si="13"/>
        <v>0</v>
      </c>
      <c r="AE21" s="31">
        <f t="shared" si="13"/>
        <v>39</v>
      </c>
      <c r="AF21" s="31">
        <f t="shared" si="13"/>
        <v>154</v>
      </c>
    </row>
    <row r="22" spans="2:32" ht="23.1" customHeight="1" x14ac:dyDescent="0.25">
      <c r="B22" s="23" t="s">
        <v>49</v>
      </c>
      <c r="C22" s="50">
        <v>6</v>
      </c>
      <c r="D22" s="50">
        <v>0</v>
      </c>
      <c r="E22" s="50">
        <v>3</v>
      </c>
      <c r="F22" s="50">
        <v>3</v>
      </c>
      <c r="G22" s="50">
        <v>0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27</v>
      </c>
      <c r="N22" s="50">
        <v>0</v>
      </c>
      <c r="O22" s="15">
        <f t="shared" si="0"/>
        <v>18</v>
      </c>
      <c r="P22" s="15">
        <f t="shared" si="1"/>
        <v>45</v>
      </c>
      <c r="R22" s="38" t="s">
        <v>90</v>
      </c>
      <c r="S22" s="39">
        <f>MAX(S10:S12)</f>
        <v>8</v>
      </c>
      <c r="T22" s="39">
        <f t="shared" ref="T22:AF22" si="14">MAX(T10:T12)</f>
        <v>0</v>
      </c>
      <c r="U22" s="39">
        <f t="shared" si="14"/>
        <v>6</v>
      </c>
      <c r="V22" s="39">
        <f t="shared" si="14"/>
        <v>8</v>
      </c>
      <c r="W22" s="39">
        <f t="shared" si="14"/>
        <v>0</v>
      </c>
      <c r="X22" s="39">
        <f t="shared" si="14"/>
        <v>0</v>
      </c>
      <c r="Y22" s="39">
        <f t="shared" si="14"/>
        <v>23</v>
      </c>
      <c r="Z22" s="39">
        <f t="shared" si="14"/>
        <v>3</v>
      </c>
      <c r="AA22" s="39">
        <f t="shared" si="14"/>
        <v>3</v>
      </c>
      <c r="AB22" s="39">
        <f t="shared" si="14"/>
        <v>0</v>
      </c>
      <c r="AC22" s="39">
        <f t="shared" si="14"/>
        <v>75</v>
      </c>
      <c r="AD22" s="39">
        <f t="shared" si="14"/>
        <v>0</v>
      </c>
      <c r="AE22" s="40">
        <f t="shared" si="14"/>
        <v>47</v>
      </c>
      <c r="AF22" s="40">
        <f t="shared" si="14"/>
        <v>122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6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2</v>
      </c>
      <c r="L23" s="50">
        <v>0</v>
      </c>
      <c r="M23" s="50">
        <v>18</v>
      </c>
      <c r="N23" s="50">
        <v>0</v>
      </c>
      <c r="O23" s="15">
        <f t="shared" si="0"/>
        <v>13</v>
      </c>
      <c r="P23" s="15">
        <f t="shared" si="1"/>
        <v>31</v>
      </c>
      <c r="R23" s="38" t="s">
        <v>91</v>
      </c>
      <c r="S23" s="39">
        <f>MAX(S13:S18)</f>
        <v>11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10</v>
      </c>
      <c r="W23" s="39">
        <f t="shared" si="15"/>
        <v>1</v>
      </c>
      <c r="X23" s="39">
        <f t="shared" si="15"/>
        <v>0</v>
      </c>
      <c r="Y23" s="39">
        <f t="shared" si="15"/>
        <v>21</v>
      </c>
      <c r="Z23" s="39">
        <f t="shared" si="15"/>
        <v>4</v>
      </c>
      <c r="AA23" s="39">
        <f t="shared" si="15"/>
        <v>3</v>
      </c>
      <c r="AB23" s="39">
        <f t="shared" si="15"/>
        <v>0</v>
      </c>
      <c r="AC23" s="39">
        <f t="shared" si="15"/>
        <v>97</v>
      </c>
      <c r="AD23" s="39">
        <f t="shared" si="15"/>
        <v>0</v>
      </c>
      <c r="AE23" s="40">
        <f t="shared" si="15"/>
        <v>54</v>
      </c>
      <c r="AF23" s="40">
        <f t="shared" si="15"/>
        <v>146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12</v>
      </c>
      <c r="N24" s="50">
        <v>0</v>
      </c>
      <c r="O24" s="15">
        <f t="shared" si="0"/>
        <v>6</v>
      </c>
      <c r="P24" s="15">
        <f t="shared" si="1"/>
        <v>18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12</v>
      </c>
      <c r="V24" s="39">
        <f t="shared" si="16"/>
        <v>11</v>
      </c>
      <c r="W24" s="39">
        <f t="shared" si="16"/>
        <v>1</v>
      </c>
      <c r="X24" s="39">
        <f t="shared" si="16"/>
        <v>0</v>
      </c>
      <c r="Y24" s="39">
        <f t="shared" si="16"/>
        <v>13</v>
      </c>
      <c r="Z24" s="39">
        <f t="shared" si="16"/>
        <v>3</v>
      </c>
      <c r="AA24" s="39">
        <f t="shared" si="16"/>
        <v>2</v>
      </c>
      <c r="AB24" s="39">
        <f t="shared" si="16"/>
        <v>0</v>
      </c>
      <c r="AC24" s="39">
        <f t="shared" si="16"/>
        <v>115</v>
      </c>
      <c r="AD24" s="39">
        <f t="shared" si="16"/>
        <v>0</v>
      </c>
      <c r="AE24" s="40">
        <f t="shared" si="16"/>
        <v>41</v>
      </c>
      <c r="AF24" s="40">
        <f t="shared" si="16"/>
        <v>154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0</v>
      </c>
      <c r="M25" s="50">
        <v>20</v>
      </c>
      <c r="N25" s="50">
        <v>0</v>
      </c>
      <c r="O25" s="15">
        <f t="shared" si="0"/>
        <v>6</v>
      </c>
      <c r="P25" s="15">
        <f t="shared" si="1"/>
        <v>26</v>
      </c>
      <c r="R25" s="37" t="s">
        <v>85</v>
      </c>
      <c r="S25" s="35">
        <f t="shared" ref="S25:AF25" si="17">SUM(S10:S12)</f>
        <v>18</v>
      </c>
      <c r="T25" s="16">
        <f t="shared" si="17"/>
        <v>0</v>
      </c>
      <c r="U25" s="16">
        <f t="shared" si="17"/>
        <v>12</v>
      </c>
      <c r="V25" s="16">
        <f t="shared" si="17"/>
        <v>19</v>
      </c>
      <c r="W25" s="16">
        <f t="shared" si="17"/>
        <v>0</v>
      </c>
      <c r="X25" s="16">
        <f t="shared" si="17"/>
        <v>0</v>
      </c>
      <c r="Y25" s="16">
        <f t="shared" si="17"/>
        <v>44</v>
      </c>
      <c r="Z25" s="16">
        <f t="shared" si="17"/>
        <v>4</v>
      </c>
      <c r="AA25" s="16">
        <f t="shared" si="17"/>
        <v>5</v>
      </c>
      <c r="AB25" s="16">
        <f t="shared" si="17"/>
        <v>0</v>
      </c>
      <c r="AC25" s="16">
        <f t="shared" si="17"/>
        <v>190</v>
      </c>
      <c r="AD25" s="16">
        <f t="shared" si="17"/>
        <v>0</v>
      </c>
      <c r="AE25" s="32">
        <f t="shared" si="17"/>
        <v>102</v>
      </c>
      <c r="AF25" s="32">
        <f t="shared" si="17"/>
        <v>292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3</v>
      </c>
      <c r="F26" s="50">
        <v>2</v>
      </c>
      <c r="G26" s="50">
        <v>0</v>
      </c>
      <c r="H26" s="50">
        <v>0</v>
      </c>
      <c r="I26" s="50">
        <v>4</v>
      </c>
      <c r="J26" s="50">
        <v>0</v>
      </c>
      <c r="K26" s="50">
        <v>1</v>
      </c>
      <c r="L26" s="50">
        <v>0</v>
      </c>
      <c r="M26" s="50">
        <v>25</v>
      </c>
      <c r="N26" s="50">
        <v>0</v>
      </c>
      <c r="O26" s="15">
        <f t="shared" si="0"/>
        <v>11</v>
      </c>
      <c r="P26" s="15">
        <f t="shared" si="1"/>
        <v>36</v>
      </c>
      <c r="R26" s="28" t="s">
        <v>86</v>
      </c>
      <c r="S26" s="16">
        <f t="shared" ref="S26:AF26" si="18">SUM(S13:S18)</f>
        <v>56</v>
      </c>
      <c r="T26" s="16">
        <f t="shared" si="18"/>
        <v>0</v>
      </c>
      <c r="U26" s="16">
        <f t="shared" si="18"/>
        <v>73</v>
      </c>
      <c r="V26" s="16">
        <f t="shared" si="18"/>
        <v>45</v>
      </c>
      <c r="W26" s="16">
        <f t="shared" si="18"/>
        <v>1</v>
      </c>
      <c r="X26" s="16">
        <f t="shared" si="18"/>
        <v>0</v>
      </c>
      <c r="Y26" s="16">
        <f t="shared" si="18"/>
        <v>83</v>
      </c>
      <c r="Z26" s="16">
        <f t="shared" si="18"/>
        <v>12</v>
      </c>
      <c r="AA26" s="16">
        <f t="shared" si="18"/>
        <v>9</v>
      </c>
      <c r="AB26" s="16">
        <f t="shared" si="18"/>
        <v>0</v>
      </c>
      <c r="AC26" s="16">
        <f t="shared" si="18"/>
        <v>528</v>
      </c>
      <c r="AD26" s="16">
        <f t="shared" si="18"/>
        <v>0</v>
      </c>
      <c r="AE26" s="32">
        <f t="shared" si="18"/>
        <v>279</v>
      </c>
      <c r="AF26" s="32">
        <f t="shared" si="18"/>
        <v>807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3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20</v>
      </c>
      <c r="N27" s="50">
        <v>0</v>
      </c>
      <c r="O27" s="15">
        <f t="shared" si="0"/>
        <v>9</v>
      </c>
      <c r="P27" s="15">
        <f t="shared" si="1"/>
        <v>29</v>
      </c>
      <c r="R27" s="29" t="s">
        <v>87</v>
      </c>
      <c r="S27" s="16">
        <f t="shared" ref="S27:AF27" si="19">SUM(S19:S21)</f>
        <v>22</v>
      </c>
      <c r="T27" s="16">
        <f t="shared" si="19"/>
        <v>0</v>
      </c>
      <c r="U27" s="16">
        <f t="shared" si="19"/>
        <v>25</v>
      </c>
      <c r="V27" s="16">
        <f t="shared" si="19"/>
        <v>24</v>
      </c>
      <c r="W27" s="16">
        <f t="shared" si="19"/>
        <v>1</v>
      </c>
      <c r="X27" s="16">
        <f t="shared" si="19"/>
        <v>0</v>
      </c>
      <c r="Y27" s="16">
        <f t="shared" si="19"/>
        <v>36</v>
      </c>
      <c r="Z27" s="16">
        <f t="shared" si="19"/>
        <v>7</v>
      </c>
      <c r="AA27" s="16">
        <f t="shared" si="19"/>
        <v>2</v>
      </c>
      <c r="AB27" s="16">
        <f t="shared" si="19"/>
        <v>0</v>
      </c>
      <c r="AC27" s="16">
        <f t="shared" si="19"/>
        <v>286</v>
      </c>
      <c r="AD27" s="16">
        <f t="shared" si="19"/>
        <v>0</v>
      </c>
      <c r="AE27" s="32">
        <f t="shared" si="19"/>
        <v>117</v>
      </c>
      <c r="AF27" s="32">
        <f t="shared" si="19"/>
        <v>403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4</v>
      </c>
      <c r="F28" s="50">
        <v>2</v>
      </c>
      <c r="G28" s="50">
        <v>0</v>
      </c>
      <c r="H28" s="50">
        <v>0</v>
      </c>
      <c r="I28" s="50">
        <v>5</v>
      </c>
      <c r="J28" s="50">
        <v>2</v>
      </c>
      <c r="K28" s="50">
        <v>0</v>
      </c>
      <c r="L28" s="50">
        <v>0</v>
      </c>
      <c r="M28" s="50">
        <v>34</v>
      </c>
      <c r="N28" s="50">
        <v>0</v>
      </c>
      <c r="O28" s="15">
        <f t="shared" si="0"/>
        <v>16</v>
      </c>
      <c r="P28" s="15">
        <f t="shared" si="1"/>
        <v>50</v>
      </c>
      <c r="R28" s="5" t="s">
        <v>17</v>
      </c>
      <c r="S28" s="16">
        <f t="shared" ref="S28:AF28" si="20">SUM(S10:S21)</f>
        <v>96</v>
      </c>
      <c r="T28" s="16">
        <f t="shared" si="20"/>
        <v>0</v>
      </c>
      <c r="U28" s="16">
        <f t="shared" si="20"/>
        <v>110</v>
      </c>
      <c r="V28" s="16">
        <f t="shared" si="20"/>
        <v>88</v>
      </c>
      <c r="W28" s="16">
        <f t="shared" si="20"/>
        <v>2</v>
      </c>
      <c r="X28" s="16">
        <f t="shared" si="20"/>
        <v>0</v>
      </c>
      <c r="Y28" s="16">
        <f t="shared" si="20"/>
        <v>163</v>
      </c>
      <c r="Z28" s="16">
        <f t="shared" si="20"/>
        <v>23</v>
      </c>
      <c r="AA28" s="16">
        <f t="shared" si="20"/>
        <v>16</v>
      </c>
      <c r="AB28" s="16">
        <f t="shared" si="20"/>
        <v>0</v>
      </c>
      <c r="AC28" s="16">
        <f t="shared" si="20"/>
        <v>1004</v>
      </c>
      <c r="AD28" s="16">
        <f t="shared" si="20"/>
        <v>0</v>
      </c>
      <c r="AE28" s="32">
        <f t="shared" si="20"/>
        <v>498</v>
      </c>
      <c r="AF28" s="32">
        <f t="shared" si="20"/>
        <v>1502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5</v>
      </c>
      <c r="F29" s="50">
        <v>5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13</v>
      </c>
      <c r="P29" s="15">
        <f t="shared" si="1"/>
        <v>31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4</v>
      </c>
      <c r="J30" s="50">
        <v>0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8</v>
      </c>
      <c r="P30" s="15">
        <f t="shared" si="1"/>
        <v>29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3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18</v>
      </c>
      <c r="N31" s="50">
        <v>0</v>
      </c>
      <c r="O31" s="15">
        <f t="shared" si="0"/>
        <v>6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4</v>
      </c>
      <c r="J32" s="50">
        <v>1</v>
      </c>
      <c r="K32" s="50">
        <v>1</v>
      </c>
      <c r="L32" s="50">
        <v>0</v>
      </c>
      <c r="M32" s="50">
        <v>23</v>
      </c>
      <c r="N32" s="50">
        <v>0</v>
      </c>
      <c r="O32" s="15">
        <f t="shared" si="0"/>
        <v>10</v>
      </c>
      <c r="P32" s="15">
        <f t="shared" si="1"/>
        <v>33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4</v>
      </c>
      <c r="G33" s="50">
        <v>0</v>
      </c>
      <c r="H33" s="50">
        <v>0</v>
      </c>
      <c r="I33" s="50">
        <v>2</v>
      </c>
      <c r="J33" s="50">
        <v>0</v>
      </c>
      <c r="K33" s="50">
        <v>2</v>
      </c>
      <c r="L33" s="50">
        <v>0</v>
      </c>
      <c r="M33" s="50">
        <v>19</v>
      </c>
      <c r="N33" s="50">
        <v>0</v>
      </c>
      <c r="O33" s="15">
        <f t="shared" si="0"/>
        <v>11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9</v>
      </c>
      <c r="P34" s="15">
        <f t="shared" si="1"/>
        <v>28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4</v>
      </c>
      <c r="J35" s="50">
        <v>1</v>
      </c>
      <c r="K35" s="50">
        <v>1</v>
      </c>
      <c r="L35" s="50">
        <v>0</v>
      </c>
      <c r="M35" s="50">
        <v>16</v>
      </c>
      <c r="N35" s="50">
        <v>0</v>
      </c>
      <c r="O35" s="15">
        <f t="shared" si="0"/>
        <v>12</v>
      </c>
      <c r="P35" s="15">
        <f t="shared" si="1"/>
        <v>28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5</v>
      </c>
      <c r="F36" s="50">
        <v>2</v>
      </c>
      <c r="G36" s="50">
        <v>0</v>
      </c>
      <c r="H36" s="50">
        <v>0</v>
      </c>
      <c r="I36" s="50">
        <v>6</v>
      </c>
      <c r="J36" s="50">
        <v>0</v>
      </c>
      <c r="K36" s="50">
        <v>0</v>
      </c>
      <c r="L36" s="50">
        <v>0</v>
      </c>
      <c r="M36" s="50">
        <v>23</v>
      </c>
      <c r="N36" s="50">
        <v>0</v>
      </c>
      <c r="O36" s="15">
        <f t="shared" si="0"/>
        <v>15</v>
      </c>
      <c r="P36" s="15">
        <f t="shared" si="1"/>
        <v>38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5</v>
      </c>
      <c r="F37" s="50">
        <v>3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30</v>
      </c>
      <c r="N37" s="50">
        <v>0</v>
      </c>
      <c r="O37" s="15">
        <f t="shared" si="0"/>
        <v>9</v>
      </c>
      <c r="P37" s="15">
        <f t="shared" si="1"/>
        <v>39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7</v>
      </c>
      <c r="F38" s="50">
        <v>2</v>
      </c>
      <c r="G38" s="50">
        <v>0</v>
      </c>
      <c r="H38" s="50">
        <v>0</v>
      </c>
      <c r="I38" s="50">
        <v>8</v>
      </c>
      <c r="J38" s="50">
        <v>0</v>
      </c>
      <c r="K38" s="50">
        <v>0</v>
      </c>
      <c r="L38" s="50">
        <v>0</v>
      </c>
      <c r="M38" s="50">
        <v>31</v>
      </c>
      <c r="N38" s="50">
        <v>0</v>
      </c>
      <c r="O38" s="15">
        <f t="shared" si="0"/>
        <v>19</v>
      </c>
      <c r="P38" s="15">
        <f t="shared" si="1"/>
        <v>50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5</v>
      </c>
      <c r="F39" s="50">
        <v>0</v>
      </c>
      <c r="G39" s="50">
        <v>0</v>
      </c>
      <c r="H39" s="50">
        <v>0</v>
      </c>
      <c r="I39" s="50">
        <v>8</v>
      </c>
      <c r="J39" s="50">
        <v>1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18</v>
      </c>
      <c r="P39" s="15">
        <f t="shared" si="1"/>
        <v>39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10</v>
      </c>
      <c r="P40" s="15">
        <f t="shared" si="1"/>
        <v>29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21</v>
      </c>
      <c r="N41" s="50">
        <v>0</v>
      </c>
      <c r="O41" s="15">
        <f t="shared" si="0"/>
        <v>7</v>
      </c>
      <c r="P41" s="15">
        <f t="shared" si="1"/>
        <v>28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5</v>
      </c>
      <c r="F42" s="50">
        <v>4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25</v>
      </c>
      <c r="N42" s="50">
        <v>0</v>
      </c>
      <c r="O42" s="15">
        <f t="shared" si="0"/>
        <v>17</v>
      </c>
      <c r="P42" s="15">
        <f t="shared" si="1"/>
        <v>42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4</v>
      </c>
      <c r="F43" s="50">
        <v>1</v>
      </c>
      <c r="G43" s="50">
        <v>0</v>
      </c>
      <c r="H43" s="50">
        <v>0</v>
      </c>
      <c r="I43" s="50">
        <v>1</v>
      </c>
      <c r="J43" s="50">
        <v>3</v>
      </c>
      <c r="K43" s="50">
        <v>1</v>
      </c>
      <c r="L43" s="50">
        <v>0</v>
      </c>
      <c r="M43" s="50">
        <v>28</v>
      </c>
      <c r="N43" s="50">
        <v>0</v>
      </c>
      <c r="O43" s="15">
        <f t="shared" si="0"/>
        <v>12</v>
      </c>
      <c r="P43" s="15">
        <f t="shared" si="1"/>
        <v>40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2</v>
      </c>
      <c r="F44" s="50">
        <v>3</v>
      </c>
      <c r="G44" s="50">
        <v>1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11</v>
      </c>
      <c r="P44" s="15">
        <f t="shared" si="1"/>
        <v>31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6</v>
      </c>
      <c r="J45" s="50">
        <v>1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13</v>
      </c>
      <c r="P45" s="15">
        <f t="shared" si="1"/>
        <v>33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2</v>
      </c>
      <c r="F46" s="50">
        <v>4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14</v>
      </c>
      <c r="P46" s="15">
        <f t="shared" si="1"/>
        <v>35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3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23</v>
      </c>
      <c r="N47" s="50">
        <v>0</v>
      </c>
      <c r="O47" s="15">
        <f t="shared" si="0"/>
        <v>10</v>
      </c>
      <c r="P47" s="15">
        <f t="shared" si="1"/>
        <v>33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2</v>
      </c>
      <c r="F48" s="50">
        <v>2</v>
      </c>
      <c r="G48" s="50">
        <v>1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17</v>
      </c>
      <c r="N48" s="50">
        <v>0</v>
      </c>
      <c r="O48" s="15">
        <f t="shared" si="0"/>
        <v>7</v>
      </c>
      <c r="P48" s="15">
        <f t="shared" si="1"/>
        <v>24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17</v>
      </c>
      <c r="N49" s="50">
        <v>0</v>
      </c>
      <c r="O49" s="15">
        <f t="shared" si="0"/>
        <v>6</v>
      </c>
      <c r="P49" s="15">
        <f t="shared" si="1"/>
        <v>23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9</v>
      </c>
      <c r="P50" s="15">
        <f t="shared" si="1"/>
        <v>27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2</v>
      </c>
      <c r="G51" s="50">
        <v>0</v>
      </c>
      <c r="H51" s="50">
        <v>0</v>
      </c>
      <c r="I51" s="50">
        <v>7</v>
      </c>
      <c r="J51" s="50">
        <v>2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15</v>
      </c>
      <c r="P51" s="15">
        <f t="shared" si="1"/>
        <v>34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4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29</v>
      </c>
      <c r="N52" s="50">
        <v>0</v>
      </c>
      <c r="O52" s="15">
        <f t="shared" si="0"/>
        <v>7</v>
      </c>
      <c r="P52" s="15">
        <f t="shared" si="1"/>
        <v>36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3</v>
      </c>
      <c r="F53" s="50">
        <v>0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27</v>
      </c>
      <c r="N53" s="50">
        <v>0</v>
      </c>
      <c r="O53" s="15">
        <f t="shared" si="0"/>
        <v>10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4</v>
      </c>
      <c r="J54" s="50">
        <v>0</v>
      </c>
      <c r="K54" s="50">
        <v>1</v>
      </c>
      <c r="L54" s="50">
        <v>0</v>
      </c>
      <c r="M54" s="50">
        <v>28</v>
      </c>
      <c r="N54" s="50">
        <v>0</v>
      </c>
      <c r="O54" s="15">
        <f t="shared" si="0"/>
        <v>11</v>
      </c>
      <c r="P54" s="15">
        <f t="shared" si="1"/>
        <v>39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5</v>
      </c>
      <c r="F55" s="50">
        <v>4</v>
      </c>
      <c r="G55" s="50">
        <v>0</v>
      </c>
      <c r="H55" s="50">
        <v>0</v>
      </c>
      <c r="I55" s="50">
        <v>3</v>
      </c>
      <c r="J55" s="50">
        <v>1</v>
      </c>
      <c r="K55" s="50">
        <v>1</v>
      </c>
      <c r="L55" s="50">
        <v>0</v>
      </c>
      <c r="M55" s="50">
        <v>27</v>
      </c>
      <c r="N55" s="50">
        <v>0</v>
      </c>
      <c r="O55" s="15">
        <f t="shared" si="0"/>
        <v>14</v>
      </c>
      <c r="P55" s="15">
        <f t="shared" si="1"/>
        <v>41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2</v>
      </c>
      <c r="F56" s="50">
        <v>1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29</v>
      </c>
      <c r="N56" s="50">
        <v>0</v>
      </c>
      <c r="O56" s="15">
        <f t="shared" si="0"/>
        <v>7</v>
      </c>
      <c r="P56" s="15">
        <f t="shared" si="1"/>
        <v>36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31</v>
      </c>
      <c r="N57" s="50">
        <v>0</v>
      </c>
      <c r="O57" s="15">
        <f t="shared" si="0"/>
        <v>7</v>
      </c>
      <c r="P57" s="15">
        <f t="shared" si="1"/>
        <v>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96</v>
      </c>
      <c r="D58" s="16">
        <f t="shared" si="21"/>
        <v>0</v>
      </c>
      <c r="E58" s="16">
        <f t="shared" si="21"/>
        <v>110</v>
      </c>
      <c r="F58" s="16">
        <f t="shared" si="21"/>
        <v>88</v>
      </c>
      <c r="G58" s="16">
        <f t="shared" si="21"/>
        <v>2</v>
      </c>
      <c r="H58" s="16">
        <f t="shared" si="21"/>
        <v>0</v>
      </c>
      <c r="I58" s="16">
        <f t="shared" si="21"/>
        <v>163</v>
      </c>
      <c r="J58" s="16">
        <f t="shared" si="21"/>
        <v>23</v>
      </c>
      <c r="K58" s="16">
        <f t="shared" si="21"/>
        <v>16</v>
      </c>
      <c r="L58" s="16">
        <f t="shared" si="21"/>
        <v>0</v>
      </c>
      <c r="M58" s="16">
        <f t="shared" si="21"/>
        <v>1004</v>
      </c>
      <c r="N58" s="16">
        <f t="shared" si="21"/>
        <v>0</v>
      </c>
      <c r="O58" s="16">
        <f t="shared" si="21"/>
        <v>498</v>
      </c>
      <c r="P58" s="16">
        <f t="shared" si="21"/>
        <v>1502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6.3914780292942744E-2</v>
      </c>
      <c r="D59" s="43">
        <f t="shared" si="22"/>
        <v>0</v>
      </c>
      <c r="E59" s="43">
        <f t="shared" si="22"/>
        <v>7.3235685752330221E-2</v>
      </c>
      <c r="F59" s="43">
        <f t="shared" si="22"/>
        <v>5.8588548601864181E-2</v>
      </c>
      <c r="G59" s="43">
        <f t="shared" si="22"/>
        <v>1.3315579227696406E-3</v>
      </c>
      <c r="H59" s="43">
        <f t="shared" si="22"/>
        <v>0</v>
      </c>
      <c r="I59" s="43">
        <f t="shared" si="22"/>
        <v>0.1085219707057257</v>
      </c>
      <c r="J59" s="43">
        <f t="shared" si="22"/>
        <v>1.5312916111850865E-2</v>
      </c>
      <c r="K59" s="43">
        <f t="shared" si="22"/>
        <v>1.0652463382157125E-2</v>
      </c>
      <c r="L59" s="43">
        <f t="shared" si="22"/>
        <v>0</v>
      </c>
      <c r="M59" s="43">
        <f t="shared" si="22"/>
        <v>0.66844207723035953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0.19277108433734941</v>
      </c>
      <c r="D60" s="44">
        <f t="shared" ref="D60:N60" si="23">D58/$O$58</f>
        <v>0</v>
      </c>
      <c r="E60" s="44">
        <f t="shared" si="23"/>
        <v>0.22088353413654618</v>
      </c>
      <c r="F60" s="44">
        <f t="shared" si="23"/>
        <v>0.17670682730923695</v>
      </c>
      <c r="G60" s="44">
        <f t="shared" si="23"/>
        <v>4.0160642570281121E-3</v>
      </c>
      <c r="H60" s="44">
        <f t="shared" si="23"/>
        <v>0</v>
      </c>
      <c r="I60" s="44">
        <f t="shared" si="23"/>
        <v>0.32730923694779118</v>
      </c>
      <c r="J60" s="44">
        <f t="shared" si="23"/>
        <v>4.6184738955823292E-2</v>
      </c>
      <c r="K60" s="44">
        <f t="shared" si="23"/>
        <v>3.2128514056224897E-2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'20.08 MATUGA-KAPEKA'!C3:G3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'26.08 KAPEKA-MATUGA'!D5</f>
        <v>26.08.19</v>
      </c>
      <c r="E5" s="3"/>
      <c r="F5" s="41" t="s">
        <v>1</v>
      </c>
      <c r="G5" s="66" t="str">
        <f>'26.08 KAPEKA-MATUGA'!G5:H5</f>
        <v>Kapeeka</v>
      </c>
      <c r="H5" s="67"/>
      <c r="I5" s="14"/>
      <c r="J5" s="2" t="s">
        <v>5</v>
      </c>
      <c r="K5" s="66" t="str">
        <f>'26.08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'20.08 MATUGA-KAPEKA'!D6:E6</f>
        <v>MATUGA</v>
      </c>
      <c r="E6" s="67"/>
      <c r="F6" s="2" t="s">
        <v>2</v>
      </c>
      <c r="G6" s="66" t="str">
        <f>'20.08 MATUGA-KAPEKA'!G6:H6</f>
        <v>KAPEKA</v>
      </c>
      <c r="H6" s="67"/>
      <c r="J6" s="2" t="s">
        <v>21</v>
      </c>
      <c r="K6" s="66" t="str">
        <f>'26.08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3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43</v>
      </c>
      <c r="AD10" s="17">
        <f t="shared" si="2"/>
        <v>0</v>
      </c>
      <c r="AE10" s="31">
        <f t="shared" si="2"/>
        <v>19</v>
      </c>
      <c r="AF10" s="31">
        <f t="shared" si="2"/>
        <v>62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6</v>
      </c>
      <c r="P11" s="15">
        <f t="shared" si="1"/>
        <v>14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3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35</v>
      </c>
      <c r="AD11" s="17">
        <f t="shared" si="3"/>
        <v>0</v>
      </c>
      <c r="AE11" s="31">
        <f t="shared" si="3"/>
        <v>16</v>
      </c>
      <c r="AF11" s="31">
        <f t="shared" si="3"/>
        <v>51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5</v>
      </c>
      <c r="P12" s="15">
        <f t="shared" si="1"/>
        <v>14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8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2</v>
      </c>
      <c r="AA12" s="17">
        <f t="shared" si="4"/>
        <v>3</v>
      </c>
      <c r="AB12" s="17">
        <f t="shared" si="4"/>
        <v>0</v>
      </c>
      <c r="AC12" s="17">
        <f t="shared" si="4"/>
        <v>64</v>
      </c>
      <c r="AD12" s="17">
        <f t="shared" si="4"/>
        <v>0</v>
      </c>
      <c r="AE12" s="31">
        <f t="shared" si="4"/>
        <v>32</v>
      </c>
      <c r="AF12" s="31">
        <f t="shared" si="4"/>
        <v>96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17</v>
      </c>
      <c r="N13" s="50">
        <v>0</v>
      </c>
      <c r="O13" s="15">
        <f t="shared" si="0"/>
        <v>6</v>
      </c>
      <c r="P13" s="15">
        <f t="shared" si="1"/>
        <v>23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4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1</v>
      </c>
      <c r="AA13" s="17">
        <f t="shared" si="5"/>
        <v>6</v>
      </c>
      <c r="AB13" s="17">
        <f t="shared" si="5"/>
        <v>0</v>
      </c>
      <c r="AC13" s="17">
        <f t="shared" si="5"/>
        <v>81</v>
      </c>
      <c r="AD13" s="17">
        <f t="shared" si="5"/>
        <v>0</v>
      </c>
      <c r="AE13" s="31">
        <f t="shared" si="5"/>
        <v>32</v>
      </c>
      <c r="AF13" s="31">
        <f t="shared" si="5"/>
        <v>113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2</v>
      </c>
      <c r="P14" s="15">
        <f t="shared" si="1"/>
        <v>5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5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77</v>
      </c>
      <c r="AD14" s="17">
        <f t="shared" si="6"/>
        <v>0</v>
      </c>
      <c r="AE14" s="31">
        <f t="shared" si="6"/>
        <v>26</v>
      </c>
      <c r="AF14" s="31">
        <f t="shared" si="6"/>
        <v>103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5</v>
      </c>
      <c r="P15" s="15">
        <f t="shared" si="1"/>
        <v>12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7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83</v>
      </c>
      <c r="AD15" s="17">
        <f t="shared" si="7"/>
        <v>0</v>
      </c>
      <c r="AE15" s="31">
        <f t="shared" si="7"/>
        <v>27</v>
      </c>
      <c r="AF15" s="31">
        <f t="shared" si="7"/>
        <v>110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1</v>
      </c>
      <c r="K16" s="50">
        <v>1</v>
      </c>
      <c r="L16" s="50">
        <v>0</v>
      </c>
      <c r="M16" s="50">
        <v>12</v>
      </c>
      <c r="N16" s="50">
        <v>0</v>
      </c>
      <c r="O16" s="15">
        <f t="shared" si="0"/>
        <v>4</v>
      </c>
      <c r="P16" s="15">
        <f t="shared" si="1"/>
        <v>16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6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2</v>
      </c>
      <c r="AA16" s="17">
        <f t="shared" si="8"/>
        <v>5</v>
      </c>
      <c r="AB16" s="17">
        <f t="shared" si="8"/>
        <v>0</v>
      </c>
      <c r="AC16" s="17">
        <f t="shared" si="8"/>
        <v>78</v>
      </c>
      <c r="AD16" s="17">
        <f t="shared" si="8"/>
        <v>0</v>
      </c>
      <c r="AE16" s="31">
        <f t="shared" si="8"/>
        <v>41</v>
      </c>
      <c r="AF16" s="31">
        <f t="shared" si="8"/>
        <v>119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5</v>
      </c>
      <c r="P17" s="15">
        <f t="shared" si="1"/>
        <v>18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7</v>
      </c>
      <c r="V17" s="17">
        <f t="shared" si="9"/>
        <v>6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92</v>
      </c>
      <c r="AD17" s="17">
        <f t="shared" si="9"/>
        <v>0</v>
      </c>
      <c r="AE17" s="31">
        <f t="shared" si="9"/>
        <v>37</v>
      </c>
      <c r="AF17" s="31">
        <f t="shared" si="9"/>
        <v>129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11</v>
      </c>
      <c r="N18" s="50">
        <v>0</v>
      </c>
      <c r="O18" s="15">
        <f t="shared" si="0"/>
        <v>8</v>
      </c>
      <c r="P18" s="15">
        <f t="shared" si="1"/>
        <v>19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9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84</v>
      </c>
      <c r="AD18" s="17">
        <f t="shared" si="10"/>
        <v>0</v>
      </c>
      <c r="AE18" s="31">
        <f t="shared" si="10"/>
        <v>35</v>
      </c>
      <c r="AF18" s="31">
        <f t="shared" si="10"/>
        <v>119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3</v>
      </c>
      <c r="F19" s="50">
        <v>0</v>
      </c>
      <c r="G19" s="50">
        <v>0</v>
      </c>
      <c r="H19" s="50">
        <v>0</v>
      </c>
      <c r="I19" s="50">
        <v>4</v>
      </c>
      <c r="J19" s="50">
        <v>0</v>
      </c>
      <c r="K19" s="50">
        <v>1</v>
      </c>
      <c r="L19" s="50">
        <v>0</v>
      </c>
      <c r="M19" s="50">
        <v>14</v>
      </c>
      <c r="N19" s="50">
        <v>0</v>
      </c>
      <c r="O19" s="15">
        <f t="shared" si="0"/>
        <v>9</v>
      </c>
      <c r="P19" s="15">
        <f t="shared" si="1"/>
        <v>23</v>
      </c>
      <c r="R19" s="1" t="s">
        <v>15</v>
      </c>
      <c r="S19" s="17">
        <f t="shared" ref="S19:AF19" si="11">SUM(C46:C49)</f>
        <v>14</v>
      </c>
      <c r="T19" s="17">
        <f t="shared" si="11"/>
        <v>0</v>
      </c>
      <c r="U19" s="17">
        <f t="shared" si="11"/>
        <v>14</v>
      </c>
      <c r="V19" s="17">
        <f t="shared" si="11"/>
        <v>12</v>
      </c>
      <c r="W19" s="17">
        <f t="shared" si="11"/>
        <v>1</v>
      </c>
      <c r="X19" s="17">
        <f t="shared" si="11"/>
        <v>0</v>
      </c>
      <c r="Y19" s="17">
        <f t="shared" si="11"/>
        <v>13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75</v>
      </c>
      <c r="AD19" s="17">
        <f t="shared" si="11"/>
        <v>0</v>
      </c>
      <c r="AE19" s="31">
        <f t="shared" si="11"/>
        <v>54</v>
      </c>
      <c r="AF19" s="31">
        <f t="shared" si="11"/>
        <v>129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0</v>
      </c>
      <c r="J20" s="50">
        <v>1</v>
      </c>
      <c r="K20" s="50">
        <v>1</v>
      </c>
      <c r="L20" s="50">
        <v>0</v>
      </c>
      <c r="M20" s="50">
        <v>19</v>
      </c>
      <c r="N20" s="50">
        <v>0</v>
      </c>
      <c r="O20" s="15">
        <f t="shared" si="0"/>
        <v>6</v>
      </c>
      <c r="P20" s="15">
        <f t="shared" si="1"/>
        <v>25</v>
      </c>
      <c r="R20" s="1" t="s">
        <v>16</v>
      </c>
      <c r="S20" s="17">
        <f t="shared" ref="S20:AF20" si="12">SUM(C50:C53)</f>
        <v>17</v>
      </c>
      <c r="T20" s="17">
        <f t="shared" si="12"/>
        <v>0</v>
      </c>
      <c r="U20" s="17">
        <f t="shared" si="12"/>
        <v>14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17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106</v>
      </c>
      <c r="AD20" s="17">
        <f t="shared" si="12"/>
        <v>0</v>
      </c>
      <c r="AE20" s="31">
        <f t="shared" si="12"/>
        <v>64</v>
      </c>
      <c r="AF20" s="31">
        <f t="shared" si="12"/>
        <v>170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3</v>
      </c>
      <c r="F21" s="50">
        <v>0</v>
      </c>
      <c r="G21" s="50">
        <v>0</v>
      </c>
      <c r="H21" s="50">
        <v>0</v>
      </c>
      <c r="I21" s="50">
        <v>4</v>
      </c>
      <c r="J21" s="50">
        <v>1</v>
      </c>
      <c r="K21" s="50">
        <v>0</v>
      </c>
      <c r="L21" s="50">
        <v>0</v>
      </c>
      <c r="M21" s="50">
        <v>20</v>
      </c>
      <c r="N21" s="50">
        <v>0</v>
      </c>
      <c r="O21" s="15">
        <f t="shared" si="0"/>
        <v>9</v>
      </c>
      <c r="P21" s="15">
        <f t="shared" si="1"/>
        <v>29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16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14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111</v>
      </c>
      <c r="AD21" s="17">
        <f t="shared" si="13"/>
        <v>0</v>
      </c>
      <c r="AE21" s="31">
        <f t="shared" si="13"/>
        <v>51</v>
      </c>
      <c r="AF21" s="31">
        <f t="shared" si="13"/>
        <v>162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1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23</v>
      </c>
      <c r="N22" s="50">
        <v>0</v>
      </c>
      <c r="O22" s="15">
        <f t="shared" si="0"/>
        <v>7</v>
      </c>
      <c r="P22" s="15">
        <f t="shared" si="1"/>
        <v>30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8</v>
      </c>
      <c r="V22" s="39">
        <f t="shared" si="14"/>
        <v>5</v>
      </c>
      <c r="W22" s="39">
        <f t="shared" si="14"/>
        <v>0</v>
      </c>
      <c r="X22" s="39">
        <f t="shared" si="14"/>
        <v>0</v>
      </c>
      <c r="Y22" s="39">
        <f t="shared" si="14"/>
        <v>10</v>
      </c>
      <c r="Z22" s="39">
        <f t="shared" si="14"/>
        <v>2</v>
      </c>
      <c r="AA22" s="39">
        <f t="shared" si="14"/>
        <v>3</v>
      </c>
      <c r="AB22" s="39">
        <f t="shared" si="14"/>
        <v>0</v>
      </c>
      <c r="AC22" s="39">
        <f t="shared" si="14"/>
        <v>64</v>
      </c>
      <c r="AD22" s="39">
        <f t="shared" si="14"/>
        <v>0</v>
      </c>
      <c r="AE22" s="40">
        <f t="shared" si="14"/>
        <v>32</v>
      </c>
      <c r="AF22" s="40">
        <f t="shared" si="14"/>
        <v>96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0</v>
      </c>
      <c r="J23" s="50">
        <v>1</v>
      </c>
      <c r="K23" s="50">
        <v>2</v>
      </c>
      <c r="L23" s="50">
        <v>0</v>
      </c>
      <c r="M23" s="50">
        <v>16</v>
      </c>
      <c r="N23" s="50">
        <v>0</v>
      </c>
      <c r="O23" s="15">
        <f t="shared" si="0"/>
        <v>9</v>
      </c>
      <c r="P23" s="15">
        <f t="shared" si="1"/>
        <v>25</v>
      </c>
      <c r="R23" s="38" t="s">
        <v>91</v>
      </c>
      <c r="S23" s="39">
        <f>MAX(S13:S18)</f>
        <v>11</v>
      </c>
      <c r="T23" s="39">
        <f t="shared" ref="T23:AF23" si="15">MAX(T13:T18)</f>
        <v>0</v>
      </c>
      <c r="U23" s="39">
        <f t="shared" si="15"/>
        <v>9</v>
      </c>
      <c r="V23" s="39">
        <f t="shared" si="15"/>
        <v>8</v>
      </c>
      <c r="W23" s="39">
        <f t="shared" si="15"/>
        <v>1</v>
      </c>
      <c r="X23" s="39">
        <f t="shared" si="15"/>
        <v>0</v>
      </c>
      <c r="Y23" s="39">
        <f t="shared" si="15"/>
        <v>11</v>
      </c>
      <c r="Z23" s="39">
        <f t="shared" si="15"/>
        <v>4</v>
      </c>
      <c r="AA23" s="39">
        <f t="shared" si="15"/>
        <v>6</v>
      </c>
      <c r="AB23" s="39">
        <f t="shared" si="15"/>
        <v>0</v>
      </c>
      <c r="AC23" s="39">
        <f t="shared" si="15"/>
        <v>92</v>
      </c>
      <c r="AD23" s="39">
        <f t="shared" si="15"/>
        <v>0</v>
      </c>
      <c r="AE23" s="40">
        <f t="shared" si="15"/>
        <v>41</v>
      </c>
      <c r="AF23" s="40">
        <f t="shared" si="15"/>
        <v>129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4</v>
      </c>
      <c r="J24" s="50">
        <v>0</v>
      </c>
      <c r="K24" s="50">
        <v>1</v>
      </c>
      <c r="L24" s="50">
        <v>0</v>
      </c>
      <c r="M24" s="50">
        <v>25</v>
      </c>
      <c r="N24" s="50">
        <v>0</v>
      </c>
      <c r="O24" s="15">
        <f t="shared" si="0"/>
        <v>8</v>
      </c>
      <c r="P24" s="15">
        <f t="shared" si="1"/>
        <v>33</v>
      </c>
      <c r="R24" s="38" t="s">
        <v>92</v>
      </c>
      <c r="S24" s="39">
        <f>MAX(S19:S21)</f>
        <v>17</v>
      </c>
      <c r="T24" s="39">
        <f t="shared" ref="T24:AF24" si="16">MAX(T19:T21)</f>
        <v>0</v>
      </c>
      <c r="U24" s="39">
        <f t="shared" si="16"/>
        <v>16</v>
      </c>
      <c r="V24" s="39">
        <f t="shared" si="16"/>
        <v>12</v>
      </c>
      <c r="W24" s="39">
        <f t="shared" si="16"/>
        <v>1</v>
      </c>
      <c r="X24" s="39">
        <f t="shared" si="16"/>
        <v>0</v>
      </c>
      <c r="Y24" s="39">
        <f t="shared" si="16"/>
        <v>17</v>
      </c>
      <c r="Z24" s="39">
        <f t="shared" si="16"/>
        <v>3</v>
      </c>
      <c r="AA24" s="39">
        <f t="shared" si="16"/>
        <v>2</v>
      </c>
      <c r="AB24" s="39">
        <f t="shared" si="16"/>
        <v>0</v>
      </c>
      <c r="AC24" s="39">
        <f t="shared" si="16"/>
        <v>111</v>
      </c>
      <c r="AD24" s="39">
        <f t="shared" si="16"/>
        <v>0</v>
      </c>
      <c r="AE24" s="40">
        <f t="shared" si="16"/>
        <v>64</v>
      </c>
      <c r="AF24" s="40">
        <f t="shared" si="16"/>
        <v>170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3</v>
      </c>
      <c r="L25" s="50">
        <v>0</v>
      </c>
      <c r="M25" s="50">
        <v>17</v>
      </c>
      <c r="N25" s="50">
        <v>0</v>
      </c>
      <c r="O25" s="15">
        <f t="shared" si="0"/>
        <v>8</v>
      </c>
      <c r="P25" s="15">
        <f t="shared" si="1"/>
        <v>25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14</v>
      </c>
      <c r="V25" s="16">
        <f t="shared" si="17"/>
        <v>12</v>
      </c>
      <c r="W25" s="16">
        <f t="shared" si="17"/>
        <v>0</v>
      </c>
      <c r="X25" s="16">
        <f t="shared" si="17"/>
        <v>0</v>
      </c>
      <c r="Y25" s="16">
        <f t="shared" si="17"/>
        <v>22</v>
      </c>
      <c r="Z25" s="16">
        <f t="shared" si="17"/>
        <v>5</v>
      </c>
      <c r="AA25" s="16">
        <f t="shared" si="17"/>
        <v>4</v>
      </c>
      <c r="AB25" s="16">
        <f t="shared" si="17"/>
        <v>0</v>
      </c>
      <c r="AC25" s="16">
        <f t="shared" si="17"/>
        <v>142</v>
      </c>
      <c r="AD25" s="16">
        <f t="shared" si="17"/>
        <v>0</v>
      </c>
      <c r="AE25" s="32">
        <f t="shared" si="17"/>
        <v>67</v>
      </c>
      <c r="AF25" s="32">
        <f t="shared" si="17"/>
        <v>209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8</v>
      </c>
      <c r="P26" s="15">
        <f t="shared" si="1"/>
        <v>23</v>
      </c>
      <c r="R26" s="28" t="s">
        <v>86</v>
      </c>
      <c r="S26" s="16">
        <f t="shared" ref="S26:AF26" si="18">SUM(S13:S18)</f>
        <v>50</v>
      </c>
      <c r="T26" s="16">
        <f t="shared" si="18"/>
        <v>0</v>
      </c>
      <c r="U26" s="16">
        <f t="shared" si="18"/>
        <v>38</v>
      </c>
      <c r="V26" s="16">
        <f t="shared" si="18"/>
        <v>35</v>
      </c>
      <c r="W26" s="16">
        <f t="shared" si="18"/>
        <v>1</v>
      </c>
      <c r="X26" s="16">
        <f t="shared" si="18"/>
        <v>0</v>
      </c>
      <c r="Y26" s="16">
        <f t="shared" si="18"/>
        <v>49</v>
      </c>
      <c r="Z26" s="16">
        <f t="shared" si="18"/>
        <v>13</v>
      </c>
      <c r="AA26" s="16">
        <f t="shared" si="18"/>
        <v>12</v>
      </c>
      <c r="AB26" s="16">
        <f t="shared" si="18"/>
        <v>0</v>
      </c>
      <c r="AC26" s="16">
        <f t="shared" si="18"/>
        <v>495</v>
      </c>
      <c r="AD26" s="16">
        <f t="shared" si="18"/>
        <v>0</v>
      </c>
      <c r="AE26" s="32">
        <f t="shared" si="18"/>
        <v>198</v>
      </c>
      <c r="AF26" s="32">
        <f t="shared" si="18"/>
        <v>693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24</v>
      </c>
      <c r="N27" s="50">
        <v>0</v>
      </c>
      <c r="O27" s="15">
        <f t="shared" si="0"/>
        <v>8</v>
      </c>
      <c r="P27" s="15">
        <f t="shared" si="1"/>
        <v>32</v>
      </c>
      <c r="R27" s="29" t="s">
        <v>87</v>
      </c>
      <c r="S27" s="16">
        <f t="shared" ref="S27:AF27" si="19">SUM(S19:S21)</f>
        <v>38</v>
      </c>
      <c r="T27" s="16">
        <f t="shared" si="19"/>
        <v>0</v>
      </c>
      <c r="U27" s="16">
        <f t="shared" si="19"/>
        <v>44</v>
      </c>
      <c r="V27" s="16">
        <f t="shared" si="19"/>
        <v>35</v>
      </c>
      <c r="W27" s="16">
        <f t="shared" si="19"/>
        <v>1</v>
      </c>
      <c r="X27" s="16">
        <f t="shared" si="19"/>
        <v>0</v>
      </c>
      <c r="Y27" s="16">
        <f t="shared" si="19"/>
        <v>44</v>
      </c>
      <c r="Z27" s="16">
        <f t="shared" si="19"/>
        <v>4</v>
      </c>
      <c r="AA27" s="16">
        <f t="shared" si="19"/>
        <v>3</v>
      </c>
      <c r="AB27" s="16">
        <f t="shared" si="19"/>
        <v>0</v>
      </c>
      <c r="AC27" s="16">
        <f t="shared" si="19"/>
        <v>292</v>
      </c>
      <c r="AD27" s="16">
        <f t="shared" si="19"/>
        <v>0</v>
      </c>
      <c r="AE27" s="32">
        <f t="shared" si="19"/>
        <v>169</v>
      </c>
      <c r="AF27" s="32">
        <f t="shared" si="19"/>
        <v>461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3</v>
      </c>
      <c r="F28" s="50">
        <v>2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22</v>
      </c>
      <c r="N28" s="50">
        <v>0</v>
      </c>
      <c r="O28" s="15">
        <f t="shared" si="0"/>
        <v>6</v>
      </c>
      <c r="P28" s="15">
        <f t="shared" si="1"/>
        <v>28</v>
      </c>
      <c r="R28" s="5" t="s">
        <v>17</v>
      </c>
      <c r="S28" s="16">
        <f t="shared" ref="S28:AF28" si="20">SUM(S10:S21)</f>
        <v>98</v>
      </c>
      <c r="T28" s="16">
        <f t="shared" si="20"/>
        <v>0</v>
      </c>
      <c r="U28" s="16">
        <f t="shared" si="20"/>
        <v>96</v>
      </c>
      <c r="V28" s="16">
        <f t="shared" si="20"/>
        <v>82</v>
      </c>
      <c r="W28" s="16">
        <f t="shared" si="20"/>
        <v>2</v>
      </c>
      <c r="X28" s="16">
        <f t="shared" si="20"/>
        <v>0</v>
      </c>
      <c r="Y28" s="16">
        <f t="shared" si="20"/>
        <v>115</v>
      </c>
      <c r="Z28" s="16">
        <f t="shared" si="20"/>
        <v>22</v>
      </c>
      <c r="AA28" s="16">
        <f t="shared" si="20"/>
        <v>19</v>
      </c>
      <c r="AB28" s="16">
        <f t="shared" si="20"/>
        <v>0</v>
      </c>
      <c r="AC28" s="16">
        <f t="shared" si="20"/>
        <v>929</v>
      </c>
      <c r="AD28" s="16">
        <f t="shared" si="20"/>
        <v>0</v>
      </c>
      <c r="AE28" s="32">
        <f t="shared" si="20"/>
        <v>434</v>
      </c>
      <c r="AF28" s="32">
        <f t="shared" si="20"/>
        <v>1363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4</v>
      </c>
      <c r="P29" s="15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2</v>
      </c>
      <c r="K30" s="50">
        <v>1</v>
      </c>
      <c r="L30" s="50">
        <v>0</v>
      </c>
      <c r="M30" s="50">
        <v>20</v>
      </c>
      <c r="N30" s="50">
        <v>0</v>
      </c>
      <c r="O30" s="15">
        <f t="shared" si="0"/>
        <v>9</v>
      </c>
      <c r="P30" s="15">
        <f t="shared" si="1"/>
        <v>29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9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31</v>
      </c>
      <c r="N32" s="50">
        <v>0</v>
      </c>
      <c r="O32" s="15">
        <f t="shared" si="0"/>
        <v>5</v>
      </c>
      <c r="P32" s="15">
        <f t="shared" si="1"/>
        <v>36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4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0</v>
      </c>
      <c r="J34" s="50">
        <v>1</v>
      </c>
      <c r="K34" s="50">
        <v>1</v>
      </c>
      <c r="L34" s="50">
        <v>0</v>
      </c>
      <c r="M34" s="50">
        <v>16</v>
      </c>
      <c r="N34" s="50">
        <v>0</v>
      </c>
      <c r="O34" s="15">
        <f t="shared" si="0"/>
        <v>9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24</v>
      </c>
      <c r="N35" s="50">
        <v>0</v>
      </c>
      <c r="O35" s="15">
        <f t="shared" si="0"/>
        <v>8</v>
      </c>
      <c r="P35" s="15">
        <f t="shared" si="1"/>
        <v>32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2</v>
      </c>
      <c r="F36" s="50">
        <v>2</v>
      </c>
      <c r="G36" s="50">
        <v>0</v>
      </c>
      <c r="H36" s="50">
        <v>0</v>
      </c>
      <c r="I36" s="50">
        <v>4</v>
      </c>
      <c r="J36" s="50">
        <v>0</v>
      </c>
      <c r="K36" s="50">
        <v>1</v>
      </c>
      <c r="L36" s="50">
        <v>0</v>
      </c>
      <c r="M36" s="50">
        <v>18</v>
      </c>
      <c r="N36" s="50">
        <v>0</v>
      </c>
      <c r="O36" s="15">
        <f t="shared" si="0"/>
        <v>11</v>
      </c>
      <c r="P36" s="15">
        <f t="shared" si="1"/>
        <v>29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5</v>
      </c>
      <c r="J37" s="50">
        <v>1</v>
      </c>
      <c r="K37" s="50">
        <v>2</v>
      </c>
      <c r="L37" s="50">
        <v>0</v>
      </c>
      <c r="M37" s="50">
        <v>20</v>
      </c>
      <c r="N37" s="50">
        <v>0</v>
      </c>
      <c r="O37" s="15">
        <f t="shared" si="0"/>
        <v>13</v>
      </c>
      <c r="P37" s="15">
        <f t="shared" si="1"/>
        <v>33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3</v>
      </c>
      <c r="F38" s="50">
        <v>2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0</v>
      </c>
      <c r="M38" s="50">
        <v>31</v>
      </c>
      <c r="N38" s="50">
        <v>0</v>
      </c>
      <c r="O38" s="15">
        <f t="shared" si="0"/>
        <v>12</v>
      </c>
      <c r="P38" s="15">
        <f t="shared" si="1"/>
        <v>43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22</v>
      </c>
      <c r="N39" s="50">
        <v>0</v>
      </c>
      <c r="O39" s="15">
        <f t="shared" si="0"/>
        <v>8</v>
      </c>
      <c r="P39" s="15">
        <f t="shared" si="1"/>
        <v>30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22</v>
      </c>
      <c r="N40" s="50">
        <v>0</v>
      </c>
      <c r="O40" s="15">
        <f t="shared" si="0"/>
        <v>9</v>
      </c>
      <c r="P40" s="15">
        <f t="shared" si="1"/>
        <v>31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1</v>
      </c>
      <c r="G41" s="50">
        <v>1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8</v>
      </c>
      <c r="P41" s="15">
        <f t="shared" si="1"/>
        <v>25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9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3</v>
      </c>
      <c r="F43" s="50">
        <v>2</v>
      </c>
      <c r="G43" s="50">
        <v>0</v>
      </c>
      <c r="H43" s="50">
        <v>0</v>
      </c>
      <c r="I43" s="50">
        <v>4</v>
      </c>
      <c r="J43" s="50">
        <v>2</v>
      </c>
      <c r="K43" s="50">
        <v>0</v>
      </c>
      <c r="L43" s="50">
        <v>0</v>
      </c>
      <c r="M43" s="50">
        <v>23</v>
      </c>
      <c r="N43" s="50">
        <v>0</v>
      </c>
      <c r="O43" s="15">
        <f t="shared" si="0"/>
        <v>16</v>
      </c>
      <c r="P43" s="15">
        <f t="shared" si="1"/>
        <v>39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2</v>
      </c>
      <c r="F44" s="50">
        <v>2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0"/>
        <v>6</v>
      </c>
      <c r="P44" s="15">
        <f t="shared" si="1"/>
        <v>18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28</v>
      </c>
      <c r="N45" s="50">
        <v>0</v>
      </c>
      <c r="O45" s="15">
        <f t="shared" si="0"/>
        <v>4</v>
      </c>
      <c r="P45" s="15">
        <f t="shared" si="1"/>
        <v>32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4</v>
      </c>
      <c r="F46" s="50">
        <v>3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14</v>
      </c>
      <c r="P46" s="15">
        <f t="shared" si="1"/>
        <v>35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3</v>
      </c>
      <c r="F47" s="50">
        <v>3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13</v>
      </c>
      <c r="P47" s="15">
        <f t="shared" si="1"/>
        <v>31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17</v>
      </c>
      <c r="N48" s="50">
        <v>0</v>
      </c>
      <c r="O48" s="15">
        <f t="shared" si="0"/>
        <v>11</v>
      </c>
      <c r="P48" s="15">
        <f t="shared" si="1"/>
        <v>28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5</v>
      </c>
      <c r="F49" s="50">
        <v>5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19</v>
      </c>
      <c r="N49" s="50">
        <v>0</v>
      </c>
      <c r="O49" s="15">
        <f t="shared" si="0"/>
        <v>16</v>
      </c>
      <c r="P49" s="15">
        <f t="shared" si="1"/>
        <v>35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4</v>
      </c>
      <c r="F50" s="50">
        <v>4</v>
      </c>
      <c r="G50" s="50">
        <v>0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21</v>
      </c>
      <c r="N50" s="50">
        <v>0</v>
      </c>
      <c r="O50" s="15">
        <f t="shared" si="0"/>
        <v>18</v>
      </c>
      <c r="P50" s="15">
        <f t="shared" si="1"/>
        <v>39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4</v>
      </c>
      <c r="F51" s="50">
        <v>3</v>
      </c>
      <c r="G51" s="50">
        <v>0</v>
      </c>
      <c r="H51" s="50">
        <v>0</v>
      </c>
      <c r="I51" s="50">
        <v>5</v>
      </c>
      <c r="J51" s="50">
        <v>2</v>
      </c>
      <c r="K51" s="50">
        <v>1</v>
      </c>
      <c r="L51" s="50">
        <v>0</v>
      </c>
      <c r="M51" s="50">
        <v>24</v>
      </c>
      <c r="N51" s="50">
        <v>0</v>
      </c>
      <c r="O51" s="15">
        <f t="shared" si="0"/>
        <v>19</v>
      </c>
      <c r="P51" s="15">
        <f t="shared" si="1"/>
        <v>43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4</v>
      </c>
      <c r="F52" s="50">
        <v>4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26</v>
      </c>
      <c r="N52" s="50">
        <v>0</v>
      </c>
      <c r="O52" s="15">
        <f t="shared" si="0"/>
        <v>15</v>
      </c>
      <c r="P52" s="15">
        <f t="shared" si="1"/>
        <v>41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35</v>
      </c>
      <c r="N53" s="50">
        <v>0</v>
      </c>
      <c r="O53" s="15">
        <f t="shared" si="0"/>
        <v>12</v>
      </c>
      <c r="P53" s="15">
        <f t="shared" si="1"/>
        <v>47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8</v>
      </c>
      <c r="F54" s="50">
        <v>3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28</v>
      </c>
      <c r="N54" s="50">
        <v>0</v>
      </c>
      <c r="O54" s="15">
        <f t="shared" si="0"/>
        <v>16</v>
      </c>
      <c r="P54" s="15">
        <f t="shared" si="1"/>
        <v>44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5</v>
      </c>
      <c r="F55" s="50">
        <v>3</v>
      </c>
      <c r="G55" s="50">
        <v>0</v>
      </c>
      <c r="H55" s="50">
        <v>0</v>
      </c>
      <c r="I55" s="50">
        <v>4</v>
      </c>
      <c r="J55" s="50">
        <v>0</v>
      </c>
      <c r="K55" s="50">
        <v>1</v>
      </c>
      <c r="L55" s="50">
        <v>0</v>
      </c>
      <c r="M55" s="50">
        <v>28</v>
      </c>
      <c r="N55" s="50">
        <v>0</v>
      </c>
      <c r="O55" s="15">
        <f t="shared" si="0"/>
        <v>15</v>
      </c>
      <c r="P55" s="15">
        <f t="shared" si="1"/>
        <v>43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2</v>
      </c>
      <c r="G56" s="50">
        <v>0</v>
      </c>
      <c r="H56" s="50">
        <v>0</v>
      </c>
      <c r="I56" s="50">
        <v>4</v>
      </c>
      <c r="J56" s="50">
        <v>0</v>
      </c>
      <c r="K56" s="50">
        <v>1</v>
      </c>
      <c r="L56" s="50">
        <v>0</v>
      </c>
      <c r="M56" s="50">
        <v>27</v>
      </c>
      <c r="N56" s="50">
        <v>0</v>
      </c>
      <c r="O56" s="15">
        <f t="shared" si="0"/>
        <v>8</v>
      </c>
      <c r="P56" s="15">
        <f t="shared" si="1"/>
        <v>35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2</v>
      </c>
      <c r="F57" s="50">
        <v>3</v>
      </c>
      <c r="G57" s="50">
        <v>0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12</v>
      </c>
      <c r="P57" s="15">
        <f t="shared" si="1"/>
        <v>40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98</v>
      </c>
      <c r="D58" s="16">
        <f t="shared" si="21"/>
        <v>0</v>
      </c>
      <c r="E58" s="16">
        <f t="shared" si="21"/>
        <v>96</v>
      </c>
      <c r="F58" s="16">
        <f t="shared" si="21"/>
        <v>82</v>
      </c>
      <c r="G58" s="16">
        <f t="shared" si="21"/>
        <v>2</v>
      </c>
      <c r="H58" s="16">
        <f t="shared" si="21"/>
        <v>0</v>
      </c>
      <c r="I58" s="16">
        <f t="shared" si="21"/>
        <v>115</v>
      </c>
      <c r="J58" s="16">
        <f t="shared" si="21"/>
        <v>22</v>
      </c>
      <c r="K58" s="16">
        <f t="shared" si="21"/>
        <v>19</v>
      </c>
      <c r="L58" s="16">
        <f t="shared" si="21"/>
        <v>0</v>
      </c>
      <c r="M58" s="16">
        <f t="shared" si="21"/>
        <v>929</v>
      </c>
      <c r="N58" s="16">
        <f t="shared" si="21"/>
        <v>0</v>
      </c>
      <c r="O58" s="16">
        <f t="shared" si="21"/>
        <v>434</v>
      </c>
      <c r="P58" s="16">
        <f t="shared" si="21"/>
        <v>1363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7.1900220102714602E-2</v>
      </c>
      <c r="D59" s="43">
        <f t="shared" si="22"/>
        <v>0</v>
      </c>
      <c r="E59" s="43">
        <f t="shared" si="22"/>
        <v>7.0432868672046955E-2</v>
      </c>
      <c r="F59" s="43">
        <f t="shared" si="22"/>
        <v>6.016140865737344E-2</v>
      </c>
      <c r="G59" s="43">
        <f t="shared" si="22"/>
        <v>1.467351430667645E-3</v>
      </c>
      <c r="H59" s="43">
        <f t="shared" si="22"/>
        <v>0</v>
      </c>
      <c r="I59" s="43">
        <f t="shared" si="22"/>
        <v>8.4372707263389579E-2</v>
      </c>
      <c r="J59" s="43">
        <f t="shared" si="22"/>
        <v>1.6140865737344093E-2</v>
      </c>
      <c r="K59" s="43">
        <f t="shared" si="22"/>
        <v>1.3939838591342627E-2</v>
      </c>
      <c r="L59" s="43">
        <f t="shared" si="22"/>
        <v>0</v>
      </c>
      <c r="M59" s="43">
        <f t="shared" si="22"/>
        <v>0.68158473954512111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0.22580645161290322</v>
      </c>
      <c r="D60" s="44">
        <f t="shared" ref="D60:N60" si="23">D58/$O$58</f>
        <v>0</v>
      </c>
      <c r="E60" s="44">
        <f t="shared" si="23"/>
        <v>0.22119815668202766</v>
      </c>
      <c r="F60" s="44">
        <f t="shared" si="23"/>
        <v>0.1889400921658986</v>
      </c>
      <c r="G60" s="44">
        <f t="shared" si="23"/>
        <v>4.608294930875576E-3</v>
      </c>
      <c r="H60" s="44">
        <f t="shared" si="23"/>
        <v>0</v>
      </c>
      <c r="I60" s="44">
        <f t="shared" si="23"/>
        <v>0.26497695852534564</v>
      </c>
      <c r="J60" s="44">
        <f t="shared" si="23"/>
        <v>5.0691244239631339E-2</v>
      </c>
      <c r="K60" s="44">
        <f t="shared" si="23"/>
        <v>4.377880184331797E-2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A85" zoomScale="60" workbookViewId="0">
      <selection activeCell="G103" sqref="G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'26.08 MATUGA-KAPEEKA'!C3:G3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'26.08 KAPEKA-MATUGA'!G5:H5</f>
        <v>Kapeeka</v>
      </c>
      <c r="H5" s="67"/>
      <c r="I5" s="14"/>
      <c r="J5" s="2" t="s">
        <v>5</v>
      </c>
      <c r="K5" s="66" t="str">
        <f>'26.08 KAPEKA-MATUGA'!K5:L5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'26.08 KAPEKA-MATUGA'!D6:E6</f>
        <v>KAPEKA</v>
      </c>
      <c r="E6" s="67"/>
      <c r="F6" s="2" t="s">
        <v>2</v>
      </c>
      <c r="G6" s="66" t="str">
        <f>'26.08 KAPEKA-MATUGA'!G6:H6</f>
        <v>MATUGA</v>
      </c>
      <c r="H6" s="67"/>
      <c r="J6" s="2" t="s">
        <v>21</v>
      </c>
      <c r="K6" s="66" t="str">
        <f>'26.08 KAPEKA-MATUGA'!K6:L6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AVERAGE('20.08 KAPEKA-MATUGA'!C10,'21.08 KAPEKA-MATUGA'!C10,'22.08 KAPEKA-MATUGA'!C10,'23.08 KAPEKA-MATUGA'!C10,'24.08 KAPEKA-MATUGA-24h'!C10,'25.08 KAPEEKA-MATUGA-24h'!C10,'26.08 KAPEKA-MATUGA'!C10)</f>
        <v>0.2857142857142857</v>
      </c>
      <c r="D10" s="49">
        <f>0.4*(AVERAGE('20.08 KAPEKA-MATUGA'!E10,'21.08 KAPEKA-MATUGA'!E10,'22.08 KAPEKA-MATUGA'!E10,'23.08 KAPEKA-MATUGA'!E10,'24.08 KAPEKA-MATUGA-24h'!E10,'25.08 KAPEEKA-MATUGA-24h'!E10,'26.08 KAPEKA-MATUGA'!E10))</f>
        <v>0.51428571428571435</v>
      </c>
      <c r="E10" s="49">
        <f>0.6*(AVERAGE('20.08 KAPEKA-MATUGA'!E10,'21.08 KAPEKA-MATUGA'!E10,'22.08 KAPEKA-MATUGA'!E10,'23.08 KAPEKA-MATUGA'!E10,'24.08 KAPEKA-MATUGA-24h'!E10,'25.08 KAPEEKA-MATUGA-24h'!E10,'26.08 KAPEKA-MATUGA'!E10))</f>
        <v>0.77142857142857146</v>
      </c>
      <c r="F10" s="49">
        <f>AVERAGE('20.08 KAPEKA-MATUGA'!F10,'21.08 KAPEKA-MATUGA'!F10,'22.08 KAPEKA-MATUGA'!F10,'23.08 KAPEKA-MATUGA'!F10,'24.08 KAPEKA-MATUGA-24h'!F10,'25.08 KAPEEKA-MATUGA-24h'!F10,'26.08 KAPEKA-MATUGA'!F10)</f>
        <v>1.7142857142857142</v>
      </c>
      <c r="G10" s="49">
        <f>AVERAGE('20.08 KAPEKA-MATUGA'!G10,'21.08 KAPEKA-MATUGA'!G10,'22.08 KAPEKA-MATUGA'!G10,'23.08 KAPEKA-MATUGA'!G10,'24.08 KAPEKA-MATUGA-24h'!G10,'25.08 KAPEEKA-MATUGA-24h'!G10,'26.08 KAPEKA-MATUGA'!G10)</f>
        <v>0.14285714285714285</v>
      </c>
      <c r="H10" s="49">
        <f>AVERAGE('20.08 KAPEKA-MATUGA'!H10,'21.08 KAPEKA-MATUGA'!H10,'22.08 KAPEKA-MATUGA'!H10,'23.08 KAPEKA-MATUGA'!H10,'24.08 KAPEKA-MATUGA-24h'!H10,'25.08 KAPEEKA-MATUGA-24h'!H10,'26.08 KAPEKA-MATUGA'!H10)</f>
        <v>0</v>
      </c>
      <c r="I10" s="49">
        <f>AVERAGE('20.08 KAPEKA-MATUGA'!I10,'21.08 KAPEKA-MATUGA'!I10,'22.08 KAPEKA-MATUGA'!I10,'23.08 KAPEKA-MATUGA'!I10,'24.08 KAPEKA-MATUGA-24h'!I10,'25.08 KAPEEKA-MATUGA-24h'!I10,'26.08 KAPEKA-MATUGA'!I10)</f>
        <v>1.7142857142857142</v>
      </c>
      <c r="J10" s="49">
        <f>AVERAGE('20.08 KAPEKA-MATUGA'!J10,'21.08 KAPEKA-MATUGA'!J10,'22.08 KAPEKA-MATUGA'!J10,'23.08 KAPEKA-MATUGA'!J10,'24.08 KAPEKA-MATUGA-24h'!J10,'25.08 KAPEEKA-MATUGA-24h'!J10,'26.08 KAPEKA-MATUGA'!J10)</f>
        <v>0.14285714285714285</v>
      </c>
      <c r="K10" s="49">
        <f>AVERAGE('20.08 KAPEKA-MATUGA'!K10,'21.08 KAPEKA-MATUGA'!K10,'22.08 KAPEKA-MATUGA'!K10,'23.08 KAPEKA-MATUGA'!K10,'24.08 KAPEKA-MATUGA-24h'!K10,'25.08 KAPEEKA-MATUGA-24h'!K10,'26.08 KAPEKA-MATUGA'!K10)</f>
        <v>0</v>
      </c>
      <c r="L10" s="49">
        <f>AVERAGE('20.08 KAPEKA-MATUGA'!L10,'21.08 KAPEKA-MATUGA'!L10,'22.08 KAPEKA-MATUGA'!L10,'23.08 KAPEKA-MATUGA'!L10,'24.08 KAPEKA-MATUGA-24h'!L10,'25.08 KAPEEKA-MATUGA-24h'!L10,'26.08 KAPEKA-MATUGA'!L10)</f>
        <v>0.14285714285714285</v>
      </c>
      <c r="M10" s="49">
        <f>AVERAGE('20.08 KAPEKA-MATUGA'!M10,'21.08 KAPEKA-MATUGA'!M10,'22.08 KAPEKA-MATUGA'!M10,'23.08 KAPEKA-MATUGA'!M10,'24.08 KAPEKA-MATUGA-24h'!M10,'25.08 KAPEEKA-MATUGA-24h'!M10,'26.08 KAPEKA-MATUGA'!M10)</f>
        <v>15.714285714285714</v>
      </c>
      <c r="N10" s="49">
        <f>AVERAGE('20.08 KAPEKA-MATUGA'!N10,'21.08 KAPEKA-MATUGA'!N10,'22.08 KAPEKA-MATUGA'!N10,'23.08 KAPEKA-MATUGA'!N10,'24.08 KAPEKA-MATUGA-24h'!N10,'25.08 KAPEEKA-MATUGA-24h'!N10,'26.08 KAPEKA-MATUGA'!N10)</f>
        <v>0</v>
      </c>
      <c r="O10" s="15">
        <f t="shared" ref="O10:O73" si="0">SUM(C10:L10,N10)</f>
        <v>5.4285714285714288</v>
      </c>
      <c r="P10" s="15">
        <f t="shared" ref="P10:P73" si="1">SUM(C10:N10)</f>
        <v>21.142857142857142</v>
      </c>
      <c r="R10" s="1" t="s">
        <v>6</v>
      </c>
      <c r="S10" s="17">
        <f t="shared" ref="S10:AF10" si="2">SUM(C10:C13)</f>
        <v>3.2857142857142856</v>
      </c>
      <c r="T10" s="17">
        <f t="shared" si="2"/>
        <v>2</v>
      </c>
      <c r="U10" s="17">
        <f t="shared" si="2"/>
        <v>3</v>
      </c>
      <c r="V10" s="17">
        <f t="shared" si="2"/>
        <v>5.2857142857142856</v>
      </c>
      <c r="W10" s="17">
        <f t="shared" si="2"/>
        <v>0.2857142857142857</v>
      </c>
      <c r="X10" s="17">
        <f t="shared" si="2"/>
        <v>0</v>
      </c>
      <c r="Y10" s="17">
        <f t="shared" si="2"/>
        <v>11.142857142857142</v>
      </c>
      <c r="Z10" s="17">
        <f t="shared" si="2"/>
        <v>0.2857142857142857</v>
      </c>
      <c r="AA10" s="17">
        <f t="shared" si="2"/>
        <v>0.71428571428571419</v>
      </c>
      <c r="AB10" s="17">
        <f t="shared" si="2"/>
        <v>0.5714285714285714</v>
      </c>
      <c r="AC10" s="17">
        <f t="shared" si="2"/>
        <v>72</v>
      </c>
      <c r="AD10" s="17">
        <f t="shared" si="2"/>
        <v>0</v>
      </c>
      <c r="AE10" s="31">
        <f t="shared" si="2"/>
        <v>26.571428571428573</v>
      </c>
      <c r="AF10" s="31">
        <f t="shared" si="2"/>
        <v>98.571428571428584</v>
      </c>
    </row>
    <row r="11" spans="2:32" s="6" customFormat="1" ht="23.1" customHeight="1" x14ac:dyDescent="0.25">
      <c r="B11" s="23" t="s">
        <v>38</v>
      </c>
      <c r="C11" s="49">
        <f>AVERAGE('20.08 KAPEKA-MATUGA'!C11,'21.08 KAPEKA-MATUGA'!C11,'22.08 KAPEKA-MATUGA'!C11,'23.08 KAPEKA-MATUGA'!C11,'24.08 KAPEKA-MATUGA-24h'!C11,'25.08 KAPEEKA-MATUGA-24h'!C11,'26.08 KAPEKA-MATUGA'!C11)</f>
        <v>0.7142857142857143</v>
      </c>
      <c r="D11" s="49">
        <f>0.4*(AVERAGE('20.08 KAPEKA-MATUGA'!E11,'21.08 KAPEKA-MATUGA'!E11,'22.08 KAPEKA-MATUGA'!E11,'23.08 KAPEKA-MATUGA'!E11,'24.08 KAPEKA-MATUGA-24h'!E11,'25.08 KAPEEKA-MATUGA-24h'!E11,'26.08 KAPEKA-MATUGA'!E11))</f>
        <v>0.28571428571428575</v>
      </c>
      <c r="E11" s="49">
        <f>0.6*(AVERAGE('20.08 KAPEKA-MATUGA'!E11,'21.08 KAPEKA-MATUGA'!E11,'22.08 KAPEKA-MATUGA'!E11,'23.08 KAPEKA-MATUGA'!E11,'24.08 KAPEKA-MATUGA-24h'!E11,'25.08 KAPEEKA-MATUGA-24h'!E11,'26.08 KAPEKA-MATUGA'!E11))</f>
        <v>0.42857142857142855</v>
      </c>
      <c r="F11" s="49">
        <f>AVERAGE('20.08 KAPEKA-MATUGA'!F11,'21.08 KAPEKA-MATUGA'!F11,'22.08 KAPEKA-MATUGA'!F11,'23.08 KAPEKA-MATUGA'!F11,'24.08 KAPEKA-MATUGA-24h'!F11,'25.08 KAPEEKA-MATUGA-24h'!F11,'26.08 KAPEKA-MATUGA'!F11)</f>
        <v>1.7142857142857142</v>
      </c>
      <c r="G11" s="49">
        <f>AVERAGE('20.08 KAPEKA-MATUGA'!G11,'21.08 KAPEKA-MATUGA'!G11,'22.08 KAPEKA-MATUGA'!G11,'23.08 KAPEKA-MATUGA'!G11,'24.08 KAPEKA-MATUGA-24h'!G11,'25.08 KAPEEKA-MATUGA-24h'!G11,'26.08 KAPEKA-MATUGA'!G11)</f>
        <v>0</v>
      </c>
      <c r="H11" s="49">
        <f>AVERAGE('20.08 KAPEKA-MATUGA'!H11,'21.08 KAPEKA-MATUGA'!H11,'22.08 KAPEKA-MATUGA'!H11,'23.08 KAPEKA-MATUGA'!H11,'24.08 KAPEKA-MATUGA-24h'!H11,'25.08 KAPEEKA-MATUGA-24h'!H11,'26.08 KAPEKA-MATUGA'!H11)</f>
        <v>0</v>
      </c>
      <c r="I11" s="49">
        <f>AVERAGE('20.08 KAPEKA-MATUGA'!I11,'21.08 KAPEKA-MATUGA'!I11,'22.08 KAPEKA-MATUGA'!I11,'23.08 KAPEKA-MATUGA'!I11,'24.08 KAPEKA-MATUGA-24h'!I11,'25.08 KAPEEKA-MATUGA-24h'!I11,'26.08 KAPEKA-MATUGA'!I11)</f>
        <v>2.2857142857142856</v>
      </c>
      <c r="J11" s="49">
        <f>AVERAGE('20.08 KAPEKA-MATUGA'!J11,'21.08 KAPEKA-MATUGA'!J11,'22.08 KAPEKA-MATUGA'!J11,'23.08 KAPEKA-MATUGA'!J11,'24.08 KAPEKA-MATUGA-24h'!J11,'25.08 KAPEEKA-MATUGA-24h'!J11,'26.08 KAPEKA-MATUGA'!J11)</f>
        <v>0.14285714285714285</v>
      </c>
      <c r="K11" s="49">
        <f>AVERAGE('20.08 KAPEKA-MATUGA'!K11,'21.08 KAPEKA-MATUGA'!K11,'22.08 KAPEKA-MATUGA'!K11,'23.08 KAPEKA-MATUGA'!K11,'24.08 KAPEKA-MATUGA-24h'!K11,'25.08 KAPEEKA-MATUGA-24h'!K11,'26.08 KAPEKA-MATUGA'!K11)</f>
        <v>0.2857142857142857</v>
      </c>
      <c r="L11" s="49">
        <f>AVERAGE('20.08 KAPEKA-MATUGA'!L11,'21.08 KAPEKA-MATUGA'!L11,'22.08 KAPEKA-MATUGA'!L11,'23.08 KAPEKA-MATUGA'!L11,'24.08 KAPEKA-MATUGA-24h'!L11,'25.08 KAPEEKA-MATUGA-24h'!L11,'26.08 KAPEKA-MATUGA'!L11)</f>
        <v>0.14285714285714285</v>
      </c>
      <c r="M11" s="49">
        <f>AVERAGE('20.08 KAPEKA-MATUGA'!M11,'21.08 KAPEKA-MATUGA'!M11,'22.08 KAPEKA-MATUGA'!M11,'23.08 KAPEKA-MATUGA'!M11,'24.08 KAPEKA-MATUGA-24h'!M11,'25.08 KAPEEKA-MATUGA-24h'!M11,'26.08 KAPEKA-MATUGA'!M11)</f>
        <v>19.571428571428573</v>
      </c>
      <c r="N11" s="49">
        <f>AVERAGE('20.08 KAPEKA-MATUGA'!N11,'21.08 KAPEKA-MATUGA'!N11,'22.08 KAPEKA-MATUGA'!N11,'23.08 KAPEKA-MATUGA'!N11,'24.08 KAPEKA-MATUGA-24h'!N11,'25.08 KAPEEKA-MATUGA-24h'!N11,'26.08 KAPEKA-MATUGA'!N11)</f>
        <v>0</v>
      </c>
      <c r="O11" s="15">
        <f t="shared" si="0"/>
        <v>6.0000000000000009</v>
      </c>
      <c r="P11" s="15">
        <f t="shared" si="1"/>
        <v>25.571428571428573</v>
      </c>
      <c r="R11" s="1" t="s">
        <v>7</v>
      </c>
      <c r="S11" s="17">
        <f t="shared" ref="S11:AF11" si="3">SUM(C14:C17)</f>
        <v>7.4285714285714288</v>
      </c>
      <c r="T11" s="17">
        <f t="shared" si="3"/>
        <v>2.8571428571428577</v>
      </c>
      <c r="U11" s="17">
        <f t="shared" si="3"/>
        <v>4.2857142857142856</v>
      </c>
      <c r="V11" s="17">
        <f t="shared" si="3"/>
        <v>6.4285714285714288</v>
      </c>
      <c r="W11" s="17">
        <f t="shared" si="3"/>
        <v>0.2857142857142857</v>
      </c>
      <c r="X11" s="17">
        <f t="shared" si="3"/>
        <v>0</v>
      </c>
      <c r="Y11" s="17">
        <f t="shared" si="3"/>
        <v>13.428571428571429</v>
      </c>
      <c r="Z11" s="17">
        <f t="shared" si="3"/>
        <v>0.8571428571428571</v>
      </c>
      <c r="AA11" s="17">
        <f t="shared" si="3"/>
        <v>2</v>
      </c>
      <c r="AB11" s="17">
        <f t="shared" si="3"/>
        <v>0.5714285714285714</v>
      </c>
      <c r="AC11" s="17">
        <f t="shared" si="3"/>
        <v>75.285714285714278</v>
      </c>
      <c r="AD11" s="17">
        <f t="shared" si="3"/>
        <v>0</v>
      </c>
      <c r="AE11" s="31">
        <f t="shared" si="3"/>
        <v>38.142857142857139</v>
      </c>
      <c r="AF11" s="31">
        <f t="shared" si="3"/>
        <v>113.42857142857143</v>
      </c>
    </row>
    <row r="12" spans="2:32" ht="23.1" customHeight="1" x14ac:dyDescent="0.25">
      <c r="B12" s="23" t="s">
        <v>39</v>
      </c>
      <c r="C12" s="49">
        <f>AVERAGE('20.08 KAPEKA-MATUGA'!C12,'21.08 KAPEKA-MATUGA'!C12,'22.08 KAPEKA-MATUGA'!C12,'23.08 KAPEKA-MATUGA'!C12,'24.08 KAPEKA-MATUGA-24h'!C12,'25.08 KAPEEKA-MATUGA-24h'!C12,'26.08 KAPEKA-MATUGA'!C12)</f>
        <v>1.2857142857142858</v>
      </c>
      <c r="D12" s="49">
        <f>0.4*(AVERAGE('20.08 KAPEKA-MATUGA'!E12,'21.08 KAPEKA-MATUGA'!E12,'22.08 KAPEKA-MATUGA'!E12,'23.08 KAPEKA-MATUGA'!E12,'24.08 KAPEKA-MATUGA-24h'!E12,'25.08 KAPEEKA-MATUGA-24h'!E12,'26.08 KAPEKA-MATUGA'!E12))</f>
        <v>0.68571428571428572</v>
      </c>
      <c r="E12" s="49">
        <f>0.6*(AVERAGE('20.08 KAPEKA-MATUGA'!E12,'21.08 KAPEKA-MATUGA'!E12,'22.08 KAPEKA-MATUGA'!E12,'23.08 KAPEKA-MATUGA'!E12,'24.08 KAPEKA-MATUGA-24h'!E12,'25.08 KAPEEKA-MATUGA-24h'!E12,'26.08 KAPEKA-MATUGA'!E12))</f>
        <v>1.0285714285714285</v>
      </c>
      <c r="F12" s="49">
        <f>AVERAGE('20.08 KAPEKA-MATUGA'!F12,'21.08 KAPEKA-MATUGA'!F12,'22.08 KAPEKA-MATUGA'!F12,'23.08 KAPEKA-MATUGA'!F12,'24.08 KAPEKA-MATUGA-24h'!F12,'25.08 KAPEEKA-MATUGA-24h'!F12,'26.08 KAPEKA-MATUGA'!F12)</f>
        <v>0.8571428571428571</v>
      </c>
      <c r="G12" s="49">
        <f>AVERAGE('20.08 KAPEKA-MATUGA'!G12,'21.08 KAPEKA-MATUGA'!G12,'22.08 KAPEKA-MATUGA'!G12,'23.08 KAPEKA-MATUGA'!G12,'24.08 KAPEKA-MATUGA-24h'!G12,'25.08 KAPEEKA-MATUGA-24h'!G12,'26.08 KAPEKA-MATUGA'!G12)</f>
        <v>0</v>
      </c>
      <c r="H12" s="49">
        <f>AVERAGE('20.08 KAPEKA-MATUGA'!H12,'21.08 KAPEKA-MATUGA'!H12,'22.08 KAPEKA-MATUGA'!H12,'23.08 KAPEKA-MATUGA'!H12,'24.08 KAPEKA-MATUGA-24h'!H12,'25.08 KAPEEKA-MATUGA-24h'!H12,'26.08 KAPEKA-MATUGA'!H12)</f>
        <v>0</v>
      </c>
      <c r="I12" s="49">
        <f>AVERAGE('20.08 KAPEKA-MATUGA'!I12,'21.08 KAPEKA-MATUGA'!I12,'22.08 KAPEKA-MATUGA'!I12,'23.08 KAPEKA-MATUGA'!I12,'24.08 KAPEKA-MATUGA-24h'!I12,'25.08 KAPEEKA-MATUGA-24h'!I12,'26.08 KAPEKA-MATUGA'!I12)</f>
        <v>3.8571428571428572</v>
      </c>
      <c r="J12" s="49">
        <f>AVERAGE('20.08 KAPEKA-MATUGA'!J12,'21.08 KAPEKA-MATUGA'!J12,'22.08 KAPEKA-MATUGA'!J12,'23.08 KAPEKA-MATUGA'!J12,'24.08 KAPEKA-MATUGA-24h'!J12,'25.08 KAPEEKA-MATUGA-24h'!J12,'26.08 KAPEKA-MATUGA'!J12)</f>
        <v>0</v>
      </c>
      <c r="K12" s="49">
        <f>AVERAGE('20.08 KAPEKA-MATUGA'!K12,'21.08 KAPEKA-MATUGA'!K12,'22.08 KAPEKA-MATUGA'!K12,'23.08 KAPEKA-MATUGA'!K12,'24.08 KAPEKA-MATUGA-24h'!K12,'25.08 KAPEEKA-MATUGA-24h'!K12,'26.08 KAPEKA-MATUGA'!K12)</f>
        <v>0.42857142857142855</v>
      </c>
      <c r="L12" s="49">
        <f>AVERAGE('20.08 KAPEKA-MATUGA'!L12,'21.08 KAPEKA-MATUGA'!L12,'22.08 KAPEKA-MATUGA'!L12,'23.08 KAPEKA-MATUGA'!L12,'24.08 KAPEKA-MATUGA-24h'!L12,'25.08 KAPEEKA-MATUGA-24h'!L12,'26.08 KAPEKA-MATUGA'!L12)</f>
        <v>0.14285714285714285</v>
      </c>
      <c r="M12" s="49">
        <f>AVERAGE('20.08 KAPEKA-MATUGA'!M12,'21.08 KAPEKA-MATUGA'!M12,'22.08 KAPEKA-MATUGA'!M12,'23.08 KAPEKA-MATUGA'!M12,'24.08 KAPEKA-MATUGA-24h'!M12,'25.08 KAPEEKA-MATUGA-24h'!M12,'26.08 KAPEKA-MATUGA'!M12)</f>
        <v>19.714285714285715</v>
      </c>
      <c r="N12" s="49">
        <f>AVERAGE('20.08 KAPEKA-MATUGA'!N12,'21.08 KAPEKA-MATUGA'!N12,'22.08 KAPEKA-MATUGA'!N12,'23.08 KAPEKA-MATUGA'!N12,'24.08 KAPEKA-MATUGA-24h'!N12,'25.08 KAPEEKA-MATUGA-24h'!N12,'26.08 KAPEKA-MATUGA'!N12)</f>
        <v>0</v>
      </c>
      <c r="O12" s="15">
        <f t="shared" si="0"/>
        <v>8.2857142857142847</v>
      </c>
      <c r="P12" s="15">
        <f t="shared" si="1"/>
        <v>28</v>
      </c>
      <c r="R12" s="1" t="s">
        <v>8</v>
      </c>
      <c r="S12" s="17">
        <f t="shared" ref="S12:AF12" si="4">SUM(C18:C21)</f>
        <v>8.2857142857142847</v>
      </c>
      <c r="T12" s="17">
        <f t="shared" si="4"/>
        <v>3.3142857142857145</v>
      </c>
      <c r="U12" s="17">
        <f t="shared" si="4"/>
        <v>4.9714285714285715</v>
      </c>
      <c r="V12" s="17">
        <f t="shared" si="4"/>
        <v>4.4285714285714288</v>
      </c>
      <c r="W12" s="17">
        <f t="shared" si="4"/>
        <v>0.5714285714285714</v>
      </c>
      <c r="X12" s="17">
        <f t="shared" si="4"/>
        <v>0</v>
      </c>
      <c r="Y12" s="17">
        <f t="shared" si="4"/>
        <v>14.571428571428573</v>
      </c>
      <c r="Z12" s="17">
        <f t="shared" si="4"/>
        <v>1.5714285714285714</v>
      </c>
      <c r="AA12" s="17">
        <f t="shared" si="4"/>
        <v>1.714285714285714</v>
      </c>
      <c r="AB12" s="17">
        <f t="shared" si="4"/>
        <v>0.5714285714285714</v>
      </c>
      <c r="AC12" s="17">
        <f t="shared" si="4"/>
        <v>75.857142857142861</v>
      </c>
      <c r="AD12" s="17">
        <f t="shared" si="4"/>
        <v>0</v>
      </c>
      <c r="AE12" s="31">
        <f t="shared" si="4"/>
        <v>40</v>
      </c>
      <c r="AF12" s="31">
        <f t="shared" si="4"/>
        <v>115.85714285714285</v>
      </c>
    </row>
    <row r="13" spans="2:32" ht="23.1" customHeight="1" x14ac:dyDescent="0.25">
      <c r="B13" s="23" t="s">
        <v>40</v>
      </c>
      <c r="C13" s="49">
        <f>AVERAGE('20.08 KAPEKA-MATUGA'!C13,'21.08 KAPEKA-MATUGA'!C13,'22.08 KAPEKA-MATUGA'!C13,'23.08 KAPEKA-MATUGA'!C13,'24.08 KAPEKA-MATUGA-24h'!C13,'25.08 KAPEEKA-MATUGA-24h'!C13,'26.08 KAPEKA-MATUGA'!C13)</f>
        <v>1</v>
      </c>
      <c r="D13" s="49">
        <f>0.4*(AVERAGE('20.08 KAPEKA-MATUGA'!E13,'21.08 KAPEKA-MATUGA'!E13,'22.08 KAPEKA-MATUGA'!E13,'23.08 KAPEKA-MATUGA'!E13,'24.08 KAPEKA-MATUGA-24h'!E13,'25.08 KAPEEKA-MATUGA-24h'!E13,'26.08 KAPEKA-MATUGA'!E13))</f>
        <v>0.51428571428571435</v>
      </c>
      <c r="E13" s="49">
        <f>0.6*(AVERAGE('20.08 KAPEKA-MATUGA'!E13,'21.08 KAPEKA-MATUGA'!E13,'22.08 KAPEKA-MATUGA'!E13,'23.08 KAPEKA-MATUGA'!E13,'24.08 KAPEKA-MATUGA-24h'!E13,'25.08 KAPEEKA-MATUGA-24h'!E13,'26.08 KAPEKA-MATUGA'!E13))</f>
        <v>0.77142857142857146</v>
      </c>
      <c r="F13" s="49">
        <f>AVERAGE('20.08 KAPEKA-MATUGA'!F13,'21.08 KAPEKA-MATUGA'!F13,'22.08 KAPEKA-MATUGA'!F13,'23.08 KAPEKA-MATUGA'!F13,'24.08 KAPEKA-MATUGA-24h'!F13,'25.08 KAPEEKA-MATUGA-24h'!F13,'26.08 KAPEKA-MATUGA'!F13)</f>
        <v>1</v>
      </c>
      <c r="G13" s="49">
        <f>AVERAGE('20.08 KAPEKA-MATUGA'!G13,'21.08 KAPEKA-MATUGA'!G13,'22.08 KAPEKA-MATUGA'!G13,'23.08 KAPEKA-MATUGA'!G13,'24.08 KAPEKA-MATUGA-24h'!G13,'25.08 KAPEEKA-MATUGA-24h'!G13,'26.08 KAPEKA-MATUGA'!G13)</f>
        <v>0.14285714285714285</v>
      </c>
      <c r="H13" s="49">
        <f>AVERAGE('20.08 KAPEKA-MATUGA'!H13,'21.08 KAPEKA-MATUGA'!H13,'22.08 KAPEKA-MATUGA'!H13,'23.08 KAPEKA-MATUGA'!H13,'24.08 KAPEKA-MATUGA-24h'!H13,'25.08 KAPEEKA-MATUGA-24h'!H13,'26.08 KAPEKA-MATUGA'!H13)</f>
        <v>0</v>
      </c>
      <c r="I13" s="49">
        <f>AVERAGE('20.08 KAPEKA-MATUGA'!I13,'21.08 KAPEKA-MATUGA'!I13,'22.08 KAPEKA-MATUGA'!I13,'23.08 KAPEKA-MATUGA'!I13,'24.08 KAPEKA-MATUGA-24h'!I13,'25.08 KAPEEKA-MATUGA-24h'!I13,'26.08 KAPEKA-MATUGA'!I13)</f>
        <v>3.2857142857142856</v>
      </c>
      <c r="J13" s="49">
        <f>AVERAGE('20.08 KAPEKA-MATUGA'!J13,'21.08 KAPEKA-MATUGA'!J13,'22.08 KAPEKA-MATUGA'!J13,'23.08 KAPEKA-MATUGA'!J13,'24.08 KAPEKA-MATUGA-24h'!J13,'25.08 KAPEEKA-MATUGA-24h'!J13,'26.08 KAPEKA-MATUGA'!J13)</f>
        <v>0</v>
      </c>
      <c r="K13" s="49">
        <f>AVERAGE('20.08 KAPEKA-MATUGA'!K13,'21.08 KAPEKA-MATUGA'!K13,'22.08 KAPEKA-MATUGA'!K13,'23.08 KAPEKA-MATUGA'!K13,'24.08 KAPEKA-MATUGA-24h'!K13,'25.08 KAPEEKA-MATUGA-24h'!K13,'26.08 KAPEKA-MATUGA'!K13)</f>
        <v>0</v>
      </c>
      <c r="L13" s="49">
        <f>AVERAGE('20.08 KAPEKA-MATUGA'!L13,'21.08 KAPEKA-MATUGA'!L13,'22.08 KAPEKA-MATUGA'!L13,'23.08 KAPEKA-MATUGA'!L13,'24.08 KAPEKA-MATUGA-24h'!L13,'25.08 KAPEEKA-MATUGA-24h'!L13,'26.08 KAPEKA-MATUGA'!L13)</f>
        <v>0.14285714285714285</v>
      </c>
      <c r="M13" s="49">
        <f>AVERAGE('20.08 KAPEKA-MATUGA'!M13,'21.08 KAPEKA-MATUGA'!M13,'22.08 KAPEKA-MATUGA'!M13,'23.08 KAPEKA-MATUGA'!M13,'24.08 KAPEKA-MATUGA-24h'!M13,'25.08 KAPEEKA-MATUGA-24h'!M13,'26.08 KAPEKA-MATUGA'!M13)</f>
        <v>17</v>
      </c>
      <c r="N13" s="49">
        <f>AVERAGE('20.08 KAPEKA-MATUGA'!N13,'21.08 KAPEKA-MATUGA'!N13,'22.08 KAPEKA-MATUGA'!N13,'23.08 KAPEKA-MATUGA'!N13,'24.08 KAPEKA-MATUGA-24h'!N13,'25.08 KAPEEKA-MATUGA-24h'!N13,'26.08 KAPEKA-MATUGA'!N13)</f>
        <v>0</v>
      </c>
      <c r="O13" s="15">
        <f t="shared" si="0"/>
        <v>6.8571428571428568</v>
      </c>
      <c r="P13" s="15">
        <f t="shared" si="1"/>
        <v>23.857142857142858</v>
      </c>
      <c r="R13" s="1" t="s">
        <v>9</v>
      </c>
      <c r="S13" s="17">
        <f t="shared" ref="S13:AF13" si="5">SUM(C22:C25)</f>
        <v>8.1428571428571423</v>
      </c>
      <c r="T13" s="17">
        <f t="shared" si="5"/>
        <v>4.6857142857142859</v>
      </c>
      <c r="U13" s="17">
        <f t="shared" si="5"/>
        <v>7.0285714285714285</v>
      </c>
      <c r="V13" s="17">
        <f t="shared" si="5"/>
        <v>5.2857142857142856</v>
      </c>
      <c r="W13" s="17">
        <f t="shared" si="5"/>
        <v>0.14285714285714285</v>
      </c>
      <c r="X13" s="17">
        <f t="shared" si="5"/>
        <v>0</v>
      </c>
      <c r="Y13" s="17">
        <f t="shared" si="5"/>
        <v>12.714285714285715</v>
      </c>
      <c r="Z13" s="17">
        <f t="shared" si="5"/>
        <v>1.5714285714285716</v>
      </c>
      <c r="AA13" s="17">
        <f t="shared" si="5"/>
        <v>2.1428571428571428</v>
      </c>
      <c r="AB13" s="17">
        <f t="shared" si="5"/>
        <v>0.5714285714285714</v>
      </c>
      <c r="AC13" s="17">
        <f t="shared" si="5"/>
        <v>83.285714285714292</v>
      </c>
      <c r="AD13" s="17">
        <f t="shared" si="5"/>
        <v>0</v>
      </c>
      <c r="AE13" s="31">
        <f t="shared" si="5"/>
        <v>42.285714285714285</v>
      </c>
      <c r="AF13" s="31">
        <f t="shared" si="5"/>
        <v>125.57142857142857</v>
      </c>
    </row>
    <row r="14" spans="2:32" ht="23.1" customHeight="1" x14ac:dyDescent="0.25">
      <c r="B14" s="23" t="s">
        <v>41</v>
      </c>
      <c r="C14" s="49">
        <f>AVERAGE('20.08 KAPEKA-MATUGA'!C14,'21.08 KAPEKA-MATUGA'!C14,'22.08 KAPEKA-MATUGA'!C14,'23.08 KAPEKA-MATUGA'!C14,'24.08 KAPEKA-MATUGA-24h'!C14,'25.08 KAPEEKA-MATUGA-24h'!C14,'26.08 KAPEKA-MATUGA'!C14)</f>
        <v>1</v>
      </c>
      <c r="D14" s="49">
        <f>0.4*(AVERAGE('20.08 KAPEKA-MATUGA'!E14,'21.08 KAPEKA-MATUGA'!E14,'22.08 KAPEKA-MATUGA'!E14,'23.08 KAPEKA-MATUGA'!E14,'24.08 KAPEKA-MATUGA-24h'!E14,'25.08 KAPEEKA-MATUGA-24h'!E14,'26.08 KAPEKA-MATUGA'!E14))</f>
        <v>0.45714285714285713</v>
      </c>
      <c r="E14" s="49">
        <f>0.6*(AVERAGE('20.08 KAPEKA-MATUGA'!E14,'21.08 KAPEKA-MATUGA'!E14,'22.08 KAPEKA-MATUGA'!E14,'23.08 KAPEKA-MATUGA'!E14,'24.08 KAPEKA-MATUGA-24h'!E14,'25.08 KAPEEKA-MATUGA-24h'!E14,'26.08 KAPEKA-MATUGA'!E14))</f>
        <v>0.68571428571428561</v>
      </c>
      <c r="F14" s="49">
        <f>AVERAGE('20.08 KAPEKA-MATUGA'!F14,'21.08 KAPEKA-MATUGA'!F14,'22.08 KAPEKA-MATUGA'!F14,'23.08 KAPEKA-MATUGA'!F14,'24.08 KAPEKA-MATUGA-24h'!F14,'25.08 KAPEEKA-MATUGA-24h'!F14,'26.08 KAPEKA-MATUGA'!F14)</f>
        <v>1.8571428571428572</v>
      </c>
      <c r="G14" s="49">
        <f>AVERAGE('20.08 KAPEKA-MATUGA'!G14,'21.08 KAPEKA-MATUGA'!G14,'22.08 KAPEKA-MATUGA'!G14,'23.08 KAPEKA-MATUGA'!G14,'24.08 KAPEKA-MATUGA-24h'!G14,'25.08 KAPEEKA-MATUGA-24h'!G14,'26.08 KAPEKA-MATUGA'!G14)</f>
        <v>0.14285714285714285</v>
      </c>
      <c r="H14" s="49">
        <f>AVERAGE('20.08 KAPEKA-MATUGA'!H14,'21.08 KAPEKA-MATUGA'!H14,'22.08 KAPEKA-MATUGA'!H14,'23.08 KAPEKA-MATUGA'!H14,'24.08 KAPEKA-MATUGA-24h'!H14,'25.08 KAPEEKA-MATUGA-24h'!H14,'26.08 KAPEKA-MATUGA'!H14)</f>
        <v>0</v>
      </c>
      <c r="I14" s="49">
        <f>AVERAGE('20.08 KAPEKA-MATUGA'!I14,'21.08 KAPEKA-MATUGA'!I14,'22.08 KAPEKA-MATUGA'!I14,'23.08 KAPEKA-MATUGA'!I14,'24.08 KAPEKA-MATUGA-24h'!I14,'25.08 KAPEEKA-MATUGA-24h'!I14,'26.08 KAPEKA-MATUGA'!I14)</f>
        <v>3</v>
      </c>
      <c r="J14" s="49">
        <f>AVERAGE('20.08 KAPEKA-MATUGA'!J14,'21.08 KAPEKA-MATUGA'!J14,'22.08 KAPEKA-MATUGA'!J14,'23.08 KAPEKA-MATUGA'!J14,'24.08 KAPEKA-MATUGA-24h'!J14,'25.08 KAPEEKA-MATUGA-24h'!J14,'26.08 KAPEKA-MATUGA'!J14)</f>
        <v>0</v>
      </c>
      <c r="K14" s="49">
        <f>AVERAGE('20.08 KAPEKA-MATUGA'!K14,'21.08 KAPEKA-MATUGA'!K14,'22.08 KAPEKA-MATUGA'!K14,'23.08 KAPEKA-MATUGA'!K14,'24.08 KAPEKA-MATUGA-24h'!K14,'25.08 KAPEEKA-MATUGA-24h'!K14,'26.08 KAPEKA-MATUGA'!K14)</f>
        <v>0.14285714285714285</v>
      </c>
      <c r="L14" s="49">
        <f>AVERAGE('20.08 KAPEKA-MATUGA'!L14,'21.08 KAPEKA-MATUGA'!L14,'22.08 KAPEKA-MATUGA'!L14,'23.08 KAPEKA-MATUGA'!L14,'24.08 KAPEKA-MATUGA-24h'!L14,'25.08 KAPEEKA-MATUGA-24h'!L14,'26.08 KAPEKA-MATUGA'!L14)</f>
        <v>0.14285714285714285</v>
      </c>
      <c r="M14" s="49">
        <f>AVERAGE('20.08 KAPEKA-MATUGA'!M14,'21.08 KAPEKA-MATUGA'!M14,'22.08 KAPEKA-MATUGA'!M14,'23.08 KAPEKA-MATUGA'!M14,'24.08 KAPEKA-MATUGA-24h'!M14,'25.08 KAPEEKA-MATUGA-24h'!M14,'26.08 KAPEKA-MATUGA'!M14)</f>
        <v>16.142857142857142</v>
      </c>
      <c r="N14" s="49">
        <f>AVERAGE('20.08 KAPEKA-MATUGA'!N14,'21.08 KAPEKA-MATUGA'!N14,'22.08 KAPEKA-MATUGA'!N14,'23.08 KAPEKA-MATUGA'!N14,'24.08 KAPEKA-MATUGA-24h'!N14,'25.08 KAPEEKA-MATUGA-24h'!N14,'26.08 KAPEKA-MATUGA'!N14)</f>
        <v>0</v>
      </c>
      <c r="O14" s="15">
        <f t="shared" si="0"/>
        <v>7.4285714285714297</v>
      </c>
      <c r="P14" s="15">
        <f t="shared" si="1"/>
        <v>23.571428571428573</v>
      </c>
      <c r="R14" s="1" t="s">
        <v>10</v>
      </c>
      <c r="S14" s="17">
        <f t="shared" ref="S14:AF14" si="6">SUM(C26:C29)</f>
        <v>10.857142857142858</v>
      </c>
      <c r="T14" s="17">
        <f t="shared" si="6"/>
        <v>5.0285714285714285</v>
      </c>
      <c r="U14" s="17">
        <f t="shared" si="6"/>
        <v>7.5428571428571427</v>
      </c>
      <c r="V14" s="17">
        <f t="shared" si="6"/>
        <v>5.8571428571428577</v>
      </c>
      <c r="W14" s="17">
        <f t="shared" si="6"/>
        <v>0</v>
      </c>
      <c r="X14" s="17">
        <f t="shared" si="6"/>
        <v>0</v>
      </c>
      <c r="Y14" s="17">
        <f t="shared" si="6"/>
        <v>10.714285714285714</v>
      </c>
      <c r="Z14" s="17">
        <f t="shared" si="6"/>
        <v>1.4285714285714284</v>
      </c>
      <c r="AA14" s="17">
        <f t="shared" si="6"/>
        <v>1.4285714285714284</v>
      </c>
      <c r="AB14" s="17">
        <f t="shared" si="6"/>
        <v>0.5714285714285714</v>
      </c>
      <c r="AC14" s="17">
        <f t="shared" si="6"/>
        <v>84.714285714285708</v>
      </c>
      <c r="AD14" s="17">
        <f t="shared" si="6"/>
        <v>0.14285714285714285</v>
      </c>
      <c r="AE14" s="31">
        <f t="shared" si="6"/>
        <v>43.571428571428569</v>
      </c>
      <c r="AF14" s="31">
        <f t="shared" si="6"/>
        <v>128.28571428571428</v>
      </c>
    </row>
    <row r="15" spans="2:32" ht="23.1" customHeight="1" x14ac:dyDescent="0.25">
      <c r="B15" s="23" t="s">
        <v>42</v>
      </c>
      <c r="C15" s="49">
        <f>AVERAGE('20.08 KAPEKA-MATUGA'!C15,'21.08 KAPEKA-MATUGA'!C15,'22.08 KAPEKA-MATUGA'!C15,'23.08 KAPEKA-MATUGA'!C15,'24.08 KAPEKA-MATUGA-24h'!C15,'25.08 KAPEEKA-MATUGA-24h'!C15,'26.08 KAPEKA-MATUGA'!C15)</f>
        <v>2</v>
      </c>
      <c r="D15" s="49">
        <f>0.4*(AVERAGE('20.08 KAPEKA-MATUGA'!E15,'21.08 KAPEKA-MATUGA'!E15,'22.08 KAPEKA-MATUGA'!E15,'23.08 KAPEKA-MATUGA'!E15,'24.08 KAPEKA-MATUGA-24h'!E15,'25.08 KAPEEKA-MATUGA-24h'!E15,'26.08 KAPEKA-MATUGA'!E15))</f>
        <v>0.62857142857142856</v>
      </c>
      <c r="E15" s="49">
        <f>0.6*(AVERAGE('20.08 KAPEKA-MATUGA'!E15,'21.08 KAPEKA-MATUGA'!E15,'22.08 KAPEKA-MATUGA'!E15,'23.08 KAPEKA-MATUGA'!E15,'24.08 KAPEKA-MATUGA-24h'!E15,'25.08 KAPEEKA-MATUGA-24h'!E15,'26.08 KAPEKA-MATUGA'!E15))</f>
        <v>0.94285714285714284</v>
      </c>
      <c r="F15" s="49">
        <f>AVERAGE('20.08 KAPEKA-MATUGA'!F15,'21.08 KAPEKA-MATUGA'!F15,'22.08 KAPEKA-MATUGA'!F15,'23.08 KAPEKA-MATUGA'!F15,'24.08 KAPEKA-MATUGA-24h'!F15,'25.08 KAPEEKA-MATUGA-24h'!F15,'26.08 KAPEKA-MATUGA'!F15)</f>
        <v>1.5714285714285714</v>
      </c>
      <c r="G15" s="49">
        <f>AVERAGE('20.08 KAPEKA-MATUGA'!G15,'21.08 KAPEKA-MATUGA'!G15,'22.08 KAPEKA-MATUGA'!G15,'23.08 KAPEKA-MATUGA'!G15,'24.08 KAPEKA-MATUGA-24h'!G15,'25.08 KAPEEKA-MATUGA-24h'!G15,'26.08 KAPEKA-MATUGA'!G15)</f>
        <v>0.14285714285714285</v>
      </c>
      <c r="H15" s="49">
        <f>AVERAGE('20.08 KAPEKA-MATUGA'!H15,'21.08 KAPEKA-MATUGA'!H15,'22.08 KAPEKA-MATUGA'!H15,'23.08 KAPEKA-MATUGA'!H15,'24.08 KAPEKA-MATUGA-24h'!H15,'25.08 KAPEEKA-MATUGA-24h'!H15,'26.08 KAPEKA-MATUGA'!H15)</f>
        <v>0</v>
      </c>
      <c r="I15" s="49">
        <f>AVERAGE('20.08 KAPEKA-MATUGA'!I15,'21.08 KAPEKA-MATUGA'!I15,'22.08 KAPEKA-MATUGA'!I15,'23.08 KAPEKA-MATUGA'!I15,'24.08 KAPEKA-MATUGA-24h'!I15,'25.08 KAPEEKA-MATUGA-24h'!I15,'26.08 KAPEKA-MATUGA'!I15)</f>
        <v>3.4285714285714284</v>
      </c>
      <c r="J15" s="49">
        <f>AVERAGE('20.08 KAPEKA-MATUGA'!J15,'21.08 KAPEKA-MATUGA'!J15,'22.08 KAPEKA-MATUGA'!J15,'23.08 KAPEKA-MATUGA'!J15,'24.08 KAPEKA-MATUGA-24h'!J15,'25.08 KAPEEKA-MATUGA-24h'!J15,'26.08 KAPEKA-MATUGA'!J15)</f>
        <v>0.2857142857142857</v>
      </c>
      <c r="K15" s="49">
        <f>AVERAGE('20.08 KAPEKA-MATUGA'!K15,'21.08 KAPEKA-MATUGA'!K15,'22.08 KAPEKA-MATUGA'!K15,'23.08 KAPEKA-MATUGA'!K15,'24.08 KAPEKA-MATUGA-24h'!K15,'25.08 KAPEEKA-MATUGA-24h'!K15,'26.08 KAPEKA-MATUGA'!K15)</f>
        <v>0.7142857142857143</v>
      </c>
      <c r="L15" s="49">
        <f>AVERAGE('20.08 KAPEKA-MATUGA'!L15,'21.08 KAPEKA-MATUGA'!L15,'22.08 KAPEKA-MATUGA'!L15,'23.08 KAPEKA-MATUGA'!L15,'24.08 KAPEKA-MATUGA-24h'!L15,'25.08 KAPEEKA-MATUGA-24h'!L15,'26.08 KAPEKA-MATUGA'!L15)</f>
        <v>0.14285714285714285</v>
      </c>
      <c r="M15" s="49">
        <f>AVERAGE('20.08 KAPEKA-MATUGA'!M15,'21.08 KAPEKA-MATUGA'!M15,'22.08 KAPEKA-MATUGA'!M15,'23.08 KAPEKA-MATUGA'!M15,'24.08 KAPEKA-MATUGA-24h'!M15,'25.08 KAPEEKA-MATUGA-24h'!M15,'26.08 KAPEKA-MATUGA'!M15)</f>
        <v>19.428571428571427</v>
      </c>
      <c r="N15" s="49">
        <f>AVERAGE('20.08 KAPEKA-MATUGA'!N15,'21.08 KAPEKA-MATUGA'!N15,'22.08 KAPEKA-MATUGA'!N15,'23.08 KAPEKA-MATUGA'!N15,'24.08 KAPEKA-MATUGA-24h'!N15,'25.08 KAPEEKA-MATUGA-24h'!N15,'26.08 KAPEKA-MATUGA'!N15)</f>
        <v>0</v>
      </c>
      <c r="O15" s="15">
        <f t="shared" si="0"/>
        <v>9.8571428571428559</v>
      </c>
      <c r="P15" s="15">
        <f t="shared" si="1"/>
        <v>29.285714285714285</v>
      </c>
      <c r="R15" s="1" t="s">
        <v>11</v>
      </c>
      <c r="S15" s="17">
        <f t="shared" ref="S15:AF15" si="7">SUM(C30:C33)</f>
        <v>11.142857142857142</v>
      </c>
      <c r="T15" s="17">
        <f t="shared" si="7"/>
        <v>4.8571428571428577</v>
      </c>
      <c r="U15" s="17">
        <f t="shared" si="7"/>
        <v>7.2857142857142856</v>
      </c>
      <c r="V15" s="17">
        <f t="shared" si="7"/>
        <v>5.8571428571428577</v>
      </c>
      <c r="W15" s="17">
        <f t="shared" si="7"/>
        <v>0</v>
      </c>
      <c r="X15" s="17">
        <f t="shared" si="7"/>
        <v>0</v>
      </c>
      <c r="Y15" s="17">
        <f t="shared" si="7"/>
        <v>12.857142857142858</v>
      </c>
      <c r="Z15" s="17">
        <f t="shared" si="7"/>
        <v>1.2857142857142856</v>
      </c>
      <c r="AA15" s="17">
        <f t="shared" si="7"/>
        <v>1.4285714285714286</v>
      </c>
      <c r="AB15" s="17">
        <f t="shared" si="7"/>
        <v>0.5714285714285714</v>
      </c>
      <c r="AC15" s="17">
        <f t="shared" si="7"/>
        <v>88.714285714285722</v>
      </c>
      <c r="AD15" s="17">
        <f t="shared" si="7"/>
        <v>0.2857142857142857</v>
      </c>
      <c r="AE15" s="31">
        <f t="shared" si="7"/>
        <v>45.571428571428569</v>
      </c>
      <c r="AF15" s="31">
        <f t="shared" si="7"/>
        <v>134.28571428571428</v>
      </c>
    </row>
    <row r="16" spans="2:32" ht="23.1" customHeight="1" x14ac:dyDescent="0.25">
      <c r="B16" s="23" t="s">
        <v>43</v>
      </c>
      <c r="C16" s="49">
        <f>AVERAGE('20.08 KAPEKA-MATUGA'!C16,'21.08 KAPEKA-MATUGA'!C16,'22.08 KAPEKA-MATUGA'!C16,'23.08 KAPEKA-MATUGA'!C16,'24.08 KAPEKA-MATUGA-24h'!C16,'25.08 KAPEEKA-MATUGA-24h'!C16,'26.08 KAPEKA-MATUGA'!C16)</f>
        <v>2.5714285714285716</v>
      </c>
      <c r="D16" s="49">
        <f>0.4*(AVERAGE('20.08 KAPEKA-MATUGA'!E16,'21.08 KAPEKA-MATUGA'!E16,'22.08 KAPEKA-MATUGA'!E16,'23.08 KAPEKA-MATUGA'!E16,'24.08 KAPEKA-MATUGA-24h'!E16,'25.08 KAPEEKA-MATUGA-24h'!E16,'26.08 KAPEKA-MATUGA'!E16))</f>
        <v>1.0857142857142859</v>
      </c>
      <c r="E16" s="49">
        <f>0.6*(AVERAGE('20.08 KAPEKA-MATUGA'!E16,'21.08 KAPEKA-MATUGA'!E16,'22.08 KAPEKA-MATUGA'!E16,'23.08 KAPEKA-MATUGA'!E16,'24.08 KAPEKA-MATUGA-24h'!E16,'25.08 KAPEEKA-MATUGA-24h'!E16,'26.08 KAPEKA-MATUGA'!E16))</f>
        <v>1.6285714285714286</v>
      </c>
      <c r="F16" s="49">
        <f>AVERAGE('20.08 KAPEKA-MATUGA'!F16,'21.08 KAPEKA-MATUGA'!F16,'22.08 KAPEKA-MATUGA'!F16,'23.08 KAPEKA-MATUGA'!F16,'24.08 KAPEKA-MATUGA-24h'!F16,'25.08 KAPEEKA-MATUGA-24h'!F16,'26.08 KAPEKA-MATUGA'!F16)</f>
        <v>2.5714285714285716</v>
      </c>
      <c r="G16" s="49">
        <f>AVERAGE('20.08 KAPEKA-MATUGA'!G16,'21.08 KAPEKA-MATUGA'!G16,'22.08 KAPEKA-MATUGA'!G16,'23.08 KAPEKA-MATUGA'!G16,'24.08 KAPEKA-MATUGA-24h'!G16,'25.08 KAPEEKA-MATUGA-24h'!G16,'26.08 KAPEKA-MATUGA'!G16)</f>
        <v>0</v>
      </c>
      <c r="H16" s="49">
        <f>AVERAGE('20.08 KAPEKA-MATUGA'!H16,'21.08 KAPEKA-MATUGA'!H16,'22.08 KAPEKA-MATUGA'!H16,'23.08 KAPEKA-MATUGA'!H16,'24.08 KAPEKA-MATUGA-24h'!H16,'25.08 KAPEEKA-MATUGA-24h'!H16,'26.08 KAPEKA-MATUGA'!H16)</f>
        <v>0</v>
      </c>
      <c r="I16" s="49">
        <f>AVERAGE('20.08 KAPEKA-MATUGA'!I16,'21.08 KAPEKA-MATUGA'!I16,'22.08 KAPEKA-MATUGA'!I16,'23.08 KAPEKA-MATUGA'!I16,'24.08 KAPEKA-MATUGA-24h'!I16,'25.08 KAPEEKA-MATUGA-24h'!I16,'26.08 KAPEKA-MATUGA'!I16)</f>
        <v>4</v>
      </c>
      <c r="J16" s="49">
        <f>AVERAGE('20.08 KAPEKA-MATUGA'!J16,'21.08 KAPEKA-MATUGA'!J16,'22.08 KAPEKA-MATUGA'!J16,'23.08 KAPEKA-MATUGA'!J16,'24.08 KAPEKA-MATUGA-24h'!J16,'25.08 KAPEEKA-MATUGA-24h'!J16,'26.08 KAPEKA-MATUGA'!J16)</f>
        <v>0.14285714285714285</v>
      </c>
      <c r="K16" s="49">
        <f>AVERAGE('20.08 KAPEKA-MATUGA'!K16,'21.08 KAPEKA-MATUGA'!K16,'22.08 KAPEKA-MATUGA'!K16,'23.08 KAPEKA-MATUGA'!K16,'24.08 KAPEKA-MATUGA-24h'!K16,'25.08 KAPEEKA-MATUGA-24h'!K16,'26.08 KAPEKA-MATUGA'!K16)</f>
        <v>0.5714285714285714</v>
      </c>
      <c r="L16" s="49">
        <f>AVERAGE('20.08 KAPEKA-MATUGA'!L16,'21.08 KAPEKA-MATUGA'!L16,'22.08 KAPEKA-MATUGA'!L16,'23.08 KAPEKA-MATUGA'!L16,'24.08 KAPEKA-MATUGA-24h'!L16,'25.08 KAPEEKA-MATUGA-24h'!L16,'26.08 KAPEKA-MATUGA'!L16)</f>
        <v>0.14285714285714285</v>
      </c>
      <c r="M16" s="49">
        <f>AVERAGE('20.08 KAPEKA-MATUGA'!M16,'21.08 KAPEKA-MATUGA'!M16,'22.08 KAPEKA-MATUGA'!M16,'23.08 KAPEKA-MATUGA'!M16,'24.08 KAPEKA-MATUGA-24h'!M16,'25.08 KAPEEKA-MATUGA-24h'!M16,'26.08 KAPEKA-MATUGA'!M16)</f>
        <v>23.428571428571427</v>
      </c>
      <c r="N16" s="49">
        <f>AVERAGE('20.08 KAPEKA-MATUGA'!N16,'21.08 KAPEKA-MATUGA'!N16,'22.08 KAPEKA-MATUGA'!N16,'23.08 KAPEKA-MATUGA'!N16,'24.08 KAPEKA-MATUGA-24h'!N16,'25.08 KAPEEKA-MATUGA-24h'!N16,'26.08 KAPEKA-MATUGA'!N16)</f>
        <v>0</v>
      </c>
      <c r="O16" s="15">
        <f t="shared" si="0"/>
        <v>12.714285714285714</v>
      </c>
      <c r="P16" s="15">
        <f t="shared" si="1"/>
        <v>36.142857142857139</v>
      </c>
      <c r="R16" s="1" t="s">
        <v>12</v>
      </c>
      <c r="S16" s="17">
        <f t="shared" ref="S16:AF16" si="8">SUM(C34:C37)</f>
        <v>10.714285714285714</v>
      </c>
      <c r="T16" s="17">
        <f t="shared" si="8"/>
        <v>4</v>
      </c>
      <c r="U16" s="17">
        <f t="shared" si="8"/>
        <v>6</v>
      </c>
      <c r="V16" s="17">
        <f t="shared" si="8"/>
        <v>6.1428571428571423</v>
      </c>
      <c r="W16" s="17">
        <f t="shared" si="8"/>
        <v>0</v>
      </c>
      <c r="X16" s="17">
        <f t="shared" si="8"/>
        <v>0</v>
      </c>
      <c r="Y16" s="17">
        <f t="shared" si="8"/>
        <v>10.857142857142856</v>
      </c>
      <c r="Z16" s="17">
        <f t="shared" si="8"/>
        <v>1.7142857142857142</v>
      </c>
      <c r="AA16" s="17">
        <f t="shared" si="8"/>
        <v>1.8571428571428572</v>
      </c>
      <c r="AB16" s="17">
        <f t="shared" si="8"/>
        <v>0.5714285714285714</v>
      </c>
      <c r="AC16" s="17">
        <f t="shared" si="8"/>
        <v>84.428571428571431</v>
      </c>
      <c r="AD16" s="17">
        <f t="shared" si="8"/>
        <v>0.2857142857142857</v>
      </c>
      <c r="AE16" s="31">
        <f t="shared" si="8"/>
        <v>42.142857142857139</v>
      </c>
      <c r="AF16" s="31">
        <f t="shared" si="8"/>
        <v>126.57142857142858</v>
      </c>
    </row>
    <row r="17" spans="2:32" ht="23.1" customHeight="1" x14ac:dyDescent="0.25">
      <c r="B17" s="23" t="s">
        <v>44</v>
      </c>
      <c r="C17" s="49">
        <f>AVERAGE('20.08 KAPEKA-MATUGA'!C17,'21.08 KAPEKA-MATUGA'!C17,'22.08 KAPEKA-MATUGA'!C17,'23.08 KAPEKA-MATUGA'!C17,'24.08 KAPEKA-MATUGA-24h'!C17,'25.08 KAPEEKA-MATUGA-24h'!C17,'26.08 KAPEKA-MATUGA'!C17)</f>
        <v>1.8571428571428572</v>
      </c>
      <c r="D17" s="49">
        <f>0.4*(AVERAGE('20.08 KAPEKA-MATUGA'!E17,'21.08 KAPEKA-MATUGA'!E17,'22.08 KAPEKA-MATUGA'!E17,'23.08 KAPEKA-MATUGA'!E17,'24.08 KAPEKA-MATUGA-24h'!E17,'25.08 KAPEEKA-MATUGA-24h'!E17,'26.08 KAPEKA-MATUGA'!E17))</f>
        <v>0.68571428571428572</v>
      </c>
      <c r="E17" s="49">
        <f>0.6*(AVERAGE('20.08 KAPEKA-MATUGA'!E17,'21.08 KAPEKA-MATUGA'!E17,'22.08 KAPEKA-MATUGA'!E17,'23.08 KAPEKA-MATUGA'!E17,'24.08 KAPEKA-MATUGA-24h'!E17,'25.08 KAPEEKA-MATUGA-24h'!E17,'26.08 KAPEKA-MATUGA'!E17))</f>
        <v>1.0285714285714285</v>
      </c>
      <c r="F17" s="49">
        <f>AVERAGE('20.08 KAPEKA-MATUGA'!F17,'21.08 KAPEKA-MATUGA'!F17,'22.08 KAPEKA-MATUGA'!F17,'23.08 KAPEKA-MATUGA'!F17,'24.08 KAPEKA-MATUGA-24h'!F17,'25.08 KAPEEKA-MATUGA-24h'!F17,'26.08 KAPEKA-MATUGA'!F17)</f>
        <v>0.42857142857142855</v>
      </c>
      <c r="G17" s="49">
        <f>AVERAGE('20.08 KAPEKA-MATUGA'!G17,'21.08 KAPEKA-MATUGA'!G17,'22.08 KAPEKA-MATUGA'!G17,'23.08 KAPEKA-MATUGA'!G17,'24.08 KAPEKA-MATUGA-24h'!G17,'25.08 KAPEEKA-MATUGA-24h'!G17,'26.08 KAPEKA-MATUGA'!G17)</f>
        <v>0</v>
      </c>
      <c r="H17" s="49">
        <f>AVERAGE('20.08 KAPEKA-MATUGA'!H17,'21.08 KAPEKA-MATUGA'!H17,'22.08 KAPEKA-MATUGA'!H17,'23.08 KAPEKA-MATUGA'!H17,'24.08 KAPEKA-MATUGA-24h'!H17,'25.08 KAPEEKA-MATUGA-24h'!H17,'26.08 KAPEKA-MATUGA'!H17)</f>
        <v>0</v>
      </c>
      <c r="I17" s="49">
        <f>AVERAGE('20.08 KAPEKA-MATUGA'!I17,'21.08 KAPEKA-MATUGA'!I17,'22.08 KAPEKA-MATUGA'!I17,'23.08 KAPEKA-MATUGA'!I17,'24.08 KAPEKA-MATUGA-24h'!I17,'25.08 KAPEEKA-MATUGA-24h'!I17,'26.08 KAPEKA-MATUGA'!I17)</f>
        <v>3</v>
      </c>
      <c r="J17" s="49">
        <f>AVERAGE('20.08 KAPEKA-MATUGA'!J17,'21.08 KAPEKA-MATUGA'!J17,'22.08 KAPEKA-MATUGA'!J17,'23.08 KAPEKA-MATUGA'!J17,'24.08 KAPEKA-MATUGA-24h'!J17,'25.08 KAPEEKA-MATUGA-24h'!J17,'26.08 KAPEKA-MATUGA'!J17)</f>
        <v>0.42857142857142855</v>
      </c>
      <c r="K17" s="49">
        <f>AVERAGE('20.08 KAPEKA-MATUGA'!K17,'21.08 KAPEKA-MATUGA'!K17,'22.08 KAPEKA-MATUGA'!K17,'23.08 KAPEKA-MATUGA'!K17,'24.08 KAPEKA-MATUGA-24h'!K17,'25.08 KAPEEKA-MATUGA-24h'!K17,'26.08 KAPEKA-MATUGA'!K17)</f>
        <v>0.5714285714285714</v>
      </c>
      <c r="L17" s="49">
        <f>AVERAGE('20.08 KAPEKA-MATUGA'!L17,'21.08 KAPEKA-MATUGA'!L17,'22.08 KAPEKA-MATUGA'!L17,'23.08 KAPEKA-MATUGA'!L17,'24.08 KAPEKA-MATUGA-24h'!L17,'25.08 KAPEEKA-MATUGA-24h'!L17,'26.08 KAPEKA-MATUGA'!L17)</f>
        <v>0.14285714285714285</v>
      </c>
      <c r="M17" s="49">
        <f>AVERAGE('20.08 KAPEKA-MATUGA'!M17,'21.08 KAPEKA-MATUGA'!M17,'22.08 KAPEKA-MATUGA'!M17,'23.08 KAPEKA-MATUGA'!M17,'24.08 KAPEKA-MATUGA-24h'!M17,'25.08 KAPEEKA-MATUGA-24h'!M17,'26.08 KAPEKA-MATUGA'!M17)</f>
        <v>16.285714285714285</v>
      </c>
      <c r="N17" s="49">
        <f>AVERAGE('20.08 KAPEKA-MATUGA'!N17,'21.08 KAPEKA-MATUGA'!N17,'22.08 KAPEKA-MATUGA'!N17,'23.08 KAPEKA-MATUGA'!N17,'24.08 KAPEKA-MATUGA-24h'!N17,'25.08 KAPEEKA-MATUGA-24h'!N17,'26.08 KAPEKA-MATUGA'!N17)</f>
        <v>0</v>
      </c>
      <c r="O17" s="15">
        <f t="shared" si="0"/>
        <v>8.1428571428571423</v>
      </c>
      <c r="P17" s="15">
        <f t="shared" si="1"/>
        <v>24.428571428571427</v>
      </c>
      <c r="R17" s="1" t="s">
        <v>13</v>
      </c>
      <c r="S17" s="17">
        <f t="shared" ref="S17:AF17" si="9">SUM(C38:C41)</f>
        <v>8.7142857142857135</v>
      </c>
      <c r="T17" s="17">
        <f t="shared" si="9"/>
        <v>3.7142857142857144</v>
      </c>
      <c r="U17" s="17">
        <f t="shared" si="9"/>
        <v>5.5714285714285712</v>
      </c>
      <c r="V17" s="17">
        <f t="shared" si="9"/>
        <v>6.4285714285714288</v>
      </c>
      <c r="W17" s="17">
        <f t="shared" si="9"/>
        <v>0.42857142857142855</v>
      </c>
      <c r="X17" s="17">
        <f t="shared" si="9"/>
        <v>0</v>
      </c>
      <c r="Y17" s="17">
        <f t="shared" si="9"/>
        <v>11.714285714285715</v>
      </c>
      <c r="Z17" s="17">
        <f t="shared" si="9"/>
        <v>2.2857142857142856</v>
      </c>
      <c r="AA17" s="17">
        <f t="shared" si="9"/>
        <v>1.1428571428571428</v>
      </c>
      <c r="AB17" s="17">
        <f t="shared" si="9"/>
        <v>0.5714285714285714</v>
      </c>
      <c r="AC17" s="17">
        <f t="shared" si="9"/>
        <v>81</v>
      </c>
      <c r="AD17" s="17">
        <f t="shared" si="9"/>
        <v>0</v>
      </c>
      <c r="AE17" s="31">
        <f t="shared" si="9"/>
        <v>40.571428571428577</v>
      </c>
      <c r="AF17" s="31">
        <f t="shared" si="9"/>
        <v>121.57142857142856</v>
      </c>
    </row>
    <row r="18" spans="2:32" ht="23.1" customHeight="1" x14ac:dyDescent="0.25">
      <c r="B18" s="23" t="s">
        <v>45</v>
      </c>
      <c r="C18" s="49">
        <f>AVERAGE('20.08 KAPEKA-MATUGA'!C18,'21.08 KAPEKA-MATUGA'!C18,'22.08 KAPEKA-MATUGA'!C18,'23.08 KAPEKA-MATUGA'!C18,'24.08 KAPEKA-MATUGA-24h'!C18,'25.08 KAPEEKA-MATUGA-24h'!C18,'26.08 KAPEKA-MATUGA'!C18)</f>
        <v>1.7142857142857142</v>
      </c>
      <c r="D18" s="49">
        <f>0.4*(AVERAGE('20.08 KAPEKA-MATUGA'!E18,'21.08 KAPEKA-MATUGA'!E18,'22.08 KAPEKA-MATUGA'!E18,'23.08 KAPEKA-MATUGA'!E18,'24.08 KAPEKA-MATUGA-24h'!E18,'25.08 KAPEEKA-MATUGA-24h'!E18,'26.08 KAPEKA-MATUGA'!E18))</f>
        <v>0.57142857142857151</v>
      </c>
      <c r="E18" s="49">
        <f>0.6*(AVERAGE('20.08 KAPEKA-MATUGA'!E18,'21.08 KAPEKA-MATUGA'!E18,'22.08 KAPEKA-MATUGA'!E18,'23.08 KAPEKA-MATUGA'!E18,'24.08 KAPEKA-MATUGA-24h'!E18,'25.08 KAPEEKA-MATUGA-24h'!E18,'26.08 KAPEKA-MATUGA'!E18))</f>
        <v>0.8571428571428571</v>
      </c>
      <c r="F18" s="49">
        <f>AVERAGE('20.08 KAPEKA-MATUGA'!F18,'21.08 KAPEKA-MATUGA'!F18,'22.08 KAPEKA-MATUGA'!F18,'23.08 KAPEKA-MATUGA'!F18,'24.08 KAPEKA-MATUGA-24h'!F18,'25.08 KAPEEKA-MATUGA-24h'!F18,'26.08 KAPEKA-MATUGA'!F18)</f>
        <v>0.7142857142857143</v>
      </c>
      <c r="G18" s="49">
        <f>AVERAGE('20.08 KAPEKA-MATUGA'!G18,'21.08 KAPEKA-MATUGA'!G18,'22.08 KAPEKA-MATUGA'!G18,'23.08 KAPEKA-MATUGA'!G18,'24.08 KAPEKA-MATUGA-24h'!G18,'25.08 KAPEEKA-MATUGA-24h'!G18,'26.08 KAPEKA-MATUGA'!G18)</f>
        <v>0</v>
      </c>
      <c r="H18" s="49">
        <f>AVERAGE('20.08 KAPEKA-MATUGA'!H18,'21.08 KAPEKA-MATUGA'!H18,'22.08 KAPEKA-MATUGA'!H18,'23.08 KAPEKA-MATUGA'!H18,'24.08 KAPEKA-MATUGA-24h'!H18,'25.08 KAPEEKA-MATUGA-24h'!H18,'26.08 KAPEKA-MATUGA'!H18)</f>
        <v>0</v>
      </c>
      <c r="I18" s="49">
        <f>AVERAGE('20.08 KAPEKA-MATUGA'!I18,'21.08 KAPEKA-MATUGA'!I18,'22.08 KAPEKA-MATUGA'!I18,'23.08 KAPEKA-MATUGA'!I18,'24.08 KAPEKA-MATUGA-24h'!I18,'25.08 KAPEEKA-MATUGA-24h'!I18,'26.08 KAPEKA-MATUGA'!I18)</f>
        <v>4.2857142857142856</v>
      </c>
      <c r="J18" s="49">
        <f>AVERAGE('20.08 KAPEKA-MATUGA'!J18,'21.08 KAPEKA-MATUGA'!J18,'22.08 KAPEKA-MATUGA'!J18,'23.08 KAPEKA-MATUGA'!J18,'24.08 KAPEKA-MATUGA-24h'!J18,'25.08 KAPEEKA-MATUGA-24h'!J18,'26.08 KAPEKA-MATUGA'!J18)</f>
        <v>0.42857142857142855</v>
      </c>
      <c r="K18" s="49">
        <f>AVERAGE('20.08 KAPEKA-MATUGA'!K18,'21.08 KAPEKA-MATUGA'!K18,'22.08 KAPEKA-MATUGA'!K18,'23.08 KAPEKA-MATUGA'!K18,'24.08 KAPEKA-MATUGA-24h'!K18,'25.08 KAPEEKA-MATUGA-24h'!K18,'26.08 KAPEKA-MATUGA'!K18)</f>
        <v>0.5714285714285714</v>
      </c>
      <c r="L18" s="49">
        <f>AVERAGE('20.08 KAPEKA-MATUGA'!L18,'21.08 KAPEKA-MATUGA'!L18,'22.08 KAPEKA-MATUGA'!L18,'23.08 KAPEKA-MATUGA'!L18,'24.08 KAPEKA-MATUGA-24h'!L18,'25.08 KAPEEKA-MATUGA-24h'!L18,'26.08 KAPEKA-MATUGA'!L18)</f>
        <v>0.14285714285714285</v>
      </c>
      <c r="M18" s="49">
        <f>AVERAGE('20.08 KAPEKA-MATUGA'!M18,'21.08 KAPEKA-MATUGA'!M18,'22.08 KAPEKA-MATUGA'!M18,'23.08 KAPEKA-MATUGA'!M18,'24.08 KAPEKA-MATUGA-24h'!M18,'25.08 KAPEEKA-MATUGA-24h'!M18,'26.08 KAPEKA-MATUGA'!M18)</f>
        <v>19.142857142857142</v>
      </c>
      <c r="N18" s="49">
        <f>AVERAGE('20.08 KAPEKA-MATUGA'!N18,'21.08 KAPEKA-MATUGA'!N18,'22.08 KAPEKA-MATUGA'!N18,'23.08 KAPEKA-MATUGA'!N18,'24.08 KAPEKA-MATUGA-24h'!N18,'25.08 KAPEEKA-MATUGA-24h'!N18,'26.08 KAPEKA-MATUGA'!N18)</f>
        <v>0</v>
      </c>
      <c r="O18" s="15">
        <f t="shared" si="0"/>
        <v>9.2857142857142847</v>
      </c>
      <c r="P18" s="15">
        <f t="shared" si="1"/>
        <v>28.428571428571427</v>
      </c>
      <c r="R18" s="1" t="s">
        <v>14</v>
      </c>
      <c r="S18" s="17">
        <f t="shared" ref="S18:AF18" si="10">SUM(C42:C45)</f>
        <v>7.7142857142857144</v>
      </c>
      <c r="T18" s="17">
        <f t="shared" si="10"/>
        <v>4</v>
      </c>
      <c r="U18" s="17">
        <f t="shared" si="10"/>
        <v>6</v>
      </c>
      <c r="V18" s="17">
        <f t="shared" si="10"/>
        <v>6.4285714285714288</v>
      </c>
      <c r="W18" s="17">
        <f t="shared" si="10"/>
        <v>0.42857142857142855</v>
      </c>
      <c r="X18" s="17">
        <f t="shared" si="10"/>
        <v>0</v>
      </c>
      <c r="Y18" s="17">
        <f t="shared" si="10"/>
        <v>12.571428571428571</v>
      </c>
      <c r="Z18" s="17">
        <f t="shared" si="10"/>
        <v>1.2857142857142856</v>
      </c>
      <c r="AA18" s="17">
        <f t="shared" si="10"/>
        <v>1.7142857142857142</v>
      </c>
      <c r="AB18" s="17">
        <f t="shared" si="10"/>
        <v>0.5714285714285714</v>
      </c>
      <c r="AC18" s="17">
        <f t="shared" si="10"/>
        <v>81.714285714285722</v>
      </c>
      <c r="AD18" s="17">
        <f t="shared" si="10"/>
        <v>0</v>
      </c>
      <c r="AE18" s="31">
        <f t="shared" si="10"/>
        <v>40.714285714285715</v>
      </c>
      <c r="AF18" s="31">
        <f t="shared" si="10"/>
        <v>122.42857142857143</v>
      </c>
    </row>
    <row r="19" spans="2:32" ht="23.1" customHeight="1" x14ac:dyDescent="0.25">
      <c r="B19" s="23" t="s">
        <v>46</v>
      </c>
      <c r="C19" s="49">
        <f>AVERAGE('20.08 KAPEKA-MATUGA'!C19,'21.08 KAPEKA-MATUGA'!C19,'22.08 KAPEKA-MATUGA'!C19,'23.08 KAPEKA-MATUGA'!C19,'24.08 KAPEKA-MATUGA-24h'!C19,'25.08 KAPEEKA-MATUGA-24h'!C19,'26.08 KAPEKA-MATUGA'!C19)</f>
        <v>1.5714285714285714</v>
      </c>
      <c r="D19" s="49">
        <f>0.4*(AVERAGE('20.08 KAPEKA-MATUGA'!E19,'21.08 KAPEKA-MATUGA'!E19,'22.08 KAPEKA-MATUGA'!E19,'23.08 KAPEKA-MATUGA'!E19,'24.08 KAPEKA-MATUGA-24h'!E19,'25.08 KAPEEKA-MATUGA-24h'!E19,'26.08 KAPEKA-MATUGA'!E19))</f>
        <v>0.97142857142857142</v>
      </c>
      <c r="E19" s="49">
        <f>0.6*(AVERAGE('20.08 KAPEKA-MATUGA'!E19,'21.08 KAPEKA-MATUGA'!E19,'22.08 KAPEKA-MATUGA'!E19,'23.08 KAPEKA-MATUGA'!E19,'24.08 KAPEKA-MATUGA-24h'!E19,'25.08 KAPEEKA-MATUGA-24h'!E19,'26.08 KAPEKA-MATUGA'!E19))</f>
        <v>1.4571428571428571</v>
      </c>
      <c r="F19" s="49">
        <f>AVERAGE('20.08 KAPEKA-MATUGA'!F19,'21.08 KAPEKA-MATUGA'!F19,'22.08 KAPEKA-MATUGA'!F19,'23.08 KAPEKA-MATUGA'!F19,'24.08 KAPEKA-MATUGA-24h'!F19,'25.08 KAPEEKA-MATUGA-24h'!F19,'26.08 KAPEKA-MATUGA'!F19)</f>
        <v>1.4285714285714286</v>
      </c>
      <c r="G19" s="49">
        <f>AVERAGE('20.08 KAPEKA-MATUGA'!G19,'21.08 KAPEKA-MATUGA'!G19,'22.08 KAPEKA-MATUGA'!G19,'23.08 KAPEKA-MATUGA'!G19,'24.08 KAPEKA-MATUGA-24h'!G19,'25.08 KAPEEKA-MATUGA-24h'!G19,'26.08 KAPEKA-MATUGA'!G19)</f>
        <v>0</v>
      </c>
      <c r="H19" s="49">
        <f>AVERAGE('20.08 KAPEKA-MATUGA'!H19,'21.08 KAPEKA-MATUGA'!H19,'22.08 KAPEKA-MATUGA'!H19,'23.08 KAPEKA-MATUGA'!H19,'24.08 KAPEKA-MATUGA-24h'!H19,'25.08 KAPEEKA-MATUGA-24h'!H19,'26.08 KAPEKA-MATUGA'!H19)</f>
        <v>0</v>
      </c>
      <c r="I19" s="49">
        <f>AVERAGE('20.08 KAPEKA-MATUGA'!I19,'21.08 KAPEKA-MATUGA'!I19,'22.08 KAPEKA-MATUGA'!I19,'23.08 KAPEKA-MATUGA'!I19,'24.08 KAPEKA-MATUGA-24h'!I19,'25.08 KAPEEKA-MATUGA-24h'!I19,'26.08 KAPEKA-MATUGA'!I19)</f>
        <v>2.7142857142857144</v>
      </c>
      <c r="J19" s="49">
        <f>AVERAGE('20.08 KAPEKA-MATUGA'!J19,'21.08 KAPEKA-MATUGA'!J19,'22.08 KAPEKA-MATUGA'!J19,'23.08 KAPEKA-MATUGA'!J19,'24.08 KAPEKA-MATUGA-24h'!J19,'25.08 KAPEEKA-MATUGA-24h'!J19,'26.08 KAPEKA-MATUGA'!J19)</f>
        <v>0.7142857142857143</v>
      </c>
      <c r="K19" s="49">
        <f>AVERAGE('20.08 KAPEKA-MATUGA'!K19,'21.08 KAPEKA-MATUGA'!K19,'22.08 KAPEKA-MATUGA'!K19,'23.08 KAPEKA-MATUGA'!K19,'24.08 KAPEKA-MATUGA-24h'!K19,'25.08 KAPEEKA-MATUGA-24h'!K19,'26.08 KAPEKA-MATUGA'!K19)</f>
        <v>0.5714285714285714</v>
      </c>
      <c r="L19" s="49">
        <f>AVERAGE('20.08 KAPEKA-MATUGA'!L19,'21.08 KAPEKA-MATUGA'!L19,'22.08 KAPEKA-MATUGA'!L19,'23.08 KAPEKA-MATUGA'!L19,'24.08 KAPEKA-MATUGA-24h'!L19,'25.08 KAPEEKA-MATUGA-24h'!L19,'26.08 KAPEKA-MATUGA'!L19)</f>
        <v>0.14285714285714285</v>
      </c>
      <c r="M19" s="49">
        <f>AVERAGE('20.08 KAPEKA-MATUGA'!M19,'21.08 KAPEKA-MATUGA'!M19,'22.08 KAPEKA-MATUGA'!M19,'23.08 KAPEKA-MATUGA'!M19,'24.08 KAPEKA-MATUGA-24h'!M19,'25.08 KAPEEKA-MATUGA-24h'!M19,'26.08 KAPEKA-MATUGA'!M19)</f>
        <v>17.285714285714285</v>
      </c>
      <c r="N19" s="49">
        <f>AVERAGE('20.08 KAPEKA-MATUGA'!N19,'21.08 KAPEKA-MATUGA'!N19,'22.08 KAPEKA-MATUGA'!N19,'23.08 KAPEKA-MATUGA'!N19,'24.08 KAPEKA-MATUGA-24h'!N19,'25.08 KAPEEKA-MATUGA-24h'!N19,'26.08 KAPEKA-MATUGA'!N19)</f>
        <v>0</v>
      </c>
      <c r="O19" s="15">
        <f t="shared" si="0"/>
        <v>9.5714285714285694</v>
      </c>
      <c r="P19" s="15">
        <f t="shared" si="1"/>
        <v>26.857142857142854</v>
      </c>
      <c r="R19" s="1" t="s">
        <v>15</v>
      </c>
      <c r="S19" s="17">
        <f t="shared" ref="S19:AF19" si="11">SUM(C46:C49)</f>
        <v>5.5714285714285712</v>
      </c>
      <c r="T19" s="17">
        <f t="shared" si="11"/>
        <v>3.5428571428571427</v>
      </c>
      <c r="U19" s="17">
        <f t="shared" si="11"/>
        <v>5.3142857142857141</v>
      </c>
      <c r="V19" s="17">
        <f t="shared" si="11"/>
        <v>7.1428571428571432</v>
      </c>
      <c r="W19" s="17">
        <f t="shared" si="11"/>
        <v>0.14285714285714285</v>
      </c>
      <c r="X19" s="17">
        <f t="shared" si="11"/>
        <v>0</v>
      </c>
      <c r="Y19" s="17">
        <f t="shared" si="11"/>
        <v>12.428571428571431</v>
      </c>
      <c r="Z19" s="17">
        <f t="shared" si="11"/>
        <v>2.5714285714285712</v>
      </c>
      <c r="AA19" s="17">
        <f t="shared" si="11"/>
        <v>0.71428571428571419</v>
      </c>
      <c r="AB19" s="17">
        <f t="shared" si="11"/>
        <v>0.5714285714285714</v>
      </c>
      <c r="AC19" s="17">
        <f t="shared" si="11"/>
        <v>72.428571428571431</v>
      </c>
      <c r="AD19" s="17">
        <f t="shared" si="11"/>
        <v>0</v>
      </c>
      <c r="AE19" s="31">
        <f t="shared" si="11"/>
        <v>37.999999999999993</v>
      </c>
      <c r="AF19" s="31">
        <f t="shared" si="11"/>
        <v>110.42857142857142</v>
      </c>
    </row>
    <row r="20" spans="2:32" ht="23.1" customHeight="1" x14ac:dyDescent="0.25">
      <c r="B20" s="23" t="s">
        <v>47</v>
      </c>
      <c r="C20" s="49">
        <f>AVERAGE('20.08 KAPEKA-MATUGA'!C20,'21.08 KAPEKA-MATUGA'!C20,'22.08 KAPEKA-MATUGA'!C20,'23.08 KAPEKA-MATUGA'!C20,'24.08 KAPEKA-MATUGA-24h'!C20,'25.08 KAPEEKA-MATUGA-24h'!C20,'26.08 KAPEKA-MATUGA'!C20)</f>
        <v>2.8571428571428572</v>
      </c>
      <c r="D20" s="49">
        <f>0.4*(AVERAGE('20.08 KAPEKA-MATUGA'!E20,'21.08 KAPEKA-MATUGA'!E20,'22.08 KAPEKA-MATUGA'!E20,'23.08 KAPEKA-MATUGA'!E20,'24.08 KAPEKA-MATUGA-24h'!E20,'25.08 KAPEEKA-MATUGA-24h'!E20,'26.08 KAPEKA-MATUGA'!E20))</f>
        <v>0.68571428571428572</v>
      </c>
      <c r="E20" s="49">
        <f>0.6*(AVERAGE('20.08 KAPEKA-MATUGA'!E20,'21.08 KAPEKA-MATUGA'!E20,'22.08 KAPEKA-MATUGA'!E20,'23.08 KAPEKA-MATUGA'!E20,'24.08 KAPEKA-MATUGA-24h'!E20,'25.08 KAPEEKA-MATUGA-24h'!E20,'26.08 KAPEKA-MATUGA'!E20))</f>
        <v>1.0285714285714285</v>
      </c>
      <c r="F20" s="49">
        <f>AVERAGE('20.08 KAPEKA-MATUGA'!F20,'21.08 KAPEKA-MATUGA'!F20,'22.08 KAPEKA-MATUGA'!F20,'23.08 KAPEKA-MATUGA'!F20,'24.08 KAPEKA-MATUGA-24h'!F20,'25.08 KAPEEKA-MATUGA-24h'!F20,'26.08 KAPEKA-MATUGA'!F20)</f>
        <v>1.1428571428571428</v>
      </c>
      <c r="G20" s="49">
        <f>AVERAGE('20.08 KAPEKA-MATUGA'!G20,'21.08 KAPEKA-MATUGA'!G20,'22.08 KAPEKA-MATUGA'!G20,'23.08 KAPEKA-MATUGA'!G20,'24.08 KAPEKA-MATUGA-24h'!G20,'25.08 KAPEEKA-MATUGA-24h'!G20,'26.08 KAPEKA-MATUGA'!G20)</f>
        <v>0.14285714285714285</v>
      </c>
      <c r="H20" s="49">
        <f>AVERAGE('20.08 KAPEKA-MATUGA'!H20,'21.08 KAPEKA-MATUGA'!H20,'22.08 KAPEKA-MATUGA'!H20,'23.08 KAPEKA-MATUGA'!H20,'24.08 KAPEKA-MATUGA-24h'!H20,'25.08 KAPEEKA-MATUGA-24h'!H20,'26.08 KAPEKA-MATUGA'!H20)</f>
        <v>0</v>
      </c>
      <c r="I20" s="49">
        <f>AVERAGE('20.08 KAPEKA-MATUGA'!I20,'21.08 KAPEKA-MATUGA'!I20,'22.08 KAPEKA-MATUGA'!I20,'23.08 KAPEKA-MATUGA'!I20,'24.08 KAPEKA-MATUGA-24h'!I20,'25.08 KAPEEKA-MATUGA-24h'!I20,'26.08 KAPEKA-MATUGA'!I20)</f>
        <v>3.7142857142857144</v>
      </c>
      <c r="J20" s="49">
        <f>AVERAGE('20.08 KAPEKA-MATUGA'!J20,'21.08 KAPEKA-MATUGA'!J20,'22.08 KAPEKA-MATUGA'!J20,'23.08 KAPEKA-MATUGA'!J20,'24.08 KAPEKA-MATUGA-24h'!J20,'25.08 KAPEEKA-MATUGA-24h'!J20,'26.08 KAPEKA-MATUGA'!J20)</f>
        <v>0.42857142857142855</v>
      </c>
      <c r="K20" s="49">
        <f>AVERAGE('20.08 KAPEKA-MATUGA'!K20,'21.08 KAPEKA-MATUGA'!K20,'22.08 KAPEKA-MATUGA'!K20,'23.08 KAPEKA-MATUGA'!K20,'24.08 KAPEKA-MATUGA-24h'!K20,'25.08 KAPEEKA-MATUGA-24h'!K20,'26.08 KAPEKA-MATUGA'!K20)</f>
        <v>0.2857142857142857</v>
      </c>
      <c r="L20" s="49">
        <f>AVERAGE('20.08 KAPEKA-MATUGA'!L20,'21.08 KAPEKA-MATUGA'!L20,'22.08 KAPEKA-MATUGA'!L20,'23.08 KAPEKA-MATUGA'!L20,'24.08 KAPEKA-MATUGA-24h'!L20,'25.08 KAPEEKA-MATUGA-24h'!L20,'26.08 KAPEKA-MATUGA'!L20)</f>
        <v>0.14285714285714285</v>
      </c>
      <c r="M20" s="49">
        <f>AVERAGE('20.08 KAPEKA-MATUGA'!M20,'21.08 KAPEKA-MATUGA'!M20,'22.08 KAPEKA-MATUGA'!M20,'23.08 KAPEKA-MATUGA'!M20,'24.08 KAPEKA-MATUGA-24h'!M20,'25.08 KAPEEKA-MATUGA-24h'!M20,'26.08 KAPEKA-MATUGA'!M20)</f>
        <v>19.571428571428573</v>
      </c>
      <c r="N20" s="49">
        <f>AVERAGE('20.08 KAPEKA-MATUGA'!N20,'21.08 KAPEKA-MATUGA'!N20,'22.08 KAPEKA-MATUGA'!N20,'23.08 KAPEKA-MATUGA'!N20,'24.08 KAPEKA-MATUGA-24h'!N20,'25.08 KAPEEKA-MATUGA-24h'!N20,'26.08 KAPEKA-MATUGA'!N20)</f>
        <v>0</v>
      </c>
      <c r="O20" s="15">
        <f t="shared" si="0"/>
        <v>10.428571428571429</v>
      </c>
      <c r="P20" s="15">
        <f t="shared" si="1"/>
        <v>30</v>
      </c>
      <c r="R20" s="1" t="s">
        <v>16</v>
      </c>
      <c r="S20" s="17">
        <f t="shared" ref="S20:AF20" si="12">SUM(C50:C53)</f>
        <v>8.1428571428571423</v>
      </c>
      <c r="T20" s="17">
        <f t="shared" si="12"/>
        <v>3.9428571428571431</v>
      </c>
      <c r="U20" s="17">
        <f t="shared" si="12"/>
        <v>5.9142857142857146</v>
      </c>
      <c r="V20" s="17">
        <f t="shared" si="12"/>
        <v>6.1428571428571423</v>
      </c>
      <c r="W20" s="17">
        <f t="shared" si="12"/>
        <v>0</v>
      </c>
      <c r="X20" s="17">
        <f t="shared" si="12"/>
        <v>0</v>
      </c>
      <c r="Y20" s="17">
        <f t="shared" si="12"/>
        <v>10.714285714285714</v>
      </c>
      <c r="Z20" s="17">
        <f t="shared" si="12"/>
        <v>1.7142857142857142</v>
      </c>
      <c r="AA20" s="17">
        <f t="shared" si="12"/>
        <v>2.4285714285714288</v>
      </c>
      <c r="AB20" s="17">
        <f t="shared" si="12"/>
        <v>0.5714285714285714</v>
      </c>
      <c r="AC20" s="17">
        <f t="shared" si="12"/>
        <v>89</v>
      </c>
      <c r="AD20" s="17">
        <f t="shared" si="12"/>
        <v>0</v>
      </c>
      <c r="AE20" s="31">
        <f t="shared" si="12"/>
        <v>39.571428571428569</v>
      </c>
      <c r="AF20" s="31">
        <f t="shared" si="12"/>
        <v>128.57142857142856</v>
      </c>
    </row>
    <row r="21" spans="2:32" ht="23.1" customHeight="1" x14ac:dyDescent="0.25">
      <c r="B21" s="23" t="s">
        <v>48</v>
      </c>
      <c r="C21" s="49">
        <f>AVERAGE('20.08 KAPEKA-MATUGA'!C21,'21.08 KAPEKA-MATUGA'!C21,'22.08 KAPEKA-MATUGA'!C21,'23.08 KAPEKA-MATUGA'!C21,'24.08 KAPEKA-MATUGA-24h'!C21,'25.08 KAPEEKA-MATUGA-24h'!C21,'26.08 KAPEKA-MATUGA'!C21)</f>
        <v>2.1428571428571428</v>
      </c>
      <c r="D21" s="49">
        <f>0.4*(AVERAGE('20.08 KAPEKA-MATUGA'!E21,'21.08 KAPEKA-MATUGA'!E21,'22.08 KAPEKA-MATUGA'!E21,'23.08 KAPEKA-MATUGA'!E21,'24.08 KAPEKA-MATUGA-24h'!E21,'25.08 KAPEEKA-MATUGA-24h'!E21,'26.08 KAPEKA-MATUGA'!E21))</f>
        <v>1.0857142857142859</v>
      </c>
      <c r="E21" s="49">
        <f>0.6*(AVERAGE('20.08 KAPEKA-MATUGA'!E21,'21.08 KAPEKA-MATUGA'!E21,'22.08 KAPEKA-MATUGA'!E21,'23.08 KAPEKA-MATUGA'!E21,'24.08 KAPEKA-MATUGA-24h'!E21,'25.08 KAPEEKA-MATUGA-24h'!E21,'26.08 KAPEKA-MATUGA'!E21))</f>
        <v>1.6285714285714286</v>
      </c>
      <c r="F21" s="49">
        <f>AVERAGE('20.08 KAPEKA-MATUGA'!F21,'21.08 KAPEKA-MATUGA'!F21,'22.08 KAPEKA-MATUGA'!F21,'23.08 KAPEKA-MATUGA'!F21,'24.08 KAPEKA-MATUGA-24h'!F21,'25.08 KAPEEKA-MATUGA-24h'!F21,'26.08 KAPEKA-MATUGA'!F21)</f>
        <v>1.1428571428571428</v>
      </c>
      <c r="G21" s="49">
        <f>AVERAGE('20.08 KAPEKA-MATUGA'!G21,'21.08 KAPEKA-MATUGA'!G21,'22.08 KAPEKA-MATUGA'!G21,'23.08 KAPEKA-MATUGA'!G21,'24.08 KAPEKA-MATUGA-24h'!G21,'25.08 KAPEEKA-MATUGA-24h'!G21,'26.08 KAPEKA-MATUGA'!G21)</f>
        <v>0.42857142857142855</v>
      </c>
      <c r="H21" s="49">
        <f>AVERAGE('20.08 KAPEKA-MATUGA'!H21,'21.08 KAPEKA-MATUGA'!H21,'22.08 KAPEKA-MATUGA'!H21,'23.08 KAPEKA-MATUGA'!H21,'24.08 KAPEKA-MATUGA-24h'!H21,'25.08 KAPEEKA-MATUGA-24h'!H21,'26.08 KAPEKA-MATUGA'!H21)</f>
        <v>0</v>
      </c>
      <c r="I21" s="49">
        <f>AVERAGE('20.08 KAPEKA-MATUGA'!I21,'21.08 KAPEKA-MATUGA'!I21,'22.08 KAPEKA-MATUGA'!I21,'23.08 KAPEKA-MATUGA'!I21,'24.08 KAPEKA-MATUGA-24h'!I21,'25.08 KAPEEKA-MATUGA-24h'!I21,'26.08 KAPEKA-MATUGA'!I21)</f>
        <v>3.8571428571428572</v>
      </c>
      <c r="J21" s="49">
        <f>AVERAGE('20.08 KAPEKA-MATUGA'!J21,'21.08 KAPEKA-MATUGA'!J21,'22.08 KAPEKA-MATUGA'!J21,'23.08 KAPEKA-MATUGA'!J21,'24.08 KAPEKA-MATUGA-24h'!J21,'25.08 KAPEEKA-MATUGA-24h'!J21,'26.08 KAPEKA-MATUGA'!J21)</f>
        <v>0</v>
      </c>
      <c r="K21" s="49">
        <f>AVERAGE('20.08 KAPEKA-MATUGA'!K21,'21.08 KAPEKA-MATUGA'!K21,'22.08 KAPEKA-MATUGA'!K21,'23.08 KAPEKA-MATUGA'!K21,'24.08 KAPEKA-MATUGA-24h'!K21,'25.08 KAPEEKA-MATUGA-24h'!K21,'26.08 KAPEKA-MATUGA'!K21)</f>
        <v>0.2857142857142857</v>
      </c>
      <c r="L21" s="49">
        <f>AVERAGE('20.08 KAPEKA-MATUGA'!L21,'21.08 KAPEKA-MATUGA'!L21,'22.08 KAPEKA-MATUGA'!L21,'23.08 KAPEKA-MATUGA'!L21,'24.08 KAPEKA-MATUGA-24h'!L21,'25.08 KAPEEKA-MATUGA-24h'!L21,'26.08 KAPEKA-MATUGA'!L21)</f>
        <v>0.14285714285714285</v>
      </c>
      <c r="M21" s="49">
        <f>AVERAGE('20.08 KAPEKA-MATUGA'!M21,'21.08 KAPEKA-MATUGA'!M21,'22.08 KAPEKA-MATUGA'!M21,'23.08 KAPEKA-MATUGA'!M21,'24.08 KAPEKA-MATUGA-24h'!M21,'25.08 KAPEEKA-MATUGA-24h'!M21,'26.08 KAPEKA-MATUGA'!M21)</f>
        <v>19.857142857142858</v>
      </c>
      <c r="N21" s="49">
        <f>AVERAGE('20.08 KAPEKA-MATUGA'!N21,'21.08 KAPEKA-MATUGA'!N21,'22.08 KAPEKA-MATUGA'!N21,'23.08 KAPEKA-MATUGA'!N21,'24.08 KAPEKA-MATUGA-24h'!N21,'25.08 KAPEEKA-MATUGA-24h'!N21,'26.08 KAPEKA-MATUGA'!N21)</f>
        <v>0</v>
      </c>
      <c r="O21" s="15">
        <f t="shared" si="0"/>
        <v>10.714285714285715</v>
      </c>
      <c r="P21" s="15">
        <f t="shared" si="1"/>
        <v>30.571428571428573</v>
      </c>
      <c r="R21" s="36" t="s">
        <v>20</v>
      </c>
      <c r="S21" s="34">
        <f t="shared" ref="S21:AF21" si="13">SUM(C54:C57)</f>
        <v>5.1428571428571423</v>
      </c>
      <c r="T21" s="17">
        <f t="shared" si="13"/>
        <v>3.4285714285714288</v>
      </c>
      <c r="U21" s="17">
        <f t="shared" si="13"/>
        <v>5.1428571428571423</v>
      </c>
      <c r="V21" s="17">
        <f t="shared" si="13"/>
        <v>6.2857142857142865</v>
      </c>
      <c r="W21" s="17">
        <f t="shared" si="13"/>
        <v>0.14285714285714285</v>
      </c>
      <c r="X21" s="17">
        <f t="shared" si="13"/>
        <v>0.14285714285714285</v>
      </c>
      <c r="Y21" s="17">
        <f t="shared" si="13"/>
        <v>10.142857142857142</v>
      </c>
      <c r="Z21" s="17">
        <f t="shared" si="13"/>
        <v>2.2857142857142856</v>
      </c>
      <c r="AA21" s="17">
        <f t="shared" si="13"/>
        <v>1.4285714285714284</v>
      </c>
      <c r="AB21" s="17">
        <f t="shared" si="13"/>
        <v>0.5714285714285714</v>
      </c>
      <c r="AC21" s="17">
        <f t="shared" si="13"/>
        <v>94.571428571428584</v>
      </c>
      <c r="AD21" s="17">
        <f t="shared" si="13"/>
        <v>0</v>
      </c>
      <c r="AE21" s="31">
        <f t="shared" si="13"/>
        <v>34.714285714285715</v>
      </c>
      <c r="AF21" s="31">
        <f t="shared" si="13"/>
        <v>129.28571428571428</v>
      </c>
    </row>
    <row r="22" spans="2:32" ht="23.1" customHeight="1" x14ac:dyDescent="0.25">
      <c r="B22" s="23" t="s">
        <v>49</v>
      </c>
      <c r="C22" s="49">
        <f>AVERAGE('20.08 KAPEKA-MATUGA'!C22,'21.08 KAPEKA-MATUGA'!C22,'22.08 KAPEKA-MATUGA'!C22,'23.08 KAPEKA-MATUGA'!C22,'24.08 KAPEKA-MATUGA-24h'!C22,'25.08 KAPEEKA-MATUGA-24h'!C22,'26.08 KAPEKA-MATUGA'!C22)</f>
        <v>2.4285714285714284</v>
      </c>
      <c r="D22" s="49">
        <f>0.4*(AVERAGE('20.08 KAPEKA-MATUGA'!E22,'21.08 KAPEKA-MATUGA'!E22,'22.08 KAPEKA-MATUGA'!E22,'23.08 KAPEKA-MATUGA'!E22,'24.08 KAPEKA-MATUGA-24h'!E22,'25.08 KAPEEKA-MATUGA-24h'!E22,'26.08 KAPEKA-MATUGA'!E22))</f>
        <v>1.0857142857142859</v>
      </c>
      <c r="E22" s="49">
        <f>0.6*(AVERAGE('20.08 KAPEKA-MATUGA'!E22,'21.08 KAPEKA-MATUGA'!E22,'22.08 KAPEKA-MATUGA'!E22,'23.08 KAPEKA-MATUGA'!E22,'24.08 KAPEKA-MATUGA-24h'!E22,'25.08 KAPEEKA-MATUGA-24h'!E22,'26.08 KAPEKA-MATUGA'!E22))</f>
        <v>1.6285714285714286</v>
      </c>
      <c r="F22" s="49">
        <f>AVERAGE('20.08 KAPEKA-MATUGA'!F22,'21.08 KAPEKA-MATUGA'!F22,'22.08 KAPEKA-MATUGA'!F22,'23.08 KAPEKA-MATUGA'!F22,'24.08 KAPEKA-MATUGA-24h'!F22,'25.08 KAPEEKA-MATUGA-24h'!F22,'26.08 KAPEKA-MATUGA'!F22)</f>
        <v>1.2857142857142858</v>
      </c>
      <c r="G22" s="49">
        <f>AVERAGE('20.08 KAPEKA-MATUGA'!G22,'21.08 KAPEKA-MATUGA'!G22,'22.08 KAPEKA-MATUGA'!G22,'23.08 KAPEKA-MATUGA'!G22,'24.08 KAPEKA-MATUGA-24h'!G22,'25.08 KAPEEKA-MATUGA-24h'!G22,'26.08 KAPEKA-MATUGA'!G22)</f>
        <v>0.14285714285714285</v>
      </c>
      <c r="H22" s="49">
        <f>AVERAGE('20.08 KAPEKA-MATUGA'!H22,'21.08 KAPEKA-MATUGA'!H22,'22.08 KAPEKA-MATUGA'!H22,'23.08 KAPEKA-MATUGA'!H22,'24.08 KAPEKA-MATUGA-24h'!H22,'25.08 KAPEEKA-MATUGA-24h'!H22,'26.08 KAPEKA-MATUGA'!H22)</f>
        <v>0</v>
      </c>
      <c r="I22" s="49">
        <f>AVERAGE('20.08 KAPEKA-MATUGA'!I22,'21.08 KAPEKA-MATUGA'!I22,'22.08 KAPEKA-MATUGA'!I22,'23.08 KAPEKA-MATUGA'!I22,'24.08 KAPEKA-MATUGA-24h'!I22,'25.08 KAPEEKA-MATUGA-24h'!I22,'26.08 KAPEKA-MATUGA'!I22)</f>
        <v>3</v>
      </c>
      <c r="J22" s="49">
        <f>AVERAGE('20.08 KAPEKA-MATUGA'!J22,'21.08 KAPEKA-MATUGA'!J22,'22.08 KAPEKA-MATUGA'!J22,'23.08 KAPEKA-MATUGA'!J22,'24.08 KAPEKA-MATUGA-24h'!J22,'25.08 KAPEEKA-MATUGA-24h'!J22,'26.08 KAPEKA-MATUGA'!J22)</f>
        <v>0.14285714285714285</v>
      </c>
      <c r="K22" s="49">
        <f>AVERAGE('20.08 KAPEKA-MATUGA'!K22,'21.08 KAPEKA-MATUGA'!K22,'22.08 KAPEKA-MATUGA'!K22,'23.08 KAPEKA-MATUGA'!K22,'24.08 KAPEKA-MATUGA-24h'!K22,'25.08 KAPEEKA-MATUGA-24h'!K22,'26.08 KAPEKA-MATUGA'!K22)</f>
        <v>0.5714285714285714</v>
      </c>
      <c r="L22" s="49">
        <f>AVERAGE('20.08 KAPEKA-MATUGA'!L22,'21.08 KAPEKA-MATUGA'!L22,'22.08 KAPEKA-MATUGA'!L22,'23.08 KAPEKA-MATUGA'!L22,'24.08 KAPEKA-MATUGA-24h'!L22,'25.08 KAPEEKA-MATUGA-24h'!L22,'26.08 KAPEKA-MATUGA'!L22)</f>
        <v>0.14285714285714285</v>
      </c>
      <c r="M22" s="49">
        <f>AVERAGE('20.08 KAPEKA-MATUGA'!M22,'21.08 KAPEKA-MATUGA'!M22,'22.08 KAPEKA-MATUGA'!M22,'23.08 KAPEKA-MATUGA'!M22,'24.08 KAPEKA-MATUGA-24h'!M22,'25.08 KAPEEKA-MATUGA-24h'!M22,'26.08 KAPEKA-MATUGA'!M22)</f>
        <v>20.571428571428573</v>
      </c>
      <c r="N22" s="49">
        <f>AVERAGE('20.08 KAPEKA-MATUGA'!N22,'21.08 KAPEKA-MATUGA'!N22,'22.08 KAPEKA-MATUGA'!N22,'23.08 KAPEKA-MATUGA'!N22,'24.08 KAPEKA-MATUGA-24h'!N22,'25.08 KAPEEKA-MATUGA-24h'!N22,'26.08 KAPEKA-MATUGA'!N22)</f>
        <v>0</v>
      </c>
      <c r="O22" s="15">
        <f t="shared" si="0"/>
        <v>10.428571428571427</v>
      </c>
      <c r="P22" s="15">
        <f t="shared" si="1"/>
        <v>31</v>
      </c>
      <c r="R22" s="1" t="s">
        <v>146</v>
      </c>
      <c r="S22" s="34">
        <f>SUM(C58:C61)</f>
        <v>4</v>
      </c>
      <c r="T22" s="34">
        <f t="shared" ref="T22:AF22" si="14">SUM(D58:D61)</f>
        <v>3.2</v>
      </c>
      <c r="U22" s="34">
        <f t="shared" si="14"/>
        <v>4.8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59</v>
      </c>
      <c r="AD22" s="34">
        <f t="shared" si="14"/>
        <v>0</v>
      </c>
      <c r="AE22" s="31">
        <f t="shared" si="14"/>
        <v>30</v>
      </c>
      <c r="AF22" s="31">
        <f t="shared" si="14"/>
        <v>89</v>
      </c>
    </row>
    <row r="23" spans="2:32" ht="23.1" customHeight="1" x14ac:dyDescent="0.25">
      <c r="B23" s="23" t="s">
        <v>50</v>
      </c>
      <c r="C23" s="49">
        <f>AVERAGE('20.08 KAPEKA-MATUGA'!C23,'21.08 KAPEKA-MATUGA'!C23,'22.08 KAPEKA-MATUGA'!C23,'23.08 KAPEKA-MATUGA'!C23,'24.08 KAPEKA-MATUGA-24h'!C23,'25.08 KAPEEKA-MATUGA-24h'!C23,'26.08 KAPEKA-MATUGA'!C23)</f>
        <v>2.4285714285714284</v>
      </c>
      <c r="D23" s="49">
        <f>0.4*(AVERAGE('20.08 KAPEKA-MATUGA'!E23,'21.08 KAPEKA-MATUGA'!E23,'22.08 KAPEKA-MATUGA'!E23,'23.08 KAPEKA-MATUGA'!E23,'24.08 KAPEKA-MATUGA-24h'!E23,'25.08 KAPEEKA-MATUGA-24h'!E23,'26.08 KAPEKA-MATUGA'!E23))</f>
        <v>1.6</v>
      </c>
      <c r="E23" s="49">
        <f>0.6*(AVERAGE('20.08 KAPEKA-MATUGA'!E23,'21.08 KAPEKA-MATUGA'!E23,'22.08 KAPEKA-MATUGA'!E23,'23.08 KAPEKA-MATUGA'!E23,'24.08 KAPEKA-MATUGA-24h'!E23,'25.08 KAPEEKA-MATUGA-24h'!E23,'26.08 KAPEKA-MATUGA'!E23))</f>
        <v>2.4</v>
      </c>
      <c r="F23" s="49">
        <f>AVERAGE('20.08 KAPEKA-MATUGA'!F23,'21.08 KAPEKA-MATUGA'!F23,'22.08 KAPEKA-MATUGA'!F23,'23.08 KAPEKA-MATUGA'!F23,'24.08 KAPEKA-MATUGA-24h'!F23,'25.08 KAPEEKA-MATUGA-24h'!F23,'26.08 KAPEKA-MATUGA'!F23)</f>
        <v>1</v>
      </c>
      <c r="G23" s="49">
        <f>AVERAGE('20.08 KAPEKA-MATUGA'!G23,'21.08 KAPEKA-MATUGA'!G23,'22.08 KAPEKA-MATUGA'!G23,'23.08 KAPEKA-MATUGA'!G23,'24.08 KAPEKA-MATUGA-24h'!G23,'25.08 KAPEEKA-MATUGA-24h'!G23,'26.08 KAPEKA-MATUGA'!G23)</f>
        <v>0</v>
      </c>
      <c r="H23" s="49">
        <f>AVERAGE('20.08 KAPEKA-MATUGA'!H23,'21.08 KAPEKA-MATUGA'!H23,'22.08 KAPEKA-MATUGA'!H23,'23.08 KAPEKA-MATUGA'!H23,'24.08 KAPEKA-MATUGA-24h'!H23,'25.08 KAPEEKA-MATUGA-24h'!H23,'26.08 KAPEKA-MATUGA'!H23)</f>
        <v>0</v>
      </c>
      <c r="I23" s="49">
        <f>AVERAGE('20.08 KAPEKA-MATUGA'!I23,'21.08 KAPEKA-MATUGA'!I23,'22.08 KAPEKA-MATUGA'!I23,'23.08 KAPEKA-MATUGA'!I23,'24.08 KAPEKA-MATUGA-24h'!I23,'25.08 KAPEEKA-MATUGA-24h'!I23,'26.08 KAPEKA-MATUGA'!I23)</f>
        <v>3.4285714285714284</v>
      </c>
      <c r="J23" s="49">
        <f>AVERAGE('20.08 KAPEKA-MATUGA'!J23,'21.08 KAPEKA-MATUGA'!J23,'22.08 KAPEKA-MATUGA'!J23,'23.08 KAPEKA-MATUGA'!J23,'24.08 KAPEKA-MATUGA-24h'!J23,'25.08 KAPEEKA-MATUGA-24h'!J23,'26.08 KAPEKA-MATUGA'!J23)</f>
        <v>0</v>
      </c>
      <c r="K23" s="49">
        <f>AVERAGE('20.08 KAPEKA-MATUGA'!K23,'21.08 KAPEKA-MATUGA'!K23,'22.08 KAPEKA-MATUGA'!K23,'23.08 KAPEKA-MATUGA'!K23,'24.08 KAPEKA-MATUGA-24h'!K23,'25.08 KAPEEKA-MATUGA-24h'!K23,'26.08 KAPEKA-MATUGA'!K23)</f>
        <v>0.5714285714285714</v>
      </c>
      <c r="L23" s="49">
        <f>AVERAGE('20.08 KAPEKA-MATUGA'!L23,'21.08 KAPEKA-MATUGA'!L23,'22.08 KAPEKA-MATUGA'!L23,'23.08 KAPEKA-MATUGA'!L23,'24.08 KAPEKA-MATUGA-24h'!L23,'25.08 KAPEEKA-MATUGA-24h'!L23,'26.08 KAPEKA-MATUGA'!L23)</f>
        <v>0.14285714285714285</v>
      </c>
      <c r="M23" s="49">
        <f>AVERAGE('20.08 KAPEKA-MATUGA'!M23,'21.08 KAPEKA-MATUGA'!M23,'22.08 KAPEKA-MATUGA'!M23,'23.08 KAPEKA-MATUGA'!M23,'24.08 KAPEKA-MATUGA-24h'!M23,'25.08 KAPEEKA-MATUGA-24h'!M23,'26.08 KAPEKA-MATUGA'!M23)</f>
        <v>20.142857142857142</v>
      </c>
      <c r="N23" s="49">
        <f>AVERAGE('20.08 KAPEKA-MATUGA'!N23,'21.08 KAPEKA-MATUGA'!N23,'22.08 KAPEKA-MATUGA'!N23,'23.08 KAPEKA-MATUGA'!N23,'24.08 KAPEKA-MATUGA-24h'!N23,'25.08 KAPEEKA-MATUGA-24h'!N23,'26.08 KAPEKA-MATUGA'!N23)</f>
        <v>0</v>
      </c>
      <c r="O23" s="15">
        <f t="shared" si="0"/>
        <v>11.571428571428571</v>
      </c>
      <c r="P23" s="15">
        <f t="shared" si="1"/>
        <v>31.714285714285715</v>
      </c>
      <c r="R23" s="1" t="s">
        <v>147</v>
      </c>
      <c r="S23" s="34">
        <f>SUM(C62:C65)</f>
        <v>10</v>
      </c>
      <c r="T23" s="34">
        <f t="shared" ref="T23:AF23" si="15">SUM(D62:D65)</f>
        <v>3.6</v>
      </c>
      <c r="U23" s="34">
        <f t="shared" si="15"/>
        <v>5.4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37</v>
      </c>
      <c r="AF23" s="31">
        <f t="shared" si="15"/>
        <v>76</v>
      </c>
    </row>
    <row r="24" spans="2:32" ht="23.1" customHeight="1" x14ac:dyDescent="0.25">
      <c r="B24" s="23" t="s">
        <v>51</v>
      </c>
      <c r="C24" s="49">
        <f>AVERAGE('20.08 KAPEKA-MATUGA'!C24,'21.08 KAPEKA-MATUGA'!C24,'22.08 KAPEKA-MATUGA'!C24,'23.08 KAPEKA-MATUGA'!C24,'24.08 KAPEKA-MATUGA-24h'!C24,'25.08 KAPEEKA-MATUGA-24h'!C24,'26.08 KAPEKA-MATUGA'!C24)</f>
        <v>2</v>
      </c>
      <c r="D24" s="49">
        <f>0.4*(AVERAGE('20.08 KAPEKA-MATUGA'!E24,'21.08 KAPEKA-MATUGA'!E24,'22.08 KAPEKA-MATUGA'!E24,'23.08 KAPEKA-MATUGA'!E24,'24.08 KAPEKA-MATUGA-24h'!E24,'25.08 KAPEEKA-MATUGA-24h'!E24,'26.08 KAPEKA-MATUGA'!E24))</f>
        <v>1.3142857142857143</v>
      </c>
      <c r="E24" s="49">
        <f>0.6*(AVERAGE('20.08 KAPEKA-MATUGA'!E24,'21.08 KAPEKA-MATUGA'!E24,'22.08 KAPEKA-MATUGA'!E24,'23.08 KAPEKA-MATUGA'!E24,'24.08 KAPEKA-MATUGA-24h'!E24,'25.08 KAPEEKA-MATUGA-24h'!E24,'26.08 KAPEKA-MATUGA'!E24))</f>
        <v>1.9714285714285713</v>
      </c>
      <c r="F24" s="49">
        <f>AVERAGE('20.08 KAPEKA-MATUGA'!F24,'21.08 KAPEKA-MATUGA'!F24,'22.08 KAPEKA-MATUGA'!F24,'23.08 KAPEKA-MATUGA'!F24,'24.08 KAPEKA-MATUGA-24h'!F24,'25.08 KAPEEKA-MATUGA-24h'!F24,'26.08 KAPEKA-MATUGA'!F24)</f>
        <v>1.4285714285714286</v>
      </c>
      <c r="G24" s="49">
        <f>AVERAGE('20.08 KAPEKA-MATUGA'!G24,'21.08 KAPEKA-MATUGA'!G24,'22.08 KAPEKA-MATUGA'!G24,'23.08 KAPEKA-MATUGA'!G24,'24.08 KAPEKA-MATUGA-24h'!G24,'25.08 KAPEEKA-MATUGA-24h'!G24,'26.08 KAPEKA-MATUGA'!G24)</f>
        <v>0</v>
      </c>
      <c r="H24" s="49">
        <f>AVERAGE('20.08 KAPEKA-MATUGA'!H24,'21.08 KAPEKA-MATUGA'!H24,'22.08 KAPEKA-MATUGA'!H24,'23.08 KAPEKA-MATUGA'!H24,'24.08 KAPEKA-MATUGA-24h'!H24,'25.08 KAPEEKA-MATUGA-24h'!H24,'26.08 KAPEKA-MATUGA'!H24)</f>
        <v>0</v>
      </c>
      <c r="I24" s="49">
        <f>AVERAGE('20.08 KAPEKA-MATUGA'!I24,'21.08 KAPEKA-MATUGA'!I24,'22.08 KAPEKA-MATUGA'!I24,'23.08 KAPEKA-MATUGA'!I24,'24.08 KAPEKA-MATUGA-24h'!I24,'25.08 KAPEEKA-MATUGA-24h'!I24,'26.08 KAPEKA-MATUGA'!I24)</f>
        <v>2.5714285714285716</v>
      </c>
      <c r="J24" s="49">
        <f>AVERAGE('20.08 KAPEKA-MATUGA'!J24,'21.08 KAPEKA-MATUGA'!J24,'22.08 KAPEKA-MATUGA'!J24,'23.08 KAPEKA-MATUGA'!J24,'24.08 KAPEKA-MATUGA-24h'!J24,'25.08 KAPEEKA-MATUGA-24h'!J24,'26.08 KAPEKA-MATUGA'!J24)</f>
        <v>0.7142857142857143</v>
      </c>
      <c r="K24" s="49">
        <f>AVERAGE('20.08 KAPEKA-MATUGA'!K24,'21.08 KAPEKA-MATUGA'!K24,'22.08 KAPEKA-MATUGA'!K24,'23.08 KAPEKA-MATUGA'!K24,'24.08 KAPEKA-MATUGA-24h'!K24,'25.08 KAPEEKA-MATUGA-24h'!K24,'26.08 KAPEKA-MATUGA'!K24)</f>
        <v>0.5714285714285714</v>
      </c>
      <c r="L24" s="49">
        <f>AVERAGE('20.08 KAPEKA-MATUGA'!L24,'21.08 KAPEKA-MATUGA'!L24,'22.08 KAPEKA-MATUGA'!L24,'23.08 KAPEKA-MATUGA'!L24,'24.08 KAPEKA-MATUGA-24h'!L24,'25.08 KAPEEKA-MATUGA-24h'!L24,'26.08 KAPEKA-MATUGA'!L24)</f>
        <v>0.14285714285714285</v>
      </c>
      <c r="M24" s="49">
        <f>AVERAGE('20.08 KAPEKA-MATUGA'!M24,'21.08 KAPEKA-MATUGA'!M24,'22.08 KAPEKA-MATUGA'!M24,'23.08 KAPEKA-MATUGA'!M24,'24.08 KAPEKA-MATUGA-24h'!M24,'25.08 KAPEEKA-MATUGA-24h'!M24,'26.08 KAPEKA-MATUGA'!M24)</f>
        <v>22.142857142857142</v>
      </c>
      <c r="N24" s="49">
        <f>AVERAGE('20.08 KAPEKA-MATUGA'!N24,'21.08 KAPEKA-MATUGA'!N24,'22.08 KAPEKA-MATUGA'!N24,'23.08 KAPEKA-MATUGA'!N24,'24.08 KAPEKA-MATUGA-24h'!N24,'25.08 KAPEEKA-MATUGA-24h'!N24,'26.08 KAPEKA-MATUGA'!N24)</f>
        <v>0</v>
      </c>
      <c r="O24" s="15">
        <f t="shared" si="0"/>
        <v>10.714285714285714</v>
      </c>
      <c r="P24" s="15">
        <f t="shared" si="1"/>
        <v>32.857142857142854</v>
      </c>
      <c r="R24" s="1" t="s">
        <v>148</v>
      </c>
      <c r="S24" s="34">
        <f>SUM(C66:C69)</f>
        <v>11</v>
      </c>
      <c r="T24" s="34">
        <f t="shared" ref="T24:AF24" si="16">SUM(D66:D69)</f>
        <v>3.2</v>
      </c>
      <c r="U24" s="34">
        <f t="shared" si="16"/>
        <v>4.8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33</v>
      </c>
      <c r="AF24" s="31">
        <f t="shared" si="16"/>
        <v>54</v>
      </c>
    </row>
    <row r="25" spans="2:32" ht="23.1" customHeight="1" x14ac:dyDescent="0.25">
      <c r="B25" s="23" t="s">
        <v>52</v>
      </c>
      <c r="C25" s="49">
        <f>AVERAGE('20.08 KAPEKA-MATUGA'!C25,'21.08 KAPEKA-MATUGA'!C25,'22.08 KAPEKA-MATUGA'!C25,'23.08 KAPEKA-MATUGA'!C25,'24.08 KAPEKA-MATUGA-24h'!C25,'25.08 KAPEEKA-MATUGA-24h'!C25,'26.08 KAPEKA-MATUGA'!C25)</f>
        <v>1.2857142857142858</v>
      </c>
      <c r="D25" s="49">
        <f>0.4*(AVERAGE('20.08 KAPEKA-MATUGA'!E25,'21.08 KAPEKA-MATUGA'!E25,'22.08 KAPEKA-MATUGA'!E25,'23.08 KAPEKA-MATUGA'!E25,'24.08 KAPEKA-MATUGA-24h'!E25,'25.08 KAPEEKA-MATUGA-24h'!E25,'26.08 KAPEKA-MATUGA'!E25))</f>
        <v>0.68571428571428572</v>
      </c>
      <c r="E25" s="49">
        <f>0.6*(AVERAGE('20.08 KAPEKA-MATUGA'!E25,'21.08 KAPEKA-MATUGA'!E25,'22.08 KAPEKA-MATUGA'!E25,'23.08 KAPEKA-MATUGA'!E25,'24.08 KAPEKA-MATUGA-24h'!E25,'25.08 KAPEEKA-MATUGA-24h'!E25,'26.08 KAPEKA-MATUGA'!E25))</f>
        <v>1.0285714285714285</v>
      </c>
      <c r="F25" s="49">
        <f>AVERAGE('20.08 KAPEKA-MATUGA'!F25,'21.08 KAPEKA-MATUGA'!F25,'22.08 KAPEKA-MATUGA'!F25,'23.08 KAPEKA-MATUGA'!F25,'24.08 KAPEKA-MATUGA-24h'!F25,'25.08 KAPEEKA-MATUGA-24h'!F25,'26.08 KAPEKA-MATUGA'!F25)</f>
        <v>1.5714285714285714</v>
      </c>
      <c r="G25" s="49">
        <f>AVERAGE('20.08 KAPEKA-MATUGA'!G25,'21.08 KAPEKA-MATUGA'!G25,'22.08 KAPEKA-MATUGA'!G25,'23.08 KAPEKA-MATUGA'!G25,'24.08 KAPEKA-MATUGA-24h'!G25,'25.08 KAPEEKA-MATUGA-24h'!G25,'26.08 KAPEKA-MATUGA'!G25)</f>
        <v>0</v>
      </c>
      <c r="H25" s="49">
        <f>AVERAGE('20.08 KAPEKA-MATUGA'!H25,'21.08 KAPEKA-MATUGA'!H25,'22.08 KAPEKA-MATUGA'!H25,'23.08 KAPEKA-MATUGA'!H25,'24.08 KAPEKA-MATUGA-24h'!H25,'25.08 KAPEEKA-MATUGA-24h'!H25,'26.08 KAPEKA-MATUGA'!H25)</f>
        <v>0</v>
      </c>
      <c r="I25" s="49">
        <f>AVERAGE('20.08 KAPEKA-MATUGA'!I25,'21.08 KAPEKA-MATUGA'!I25,'22.08 KAPEKA-MATUGA'!I25,'23.08 KAPEKA-MATUGA'!I25,'24.08 KAPEKA-MATUGA-24h'!I25,'25.08 KAPEEKA-MATUGA-24h'!I25,'26.08 KAPEKA-MATUGA'!I25)</f>
        <v>3.7142857142857144</v>
      </c>
      <c r="J25" s="49">
        <f>AVERAGE('20.08 KAPEKA-MATUGA'!J25,'21.08 KAPEKA-MATUGA'!J25,'22.08 KAPEKA-MATUGA'!J25,'23.08 KAPEKA-MATUGA'!J25,'24.08 KAPEKA-MATUGA-24h'!J25,'25.08 KAPEEKA-MATUGA-24h'!J25,'26.08 KAPEKA-MATUGA'!J25)</f>
        <v>0.7142857142857143</v>
      </c>
      <c r="K25" s="49">
        <f>AVERAGE('20.08 KAPEKA-MATUGA'!K25,'21.08 KAPEKA-MATUGA'!K25,'22.08 KAPEKA-MATUGA'!K25,'23.08 KAPEKA-MATUGA'!K25,'24.08 KAPEKA-MATUGA-24h'!K25,'25.08 KAPEEKA-MATUGA-24h'!K25,'26.08 KAPEKA-MATUGA'!K25)</f>
        <v>0.42857142857142855</v>
      </c>
      <c r="L25" s="49">
        <f>AVERAGE('20.08 KAPEKA-MATUGA'!L25,'21.08 KAPEKA-MATUGA'!L25,'22.08 KAPEKA-MATUGA'!L25,'23.08 KAPEKA-MATUGA'!L25,'24.08 KAPEKA-MATUGA-24h'!L25,'25.08 KAPEEKA-MATUGA-24h'!L25,'26.08 KAPEKA-MATUGA'!L25)</f>
        <v>0.14285714285714285</v>
      </c>
      <c r="M25" s="49">
        <f>AVERAGE('20.08 KAPEKA-MATUGA'!M25,'21.08 KAPEKA-MATUGA'!M25,'22.08 KAPEKA-MATUGA'!M25,'23.08 KAPEKA-MATUGA'!M25,'24.08 KAPEKA-MATUGA-24h'!M25,'25.08 KAPEEKA-MATUGA-24h'!M25,'26.08 KAPEKA-MATUGA'!M25)</f>
        <v>20.428571428571427</v>
      </c>
      <c r="N25" s="49">
        <f>AVERAGE('20.08 KAPEKA-MATUGA'!N25,'21.08 KAPEKA-MATUGA'!N25,'22.08 KAPEKA-MATUGA'!N25,'23.08 KAPEKA-MATUGA'!N25,'24.08 KAPEKA-MATUGA-24h'!N25,'25.08 KAPEEKA-MATUGA-24h'!N25,'26.08 KAPEKA-MATUGA'!N25)</f>
        <v>0</v>
      </c>
      <c r="O25" s="15">
        <f t="shared" si="0"/>
        <v>9.5714285714285694</v>
      </c>
      <c r="P25" s="15">
        <f t="shared" si="1"/>
        <v>29.999999999999996</v>
      </c>
      <c r="R25" s="1" t="s">
        <v>149</v>
      </c>
      <c r="S25" s="34">
        <f>SUM(C70:C73)</f>
        <v>3</v>
      </c>
      <c r="T25" s="34">
        <f t="shared" ref="T25:AF25" si="17">SUM(D70:D73)</f>
        <v>1.6</v>
      </c>
      <c r="U25" s="34">
        <f t="shared" si="17"/>
        <v>2.4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21</v>
      </c>
      <c r="AF25" s="31">
        <f t="shared" si="17"/>
        <v>34</v>
      </c>
    </row>
    <row r="26" spans="2:32" ht="23.1" customHeight="1" x14ac:dyDescent="0.25">
      <c r="B26" s="23" t="s">
        <v>53</v>
      </c>
      <c r="C26" s="49">
        <f>AVERAGE('20.08 KAPEKA-MATUGA'!C26,'21.08 KAPEKA-MATUGA'!C26,'22.08 KAPEKA-MATUGA'!C26,'23.08 KAPEKA-MATUGA'!C26,'24.08 KAPEKA-MATUGA-24h'!C26,'25.08 KAPEEKA-MATUGA-24h'!C26,'26.08 KAPEKA-MATUGA'!C26)</f>
        <v>2.7142857142857144</v>
      </c>
      <c r="D26" s="49">
        <f>0.4*(AVERAGE('20.08 KAPEKA-MATUGA'!E26,'21.08 KAPEKA-MATUGA'!E26,'22.08 KAPEKA-MATUGA'!E26,'23.08 KAPEKA-MATUGA'!E26,'24.08 KAPEKA-MATUGA-24h'!E26,'25.08 KAPEEKA-MATUGA-24h'!E26,'26.08 KAPEKA-MATUGA'!E26))</f>
        <v>1.4857142857142858</v>
      </c>
      <c r="E26" s="49">
        <f>0.6*(AVERAGE('20.08 KAPEKA-MATUGA'!E26,'21.08 KAPEKA-MATUGA'!E26,'22.08 KAPEKA-MATUGA'!E26,'23.08 KAPEKA-MATUGA'!E26,'24.08 KAPEKA-MATUGA-24h'!E26,'25.08 KAPEEKA-MATUGA-24h'!E26,'26.08 KAPEKA-MATUGA'!E26))</f>
        <v>2.2285714285714286</v>
      </c>
      <c r="F26" s="49">
        <f>AVERAGE('20.08 KAPEKA-MATUGA'!F26,'21.08 KAPEKA-MATUGA'!F26,'22.08 KAPEKA-MATUGA'!F26,'23.08 KAPEKA-MATUGA'!F26,'24.08 KAPEKA-MATUGA-24h'!F26,'25.08 KAPEEKA-MATUGA-24h'!F26,'26.08 KAPEKA-MATUGA'!F26)</f>
        <v>1.2857142857142858</v>
      </c>
      <c r="G26" s="49">
        <f>AVERAGE('20.08 KAPEKA-MATUGA'!G26,'21.08 KAPEKA-MATUGA'!G26,'22.08 KAPEKA-MATUGA'!G26,'23.08 KAPEKA-MATUGA'!G26,'24.08 KAPEKA-MATUGA-24h'!G26,'25.08 KAPEEKA-MATUGA-24h'!G26,'26.08 KAPEKA-MATUGA'!G26)</f>
        <v>0</v>
      </c>
      <c r="H26" s="49">
        <f>AVERAGE('20.08 KAPEKA-MATUGA'!H26,'21.08 KAPEKA-MATUGA'!H26,'22.08 KAPEKA-MATUGA'!H26,'23.08 KAPEKA-MATUGA'!H26,'24.08 KAPEKA-MATUGA-24h'!H26,'25.08 KAPEEKA-MATUGA-24h'!H26,'26.08 KAPEKA-MATUGA'!H26)</f>
        <v>0</v>
      </c>
      <c r="I26" s="49">
        <f>AVERAGE('20.08 KAPEKA-MATUGA'!I26,'21.08 KAPEKA-MATUGA'!I26,'22.08 KAPEKA-MATUGA'!I26,'23.08 KAPEKA-MATUGA'!I26,'24.08 KAPEKA-MATUGA-24h'!I26,'25.08 KAPEEKA-MATUGA-24h'!I26,'26.08 KAPEKA-MATUGA'!I26)</f>
        <v>2.7142857142857144</v>
      </c>
      <c r="J26" s="49">
        <f>AVERAGE('20.08 KAPEKA-MATUGA'!J26,'21.08 KAPEKA-MATUGA'!J26,'22.08 KAPEKA-MATUGA'!J26,'23.08 KAPEKA-MATUGA'!J26,'24.08 KAPEKA-MATUGA-24h'!J26,'25.08 KAPEEKA-MATUGA-24h'!J26,'26.08 KAPEKA-MATUGA'!J26)</f>
        <v>0.42857142857142855</v>
      </c>
      <c r="K26" s="49">
        <f>AVERAGE('20.08 KAPEKA-MATUGA'!K26,'21.08 KAPEKA-MATUGA'!K26,'22.08 KAPEKA-MATUGA'!K26,'23.08 KAPEKA-MATUGA'!K26,'24.08 KAPEKA-MATUGA-24h'!K26,'25.08 KAPEEKA-MATUGA-24h'!K26,'26.08 KAPEKA-MATUGA'!K26)</f>
        <v>0.7142857142857143</v>
      </c>
      <c r="L26" s="49">
        <f>AVERAGE('20.08 KAPEKA-MATUGA'!L26,'21.08 KAPEKA-MATUGA'!L26,'22.08 KAPEKA-MATUGA'!L26,'23.08 KAPEKA-MATUGA'!L26,'24.08 KAPEKA-MATUGA-24h'!L26,'25.08 KAPEEKA-MATUGA-24h'!L26,'26.08 KAPEKA-MATUGA'!L26)</f>
        <v>0.14285714285714285</v>
      </c>
      <c r="M26" s="49">
        <f>AVERAGE('20.08 KAPEKA-MATUGA'!M26,'21.08 KAPEKA-MATUGA'!M26,'22.08 KAPEKA-MATUGA'!M26,'23.08 KAPEKA-MATUGA'!M26,'24.08 KAPEKA-MATUGA-24h'!M26,'25.08 KAPEEKA-MATUGA-24h'!M26,'26.08 KAPEKA-MATUGA'!M26)</f>
        <v>20.428571428571427</v>
      </c>
      <c r="N26" s="49">
        <f>AVERAGE('20.08 KAPEKA-MATUGA'!N26,'21.08 KAPEKA-MATUGA'!N26,'22.08 KAPEKA-MATUGA'!N26,'23.08 KAPEKA-MATUGA'!N26,'24.08 KAPEKA-MATUGA-24h'!N26,'25.08 KAPEEKA-MATUGA-24h'!N26,'26.08 KAPEKA-MATUGA'!N26)</f>
        <v>0</v>
      </c>
      <c r="O26" s="15">
        <f t="shared" si="0"/>
        <v>11.714285714285714</v>
      </c>
      <c r="P26" s="15">
        <f t="shared" si="1"/>
        <v>32.142857142857139</v>
      </c>
      <c r="R26" s="1" t="s">
        <v>150</v>
      </c>
      <c r="S26" s="34">
        <f>SUM(C74:C77)</f>
        <v>6</v>
      </c>
      <c r="T26" s="34">
        <f t="shared" ref="T26:AF26" si="18">SUM(D74:D77)</f>
        <v>2</v>
      </c>
      <c r="U26" s="34">
        <f t="shared" si="18"/>
        <v>3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3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23" t="s">
        <v>54</v>
      </c>
      <c r="C27" s="49">
        <f>AVERAGE('20.08 KAPEKA-MATUGA'!C27,'21.08 KAPEKA-MATUGA'!C27,'22.08 KAPEKA-MATUGA'!C27,'23.08 KAPEKA-MATUGA'!C27,'24.08 KAPEKA-MATUGA-24h'!C27,'25.08 KAPEEKA-MATUGA-24h'!C27,'26.08 KAPEKA-MATUGA'!C27)</f>
        <v>2</v>
      </c>
      <c r="D27" s="49">
        <f>0.4*(AVERAGE('20.08 KAPEKA-MATUGA'!E27,'21.08 KAPEKA-MATUGA'!E27,'22.08 KAPEKA-MATUGA'!E27,'23.08 KAPEKA-MATUGA'!E27,'24.08 KAPEKA-MATUGA-24h'!E27,'25.08 KAPEEKA-MATUGA-24h'!E27,'26.08 KAPEKA-MATUGA'!E27))</f>
        <v>1.2571428571428571</v>
      </c>
      <c r="E27" s="49">
        <f>0.6*(AVERAGE('20.08 KAPEKA-MATUGA'!E27,'21.08 KAPEKA-MATUGA'!E27,'22.08 KAPEKA-MATUGA'!E27,'23.08 KAPEKA-MATUGA'!E27,'24.08 KAPEKA-MATUGA-24h'!E27,'25.08 KAPEEKA-MATUGA-24h'!E27,'26.08 KAPEKA-MATUGA'!E27))</f>
        <v>1.8857142857142857</v>
      </c>
      <c r="F27" s="49">
        <f>AVERAGE('20.08 KAPEKA-MATUGA'!F27,'21.08 KAPEKA-MATUGA'!F27,'22.08 KAPEKA-MATUGA'!F27,'23.08 KAPEKA-MATUGA'!F27,'24.08 KAPEKA-MATUGA-24h'!F27,'25.08 KAPEEKA-MATUGA-24h'!F27,'26.08 KAPEKA-MATUGA'!F27)</f>
        <v>1.1428571428571428</v>
      </c>
      <c r="G27" s="49">
        <f>AVERAGE('20.08 KAPEKA-MATUGA'!G27,'21.08 KAPEKA-MATUGA'!G27,'22.08 KAPEKA-MATUGA'!G27,'23.08 KAPEKA-MATUGA'!G27,'24.08 KAPEKA-MATUGA-24h'!G27,'25.08 KAPEEKA-MATUGA-24h'!G27,'26.08 KAPEKA-MATUGA'!G27)</f>
        <v>0</v>
      </c>
      <c r="H27" s="49">
        <f>AVERAGE('20.08 KAPEKA-MATUGA'!H27,'21.08 KAPEKA-MATUGA'!H27,'22.08 KAPEKA-MATUGA'!H27,'23.08 KAPEKA-MATUGA'!H27,'24.08 KAPEKA-MATUGA-24h'!H27,'25.08 KAPEEKA-MATUGA-24h'!H27,'26.08 KAPEKA-MATUGA'!H27)</f>
        <v>0</v>
      </c>
      <c r="I27" s="49">
        <f>AVERAGE('20.08 KAPEKA-MATUGA'!I27,'21.08 KAPEKA-MATUGA'!I27,'22.08 KAPEKA-MATUGA'!I27,'23.08 KAPEKA-MATUGA'!I27,'24.08 KAPEKA-MATUGA-24h'!I27,'25.08 KAPEEKA-MATUGA-24h'!I27,'26.08 KAPEKA-MATUGA'!I27)</f>
        <v>2.4285714285714284</v>
      </c>
      <c r="J27" s="49">
        <f>AVERAGE('20.08 KAPEKA-MATUGA'!J27,'21.08 KAPEKA-MATUGA'!J27,'22.08 KAPEKA-MATUGA'!J27,'23.08 KAPEKA-MATUGA'!J27,'24.08 KAPEKA-MATUGA-24h'!J27,'25.08 KAPEEKA-MATUGA-24h'!J27,'26.08 KAPEKA-MATUGA'!J27)</f>
        <v>0.2857142857142857</v>
      </c>
      <c r="K27" s="49">
        <f>AVERAGE('20.08 KAPEKA-MATUGA'!K27,'21.08 KAPEKA-MATUGA'!K27,'22.08 KAPEKA-MATUGA'!K27,'23.08 KAPEKA-MATUGA'!K27,'24.08 KAPEKA-MATUGA-24h'!K27,'25.08 KAPEEKA-MATUGA-24h'!K27,'26.08 KAPEKA-MATUGA'!K27)</f>
        <v>0.14285714285714285</v>
      </c>
      <c r="L27" s="49">
        <f>AVERAGE('20.08 KAPEKA-MATUGA'!L27,'21.08 KAPEKA-MATUGA'!L27,'22.08 KAPEKA-MATUGA'!L27,'23.08 KAPEKA-MATUGA'!L27,'24.08 KAPEKA-MATUGA-24h'!L27,'25.08 KAPEEKA-MATUGA-24h'!L27,'26.08 KAPEKA-MATUGA'!L27)</f>
        <v>0.14285714285714285</v>
      </c>
      <c r="M27" s="49">
        <f>AVERAGE('20.08 KAPEKA-MATUGA'!M27,'21.08 KAPEKA-MATUGA'!M27,'22.08 KAPEKA-MATUGA'!M27,'23.08 KAPEKA-MATUGA'!M27,'24.08 KAPEKA-MATUGA-24h'!M27,'25.08 KAPEEKA-MATUGA-24h'!M27,'26.08 KAPEKA-MATUGA'!M27)</f>
        <v>21</v>
      </c>
      <c r="N27" s="49">
        <f>AVERAGE('20.08 KAPEKA-MATUGA'!N27,'21.08 KAPEKA-MATUGA'!N27,'22.08 KAPEKA-MATUGA'!N27,'23.08 KAPEKA-MATUGA'!N27,'24.08 KAPEKA-MATUGA-24h'!N27,'25.08 KAPEEKA-MATUGA-24h'!N27,'26.08 KAPEKA-MATUGA'!N27)</f>
        <v>0.14285714285714285</v>
      </c>
      <c r="O27" s="15">
        <f t="shared" si="0"/>
        <v>9.428571428571427</v>
      </c>
      <c r="P27" s="15">
        <f t="shared" si="1"/>
        <v>30.428571428571427</v>
      </c>
      <c r="R27" s="1" t="s">
        <v>151</v>
      </c>
      <c r="S27" s="34">
        <f>SUM(C78:C81)</f>
        <v>7</v>
      </c>
      <c r="T27" s="34">
        <f t="shared" ref="T27:AF27" si="19">SUM(D78:D81)</f>
        <v>2</v>
      </c>
      <c r="U27" s="34">
        <f t="shared" si="19"/>
        <v>3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23" t="s">
        <v>55</v>
      </c>
      <c r="C28" s="49">
        <f>AVERAGE('20.08 KAPEKA-MATUGA'!C28,'21.08 KAPEKA-MATUGA'!C28,'22.08 KAPEKA-MATUGA'!C28,'23.08 KAPEKA-MATUGA'!C28,'24.08 KAPEKA-MATUGA-24h'!C28,'25.08 KAPEEKA-MATUGA-24h'!C28,'26.08 KAPEKA-MATUGA'!C28)</f>
        <v>3.2857142857142856</v>
      </c>
      <c r="D28" s="49">
        <f>0.4*(AVERAGE('20.08 KAPEKA-MATUGA'!E28,'21.08 KAPEKA-MATUGA'!E28,'22.08 KAPEKA-MATUGA'!E28,'23.08 KAPEKA-MATUGA'!E28,'24.08 KAPEKA-MATUGA-24h'!E28,'25.08 KAPEEKA-MATUGA-24h'!E28,'26.08 KAPEKA-MATUGA'!E28))</f>
        <v>0.97142857142857142</v>
      </c>
      <c r="E28" s="49">
        <f>0.6*(AVERAGE('20.08 KAPEKA-MATUGA'!E28,'21.08 KAPEKA-MATUGA'!E28,'22.08 KAPEKA-MATUGA'!E28,'23.08 KAPEKA-MATUGA'!E28,'24.08 KAPEKA-MATUGA-24h'!E28,'25.08 KAPEEKA-MATUGA-24h'!E28,'26.08 KAPEKA-MATUGA'!E28))</f>
        <v>1.4571428571428571</v>
      </c>
      <c r="F28" s="49">
        <f>AVERAGE('20.08 KAPEKA-MATUGA'!F28,'21.08 KAPEKA-MATUGA'!F28,'22.08 KAPEKA-MATUGA'!F28,'23.08 KAPEKA-MATUGA'!F28,'24.08 KAPEKA-MATUGA-24h'!F28,'25.08 KAPEEKA-MATUGA-24h'!F28,'26.08 KAPEKA-MATUGA'!F28)</f>
        <v>1.5714285714285714</v>
      </c>
      <c r="G28" s="49">
        <f>AVERAGE('20.08 KAPEKA-MATUGA'!G28,'21.08 KAPEKA-MATUGA'!G28,'22.08 KAPEKA-MATUGA'!G28,'23.08 KAPEKA-MATUGA'!G28,'24.08 KAPEKA-MATUGA-24h'!G28,'25.08 KAPEEKA-MATUGA-24h'!G28,'26.08 KAPEKA-MATUGA'!G28)</f>
        <v>0</v>
      </c>
      <c r="H28" s="49">
        <f>AVERAGE('20.08 KAPEKA-MATUGA'!H28,'21.08 KAPEKA-MATUGA'!H28,'22.08 KAPEKA-MATUGA'!H28,'23.08 KAPEKA-MATUGA'!H28,'24.08 KAPEKA-MATUGA-24h'!H28,'25.08 KAPEEKA-MATUGA-24h'!H28,'26.08 KAPEKA-MATUGA'!H28)</f>
        <v>0</v>
      </c>
      <c r="I28" s="49">
        <f>AVERAGE('20.08 KAPEKA-MATUGA'!I28,'21.08 KAPEKA-MATUGA'!I28,'22.08 KAPEKA-MATUGA'!I28,'23.08 KAPEKA-MATUGA'!I28,'24.08 KAPEKA-MATUGA-24h'!I28,'25.08 KAPEEKA-MATUGA-24h'!I28,'26.08 KAPEKA-MATUGA'!I28)</f>
        <v>2.5714285714285716</v>
      </c>
      <c r="J28" s="49">
        <f>AVERAGE('20.08 KAPEKA-MATUGA'!J28,'21.08 KAPEKA-MATUGA'!J28,'22.08 KAPEKA-MATUGA'!J28,'23.08 KAPEKA-MATUGA'!J28,'24.08 KAPEKA-MATUGA-24h'!J28,'25.08 KAPEEKA-MATUGA-24h'!J28,'26.08 KAPEKA-MATUGA'!J28)</f>
        <v>0.42857142857142855</v>
      </c>
      <c r="K28" s="49">
        <f>AVERAGE('20.08 KAPEKA-MATUGA'!K28,'21.08 KAPEKA-MATUGA'!K28,'22.08 KAPEKA-MATUGA'!K28,'23.08 KAPEKA-MATUGA'!K28,'24.08 KAPEKA-MATUGA-24h'!K28,'25.08 KAPEEKA-MATUGA-24h'!K28,'26.08 KAPEKA-MATUGA'!K28)</f>
        <v>0.2857142857142857</v>
      </c>
      <c r="L28" s="49">
        <f>AVERAGE('20.08 KAPEKA-MATUGA'!L28,'21.08 KAPEKA-MATUGA'!L28,'22.08 KAPEKA-MATUGA'!L28,'23.08 KAPEKA-MATUGA'!L28,'24.08 KAPEKA-MATUGA-24h'!L28,'25.08 KAPEEKA-MATUGA-24h'!L28,'26.08 KAPEKA-MATUGA'!L28)</f>
        <v>0.14285714285714285</v>
      </c>
      <c r="M28" s="49">
        <f>AVERAGE('20.08 KAPEKA-MATUGA'!M28,'21.08 KAPEKA-MATUGA'!M28,'22.08 KAPEKA-MATUGA'!M28,'23.08 KAPEKA-MATUGA'!M28,'24.08 KAPEKA-MATUGA-24h'!M28,'25.08 KAPEEKA-MATUGA-24h'!M28,'26.08 KAPEKA-MATUGA'!M28)</f>
        <v>22.142857142857142</v>
      </c>
      <c r="N28" s="49">
        <f>AVERAGE('20.08 KAPEKA-MATUGA'!N28,'21.08 KAPEKA-MATUGA'!N28,'22.08 KAPEKA-MATUGA'!N28,'23.08 KAPEKA-MATUGA'!N28,'24.08 KAPEKA-MATUGA-24h'!N28,'25.08 KAPEEKA-MATUGA-24h'!N28,'26.08 KAPEKA-MATUGA'!N28)</f>
        <v>0</v>
      </c>
      <c r="O28" s="15">
        <f t="shared" si="0"/>
        <v>10.714285714285715</v>
      </c>
      <c r="P28" s="15">
        <f t="shared" si="1"/>
        <v>32.857142857142861</v>
      </c>
      <c r="R28" s="1" t="s">
        <v>152</v>
      </c>
      <c r="S28" s="34">
        <f>SUM(C82:C85)</f>
        <v>3</v>
      </c>
      <c r="T28" s="34">
        <f t="shared" ref="T28:AF28" si="20">SUM(D82:D85)</f>
        <v>1.6</v>
      </c>
      <c r="U28" s="34">
        <f t="shared" si="20"/>
        <v>2.4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23" t="s">
        <v>56</v>
      </c>
      <c r="C29" s="49">
        <f>AVERAGE('20.08 KAPEKA-MATUGA'!C29,'21.08 KAPEKA-MATUGA'!C29,'22.08 KAPEKA-MATUGA'!C29,'23.08 KAPEKA-MATUGA'!C29,'24.08 KAPEKA-MATUGA-24h'!C29,'25.08 KAPEEKA-MATUGA-24h'!C29,'26.08 KAPEKA-MATUGA'!C29)</f>
        <v>2.8571428571428572</v>
      </c>
      <c r="D29" s="49">
        <f>0.4*(AVERAGE('20.08 KAPEKA-MATUGA'!E29,'21.08 KAPEKA-MATUGA'!E29,'22.08 KAPEKA-MATUGA'!E29,'23.08 KAPEKA-MATUGA'!E29,'24.08 KAPEKA-MATUGA-24h'!E29,'25.08 KAPEEKA-MATUGA-24h'!E29,'26.08 KAPEKA-MATUGA'!E29))</f>
        <v>1.3142857142857143</v>
      </c>
      <c r="E29" s="49">
        <f>0.6*(AVERAGE('20.08 KAPEKA-MATUGA'!E29,'21.08 KAPEKA-MATUGA'!E29,'22.08 KAPEKA-MATUGA'!E29,'23.08 KAPEKA-MATUGA'!E29,'24.08 KAPEKA-MATUGA-24h'!E29,'25.08 KAPEEKA-MATUGA-24h'!E29,'26.08 KAPEKA-MATUGA'!E29))</f>
        <v>1.9714285714285713</v>
      </c>
      <c r="F29" s="49">
        <f>AVERAGE('20.08 KAPEKA-MATUGA'!F29,'21.08 KAPEKA-MATUGA'!F29,'22.08 KAPEKA-MATUGA'!F29,'23.08 KAPEKA-MATUGA'!F29,'24.08 KAPEKA-MATUGA-24h'!F29,'25.08 KAPEEKA-MATUGA-24h'!F29,'26.08 KAPEKA-MATUGA'!F29)</f>
        <v>1.8571428571428572</v>
      </c>
      <c r="G29" s="49">
        <f>AVERAGE('20.08 KAPEKA-MATUGA'!G29,'21.08 KAPEKA-MATUGA'!G29,'22.08 KAPEKA-MATUGA'!G29,'23.08 KAPEKA-MATUGA'!G29,'24.08 KAPEKA-MATUGA-24h'!G29,'25.08 KAPEEKA-MATUGA-24h'!G29,'26.08 KAPEKA-MATUGA'!G29)</f>
        <v>0</v>
      </c>
      <c r="H29" s="49">
        <f>AVERAGE('20.08 KAPEKA-MATUGA'!H29,'21.08 KAPEKA-MATUGA'!H29,'22.08 KAPEKA-MATUGA'!H29,'23.08 KAPEKA-MATUGA'!H29,'24.08 KAPEKA-MATUGA-24h'!H29,'25.08 KAPEEKA-MATUGA-24h'!H29,'26.08 KAPEKA-MATUGA'!H29)</f>
        <v>0</v>
      </c>
      <c r="I29" s="49">
        <f>AVERAGE('20.08 KAPEKA-MATUGA'!I29,'21.08 KAPEKA-MATUGA'!I29,'22.08 KAPEKA-MATUGA'!I29,'23.08 KAPEKA-MATUGA'!I29,'24.08 KAPEKA-MATUGA-24h'!I29,'25.08 KAPEEKA-MATUGA-24h'!I29,'26.08 KAPEKA-MATUGA'!I29)</f>
        <v>3</v>
      </c>
      <c r="J29" s="49">
        <f>AVERAGE('20.08 KAPEKA-MATUGA'!J29,'21.08 KAPEKA-MATUGA'!J29,'22.08 KAPEKA-MATUGA'!J29,'23.08 KAPEKA-MATUGA'!J29,'24.08 KAPEKA-MATUGA-24h'!J29,'25.08 KAPEEKA-MATUGA-24h'!J29,'26.08 KAPEKA-MATUGA'!J29)</f>
        <v>0.2857142857142857</v>
      </c>
      <c r="K29" s="49">
        <f>AVERAGE('20.08 KAPEKA-MATUGA'!K29,'21.08 KAPEKA-MATUGA'!K29,'22.08 KAPEKA-MATUGA'!K29,'23.08 KAPEKA-MATUGA'!K29,'24.08 KAPEKA-MATUGA-24h'!K29,'25.08 KAPEEKA-MATUGA-24h'!K29,'26.08 KAPEKA-MATUGA'!K29)</f>
        <v>0.2857142857142857</v>
      </c>
      <c r="L29" s="49">
        <f>AVERAGE('20.08 KAPEKA-MATUGA'!L29,'21.08 KAPEKA-MATUGA'!L29,'22.08 KAPEKA-MATUGA'!L29,'23.08 KAPEKA-MATUGA'!L29,'24.08 KAPEKA-MATUGA-24h'!L29,'25.08 KAPEEKA-MATUGA-24h'!L29,'26.08 KAPEKA-MATUGA'!L29)</f>
        <v>0.14285714285714285</v>
      </c>
      <c r="M29" s="49">
        <f>AVERAGE('20.08 KAPEKA-MATUGA'!M29,'21.08 KAPEKA-MATUGA'!M29,'22.08 KAPEKA-MATUGA'!M29,'23.08 KAPEKA-MATUGA'!M29,'24.08 KAPEKA-MATUGA-24h'!M29,'25.08 KAPEEKA-MATUGA-24h'!M29,'26.08 KAPEKA-MATUGA'!M29)</f>
        <v>21.142857142857142</v>
      </c>
      <c r="N29" s="49">
        <f>AVERAGE('20.08 KAPEKA-MATUGA'!N29,'21.08 KAPEKA-MATUGA'!N29,'22.08 KAPEKA-MATUGA'!N29,'23.08 KAPEKA-MATUGA'!N29,'24.08 KAPEKA-MATUGA-24h'!N29,'25.08 KAPEEKA-MATUGA-24h'!N29,'26.08 KAPEKA-MATUGA'!N29)</f>
        <v>0</v>
      </c>
      <c r="O29" s="15">
        <f t="shared" si="0"/>
        <v>11.714285714285715</v>
      </c>
      <c r="P29" s="15">
        <f t="shared" si="1"/>
        <v>32.857142857142861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AVERAGE('20.08 KAPEKA-MATUGA'!C30,'21.08 KAPEKA-MATUGA'!C30,'22.08 KAPEKA-MATUGA'!C30,'23.08 KAPEKA-MATUGA'!C30,'24.08 KAPEKA-MATUGA-24h'!C30,'25.08 KAPEEKA-MATUGA-24h'!C30,'26.08 KAPEKA-MATUGA'!C30)</f>
        <v>2.4285714285714284</v>
      </c>
      <c r="D30" s="49">
        <f>0.4*(AVERAGE('20.08 KAPEKA-MATUGA'!E30,'21.08 KAPEKA-MATUGA'!E30,'22.08 KAPEKA-MATUGA'!E30,'23.08 KAPEKA-MATUGA'!E30,'24.08 KAPEKA-MATUGA-24h'!E30,'25.08 KAPEEKA-MATUGA-24h'!E30,'26.08 KAPEKA-MATUGA'!E30))</f>
        <v>1.7714285714285716</v>
      </c>
      <c r="E30" s="49">
        <f>0.6*(AVERAGE('20.08 KAPEKA-MATUGA'!E30,'21.08 KAPEKA-MATUGA'!E30,'22.08 KAPEKA-MATUGA'!E30,'23.08 KAPEKA-MATUGA'!E30,'24.08 KAPEKA-MATUGA-24h'!E30,'25.08 KAPEEKA-MATUGA-24h'!E30,'26.08 KAPEKA-MATUGA'!E30))</f>
        <v>2.657142857142857</v>
      </c>
      <c r="F30" s="49">
        <f>AVERAGE('20.08 KAPEKA-MATUGA'!F30,'21.08 KAPEKA-MATUGA'!F30,'22.08 KAPEKA-MATUGA'!F30,'23.08 KAPEKA-MATUGA'!F30,'24.08 KAPEKA-MATUGA-24h'!F30,'25.08 KAPEEKA-MATUGA-24h'!F30,'26.08 KAPEKA-MATUGA'!F30)</f>
        <v>1</v>
      </c>
      <c r="G30" s="49">
        <f>AVERAGE('20.08 KAPEKA-MATUGA'!G30,'21.08 KAPEKA-MATUGA'!G30,'22.08 KAPEKA-MATUGA'!G30,'23.08 KAPEKA-MATUGA'!G30,'24.08 KAPEKA-MATUGA-24h'!G30,'25.08 KAPEEKA-MATUGA-24h'!G30,'26.08 KAPEKA-MATUGA'!G30)</f>
        <v>0</v>
      </c>
      <c r="H30" s="49">
        <f>AVERAGE('20.08 KAPEKA-MATUGA'!H30,'21.08 KAPEKA-MATUGA'!H30,'22.08 KAPEKA-MATUGA'!H30,'23.08 KAPEKA-MATUGA'!H30,'24.08 KAPEKA-MATUGA-24h'!H30,'25.08 KAPEEKA-MATUGA-24h'!H30,'26.08 KAPEKA-MATUGA'!H30)</f>
        <v>0</v>
      </c>
      <c r="I30" s="49">
        <f>AVERAGE('20.08 KAPEKA-MATUGA'!I30,'21.08 KAPEKA-MATUGA'!I30,'22.08 KAPEKA-MATUGA'!I30,'23.08 KAPEKA-MATUGA'!I30,'24.08 KAPEKA-MATUGA-24h'!I30,'25.08 KAPEEKA-MATUGA-24h'!I30,'26.08 KAPEKA-MATUGA'!I30)</f>
        <v>2.2857142857142856</v>
      </c>
      <c r="J30" s="49">
        <f>AVERAGE('20.08 KAPEKA-MATUGA'!J30,'21.08 KAPEKA-MATUGA'!J30,'22.08 KAPEKA-MATUGA'!J30,'23.08 KAPEKA-MATUGA'!J30,'24.08 KAPEKA-MATUGA-24h'!J30,'25.08 KAPEEKA-MATUGA-24h'!J30,'26.08 KAPEKA-MATUGA'!J30)</f>
        <v>0.14285714285714285</v>
      </c>
      <c r="K30" s="49">
        <f>AVERAGE('20.08 KAPEKA-MATUGA'!K30,'21.08 KAPEKA-MATUGA'!K30,'22.08 KAPEKA-MATUGA'!K30,'23.08 KAPEKA-MATUGA'!K30,'24.08 KAPEKA-MATUGA-24h'!K30,'25.08 KAPEEKA-MATUGA-24h'!K30,'26.08 KAPEKA-MATUGA'!K30)</f>
        <v>0.42857142857142855</v>
      </c>
      <c r="L30" s="49">
        <f>AVERAGE('20.08 KAPEKA-MATUGA'!L30,'21.08 KAPEKA-MATUGA'!L30,'22.08 KAPEKA-MATUGA'!L30,'23.08 KAPEKA-MATUGA'!L30,'24.08 KAPEKA-MATUGA-24h'!L30,'25.08 KAPEEKA-MATUGA-24h'!L30,'26.08 KAPEKA-MATUGA'!L30)</f>
        <v>0.14285714285714285</v>
      </c>
      <c r="M30" s="49">
        <f>AVERAGE('20.08 KAPEKA-MATUGA'!M30,'21.08 KAPEKA-MATUGA'!M30,'22.08 KAPEKA-MATUGA'!M30,'23.08 KAPEKA-MATUGA'!M30,'24.08 KAPEKA-MATUGA-24h'!M30,'25.08 KAPEEKA-MATUGA-24h'!M30,'26.08 KAPEKA-MATUGA'!M30)</f>
        <v>21.285714285714285</v>
      </c>
      <c r="N30" s="49">
        <f>AVERAGE('20.08 KAPEKA-MATUGA'!N30,'21.08 KAPEKA-MATUGA'!N30,'22.08 KAPEKA-MATUGA'!N30,'23.08 KAPEKA-MATUGA'!N30,'24.08 KAPEKA-MATUGA-24h'!N30,'25.08 KAPEEKA-MATUGA-24h'!N30,'26.08 KAPEKA-MATUGA'!N30)</f>
        <v>0.14285714285714285</v>
      </c>
      <c r="O30" s="15">
        <f t="shared" si="0"/>
        <v>10.999999999999998</v>
      </c>
      <c r="P30" s="15">
        <f t="shared" si="1"/>
        <v>32.285714285714285</v>
      </c>
      <c r="R30" s="1" t="s">
        <v>154</v>
      </c>
      <c r="S30" s="34">
        <f>SUM(C90:C93)</f>
        <v>3</v>
      </c>
      <c r="T30" s="34">
        <f t="shared" ref="T30:AF30" si="22">SUM(D90:D93)</f>
        <v>0.8</v>
      </c>
      <c r="U30" s="34">
        <f t="shared" si="22"/>
        <v>1.2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24" t="s">
        <v>58</v>
      </c>
      <c r="C31" s="49">
        <f>AVERAGE('20.08 KAPEKA-MATUGA'!C31,'21.08 KAPEKA-MATUGA'!C31,'22.08 KAPEKA-MATUGA'!C31,'23.08 KAPEKA-MATUGA'!C31,'24.08 KAPEKA-MATUGA-24h'!C31,'25.08 KAPEEKA-MATUGA-24h'!C31,'26.08 KAPEKA-MATUGA'!C31)</f>
        <v>2.5714285714285716</v>
      </c>
      <c r="D31" s="49">
        <f>0.4*(AVERAGE('20.08 KAPEKA-MATUGA'!E31,'21.08 KAPEKA-MATUGA'!E31,'22.08 KAPEKA-MATUGA'!E31,'23.08 KAPEKA-MATUGA'!E31,'24.08 KAPEKA-MATUGA-24h'!E31,'25.08 KAPEEKA-MATUGA-24h'!E31,'26.08 KAPEKA-MATUGA'!E31))</f>
        <v>1.4285714285714288</v>
      </c>
      <c r="E31" s="49">
        <f>0.6*(AVERAGE('20.08 KAPEKA-MATUGA'!E31,'21.08 KAPEKA-MATUGA'!E31,'22.08 KAPEKA-MATUGA'!E31,'23.08 KAPEKA-MATUGA'!E31,'24.08 KAPEKA-MATUGA-24h'!E31,'25.08 KAPEEKA-MATUGA-24h'!E31,'26.08 KAPEKA-MATUGA'!E31))</f>
        <v>2.1428571428571428</v>
      </c>
      <c r="F31" s="49">
        <f>AVERAGE('20.08 KAPEKA-MATUGA'!F31,'21.08 KAPEKA-MATUGA'!F31,'22.08 KAPEKA-MATUGA'!F31,'23.08 KAPEKA-MATUGA'!F31,'24.08 KAPEKA-MATUGA-24h'!F31,'25.08 KAPEEKA-MATUGA-24h'!F31,'26.08 KAPEKA-MATUGA'!F31)</f>
        <v>1.4285714285714286</v>
      </c>
      <c r="G31" s="49">
        <f>AVERAGE('20.08 KAPEKA-MATUGA'!G31,'21.08 KAPEKA-MATUGA'!G31,'22.08 KAPEKA-MATUGA'!G31,'23.08 KAPEKA-MATUGA'!G31,'24.08 KAPEKA-MATUGA-24h'!G31,'25.08 KAPEEKA-MATUGA-24h'!G31,'26.08 KAPEKA-MATUGA'!G31)</f>
        <v>0</v>
      </c>
      <c r="H31" s="49">
        <f>AVERAGE('20.08 KAPEKA-MATUGA'!H31,'21.08 KAPEKA-MATUGA'!H31,'22.08 KAPEKA-MATUGA'!H31,'23.08 KAPEKA-MATUGA'!H31,'24.08 KAPEKA-MATUGA-24h'!H31,'25.08 KAPEEKA-MATUGA-24h'!H31,'26.08 KAPEKA-MATUGA'!H31)</f>
        <v>0</v>
      </c>
      <c r="I31" s="49">
        <f>AVERAGE('20.08 KAPEKA-MATUGA'!I31,'21.08 KAPEKA-MATUGA'!I31,'22.08 KAPEKA-MATUGA'!I31,'23.08 KAPEKA-MATUGA'!I31,'24.08 KAPEKA-MATUGA-24h'!I31,'25.08 KAPEEKA-MATUGA-24h'!I31,'26.08 KAPEKA-MATUGA'!I31)</f>
        <v>3.5714285714285716</v>
      </c>
      <c r="J31" s="49">
        <f>AVERAGE('20.08 KAPEKA-MATUGA'!J31,'21.08 KAPEKA-MATUGA'!J31,'22.08 KAPEKA-MATUGA'!J31,'23.08 KAPEKA-MATUGA'!J31,'24.08 KAPEKA-MATUGA-24h'!J31,'25.08 KAPEEKA-MATUGA-24h'!J31,'26.08 KAPEKA-MATUGA'!J31)</f>
        <v>0.2857142857142857</v>
      </c>
      <c r="K31" s="49">
        <f>AVERAGE('20.08 KAPEKA-MATUGA'!K31,'21.08 KAPEKA-MATUGA'!K31,'22.08 KAPEKA-MATUGA'!K31,'23.08 KAPEKA-MATUGA'!K31,'24.08 KAPEKA-MATUGA-24h'!K31,'25.08 KAPEEKA-MATUGA-24h'!K31,'26.08 KAPEKA-MATUGA'!K31)</f>
        <v>0.14285714285714285</v>
      </c>
      <c r="L31" s="49">
        <f>AVERAGE('20.08 KAPEKA-MATUGA'!L31,'21.08 KAPEKA-MATUGA'!L31,'22.08 KAPEKA-MATUGA'!L31,'23.08 KAPEKA-MATUGA'!L31,'24.08 KAPEKA-MATUGA-24h'!L31,'25.08 KAPEEKA-MATUGA-24h'!L31,'26.08 KAPEKA-MATUGA'!L31)</f>
        <v>0.14285714285714285</v>
      </c>
      <c r="M31" s="49">
        <f>AVERAGE('20.08 KAPEKA-MATUGA'!M31,'21.08 KAPEKA-MATUGA'!M31,'22.08 KAPEKA-MATUGA'!M31,'23.08 KAPEKA-MATUGA'!M31,'24.08 KAPEKA-MATUGA-24h'!M31,'25.08 KAPEEKA-MATUGA-24h'!M31,'26.08 KAPEKA-MATUGA'!M31)</f>
        <v>21.857142857142858</v>
      </c>
      <c r="N31" s="49">
        <f>AVERAGE('20.08 KAPEKA-MATUGA'!N31,'21.08 KAPEKA-MATUGA'!N31,'22.08 KAPEKA-MATUGA'!N31,'23.08 KAPEKA-MATUGA'!N31,'24.08 KAPEKA-MATUGA-24h'!N31,'25.08 KAPEEKA-MATUGA-24h'!N31,'26.08 KAPEKA-MATUGA'!N31)</f>
        <v>0.14285714285714285</v>
      </c>
      <c r="O31" s="15">
        <f t="shared" si="0"/>
        <v>11.857142857142856</v>
      </c>
      <c r="P31" s="15">
        <f t="shared" si="1"/>
        <v>33.714285714285715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AVERAGE('20.08 KAPEKA-MATUGA'!C32,'21.08 KAPEKA-MATUGA'!C32,'22.08 KAPEKA-MATUGA'!C32,'23.08 KAPEKA-MATUGA'!C32,'24.08 KAPEKA-MATUGA-24h'!C32,'25.08 KAPEEKA-MATUGA-24h'!C32,'26.08 KAPEKA-MATUGA'!C32)</f>
        <v>1.8571428571428572</v>
      </c>
      <c r="D32" s="49">
        <f>0.4*(AVERAGE('20.08 KAPEKA-MATUGA'!E32,'21.08 KAPEKA-MATUGA'!E32,'22.08 KAPEKA-MATUGA'!E32,'23.08 KAPEKA-MATUGA'!E32,'24.08 KAPEKA-MATUGA-24h'!E32,'25.08 KAPEEKA-MATUGA-24h'!E32,'26.08 KAPEKA-MATUGA'!E32))</f>
        <v>0.62857142857142856</v>
      </c>
      <c r="E32" s="49">
        <f>0.6*(AVERAGE('20.08 KAPEKA-MATUGA'!E32,'21.08 KAPEKA-MATUGA'!E32,'22.08 KAPEKA-MATUGA'!E32,'23.08 KAPEKA-MATUGA'!E32,'24.08 KAPEKA-MATUGA-24h'!E32,'25.08 KAPEEKA-MATUGA-24h'!E32,'26.08 KAPEKA-MATUGA'!E32))</f>
        <v>0.94285714285714284</v>
      </c>
      <c r="F32" s="49">
        <f>AVERAGE('20.08 KAPEKA-MATUGA'!F32,'21.08 KAPEKA-MATUGA'!F32,'22.08 KAPEKA-MATUGA'!F32,'23.08 KAPEKA-MATUGA'!F32,'24.08 KAPEKA-MATUGA-24h'!F32,'25.08 KAPEEKA-MATUGA-24h'!F32,'26.08 KAPEKA-MATUGA'!F32)</f>
        <v>1.4285714285714286</v>
      </c>
      <c r="G32" s="49">
        <f>AVERAGE('20.08 KAPEKA-MATUGA'!G32,'21.08 KAPEKA-MATUGA'!G32,'22.08 KAPEKA-MATUGA'!G32,'23.08 KAPEKA-MATUGA'!G32,'24.08 KAPEKA-MATUGA-24h'!G32,'25.08 KAPEEKA-MATUGA-24h'!G32,'26.08 KAPEKA-MATUGA'!G32)</f>
        <v>0</v>
      </c>
      <c r="H32" s="49">
        <f>AVERAGE('20.08 KAPEKA-MATUGA'!H32,'21.08 KAPEKA-MATUGA'!H32,'22.08 KAPEKA-MATUGA'!H32,'23.08 KAPEKA-MATUGA'!H32,'24.08 KAPEKA-MATUGA-24h'!H32,'25.08 KAPEEKA-MATUGA-24h'!H32,'26.08 KAPEKA-MATUGA'!H32)</f>
        <v>0</v>
      </c>
      <c r="I32" s="49">
        <f>AVERAGE('20.08 KAPEKA-MATUGA'!I32,'21.08 KAPEKA-MATUGA'!I32,'22.08 KAPEKA-MATUGA'!I32,'23.08 KAPEKA-MATUGA'!I32,'24.08 KAPEKA-MATUGA-24h'!I32,'25.08 KAPEEKA-MATUGA-24h'!I32,'26.08 KAPEKA-MATUGA'!I32)</f>
        <v>3.5714285714285716</v>
      </c>
      <c r="J32" s="49">
        <f>AVERAGE('20.08 KAPEKA-MATUGA'!J32,'21.08 KAPEKA-MATUGA'!J32,'22.08 KAPEKA-MATUGA'!J32,'23.08 KAPEKA-MATUGA'!J32,'24.08 KAPEKA-MATUGA-24h'!J32,'25.08 KAPEEKA-MATUGA-24h'!J32,'26.08 KAPEKA-MATUGA'!J32)</f>
        <v>0.5714285714285714</v>
      </c>
      <c r="K32" s="49">
        <f>AVERAGE('20.08 KAPEKA-MATUGA'!K32,'21.08 KAPEKA-MATUGA'!K32,'22.08 KAPEKA-MATUGA'!K32,'23.08 KAPEKA-MATUGA'!K32,'24.08 KAPEKA-MATUGA-24h'!K32,'25.08 KAPEEKA-MATUGA-24h'!K32,'26.08 KAPEKA-MATUGA'!K32)</f>
        <v>0.42857142857142855</v>
      </c>
      <c r="L32" s="49">
        <f>AVERAGE('20.08 KAPEKA-MATUGA'!L32,'21.08 KAPEKA-MATUGA'!L32,'22.08 KAPEKA-MATUGA'!L32,'23.08 KAPEKA-MATUGA'!L32,'24.08 KAPEKA-MATUGA-24h'!L32,'25.08 KAPEEKA-MATUGA-24h'!L32,'26.08 KAPEKA-MATUGA'!L32)</f>
        <v>0.14285714285714285</v>
      </c>
      <c r="M32" s="49">
        <f>AVERAGE('20.08 KAPEKA-MATUGA'!M32,'21.08 KAPEKA-MATUGA'!M32,'22.08 KAPEKA-MATUGA'!M32,'23.08 KAPEKA-MATUGA'!M32,'24.08 KAPEKA-MATUGA-24h'!M32,'25.08 KAPEEKA-MATUGA-24h'!M32,'26.08 KAPEKA-MATUGA'!M32)</f>
        <v>22.857142857142858</v>
      </c>
      <c r="N32" s="49">
        <f>AVERAGE('20.08 KAPEKA-MATUGA'!N32,'21.08 KAPEKA-MATUGA'!N32,'22.08 KAPEKA-MATUGA'!N32,'23.08 KAPEKA-MATUGA'!N32,'24.08 KAPEKA-MATUGA-24h'!N32,'25.08 KAPEEKA-MATUGA-24h'!N32,'26.08 KAPEKA-MATUGA'!N32)</f>
        <v>0</v>
      </c>
      <c r="O32" s="15">
        <f t="shared" si="0"/>
        <v>9.5714285714285712</v>
      </c>
      <c r="P32" s="15">
        <f t="shared" si="1"/>
        <v>32.428571428571431</v>
      </c>
      <c r="R32" s="1" t="s">
        <v>156</v>
      </c>
      <c r="S32" s="34">
        <f>SUM(C98:C101)</f>
        <v>2</v>
      </c>
      <c r="T32" s="34">
        <f t="shared" ref="T32:AF32" si="24">SUM(D98:D101)</f>
        <v>1.2000000000000002</v>
      </c>
      <c r="U32" s="34">
        <f t="shared" si="24"/>
        <v>1.7999999999999998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6</v>
      </c>
      <c r="AF32" s="31">
        <f t="shared" si="24"/>
        <v>13</v>
      </c>
    </row>
    <row r="33" spans="2:32" ht="23.1" customHeight="1" x14ac:dyDescent="0.25">
      <c r="B33" s="23" t="s">
        <v>60</v>
      </c>
      <c r="C33" s="49">
        <f>AVERAGE('20.08 KAPEKA-MATUGA'!C33,'21.08 KAPEKA-MATUGA'!C33,'22.08 KAPEKA-MATUGA'!C33,'23.08 KAPEKA-MATUGA'!C33,'24.08 KAPEKA-MATUGA-24h'!C33,'25.08 KAPEEKA-MATUGA-24h'!C33,'26.08 KAPEKA-MATUGA'!C33)</f>
        <v>4.2857142857142856</v>
      </c>
      <c r="D33" s="49">
        <f>0.4*(AVERAGE('20.08 KAPEKA-MATUGA'!E33,'21.08 KAPEKA-MATUGA'!E33,'22.08 KAPEKA-MATUGA'!E33,'23.08 KAPEKA-MATUGA'!E33,'24.08 KAPEKA-MATUGA-24h'!E33,'25.08 KAPEEKA-MATUGA-24h'!E33,'26.08 KAPEKA-MATUGA'!E33))</f>
        <v>1.0285714285714287</v>
      </c>
      <c r="E33" s="49">
        <f>0.6*(AVERAGE('20.08 KAPEKA-MATUGA'!E33,'21.08 KAPEKA-MATUGA'!E33,'22.08 KAPEKA-MATUGA'!E33,'23.08 KAPEKA-MATUGA'!E33,'24.08 KAPEKA-MATUGA-24h'!E33,'25.08 KAPEEKA-MATUGA-24h'!E33,'26.08 KAPEKA-MATUGA'!E33))</f>
        <v>1.5428571428571429</v>
      </c>
      <c r="F33" s="49">
        <f>AVERAGE('20.08 KAPEKA-MATUGA'!F33,'21.08 KAPEKA-MATUGA'!F33,'22.08 KAPEKA-MATUGA'!F33,'23.08 KAPEKA-MATUGA'!F33,'24.08 KAPEKA-MATUGA-24h'!F33,'25.08 KAPEEKA-MATUGA-24h'!F33,'26.08 KAPEKA-MATUGA'!F33)</f>
        <v>2</v>
      </c>
      <c r="G33" s="49">
        <f>AVERAGE('20.08 KAPEKA-MATUGA'!G33,'21.08 KAPEKA-MATUGA'!G33,'22.08 KAPEKA-MATUGA'!G33,'23.08 KAPEKA-MATUGA'!G33,'24.08 KAPEKA-MATUGA-24h'!G33,'25.08 KAPEEKA-MATUGA-24h'!G33,'26.08 KAPEKA-MATUGA'!G33)</f>
        <v>0</v>
      </c>
      <c r="H33" s="49">
        <f>AVERAGE('20.08 KAPEKA-MATUGA'!H33,'21.08 KAPEKA-MATUGA'!H33,'22.08 KAPEKA-MATUGA'!H33,'23.08 KAPEKA-MATUGA'!H33,'24.08 KAPEKA-MATUGA-24h'!H33,'25.08 KAPEEKA-MATUGA-24h'!H33,'26.08 KAPEKA-MATUGA'!H33)</f>
        <v>0</v>
      </c>
      <c r="I33" s="49">
        <f>AVERAGE('20.08 KAPEKA-MATUGA'!I33,'21.08 KAPEKA-MATUGA'!I33,'22.08 KAPEKA-MATUGA'!I33,'23.08 KAPEKA-MATUGA'!I33,'24.08 KAPEKA-MATUGA-24h'!I33,'25.08 KAPEEKA-MATUGA-24h'!I33,'26.08 KAPEKA-MATUGA'!I33)</f>
        <v>3.4285714285714284</v>
      </c>
      <c r="J33" s="49">
        <f>AVERAGE('20.08 KAPEKA-MATUGA'!J33,'21.08 KAPEKA-MATUGA'!J33,'22.08 KAPEKA-MATUGA'!J33,'23.08 KAPEKA-MATUGA'!J33,'24.08 KAPEKA-MATUGA-24h'!J33,'25.08 KAPEEKA-MATUGA-24h'!J33,'26.08 KAPEKA-MATUGA'!J33)</f>
        <v>0.2857142857142857</v>
      </c>
      <c r="K33" s="49">
        <f>AVERAGE('20.08 KAPEKA-MATUGA'!K33,'21.08 KAPEKA-MATUGA'!K33,'22.08 KAPEKA-MATUGA'!K33,'23.08 KAPEKA-MATUGA'!K33,'24.08 KAPEKA-MATUGA-24h'!K33,'25.08 KAPEEKA-MATUGA-24h'!K33,'26.08 KAPEKA-MATUGA'!K33)</f>
        <v>0.42857142857142855</v>
      </c>
      <c r="L33" s="49">
        <f>AVERAGE('20.08 KAPEKA-MATUGA'!L33,'21.08 KAPEKA-MATUGA'!L33,'22.08 KAPEKA-MATUGA'!L33,'23.08 KAPEKA-MATUGA'!L33,'24.08 KAPEKA-MATUGA-24h'!L33,'25.08 KAPEEKA-MATUGA-24h'!L33,'26.08 KAPEKA-MATUGA'!L33)</f>
        <v>0.14285714285714285</v>
      </c>
      <c r="M33" s="49">
        <f>AVERAGE('20.08 KAPEKA-MATUGA'!M33,'21.08 KAPEKA-MATUGA'!M33,'22.08 KAPEKA-MATUGA'!M33,'23.08 KAPEKA-MATUGA'!M33,'24.08 KAPEKA-MATUGA-24h'!M33,'25.08 KAPEEKA-MATUGA-24h'!M33,'26.08 KAPEKA-MATUGA'!M33)</f>
        <v>22.714285714285715</v>
      </c>
      <c r="N33" s="49">
        <f>AVERAGE('20.08 KAPEKA-MATUGA'!N33,'21.08 KAPEKA-MATUGA'!N33,'22.08 KAPEKA-MATUGA'!N33,'23.08 KAPEKA-MATUGA'!N33,'24.08 KAPEKA-MATUGA-24h'!N33,'25.08 KAPEEKA-MATUGA-24h'!N33,'26.08 KAPEKA-MATUGA'!N33)</f>
        <v>0</v>
      </c>
      <c r="O33" s="15">
        <f t="shared" si="0"/>
        <v>13.142857142857144</v>
      </c>
      <c r="P33" s="15">
        <f t="shared" si="1"/>
        <v>35.857142857142861</v>
      </c>
      <c r="R33" s="1" t="s">
        <v>157</v>
      </c>
      <c r="S33" s="34">
        <f>SUM(C102:C105)</f>
        <v>8</v>
      </c>
      <c r="T33" s="34">
        <f t="shared" ref="T33:AF33" si="25">SUM(D102:D105)</f>
        <v>3.6</v>
      </c>
      <c r="U33" s="34">
        <f t="shared" si="25"/>
        <v>3.4</v>
      </c>
      <c r="V33" s="34">
        <f t="shared" si="25"/>
        <v>4</v>
      </c>
      <c r="W33" s="34">
        <f t="shared" si="25"/>
        <v>0</v>
      </c>
      <c r="X33" s="34">
        <f t="shared" si="25"/>
        <v>1</v>
      </c>
      <c r="Y33" s="34">
        <f t="shared" si="25"/>
        <v>6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27</v>
      </c>
      <c r="AF33" s="31">
        <f t="shared" si="25"/>
        <v>58</v>
      </c>
    </row>
    <row r="34" spans="2:32" ht="23.1" customHeight="1" x14ac:dyDescent="0.25">
      <c r="B34" s="24" t="s">
        <v>61</v>
      </c>
      <c r="C34" s="49">
        <f>AVERAGE('20.08 KAPEKA-MATUGA'!C34,'21.08 KAPEKA-MATUGA'!C34,'22.08 KAPEKA-MATUGA'!C34,'23.08 KAPEKA-MATUGA'!C34,'24.08 KAPEKA-MATUGA-24h'!C34,'25.08 KAPEEKA-MATUGA-24h'!C34,'26.08 KAPEKA-MATUGA'!C34)</f>
        <v>3.2857142857142856</v>
      </c>
      <c r="D34" s="49">
        <f>0.4*(AVERAGE('20.08 KAPEKA-MATUGA'!E34,'21.08 KAPEKA-MATUGA'!E34,'22.08 KAPEKA-MATUGA'!E34,'23.08 KAPEKA-MATUGA'!E34,'24.08 KAPEKA-MATUGA-24h'!E34,'25.08 KAPEEKA-MATUGA-24h'!E34,'26.08 KAPEKA-MATUGA'!E34))</f>
        <v>1.2000000000000002</v>
      </c>
      <c r="E34" s="49">
        <f>0.6*(AVERAGE('20.08 KAPEKA-MATUGA'!E34,'21.08 KAPEKA-MATUGA'!E34,'22.08 KAPEKA-MATUGA'!E34,'23.08 KAPEKA-MATUGA'!E34,'24.08 KAPEKA-MATUGA-24h'!E34,'25.08 KAPEEKA-MATUGA-24h'!E34,'26.08 KAPEKA-MATUGA'!E34))</f>
        <v>1.7999999999999998</v>
      </c>
      <c r="F34" s="49">
        <f>AVERAGE('20.08 KAPEKA-MATUGA'!F34,'21.08 KAPEKA-MATUGA'!F34,'22.08 KAPEKA-MATUGA'!F34,'23.08 KAPEKA-MATUGA'!F34,'24.08 KAPEKA-MATUGA-24h'!F34,'25.08 KAPEEKA-MATUGA-24h'!F34,'26.08 KAPEKA-MATUGA'!F34)</f>
        <v>1.5714285714285714</v>
      </c>
      <c r="G34" s="49">
        <f>AVERAGE('20.08 KAPEKA-MATUGA'!G34,'21.08 KAPEKA-MATUGA'!G34,'22.08 KAPEKA-MATUGA'!G34,'23.08 KAPEKA-MATUGA'!G34,'24.08 KAPEKA-MATUGA-24h'!G34,'25.08 KAPEEKA-MATUGA-24h'!G34,'26.08 KAPEKA-MATUGA'!G34)</f>
        <v>0</v>
      </c>
      <c r="H34" s="49">
        <f>AVERAGE('20.08 KAPEKA-MATUGA'!H34,'21.08 KAPEKA-MATUGA'!H34,'22.08 KAPEKA-MATUGA'!H34,'23.08 KAPEKA-MATUGA'!H34,'24.08 KAPEKA-MATUGA-24h'!H34,'25.08 KAPEEKA-MATUGA-24h'!H34,'26.08 KAPEKA-MATUGA'!H34)</f>
        <v>0</v>
      </c>
      <c r="I34" s="49">
        <f>AVERAGE('20.08 KAPEKA-MATUGA'!I34,'21.08 KAPEKA-MATUGA'!I34,'22.08 KAPEKA-MATUGA'!I34,'23.08 KAPEKA-MATUGA'!I34,'24.08 KAPEKA-MATUGA-24h'!I34,'25.08 KAPEEKA-MATUGA-24h'!I34,'26.08 KAPEKA-MATUGA'!I34)</f>
        <v>2.2857142857142856</v>
      </c>
      <c r="J34" s="49">
        <f>AVERAGE('20.08 KAPEKA-MATUGA'!J34,'21.08 KAPEKA-MATUGA'!J34,'22.08 KAPEKA-MATUGA'!J34,'23.08 KAPEKA-MATUGA'!J34,'24.08 KAPEKA-MATUGA-24h'!J34,'25.08 KAPEEKA-MATUGA-24h'!J34,'26.08 KAPEKA-MATUGA'!J34)</f>
        <v>0.42857142857142855</v>
      </c>
      <c r="K34" s="49">
        <f>AVERAGE('20.08 KAPEKA-MATUGA'!K34,'21.08 KAPEKA-MATUGA'!K34,'22.08 KAPEKA-MATUGA'!K34,'23.08 KAPEKA-MATUGA'!K34,'24.08 KAPEKA-MATUGA-24h'!K34,'25.08 KAPEEKA-MATUGA-24h'!K34,'26.08 KAPEKA-MATUGA'!K34)</f>
        <v>0.5714285714285714</v>
      </c>
      <c r="L34" s="49">
        <f>AVERAGE('20.08 KAPEKA-MATUGA'!L34,'21.08 KAPEKA-MATUGA'!L34,'22.08 KAPEKA-MATUGA'!L34,'23.08 KAPEKA-MATUGA'!L34,'24.08 KAPEKA-MATUGA-24h'!L34,'25.08 KAPEEKA-MATUGA-24h'!L34,'26.08 KAPEKA-MATUGA'!L34)</f>
        <v>0.14285714285714285</v>
      </c>
      <c r="M34" s="49">
        <f>AVERAGE('20.08 KAPEKA-MATUGA'!M34,'21.08 KAPEKA-MATUGA'!M34,'22.08 KAPEKA-MATUGA'!M34,'23.08 KAPEKA-MATUGA'!M34,'24.08 KAPEKA-MATUGA-24h'!M34,'25.08 KAPEEKA-MATUGA-24h'!M34,'26.08 KAPEKA-MATUGA'!M34)</f>
        <v>21</v>
      </c>
      <c r="N34" s="49">
        <f>AVERAGE('20.08 KAPEKA-MATUGA'!N34,'21.08 KAPEKA-MATUGA'!N34,'22.08 KAPEKA-MATUGA'!N34,'23.08 KAPEKA-MATUGA'!N34,'24.08 KAPEKA-MATUGA-24h'!N34,'25.08 KAPEEKA-MATUGA-24h'!N34,'26.08 KAPEKA-MATUGA'!N34)</f>
        <v>0.14285714285714285</v>
      </c>
      <c r="O34" s="15">
        <f t="shared" si="0"/>
        <v>11.428571428571427</v>
      </c>
      <c r="P34" s="15">
        <f t="shared" si="1"/>
        <v>32.428571428571431</v>
      </c>
      <c r="R34" s="51" t="s">
        <v>90</v>
      </c>
      <c r="S34" s="52">
        <f t="shared" ref="S34:AF34" si="26">MAX(S10:S12)</f>
        <v>8.2857142857142847</v>
      </c>
      <c r="T34" s="52">
        <f t="shared" si="26"/>
        <v>3.3142857142857145</v>
      </c>
      <c r="U34" s="52">
        <f t="shared" si="26"/>
        <v>4.9714285714285715</v>
      </c>
      <c r="V34" s="52">
        <f t="shared" si="26"/>
        <v>6.4285714285714288</v>
      </c>
      <c r="W34" s="52">
        <f t="shared" si="26"/>
        <v>0.5714285714285714</v>
      </c>
      <c r="X34" s="52">
        <f t="shared" si="26"/>
        <v>0</v>
      </c>
      <c r="Y34" s="52">
        <f t="shared" si="26"/>
        <v>14.571428571428573</v>
      </c>
      <c r="Z34" s="52">
        <f t="shared" si="26"/>
        <v>1.5714285714285714</v>
      </c>
      <c r="AA34" s="52">
        <f t="shared" si="26"/>
        <v>2</v>
      </c>
      <c r="AB34" s="52">
        <f t="shared" si="26"/>
        <v>0.5714285714285714</v>
      </c>
      <c r="AC34" s="52">
        <f t="shared" si="26"/>
        <v>75.857142857142861</v>
      </c>
      <c r="AD34" s="52">
        <f t="shared" si="26"/>
        <v>0</v>
      </c>
      <c r="AE34" s="40">
        <f t="shared" si="26"/>
        <v>40</v>
      </c>
      <c r="AF34" s="40">
        <f t="shared" si="26"/>
        <v>115.85714285714285</v>
      </c>
    </row>
    <row r="35" spans="2:32" ht="23.1" customHeight="1" x14ac:dyDescent="0.25">
      <c r="B35" s="24" t="s">
        <v>62</v>
      </c>
      <c r="C35" s="49">
        <f>AVERAGE('20.08 KAPEKA-MATUGA'!C35,'21.08 KAPEKA-MATUGA'!C35,'22.08 KAPEKA-MATUGA'!C35,'23.08 KAPEKA-MATUGA'!C35,'24.08 KAPEKA-MATUGA-24h'!C35,'25.08 KAPEEKA-MATUGA-24h'!C35,'26.08 KAPEKA-MATUGA'!C35)</f>
        <v>2.2857142857142856</v>
      </c>
      <c r="D35" s="49">
        <f>0.4*(AVERAGE('20.08 KAPEKA-MATUGA'!E35,'21.08 KAPEKA-MATUGA'!E35,'22.08 KAPEKA-MATUGA'!E35,'23.08 KAPEKA-MATUGA'!E35,'24.08 KAPEKA-MATUGA-24h'!E35,'25.08 KAPEEKA-MATUGA-24h'!E35,'26.08 KAPEKA-MATUGA'!E35))</f>
        <v>0.74285714285714288</v>
      </c>
      <c r="E35" s="49">
        <f>0.6*(AVERAGE('20.08 KAPEKA-MATUGA'!E35,'21.08 KAPEKA-MATUGA'!E35,'22.08 KAPEKA-MATUGA'!E35,'23.08 KAPEKA-MATUGA'!E35,'24.08 KAPEKA-MATUGA-24h'!E35,'25.08 KAPEEKA-MATUGA-24h'!E35,'26.08 KAPEKA-MATUGA'!E35))</f>
        <v>1.1142857142857143</v>
      </c>
      <c r="F35" s="49">
        <f>AVERAGE('20.08 KAPEKA-MATUGA'!F35,'21.08 KAPEKA-MATUGA'!F35,'22.08 KAPEKA-MATUGA'!F35,'23.08 KAPEKA-MATUGA'!F35,'24.08 KAPEKA-MATUGA-24h'!F35,'25.08 KAPEEKA-MATUGA-24h'!F35,'26.08 KAPEKA-MATUGA'!F35)</f>
        <v>1.4285714285714286</v>
      </c>
      <c r="G35" s="49">
        <f>AVERAGE('20.08 KAPEKA-MATUGA'!G35,'21.08 KAPEKA-MATUGA'!G35,'22.08 KAPEKA-MATUGA'!G35,'23.08 KAPEKA-MATUGA'!G35,'24.08 KAPEKA-MATUGA-24h'!G35,'25.08 KAPEEKA-MATUGA-24h'!G35,'26.08 KAPEKA-MATUGA'!G35)</f>
        <v>0</v>
      </c>
      <c r="H35" s="49">
        <f>AVERAGE('20.08 KAPEKA-MATUGA'!H35,'21.08 KAPEKA-MATUGA'!H35,'22.08 KAPEKA-MATUGA'!H35,'23.08 KAPEKA-MATUGA'!H35,'24.08 KAPEKA-MATUGA-24h'!H35,'25.08 KAPEEKA-MATUGA-24h'!H35,'26.08 KAPEKA-MATUGA'!H35)</f>
        <v>0</v>
      </c>
      <c r="I35" s="49">
        <f>AVERAGE('20.08 KAPEKA-MATUGA'!I35,'21.08 KAPEKA-MATUGA'!I35,'22.08 KAPEKA-MATUGA'!I35,'23.08 KAPEKA-MATUGA'!I35,'24.08 KAPEKA-MATUGA-24h'!I35,'25.08 KAPEEKA-MATUGA-24h'!I35,'26.08 KAPEKA-MATUGA'!I35)</f>
        <v>2.4285714285714284</v>
      </c>
      <c r="J35" s="49">
        <f>AVERAGE('20.08 KAPEKA-MATUGA'!J35,'21.08 KAPEKA-MATUGA'!J35,'22.08 KAPEKA-MATUGA'!J35,'23.08 KAPEKA-MATUGA'!J35,'24.08 KAPEKA-MATUGA-24h'!J35,'25.08 KAPEEKA-MATUGA-24h'!J35,'26.08 KAPEKA-MATUGA'!J35)</f>
        <v>0.7142857142857143</v>
      </c>
      <c r="K35" s="49">
        <f>AVERAGE('20.08 KAPEKA-MATUGA'!K35,'21.08 KAPEKA-MATUGA'!K35,'22.08 KAPEKA-MATUGA'!K35,'23.08 KAPEKA-MATUGA'!K35,'24.08 KAPEKA-MATUGA-24h'!K35,'25.08 KAPEEKA-MATUGA-24h'!K35,'26.08 KAPEKA-MATUGA'!K35)</f>
        <v>0.2857142857142857</v>
      </c>
      <c r="L35" s="49">
        <f>AVERAGE('20.08 KAPEKA-MATUGA'!L35,'21.08 KAPEKA-MATUGA'!L35,'22.08 KAPEKA-MATUGA'!L35,'23.08 KAPEKA-MATUGA'!L35,'24.08 KAPEKA-MATUGA-24h'!L35,'25.08 KAPEEKA-MATUGA-24h'!L35,'26.08 KAPEKA-MATUGA'!L35)</f>
        <v>0.14285714285714285</v>
      </c>
      <c r="M35" s="49">
        <f>AVERAGE('20.08 KAPEKA-MATUGA'!M35,'21.08 KAPEKA-MATUGA'!M35,'22.08 KAPEKA-MATUGA'!M35,'23.08 KAPEKA-MATUGA'!M35,'24.08 KAPEKA-MATUGA-24h'!M35,'25.08 KAPEEKA-MATUGA-24h'!M35,'26.08 KAPEKA-MATUGA'!M35)</f>
        <v>19.428571428571427</v>
      </c>
      <c r="N35" s="49">
        <f>AVERAGE('20.08 KAPEKA-MATUGA'!N35,'21.08 KAPEKA-MATUGA'!N35,'22.08 KAPEKA-MATUGA'!N35,'23.08 KAPEKA-MATUGA'!N35,'24.08 KAPEKA-MATUGA-24h'!N35,'25.08 KAPEEKA-MATUGA-24h'!N35,'26.08 KAPEKA-MATUGA'!N35)</f>
        <v>0.14285714285714285</v>
      </c>
      <c r="O35" s="15">
        <f t="shared" si="0"/>
        <v>9.2857142857142847</v>
      </c>
      <c r="P35" s="15">
        <f t="shared" si="1"/>
        <v>28.714285714285712</v>
      </c>
      <c r="R35" s="51" t="s">
        <v>91</v>
      </c>
      <c r="S35" s="52">
        <f t="shared" ref="S35:AF35" si="27">MAX(S13:S18)</f>
        <v>11.142857142857142</v>
      </c>
      <c r="T35" s="52">
        <f t="shared" si="27"/>
        <v>5.0285714285714285</v>
      </c>
      <c r="U35" s="52">
        <f t="shared" si="27"/>
        <v>7.5428571428571427</v>
      </c>
      <c r="V35" s="52">
        <f t="shared" si="27"/>
        <v>6.4285714285714288</v>
      </c>
      <c r="W35" s="52">
        <f t="shared" si="27"/>
        <v>0.42857142857142855</v>
      </c>
      <c r="X35" s="52">
        <f t="shared" si="27"/>
        <v>0</v>
      </c>
      <c r="Y35" s="52">
        <f t="shared" si="27"/>
        <v>12.857142857142858</v>
      </c>
      <c r="Z35" s="52">
        <f t="shared" si="27"/>
        <v>2.2857142857142856</v>
      </c>
      <c r="AA35" s="52">
        <f t="shared" si="27"/>
        <v>2.1428571428571428</v>
      </c>
      <c r="AB35" s="52">
        <f t="shared" si="27"/>
        <v>0.5714285714285714</v>
      </c>
      <c r="AC35" s="52">
        <f t="shared" si="27"/>
        <v>88.714285714285722</v>
      </c>
      <c r="AD35" s="52">
        <f t="shared" si="27"/>
        <v>0.2857142857142857</v>
      </c>
      <c r="AE35" s="40">
        <f t="shared" si="27"/>
        <v>45.571428571428569</v>
      </c>
      <c r="AF35" s="40">
        <f t="shared" si="27"/>
        <v>134.28571428571428</v>
      </c>
    </row>
    <row r="36" spans="2:32" ht="23.1" customHeight="1" x14ac:dyDescent="0.25">
      <c r="B36" s="24" t="s">
        <v>63</v>
      </c>
      <c r="C36" s="49">
        <f>AVERAGE('20.08 KAPEKA-MATUGA'!C36,'21.08 KAPEKA-MATUGA'!C36,'22.08 KAPEKA-MATUGA'!C36,'23.08 KAPEKA-MATUGA'!C36,'24.08 KAPEKA-MATUGA-24h'!C36,'25.08 KAPEEKA-MATUGA-24h'!C36,'26.08 KAPEKA-MATUGA'!C36)</f>
        <v>2.7142857142857144</v>
      </c>
      <c r="D36" s="49">
        <f>0.4*(AVERAGE('20.08 KAPEKA-MATUGA'!E36,'21.08 KAPEKA-MATUGA'!E36,'22.08 KAPEKA-MATUGA'!E36,'23.08 KAPEKA-MATUGA'!E36,'24.08 KAPEKA-MATUGA-24h'!E36,'25.08 KAPEEKA-MATUGA-24h'!E36,'26.08 KAPEKA-MATUGA'!E36))</f>
        <v>0.97142857142857142</v>
      </c>
      <c r="E36" s="49">
        <f>0.6*(AVERAGE('20.08 KAPEKA-MATUGA'!E36,'21.08 KAPEKA-MATUGA'!E36,'22.08 KAPEKA-MATUGA'!E36,'23.08 KAPEKA-MATUGA'!E36,'24.08 KAPEKA-MATUGA-24h'!E36,'25.08 KAPEEKA-MATUGA-24h'!E36,'26.08 KAPEKA-MATUGA'!E36))</f>
        <v>1.4571428571428571</v>
      </c>
      <c r="F36" s="49">
        <f>AVERAGE('20.08 KAPEKA-MATUGA'!F36,'21.08 KAPEKA-MATUGA'!F36,'22.08 KAPEKA-MATUGA'!F36,'23.08 KAPEKA-MATUGA'!F36,'24.08 KAPEKA-MATUGA-24h'!F36,'25.08 KAPEEKA-MATUGA-24h'!F36,'26.08 KAPEKA-MATUGA'!F36)</f>
        <v>1.2857142857142858</v>
      </c>
      <c r="G36" s="49">
        <f>AVERAGE('20.08 KAPEKA-MATUGA'!G36,'21.08 KAPEKA-MATUGA'!G36,'22.08 KAPEKA-MATUGA'!G36,'23.08 KAPEKA-MATUGA'!G36,'24.08 KAPEKA-MATUGA-24h'!G36,'25.08 KAPEEKA-MATUGA-24h'!G36,'26.08 KAPEKA-MATUGA'!G36)</f>
        <v>0</v>
      </c>
      <c r="H36" s="49">
        <f>AVERAGE('20.08 KAPEKA-MATUGA'!H36,'21.08 KAPEKA-MATUGA'!H36,'22.08 KAPEKA-MATUGA'!H36,'23.08 KAPEKA-MATUGA'!H36,'24.08 KAPEKA-MATUGA-24h'!H36,'25.08 KAPEEKA-MATUGA-24h'!H36,'26.08 KAPEKA-MATUGA'!H36)</f>
        <v>0</v>
      </c>
      <c r="I36" s="49">
        <f>AVERAGE('20.08 KAPEKA-MATUGA'!I36,'21.08 KAPEKA-MATUGA'!I36,'22.08 KAPEKA-MATUGA'!I36,'23.08 KAPEKA-MATUGA'!I36,'24.08 KAPEKA-MATUGA-24h'!I36,'25.08 KAPEEKA-MATUGA-24h'!I36,'26.08 KAPEKA-MATUGA'!I36)</f>
        <v>2.7142857142857144</v>
      </c>
      <c r="J36" s="49">
        <f>AVERAGE('20.08 KAPEKA-MATUGA'!J36,'21.08 KAPEKA-MATUGA'!J36,'22.08 KAPEKA-MATUGA'!J36,'23.08 KAPEKA-MATUGA'!J36,'24.08 KAPEKA-MATUGA-24h'!J36,'25.08 KAPEEKA-MATUGA-24h'!J36,'26.08 KAPEKA-MATUGA'!J36)</f>
        <v>0.14285714285714285</v>
      </c>
      <c r="K36" s="49">
        <f>AVERAGE('20.08 KAPEKA-MATUGA'!K36,'21.08 KAPEKA-MATUGA'!K36,'22.08 KAPEKA-MATUGA'!K36,'23.08 KAPEKA-MATUGA'!K36,'24.08 KAPEKA-MATUGA-24h'!K36,'25.08 KAPEEKA-MATUGA-24h'!K36,'26.08 KAPEKA-MATUGA'!K36)</f>
        <v>0.2857142857142857</v>
      </c>
      <c r="L36" s="49">
        <f>AVERAGE('20.08 KAPEKA-MATUGA'!L36,'21.08 KAPEKA-MATUGA'!L36,'22.08 KAPEKA-MATUGA'!L36,'23.08 KAPEKA-MATUGA'!L36,'24.08 KAPEKA-MATUGA-24h'!L36,'25.08 KAPEEKA-MATUGA-24h'!L36,'26.08 KAPEKA-MATUGA'!L36)</f>
        <v>0.14285714285714285</v>
      </c>
      <c r="M36" s="49">
        <f>AVERAGE('20.08 KAPEKA-MATUGA'!M36,'21.08 KAPEKA-MATUGA'!M36,'22.08 KAPEKA-MATUGA'!M36,'23.08 KAPEKA-MATUGA'!M36,'24.08 KAPEKA-MATUGA-24h'!M36,'25.08 KAPEEKA-MATUGA-24h'!M36,'26.08 KAPEKA-MATUGA'!M36)</f>
        <v>21</v>
      </c>
      <c r="N36" s="49">
        <f>AVERAGE('20.08 KAPEKA-MATUGA'!N36,'21.08 KAPEKA-MATUGA'!N36,'22.08 KAPEKA-MATUGA'!N36,'23.08 KAPEKA-MATUGA'!N36,'24.08 KAPEKA-MATUGA-24h'!N36,'25.08 KAPEEKA-MATUGA-24h'!N36,'26.08 KAPEKA-MATUGA'!N36)</f>
        <v>0</v>
      </c>
      <c r="O36" s="15">
        <f t="shared" si="0"/>
        <v>9.7142857142857135</v>
      </c>
      <c r="P36" s="15">
        <f t="shared" si="1"/>
        <v>30.714285714285715</v>
      </c>
      <c r="R36" s="51" t="s">
        <v>92</v>
      </c>
      <c r="S36" s="52">
        <f t="shared" ref="S36:AF36" si="28">MAX(S19:S21)</f>
        <v>8.1428571428571423</v>
      </c>
      <c r="T36" s="52">
        <f t="shared" si="28"/>
        <v>3.9428571428571431</v>
      </c>
      <c r="U36" s="52">
        <f t="shared" si="28"/>
        <v>5.9142857142857146</v>
      </c>
      <c r="V36" s="52">
        <f t="shared" si="28"/>
        <v>7.1428571428571432</v>
      </c>
      <c r="W36" s="52">
        <f t="shared" si="28"/>
        <v>0.14285714285714285</v>
      </c>
      <c r="X36" s="52">
        <f t="shared" si="28"/>
        <v>0.14285714285714285</v>
      </c>
      <c r="Y36" s="52">
        <f t="shared" si="28"/>
        <v>12.428571428571431</v>
      </c>
      <c r="Z36" s="52">
        <f t="shared" si="28"/>
        <v>2.5714285714285712</v>
      </c>
      <c r="AA36" s="52">
        <f t="shared" si="28"/>
        <v>2.4285714285714288</v>
      </c>
      <c r="AB36" s="52">
        <f t="shared" si="28"/>
        <v>0.5714285714285714</v>
      </c>
      <c r="AC36" s="52">
        <f t="shared" si="28"/>
        <v>94.571428571428584</v>
      </c>
      <c r="AD36" s="52">
        <f t="shared" si="28"/>
        <v>0</v>
      </c>
      <c r="AE36" s="40">
        <f t="shared" si="28"/>
        <v>39.571428571428569</v>
      </c>
      <c r="AF36" s="40">
        <f t="shared" si="28"/>
        <v>129.28571428571428</v>
      </c>
    </row>
    <row r="37" spans="2:32" ht="23.1" customHeight="1" x14ac:dyDescent="0.25">
      <c r="B37" s="23" t="s">
        <v>64</v>
      </c>
      <c r="C37" s="49">
        <f>AVERAGE('20.08 KAPEKA-MATUGA'!C37,'21.08 KAPEKA-MATUGA'!C37,'22.08 KAPEKA-MATUGA'!C37,'23.08 KAPEKA-MATUGA'!C37,'24.08 KAPEKA-MATUGA-24h'!C37,'25.08 KAPEEKA-MATUGA-24h'!C37,'26.08 KAPEKA-MATUGA'!C37)</f>
        <v>2.4285714285714284</v>
      </c>
      <c r="D37" s="49">
        <f>0.4*(AVERAGE('20.08 KAPEKA-MATUGA'!E37,'21.08 KAPEKA-MATUGA'!E37,'22.08 KAPEKA-MATUGA'!E37,'23.08 KAPEKA-MATUGA'!E37,'24.08 KAPEKA-MATUGA-24h'!E37,'25.08 KAPEEKA-MATUGA-24h'!E37,'26.08 KAPEKA-MATUGA'!E37))</f>
        <v>1.0857142857142859</v>
      </c>
      <c r="E37" s="49">
        <f>0.6*(AVERAGE('20.08 KAPEKA-MATUGA'!E37,'21.08 KAPEKA-MATUGA'!E37,'22.08 KAPEKA-MATUGA'!E37,'23.08 KAPEKA-MATUGA'!E37,'24.08 KAPEKA-MATUGA-24h'!E37,'25.08 KAPEEKA-MATUGA-24h'!E37,'26.08 KAPEKA-MATUGA'!E37))</f>
        <v>1.6285714285714286</v>
      </c>
      <c r="F37" s="49">
        <f>AVERAGE('20.08 KAPEKA-MATUGA'!F37,'21.08 KAPEKA-MATUGA'!F37,'22.08 KAPEKA-MATUGA'!F37,'23.08 KAPEKA-MATUGA'!F37,'24.08 KAPEKA-MATUGA-24h'!F37,'25.08 KAPEEKA-MATUGA-24h'!F37,'26.08 KAPEKA-MATUGA'!F37)</f>
        <v>1.8571428571428572</v>
      </c>
      <c r="G37" s="49">
        <f>AVERAGE('20.08 KAPEKA-MATUGA'!G37,'21.08 KAPEKA-MATUGA'!G37,'22.08 KAPEKA-MATUGA'!G37,'23.08 KAPEKA-MATUGA'!G37,'24.08 KAPEKA-MATUGA-24h'!G37,'25.08 KAPEEKA-MATUGA-24h'!G37,'26.08 KAPEKA-MATUGA'!G37)</f>
        <v>0</v>
      </c>
      <c r="H37" s="49">
        <f>AVERAGE('20.08 KAPEKA-MATUGA'!H37,'21.08 KAPEKA-MATUGA'!H37,'22.08 KAPEKA-MATUGA'!H37,'23.08 KAPEKA-MATUGA'!H37,'24.08 KAPEKA-MATUGA-24h'!H37,'25.08 KAPEEKA-MATUGA-24h'!H37,'26.08 KAPEKA-MATUGA'!H37)</f>
        <v>0</v>
      </c>
      <c r="I37" s="49">
        <f>AVERAGE('20.08 KAPEKA-MATUGA'!I37,'21.08 KAPEKA-MATUGA'!I37,'22.08 KAPEKA-MATUGA'!I37,'23.08 KAPEKA-MATUGA'!I37,'24.08 KAPEKA-MATUGA-24h'!I37,'25.08 KAPEEKA-MATUGA-24h'!I37,'26.08 KAPEKA-MATUGA'!I37)</f>
        <v>3.4285714285714284</v>
      </c>
      <c r="J37" s="49">
        <f>AVERAGE('20.08 KAPEKA-MATUGA'!J37,'21.08 KAPEKA-MATUGA'!J37,'22.08 KAPEKA-MATUGA'!J37,'23.08 KAPEKA-MATUGA'!J37,'24.08 KAPEKA-MATUGA-24h'!J37,'25.08 KAPEEKA-MATUGA-24h'!J37,'26.08 KAPEKA-MATUGA'!J37)</f>
        <v>0.42857142857142855</v>
      </c>
      <c r="K37" s="49">
        <f>AVERAGE('20.08 KAPEKA-MATUGA'!K37,'21.08 KAPEKA-MATUGA'!K37,'22.08 KAPEKA-MATUGA'!K37,'23.08 KAPEKA-MATUGA'!K37,'24.08 KAPEKA-MATUGA-24h'!K37,'25.08 KAPEEKA-MATUGA-24h'!K37,'26.08 KAPEKA-MATUGA'!K37)</f>
        <v>0.7142857142857143</v>
      </c>
      <c r="L37" s="49">
        <f>AVERAGE('20.08 KAPEKA-MATUGA'!L37,'21.08 KAPEKA-MATUGA'!L37,'22.08 KAPEKA-MATUGA'!L37,'23.08 KAPEKA-MATUGA'!L37,'24.08 KAPEKA-MATUGA-24h'!L37,'25.08 KAPEEKA-MATUGA-24h'!L37,'26.08 KAPEKA-MATUGA'!L37)</f>
        <v>0.14285714285714285</v>
      </c>
      <c r="M37" s="49">
        <f>AVERAGE('20.08 KAPEKA-MATUGA'!M37,'21.08 KAPEKA-MATUGA'!M37,'22.08 KAPEKA-MATUGA'!M37,'23.08 KAPEKA-MATUGA'!M37,'24.08 KAPEKA-MATUGA-24h'!M37,'25.08 KAPEEKA-MATUGA-24h'!M37,'26.08 KAPEKA-MATUGA'!M37)</f>
        <v>23</v>
      </c>
      <c r="N37" s="49">
        <f>AVERAGE('20.08 KAPEKA-MATUGA'!N37,'21.08 KAPEKA-MATUGA'!N37,'22.08 KAPEKA-MATUGA'!N37,'23.08 KAPEKA-MATUGA'!N37,'24.08 KAPEKA-MATUGA-24h'!N37,'25.08 KAPEEKA-MATUGA-24h'!N37,'26.08 KAPEKA-MATUGA'!N37)</f>
        <v>0</v>
      </c>
      <c r="O37" s="15">
        <f t="shared" si="0"/>
        <v>11.714285714285714</v>
      </c>
      <c r="P37" s="15">
        <f t="shared" si="1"/>
        <v>34.714285714285715</v>
      </c>
      <c r="R37" s="37" t="s">
        <v>85</v>
      </c>
      <c r="S37" s="53">
        <f t="shared" ref="S37:AF37" si="29">SUM(S10:S12)</f>
        <v>19</v>
      </c>
      <c r="T37" s="54">
        <f t="shared" si="29"/>
        <v>8.1714285714285726</v>
      </c>
      <c r="U37" s="54">
        <f t="shared" si="29"/>
        <v>12.257142857142856</v>
      </c>
      <c r="V37" s="54">
        <f t="shared" si="29"/>
        <v>16.142857142857146</v>
      </c>
      <c r="W37" s="54">
        <f t="shared" si="29"/>
        <v>1.1428571428571428</v>
      </c>
      <c r="X37" s="54">
        <f t="shared" si="29"/>
        <v>0</v>
      </c>
      <c r="Y37" s="54">
        <f t="shared" si="29"/>
        <v>39.142857142857139</v>
      </c>
      <c r="Z37" s="54">
        <f t="shared" si="29"/>
        <v>2.7142857142857144</v>
      </c>
      <c r="AA37" s="54">
        <f t="shared" si="29"/>
        <v>4.4285714285714288</v>
      </c>
      <c r="AB37" s="54">
        <f t="shared" si="29"/>
        <v>1.7142857142857142</v>
      </c>
      <c r="AC37" s="54">
        <f t="shared" si="29"/>
        <v>223.14285714285714</v>
      </c>
      <c r="AD37" s="54">
        <f t="shared" si="29"/>
        <v>0</v>
      </c>
      <c r="AE37" s="55">
        <f t="shared" si="29"/>
        <v>104.71428571428571</v>
      </c>
      <c r="AF37" s="55">
        <f t="shared" si="29"/>
        <v>327.85714285714283</v>
      </c>
    </row>
    <row r="38" spans="2:32" ht="23.1" customHeight="1" x14ac:dyDescent="0.25">
      <c r="B38" s="24" t="s">
        <v>65</v>
      </c>
      <c r="C38" s="49">
        <f>AVERAGE('20.08 KAPEKA-MATUGA'!C38,'21.08 KAPEKA-MATUGA'!C38,'22.08 KAPEKA-MATUGA'!C38,'23.08 KAPEKA-MATUGA'!C38,'24.08 KAPEKA-MATUGA-24h'!C38,'25.08 KAPEEKA-MATUGA-24h'!C38,'26.08 KAPEKA-MATUGA'!C38)</f>
        <v>2.8571428571428572</v>
      </c>
      <c r="D38" s="49">
        <f>0.4*(AVERAGE('20.08 KAPEKA-MATUGA'!E38,'21.08 KAPEKA-MATUGA'!E38,'22.08 KAPEKA-MATUGA'!E38,'23.08 KAPEKA-MATUGA'!E38,'24.08 KAPEKA-MATUGA-24h'!E38,'25.08 KAPEEKA-MATUGA-24h'!E38,'26.08 KAPEKA-MATUGA'!E38))</f>
        <v>1.142857142857143</v>
      </c>
      <c r="E38" s="49">
        <f>0.6*(AVERAGE('20.08 KAPEKA-MATUGA'!E38,'21.08 KAPEKA-MATUGA'!E38,'22.08 KAPEKA-MATUGA'!E38,'23.08 KAPEKA-MATUGA'!E38,'24.08 KAPEKA-MATUGA-24h'!E38,'25.08 KAPEEKA-MATUGA-24h'!E38,'26.08 KAPEKA-MATUGA'!E38))</f>
        <v>1.7142857142857142</v>
      </c>
      <c r="F38" s="49">
        <f>AVERAGE('20.08 KAPEKA-MATUGA'!F38,'21.08 KAPEKA-MATUGA'!F38,'22.08 KAPEKA-MATUGA'!F38,'23.08 KAPEKA-MATUGA'!F38,'24.08 KAPEKA-MATUGA-24h'!F38,'25.08 KAPEEKA-MATUGA-24h'!F38,'26.08 KAPEKA-MATUGA'!F38)</f>
        <v>1.7142857142857142</v>
      </c>
      <c r="G38" s="49">
        <f>AVERAGE('20.08 KAPEKA-MATUGA'!G38,'21.08 KAPEKA-MATUGA'!G38,'22.08 KAPEKA-MATUGA'!G38,'23.08 KAPEKA-MATUGA'!G38,'24.08 KAPEKA-MATUGA-24h'!G38,'25.08 KAPEEKA-MATUGA-24h'!G38,'26.08 KAPEKA-MATUGA'!G38)</f>
        <v>0.14285714285714285</v>
      </c>
      <c r="H38" s="49">
        <f>AVERAGE('20.08 KAPEKA-MATUGA'!H38,'21.08 KAPEKA-MATUGA'!H38,'22.08 KAPEKA-MATUGA'!H38,'23.08 KAPEKA-MATUGA'!H38,'24.08 KAPEKA-MATUGA-24h'!H38,'25.08 KAPEEKA-MATUGA-24h'!H38,'26.08 KAPEKA-MATUGA'!H38)</f>
        <v>0</v>
      </c>
      <c r="I38" s="49">
        <f>AVERAGE('20.08 KAPEKA-MATUGA'!I38,'21.08 KAPEKA-MATUGA'!I38,'22.08 KAPEKA-MATUGA'!I38,'23.08 KAPEKA-MATUGA'!I38,'24.08 KAPEKA-MATUGA-24h'!I38,'25.08 KAPEEKA-MATUGA-24h'!I38,'26.08 KAPEKA-MATUGA'!I38)</f>
        <v>3.1428571428571428</v>
      </c>
      <c r="J38" s="49">
        <f>AVERAGE('20.08 KAPEKA-MATUGA'!J38,'21.08 KAPEKA-MATUGA'!J38,'22.08 KAPEKA-MATUGA'!J38,'23.08 KAPEKA-MATUGA'!J38,'24.08 KAPEKA-MATUGA-24h'!J38,'25.08 KAPEEKA-MATUGA-24h'!J38,'26.08 KAPEKA-MATUGA'!J38)</f>
        <v>0.42857142857142855</v>
      </c>
      <c r="K38" s="49">
        <f>AVERAGE('20.08 KAPEKA-MATUGA'!K38,'21.08 KAPEKA-MATUGA'!K38,'22.08 KAPEKA-MATUGA'!K38,'23.08 KAPEKA-MATUGA'!K38,'24.08 KAPEKA-MATUGA-24h'!K38,'25.08 KAPEEKA-MATUGA-24h'!K38,'26.08 KAPEKA-MATUGA'!K38)</f>
        <v>0.42857142857142855</v>
      </c>
      <c r="L38" s="49">
        <f>AVERAGE('20.08 KAPEKA-MATUGA'!L38,'21.08 KAPEKA-MATUGA'!L38,'22.08 KAPEKA-MATUGA'!L38,'23.08 KAPEKA-MATUGA'!L38,'24.08 KAPEKA-MATUGA-24h'!L38,'25.08 KAPEEKA-MATUGA-24h'!L38,'26.08 KAPEKA-MATUGA'!L38)</f>
        <v>0.14285714285714285</v>
      </c>
      <c r="M38" s="49">
        <f>AVERAGE('20.08 KAPEKA-MATUGA'!M38,'21.08 KAPEKA-MATUGA'!M38,'22.08 KAPEKA-MATUGA'!M38,'23.08 KAPEKA-MATUGA'!M38,'24.08 KAPEKA-MATUGA-24h'!M38,'25.08 KAPEEKA-MATUGA-24h'!M38,'26.08 KAPEKA-MATUGA'!M38)</f>
        <v>23</v>
      </c>
      <c r="N38" s="49">
        <f>AVERAGE('20.08 KAPEKA-MATUGA'!N38,'21.08 KAPEKA-MATUGA'!N38,'22.08 KAPEKA-MATUGA'!N38,'23.08 KAPEKA-MATUGA'!N38,'24.08 KAPEKA-MATUGA-24h'!N38,'25.08 KAPEEKA-MATUGA-24h'!N38,'26.08 KAPEKA-MATUGA'!N38)</f>
        <v>0</v>
      </c>
      <c r="O38" s="15">
        <f t="shared" si="0"/>
        <v>11.714285714285715</v>
      </c>
      <c r="P38" s="15">
        <f t="shared" si="1"/>
        <v>34.714285714285715</v>
      </c>
      <c r="R38" s="28" t="s">
        <v>86</v>
      </c>
      <c r="S38" s="54">
        <f t="shared" ref="S38:AF38" si="30">SUM(S13:S18)</f>
        <v>57.285714285714285</v>
      </c>
      <c r="T38" s="54">
        <f t="shared" si="30"/>
        <v>26.285714285714288</v>
      </c>
      <c r="U38" s="54">
        <f t="shared" si="30"/>
        <v>39.428571428571431</v>
      </c>
      <c r="V38" s="54">
        <f t="shared" si="30"/>
        <v>36</v>
      </c>
      <c r="W38" s="54">
        <f t="shared" si="30"/>
        <v>1</v>
      </c>
      <c r="X38" s="54">
        <f t="shared" si="30"/>
        <v>0</v>
      </c>
      <c r="Y38" s="54">
        <f t="shared" si="30"/>
        <v>71.428571428571431</v>
      </c>
      <c r="Z38" s="54">
        <f t="shared" si="30"/>
        <v>9.5714285714285694</v>
      </c>
      <c r="AA38" s="54">
        <f t="shared" si="30"/>
        <v>9.7142857142857135</v>
      </c>
      <c r="AB38" s="54">
        <f t="shared" si="30"/>
        <v>3.4285714285714279</v>
      </c>
      <c r="AC38" s="54">
        <f t="shared" si="30"/>
        <v>503.85714285714289</v>
      </c>
      <c r="AD38" s="54">
        <f t="shared" si="30"/>
        <v>0.71428571428571419</v>
      </c>
      <c r="AE38" s="55">
        <f t="shared" si="30"/>
        <v>254.85714285714289</v>
      </c>
      <c r="AF38" s="55">
        <f t="shared" si="30"/>
        <v>758.71428571428567</v>
      </c>
    </row>
    <row r="39" spans="2:32" ht="23.1" customHeight="1" x14ac:dyDescent="0.25">
      <c r="B39" s="24" t="s">
        <v>66</v>
      </c>
      <c r="C39" s="49">
        <f>AVERAGE('20.08 KAPEKA-MATUGA'!C39,'21.08 KAPEKA-MATUGA'!C39,'22.08 KAPEKA-MATUGA'!C39,'23.08 KAPEKA-MATUGA'!C39,'24.08 KAPEKA-MATUGA-24h'!C39,'25.08 KAPEEKA-MATUGA-24h'!C39,'26.08 KAPEKA-MATUGA'!C39)</f>
        <v>2.1428571428571428</v>
      </c>
      <c r="D39" s="49">
        <f>0.4*(AVERAGE('20.08 KAPEKA-MATUGA'!E39,'21.08 KAPEKA-MATUGA'!E39,'22.08 KAPEKA-MATUGA'!E39,'23.08 KAPEKA-MATUGA'!E39,'24.08 KAPEKA-MATUGA-24h'!E39,'25.08 KAPEEKA-MATUGA-24h'!E39,'26.08 KAPEKA-MATUGA'!E39))</f>
        <v>0.97142857142857142</v>
      </c>
      <c r="E39" s="49">
        <f>0.6*(AVERAGE('20.08 KAPEKA-MATUGA'!E39,'21.08 KAPEKA-MATUGA'!E39,'22.08 KAPEKA-MATUGA'!E39,'23.08 KAPEKA-MATUGA'!E39,'24.08 KAPEKA-MATUGA-24h'!E39,'25.08 KAPEEKA-MATUGA-24h'!E39,'26.08 KAPEKA-MATUGA'!E39))</f>
        <v>1.4571428571428571</v>
      </c>
      <c r="F39" s="49">
        <f>AVERAGE('20.08 KAPEKA-MATUGA'!F39,'21.08 KAPEKA-MATUGA'!F39,'22.08 KAPEKA-MATUGA'!F39,'23.08 KAPEKA-MATUGA'!F39,'24.08 KAPEKA-MATUGA-24h'!F39,'25.08 KAPEEKA-MATUGA-24h'!F39,'26.08 KAPEKA-MATUGA'!F39)</f>
        <v>1.2857142857142858</v>
      </c>
      <c r="G39" s="49">
        <f>AVERAGE('20.08 KAPEKA-MATUGA'!G39,'21.08 KAPEKA-MATUGA'!G39,'22.08 KAPEKA-MATUGA'!G39,'23.08 KAPEKA-MATUGA'!G39,'24.08 KAPEKA-MATUGA-24h'!G39,'25.08 KAPEEKA-MATUGA-24h'!G39,'26.08 KAPEKA-MATUGA'!G39)</f>
        <v>0</v>
      </c>
      <c r="H39" s="49">
        <f>AVERAGE('20.08 KAPEKA-MATUGA'!H39,'21.08 KAPEKA-MATUGA'!H39,'22.08 KAPEKA-MATUGA'!H39,'23.08 KAPEKA-MATUGA'!H39,'24.08 KAPEKA-MATUGA-24h'!H39,'25.08 KAPEEKA-MATUGA-24h'!H39,'26.08 KAPEKA-MATUGA'!H39)</f>
        <v>0</v>
      </c>
      <c r="I39" s="49">
        <f>AVERAGE('20.08 KAPEKA-MATUGA'!I39,'21.08 KAPEKA-MATUGA'!I39,'22.08 KAPEKA-MATUGA'!I39,'23.08 KAPEKA-MATUGA'!I39,'24.08 KAPEKA-MATUGA-24h'!I39,'25.08 KAPEEKA-MATUGA-24h'!I39,'26.08 KAPEKA-MATUGA'!I39)</f>
        <v>3.8571428571428572</v>
      </c>
      <c r="J39" s="49">
        <f>AVERAGE('20.08 KAPEKA-MATUGA'!J39,'21.08 KAPEKA-MATUGA'!J39,'22.08 KAPEKA-MATUGA'!J39,'23.08 KAPEKA-MATUGA'!J39,'24.08 KAPEKA-MATUGA-24h'!J39,'25.08 KAPEEKA-MATUGA-24h'!J39,'26.08 KAPEKA-MATUGA'!J39)</f>
        <v>0.42857142857142855</v>
      </c>
      <c r="K39" s="49">
        <f>AVERAGE('20.08 KAPEKA-MATUGA'!K39,'21.08 KAPEKA-MATUGA'!K39,'22.08 KAPEKA-MATUGA'!K39,'23.08 KAPEKA-MATUGA'!K39,'24.08 KAPEKA-MATUGA-24h'!K39,'25.08 KAPEEKA-MATUGA-24h'!K39,'26.08 KAPEKA-MATUGA'!K39)</f>
        <v>0</v>
      </c>
      <c r="L39" s="49">
        <f>AVERAGE('20.08 KAPEKA-MATUGA'!L39,'21.08 KAPEKA-MATUGA'!L39,'22.08 KAPEKA-MATUGA'!L39,'23.08 KAPEKA-MATUGA'!L39,'24.08 KAPEKA-MATUGA-24h'!L39,'25.08 KAPEEKA-MATUGA-24h'!L39,'26.08 KAPEKA-MATUGA'!L39)</f>
        <v>0.14285714285714285</v>
      </c>
      <c r="M39" s="49">
        <f>AVERAGE('20.08 KAPEKA-MATUGA'!M39,'21.08 KAPEKA-MATUGA'!M39,'22.08 KAPEKA-MATUGA'!M39,'23.08 KAPEKA-MATUGA'!M39,'24.08 KAPEKA-MATUGA-24h'!M39,'25.08 KAPEEKA-MATUGA-24h'!M39,'26.08 KAPEKA-MATUGA'!M39)</f>
        <v>17.285714285714285</v>
      </c>
      <c r="N39" s="49">
        <f>AVERAGE('20.08 KAPEKA-MATUGA'!N39,'21.08 KAPEKA-MATUGA'!N39,'22.08 KAPEKA-MATUGA'!N39,'23.08 KAPEKA-MATUGA'!N39,'24.08 KAPEKA-MATUGA-24h'!N39,'25.08 KAPEEKA-MATUGA-24h'!N39,'26.08 KAPEKA-MATUGA'!N39)</f>
        <v>0</v>
      </c>
      <c r="O39" s="15">
        <f t="shared" si="0"/>
        <v>10.285714285714285</v>
      </c>
      <c r="P39" s="15">
        <f t="shared" si="1"/>
        <v>27.571428571428569</v>
      </c>
      <c r="R39" s="29" t="s">
        <v>87</v>
      </c>
      <c r="S39" s="54">
        <f t="shared" ref="S39:AF39" si="31">SUM(S19:S21)</f>
        <v>18.857142857142854</v>
      </c>
      <c r="T39" s="54">
        <f t="shared" si="31"/>
        <v>10.914285714285715</v>
      </c>
      <c r="U39" s="54">
        <f t="shared" si="31"/>
        <v>16.37142857142857</v>
      </c>
      <c r="V39" s="54">
        <f t="shared" si="31"/>
        <v>19.571428571428569</v>
      </c>
      <c r="W39" s="54">
        <f t="shared" si="31"/>
        <v>0.2857142857142857</v>
      </c>
      <c r="X39" s="54">
        <f t="shared" si="31"/>
        <v>0.14285714285714285</v>
      </c>
      <c r="Y39" s="54">
        <f t="shared" si="31"/>
        <v>33.285714285714292</v>
      </c>
      <c r="Z39" s="54">
        <f t="shared" si="31"/>
        <v>6.5714285714285712</v>
      </c>
      <c r="AA39" s="54">
        <f t="shared" si="31"/>
        <v>4.5714285714285712</v>
      </c>
      <c r="AB39" s="54">
        <f t="shared" si="31"/>
        <v>1.7142857142857142</v>
      </c>
      <c r="AC39" s="54">
        <f t="shared" si="31"/>
        <v>256</v>
      </c>
      <c r="AD39" s="54">
        <f t="shared" si="31"/>
        <v>0</v>
      </c>
      <c r="AE39" s="55">
        <f t="shared" si="31"/>
        <v>112.28571428571428</v>
      </c>
      <c r="AF39" s="55">
        <f t="shared" si="31"/>
        <v>368.28571428571422</v>
      </c>
    </row>
    <row r="40" spans="2:32" ht="23.1" customHeight="1" x14ac:dyDescent="0.25">
      <c r="B40" s="24" t="s">
        <v>67</v>
      </c>
      <c r="C40" s="49">
        <f>AVERAGE('20.08 KAPEKA-MATUGA'!C40,'21.08 KAPEKA-MATUGA'!C40,'22.08 KAPEKA-MATUGA'!C40,'23.08 KAPEKA-MATUGA'!C40,'24.08 KAPEKA-MATUGA-24h'!C40,'25.08 KAPEEKA-MATUGA-24h'!C40,'26.08 KAPEKA-MATUGA'!C40)</f>
        <v>2.1428571428571428</v>
      </c>
      <c r="D40" s="49">
        <f>0.4*(AVERAGE('20.08 KAPEKA-MATUGA'!E40,'21.08 KAPEKA-MATUGA'!E40,'22.08 KAPEKA-MATUGA'!E40,'23.08 KAPEKA-MATUGA'!E40,'24.08 KAPEKA-MATUGA-24h'!E40,'25.08 KAPEEKA-MATUGA-24h'!E40,'26.08 KAPEKA-MATUGA'!E40))</f>
        <v>0.85714285714285721</v>
      </c>
      <c r="E40" s="49">
        <f>0.6*(AVERAGE('20.08 KAPEKA-MATUGA'!E40,'21.08 KAPEKA-MATUGA'!E40,'22.08 KAPEKA-MATUGA'!E40,'23.08 KAPEKA-MATUGA'!E40,'24.08 KAPEKA-MATUGA-24h'!E40,'25.08 KAPEEKA-MATUGA-24h'!E40,'26.08 KAPEKA-MATUGA'!E40))</f>
        <v>1.2857142857142856</v>
      </c>
      <c r="F40" s="49">
        <f>AVERAGE('20.08 KAPEKA-MATUGA'!F40,'21.08 KAPEKA-MATUGA'!F40,'22.08 KAPEKA-MATUGA'!F40,'23.08 KAPEKA-MATUGA'!F40,'24.08 KAPEKA-MATUGA-24h'!F40,'25.08 KAPEEKA-MATUGA-24h'!F40,'26.08 KAPEKA-MATUGA'!F40)</f>
        <v>2.4285714285714284</v>
      </c>
      <c r="G40" s="49">
        <f>AVERAGE('20.08 KAPEKA-MATUGA'!G40,'21.08 KAPEKA-MATUGA'!G40,'22.08 KAPEKA-MATUGA'!G40,'23.08 KAPEKA-MATUGA'!G40,'24.08 KAPEKA-MATUGA-24h'!G40,'25.08 KAPEEKA-MATUGA-24h'!G40,'26.08 KAPEKA-MATUGA'!G40)</f>
        <v>0.2857142857142857</v>
      </c>
      <c r="H40" s="49">
        <f>AVERAGE('20.08 KAPEKA-MATUGA'!H40,'21.08 KAPEKA-MATUGA'!H40,'22.08 KAPEKA-MATUGA'!H40,'23.08 KAPEKA-MATUGA'!H40,'24.08 KAPEKA-MATUGA-24h'!H40,'25.08 KAPEEKA-MATUGA-24h'!H40,'26.08 KAPEKA-MATUGA'!H40)</f>
        <v>0</v>
      </c>
      <c r="I40" s="49">
        <f>AVERAGE('20.08 KAPEKA-MATUGA'!I40,'21.08 KAPEKA-MATUGA'!I40,'22.08 KAPEKA-MATUGA'!I40,'23.08 KAPEKA-MATUGA'!I40,'24.08 KAPEKA-MATUGA-24h'!I40,'25.08 KAPEEKA-MATUGA-24h'!I40,'26.08 KAPEKA-MATUGA'!I40)</f>
        <v>2.8571428571428572</v>
      </c>
      <c r="J40" s="49">
        <f>AVERAGE('20.08 KAPEKA-MATUGA'!J40,'21.08 KAPEKA-MATUGA'!J40,'22.08 KAPEKA-MATUGA'!J40,'23.08 KAPEKA-MATUGA'!J40,'24.08 KAPEKA-MATUGA-24h'!J40,'25.08 KAPEEKA-MATUGA-24h'!J40,'26.08 KAPEKA-MATUGA'!J40)</f>
        <v>0.42857142857142855</v>
      </c>
      <c r="K40" s="49">
        <f>AVERAGE('20.08 KAPEKA-MATUGA'!K40,'21.08 KAPEKA-MATUGA'!K40,'22.08 KAPEKA-MATUGA'!K40,'23.08 KAPEKA-MATUGA'!K40,'24.08 KAPEKA-MATUGA-24h'!K40,'25.08 KAPEEKA-MATUGA-24h'!K40,'26.08 KAPEKA-MATUGA'!K40)</f>
        <v>0.2857142857142857</v>
      </c>
      <c r="L40" s="49">
        <f>AVERAGE('20.08 KAPEKA-MATUGA'!L40,'21.08 KAPEKA-MATUGA'!L40,'22.08 KAPEKA-MATUGA'!L40,'23.08 KAPEKA-MATUGA'!L40,'24.08 KAPEKA-MATUGA-24h'!L40,'25.08 KAPEEKA-MATUGA-24h'!L40,'26.08 KAPEKA-MATUGA'!L40)</f>
        <v>0.14285714285714285</v>
      </c>
      <c r="M40" s="49">
        <f>AVERAGE('20.08 KAPEKA-MATUGA'!M40,'21.08 KAPEKA-MATUGA'!M40,'22.08 KAPEKA-MATUGA'!M40,'23.08 KAPEKA-MATUGA'!M40,'24.08 KAPEKA-MATUGA-24h'!M40,'25.08 KAPEEKA-MATUGA-24h'!M40,'26.08 KAPEKA-MATUGA'!M40)</f>
        <v>21.285714285714285</v>
      </c>
      <c r="N40" s="49">
        <f>AVERAGE('20.08 KAPEKA-MATUGA'!N40,'21.08 KAPEKA-MATUGA'!N40,'22.08 KAPEKA-MATUGA'!N40,'23.08 KAPEKA-MATUGA'!N40,'24.08 KAPEKA-MATUGA-24h'!N40,'25.08 KAPEEKA-MATUGA-24h'!N40,'26.08 KAPEKA-MATUGA'!N40)</f>
        <v>0</v>
      </c>
      <c r="O40" s="15">
        <f t="shared" si="0"/>
        <v>10.714285714285714</v>
      </c>
      <c r="P40" s="15">
        <f t="shared" si="1"/>
        <v>32</v>
      </c>
      <c r="R40" s="5" t="s">
        <v>17</v>
      </c>
      <c r="S40" s="54">
        <f t="shared" ref="S40:AF40" si="32">SUM(S10:S21)</f>
        <v>95.142857142857125</v>
      </c>
      <c r="T40" s="54">
        <f t="shared" si="32"/>
        <v>45.371428571428574</v>
      </c>
      <c r="U40" s="54">
        <f t="shared" si="32"/>
        <v>68.05714285714285</v>
      </c>
      <c r="V40" s="54">
        <f t="shared" si="32"/>
        <v>71.714285714285737</v>
      </c>
      <c r="W40" s="54">
        <f t="shared" si="32"/>
        <v>2.4285714285714284</v>
      </c>
      <c r="X40" s="54">
        <f t="shared" si="32"/>
        <v>0.14285714285714285</v>
      </c>
      <c r="Y40" s="54">
        <f t="shared" si="32"/>
        <v>143.85714285714286</v>
      </c>
      <c r="Z40" s="54">
        <f t="shared" si="32"/>
        <v>18.857142857142854</v>
      </c>
      <c r="AA40" s="54">
        <f t="shared" si="32"/>
        <v>18.714285714285712</v>
      </c>
      <c r="AB40" s="54">
        <f t="shared" si="32"/>
        <v>6.857142857142855</v>
      </c>
      <c r="AC40" s="54">
        <f t="shared" si="32"/>
        <v>983</v>
      </c>
      <c r="AD40" s="54">
        <f t="shared" si="32"/>
        <v>0.71428571428571419</v>
      </c>
      <c r="AE40" s="55">
        <f t="shared" si="32"/>
        <v>471.85714285714278</v>
      </c>
      <c r="AF40" s="55">
        <f t="shared" si="32"/>
        <v>1454.8571428571427</v>
      </c>
    </row>
    <row r="41" spans="2:32" ht="23.1" customHeight="1" x14ac:dyDescent="0.25">
      <c r="B41" s="23" t="s">
        <v>68</v>
      </c>
      <c r="C41" s="49">
        <f>AVERAGE('20.08 KAPEKA-MATUGA'!C41,'21.08 KAPEKA-MATUGA'!C41,'22.08 KAPEKA-MATUGA'!C41,'23.08 KAPEKA-MATUGA'!C41,'24.08 KAPEKA-MATUGA-24h'!C41,'25.08 KAPEEKA-MATUGA-24h'!C41,'26.08 KAPEKA-MATUGA'!C41)</f>
        <v>1.5714285714285714</v>
      </c>
      <c r="D41" s="49">
        <f>0.4*(AVERAGE('20.08 KAPEKA-MATUGA'!E41,'21.08 KAPEKA-MATUGA'!E41,'22.08 KAPEKA-MATUGA'!E41,'23.08 KAPEKA-MATUGA'!E41,'24.08 KAPEKA-MATUGA-24h'!E41,'25.08 KAPEEKA-MATUGA-24h'!E41,'26.08 KAPEKA-MATUGA'!E41))</f>
        <v>0.74285714285714288</v>
      </c>
      <c r="E41" s="49">
        <f>0.6*(AVERAGE('20.08 KAPEKA-MATUGA'!E41,'21.08 KAPEKA-MATUGA'!E41,'22.08 KAPEKA-MATUGA'!E41,'23.08 KAPEKA-MATUGA'!E41,'24.08 KAPEKA-MATUGA-24h'!E41,'25.08 KAPEEKA-MATUGA-24h'!E41,'26.08 KAPEKA-MATUGA'!E41))</f>
        <v>1.1142857142857143</v>
      </c>
      <c r="F41" s="49">
        <f>AVERAGE('20.08 KAPEKA-MATUGA'!F41,'21.08 KAPEKA-MATUGA'!F41,'22.08 KAPEKA-MATUGA'!F41,'23.08 KAPEKA-MATUGA'!F41,'24.08 KAPEKA-MATUGA-24h'!F41,'25.08 KAPEEKA-MATUGA-24h'!F41,'26.08 KAPEKA-MATUGA'!F41)</f>
        <v>1</v>
      </c>
      <c r="G41" s="49">
        <f>AVERAGE('20.08 KAPEKA-MATUGA'!G41,'21.08 KAPEKA-MATUGA'!G41,'22.08 KAPEKA-MATUGA'!G41,'23.08 KAPEKA-MATUGA'!G41,'24.08 KAPEKA-MATUGA-24h'!G41,'25.08 KAPEEKA-MATUGA-24h'!G41,'26.08 KAPEKA-MATUGA'!G41)</f>
        <v>0</v>
      </c>
      <c r="H41" s="49">
        <f>AVERAGE('20.08 KAPEKA-MATUGA'!H41,'21.08 KAPEKA-MATUGA'!H41,'22.08 KAPEKA-MATUGA'!H41,'23.08 KAPEKA-MATUGA'!H41,'24.08 KAPEKA-MATUGA-24h'!H41,'25.08 KAPEEKA-MATUGA-24h'!H41,'26.08 KAPEKA-MATUGA'!H41)</f>
        <v>0</v>
      </c>
      <c r="I41" s="49">
        <f>AVERAGE('20.08 KAPEKA-MATUGA'!I41,'21.08 KAPEKA-MATUGA'!I41,'22.08 KAPEKA-MATUGA'!I41,'23.08 KAPEKA-MATUGA'!I41,'24.08 KAPEKA-MATUGA-24h'!I41,'25.08 KAPEEKA-MATUGA-24h'!I41,'26.08 KAPEKA-MATUGA'!I41)</f>
        <v>1.8571428571428572</v>
      </c>
      <c r="J41" s="49">
        <f>AVERAGE('20.08 KAPEKA-MATUGA'!J41,'21.08 KAPEKA-MATUGA'!J41,'22.08 KAPEKA-MATUGA'!J41,'23.08 KAPEKA-MATUGA'!J41,'24.08 KAPEKA-MATUGA-24h'!J41,'25.08 KAPEEKA-MATUGA-24h'!J41,'26.08 KAPEKA-MATUGA'!J41)</f>
        <v>1</v>
      </c>
      <c r="K41" s="49">
        <f>AVERAGE('20.08 KAPEKA-MATUGA'!K41,'21.08 KAPEKA-MATUGA'!K41,'22.08 KAPEKA-MATUGA'!K41,'23.08 KAPEKA-MATUGA'!K41,'24.08 KAPEKA-MATUGA-24h'!K41,'25.08 KAPEEKA-MATUGA-24h'!K41,'26.08 KAPEKA-MATUGA'!K41)</f>
        <v>0.42857142857142855</v>
      </c>
      <c r="L41" s="49">
        <f>AVERAGE('20.08 KAPEKA-MATUGA'!L41,'21.08 KAPEKA-MATUGA'!L41,'22.08 KAPEKA-MATUGA'!L41,'23.08 KAPEKA-MATUGA'!L41,'24.08 KAPEKA-MATUGA-24h'!L41,'25.08 KAPEEKA-MATUGA-24h'!L41,'26.08 KAPEKA-MATUGA'!L41)</f>
        <v>0.14285714285714285</v>
      </c>
      <c r="M41" s="49">
        <f>AVERAGE('20.08 KAPEKA-MATUGA'!M41,'21.08 KAPEKA-MATUGA'!M41,'22.08 KAPEKA-MATUGA'!M41,'23.08 KAPEKA-MATUGA'!M41,'24.08 KAPEKA-MATUGA-24h'!M41,'25.08 KAPEEKA-MATUGA-24h'!M41,'26.08 KAPEKA-MATUGA'!M41)</f>
        <v>19.428571428571427</v>
      </c>
      <c r="N41" s="49">
        <f>AVERAGE('20.08 KAPEKA-MATUGA'!N41,'21.08 KAPEKA-MATUGA'!N41,'22.08 KAPEKA-MATUGA'!N41,'23.08 KAPEKA-MATUGA'!N41,'24.08 KAPEKA-MATUGA-24h'!N41,'25.08 KAPEEKA-MATUGA-24h'!N41,'26.08 KAPEKA-MATUGA'!N41)</f>
        <v>0</v>
      </c>
      <c r="O41" s="15">
        <f t="shared" si="0"/>
        <v>7.8571428571428585</v>
      </c>
      <c r="P41" s="15">
        <f t="shared" si="1"/>
        <v>27.285714285714285</v>
      </c>
      <c r="R41" s="5" t="s">
        <v>175</v>
      </c>
      <c r="S41" s="54">
        <f>SUM(S10:S33)</f>
        <v>152.14285714285711</v>
      </c>
      <c r="T41" s="54">
        <f t="shared" ref="T41:AD41" si="33">SUM(T10:T33)</f>
        <v>68.171428571428578</v>
      </c>
      <c r="U41" s="54">
        <f t="shared" si="33"/>
        <v>100.25714285714287</v>
      </c>
      <c r="V41" s="54">
        <f t="shared" si="33"/>
        <v>101.71428571428574</v>
      </c>
      <c r="W41" s="54">
        <f t="shared" si="33"/>
        <v>2.4285714285714284</v>
      </c>
      <c r="X41" s="54">
        <f t="shared" si="33"/>
        <v>1.1428571428571428</v>
      </c>
      <c r="Y41" s="54">
        <f t="shared" si="33"/>
        <v>195.85714285714286</v>
      </c>
      <c r="Z41" s="54">
        <f t="shared" si="33"/>
        <v>32.857142857142854</v>
      </c>
      <c r="AA41" s="54">
        <f t="shared" si="33"/>
        <v>31.714285714285712</v>
      </c>
      <c r="AB41" s="54">
        <f t="shared" si="33"/>
        <v>6.857142857142855</v>
      </c>
      <c r="AC41" s="54">
        <f t="shared" si="33"/>
        <v>1157</v>
      </c>
      <c r="AD41" s="54">
        <f t="shared" si="33"/>
        <v>0.71428571428571419</v>
      </c>
      <c r="AE41" s="55">
        <f>SUM(AE10:AE33)</f>
        <v>693.85714285714278</v>
      </c>
      <c r="AF41" s="55">
        <f>SUM(AF10:AF33)</f>
        <v>1850.8571428571427</v>
      </c>
    </row>
    <row r="42" spans="2:32" ht="23.1" customHeight="1" x14ac:dyDescent="0.25">
      <c r="B42" s="24" t="s">
        <v>69</v>
      </c>
      <c r="C42" s="49">
        <f>AVERAGE('20.08 KAPEKA-MATUGA'!C42,'21.08 KAPEKA-MATUGA'!C42,'22.08 KAPEKA-MATUGA'!C42,'23.08 KAPEKA-MATUGA'!C42,'24.08 KAPEKA-MATUGA-24h'!C42,'25.08 KAPEEKA-MATUGA-24h'!C42,'26.08 KAPEKA-MATUGA'!C42)</f>
        <v>2.5714285714285716</v>
      </c>
      <c r="D42" s="49">
        <f>0.4*(AVERAGE('20.08 KAPEKA-MATUGA'!E42,'21.08 KAPEKA-MATUGA'!E42,'22.08 KAPEKA-MATUGA'!E42,'23.08 KAPEKA-MATUGA'!E42,'24.08 KAPEKA-MATUGA-24h'!E42,'25.08 KAPEEKA-MATUGA-24h'!E42,'26.08 KAPEKA-MATUGA'!E42))</f>
        <v>0.91428571428571426</v>
      </c>
      <c r="E42" s="49">
        <f>0.6*(AVERAGE('20.08 KAPEKA-MATUGA'!E42,'21.08 KAPEKA-MATUGA'!E42,'22.08 KAPEKA-MATUGA'!E42,'23.08 KAPEKA-MATUGA'!E42,'24.08 KAPEKA-MATUGA-24h'!E42,'25.08 KAPEEKA-MATUGA-24h'!E42,'26.08 KAPEKA-MATUGA'!E42))</f>
        <v>1.3714285714285712</v>
      </c>
      <c r="F42" s="49">
        <f>AVERAGE('20.08 KAPEKA-MATUGA'!F42,'21.08 KAPEKA-MATUGA'!F42,'22.08 KAPEKA-MATUGA'!F42,'23.08 KAPEKA-MATUGA'!F42,'24.08 KAPEKA-MATUGA-24h'!F42,'25.08 KAPEEKA-MATUGA-24h'!F42,'26.08 KAPEKA-MATUGA'!F42)</f>
        <v>1.1428571428571428</v>
      </c>
      <c r="G42" s="49">
        <f>AVERAGE('20.08 KAPEKA-MATUGA'!G42,'21.08 KAPEKA-MATUGA'!G42,'22.08 KAPEKA-MATUGA'!G42,'23.08 KAPEKA-MATUGA'!G42,'24.08 KAPEKA-MATUGA-24h'!G42,'25.08 KAPEEKA-MATUGA-24h'!G42,'26.08 KAPEKA-MATUGA'!G42)</f>
        <v>0.14285714285714285</v>
      </c>
      <c r="H42" s="49">
        <f>AVERAGE('20.08 KAPEKA-MATUGA'!H42,'21.08 KAPEKA-MATUGA'!H42,'22.08 KAPEKA-MATUGA'!H42,'23.08 KAPEKA-MATUGA'!H42,'24.08 KAPEKA-MATUGA-24h'!H42,'25.08 KAPEEKA-MATUGA-24h'!H42,'26.08 KAPEKA-MATUGA'!H42)</f>
        <v>0</v>
      </c>
      <c r="I42" s="49">
        <f>AVERAGE('20.08 KAPEKA-MATUGA'!I42,'21.08 KAPEKA-MATUGA'!I42,'22.08 KAPEKA-MATUGA'!I42,'23.08 KAPEKA-MATUGA'!I42,'24.08 KAPEKA-MATUGA-24h'!I42,'25.08 KAPEEKA-MATUGA-24h'!I42,'26.08 KAPEKA-MATUGA'!I42)</f>
        <v>3.1428571428571428</v>
      </c>
      <c r="J42" s="49">
        <f>AVERAGE('20.08 KAPEKA-MATUGA'!J42,'21.08 KAPEKA-MATUGA'!J42,'22.08 KAPEKA-MATUGA'!J42,'23.08 KAPEKA-MATUGA'!J42,'24.08 KAPEKA-MATUGA-24h'!J42,'25.08 KAPEEKA-MATUGA-24h'!J42,'26.08 KAPEKA-MATUGA'!J42)</f>
        <v>0.2857142857142857</v>
      </c>
      <c r="K42" s="49">
        <f>AVERAGE('20.08 KAPEKA-MATUGA'!K42,'21.08 KAPEKA-MATUGA'!K42,'22.08 KAPEKA-MATUGA'!K42,'23.08 KAPEKA-MATUGA'!K42,'24.08 KAPEKA-MATUGA-24h'!K42,'25.08 KAPEEKA-MATUGA-24h'!K42,'26.08 KAPEKA-MATUGA'!K42)</f>
        <v>0.2857142857142857</v>
      </c>
      <c r="L42" s="49">
        <f>AVERAGE('20.08 KAPEKA-MATUGA'!L42,'21.08 KAPEKA-MATUGA'!L42,'22.08 KAPEKA-MATUGA'!L42,'23.08 KAPEKA-MATUGA'!L42,'24.08 KAPEKA-MATUGA-24h'!L42,'25.08 KAPEEKA-MATUGA-24h'!L42,'26.08 KAPEKA-MATUGA'!L42)</f>
        <v>0.14285714285714285</v>
      </c>
      <c r="M42" s="49">
        <f>AVERAGE('20.08 KAPEKA-MATUGA'!M42,'21.08 KAPEKA-MATUGA'!M42,'22.08 KAPEKA-MATUGA'!M42,'23.08 KAPEKA-MATUGA'!M42,'24.08 KAPEKA-MATUGA-24h'!M42,'25.08 KAPEEKA-MATUGA-24h'!M42,'26.08 KAPEKA-MATUGA'!M42)</f>
        <v>20.285714285714285</v>
      </c>
      <c r="N42" s="49">
        <f>AVERAGE('20.08 KAPEKA-MATUGA'!N42,'21.08 KAPEKA-MATUGA'!N42,'22.08 KAPEKA-MATUGA'!N42,'23.08 KAPEKA-MATUGA'!N42,'24.08 KAPEKA-MATUGA-24h'!N42,'25.08 KAPEEKA-MATUGA-24h'!N42,'26.08 KAPEKA-MATUGA'!N42)</f>
        <v>0</v>
      </c>
      <c r="O42" s="15">
        <f t="shared" si="0"/>
        <v>10.000000000000002</v>
      </c>
      <c r="P42" s="15">
        <f t="shared" si="1"/>
        <v>30.285714285714285</v>
      </c>
      <c r="R42" s="5" t="s">
        <v>160</v>
      </c>
      <c r="S42" s="48">
        <f>S41/S40</f>
        <v>1.599099099099099</v>
      </c>
      <c r="T42" s="48">
        <f t="shared" ref="T42:AF42" si="34">T41/T40</f>
        <v>1.5025188916876575</v>
      </c>
      <c r="U42" s="48">
        <f t="shared" si="34"/>
        <v>1.4731318219983209</v>
      </c>
      <c r="V42" s="48">
        <f t="shared" si="34"/>
        <v>1.4183266932270915</v>
      </c>
      <c r="W42" s="48">
        <f t="shared" si="34"/>
        <v>1</v>
      </c>
      <c r="X42" s="48">
        <f t="shared" si="34"/>
        <v>8</v>
      </c>
      <c r="Y42" s="48">
        <f t="shared" si="34"/>
        <v>1.3614697120158887</v>
      </c>
      <c r="Z42" s="48">
        <f t="shared" si="34"/>
        <v>1.7424242424242427</v>
      </c>
      <c r="AA42" s="48">
        <f t="shared" si="34"/>
        <v>1.6946564885496185</v>
      </c>
      <c r="AB42" s="48">
        <f t="shared" si="34"/>
        <v>1</v>
      </c>
      <c r="AC42" s="48">
        <f t="shared" si="34"/>
        <v>1.1770091556459816</v>
      </c>
      <c r="AD42" s="48">
        <f t="shared" si="34"/>
        <v>1</v>
      </c>
      <c r="AE42" s="56">
        <f t="shared" si="34"/>
        <v>1.4704813805631245</v>
      </c>
      <c r="AF42" s="56">
        <f t="shared" si="34"/>
        <v>1.2721916732128831</v>
      </c>
    </row>
    <row r="43" spans="2:32" ht="23.1" customHeight="1" x14ac:dyDescent="0.25">
      <c r="B43" s="23" t="s">
        <v>70</v>
      </c>
      <c r="C43" s="49">
        <f>AVERAGE('20.08 KAPEKA-MATUGA'!C43,'21.08 KAPEKA-MATUGA'!C43,'22.08 KAPEKA-MATUGA'!C43,'23.08 KAPEKA-MATUGA'!C43,'24.08 KAPEKA-MATUGA-24h'!C43,'25.08 KAPEEKA-MATUGA-24h'!C43,'26.08 KAPEKA-MATUGA'!C43)</f>
        <v>1.8571428571428572</v>
      </c>
      <c r="D43" s="49">
        <f>0.4*(AVERAGE('20.08 KAPEKA-MATUGA'!E43,'21.08 KAPEKA-MATUGA'!E43,'22.08 KAPEKA-MATUGA'!E43,'23.08 KAPEKA-MATUGA'!E43,'24.08 KAPEKA-MATUGA-24h'!E43,'25.08 KAPEEKA-MATUGA-24h'!E43,'26.08 KAPEKA-MATUGA'!E43))</f>
        <v>0.91428571428571426</v>
      </c>
      <c r="E43" s="49">
        <f>0.6*(AVERAGE('20.08 KAPEKA-MATUGA'!E43,'21.08 KAPEKA-MATUGA'!E43,'22.08 KAPEKA-MATUGA'!E43,'23.08 KAPEKA-MATUGA'!E43,'24.08 KAPEKA-MATUGA-24h'!E43,'25.08 KAPEEKA-MATUGA-24h'!E43,'26.08 KAPEKA-MATUGA'!E43))</f>
        <v>1.3714285714285712</v>
      </c>
      <c r="F43" s="49">
        <f>AVERAGE('20.08 KAPEKA-MATUGA'!F43,'21.08 KAPEKA-MATUGA'!F43,'22.08 KAPEKA-MATUGA'!F43,'23.08 KAPEKA-MATUGA'!F43,'24.08 KAPEKA-MATUGA-24h'!F43,'25.08 KAPEEKA-MATUGA-24h'!F43,'26.08 KAPEKA-MATUGA'!F43)</f>
        <v>1.5714285714285714</v>
      </c>
      <c r="G43" s="49">
        <f>AVERAGE('20.08 KAPEKA-MATUGA'!G43,'21.08 KAPEKA-MATUGA'!G43,'22.08 KAPEKA-MATUGA'!G43,'23.08 KAPEKA-MATUGA'!G43,'24.08 KAPEKA-MATUGA-24h'!G43,'25.08 KAPEEKA-MATUGA-24h'!G43,'26.08 KAPEKA-MATUGA'!G43)</f>
        <v>0</v>
      </c>
      <c r="H43" s="49">
        <f>AVERAGE('20.08 KAPEKA-MATUGA'!H43,'21.08 KAPEKA-MATUGA'!H43,'22.08 KAPEKA-MATUGA'!H43,'23.08 KAPEKA-MATUGA'!H43,'24.08 KAPEKA-MATUGA-24h'!H43,'25.08 KAPEEKA-MATUGA-24h'!H43,'26.08 KAPEKA-MATUGA'!H43)</f>
        <v>0</v>
      </c>
      <c r="I43" s="49">
        <f>AVERAGE('20.08 KAPEKA-MATUGA'!I43,'21.08 KAPEKA-MATUGA'!I43,'22.08 KAPEKA-MATUGA'!I43,'23.08 KAPEKA-MATUGA'!I43,'24.08 KAPEKA-MATUGA-24h'!I43,'25.08 KAPEEKA-MATUGA-24h'!I43,'26.08 KAPEKA-MATUGA'!I43)</f>
        <v>2.5714285714285716</v>
      </c>
      <c r="J43" s="49">
        <f>AVERAGE('20.08 KAPEKA-MATUGA'!J43,'21.08 KAPEKA-MATUGA'!J43,'22.08 KAPEKA-MATUGA'!J43,'23.08 KAPEKA-MATUGA'!J43,'24.08 KAPEKA-MATUGA-24h'!J43,'25.08 KAPEEKA-MATUGA-24h'!J43,'26.08 KAPEKA-MATUGA'!J43)</f>
        <v>0.42857142857142855</v>
      </c>
      <c r="K43" s="49">
        <f>AVERAGE('20.08 KAPEKA-MATUGA'!K43,'21.08 KAPEKA-MATUGA'!K43,'22.08 KAPEKA-MATUGA'!K43,'23.08 KAPEKA-MATUGA'!K43,'24.08 KAPEKA-MATUGA-24h'!K43,'25.08 KAPEEKA-MATUGA-24h'!K43,'26.08 KAPEKA-MATUGA'!K43)</f>
        <v>0.2857142857142857</v>
      </c>
      <c r="L43" s="49">
        <f>AVERAGE('20.08 KAPEKA-MATUGA'!L43,'21.08 KAPEKA-MATUGA'!L43,'22.08 KAPEKA-MATUGA'!L43,'23.08 KAPEKA-MATUGA'!L43,'24.08 KAPEKA-MATUGA-24h'!L43,'25.08 KAPEEKA-MATUGA-24h'!L43,'26.08 KAPEKA-MATUGA'!L43)</f>
        <v>0.14285714285714285</v>
      </c>
      <c r="M43" s="49">
        <f>AVERAGE('20.08 KAPEKA-MATUGA'!M43,'21.08 KAPEKA-MATUGA'!M43,'22.08 KAPEKA-MATUGA'!M43,'23.08 KAPEKA-MATUGA'!M43,'24.08 KAPEKA-MATUGA-24h'!M43,'25.08 KAPEEKA-MATUGA-24h'!M43,'26.08 KAPEKA-MATUGA'!M43)</f>
        <v>21.857142857142858</v>
      </c>
      <c r="N43" s="49">
        <f>AVERAGE('20.08 KAPEKA-MATUGA'!N43,'21.08 KAPEKA-MATUGA'!N43,'22.08 KAPEKA-MATUGA'!N43,'23.08 KAPEKA-MATUGA'!N43,'24.08 KAPEKA-MATUGA-24h'!N43,'25.08 KAPEEKA-MATUGA-24h'!N43,'26.08 KAPEKA-MATUGA'!N43)</f>
        <v>0</v>
      </c>
      <c r="O43" s="15">
        <f t="shared" si="0"/>
        <v>9.1428571428571423</v>
      </c>
      <c r="P43" s="15">
        <f t="shared" si="1"/>
        <v>31</v>
      </c>
    </row>
    <row r="44" spans="2:32" ht="23.1" customHeight="1" x14ac:dyDescent="0.25">
      <c r="B44" s="25" t="s">
        <v>71</v>
      </c>
      <c r="C44" s="49">
        <f>AVERAGE('20.08 KAPEKA-MATUGA'!C44,'21.08 KAPEKA-MATUGA'!C44,'22.08 KAPEKA-MATUGA'!C44,'23.08 KAPEKA-MATUGA'!C44,'24.08 KAPEKA-MATUGA-24h'!C44,'25.08 KAPEEKA-MATUGA-24h'!C44,'26.08 KAPEKA-MATUGA'!C44)</f>
        <v>1.7142857142857142</v>
      </c>
      <c r="D44" s="49">
        <f>0.4*(AVERAGE('20.08 KAPEKA-MATUGA'!E44,'21.08 KAPEKA-MATUGA'!E44,'22.08 KAPEKA-MATUGA'!E44,'23.08 KAPEKA-MATUGA'!E44,'24.08 KAPEKA-MATUGA-24h'!E44,'25.08 KAPEEKA-MATUGA-24h'!E44,'26.08 KAPEKA-MATUGA'!E44))</f>
        <v>1.0285714285714287</v>
      </c>
      <c r="E44" s="49">
        <f>0.6*(AVERAGE('20.08 KAPEKA-MATUGA'!E44,'21.08 KAPEKA-MATUGA'!E44,'22.08 KAPEKA-MATUGA'!E44,'23.08 KAPEKA-MATUGA'!E44,'24.08 KAPEKA-MATUGA-24h'!E44,'25.08 KAPEEKA-MATUGA-24h'!E44,'26.08 KAPEKA-MATUGA'!E44))</f>
        <v>1.5428571428571429</v>
      </c>
      <c r="F44" s="49">
        <f>AVERAGE('20.08 KAPEKA-MATUGA'!F44,'21.08 KAPEKA-MATUGA'!F44,'22.08 KAPEKA-MATUGA'!F44,'23.08 KAPEKA-MATUGA'!F44,'24.08 KAPEKA-MATUGA-24h'!F44,'25.08 KAPEEKA-MATUGA-24h'!F44,'26.08 KAPEKA-MATUGA'!F44)</f>
        <v>1.8571428571428572</v>
      </c>
      <c r="G44" s="49">
        <f>AVERAGE('20.08 KAPEKA-MATUGA'!G44,'21.08 KAPEKA-MATUGA'!G44,'22.08 KAPEKA-MATUGA'!G44,'23.08 KAPEKA-MATUGA'!G44,'24.08 KAPEKA-MATUGA-24h'!G44,'25.08 KAPEEKA-MATUGA-24h'!G44,'26.08 KAPEKA-MATUGA'!G44)</f>
        <v>0.14285714285714285</v>
      </c>
      <c r="H44" s="49">
        <f>AVERAGE('20.08 KAPEKA-MATUGA'!H44,'21.08 KAPEKA-MATUGA'!H44,'22.08 KAPEKA-MATUGA'!H44,'23.08 KAPEKA-MATUGA'!H44,'24.08 KAPEKA-MATUGA-24h'!H44,'25.08 KAPEEKA-MATUGA-24h'!H44,'26.08 KAPEKA-MATUGA'!H44)</f>
        <v>0</v>
      </c>
      <c r="I44" s="49">
        <f>AVERAGE('20.08 KAPEKA-MATUGA'!I44,'21.08 KAPEKA-MATUGA'!I44,'22.08 KAPEKA-MATUGA'!I44,'23.08 KAPEKA-MATUGA'!I44,'24.08 KAPEKA-MATUGA-24h'!I44,'25.08 KAPEEKA-MATUGA-24h'!I44,'26.08 KAPEKA-MATUGA'!I44)</f>
        <v>3.4285714285714284</v>
      </c>
      <c r="J44" s="49">
        <f>AVERAGE('20.08 KAPEKA-MATUGA'!J44,'21.08 KAPEKA-MATUGA'!J44,'22.08 KAPEKA-MATUGA'!J44,'23.08 KAPEKA-MATUGA'!J44,'24.08 KAPEKA-MATUGA-24h'!J44,'25.08 KAPEEKA-MATUGA-24h'!J44,'26.08 KAPEKA-MATUGA'!J44)</f>
        <v>0.14285714285714285</v>
      </c>
      <c r="K44" s="49">
        <f>AVERAGE('20.08 KAPEKA-MATUGA'!K44,'21.08 KAPEKA-MATUGA'!K44,'22.08 KAPEKA-MATUGA'!K44,'23.08 KAPEKA-MATUGA'!K44,'24.08 KAPEKA-MATUGA-24h'!K44,'25.08 KAPEEKA-MATUGA-24h'!K44,'26.08 KAPEKA-MATUGA'!K44)</f>
        <v>0.7142857142857143</v>
      </c>
      <c r="L44" s="49">
        <f>AVERAGE('20.08 KAPEKA-MATUGA'!L44,'21.08 KAPEKA-MATUGA'!L44,'22.08 KAPEKA-MATUGA'!L44,'23.08 KAPEKA-MATUGA'!L44,'24.08 KAPEKA-MATUGA-24h'!L44,'25.08 KAPEEKA-MATUGA-24h'!L44,'26.08 KAPEKA-MATUGA'!L44)</f>
        <v>0.14285714285714285</v>
      </c>
      <c r="M44" s="49">
        <f>AVERAGE('20.08 KAPEKA-MATUGA'!M44,'21.08 KAPEKA-MATUGA'!M44,'22.08 KAPEKA-MATUGA'!M44,'23.08 KAPEKA-MATUGA'!M44,'24.08 KAPEKA-MATUGA-24h'!M44,'25.08 KAPEEKA-MATUGA-24h'!M44,'26.08 KAPEKA-MATUGA'!M44)</f>
        <v>20.857142857142858</v>
      </c>
      <c r="N44" s="49">
        <f>AVERAGE('20.08 KAPEKA-MATUGA'!N44,'21.08 KAPEKA-MATUGA'!N44,'22.08 KAPEKA-MATUGA'!N44,'23.08 KAPEKA-MATUGA'!N44,'24.08 KAPEKA-MATUGA-24h'!N44,'25.08 KAPEEKA-MATUGA-24h'!N44,'26.08 KAPEKA-MATUGA'!N44)</f>
        <v>0</v>
      </c>
      <c r="O44" s="15">
        <f t="shared" si="0"/>
        <v>10.714285714285712</v>
      </c>
      <c r="P44" s="15">
        <f t="shared" si="1"/>
        <v>31.571428571428569</v>
      </c>
    </row>
    <row r="45" spans="2:32" ht="23.1" customHeight="1" x14ac:dyDescent="0.25">
      <c r="B45" s="23" t="s">
        <v>72</v>
      </c>
      <c r="C45" s="49">
        <f>AVERAGE('20.08 KAPEKA-MATUGA'!C45,'21.08 KAPEKA-MATUGA'!C45,'22.08 KAPEKA-MATUGA'!C45,'23.08 KAPEKA-MATUGA'!C45,'24.08 KAPEKA-MATUGA-24h'!C45,'25.08 KAPEEKA-MATUGA-24h'!C45,'26.08 KAPEKA-MATUGA'!C45)</f>
        <v>1.5714285714285714</v>
      </c>
      <c r="D45" s="49">
        <f>0.4*(AVERAGE('20.08 KAPEKA-MATUGA'!E45,'21.08 KAPEKA-MATUGA'!E45,'22.08 KAPEKA-MATUGA'!E45,'23.08 KAPEKA-MATUGA'!E45,'24.08 KAPEKA-MATUGA-24h'!E45,'25.08 KAPEEKA-MATUGA-24h'!E45,'26.08 KAPEKA-MATUGA'!E45))</f>
        <v>1.142857142857143</v>
      </c>
      <c r="E45" s="49">
        <f>0.6*(AVERAGE('20.08 KAPEKA-MATUGA'!E45,'21.08 KAPEKA-MATUGA'!E45,'22.08 KAPEKA-MATUGA'!E45,'23.08 KAPEKA-MATUGA'!E45,'24.08 KAPEKA-MATUGA-24h'!E45,'25.08 KAPEEKA-MATUGA-24h'!E45,'26.08 KAPEKA-MATUGA'!E45))</f>
        <v>1.7142857142857142</v>
      </c>
      <c r="F45" s="49">
        <f>AVERAGE('20.08 KAPEKA-MATUGA'!F45,'21.08 KAPEKA-MATUGA'!F45,'22.08 KAPEKA-MATUGA'!F45,'23.08 KAPEKA-MATUGA'!F45,'24.08 KAPEKA-MATUGA-24h'!F45,'25.08 KAPEEKA-MATUGA-24h'!F45,'26.08 KAPEKA-MATUGA'!F45)</f>
        <v>1.8571428571428572</v>
      </c>
      <c r="G45" s="49">
        <f>AVERAGE('20.08 KAPEKA-MATUGA'!G45,'21.08 KAPEKA-MATUGA'!G45,'22.08 KAPEKA-MATUGA'!G45,'23.08 KAPEKA-MATUGA'!G45,'24.08 KAPEKA-MATUGA-24h'!G45,'25.08 KAPEEKA-MATUGA-24h'!G45,'26.08 KAPEKA-MATUGA'!G45)</f>
        <v>0.14285714285714285</v>
      </c>
      <c r="H45" s="49">
        <f>AVERAGE('20.08 KAPEKA-MATUGA'!H45,'21.08 KAPEKA-MATUGA'!H45,'22.08 KAPEKA-MATUGA'!H45,'23.08 KAPEKA-MATUGA'!H45,'24.08 KAPEKA-MATUGA-24h'!H45,'25.08 KAPEEKA-MATUGA-24h'!H45,'26.08 KAPEKA-MATUGA'!H45)</f>
        <v>0</v>
      </c>
      <c r="I45" s="49">
        <f>AVERAGE('20.08 KAPEKA-MATUGA'!I45,'21.08 KAPEKA-MATUGA'!I45,'22.08 KAPEKA-MATUGA'!I45,'23.08 KAPEKA-MATUGA'!I45,'24.08 KAPEKA-MATUGA-24h'!I45,'25.08 KAPEEKA-MATUGA-24h'!I45,'26.08 KAPEKA-MATUGA'!I45)</f>
        <v>3.4285714285714284</v>
      </c>
      <c r="J45" s="49">
        <f>AVERAGE('20.08 KAPEKA-MATUGA'!J45,'21.08 KAPEKA-MATUGA'!J45,'22.08 KAPEKA-MATUGA'!J45,'23.08 KAPEKA-MATUGA'!J45,'24.08 KAPEKA-MATUGA-24h'!J45,'25.08 KAPEEKA-MATUGA-24h'!J45,'26.08 KAPEKA-MATUGA'!J45)</f>
        <v>0.42857142857142855</v>
      </c>
      <c r="K45" s="49">
        <f>AVERAGE('20.08 KAPEKA-MATUGA'!K45,'21.08 KAPEKA-MATUGA'!K45,'22.08 KAPEKA-MATUGA'!K45,'23.08 KAPEKA-MATUGA'!K45,'24.08 KAPEKA-MATUGA-24h'!K45,'25.08 KAPEEKA-MATUGA-24h'!K45,'26.08 KAPEKA-MATUGA'!K45)</f>
        <v>0.42857142857142855</v>
      </c>
      <c r="L45" s="49">
        <f>AVERAGE('20.08 KAPEKA-MATUGA'!L45,'21.08 KAPEKA-MATUGA'!L45,'22.08 KAPEKA-MATUGA'!L45,'23.08 KAPEKA-MATUGA'!L45,'24.08 KAPEKA-MATUGA-24h'!L45,'25.08 KAPEEKA-MATUGA-24h'!L45,'26.08 KAPEKA-MATUGA'!L45)</f>
        <v>0.14285714285714285</v>
      </c>
      <c r="M45" s="49">
        <f>AVERAGE('20.08 KAPEKA-MATUGA'!M45,'21.08 KAPEKA-MATUGA'!M45,'22.08 KAPEKA-MATUGA'!M45,'23.08 KAPEKA-MATUGA'!M45,'24.08 KAPEKA-MATUGA-24h'!M45,'25.08 KAPEEKA-MATUGA-24h'!M45,'26.08 KAPEKA-MATUGA'!M45)</f>
        <v>18.714285714285715</v>
      </c>
      <c r="N45" s="49">
        <f>AVERAGE('20.08 KAPEKA-MATUGA'!N45,'21.08 KAPEKA-MATUGA'!N45,'22.08 KAPEKA-MATUGA'!N45,'23.08 KAPEKA-MATUGA'!N45,'24.08 KAPEKA-MATUGA-24h'!N45,'25.08 KAPEEKA-MATUGA-24h'!N45,'26.08 KAPEKA-MATUGA'!N45)</f>
        <v>0</v>
      </c>
      <c r="O45" s="15">
        <f t="shared" si="0"/>
        <v>10.857142857142858</v>
      </c>
      <c r="P45" s="15">
        <f t="shared" si="1"/>
        <v>29.571428571428573</v>
      </c>
    </row>
    <row r="46" spans="2:32" ht="23.1" customHeight="1" x14ac:dyDescent="0.25">
      <c r="B46" s="24" t="s">
        <v>73</v>
      </c>
      <c r="C46" s="49">
        <f>AVERAGE('20.08 KAPEKA-MATUGA'!C46,'21.08 KAPEKA-MATUGA'!C46,'22.08 KAPEKA-MATUGA'!C46,'23.08 KAPEKA-MATUGA'!C46,'24.08 KAPEKA-MATUGA-24h'!C46,'25.08 KAPEEKA-MATUGA-24h'!C46,'26.08 KAPEKA-MATUGA'!C46)</f>
        <v>1.2857142857142858</v>
      </c>
      <c r="D46" s="49">
        <f>0.4*(AVERAGE('20.08 KAPEKA-MATUGA'!E46,'21.08 KAPEKA-MATUGA'!E46,'22.08 KAPEKA-MATUGA'!E46,'23.08 KAPEKA-MATUGA'!E46,'24.08 KAPEKA-MATUGA-24h'!E46,'25.08 KAPEEKA-MATUGA-24h'!E46,'26.08 KAPEKA-MATUGA'!E46))</f>
        <v>1.0285714285714287</v>
      </c>
      <c r="E46" s="49">
        <f>0.6*(AVERAGE('20.08 KAPEKA-MATUGA'!E46,'21.08 KAPEKA-MATUGA'!E46,'22.08 KAPEKA-MATUGA'!E46,'23.08 KAPEKA-MATUGA'!E46,'24.08 KAPEKA-MATUGA-24h'!E46,'25.08 KAPEEKA-MATUGA-24h'!E46,'26.08 KAPEKA-MATUGA'!E46))</f>
        <v>1.5428571428571429</v>
      </c>
      <c r="F46" s="49">
        <f>AVERAGE('20.08 KAPEKA-MATUGA'!F46,'21.08 KAPEKA-MATUGA'!F46,'22.08 KAPEKA-MATUGA'!F46,'23.08 KAPEKA-MATUGA'!F46,'24.08 KAPEKA-MATUGA-24h'!F46,'25.08 KAPEEKA-MATUGA-24h'!F46,'26.08 KAPEKA-MATUGA'!F46)</f>
        <v>1.7142857142857142</v>
      </c>
      <c r="G46" s="49">
        <f>AVERAGE('20.08 KAPEKA-MATUGA'!G46,'21.08 KAPEKA-MATUGA'!G46,'22.08 KAPEKA-MATUGA'!G46,'23.08 KAPEKA-MATUGA'!G46,'24.08 KAPEKA-MATUGA-24h'!G46,'25.08 KAPEEKA-MATUGA-24h'!G46,'26.08 KAPEKA-MATUGA'!G46)</f>
        <v>0</v>
      </c>
      <c r="H46" s="49">
        <f>AVERAGE('20.08 KAPEKA-MATUGA'!H46,'21.08 KAPEKA-MATUGA'!H46,'22.08 KAPEKA-MATUGA'!H46,'23.08 KAPEKA-MATUGA'!H46,'24.08 KAPEKA-MATUGA-24h'!H46,'25.08 KAPEEKA-MATUGA-24h'!H46,'26.08 KAPEKA-MATUGA'!H46)</f>
        <v>0</v>
      </c>
      <c r="I46" s="49">
        <f>AVERAGE('20.08 KAPEKA-MATUGA'!I46,'21.08 KAPEKA-MATUGA'!I46,'22.08 KAPEKA-MATUGA'!I46,'23.08 KAPEKA-MATUGA'!I46,'24.08 KAPEKA-MATUGA-24h'!I46,'25.08 KAPEEKA-MATUGA-24h'!I46,'26.08 KAPEKA-MATUGA'!I46)</f>
        <v>3.4285714285714284</v>
      </c>
      <c r="J46" s="49">
        <f>AVERAGE('20.08 KAPEKA-MATUGA'!J46,'21.08 KAPEKA-MATUGA'!J46,'22.08 KAPEKA-MATUGA'!J46,'23.08 KAPEKA-MATUGA'!J46,'24.08 KAPEKA-MATUGA-24h'!J46,'25.08 KAPEEKA-MATUGA-24h'!J46,'26.08 KAPEKA-MATUGA'!J46)</f>
        <v>1</v>
      </c>
      <c r="K46" s="49">
        <f>AVERAGE('20.08 KAPEKA-MATUGA'!K46,'21.08 KAPEKA-MATUGA'!K46,'22.08 KAPEKA-MATUGA'!K46,'23.08 KAPEKA-MATUGA'!K46,'24.08 KAPEKA-MATUGA-24h'!K46,'25.08 KAPEEKA-MATUGA-24h'!K46,'26.08 KAPEKA-MATUGA'!K46)</f>
        <v>0.14285714285714285</v>
      </c>
      <c r="L46" s="49">
        <f>AVERAGE('20.08 KAPEKA-MATUGA'!L46,'21.08 KAPEKA-MATUGA'!L46,'22.08 KAPEKA-MATUGA'!L46,'23.08 KAPEKA-MATUGA'!L46,'24.08 KAPEKA-MATUGA-24h'!L46,'25.08 KAPEEKA-MATUGA-24h'!L46,'26.08 KAPEKA-MATUGA'!L46)</f>
        <v>0.14285714285714285</v>
      </c>
      <c r="M46" s="49">
        <f>AVERAGE('20.08 KAPEKA-MATUGA'!M46,'21.08 KAPEKA-MATUGA'!M46,'22.08 KAPEKA-MATUGA'!M46,'23.08 KAPEKA-MATUGA'!M46,'24.08 KAPEKA-MATUGA-24h'!M46,'25.08 KAPEEKA-MATUGA-24h'!M46,'26.08 KAPEKA-MATUGA'!M46)</f>
        <v>17.714285714285715</v>
      </c>
      <c r="N46" s="49">
        <f>AVERAGE('20.08 KAPEKA-MATUGA'!N46,'21.08 KAPEKA-MATUGA'!N46,'22.08 KAPEKA-MATUGA'!N46,'23.08 KAPEKA-MATUGA'!N46,'24.08 KAPEKA-MATUGA-24h'!N46,'25.08 KAPEEKA-MATUGA-24h'!N46,'26.08 KAPEKA-MATUGA'!N46)</f>
        <v>0</v>
      </c>
      <c r="O46" s="15">
        <f t="shared" si="0"/>
        <v>10.285714285714285</v>
      </c>
      <c r="P46" s="15">
        <f t="shared" si="1"/>
        <v>28</v>
      </c>
      <c r="R46" s="8"/>
      <c r="T46"/>
    </row>
    <row r="47" spans="2:32" ht="23.1" customHeight="1" x14ac:dyDescent="0.25">
      <c r="B47" s="24" t="s">
        <v>74</v>
      </c>
      <c r="C47" s="49">
        <f>AVERAGE('20.08 KAPEKA-MATUGA'!C47,'21.08 KAPEKA-MATUGA'!C47,'22.08 KAPEKA-MATUGA'!C47,'23.08 KAPEKA-MATUGA'!C47,'24.08 KAPEKA-MATUGA-24h'!C47,'25.08 KAPEEKA-MATUGA-24h'!C47,'26.08 KAPEKA-MATUGA'!C47)</f>
        <v>1.7142857142857142</v>
      </c>
      <c r="D47" s="49">
        <f>0.4*(AVERAGE('20.08 KAPEKA-MATUGA'!E47,'21.08 KAPEKA-MATUGA'!E47,'22.08 KAPEKA-MATUGA'!E47,'23.08 KAPEKA-MATUGA'!E47,'24.08 KAPEKA-MATUGA-24h'!E47,'25.08 KAPEEKA-MATUGA-24h'!E47,'26.08 KAPEKA-MATUGA'!E47))</f>
        <v>0.8</v>
      </c>
      <c r="E47" s="49">
        <f>0.6*(AVERAGE('20.08 KAPEKA-MATUGA'!E47,'21.08 KAPEKA-MATUGA'!E47,'22.08 KAPEKA-MATUGA'!E47,'23.08 KAPEKA-MATUGA'!E47,'24.08 KAPEKA-MATUGA-24h'!E47,'25.08 KAPEEKA-MATUGA-24h'!E47,'26.08 KAPEKA-MATUGA'!E47))</f>
        <v>1.2</v>
      </c>
      <c r="F47" s="49">
        <f>AVERAGE('20.08 KAPEKA-MATUGA'!F47,'21.08 KAPEKA-MATUGA'!F47,'22.08 KAPEKA-MATUGA'!F47,'23.08 KAPEKA-MATUGA'!F47,'24.08 KAPEKA-MATUGA-24h'!F47,'25.08 KAPEEKA-MATUGA-24h'!F47,'26.08 KAPEKA-MATUGA'!F47)</f>
        <v>2</v>
      </c>
      <c r="G47" s="49">
        <f>AVERAGE('20.08 KAPEKA-MATUGA'!G47,'21.08 KAPEKA-MATUGA'!G47,'22.08 KAPEKA-MATUGA'!G47,'23.08 KAPEKA-MATUGA'!G47,'24.08 KAPEKA-MATUGA-24h'!G47,'25.08 KAPEEKA-MATUGA-24h'!G47,'26.08 KAPEKA-MATUGA'!G47)</f>
        <v>0</v>
      </c>
      <c r="H47" s="49">
        <f>AVERAGE('20.08 KAPEKA-MATUGA'!H47,'21.08 KAPEKA-MATUGA'!H47,'22.08 KAPEKA-MATUGA'!H47,'23.08 KAPEKA-MATUGA'!H47,'24.08 KAPEKA-MATUGA-24h'!H47,'25.08 KAPEEKA-MATUGA-24h'!H47,'26.08 KAPEKA-MATUGA'!H47)</f>
        <v>0</v>
      </c>
      <c r="I47" s="49">
        <f>AVERAGE('20.08 KAPEKA-MATUGA'!I47,'21.08 KAPEKA-MATUGA'!I47,'22.08 KAPEKA-MATUGA'!I47,'23.08 KAPEKA-MATUGA'!I47,'24.08 KAPEKA-MATUGA-24h'!I47,'25.08 KAPEEKA-MATUGA-24h'!I47,'26.08 KAPEKA-MATUGA'!I47)</f>
        <v>2.5714285714285716</v>
      </c>
      <c r="J47" s="49">
        <f>AVERAGE('20.08 KAPEKA-MATUGA'!J47,'21.08 KAPEKA-MATUGA'!J47,'22.08 KAPEKA-MATUGA'!J47,'23.08 KAPEKA-MATUGA'!J47,'24.08 KAPEKA-MATUGA-24h'!J47,'25.08 KAPEEKA-MATUGA-24h'!J47,'26.08 KAPEKA-MATUGA'!J47)</f>
        <v>0.5714285714285714</v>
      </c>
      <c r="K47" s="49">
        <f>AVERAGE('20.08 KAPEKA-MATUGA'!K47,'21.08 KAPEKA-MATUGA'!K47,'22.08 KAPEKA-MATUGA'!K47,'23.08 KAPEKA-MATUGA'!K47,'24.08 KAPEKA-MATUGA-24h'!K47,'25.08 KAPEEKA-MATUGA-24h'!K47,'26.08 KAPEKA-MATUGA'!K47)</f>
        <v>0.2857142857142857</v>
      </c>
      <c r="L47" s="49">
        <f>AVERAGE('20.08 KAPEKA-MATUGA'!L47,'21.08 KAPEKA-MATUGA'!L47,'22.08 KAPEKA-MATUGA'!L47,'23.08 KAPEKA-MATUGA'!L47,'24.08 KAPEKA-MATUGA-24h'!L47,'25.08 KAPEEKA-MATUGA-24h'!L47,'26.08 KAPEKA-MATUGA'!L47)</f>
        <v>0.14285714285714285</v>
      </c>
      <c r="M47" s="49">
        <f>AVERAGE('20.08 KAPEKA-MATUGA'!M47,'21.08 KAPEKA-MATUGA'!M47,'22.08 KAPEKA-MATUGA'!M47,'23.08 KAPEKA-MATUGA'!M47,'24.08 KAPEKA-MATUGA-24h'!M47,'25.08 KAPEEKA-MATUGA-24h'!M47,'26.08 KAPEKA-MATUGA'!M47)</f>
        <v>20</v>
      </c>
      <c r="N47" s="49">
        <f>AVERAGE('20.08 KAPEKA-MATUGA'!N47,'21.08 KAPEKA-MATUGA'!N47,'22.08 KAPEKA-MATUGA'!N47,'23.08 KAPEKA-MATUGA'!N47,'24.08 KAPEKA-MATUGA-24h'!N47,'25.08 KAPEEKA-MATUGA-24h'!N47,'26.08 KAPEKA-MATUGA'!N47)</f>
        <v>0</v>
      </c>
      <c r="O47" s="15">
        <f t="shared" si="0"/>
        <v>9.2857142857142865</v>
      </c>
      <c r="P47" s="15">
        <f t="shared" si="1"/>
        <v>29.285714285714285</v>
      </c>
      <c r="R47" s="8"/>
      <c r="T47"/>
    </row>
    <row r="48" spans="2:32" ht="23.1" customHeight="1" x14ac:dyDescent="0.25">
      <c r="B48" s="24" t="s">
        <v>75</v>
      </c>
      <c r="C48" s="49">
        <f>AVERAGE('20.08 KAPEKA-MATUGA'!C48,'21.08 KAPEKA-MATUGA'!C48,'22.08 KAPEKA-MATUGA'!C48,'23.08 KAPEKA-MATUGA'!C48,'24.08 KAPEKA-MATUGA-24h'!C48,'25.08 KAPEEKA-MATUGA-24h'!C48,'26.08 KAPEKA-MATUGA'!C48)</f>
        <v>0.5714285714285714</v>
      </c>
      <c r="D48" s="49">
        <f>0.4*(AVERAGE('20.08 KAPEKA-MATUGA'!E48,'21.08 KAPEKA-MATUGA'!E48,'22.08 KAPEKA-MATUGA'!E48,'23.08 KAPEKA-MATUGA'!E48,'24.08 KAPEKA-MATUGA-24h'!E48,'25.08 KAPEEKA-MATUGA-24h'!E48,'26.08 KAPEKA-MATUGA'!E48))</f>
        <v>0.68571428571428572</v>
      </c>
      <c r="E48" s="49">
        <f>0.6*(AVERAGE('20.08 KAPEKA-MATUGA'!E48,'21.08 KAPEKA-MATUGA'!E48,'22.08 KAPEKA-MATUGA'!E48,'23.08 KAPEKA-MATUGA'!E48,'24.08 KAPEKA-MATUGA-24h'!E48,'25.08 KAPEEKA-MATUGA-24h'!E48,'26.08 KAPEKA-MATUGA'!E48))</f>
        <v>1.0285714285714285</v>
      </c>
      <c r="F48" s="49">
        <f>AVERAGE('20.08 KAPEKA-MATUGA'!F48,'21.08 KAPEKA-MATUGA'!F48,'22.08 KAPEKA-MATUGA'!F48,'23.08 KAPEKA-MATUGA'!F48,'24.08 KAPEKA-MATUGA-24h'!F48,'25.08 KAPEEKA-MATUGA-24h'!F48,'26.08 KAPEKA-MATUGA'!F48)</f>
        <v>1.4285714285714286</v>
      </c>
      <c r="G48" s="49">
        <f>AVERAGE('20.08 KAPEKA-MATUGA'!G48,'21.08 KAPEKA-MATUGA'!G48,'22.08 KAPEKA-MATUGA'!G48,'23.08 KAPEKA-MATUGA'!G48,'24.08 KAPEKA-MATUGA-24h'!G48,'25.08 KAPEEKA-MATUGA-24h'!G48,'26.08 KAPEKA-MATUGA'!G48)</f>
        <v>0.14285714285714285</v>
      </c>
      <c r="H48" s="49">
        <f>AVERAGE('20.08 KAPEKA-MATUGA'!H48,'21.08 KAPEKA-MATUGA'!H48,'22.08 KAPEKA-MATUGA'!H48,'23.08 KAPEKA-MATUGA'!H48,'24.08 KAPEKA-MATUGA-24h'!H48,'25.08 KAPEEKA-MATUGA-24h'!H48,'26.08 KAPEKA-MATUGA'!H48)</f>
        <v>0</v>
      </c>
      <c r="I48" s="49">
        <f>AVERAGE('20.08 KAPEKA-MATUGA'!I48,'21.08 KAPEKA-MATUGA'!I48,'22.08 KAPEKA-MATUGA'!I48,'23.08 KAPEKA-MATUGA'!I48,'24.08 KAPEKA-MATUGA-24h'!I48,'25.08 KAPEEKA-MATUGA-24h'!I48,'26.08 KAPEKA-MATUGA'!I48)</f>
        <v>2.7142857142857144</v>
      </c>
      <c r="J48" s="49">
        <f>AVERAGE('20.08 KAPEKA-MATUGA'!J48,'21.08 KAPEKA-MATUGA'!J48,'22.08 KAPEKA-MATUGA'!J48,'23.08 KAPEKA-MATUGA'!J48,'24.08 KAPEKA-MATUGA-24h'!J48,'25.08 KAPEEKA-MATUGA-24h'!J48,'26.08 KAPEKA-MATUGA'!J48)</f>
        <v>0.5714285714285714</v>
      </c>
      <c r="K48" s="49">
        <f>AVERAGE('20.08 KAPEKA-MATUGA'!K48,'21.08 KAPEKA-MATUGA'!K48,'22.08 KAPEKA-MATUGA'!K48,'23.08 KAPEKA-MATUGA'!K48,'24.08 KAPEKA-MATUGA-24h'!K48,'25.08 KAPEEKA-MATUGA-24h'!K48,'26.08 KAPEKA-MATUGA'!K48)</f>
        <v>0.2857142857142857</v>
      </c>
      <c r="L48" s="49">
        <f>AVERAGE('20.08 KAPEKA-MATUGA'!L48,'21.08 KAPEKA-MATUGA'!L48,'22.08 KAPEKA-MATUGA'!L48,'23.08 KAPEKA-MATUGA'!L48,'24.08 KAPEKA-MATUGA-24h'!L48,'25.08 KAPEEKA-MATUGA-24h'!L48,'26.08 KAPEKA-MATUGA'!L48)</f>
        <v>0.14285714285714285</v>
      </c>
      <c r="M48" s="49">
        <f>AVERAGE('20.08 KAPEKA-MATUGA'!M48,'21.08 KAPEKA-MATUGA'!M48,'22.08 KAPEKA-MATUGA'!M48,'23.08 KAPEKA-MATUGA'!M48,'24.08 KAPEKA-MATUGA-24h'!M48,'25.08 KAPEEKA-MATUGA-24h'!M48,'26.08 KAPEKA-MATUGA'!M48)</f>
        <v>15.428571428571429</v>
      </c>
      <c r="N48" s="49">
        <f>AVERAGE('20.08 KAPEKA-MATUGA'!N48,'21.08 KAPEKA-MATUGA'!N48,'22.08 KAPEKA-MATUGA'!N48,'23.08 KAPEKA-MATUGA'!N48,'24.08 KAPEKA-MATUGA-24h'!N48,'25.08 KAPEEKA-MATUGA-24h'!N48,'26.08 KAPEKA-MATUGA'!N48)</f>
        <v>0</v>
      </c>
      <c r="O48" s="15">
        <f t="shared" si="0"/>
        <v>7.5714285714285712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49">
        <f>AVERAGE('20.08 KAPEKA-MATUGA'!C49,'21.08 KAPEKA-MATUGA'!C49,'22.08 KAPEKA-MATUGA'!C49,'23.08 KAPEKA-MATUGA'!C49,'24.08 KAPEKA-MATUGA-24h'!C49,'25.08 KAPEEKA-MATUGA-24h'!C49,'26.08 KAPEKA-MATUGA'!C49)</f>
        <v>2</v>
      </c>
      <c r="D49" s="49">
        <f>0.4*(AVERAGE('20.08 KAPEKA-MATUGA'!E49,'21.08 KAPEKA-MATUGA'!E49,'22.08 KAPEKA-MATUGA'!E49,'23.08 KAPEKA-MATUGA'!E49,'24.08 KAPEKA-MATUGA-24h'!E49,'25.08 KAPEEKA-MATUGA-24h'!E49,'26.08 KAPEKA-MATUGA'!E49))</f>
        <v>1.0285714285714287</v>
      </c>
      <c r="E49" s="49">
        <f>0.6*(AVERAGE('20.08 KAPEKA-MATUGA'!E49,'21.08 KAPEKA-MATUGA'!E49,'22.08 KAPEKA-MATUGA'!E49,'23.08 KAPEKA-MATUGA'!E49,'24.08 KAPEKA-MATUGA-24h'!E49,'25.08 KAPEEKA-MATUGA-24h'!E49,'26.08 KAPEKA-MATUGA'!E49))</f>
        <v>1.5428571428571429</v>
      </c>
      <c r="F49" s="49">
        <f>AVERAGE('20.08 KAPEKA-MATUGA'!F49,'21.08 KAPEKA-MATUGA'!F49,'22.08 KAPEKA-MATUGA'!F49,'23.08 KAPEKA-MATUGA'!F49,'24.08 KAPEKA-MATUGA-24h'!F49,'25.08 KAPEEKA-MATUGA-24h'!F49,'26.08 KAPEKA-MATUGA'!F49)</f>
        <v>2</v>
      </c>
      <c r="G49" s="49">
        <f>AVERAGE('20.08 KAPEKA-MATUGA'!G49,'21.08 KAPEKA-MATUGA'!G49,'22.08 KAPEKA-MATUGA'!G49,'23.08 KAPEKA-MATUGA'!G49,'24.08 KAPEKA-MATUGA-24h'!G49,'25.08 KAPEEKA-MATUGA-24h'!G49,'26.08 KAPEKA-MATUGA'!G49)</f>
        <v>0</v>
      </c>
      <c r="H49" s="49">
        <f>AVERAGE('20.08 KAPEKA-MATUGA'!H49,'21.08 KAPEKA-MATUGA'!H49,'22.08 KAPEKA-MATUGA'!H49,'23.08 KAPEKA-MATUGA'!H49,'24.08 KAPEKA-MATUGA-24h'!H49,'25.08 KAPEEKA-MATUGA-24h'!H49,'26.08 KAPEKA-MATUGA'!H49)</f>
        <v>0</v>
      </c>
      <c r="I49" s="49">
        <f>AVERAGE('20.08 KAPEKA-MATUGA'!I49,'21.08 KAPEKA-MATUGA'!I49,'22.08 KAPEKA-MATUGA'!I49,'23.08 KAPEKA-MATUGA'!I49,'24.08 KAPEKA-MATUGA-24h'!I49,'25.08 KAPEEKA-MATUGA-24h'!I49,'26.08 KAPEKA-MATUGA'!I49)</f>
        <v>3.7142857142857144</v>
      </c>
      <c r="J49" s="49">
        <f>AVERAGE('20.08 KAPEKA-MATUGA'!J49,'21.08 KAPEKA-MATUGA'!J49,'22.08 KAPEKA-MATUGA'!J49,'23.08 KAPEKA-MATUGA'!J49,'24.08 KAPEKA-MATUGA-24h'!J49,'25.08 KAPEEKA-MATUGA-24h'!J49,'26.08 KAPEKA-MATUGA'!J49)</f>
        <v>0.42857142857142855</v>
      </c>
      <c r="K49" s="49">
        <f>AVERAGE('20.08 KAPEKA-MATUGA'!K49,'21.08 KAPEKA-MATUGA'!K49,'22.08 KAPEKA-MATUGA'!K49,'23.08 KAPEKA-MATUGA'!K49,'24.08 KAPEKA-MATUGA-24h'!K49,'25.08 KAPEEKA-MATUGA-24h'!K49,'26.08 KAPEKA-MATUGA'!K49)</f>
        <v>0</v>
      </c>
      <c r="L49" s="49">
        <f>AVERAGE('20.08 KAPEKA-MATUGA'!L49,'21.08 KAPEKA-MATUGA'!L49,'22.08 KAPEKA-MATUGA'!L49,'23.08 KAPEKA-MATUGA'!L49,'24.08 KAPEKA-MATUGA-24h'!L49,'25.08 KAPEEKA-MATUGA-24h'!L49,'26.08 KAPEKA-MATUGA'!L49)</f>
        <v>0.14285714285714285</v>
      </c>
      <c r="M49" s="49">
        <f>AVERAGE('20.08 KAPEKA-MATUGA'!M49,'21.08 KAPEKA-MATUGA'!M49,'22.08 KAPEKA-MATUGA'!M49,'23.08 KAPEKA-MATUGA'!M49,'24.08 KAPEKA-MATUGA-24h'!M49,'25.08 KAPEEKA-MATUGA-24h'!M49,'26.08 KAPEKA-MATUGA'!M49)</f>
        <v>19.285714285714285</v>
      </c>
      <c r="N49" s="49">
        <f>AVERAGE('20.08 KAPEKA-MATUGA'!N49,'21.08 KAPEKA-MATUGA'!N49,'22.08 KAPEKA-MATUGA'!N49,'23.08 KAPEKA-MATUGA'!N49,'24.08 KAPEKA-MATUGA-24h'!N49,'25.08 KAPEEKA-MATUGA-24h'!N49,'26.08 KAPEKA-MATUGA'!N49)</f>
        <v>0</v>
      </c>
      <c r="O49" s="15">
        <f t="shared" si="0"/>
        <v>10.857142857142856</v>
      </c>
      <c r="P49" s="15">
        <f t="shared" si="1"/>
        <v>30.142857142857139</v>
      </c>
      <c r="R49" s="8"/>
      <c r="T49"/>
    </row>
    <row r="50" spans="2:20" ht="23.1" customHeight="1" x14ac:dyDescent="0.25">
      <c r="B50" s="24" t="s">
        <v>77</v>
      </c>
      <c r="C50" s="49">
        <f>AVERAGE('20.08 KAPEKA-MATUGA'!C50,'21.08 KAPEKA-MATUGA'!C50,'22.08 KAPEKA-MATUGA'!C50,'23.08 KAPEKA-MATUGA'!C50,'24.08 KAPEKA-MATUGA-24h'!C50,'25.08 KAPEEKA-MATUGA-24h'!C50,'26.08 KAPEKA-MATUGA'!C50)</f>
        <v>1.5714285714285714</v>
      </c>
      <c r="D50" s="49">
        <f>0.4*(AVERAGE('20.08 KAPEKA-MATUGA'!E50,'21.08 KAPEKA-MATUGA'!E50,'22.08 KAPEKA-MATUGA'!E50,'23.08 KAPEKA-MATUGA'!E50,'24.08 KAPEKA-MATUGA-24h'!E50,'25.08 KAPEEKA-MATUGA-24h'!E50,'26.08 KAPEKA-MATUGA'!E50))</f>
        <v>0.91428571428571426</v>
      </c>
      <c r="E50" s="49">
        <f>0.6*(AVERAGE('20.08 KAPEKA-MATUGA'!E50,'21.08 KAPEKA-MATUGA'!E50,'22.08 KAPEKA-MATUGA'!E50,'23.08 KAPEKA-MATUGA'!E50,'24.08 KAPEKA-MATUGA-24h'!E50,'25.08 KAPEEKA-MATUGA-24h'!E50,'26.08 KAPEKA-MATUGA'!E50))</f>
        <v>1.3714285714285712</v>
      </c>
      <c r="F50" s="49">
        <f>AVERAGE('20.08 KAPEKA-MATUGA'!F50,'21.08 KAPEKA-MATUGA'!F50,'22.08 KAPEKA-MATUGA'!F50,'23.08 KAPEKA-MATUGA'!F50,'24.08 KAPEKA-MATUGA-24h'!F50,'25.08 KAPEEKA-MATUGA-24h'!F50,'26.08 KAPEKA-MATUGA'!F50)</f>
        <v>1.1428571428571428</v>
      </c>
      <c r="G50" s="49">
        <f>AVERAGE('20.08 KAPEKA-MATUGA'!G50,'21.08 KAPEKA-MATUGA'!G50,'22.08 KAPEKA-MATUGA'!G50,'23.08 KAPEKA-MATUGA'!G50,'24.08 KAPEKA-MATUGA-24h'!G50,'25.08 KAPEEKA-MATUGA-24h'!G50,'26.08 KAPEKA-MATUGA'!G50)</f>
        <v>0</v>
      </c>
      <c r="H50" s="49">
        <f>AVERAGE('20.08 KAPEKA-MATUGA'!H50,'21.08 KAPEKA-MATUGA'!H50,'22.08 KAPEKA-MATUGA'!H50,'23.08 KAPEKA-MATUGA'!H50,'24.08 KAPEKA-MATUGA-24h'!H50,'25.08 KAPEEKA-MATUGA-24h'!H50,'26.08 KAPEKA-MATUGA'!H50)</f>
        <v>0</v>
      </c>
      <c r="I50" s="49">
        <f>AVERAGE('20.08 KAPEKA-MATUGA'!I50,'21.08 KAPEKA-MATUGA'!I50,'22.08 KAPEKA-MATUGA'!I50,'23.08 KAPEKA-MATUGA'!I50,'24.08 KAPEKA-MATUGA-24h'!I50,'25.08 KAPEEKA-MATUGA-24h'!I50,'26.08 KAPEKA-MATUGA'!I50)</f>
        <v>3.2857142857142856</v>
      </c>
      <c r="J50" s="49">
        <f>AVERAGE('20.08 KAPEKA-MATUGA'!J50,'21.08 KAPEKA-MATUGA'!J50,'22.08 KAPEKA-MATUGA'!J50,'23.08 KAPEKA-MATUGA'!J50,'24.08 KAPEKA-MATUGA-24h'!J50,'25.08 KAPEEKA-MATUGA-24h'!J50,'26.08 KAPEKA-MATUGA'!J50)</f>
        <v>0.14285714285714285</v>
      </c>
      <c r="K50" s="49">
        <f>AVERAGE('20.08 KAPEKA-MATUGA'!K50,'21.08 KAPEKA-MATUGA'!K50,'22.08 KAPEKA-MATUGA'!K50,'23.08 KAPEKA-MATUGA'!K50,'24.08 KAPEKA-MATUGA-24h'!K50,'25.08 KAPEEKA-MATUGA-24h'!K50,'26.08 KAPEKA-MATUGA'!K50)</f>
        <v>0.7142857142857143</v>
      </c>
      <c r="L50" s="49">
        <f>AVERAGE('20.08 KAPEKA-MATUGA'!L50,'21.08 KAPEKA-MATUGA'!L50,'22.08 KAPEKA-MATUGA'!L50,'23.08 KAPEKA-MATUGA'!L50,'24.08 KAPEKA-MATUGA-24h'!L50,'25.08 KAPEEKA-MATUGA-24h'!L50,'26.08 KAPEKA-MATUGA'!L50)</f>
        <v>0.14285714285714285</v>
      </c>
      <c r="M50" s="49">
        <f>AVERAGE('20.08 KAPEKA-MATUGA'!M50,'21.08 KAPEKA-MATUGA'!M50,'22.08 KAPEKA-MATUGA'!M50,'23.08 KAPEKA-MATUGA'!M50,'24.08 KAPEKA-MATUGA-24h'!M50,'25.08 KAPEEKA-MATUGA-24h'!M50,'26.08 KAPEKA-MATUGA'!M50)</f>
        <v>19</v>
      </c>
      <c r="N50" s="49">
        <f>AVERAGE('20.08 KAPEKA-MATUGA'!N50,'21.08 KAPEKA-MATUGA'!N50,'22.08 KAPEKA-MATUGA'!N50,'23.08 KAPEKA-MATUGA'!N50,'24.08 KAPEKA-MATUGA-24h'!N50,'25.08 KAPEEKA-MATUGA-24h'!N50,'26.08 KAPEKA-MATUGA'!N50)</f>
        <v>0</v>
      </c>
      <c r="O50" s="15">
        <f t="shared" si="0"/>
        <v>9.2857142857142829</v>
      </c>
      <c r="P50" s="15">
        <f t="shared" si="1"/>
        <v>28.285714285714285</v>
      </c>
      <c r="R50" s="8"/>
      <c r="T50"/>
    </row>
    <row r="51" spans="2:20" ht="23.1" customHeight="1" x14ac:dyDescent="0.25">
      <c r="B51" s="24" t="s">
        <v>78</v>
      </c>
      <c r="C51" s="49">
        <f>AVERAGE('20.08 KAPEKA-MATUGA'!C51,'21.08 KAPEKA-MATUGA'!C51,'22.08 KAPEKA-MATUGA'!C51,'23.08 KAPEKA-MATUGA'!C51,'24.08 KAPEKA-MATUGA-24h'!C51,'25.08 KAPEEKA-MATUGA-24h'!C51,'26.08 KAPEKA-MATUGA'!C51)</f>
        <v>1.8571428571428572</v>
      </c>
      <c r="D51" s="49">
        <f>0.4*(AVERAGE('20.08 KAPEKA-MATUGA'!E51,'21.08 KAPEKA-MATUGA'!E51,'22.08 KAPEKA-MATUGA'!E51,'23.08 KAPEKA-MATUGA'!E51,'24.08 KAPEKA-MATUGA-24h'!E51,'25.08 KAPEEKA-MATUGA-24h'!E51,'26.08 KAPEKA-MATUGA'!E51))</f>
        <v>1.0857142857142859</v>
      </c>
      <c r="E51" s="49">
        <f>0.6*(AVERAGE('20.08 KAPEKA-MATUGA'!E51,'21.08 KAPEKA-MATUGA'!E51,'22.08 KAPEKA-MATUGA'!E51,'23.08 KAPEKA-MATUGA'!E51,'24.08 KAPEKA-MATUGA-24h'!E51,'25.08 KAPEEKA-MATUGA-24h'!E51,'26.08 KAPEKA-MATUGA'!E51))</f>
        <v>1.6285714285714286</v>
      </c>
      <c r="F51" s="49">
        <f>AVERAGE('20.08 KAPEKA-MATUGA'!F51,'21.08 KAPEKA-MATUGA'!F51,'22.08 KAPEKA-MATUGA'!F51,'23.08 KAPEKA-MATUGA'!F51,'24.08 KAPEKA-MATUGA-24h'!F51,'25.08 KAPEEKA-MATUGA-24h'!F51,'26.08 KAPEKA-MATUGA'!F51)</f>
        <v>2.1428571428571428</v>
      </c>
      <c r="G51" s="49">
        <f>AVERAGE('20.08 KAPEKA-MATUGA'!G51,'21.08 KAPEKA-MATUGA'!G51,'22.08 KAPEKA-MATUGA'!G51,'23.08 KAPEKA-MATUGA'!G51,'24.08 KAPEKA-MATUGA-24h'!G51,'25.08 KAPEEKA-MATUGA-24h'!G51,'26.08 KAPEKA-MATUGA'!G51)</f>
        <v>0</v>
      </c>
      <c r="H51" s="49">
        <f>AVERAGE('20.08 KAPEKA-MATUGA'!H51,'21.08 KAPEKA-MATUGA'!H51,'22.08 KAPEKA-MATUGA'!H51,'23.08 KAPEKA-MATUGA'!H51,'24.08 KAPEKA-MATUGA-24h'!H51,'25.08 KAPEEKA-MATUGA-24h'!H51,'26.08 KAPEKA-MATUGA'!H51)</f>
        <v>0</v>
      </c>
      <c r="I51" s="49">
        <f>AVERAGE('20.08 KAPEKA-MATUGA'!I51,'21.08 KAPEKA-MATUGA'!I51,'22.08 KAPEKA-MATUGA'!I51,'23.08 KAPEKA-MATUGA'!I51,'24.08 KAPEKA-MATUGA-24h'!I51,'25.08 KAPEEKA-MATUGA-24h'!I51,'26.08 KAPEKA-MATUGA'!I51)</f>
        <v>2.8571428571428572</v>
      </c>
      <c r="J51" s="49">
        <f>AVERAGE('20.08 KAPEKA-MATUGA'!J51,'21.08 KAPEKA-MATUGA'!J51,'22.08 KAPEKA-MATUGA'!J51,'23.08 KAPEKA-MATUGA'!J51,'24.08 KAPEKA-MATUGA-24h'!J51,'25.08 KAPEEKA-MATUGA-24h'!J51,'26.08 KAPEKA-MATUGA'!J51)</f>
        <v>0.5714285714285714</v>
      </c>
      <c r="K51" s="49">
        <f>AVERAGE('20.08 KAPEKA-MATUGA'!K51,'21.08 KAPEKA-MATUGA'!K51,'22.08 KAPEKA-MATUGA'!K51,'23.08 KAPEKA-MATUGA'!K51,'24.08 KAPEKA-MATUGA-24h'!K51,'25.08 KAPEEKA-MATUGA-24h'!K51,'26.08 KAPEKA-MATUGA'!K51)</f>
        <v>0.8571428571428571</v>
      </c>
      <c r="L51" s="49">
        <f>AVERAGE('20.08 KAPEKA-MATUGA'!L51,'21.08 KAPEKA-MATUGA'!L51,'22.08 KAPEKA-MATUGA'!L51,'23.08 KAPEKA-MATUGA'!L51,'24.08 KAPEKA-MATUGA-24h'!L51,'25.08 KAPEEKA-MATUGA-24h'!L51,'26.08 KAPEKA-MATUGA'!L51)</f>
        <v>0.14285714285714285</v>
      </c>
      <c r="M51" s="49">
        <f>AVERAGE('20.08 KAPEKA-MATUGA'!M51,'21.08 KAPEKA-MATUGA'!M51,'22.08 KAPEKA-MATUGA'!M51,'23.08 KAPEKA-MATUGA'!M51,'24.08 KAPEKA-MATUGA-24h'!M51,'25.08 KAPEEKA-MATUGA-24h'!M51,'26.08 KAPEKA-MATUGA'!M51)</f>
        <v>20.714285714285715</v>
      </c>
      <c r="N51" s="49">
        <f>AVERAGE('20.08 KAPEKA-MATUGA'!N51,'21.08 KAPEKA-MATUGA'!N51,'22.08 KAPEKA-MATUGA'!N51,'23.08 KAPEKA-MATUGA'!N51,'24.08 KAPEKA-MATUGA-24h'!N51,'25.08 KAPEEKA-MATUGA-24h'!N51,'26.08 KAPEKA-MATUGA'!N51)</f>
        <v>0</v>
      </c>
      <c r="O51" s="15">
        <f t="shared" si="0"/>
        <v>11.142857142857142</v>
      </c>
      <c r="P51" s="15">
        <f t="shared" si="1"/>
        <v>31.857142857142858</v>
      </c>
      <c r="R51" s="8"/>
      <c r="T51"/>
    </row>
    <row r="52" spans="2:20" ht="23.1" customHeight="1" x14ac:dyDescent="0.25">
      <c r="B52" s="24" t="s">
        <v>79</v>
      </c>
      <c r="C52" s="49">
        <f>AVERAGE('20.08 KAPEKA-MATUGA'!C52,'21.08 KAPEKA-MATUGA'!C52,'22.08 KAPEKA-MATUGA'!C52,'23.08 KAPEKA-MATUGA'!C52,'24.08 KAPEKA-MATUGA-24h'!C52,'25.08 KAPEEKA-MATUGA-24h'!C52,'26.08 KAPEKA-MATUGA'!C52)</f>
        <v>1.5714285714285714</v>
      </c>
      <c r="D52" s="49">
        <f>0.4*(AVERAGE('20.08 KAPEKA-MATUGA'!E52,'21.08 KAPEKA-MATUGA'!E52,'22.08 KAPEKA-MATUGA'!E52,'23.08 KAPEKA-MATUGA'!E52,'24.08 KAPEKA-MATUGA-24h'!E52,'25.08 KAPEEKA-MATUGA-24h'!E52,'26.08 KAPEKA-MATUGA'!E52))</f>
        <v>1.142857142857143</v>
      </c>
      <c r="E52" s="49">
        <f>0.6*(AVERAGE('20.08 KAPEKA-MATUGA'!E52,'21.08 KAPEKA-MATUGA'!E52,'22.08 KAPEKA-MATUGA'!E52,'23.08 KAPEKA-MATUGA'!E52,'24.08 KAPEKA-MATUGA-24h'!E52,'25.08 KAPEEKA-MATUGA-24h'!E52,'26.08 KAPEKA-MATUGA'!E52))</f>
        <v>1.7142857142857142</v>
      </c>
      <c r="F52" s="49">
        <f>AVERAGE('20.08 KAPEKA-MATUGA'!F52,'21.08 KAPEKA-MATUGA'!F52,'22.08 KAPEKA-MATUGA'!F52,'23.08 KAPEKA-MATUGA'!F52,'24.08 KAPEKA-MATUGA-24h'!F52,'25.08 KAPEEKA-MATUGA-24h'!F52,'26.08 KAPEKA-MATUGA'!F52)</f>
        <v>1.5714285714285714</v>
      </c>
      <c r="G52" s="49">
        <f>AVERAGE('20.08 KAPEKA-MATUGA'!G52,'21.08 KAPEKA-MATUGA'!G52,'22.08 KAPEKA-MATUGA'!G52,'23.08 KAPEKA-MATUGA'!G52,'24.08 KAPEKA-MATUGA-24h'!G52,'25.08 KAPEEKA-MATUGA-24h'!G52,'26.08 KAPEKA-MATUGA'!G52)</f>
        <v>0</v>
      </c>
      <c r="H52" s="49">
        <f>AVERAGE('20.08 KAPEKA-MATUGA'!H52,'21.08 KAPEKA-MATUGA'!H52,'22.08 KAPEKA-MATUGA'!H52,'23.08 KAPEKA-MATUGA'!H52,'24.08 KAPEKA-MATUGA-24h'!H52,'25.08 KAPEEKA-MATUGA-24h'!H52,'26.08 KAPEKA-MATUGA'!H52)</f>
        <v>0</v>
      </c>
      <c r="I52" s="49">
        <f>AVERAGE('20.08 KAPEKA-MATUGA'!I52,'21.08 KAPEKA-MATUGA'!I52,'22.08 KAPEKA-MATUGA'!I52,'23.08 KAPEKA-MATUGA'!I52,'24.08 KAPEKA-MATUGA-24h'!I52,'25.08 KAPEEKA-MATUGA-24h'!I52,'26.08 KAPEKA-MATUGA'!I52)</f>
        <v>2.1428571428571428</v>
      </c>
      <c r="J52" s="49">
        <f>AVERAGE('20.08 KAPEKA-MATUGA'!J52,'21.08 KAPEKA-MATUGA'!J52,'22.08 KAPEKA-MATUGA'!J52,'23.08 KAPEKA-MATUGA'!J52,'24.08 KAPEKA-MATUGA-24h'!J52,'25.08 KAPEEKA-MATUGA-24h'!J52,'26.08 KAPEKA-MATUGA'!J52)</f>
        <v>0.5714285714285714</v>
      </c>
      <c r="K52" s="49">
        <f>AVERAGE('20.08 KAPEKA-MATUGA'!K52,'21.08 KAPEKA-MATUGA'!K52,'22.08 KAPEKA-MATUGA'!K52,'23.08 KAPEKA-MATUGA'!K52,'24.08 KAPEKA-MATUGA-24h'!K52,'25.08 KAPEEKA-MATUGA-24h'!K52,'26.08 KAPEKA-MATUGA'!K52)</f>
        <v>0.2857142857142857</v>
      </c>
      <c r="L52" s="49">
        <f>AVERAGE('20.08 KAPEKA-MATUGA'!L52,'21.08 KAPEKA-MATUGA'!L52,'22.08 KAPEKA-MATUGA'!L52,'23.08 KAPEKA-MATUGA'!L52,'24.08 KAPEKA-MATUGA-24h'!L52,'25.08 KAPEEKA-MATUGA-24h'!L52,'26.08 KAPEKA-MATUGA'!L52)</f>
        <v>0.14285714285714285</v>
      </c>
      <c r="M52" s="49">
        <f>AVERAGE('20.08 KAPEKA-MATUGA'!M52,'21.08 KAPEKA-MATUGA'!M52,'22.08 KAPEKA-MATUGA'!M52,'23.08 KAPEKA-MATUGA'!M52,'24.08 KAPEKA-MATUGA-24h'!M52,'25.08 KAPEEKA-MATUGA-24h'!M52,'26.08 KAPEKA-MATUGA'!M52)</f>
        <v>26.714285714285715</v>
      </c>
      <c r="N52" s="49">
        <f>AVERAGE('20.08 KAPEKA-MATUGA'!N52,'21.08 KAPEKA-MATUGA'!N52,'22.08 KAPEKA-MATUGA'!N52,'23.08 KAPEKA-MATUGA'!N52,'24.08 KAPEKA-MATUGA-24h'!N52,'25.08 KAPEEKA-MATUGA-24h'!N52,'26.08 KAPEKA-MATUGA'!N52)</f>
        <v>0</v>
      </c>
      <c r="O52" s="15">
        <f t="shared" si="0"/>
        <v>9.1428571428571423</v>
      </c>
      <c r="P52" s="15">
        <f t="shared" si="1"/>
        <v>35.857142857142861</v>
      </c>
      <c r="R52" s="8"/>
      <c r="T52"/>
    </row>
    <row r="53" spans="2:20" ht="23.1" customHeight="1" x14ac:dyDescent="0.25">
      <c r="B53" s="23" t="s">
        <v>80</v>
      </c>
      <c r="C53" s="49">
        <f>AVERAGE('20.08 KAPEKA-MATUGA'!C53,'21.08 KAPEKA-MATUGA'!C53,'22.08 KAPEKA-MATUGA'!C53,'23.08 KAPEKA-MATUGA'!C53,'24.08 KAPEKA-MATUGA-24h'!C53,'25.08 KAPEEKA-MATUGA-24h'!C53,'26.08 KAPEKA-MATUGA'!C53)</f>
        <v>3.1428571428571428</v>
      </c>
      <c r="D53" s="49">
        <f>0.4*(AVERAGE('20.08 KAPEKA-MATUGA'!E53,'21.08 KAPEKA-MATUGA'!E53,'22.08 KAPEKA-MATUGA'!E53,'23.08 KAPEKA-MATUGA'!E53,'24.08 KAPEKA-MATUGA-24h'!E53,'25.08 KAPEEKA-MATUGA-24h'!E53,'26.08 KAPEKA-MATUGA'!E53))</f>
        <v>0.8</v>
      </c>
      <c r="E53" s="49">
        <f>0.6*(AVERAGE('20.08 KAPEKA-MATUGA'!E53,'21.08 KAPEKA-MATUGA'!E53,'22.08 KAPEKA-MATUGA'!E53,'23.08 KAPEKA-MATUGA'!E53,'24.08 KAPEKA-MATUGA-24h'!E53,'25.08 KAPEEKA-MATUGA-24h'!E53,'26.08 KAPEKA-MATUGA'!E53))</f>
        <v>1.2</v>
      </c>
      <c r="F53" s="49">
        <f>AVERAGE('20.08 KAPEKA-MATUGA'!F53,'21.08 KAPEKA-MATUGA'!F53,'22.08 KAPEKA-MATUGA'!F53,'23.08 KAPEKA-MATUGA'!F53,'24.08 KAPEKA-MATUGA-24h'!F53,'25.08 KAPEEKA-MATUGA-24h'!F53,'26.08 KAPEKA-MATUGA'!F53)</f>
        <v>1.2857142857142858</v>
      </c>
      <c r="G53" s="49">
        <f>AVERAGE('20.08 KAPEKA-MATUGA'!G53,'21.08 KAPEKA-MATUGA'!G53,'22.08 KAPEKA-MATUGA'!G53,'23.08 KAPEKA-MATUGA'!G53,'24.08 KAPEKA-MATUGA-24h'!G53,'25.08 KAPEEKA-MATUGA-24h'!G53,'26.08 KAPEKA-MATUGA'!G53)</f>
        <v>0</v>
      </c>
      <c r="H53" s="49">
        <f>AVERAGE('20.08 KAPEKA-MATUGA'!H53,'21.08 KAPEKA-MATUGA'!H53,'22.08 KAPEKA-MATUGA'!H53,'23.08 KAPEKA-MATUGA'!H53,'24.08 KAPEKA-MATUGA-24h'!H53,'25.08 KAPEEKA-MATUGA-24h'!H53,'26.08 KAPEKA-MATUGA'!H53)</f>
        <v>0</v>
      </c>
      <c r="I53" s="49">
        <f>AVERAGE('20.08 KAPEKA-MATUGA'!I53,'21.08 KAPEKA-MATUGA'!I53,'22.08 KAPEKA-MATUGA'!I53,'23.08 KAPEKA-MATUGA'!I53,'24.08 KAPEKA-MATUGA-24h'!I53,'25.08 KAPEEKA-MATUGA-24h'!I53,'26.08 KAPEKA-MATUGA'!I53)</f>
        <v>2.4285714285714284</v>
      </c>
      <c r="J53" s="49">
        <f>AVERAGE('20.08 KAPEKA-MATUGA'!J53,'21.08 KAPEKA-MATUGA'!J53,'22.08 KAPEKA-MATUGA'!J53,'23.08 KAPEKA-MATUGA'!J53,'24.08 KAPEKA-MATUGA-24h'!J53,'25.08 KAPEEKA-MATUGA-24h'!J53,'26.08 KAPEKA-MATUGA'!J53)</f>
        <v>0.42857142857142855</v>
      </c>
      <c r="K53" s="49">
        <f>AVERAGE('20.08 KAPEKA-MATUGA'!K53,'21.08 KAPEKA-MATUGA'!K53,'22.08 KAPEKA-MATUGA'!K53,'23.08 KAPEKA-MATUGA'!K53,'24.08 KAPEKA-MATUGA-24h'!K53,'25.08 KAPEEKA-MATUGA-24h'!K53,'26.08 KAPEKA-MATUGA'!K53)</f>
        <v>0.5714285714285714</v>
      </c>
      <c r="L53" s="49">
        <f>AVERAGE('20.08 KAPEKA-MATUGA'!L53,'21.08 KAPEKA-MATUGA'!L53,'22.08 KAPEKA-MATUGA'!L53,'23.08 KAPEKA-MATUGA'!L53,'24.08 KAPEKA-MATUGA-24h'!L53,'25.08 KAPEEKA-MATUGA-24h'!L53,'26.08 KAPEKA-MATUGA'!L53)</f>
        <v>0.14285714285714285</v>
      </c>
      <c r="M53" s="49">
        <f>AVERAGE('20.08 KAPEKA-MATUGA'!M53,'21.08 KAPEKA-MATUGA'!M53,'22.08 KAPEKA-MATUGA'!M53,'23.08 KAPEKA-MATUGA'!M53,'24.08 KAPEKA-MATUGA-24h'!M53,'25.08 KAPEEKA-MATUGA-24h'!M53,'26.08 KAPEKA-MATUGA'!M53)</f>
        <v>22.571428571428573</v>
      </c>
      <c r="N53" s="49">
        <f>AVERAGE('20.08 KAPEKA-MATUGA'!N53,'21.08 KAPEKA-MATUGA'!N53,'22.08 KAPEKA-MATUGA'!N53,'23.08 KAPEKA-MATUGA'!N53,'24.08 KAPEKA-MATUGA-24h'!N53,'25.08 KAPEEKA-MATUGA-24h'!N53,'26.08 KAPEKA-MATUGA'!N53)</f>
        <v>0</v>
      </c>
      <c r="O53" s="15">
        <f t="shared" si="0"/>
        <v>10</v>
      </c>
      <c r="P53" s="15">
        <f t="shared" si="1"/>
        <v>32.571428571428569</v>
      </c>
      <c r="R53" s="8"/>
      <c r="T53"/>
    </row>
    <row r="54" spans="2:20" ht="23.1" customHeight="1" x14ac:dyDescent="0.25">
      <c r="B54" s="23" t="s">
        <v>81</v>
      </c>
      <c r="C54" s="49">
        <f>AVERAGE('20.08 KAPEKA-MATUGA'!C54,'21.08 KAPEKA-MATUGA'!C54,'22.08 KAPEKA-MATUGA'!C54,'23.08 KAPEKA-MATUGA'!C54,'24.08 KAPEKA-MATUGA-24h'!C54,'25.08 KAPEEKA-MATUGA-24h'!C54,'26.08 KAPEKA-MATUGA'!C54)</f>
        <v>1.2857142857142858</v>
      </c>
      <c r="D54" s="49">
        <f>0.4*(AVERAGE('20.08 KAPEKA-MATUGA'!E54,'21.08 KAPEKA-MATUGA'!E54,'22.08 KAPEKA-MATUGA'!E54,'23.08 KAPEKA-MATUGA'!E54,'24.08 KAPEKA-MATUGA-24h'!E54,'25.08 KAPEEKA-MATUGA-24h'!E54,'26.08 KAPEKA-MATUGA'!E54))</f>
        <v>1.0857142857142859</v>
      </c>
      <c r="E54" s="49">
        <f>0.6*(AVERAGE('20.08 KAPEKA-MATUGA'!E54,'21.08 KAPEKA-MATUGA'!E54,'22.08 KAPEKA-MATUGA'!E54,'23.08 KAPEKA-MATUGA'!E54,'24.08 KAPEKA-MATUGA-24h'!E54,'25.08 KAPEEKA-MATUGA-24h'!E54,'26.08 KAPEKA-MATUGA'!E54))</f>
        <v>1.6285714285714286</v>
      </c>
      <c r="F54" s="49">
        <f>AVERAGE('20.08 KAPEKA-MATUGA'!F54,'21.08 KAPEKA-MATUGA'!F54,'22.08 KAPEKA-MATUGA'!F54,'23.08 KAPEKA-MATUGA'!F54,'24.08 KAPEKA-MATUGA-24h'!F54,'25.08 KAPEEKA-MATUGA-24h'!F54,'26.08 KAPEKA-MATUGA'!F54)</f>
        <v>1</v>
      </c>
      <c r="G54" s="49">
        <f>AVERAGE('20.08 KAPEKA-MATUGA'!G54,'21.08 KAPEKA-MATUGA'!G54,'22.08 KAPEKA-MATUGA'!G54,'23.08 KAPEKA-MATUGA'!G54,'24.08 KAPEKA-MATUGA-24h'!G54,'25.08 KAPEEKA-MATUGA-24h'!G54,'26.08 KAPEKA-MATUGA'!G54)</f>
        <v>0</v>
      </c>
      <c r="H54" s="49">
        <f>AVERAGE('20.08 KAPEKA-MATUGA'!H54,'21.08 KAPEKA-MATUGA'!H54,'22.08 KAPEKA-MATUGA'!H54,'23.08 KAPEKA-MATUGA'!H54,'24.08 KAPEKA-MATUGA-24h'!H54,'25.08 KAPEEKA-MATUGA-24h'!H54,'26.08 KAPEKA-MATUGA'!H54)</f>
        <v>0</v>
      </c>
      <c r="I54" s="49">
        <f>AVERAGE('20.08 KAPEKA-MATUGA'!I54,'21.08 KAPEKA-MATUGA'!I54,'22.08 KAPEKA-MATUGA'!I54,'23.08 KAPEKA-MATUGA'!I54,'24.08 KAPEKA-MATUGA-24h'!I54,'25.08 KAPEEKA-MATUGA-24h'!I54,'26.08 KAPEKA-MATUGA'!I54)</f>
        <v>2.1428571428571428</v>
      </c>
      <c r="J54" s="49">
        <f>AVERAGE('20.08 KAPEKA-MATUGA'!J54,'21.08 KAPEKA-MATUGA'!J54,'22.08 KAPEKA-MATUGA'!J54,'23.08 KAPEKA-MATUGA'!J54,'24.08 KAPEKA-MATUGA-24h'!J54,'25.08 KAPEEKA-MATUGA-24h'!J54,'26.08 KAPEKA-MATUGA'!J54)</f>
        <v>0.5714285714285714</v>
      </c>
      <c r="K54" s="49">
        <f>AVERAGE('20.08 KAPEKA-MATUGA'!K54,'21.08 KAPEKA-MATUGA'!K54,'22.08 KAPEKA-MATUGA'!K54,'23.08 KAPEKA-MATUGA'!K54,'24.08 KAPEKA-MATUGA-24h'!K54,'25.08 KAPEEKA-MATUGA-24h'!K54,'26.08 KAPEKA-MATUGA'!K54)</f>
        <v>0.42857142857142855</v>
      </c>
      <c r="L54" s="49">
        <f>AVERAGE('20.08 KAPEKA-MATUGA'!L54,'21.08 KAPEKA-MATUGA'!L54,'22.08 KAPEKA-MATUGA'!L54,'23.08 KAPEKA-MATUGA'!L54,'24.08 KAPEKA-MATUGA-24h'!L54,'25.08 KAPEEKA-MATUGA-24h'!L54,'26.08 KAPEKA-MATUGA'!L54)</f>
        <v>0.14285714285714285</v>
      </c>
      <c r="M54" s="49">
        <f>AVERAGE('20.08 KAPEKA-MATUGA'!M54,'21.08 KAPEKA-MATUGA'!M54,'22.08 KAPEKA-MATUGA'!M54,'23.08 KAPEKA-MATUGA'!M54,'24.08 KAPEKA-MATUGA-24h'!M54,'25.08 KAPEEKA-MATUGA-24h'!M54,'26.08 KAPEKA-MATUGA'!M54)</f>
        <v>27.714285714285715</v>
      </c>
      <c r="N54" s="49">
        <f>AVERAGE('20.08 KAPEKA-MATUGA'!N54,'21.08 KAPEKA-MATUGA'!N54,'22.08 KAPEKA-MATUGA'!N54,'23.08 KAPEKA-MATUGA'!N54,'24.08 KAPEKA-MATUGA-24h'!N54,'25.08 KAPEEKA-MATUGA-24h'!N54,'26.08 KAPEKA-MATUGA'!N54)</f>
        <v>0</v>
      </c>
      <c r="O54" s="15">
        <f t="shared" si="0"/>
        <v>8.2857142857142847</v>
      </c>
      <c r="P54" s="15">
        <f t="shared" si="1"/>
        <v>36</v>
      </c>
      <c r="R54" s="8"/>
      <c r="T54"/>
    </row>
    <row r="55" spans="2:20" ht="23.1" customHeight="1" x14ac:dyDescent="0.25">
      <c r="B55" s="23" t="s">
        <v>82</v>
      </c>
      <c r="C55" s="49">
        <f>AVERAGE('20.08 KAPEKA-MATUGA'!C55,'21.08 KAPEKA-MATUGA'!C55,'22.08 KAPEKA-MATUGA'!C55,'23.08 KAPEKA-MATUGA'!C55,'24.08 KAPEKA-MATUGA-24h'!C55,'25.08 KAPEEKA-MATUGA-24h'!C55,'26.08 KAPEKA-MATUGA'!C55)</f>
        <v>1.4285714285714286</v>
      </c>
      <c r="D55" s="49">
        <f>0.4*(AVERAGE('20.08 KAPEKA-MATUGA'!E55,'21.08 KAPEKA-MATUGA'!E55,'22.08 KAPEKA-MATUGA'!E55,'23.08 KAPEKA-MATUGA'!E55,'24.08 KAPEKA-MATUGA-24h'!E55,'25.08 KAPEEKA-MATUGA-24h'!E55,'26.08 KAPEKA-MATUGA'!E55))</f>
        <v>0.97142857142857142</v>
      </c>
      <c r="E55" s="49">
        <f>0.6*(AVERAGE('20.08 KAPEKA-MATUGA'!E55,'21.08 KAPEKA-MATUGA'!E55,'22.08 KAPEKA-MATUGA'!E55,'23.08 KAPEKA-MATUGA'!E55,'24.08 KAPEKA-MATUGA-24h'!E55,'25.08 KAPEEKA-MATUGA-24h'!E55,'26.08 KAPEKA-MATUGA'!E55))</f>
        <v>1.4571428571428571</v>
      </c>
      <c r="F55" s="49">
        <f>AVERAGE('20.08 KAPEKA-MATUGA'!F55,'21.08 KAPEKA-MATUGA'!F55,'22.08 KAPEKA-MATUGA'!F55,'23.08 KAPEKA-MATUGA'!F55,'24.08 KAPEKA-MATUGA-24h'!F55,'25.08 KAPEEKA-MATUGA-24h'!F55,'26.08 KAPEKA-MATUGA'!F55)</f>
        <v>1.2857142857142858</v>
      </c>
      <c r="G55" s="49">
        <f>AVERAGE('20.08 KAPEKA-MATUGA'!G55,'21.08 KAPEKA-MATUGA'!G55,'22.08 KAPEKA-MATUGA'!G55,'23.08 KAPEKA-MATUGA'!G55,'24.08 KAPEKA-MATUGA-24h'!G55,'25.08 KAPEEKA-MATUGA-24h'!G55,'26.08 KAPEKA-MATUGA'!G55)</f>
        <v>0.14285714285714285</v>
      </c>
      <c r="H55" s="49">
        <f>AVERAGE('20.08 KAPEKA-MATUGA'!H55,'21.08 KAPEKA-MATUGA'!H55,'22.08 KAPEKA-MATUGA'!H55,'23.08 KAPEKA-MATUGA'!H55,'24.08 KAPEKA-MATUGA-24h'!H55,'25.08 KAPEEKA-MATUGA-24h'!H55,'26.08 KAPEKA-MATUGA'!H55)</f>
        <v>0</v>
      </c>
      <c r="I55" s="49">
        <f>AVERAGE('20.08 KAPEKA-MATUGA'!I55,'21.08 KAPEKA-MATUGA'!I55,'22.08 KAPEKA-MATUGA'!I55,'23.08 KAPEKA-MATUGA'!I55,'24.08 KAPEKA-MATUGA-24h'!I55,'25.08 KAPEEKA-MATUGA-24h'!I55,'26.08 KAPEKA-MATUGA'!I55)</f>
        <v>3.1428571428571428</v>
      </c>
      <c r="J55" s="49">
        <f>AVERAGE('20.08 KAPEKA-MATUGA'!J55,'21.08 KAPEKA-MATUGA'!J55,'22.08 KAPEKA-MATUGA'!J55,'23.08 KAPEKA-MATUGA'!J55,'24.08 KAPEKA-MATUGA-24h'!J55,'25.08 KAPEEKA-MATUGA-24h'!J55,'26.08 KAPEKA-MATUGA'!J55)</f>
        <v>0.7142857142857143</v>
      </c>
      <c r="K55" s="49">
        <f>AVERAGE('20.08 KAPEKA-MATUGA'!K55,'21.08 KAPEKA-MATUGA'!K55,'22.08 KAPEKA-MATUGA'!K55,'23.08 KAPEKA-MATUGA'!K55,'24.08 KAPEKA-MATUGA-24h'!K55,'25.08 KAPEEKA-MATUGA-24h'!K55,'26.08 KAPEKA-MATUGA'!K55)</f>
        <v>0.42857142857142855</v>
      </c>
      <c r="L55" s="49">
        <f>AVERAGE('20.08 KAPEKA-MATUGA'!L55,'21.08 KAPEKA-MATUGA'!L55,'22.08 KAPEKA-MATUGA'!L55,'23.08 KAPEKA-MATUGA'!L55,'24.08 KAPEKA-MATUGA-24h'!L55,'25.08 KAPEEKA-MATUGA-24h'!L55,'26.08 KAPEKA-MATUGA'!L55)</f>
        <v>0.14285714285714285</v>
      </c>
      <c r="M55" s="49">
        <f>AVERAGE('20.08 KAPEKA-MATUGA'!M55,'21.08 KAPEKA-MATUGA'!M55,'22.08 KAPEKA-MATUGA'!M55,'23.08 KAPEKA-MATUGA'!M55,'24.08 KAPEKA-MATUGA-24h'!M55,'25.08 KAPEEKA-MATUGA-24h'!M55,'26.08 KAPEKA-MATUGA'!M55)</f>
        <v>21.714285714285715</v>
      </c>
      <c r="N55" s="49">
        <f>AVERAGE('20.08 KAPEKA-MATUGA'!N55,'21.08 KAPEKA-MATUGA'!N55,'22.08 KAPEKA-MATUGA'!N55,'23.08 KAPEKA-MATUGA'!N55,'24.08 KAPEKA-MATUGA-24h'!N55,'25.08 KAPEEKA-MATUGA-24h'!N55,'26.08 KAPEKA-MATUGA'!N55)</f>
        <v>0</v>
      </c>
      <c r="O55" s="15">
        <f t="shared" si="0"/>
        <v>9.7142857142857135</v>
      </c>
      <c r="P55" s="15">
        <f t="shared" si="1"/>
        <v>31.428571428571431</v>
      </c>
      <c r="R55" s="8"/>
      <c r="T55"/>
    </row>
    <row r="56" spans="2:20" ht="23.1" customHeight="1" x14ac:dyDescent="0.25">
      <c r="B56" s="23" t="s">
        <v>83</v>
      </c>
      <c r="C56" s="49">
        <f>AVERAGE('20.08 KAPEKA-MATUGA'!C56,'21.08 KAPEKA-MATUGA'!C56,'22.08 KAPEKA-MATUGA'!C56,'23.08 KAPEKA-MATUGA'!C56,'24.08 KAPEKA-MATUGA-24h'!C56,'25.08 KAPEEKA-MATUGA-24h'!C56,'26.08 KAPEKA-MATUGA'!C56)</f>
        <v>1.2857142857142858</v>
      </c>
      <c r="D56" s="49">
        <f>0.4*(AVERAGE('20.08 KAPEKA-MATUGA'!E56,'21.08 KAPEKA-MATUGA'!E56,'22.08 KAPEKA-MATUGA'!E56,'23.08 KAPEKA-MATUGA'!E56,'24.08 KAPEKA-MATUGA-24h'!E56,'25.08 KAPEEKA-MATUGA-24h'!E56,'26.08 KAPEKA-MATUGA'!E56))</f>
        <v>0.68571428571428572</v>
      </c>
      <c r="E56" s="49">
        <f>0.6*(AVERAGE('20.08 KAPEKA-MATUGA'!E56,'21.08 KAPEKA-MATUGA'!E56,'22.08 KAPEKA-MATUGA'!E56,'23.08 KAPEKA-MATUGA'!E56,'24.08 KAPEKA-MATUGA-24h'!E56,'25.08 KAPEEKA-MATUGA-24h'!E56,'26.08 KAPEKA-MATUGA'!E56))</f>
        <v>1.0285714285714285</v>
      </c>
      <c r="F56" s="49">
        <f>AVERAGE('20.08 KAPEKA-MATUGA'!F56,'21.08 KAPEKA-MATUGA'!F56,'22.08 KAPEKA-MATUGA'!F56,'23.08 KAPEKA-MATUGA'!F56,'24.08 KAPEKA-MATUGA-24h'!F56,'25.08 KAPEEKA-MATUGA-24h'!F56,'26.08 KAPEKA-MATUGA'!F56)</f>
        <v>2.1428571428571428</v>
      </c>
      <c r="G56" s="49">
        <f>AVERAGE('20.08 KAPEKA-MATUGA'!G56,'21.08 KAPEKA-MATUGA'!G56,'22.08 KAPEKA-MATUGA'!G56,'23.08 KAPEKA-MATUGA'!G56,'24.08 KAPEKA-MATUGA-24h'!G56,'25.08 KAPEEKA-MATUGA-24h'!G56,'26.08 KAPEKA-MATUGA'!G56)</f>
        <v>0</v>
      </c>
      <c r="H56" s="49">
        <f>AVERAGE('20.08 KAPEKA-MATUGA'!H56,'21.08 KAPEKA-MATUGA'!H56,'22.08 KAPEKA-MATUGA'!H56,'23.08 KAPEKA-MATUGA'!H56,'24.08 KAPEKA-MATUGA-24h'!H56,'25.08 KAPEEKA-MATUGA-24h'!H56,'26.08 KAPEKA-MATUGA'!H56)</f>
        <v>0</v>
      </c>
      <c r="I56" s="49">
        <f>AVERAGE('20.08 KAPEKA-MATUGA'!I56,'21.08 KAPEKA-MATUGA'!I56,'22.08 KAPEKA-MATUGA'!I56,'23.08 KAPEKA-MATUGA'!I56,'24.08 KAPEKA-MATUGA-24h'!I56,'25.08 KAPEEKA-MATUGA-24h'!I56,'26.08 KAPEKA-MATUGA'!I56)</f>
        <v>2.1428571428571428</v>
      </c>
      <c r="J56" s="49">
        <f>AVERAGE('20.08 KAPEKA-MATUGA'!J56,'21.08 KAPEKA-MATUGA'!J56,'22.08 KAPEKA-MATUGA'!J56,'23.08 KAPEKA-MATUGA'!J56,'24.08 KAPEKA-MATUGA-24h'!J56,'25.08 KAPEEKA-MATUGA-24h'!J56,'26.08 KAPEKA-MATUGA'!J56)</f>
        <v>0.8571428571428571</v>
      </c>
      <c r="K56" s="49">
        <f>AVERAGE('20.08 KAPEKA-MATUGA'!K56,'21.08 KAPEKA-MATUGA'!K56,'22.08 KAPEKA-MATUGA'!K56,'23.08 KAPEKA-MATUGA'!K56,'24.08 KAPEKA-MATUGA-24h'!K56,'25.08 KAPEEKA-MATUGA-24h'!K56,'26.08 KAPEKA-MATUGA'!K56)</f>
        <v>0</v>
      </c>
      <c r="L56" s="49">
        <f>AVERAGE('20.08 KAPEKA-MATUGA'!L56,'21.08 KAPEKA-MATUGA'!L56,'22.08 KAPEKA-MATUGA'!L56,'23.08 KAPEKA-MATUGA'!L56,'24.08 KAPEKA-MATUGA-24h'!L56,'25.08 KAPEEKA-MATUGA-24h'!L56,'26.08 KAPEKA-MATUGA'!L56)</f>
        <v>0.14285714285714285</v>
      </c>
      <c r="M56" s="49">
        <f>AVERAGE('20.08 KAPEKA-MATUGA'!M56,'21.08 KAPEKA-MATUGA'!M56,'22.08 KAPEKA-MATUGA'!M56,'23.08 KAPEKA-MATUGA'!M56,'24.08 KAPEKA-MATUGA-24h'!M56,'25.08 KAPEEKA-MATUGA-24h'!M56,'26.08 KAPEKA-MATUGA'!M56)</f>
        <v>21.285714285714285</v>
      </c>
      <c r="N56" s="49">
        <f>AVERAGE('20.08 KAPEKA-MATUGA'!N56,'21.08 KAPEKA-MATUGA'!N56,'22.08 KAPEKA-MATUGA'!N56,'23.08 KAPEKA-MATUGA'!N56,'24.08 KAPEKA-MATUGA-24h'!N56,'25.08 KAPEEKA-MATUGA-24h'!N56,'26.08 KAPEKA-MATUGA'!N56)</f>
        <v>0</v>
      </c>
      <c r="O56" s="15">
        <f t="shared" si="0"/>
        <v>8.2857142857142847</v>
      </c>
      <c r="P56" s="15">
        <f t="shared" si="1"/>
        <v>29.571428571428569</v>
      </c>
      <c r="R56" s="8"/>
      <c r="T56"/>
    </row>
    <row r="57" spans="2:20" ht="23.1" customHeight="1" x14ac:dyDescent="0.25">
      <c r="B57" s="23" t="s">
        <v>84</v>
      </c>
      <c r="C57" s="49">
        <f>AVERAGE('20.08 KAPEKA-MATUGA'!C57,'21.08 KAPEKA-MATUGA'!C57,'22.08 KAPEKA-MATUGA'!C57,'23.08 KAPEKA-MATUGA'!C57,'24.08 KAPEKA-MATUGA-24h'!C57,'25.08 KAPEEKA-MATUGA-24h'!C57,'26.08 KAPEKA-MATUGA'!C57)</f>
        <v>1.1428571428571428</v>
      </c>
      <c r="D57" s="49">
        <f>0.4*(AVERAGE('20.08 KAPEKA-MATUGA'!E57,'21.08 KAPEKA-MATUGA'!E57,'22.08 KAPEKA-MATUGA'!E57,'23.08 KAPEKA-MATUGA'!E57,'24.08 KAPEKA-MATUGA-24h'!E57,'25.08 KAPEEKA-MATUGA-24h'!E57,'26.08 KAPEKA-MATUGA'!E57))</f>
        <v>0.68571428571428572</v>
      </c>
      <c r="E57" s="49">
        <f>0.6*(AVERAGE('20.08 KAPEKA-MATUGA'!E57,'21.08 KAPEKA-MATUGA'!E57,'22.08 KAPEKA-MATUGA'!E57,'23.08 KAPEKA-MATUGA'!E57,'24.08 KAPEKA-MATUGA-24h'!E57,'25.08 KAPEEKA-MATUGA-24h'!E57,'26.08 KAPEKA-MATUGA'!E57))</f>
        <v>1.0285714285714285</v>
      </c>
      <c r="F57" s="49">
        <f>AVERAGE('20.08 KAPEKA-MATUGA'!F57,'21.08 KAPEKA-MATUGA'!F57,'22.08 KAPEKA-MATUGA'!F57,'23.08 KAPEKA-MATUGA'!F57,'24.08 KAPEKA-MATUGA-24h'!F57,'25.08 KAPEEKA-MATUGA-24h'!F57,'26.08 KAPEKA-MATUGA'!F57)</f>
        <v>1.8571428571428572</v>
      </c>
      <c r="G57" s="49">
        <f>AVERAGE('20.08 KAPEKA-MATUGA'!G57,'21.08 KAPEKA-MATUGA'!G57,'22.08 KAPEKA-MATUGA'!G57,'23.08 KAPEKA-MATUGA'!G57,'24.08 KAPEKA-MATUGA-24h'!G57,'25.08 KAPEEKA-MATUGA-24h'!G57,'26.08 KAPEKA-MATUGA'!G57)</f>
        <v>0</v>
      </c>
      <c r="H57" s="49">
        <f>AVERAGE('20.08 KAPEKA-MATUGA'!H57,'21.08 KAPEKA-MATUGA'!H57,'22.08 KAPEKA-MATUGA'!H57,'23.08 KAPEKA-MATUGA'!H57,'24.08 KAPEKA-MATUGA-24h'!H57,'25.08 KAPEEKA-MATUGA-24h'!H57,'26.08 KAPEKA-MATUGA'!H57)</f>
        <v>0.14285714285714285</v>
      </c>
      <c r="I57" s="49">
        <f>AVERAGE('20.08 KAPEKA-MATUGA'!I57,'21.08 KAPEKA-MATUGA'!I57,'22.08 KAPEKA-MATUGA'!I57,'23.08 KAPEKA-MATUGA'!I57,'24.08 KAPEKA-MATUGA-24h'!I57,'25.08 KAPEEKA-MATUGA-24h'!I57,'26.08 KAPEKA-MATUGA'!I57)</f>
        <v>2.7142857142857144</v>
      </c>
      <c r="J57" s="49">
        <f>AVERAGE('20.08 KAPEKA-MATUGA'!J57,'21.08 KAPEKA-MATUGA'!J57,'22.08 KAPEKA-MATUGA'!J57,'23.08 KAPEKA-MATUGA'!J57,'24.08 KAPEKA-MATUGA-24h'!J57,'25.08 KAPEEKA-MATUGA-24h'!J57,'26.08 KAPEKA-MATUGA'!J57)</f>
        <v>0.14285714285714285</v>
      </c>
      <c r="K57" s="49">
        <f>AVERAGE('20.08 KAPEKA-MATUGA'!K57,'21.08 KAPEKA-MATUGA'!K57,'22.08 KAPEKA-MATUGA'!K57,'23.08 KAPEKA-MATUGA'!K57,'24.08 KAPEKA-MATUGA-24h'!K57,'25.08 KAPEEKA-MATUGA-24h'!K57,'26.08 KAPEKA-MATUGA'!K57)</f>
        <v>0.5714285714285714</v>
      </c>
      <c r="L57" s="49">
        <f>AVERAGE('20.08 KAPEKA-MATUGA'!L57,'21.08 KAPEKA-MATUGA'!L57,'22.08 KAPEKA-MATUGA'!L57,'23.08 KAPEKA-MATUGA'!L57,'24.08 KAPEKA-MATUGA-24h'!L57,'25.08 KAPEEKA-MATUGA-24h'!L57,'26.08 KAPEKA-MATUGA'!L57)</f>
        <v>0.14285714285714285</v>
      </c>
      <c r="M57" s="49">
        <f>AVERAGE('20.08 KAPEKA-MATUGA'!M57,'21.08 KAPEKA-MATUGA'!M57,'22.08 KAPEKA-MATUGA'!M57,'23.08 KAPEKA-MATUGA'!M57,'24.08 KAPEKA-MATUGA-24h'!M57,'25.08 KAPEEKA-MATUGA-24h'!M57,'26.08 KAPEKA-MATUGA'!M57)</f>
        <v>23.857142857142858</v>
      </c>
      <c r="N57" s="49">
        <f>AVERAGE('20.08 KAPEKA-MATUGA'!N57,'21.08 KAPEKA-MATUGA'!N57,'22.08 KAPEKA-MATUGA'!N57,'23.08 KAPEKA-MATUGA'!N57,'24.08 KAPEKA-MATUGA-24h'!N57,'25.08 KAPEEKA-MATUGA-24h'!N57,'26.08 KAPEKA-MATUGA'!N57)</f>
        <v>0</v>
      </c>
      <c r="O57" s="15">
        <f t="shared" si="0"/>
        <v>8.4285714285714288</v>
      </c>
      <c r="P57" s="15">
        <f t="shared" si="1"/>
        <v>32.285714285714285</v>
      </c>
      <c r="R57" s="8"/>
      <c r="T57"/>
    </row>
    <row r="58" spans="2:20" ht="23.1" customHeight="1" x14ac:dyDescent="0.25">
      <c r="B58" s="23" t="s">
        <v>99</v>
      </c>
      <c r="C58" s="49">
        <f>AVERAGE('24.08 KAPEKA-MATUGA-24h'!C58,'25.08 KAPEEKA-MATUGA-24h'!C58)</f>
        <v>1</v>
      </c>
      <c r="D58" s="49">
        <f>0.4*(AVERAGE('24.08 KAPEKA-MATUGA-24h'!E58,'25.08 KAPEEKA-MATUGA-24h'!E58))</f>
        <v>1.6</v>
      </c>
      <c r="E58" s="49">
        <f>0.6*(AVERAGE('24.08 KAPEKA-MATUGA-24h'!E58,'25.08 KAPEEKA-MATUGA-24h'!E58))</f>
        <v>2.4</v>
      </c>
      <c r="F58" s="49">
        <f>AVERAGE('24.08 KAPEKA-MATUGA-24h'!F58,'25.08 KAPEEKA-MATUGA-24h'!F58)</f>
        <v>0</v>
      </c>
      <c r="G58" s="49">
        <f>AVERAGE('24.08 KAPEKA-MATUGA-24h'!G58,'25.08 KAPEEKA-MATUGA-24h'!G58)</f>
        <v>0</v>
      </c>
      <c r="H58" s="49">
        <f>AVERAGE('24.08 KAPEKA-MATUGA-24h'!H58,'25.08 KAPEEKA-MATUGA-24h'!H58)</f>
        <v>0</v>
      </c>
      <c r="I58" s="49">
        <f>AVERAGE('24.08 KAPEKA-MATUGA-24h'!I58,'25.08 KAPEEKA-MATUGA-24h'!I58)</f>
        <v>2</v>
      </c>
      <c r="J58" s="49">
        <f>AVERAGE('24.08 KAPEKA-MATUGA-24h'!J58,'25.08 KAPEEKA-MATUGA-24h'!J58)</f>
        <v>0</v>
      </c>
      <c r="K58" s="49">
        <f>AVERAGE('24.08 KAPEKA-MATUGA-24h'!K58,'25.08 KAPEEKA-MATUGA-24h'!K58)</f>
        <v>0</v>
      </c>
      <c r="L58" s="49">
        <f>AVERAGE('24.08 KAPEKA-MATUGA-24h'!L58,'25.08 KAPEEKA-MATUGA-24h'!L58)</f>
        <v>0</v>
      </c>
      <c r="M58" s="49">
        <f>AVERAGE('24.08 KAPEKA-MATUGA-24h'!M58,'25.08 KAPEEKA-MATUGA-24h'!M58)</f>
        <v>15</v>
      </c>
      <c r="N58" s="49">
        <f>AVERAGE('24.08 KAPEKA-MATUGA-24h'!N58,'25.08 KAPEEKA-MATUGA-24h'!N58)</f>
        <v>0</v>
      </c>
      <c r="O58" s="15">
        <f t="shared" si="0"/>
        <v>7</v>
      </c>
      <c r="P58" s="15">
        <f t="shared" si="1"/>
        <v>22</v>
      </c>
      <c r="R58" s="8"/>
      <c r="T58"/>
    </row>
    <row r="59" spans="2:20" ht="23.1" customHeight="1" x14ac:dyDescent="0.25">
      <c r="B59" s="23" t="s">
        <v>100</v>
      </c>
      <c r="C59" s="49">
        <f>AVERAGE('24.08 KAPEKA-MATUGA-24h'!C59,'25.08 KAPEEKA-MATUGA-24h'!C59)</f>
        <v>1</v>
      </c>
      <c r="D59" s="49">
        <f>0.4*(AVERAGE('24.08 KAPEKA-MATUGA-24h'!E59,'25.08 KAPEEKA-MATUGA-24h'!E59))</f>
        <v>0.4</v>
      </c>
      <c r="E59" s="49">
        <f>0.6*(AVERAGE('24.08 KAPEKA-MATUGA-24h'!E59,'25.08 KAPEEKA-MATUGA-24h'!E59))</f>
        <v>0.6</v>
      </c>
      <c r="F59" s="49">
        <f>AVERAGE('24.08 KAPEKA-MATUGA-24h'!F59,'25.08 KAPEEKA-MATUGA-24h'!F59)</f>
        <v>4</v>
      </c>
      <c r="G59" s="49">
        <f>AVERAGE('24.08 KAPEKA-MATUGA-24h'!G59,'25.08 KAPEEKA-MATUGA-24h'!G59)</f>
        <v>0</v>
      </c>
      <c r="H59" s="49">
        <f>AVERAGE('24.08 KAPEKA-MATUGA-24h'!H59,'25.08 KAPEEKA-MATUGA-24h'!H59)</f>
        <v>0</v>
      </c>
      <c r="I59" s="49">
        <f>AVERAGE('24.08 KAPEKA-MATUGA-24h'!I59,'25.08 KAPEEKA-MATUGA-24h'!I59)</f>
        <v>4</v>
      </c>
      <c r="J59" s="49">
        <f>AVERAGE('24.08 KAPEKA-MATUGA-24h'!J59,'25.08 KAPEEKA-MATUGA-24h'!J59)</f>
        <v>0</v>
      </c>
      <c r="K59" s="49">
        <f>AVERAGE('24.08 KAPEKA-MATUGA-24h'!K59,'25.08 KAPEEKA-MATUGA-24h'!K59)</f>
        <v>0</v>
      </c>
      <c r="L59" s="49">
        <f>AVERAGE('24.08 KAPEKA-MATUGA-24h'!L59,'25.08 KAPEEKA-MATUGA-24h'!L59)</f>
        <v>0</v>
      </c>
      <c r="M59" s="49">
        <f>AVERAGE('24.08 KAPEKA-MATUGA-24h'!M59,'25.08 KAPEEKA-MATUGA-24h'!M59)</f>
        <v>17</v>
      </c>
      <c r="N59" s="49">
        <f>AVERAGE('24.08 KAPEKA-MATUGA-24h'!N59,'25.08 KAPEEKA-MATUGA-24h'!N59)</f>
        <v>0</v>
      </c>
      <c r="O59" s="15">
        <f t="shared" si="0"/>
        <v>10</v>
      </c>
      <c r="P59" s="15">
        <f t="shared" si="1"/>
        <v>27</v>
      </c>
      <c r="R59" s="8"/>
      <c r="T59"/>
    </row>
    <row r="60" spans="2:20" ht="23.1" customHeight="1" x14ac:dyDescent="0.25">
      <c r="B60" s="23" t="s">
        <v>101</v>
      </c>
      <c r="C60" s="49">
        <f>AVERAGE('24.08 KAPEKA-MATUGA-24h'!C60,'25.08 KAPEEKA-MATUGA-24h'!C60)</f>
        <v>0</v>
      </c>
      <c r="D60" s="49">
        <f>0.4*(AVERAGE('24.08 KAPEKA-MATUGA-24h'!E60,'25.08 KAPEEKA-MATUGA-24h'!E60))</f>
        <v>0.4</v>
      </c>
      <c r="E60" s="49">
        <f>0.6*(AVERAGE('24.08 KAPEKA-MATUGA-24h'!E60,'25.08 KAPEEKA-MATUGA-24h'!E60))</f>
        <v>0.6</v>
      </c>
      <c r="F60" s="49">
        <f>AVERAGE('24.08 KAPEKA-MATUGA-24h'!F60,'25.08 KAPEEKA-MATUGA-24h'!F60)</f>
        <v>0</v>
      </c>
      <c r="G60" s="49">
        <f>AVERAGE('24.08 KAPEKA-MATUGA-24h'!G60,'25.08 KAPEEKA-MATUGA-24h'!G60)</f>
        <v>0</v>
      </c>
      <c r="H60" s="49">
        <f>AVERAGE('24.08 KAPEKA-MATUGA-24h'!H60,'25.08 KAPEEKA-MATUGA-24h'!H60)</f>
        <v>0</v>
      </c>
      <c r="I60" s="49">
        <f>AVERAGE('24.08 KAPEKA-MATUGA-24h'!I60,'25.08 KAPEEKA-MATUGA-24h'!I60)</f>
        <v>3</v>
      </c>
      <c r="J60" s="49">
        <f>AVERAGE('24.08 KAPEKA-MATUGA-24h'!J60,'25.08 KAPEEKA-MATUGA-24h'!J60)</f>
        <v>1</v>
      </c>
      <c r="K60" s="49">
        <f>AVERAGE('24.08 KAPEKA-MATUGA-24h'!K60,'25.08 KAPEEKA-MATUGA-24h'!K60)</f>
        <v>0</v>
      </c>
      <c r="L60" s="49">
        <f>AVERAGE('24.08 KAPEKA-MATUGA-24h'!L60,'25.08 KAPEEKA-MATUGA-24h'!L60)</f>
        <v>0</v>
      </c>
      <c r="M60" s="49">
        <f>AVERAGE('24.08 KAPEKA-MATUGA-24h'!M60,'25.08 KAPEEKA-MATUGA-24h'!M60)</f>
        <v>13</v>
      </c>
      <c r="N60" s="49">
        <f>AVERAGE('24.08 KAPEKA-MATUGA-24h'!N60,'25.08 KAPEEKA-MATUGA-24h'!N60)</f>
        <v>0</v>
      </c>
      <c r="O60" s="15">
        <f t="shared" si="0"/>
        <v>5</v>
      </c>
      <c r="P60" s="15">
        <f t="shared" si="1"/>
        <v>18</v>
      </c>
      <c r="R60" s="8"/>
      <c r="T60"/>
    </row>
    <row r="61" spans="2:20" ht="23.1" customHeight="1" x14ac:dyDescent="0.25">
      <c r="B61" s="23" t="s">
        <v>102</v>
      </c>
      <c r="C61" s="49">
        <f>AVERAGE('24.08 KAPEKA-MATUGA-24h'!C61,'25.08 KAPEEKA-MATUGA-24h'!C61)</f>
        <v>2</v>
      </c>
      <c r="D61" s="49">
        <f>0.4*(AVERAGE('24.08 KAPEKA-MATUGA-24h'!E61,'25.08 KAPEEKA-MATUGA-24h'!E61))</f>
        <v>0.8</v>
      </c>
      <c r="E61" s="49">
        <f>0.6*(AVERAGE('24.08 KAPEKA-MATUGA-24h'!E61,'25.08 KAPEEKA-MATUGA-24h'!E61))</f>
        <v>1.2</v>
      </c>
      <c r="F61" s="49">
        <f>AVERAGE('24.08 KAPEKA-MATUGA-24h'!F61,'25.08 KAPEEKA-MATUGA-24h'!F61)</f>
        <v>0</v>
      </c>
      <c r="G61" s="49">
        <f>AVERAGE('24.08 KAPEKA-MATUGA-24h'!G61,'25.08 KAPEEKA-MATUGA-24h'!G61)</f>
        <v>0</v>
      </c>
      <c r="H61" s="49">
        <f>AVERAGE('24.08 KAPEKA-MATUGA-24h'!H61,'25.08 KAPEEKA-MATUGA-24h'!H61)</f>
        <v>0</v>
      </c>
      <c r="I61" s="49">
        <f>AVERAGE('24.08 KAPEKA-MATUGA-24h'!I61,'25.08 KAPEEKA-MATUGA-24h'!I61)</f>
        <v>3</v>
      </c>
      <c r="J61" s="49">
        <f>AVERAGE('24.08 KAPEKA-MATUGA-24h'!J61,'25.08 KAPEEKA-MATUGA-24h'!J61)</f>
        <v>1</v>
      </c>
      <c r="K61" s="49">
        <f>AVERAGE('24.08 KAPEKA-MATUGA-24h'!K61,'25.08 KAPEEKA-MATUGA-24h'!K61)</f>
        <v>0</v>
      </c>
      <c r="L61" s="49">
        <f>AVERAGE('24.08 KAPEKA-MATUGA-24h'!L61,'25.08 KAPEEKA-MATUGA-24h'!L61)</f>
        <v>0</v>
      </c>
      <c r="M61" s="49">
        <f>AVERAGE('24.08 KAPEKA-MATUGA-24h'!M61,'25.08 KAPEEKA-MATUGA-24h'!M61)</f>
        <v>14</v>
      </c>
      <c r="N61" s="49">
        <f>AVERAGE('24.08 KAPEKA-MATUGA-24h'!N61,'25.08 KAPEEKA-MATUGA-24h'!N61)</f>
        <v>0</v>
      </c>
      <c r="O61" s="15">
        <f t="shared" si="0"/>
        <v>8</v>
      </c>
      <c r="P61" s="15">
        <f t="shared" si="1"/>
        <v>22</v>
      </c>
      <c r="R61" s="8"/>
      <c r="T61"/>
    </row>
    <row r="62" spans="2:20" ht="23.1" customHeight="1" x14ac:dyDescent="0.25">
      <c r="B62" s="23" t="s">
        <v>107</v>
      </c>
      <c r="C62" s="49">
        <f>AVERAGE('24.08 KAPEKA-MATUGA-24h'!C62,'25.08 KAPEEKA-MATUGA-24h'!C62)</f>
        <v>2</v>
      </c>
      <c r="D62" s="49">
        <f>0.4*(AVERAGE('24.08 KAPEKA-MATUGA-24h'!E62,'25.08 KAPEEKA-MATUGA-24h'!E62))</f>
        <v>0.8</v>
      </c>
      <c r="E62" s="49">
        <f>0.6*(AVERAGE('24.08 KAPEKA-MATUGA-24h'!E62,'25.08 KAPEEKA-MATUGA-24h'!E62))</f>
        <v>1.2</v>
      </c>
      <c r="F62" s="49">
        <f>AVERAGE('24.08 KAPEKA-MATUGA-24h'!F62,'25.08 KAPEEKA-MATUGA-24h'!F62)</f>
        <v>3</v>
      </c>
      <c r="G62" s="49">
        <f>AVERAGE('24.08 KAPEKA-MATUGA-24h'!G62,'25.08 KAPEEKA-MATUGA-24h'!G62)</f>
        <v>0</v>
      </c>
      <c r="H62" s="49">
        <f>AVERAGE('24.08 KAPEKA-MATUGA-24h'!H62,'25.08 KAPEEKA-MATUGA-24h'!H62)</f>
        <v>0</v>
      </c>
      <c r="I62" s="49">
        <f>AVERAGE('24.08 KAPEKA-MATUGA-24h'!I62,'25.08 KAPEEKA-MATUGA-24h'!I62)</f>
        <v>2</v>
      </c>
      <c r="J62" s="49">
        <f>AVERAGE('24.08 KAPEKA-MATUGA-24h'!J62,'25.08 KAPEEKA-MATUGA-24h'!J62)</f>
        <v>0</v>
      </c>
      <c r="K62" s="49">
        <f>AVERAGE('24.08 KAPEKA-MATUGA-24h'!K62,'25.08 KAPEEKA-MATUGA-24h'!K62)</f>
        <v>2</v>
      </c>
      <c r="L62" s="49">
        <f>AVERAGE('24.08 KAPEKA-MATUGA-24h'!L62,'25.08 KAPEEKA-MATUGA-24h'!L62)</f>
        <v>0</v>
      </c>
      <c r="M62" s="49">
        <f>AVERAGE('24.08 KAPEKA-MATUGA-24h'!M62,'25.08 KAPEEKA-MATUGA-24h'!M62)</f>
        <v>11</v>
      </c>
      <c r="N62" s="49">
        <f>AVERAGE('24.08 KAPEKA-MATUGA-24h'!N62,'25.08 KAPEEKA-MATUGA-24h'!N62)</f>
        <v>0</v>
      </c>
      <c r="O62" s="15">
        <f t="shared" si="0"/>
        <v>11</v>
      </c>
      <c r="P62" s="15">
        <f t="shared" si="1"/>
        <v>22</v>
      </c>
      <c r="R62" s="8"/>
      <c r="T62"/>
    </row>
    <row r="63" spans="2:20" ht="23.1" customHeight="1" x14ac:dyDescent="0.25">
      <c r="B63" s="23" t="s">
        <v>108</v>
      </c>
      <c r="C63" s="49">
        <f>AVERAGE('24.08 KAPEKA-MATUGA-24h'!C63,'25.08 KAPEEKA-MATUGA-24h'!C63)</f>
        <v>2</v>
      </c>
      <c r="D63" s="49">
        <f>0.4*(AVERAGE('24.08 KAPEKA-MATUGA-24h'!E63,'25.08 KAPEEKA-MATUGA-24h'!E63))</f>
        <v>1.2000000000000002</v>
      </c>
      <c r="E63" s="49">
        <f>0.6*(AVERAGE('24.08 KAPEKA-MATUGA-24h'!E63,'25.08 KAPEEKA-MATUGA-24h'!E63))</f>
        <v>1.7999999999999998</v>
      </c>
      <c r="F63" s="49">
        <f>AVERAGE('24.08 KAPEKA-MATUGA-24h'!F63,'25.08 KAPEEKA-MATUGA-24h'!F63)</f>
        <v>0</v>
      </c>
      <c r="G63" s="49">
        <f>AVERAGE('24.08 KAPEKA-MATUGA-24h'!G63,'25.08 KAPEEKA-MATUGA-24h'!G63)</f>
        <v>0</v>
      </c>
      <c r="H63" s="49">
        <f>AVERAGE('24.08 KAPEKA-MATUGA-24h'!H63,'25.08 KAPEEKA-MATUGA-24h'!H63)</f>
        <v>0</v>
      </c>
      <c r="I63" s="49">
        <f>AVERAGE('24.08 KAPEKA-MATUGA-24h'!I63,'25.08 KAPEEKA-MATUGA-24h'!I63)</f>
        <v>0</v>
      </c>
      <c r="J63" s="49">
        <f>AVERAGE('24.08 KAPEKA-MATUGA-24h'!J63,'25.08 KAPEEKA-MATUGA-24h'!J63)</f>
        <v>0</v>
      </c>
      <c r="K63" s="49">
        <f>AVERAGE('24.08 KAPEKA-MATUGA-24h'!K63,'25.08 KAPEEKA-MATUGA-24h'!K63)</f>
        <v>1</v>
      </c>
      <c r="L63" s="49">
        <f>AVERAGE('24.08 KAPEKA-MATUGA-24h'!L63,'25.08 KAPEEKA-MATUGA-24h'!L63)</f>
        <v>0</v>
      </c>
      <c r="M63" s="49">
        <f>AVERAGE('24.08 KAPEKA-MATUGA-24h'!M63,'25.08 KAPEEKA-MATUGA-24h'!M63)</f>
        <v>7</v>
      </c>
      <c r="N63" s="49">
        <f>AVERAGE('24.08 KAPEKA-MATUGA-24h'!N63,'25.08 KAPEEKA-MATUGA-24h'!N63)</f>
        <v>0</v>
      </c>
      <c r="O63" s="15">
        <f t="shared" si="0"/>
        <v>6</v>
      </c>
      <c r="P63" s="15">
        <f t="shared" si="1"/>
        <v>13</v>
      </c>
      <c r="R63" s="8"/>
      <c r="T63"/>
    </row>
    <row r="64" spans="2:20" ht="23.1" customHeight="1" x14ac:dyDescent="0.25">
      <c r="B64" s="23" t="s">
        <v>109</v>
      </c>
      <c r="C64" s="49">
        <f>AVERAGE('24.08 KAPEKA-MATUGA-24h'!C64,'25.08 KAPEEKA-MATUGA-24h'!C64)</f>
        <v>3</v>
      </c>
      <c r="D64" s="49">
        <f>0.4*(AVERAGE('24.08 KAPEKA-MATUGA-24h'!E64,'25.08 KAPEEKA-MATUGA-24h'!E64))</f>
        <v>1.6</v>
      </c>
      <c r="E64" s="49">
        <f>0.6*(AVERAGE('24.08 KAPEKA-MATUGA-24h'!E64,'25.08 KAPEEKA-MATUGA-24h'!E64))</f>
        <v>2.4</v>
      </c>
      <c r="F64" s="49">
        <f>AVERAGE('24.08 KAPEKA-MATUGA-24h'!F64,'25.08 KAPEEKA-MATUGA-24h'!F64)</f>
        <v>1</v>
      </c>
      <c r="G64" s="49">
        <f>AVERAGE('24.08 KAPEKA-MATUGA-24h'!G64,'25.08 KAPEEKA-MATUGA-24h'!G64)</f>
        <v>0</v>
      </c>
      <c r="H64" s="49">
        <f>AVERAGE('24.08 KAPEKA-MATUGA-24h'!H64,'25.08 KAPEEKA-MATUGA-24h'!H64)</f>
        <v>0</v>
      </c>
      <c r="I64" s="49">
        <f>AVERAGE('24.08 KAPEKA-MATUGA-24h'!I64,'25.08 KAPEEKA-MATUGA-24h'!I64)</f>
        <v>4</v>
      </c>
      <c r="J64" s="49">
        <f>AVERAGE('24.08 KAPEKA-MATUGA-24h'!J64,'25.08 KAPEEKA-MATUGA-24h'!J64)</f>
        <v>0</v>
      </c>
      <c r="K64" s="49">
        <f>AVERAGE('24.08 KAPEKA-MATUGA-24h'!K64,'25.08 KAPEEKA-MATUGA-24h'!K64)</f>
        <v>0</v>
      </c>
      <c r="L64" s="49">
        <f>AVERAGE('24.08 KAPEKA-MATUGA-24h'!L64,'25.08 KAPEEKA-MATUGA-24h'!L64)</f>
        <v>0</v>
      </c>
      <c r="M64" s="49">
        <f>AVERAGE('24.08 KAPEKA-MATUGA-24h'!M64,'25.08 KAPEEKA-MATUGA-24h'!M64)</f>
        <v>11</v>
      </c>
      <c r="N64" s="49">
        <f>AVERAGE('24.08 KAPEKA-MATUGA-24h'!N64,'25.08 KAPEEKA-MATUGA-24h'!N64)</f>
        <v>0</v>
      </c>
      <c r="O64" s="15">
        <f t="shared" si="0"/>
        <v>12</v>
      </c>
      <c r="P64" s="15">
        <f t="shared" si="1"/>
        <v>23</v>
      </c>
      <c r="R64" s="8"/>
      <c r="T64"/>
    </row>
    <row r="65" spans="2:20" ht="23.1" customHeight="1" x14ac:dyDescent="0.25">
      <c r="B65" s="23" t="s">
        <v>158</v>
      </c>
      <c r="C65" s="49">
        <f>AVERAGE('24.08 KAPEKA-MATUGA-24h'!C65,'25.08 KAPEEKA-MATUGA-24h'!C65)</f>
        <v>3</v>
      </c>
      <c r="D65" s="49">
        <f>0.4*(AVERAGE('24.08 KAPEKA-MATUGA-24h'!E65,'25.08 KAPEEKA-MATUGA-24h'!E65))</f>
        <v>0</v>
      </c>
      <c r="E65" s="49">
        <f>0.6*(AVERAGE('24.08 KAPEKA-MATUGA-24h'!E65,'25.08 KAPEEKA-MATUGA-24h'!E65))</f>
        <v>0</v>
      </c>
      <c r="F65" s="49">
        <f>AVERAGE('24.08 KAPEKA-MATUGA-24h'!F65,'25.08 KAPEEKA-MATUGA-24h'!F65)</f>
        <v>2</v>
      </c>
      <c r="G65" s="49">
        <f>AVERAGE('24.08 KAPEKA-MATUGA-24h'!G65,'25.08 KAPEEKA-MATUGA-24h'!G65)</f>
        <v>0</v>
      </c>
      <c r="H65" s="49">
        <f>AVERAGE('24.08 KAPEKA-MATUGA-24h'!H65,'25.08 KAPEEKA-MATUGA-24h'!H65)</f>
        <v>0</v>
      </c>
      <c r="I65" s="49">
        <f>AVERAGE('24.08 KAPEKA-MATUGA-24h'!I65,'25.08 KAPEEKA-MATUGA-24h'!I65)</f>
        <v>1</v>
      </c>
      <c r="J65" s="49">
        <f>AVERAGE('24.08 KAPEKA-MATUGA-24h'!J65,'25.08 KAPEEKA-MATUGA-24h'!J65)</f>
        <v>1</v>
      </c>
      <c r="K65" s="49">
        <f>AVERAGE('24.08 KAPEKA-MATUGA-24h'!K65,'25.08 KAPEEKA-MATUGA-24h'!K65)</f>
        <v>1</v>
      </c>
      <c r="L65" s="49">
        <f>AVERAGE('24.08 KAPEKA-MATUGA-24h'!L65,'25.08 KAPEEKA-MATUGA-24h'!L65)</f>
        <v>0</v>
      </c>
      <c r="M65" s="49">
        <f>AVERAGE('24.08 KAPEKA-MATUGA-24h'!M65,'25.08 KAPEEKA-MATUGA-24h'!M65)</f>
        <v>10</v>
      </c>
      <c r="N65" s="49">
        <f>AVERAGE('24.08 KAPEKA-MATUGA-24h'!N65,'25.08 KAPEEKA-MATUGA-24h'!N65)</f>
        <v>0</v>
      </c>
      <c r="O65" s="15">
        <f t="shared" si="0"/>
        <v>8</v>
      </c>
      <c r="P65" s="15">
        <f t="shared" si="1"/>
        <v>18</v>
      </c>
      <c r="R65" s="8"/>
      <c r="T65"/>
    </row>
    <row r="66" spans="2:20" ht="23.1" customHeight="1" x14ac:dyDescent="0.25">
      <c r="B66" s="23" t="s">
        <v>103</v>
      </c>
      <c r="C66" s="49">
        <f>AVERAGE('24.08 KAPEKA-MATUGA-24h'!C66,'25.08 KAPEEKA-MATUGA-24h'!C66)</f>
        <v>1</v>
      </c>
      <c r="D66" s="49">
        <f>0.4*(AVERAGE('24.08 KAPEKA-MATUGA-24h'!E66,'25.08 KAPEEKA-MATUGA-24h'!E66))</f>
        <v>0.4</v>
      </c>
      <c r="E66" s="49">
        <f>0.6*(AVERAGE('24.08 KAPEKA-MATUGA-24h'!E66,'25.08 KAPEEKA-MATUGA-24h'!E66))</f>
        <v>0.6</v>
      </c>
      <c r="F66" s="49">
        <f>AVERAGE('24.08 KAPEKA-MATUGA-24h'!F66,'25.08 KAPEEKA-MATUGA-24h'!F66)</f>
        <v>1</v>
      </c>
      <c r="G66" s="49">
        <f>AVERAGE('24.08 KAPEKA-MATUGA-24h'!G66,'25.08 KAPEEKA-MATUGA-24h'!G66)</f>
        <v>0</v>
      </c>
      <c r="H66" s="49">
        <f>AVERAGE('24.08 KAPEKA-MATUGA-24h'!H66,'25.08 KAPEEKA-MATUGA-24h'!H66)</f>
        <v>0</v>
      </c>
      <c r="I66" s="49">
        <f>AVERAGE('24.08 KAPEKA-MATUGA-24h'!I66,'25.08 KAPEEKA-MATUGA-24h'!I66)</f>
        <v>2</v>
      </c>
      <c r="J66" s="49">
        <f>AVERAGE('24.08 KAPEKA-MATUGA-24h'!J66,'25.08 KAPEEKA-MATUGA-24h'!J66)</f>
        <v>1</v>
      </c>
      <c r="K66" s="49">
        <f>AVERAGE('24.08 KAPEKA-MATUGA-24h'!K66,'25.08 KAPEEKA-MATUGA-24h'!K66)</f>
        <v>1</v>
      </c>
      <c r="L66" s="49">
        <f>AVERAGE('24.08 KAPEKA-MATUGA-24h'!L66,'25.08 KAPEEKA-MATUGA-24h'!L66)</f>
        <v>0</v>
      </c>
      <c r="M66" s="49">
        <f>AVERAGE('24.08 KAPEKA-MATUGA-24h'!M66,'25.08 KAPEEKA-MATUGA-24h'!M66)</f>
        <v>6</v>
      </c>
      <c r="N66" s="49">
        <f>AVERAGE('24.08 KAPEKA-MATUGA-24h'!N66,'25.08 KAPEEKA-MATUGA-24h'!N66)</f>
        <v>0</v>
      </c>
      <c r="O66" s="15">
        <f t="shared" si="0"/>
        <v>7</v>
      </c>
      <c r="P66" s="15">
        <f t="shared" si="1"/>
        <v>13</v>
      </c>
      <c r="R66" s="8"/>
      <c r="T66"/>
    </row>
    <row r="67" spans="2:20" ht="23.1" customHeight="1" x14ac:dyDescent="0.25">
      <c r="B67" s="23" t="s">
        <v>104</v>
      </c>
      <c r="C67" s="49">
        <f>AVERAGE('24.08 KAPEKA-MATUGA-24h'!C67,'25.08 KAPEEKA-MATUGA-24h'!C67)</f>
        <v>4</v>
      </c>
      <c r="D67" s="49">
        <f>0.4*(AVERAGE('24.08 KAPEKA-MATUGA-24h'!E67,'25.08 KAPEEKA-MATUGA-24h'!E67))</f>
        <v>0.8</v>
      </c>
      <c r="E67" s="49">
        <f>0.6*(AVERAGE('24.08 KAPEKA-MATUGA-24h'!E67,'25.08 KAPEEKA-MATUGA-24h'!E67))</f>
        <v>1.2</v>
      </c>
      <c r="F67" s="49">
        <f>AVERAGE('24.08 KAPEKA-MATUGA-24h'!F67,'25.08 KAPEEKA-MATUGA-24h'!F67)</f>
        <v>1</v>
      </c>
      <c r="G67" s="49">
        <f>AVERAGE('24.08 KAPEKA-MATUGA-24h'!G67,'25.08 KAPEEKA-MATUGA-24h'!G67)</f>
        <v>0</v>
      </c>
      <c r="H67" s="49">
        <f>AVERAGE('24.08 KAPEKA-MATUGA-24h'!H67,'25.08 KAPEEKA-MATUGA-24h'!H67)</f>
        <v>0</v>
      </c>
      <c r="I67" s="49">
        <f>AVERAGE('24.08 KAPEKA-MATUGA-24h'!I67,'25.08 KAPEEKA-MATUGA-24h'!I67)</f>
        <v>2</v>
      </c>
      <c r="J67" s="49">
        <f>AVERAGE('24.08 KAPEKA-MATUGA-24h'!J67,'25.08 KAPEEKA-MATUGA-24h'!J67)</f>
        <v>0</v>
      </c>
      <c r="K67" s="49">
        <f>AVERAGE('24.08 KAPEKA-MATUGA-24h'!K67,'25.08 KAPEEKA-MATUGA-24h'!K67)</f>
        <v>0</v>
      </c>
      <c r="L67" s="49">
        <f>AVERAGE('24.08 KAPEKA-MATUGA-24h'!L67,'25.08 KAPEEKA-MATUGA-24h'!L67)</f>
        <v>0</v>
      </c>
      <c r="M67" s="49">
        <f>AVERAGE('24.08 KAPEKA-MATUGA-24h'!M67,'25.08 KAPEEKA-MATUGA-24h'!M67)</f>
        <v>4</v>
      </c>
      <c r="N67" s="49">
        <f>AVERAGE('24.08 KAPEKA-MATUGA-24h'!N67,'25.08 KAPEEKA-MATUGA-24h'!N67)</f>
        <v>0</v>
      </c>
      <c r="O67" s="15">
        <f t="shared" si="0"/>
        <v>9</v>
      </c>
      <c r="P67" s="15">
        <f t="shared" si="1"/>
        <v>13</v>
      </c>
      <c r="R67" s="8"/>
      <c r="T67"/>
    </row>
    <row r="68" spans="2:20" ht="23.1" customHeight="1" x14ac:dyDescent="0.25">
      <c r="B68" s="23" t="s">
        <v>105</v>
      </c>
      <c r="C68" s="49">
        <f>AVERAGE('24.08 KAPEKA-MATUGA-24h'!C68,'25.08 KAPEEKA-MATUGA-24h'!C68)</f>
        <v>5</v>
      </c>
      <c r="D68" s="49">
        <f>0.4*(AVERAGE('24.08 KAPEKA-MATUGA-24h'!E68,'25.08 KAPEEKA-MATUGA-24h'!E68))</f>
        <v>1.2000000000000002</v>
      </c>
      <c r="E68" s="49">
        <f>0.6*(AVERAGE('24.08 KAPEKA-MATUGA-24h'!E68,'25.08 KAPEEKA-MATUGA-24h'!E68))</f>
        <v>1.7999999999999998</v>
      </c>
      <c r="F68" s="49">
        <f>AVERAGE('24.08 KAPEKA-MATUGA-24h'!F68,'25.08 KAPEEKA-MATUGA-24h'!F68)</f>
        <v>1</v>
      </c>
      <c r="G68" s="49">
        <f>AVERAGE('24.08 KAPEKA-MATUGA-24h'!G68,'25.08 KAPEEKA-MATUGA-24h'!G68)</f>
        <v>0</v>
      </c>
      <c r="H68" s="49">
        <f>AVERAGE('24.08 KAPEKA-MATUGA-24h'!H68,'25.08 KAPEEKA-MATUGA-24h'!H68)</f>
        <v>0</v>
      </c>
      <c r="I68" s="49">
        <f>AVERAGE('24.08 KAPEKA-MATUGA-24h'!I68,'25.08 KAPEEKA-MATUGA-24h'!I68)</f>
        <v>2</v>
      </c>
      <c r="J68" s="49">
        <f>AVERAGE('24.08 KAPEKA-MATUGA-24h'!J68,'25.08 KAPEEKA-MATUGA-24h'!J68)</f>
        <v>2</v>
      </c>
      <c r="K68" s="49">
        <f>AVERAGE('24.08 KAPEKA-MATUGA-24h'!K68,'25.08 KAPEEKA-MATUGA-24h'!K68)</f>
        <v>0</v>
      </c>
      <c r="L68" s="49">
        <f>AVERAGE('24.08 KAPEKA-MATUGA-24h'!L68,'25.08 KAPEEKA-MATUGA-24h'!L68)</f>
        <v>0</v>
      </c>
      <c r="M68" s="49">
        <f>AVERAGE('24.08 KAPEKA-MATUGA-24h'!M68,'25.08 KAPEEKA-MATUGA-24h'!M68)</f>
        <v>5</v>
      </c>
      <c r="N68" s="49">
        <f>AVERAGE('24.08 KAPEKA-MATUGA-24h'!N68,'25.08 KAPEEKA-MATUGA-24h'!N68)</f>
        <v>0</v>
      </c>
      <c r="O68" s="15">
        <f t="shared" si="0"/>
        <v>13</v>
      </c>
      <c r="P68" s="15">
        <f t="shared" si="1"/>
        <v>18</v>
      </c>
      <c r="R68" s="8"/>
      <c r="T68"/>
    </row>
    <row r="69" spans="2:20" ht="23.1" customHeight="1" x14ac:dyDescent="0.25">
      <c r="B69" s="23" t="s">
        <v>106</v>
      </c>
      <c r="C69" s="49">
        <f>AVERAGE('24.08 KAPEKA-MATUGA-24h'!C69,'25.08 KAPEEKA-MATUGA-24h'!C69)</f>
        <v>1</v>
      </c>
      <c r="D69" s="49">
        <f>0.4*(AVERAGE('24.08 KAPEKA-MATUGA-24h'!E69,'25.08 KAPEEKA-MATUGA-24h'!E69))</f>
        <v>0.8</v>
      </c>
      <c r="E69" s="49">
        <f>0.6*(AVERAGE('24.08 KAPEKA-MATUGA-24h'!E69,'25.08 KAPEEKA-MATUGA-24h'!E69))</f>
        <v>1.2</v>
      </c>
      <c r="F69" s="49">
        <f>AVERAGE('24.08 KAPEKA-MATUGA-24h'!F69,'25.08 KAPEEKA-MATUGA-24h'!F69)</f>
        <v>0</v>
      </c>
      <c r="G69" s="49">
        <f>AVERAGE('24.08 KAPEKA-MATUGA-24h'!G69,'25.08 KAPEEKA-MATUGA-24h'!G69)</f>
        <v>0</v>
      </c>
      <c r="H69" s="49">
        <f>AVERAGE('24.08 KAPEKA-MATUGA-24h'!H69,'25.08 KAPEEKA-MATUGA-24h'!H69)</f>
        <v>0</v>
      </c>
      <c r="I69" s="49">
        <f>AVERAGE('24.08 KAPEKA-MATUGA-24h'!I69,'25.08 KAPEEKA-MATUGA-24h'!I69)</f>
        <v>1</v>
      </c>
      <c r="J69" s="49">
        <f>AVERAGE('24.08 KAPEKA-MATUGA-24h'!J69,'25.08 KAPEEKA-MATUGA-24h'!J69)</f>
        <v>0</v>
      </c>
      <c r="K69" s="49">
        <f>AVERAGE('24.08 KAPEKA-MATUGA-24h'!K69,'25.08 KAPEEKA-MATUGA-24h'!K69)</f>
        <v>0</v>
      </c>
      <c r="L69" s="49">
        <f>AVERAGE('24.08 KAPEKA-MATUGA-24h'!L69,'25.08 KAPEEKA-MATUGA-24h'!L69)</f>
        <v>0</v>
      </c>
      <c r="M69" s="49">
        <f>AVERAGE('24.08 KAPEKA-MATUGA-24h'!M69,'25.08 KAPEEKA-MATUGA-24h'!M69)</f>
        <v>6</v>
      </c>
      <c r="N69" s="49">
        <f>AVERAGE('24.08 KAPEKA-MATUGA-24h'!N69,'25.08 KAPEEKA-MATUGA-24h'!N69)</f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23" t="s">
        <v>110</v>
      </c>
      <c r="C70" s="49">
        <f>AVERAGE('24.08 KAPEKA-MATUGA-24h'!C70,'25.08 KAPEEKA-MATUGA-24h'!C70)</f>
        <v>1</v>
      </c>
      <c r="D70" s="49">
        <f>0.4*(AVERAGE('24.08 KAPEKA-MATUGA-24h'!E70,'25.08 KAPEEKA-MATUGA-24h'!E70))</f>
        <v>0.4</v>
      </c>
      <c r="E70" s="49">
        <f>0.6*(AVERAGE('24.08 KAPEKA-MATUGA-24h'!E70,'25.08 KAPEEKA-MATUGA-24h'!E70))</f>
        <v>0.6</v>
      </c>
      <c r="F70" s="49">
        <f>AVERAGE('24.08 KAPEKA-MATUGA-24h'!F70,'25.08 KAPEEKA-MATUGA-24h'!F70)</f>
        <v>2</v>
      </c>
      <c r="G70" s="49">
        <f>AVERAGE('24.08 KAPEKA-MATUGA-24h'!G70,'25.08 KAPEEKA-MATUGA-24h'!G70)</f>
        <v>0</v>
      </c>
      <c r="H70" s="49">
        <f>AVERAGE('24.08 KAPEKA-MATUGA-24h'!H70,'25.08 KAPEEKA-MATUGA-24h'!H70)</f>
        <v>0</v>
      </c>
      <c r="I70" s="49">
        <f>AVERAGE('24.08 KAPEKA-MATUGA-24h'!I70,'25.08 KAPEEKA-MATUGA-24h'!I70)</f>
        <v>2</v>
      </c>
      <c r="J70" s="49">
        <f>AVERAGE('24.08 KAPEKA-MATUGA-24h'!J70,'25.08 KAPEEKA-MATUGA-24h'!J70)</f>
        <v>0</v>
      </c>
      <c r="K70" s="49">
        <f>AVERAGE('24.08 KAPEKA-MATUGA-24h'!K70,'25.08 KAPEEKA-MATUGA-24h'!K70)</f>
        <v>0</v>
      </c>
      <c r="L70" s="49">
        <f>AVERAGE('24.08 KAPEKA-MATUGA-24h'!L70,'25.08 KAPEEKA-MATUGA-24h'!L70)</f>
        <v>0</v>
      </c>
      <c r="M70" s="49">
        <f>AVERAGE('24.08 KAPEKA-MATUGA-24h'!M70,'25.08 KAPEEKA-MATUGA-24h'!M70)</f>
        <v>7</v>
      </c>
      <c r="N70" s="49">
        <f>AVERAGE('24.08 KAPEKA-MATUGA-24h'!N70,'25.08 KAPEEKA-MATUGA-24h'!N70)</f>
        <v>0</v>
      </c>
      <c r="O70" s="15">
        <f t="shared" si="0"/>
        <v>6</v>
      </c>
      <c r="P70" s="15">
        <f t="shared" si="1"/>
        <v>13</v>
      </c>
      <c r="R70" s="8"/>
      <c r="T70"/>
    </row>
    <row r="71" spans="2:20" ht="23.1" customHeight="1" x14ac:dyDescent="0.25">
      <c r="B71" s="23" t="s">
        <v>111</v>
      </c>
      <c r="C71" s="49">
        <f>AVERAGE('24.08 KAPEKA-MATUGA-24h'!C71,'25.08 KAPEEKA-MATUGA-24h'!C71)</f>
        <v>0</v>
      </c>
      <c r="D71" s="49">
        <f>0.4*(AVERAGE('24.08 KAPEKA-MATUGA-24h'!E71,'25.08 KAPEEKA-MATUGA-24h'!E71))</f>
        <v>0.4</v>
      </c>
      <c r="E71" s="49">
        <f>0.6*(AVERAGE('24.08 KAPEKA-MATUGA-24h'!E71,'25.08 KAPEEKA-MATUGA-24h'!E71))</f>
        <v>0.6</v>
      </c>
      <c r="F71" s="49">
        <f>AVERAGE('24.08 KAPEKA-MATUGA-24h'!F71,'25.08 KAPEEKA-MATUGA-24h'!F71)</f>
        <v>0</v>
      </c>
      <c r="G71" s="49">
        <f>AVERAGE('24.08 KAPEKA-MATUGA-24h'!G71,'25.08 KAPEEKA-MATUGA-24h'!G71)</f>
        <v>0</v>
      </c>
      <c r="H71" s="49">
        <f>AVERAGE('24.08 KAPEKA-MATUGA-24h'!H71,'25.08 KAPEEKA-MATUGA-24h'!H71)</f>
        <v>0</v>
      </c>
      <c r="I71" s="49">
        <f>AVERAGE('24.08 KAPEKA-MATUGA-24h'!I71,'25.08 KAPEEKA-MATUGA-24h'!I71)</f>
        <v>2</v>
      </c>
      <c r="J71" s="49">
        <f>AVERAGE('24.08 KAPEKA-MATUGA-24h'!J71,'25.08 KAPEEKA-MATUGA-24h'!J71)</f>
        <v>1</v>
      </c>
      <c r="K71" s="49">
        <f>AVERAGE('24.08 KAPEKA-MATUGA-24h'!K71,'25.08 KAPEEKA-MATUGA-24h'!K71)</f>
        <v>0</v>
      </c>
      <c r="L71" s="49">
        <f>AVERAGE('24.08 KAPEKA-MATUGA-24h'!L71,'25.08 KAPEEKA-MATUGA-24h'!L71)</f>
        <v>0</v>
      </c>
      <c r="M71" s="49">
        <f>AVERAGE('24.08 KAPEKA-MATUGA-24h'!M71,'25.08 KAPEEKA-MATUGA-24h'!M71)</f>
        <v>3</v>
      </c>
      <c r="N71" s="49">
        <f>AVERAGE('24.08 KAPEKA-MATUGA-24h'!N71,'25.08 KAPEEKA-MATUGA-24h'!N71)</f>
        <v>0</v>
      </c>
      <c r="O71" s="15">
        <f t="shared" si="0"/>
        <v>4</v>
      </c>
      <c r="P71" s="15">
        <f t="shared" si="1"/>
        <v>7</v>
      </c>
      <c r="R71" s="8"/>
      <c r="T71"/>
    </row>
    <row r="72" spans="2:20" ht="23.1" customHeight="1" x14ac:dyDescent="0.25">
      <c r="B72" s="23" t="s">
        <v>112</v>
      </c>
      <c r="C72" s="49">
        <f>AVERAGE('24.08 KAPEKA-MATUGA-24h'!C72,'25.08 KAPEEKA-MATUGA-24h'!C72)</f>
        <v>1</v>
      </c>
      <c r="D72" s="49">
        <f>0.4*(AVERAGE('24.08 KAPEKA-MATUGA-24h'!E72,'25.08 KAPEEKA-MATUGA-24h'!E72))</f>
        <v>0.4</v>
      </c>
      <c r="E72" s="49">
        <f>0.6*(AVERAGE('24.08 KAPEKA-MATUGA-24h'!E72,'25.08 KAPEEKA-MATUGA-24h'!E72))</f>
        <v>0.6</v>
      </c>
      <c r="F72" s="49">
        <f>AVERAGE('24.08 KAPEKA-MATUGA-24h'!F72,'25.08 KAPEEKA-MATUGA-24h'!F72)</f>
        <v>0</v>
      </c>
      <c r="G72" s="49">
        <f>AVERAGE('24.08 KAPEKA-MATUGA-24h'!G72,'25.08 KAPEEKA-MATUGA-24h'!G72)</f>
        <v>0</v>
      </c>
      <c r="H72" s="49">
        <f>AVERAGE('24.08 KAPEKA-MATUGA-24h'!H72,'25.08 KAPEEKA-MATUGA-24h'!H72)</f>
        <v>0</v>
      </c>
      <c r="I72" s="49">
        <f>AVERAGE('24.08 KAPEKA-MATUGA-24h'!I72,'25.08 KAPEEKA-MATUGA-24h'!I72)</f>
        <v>2</v>
      </c>
      <c r="J72" s="49">
        <f>AVERAGE('24.08 KAPEKA-MATUGA-24h'!J72,'25.08 KAPEEKA-MATUGA-24h'!J72)</f>
        <v>1</v>
      </c>
      <c r="K72" s="49">
        <f>AVERAGE('24.08 KAPEKA-MATUGA-24h'!K72,'25.08 KAPEEKA-MATUGA-24h'!K72)</f>
        <v>0</v>
      </c>
      <c r="L72" s="49">
        <f>AVERAGE('24.08 KAPEKA-MATUGA-24h'!L72,'25.08 KAPEEKA-MATUGA-24h'!L72)</f>
        <v>0</v>
      </c>
      <c r="M72" s="49">
        <f>AVERAGE('24.08 KAPEKA-MATUGA-24h'!M72,'25.08 KAPEEKA-MATUGA-24h'!M72)</f>
        <v>2</v>
      </c>
      <c r="N72" s="49">
        <f>AVERAGE('24.08 KAPEKA-MATUGA-24h'!N72,'25.08 KAPEEKA-MATUGA-24h'!N72)</f>
        <v>0</v>
      </c>
      <c r="O72" s="15">
        <f t="shared" si="0"/>
        <v>5</v>
      </c>
      <c r="P72" s="15">
        <f t="shared" si="1"/>
        <v>7</v>
      </c>
      <c r="R72" s="8"/>
      <c r="T72"/>
    </row>
    <row r="73" spans="2:20" ht="23.1" customHeight="1" x14ac:dyDescent="0.25">
      <c r="B73" s="23" t="s">
        <v>113</v>
      </c>
      <c r="C73" s="49">
        <f>AVERAGE('24.08 KAPEKA-MATUGA-24h'!C73,'25.08 KAPEEKA-MATUGA-24h'!C73)</f>
        <v>1</v>
      </c>
      <c r="D73" s="49">
        <f>0.4*(AVERAGE('24.08 KAPEKA-MATUGA-24h'!E73,'25.08 KAPEEKA-MATUGA-24h'!E73))</f>
        <v>0.4</v>
      </c>
      <c r="E73" s="49">
        <f>0.6*(AVERAGE('24.08 KAPEKA-MATUGA-24h'!E73,'25.08 KAPEEKA-MATUGA-24h'!E73))</f>
        <v>0.6</v>
      </c>
      <c r="F73" s="49">
        <f>AVERAGE('24.08 KAPEKA-MATUGA-24h'!F73,'25.08 KAPEEKA-MATUGA-24h'!F73)</f>
        <v>2</v>
      </c>
      <c r="G73" s="49">
        <f>AVERAGE('24.08 KAPEKA-MATUGA-24h'!G73,'25.08 KAPEEKA-MATUGA-24h'!G73)</f>
        <v>0</v>
      </c>
      <c r="H73" s="49">
        <f>AVERAGE('24.08 KAPEKA-MATUGA-24h'!H73,'25.08 KAPEEKA-MATUGA-24h'!H73)</f>
        <v>0</v>
      </c>
      <c r="I73" s="49">
        <f>AVERAGE('24.08 KAPEKA-MATUGA-24h'!I73,'25.08 KAPEEKA-MATUGA-24h'!I73)</f>
        <v>1</v>
      </c>
      <c r="J73" s="49">
        <f>AVERAGE('24.08 KAPEKA-MATUGA-24h'!J73,'25.08 KAPEEKA-MATUGA-24h'!J73)</f>
        <v>0</v>
      </c>
      <c r="K73" s="49">
        <f>AVERAGE('24.08 KAPEKA-MATUGA-24h'!K73,'25.08 KAPEEKA-MATUGA-24h'!K73)</f>
        <v>1</v>
      </c>
      <c r="L73" s="49">
        <f>AVERAGE('24.08 KAPEKA-MATUGA-24h'!L73,'25.08 KAPEEKA-MATUGA-24h'!L73)</f>
        <v>0</v>
      </c>
      <c r="M73" s="49">
        <f>AVERAGE('24.08 KAPEKA-MATUGA-24h'!M73,'25.08 KAPEEKA-MATUGA-24h'!M73)</f>
        <v>1</v>
      </c>
      <c r="N73" s="49">
        <f>AVERAGE('24.08 KAPEKA-MATUGA-24h'!N73,'25.08 KAPEEKA-MATUGA-24h'!N73)</f>
        <v>0</v>
      </c>
      <c r="O73" s="15">
        <f t="shared" si="0"/>
        <v>6</v>
      </c>
      <c r="P73" s="15">
        <f t="shared" si="1"/>
        <v>7</v>
      </c>
      <c r="R73" s="8"/>
      <c r="T73"/>
    </row>
    <row r="74" spans="2:20" ht="23.1" customHeight="1" x14ac:dyDescent="0.25">
      <c r="B74" s="23" t="s">
        <v>114</v>
      </c>
      <c r="C74" s="49">
        <f>AVERAGE('24.08 KAPEKA-MATUGA-24h'!C74,'25.08 KAPEEKA-MATUGA-24h'!C74)</f>
        <v>1</v>
      </c>
      <c r="D74" s="49">
        <f>0.4*(AVERAGE('24.08 KAPEKA-MATUGA-24h'!E74,'25.08 KAPEEKA-MATUGA-24h'!E74))</f>
        <v>0.8</v>
      </c>
      <c r="E74" s="49">
        <f>0.6*(AVERAGE('24.08 KAPEKA-MATUGA-24h'!E74,'25.08 KAPEEKA-MATUGA-24h'!E74))</f>
        <v>1.2</v>
      </c>
      <c r="F74" s="49">
        <f>AVERAGE('24.08 KAPEKA-MATUGA-24h'!F74,'25.08 KAPEEKA-MATUGA-24h'!F74)</f>
        <v>0</v>
      </c>
      <c r="G74" s="49">
        <f>AVERAGE('24.08 KAPEKA-MATUGA-24h'!G74,'25.08 KAPEEKA-MATUGA-24h'!G74)</f>
        <v>0</v>
      </c>
      <c r="H74" s="49">
        <f>AVERAGE('24.08 KAPEKA-MATUGA-24h'!H74,'25.08 KAPEEKA-MATUGA-24h'!H74)</f>
        <v>0</v>
      </c>
      <c r="I74" s="49">
        <f>AVERAGE('24.08 KAPEKA-MATUGA-24h'!I74,'25.08 KAPEEKA-MATUGA-24h'!I74)</f>
        <v>0</v>
      </c>
      <c r="J74" s="49">
        <f>AVERAGE('24.08 KAPEKA-MATUGA-24h'!J74,'25.08 KAPEEKA-MATUGA-24h'!J74)</f>
        <v>0</v>
      </c>
      <c r="K74" s="49">
        <f>AVERAGE('24.08 KAPEKA-MATUGA-24h'!K74,'25.08 KAPEEKA-MATUGA-24h'!K74)</f>
        <v>1</v>
      </c>
      <c r="L74" s="49">
        <f>AVERAGE('24.08 KAPEKA-MATUGA-24h'!L74,'25.08 KAPEEKA-MATUGA-24h'!L74)</f>
        <v>0</v>
      </c>
      <c r="M74" s="49">
        <f>AVERAGE('24.08 KAPEKA-MATUGA-24h'!M74,'25.08 KAPEEKA-MATUGA-24h'!M74)</f>
        <v>1</v>
      </c>
      <c r="N74" s="49">
        <f>AVERAGE('24.08 KAPEKA-MATUGA-24h'!N74,'25.08 KAPEEKA-MATUGA-24h'!N74)</f>
        <v>0</v>
      </c>
      <c r="O74" s="15">
        <f t="shared" ref="O74:O105" si="35">SUM(C74:L74,N74)</f>
        <v>4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23" t="s">
        <v>115</v>
      </c>
      <c r="C75" s="49">
        <f>AVERAGE('24.08 KAPEKA-MATUGA-24h'!C75,'25.08 KAPEEKA-MATUGA-24h'!C75)</f>
        <v>2</v>
      </c>
      <c r="D75" s="49">
        <f>0.4*(AVERAGE('24.08 KAPEKA-MATUGA-24h'!E75,'25.08 KAPEEKA-MATUGA-24h'!E75))</f>
        <v>0.8</v>
      </c>
      <c r="E75" s="49">
        <f>0.6*(AVERAGE('24.08 KAPEKA-MATUGA-24h'!E75,'25.08 KAPEEKA-MATUGA-24h'!E75))</f>
        <v>1.2</v>
      </c>
      <c r="F75" s="49">
        <f>AVERAGE('24.08 KAPEKA-MATUGA-24h'!F75,'25.08 KAPEEKA-MATUGA-24h'!F75)</f>
        <v>1</v>
      </c>
      <c r="G75" s="49">
        <f>AVERAGE('24.08 KAPEKA-MATUGA-24h'!G75,'25.08 KAPEEKA-MATUGA-24h'!G75)</f>
        <v>0</v>
      </c>
      <c r="H75" s="49">
        <f>AVERAGE('24.08 KAPEKA-MATUGA-24h'!H75,'25.08 KAPEEKA-MATUGA-24h'!H75)</f>
        <v>0</v>
      </c>
      <c r="I75" s="49">
        <f>AVERAGE('24.08 KAPEKA-MATUGA-24h'!I75,'25.08 KAPEEKA-MATUGA-24h'!I75)</f>
        <v>2</v>
      </c>
      <c r="J75" s="49">
        <f>AVERAGE('24.08 KAPEKA-MATUGA-24h'!J75,'25.08 KAPEEKA-MATUGA-24h'!J75)</f>
        <v>0</v>
      </c>
      <c r="K75" s="49">
        <f>AVERAGE('24.08 KAPEKA-MATUGA-24h'!K75,'25.08 KAPEEKA-MATUGA-24h'!K75)</f>
        <v>0</v>
      </c>
      <c r="L75" s="49">
        <f>AVERAGE('24.08 KAPEKA-MATUGA-24h'!L75,'25.08 KAPEEKA-MATUGA-24h'!L75)</f>
        <v>0</v>
      </c>
      <c r="M75" s="49">
        <f>AVERAGE('24.08 KAPEKA-MATUGA-24h'!M75,'25.08 KAPEEKA-MATUGA-24h'!M75)</f>
        <v>0</v>
      </c>
      <c r="N75" s="49">
        <f>AVERAGE('24.08 KAPEKA-MATUGA-24h'!N75,'25.08 KAPEEKA-MATUGA-24h'!N75)</f>
        <v>0</v>
      </c>
      <c r="O75" s="15">
        <f t="shared" si="35"/>
        <v>7</v>
      </c>
      <c r="P75" s="15">
        <f t="shared" si="36"/>
        <v>7</v>
      </c>
      <c r="R75" s="8"/>
      <c r="T75"/>
    </row>
    <row r="76" spans="2:20" ht="23.1" customHeight="1" x14ac:dyDescent="0.25">
      <c r="B76" s="23" t="s">
        <v>116</v>
      </c>
      <c r="C76" s="49">
        <f>AVERAGE('24.08 KAPEKA-MATUGA-24h'!C76,'25.08 KAPEEKA-MATUGA-24h'!C76)</f>
        <v>2</v>
      </c>
      <c r="D76" s="49">
        <f>0.4*(AVERAGE('24.08 KAPEKA-MATUGA-24h'!E76,'25.08 KAPEEKA-MATUGA-24h'!E76))</f>
        <v>0</v>
      </c>
      <c r="E76" s="49">
        <f>0.6*(AVERAGE('24.08 KAPEKA-MATUGA-24h'!E76,'25.08 KAPEEKA-MATUGA-24h'!E76))</f>
        <v>0</v>
      </c>
      <c r="F76" s="49">
        <f>AVERAGE('24.08 KAPEKA-MATUGA-24h'!F76,'25.08 KAPEEKA-MATUGA-24h'!F76)</f>
        <v>1</v>
      </c>
      <c r="G76" s="49">
        <f>AVERAGE('24.08 KAPEKA-MATUGA-24h'!G76,'25.08 KAPEEKA-MATUGA-24h'!G76)</f>
        <v>0</v>
      </c>
      <c r="H76" s="49">
        <f>AVERAGE('24.08 KAPEKA-MATUGA-24h'!H76,'25.08 KAPEEKA-MATUGA-24h'!H76)</f>
        <v>0</v>
      </c>
      <c r="I76" s="49">
        <f>AVERAGE('24.08 KAPEKA-MATUGA-24h'!I76,'25.08 KAPEEKA-MATUGA-24h'!I76)</f>
        <v>1</v>
      </c>
      <c r="J76" s="49">
        <f>AVERAGE('24.08 KAPEKA-MATUGA-24h'!J76,'25.08 KAPEEKA-MATUGA-24h'!J76)</f>
        <v>1</v>
      </c>
      <c r="K76" s="49">
        <f>AVERAGE('24.08 KAPEKA-MATUGA-24h'!K76,'25.08 KAPEEKA-MATUGA-24h'!K76)</f>
        <v>1</v>
      </c>
      <c r="L76" s="49">
        <f>AVERAGE('24.08 KAPEKA-MATUGA-24h'!L76,'25.08 KAPEEKA-MATUGA-24h'!L76)</f>
        <v>0</v>
      </c>
      <c r="M76" s="49">
        <f>AVERAGE('24.08 KAPEKA-MATUGA-24h'!M76,'25.08 KAPEEKA-MATUGA-24h'!M76)</f>
        <v>0</v>
      </c>
      <c r="N76" s="49">
        <f>AVERAGE('24.08 KAPEKA-MATUGA-24h'!N76,'25.08 KAPEEKA-MATUGA-24h'!N76)</f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23" t="s">
        <v>117</v>
      </c>
      <c r="C77" s="49">
        <f>AVERAGE('24.08 KAPEKA-MATUGA-24h'!C77,'25.08 KAPEEKA-MATUGA-24h'!C77)</f>
        <v>1</v>
      </c>
      <c r="D77" s="49">
        <f>0.4*(AVERAGE('24.08 KAPEKA-MATUGA-24h'!E77,'25.08 KAPEEKA-MATUGA-24h'!E77))</f>
        <v>0.4</v>
      </c>
      <c r="E77" s="49">
        <f>0.6*(AVERAGE('24.08 KAPEKA-MATUGA-24h'!E77,'25.08 KAPEEKA-MATUGA-24h'!E77))</f>
        <v>0.6</v>
      </c>
      <c r="F77" s="49">
        <f>AVERAGE('24.08 KAPEKA-MATUGA-24h'!F77,'25.08 KAPEEKA-MATUGA-24h'!F77)</f>
        <v>1</v>
      </c>
      <c r="G77" s="49">
        <f>AVERAGE('24.08 KAPEKA-MATUGA-24h'!G77,'25.08 KAPEEKA-MATUGA-24h'!G77)</f>
        <v>0</v>
      </c>
      <c r="H77" s="49">
        <f>AVERAGE('24.08 KAPEKA-MATUGA-24h'!H77,'25.08 KAPEEKA-MATUGA-24h'!H77)</f>
        <v>0</v>
      </c>
      <c r="I77" s="49">
        <f>AVERAGE('24.08 KAPEKA-MATUGA-24h'!I77,'25.08 KAPEEKA-MATUGA-24h'!I77)</f>
        <v>1</v>
      </c>
      <c r="J77" s="49">
        <f>AVERAGE('24.08 KAPEKA-MATUGA-24h'!J77,'25.08 KAPEEKA-MATUGA-24h'!J77)</f>
        <v>1</v>
      </c>
      <c r="K77" s="49">
        <f>AVERAGE('24.08 KAPEKA-MATUGA-24h'!K77,'25.08 KAPEEKA-MATUGA-24h'!K77)</f>
        <v>1</v>
      </c>
      <c r="L77" s="49">
        <f>AVERAGE('24.08 KAPEKA-MATUGA-24h'!L77,'25.08 KAPEEKA-MATUGA-24h'!L77)</f>
        <v>0</v>
      </c>
      <c r="M77" s="49">
        <f>AVERAGE('24.08 KAPEKA-MATUGA-24h'!M77,'25.08 KAPEEKA-MATUGA-24h'!M77)</f>
        <v>1</v>
      </c>
      <c r="N77" s="49">
        <f>AVERAGE('24.08 KAPEKA-MATUGA-24h'!N77,'25.08 KAPEEKA-MATUGA-24h'!N77)</f>
        <v>0</v>
      </c>
      <c r="O77" s="15">
        <f t="shared" si="35"/>
        <v>6</v>
      </c>
      <c r="P77" s="15">
        <f t="shared" si="36"/>
        <v>7</v>
      </c>
      <c r="R77" s="8"/>
      <c r="T77"/>
    </row>
    <row r="78" spans="2:20" ht="23.1" customHeight="1" x14ac:dyDescent="0.25">
      <c r="B78" s="24" t="s">
        <v>118</v>
      </c>
      <c r="C78" s="49">
        <f>AVERAGE('24.08 KAPEKA-MATUGA-24h'!C78,'25.08 KAPEEKA-MATUGA-24h'!C78)</f>
        <v>2</v>
      </c>
      <c r="D78" s="49">
        <f>0.4*(AVERAGE('24.08 KAPEKA-MATUGA-24h'!E78,'25.08 KAPEEKA-MATUGA-24h'!E78))</f>
        <v>0.4</v>
      </c>
      <c r="E78" s="49">
        <f>0.6*(AVERAGE('24.08 KAPEKA-MATUGA-24h'!E78,'25.08 KAPEEKA-MATUGA-24h'!E78))</f>
        <v>0.6</v>
      </c>
      <c r="F78" s="49">
        <f>AVERAGE('24.08 KAPEKA-MATUGA-24h'!F78,'25.08 KAPEEKA-MATUGA-24h'!F78)</f>
        <v>1</v>
      </c>
      <c r="G78" s="49">
        <f>AVERAGE('24.08 KAPEKA-MATUGA-24h'!G78,'25.08 KAPEEKA-MATUGA-24h'!G78)</f>
        <v>0</v>
      </c>
      <c r="H78" s="49">
        <f>AVERAGE('24.08 KAPEKA-MATUGA-24h'!H78,'25.08 KAPEEKA-MATUGA-24h'!H78)</f>
        <v>0</v>
      </c>
      <c r="I78" s="49">
        <f>AVERAGE('24.08 KAPEKA-MATUGA-24h'!I78,'25.08 KAPEEKA-MATUGA-24h'!I78)</f>
        <v>1</v>
      </c>
      <c r="J78" s="49">
        <f>AVERAGE('24.08 KAPEKA-MATUGA-24h'!J78,'25.08 KAPEEKA-MATUGA-24h'!J78)</f>
        <v>0</v>
      </c>
      <c r="K78" s="49">
        <f>AVERAGE('24.08 KAPEKA-MATUGA-24h'!K78,'25.08 KAPEEKA-MATUGA-24h'!K78)</f>
        <v>0</v>
      </c>
      <c r="L78" s="49">
        <f>AVERAGE('24.08 KAPEKA-MATUGA-24h'!L78,'25.08 KAPEEKA-MATUGA-24h'!L78)</f>
        <v>0</v>
      </c>
      <c r="M78" s="49">
        <f>AVERAGE('24.08 KAPEKA-MATUGA-24h'!M78,'25.08 KAPEEKA-MATUGA-24h'!M78)</f>
        <v>0</v>
      </c>
      <c r="N78" s="49">
        <f>AVERAGE('24.08 KAPEKA-MATUGA-24h'!N78,'25.08 KAPEEKA-MATUGA-24h'!N78)</f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23" t="s">
        <v>119</v>
      </c>
      <c r="C79" s="49">
        <f>AVERAGE('24.08 KAPEKA-MATUGA-24h'!C79,'25.08 KAPEEKA-MATUGA-24h'!C79)</f>
        <v>3</v>
      </c>
      <c r="D79" s="49">
        <f>0.4*(AVERAGE('24.08 KAPEKA-MATUGA-24h'!E79,'25.08 KAPEEKA-MATUGA-24h'!E79))</f>
        <v>0.8</v>
      </c>
      <c r="E79" s="49">
        <f>0.6*(AVERAGE('24.08 KAPEKA-MATUGA-24h'!E79,'25.08 KAPEEKA-MATUGA-24h'!E79))</f>
        <v>1.2</v>
      </c>
      <c r="F79" s="49">
        <f>AVERAGE('24.08 KAPEKA-MATUGA-24h'!F79,'25.08 KAPEEKA-MATUGA-24h'!F79)</f>
        <v>1</v>
      </c>
      <c r="G79" s="49">
        <f>AVERAGE('24.08 KAPEKA-MATUGA-24h'!G79,'25.08 KAPEEKA-MATUGA-24h'!G79)</f>
        <v>0</v>
      </c>
      <c r="H79" s="49">
        <f>AVERAGE('24.08 KAPEKA-MATUGA-24h'!H79,'25.08 KAPEEKA-MATUGA-24h'!H79)</f>
        <v>0</v>
      </c>
      <c r="I79" s="49">
        <f>AVERAGE('24.08 KAPEKA-MATUGA-24h'!I79,'25.08 KAPEEKA-MATUGA-24h'!I79)</f>
        <v>1</v>
      </c>
      <c r="J79" s="49">
        <f>AVERAGE('24.08 KAPEKA-MATUGA-24h'!J79,'25.08 KAPEEKA-MATUGA-24h'!J79)</f>
        <v>1</v>
      </c>
      <c r="K79" s="49">
        <f>AVERAGE('24.08 KAPEKA-MATUGA-24h'!K79,'25.08 KAPEEKA-MATUGA-24h'!K79)</f>
        <v>0</v>
      </c>
      <c r="L79" s="49">
        <f>AVERAGE('24.08 KAPEKA-MATUGA-24h'!L79,'25.08 KAPEEKA-MATUGA-24h'!L79)</f>
        <v>0</v>
      </c>
      <c r="M79" s="49">
        <f>AVERAGE('24.08 KAPEKA-MATUGA-24h'!M79,'25.08 KAPEEKA-MATUGA-24h'!M79)</f>
        <v>0</v>
      </c>
      <c r="N79" s="49">
        <f>AVERAGE('24.08 KAPEKA-MATUGA-24h'!N79,'25.08 KAPEEKA-MATUGA-24h'!N79)</f>
        <v>0</v>
      </c>
      <c r="O79" s="15">
        <f t="shared" si="35"/>
        <v>8</v>
      </c>
      <c r="P79" s="15">
        <f t="shared" si="36"/>
        <v>8</v>
      </c>
      <c r="R79" s="8"/>
      <c r="T79"/>
    </row>
    <row r="80" spans="2:20" ht="23.1" customHeight="1" x14ac:dyDescent="0.25">
      <c r="B80" s="25" t="s">
        <v>120</v>
      </c>
      <c r="C80" s="49">
        <f>AVERAGE('24.08 KAPEKA-MATUGA-24h'!C80,'25.08 KAPEEKA-MATUGA-24h'!C80)</f>
        <v>1</v>
      </c>
      <c r="D80" s="49">
        <f>0.4*(AVERAGE('24.08 KAPEKA-MATUGA-24h'!E80,'25.08 KAPEEKA-MATUGA-24h'!E80))</f>
        <v>0.4</v>
      </c>
      <c r="E80" s="49">
        <f>0.6*(AVERAGE('24.08 KAPEKA-MATUGA-24h'!E80,'25.08 KAPEEKA-MATUGA-24h'!E80))</f>
        <v>0.6</v>
      </c>
      <c r="F80" s="49">
        <f>AVERAGE('24.08 KAPEKA-MATUGA-24h'!F80,'25.08 KAPEEKA-MATUGA-24h'!F80)</f>
        <v>0</v>
      </c>
      <c r="G80" s="49">
        <f>AVERAGE('24.08 KAPEKA-MATUGA-24h'!G80,'25.08 KAPEEKA-MATUGA-24h'!G80)</f>
        <v>0</v>
      </c>
      <c r="H80" s="49">
        <f>AVERAGE('24.08 KAPEKA-MATUGA-24h'!H80,'25.08 KAPEEKA-MATUGA-24h'!H80)</f>
        <v>0</v>
      </c>
      <c r="I80" s="49">
        <f>AVERAGE('24.08 KAPEKA-MATUGA-24h'!I80,'25.08 KAPEEKA-MATUGA-24h'!I80)</f>
        <v>1</v>
      </c>
      <c r="J80" s="49">
        <f>AVERAGE('24.08 KAPEKA-MATUGA-24h'!J80,'25.08 KAPEEKA-MATUGA-24h'!J80)</f>
        <v>0</v>
      </c>
      <c r="K80" s="49">
        <f>AVERAGE('24.08 KAPEKA-MATUGA-24h'!K80,'25.08 KAPEEKA-MATUGA-24h'!K80)</f>
        <v>0</v>
      </c>
      <c r="L80" s="49">
        <f>AVERAGE('24.08 KAPEKA-MATUGA-24h'!L80,'25.08 KAPEEKA-MATUGA-24h'!L80)</f>
        <v>0</v>
      </c>
      <c r="M80" s="49">
        <f>AVERAGE('24.08 KAPEKA-MATUGA-24h'!M80,'25.08 KAPEEKA-MATUGA-24h'!M80)</f>
        <v>1</v>
      </c>
      <c r="N80" s="49">
        <f>AVERAGE('24.08 KAPEKA-MATUGA-24h'!N80,'25.08 KAPEEKA-MATUGA-24h'!N80)</f>
        <v>0</v>
      </c>
      <c r="O80" s="15">
        <f t="shared" si="35"/>
        <v>3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AVERAGE('24.08 KAPEKA-MATUGA-24h'!C81,'25.08 KAPEEKA-MATUGA-24h'!C81)</f>
        <v>1</v>
      </c>
      <c r="D81" s="49">
        <f>0.4*(AVERAGE('24.08 KAPEKA-MATUGA-24h'!E81,'25.08 KAPEEKA-MATUGA-24h'!E81))</f>
        <v>0.4</v>
      </c>
      <c r="E81" s="49">
        <f>0.6*(AVERAGE('24.08 KAPEKA-MATUGA-24h'!E81,'25.08 KAPEEKA-MATUGA-24h'!E81))</f>
        <v>0.6</v>
      </c>
      <c r="F81" s="49">
        <f>AVERAGE('24.08 KAPEKA-MATUGA-24h'!F81,'25.08 KAPEEKA-MATUGA-24h'!F81)</f>
        <v>1</v>
      </c>
      <c r="G81" s="49">
        <f>AVERAGE('24.08 KAPEKA-MATUGA-24h'!G81,'25.08 KAPEEKA-MATUGA-24h'!G81)</f>
        <v>0</v>
      </c>
      <c r="H81" s="49">
        <f>AVERAGE('24.08 KAPEKA-MATUGA-24h'!H81,'25.08 KAPEEKA-MATUGA-24h'!H81)</f>
        <v>0</v>
      </c>
      <c r="I81" s="49">
        <f>AVERAGE('24.08 KAPEKA-MATUGA-24h'!I81,'25.08 KAPEEKA-MATUGA-24h'!I81)</f>
        <v>1</v>
      </c>
      <c r="J81" s="49">
        <f>AVERAGE('24.08 KAPEKA-MATUGA-24h'!J81,'25.08 KAPEEKA-MATUGA-24h'!J81)</f>
        <v>0</v>
      </c>
      <c r="K81" s="49">
        <f>AVERAGE('24.08 KAPEKA-MATUGA-24h'!K81,'25.08 KAPEEKA-MATUGA-24h'!K81)</f>
        <v>0</v>
      </c>
      <c r="L81" s="49">
        <f>AVERAGE('24.08 KAPEKA-MATUGA-24h'!L81,'25.08 KAPEEKA-MATUGA-24h'!L81)</f>
        <v>0</v>
      </c>
      <c r="M81" s="49">
        <f>AVERAGE('24.08 KAPEKA-MATUGA-24h'!M81,'25.08 KAPEEKA-MATUGA-24h'!M81)</f>
        <v>0</v>
      </c>
      <c r="N81" s="49">
        <f>AVERAGE('24.08 KAPEKA-MATUGA-24h'!N81,'25.08 KAPEEKA-MATUGA-24h'!N81)</f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AVERAGE('24.08 KAPEKA-MATUGA-24h'!C82,'25.08 KAPEEKA-MATUGA-24h'!C82)</f>
        <v>0</v>
      </c>
      <c r="D82" s="49">
        <f>0.4*(AVERAGE('24.08 KAPEKA-MATUGA-24h'!E82,'25.08 KAPEEKA-MATUGA-24h'!E82))</f>
        <v>0.4</v>
      </c>
      <c r="E82" s="49">
        <f>0.6*(AVERAGE('24.08 KAPEKA-MATUGA-24h'!E82,'25.08 KAPEEKA-MATUGA-24h'!E82))</f>
        <v>0.6</v>
      </c>
      <c r="F82" s="49">
        <f>AVERAGE('24.08 KAPEKA-MATUGA-24h'!F82,'25.08 KAPEEKA-MATUGA-24h'!F82)</f>
        <v>0</v>
      </c>
      <c r="G82" s="49">
        <f>AVERAGE('24.08 KAPEKA-MATUGA-24h'!G82,'25.08 KAPEEKA-MATUGA-24h'!G82)</f>
        <v>0</v>
      </c>
      <c r="H82" s="49">
        <f>AVERAGE('24.08 KAPEKA-MATUGA-24h'!H82,'25.08 KAPEEKA-MATUGA-24h'!H82)</f>
        <v>0</v>
      </c>
      <c r="I82" s="49">
        <f>AVERAGE('24.08 KAPEKA-MATUGA-24h'!I82,'25.08 KAPEEKA-MATUGA-24h'!I82)</f>
        <v>1</v>
      </c>
      <c r="J82" s="49">
        <f>AVERAGE('24.08 KAPEKA-MATUGA-24h'!J82,'25.08 KAPEEKA-MATUGA-24h'!J82)</f>
        <v>1</v>
      </c>
      <c r="K82" s="49">
        <f>AVERAGE('24.08 KAPEKA-MATUGA-24h'!K82,'25.08 KAPEEKA-MATUGA-24h'!K82)</f>
        <v>0</v>
      </c>
      <c r="L82" s="49">
        <f>AVERAGE('24.08 KAPEKA-MATUGA-24h'!L82,'25.08 KAPEEKA-MATUGA-24h'!L82)</f>
        <v>0</v>
      </c>
      <c r="M82" s="49">
        <f>AVERAGE('24.08 KAPEKA-MATUGA-24h'!M82,'25.08 KAPEEKA-MATUGA-24h'!M82)</f>
        <v>0</v>
      </c>
      <c r="N82" s="49">
        <f>AVERAGE('24.08 KAPEKA-MATUGA-24h'!N82,'25.08 KAPEEKA-MATUGA-24h'!N82)</f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AVERAGE('24.08 KAPEKA-MATUGA-24h'!C83,'25.08 KAPEEKA-MATUGA-24h'!C83)</f>
        <v>1</v>
      </c>
      <c r="D83" s="49">
        <f>0.4*(AVERAGE('24.08 KAPEKA-MATUGA-24h'!E83,'25.08 KAPEEKA-MATUGA-24h'!E83))</f>
        <v>0.4</v>
      </c>
      <c r="E83" s="49">
        <f>0.6*(AVERAGE('24.08 KAPEKA-MATUGA-24h'!E83,'25.08 KAPEEKA-MATUGA-24h'!E83))</f>
        <v>0.6</v>
      </c>
      <c r="F83" s="49">
        <f>AVERAGE('24.08 KAPEKA-MATUGA-24h'!F83,'25.08 KAPEEKA-MATUGA-24h'!F83)</f>
        <v>0</v>
      </c>
      <c r="G83" s="49">
        <f>AVERAGE('24.08 KAPEKA-MATUGA-24h'!G83,'25.08 KAPEEKA-MATUGA-24h'!G83)</f>
        <v>0</v>
      </c>
      <c r="H83" s="49">
        <f>AVERAGE('24.08 KAPEKA-MATUGA-24h'!H83,'25.08 KAPEEKA-MATUGA-24h'!H83)</f>
        <v>0</v>
      </c>
      <c r="I83" s="49">
        <f>AVERAGE('24.08 KAPEKA-MATUGA-24h'!I83,'25.08 KAPEEKA-MATUGA-24h'!I83)</f>
        <v>1</v>
      </c>
      <c r="J83" s="49">
        <f>AVERAGE('24.08 KAPEKA-MATUGA-24h'!J83,'25.08 KAPEEKA-MATUGA-24h'!J83)</f>
        <v>1</v>
      </c>
      <c r="K83" s="49">
        <f>AVERAGE('24.08 KAPEKA-MATUGA-24h'!K83,'25.08 KAPEEKA-MATUGA-24h'!K83)</f>
        <v>0</v>
      </c>
      <c r="L83" s="49">
        <f>AVERAGE('24.08 KAPEKA-MATUGA-24h'!L83,'25.08 KAPEEKA-MATUGA-24h'!L83)</f>
        <v>0</v>
      </c>
      <c r="M83" s="49">
        <f>AVERAGE('24.08 KAPEKA-MATUGA-24h'!M83,'25.08 KAPEEKA-MATUGA-24h'!M83)</f>
        <v>0</v>
      </c>
      <c r="N83" s="49">
        <f>AVERAGE('24.08 KAPEKA-MATUGA-24h'!N83,'25.08 KAPEEKA-MATUGA-24h'!N83)</f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25" t="s">
        <v>124</v>
      </c>
      <c r="C84" s="49">
        <f>AVERAGE('24.08 KAPEKA-MATUGA-24h'!C84,'25.08 KAPEEKA-MATUGA-24h'!C84)</f>
        <v>1</v>
      </c>
      <c r="D84" s="49">
        <f>0.4*(AVERAGE('24.08 KAPEKA-MATUGA-24h'!E84,'25.08 KAPEEKA-MATUGA-24h'!E84))</f>
        <v>0.4</v>
      </c>
      <c r="E84" s="49">
        <f>0.6*(AVERAGE('24.08 KAPEKA-MATUGA-24h'!E84,'25.08 KAPEEKA-MATUGA-24h'!E84))</f>
        <v>0.6</v>
      </c>
      <c r="F84" s="49">
        <f>AVERAGE('24.08 KAPEKA-MATUGA-24h'!F84,'25.08 KAPEEKA-MATUGA-24h'!F84)</f>
        <v>1</v>
      </c>
      <c r="G84" s="49">
        <f>AVERAGE('24.08 KAPEKA-MATUGA-24h'!G84,'25.08 KAPEEKA-MATUGA-24h'!G84)</f>
        <v>0</v>
      </c>
      <c r="H84" s="49">
        <f>AVERAGE('24.08 KAPEKA-MATUGA-24h'!H84,'25.08 KAPEEKA-MATUGA-24h'!H84)</f>
        <v>0</v>
      </c>
      <c r="I84" s="49">
        <f>AVERAGE('24.08 KAPEKA-MATUGA-24h'!I84,'25.08 KAPEEKA-MATUGA-24h'!I84)</f>
        <v>1</v>
      </c>
      <c r="J84" s="49">
        <f>AVERAGE('24.08 KAPEKA-MATUGA-24h'!J84,'25.08 KAPEEKA-MATUGA-24h'!J84)</f>
        <v>0</v>
      </c>
      <c r="K84" s="49">
        <f>AVERAGE('24.08 KAPEKA-MATUGA-24h'!K84,'25.08 KAPEEKA-MATUGA-24h'!K84)</f>
        <v>1</v>
      </c>
      <c r="L84" s="49">
        <f>AVERAGE('24.08 KAPEKA-MATUGA-24h'!L84,'25.08 KAPEEKA-MATUGA-24h'!L84)</f>
        <v>0</v>
      </c>
      <c r="M84" s="49">
        <f>AVERAGE('24.08 KAPEKA-MATUGA-24h'!M84,'25.08 KAPEEKA-MATUGA-24h'!M84)</f>
        <v>1</v>
      </c>
      <c r="N84" s="49">
        <f>AVERAGE('24.08 KAPEKA-MATUGA-24h'!N84,'25.08 KAPEEKA-MATUGA-24h'!N84)</f>
        <v>0</v>
      </c>
      <c r="O84" s="15">
        <f t="shared" si="35"/>
        <v>5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AVERAGE('24.08 KAPEKA-MATUGA-24h'!C85,'25.08 KAPEEKA-MATUGA-24h'!C85)</f>
        <v>1</v>
      </c>
      <c r="D85" s="49">
        <f>0.4*(AVERAGE('24.08 KAPEKA-MATUGA-24h'!E85,'25.08 KAPEEKA-MATUGA-24h'!E85))</f>
        <v>0.4</v>
      </c>
      <c r="E85" s="49">
        <f>0.6*(AVERAGE('24.08 KAPEKA-MATUGA-24h'!E85,'25.08 KAPEEKA-MATUGA-24h'!E85))</f>
        <v>0.6</v>
      </c>
      <c r="F85" s="49">
        <f>AVERAGE('24.08 KAPEKA-MATUGA-24h'!F85,'25.08 KAPEEKA-MATUGA-24h'!F85)</f>
        <v>0</v>
      </c>
      <c r="G85" s="49">
        <f>AVERAGE('24.08 KAPEKA-MATUGA-24h'!G85,'25.08 KAPEEKA-MATUGA-24h'!G85)</f>
        <v>0</v>
      </c>
      <c r="H85" s="49">
        <f>AVERAGE('24.08 KAPEKA-MATUGA-24h'!H85,'25.08 KAPEEKA-MATUGA-24h'!H85)</f>
        <v>0</v>
      </c>
      <c r="I85" s="49">
        <f>AVERAGE('24.08 KAPEKA-MATUGA-24h'!I85,'25.08 KAPEEKA-MATUGA-24h'!I85)</f>
        <v>0</v>
      </c>
      <c r="J85" s="49">
        <f>AVERAGE('24.08 KAPEKA-MATUGA-24h'!J85,'25.08 KAPEEKA-MATUGA-24h'!J85)</f>
        <v>0</v>
      </c>
      <c r="K85" s="49">
        <f>AVERAGE('24.08 KAPEKA-MATUGA-24h'!K85,'25.08 KAPEEKA-MATUGA-24h'!K85)</f>
        <v>1</v>
      </c>
      <c r="L85" s="49">
        <f>AVERAGE('24.08 KAPEKA-MATUGA-24h'!L85,'25.08 KAPEEKA-MATUGA-24h'!L85)</f>
        <v>0</v>
      </c>
      <c r="M85" s="49">
        <f>AVERAGE('24.08 KAPEKA-MATUGA-24h'!M85,'25.08 KAPEEKA-MATUGA-24h'!M85)</f>
        <v>0</v>
      </c>
      <c r="N85" s="49">
        <f>AVERAGE('24.08 KAPEKA-MATUGA-24h'!N85,'25.08 KAPEEKA-MATUGA-24h'!N85)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AVERAGE('24.08 KAPEKA-MATUGA-24h'!C86,'25.08 KAPEEKA-MATUGA-24h'!C86)</f>
        <v>0</v>
      </c>
      <c r="D86" s="49">
        <f>0.4*(AVERAGE('24.08 KAPEKA-MATUGA-24h'!E86,'25.08 KAPEEKA-MATUGA-24h'!E86))</f>
        <v>0</v>
      </c>
      <c r="E86" s="49">
        <f>0.6*(AVERAGE('24.08 KAPEKA-MATUGA-24h'!E86,'25.08 KAPEEKA-MATUGA-24h'!E86))</f>
        <v>0</v>
      </c>
      <c r="F86" s="49">
        <f>AVERAGE('24.08 KAPEKA-MATUGA-24h'!F86,'25.08 KAPEEKA-MATUGA-24h'!F86)</f>
        <v>0</v>
      </c>
      <c r="G86" s="49">
        <f>AVERAGE('24.08 KAPEKA-MATUGA-24h'!G86,'25.08 KAPEEKA-MATUGA-24h'!G86)</f>
        <v>0</v>
      </c>
      <c r="H86" s="49">
        <f>AVERAGE('24.08 KAPEKA-MATUGA-24h'!H86,'25.08 KAPEEKA-MATUGA-24h'!H86)</f>
        <v>0</v>
      </c>
      <c r="I86" s="49">
        <f>AVERAGE('24.08 KAPEKA-MATUGA-24h'!I86,'25.08 KAPEEKA-MATUGA-24h'!I86)</f>
        <v>0</v>
      </c>
      <c r="J86" s="49">
        <f>AVERAGE('24.08 KAPEKA-MATUGA-24h'!J86,'25.08 KAPEEKA-MATUGA-24h'!J86)</f>
        <v>0</v>
      </c>
      <c r="K86" s="49">
        <f>AVERAGE('24.08 KAPEKA-MATUGA-24h'!K86,'25.08 KAPEEKA-MATUGA-24h'!K86)</f>
        <v>0</v>
      </c>
      <c r="L86" s="49">
        <f>AVERAGE('24.08 KAPEKA-MATUGA-24h'!L86,'25.08 KAPEEKA-MATUGA-24h'!L86)</f>
        <v>0</v>
      </c>
      <c r="M86" s="49">
        <f>AVERAGE('24.08 KAPEKA-MATUGA-24h'!M86,'25.08 KAPEEKA-MATUGA-24h'!M86)</f>
        <v>0</v>
      </c>
      <c r="N86" s="49">
        <f>AVERAGE('24.08 KAPEKA-MATUGA-24h'!N86,'25.08 KAPEEKA-MATUGA-24h'!N86)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AVERAGE('24.08 KAPEKA-MATUGA-24h'!C87,'25.08 KAPEEKA-MATUGA-24h'!C87)</f>
        <v>0</v>
      </c>
      <c r="D87" s="49">
        <f>0.4*(AVERAGE('24.08 KAPEKA-MATUGA-24h'!E87,'25.08 KAPEEKA-MATUGA-24h'!E87))</f>
        <v>0</v>
      </c>
      <c r="E87" s="49">
        <f>0.6*(AVERAGE('24.08 KAPEKA-MATUGA-24h'!E87,'25.08 KAPEEKA-MATUGA-24h'!E87))</f>
        <v>0</v>
      </c>
      <c r="F87" s="49">
        <f>AVERAGE('24.08 KAPEKA-MATUGA-24h'!F87,'25.08 KAPEEKA-MATUGA-24h'!F87)</f>
        <v>0</v>
      </c>
      <c r="G87" s="49">
        <f>AVERAGE('24.08 KAPEKA-MATUGA-24h'!G87,'25.08 KAPEEKA-MATUGA-24h'!G87)</f>
        <v>0</v>
      </c>
      <c r="H87" s="49">
        <f>AVERAGE('24.08 KAPEKA-MATUGA-24h'!H87,'25.08 KAPEEKA-MATUGA-24h'!H87)</f>
        <v>0</v>
      </c>
      <c r="I87" s="49">
        <f>AVERAGE('24.08 KAPEKA-MATUGA-24h'!I87,'25.08 KAPEEKA-MATUGA-24h'!I87)</f>
        <v>0</v>
      </c>
      <c r="J87" s="49">
        <f>AVERAGE('24.08 KAPEKA-MATUGA-24h'!J87,'25.08 KAPEEKA-MATUGA-24h'!J87)</f>
        <v>0</v>
      </c>
      <c r="K87" s="49">
        <f>AVERAGE('24.08 KAPEKA-MATUGA-24h'!K87,'25.08 KAPEEKA-MATUGA-24h'!K87)</f>
        <v>0</v>
      </c>
      <c r="L87" s="49">
        <f>AVERAGE('24.08 KAPEKA-MATUGA-24h'!L87,'25.08 KAPEEKA-MATUGA-24h'!L87)</f>
        <v>0</v>
      </c>
      <c r="M87" s="49">
        <f>AVERAGE('24.08 KAPEKA-MATUGA-24h'!M87,'25.08 KAPEEKA-MATUGA-24h'!M87)</f>
        <v>0</v>
      </c>
      <c r="N87" s="49">
        <f>AVERAGE('24.08 KAPEKA-MATUGA-24h'!N87,'25.08 KAPEEKA-MATUGA-24h'!N87)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AVERAGE('24.08 KAPEKA-MATUGA-24h'!C88,'25.08 KAPEEKA-MATUGA-24h'!C88)</f>
        <v>0</v>
      </c>
      <c r="D88" s="49">
        <f>0.4*(AVERAGE('24.08 KAPEKA-MATUGA-24h'!E88,'25.08 KAPEEKA-MATUGA-24h'!E88))</f>
        <v>0</v>
      </c>
      <c r="E88" s="49">
        <f>0.6*(AVERAGE('24.08 KAPEKA-MATUGA-24h'!E88,'25.08 KAPEEKA-MATUGA-24h'!E88))</f>
        <v>0</v>
      </c>
      <c r="F88" s="49">
        <f>AVERAGE('24.08 KAPEKA-MATUGA-24h'!F88,'25.08 KAPEEKA-MATUGA-24h'!F88)</f>
        <v>0</v>
      </c>
      <c r="G88" s="49">
        <f>AVERAGE('24.08 KAPEKA-MATUGA-24h'!G88,'25.08 KAPEEKA-MATUGA-24h'!G88)</f>
        <v>0</v>
      </c>
      <c r="H88" s="49">
        <f>AVERAGE('24.08 KAPEKA-MATUGA-24h'!H88,'25.08 KAPEEKA-MATUGA-24h'!H88)</f>
        <v>0</v>
      </c>
      <c r="I88" s="49">
        <f>AVERAGE('24.08 KAPEKA-MATUGA-24h'!I88,'25.08 KAPEEKA-MATUGA-24h'!I88)</f>
        <v>0</v>
      </c>
      <c r="J88" s="49">
        <f>AVERAGE('24.08 KAPEKA-MATUGA-24h'!J88,'25.08 KAPEEKA-MATUGA-24h'!J88)</f>
        <v>0</v>
      </c>
      <c r="K88" s="49">
        <f>AVERAGE('24.08 KAPEKA-MATUGA-24h'!K88,'25.08 KAPEEKA-MATUGA-24h'!K88)</f>
        <v>0</v>
      </c>
      <c r="L88" s="49">
        <f>AVERAGE('24.08 KAPEKA-MATUGA-24h'!L88,'25.08 KAPEEKA-MATUGA-24h'!L88)</f>
        <v>0</v>
      </c>
      <c r="M88" s="49">
        <f>AVERAGE('24.08 KAPEKA-MATUGA-24h'!M88,'25.08 KAPEEKA-MATUGA-24h'!M88)</f>
        <v>0</v>
      </c>
      <c r="N88" s="49">
        <f>AVERAGE('24.08 KAPEKA-MATUGA-24h'!N88,'25.08 KAPEEKA-MATUGA-24h'!N88)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AVERAGE('24.08 KAPEKA-MATUGA-24h'!C89,'25.08 KAPEEKA-MATUGA-24h'!C89)</f>
        <v>0</v>
      </c>
      <c r="D89" s="49">
        <f>0.4*(AVERAGE('24.08 KAPEKA-MATUGA-24h'!E89,'25.08 KAPEEKA-MATUGA-24h'!E89))</f>
        <v>0</v>
      </c>
      <c r="E89" s="49">
        <f>0.6*(AVERAGE('24.08 KAPEKA-MATUGA-24h'!E89,'25.08 KAPEEKA-MATUGA-24h'!E89))</f>
        <v>0</v>
      </c>
      <c r="F89" s="49">
        <f>AVERAGE('24.08 KAPEKA-MATUGA-24h'!F89,'25.08 KAPEEKA-MATUGA-24h'!F89)</f>
        <v>0</v>
      </c>
      <c r="G89" s="49">
        <f>AVERAGE('24.08 KAPEKA-MATUGA-24h'!G89,'25.08 KAPEEKA-MATUGA-24h'!G89)</f>
        <v>0</v>
      </c>
      <c r="H89" s="49">
        <f>AVERAGE('24.08 KAPEKA-MATUGA-24h'!H89,'25.08 KAPEEKA-MATUGA-24h'!H89)</f>
        <v>0</v>
      </c>
      <c r="I89" s="49">
        <f>AVERAGE('24.08 KAPEKA-MATUGA-24h'!I89,'25.08 KAPEEKA-MATUGA-24h'!I89)</f>
        <v>0</v>
      </c>
      <c r="J89" s="49">
        <f>AVERAGE('24.08 KAPEKA-MATUGA-24h'!J89,'25.08 KAPEEKA-MATUGA-24h'!J89)</f>
        <v>0</v>
      </c>
      <c r="K89" s="49">
        <f>AVERAGE('24.08 KAPEKA-MATUGA-24h'!K89,'25.08 KAPEEKA-MATUGA-24h'!K89)</f>
        <v>0</v>
      </c>
      <c r="L89" s="49">
        <f>AVERAGE('24.08 KAPEKA-MATUGA-24h'!L89,'25.08 KAPEEKA-MATUGA-24h'!L89)</f>
        <v>0</v>
      </c>
      <c r="M89" s="49">
        <f>AVERAGE('24.08 KAPEKA-MATUGA-24h'!M89,'25.08 KAPEEKA-MATUGA-24h'!M89)</f>
        <v>0</v>
      </c>
      <c r="N89" s="49">
        <f>AVERAGE('24.08 KAPEKA-MATUGA-24h'!N89,'25.08 KAPEEKA-MATUGA-24h'!N89)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AVERAGE('24.08 KAPEKA-MATUGA-24h'!C90,'25.08 KAPEEKA-MATUGA-24h'!C90)</f>
        <v>2</v>
      </c>
      <c r="D90" s="49">
        <f>0.4*(AVERAGE('24.08 KAPEKA-MATUGA-24h'!E90,'25.08 KAPEEKA-MATUGA-24h'!E90))</f>
        <v>0.4</v>
      </c>
      <c r="E90" s="49">
        <f>0.6*(AVERAGE('24.08 KAPEKA-MATUGA-24h'!E90,'25.08 KAPEEKA-MATUGA-24h'!E90))</f>
        <v>0.6</v>
      </c>
      <c r="F90" s="49">
        <f>AVERAGE('24.08 KAPEKA-MATUGA-24h'!F90,'25.08 KAPEEKA-MATUGA-24h'!F90)</f>
        <v>1</v>
      </c>
      <c r="G90" s="49">
        <f>AVERAGE('24.08 KAPEKA-MATUGA-24h'!G90,'25.08 KAPEEKA-MATUGA-24h'!G90)</f>
        <v>0</v>
      </c>
      <c r="H90" s="49">
        <f>AVERAGE('24.08 KAPEKA-MATUGA-24h'!H90,'25.08 KAPEEKA-MATUGA-24h'!H90)</f>
        <v>0</v>
      </c>
      <c r="I90" s="49">
        <f>AVERAGE('24.08 KAPEKA-MATUGA-24h'!I90,'25.08 KAPEEKA-MATUGA-24h'!I90)</f>
        <v>1</v>
      </c>
      <c r="J90" s="49">
        <f>AVERAGE('24.08 KAPEKA-MATUGA-24h'!J90,'25.08 KAPEEKA-MATUGA-24h'!J90)</f>
        <v>1</v>
      </c>
      <c r="K90" s="49">
        <f>AVERAGE('24.08 KAPEKA-MATUGA-24h'!K90,'25.08 KAPEEKA-MATUGA-24h'!K90)</f>
        <v>0</v>
      </c>
      <c r="L90" s="49">
        <f>AVERAGE('24.08 KAPEKA-MATUGA-24h'!L90,'25.08 KAPEEKA-MATUGA-24h'!L90)</f>
        <v>0</v>
      </c>
      <c r="M90" s="49">
        <f>AVERAGE('24.08 KAPEKA-MATUGA-24h'!M90,'25.08 KAPEEKA-MATUGA-24h'!M90)</f>
        <v>0</v>
      </c>
      <c r="N90" s="49">
        <f>AVERAGE('24.08 KAPEKA-MATUGA-24h'!N90,'25.08 KAPEEKA-MATUGA-24h'!N90)</f>
        <v>0</v>
      </c>
      <c r="O90" s="15">
        <f t="shared" si="35"/>
        <v>6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AVERAGE('24.08 KAPEKA-MATUGA-24h'!C91,'25.08 KAPEEKA-MATUGA-24h'!C91)</f>
        <v>0</v>
      </c>
      <c r="D91" s="49">
        <f>0.4*(AVERAGE('24.08 KAPEKA-MATUGA-24h'!E91,'25.08 KAPEEKA-MATUGA-24h'!E91))</f>
        <v>0</v>
      </c>
      <c r="E91" s="49">
        <f>0.6*(AVERAGE('24.08 KAPEKA-MATUGA-24h'!E91,'25.08 KAPEEKA-MATUGA-24h'!E91))</f>
        <v>0</v>
      </c>
      <c r="F91" s="49">
        <f>AVERAGE('24.08 KAPEKA-MATUGA-24h'!F91,'25.08 KAPEEKA-MATUGA-24h'!F91)</f>
        <v>0</v>
      </c>
      <c r="G91" s="49">
        <f>AVERAGE('24.08 KAPEKA-MATUGA-24h'!G91,'25.08 KAPEEKA-MATUGA-24h'!G91)</f>
        <v>0</v>
      </c>
      <c r="H91" s="49">
        <f>AVERAGE('24.08 KAPEKA-MATUGA-24h'!H91,'25.08 KAPEEKA-MATUGA-24h'!H91)</f>
        <v>0</v>
      </c>
      <c r="I91" s="49">
        <f>AVERAGE('24.08 KAPEKA-MATUGA-24h'!I91,'25.08 KAPEEKA-MATUGA-24h'!I91)</f>
        <v>0</v>
      </c>
      <c r="J91" s="49">
        <f>AVERAGE('24.08 KAPEKA-MATUGA-24h'!J91,'25.08 KAPEEKA-MATUGA-24h'!J91)</f>
        <v>0</v>
      </c>
      <c r="K91" s="49">
        <f>AVERAGE('24.08 KAPEKA-MATUGA-24h'!K91,'25.08 KAPEEKA-MATUGA-24h'!K91)</f>
        <v>0</v>
      </c>
      <c r="L91" s="49">
        <f>AVERAGE('24.08 KAPEKA-MATUGA-24h'!L91,'25.08 KAPEEKA-MATUGA-24h'!L91)</f>
        <v>0</v>
      </c>
      <c r="M91" s="49">
        <f>AVERAGE('24.08 KAPEKA-MATUGA-24h'!M91,'25.08 KAPEEKA-MATUGA-24h'!M91)</f>
        <v>0</v>
      </c>
      <c r="N91" s="49">
        <f>AVERAGE('24.08 KAPEKA-MATUGA-24h'!N91,'25.08 KAPEEKA-MATUGA-24h'!N91)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AVERAGE('24.08 KAPEKA-MATUGA-24h'!C92,'25.08 KAPEEKA-MATUGA-24h'!C92)</f>
        <v>1</v>
      </c>
      <c r="D92" s="49">
        <f>0.4*(AVERAGE('24.08 KAPEKA-MATUGA-24h'!E92,'25.08 KAPEEKA-MATUGA-24h'!E92))</f>
        <v>0.4</v>
      </c>
      <c r="E92" s="49">
        <f>0.6*(AVERAGE('24.08 KAPEKA-MATUGA-24h'!E92,'25.08 KAPEEKA-MATUGA-24h'!E92))</f>
        <v>0.6</v>
      </c>
      <c r="F92" s="49">
        <f>AVERAGE('24.08 KAPEKA-MATUGA-24h'!F92,'25.08 KAPEEKA-MATUGA-24h'!F92)</f>
        <v>1</v>
      </c>
      <c r="G92" s="49">
        <f>AVERAGE('24.08 KAPEKA-MATUGA-24h'!G92,'25.08 KAPEEKA-MATUGA-24h'!G92)</f>
        <v>0</v>
      </c>
      <c r="H92" s="49">
        <f>AVERAGE('24.08 KAPEKA-MATUGA-24h'!H92,'25.08 KAPEEKA-MATUGA-24h'!H92)</f>
        <v>0</v>
      </c>
      <c r="I92" s="49">
        <f>AVERAGE('24.08 KAPEKA-MATUGA-24h'!I92,'25.08 KAPEEKA-MATUGA-24h'!I92)</f>
        <v>1</v>
      </c>
      <c r="J92" s="49">
        <f>AVERAGE('24.08 KAPEKA-MATUGA-24h'!J92,'25.08 KAPEEKA-MATUGA-24h'!J92)</f>
        <v>0</v>
      </c>
      <c r="K92" s="49">
        <f>AVERAGE('24.08 KAPEKA-MATUGA-24h'!K92,'25.08 KAPEEKA-MATUGA-24h'!K92)</f>
        <v>0</v>
      </c>
      <c r="L92" s="49">
        <f>AVERAGE('24.08 KAPEKA-MATUGA-24h'!L92,'25.08 KAPEEKA-MATUGA-24h'!L92)</f>
        <v>0</v>
      </c>
      <c r="M92" s="49">
        <f>AVERAGE('24.08 KAPEKA-MATUGA-24h'!M92,'25.08 KAPEEKA-MATUGA-24h'!M92)</f>
        <v>0</v>
      </c>
      <c r="N92" s="49">
        <f>AVERAGE('24.08 KAPEKA-MATUGA-24h'!N92,'25.08 KAPEEKA-MATUGA-24h'!N92)</f>
        <v>0</v>
      </c>
      <c r="O92" s="15">
        <f t="shared" si="35"/>
        <v>4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AVERAGE('24.08 KAPEKA-MATUGA-24h'!C93,'25.08 KAPEEKA-MATUGA-24h'!C93)</f>
        <v>0</v>
      </c>
      <c r="D93" s="49">
        <f>0.4*(AVERAGE('24.08 KAPEKA-MATUGA-24h'!E93,'25.08 KAPEEKA-MATUGA-24h'!E93))</f>
        <v>0</v>
      </c>
      <c r="E93" s="49">
        <f>0.6*(AVERAGE('24.08 KAPEKA-MATUGA-24h'!E93,'25.08 KAPEEKA-MATUGA-24h'!E93))</f>
        <v>0</v>
      </c>
      <c r="F93" s="49">
        <f>AVERAGE('24.08 KAPEKA-MATUGA-24h'!F93,'25.08 KAPEEKA-MATUGA-24h'!F93)</f>
        <v>0</v>
      </c>
      <c r="G93" s="49">
        <f>AVERAGE('24.08 KAPEKA-MATUGA-24h'!G93,'25.08 KAPEEKA-MATUGA-24h'!G93)</f>
        <v>0</v>
      </c>
      <c r="H93" s="49">
        <f>AVERAGE('24.08 KAPEKA-MATUGA-24h'!H93,'25.08 KAPEEKA-MATUGA-24h'!H93)</f>
        <v>0</v>
      </c>
      <c r="I93" s="49">
        <f>AVERAGE('24.08 KAPEKA-MATUGA-24h'!I93,'25.08 KAPEEKA-MATUGA-24h'!I93)</f>
        <v>0</v>
      </c>
      <c r="J93" s="49">
        <f>AVERAGE('24.08 KAPEKA-MATUGA-24h'!J93,'25.08 KAPEEKA-MATUGA-24h'!J93)</f>
        <v>0</v>
      </c>
      <c r="K93" s="49">
        <f>AVERAGE('24.08 KAPEKA-MATUGA-24h'!K93,'25.08 KAPEEKA-MATUGA-24h'!K93)</f>
        <v>0</v>
      </c>
      <c r="L93" s="49">
        <f>AVERAGE('24.08 KAPEKA-MATUGA-24h'!L93,'25.08 KAPEEKA-MATUGA-24h'!L93)</f>
        <v>0</v>
      </c>
      <c r="M93" s="49">
        <f>AVERAGE('24.08 KAPEKA-MATUGA-24h'!M93,'25.08 KAPEEKA-MATUGA-24h'!M93)</f>
        <v>0</v>
      </c>
      <c r="N93" s="49">
        <f>AVERAGE('24.08 KAPEKA-MATUGA-24h'!N93,'25.08 KAPEEKA-MATUGA-24h'!N93)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AVERAGE('24.08 KAPEKA-MATUGA-24h'!C94,'25.08 KAPEEKA-MATUGA-24h'!C94)</f>
        <v>0</v>
      </c>
      <c r="D94" s="49">
        <f>0.4*(AVERAGE('24.08 KAPEKA-MATUGA-24h'!E94,'25.08 KAPEEKA-MATUGA-24h'!E94))</f>
        <v>0</v>
      </c>
      <c r="E94" s="49">
        <f>0.6*(AVERAGE('24.08 KAPEKA-MATUGA-24h'!E94,'25.08 KAPEEKA-MATUGA-24h'!E94))</f>
        <v>0</v>
      </c>
      <c r="F94" s="49">
        <f>AVERAGE('24.08 KAPEKA-MATUGA-24h'!F94,'25.08 KAPEEKA-MATUGA-24h'!F94)</f>
        <v>0</v>
      </c>
      <c r="G94" s="49">
        <f>AVERAGE('24.08 KAPEKA-MATUGA-24h'!G94,'25.08 KAPEEKA-MATUGA-24h'!G94)</f>
        <v>0</v>
      </c>
      <c r="H94" s="49">
        <f>AVERAGE('24.08 KAPEKA-MATUGA-24h'!H94,'25.08 KAPEEKA-MATUGA-24h'!H94)</f>
        <v>0</v>
      </c>
      <c r="I94" s="49">
        <f>AVERAGE('24.08 KAPEKA-MATUGA-24h'!I94,'25.08 KAPEEKA-MATUGA-24h'!I94)</f>
        <v>0</v>
      </c>
      <c r="J94" s="49">
        <f>AVERAGE('24.08 KAPEKA-MATUGA-24h'!J94,'25.08 KAPEEKA-MATUGA-24h'!J94)</f>
        <v>0</v>
      </c>
      <c r="K94" s="49">
        <f>AVERAGE('24.08 KAPEKA-MATUGA-24h'!K94,'25.08 KAPEEKA-MATUGA-24h'!K94)</f>
        <v>0</v>
      </c>
      <c r="L94" s="49">
        <f>AVERAGE('24.08 KAPEKA-MATUGA-24h'!L94,'25.08 KAPEEKA-MATUGA-24h'!L94)</f>
        <v>0</v>
      </c>
      <c r="M94" s="49">
        <f>AVERAGE('24.08 KAPEKA-MATUGA-24h'!M94,'25.08 KAPEEKA-MATUGA-24h'!M94)</f>
        <v>0</v>
      </c>
      <c r="N94" s="49">
        <f>AVERAGE('24.08 KAPEKA-MATUGA-24h'!N94,'25.08 KAPEEKA-MATUGA-24h'!N94)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AVERAGE('24.08 KAPEKA-MATUGA-24h'!C95,'25.08 KAPEEKA-MATUGA-24h'!C95)</f>
        <v>0</v>
      </c>
      <c r="D95" s="49">
        <f>0.4*(AVERAGE('24.08 KAPEKA-MATUGA-24h'!E95,'25.08 KAPEEKA-MATUGA-24h'!E95))</f>
        <v>0</v>
      </c>
      <c r="E95" s="49">
        <f>0.6*(AVERAGE('24.08 KAPEKA-MATUGA-24h'!E95,'25.08 KAPEEKA-MATUGA-24h'!E95))</f>
        <v>0</v>
      </c>
      <c r="F95" s="49">
        <f>AVERAGE('24.08 KAPEKA-MATUGA-24h'!F95,'25.08 KAPEEKA-MATUGA-24h'!F95)</f>
        <v>0</v>
      </c>
      <c r="G95" s="49">
        <f>AVERAGE('24.08 KAPEKA-MATUGA-24h'!G95,'25.08 KAPEEKA-MATUGA-24h'!G95)</f>
        <v>0</v>
      </c>
      <c r="H95" s="49">
        <f>AVERAGE('24.08 KAPEKA-MATUGA-24h'!H95,'25.08 KAPEEKA-MATUGA-24h'!H95)</f>
        <v>0</v>
      </c>
      <c r="I95" s="49">
        <f>AVERAGE('24.08 KAPEKA-MATUGA-24h'!I95,'25.08 KAPEEKA-MATUGA-24h'!I95)</f>
        <v>0</v>
      </c>
      <c r="J95" s="49">
        <f>AVERAGE('24.08 KAPEKA-MATUGA-24h'!J95,'25.08 KAPEEKA-MATUGA-24h'!J95)</f>
        <v>0</v>
      </c>
      <c r="K95" s="49">
        <f>AVERAGE('24.08 KAPEKA-MATUGA-24h'!K95,'25.08 KAPEEKA-MATUGA-24h'!K95)</f>
        <v>0</v>
      </c>
      <c r="L95" s="49">
        <f>AVERAGE('24.08 KAPEKA-MATUGA-24h'!L95,'25.08 KAPEEKA-MATUGA-24h'!L95)</f>
        <v>0</v>
      </c>
      <c r="M95" s="49">
        <f>AVERAGE('24.08 KAPEKA-MATUGA-24h'!M95,'25.08 KAPEEKA-MATUGA-24h'!M95)</f>
        <v>0</v>
      </c>
      <c r="N95" s="49">
        <f>AVERAGE('24.08 KAPEKA-MATUGA-24h'!N95,'25.08 KAPEEKA-MATUGA-24h'!N95)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AVERAGE('24.08 KAPEKA-MATUGA-24h'!C96,'25.08 KAPEEKA-MATUGA-24h'!C96)</f>
        <v>0</v>
      </c>
      <c r="D96" s="49">
        <f>0.4*(AVERAGE('24.08 KAPEKA-MATUGA-24h'!E96,'25.08 KAPEEKA-MATUGA-24h'!E96))</f>
        <v>0</v>
      </c>
      <c r="E96" s="49">
        <f>0.6*(AVERAGE('24.08 KAPEKA-MATUGA-24h'!E96,'25.08 KAPEEKA-MATUGA-24h'!E96))</f>
        <v>0</v>
      </c>
      <c r="F96" s="49">
        <f>AVERAGE('24.08 KAPEKA-MATUGA-24h'!F96,'25.08 KAPEEKA-MATUGA-24h'!F96)</f>
        <v>0</v>
      </c>
      <c r="G96" s="49">
        <f>AVERAGE('24.08 KAPEKA-MATUGA-24h'!G96,'25.08 KAPEEKA-MATUGA-24h'!G96)</f>
        <v>0</v>
      </c>
      <c r="H96" s="49">
        <f>AVERAGE('24.08 KAPEKA-MATUGA-24h'!H96,'25.08 KAPEEKA-MATUGA-24h'!H96)</f>
        <v>0</v>
      </c>
      <c r="I96" s="49">
        <f>AVERAGE('24.08 KAPEKA-MATUGA-24h'!I96,'25.08 KAPEEKA-MATUGA-24h'!I96)</f>
        <v>0</v>
      </c>
      <c r="J96" s="49">
        <f>AVERAGE('24.08 KAPEKA-MATUGA-24h'!J96,'25.08 KAPEEKA-MATUGA-24h'!J96)</f>
        <v>0</v>
      </c>
      <c r="K96" s="49">
        <f>AVERAGE('24.08 KAPEKA-MATUGA-24h'!K96,'25.08 KAPEEKA-MATUGA-24h'!K96)</f>
        <v>0</v>
      </c>
      <c r="L96" s="49">
        <f>AVERAGE('24.08 KAPEKA-MATUGA-24h'!L96,'25.08 KAPEEKA-MATUGA-24h'!L96)</f>
        <v>0</v>
      </c>
      <c r="M96" s="49">
        <f>AVERAGE('24.08 KAPEKA-MATUGA-24h'!M96,'25.08 KAPEEKA-MATUGA-24h'!M96)</f>
        <v>0</v>
      </c>
      <c r="N96" s="49">
        <f>AVERAGE('24.08 KAPEKA-MATUGA-24h'!N96,'25.08 KAPEEKA-MATUGA-24h'!N96)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AVERAGE('24.08 KAPEKA-MATUGA-24h'!C97,'25.08 KAPEEKA-MATUGA-24h'!C97)</f>
        <v>0</v>
      </c>
      <c r="D97" s="49">
        <f>0.4*(AVERAGE('24.08 KAPEKA-MATUGA-24h'!E97,'25.08 KAPEEKA-MATUGA-24h'!E97))</f>
        <v>0</v>
      </c>
      <c r="E97" s="49">
        <f>0.6*(AVERAGE('24.08 KAPEKA-MATUGA-24h'!E97,'25.08 KAPEEKA-MATUGA-24h'!E97))</f>
        <v>0</v>
      </c>
      <c r="F97" s="49">
        <f>AVERAGE('24.08 KAPEKA-MATUGA-24h'!F97,'25.08 KAPEEKA-MATUGA-24h'!F97)</f>
        <v>0</v>
      </c>
      <c r="G97" s="49">
        <f>AVERAGE('24.08 KAPEKA-MATUGA-24h'!G97,'25.08 KAPEEKA-MATUGA-24h'!G97)</f>
        <v>0</v>
      </c>
      <c r="H97" s="49">
        <f>AVERAGE('24.08 KAPEKA-MATUGA-24h'!H97,'25.08 KAPEEKA-MATUGA-24h'!H97)</f>
        <v>0</v>
      </c>
      <c r="I97" s="49">
        <f>AVERAGE('24.08 KAPEKA-MATUGA-24h'!I97,'25.08 KAPEEKA-MATUGA-24h'!I97)</f>
        <v>0</v>
      </c>
      <c r="J97" s="49">
        <f>AVERAGE('24.08 KAPEKA-MATUGA-24h'!J97,'25.08 KAPEEKA-MATUGA-24h'!J97)</f>
        <v>0</v>
      </c>
      <c r="K97" s="49">
        <f>AVERAGE('24.08 KAPEKA-MATUGA-24h'!K97,'25.08 KAPEEKA-MATUGA-24h'!K97)</f>
        <v>0</v>
      </c>
      <c r="L97" s="49">
        <f>AVERAGE('24.08 KAPEKA-MATUGA-24h'!L97,'25.08 KAPEEKA-MATUGA-24h'!L97)</f>
        <v>0</v>
      </c>
      <c r="M97" s="49">
        <f>AVERAGE('24.08 KAPEKA-MATUGA-24h'!M97,'25.08 KAPEEKA-MATUGA-24h'!M97)</f>
        <v>0</v>
      </c>
      <c r="N97" s="49">
        <f>AVERAGE('24.08 KAPEKA-MATUGA-24h'!N97,'25.08 KAPEEKA-MATUGA-24h'!N97)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AVERAGE('24.08 KAPEKA-MATUGA-24h'!C98,'25.08 KAPEEKA-MATUGA-24h'!C98)</f>
        <v>0</v>
      </c>
      <c r="D98" s="49">
        <f>0.4*(AVERAGE('24.08 KAPEKA-MATUGA-24h'!E98,'25.08 KAPEEKA-MATUGA-24h'!E98))</f>
        <v>0</v>
      </c>
      <c r="E98" s="49">
        <f>0.6*(AVERAGE('24.08 KAPEKA-MATUGA-24h'!E98,'25.08 KAPEEKA-MATUGA-24h'!E98))</f>
        <v>0</v>
      </c>
      <c r="F98" s="49">
        <f>AVERAGE('24.08 KAPEKA-MATUGA-24h'!F98,'25.08 KAPEEKA-MATUGA-24h'!F98)</f>
        <v>0</v>
      </c>
      <c r="G98" s="49">
        <f>AVERAGE('24.08 KAPEKA-MATUGA-24h'!G98,'25.08 KAPEEKA-MATUGA-24h'!G98)</f>
        <v>0</v>
      </c>
      <c r="H98" s="49">
        <f>AVERAGE('24.08 KAPEKA-MATUGA-24h'!H98,'25.08 KAPEEKA-MATUGA-24h'!H98)</f>
        <v>0</v>
      </c>
      <c r="I98" s="49">
        <f>AVERAGE('24.08 KAPEKA-MATUGA-24h'!I98,'25.08 KAPEEKA-MATUGA-24h'!I98)</f>
        <v>0</v>
      </c>
      <c r="J98" s="49">
        <f>AVERAGE('24.08 KAPEKA-MATUGA-24h'!J98,'25.08 KAPEEKA-MATUGA-24h'!J98)</f>
        <v>0</v>
      </c>
      <c r="K98" s="49">
        <f>AVERAGE('24.08 KAPEKA-MATUGA-24h'!K98,'25.08 KAPEEKA-MATUGA-24h'!K98)</f>
        <v>0</v>
      </c>
      <c r="L98" s="49">
        <f>AVERAGE('24.08 KAPEKA-MATUGA-24h'!L98,'25.08 KAPEEKA-MATUGA-24h'!L98)</f>
        <v>0</v>
      </c>
      <c r="M98" s="49">
        <f>AVERAGE('24.08 KAPEKA-MATUGA-24h'!M98,'25.08 KAPEEKA-MATUGA-24h'!M98)</f>
        <v>2</v>
      </c>
      <c r="N98" s="49">
        <f>AVERAGE('24.08 KAPEKA-MATUGA-24h'!N98,'25.08 KAPEEKA-MATUGA-24h'!N98)</f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AVERAGE('24.08 KAPEKA-MATUGA-24h'!C99,'25.08 KAPEEKA-MATUGA-24h'!C99)</f>
        <v>0</v>
      </c>
      <c r="D99" s="49">
        <f>0.4*(AVERAGE('24.08 KAPEKA-MATUGA-24h'!E99,'25.08 KAPEEKA-MATUGA-24h'!E99))</f>
        <v>0</v>
      </c>
      <c r="E99" s="49">
        <f>0.6*(AVERAGE('24.08 KAPEKA-MATUGA-24h'!E99,'25.08 KAPEEKA-MATUGA-24h'!E99))</f>
        <v>0</v>
      </c>
      <c r="F99" s="49">
        <f>AVERAGE('24.08 KAPEKA-MATUGA-24h'!F99,'25.08 KAPEEKA-MATUGA-24h'!F99)</f>
        <v>0</v>
      </c>
      <c r="G99" s="49">
        <f>AVERAGE('24.08 KAPEKA-MATUGA-24h'!G99,'25.08 KAPEEKA-MATUGA-24h'!G99)</f>
        <v>0</v>
      </c>
      <c r="H99" s="49">
        <f>AVERAGE('24.08 KAPEKA-MATUGA-24h'!H99,'25.08 KAPEEKA-MATUGA-24h'!H99)</f>
        <v>0</v>
      </c>
      <c r="I99" s="49">
        <f>AVERAGE('24.08 KAPEKA-MATUGA-24h'!I99,'25.08 KAPEEKA-MATUGA-24h'!I99)</f>
        <v>0</v>
      </c>
      <c r="J99" s="49">
        <f>AVERAGE('24.08 KAPEKA-MATUGA-24h'!J99,'25.08 KAPEEKA-MATUGA-24h'!J99)</f>
        <v>0</v>
      </c>
      <c r="K99" s="49">
        <f>AVERAGE('24.08 KAPEKA-MATUGA-24h'!K99,'25.08 KAPEEKA-MATUGA-24h'!K99)</f>
        <v>0</v>
      </c>
      <c r="L99" s="49">
        <f>AVERAGE('24.08 KAPEKA-MATUGA-24h'!L99,'25.08 KAPEEKA-MATUGA-24h'!L99)</f>
        <v>0</v>
      </c>
      <c r="M99" s="49">
        <f>AVERAGE('24.08 KAPEKA-MATUGA-24h'!M99,'25.08 KAPEEKA-MATUGA-24h'!M99)</f>
        <v>1</v>
      </c>
      <c r="N99" s="49">
        <f>AVERAGE('24.08 KAPEKA-MATUGA-24h'!N99,'25.08 KAPEEKA-MATUGA-24h'!N99)</f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AVERAGE('24.08 KAPEKA-MATUGA-24h'!C100,'25.08 KAPEEKA-MATUGA-24h'!C100)</f>
        <v>0</v>
      </c>
      <c r="D100" s="49">
        <f>0.4*(AVERAGE('24.08 KAPEKA-MATUGA-24h'!E100,'25.08 KAPEEKA-MATUGA-24h'!E100))</f>
        <v>0</v>
      </c>
      <c r="E100" s="49">
        <f>0.6*(AVERAGE('24.08 KAPEKA-MATUGA-24h'!E100,'25.08 KAPEEKA-MATUGA-24h'!E100))</f>
        <v>0</v>
      </c>
      <c r="F100" s="49">
        <f>AVERAGE('24.08 KAPEKA-MATUGA-24h'!F100,'25.08 KAPEEKA-MATUGA-24h'!F100)</f>
        <v>0</v>
      </c>
      <c r="G100" s="49">
        <f>AVERAGE('24.08 KAPEKA-MATUGA-24h'!G100,'25.08 KAPEEKA-MATUGA-24h'!G100)</f>
        <v>0</v>
      </c>
      <c r="H100" s="49">
        <f>AVERAGE('24.08 KAPEKA-MATUGA-24h'!H100,'25.08 KAPEEKA-MATUGA-24h'!H100)</f>
        <v>0</v>
      </c>
      <c r="I100" s="49">
        <f>AVERAGE('24.08 KAPEKA-MATUGA-24h'!I100,'25.08 KAPEEKA-MATUGA-24h'!I100)</f>
        <v>0</v>
      </c>
      <c r="J100" s="49">
        <f>AVERAGE('24.08 KAPEKA-MATUGA-24h'!J100,'25.08 KAPEEKA-MATUGA-24h'!J100)</f>
        <v>0</v>
      </c>
      <c r="K100" s="49">
        <f>AVERAGE('24.08 KAPEKA-MATUGA-24h'!K100,'25.08 KAPEEKA-MATUGA-24h'!K100)</f>
        <v>0</v>
      </c>
      <c r="L100" s="49">
        <f>AVERAGE('24.08 KAPEKA-MATUGA-24h'!L100,'25.08 KAPEEKA-MATUGA-24h'!L100)</f>
        <v>0</v>
      </c>
      <c r="M100" s="49">
        <f>AVERAGE('24.08 KAPEKA-MATUGA-24h'!M100,'25.08 KAPEEKA-MATUGA-24h'!M100)</f>
        <v>1</v>
      </c>
      <c r="N100" s="49">
        <f>AVERAGE('24.08 KAPEKA-MATUGA-24h'!N100,'25.08 KAPEEKA-MATUGA-24h'!N100)</f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AVERAGE('24.08 KAPEKA-MATUGA-24h'!C101,'25.08 KAPEEKA-MATUGA-24h'!C101)</f>
        <v>2</v>
      </c>
      <c r="D101" s="49">
        <f>0.4*(AVERAGE('24.08 KAPEKA-MATUGA-24h'!E101,'25.08 KAPEEKA-MATUGA-24h'!E101))</f>
        <v>1.2000000000000002</v>
      </c>
      <c r="E101" s="49">
        <f>0.6*(AVERAGE('24.08 KAPEKA-MATUGA-24h'!E101,'25.08 KAPEEKA-MATUGA-24h'!E101))</f>
        <v>1.7999999999999998</v>
      </c>
      <c r="F101" s="49">
        <f>AVERAGE('24.08 KAPEKA-MATUGA-24h'!F101,'25.08 KAPEEKA-MATUGA-24h'!F101)</f>
        <v>0</v>
      </c>
      <c r="G101" s="49">
        <f>AVERAGE('24.08 KAPEKA-MATUGA-24h'!G101,'25.08 KAPEEKA-MATUGA-24h'!G101)</f>
        <v>0</v>
      </c>
      <c r="H101" s="49">
        <f>AVERAGE('24.08 KAPEKA-MATUGA-24h'!H101,'25.08 KAPEEKA-MATUGA-24h'!H101)</f>
        <v>0</v>
      </c>
      <c r="I101" s="49">
        <f>AVERAGE('24.08 KAPEKA-MATUGA-24h'!I101,'25.08 KAPEEKA-MATUGA-24h'!I101)</f>
        <v>0</v>
      </c>
      <c r="J101" s="49">
        <f>AVERAGE('24.08 KAPEKA-MATUGA-24h'!J101,'25.08 KAPEEKA-MATUGA-24h'!J101)</f>
        <v>0</v>
      </c>
      <c r="K101" s="49">
        <f>AVERAGE('24.08 KAPEKA-MATUGA-24h'!K101,'25.08 KAPEEKA-MATUGA-24h'!K101)</f>
        <v>1</v>
      </c>
      <c r="L101" s="49">
        <f>AVERAGE('24.08 KAPEKA-MATUGA-24h'!L101,'25.08 KAPEEKA-MATUGA-24h'!L101)</f>
        <v>0</v>
      </c>
      <c r="M101" s="49">
        <f>AVERAGE('24.08 KAPEKA-MATUGA-24h'!M101,'25.08 KAPEEKA-MATUGA-24h'!M101)</f>
        <v>3</v>
      </c>
      <c r="N101" s="49">
        <f>AVERAGE('24.08 KAPEKA-MATUGA-24h'!N101,'25.08 KAPEEKA-MATUGA-24h'!N101)</f>
        <v>0</v>
      </c>
      <c r="O101" s="15">
        <f t="shared" si="35"/>
        <v>6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AVERAGE('24.08 KAPEKA-MATUGA-24h'!C102,'25.08 KAPEEKA-MATUGA-24h'!C102)</f>
        <v>0</v>
      </c>
      <c r="D102" s="49">
        <f>0.4*(AVERAGE('24.08 KAPEKA-MATUGA-24h'!E102,'25.08 KAPEEKA-MATUGA-24h'!E102))</f>
        <v>0</v>
      </c>
      <c r="E102" s="49">
        <f>0.6*(AVERAGE('24.08 KAPEKA-MATUGA-24h'!E102,'25.08 KAPEEKA-MATUGA-24h'!E102))</f>
        <v>0</v>
      </c>
      <c r="F102" s="49">
        <f>AVERAGE('24.08 KAPEKA-MATUGA-24h'!F102,'25.08 KAPEEKA-MATUGA-24h'!F102)</f>
        <v>0</v>
      </c>
      <c r="G102" s="49">
        <f>AVERAGE('24.08 KAPEKA-MATUGA-24h'!G102,'25.08 KAPEEKA-MATUGA-24h'!G102)</f>
        <v>0</v>
      </c>
      <c r="H102" s="49">
        <f>AVERAGE('24.08 KAPEKA-MATUGA-24h'!H102,'25.08 KAPEEKA-MATUGA-24h'!H102)</f>
        <v>0</v>
      </c>
      <c r="I102" s="49">
        <f>AVERAGE('24.08 KAPEKA-MATUGA-24h'!I102,'25.08 KAPEEKA-MATUGA-24h'!I102)</f>
        <v>0</v>
      </c>
      <c r="J102" s="49">
        <f>AVERAGE('24.08 KAPEKA-MATUGA-24h'!J102,'25.08 KAPEEKA-MATUGA-24h'!J102)</f>
        <v>0</v>
      </c>
      <c r="K102" s="49">
        <f>AVERAGE('24.08 KAPEKA-MATUGA-24h'!K102,'25.08 KAPEEKA-MATUGA-24h'!K102)</f>
        <v>0</v>
      </c>
      <c r="L102" s="49">
        <f>AVERAGE('24.08 KAPEKA-MATUGA-24h'!L102,'25.08 KAPEEKA-MATUGA-24h'!L102)</f>
        <v>0</v>
      </c>
      <c r="M102" s="49">
        <f>AVERAGE('24.08 KAPEKA-MATUGA-24h'!M102,'25.08 KAPEEKA-MATUGA-24h'!M102)</f>
        <v>6</v>
      </c>
      <c r="N102" s="49">
        <f>AVERAGE('24.08 KAPEKA-MATUGA-24h'!N102,'25.08 KAPEEKA-MATUGA-24h'!N102)</f>
        <v>0</v>
      </c>
      <c r="O102" s="15">
        <f t="shared" si="35"/>
        <v>0</v>
      </c>
      <c r="P102" s="15">
        <f t="shared" si="36"/>
        <v>6</v>
      </c>
      <c r="R102" s="8"/>
      <c r="T102"/>
    </row>
    <row r="103" spans="2:20" ht="23.1" customHeight="1" x14ac:dyDescent="0.25">
      <c r="B103" s="23" t="s">
        <v>143</v>
      </c>
      <c r="C103" s="49">
        <f>AVERAGE('24.08 KAPEKA-MATUGA-24h'!C103,'25.08 KAPEEKA-MATUGA-24h'!C103)</f>
        <v>2</v>
      </c>
      <c r="D103" s="49">
        <f>0.4*(AVERAGE('24.08 KAPEKA-MATUGA-24h'!E103,'25.08 KAPEEKA-MATUGA-24h'!E103))</f>
        <v>0.8</v>
      </c>
      <c r="E103" s="49">
        <f>0.6*(AVERAGE('24.08 KAPEKA-MATUGA-24h'!E103,'25.08 KAPEEKA-MATUGA-24h'!E103))</f>
        <v>1.2</v>
      </c>
      <c r="F103" s="49">
        <f>AVERAGE('24.08 KAPEKA-MATUGA-24h'!F103,'25.08 KAPEEKA-MATUGA-24h'!F103)</f>
        <v>1</v>
      </c>
      <c r="G103" s="49">
        <f>AVERAGE('24.08 KAPEKA-MATUGA-24h'!G103,'25.08 KAPEEKA-MATUGA-24h'!G103)</f>
        <v>0</v>
      </c>
      <c r="H103" s="49">
        <f>AVERAGE('24.08 KAPEKA-MATUGA-24h'!H103,'25.08 KAPEEKA-MATUGA-24h'!H103)</f>
        <v>0</v>
      </c>
      <c r="I103" s="49">
        <f>AVERAGE('24.08 KAPEKA-MATUGA-24h'!I103,'25.08 KAPEEKA-MATUGA-24h'!I103)</f>
        <v>1</v>
      </c>
      <c r="J103" s="49">
        <f>AVERAGE('24.08 KAPEKA-MATUGA-24h'!J103,'25.08 KAPEEKA-MATUGA-24h'!J103)</f>
        <v>0</v>
      </c>
      <c r="K103" s="49">
        <f>AVERAGE('24.08 KAPEKA-MATUGA-24h'!K103,'25.08 KAPEEKA-MATUGA-24h'!K103)</f>
        <v>1</v>
      </c>
      <c r="L103" s="49">
        <f>AVERAGE('24.08 KAPEKA-MATUGA-24h'!L103,'25.08 KAPEEKA-MATUGA-24h'!L103)</f>
        <v>0</v>
      </c>
      <c r="M103" s="49">
        <f>AVERAGE('24.08 KAPEKA-MATUGA-24h'!M103,'25.08 KAPEEKA-MATUGA-24h'!M103)</f>
        <v>7</v>
      </c>
      <c r="N103" s="49">
        <f>AVERAGE('24.08 KAPEKA-MATUGA-24h'!N103,'25.08 KAPEEKA-MATUGA-24h'!N103)</f>
        <v>0</v>
      </c>
      <c r="O103" s="15">
        <f t="shared" si="35"/>
        <v>7</v>
      </c>
      <c r="P103" s="15">
        <f t="shared" si="36"/>
        <v>14</v>
      </c>
      <c r="R103" s="8"/>
      <c r="T103"/>
    </row>
    <row r="104" spans="2:20" ht="23.1" customHeight="1" x14ac:dyDescent="0.25">
      <c r="B104" s="25" t="s">
        <v>144</v>
      </c>
      <c r="C104" s="49">
        <f>AVERAGE('24.08 KAPEKA-MATUGA-24h'!C104,'25.08 KAPEEKA-MATUGA-24h'!C104)</f>
        <v>2</v>
      </c>
      <c r="D104" s="49">
        <f>0.4*(AVERAGE('24.08 KAPEKA-MATUGA-24h'!E104,'25.08 KAPEEKA-MATUGA-24h'!E104))</f>
        <v>0.8</v>
      </c>
      <c r="E104" s="49">
        <f>0.6*(AVERAGE('24.08 KAPEKA-MATUGA-24h'!E104,'25.08 KAPEEKA-MATUGA-24h'!E104))</f>
        <v>1.2</v>
      </c>
      <c r="F104" s="49">
        <f>AVERAGE('24.08 KAPEKA-MATUGA-24h'!F104,'25.08 KAPEEKA-MATUGA-24h'!F104)</f>
        <v>2</v>
      </c>
      <c r="G104" s="49">
        <f>AVERAGE('24.08 KAPEKA-MATUGA-24h'!G104,'25.08 KAPEEKA-MATUGA-24h'!G104)</f>
        <v>0</v>
      </c>
      <c r="H104" s="49">
        <f>AVERAGE('24.08 KAPEKA-MATUGA-24h'!H104,'25.08 KAPEEKA-MATUGA-24h'!H104)</f>
        <v>1</v>
      </c>
      <c r="I104" s="49">
        <f>AVERAGE('24.08 KAPEKA-MATUGA-24h'!I104,'25.08 KAPEEKA-MATUGA-24h'!I104)</f>
        <v>2</v>
      </c>
      <c r="J104" s="49">
        <f>AVERAGE('24.08 KAPEKA-MATUGA-24h'!J104,'25.08 KAPEEKA-MATUGA-24h'!J104)</f>
        <v>0</v>
      </c>
      <c r="K104" s="49">
        <f>AVERAGE('24.08 KAPEKA-MATUGA-24h'!K104,'25.08 KAPEEKA-MATUGA-24h'!K104)</f>
        <v>0</v>
      </c>
      <c r="L104" s="49">
        <f>AVERAGE('24.08 KAPEKA-MATUGA-24h'!L104,'25.08 KAPEEKA-MATUGA-24h'!L104)</f>
        <v>0</v>
      </c>
      <c r="M104" s="49">
        <f>AVERAGE('24.08 KAPEKA-MATUGA-24h'!M104,'25.08 KAPEEKA-MATUGA-24h'!M104)</f>
        <v>6</v>
      </c>
      <c r="N104" s="49">
        <f>AVERAGE('24.08 KAPEKA-MATUGA-24h'!N104,'25.08 KAPEEKA-MATUGA-24h'!N104)</f>
        <v>0</v>
      </c>
      <c r="O104" s="15">
        <f t="shared" si="35"/>
        <v>9</v>
      </c>
      <c r="P104" s="15">
        <f t="shared" si="36"/>
        <v>15</v>
      </c>
      <c r="R104" s="8"/>
      <c r="T104"/>
    </row>
    <row r="105" spans="2:20" ht="23.1" customHeight="1" x14ac:dyDescent="0.25">
      <c r="B105" s="23" t="s">
        <v>145</v>
      </c>
      <c r="C105" s="49">
        <f>AVERAGE('24.08 KAPEKA-MATUGA-24h'!C105,'25.08 KAPEEKA-MATUGA-24h'!C105)</f>
        <v>4</v>
      </c>
      <c r="D105" s="49">
        <v>2</v>
      </c>
      <c r="E105" s="49">
        <v>1</v>
      </c>
      <c r="F105" s="49">
        <f>AVERAGE('24.08 KAPEKA-MATUGA-24h'!F105,'25.08 KAPEEKA-MATUGA-24h'!F105)</f>
        <v>1</v>
      </c>
      <c r="G105" s="49">
        <f>AVERAGE('24.08 KAPEKA-MATUGA-24h'!G105,'25.08 KAPEEKA-MATUGA-24h'!G105)</f>
        <v>0</v>
      </c>
      <c r="H105" s="49">
        <f>AVERAGE('24.08 KAPEKA-MATUGA-24h'!H105,'25.08 KAPEEKA-MATUGA-24h'!H105)</f>
        <v>0</v>
      </c>
      <c r="I105" s="49">
        <f>AVERAGE('24.08 KAPEKA-MATUGA-24h'!I105,'25.08 KAPEEKA-MATUGA-24h'!I105)</f>
        <v>3</v>
      </c>
      <c r="J105" s="49">
        <f>AVERAGE('24.08 KAPEKA-MATUGA-24h'!J105,'25.08 KAPEEKA-MATUGA-24h'!J105)</f>
        <v>0</v>
      </c>
      <c r="K105" s="49">
        <f>AVERAGE('24.08 KAPEKA-MATUGA-24h'!K105,'25.08 KAPEEKA-MATUGA-24h'!K105)</f>
        <v>0</v>
      </c>
      <c r="L105" s="49">
        <f>AVERAGE('24.08 KAPEKA-MATUGA-24h'!L105,'25.08 KAPEEKA-MATUGA-24h'!L105)</f>
        <v>0</v>
      </c>
      <c r="M105" s="49">
        <f>AVERAGE('24.08 KAPEKA-MATUGA-24h'!M105,'25.08 KAPEEKA-MATUGA-24h'!M105)</f>
        <v>12</v>
      </c>
      <c r="N105" s="49">
        <f>AVERAGE('24.08 KAPEKA-MATUGA-24h'!N105,'25.08 KAPEEKA-MATUGA-24h'!N105)</f>
        <v>0</v>
      </c>
      <c r="O105" s="15">
        <f t="shared" si="35"/>
        <v>11</v>
      </c>
      <c r="P105" s="15">
        <f t="shared" si="36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152.14285714285711</v>
      </c>
      <c r="D106" s="16">
        <f t="shared" ref="D106:P106" si="37">SUM(D10:D105)</f>
        <v>68.171428571428535</v>
      </c>
      <c r="E106" s="16">
        <f t="shared" si="37"/>
        <v>100.25714285714278</v>
      </c>
      <c r="F106" s="16">
        <f t="shared" si="37"/>
        <v>101.71428571428572</v>
      </c>
      <c r="G106" s="16">
        <f t="shared" si="37"/>
        <v>2.4285714285714279</v>
      </c>
      <c r="H106" s="16">
        <f t="shared" si="37"/>
        <v>1.1428571428571428</v>
      </c>
      <c r="I106" s="16">
        <f t="shared" si="37"/>
        <v>195.85714285714283</v>
      </c>
      <c r="J106" s="16">
        <f t="shared" si="37"/>
        <v>32.857142857142861</v>
      </c>
      <c r="K106" s="16">
        <f t="shared" si="37"/>
        <v>31.714285714285715</v>
      </c>
      <c r="L106" s="16">
        <f t="shared" si="37"/>
        <v>6.857142857142863</v>
      </c>
      <c r="M106" s="16">
        <f t="shared" si="37"/>
        <v>1157</v>
      </c>
      <c r="N106" s="16">
        <f t="shared" si="37"/>
        <v>0.71428571428571419</v>
      </c>
      <c r="O106" s="16">
        <f t="shared" si="37"/>
        <v>693.85714285714289</v>
      </c>
      <c r="P106" s="16">
        <f t="shared" si="37"/>
        <v>1850.8571428571431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8.2201296696511245E-2</v>
      </c>
      <c r="D107" s="43">
        <f t="shared" si="38"/>
        <v>3.6832355665328782E-2</v>
      </c>
      <c r="E107" s="43">
        <f t="shared" si="38"/>
        <v>5.4167953071935733E-2</v>
      </c>
      <c r="F107" s="43">
        <f t="shared" si="38"/>
        <v>5.4955233096634762E-2</v>
      </c>
      <c r="G107" s="43">
        <f t="shared" si="38"/>
        <v>1.3121333744983013E-3</v>
      </c>
      <c r="H107" s="43">
        <f t="shared" si="38"/>
        <v>6.174745291756714E-4</v>
      </c>
      <c r="I107" s="43">
        <f t="shared" si="38"/>
        <v>0.10581969743748068</v>
      </c>
      <c r="J107" s="43">
        <f t="shared" si="38"/>
        <v>1.7752392713800556E-2</v>
      </c>
      <c r="K107" s="43">
        <f t="shared" si="38"/>
        <v>1.7134918184624884E-2</v>
      </c>
      <c r="L107" s="43">
        <f t="shared" si="38"/>
        <v>3.7048471750540319E-3</v>
      </c>
      <c r="M107" s="43">
        <f t="shared" si="38"/>
        <v>0.62511577647422034</v>
      </c>
      <c r="N107" s="43">
        <f t="shared" si="38"/>
        <v>3.8592158073479457E-4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0.21927115503397154</v>
      </c>
      <c r="D108" s="44">
        <f t="shared" ref="D108:N108" si="39">D106/$O$106</f>
        <v>9.8249948527897826E-2</v>
      </c>
      <c r="E108" s="44">
        <f t="shared" si="39"/>
        <v>0.14449248507309026</v>
      </c>
      <c r="F108" s="44">
        <f t="shared" si="39"/>
        <v>0.14659254683961292</v>
      </c>
      <c r="G108" s="44">
        <f t="shared" si="39"/>
        <v>3.5001029442042401E-3</v>
      </c>
      <c r="H108" s="44">
        <f t="shared" si="39"/>
        <v>1.6471072678608193E-3</v>
      </c>
      <c r="I108" s="44">
        <f t="shared" si="39"/>
        <v>0.28227300802964789</v>
      </c>
      <c r="J108" s="44">
        <f t="shared" si="39"/>
        <v>4.7354333950998563E-2</v>
      </c>
      <c r="K108" s="44">
        <f t="shared" si="39"/>
        <v>4.5707226683137737E-2</v>
      </c>
      <c r="L108" s="44">
        <f t="shared" si="39"/>
        <v>9.8826436071649242E-3</v>
      </c>
      <c r="M108" s="44"/>
      <c r="N108" s="44">
        <f t="shared" si="39"/>
        <v>1.0294420424130119E-3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86" zoomScale="60" workbookViewId="0">
      <selection activeCell="H104" sqref="H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'26.08 MATUGA-KAPEEKA'!C3:G3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'26.08 MATUGA-KAPEEKA'!G5:H5</f>
        <v>Kapeeka</v>
      </c>
      <c r="H5" s="67"/>
      <c r="I5" s="14"/>
      <c r="J5" s="2" t="s">
        <v>5</v>
      </c>
      <c r="K5" s="66" t="str">
        <f>'26.08 MATUGA-KAPEEKA'!K5:L5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'26.08 MATUGA-KAPEEKA'!D6:E6</f>
        <v>MATUGA</v>
      </c>
      <c r="E6" s="67"/>
      <c r="F6" s="2" t="s">
        <v>2</v>
      </c>
      <c r="G6" s="66" t="str">
        <f>'26.08 MATUGA-KAPEEKA'!G6:H6</f>
        <v>KAPEKA</v>
      </c>
      <c r="H6" s="67"/>
      <c r="J6" s="2" t="s">
        <v>21</v>
      </c>
      <c r="K6" s="66" t="str">
        <f>'26.08 MATUGA-KAPEEKA'!K6:L6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AVERAGE('20.08 MATUGA-KAPEKA'!C10,'21.08 MATUGA-KAPEKA'!C10,'22.08 MATUGA-KAPEKA'!C10,'23.08 MATUGA-KAPEKA'!C10,'24.08 MATUGA-KAPEKA-24h'!C10,'25.08 MATUGA-KAPEKA-24h'!C10,'26.08 MATUGA-KAPEEKA'!C10)</f>
        <v>0.5714285714285714</v>
      </c>
      <c r="D10" s="49">
        <f>0.4*(AVERAGE('20.08 MATUGA-KAPEKA'!E10,'21.08 MATUGA-KAPEKA'!E10,'22.08 MATUGA-KAPEKA'!E10,'23.08 MATUGA-KAPEKA'!E10,'24.08 MATUGA-KAPEKA-24h'!E10,'25.08 MATUGA-KAPEKA-24h'!E10,'26.08 MATUGA-KAPEEKA'!E10))</f>
        <v>0.28571428571428575</v>
      </c>
      <c r="E10" s="49">
        <f>0.6*(AVERAGE('20.08 MATUGA-KAPEKA'!E10,'21.08 MATUGA-KAPEKA'!E10,'22.08 MATUGA-KAPEKA'!E10,'23.08 MATUGA-KAPEKA'!E10,'24.08 MATUGA-KAPEKA-24h'!E10,'25.08 MATUGA-KAPEKA-24h'!E10,'26.08 MATUGA-KAPEEKA'!E10))</f>
        <v>0.42857142857142855</v>
      </c>
      <c r="F10" s="49">
        <f>AVERAGE('20.08 MATUGA-KAPEKA'!F10,'21.08 MATUGA-KAPEKA'!F10,'22.08 MATUGA-KAPEKA'!F10,'23.08 MATUGA-KAPEKA'!F10,'24.08 MATUGA-KAPEKA-24h'!F10,'25.08 MATUGA-KAPEKA-24h'!F10,'26.08 MATUGA-KAPEEKA'!F10)</f>
        <v>1.5714285714285714</v>
      </c>
      <c r="G10" s="49">
        <f>AVERAGE('20.08 MATUGA-KAPEKA'!G10,'21.08 MATUGA-KAPEKA'!G10,'22.08 MATUGA-KAPEKA'!G10,'23.08 MATUGA-KAPEKA'!G10,'24.08 MATUGA-KAPEKA-24h'!G10,'25.08 MATUGA-KAPEKA-24h'!G10,'26.08 MATUGA-KAPEEKA'!G10)</f>
        <v>0</v>
      </c>
      <c r="H10" s="49">
        <f>AVERAGE('20.08 MATUGA-KAPEKA'!H10,'21.08 MATUGA-KAPEKA'!H10,'22.08 MATUGA-KAPEKA'!H10,'23.08 MATUGA-KAPEKA'!H10,'24.08 MATUGA-KAPEKA-24h'!H10,'25.08 MATUGA-KAPEKA-24h'!H10,'26.08 MATUGA-KAPEEKA'!H10)</f>
        <v>0</v>
      </c>
      <c r="I10" s="49">
        <f>AVERAGE('20.08 MATUGA-KAPEKA'!I10,'21.08 MATUGA-KAPEKA'!I10,'22.08 MATUGA-KAPEKA'!I10,'23.08 MATUGA-KAPEKA'!I10,'24.08 MATUGA-KAPEKA-24h'!I10,'25.08 MATUGA-KAPEKA-24h'!I10,'26.08 MATUGA-KAPEEKA'!I10)</f>
        <v>0.7142857142857143</v>
      </c>
      <c r="J10" s="49">
        <f>AVERAGE('20.08 MATUGA-KAPEKA'!J10,'21.08 MATUGA-KAPEKA'!J10,'22.08 MATUGA-KAPEKA'!J10,'23.08 MATUGA-KAPEKA'!J10,'24.08 MATUGA-KAPEKA-24h'!J10,'25.08 MATUGA-KAPEKA-24h'!J10,'26.08 MATUGA-KAPEEKA'!J10)</f>
        <v>0</v>
      </c>
      <c r="K10" s="49">
        <f>AVERAGE('20.08 MATUGA-KAPEKA'!K10,'21.08 MATUGA-KAPEKA'!K10,'22.08 MATUGA-KAPEKA'!K10,'23.08 MATUGA-KAPEKA'!K10,'24.08 MATUGA-KAPEKA-24h'!K10,'25.08 MATUGA-KAPEKA-24h'!K10,'26.08 MATUGA-KAPEEKA'!K10)</f>
        <v>0.14285714285714285</v>
      </c>
      <c r="L10" s="49">
        <f>AVERAGE('20.08 MATUGA-KAPEKA'!L10,'21.08 MATUGA-KAPEKA'!L10,'22.08 MATUGA-KAPEKA'!L10,'23.08 MATUGA-KAPEKA'!L10,'24.08 MATUGA-KAPEKA-24h'!L10,'25.08 MATUGA-KAPEKA-24h'!L10,'26.08 MATUGA-KAPEEKA'!L10)</f>
        <v>0</v>
      </c>
      <c r="M10" s="49">
        <f>AVERAGE('20.08 MATUGA-KAPEKA'!M10,'21.08 MATUGA-KAPEKA'!M10,'22.08 MATUGA-KAPEKA'!M10,'23.08 MATUGA-KAPEKA'!M10,'24.08 MATUGA-KAPEKA-24h'!M10,'25.08 MATUGA-KAPEKA-24h'!M10,'26.08 MATUGA-KAPEEKA'!M10)</f>
        <v>9</v>
      </c>
      <c r="N10" s="49">
        <f>AVERAGE('20.08 MATUGA-KAPEKA'!N10,'21.08 MATUGA-KAPEKA'!N10,'22.08 MATUGA-KAPEKA'!N10,'23.08 MATUGA-KAPEKA'!N10,'24.08 MATUGA-KAPEKA-24h'!N10,'25.08 MATUGA-KAPEKA-24h'!N10,'26.08 MATUGA-KAPEEKA'!N10)</f>
        <v>0</v>
      </c>
      <c r="O10" s="15">
        <f t="shared" ref="O10:O73" si="0">SUM(C10:L10,N10)</f>
        <v>3.7142857142857144</v>
      </c>
      <c r="P10" s="15">
        <f t="shared" ref="P10:P73" si="1">SUM(C10:N10)</f>
        <v>12.714285714285715</v>
      </c>
      <c r="R10" s="1" t="s">
        <v>6</v>
      </c>
      <c r="S10" s="17">
        <f t="shared" ref="S10:AF10" si="2">SUM(C10:C13)</f>
        <v>2.1428571428571428</v>
      </c>
      <c r="T10" s="17">
        <f t="shared" si="2"/>
        <v>1.4857142857142858</v>
      </c>
      <c r="U10" s="17">
        <f t="shared" si="2"/>
        <v>2.2285714285714282</v>
      </c>
      <c r="V10" s="17">
        <f t="shared" si="2"/>
        <v>4.8571428571428568</v>
      </c>
      <c r="W10" s="17">
        <f t="shared" si="2"/>
        <v>0</v>
      </c>
      <c r="X10" s="17">
        <f t="shared" si="2"/>
        <v>0</v>
      </c>
      <c r="Y10" s="17">
        <f t="shared" si="2"/>
        <v>3.8571428571428568</v>
      </c>
      <c r="Z10" s="17">
        <f t="shared" si="2"/>
        <v>1.8571428571428572</v>
      </c>
      <c r="AA10" s="17">
        <f t="shared" si="2"/>
        <v>0.14285714285714285</v>
      </c>
      <c r="AB10" s="17">
        <f t="shared" si="2"/>
        <v>0</v>
      </c>
      <c r="AC10" s="17">
        <f t="shared" si="2"/>
        <v>50.571428571428569</v>
      </c>
      <c r="AD10" s="17">
        <f t="shared" si="2"/>
        <v>0.14285714285714285</v>
      </c>
      <c r="AE10" s="31">
        <f t="shared" si="2"/>
        <v>16.714285714285715</v>
      </c>
      <c r="AF10" s="31">
        <f t="shared" si="2"/>
        <v>67.285714285714278</v>
      </c>
    </row>
    <row r="11" spans="2:32" s="6" customFormat="1" ht="23.1" customHeight="1" x14ac:dyDescent="0.25">
      <c r="B11" s="23" t="s">
        <v>38</v>
      </c>
      <c r="C11" s="49">
        <f>AVERAGE('20.08 MATUGA-KAPEKA'!C11,'21.08 MATUGA-KAPEKA'!C11,'22.08 MATUGA-KAPEKA'!C11,'23.08 MATUGA-KAPEKA'!C11,'24.08 MATUGA-KAPEKA-24h'!C11,'25.08 MATUGA-KAPEKA-24h'!C11,'26.08 MATUGA-KAPEEKA'!C11)</f>
        <v>0</v>
      </c>
      <c r="D11" s="49">
        <f>0.4*(AVERAGE('20.08 MATUGA-KAPEKA'!E11,'21.08 MATUGA-KAPEKA'!E11,'22.08 MATUGA-KAPEKA'!E11,'23.08 MATUGA-KAPEKA'!E11,'24.08 MATUGA-KAPEKA-24h'!E11,'25.08 MATUGA-KAPEKA-24h'!E11,'26.08 MATUGA-KAPEEKA'!E11))</f>
        <v>0.4</v>
      </c>
      <c r="E11" s="49">
        <f>0.6*(AVERAGE('20.08 MATUGA-KAPEKA'!E11,'21.08 MATUGA-KAPEKA'!E11,'22.08 MATUGA-KAPEKA'!E11,'23.08 MATUGA-KAPEKA'!E11,'24.08 MATUGA-KAPEKA-24h'!E11,'25.08 MATUGA-KAPEKA-24h'!E11,'26.08 MATUGA-KAPEEKA'!E11))</f>
        <v>0.6</v>
      </c>
      <c r="F11" s="49">
        <f>AVERAGE('20.08 MATUGA-KAPEKA'!F11,'21.08 MATUGA-KAPEKA'!F11,'22.08 MATUGA-KAPEKA'!F11,'23.08 MATUGA-KAPEKA'!F11,'24.08 MATUGA-KAPEKA-24h'!F11,'25.08 MATUGA-KAPEKA-24h'!F11,'26.08 MATUGA-KAPEEKA'!F11)</f>
        <v>0.8571428571428571</v>
      </c>
      <c r="G11" s="49">
        <f>AVERAGE('20.08 MATUGA-KAPEKA'!G11,'21.08 MATUGA-KAPEKA'!G11,'22.08 MATUGA-KAPEKA'!G11,'23.08 MATUGA-KAPEKA'!G11,'24.08 MATUGA-KAPEKA-24h'!G11,'25.08 MATUGA-KAPEKA-24h'!G11,'26.08 MATUGA-KAPEEKA'!G11)</f>
        <v>0</v>
      </c>
      <c r="H11" s="49">
        <f>AVERAGE('20.08 MATUGA-KAPEKA'!H11,'21.08 MATUGA-KAPEKA'!H11,'22.08 MATUGA-KAPEKA'!H11,'23.08 MATUGA-KAPEKA'!H11,'24.08 MATUGA-KAPEKA-24h'!H11,'25.08 MATUGA-KAPEKA-24h'!H11,'26.08 MATUGA-KAPEEKA'!H11)</f>
        <v>0</v>
      </c>
      <c r="I11" s="49">
        <f>AVERAGE('20.08 MATUGA-KAPEKA'!I11,'21.08 MATUGA-KAPEKA'!I11,'22.08 MATUGA-KAPEKA'!I11,'23.08 MATUGA-KAPEKA'!I11,'24.08 MATUGA-KAPEKA-24h'!I11,'25.08 MATUGA-KAPEKA-24h'!I11,'26.08 MATUGA-KAPEEKA'!I11)</f>
        <v>1</v>
      </c>
      <c r="J11" s="49">
        <f>AVERAGE('20.08 MATUGA-KAPEKA'!J11,'21.08 MATUGA-KAPEKA'!J11,'22.08 MATUGA-KAPEKA'!J11,'23.08 MATUGA-KAPEKA'!J11,'24.08 MATUGA-KAPEKA-24h'!J11,'25.08 MATUGA-KAPEKA-24h'!J11,'26.08 MATUGA-KAPEEKA'!J11)</f>
        <v>0.42857142857142855</v>
      </c>
      <c r="K11" s="49">
        <f>AVERAGE('20.08 MATUGA-KAPEKA'!K11,'21.08 MATUGA-KAPEKA'!K11,'22.08 MATUGA-KAPEKA'!K11,'23.08 MATUGA-KAPEKA'!K11,'24.08 MATUGA-KAPEKA-24h'!K11,'25.08 MATUGA-KAPEKA-24h'!K11,'26.08 MATUGA-KAPEEKA'!K11)</f>
        <v>0</v>
      </c>
      <c r="L11" s="49">
        <f>AVERAGE('20.08 MATUGA-KAPEKA'!L11,'21.08 MATUGA-KAPEKA'!L11,'22.08 MATUGA-KAPEKA'!L11,'23.08 MATUGA-KAPEKA'!L11,'24.08 MATUGA-KAPEKA-24h'!L11,'25.08 MATUGA-KAPEKA-24h'!L11,'26.08 MATUGA-KAPEEKA'!L11)</f>
        <v>0</v>
      </c>
      <c r="M11" s="49">
        <f>AVERAGE('20.08 MATUGA-KAPEKA'!M11,'21.08 MATUGA-KAPEKA'!M11,'22.08 MATUGA-KAPEKA'!M11,'23.08 MATUGA-KAPEKA'!M11,'24.08 MATUGA-KAPEKA-24h'!M11,'25.08 MATUGA-KAPEKA-24h'!M11,'26.08 MATUGA-KAPEEKA'!M11)</f>
        <v>11</v>
      </c>
      <c r="N11" s="49">
        <f>AVERAGE('20.08 MATUGA-KAPEKA'!N11,'21.08 MATUGA-KAPEKA'!N11,'22.08 MATUGA-KAPEKA'!N11,'23.08 MATUGA-KAPEKA'!N11,'24.08 MATUGA-KAPEKA-24h'!N11,'25.08 MATUGA-KAPEKA-24h'!N11,'26.08 MATUGA-KAPEEKA'!N11)</f>
        <v>0</v>
      </c>
      <c r="O11" s="15">
        <f t="shared" si="0"/>
        <v>3.2857142857142856</v>
      </c>
      <c r="P11" s="15">
        <f t="shared" si="1"/>
        <v>14.285714285714285</v>
      </c>
      <c r="R11" s="1" t="s">
        <v>7</v>
      </c>
      <c r="S11" s="17">
        <f t="shared" ref="S11:AF11" si="3">SUM(C14:C17)</f>
        <v>3.4285714285714288</v>
      </c>
      <c r="T11" s="17">
        <f t="shared" si="3"/>
        <v>1.8285714285714287</v>
      </c>
      <c r="U11" s="17">
        <f t="shared" si="3"/>
        <v>2.7428571428571429</v>
      </c>
      <c r="V11" s="17">
        <f t="shared" si="3"/>
        <v>4.1428571428571423</v>
      </c>
      <c r="W11" s="17">
        <f t="shared" si="3"/>
        <v>0</v>
      </c>
      <c r="X11" s="17">
        <f t="shared" si="3"/>
        <v>0</v>
      </c>
      <c r="Y11" s="17">
        <f t="shared" si="3"/>
        <v>5.7142857142857144</v>
      </c>
      <c r="Z11" s="17">
        <f t="shared" si="3"/>
        <v>0.8571428571428571</v>
      </c>
      <c r="AA11" s="17">
        <f t="shared" si="3"/>
        <v>1.4285714285714286</v>
      </c>
      <c r="AB11" s="17">
        <f t="shared" si="3"/>
        <v>0</v>
      </c>
      <c r="AC11" s="17">
        <f t="shared" si="3"/>
        <v>64.571428571428569</v>
      </c>
      <c r="AD11" s="17">
        <f t="shared" si="3"/>
        <v>0.14285714285714285</v>
      </c>
      <c r="AE11" s="31">
        <f t="shared" si="3"/>
        <v>20.285714285714285</v>
      </c>
      <c r="AF11" s="31">
        <f t="shared" si="3"/>
        <v>84.857142857142861</v>
      </c>
    </row>
    <row r="12" spans="2:32" ht="23.1" customHeight="1" x14ac:dyDescent="0.25">
      <c r="B12" s="23" t="s">
        <v>39</v>
      </c>
      <c r="C12" s="49">
        <f>AVERAGE('20.08 MATUGA-KAPEKA'!C12,'21.08 MATUGA-KAPEKA'!C12,'22.08 MATUGA-KAPEKA'!C12,'23.08 MATUGA-KAPEKA'!C12,'24.08 MATUGA-KAPEKA-24h'!C12,'25.08 MATUGA-KAPEKA-24h'!C12,'26.08 MATUGA-KAPEEKA'!C12)</f>
        <v>1</v>
      </c>
      <c r="D12" s="49">
        <f>0.4*(AVERAGE('20.08 MATUGA-KAPEKA'!E12,'21.08 MATUGA-KAPEKA'!E12,'22.08 MATUGA-KAPEKA'!E12,'23.08 MATUGA-KAPEKA'!E12,'24.08 MATUGA-KAPEKA-24h'!E12,'25.08 MATUGA-KAPEKA-24h'!E12,'26.08 MATUGA-KAPEEKA'!E12))</f>
        <v>0.45714285714285713</v>
      </c>
      <c r="E12" s="49">
        <f>0.6*(AVERAGE('20.08 MATUGA-KAPEKA'!E12,'21.08 MATUGA-KAPEKA'!E12,'22.08 MATUGA-KAPEKA'!E12,'23.08 MATUGA-KAPEKA'!E12,'24.08 MATUGA-KAPEKA-24h'!E12,'25.08 MATUGA-KAPEKA-24h'!E12,'26.08 MATUGA-KAPEEKA'!E12))</f>
        <v>0.68571428571428561</v>
      </c>
      <c r="F12" s="49">
        <f>AVERAGE('20.08 MATUGA-KAPEKA'!F12,'21.08 MATUGA-KAPEKA'!F12,'22.08 MATUGA-KAPEKA'!F12,'23.08 MATUGA-KAPEKA'!F12,'24.08 MATUGA-KAPEKA-24h'!F12,'25.08 MATUGA-KAPEKA-24h'!F12,'26.08 MATUGA-KAPEEKA'!F12)</f>
        <v>1.4285714285714286</v>
      </c>
      <c r="G12" s="49">
        <f>AVERAGE('20.08 MATUGA-KAPEKA'!G12,'21.08 MATUGA-KAPEKA'!G12,'22.08 MATUGA-KAPEKA'!G12,'23.08 MATUGA-KAPEKA'!G12,'24.08 MATUGA-KAPEKA-24h'!G12,'25.08 MATUGA-KAPEKA-24h'!G12,'26.08 MATUGA-KAPEEKA'!G12)</f>
        <v>0</v>
      </c>
      <c r="H12" s="49">
        <f>AVERAGE('20.08 MATUGA-KAPEKA'!H12,'21.08 MATUGA-KAPEKA'!H12,'22.08 MATUGA-KAPEKA'!H12,'23.08 MATUGA-KAPEKA'!H12,'24.08 MATUGA-KAPEKA-24h'!H12,'25.08 MATUGA-KAPEKA-24h'!H12,'26.08 MATUGA-KAPEEKA'!H12)</f>
        <v>0</v>
      </c>
      <c r="I12" s="49">
        <f>AVERAGE('20.08 MATUGA-KAPEKA'!I12,'21.08 MATUGA-KAPEKA'!I12,'22.08 MATUGA-KAPEKA'!I12,'23.08 MATUGA-KAPEKA'!I12,'24.08 MATUGA-KAPEKA-24h'!I12,'25.08 MATUGA-KAPEKA-24h'!I12,'26.08 MATUGA-KAPEEKA'!I12)</f>
        <v>0.42857142857142855</v>
      </c>
      <c r="J12" s="49">
        <f>AVERAGE('20.08 MATUGA-KAPEKA'!J12,'21.08 MATUGA-KAPEKA'!J12,'22.08 MATUGA-KAPEKA'!J12,'23.08 MATUGA-KAPEKA'!J12,'24.08 MATUGA-KAPEKA-24h'!J12,'25.08 MATUGA-KAPEKA-24h'!J12,'26.08 MATUGA-KAPEEKA'!J12)</f>
        <v>1.1428571428571428</v>
      </c>
      <c r="K12" s="49">
        <f>AVERAGE('20.08 MATUGA-KAPEKA'!K12,'21.08 MATUGA-KAPEKA'!K12,'22.08 MATUGA-KAPEKA'!K12,'23.08 MATUGA-KAPEKA'!K12,'24.08 MATUGA-KAPEKA-24h'!K12,'25.08 MATUGA-KAPEKA-24h'!K12,'26.08 MATUGA-KAPEEKA'!K12)</f>
        <v>0</v>
      </c>
      <c r="L12" s="49">
        <f>AVERAGE('20.08 MATUGA-KAPEKA'!L12,'21.08 MATUGA-KAPEKA'!L12,'22.08 MATUGA-KAPEKA'!L12,'23.08 MATUGA-KAPEKA'!L12,'24.08 MATUGA-KAPEKA-24h'!L12,'25.08 MATUGA-KAPEKA-24h'!L12,'26.08 MATUGA-KAPEEKA'!L12)</f>
        <v>0</v>
      </c>
      <c r="M12" s="49">
        <f>AVERAGE('20.08 MATUGA-KAPEKA'!M12,'21.08 MATUGA-KAPEKA'!M12,'22.08 MATUGA-KAPEKA'!M12,'23.08 MATUGA-KAPEKA'!M12,'24.08 MATUGA-KAPEKA-24h'!M12,'25.08 MATUGA-KAPEKA-24h'!M12,'26.08 MATUGA-KAPEEKA'!M12)</f>
        <v>13.714285714285714</v>
      </c>
      <c r="N12" s="49">
        <f>AVERAGE('20.08 MATUGA-KAPEKA'!N12,'21.08 MATUGA-KAPEKA'!N12,'22.08 MATUGA-KAPEKA'!N12,'23.08 MATUGA-KAPEKA'!N12,'24.08 MATUGA-KAPEKA-24h'!N12,'25.08 MATUGA-KAPEKA-24h'!N12,'26.08 MATUGA-KAPEEKA'!N12)</f>
        <v>0</v>
      </c>
      <c r="O12" s="15">
        <f t="shared" si="0"/>
        <v>5.1428571428571423</v>
      </c>
      <c r="P12" s="15">
        <f t="shared" si="1"/>
        <v>18.857142857142854</v>
      </c>
      <c r="R12" s="1" t="s">
        <v>8</v>
      </c>
      <c r="S12" s="17">
        <f t="shared" ref="S12:AF12" si="4">SUM(C18:C21)</f>
        <v>4.5714285714285712</v>
      </c>
      <c r="T12" s="17">
        <f t="shared" si="4"/>
        <v>2.5714285714285716</v>
      </c>
      <c r="U12" s="17">
        <f t="shared" si="4"/>
        <v>3.8571428571428572</v>
      </c>
      <c r="V12" s="17">
        <f t="shared" si="4"/>
        <v>3.8571428571428572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1.857142857142857</v>
      </c>
      <c r="AA12" s="17">
        <f t="shared" si="4"/>
        <v>3.5714285714285712</v>
      </c>
      <c r="AB12" s="17">
        <f t="shared" si="4"/>
        <v>0</v>
      </c>
      <c r="AC12" s="17">
        <f t="shared" si="4"/>
        <v>68.285714285714278</v>
      </c>
      <c r="AD12" s="17">
        <f t="shared" si="4"/>
        <v>0</v>
      </c>
      <c r="AE12" s="31">
        <f t="shared" si="4"/>
        <v>27.285714285714285</v>
      </c>
      <c r="AF12" s="31">
        <f t="shared" si="4"/>
        <v>95.571428571428569</v>
      </c>
    </row>
    <row r="13" spans="2:32" ht="23.1" customHeight="1" x14ac:dyDescent="0.25">
      <c r="B13" s="23" t="s">
        <v>40</v>
      </c>
      <c r="C13" s="49">
        <f>AVERAGE('20.08 MATUGA-KAPEKA'!C13,'21.08 MATUGA-KAPEKA'!C13,'22.08 MATUGA-KAPEKA'!C13,'23.08 MATUGA-KAPEKA'!C13,'24.08 MATUGA-KAPEKA-24h'!C13,'25.08 MATUGA-KAPEKA-24h'!C13,'26.08 MATUGA-KAPEEKA'!C13)</f>
        <v>0.5714285714285714</v>
      </c>
      <c r="D13" s="49">
        <f>0.4*(AVERAGE('20.08 MATUGA-KAPEKA'!E13,'21.08 MATUGA-KAPEKA'!E13,'22.08 MATUGA-KAPEKA'!E13,'23.08 MATUGA-KAPEKA'!E13,'24.08 MATUGA-KAPEKA-24h'!E13,'25.08 MATUGA-KAPEKA-24h'!E13,'26.08 MATUGA-KAPEEKA'!E13))</f>
        <v>0.34285714285714286</v>
      </c>
      <c r="E13" s="49">
        <f>0.6*(AVERAGE('20.08 MATUGA-KAPEKA'!E13,'21.08 MATUGA-KAPEKA'!E13,'22.08 MATUGA-KAPEKA'!E13,'23.08 MATUGA-KAPEKA'!E13,'24.08 MATUGA-KAPEKA-24h'!E13,'25.08 MATUGA-KAPEKA-24h'!E13,'26.08 MATUGA-KAPEEKA'!E13))</f>
        <v>0.51428571428571423</v>
      </c>
      <c r="F13" s="49">
        <f>AVERAGE('20.08 MATUGA-KAPEKA'!F13,'21.08 MATUGA-KAPEKA'!F13,'22.08 MATUGA-KAPEKA'!F13,'23.08 MATUGA-KAPEKA'!F13,'24.08 MATUGA-KAPEKA-24h'!F13,'25.08 MATUGA-KAPEKA-24h'!F13,'26.08 MATUGA-KAPEEKA'!F13)</f>
        <v>1</v>
      </c>
      <c r="G13" s="49">
        <f>AVERAGE('20.08 MATUGA-KAPEKA'!G13,'21.08 MATUGA-KAPEKA'!G13,'22.08 MATUGA-KAPEKA'!G13,'23.08 MATUGA-KAPEKA'!G13,'24.08 MATUGA-KAPEKA-24h'!G13,'25.08 MATUGA-KAPEKA-24h'!G13,'26.08 MATUGA-KAPEEKA'!G13)</f>
        <v>0</v>
      </c>
      <c r="H13" s="49">
        <f>AVERAGE('20.08 MATUGA-KAPEKA'!H13,'21.08 MATUGA-KAPEKA'!H13,'22.08 MATUGA-KAPEKA'!H13,'23.08 MATUGA-KAPEKA'!H13,'24.08 MATUGA-KAPEKA-24h'!H13,'25.08 MATUGA-KAPEKA-24h'!H13,'26.08 MATUGA-KAPEEKA'!H13)</f>
        <v>0</v>
      </c>
      <c r="I13" s="49">
        <f>AVERAGE('20.08 MATUGA-KAPEKA'!I13,'21.08 MATUGA-KAPEKA'!I13,'22.08 MATUGA-KAPEKA'!I13,'23.08 MATUGA-KAPEKA'!I13,'24.08 MATUGA-KAPEKA-24h'!I13,'25.08 MATUGA-KAPEKA-24h'!I13,'26.08 MATUGA-KAPEEKA'!I13)</f>
        <v>1.7142857142857142</v>
      </c>
      <c r="J13" s="49">
        <f>AVERAGE('20.08 MATUGA-KAPEKA'!J13,'21.08 MATUGA-KAPEKA'!J13,'22.08 MATUGA-KAPEKA'!J13,'23.08 MATUGA-KAPEKA'!J13,'24.08 MATUGA-KAPEKA-24h'!J13,'25.08 MATUGA-KAPEKA-24h'!J13,'26.08 MATUGA-KAPEEKA'!J13)</f>
        <v>0.2857142857142857</v>
      </c>
      <c r="K13" s="49">
        <f>AVERAGE('20.08 MATUGA-KAPEKA'!K13,'21.08 MATUGA-KAPEKA'!K13,'22.08 MATUGA-KAPEKA'!K13,'23.08 MATUGA-KAPEKA'!K13,'24.08 MATUGA-KAPEKA-24h'!K13,'25.08 MATUGA-KAPEKA-24h'!K13,'26.08 MATUGA-KAPEEKA'!K13)</f>
        <v>0</v>
      </c>
      <c r="L13" s="49">
        <f>AVERAGE('20.08 MATUGA-KAPEKA'!L13,'21.08 MATUGA-KAPEKA'!L13,'22.08 MATUGA-KAPEKA'!L13,'23.08 MATUGA-KAPEKA'!L13,'24.08 MATUGA-KAPEKA-24h'!L13,'25.08 MATUGA-KAPEKA-24h'!L13,'26.08 MATUGA-KAPEEKA'!L13)</f>
        <v>0</v>
      </c>
      <c r="M13" s="49">
        <f>AVERAGE('20.08 MATUGA-KAPEKA'!M13,'21.08 MATUGA-KAPEKA'!M13,'22.08 MATUGA-KAPEKA'!M13,'23.08 MATUGA-KAPEKA'!M13,'24.08 MATUGA-KAPEKA-24h'!M13,'25.08 MATUGA-KAPEKA-24h'!M13,'26.08 MATUGA-KAPEEKA'!M13)</f>
        <v>16.857142857142858</v>
      </c>
      <c r="N13" s="49">
        <f>AVERAGE('20.08 MATUGA-KAPEKA'!N13,'21.08 MATUGA-KAPEKA'!N13,'22.08 MATUGA-KAPEKA'!N13,'23.08 MATUGA-KAPEKA'!N13,'24.08 MATUGA-KAPEKA-24h'!N13,'25.08 MATUGA-KAPEKA-24h'!N13,'26.08 MATUGA-KAPEEKA'!N13)</f>
        <v>0.14285714285714285</v>
      </c>
      <c r="O13" s="15">
        <f t="shared" si="0"/>
        <v>4.5714285714285712</v>
      </c>
      <c r="P13" s="15">
        <f t="shared" si="1"/>
        <v>21.428571428571427</v>
      </c>
      <c r="R13" s="1" t="s">
        <v>9</v>
      </c>
      <c r="S13" s="17">
        <f t="shared" ref="S13:AF13" si="5">SUM(C22:C25)</f>
        <v>4.7142857142857144</v>
      </c>
      <c r="T13" s="17">
        <f t="shared" si="5"/>
        <v>2.9714285714285715</v>
      </c>
      <c r="U13" s="17">
        <f t="shared" si="5"/>
        <v>4.4571428571428573</v>
      </c>
      <c r="V13" s="17">
        <f t="shared" si="5"/>
        <v>5.1428571428571432</v>
      </c>
      <c r="W13" s="17">
        <f t="shared" si="5"/>
        <v>0.2857142857142857</v>
      </c>
      <c r="X13" s="17">
        <f t="shared" si="5"/>
        <v>0.14285714285714285</v>
      </c>
      <c r="Y13" s="17">
        <f t="shared" si="5"/>
        <v>7.1428571428571423</v>
      </c>
      <c r="Z13" s="17">
        <f t="shared" si="5"/>
        <v>0.99999999999999989</v>
      </c>
      <c r="AA13" s="17">
        <f t="shared" si="5"/>
        <v>2.8571428571428572</v>
      </c>
      <c r="AB13" s="17">
        <f t="shared" si="5"/>
        <v>0</v>
      </c>
      <c r="AC13" s="17">
        <f t="shared" si="5"/>
        <v>77.714285714285708</v>
      </c>
      <c r="AD13" s="17">
        <f t="shared" si="5"/>
        <v>0.14285714285714285</v>
      </c>
      <c r="AE13" s="31">
        <f t="shared" si="5"/>
        <v>28.857142857142854</v>
      </c>
      <c r="AF13" s="31">
        <f t="shared" si="5"/>
        <v>106.57142857142857</v>
      </c>
    </row>
    <row r="14" spans="2:32" ht="23.1" customHeight="1" x14ac:dyDescent="0.25">
      <c r="B14" s="23" t="s">
        <v>41</v>
      </c>
      <c r="C14" s="49">
        <f>AVERAGE('20.08 MATUGA-KAPEKA'!C14,'21.08 MATUGA-KAPEKA'!C14,'22.08 MATUGA-KAPEKA'!C14,'23.08 MATUGA-KAPEKA'!C14,'24.08 MATUGA-KAPEKA-24h'!C14,'25.08 MATUGA-KAPEKA-24h'!C14,'26.08 MATUGA-KAPEEKA'!C14)</f>
        <v>0.7142857142857143</v>
      </c>
      <c r="D14" s="49">
        <f>0.4*(AVERAGE('20.08 MATUGA-KAPEKA'!E14,'21.08 MATUGA-KAPEKA'!E14,'22.08 MATUGA-KAPEKA'!E14,'23.08 MATUGA-KAPEKA'!E14,'24.08 MATUGA-KAPEKA-24h'!E14,'25.08 MATUGA-KAPEKA-24h'!E14,'26.08 MATUGA-KAPEEKA'!E14))</f>
        <v>0.4</v>
      </c>
      <c r="E14" s="49">
        <f>0.6*(AVERAGE('20.08 MATUGA-KAPEKA'!E14,'21.08 MATUGA-KAPEKA'!E14,'22.08 MATUGA-KAPEKA'!E14,'23.08 MATUGA-KAPEKA'!E14,'24.08 MATUGA-KAPEKA-24h'!E14,'25.08 MATUGA-KAPEKA-24h'!E14,'26.08 MATUGA-KAPEEKA'!E14))</f>
        <v>0.6</v>
      </c>
      <c r="F14" s="49">
        <f>AVERAGE('20.08 MATUGA-KAPEKA'!F14,'21.08 MATUGA-KAPEKA'!F14,'22.08 MATUGA-KAPEKA'!F14,'23.08 MATUGA-KAPEKA'!F14,'24.08 MATUGA-KAPEKA-24h'!F14,'25.08 MATUGA-KAPEKA-24h'!F14,'26.08 MATUGA-KAPEEKA'!F14)</f>
        <v>0.7142857142857143</v>
      </c>
      <c r="G14" s="49">
        <f>AVERAGE('20.08 MATUGA-KAPEKA'!G14,'21.08 MATUGA-KAPEKA'!G14,'22.08 MATUGA-KAPEKA'!G14,'23.08 MATUGA-KAPEKA'!G14,'24.08 MATUGA-KAPEKA-24h'!G14,'25.08 MATUGA-KAPEKA-24h'!G14,'26.08 MATUGA-KAPEEKA'!G14)</f>
        <v>0</v>
      </c>
      <c r="H14" s="49">
        <f>AVERAGE('20.08 MATUGA-KAPEKA'!H14,'21.08 MATUGA-KAPEKA'!H14,'22.08 MATUGA-KAPEKA'!H14,'23.08 MATUGA-KAPEKA'!H14,'24.08 MATUGA-KAPEKA-24h'!H14,'25.08 MATUGA-KAPEKA-24h'!H14,'26.08 MATUGA-KAPEEKA'!H14)</f>
        <v>0</v>
      </c>
      <c r="I14" s="49">
        <f>AVERAGE('20.08 MATUGA-KAPEKA'!I14,'21.08 MATUGA-KAPEKA'!I14,'22.08 MATUGA-KAPEKA'!I14,'23.08 MATUGA-KAPEKA'!I14,'24.08 MATUGA-KAPEKA-24h'!I14,'25.08 MATUGA-KAPEKA-24h'!I14,'26.08 MATUGA-KAPEEKA'!I14)</f>
        <v>1.2857142857142858</v>
      </c>
      <c r="J14" s="49">
        <f>AVERAGE('20.08 MATUGA-KAPEKA'!J14,'21.08 MATUGA-KAPEKA'!J14,'22.08 MATUGA-KAPEKA'!J14,'23.08 MATUGA-KAPEKA'!J14,'24.08 MATUGA-KAPEKA-24h'!J14,'25.08 MATUGA-KAPEKA-24h'!J14,'26.08 MATUGA-KAPEEKA'!J14)</f>
        <v>0.2857142857142857</v>
      </c>
      <c r="K14" s="49">
        <f>AVERAGE('20.08 MATUGA-KAPEKA'!K14,'21.08 MATUGA-KAPEKA'!K14,'22.08 MATUGA-KAPEKA'!K14,'23.08 MATUGA-KAPEKA'!K14,'24.08 MATUGA-KAPEKA-24h'!K14,'25.08 MATUGA-KAPEKA-24h'!K14,'26.08 MATUGA-KAPEEKA'!K14)</f>
        <v>0</v>
      </c>
      <c r="L14" s="49">
        <f>AVERAGE('20.08 MATUGA-KAPEKA'!L14,'21.08 MATUGA-KAPEKA'!L14,'22.08 MATUGA-KAPEKA'!L14,'23.08 MATUGA-KAPEKA'!L14,'24.08 MATUGA-KAPEKA-24h'!L14,'25.08 MATUGA-KAPEKA-24h'!L14,'26.08 MATUGA-KAPEEKA'!L14)</f>
        <v>0</v>
      </c>
      <c r="M14" s="49">
        <f>AVERAGE('20.08 MATUGA-KAPEKA'!M14,'21.08 MATUGA-KAPEKA'!M14,'22.08 MATUGA-KAPEKA'!M14,'23.08 MATUGA-KAPEKA'!M14,'24.08 MATUGA-KAPEKA-24h'!M14,'25.08 MATUGA-KAPEKA-24h'!M14,'26.08 MATUGA-KAPEEKA'!M14)</f>
        <v>14</v>
      </c>
      <c r="N14" s="49">
        <f>AVERAGE('20.08 MATUGA-KAPEKA'!N14,'21.08 MATUGA-KAPEKA'!N14,'22.08 MATUGA-KAPEKA'!N14,'23.08 MATUGA-KAPEKA'!N14,'24.08 MATUGA-KAPEKA-24h'!N14,'25.08 MATUGA-KAPEKA-24h'!N14,'26.08 MATUGA-KAPEEKA'!N14)</f>
        <v>0</v>
      </c>
      <c r="O14" s="15">
        <f t="shared" si="0"/>
        <v>4</v>
      </c>
      <c r="P14" s="15">
        <f t="shared" si="1"/>
        <v>18</v>
      </c>
      <c r="R14" s="1" t="s">
        <v>10</v>
      </c>
      <c r="S14" s="17">
        <f t="shared" ref="S14:AF14" si="6">SUM(C26:C29)</f>
        <v>4.7142857142857144</v>
      </c>
      <c r="T14" s="17">
        <f t="shared" si="6"/>
        <v>3.0285714285714285</v>
      </c>
      <c r="U14" s="17">
        <f t="shared" si="6"/>
        <v>4.5428571428571427</v>
      </c>
      <c r="V14" s="17">
        <f t="shared" si="6"/>
        <v>4.7142857142857144</v>
      </c>
      <c r="W14" s="17">
        <f t="shared" si="6"/>
        <v>0</v>
      </c>
      <c r="X14" s="17">
        <f t="shared" si="6"/>
        <v>0</v>
      </c>
      <c r="Y14" s="17">
        <f t="shared" si="6"/>
        <v>8.2857142857142847</v>
      </c>
      <c r="Z14" s="17">
        <f t="shared" si="6"/>
        <v>2.1428571428571428</v>
      </c>
      <c r="AA14" s="17">
        <f t="shared" si="6"/>
        <v>2.8571428571428572</v>
      </c>
      <c r="AB14" s="17">
        <f t="shared" si="6"/>
        <v>0</v>
      </c>
      <c r="AC14" s="17">
        <f t="shared" si="6"/>
        <v>82.428571428571431</v>
      </c>
      <c r="AD14" s="17">
        <f t="shared" si="6"/>
        <v>0</v>
      </c>
      <c r="AE14" s="31">
        <f t="shared" si="6"/>
        <v>30.285714285714285</v>
      </c>
      <c r="AF14" s="31">
        <f t="shared" si="6"/>
        <v>112.71428571428572</v>
      </c>
    </row>
    <row r="15" spans="2:32" ht="23.1" customHeight="1" x14ac:dyDescent="0.25">
      <c r="B15" s="23" t="s">
        <v>42</v>
      </c>
      <c r="C15" s="49">
        <f>AVERAGE('20.08 MATUGA-KAPEKA'!C15,'21.08 MATUGA-KAPEKA'!C15,'22.08 MATUGA-KAPEKA'!C15,'23.08 MATUGA-KAPEKA'!C15,'24.08 MATUGA-KAPEKA-24h'!C15,'25.08 MATUGA-KAPEKA-24h'!C15,'26.08 MATUGA-KAPEEKA'!C15)</f>
        <v>0.5714285714285714</v>
      </c>
      <c r="D15" s="49">
        <f>0.4*(AVERAGE('20.08 MATUGA-KAPEKA'!E15,'21.08 MATUGA-KAPEKA'!E15,'22.08 MATUGA-KAPEKA'!E15,'23.08 MATUGA-KAPEKA'!E15,'24.08 MATUGA-KAPEKA-24h'!E15,'25.08 MATUGA-KAPEKA-24h'!E15,'26.08 MATUGA-KAPEEKA'!E15))</f>
        <v>0.45714285714285713</v>
      </c>
      <c r="E15" s="49">
        <f>0.6*(AVERAGE('20.08 MATUGA-KAPEKA'!E15,'21.08 MATUGA-KAPEKA'!E15,'22.08 MATUGA-KAPEKA'!E15,'23.08 MATUGA-KAPEKA'!E15,'24.08 MATUGA-KAPEKA-24h'!E15,'25.08 MATUGA-KAPEKA-24h'!E15,'26.08 MATUGA-KAPEEKA'!E15))</f>
        <v>0.68571428571428561</v>
      </c>
      <c r="F15" s="49">
        <f>AVERAGE('20.08 MATUGA-KAPEKA'!F15,'21.08 MATUGA-KAPEKA'!F15,'22.08 MATUGA-KAPEKA'!F15,'23.08 MATUGA-KAPEKA'!F15,'24.08 MATUGA-KAPEKA-24h'!F15,'25.08 MATUGA-KAPEKA-24h'!F15,'26.08 MATUGA-KAPEEKA'!F15)</f>
        <v>1.4285714285714286</v>
      </c>
      <c r="G15" s="49">
        <f>AVERAGE('20.08 MATUGA-KAPEKA'!G15,'21.08 MATUGA-KAPEKA'!G15,'22.08 MATUGA-KAPEKA'!G15,'23.08 MATUGA-KAPEKA'!G15,'24.08 MATUGA-KAPEKA-24h'!G15,'25.08 MATUGA-KAPEKA-24h'!G15,'26.08 MATUGA-KAPEEKA'!G15)</f>
        <v>0</v>
      </c>
      <c r="H15" s="49">
        <f>AVERAGE('20.08 MATUGA-KAPEKA'!H15,'21.08 MATUGA-KAPEKA'!H15,'22.08 MATUGA-KAPEKA'!H15,'23.08 MATUGA-KAPEKA'!H15,'24.08 MATUGA-KAPEKA-24h'!H15,'25.08 MATUGA-KAPEKA-24h'!H15,'26.08 MATUGA-KAPEEKA'!H15)</f>
        <v>0</v>
      </c>
      <c r="I15" s="49">
        <f>AVERAGE('20.08 MATUGA-KAPEKA'!I15,'21.08 MATUGA-KAPEKA'!I15,'22.08 MATUGA-KAPEKA'!I15,'23.08 MATUGA-KAPEKA'!I15,'24.08 MATUGA-KAPEKA-24h'!I15,'25.08 MATUGA-KAPEKA-24h'!I15,'26.08 MATUGA-KAPEEKA'!I15)</f>
        <v>1.4285714285714286</v>
      </c>
      <c r="J15" s="49">
        <f>AVERAGE('20.08 MATUGA-KAPEKA'!J15,'21.08 MATUGA-KAPEKA'!J15,'22.08 MATUGA-KAPEKA'!J15,'23.08 MATUGA-KAPEKA'!J15,'24.08 MATUGA-KAPEKA-24h'!J15,'25.08 MATUGA-KAPEKA-24h'!J15,'26.08 MATUGA-KAPEEKA'!J15)</f>
        <v>0.14285714285714285</v>
      </c>
      <c r="K15" s="49">
        <f>AVERAGE('20.08 MATUGA-KAPEKA'!K15,'21.08 MATUGA-KAPEKA'!K15,'22.08 MATUGA-KAPEKA'!K15,'23.08 MATUGA-KAPEKA'!K15,'24.08 MATUGA-KAPEKA-24h'!K15,'25.08 MATUGA-KAPEKA-24h'!K15,'26.08 MATUGA-KAPEEKA'!K15)</f>
        <v>0.14285714285714285</v>
      </c>
      <c r="L15" s="49">
        <f>AVERAGE('20.08 MATUGA-KAPEKA'!L15,'21.08 MATUGA-KAPEKA'!L15,'22.08 MATUGA-KAPEKA'!L15,'23.08 MATUGA-KAPEKA'!L15,'24.08 MATUGA-KAPEKA-24h'!L15,'25.08 MATUGA-KAPEKA-24h'!L15,'26.08 MATUGA-KAPEEKA'!L15)</f>
        <v>0</v>
      </c>
      <c r="M15" s="49">
        <f>AVERAGE('20.08 MATUGA-KAPEKA'!M15,'21.08 MATUGA-KAPEKA'!M15,'22.08 MATUGA-KAPEKA'!M15,'23.08 MATUGA-KAPEKA'!M15,'24.08 MATUGA-KAPEKA-24h'!M15,'25.08 MATUGA-KAPEKA-24h'!M15,'26.08 MATUGA-KAPEEKA'!M15)</f>
        <v>17</v>
      </c>
      <c r="N15" s="49">
        <f>AVERAGE('20.08 MATUGA-KAPEKA'!N15,'21.08 MATUGA-KAPEKA'!N15,'22.08 MATUGA-KAPEKA'!N15,'23.08 MATUGA-KAPEKA'!N15,'24.08 MATUGA-KAPEKA-24h'!N15,'25.08 MATUGA-KAPEKA-24h'!N15,'26.08 MATUGA-KAPEEKA'!N15)</f>
        <v>0.14285714285714285</v>
      </c>
      <c r="O15" s="15">
        <f t="shared" si="0"/>
        <v>5.0000000000000009</v>
      </c>
      <c r="P15" s="15">
        <f t="shared" si="1"/>
        <v>22</v>
      </c>
      <c r="R15" s="1" t="s">
        <v>11</v>
      </c>
      <c r="S15" s="17">
        <f t="shared" ref="S15:AF15" si="7">SUM(C30:C33)</f>
        <v>5.5714285714285712</v>
      </c>
      <c r="T15" s="17">
        <f t="shared" si="7"/>
        <v>3.3142857142857145</v>
      </c>
      <c r="U15" s="17">
        <f t="shared" si="7"/>
        <v>4.9714285714285715</v>
      </c>
      <c r="V15" s="17">
        <f t="shared" si="7"/>
        <v>4.5714285714285712</v>
      </c>
      <c r="W15" s="17">
        <f t="shared" si="7"/>
        <v>0</v>
      </c>
      <c r="X15" s="17">
        <f t="shared" si="7"/>
        <v>0</v>
      </c>
      <c r="Y15" s="17">
        <f t="shared" si="7"/>
        <v>6.7142857142857153</v>
      </c>
      <c r="Z15" s="17">
        <f t="shared" si="7"/>
        <v>1.8571428571428572</v>
      </c>
      <c r="AA15" s="17">
        <f t="shared" si="7"/>
        <v>1.4285714285714286</v>
      </c>
      <c r="AB15" s="17">
        <f t="shared" si="7"/>
        <v>0</v>
      </c>
      <c r="AC15" s="17">
        <f t="shared" si="7"/>
        <v>82.714285714285722</v>
      </c>
      <c r="AD15" s="17">
        <f t="shared" si="7"/>
        <v>0</v>
      </c>
      <c r="AE15" s="31">
        <f t="shared" si="7"/>
        <v>28.428571428571427</v>
      </c>
      <c r="AF15" s="31">
        <f t="shared" si="7"/>
        <v>111.14285714285714</v>
      </c>
    </row>
    <row r="16" spans="2:32" ht="23.1" customHeight="1" x14ac:dyDescent="0.25">
      <c r="B16" s="23" t="s">
        <v>43</v>
      </c>
      <c r="C16" s="49">
        <f>AVERAGE('20.08 MATUGA-KAPEKA'!C16,'21.08 MATUGA-KAPEKA'!C16,'22.08 MATUGA-KAPEKA'!C16,'23.08 MATUGA-KAPEKA'!C16,'24.08 MATUGA-KAPEKA-24h'!C16,'25.08 MATUGA-KAPEKA-24h'!C16,'26.08 MATUGA-KAPEEKA'!C16)</f>
        <v>0.8571428571428571</v>
      </c>
      <c r="D16" s="49">
        <f>0.4*(AVERAGE('20.08 MATUGA-KAPEKA'!E16,'21.08 MATUGA-KAPEKA'!E16,'22.08 MATUGA-KAPEKA'!E16,'23.08 MATUGA-KAPEKA'!E16,'24.08 MATUGA-KAPEKA-24h'!E16,'25.08 MATUGA-KAPEKA-24h'!E16,'26.08 MATUGA-KAPEEKA'!E16))</f>
        <v>0.57142857142857151</v>
      </c>
      <c r="E16" s="49">
        <f>0.6*(AVERAGE('20.08 MATUGA-KAPEKA'!E16,'21.08 MATUGA-KAPEKA'!E16,'22.08 MATUGA-KAPEKA'!E16,'23.08 MATUGA-KAPEKA'!E16,'24.08 MATUGA-KAPEKA-24h'!E16,'25.08 MATUGA-KAPEKA-24h'!E16,'26.08 MATUGA-KAPEEKA'!E16))</f>
        <v>0.8571428571428571</v>
      </c>
      <c r="F16" s="49">
        <f>AVERAGE('20.08 MATUGA-KAPEKA'!F16,'21.08 MATUGA-KAPEKA'!F16,'22.08 MATUGA-KAPEKA'!F16,'23.08 MATUGA-KAPEKA'!F16,'24.08 MATUGA-KAPEKA-24h'!F16,'25.08 MATUGA-KAPEKA-24h'!F16,'26.08 MATUGA-KAPEEKA'!F16)</f>
        <v>1.1428571428571428</v>
      </c>
      <c r="G16" s="49">
        <f>AVERAGE('20.08 MATUGA-KAPEKA'!G16,'21.08 MATUGA-KAPEKA'!G16,'22.08 MATUGA-KAPEKA'!G16,'23.08 MATUGA-KAPEKA'!G16,'24.08 MATUGA-KAPEKA-24h'!G16,'25.08 MATUGA-KAPEKA-24h'!G16,'26.08 MATUGA-KAPEEKA'!G16)</f>
        <v>0</v>
      </c>
      <c r="H16" s="49">
        <f>AVERAGE('20.08 MATUGA-KAPEKA'!H16,'21.08 MATUGA-KAPEKA'!H16,'22.08 MATUGA-KAPEKA'!H16,'23.08 MATUGA-KAPEKA'!H16,'24.08 MATUGA-KAPEKA-24h'!H16,'25.08 MATUGA-KAPEKA-24h'!H16,'26.08 MATUGA-KAPEEKA'!H16)</f>
        <v>0</v>
      </c>
      <c r="I16" s="49">
        <f>AVERAGE('20.08 MATUGA-KAPEKA'!I16,'21.08 MATUGA-KAPEKA'!I16,'22.08 MATUGA-KAPEKA'!I16,'23.08 MATUGA-KAPEKA'!I16,'24.08 MATUGA-KAPEKA-24h'!I16,'25.08 MATUGA-KAPEKA-24h'!I16,'26.08 MATUGA-KAPEEKA'!I16)</f>
        <v>1.4285714285714286</v>
      </c>
      <c r="J16" s="49">
        <f>AVERAGE('20.08 MATUGA-KAPEKA'!J16,'21.08 MATUGA-KAPEKA'!J16,'22.08 MATUGA-KAPEKA'!J16,'23.08 MATUGA-KAPEKA'!J16,'24.08 MATUGA-KAPEKA-24h'!J16,'25.08 MATUGA-KAPEKA-24h'!J16,'26.08 MATUGA-KAPEEKA'!J16)</f>
        <v>0.14285714285714285</v>
      </c>
      <c r="K16" s="49">
        <f>AVERAGE('20.08 MATUGA-KAPEKA'!K16,'21.08 MATUGA-KAPEKA'!K16,'22.08 MATUGA-KAPEKA'!K16,'23.08 MATUGA-KAPEKA'!K16,'24.08 MATUGA-KAPEKA-24h'!K16,'25.08 MATUGA-KAPEKA-24h'!K16,'26.08 MATUGA-KAPEEKA'!K16)</f>
        <v>0.2857142857142857</v>
      </c>
      <c r="L16" s="49">
        <f>AVERAGE('20.08 MATUGA-KAPEKA'!L16,'21.08 MATUGA-KAPEKA'!L16,'22.08 MATUGA-KAPEKA'!L16,'23.08 MATUGA-KAPEKA'!L16,'24.08 MATUGA-KAPEKA-24h'!L16,'25.08 MATUGA-KAPEKA-24h'!L16,'26.08 MATUGA-KAPEEKA'!L16)</f>
        <v>0</v>
      </c>
      <c r="M16" s="49">
        <f>AVERAGE('20.08 MATUGA-KAPEKA'!M16,'21.08 MATUGA-KAPEKA'!M16,'22.08 MATUGA-KAPEKA'!M16,'23.08 MATUGA-KAPEKA'!M16,'24.08 MATUGA-KAPEKA-24h'!M16,'25.08 MATUGA-KAPEKA-24h'!M16,'26.08 MATUGA-KAPEEKA'!M16)</f>
        <v>15.285714285714286</v>
      </c>
      <c r="N16" s="49">
        <f>AVERAGE('20.08 MATUGA-KAPEKA'!N16,'21.08 MATUGA-KAPEKA'!N16,'22.08 MATUGA-KAPEKA'!N16,'23.08 MATUGA-KAPEKA'!N16,'24.08 MATUGA-KAPEKA-24h'!N16,'25.08 MATUGA-KAPEKA-24h'!N16,'26.08 MATUGA-KAPEEKA'!N16)</f>
        <v>0</v>
      </c>
      <c r="O16" s="15">
        <f t="shared" si="0"/>
        <v>5.2857142857142856</v>
      </c>
      <c r="P16" s="15">
        <f t="shared" si="1"/>
        <v>20.571428571428573</v>
      </c>
      <c r="R16" s="1" t="s">
        <v>12</v>
      </c>
      <c r="S16" s="17">
        <f t="shared" ref="S16:AF16" si="8">SUM(C34:C37)</f>
        <v>6.8571428571428577</v>
      </c>
      <c r="T16" s="17">
        <f t="shared" si="8"/>
        <v>3.7142857142857144</v>
      </c>
      <c r="U16" s="17">
        <f t="shared" si="8"/>
        <v>5.5714285714285712</v>
      </c>
      <c r="V16" s="17">
        <f t="shared" si="8"/>
        <v>6</v>
      </c>
      <c r="W16" s="17">
        <f t="shared" si="8"/>
        <v>0.14285714285714285</v>
      </c>
      <c r="X16" s="17">
        <f t="shared" si="8"/>
        <v>0</v>
      </c>
      <c r="Y16" s="17">
        <f t="shared" si="8"/>
        <v>8.5714285714285712</v>
      </c>
      <c r="Z16" s="17">
        <f t="shared" si="8"/>
        <v>1.2857142857142856</v>
      </c>
      <c r="AA16" s="17">
        <f t="shared" si="8"/>
        <v>1.7142857142857144</v>
      </c>
      <c r="AB16" s="17">
        <f t="shared" si="8"/>
        <v>0</v>
      </c>
      <c r="AC16" s="17">
        <f t="shared" si="8"/>
        <v>79.571428571428569</v>
      </c>
      <c r="AD16" s="17">
        <f t="shared" si="8"/>
        <v>0</v>
      </c>
      <c r="AE16" s="31">
        <f t="shared" si="8"/>
        <v>33.857142857142861</v>
      </c>
      <c r="AF16" s="31">
        <f t="shared" si="8"/>
        <v>113.42857142857143</v>
      </c>
    </row>
    <row r="17" spans="2:32" ht="23.1" customHeight="1" x14ac:dyDescent="0.25">
      <c r="B17" s="23" t="s">
        <v>44</v>
      </c>
      <c r="C17" s="49">
        <f>AVERAGE('20.08 MATUGA-KAPEKA'!C17,'21.08 MATUGA-KAPEKA'!C17,'22.08 MATUGA-KAPEKA'!C17,'23.08 MATUGA-KAPEKA'!C17,'24.08 MATUGA-KAPEKA-24h'!C17,'25.08 MATUGA-KAPEKA-24h'!C17,'26.08 MATUGA-KAPEEKA'!C17)</f>
        <v>1.2857142857142858</v>
      </c>
      <c r="D17" s="49">
        <f>0.4*(AVERAGE('20.08 MATUGA-KAPEKA'!E17,'21.08 MATUGA-KAPEKA'!E17,'22.08 MATUGA-KAPEKA'!E17,'23.08 MATUGA-KAPEKA'!E17,'24.08 MATUGA-KAPEKA-24h'!E17,'25.08 MATUGA-KAPEKA-24h'!E17,'26.08 MATUGA-KAPEEKA'!E17))</f>
        <v>0.4</v>
      </c>
      <c r="E17" s="49">
        <f>0.6*(AVERAGE('20.08 MATUGA-KAPEKA'!E17,'21.08 MATUGA-KAPEKA'!E17,'22.08 MATUGA-KAPEKA'!E17,'23.08 MATUGA-KAPEKA'!E17,'24.08 MATUGA-KAPEKA-24h'!E17,'25.08 MATUGA-KAPEKA-24h'!E17,'26.08 MATUGA-KAPEEKA'!E17))</f>
        <v>0.6</v>
      </c>
      <c r="F17" s="49">
        <f>AVERAGE('20.08 MATUGA-KAPEKA'!F17,'21.08 MATUGA-KAPEKA'!F17,'22.08 MATUGA-KAPEKA'!F17,'23.08 MATUGA-KAPEKA'!F17,'24.08 MATUGA-KAPEKA-24h'!F17,'25.08 MATUGA-KAPEKA-24h'!F17,'26.08 MATUGA-KAPEEKA'!F17)</f>
        <v>0.8571428571428571</v>
      </c>
      <c r="G17" s="49">
        <f>AVERAGE('20.08 MATUGA-KAPEKA'!G17,'21.08 MATUGA-KAPEKA'!G17,'22.08 MATUGA-KAPEKA'!G17,'23.08 MATUGA-KAPEKA'!G17,'24.08 MATUGA-KAPEKA-24h'!G17,'25.08 MATUGA-KAPEKA-24h'!G17,'26.08 MATUGA-KAPEEKA'!G17)</f>
        <v>0</v>
      </c>
      <c r="H17" s="49">
        <f>AVERAGE('20.08 MATUGA-KAPEKA'!H17,'21.08 MATUGA-KAPEKA'!H17,'22.08 MATUGA-KAPEKA'!H17,'23.08 MATUGA-KAPEKA'!H17,'24.08 MATUGA-KAPEKA-24h'!H17,'25.08 MATUGA-KAPEKA-24h'!H17,'26.08 MATUGA-KAPEEKA'!H17)</f>
        <v>0</v>
      </c>
      <c r="I17" s="49">
        <f>AVERAGE('20.08 MATUGA-KAPEKA'!I17,'21.08 MATUGA-KAPEKA'!I17,'22.08 MATUGA-KAPEKA'!I17,'23.08 MATUGA-KAPEKA'!I17,'24.08 MATUGA-KAPEKA-24h'!I17,'25.08 MATUGA-KAPEKA-24h'!I17,'26.08 MATUGA-KAPEEKA'!I17)</f>
        <v>1.5714285714285714</v>
      </c>
      <c r="J17" s="49">
        <f>AVERAGE('20.08 MATUGA-KAPEKA'!J17,'21.08 MATUGA-KAPEKA'!J17,'22.08 MATUGA-KAPEKA'!J17,'23.08 MATUGA-KAPEKA'!J17,'24.08 MATUGA-KAPEKA-24h'!J17,'25.08 MATUGA-KAPEKA-24h'!J17,'26.08 MATUGA-KAPEEKA'!J17)</f>
        <v>0.2857142857142857</v>
      </c>
      <c r="K17" s="49">
        <f>AVERAGE('20.08 MATUGA-KAPEKA'!K17,'21.08 MATUGA-KAPEKA'!K17,'22.08 MATUGA-KAPEKA'!K17,'23.08 MATUGA-KAPEKA'!K17,'24.08 MATUGA-KAPEKA-24h'!K17,'25.08 MATUGA-KAPEKA-24h'!K17,'26.08 MATUGA-KAPEEKA'!K17)</f>
        <v>1</v>
      </c>
      <c r="L17" s="49">
        <f>AVERAGE('20.08 MATUGA-KAPEKA'!L17,'21.08 MATUGA-KAPEKA'!L17,'22.08 MATUGA-KAPEKA'!L17,'23.08 MATUGA-KAPEKA'!L17,'24.08 MATUGA-KAPEKA-24h'!L17,'25.08 MATUGA-KAPEKA-24h'!L17,'26.08 MATUGA-KAPEEKA'!L17)</f>
        <v>0</v>
      </c>
      <c r="M17" s="49">
        <f>AVERAGE('20.08 MATUGA-KAPEKA'!M17,'21.08 MATUGA-KAPEKA'!M17,'22.08 MATUGA-KAPEKA'!M17,'23.08 MATUGA-KAPEKA'!M17,'24.08 MATUGA-KAPEKA-24h'!M17,'25.08 MATUGA-KAPEKA-24h'!M17,'26.08 MATUGA-KAPEEKA'!M17)</f>
        <v>18.285714285714285</v>
      </c>
      <c r="N17" s="49">
        <f>AVERAGE('20.08 MATUGA-KAPEKA'!N17,'21.08 MATUGA-KAPEKA'!N17,'22.08 MATUGA-KAPEKA'!N17,'23.08 MATUGA-KAPEKA'!N17,'24.08 MATUGA-KAPEKA-24h'!N17,'25.08 MATUGA-KAPEKA-24h'!N17,'26.08 MATUGA-KAPEEKA'!N17)</f>
        <v>0</v>
      </c>
      <c r="O17" s="15">
        <f t="shared" si="0"/>
        <v>6</v>
      </c>
      <c r="P17" s="15">
        <f t="shared" si="1"/>
        <v>24.285714285714285</v>
      </c>
      <c r="R17" s="1" t="s">
        <v>13</v>
      </c>
      <c r="S17" s="17">
        <f t="shared" ref="S17:AF17" si="9">SUM(C38:C41)</f>
        <v>8.7142857142857153</v>
      </c>
      <c r="T17" s="17">
        <f t="shared" si="9"/>
        <v>4.2285714285714286</v>
      </c>
      <c r="U17" s="17">
        <f t="shared" si="9"/>
        <v>6.3428571428571434</v>
      </c>
      <c r="V17" s="17">
        <f t="shared" si="9"/>
        <v>5</v>
      </c>
      <c r="W17" s="17">
        <f t="shared" si="9"/>
        <v>0.14285714285714285</v>
      </c>
      <c r="X17" s="17">
        <f t="shared" si="9"/>
        <v>0</v>
      </c>
      <c r="Y17" s="17">
        <f t="shared" si="9"/>
        <v>11.428571428571429</v>
      </c>
      <c r="Z17" s="17">
        <f t="shared" si="9"/>
        <v>1.7142857142857142</v>
      </c>
      <c r="AA17" s="17">
        <f t="shared" si="9"/>
        <v>1.1428571428571428</v>
      </c>
      <c r="AB17" s="17">
        <f t="shared" si="9"/>
        <v>0</v>
      </c>
      <c r="AC17" s="17">
        <f t="shared" si="9"/>
        <v>83.285714285714278</v>
      </c>
      <c r="AD17" s="17">
        <f t="shared" si="9"/>
        <v>0</v>
      </c>
      <c r="AE17" s="31">
        <f t="shared" si="9"/>
        <v>38.714285714285715</v>
      </c>
      <c r="AF17" s="31">
        <f t="shared" si="9"/>
        <v>122</v>
      </c>
    </row>
    <row r="18" spans="2:32" ht="23.1" customHeight="1" x14ac:dyDescent="0.25">
      <c r="B18" s="23" t="s">
        <v>45</v>
      </c>
      <c r="C18" s="49">
        <f>AVERAGE('20.08 MATUGA-KAPEKA'!C18,'21.08 MATUGA-KAPEKA'!C18,'22.08 MATUGA-KAPEKA'!C18,'23.08 MATUGA-KAPEKA'!C18,'24.08 MATUGA-KAPEKA-24h'!C18,'25.08 MATUGA-KAPEKA-24h'!C18,'26.08 MATUGA-KAPEEKA'!C18)</f>
        <v>1.4285714285714286</v>
      </c>
      <c r="D18" s="49">
        <f>0.4*(AVERAGE('20.08 MATUGA-KAPEKA'!E18,'21.08 MATUGA-KAPEKA'!E18,'22.08 MATUGA-KAPEKA'!E18,'23.08 MATUGA-KAPEKA'!E18,'24.08 MATUGA-KAPEKA-24h'!E18,'25.08 MATUGA-KAPEKA-24h'!E18,'26.08 MATUGA-KAPEEKA'!E18))</f>
        <v>0.57142857142857151</v>
      </c>
      <c r="E18" s="49">
        <f>0.6*(AVERAGE('20.08 MATUGA-KAPEKA'!E18,'21.08 MATUGA-KAPEKA'!E18,'22.08 MATUGA-KAPEKA'!E18,'23.08 MATUGA-KAPEKA'!E18,'24.08 MATUGA-KAPEKA-24h'!E18,'25.08 MATUGA-KAPEKA-24h'!E18,'26.08 MATUGA-KAPEEKA'!E18))</f>
        <v>0.8571428571428571</v>
      </c>
      <c r="F18" s="49">
        <f>AVERAGE('20.08 MATUGA-KAPEKA'!F18,'21.08 MATUGA-KAPEKA'!F18,'22.08 MATUGA-KAPEKA'!F18,'23.08 MATUGA-KAPEKA'!F18,'24.08 MATUGA-KAPEKA-24h'!F18,'25.08 MATUGA-KAPEKA-24h'!F18,'26.08 MATUGA-KAPEEKA'!F18)</f>
        <v>1.1428571428571428</v>
      </c>
      <c r="G18" s="49">
        <f>AVERAGE('20.08 MATUGA-KAPEKA'!G18,'21.08 MATUGA-KAPEKA'!G18,'22.08 MATUGA-KAPEKA'!G18,'23.08 MATUGA-KAPEKA'!G18,'24.08 MATUGA-KAPEKA-24h'!G18,'25.08 MATUGA-KAPEKA-24h'!G18,'26.08 MATUGA-KAPEEKA'!G18)</f>
        <v>0</v>
      </c>
      <c r="H18" s="49">
        <f>AVERAGE('20.08 MATUGA-KAPEKA'!H18,'21.08 MATUGA-KAPEKA'!H18,'22.08 MATUGA-KAPEKA'!H18,'23.08 MATUGA-KAPEKA'!H18,'24.08 MATUGA-KAPEKA-24h'!H18,'25.08 MATUGA-KAPEKA-24h'!H18,'26.08 MATUGA-KAPEEKA'!H18)</f>
        <v>0</v>
      </c>
      <c r="I18" s="49">
        <f>AVERAGE('20.08 MATUGA-KAPEKA'!I18,'21.08 MATUGA-KAPEKA'!I18,'22.08 MATUGA-KAPEKA'!I18,'23.08 MATUGA-KAPEKA'!I18,'24.08 MATUGA-KAPEKA-24h'!I18,'25.08 MATUGA-KAPEKA-24h'!I18,'26.08 MATUGA-KAPEEKA'!I18)</f>
        <v>1.7142857142857142</v>
      </c>
      <c r="J18" s="49">
        <f>AVERAGE('20.08 MATUGA-KAPEKA'!J18,'21.08 MATUGA-KAPEKA'!J18,'22.08 MATUGA-KAPEKA'!J18,'23.08 MATUGA-KAPEKA'!J18,'24.08 MATUGA-KAPEKA-24h'!J18,'25.08 MATUGA-KAPEKA-24h'!J18,'26.08 MATUGA-KAPEEKA'!J18)</f>
        <v>0.42857142857142855</v>
      </c>
      <c r="K18" s="49">
        <f>AVERAGE('20.08 MATUGA-KAPEKA'!K18,'21.08 MATUGA-KAPEKA'!K18,'22.08 MATUGA-KAPEKA'!K18,'23.08 MATUGA-KAPEKA'!K18,'24.08 MATUGA-KAPEKA-24h'!K18,'25.08 MATUGA-KAPEKA-24h'!K18,'26.08 MATUGA-KAPEEKA'!K18)</f>
        <v>1.1428571428571428</v>
      </c>
      <c r="L18" s="49">
        <f>AVERAGE('20.08 MATUGA-KAPEKA'!L18,'21.08 MATUGA-KAPEKA'!L18,'22.08 MATUGA-KAPEKA'!L18,'23.08 MATUGA-KAPEKA'!L18,'24.08 MATUGA-KAPEKA-24h'!L18,'25.08 MATUGA-KAPEKA-24h'!L18,'26.08 MATUGA-KAPEEKA'!L18)</f>
        <v>0</v>
      </c>
      <c r="M18" s="49">
        <f>AVERAGE('20.08 MATUGA-KAPEKA'!M18,'21.08 MATUGA-KAPEKA'!M18,'22.08 MATUGA-KAPEKA'!M18,'23.08 MATUGA-KAPEKA'!M18,'24.08 MATUGA-KAPEKA-24h'!M18,'25.08 MATUGA-KAPEKA-24h'!M18,'26.08 MATUGA-KAPEEKA'!M18)</f>
        <v>15.571428571428571</v>
      </c>
      <c r="N18" s="49">
        <f>AVERAGE('20.08 MATUGA-KAPEKA'!N18,'21.08 MATUGA-KAPEKA'!N18,'22.08 MATUGA-KAPEKA'!N18,'23.08 MATUGA-KAPEKA'!N18,'24.08 MATUGA-KAPEKA-24h'!N18,'25.08 MATUGA-KAPEKA-24h'!N18,'26.08 MATUGA-KAPEEKA'!N18)</f>
        <v>0</v>
      </c>
      <c r="O18" s="15">
        <f t="shared" si="0"/>
        <v>7.2857142857142865</v>
      </c>
      <c r="P18" s="15">
        <f t="shared" si="1"/>
        <v>22.857142857142858</v>
      </c>
      <c r="R18" s="1" t="s">
        <v>14</v>
      </c>
      <c r="S18" s="17">
        <f t="shared" ref="S18:AF18" si="10">SUM(C42:C45)</f>
        <v>10</v>
      </c>
      <c r="T18" s="17">
        <f t="shared" si="10"/>
        <v>3.8285714285714287</v>
      </c>
      <c r="U18" s="17">
        <f t="shared" si="10"/>
        <v>5.742857142857142</v>
      </c>
      <c r="V18" s="17">
        <f t="shared" si="10"/>
        <v>5.7142857142857144</v>
      </c>
      <c r="W18" s="17">
        <f t="shared" si="10"/>
        <v>0.14285714285714285</v>
      </c>
      <c r="X18" s="17">
        <f t="shared" si="10"/>
        <v>0</v>
      </c>
      <c r="Y18" s="17">
        <f t="shared" si="10"/>
        <v>9.4285714285714288</v>
      </c>
      <c r="Z18" s="17">
        <f t="shared" si="10"/>
        <v>1.9999999999999998</v>
      </c>
      <c r="AA18" s="17">
        <f t="shared" si="10"/>
        <v>1.7142857142857142</v>
      </c>
      <c r="AB18" s="17">
        <f t="shared" si="10"/>
        <v>0</v>
      </c>
      <c r="AC18" s="17">
        <f t="shared" si="10"/>
        <v>81.285714285714292</v>
      </c>
      <c r="AD18" s="17">
        <f t="shared" si="10"/>
        <v>0</v>
      </c>
      <c r="AE18" s="31">
        <f t="shared" si="10"/>
        <v>38.571428571428569</v>
      </c>
      <c r="AF18" s="31">
        <f t="shared" si="10"/>
        <v>119.85714285714286</v>
      </c>
    </row>
    <row r="19" spans="2:32" ht="23.1" customHeight="1" x14ac:dyDescent="0.25">
      <c r="B19" s="23" t="s">
        <v>46</v>
      </c>
      <c r="C19" s="49">
        <f>AVERAGE('20.08 MATUGA-KAPEKA'!C19,'21.08 MATUGA-KAPEKA'!C19,'22.08 MATUGA-KAPEKA'!C19,'23.08 MATUGA-KAPEKA'!C19,'24.08 MATUGA-KAPEKA-24h'!C19,'25.08 MATUGA-KAPEKA-24h'!C19,'26.08 MATUGA-KAPEEKA'!C19)</f>
        <v>1.1428571428571428</v>
      </c>
      <c r="D19" s="49">
        <f>0.4*(AVERAGE('20.08 MATUGA-KAPEKA'!E19,'21.08 MATUGA-KAPEKA'!E19,'22.08 MATUGA-KAPEKA'!E19,'23.08 MATUGA-KAPEKA'!E19,'24.08 MATUGA-KAPEKA-24h'!E19,'25.08 MATUGA-KAPEKA-24h'!E19,'26.08 MATUGA-KAPEEKA'!E19))</f>
        <v>0.74285714285714288</v>
      </c>
      <c r="E19" s="49">
        <f>0.6*(AVERAGE('20.08 MATUGA-KAPEKA'!E19,'21.08 MATUGA-KAPEKA'!E19,'22.08 MATUGA-KAPEKA'!E19,'23.08 MATUGA-KAPEKA'!E19,'24.08 MATUGA-KAPEKA-24h'!E19,'25.08 MATUGA-KAPEKA-24h'!E19,'26.08 MATUGA-KAPEEKA'!E19))</f>
        <v>1.1142857142857143</v>
      </c>
      <c r="F19" s="49">
        <f>AVERAGE('20.08 MATUGA-KAPEKA'!F19,'21.08 MATUGA-KAPEKA'!F19,'22.08 MATUGA-KAPEKA'!F19,'23.08 MATUGA-KAPEKA'!F19,'24.08 MATUGA-KAPEKA-24h'!F19,'25.08 MATUGA-KAPEKA-24h'!F19,'26.08 MATUGA-KAPEEKA'!F19)</f>
        <v>1</v>
      </c>
      <c r="G19" s="49">
        <f>AVERAGE('20.08 MATUGA-KAPEKA'!G19,'21.08 MATUGA-KAPEKA'!G19,'22.08 MATUGA-KAPEKA'!G19,'23.08 MATUGA-KAPEKA'!G19,'24.08 MATUGA-KAPEKA-24h'!G19,'25.08 MATUGA-KAPEKA-24h'!G19,'26.08 MATUGA-KAPEEKA'!G19)</f>
        <v>0</v>
      </c>
      <c r="H19" s="49">
        <f>AVERAGE('20.08 MATUGA-KAPEKA'!H19,'21.08 MATUGA-KAPEKA'!H19,'22.08 MATUGA-KAPEKA'!H19,'23.08 MATUGA-KAPEKA'!H19,'24.08 MATUGA-KAPEKA-24h'!H19,'25.08 MATUGA-KAPEKA-24h'!H19,'26.08 MATUGA-KAPEEKA'!H19)</f>
        <v>0</v>
      </c>
      <c r="I19" s="49">
        <f>AVERAGE('20.08 MATUGA-KAPEKA'!I19,'21.08 MATUGA-KAPEKA'!I19,'22.08 MATUGA-KAPEKA'!I19,'23.08 MATUGA-KAPEKA'!I19,'24.08 MATUGA-KAPEKA-24h'!I19,'25.08 MATUGA-KAPEKA-24h'!I19,'26.08 MATUGA-KAPEEKA'!I19)</f>
        <v>1.8571428571428572</v>
      </c>
      <c r="J19" s="49">
        <f>AVERAGE('20.08 MATUGA-KAPEKA'!J19,'21.08 MATUGA-KAPEKA'!J19,'22.08 MATUGA-KAPEKA'!J19,'23.08 MATUGA-KAPEKA'!J19,'24.08 MATUGA-KAPEKA-24h'!J19,'25.08 MATUGA-KAPEKA-24h'!J19,'26.08 MATUGA-KAPEEKA'!J19)</f>
        <v>0.2857142857142857</v>
      </c>
      <c r="K19" s="49">
        <f>AVERAGE('20.08 MATUGA-KAPEKA'!K19,'21.08 MATUGA-KAPEKA'!K19,'22.08 MATUGA-KAPEKA'!K19,'23.08 MATUGA-KAPEKA'!K19,'24.08 MATUGA-KAPEKA-24h'!K19,'25.08 MATUGA-KAPEKA-24h'!K19,'26.08 MATUGA-KAPEEKA'!K19)</f>
        <v>1.1428571428571428</v>
      </c>
      <c r="L19" s="49">
        <f>AVERAGE('20.08 MATUGA-KAPEKA'!L19,'21.08 MATUGA-KAPEKA'!L19,'22.08 MATUGA-KAPEKA'!L19,'23.08 MATUGA-KAPEKA'!L19,'24.08 MATUGA-KAPEKA-24h'!L19,'25.08 MATUGA-KAPEKA-24h'!L19,'26.08 MATUGA-KAPEEKA'!L19)</f>
        <v>0</v>
      </c>
      <c r="M19" s="49">
        <f>AVERAGE('20.08 MATUGA-KAPEKA'!M19,'21.08 MATUGA-KAPEKA'!M19,'22.08 MATUGA-KAPEKA'!M19,'23.08 MATUGA-KAPEKA'!M19,'24.08 MATUGA-KAPEKA-24h'!M19,'25.08 MATUGA-KAPEKA-24h'!M19,'26.08 MATUGA-KAPEEKA'!M19)</f>
        <v>17.285714285714285</v>
      </c>
      <c r="N19" s="49">
        <f>AVERAGE('20.08 MATUGA-KAPEKA'!N19,'21.08 MATUGA-KAPEKA'!N19,'22.08 MATUGA-KAPEKA'!N19,'23.08 MATUGA-KAPEKA'!N19,'24.08 MATUGA-KAPEKA-24h'!N19,'25.08 MATUGA-KAPEKA-24h'!N19,'26.08 MATUGA-KAPEEKA'!N19)</f>
        <v>0</v>
      </c>
      <c r="O19" s="15">
        <f t="shared" si="0"/>
        <v>7.2857142857142865</v>
      </c>
      <c r="P19" s="15">
        <f t="shared" si="1"/>
        <v>24.571428571428569</v>
      </c>
      <c r="R19" s="1" t="s">
        <v>15</v>
      </c>
      <c r="S19" s="17">
        <f t="shared" ref="S19:AF19" si="11">SUM(C46:C49)</f>
        <v>9.8571428571428577</v>
      </c>
      <c r="T19" s="17">
        <f t="shared" si="11"/>
        <v>5.5428571428571427</v>
      </c>
      <c r="U19" s="17">
        <f t="shared" si="11"/>
        <v>8.3142857142857132</v>
      </c>
      <c r="V19" s="17">
        <f t="shared" si="11"/>
        <v>8.8571428571428577</v>
      </c>
      <c r="W19" s="17">
        <f t="shared" si="11"/>
        <v>1</v>
      </c>
      <c r="X19" s="17">
        <f t="shared" si="11"/>
        <v>0</v>
      </c>
      <c r="Y19" s="17">
        <f t="shared" si="11"/>
        <v>12.428571428571429</v>
      </c>
      <c r="Z19" s="17">
        <f t="shared" si="11"/>
        <v>1.9999999999999998</v>
      </c>
      <c r="AA19" s="17">
        <f t="shared" si="11"/>
        <v>1.5714285714285714</v>
      </c>
      <c r="AB19" s="17">
        <f t="shared" si="11"/>
        <v>0</v>
      </c>
      <c r="AC19" s="17">
        <f t="shared" si="11"/>
        <v>74</v>
      </c>
      <c r="AD19" s="17">
        <f t="shared" si="11"/>
        <v>0</v>
      </c>
      <c r="AE19" s="31">
        <f t="shared" si="11"/>
        <v>49.571428571428569</v>
      </c>
      <c r="AF19" s="31">
        <f t="shared" si="11"/>
        <v>123.57142857142858</v>
      </c>
    </row>
    <row r="20" spans="2:32" ht="23.1" customHeight="1" x14ac:dyDescent="0.25">
      <c r="B20" s="23" t="s">
        <v>47</v>
      </c>
      <c r="C20" s="49">
        <f>AVERAGE('20.08 MATUGA-KAPEKA'!C20,'21.08 MATUGA-KAPEKA'!C20,'22.08 MATUGA-KAPEKA'!C20,'23.08 MATUGA-KAPEKA'!C20,'24.08 MATUGA-KAPEKA-24h'!C20,'25.08 MATUGA-KAPEKA-24h'!C20,'26.08 MATUGA-KAPEEKA'!C20)</f>
        <v>1.1428571428571428</v>
      </c>
      <c r="D20" s="49">
        <f>0.4*(AVERAGE('20.08 MATUGA-KAPEKA'!E20,'21.08 MATUGA-KAPEKA'!E20,'22.08 MATUGA-KAPEKA'!E20,'23.08 MATUGA-KAPEKA'!E20,'24.08 MATUGA-KAPEKA-24h'!E20,'25.08 MATUGA-KAPEKA-24h'!E20,'26.08 MATUGA-KAPEEKA'!E20))</f>
        <v>0.74285714285714288</v>
      </c>
      <c r="E20" s="49">
        <f>0.6*(AVERAGE('20.08 MATUGA-KAPEKA'!E20,'21.08 MATUGA-KAPEKA'!E20,'22.08 MATUGA-KAPEKA'!E20,'23.08 MATUGA-KAPEKA'!E20,'24.08 MATUGA-KAPEKA-24h'!E20,'25.08 MATUGA-KAPEKA-24h'!E20,'26.08 MATUGA-KAPEEKA'!E20))</f>
        <v>1.1142857142857143</v>
      </c>
      <c r="F20" s="49">
        <f>AVERAGE('20.08 MATUGA-KAPEKA'!F20,'21.08 MATUGA-KAPEKA'!F20,'22.08 MATUGA-KAPEKA'!F20,'23.08 MATUGA-KAPEKA'!F20,'24.08 MATUGA-KAPEKA-24h'!F20,'25.08 MATUGA-KAPEKA-24h'!F20,'26.08 MATUGA-KAPEEKA'!F20)</f>
        <v>1.5714285714285714</v>
      </c>
      <c r="G20" s="49">
        <f>AVERAGE('20.08 MATUGA-KAPEKA'!G20,'21.08 MATUGA-KAPEKA'!G20,'22.08 MATUGA-KAPEKA'!G20,'23.08 MATUGA-KAPEKA'!G20,'24.08 MATUGA-KAPEKA-24h'!G20,'25.08 MATUGA-KAPEKA-24h'!G20,'26.08 MATUGA-KAPEEKA'!G20)</f>
        <v>0</v>
      </c>
      <c r="H20" s="49">
        <f>AVERAGE('20.08 MATUGA-KAPEKA'!H20,'21.08 MATUGA-KAPEKA'!H20,'22.08 MATUGA-KAPEKA'!H20,'23.08 MATUGA-KAPEKA'!H20,'24.08 MATUGA-KAPEKA-24h'!H20,'25.08 MATUGA-KAPEKA-24h'!H20,'26.08 MATUGA-KAPEEKA'!H20)</f>
        <v>0</v>
      </c>
      <c r="I20" s="49">
        <f>AVERAGE('20.08 MATUGA-KAPEKA'!I20,'21.08 MATUGA-KAPEKA'!I20,'22.08 MATUGA-KAPEKA'!I20,'23.08 MATUGA-KAPEKA'!I20,'24.08 MATUGA-KAPEKA-24h'!I20,'25.08 MATUGA-KAPEKA-24h'!I20,'26.08 MATUGA-KAPEEKA'!I20)</f>
        <v>1.2857142857142858</v>
      </c>
      <c r="J20" s="49">
        <f>AVERAGE('20.08 MATUGA-KAPEKA'!J20,'21.08 MATUGA-KAPEKA'!J20,'22.08 MATUGA-KAPEKA'!J20,'23.08 MATUGA-KAPEKA'!J20,'24.08 MATUGA-KAPEKA-24h'!J20,'25.08 MATUGA-KAPEKA-24h'!J20,'26.08 MATUGA-KAPEEKA'!J20)</f>
        <v>0.5714285714285714</v>
      </c>
      <c r="K20" s="49">
        <f>AVERAGE('20.08 MATUGA-KAPEKA'!K20,'21.08 MATUGA-KAPEKA'!K20,'22.08 MATUGA-KAPEKA'!K20,'23.08 MATUGA-KAPEKA'!K20,'24.08 MATUGA-KAPEKA-24h'!K20,'25.08 MATUGA-KAPEKA-24h'!K20,'26.08 MATUGA-KAPEEKA'!K20)</f>
        <v>0.8571428571428571</v>
      </c>
      <c r="L20" s="49">
        <f>AVERAGE('20.08 MATUGA-KAPEKA'!L20,'21.08 MATUGA-KAPEKA'!L20,'22.08 MATUGA-KAPEKA'!L20,'23.08 MATUGA-KAPEKA'!L20,'24.08 MATUGA-KAPEKA-24h'!L20,'25.08 MATUGA-KAPEKA-24h'!L20,'26.08 MATUGA-KAPEEKA'!L20)</f>
        <v>0</v>
      </c>
      <c r="M20" s="49">
        <f>AVERAGE('20.08 MATUGA-KAPEKA'!M20,'21.08 MATUGA-KAPEKA'!M20,'22.08 MATUGA-KAPEKA'!M20,'23.08 MATUGA-KAPEKA'!M20,'24.08 MATUGA-KAPEKA-24h'!M20,'25.08 MATUGA-KAPEKA-24h'!M20,'26.08 MATUGA-KAPEEKA'!M20)</f>
        <v>17.857142857142858</v>
      </c>
      <c r="N20" s="49">
        <f>AVERAGE('20.08 MATUGA-KAPEKA'!N20,'21.08 MATUGA-KAPEKA'!N20,'22.08 MATUGA-KAPEKA'!N20,'23.08 MATUGA-KAPEKA'!N20,'24.08 MATUGA-KAPEKA-24h'!N20,'25.08 MATUGA-KAPEKA-24h'!N20,'26.08 MATUGA-KAPEEKA'!N20)</f>
        <v>0</v>
      </c>
      <c r="O20" s="15">
        <f t="shared" si="0"/>
        <v>7.2857142857142847</v>
      </c>
      <c r="P20" s="15">
        <f t="shared" si="1"/>
        <v>25.142857142857142</v>
      </c>
      <c r="R20" s="1" t="s">
        <v>16</v>
      </c>
      <c r="S20" s="17">
        <f t="shared" ref="S20:AF20" si="12">SUM(C50:C53)</f>
        <v>12.285714285714285</v>
      </c>
      <c r="T20" s="17">
        <f t="shared" si="12"/>
        <v>6.5142857142857142</v>
      </c>
      <c r="U20" s="17">
        <f t="shared" si="12"/>
        <v>9.7714285714285705</v>
      </c>
      <c r="V20" s="17">
        <f t="shared" si="12"/>
        <v>8.4285714285714288</v>
      </c>
      <c r="W20" s="17">
        <f t="shared" si="12"/>
        <v>0.14285714285714285</v>
      </c>
      <c r="X20" s="17">
        <f t="shared" si="12"/>
        <v>0</v>
      </c>
      <c r="Y20" s="17">
        <f t="shared" si="12"/>
        <v>14.714285714285715</v>
      </c>
      <c r="Z20" s="17">
        <f t="shared" si="12"/>
        <v>1.4285714285714284</v>
      </c>
      <c r="AA20" s="17">
        <f t="shared" si="12"/>
        <v>1.8571428571428572</v>
      </c>
      <c r="AB20" s="17">
        <f t="shared" si="12"/>
        <v>0</v>
      </c>
      <c r="AC20" s="17">
        <f t="shared" si="12"/>
        <v>95.857142857142861</v>
      </c>
      <c r="AD20" s="17">
        <f t="shared" si="12"/>
        <v>0</v>
      </c>
      <c r="AE20" s="31">
        <f t="shared" si="12"/>
        <v>55.142857142857146</v>
      </c>
      <c r="AF20" s="31">
        <f t="shared" si="12"/>
        <v>151</v>
      </c>
    </row>
    <row r="21" spans="2:32" ht="23.1" customHeight="1" x14ac:dyDescent="0.25">
      <c r="B21" s="23" t="s">
        <v>48</v>
      </c>
      <c r="C21" s="49">
        <f>AVERAGE('20.08 MATUGA-KAPEKA'!C21,'21.08 MATUGA-KAPEKA'!C21,'22.08 MATUGA-KAPEKA'!C21,'23.08 MATUGA-KAPEKA'!C21,'24.08 MATUGA-KAPEKA-24h'!C21,'25.08 MATUGA-KAPEKA-24h'!C21,'26.08 MATUGA-KAPEEKA'!C21)</f>
        <v>0.8571428571428571</v>
      </c>
      <c r="D21" s="49">
        <f>0.4*(AVERAGE('20.08 MATUGA-KAPEKA'!E21,'21.08 MATUGA-KAPEKA'!E21,'22.08 MATUGA-KAPEKA'!E21,'23.08 MATUGA-KAPEKA'!E21,'24.08 MATUGA-KAPEKA-24h'!E21,'25.08 MATUGA-KAPEKA-24h'!E21,'26.08 MATUGA-KAPEEKA'!E21))</f>
        <v>0.51428571428571435</v>
      </c>
      <c r="E21" s="49">
        <f>0.6*(AVERAGE('20.08 MATUGA-KAPEKA'!E21,'21.08 MATUGA-KAPEKA'!E21,'22.08 MATUGA-KAPEKA'!E21,'23.08 MATUGA-KAPEKA'!E21,'24.08 MATUGA-KAPEKA-24h'!E21,'25.08 MATUGA-KAPEKA-24h'!E21,'26.08 MATUGA-KAPEEKA'!E21))</f>
        <v>0.77142857142857146</v>
      </c>
      <c r="F21" s="49">
        <f>AVERAGE('20.08 MATUGA-KAPEKA'!F21,'21.08 MATUGA-KAPEKA'!F21,'22.08 MATUGA-KAPEKA'!F21,'23.08 MATUGA-KAPEKA'!F21,'24.08 MATUGA-KAPEKA-24h'!F21,'25.08 MATUGA-KAPEKA-24h'!F21,'26.08 MATUGA-KAPEEKA'!F21)</f>
        <v>0.14285714285714285</v>
      </c>
      <c r="G21" s="49">
        <f>AVERAGE('20.08 MATUGA-KAPEKA'!G21,'21.08 MATUGA-KAPEKA'!G21,'22.08 MATUGA-KAPEKA'!G21,'23.08 MATUGA-KAPEKA'!G21,'24.08 MATUGA-KAPEKA-24h'!G21,'25.08 MATUGA-KAPEKA-24h'!G21,'26.08 MATUGA-KAPEEKA'!G21)</f>
        <v>0</v>
      </c>
      <c r="H21" s="49">
        <f>AVERAGE('20.08 MATUGA-KAPEKA'!H21,'21.08 MATUGA-KAPEKA'!H21,'22.08 MATUGA-KAPEKA'!H21,'23.08 MATUGA-KAPEKA'!H21,'24.08 MATUGA-KAPEKA-24h'!H21,'25.08 MATUGA-KAPEKA-24h'!H21,'26.08 MATUGA-KAPEEKA'!H21)</f>
        <v>0</v>
      </c>
      <c r="I21" s="49">
        <f>AVERAGE('20.08 MATUGA-KAPEKA'!I21,'21.08 MATUGA-KAPEKA'!I21,'22.08 MATUGA-KAPEKA'!I21,'23.08 MATUGA-KAPEKA'!I21,'24.08 MATUGA-KAPEKA-24h'!I21,'25.08 MATUGA-KAPEKA-24h'!I21,'26.08 MATUGA-KAPEEKA'!I21)</f>
        <v>2.1428571428571428</v>
      </c>
      <c r="J21" s="49">
        <f>AVERAGE('20.08 MATUGA-KAPEKA'!J21,'21.08 MATUGA-KAPEKA'!J21,'22.08 MATUGA-KAPEKA'!J21,'23.08 MATUGA-KAPEKA'!J21,'24.08 MATUGA-KAPEKA-24h'!J21,'25.08 MATUGA-KAPEKA-24h'!J21,'26.08 MATUGA-KAPEEKA'!J21)</f>
        <v>0.5714285714285714</v>
      </c>
      <c r="K21" s="49">
        <f>AVERAGE('20.08 MATUGA-KAPEKA'!K21,'21.08 MATUGA-KAPEKA'!K21,'22.08 MATUGA-KAPEKA'!K21,'23.08 MATUGA-KAPEKA'!K21,'24.08 MATUGA-KAPEKA-24h'!K21,'25.08 MATUGA-KAPEKA-24h'!K21,'26.08 MATUGA-KAPEEKA'!K21)</f>
        <v>0.42857142857142855</v>
      </c>
      <c r="L21" s="49">
        <f>AVERAGE('20.08 MATUGA-KAPEKA'!L21,'21.08 MATUGA-KAPEKA'!L21,'22.08 MATUGA-KAPEKA'!L21,'23.08 MATUGA-KAPEKA'!L21,'24.08 MATUGA-KAPEKA-24h'!L21,'25.08 MATUGA-KAPEKA-24h'!L21,'26.08 MATUGA-KAPEEKA'!L21)</f>
        <v>0</v>
      </c>
      <c r="M21" s="49">
        <f>AVERAGE('20.08 MATUGA-KAPEKA'!M21,'21.08 MATUGA-KAPEKA'!M21,'22.08 MATUGA-KAPEKA'!M21,'23.08 MATUGA-KAPEKA'!M21,'24.08 MATUGA-KAPEKA-24h'!M21,'25.08 MATUGA-KAPEKA-24h'!M21,'26.08 MATUGA-KAPEEKA'!M21)</f>
        <v>17.571428571428573</v>
      </c>
      <c r="N21" s="49">
        <f>AVERAGE('20.08 MATUGA-KAPEKA'!N21,'21.08 MATUGA-KAPEKA'!N21,'22.08 MATUGA-KAPEKA'!N21,'23.08 MATUGA-KAPEKA'!N21,'24.08 MATUGA-KAPEKA-24h'!N21,'25.08 MATUGA-KAPEKA-24h'!N21,'26.08 MATUGA-KAPEEKA'!N21)</f>
        <v>0</v>
      </c>
      <c r="O21" s="15">
        <f t="shared" si="0"/>
        <v>5.4285714285714288</v>
      </c>
      <c r="P21" s="15">
        <f t="shared" si="1"/>
        <v>23</v>
      </c>
      <c r="R21" s="36" t="s">
        <v>20</v>
      </c>
      <c r="S21" s="34">
        <f t="shared" ref="S21:AF21" si="13">SUM(C54:C57)</f>
        <v>10.428571428571429</v>
      </c>
      <c r="T21" s="17">
        <f t="shared" si="13"/>
        <v>4.5142857142857142</v>
      </c>
      <c r="U21" s="17">
        <f t="shared" si="13"/>
        <v>6.7714285714285714</v>
      </c>
      <c r="V21" s="17">
        <f t="shared" si="13"/>
        <v>9</v>
      </c>
      <c r="W21" s="17">
        <f t="shared" si="13"/>
        <v>0.42857142857142855</v>
      </c>
      <c r="X21" s="17">
        <f t="shared" si="13"/>
        <v>0</v>
      </c>
      <c r="Y21" s="17">
        <f t="shared" si="13"/>
        <v>17.428571428571427</v>
      </c>
      <c r="Z21" s="17">
        <f t="shared" si="13"/>
        <v>0.71428571428571419</v>
      </c>
      <c r="AA21" s="17">
        <f t="shared" si="13"/>
        <v>1.4285714285714284</v>
      </c>
      <c r="AB21" s="17">
        <f t="shared" si="13"/>
        <v>0</v>
      </c>
      <c r="AC21" s="17">
        <f t="shared" si="13"/>
        <v>104.42857142857142</v>
      </c>
      <c r="AD21" s="17">
        <f t="shared" si="13"/>
        <v>0</v>
      </c>
      <c r="AE21" s="31">
        <f t="shared" si="13"/>
        <v>50.714285714285715</v>
      </c>
      <c r="AF21" s="31">
        <f t="shared" si="13"/>
        <v>155.14285714285714</v>
      </c>
    </row>
    <row r="22" spans="2:32" ht="23.1" customHeight="1" x14ac:dyDescent="0.25">
      <c r="B22" s="23" t="s">
        <v>49</v>
      </c>
      <c r="C22" s="49">
        <f>AVERAGE('20.08 MATUGA-KAPEKA'!C22,'21.08 MATUGA-KAPEKA'!C22,'22.08 MATUGA-KAPEKA'!C22,'23.08 MATUGA-KAPEKA'!C22,'24.08 MATUGA-KAPEKA-24h'!C22,'25.08 MATUGA-KAPEKA-24h'!C22,'26.08 MATUGA-KAPEEKA'!C22)</f>
        <v>1.1428571428571428</v>
      </c>
      <c r="D22" s="49">
        <f>0.4*(AVERAGE('20.08 MATUGA-KAPEKA'!E22,'21.08 MATUGA-KAPEKA'!E22,'22.08 MATUGA-KAPEKA'!E22,'23.08 MATUGA-KAPEKA'!E22,'24.08 MATUGA-KAPEKA-24h'!E22,'25.08 MATUGA-KAPEKA-24h'!E22,'26.08 MATUGA-KAPEEKA'!E22))</f>
        <v>0.62857142857142856</v>
      </c>
      <c r="E22" s="49">
        <f>0.6*(AVERAGE('20.08 MATUGA-KAPEKA'!E22,'21.08 MATUGA-KAPEKA'!E22,'22.08 MATUGA-KAPEKA'!E22,'23.08 MATUGA-KAPEKA'!E22,'24.08 MATUGA-KAPEKA-24h'!E22,'25.08 MATUGA-KAPEKA-24h'!E22,'26.08 MATUGA-KAPEEKA'!E22))</f>
        <v>0.94285714285714284</v>
      </c>
      <c r="F22" s="49">
        <f>AVERAGE('20.08 MATUGA-KAPEKA'!F22,'21.08 MATUGA-KAPEKA'!F22,'22.08 MATUGA-KAPEKA'!F22,'23.08 MATUGA-KAPEKA'!F22,'24.08 MATUGA-KAPEKA-24h'!F22,'25.08 MATUGA-KAPEKA-24h'!F22,'26.08 MATUGA-KAPEEKA'!F22)</f>
        <v>1.4285714285714286</v>
      </c>
      <c r="G22" s="49">
        <f>AVERAGE('20.08 MATUGA-KAPEKA'!G22,'21.08 MATUGA-KAPEKA'!G22,'22.08 MATUGA-KAPEKA'!G22,'23.08 MATUGA-KAPEKA'!G22,'24.08 MATUGA-KAPEKA-24h'!G22,'25.08 MATUGA-KAPEKA-24h'!G22,'26.08 MATUGA-KAPEEKA'!G22)</f>
        <v>0.14285714285714285</v>
      </c>
      <c r="H22" s="49">
        <f>AVERAGE('20.08 MATUGA-KAPEKA'!H22,'21.08 MATUGA-KAPEKA'!H22,'22.08 MATUGA-KAPEKA'!H22,'23.08 MATUGA-KAPEKA'!H22,'24.08 MATUGA-KAPEKA-24h'!H22,'25.08 MATUGA-KAPEKA-24h'!H22,'26.08 MATUGA-KAPEEKA'!H22)</f>
        <v>0.14285714285714285</v>
      </c>
      <c r="I22" s="49">
        <f>AVERAGE('20.08 MATUGA-KAPEKA'!I22,'21.08 MATUGA-KAPEKA'!I22,'22.08 MATUGA-KAPEKA'!I22,'23.08 MATUGA-KAPEKA'!I22,'24.08 MATUGA-KAPEKA-24h'!I22,'25.08 MATUGA-KAPEKA-24h'!I22,'26.08 MATUGA-KAPEEKA'!I22)</f>
        <v>1.2857142857142858</v>
      </c>
      <c r="J22" s="49">
        <f>AVERAGE('20.08 MATUGA-KAPEKA'!J22,'21.08 MATUGA-KAPEKA'!J22,'22.08 MATUGA-KAPEKA'!J22,'23.08 MATUGA-KAPEKA'!J22,'24.08 MATUGA-KAPEKA-24h'!J22,'25.08 MATUGA-KAPEKA-24h'!J22,'26.08 MATUGA-KAPEEKA'!J22)</f>
        <v>0.42857142857142855</v>
      </c>
      <c r="K22" s="49">
        <f>AVERAGE('20.08 MATUGA-KAPEKA'!K22,'21.08 MATUGA-KAPEKA'!K22,'22.08 MATUGA-KAPEKA'!K22,'23.08 MATUGA-KAPEKA'!K22,'24.08 MATUGA-KAPEKA-24h'!K22,'25.08 MATUGA-KAPEKA-24h'!K22,'26.08 MATUGA-KAPEEKA'!K22)</f>
        <v>0.5714285714285714</v>
      </c>
      <c r="L22" s="49">
        <f>AVERAGE('20.08 MATUGA-KAPEKA'!L22,'21.08 MATUGA-KAPEKA'!L22,'22.08 MATUGA-KAPEKA'!L22,'23.08 MATUGA-KAPEKA'!L22,'24.08 MATUGA-KAPEKA-24h'!L22,'25.08 MATUGA-KAPEKA-24h'!L22,'26.08 MATUGA-KAPEEKA'!L22)</f>
        <v>0</v>
      </c>
      <c r="M22" s="49">
        <f>AVERAGE('20.08 MATUGA-KAPEKA'!M22,'21.08 MATUGA-KAPEKA'!M22,'22.08 MATUGA-KAPEKA'!M22,'23.08 MATUGA-KAPEKA'!M22,'24.08 MATUGA-KAPEKA-24h'!M22,'25.08 MATUGA-KAPEKA-24h'!M22,'26.08 MATUGA-KAPEEKA'!M22)</f>
        <v>18.857142857142858</v>
      </c>
      <c r="N22" s="49">
        <f>AVERAGE('20.08 MATUGA-KAPEKA'!N22,'21.08 MATUGA-KAPEKA'!N22,'22.08 MATUGA-KAPEKA'!N22,'23.08 MATUGA-KAPEKA'!N22,'24.08 MATUGA-KAPEKA-24h'!N22,'25.08 MATUGA-KAPEKA-24h'!N22,'26.08 MATUGA-KAPEEKA'!N22)</f>
        <v>0</v>
      </c>
      <c r="O22" s="15">
        <f t="shared" si="0"/>
        <v>6.7142857142857153</v>
      </c>
      <c r="P22" s="15">
        <f t="shared" si="1"/>
        <v>25.571428571428573</v>
      </c>
      <c r="R22" s="1" t="s">
        <v>146</v>
      </c>
      <c r="S22" s="34">
        <f>SUM(C58:C61)</f>
        <v>4</v>
      </c>
      <c r="T22" s="34">
        <f t="shared" ref="T22:AF22" si="14">SUM(D58:D61)</f>
        <v>3.2</v>
      </c>
      <c r="U22" s="34">
        <f t="shared" si="14"/>
        <v>4.8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59</v>
      </c>
      <c r="AD22" s="34">
        <f t="shared" si="14"/>
        <v>0</v>
      </c>
      <c r="AE22" s="31">
        <f t="shared" si="14"/>
        <v>30</v>
      </c>
      <c r="AF22" s="31">
        <f t="shared" si="14"/>
        <v>89</v>
      </c>
    </row>
    <row r="23" spans="2:32" ht="23.1" customHeight="1" x14ac:dyDescent="0.25">
      <c r="B23" s="23" t="s">
        <v>50</v>
      </c>
      <c r="C23" s="49">
        <f>AVERAGE('20.08 MATUGA-KAPEKA'!C23,'21.08 MATUGA-KAPEKA'!C23,'22.08 MATUGA-KAPEKA'!C23,'23.08 MATUGA-KAPEKA'!C23,'24.08 MATUGA-KAPEKA-24h'!C23,'25.08 MATUGA-KAPEKA-24h'!C23,'26.08 MATUGA-KAPEEKA'!C23)</f>
        <v>1.5714285714285714</v>
      </c>
      <c r="D23" s="49">
        <f>0.4*(AVERAGE('20.08 MATUGA-KAPEKA'!E23,'21.08 MATUGA-KAPEKA'!E23,'22.08 MATUGA-KAPEKA'!E23,'23.08 MATUGA-KAPEKA'!E23,'24.08 MATUGA-KAPEKA-24h'!E23,'25.08 MATUGA-KAPEKA-24h'!E23,'26.08 MATUGA-KAPEEKA'!E23))</f>
        <v>0.74285714285714288</v>
      </c>
      <c r="E23" s="49">
        <f>0.6*(AVERAGE('20.08 MATUGA-KAPEKA'!E23,'21.08 MATUGA-KAPEKA'!E23,'22.08 MATUGA-KAPEKA'!E23,'23.08 MATUGA-KAPEKA'!E23,'24.08 MATUGA-KAPEKA-24h'!E23,'25.08 MATUGA-KAPEKA-24h'!E23,'26.08 MATUGA-KAPEEKA'!E23))</f>
        <v>1.1142857142857143</v>
      </c>
      <c r="F23" s="49">
        <f>AVERAGE('20.08 MATUGA-KAPEKA'!F23,'21.08 MATUGA-KAPEKA'!F23,'22.08 MATUGA-KAPEKA'!F23,'23.08 MATUGA-KAPEKA'!F23,'24.08 MATUGA-KAPEKA-24h'!F23,'25.08 MATUGA-KAPEKA-24h'!F23,'26.08 MATUGA-KAPEEKA'!F23)</f>
        <v>1.7142857142857142</v>
      </c>
      <c r="G23" s="49">
        <f>AVERAGE('20.08 MATUGA-KAPEKA'!G23,'21.08 MATUGA-KAPEKA'!G23,'22.08 MATUGA-KAPEKA'!G23,'23.08 MATUGA-KAPEKA'!G23,'24.08 MATUGA-KAPEKA-24h'!G23,'25.08 MATUGA-KAPEKA-24h'!G23,'26.08 MATUGA-KAPEEKA'!G23)</f>
        <v>0</v>
      </c>
      <c r="H23" s="49">
        <f>AVERAGE('20.08 MATUGA-KAPEKA'!H23,'21.08 MATUGA-KAPEKA'!H23,'22.08 MATUGA-KAPEKA'!H23,'23.08 MATUGA-KAPEKA'!H23,'24.08 MATUGA-KAPEKA-24h'!H23,'25.08 MATUGA-KAPEKA-24h'!H23,'26.08 MATUGA-KAPEEKA'!H23)</f>
        <v>0</v>
      </c>
      <c r="I23" s="49">
        <f>AVERAGE('20.08 MATUGA-KAPEKA'!I23,'21.08 MATUGA-KAPEKA'!I23,'22.08 MATUGA-KAPEKA'!I23,'23.08 MATUGA-KAPEKA'!I23,'24.08 MATUGA-KAPEKA-24h'!I23,'25.08 MATUGA-KAPEKA-24h'!I23,'26.08 MATUGA-KAPEEKA'!I23)</f>
        <v>2.2857142857142856</v>
      </c>
      <c r="J23" s="49">
        <f>AVERAGE('20.08 MATUGA-KAPEKA'!J23,'21.08 MATUGA-KAPEKA'!J23,'22.08 MATUGA-KAPEKA'!J23,'23.08 MATUGA-KAPEKA'!J23,'24.08 MATUGA-KAPEKA-24h'!J23,'25.08 MATUGA-KAPEKA-24h'!J23,'26.08 MATUGA-KAPEEKA'!J23)</f>
        <v>0.2857142857142857</v>
      </c>
      <c r="K23" s="49">
        <f>AVERAGE('20.08 MATUGA-KAPEKA'!K23,'21.08 MATUGA-KAPEKA'!K23,'22.08 MATUGA-KAPEKA'!K23,'23.08 MATUGA-KAPEKA'!K23,'24.08 MATUGA-KAPEKA-24h'!K23,'25.08 MATUGA-KAPEKA-24h'!K23,'26.08 MATUGA-KAPEEKA'!K23)</f>
        <v>0.7142857142857143</v>
      </c>
      <c r="L23" s="49">
        <f>AVERAGE('20.08 MATUGA-KAPEKA'!L23,'21.08 MATUGA-KAPEKA'!L23,'22.08 MATUGA-KAPEKA'!L23,'23.08 MATUGA-KAPEKA'!L23,'24.08 MATUGA-KAPEKA-24h'!L23,'25.08 MATUGA-KAPEKA-24h'!L23,'26.08 MATUGA-KAPEEKA'!L23)</f>
        <v>0</v>
      </c>
      <c r="M23" s="49">
        <f>AVERAGE('20.08 MATUGA-KAPEKA'!M23,'21.08 MATUGA-KAPEKA'!M23,'22.08 MATUGA-KAPEKA'!M23,'23.08 MATUGA-KAPEKA'!M23,'24.08 MATUGA-KAPEKA-24h'!M23,'25.08 MATUGA-KAPEKA-24h'!M23,'26.08 MATUGA-KAPEEKA'!M23)</f>
        <v>19.142857142857142</v>
      </c>
      <c r="N23" s="49">
        <f>AVERAGE('20.08 MATUGA-KAPEKA'!N23,'21.08 MATUGA-KAPEKA'!N23,'22.08 MATUGA-KAPEKA'!N23,'23.08 MATUGA-KAPEKA'!N23,'24.08 MATUGA-KAPEKA-24h'!N23,'25.08 MATUGA-KAPEKA-24h'!N23,'26.08 MATUGA-KAPEEKA'!N23)</f>
        <v>0.14285714285714285</v>
      </c>
      <c r="O23" s="15">
        <f t="shared" si="0"/>
        <v>8.5714285714285694</v>
      </c>
      <c r="P23" s="15">
        <f t="shared" si="1"/>
        <v>27.714285714285712</v>
      </c>
      <c r="R23" s="1" t="s">
        <v>147</v>
      </c>
      <c r="S23" s="34">
        <f>SUM(C62:C65)</f>
        <v>10</v>
      </c>
      <c r="T23" s="34">
        <f t="shared" ref="T23:AF23" si="15">SUM(D62:D65)</f>
        <v>3.6</v>
      </c>
      <c r="U23" s="34">
        <f t="shared" si="15"/>
        <v>5.4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37</v>
      </c>
      <c r="AF23" s="31">
        <f t="shared" si="15"/>
        <v>76</v>
      </c>
    </row>
    <row r="24" spans="2:32" ht="23.1" customHeight="1" x14ac:dyDescent="0.25">
      <c r="B24" s="23" t="s">
        <v>51</v>
      </c>
      <c r="C24" s="49">
        <f>AVERAGE('20.08 MATUGA-KAPEKA'!C24,'21.08 MATUGA-KAPEKA'!C24,'22.08 MATUGA-KAPEKA'!C24,'23.08 MATUGA-KAPEKA'!C24,'24.08 MATUGA-KAPEKA-24h'!C24,'25.08 MATUGA-KAPEKA-24h'!C24,'26.08 MATUGA-KAPEEKA'!C24)</f>
        <v>0.8571428571428571</v>
      </c>
      <c r="D24" s="49">
        <f>0.4*(AVERAGE('20.08 MATUGA-KAPEKA'!E24,'21.08 MATUGA-KAPEKA'!E24,'22.08 MATUGA-KAPEKA'!E24,'23.08 MATUGA-KAPEKA'!E24,'24.08 MATUGA-KAPEKA-24h'!E24,'25.08 MATUGA-KAPEKA-24h'!E24,'26.08 MATUGA-KAPEEKA'!E24))</f>
        <v>0.74285714285714288</v>
      </c>
      <c r="E24" s="49">
        <f>0.6*(AVERAGE('20.08 MATUGA-KAPEKA'!E24,'21.08 MATUGA-KAPEKA'!E24,'22.08 MATUGA-KAPEKA'!E24,'23.08 MATUGA-KAPEKA'!E24,'24.08 MATUGA-KAPEKA-24h'!E24,'25.08 MATUGA-KAPEKA-24h'!E24,'26.08 MATUGA-KAPEEKA'!E24))</f>
        <v>1.1142857142857143</v>
      </c>
      <c r="F24" s="49">
        <f>AVERAGE('20.08 MATUGA-KAPEKA'!F24,'21.08 MATUGA-KAPEKA'!F24,'22.08 MATUGA-KAPEKA'!F24,'23.08 MATUGA-KAPEKA'!F24,'24.08 MATUGA-KAPEKA-24h'!F24,'25.08 MATUGA-KAPEKA-24h'!F24,'26.08 MATUGA-KAPEEKA'!F24)</f>
        <v>0.7142857142857143</v>
      </c>
      <c r="G24" s="49">
        <f>AVERAGE('20.08 MATUGA-KAPEKA'!G24,'21.08 MATUGA-KAPEKA'!G24,'22.08 MATUGA-KAPEKA'!G24,'23.08 MATUGA-KAPEKA'!G24,'24.08 MATUGA-KAPEKA-24h'!G24,'25.08 MATUGA-KAPEKA-24h'!G24,'26.08 MATUGA-KAPEEKA'!G24)</f>
        <v>0.14285714285714285</v>
      </c>
      <c r="H24" s="49">
        <f>AVERAGE('20.08 MATUGA-KAPEKA'!H24,'21.08 MATUGA-KAPEKA'!H24,'22.08 MATUGA-KAPEKA'!H24,'23.08 MATUGA-KAPEKA'!H24,'24.08 MATUGA-KAPEKA-24h'!H24,'25.08 MATUGA-KAPEKA-24h'!H24,'26.08 MATUGA-KAPEEKA'!H24)</f>
        <v>0</v>
      </c>
      <c r="I24" s="49">
        <f>AVERAGE('20.08 MATUGA-KAPEKA'!I24,'21.08 MATUGA-KAPEKA'!I24,'22.08 MATUGA-KAPEKA'!I24,'23.08 MATUGA-KAPEKA'!I24,'24.08 MATUGA-KAPEKA-24h'!I24,'25.08 MATUGA-KAPEKA-24h'!I24,'26.08 MATUGA-KAPEEKA'!I24)</f>
        <v>2.1428571428571428</v>
      </c>
      <c r="J24" s="49">
        <f>AVERAGE('20.08 MATUGA-KAPEKA'!J24,'21.08 MATUGA-KAPEKA'!J24,'22.08 MATUGA-KAPEKA'!J24,'23.08 MATUGA-KAPEKA'!J24,'24.08 MATUGA-KAPEKA-24h'!J24,'25.08 MATUGA-KAPEKA-24h'!J24,'26.08 MATUGA-KAPEEKA'!J24)</f>
        <v>0</v>
      </c>
      <c r="K24" s="49">
        <f>AVERAGE('20.08 MATUGA-KAPEKA'!K24,'21.08 MATUGA-KAPEKA'!K24,'22.08 MATUGA-KAPEKA'!K24,'23.08 MATUGA-KAPEKA'!K24,'24.08 MATUGA-KAPEKA-24h'!K24,'25.08 MATUGA-KAPEKA-24h'!K24,'26.08 MATUGA-KAPEEKA'!K24)</f>
        <v>0.8571428571428571</v>
      </c>
      <c r="L24" s="49">
        <f>AVERAGE('20.08 MATUGA-KAPEKA'!L24,'21.08 MATUGA-KAPEKA'!L24,'22.08 MATUGA-KAPEKA'!L24,'23.08 MATUGA-KAPEKA'!L24,'24.08 MATUGA-KAPEKA-24h'!L24,'25.08 MATUGA-KAPEKA-24h'!L24,'26.08 MATUGA-KAPEEKA'!L24)</f>
        <v>0</v>
      </c>
      <c r="M24" s="49">
        <f>AVERAGE('20.08 MATUGA-KAPEKA'!M24,'21.08 MATUGA-KAPEKA'!M24,'22.08 MATUGA-KAPEKA'!M24,'23.08 MATUGA-KAPEKA'!M24,'24.08 MATUGA-KAPEKA-24h'!M24,'25.08 MATUGA-KAPEKA-24h'!M24,'26.08 MATUGA-KAPEEKA'!M24)</f>
        <v>21.142857142857142</v>
      </c>
      <c r="N24" s="49">
        <f>AVERAGE('20.08 MATUGA-KAPEKA'!N24,'21.08 MATUGA-KAPEKA'!N24,'22.08 MATUGA-KAPEKA'!N24,'23.08 MATUGA-KAPEKA'!N24,'24.08 MATUGA-KAPEKA-24h'!N24,'25.08 MATUGA-KAPEKA-24h'!N24,'26.08 MATUGA-KAPEEKA'!N24)</f>
        <v>0</v>
      </c>
      <c r="O24" s="15">
        <f t="shared" si="0"/>
        <v>6.5714285714285712</v>
      </c>
      <c r="P24" s="15">
        <f t="shared" si="1"/>
        <v>27.714285714285715</v>
      </c>
      <c r="R24" s="1" t="s">
        <v>148</v>
      </c>
      <c r="S24" s="34">
        <f>SUM(C66:C69)</f>
        <v>11</v>
      </c>
      <c r="T24" s="34">
        <f t="shared" ref="T24:AF24" si="16">SUM(D66:D69)</f>
        <v>3.2</v>
      </c>
      <c r="U24" s="34">
        <f t="shared" si="16"/>
        <v>4.8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1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33</v>
      </c>
      <c r="AF24" s="31">
        <f t="shared" si="16"/>
        <v>54</v>
      </c>
    </row>
    <row r="25" spans="2:32" ht="23.1" customHeight="1" x14ac:dyDescent="0.25">
      <c r="B25" s="23" t="s">
        <v>52</v>
      </c>
      <c r="C25" s="49">
        <f>AVERAGE('20.08 MATUGA-KAPEKA'!C25,'21.08 MATUGA-KAPEKA'!C25,'22.08 MATUGA-KAPEKA'!C25,'23.08 MATUGA-KAPEKA'!C25,'24.08 MATUGA-KAPEKA-24h'!C25,'25.08 MATUGA-KAPEKA-24h'!C25,'26.08 MATUGA-KAPEEKA'!C25)</f>
        <v>1.1428571428571428</v>
      </c>
      <c r="D25" s="49">
        <f>0.4*(AVERAGE('20.08 MATUGA-KAPEKA'!E25,'21.08 MATUGA-KAPEKA'!E25,'22.08 MATUGA-KAPEKA'!E25,'23.08 MATUGA-KAPEKA'!E25,'24.08 MATUGA-KAPEKA-24h'!E25,'25.08 MATUGA-KAPEKA-24h'!E25,'26.08 MATUGA-KAPEEKA'!E25))</f>
        <v>0.85714285714285721</v>
      </c>
      <c r="E25" s="49">
        <f>0.6*(AVERAGE('20.08 MATUGA-KAPEKA'!E25,'21.08 MATUGA-KAPEKA'!E25,'22.08 MATUGA-KAPEKA'!E25,'23.08 MATUGA-KAPEKA'!E25,'24.08 MATUGA-KAPEKA-24h'!E25,'25.08 MATUGA-KAPEKA-24h'!E25,'26.08 MATUGA-KAPEEKA'!E25))</f>
        <v>1.2857142857142856</v>
      </c>
      <c r="F25" s="49">
        <f>AVERAGE('20.08 MATUGA-KAPEKA'!F25,'21.08 MATUGA-KAPEKA'!F25,'22.08 MATUGA-KAPEKA'!F25,'23.08 MATUGA-KAPEKA'!F25,'24.08 MATUGA-KAPEKA-24h'!F25,'25.08 MATUGA-KAPEKA-24h'!F25,'26.08 MATUGA-KAPEEKA'!F25)</f>
        <v>1.2857142857142858</v>
      </c>
      <c r="G25" s="49">
        <f>AVERAGE('20.08 MATUGA-KAPEKA'!G25,'21.08 MATUGA-KAPEKA'!G25,'22.08 MATUGA-KAPEKA'!G25,'23.08 MATUGA-KAPEKA'!G25,'24.08 MATUGA-KAPEKA-24h'!G25,'25.08 MATUGA-KAPEKA-24h'!G25,'26.08 MATUGA-KAPEEKA'!G25)</f>
        <v>0</v>
      </c>
      <c r="H25" s="49">
        <f>AVERAGE('20.08 MATUGA-KAPEKA'!H25,'21.08 MATUGA-KAPEKA'!H25,'22.08 MATUGA-KAPEKA'!H25,'23.08 MATUGA-KAPEKA'!H25,'24.08 MATUGA-KAPEKA-24h'!H25,'25.08 MATUGA-KAPEKA-24h'!H25,'26.08 MATUGA-KAPEEKA'!H25)</f>
        <v>0</v>
      </c>
      <c r="I25" s="49">
        <f>AVERAGE('20.08 MATUGA-KAPEKA'!I25,'21.08 MATUGA-KAPEKA'!I25,'22.08 MATUGA-KAPEKA'!I25,'23.08 MATUGA-KAPEKA'!I25,'24.08 MATUGA-KAPEKA-24h'!I25,'25.08 MATUGA-KAPEKA-24h'!I25,'26.08 MATUGA-KAPEEKA'!I25)</f>
        <v>1.4285714285714286</v>
      </c>
      <c r="J25" s="49">
        <f>AVERAGE('20.08 MATUGA-KAPEKA'!J25,'21.08 MATUGA-KAPEKA'!J25,'22.08 MATUGA-KAPEKA'!J25,'23.08 MATUGA-KAPEKA'!J25,'24.08 MATUGA-KAPEKA-24h'!J25,'25.08 MATUGA-KAPEKA-24h'!J25,'26.08 MATUGA-KAPEEKA'!J25)</f>
        <v>0.2857142857142857</v>
      </c>
      <c r="K25" s="49">
        <f>AVERAGE('20.08 MATUGA-KAPEKA'!K25,'21.08 MATUGA-KAPEKA'!K25,'22.08 MATUGA-KAPEKA'!K25,'23.08 MATUGA-KAPEKA'!K25,'24.08 MATUGA-KAPEKA-24h'!K25,'25.08 MATUGA-KAPEKA-24h'!K25,'26.08 MATUGA-KAPEEKA'!K25)</f>
        <v>0.7142857142857143</v>
      </c>
      <c r="L25" s="49">
        <f>AVERAGE('20.08 MATUGA-KAPEKA'!L25,'21.08 MATUGA-KAPEKA'!L25,'22.08 MATUGA-KAPEKA'!L25,'23.08 MATUGA-KAPEKA'!L25,'24.08 MATUGA-KAPEKA-24h'!L25,'25.08 MATUGA-KAPEKA-24h'!L25,'26.08 MATUGA-KAPEEKA'!L25)</f>
        <v>0</v>
      </c>
      <c r="M25" s="49">
        <f>AVERAGE('20.08 MATUGA-KAPEKA'!M25,'21.08 MATUGA-KAPEKA'!M25,'22.08 MATUGA-KAPEKA'!M25,'23.08 MATUGA-KAPEKA'!M25,'24.08 MATUGA-KAPEKA-24h'!M25,'25.08 MATUGA-KAPEKA-24h'!M25,'26.08 MATUGA-KAPEEKA'!M25)</f>
        <v>18.571428571428573</v>
      </c>
      <c r="N25" s="49">
        <f>AVERAGE('20.08 MATUGA-KAPEKA'!N25,'21.08 MATUGA-KAPEKA'!N25,'22.08 MATUGA-KAPEKA'!N25,'23.08 MATUGA-KAPEKA'!N25,'24.08 MATUGA-KAPEKA-24h'!N25,'25.08 MATUGA-KAPEKA-24h'!N25,'26.08 MATUGA-KAPEEKA'!N25)</f>
        <v>0</v>
      </c>
      <c r="O25" s="15">
        <f t="shared" si="0"/>
        <v>7</v>
      </c>
      <c r="P25" s="15">
        <f t="shared" si="1"/>
        <v>25.571428571428573</v>
      </c>
      <c r="R25" s="1" t="s">
        <v>149</v>
      </c>
      <c r="S25" s="34">
        <f>SUM(C70:C73)</f>
        <v>3</v>
      </c>
      <c r="T25" s="34">
        <f t="shared" ref="T25:AF25" si="17">SUM(D70:D73)</f>
        <v>1.6</v>
      </c>
      <c r="U25" s="34">
        <f t="shared" si="17"/>
        <v>2.4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21</v>
      </c>
      <c r="AF25" s="31">
        <f t="shared" si="17"/>
        <v>34</v>
      </c>
    </row>
    <row r="26" spans="2:32" ht="23.1" customHeight="1" x14ac:dyDescent="0.25">
      <c r="B26" s="23" t="s">
        <v>53</v>
      </c>
      <c r="C26" s="49">
        <f>AVERAGE('20.08 MATUGA-KAPEKA'!C26,'21.08 MATUGA-KAPEKA'!C26,'22.08 MATUGA-KAPEKA'!C26,'23.08 MATUGA-KAPEKA'!C26,'24.08 MATUGA-KAPEKA-24h'!C26,'25.08 MATUGA-KAPEKA-24h'!C26,'26.08 MATUGA-KAPEEKA'!C26)</f>
        <v>1.2857142857142858</v>
      </c>
      <c r="D26" s="49">
        <f>0.4*(AVERAGE('20.08 MATUGA-KAPEKA'!E26,'21.08 MATUGA-KAPEKA'!E26,'22.08 MATUGA-KAPEKA'!E26,'23.08 MATUGA-KAPEKA'!E26,'24.08 MATUGA-KAPEKA-24h'!E26,'25.08 MATUGA-KAPEKA-24h'!E26,'26.08 MATUGA-KAPEEKA'!E26))</f>
        <v>0.68571428571428572</v>
      </c>
      <c r="E26" s="49">
        <f>0.6*(AVERAGE('20.08 MATUGA-KAPEKA'!E26,'21.08 MATUGA-KAPEKA'!E26,'22.08 MATUGA-KAPEKA'!E26,'23.08 MATUGA-KAPEKA'!E26,'24.08 MATUGA-KAPEKA-24h'!E26,'25.08 MATUGA-KAPEKA-24h'!E26,'26.08 MATUGA-KAPEEKA'!E26))</f>
        <v>1.0285714285714285</v>
      </c>
      <c r="F26" s="49">
        <f>AVERAGE('20.08 MATUGA-KAPEKA'!F26,'21.08 MATUGA-KAPEKA'!F26,'22.08 MATUGA-KAPEKA'!F26,'23.08 MATUGA-KAPEKA'!F26,'24.08 MATUGA-KAPEKA-24h'!F26,'25.08 MATUGA-KAPEKA-24h'!F26,'26.08 MATUGA-KAPEEKA'!F26)</f>
        <v>0.5714285714285714</v>
      </c>
      <c r="G26" s="49">
        <f>AVERAGE('20.08 MATUGA-KAPEKA'!G26,'21.08 MATUGA-KAPEKA'!G26,'22.08 MATUGA-KAPEKA'!G26,'23.08 MATUGA-KAPEKA'!G26,'24.08 MATUGA-KAPEKA-24h'!G26,'25.08 MATUGA-KAPEKA-24h'!G26,'26.08 MATUGA-KAPEEKA'!G26)</f>
        <v>0</v>
      </c>
      <c r="H26" s="49">
        <f>AVERAGE('20.08 MATUGA-KAPEKA'!H26,'21.08 MATUGA-KAPEKA'!H26,'22.08 MATUGA-KAPEKA'!H26,'23.08 MATUGA-KAPEKA'!H26,'24.08 MATUGA-KAPEKA-24h'!H26,'25.08 MATUGA-KAPEKA-24h'!H26,'26.08 MATUGA-KAPEEKA'!H26)</f>
        <v>0</v>
      </c>
      <c r="I26" s="49">
        <f>AVERAGE('20.08 MATUGA-KAPEKA'!I26,'21.08 MATUGA-KAPEKA'!I26,'22.08 MATUGA-KAPEKA'!I26,'23.08 MATUGA-KAPEKA'!I26,'24.08 MATUGA-KAPEKA-24h'!I26,'25.08 MATUGA-KAPEKA-24h'!I26,'26.08 MATUGA-KAPEEKA'!I26)</f>
        <v>2</v>
      </c>
      <c r="J26" s="49">
        <f>AVERAGE('20.08 MATUGA-KAPEKA'!J26,'21.08 MATUGA-KAPEKA'!J26,'22.08 MATUGA-KAPEKA'!J26,'23.08 MATUGA-KAPEKA'!J26,'24.08 MATUGA-KAPEKA-24h'!J26,'25.08 MATUGA-KAPEKA-24h'!J26,'26.08 MATUGA-KAPEEKA'!J26)</f>
        <v>0.42857142857142855</v>
      </c>
      <c r="K26" s="49">
        <f>AVERAGE('20.08 MATUGA-KAPEKA'!K26,'21.08 MATUGA-KAPEKA'!K26,'22.08 MATUGA-KAPEKA'!K26,'23.08 MATUGA-KAPEKA'!K26,'24.08 MATUGA-KAPEKA-24h'!K26,'25.08 MATUGA-KAPEKA-24h'!K26,'26.08 MATUGA-KAPEEKA'!K26)</f>
        <v>0.5714285714285714</v>
      </c>
      <c r="L26" s="49">
        <f>AVERAGE('20.08 MATUGA-KAPEKA'!L26,'21.08 MATUGA-KAPEKA'!L26,'22.08 MATUGA-KAPEKA'!L26,'23.08 MATUGA-KAPEKA'!L26,'24.08 MATUGA-KAPEKA-24h'!L26,'25.08 MATUGA-KAPEKA-24h'!L26,'26.08 MATUGA-KAPEEKA'!L26)</f>
        <v>0</v>
      </c>
      <c r="M26" s="49">
        <f>AVERAGE('20.08 MATUGA-KAPEKA'!M26,'21.08 MATUGA-KAPEKA'!M26,'22.08 MATUGA-KAPEKA'!M26,'23.08 MATUGA-KAPEKA'!M26,'24.08 MATUGA-KAPEKA-24h'!M26,'25.08 MATUGA-KAPEKA-24h'!M26,'26.08 MATUGA-KAPEEKA'!M26)</f>
        <v>20.142857142857142</v>
      </c>
      <c r="N26" s="49">
        <f>AVERAGE('20.08 MATUGA-KAPEKA'!N26,'21.08 MATUGA-KAPEKA'!N26,'22.08 MATUGA-KAPEKA'!N26,'23.08 MATUGA-KAPEKA'!N26,'24.08 MATUGA-KAPEKA-24h'!N26,'25.08 MATUGA-KAPEKA-24h'!N26,'26.08 MATUGA-KAPEEKA'!N26)</f>
        <v>0</v>
      </c>
      <c r="O26" s="15">
        <f t="shared" si="0"/>
        <v>6.5714285714285712</v>
      </c>
      <c r="P26" s="15">
        <f t="shared" si="1"/>
        <v>26.714285714285715</v>
      </c>
      <c r="R26" s="1" t="s">
        <v>150</v>
      </c>
      <c r="S26" s="34">
        <f>SUM(C74:C77)</f>
        <v>6</v>
      </c>
      <c r="T26" s="34">
        <f t="shared" ref="T26:AF26" si="18">SUM(D74:D77)</f>
        <v>2</v>
      </c>
      <c r="U26" s="34">
        <f t="shared" si="18"/>
        <v>3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3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23</v>
      </c>
      <c r="AF26" s="31">
        <f t="shared" si="18"/>
        <v>25</v>
      </c>
    </row>
    <row r="27" spans="2:32" ht="23.1" customHeight="1" x14ac:dyDescent="0.25">
      <c r="B27" s="23" t="s">
        <v>54</v>
      </c>
      <c r="C27" s="49">
        <f>AVERAGE('20.08 MATUGA-KAPEKA'!C27,'21.08 MATUGA-KAPEKA'!C27,'22.08 MATUGA-KAPEKA'!C27,'23.08 MATUGA-KAPEKA'!C27,'24.08 MATUGA-KAPEKA-24h'!C27,'25.08 MATUGA-KAPEKA-24h'!C27,'26.08 MATUGA-KAPEEKA'!C27)</f>
        <v>1</v>
      </c>
      <c r="D27" s="49">
        <f>0.4*(AVERAGE('20.08 MATUGA-KAPEKA'!E27,'21.08 MATUGA-KAPEKA'!E27,'22.08 MATUGA-KAPEKA'!E27,'23.08 MATUGA-KAPEKA'!E27,'24.08 MATUGA-KAPEKA-24h'!E27,'25.08 MATUGA-KAPEKA-24h'!E27,'26.08 MATUGA-KAPEEKA'!E27))</f>
        <v>0.62857142857142856</v>
      </c>
      <c r="E27" s="49">
        <f>0.6*(AVERAGE('20.08 MATUGA-KAPEKA'!E27,'21.08 MATUGA-KAPEKA'!E27,'22.08 MATUGA-KAPEKA'!E27,'23.08 MATUGA-KAPEKA'!E27,'24.08 MATUGA-KAPEKA-24h'!E27,'25.08 MATUGA-KAPEKA-24h'!E27,'26.08 MATUGA-KAPEEKA'!E27))</f>
        <v>0.94285714285714284</v>
      </c>
      <c r="F27" s="49">
        <f>AVERAGE('20.08 MATUGA-KAPEKA'!F27,'21.08 MATUGA-KAPEKA'!F27,'22.08 MATUGA-KAPEKA'!F27,'23.08 MATUGA-KAPEKA'!F27,'24.08 MATUGA-KAPEKA-24h'!F27,'25.08 MATUGA-KAPEKA-24h'!F27,'26.08 MATUGA-KAPEEKA'!F27)</f>
        <v>1.1428571428571428</v>
      </c>
      <c r="G27" s="49">
        <f>AVERAGE('20.08 MATUGA-KAPEKA'!G27,'21.08 MATUGA-KAPEKA'!G27,'22.08 MATUGA-KAPEKA'!G27,'23.08 MATUGA-KAPEKA'!G27,'24.08 MATUGA-KAPEKA-24h'!G27,'25.08 MATUGA-KAPEKA-24h'!G27,'26.08 MATUGA-KAPEEKA'!G27)</f>
        <v>0</v>
      </c>
      <c r="H27" s="49">
        <f>AVERAGE('20.08 MATUGA-KAPEKA'!H27,'21.08 MATUGA-KAPEKA'!H27,'22.08 MATUGA-KAPEKA'!H27,'23.08 MATUGA-KAPEKA'!H27,'24.08 MATUGA-KAPEKA-24h'!H27,'25.08 MATUGA-KAPEKA-24h'!H27,'26.08 MATUGA-KAPEEKA'!H27)</f>
        <v>0</v>
      </c>
      <c r="I27" s="49">
        <f>AVERAGE('20.08 MATUGA-KAPEKA'!I27,'21.08 MATUGA-KAPEKA'!I27,'22.08 MATUGA-KAPEKA'!I27,'23.08 MATUGA-KAPEKA'!I27,'24.08 MATUGA-KAPEKA-24h'!I27,'25.08 MATUGA-KAPEKA-24h'!I27,'26.08 MATUGA-KAPEEKA'!I27)</f>
        <v>2.2857142857142856</v>
      </c>
      <c r="J27" s="49">
        <f>AVERAGE('20.08 MATUGA-KAPEKA'!J27,'21.08 MATUGA-KAPEKA'!J27,'22.08 MATUGA-KAPEKA'!J27,'23.08 MATUGA-KAPEKA'!J27,'24.08 MATUGA-KAPEKA-24h'!J27,'25.08 MATUGA-KAPEKA-24h'!J27,'26.08 MATUGA-KAPEEKA'!J27)</f>
        <v>0.7142857142857143</v>
      </c>
      <c r="K27" s="49">
        <f>AVERAGE('20.08 MATUGA-KAPEKA'!K27,'21.08 MATUGA-KAPEKA'!K27,'22.08 MATUGA-KAPEKA'!K27,'23.08 MATUGA-KAPEKA'!K27,'24.08 MATUGA-KAPEKA-24h'!K27,'25.08 MATUGA-KAPEKA-24h'!K27,'26.08 MATUGA-KAPEEKA'!K27)</f>
        <v>1</v>
      </c>
      <c r="L27" s="49">
        <f>AVERAGE('20.08 MATUGA-KAPEKA'!L27,'21.08 MATUGA-KAPEKA'!L27,'22.08 MATUGA-KAPEKA'!L27,'23.08 MATUGA-KAPEKA'!L27,'24.08 MATUGA-KAPEKA-24h'!L27,'25.08 MATUGA-KAPEKA-24h'!L27,'26.08 MATUGA-KAPEEKA'!L27)</f>
        <v>0</v>
      </c>
      <c r="M27" s="49">
        <f>AVERAGE('20.08 MATUGA-KAPEKA'!M27,'21.08 MATUGA-KAPEKA'!M27,'22.08 MATUGA-KAPEKA'!M27,'23.08 MATUGA-KAPEKA'!M27,'24.08 MATUGA-KAPEKA-24h'!M27,'25.08 MATUGA-KAPEKA-24h'!M27,'26.08 MATUGA-KAPEEKA'!M27)</f>
        <v>19.857142857142858</v>
      </c>
      <c r="N27" s="49">
        <f>AVERAGE('20.08 MATUGA-KAPEKA'!N27,'21.08 MATUGA-KAPEKA'!N27,'22.08 MATUGA-KAPEKA'!N27,'23.08 MATUGA-KAPEKA'!N27,'24.08 MATUGA-KAPEKA-24h'!N27,'25.08 MATUGA-KAPEKA-24h'!N27,'26.08 MATUGA-KAPEEKA'!N27)</f>
        <v>0</v>
      </c>
      <c r="O27" s="15">
        <f t="shared" si="0"/>
        <v>7.7142857142857144</v>
      </c>
      <c r="P27" s="15">
        <f t="shared" si="1"/>
        <v>27.571428571428573</v>
      </c>
      <c r="R27" s="1" t="s">
        <v>151</v>
      </c>
      <c r="S27" s="34">
        <f>SUM(C78:C81)</f>
        <v>7</v>
      </c>
      <c r="T27" s="34">
        <f t="shared" ref="T27:AF27" si="19">SUM(D78:D81)</f>
        <v>2</v>
      </c>
      <c r="U27" s="34">
        <f t="shared" si="19"/>
        <v>3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20</v>
      </c>
      <c r="AF27" s="31">
        <f t="shared" si="19"/>
        <v>21</v>
      </c>
    </row>
    <row r="28" spans="2:32" ht="23.1" customHeight="1" x14ac:dyDescent="0.25">
      <c r="B28" s="23" t="s">
        <v>55</v>
      </c>
      <c r="C28" s="49">
        <f>AVERAGE('20.08 MATUGA-KAPEKA'!C28,'21.08 MATUGA-KAPEKA'!C28,'22.08 MATUGA-KAPEKA'!C28,'23.08 MATUGA-KAPEKA'!C28,'24.08 MATUGA-KAPEKA-24h'!C28,'25.08 MATUGA-KAPEKA-24h'!C28,'26.08 MATUGA-KAPEEKA'!C28)</f>
        <v>1.1428571428571428</v>
      </c>
      <c r="D28" s="49">
        <f>0.4*(AVERAGE('20.08 MATUGA-KAPEKA'!E28,'21.08 MATUGA-KAPEKA'!E28,'22.08 MATUGA-KAPEKA'!E28,'23.08 MATUGA-KAPEKA'!E28,'24.08 MATUGA-KAPEKA-24h'!E28,'25.08 MATUGA-KAPEKA-24h'!E28,'26.08 MATUGA-KAPEEKA'!E28))</f>
        <v>0.91428571428571426</v>
      </c>
      <c r="E28" s="49">
        <f>0.6*(AVERAGE('20.08 MATUGA-KAPEKA'!E28,'21.08 MATUGA-KAPEKA'!E28,'22.08 MATUGA-KAPEKA'!E28,'23.08 MATUGA-KAPEKA'!E28,'24.08 MATUGA-KAPEKA-24h'!E28,'25.08 MATUGA-KAPEKA-24h'!E28,'26.08 MATUGA-KAPEEKA'!E28))</f>
        <v>1.3714285714285712</v>
      </c>
      <c r="F28" s="49">
        <f>AVERAGE('20.08 MATUGA-KAPEKA'!F28,'21.08 MATUGA-KAPEKA'!F28,'22.08 MATUGA-KAPEKA'!F28,'23.08 MATUGA-KAPEKA'!F28,'24.08 MATUGA-KAPEKA-24h'!F28,'25.08 MATUGA-KAPEKA-24h'!F28,'26.08 MATUGA-KAPEEKA'!F28)</f>
        <v>1.2857142857142858</v>
      </c>
      <c r="G28" s="49">
        <f>AVERAGE('20.08 MATUGA-KAPEKA'!G28,'21.08 MATUGA-KAPEKA'!G28,'22.08 MATUGA-KAPEKA'!G28,'23.08 MATUGA-KAPEKA'!G28,'24.08 MATUGA-KAPEKA-24h'!G28,'25.08 MATUGA-KAPEKA-24h'!G28,'26.08 MATUGA-KAPEEKA'!G28)</f>
        <v>0</v>
      </c>
      <c r="H28" s="49">
        <f>AVERAGE('20.08 MATUGA-KAPEKA'!H28,'21.08 MATUGA-KAPEKA'!H28,'22.08 MATUGA-KAPEKA'!H28,'23.08 MATUGA-KAPEKA'!H28,'24.08 MATUGA-KAPEKA-24h'!H28,'25.08 MATUGA-KAPEKA-24h'!H28,'26.08 MATUGA-KAPEEKA'!H28)</f>
        <v>0</v>
      </c>
      <c r="I28" s="49">
        <f>AVERAGE('20.08 MATUGA-KAPEKA'!I28,'21.08 MATUGA-KAPEKA'!I28,'22.08 MATUGA-KAPEKA'!I28,'23.08 MATUGA-KAPEKA'!I28,'24.08 MATUGA-KAPEKA-24h'!I28,'25.08 MATUGA-KAPEKA-24h'!I28,'26.08 MATUGA-KAPEEKA'!I28)</f>
        <v>1.8571428571428572</v>
      </c>
      <c r="J28" s="49">
        <f>AVERAGE('20.08 MATUGA-KAPEKA'!J28,'21.08 MATUGA-KAPEKA'!J28,'22.08 MATUGA-KAPEKA'!J28,'23.08 MATUGA-KAPEKA'!J28,'24.08 MATUGA-KAPEKA-24h'!J28,'25.08 MATUGA-KAPEKA-24h'!J28,'26.08 MATUGA-KAPEEKA'!J28)</f>
        <v>0.8571428571428571</v>
      </c>
      <c r="K28" s="49">
        <f>AVERAGE('20.08 MATUGA-KAPEKA'!K28,'21.08 MATUGA-KAPEKA'!K28,'22.08 MATUGA-KAPEKA'!K28,'23.08 MATUGA-KAPEKA'!K28,'24.08 MATUGA-KAPEKA-24h'!K28,'25.08 MATUGA-KAPEKA-24h'!K28,'26.08 MATUGA-KAPEEKA'!K28)</f>
        <v>0.5714285714285714</v>
      </c>
      <c r="L28" s="49">
        <f>AVERAGE('20.08 MATUGA-KAPEKA'!L28,'21.08 MATUGA-KAPEKA'!L28,'22.08 MATUGA-KAPEKA'!L28,'23.08 MATUGA-KAPEKA'!L28,'24.08 MATUGA-KAPEKA-24h'!L28,'25.08 MATUGA-KAPEKA-24h'!L28,'26.08 MATUGA-KAPEEKA'!L28)</f>
        <v>0</v>
      </c>
      <c r="M28" s="49">
        <f>AVERAGE('20.08 MATUGA-KAPEKA'!M28,'21.08 MATUGA-KAPEKA'!M28,'22.08 MATUGA-KAPEKA'!M28,'23.08 MATUGA-KAPEKA'!M28,'24.08 MATUGA-KAPEKA-24h'!M28,'25.08 MATUGA-KAPEKA-24h'!M28,'26.08 MATUGA-KAPEEKA'!M28)</f>
        <v>23</v>
      </c>
      <c r="N28" s="49">
        <f>AVERAGE('20.08 MATUGA-KAPEKA'!N28,'21.08 MATUGA-KAPEKA'!N28,'22.08 MATUGA-KAPEKA'!N28,'23.08 MATUGA-KAPEKA'!N28,'24.08 MATUGA-KAPEKA-24h'!N28,'25.08 MATUGA-KAPEKA-24h'!N28,'26.08 MATUGA-KAPEEKA'!N28)</f>
        <v>0</v>
      </c>
      <c r="O28" s="15">
        <f t="shared" si="0"/>
        <v>7.9999999999999991</v>
      </c>
      <c r="P28" s="15">
        <f t="shared" si="1"/>
        <v>31</v>
      </c>
      <c r="R28" s="1" t="s">
        <v>152</v>
      </c>
      <c r="S28" s="34">
        <f>SUM(C82:C85)</f>
        <v>3</v>
      </c>
      <c r="T28" s="34">
        <f t="shared" ref="T28:AF28" si="20">SUM(D82:D85)</f>
        <v>1.6</v>
      </c>
      <c r="U28" s="34">
        <f t="shared" si="20"/>
        <v>2.4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23" t="s">
        <v>56</v>
      </c>
      <c r="C29" s="49">
        <f>AVERAGE('20.08 MATUGA-KAPEKA'!C29,'21.08 MATUGA-KAPEKA'!C29,'22.08 MATUGA-KAPEKA'!C29,'23.08 MATUGA-KAPEKA'!C29,'24.08 MATUGA-KAPEKA-24h'!C29,'25.08 MATUGA-KAPEKA-24h'!C29,'26.08 MATUGA-KAPEEKA'!C29)</f>
        <v>1.2857142857142858</v>
      </c>
      <c r="D29" s="49">
        <f>0.4*(AVERAGE('20.08 MATUGA-KAPEKA'!E29,'21.08 MATUGA-KAPEKA'!E29,'22.08 MATUGA-KAPEKA'!E29,'23.08 MATUGA-KAPEKA'!E29,'24.08 MATUGA-KAPEKA-24h'!E29,'25.08 MATUGA-KAPEKA-24h'!E29,'26.08 MATUGA-KAPEEKA'!E29))</f>
        <v>0.8</v>
      </c>
      <c r="E29" s="49">
        <f>0.6*(AVERAGE('20.08 MATUGA-KAPEKA'!E29,'21.08 MATUGA-KAPEKA'!E29,'22.08 MATUGA-KAPEKA'!E29,'23.08 MATUGA-KAPEKA'!E29,'24.08 MATUGA-KAPEKA-24h'!E29,'25.08 MATUGA-KAPEKA-24h'!E29,'26.08 MATUGA-KAPEEKA'!E29))</f>
        <v>1.2</v>
      </c>
      <c r="F29" s="49">
        <f>AVERAGE('20.08 MATUGA-KAPEKA'!F29,'21.08 MATUGA-KAPEKA'!F29,'22.08 MATUGA-KAPEKA'!F29,'23.08 MATUGA-KAPEKA'!F29,'24.08 MATUGA-KAPEKA-24h'!F29,'25.08 MATUGA-KAPEKA-24h'!F29,'26.08 MATUGA-KAPEEKA'!F29)</f>
        <v>1.7142857142857142</v>
      </c>
      <c r="G29" s="49">
        <f>AVERAGE('20.08 MATUGA-KAPEKA'!G29,'21.08 MATUGA-KAPEKA'!G29,'22.08 MATUGA-KAPEKA'!G29,'23.08 MATUGA-KAPEKA'!G29,'24.08 MATUGA-KAPEKA-24h'!G29,'25.08 MATUGA-KAPEKA-24h'!G29,'26.08 MATUGA-KAPEEKA'!G29)</f>
        <v>0</v>
      </c>
      <c r="H29" s="49">
        <f>AVERAGE('20.08 MATUGA-KAPEKA'!H29,'21.08 MATUGA-KAPEKA'!H29,'22.08 MATUGA-KAPEKA'!H29,'23.08 MATUGA-KAPEKA'!H29,'24.08 MATUGA-KAPEKA-24h'!H29,'25.08 MATUGA-KAPEKA-24h'!H29,'26.08 MATUGA-KAPEEKA'!H29)</f>
        <v>0</v>
      </c>
      <c r="I29" s="49">
        <f>AVERAGE('20.08 MATUGA-KAPEKA'!I29,'21.08 MATUGA-KAPEKA'!I29,'22.08 MATUGA-KAPEKA'!I29,'23.08 MATUGA-KAPEKA'!I29,'24.08 MATUGA-KAPEKA-24h'!I29,'25.08 MATUGA-KAPEKA-24h'!I29,'26.08 MATUGA-KAPEEKA'!I29)</f>
        <v>2.1428571428571428</v>
      </c>
      <c r="J29" s="49">
        <f>AVERAGE('20.08 MATUGA-KAPEKA'!J29,'21.08 MATUGA-KAPEKA'!J29,'22.08 MATUGA-KAPEKA'!J29,'23.08 MATUGA-KAPEKA'!J29,'24.08 MATUGA-KAPEKA-24h'!J29,'25.08 MATUGA-KAPEKA-24h'!J29,'26.08 MATUGA-KAPEEKA'!J29)</f>
        <v>0.14285714285714285</v>
      </c>
      <c r="K29" s="49">
        <f>AVERAGE('20.08 MATUGA-KAPEKA'!K29,'21.08 MATUGA-KAPEKA'!K29,'22.08 MATUGA-KAPEKA'!K29,'23.08 MATUGA-KAPEKA'!K29,'24.08 MATUGA-KAPEKA-24h'!K29,'25.08 MATUGA-KAPEKA-24h'!K29,'26.08 MATUGA-KAPEEKA'!K29)</f>
        <v>0.7142857142857143</v>
      </c>
      <c r="L29" s="49">
        <f>AVERAGE('20.08 MATUGA-KAPEKA'!L29,'21.08 MATUGA-KAPEKA'!L29,'22.08 MATUGA-KAPEKA'!L29,'23.08 MATUGA-KAPEKA'!L29,'24.08 MATUGA-KAPEKA-24h'!L29,'25.08 MATUGA-KAPEKA-24h'!L29,'26.08 MATUGA-KAPEEKA'!L29)</f>
        <v>0</v>
      </c>
      <c r="M29" s="49">
        <f>AVERAGE('20.08 MATUGA-KAPEKA'!M29,'21.08 MATUGA-KAPEKA'!M29,'22.08 MATUGA-KAPEKA'!M29,'23.08 MATUGA-KAPEKA'!M29,'24.08 MATUGA-KAPEKA-24h'!M29,'25.08 MATUGA-KAPEKA-24h'!M29,'26.08 MATUGA-KAPEEKA'!M29)</f>
        <v>19.428571428571427</v>
      </c>
      <c r="N29" s="49">
        <f>AVERAGE('20.08 MATUGA-KAPEKA'!N29,'21.08 MATUGA-KAPEKA'!N29,'22.08 MATUGA-KAPEKA'!N29,'23.08 MATUGA-KAPEKA'!N29,'24.08 MATUGA-KAPEKA-24h'!N29,'25.08 MATUGA-KAPEKA-24h'!N29,'26.08 MATUGA-KAPEEKA'!N29)</f>
        <v>0</v>
      </c>
      <c r="O29" s="15">
        <f t="shared" si="0"/>
        <v>8</v>
      </c>
      <c r="P29" s="15">
        <f t="shared" si="1"/>
        <v>27.428571428571427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AVERAGE('20.08 MATUGA-KAPEKA'!C30,'21.08 MATUGA-KAPEKA'!C30,'22.08 MATUGA-KAPEKA'!C30,'23.08 MATUGA-KAPEKA'!C30,'24.08 MATUGA-KAPEKA-24h'!C30,'25.08 MATUGA-KAPEKA-24h'!C30,'26.08 MATUGA-KAPEEKA'!C30)</f>
        <v>1.5714285714285714</v>
      </c>
      <c r="D30" s="49">
        <f>0.4*(AVERAGE('20.08 MATUGA-KAPEKA'!E30,'21.08 MATUGA-KAPEKA'!E30,'22.08 MATUGA-KAPEKA'!E30,'23.08 MATUGA-KAPEKA'!E30,'24.08 MATUGA-KAPEKA-24h'!E30,'25.08 MATUGA-KAPEKA-24h'!E30,'26.08 MATUGA-KAPEEKA'!E30))</f>
        <v>0.97142857142857142</v>
      </c>
      <c r="E30" s="49">
        <f>0.6*(AVERAGE('20.08 MATUGA-KAPEKA'!E30,'21.08 MATUGA-KAPEKA'!E30,'22.08 MATUGA-KAPEKA'!E30,'23.08 MATUGA-KAPEKA'!E30,'24.08 MATUGA-KAPEKA-24h'!E30,'25.08 MATUGA-KAPEKA-24h'!E30,'26.08 MATUGA-KAPEEKA'!E30))</f>
        <v>1.4571428571428571</v>
      </c>
      <c r="F30" s="49">
        <f>AVERAGE('20.08 MATUGA-KAPEKA'!F30,'21.08 MATUGA-KAPEKA'!F30,'22.08 MATUGA-KAPEKA'!F30,'23.08 MATUGA-KAPEKA'!F30,'24.08 MATUGA-KAPEKA-24h'!F30,'25.08 MATUGA-KAPEKA-24h'!F30,'26.08 MATUGA-KAPEEKA'!F30)</f>
        <v>1</v>
      </c>
      <c r="G30" s="49">
        <f>AVERAGE('20.08 MATUGA-KAPEKA'!G30,'21.08 MATUGA-KAPEKA'!G30,'22.08 MATUGA-KAPEKA'!G30,'23.08 MATUGA-KAPEKA'!G30,'24.08 MATUGA-KAPEKA-24h'!G30,'25.08 MATUGA-KAPEKA-24h'!G30,'26.08 MATUGA-KAPEEKA'!G30)</f>
        <v>0</v>
      </c>
      <c r="H30" s="49">
        <f>AVERAGE('20.08 MATUGA-KAPEKA'!H30,'21.08 MATUGA-KAPEKA'!H30,'22.08 MATUGA-KAPEKA'!H30,'23.08 MATUGA-KAPEKA'!H30,'24.08 MATUGA-KAPEKA-24h'!H30,'25.08 MATUGA-KAPEKA-24h'!H30,'26.08 MATUGA-KAPEEKA'!H30)</f>
        <v>0</v>
      </c>
      <c r="I30" s="49">
        <f>AVERAGE('20.08 MATUGA-KAPEKA'!I30,'21.08 MATUGA-KAPEKA'!I30,'22.08 MATUGA-KAPEKA'!I30,'23.08 MATUGA-KAPEKA'!I30,'24.08 MATUGA-KAPEKA-24h'!I30,'25.08 MATUGA-KAPEKA-24h'!I30,'26.08 MATUGA-KAPEEKA'!I30)</f>
        <v>0.8571428571428571</v>
      </c>
      <c r="J30" s="49">
        <f>AVERAGE('20.08 MATUGA-KAPEKA'!J30,'21.08 MATUGA-KAPEKA'!J30,'22.08 MATUGA-KAPEKA'!J30,'23.08 MATUGA-KAPEKA'!J30,'24.08 MATUGA-KAPEKA-24h'!J30,'25.08 MATUGA-KAPEKA-24h'!J30,'26.08 MATUGA-KAPEEKA'!J30)</f>
        <v>0.5714285714285714</v>
      </c>
      <c r="K30" s="49">
        <f>AVERAGE('20.08 MATUGA-KAPEKA'!K30,'21.08 MATUGA-KAPEKA'!K30,'22.08 MATUGA-KAPEKA'!K30,'23.08 MATUGA-KAPEKA'!K30,'24.08 MATUGA-KAPEKA-24h'!K30,'25.08 MATUGA-KAPEKA-24h'!K30,'26.08 MATUGA-KAPEEKA'!K30)</f>
        <v>0.2857142857142857</v>
      </c>
      <c r="L30" s="49">
        <f>AVERAGE('20.08 MATUGA-KAPEKA'!L30,'21.08 MATUGA-KAPEKA'!L30,'22.08 MATUGA-KAPEKA'!L30,'23.08 MATUGA-KAPEKA'!L30,'24.08 MATUGA-KAPEKA-24h'!L30,'25.08 MATUGA-KAPEKA-24h'!L30,'26.08 MATUGA-KAPEEKA'!L30)</f>
        <v>0</v>
      </c>
      <c r="M30" s="49">
        <f>AVERAGE('20.08 MATUGA-KAPEKA'!M30,'21.08 MATUGA-KAPEKA'!M30,'22.08 MATUGA-KAPEKA'!M30,'23.08 MATUGA-KAPEKA'!M30,'24.08 MATUGA-KAPEKA-24h'!M30,'25.08 MATUGA-KAPEKA-24h'!M30,'26.08 MATUGA-KAPEEKA'!M30)</f>
        <v>21</v>
      </c>
      <c r="N30" s="49">
        <f>AVERAGE('20.08 MATUGA-KAPEKA'!N30,'21.08 MATUGA-KAPEKA'!N30,'22.08 MATUGA-KAPEKA'!N30,'23.08 MATUGA-KAPEKA'!N30,'24.08 MATUGA-KAPEKA-24h'!N30,'25.08 MATUGA-KAPEKA-24h'!N30,'26.08 MATUGA-KAPEEKA'!N30)</f>
        <v>0</v>
      </c>
      <c r="O30" s="15">
        <f t="shared" si="0"/>
        <v>6.7142857142857135</v>
      </c>
      <c r="P30" s="15">
        <f t="shared" si="1"/>
        <v>27.714285714285715</v>
      </c>
      <c r="R30" s="1" t="s">
        <v>154</v>
      </c>
      <c r="S30" s="34">
        <f>SUM(C90:C93)</f>
        <v>3</v>
      </c>
      <c r="T30" s="34">
        <f t="shared" ref="T30:AF30" si="22">SUM(D90:D93)</f>
        <v>0.8</v>
      </c>
      <c r="U30" s="34">
        <f t="shared" si="22"/>
        <v>1.2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24" t="s">
        <v>58</v>
      </c>
      <c r="C31" s="49">
        <f>AVERAGE('20.08 MATUGA-KAPEKA'!C31,'21.08 MATUGA-KAPEKA'!C31,'22.08 MATUGA-KAPEKA'!C31,'23.08 MATUGA-KAPEKA'!C31,'24.08 MATUGA-KAPEKA-24h'!C31,'25.08 MATUGA-KAPEKA-24h'!C31,'26.08 MATUGA-KAPEEKA'!C31)</f>
        <v>1.4285714285714286</v>
      </c>
      <c r="D31" s="49">
        <f>0.4*(AVERAGE('20.08 MATUGA-KAPEKA'!E31,'21.08 MATUGA-KAPEKA'!E31,'22.08 MATUGA-KAPEKA'!E31,'23.08 MATUGA-KAPEKA'!E31,'24.08 MATUGA-KAPEKA-24h'!E31,'25.08 MATUGA-KAPEKA-24h'!E31,'26.08 MATUGA-KAPEEKA'!E31))</f>
        <v>0.62857142857142856</v>
      </c>
      <c r="E31" s="49">
        <f>0.6*(AVERAGE('20.08 MATUGA-KAPEKA'!E31,'21.08 MATUGA-KAPEKA'!E31,'22.08 MATUGA-KAPEKA'!E31,'23.08 MATUGA-KAPEKA'!E31,'24.08 MATUGA-KAPEKA-24h'!E31,'25.08 MATUGA-KAPEKA-24h'!E31,'26.08 MATUGA-KAPEEKA'!E31))</f>
        <v>0.94285714285714284</v>
      </c>
      <c r="F31" s="49">
        <f>AVERAGE('20.08 MATUGA-KAPEKA'!F31,'21.08 MATUGA-KAPEKA'!F31,'22.08 MATUGA-KAPEKA'!F31,'23.08 MATUGA-KAPEKA'!F31,'24.08 MATUGA-KAPEKA-24h'!F31,'25.08 MATUGA-KAPEKA-24h'!F31,'26.08 MATUGA-KAPEEKA'!F31)</f>
        <v>1.1428571428571428</v>
      </c>
      <c r="G31" s="49">
        <f>AVERAGE('20.08 MATUGA-KAPEKA'!G31,'21.08 MATUGA-KAPEKA'!G31,'22.08 MATUGA-KAPEKA'!G31,'23.08 MATUGA-KAPEKA'!G31,'24.08 MATUGA-KAPEKA-24h'!G31,'25.08 MATUGA-KAPEKA-24h'!G31,'26.08 MATUGA-KAPEEKA'!G31)</f>
        <v>0</v>
      </c>
      <c r="H31" s="49">
        <f>AVERAGE('20.08 MATUGA-KAPEKA'!H31,'21.08 MATUGA-KAPEKA'!H31,'22.08 MATUGA-KAPEKA'!H31,'23.08 MATUGA-KAPEKA'!H31,'24.08 MATUGA-KAPEKA-24h'!H31,'25.08 MATUGA-KAPEKA-24h'!H31,'26.08 MATUGA-KAPEEKA'!H31)</f>
        <v>0</v>
      </c>
      <c r="I31" s="49">
        <f>AVERAGE('20.08 MATUGA-KAPEKA'!I31,'21.08 MATUGA-KAPEKA'!I31,'22.08 MATUGA-KAPEKA'!I31,'23.08 MATUGA-KAPEKA'!I31,'24.08 MATUGA-KAPEKA-24h'!I31,'25.08 MATUGA-KAPEKA-24h'!I31,'26.08 MATUGA-KAPEEKA'!I31)</f>
        <v>2.1428571428571428</v>
      </c>
      <c r="J31" s="49">
        <f>AVERAGE('20.08 MATUGA-KAPEKA'!J31,'21.08 MATUGA-KAPEKA'!J31,'22.08 MATUGA-KAPEKA'!J31,'23.08 MATUGA-KAPEKA'!J31,'24.08 MATUGA-KAPEKA-24h'!J31,'25.08 MATUGA-KAPEKA-24h'!J31,'26.08 MATUGA-KAPEEKA'!J31)</f>
        <v>0.14285714285714285</v>
      </c>
      <c r="K31" s="49">
        <f>AVERAGE('20.08 MATUGA-KAPEKA'!K31,'21.08 MATUGA-KAPEKA'!K31,'22.08 MATUGA-KAPEKA'!K31,'23.08 MATUGA-KAPEKA'!K31,'24.08 MATUGA-KAPEKA-24h'!K31,'25.08 MATUGA-KAPEKA-24h'!K31,'26.08 MATUGA-KAPEEKA'!K31)</f>
        <v>0.2857142857142857</v>
      </c>
      <c r="L31" s="49">
        <f>AVERAGE('20.08 MATUGA-KAPEKA'!L31,'21.08 MATUGA-KAPEKA'!L31,'22.08 MATUGA-KAPEKA'!L31,'23.08 MATUGA-KAPEKA'!L31,'24.08 MATUGA-KAPEKA-24h'!L31,'25.08 MATUGA-KAPEKA-24h'!L31,'26.08 MATUGA-KAPEEKA'!L31)</f>
        <v>0</v>
      </c>
      <c r="M31" s="49">
        <f>AVERAGE('20.08 MATUGA-KAPEKA'!M31,'21.08 MATUGA-KAPEKA'!M31,'22.08 MATUGA-KAPEKA'!M31,'23.08 MATUGA-KAPEKA'!M31,'24.08 MATUGA-KAPEKA-24h'!M31,'25.08 MATUGA-KAPEKA-24h'!M31,'26.08 MATUGA-KAPEEKA'!M31)</f>
        <v>21</v>
      </c>
      <c r="N31" s="49">
        <f>AVERAGE('20.08 MATUGA-KAPEKA'!N31,'21.08 MATUGA-KAPEKA'!N31,'22.08 MATUGA-KAPEKA'!N31,'23.08 MATUGA-KAPEKA'!N31,'24.08 MATUGA-KAPEKA-24h'!N31,'25.08 MATUGA-KAPEKA-24h'!N31,'26.08 MATUGA-KAPEEKA'!N31)</f>
        <v>0</v>
      </c>
      <c r="O31" s="15">
        <f t="shared" si="0"/>
        <v>6.7142857142857135</v>
      </c>
      <c r="P31" s="15">
        <f t="shared" si="1"/>
        <v>27.714285714285715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AVERAGE('20.08 MATUGA-KAPEKA'!C32,'21.08 MATUGA-KAPEKA'!C32,'22.08 MATUGA-KAPEKA'!C32,'23.08 MATUGA-KAPEKA'!C32,'24.08 MATUGA-KAPEKA-24h'!C32,'25.08 MATUGA-KAPEKA-24h'!C32,'26.08 MATUGA-KAPEEKA'!C32)</f>
        <v>1.4285714285714286</v>
      </c>
      <c r="D32" s="49">
        <f>0.4*(AVERAGE('20.08 MATUGA-KAPEKA'!E32,'21.08 MATUGA-KAPEKA'!E32,'22.08 MATUGA-KAPEKA'!E32,'23.08 MATUGA-KAPEKA'!E32,'24.08 MATUGA-KAPEKA-24h'!E32,'25.08 MATUGA-KAPEKA-24h'!E32,'26.08 MATUGA-KAPEEKA'!E32))</f>
        <v>0.62857142857142856</v>
      </c>
      <c r="E32" s="49">
        <f>0.6*(AVERAGE('20.08 MATUGA-KAPEKA'!E32,'21.08 MATUGA-KAPEKA'!E32,'22.08 MATUGA-KAPEKA'!E32,'23.08 MATUGA-KAPEKA'!E32,'24.08 MATUGA-KAPEKA-24h'!E32,'25.08 MATUGA-KAPEKA-24h'!E32,'26.08 MATUGA-KAPEEKA'!E32))</f>
        <v>0.94285714285714284</v>
      </c>
      <c r="F32" s="49">
        <f>AVERAGE('20.08 MATUGA-KAPEKA'!F32,'21.08 MATUGA-KAPEKA'!F32,'22.08 MATUGA-KAPEKA'!F32,'23.08 MATUGA-KAPEKA'!F32,'24.08 MATUGA-KAPEKA-24h'!F32,'25.08 MATUGA-KAPEKA-24h'!F32,'26.08 MATUGA-KAPEEKA'!F32)</f>
        <v>1.2857142857142858</v>
      </c>
      <c r="G32" s="49">
        <f>AVERAGE('20.08 MATUGA-KAPEKA'!G32,'21.08 MATUGA-KAPEKA'!G32,'22.08 MATUGA-KAPEKA'!G32,'23.08 MATUGA-KAPEKA'!G32,'24.08 MATUGA-KAPEKA-24h'!G32,'25.08 MATUGA-KAPEKA-24h'!G32,'26.08 MATUGA-KAPEEKA'!G32)</f>
        <v>0</v>
      </c>
      <c r="H32" s="49">
        <f>AVERAGE('20.08 MATUGA-KAPEKA'!H32,'21.08 MATUGA-KAPEKA'!H32,'22.08 MATUGA-KAPEKA'!H32,'23.08 MATUGA-KAPEKA'!H32,'24.08 MATUGA-KAPEKA-24h'!H32,'25.08 MATUGA-KAPEKA-24h'!H32,'26.08 MATUGA-KAPEEKA'!H32)</f>
        <v>0</v>
      </c>
      <c r="I32" s="49">
        <f>AVERAGE('20.08 MATUGA-KAPEKA'!I32,'21.08 MATUGA-KAPEKA'!I32,'22.08 MATUGA-KAPEKA'!I32,'23.08 MATUGA-KAPEKA'!I32,'24.08 MATUGA-KAPEKA-24h'!I32,'25.08 MATUGA-KAPEKA-24h'!I32,'26.08 MATUGA-KAPEEKA'!I32)</f>
        <v>1.8571428571428572</v>
      </c>
      <c r="J32" s="49">
        <f>AVERAGE('20.08 MATUGA-KAPEKA'!J32,'21.08 MATUGA-KAPEKA'!J32,'22.08 MATUGA-KAPEKA'!J32,'23.08 MATUGA-KAPEKA'!J32,'24.08 MATUGA-KAPEKA-24h'!J32,'25.08 MATUGA-KAPEKA-24h'!J32,'26.08 MATUGA-KAPEEKA'!J32)</f>
        <v>0.42857142857142855</v>
      </c>
      <c r="K32" s="49">
        <f>AVERAGE('20.08 MATUGA-KAPEKA'!K32,'21.08 MATUGA-KAPEKA'!K32,'22.08 MATUGA-KAPEKA'!K32,'23.08 MATUGA-KAPEKA'!K32,'24.08 MATUGA-KAPEKA-24h'!K32,'25.08 MATUGA-KAPEKA-24h'!K32,'26.08 MATUGA-KAPEEKA'!K32)</f>
        <v>0.42857142857142855</v>
      </c>
      <c r="L32" s="49">
        <f>AVERAGE('20.08 MATUGA-KAPEKA'!L32,'21.08 MATUGA-KAPEKA'!L32,'22.08 MATUGA-KAPEKA'!L32,'23.08 MATUGA-KAPEKA'!L32,'24.08 MATUGA-KAPEKA-24h'!L32,'25.08 MATUGA-KAPEKA-24h'!L32,'26.08 MATUGA-KAPEEKA'!L32)</f>
        <v>0</v>
      </c>
      <c r="M32" s="49">
        <f>AVERAGE('20.08 MATUGA-KAPEKA'!M32,'21.08 MATUGA-KAPEKA'!M32,'22.08 MATUGA-KAPEKA'!M32,'23.08 MATUGA-KAPEKA'!M32,'24.08 MATUGA-KAPEKA-24h'!M32,'25.08 MATUGA-KAPEKA-24h'!M32,'26.08 MATUGA-KAPEEKA'!M32)</f>
        <v>20.714285714285715</v>
      </c>
      <c r="N32" s="49">
        <f>AVERAGE('20.08 MATUGA-KAPEKA'!N32,'21.08 MATUGA-KAPEKA'!N32,'22.08 MATUGA-KAPEKA'!N32,'23.08 MATUGA-KAPEKA'!N32,'24.08 MATUGA-KAPEKA-24h'!N32,'25.08 MATUGA-KAPEKA-24h'!N32,'26.08 MATUGA-KAPEEKA'!N32)</f>
        <v>0</v>
      </c>
      <c r="O32" s="15">
        <f t="shared" si="0"/>
        <v>7</v>
      </c>
      <c r="P32" s="15">
        <f t="shared" si="1"/>
        <v>27.714285714285715</v>
      </c>
      <c r="R32" s="1" t="s">
        <v>156</v>
      </c>
      <c r="S32" s="34">
        <f>SUM(C98:C101)</f>
        <v>2</v>
      </c>
      <c r="T32" s="34">
        <f t="shared" ref="T32:AF32" si="24">SUM(D98:D101)</f>
        <v>1.2000000000000002</v>
      </c>
      <c r="U32" s="34">
        <f t="shared" si="24"/>
        <v>1.7999999999999998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6</v>
      </c>
      <c r="AF32" s="31">
        <f t="shared" si="24"/>
        <v>13</v>
      </c>
    </row>
    <row r="33" spans="2:32" ht="23.1" customHeight="1" x14ac:dyDescent="0.25">
      <c r="B33" s="23" t="s">
        <v>60</v>
      </c>
      <c r="C33" s="49">
        <f>AVERAGE('20.08 MATUGA-KAPEKA'!C33,'21.08 MATUGA-KAPEKA'!C33,'22.08 MATUGA-KAPEKA'!C33,'23.08 MATUGA-KAPEKA'!C33,'24.08 MATUGA-KAPEKA-24h'!C33,'25.08 MATUGA-KAPEKA-24h'!C33,'26.08 MATUGA-KAPEEKA'!C33)</f>
        <v>1.1428571428571428</v>
      </c>
      <c r="D33" s="49">
        <f>0.4*(AVERAGE('20.08 MATUGA-KAPEKA'!E33,'21.08 MATUGA-KAPEKA'!E33,'22.08 MATUGA-KAPEKA'!E33,'23.08 MATUGA-KAPEKA'!E33,'24.08 MATUGA-KAPEKA-24h'!E33,'25.08 MATUGA-KAPEKA-24h'!E33,'26.08 MATUGA-KAPEEKA'!E33))</f>
        <v>1.0857142857142859</v>
      </c>
      <c r="E33" s="49">
        <f>0.6*(AVERAGE('20.08 MATUGA-KAPEKA'!E33,'21.08 MATUGA-KAPEKA'!E33,'22.08 MATUGA-KAPEKA'!E33,'23.08 MATUGA-KAPEKA'!E33,'24.08 MATUGA-KAPEKA-24h'!E33,'25.08 MATUGA-KAPEKA-24h'!E33,'26.08 MATUGA-KAPEEKA'!E33))</f>
        <v>1.6285714285714286</v>
      </c>
      <c r="F33" s="49">
        <f>AVERAGE('20.08 MATUGA-KAPEKA'!F33,'21.08 MATUGA-KAPEKA'!F33,'22.08 MATUGA-KAPEKA'!F33,'23.08 MATUGA-KAPEKA'!F33,'24.08 MATUGA-KAPEKA-24h'!F33,'25.08 MATUGA-KAPEKA-24h'!F33,'26.08 MATUGA-KAPEEKA'!F33)</f>
        <v>1.1428571428571428</v>
      </c>
      <c r="G33" s="49">
        <f>AVERAGE('20.08 MATUGA-KAPEKA'!G33,'21.08 MATUGA-KAPEKA'!G33,'22.08 MATUGA-KAPEKA'!G33,'23.08 MATUGA-KAPEKA'!G33,'24.08 MATUGA-KAPEKA-24h'!G33,'25.08 MATUGA-KAPEKA-24h'!G33,'26.08 MATUGA-KAPEEKA'!G33)</f>
        <v>0</v>
      </c>
      <c r="H33" s="49">
        <f>AVERAGE('20.08 MATUGA-KAPEKA'!H33,'21.08 MATUGA-KAPEKA'!H33,'22.08 MATUGA-KAPEKA'!H33,'23.08 MATUGA-KAPEKA'!H33,'24.08 MATUGA-KAPEKA-24h'!H33,'25.08 MATUGA-KAPEKA-24h'!H33,'26.08 MATUGA-KAPEEKA'!H33)</f>
        <v>0</v>
      </c>
      <c r="I33" s="49">
        <f>AVERAGE('20.08 MATUGA-KAPEKA'!I33,'21.08 MATUGA-KAPEKA'!I33,'22.08 MATUGA-KAPEKA'!I33,'23.08 MATUGA-KAPEKA'!I33,'24.08 MATUGA-KAPEKA-24h'!I33,'25.08 MATUGA-KAPEKA-24h'!I33,'26.08 MATUGA-KAPEEKA'!I33)</f>
        <v>1.8571428571428572</v>
      </c>
      <c r="J33" s="49">
        <f>AVERAGE('20.08 MATUGA-KAPEKA'!J33,'21.08 MATUGA-KAPEKA'!J33,'22.08 MATUGA-KAPEKA'!J33,'23.08 MATUGA-KAPEKA'!J33,'24.08 MATUGA-KAPEKA-24h'!J33,'25.08 MATUGA-KAPEKA-24h'!J33,'26.08 MATUGA-KAPEEKA'!J33)</f>
        <v>0.7142857142857143</v>
      </c>
      <c r="K33" s="49">
        <f>AVERAGE('20.08 MATUGA-KAPEKA'!K33,'21.08 MATUGA-KAPEKA'!K33,'22.08 MATUGA-KAPEKA'!K33,'23.08 MATUGA-KAPEKA'!K33,'24.08 MATUGA-KAPEKA-24h'!K33,'25.08 MATUGA-KAPEKA-24h'!K33,'26.08 MATUGA-KAPEEKA'!K33)</f>
        <v>0.42857142857142855</v>
      </c>
      <c r="L33" s="49">
        <f>AVERAGE('20.08 MATUGA-KAPEKA'!L33,'21.08 MATUGA-KAPEKA'!L33,'22.08 MATUGA-KAPEKA'!L33,'23.08 MATUGA-KAPEKA'!L33,'24.08 MATUGA-KAPEKA-24h'!L33,'25.08 MATUGA-KAPEKA-24h'!L33,'26.08 MATUGA-KAPEEKA'!L33)</f>
        <v>0</v>
      </c>
      <c r="M33" s="49">
        <f>AVERAGE('20.08 MATUGA-KAPEKA'!M33,'21.08 MATUGA-KAPEKA'!M33,'22.08 MATUGA-KAPEKA'!M33,'23.08 MATUGA-KAPEKA'!M33,'24.08 MATUGA-KAPEKA-24h'!M33,'25.08 MATUGA-KAPEKA-24h'!M33,'26.08 MATUGA-KAPEEKA'!M33)</f>
        <v>20</v>
      </c>
      <c r="N33" s="49">
        <f>AVERAGE('20.08 MATUGA-KAPEKA'!N33,'21.08 MATUGA-KAPEKA'!N33,'22.08 MATUGA-KAPEKA'!N33,'23.08 MATUGA-KAPEKA'!N33,'24.08 MATUGA-KAPEKA-24h'!N33,'25.08 MATUGA-KAPEKA-24h'!N33,'26.08 MATUGA-KAPEEKA'!N33)</f>
        <v>0</v>
      </c>
      <c r="O33" s="15">
        <f t="shared" si="0"/>
        <v>8</v>
      </c>
      <c r="P33" s="15">
        <f t="shared" si="1"/>
        <v>28</v>
      </c>
      <c r="R33" s="1" t="s">
        <v>157</v>
      </c>
      <c r="S33" s="34">
        <f>SUM(C102:C105)</f>
        <v>8</v>
      </c>
      <c r="T33" s="34">
        <f t="shared" ref="T33:AF33" si="25">SUM(D102:D105)</f>
        <v>4.5999999999999996</v>
      </c>
      <c r="U33" s="34">
        <f t="shared" si="25"/>
        <v>4.4000000000000004</v>
      </c>
      <c r="V33" s="34">
        <f t="shared" si="25"/>
        <v>4</v>
      </c>
      <c r="W33" s="34">
        <f t="shared" si="25"/>
        <v>0</v>
      </c>
      <c r="X33" s="34">
        <f t="shared" si="25"/>
        <v>1</v>
      </c>
      <c r="Y33" s="34">
        <f t="shared" si="25"/>
        <v>6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31</v>
      </c>
      <c r="AD33" s="34">
        <f t="shared" si="25"/>
        <v>0</v>
      </c>
      <c r="AE33" s="31">
        <f t="shared" si="25"/>
        <v>29</v>
      </c>
      <c r="AF33" s="31">
        <f t="shared" si="25"/>
        <v>60</v>
      </c>
    </row>
    <row r="34" spans="2:32" ht="23.1" customHeight="1" x14ac:dyDescent="0.25">
      <c r="B34" s="24" t="s">
        <v>61</v>
      </c>
      <c r="C34" s="49">
        <f>AVERAGE('20.08 MATUGA-KAPEKA'!C34,'21.08 MATUGA-KAPEKA'!C34,'22.08 MATUGA-KAPEKA'!C34,'23.08 MATUGA-KAPEKA'!C34,'24.08 MATUGA-KAPEKA-24h'!C34,'25.08 MATUGA-KAPEKA-24h'!C34,'26.08 MATUGA-KAPEEKA'!C34)</f>
        <v>1.8571428571428572</v>
      </c>
      <c r="D34" s="49">
        <f>0.4*(AVERAGE('20.08 MATUGA-KAPEKA'!E34,'21.08 MATUGA-KAPEKA'!E34,'22.08 MATUGA-KAPEKA'!E34,'23.08 MATUGA-KAPEKA'!E34,'24.08 MATUGA-KAPEKA-24h'!E34,'25.08 MATUGA-KAPEKA-24h'!E34,'26.08 MATUGA-KAPEEKA'!E34))</f>
        <v>0.97142857142857142</v>
      </c>
      <c r="E34" s="49">
        <f>0.6*(AVERAGE('20.08 MATUGA-KAPEKA'!E34,'21.08 MATUGA-KAPEKA'!E34,'22.08 MATUGA-KAPEKA'!E34,'23.08 MATUGA-KAPEKA'!E34,'24.08 MATUGA-KAPEKA-24h'!E34,'25.08 MATUGA-KAPEKA-24h'!E34,'26.08 MATUGA-KAPEEKA'!E34))</f>
        <v>1.4571428571428571</v>
      </c>
      <c r="F34" s="49">
        <f>AVERAGE('20.08 MATUGA-KAPEKA'!F34,'21.08 MATUGA-KAPEKA'!F34,'22.08 MATUGA-KAPEKA'!F34,'23.08 MATUGA-KAPEKA'!F34,'24.08 MATUGA-KAPEKA-24h'!F34,'25.08 MATUGA-KAPEKA-24h'!F34,'26.08 MATUGA-KAPEEKA'!F34)</f>
        <v>1.5714285714285714</v>
      </c>
      <c r="G34" s="49">
        <f>AVERAGE('20.08 MATUGA-KAPEKA'!G34,'21.08 MATUGA-KAPEKA'!G34,'22.08 MATUGA-KAPEKA'!G34,'23.08 MATUGA-KAPEKA'!G34,'24.08 MATUGA-KAPEKA-24h'!G34,'25.08 MATUGA-KAPEKA-24h'!G34,'26.08 MATUGA-KAPEEKA'!G34)</f>
        <v>0.14285714285714285</v>
      </c>
      <c r="H34" s="49">
        <f>AVERAGE('20.08 MATUGA-KAPEKA'!H34,'21.08 MATUGA-KAPEKA'!H34,'22.08 MATUGA-KAPEKA'!H34,'23.08 MATUGA-KAPEKA'!H34,'24.08 MATUGA-KAPEKA-24h'!H34,'25.08 MATUGA-KAPEKA-24h'!H34,'26.08 MATUGA-KAPEEKA'!H34)</f>
        <v>0</v>
      </c>
      <c r="I34" s="49">
        <f>AVERAGE('20.08 MATUGA-KAPEKA'!I34,'21.08 MATUGA-KAPEKA'!I34,'22.08 MATUGA-KAPEKA'!I34,'23.08 MATUGA-KAPEKA'!I34,'24.08 MATUGA-KAPEKA-24h'!I34,'25.08 MATUGA-KAPEKA-24h'!I34,'26.08 MATUGA-KAPEEKA'!I34)</f>
        <v>1.5714285714285714</v>
      </c>
      <c r="J34" s="49">
        <f>AVERAGE('20.08 MATUGA-KAPEKA'!J34,'21.08 MATUGA-KAPEKA'!J34,'22.08 MATUGA-KAPEKA'!J34,'23.08 MATUGA-KAPEKA'!J34,'24.08 MATUGA-KAPEKA-24h'!J34,'25.08 MATUGA-KAPEKA-24h'!J34,'26.08 MATUGA-KAPEEKA'!J34)</f>
        <v>0.42857142857142855</v>
      </c>
      <c r="K34" s="49">
        <f>AVERAGE('20.08 MATUGA-KAPEKA'!K34,'21.08 MATUGA-KAPEKA'!K34,'22.08 MATUGA-KAPEKA'!K34,'23.08 MATUGA-KAPEKA'!K34,'24.08 MATUGA-KAPEKA-24h'!K34,'25.08 MATUGA-KAPEKA-24h'!K34,'26.08 MATUGA-KAPEEKA'!K34)</f>
        <v>0.2857142857142857</v>
      </c>
      <c r="L34" s="49">
        <f>AVERAGE('20.08 MATUGA-KAPEKA'!L34,'21.08 MATUGA-KAPEKA'!L34,'22.08 MATUGA-KAPEKA'!L34,'23.08 MATUGA-KAPEKA'!L34,'24.08 MATUGA-KAPEKA-24h'!L34,'25.08 MATUGA-KAPEKA-24h'!L34,'26.08 MATUGA-KAPEEKA'!L34)</f>
        <v>0</v>
      </c>
      <c r="M34" s="49">
        <f>AVERAGE('20.08 MATUGA-KAPEKA'!M34,'21.08 MATUGA-KAPEKA'!M34,'22.08 MATUGA-KAPEKA'!M34,'23.08 MATUGA-KAPEKA'!M34,'24.08 MATUGA-KAPEKA-24h'!M34,'25.08 MATUGA-KAPEKA-24h'!M34,'26.08 MATUGA-KAPEEKA'!M34)</f>
        <v>20.142857142857142</v>
      </c>
      <c r="N34" s="49">
        <f>AVERAGE('20.08 MATUGA-KAPEKA'!N34,'21.08 MATUGA-KAPEKA'!N34,'22.08 MATUGA-KAPEKA'!N34,'23.08 MATUGA-KAPEKA'!N34,'24.08 MATUGA-KAPEKA-24h'!N34,'25.08 MATUGA-KAPEKA-24h'!N34,'26.08 MATUGA-KAPEEKA'!N34)</f>
        <v>0</v>
      </c>
      <c r="O34" s="15">
        <f t="shared" si="0"/>
        <v>8.2857142857142865</v>
      </c>
      <c r="P34" s="15">
        <f t="shared" si="1"/>
        <v>28.428571428571431</v>
      </c>
      <c r="R34" s="51" t="s">
        <v>90</v>
      </c>
      <c r="S34" s="52">
        <f t="shared" ref="S34:AF34" si="26">MAX(S10:S12)</f>
        <v>4.5714285714285712</v>
      </c>
      <c r="T34" s="52">
        <f t="shared" si="26"/>
        <v>2.5714285714285716</v>
      </c>
      <c r="U34" s="52">
        <f t="shared" si="26"/>
        <v>3.8571428571428572</v>
      </c>
      <c r="V34" s="52">
        <f t="shared" si="26"/>
        <v>4.8571428571428568</v>
      </c>
      <c r="W34" s="52">
        <f t="shared" si="26"/>
        <v>0</v>
      </c>
      <c r="X34" s="52">
        <f t="shared" si="26"/>
        <v>0</v>
      </c>
      <c r="Y34" s="52">
        <f t="shared" si="26"/>
        <v>7</v>
      </c>
      <c r="Z34" s="52">
        <f t="shared" si="26"/>
        <v>1.8571428571428572</v>
      </c>
      <c r="AA34" s="52">
        <f t="shared" si="26"/>
        <v>3.5714285714285712</v>
      </c>
      <c r="AB34" s="52">
        <f t="shared" si="26"/>
        <v>0</v>
      </c>
      <c r="AC34" s="52">
        <f t="shared" si="26"/>
        <v>68.285714285714278</v>
      </c>
      <c r="AD34" s="52">
        <f t="shared" si="26"/>
        <v>0.14285714285714285</v>
      </c>
      <c r="AE34" s="40">
        <f t="shared" si="26"/>
        <v>27.285714285714285</v>
      </c>
      <c r="AF34" s="40">
        <f t="shared" si="26"/>
        <v>95.571428571428569</v>
      </c>
    </row>
    <row r="35" spans="2:32" ht="23.1" customHeight="1" x14ac:dyDescent="0.25">
      <c r="B35" s="24" t="s">
        <v>62</v>
      </c>
      <c r="C35" s="49">
        <f>AVERAGE('20.08 MATUGA-KAPEKA'!C35,'21.08 MATUGA-KAPEKA'!C35,'22.08 MATUGA-KAPEKA'!C35,'23.08 MATUGA-KAPEKA'!C35,'24.08 MATUGA-KAPEKA-24h'!C35,'25.08 MATUGA-KAPEKA-24h'!C35,'26.08 MATUGA-KAPEEKA'!C35)</f>
        <v>1.5714285714285714</v>
      </c>
      <c r="D35" s="49">
        <f>0.4*(AVERAGE('20.08 MATUGA-KAPEKA'!E35,'21.08 MATUGA-KAPEKA'!E35,'22.08 MATUGA-KAPEKA'!E35,'23.08 MATUGA-KAPEKA'!E35,'24.08 MATUGA-KAPEKA-24h'!E35,'25.08 MATUGA-KAPEKA-24h'!E35,'26.08 MATUGA-KAPEEKA'!E35))</f>
        <v>1.0285714285714287</v>
      </c>
      <c r="E35" s="49">
        <f>0.6*(AVERAGE('20.08 MATUGA-KAPEKA'!E35,'21.08 MATUGA-KAPEKA'!E35,'22.08 MATUGA-KAPEKA'!E35,'23.08 MATUGA-KAPEKA'!E35,'24.08 MATUGA-KAPEKA-24h'!E35,'25.08 MATUGA-KAPEKA-24h'!E35,'26.08 MATUGA-KAPEEKA'!E35))</f>
        <v>1.5428571428571429</v>
      </c>
      <c r="F35" s="49">
        <f>AVERAGE('20.08 MATUGA-KAPEKA'!F35,'21.08 MATUGA-KAPEKA'!F35,'22.08 MATUGA-KAPEKA'!F35,'23.08 MATUGA-KAPEKA'!F35,'24.08 MATUGA-KAPEKA-24h'!F35,'25.08 MATUGA-KAPEKA-24h'!F35,'26.08 MATUGA-KAPEEKA'!F35)</f>
        <v>1.5714285714285714</v>
      </c>
      <c r="G35" s="49">
        <f>AVERAGE('20.08 MATUGA-KAPEKA'!G35,'21.08 MATUGA-KAPEKA'!G35,'22.08 MATUGA-KAPEKA'!G35,'23.08 MATUGA-KAPEKA'!G35,'24.08 MATUGA-KAPEKA-24h'!G35,'25.08 MATUGA-KAPEKA-24h'!G35,'26.08 MATUGA-KAPEEKA'!G35)</f>
        <v>0</v>
      </c>
      <c r="H35" s="49">
        <f>AVERAGE('20.08 MATUGA-KAPEKA'!H35,'21.08 MATUGA-KAPEKA'!H35,'22.08 MATUGA-KAPEKA'!H35,'23.08 MATUGA-KAPEKA'!H35,'24.08 MATUGA-KAPEKA-24h'!H35,'25.08 MATUGA-KAPEKA-24h'!H35,'26.08 MATUGA-KAPEEKA'!H35)</f>
        <v>0</v>
      </c>
      <c r="I35" s="49">
        <f>AVERAGE('20.08 MATUGA-KAPEKA'!I35,'21.08 MATUGA-KAPEKA'!I35,'22.08 MATUGA-KAPEKA'!I35,'23.08 MATUGA-KAPEKA'!I35,'24.08 MATUGA-KAPEKA-24h'!I35,'25.08 MATUGA-KAPEKA-24h'!I35,'26.08 MATUGA-KAPEEKA'!I35)</f>
        <v>2</v>
      </c>
      <c r="J35" s="49">
        <f>AVERAGE('20.08 MATUGA-KAPEKA'!J35,'21.08 MATUGA-KAPEKA'!J35,'22.08 MATUGA-KAPEKA'!J35,'23.08 MATUGA-KAPEKA'!J35,'24.08 MATUGA-KAPEKA-24h'!J35,'25.08 MATUGA-KAPEKA-24h'!J35,'26.08 MATUGA-KAPEEKA'!J35)</f>
        <v>0.14285714285714285</v>
      </c>
      <c r="K35" s="49">
        <f>AVERAGE('20.08 MATUGA-KAPEKA'!K35,'21.08 MATUGA-KAPEKA'!K35,'22.08 MATUGA-KAPEKA'!K35,'23.08 MATUGA-KAPEKA'!K35,'24.08 MATUGA-KAPEKA-24h'!K35,'25.08 MATUGA-KAPEKA-24h'!K35,'26.08 MATUGA-KAPEEKA'!K35)</f>
        <v>0.2857142857142857</v>
      </c>
      <c r="L35" s="49">
        <f>AVERAGE('20.08 MATUGA-KAPEKA'!L35,'21.08 MATUGA-KAPEKA'!L35,'22.08 MATUGA-KAPEKA'!L35,'23.08 MATUGA-KAPEKA'!L35,'24.08 MATUGA-KAPEKA-24h'!L35,'25.08 MATUGA-KAPEKA-24h'!L35,'26.08 MATUGA-KAPEEKA'!L35)</f>
        <v>0</v>
      </c>
      <c r="M35" s="49">
        <f>AVERAGE('20.08 MATUGA-KAPEKA'!M35,'21.08 MATUGA-KAPEKA'!M35,'22.08 MATUGA-KAPEKA'!M35,'23.08 MATUGA-KAPEKA'!M35,'24.08 MATUGA-KAPEKA-24h'!M35,'25.08 MATUGA-KAPEKA-24h'!M35,'26.08 MATUGA-KAPEEKA'!M35)</f>
        <v>19.428571428571427</v>
      </c>
      <c r="N35" s="49">
        <f>AVERAGE('20.08 MATUGA-KAPEKA'!N35,'21.08 MATUGA-KAPEKA'!N35,'22.08 MATUGA-KAPEKA'!N35,'23.08 MATUGA-KAPEKA'!N35,'24.08 MATUGA-KAPEKA-24h'!N35,'25.08 MATUGA-KAPEKA-24h'!N35,'26.08 MATUGA-KAPEEKA'!N35)</f>
        <v>0</v>
      </c>
      <c r="O35" s="15">
        <f t="shared" si="0"/>
        <v>8.1428571428571441</v>
      </c>
      <c r="P35" s="15">
        <f t="shared" si="1"/>
        <v>27.571428571428569</v>
      </c>
      <c r="R35" s="51" t="s">
        <v>91</v>
      </c>
      <c r="S35" s="52">
        <f t="shared" ref="S35:AF35" si="27">MAX(S13:S18)</f>
        <v>10</v>
      </c>
      <c r="T35" s="52">
        <f t="shared" si="27"/>
        <v>4.2285714285714286</v>
      </c>
      <c r="U35" s="52">
        <f t="shared" si="27"/>
        <v>6.3428571428571434</v>
      </c>
      <c r="V35" s="52">
        <f t="shared" si="27"/>
        <v>6</v>
      </c>
      <c r="W35" s="52">
        <f t="shared" si="27"/>
        <v>0.2857142857142857</v>
      </c>
      <c r="X35" s="52">
        <f t="shared" si="27"/>
        <v>0.14285714285714285</v>
      </c>
      <c r="Y35" s="52">
        <f t="shared" si="27"/>
        <v>11.428571428571429</v>
      </c>
      <c r="Z35" s="52">
        <f t="shared" si="27"/>
        <v>2.1428571428571428</v>
      </c>
      <c r="AA35" s="52">
        <f t="shared" si="27"/>
        <v>2.8571428571428572</v>
      </c>
      <c r="AB35" s="52">
        <f t="shared" si="27"/>
        <v>0</v>
      </c>
      <c r="AC35" s="52">
        <f t="shared" si="27"/>
        <v>83.285714285714278</v>
      </c>
      <c r="AD35" s="52">
        <f t="shared" si="27"/>
        <v>0.14285714285714285</v>
      </c>
      <c r="AE35" s="40">
        <f t="shared" si="27"/>
        <v>38.714285714285715</v>
      </c>
      <c r="AF35" s="40">
        <f t="shared" si="27"/>
        <v>122</v>
      </c>
    </row>
    <row r="36" spans="2:32" ht="23.1" customHeight="1" x14ac:dyDescent="0.25">
      <c r="B36" s="24" t="s">
        <v>63</v>
      </c>
      <c r="C36" s="49">
        <f>AVERAGE('20.08 MATUGA-KAPEKA'!C36,'21.08 MATUGA-KAPEKA'!C36,'22.08 MATUGA-KAPEKA'!C36,'23.08 MATUGA-KAPEKA'!C36,'24.08 MATUGA-KAPEKA-24h'!C36,'25.08 MATUGA-KAPEKA-24h'!C36,'26.08 MATUGA-KAPEEKA'!C36)</f>
        <v>1.2857142857142858</v>
      </c>
      <c r="D36" s="49">
        <f>0.4*(AVERAGE('20.08 MATUGA-KAPEKA'!E36,'21.08 MATUGA-KAPEKA'!E36,'22.08 MATUGA-KAPEKA'!E36,'23.08 MATUGA-KAPEKA'!E36,'24.08 MATUGA-KAPEKA-24h'!E36,'25.08 MATUGA-KAPEKA-24h'!E36,'26.08 MATUGA-KAPEEKA'!E36))</f>
        <v>1.0857142857142859</v>
      </c>
      <c r="E36" s="49">
        <f>0.6*(AVERAGE('20.08 MATUGA-KAPEKA'!E36,'21.08 MATUGA-KAPEKA'!E36,'22.08 MATUGA-KAPEKA'!E36,'23.08 MATUGA-KAPEKA'!E36,'24.08 MATUGA-KAPEKA-24h'!E36,'25.08 MATUGA-KAPEKA-24h'!E36,'26.08 MATUGA-KAPEEKA'!E36))</f>
        <v>1.6285714285714286</v>
      </c>
      <c r="F36" s="49">
        <f>AVERAGE('20.08 MATUGA-KAPEKA'!F36,'21.08 MATUGA-KAPEKA'!F36,'22.08 MATUGA-KAPEKA'!F36,'23.08 MATUGA-KAPEKA'!F36,'24.08 MATUGA-KAPEKA-24h'!F36,'25.08 MATUGA-KAPEKA-24h'!F36,'26.08 MATUGA-KAPEEKA'!F36)</f>
        <v>1.2857142857142858</v>
      </c>
      <c r="G36" s="49">
        <f>AVERAGE('20.08 MATUGA-KAPEKA'!G36,'21.08 MATUGA-KAPEKA'!G36,'22.08 MATUGA-KAPEKA'!G36,'23.08 MATUGA-KAPEKA'!G36,'24.08 MATUGA-KAPEKA-24h'!G36,'25.08 MATUGA-KAPEKA-24h'!G36,'26.08 MATUGA-KAPEEKA'!G36)</f>
        <v>0</v>
      </c>
      <c r="H36" s="49">
        <f>AVERAGE('20.08 MATUGA-KAPEKA'!H36,'21.08 MATUGA-KAPEKA'!H36,'22.08 MATUGA-KAPEKA'!H36,'23.08 MATUGA-KAPEKA'!H36,'24.08 MATUGA-KAPEKA-24h'!H36,'25.08 MATUGA-KAPEKA-24h'!H36,'26.08 MATUGA-KAPEEKA'!H36)</f>
        <v>0</v>
      </c>
      <c r="I36" s="49">
        <f>AVERAGE('20.08 MATUGA-KAPEKA'!I36,'21.08 MATUGA-KAPEKA'!I36,'22.08 MATUGA-KAPEKA'!I36,'23.08 MATUGA-KAPEKA'!I36,'24.08 MATUGA-KAPEKA-24h'!I36,'25.08 MATUGA-KAPEKA-24h'!I36,'26.08 MATUGA-KAPEEKA'!I36)</f>
        <v>2.4285714285714284</v>
      </c>
      <c r="J36" s="49">
        <f>AVERAGE('20.08 MATUGA-KAPEKA'!J36,'21.08 MATUGA-KAPEKA'!J36,'22.08 MATUGA-KAPEKA'!J36,'23.08 MATUGA-KAPEKA'!J36,'24.08 MATUGA-KAPEKA-24h'!J36,'25.08 MATUGA-KAPEKA-24h'!J36,'26.08 MATUGA-KAPEEKA'!J36)</f>
        <v>0.42857142857142855</v>
      </c>
      <c r="K36" s="49">
        <f>AVERAGE('20.08 MATUGA-KAPEKA'!K36,'21.08 MATUGA-KAPEKA'!K36,'22.08 MATUGA-KAPEKA'!K36,'23.08 MATUGA-KAPEKA'!K36,'24.08 MATUGA-KAPEKA-24h'!K36,'25.08 MATUGA-KAPEKA-24h'!K36,'26.08 MATUGA-KAPEEKA'!K36)</f>
        <v>0.42857142857142855</v>
      </c>
      <c r="L36" s="49">
        <f>AVERAGE('20.08 MATUGA-KAPEKA'!L36,'21.08 MATUGA-KAPEKA'!L36,'22.08 MATUGA-KAPEKA'!L36,'23.08 MATUGA-KAPEKA'!L36,'24.08 MATUGA-KAPEKA-24h'!L36,'25.08 MATUGA-KAPEKA-24h'!L36,'26.08 MATUGA-KAPEEKA'!L36)</f>
        <v>0</v>
      </c>
      <c r="M36" s="49">
        <f>AVERAGE('20.08 MATUGA-KAPEKA'!M36,'21.08 MATUGA-KAPEKA'!M36,'22.08 MATUGA-KAPEKA'!M36,'23.08 MATUGA-KAPEKA'!M36,'24.08 MATUGA-KAPEKA-24h'!M36,'25.08 MATUGA-KAPEKA-24h'!M36,'26.08 MATUGA-KAPEEKA'!M36)</f>
        <v>19.857142857142858</v>
      </c>
      <c r="N36" s="49">
        <f>AVERAGE('20.08 MATUGA-KAPEKA'!N36,'21.08 MATUGA-KAPEKA'!N36,'22.08 MATUGA-KAPEKA'!N36,'23.08 MATUGA-KAPEKA'!N36,'24.08 MATUGA-KAPEKA-24h'!N36,'25.08 MATUGA-KAPEKA-24h'!N36,'26.08 MATUGA-KAPEEKA'!N36)</f>
        <v>0</v>
      </c>
      <c r="O36" s="15">
        <f t="shared" si="0"/>
        <v>8.5714285714285712</v>
      </c>
      <c r="P36" s="15">
        <f t="shared" si="1"/>
        <v>28.428571428571431</v>
      </c>
      <c r="R36" s="51" t="s">
        <v>92</v>
      </c>
      <c r="S36" s="52">
        <f t="shared" ref="S36:AF36" si="28">MAX(S19:S21)</f>
        <v>12.285714285714285</v>
      </c>
      <c r="T36" s="52">
        <f t="shared" si="28"/>
        <v>6.5142857142857142</v>
      </c>
      <c r="U36" s="52">
        <f t="shared" si="28"/>
        <v>9.7714285714285705</v>
      </c>
      <c r="V36" s="52">
        <f t="shared" si="28"/>
        <v>9</v>
      </c>
      <c r="W36" s="52">
        <f t="shared" si="28"/>
        <v>1</v>
      </c>
      <c r="X36" s="52">
        <f t="shared" si="28"/>
        <v>0</v>
      </c>
      <c r="Y36" s="52">
        <f t="shared" si="28"/>
        <v>17.428571428571427</v>
      </c>
      <c r="Z36" s="52">
        <f t="shared" si="28"/>
        <v>1.9999999999999998</v>
      </c>
      <c r="AA36" s="52">
        <f t="shared" si="28"/>
        <v>1.8571428571428572</v>
      </c>
      <c r="AB36" s="52">
        <f t="shared" si="28"/>
        <v>0</v>
      </c>
      <c r="AC36" s="52">
        <f t="shared" si="28"/>
        <v>104.42857142857142</v>
      </c>
      <c r="AD36" s="52">
        <f t="shared" si="28"/>
        <v>0</v>
      </c>
      <c r="AE36" s="40">
        <f t="shared" si="28"/>
        <v>55.142857142857146</v>
      </c>
      <c r="AF36" s="40">
        <f t="shared" si="28"/>
        <v>155.14285714285714</v>
      </c>
    </row>
    <row r="37" spans="2:32" ht="23.1" customHeight="1" x14ac:dyDescent="0.25">
      <c r="B37" s="23" t="s">
        <v>64</v>
      </c>
      <c r="C37" s="49">
        <f>AVERAGE('20.08 MATUGA-KAPEKA'!C37,'21.08 MATUGA-KAPEKA'!C37,'22.08 MATUGA-KAPEKA'!C37,'23.08 MATUGA-KAPEKA'!C37,'24.08 MATUGA-KAPEKA-24h'!C37,'25.08 MATUGA-KAPEKA-24h'!C37,'26.08 MATUGA-KAPEEKA'!C37)</f>
        <v>2.1428571428571428</v>
      </c>
      <c r="D37" s="49">
        <f>0.4*(AVERAGE('20.08 MATUGA-KAPEKA'!E37,'21.08 MATUGA-KAPEKA'!E37,'22.08 MATUGA-KAPEKA'!E37,'23.08 MATUGA-KAPEKA'!E37,'24.08 MATUGA-KAPEKA-24h'!E37,'25.08 MATUGA-KAPEKA-24h'!E37,'26.08 MATUGA-KAPEEKA'!E37))</f>
        <v>0.62857142857142856</v>
      </c>
      <c r="E37" s="49">
        <f>0.6*(AVERAGE('20.08 MATUGA-KAPEKA'!E37,'21.08 MATUGA-KAPEKA'!E37,'22.08 MATUGA-KAPEKA'!E37,'23.08 MATUGA-KAPEKA'!E37,'24.08 MATUGA-KAPEKA-24h'!E37,'25.08 MATUGA-KAPEKA-24h'!E37,'26.08 MATUGA-KAPEEKA'!E37))</f>
        <v>0.94285714285714284</v>
      </c>
      <c r="F37" s="49">
        <f>AVERAGE('20.08 MATUGA-KAPEKA'!F37,'21.08 MATUGA-KAPEKA'!F37,'22.08 MATUGA-KAPEKA'!F37,'23.08 MATUGA-KAPEKA'!F37,'24.08 MATUGA-KAPEKA-24h'!F37,'25.08 MATUGA-KAPEKA-24h'!F37,'26.08 MATUGA-KAPEEKA'!F37)</f>
        <v>1.5714285714285714</v>
      </c>
      <c r="G37" s="49">
        <f>AVERAGE('20.08 MATUGA-KAPEKA'!G37,'21.08 MATUGA-KAPEKA'!G37,'22.08 MATUGA-KAPEKA'!G37,'23.08 MATUGA-KAPEKA'!G37,'24.08 MATUGA-KAPEKA-24h'!G37,'25.08 MATUGA-KAPEKA-24h'!G37,'26.08 MATUGA-KAPEEKA'!G37)</f>
        <v>0</v>
      </c>
      <c r="H37" s="49">
        <f>AVERAGE('20.08 MATUGA-KAPEKA'!H37,'21.08 MATUGA-KAPEKA'!H37,'22.08 MATUGA-KAPEKA'!H37,'23.08 MATUGA-KAPEKA'!H37,'24.08 MATUGA-KAPEKA-24h'!H37,'25.08 MATUGA-KAPEKA-24h'!H37,'26.08 MATUGA-KAPEEKA'!H37)</f>
        <v>0</v>
      </c>
      <c r="I37" s="49">
        <f>AVERAGE('20.08 MATUGA-KAPEKA'!I37,'21.08 MATUGA-KAPEKA'!I37,'22.08 MATUGA-KAPEKA'!I37,'23.08 MATUGA-KAPEKA'!I37,'24.08 MATUGA-KAPEKA-24h'!I37,'25.08 MATUGA-KAPEKA-24h'!I37,'26.08 MATUGA-KAPEEKA'!I37)</f>
        <v>2.5714285714285716</v>
      </c>
      <c r="J37" s="49">
        <f>AVERAGE('20.08 MATUGA-KAPEKA'!J37,'21.08 MATUGA-KAPEKA'!J37,'22.08 MATUGA-KAPEKA'!J37,'23.08 MATUGA-KAPEKA'!J37,'24.08 MATUGA-KAPEKA-24h'!J37,'25.08 MATUGA-KAPEKA-24h'!J37,'26.08 MATUGA-KAPEEKA'!J37)</f>
        <v>0.2857142857142857</v>
      </c>
      <c r="K37" s="49">
        <f>AVERAGE('20.08 MATUGA-KAPEKA'!K37,'21.08 MATUGA-KAPEKA'!K37,'22.08 MATUGA-KAPEKA'!K37,'23.08 MATUGA-KAPEKA'!K37,'24.08 MATUGA-KAPEKA-24h'!K37,'25.08 MATUGA-KAPEKA-24h'!K37,'26.08 MATUGA-KAPEEKA'!K37)</f>
        <v>0.7142857142857143</v>
      </c>
      <c r="L37" s="49">
        <f>AVERAGE('20.08 MATUGA-KAPEKA'!L37,'21.08 MATUGA-KAPEKA'!L37,'22.08 MATUGA-KAPEKA'!L37,'23.08 MATUGA-KAPEKA'!L37,'24.08 MATUGA-KAPEKA-24h'!L37,'25.08 MATUGA-KAPEKA-24h'!L37,'26.08 MATUGA-KAPEEKA'!L37)</f>
        <v>0</v>
      </c>
      <c r="M37" s="49">
        <f>AVERAGE('20.08 MATUGA-KAPEKA'!M37,'21.08 MATUGA-KAPEKA'!M37,'22.08 MATUGA-KAPEKA'!M37,'23.08 MATUGA-KAPEKA'!M37,'24.08 MATUGA-KAPEKA-24h'!M37,'25.08 MATUGA-KAPEKA-24h'!M37,'26.08 MATUGA-KAPEEKA'!M37)</f>
        <v>20.142857142857142</v>
      </c>
      <c r="N37" s="49">
        <f>AVERAGE('20.08 MATUGA-KAPEKA'!N37,'21.08 MATUGA-KAPEKA'!N37,'22.08 MATUGA-KAPEKA'!N37,'23.08 MATUGA-KAPEKA'!N37,'24.08 MATUGA-KAPEKA-24h'!N37,'25.08 MATUGA-KAPEKA-24h'!N37,'26.08 MATUGA-KAPEEKA'!N37)</f>
        <v>0</v>
      </c>
      <c r="O37" s="15">
        <f t="shared" si="0"/>
        <v>8.8571428571428577</v>
      </c>
      <c r="P37" s="15">
        <f t="shared" si="1"/>
        <v>29</v>
      </c>
      <c r="R37" s="37" t="s">
        <v>85</v>
      </c>
      <c r="S37" s="53">
        <f t="shared" ref="S37:AF37" si="29">SUM(S10:S12)</f>
        <v>10.142857142857142</v>
      </c>
      <c r="T37" s="54">
        <f t="shared" si="29"/>
        <v>5.8857142857142861</v>
      </c>
      <c r="U37" s="54">
        <f t="shared" si="29"/>
        <v>8.8285714285714292</v>
      </c>
      <c r="V37" s="54">
        <f t="shared" si="29"/>
        <v>12.857142857142858</v>
      </c>
      <c r="W37" s="54">
        <f t="shared" si="29"/>
        <v>0</v>
      </c>
      <c r="X37" s="54">
        <f t="shared" si="29"/>
        <v>0</v>
      </c>
      <c r="Y37" s="54">
        <f t="shared" si="29"/>
        <v>16.571428571428569</v>
      </c>
      <c r="Z37" s="54">
        <f t="shared" si="29"/>
        <v>4.5714285714285712</v>
      </c>
      <c r="AA37" s="54">
        <f t="shared" si="29"/>
        <v>5.1428571428571423</v>
      </c>
      <c r="AB37" s="54">
        <f t="shared" si="29"/>
        <v>0</v>
      </c>
      <c r="AC37" s="54">
        <f t="shared" si="29"/>
        <v>183.42857142857142</v>
      </c>
      <c r="AD37" s="54">
        <f t="shared" si="29"/>
        <v>0.2857142857142857</v>
      </c>
      <c r="AE37" s="55">
        <f t="shared" si="29"/>
        <v>64.285714285714278</v>
      </c>
      <c r="AF37" s="55">
        <f t="shared" si="29"/>
        <v>247.71428571428572</v>
      </c>
    </row>
    <row r="38" spans="2:32" ht="23.1" customHeight="1" x14ac:dyDescent="0.25">
      <c r="B38" s="24" t="s">
        <v>65</v>
      </c>
      <c r="C38" s="49">
        <f>AVERAGE('20.08 MATUGA-KAPEKA'!C38,'21.08 MATUGA-KAPEKA'!C38,'22.08 MATUGA-KAPEKA'!C38,'23.08 MATUGA-KAPEKA'!C38,'24.08 MATUGA-KAPEKA-24h'!C38,'25.08 MATUGA-KAPEKA-24h'!C38,'26.08 MATUGA-KAPEEKA'!C38)</f>
        <v>0.7142857142857143</v>
      </c>
      <c r="D38" s="49">
        <f>0.4*(AVERAGE('20.08 MATUGA-KAPEKA'!E38,'21.08 MATUGA-KAPEKA'!E38,'22.08 MATUGA-KAPEKA'!E38,'23.08 MATUGA-KAPEKA'!E38,'24.08 MATUGA-KAPEKA-24h'!E38,'25.08 MATUGA-KAPEKA-24h'!E38,'26.08 MATUGA-KAPEEKA'!E38))</f>
        <v>0.74285714285714288</v>
      </c>
      <c r="E38" s="49">
        <f>0.6*(AVERAGE('20.08 MATUGA-KAPEKA'!E38,'21.08 MATUGA-KAPEKA'!E38,'22.08 MATUGA-KAPEKA'!E38,'23.08 MATUGA-KAPEKA'!E38,'24.08 MATUGA-KAPEKA-24h'!E38,'25.08 MATUGA-KAPEKA-24h'!E38,'26.08 MATUGA-KAPEEKA'!E38))</f>
        <v>1.1142857142857143</v>
      </c>
      <c r="F38" s="49">
        <f>AVERAGE('20.08 MATUGA-KAPEKA'!F38,'21.08 MATUGA-KAPEKA'!F38,'22.08 MATUGA-KAPEKA'!F38,'23.08 MATUGA-KAPEKA'!F38,'24.08 MATUGA-KAPEKA-24h'!F38,'25.08 MATUGA-KAPEKA-24h'!F38,'26.08 MATUGA-KAPEEKA'!F38)</f>
        <v>1.1428571428571428</v>
      </c>
      <c r="G38" s="49">
        <f>AVERAGE('20.08 MATUGA-KAPEKA'!G38,'21.08 MATUGA-KAPEKA'!G38,'22.08 MATUGA-KAPEKA'!G38,'23.08 MATUGA-KAPEKA'!G38,'24.08 MATUGA-KAPEKA-24h'!G38,'25.08 MATUGA-KAPEKA-24h'!G38,'26.08 MATUGA-KAPEEKA'!G38)</f>
        <v>0</v>
      </c>
      <c r="H38" s="49">
        <f>AVERAGE('20.08 MATUGA-KAPEKA'!H38,'21.08 MATUGA-KAPEKA'!H38,'22.08 MATUGA-KAPEKA'!H38,'23.08 MATUGA-KAPEKA'!H38,'24.08 MATUGA-KAPEKA-24h'!H38,'25.08 MATUGA-KAPEKA-24h'!H38,'26.08 MATUGA-KAPEEKA'!H38)</f>
        <v>0</v>
      </c>
      <c r="I38" s="49">
        <f>AVERAGE('20.08 MATUGA-KAPEKA'!I38,'21.08 MATUGA-KAPEKA'!I38,'22.08 MATUGA-KAPEKA'!I38,'23.08 MATUGA-KAPEKA'!I38,'24.08 MATUGA-KAPEKA-24h'!I38,'25.08 MATUGA-KAPEKA-24h'!I38,'26.08 MATUGA-KAPEEKA'!I38)</f>
        <v>3.5714285714285716</v>
      </c>
      <c r="J38" s="49">
        <f>AVERAGE('20.08 MATUGA-KAPEKA'!J38,'21.08 MATUGA-KAPEKA'!J38,'22.08 MATUGA-KAPEKA'!J38,'23.08 MATUGA-KAPEKA'!J38,'24.08 MATUGA-KAPEKA-24h'!J38,'25.08 MATUGA-KAPEKA-24h'!J38,'26.08 MATUGA-KAPEEKA'!J38)</f>
        <v>0.42857142857142855</v>
      </c>
      <c r="K38" s="49">
        <f>AVERAGE('20.08 MATUGA-KAPEKA'!K38,'21.08 MATUGA-KAPEKA'!K38,'22.08 MATUGA-KAPEKA'!K38,'23.08 MATUGA-KAPEKA'!K38,'24.08 MATUGA-KAPEKA-24h'!K38,'25.08 MATUGA-KAPEKA-24h'!K38,'26.08 MATUGA-KAPEEKA'!K38)</f>
        <v>0.2857142857142857</v>
      </c>
      <c r="L38" s="49">
        <f>AVERAGE('20.08 MATUGA-KAPEKA'!L38,'21.08 MATUGA-KAPEKA'!L38,'22.08 MATUGA-KAPEKA'!L38,'23.08 MATUGA-KAPEKA'!L38,'24.08 MATUGA-KAPEKA-24h'!L38,'25.08 MATUGA-KAPEKA-24h'!L38,'26.08 MATUGA-KAPEEKA'!L38)</f>
        <v>0</v>
      </c>
      <c r="M38" s="49">
        <f>AVERAGE('20.08 MATUGA-KAPEKA'!M38,'21.08 MATUGA-KAPEKA'!M38,'22.08 MATUGA-KAPEKA'!M38,'23.08 MATUGA-KAPEKA'!M38,'24.08 MATUGA-KAPEKA-24h'!M38,'25.08 MATUGA-KAPEKA-24h'!M38,'26.08 MATUGA-KAPEEKA'!M38)</f>
        <v>24</v>
      </c>
      <c r="N38" s="49">
        <f>AVERAGE('20.08 MATUGA-KAPEKA'!N38,'21.08 MATUGA-KAPEKA'!N38,'22.08 MATUGA-KAPEKA'!N38,'23.08 MATUGA-KAPEKA'!N38,'24.08 MATUGA-KAPEKA-24h'!N38,'25.08 MATUGA-KAPEKA-24h'!N38,'26.08 MATUGA-KAPEEKA'!N38)</f>
        <v>0</v>
      </c>
      <c r="O38" s="15">
        <f t="shared" si="0"/>
        <v>8.0000000000000018</v>
      </c>
      <c r="P38" s="15">
        <f t="shared" si="1"/>
        <v>32</v>
      </c>
      <c r="R38" s="28" t="s">
        <v>86</v>
      </c>
      <c r="S38" s="54">
        <f t="shared" ref="S38:AF38" si="30">SUM(S13:S18)</f>
        <v>40.571428571428569</v>
      </c>
      <c r="T38" s="54">
        <f t="shared" si="30"/>
        <v>21.085714285714285</v>
      </c>
      <c r="U38" s="54">
        <f t="shared" si="30"/>
        <v>31.628571428571426</v>
      </c>
      <c r="V38" s="54">
        <f t="shared" si="30"/>
        <v>31.142857142857146</v>
      </c>
      <c r="W38" s="54">
        <f t="shared" si="30"/>
        <v>0.71428571428571419</v>
      </c>
      <c r="X38" s="54">
        <f t="shared" si="30"/>
        <v>0.14285714285714285</v>
      </c>
      <c r="Y38" s="54">
        <f t="shared" si="30"/>
        <v>51.571428571428577</v>
      </c>
      <c r="Z38" s="54">
        <f t="shared" si="30"/>
        <v>10</v>
      </c>
      <c r="AA38" s="54">
        <f t="shared" si="30"/>
        <v>11.714285714285714</v>
      </c>
      <c r="AB38" s="54">
        <f t="shared" si="30"/>
        <v>0</v>
      </c>
      <c r="AC38" s="54">
        <f t="shared" si="30"/>
        <v>487</v>
      </c>
      <c r="AD38" s="54">
        <f t="shared" si="30"/>
        <v>0.14285714285714285</v>
      </c>
      <c r="AE38" s="55">
        <f t="shared" si="30"/>
        <v>198.71428571428572</v>
      </c>
      <c r="AF38" s="55">
        <f t="shared" si="30"/>
        <v>685.71428571428578</v>
      </c>
    </row>
    <row r="39" spans="2:32" ht="23.1" customHeight="1" x14ac:dyDescent="0.25">
      <c r="B39" s="24" t="s">
        <v>66</v>
      </c>
      <c r="C39" s="49">
        <f>AVERAGE('20.08 MATUGA-KAPEKA'!C39,'21.08 MATUGA-KAPEKA'!C39,'22.08 MATUGA-KAPEKA'!C39,'23.08 MATUGA-KAPEKA'!C39,'24.08 MATUGA-KAPEKA-24h'!C39,'25.08 MATUGA-KAPEKA-24h'!C39,'26.08 MATUGA-KAPEEKA'!C39)</f>
        <v>2.8571428571428572</v>
      </c>
      <c r="D39" s="49">
        <f>0.4*(AVERAGE('20.08 MATUGA-KAPEKA'!E39,'21.08 MATUGA-KAPEKA'!E39,'22.08 MATUGA-KAPEKA'!E39,'23.08 MATUGA-KAPEKA'!E39,'24.08 MATUGA-KAPEKA-24h'!E39,'25.08 MATUGA-KAPEKA-24h'!E39,'26.08 MATUGA-KAPEEKA'!E39))</f>
        <v>1.2571428571428571</v>
      </c>
      <c r="E39" s="49">
        <f>0.6*(AVERAGE('20.08 MATUGA-KAPEKA'!E39,'21.08 MATUGA-KAPEKA'!E39,'22.08 MATUGA-KAPEKA'!E39,'23.08 MATUGA-KAPEKA'!E39,'24.08 MATUGA-KAPEKA-24h'!E39,'25.08 MATUGA-KAPEKA-24h'!E39,'26.08 MATUGA-KAPEEKA'!E39))</f>
        <v>1.8857142857142857</v>
      </c>
      <c r="F39" s="49">
        <f>AVERAGE('20.08 MATUGA-KAPEKA'!F39,'21.08 MATUGA-KAPEKA'!F39,'22.08 MATUGA-KAPEKA'!F39,'23.08 MATUGA-KAPEKA'!F39,'24.08 MATUGA-KAPEKA-24h'!F39,'25.08 MATUGA-KAPEKA-24h'!F39,'26.08 MATUGA-KAPEEKA'!F39)</f>
        <v>1</v>
      </c>
      <c r="G39" s="49">
        <f>AVERAGE('20.08 MATUGA-KAPEKA'!G39,'21.08 MATUGA-KAPEKA'!G39,'22.08 MATUGA-KAPEKA'!G39,'23.08 MATUGA-KAPEKA'!G39,'24.08 MATUGA-KAPEKA-24h'!G39,'25.08 MATUGA-KAPEKA-24h'!G39,'26.08 MATUGA-KAPEEKA'!G39)</f>
        <v>0</v>
      </c>
      <c r="H39" s="49">
        <f>AVERAGE('20.08 MATUGA-KAPEKA'!H39,'21.08 MATUGA-KAPEKA'!H39,'22.08 MATUGA-KAPEKA'!H39,'23.08 MATUGA-KAPEKA'!H39,'24.08 MATUGA-KAPEKA-24h'!H39,'25.08 MATUGA-KAPEKA-24h'!H39,'26.08 MATUGA-KAPEEKA'!H39)</f>
        <v>0</v>
      </c>
      <c r="I39" s="49">
        <f>AVERAGE('20.08 MATUGA-KAPEKA'!I39,'21.08 MATUGA-KAPEKA'!I39,'22.08 MATUGA-KAPEKA'!I39,'23.08 MATUGA-KAPEKA'!I39,'24.08 MATUGA-KAPEKA-24h'!I39,'25.08 MATUGA-KAPEKA-24h'!I39,'26.08 MATUGA-KAPEEKA'!I39)</f>
        <v>2.8571428571428572</v>
      </c>
      <c r="J39" s="49">
        <f>AVERAGE('20.08 MATUGA-KAPEKA'!J39,'21.08 MATUGA-KAPEKA'!J39,'22.08 MATUGA-KAPEKA'!J39,'23.08 MATUGA-KAPEKA'!J39,'24.08 MATUGA-KAPEKA-24h'!J39,'25.08 MATUGA-KAPEKA-24h'!J39,'26.08 MATUGA-KAPEEKA'!J39)</f>
        <v>0.14285714285714285</v>
      </c>
      <c r="K39" s="49">
        <f>AVERAGE('20.08 MATUGA-KAPEKA'!K39,'21.08 MATUGA-KAPEKA'!K39,'22.08 MATUGA-KAPEKA'!K39,'23.08 MATUGA-KAPEKA'!K39,'24.08 MATUGA-KAPEKA-24h'!K39,'25.08 MATUGA-KAPEKA-24h'!K39,'26.08 MATUGA-KAPEEKA'!K39)</f>
        <v>0.42857142857142855</v>
      </c>
      <c r="L39" s="49">
        <f>AVERAGE('20.08 MATUGA-KAPEKA'!L39,'21.08 MATUGA-KAPEKA'!L39,'22.08 MATUGA-KAPEKA'!L39,'23.08 MATUGA-KAPEKA'!L39,'24.08 MATUGA-KAPEKA-24h'!L39,'25.08 MATUGA-KAPEKA-24h'!L39,'26.08 MATUGA-KAPEEKA'!L39)</f>
        <v>0</v>
      </c>
      <c r="M39" s="49">
        <f>AVERAGE('20.08 MATUGA-KAPEKA'!M39,'21.08 MATUGA-KAPEKA'!M39,'22.08 MATUGA-KAPEKA'!M39,'23.08 MATUGA-KAPEKA'!M39,'24.08 MATUGA-KAPEKA-24h'!M39,'25.08 MATUGA-KAPEKA-24h'!M39,'26.08 MATUGA-KAPEEKA'!M39)</f>
        <v>18.285714285714285</v>
      </c>
      <c r="N39" s="49">
        <f>AVERAGE('20.08 MATUGA-KAPEKA'!N39,'21.08 MATUGA-KAPEKA'!N39,'22.08 MATUGA-KAPEKA'!N39,'23.08 MATUGA-KAPEKA'!N39,'24.08 MATUGA-KAPEKA-24h'!N39,'25.08 MATUGA-KAPEKA-24h'!N39,'26.08 MATUGA-KAPEEKA'!N39)</f>
        <v>0</v>
      </c>
      <c r="O39" s="15">
        <f t="shared" si="0"/>
        <v>10.428571428571429</v>
      </c>
      <c r="P39" s="15">
        <f t="shared" si="1"/>
        <v>28.714285714285715</v>
      </c>
      <c r="R39" s="29" t="s">
        <v>87</v>
      </c>
      <c r="S39" s="54">
        <f t="shared" ref="S39:AF39" si="31">SUM(S19:S21)</f>
        <v>32.571428571428569</v>
      </c>
      <c r="T39" s="54">
        <f t="shared" si="31"/>
        <v>16.571428571428569</v>
      </c>
      <c r="U39" s="54">
        <f t="shared" si="31"/>
        <v>24.857142857142854</v>
      </c>
      <c r="V39" s="54">
        <f t="shared" si="31"/>
        <v>26.285714285714285</v>
      </c>
      <c r="W39" s="54">
        <f t="shared" si="31"/>
        <v>1.5714285714285714</v>
      </c>
      <c r="X39" s="54">
        <f t="shared" si="31"/>
        <v>0</v>
      </c>
      <c r="Y39" s="54">
        <f t="shared" si="31"/>
        <v>44.571428571428569</v>
      </c>
      <c r="Z39" s="54">
        <f t="shared" si="31"/>
        <v>4.1428571428571423</v>
      </c>
      <c r="AA39" s="54">
        <f t="shared" si="31"/>
        <v>4.8571428571428577</v>
      </c>
      <c r="AB39" s="54">
        <f t="shared" si="31"/>
        <v>0</v>
      </c>
      <c r="AC39" s="54">
        <f t="shared" si="31"/>
        <v>274.28571428571428</v>
      </c>
      <c r="AD39" s="54">
        <f t="shared" si="31"/>
        <v>0</v>
      </c>
      <c r="AE39" s="55">
        <f t="shared" si="31"/>
        <v>155.42857142857144</v>
      </c>
      <c r="AF39" s="55">
        <f t="shared" si="31"/>
        <v>429.71428571428567</v>
      </c>
    </row>
    <row r="40" spans="2:32" ht="23.1" customHeight="1" x14ac:dyDescent="0.25">
      <c r="B40" s="24" t="s">
        <v>67</v>
      </c>
      <c r="C40" s="49">
        <f>AVERAGE('20.08 MATUGA-KAPEKA'!C40,'21.08 MATUGA-KAPEKA'!C40,'22.08 MATUGA-KAPEKA'!C40,'23.08 MATUGA-KAPEKA'!C40,'24.08 MATUGA-KAPEKA-24h'!C40,'25.08 MATUGA-KAPEKA-24h'!C40,'26.08 MATUGA-KAPEEKA'!C40)</f>
        <v>2.8571428571428572</v>
      </c>
      <c r="D40" s="49">
        <f>0.4*(AVERAGE('20.08 MATUGA-KAPEKA'!E40,'21.08 MATUGA-KAPEKA'!E40,'22.08 MATUGA-KAPEKA'!E40,'23.08 MATUGA-KAPEKA'!E40,'24.08 MATUGA-KAPEKA-24h'!E40,'25.08 MATUGA-KAPEKA-24h'!E40,'26.08 MATUGA-KAPEEKA'!E40))</f>
        <v>1.4857142857142858</v>
      </c>
      <c r="E40" s="49">
        <f>0.6*(AVERAGE('20.08 MATUGA-KAPEKA'!E40,'21.08 MATUGA-KAPEKA'!E40,'22.08 MATUGA-KAPEKA'!E40,'23.08 MATUGA-KAPEKA'!E40,'24.08 MATUGA-KAPEKA-24h'!E40,'25.08 MATUGA-KAPEKA-24h'!E40,'26.08 MATUGA-KAPEEKA'!E40))</f>
        <v>2.2285714285714286</v>
      </c>
      <c r="F40" s="49">
        <f>AVERAGE('20.08 MATUGA-KAPEKA'!F40,'21.08 MATUGA-KAPEKA'!F40,'22.08 MATUGA-KAPEKA'!F40,'23.08 MATUGA-KAPEKA'!F40,'24.08 MATUGA-KAPEKA-24h'!F40,'25.08 MATUGA-KAPEKA-24h'!F40,'26.08 MATUGA-KAPEEKA'!F40)</f>
        <v>1.8571428571428572</v>
      </c>
      <c r="G40" s="49">
        <f>AVERAGE('20.08 MATUGA-KAPEKA'!G40,'21.08 MATUGA-KAPEKA'!G40,'22.08 MATUGA-KAPEKA'!G40,'23.08 MATUGA-KAPEKA'!G40,'24.08 MATUGA-KAPEKA-24h'!G40,'25.08 MATUGA-KAPEKA-24h'!G40,'26.08 MATUGA-KAPEEKA'!G40)</f>
        <v>0</v>
      </c>
      <c r="H40" s="49">
        <f>AVERAGE('20.08 MATUGA-KAPEKA'!H40,'21.08 MATUGA-KAPEKA'!H40,'22.08 MATUGA-KAPEKA'!H40,'23.08 MATUGA-KAPEKA'!H40,'24.08 MATUGA-KAPEKA-24h'!H40,'25.08 MATUGA-KAPEKA-24h'!H40,'26.08 MATUGA-KAPEEKA'!H40)</f>
        <v>0</v>
      </c>
      <c r="I40" s="49">
        <f>AVERAGE('20.08 MATUGA-KAPEKA'!I40,'21.08 MATUGA-KAPEKA'!I40,'22.08 MATUGA-KAPEKA'!I40,'23.08 MATUGA-KAPEKA'!I40,'24.08 MATUGA-KAPEKA-24h'!I40,'25.08 MATUGA-KAPEKA-24h'!I40,'26.08 MATUGA-KAPEEKA'!I40)</f>
        <v>1.8571428571428572</v>
      </c>
      <c r="J40" s="49">
        <f>AVERAGE('20.08 MATUGA-KAPEKA'!J40,'21.08 MATUGA-KAPEKA'!J40,'22.08 MATUGA-KAPEKA'!J40,'23.08 MATUGA-KAPEKA'!J40,'24.08 MATUGA-KAPEKA-24h'!J40,'25.08 MATUGA-KAPEKA-24h'!J40,'26.08 MATUGA-KAPEEKA'!J40)</f>
        <v>1</v>
      </c>
      <c r="K40" s="49">
        <f>AVERAGE('20.08 MATUGA-KAPEKA'!K40,'21.08 MATUGA-KAPEKA'!K40,'22.08 MATUGA-KAPEKA'!K40,'23.08 MATUGA-KAPEKA'!K40,'24.08 MATUGA-KAPEKA-24h'!K40,'25.08 MATUGA-KAPEKA-24h'!K40,'26.08 MATUGA-KAPEEKA'!K40)</f>
        <v>0.2857142857142857</v>
      </c>
      <c r="L40" s="49">
        <f>AVERAGE('20.08 MATUGA-KAPEKA'!L40,'21.08 MATUGA-KAPEKA'!L40,'22.08 MATUGA-KAPEKA'!L40,'23.08 MATUGA-KAPEKA'!L40,'24.08 MATUGA-KAPEKA-24h'!L40,'25.08 MATUGA-KAPEKA-24h'!L40,'26.08 MATUGA-KAPEEKA'!L40)</f>
        <v>0</v>
      </c>
      <c r="M40" s="49">
        <f>AVERAGE('20.08 MATUGA-KAPEKA'!M40,'21.08 MATUGA-KAPEKA'!M40,'22.08 MATUGA-KAPEKA'!M40,'23.08 MATUGA-KAPEKA'!M40,'24.08 MATUGA-KAPEKA-24h'!M40,'25.08 MATUGA-KAPEKA-24h'!M40,'26.08 MATUGA-KAPEEKA'!M40)</f>
        <v>21.857142857142858</v>
      </c>
      <c r="N40" s="49">
        <f>AVERAGE('20.08 MATUGA-KAPEKA'!N40,'21.08 MATUGA-KAPEKA'!N40,'22.08 MATUGA-KAPEKA'!N40,'23.08 MATUGA-KAPEKA'!N40,'24.08 MATUGA-KAPEKA-24h'!N40,'25.08 MATUGA-KAPEKA-24h'!N40,'26.08 MATUGA-KAPEEKA'!N40)</f>
        <v>0</v>
      </c>
      <c r="O40" s="15">
        <f t="shared" si="0"/>
        <v>11.571428571428573</v>
      </c>
      <c r="P40" s="15">
        <f t="shared" si="1"/>
        <v>33.428571428571431</v>
      </c>
      <c r="R40" s="5" t="s">
        <v>17</v>
      </c>
      <c r="S40" s="54">
        <f t="shared" ref="S40:AF40" si="32">SUM(S10:S21)</f>
        <v>83.285714285714292</v>
      </c>
      <c r="T40" s="54">
        <f t="shared" si="32"/>
        <v>43.542857142857137</v>
      </c>
      <c r="U40" s="54">
        <f t="shared" si="32"/>
        <v>65.314285714285717</v>
      </c>
      <c r="V40" s="54">
        <f t="shared" si="32"/>
        <v>70.285714285714292</v>
      </c>
      <c r="W40" s="54">
        <f t="shared" si="32"/>
        <v>2.2857142857142856</v>
      </c>
      <c r="X40" s="54">
        <f t="shared" si="32"/>
        <v>0.14285714285714285</v>
      </c>
      <c r="Y40" s="54">
        <f t="shared" si="32"/>
        <v>112.71428571428571</v>
      </c>
      <c r="Z40" s="54">
        <f t="shared" si="32"/>
        <v>18.714285714285712</v>
      </c>
      <c r="AA40" s="54">
        <f t="shared" si="32"/>
        <v>21.714285714285715</v>
      </c>
      <c r="AB40" s="54">
        <f t="shared" si="32"/>
        <v>0</v>
      </c>
      <c r="AC40" s="54">
        <f t="shared" si="32"/>
        <v>944.71428571428578</v>
      </c>
      <c r="AD40" s="54">
        <f t="shared" si="32"/>
        <v>0.42857142857142855</v>
      </c>
      <c r="AE40" s="55">
        <f t="shared" si="32"/>
        <v>418.42857142857144</v>
      </c>
      <c r="AF40" s="55">
        <f t="shared" si="32"/>
        <v>1363.1428571428571</v>
      </c>
    </row>
    <row r="41" spans="2:32" ht="23.1" customHeight="1" x14ac:dyDescent="0.25">
      <c r="B41" s="23" t="s">
        <v>68</v>
      </c>
      <c r="C41" s="49">
        <f>AVERAGE('20.08 MATUGA-KAPEKA'!C41,'21.08 MATUGA-KAPEKA'!C41,'22.08 MATUGA-KAPEKA'!C41,'23.08 MATUGA-KAPEKA'!C41,'24.08 MATUGA-KAPEKA-24h'!C41,'25.08 MATUGA-KAPEKA-24h'!C41,'26.08 MATUGA-KAPEEKA'!C41)</f>
        <v>2.2857142857142856</v>
      </c>
      <c r="D41" s="49">
        <f>0.4*(AVERAGE('20.08 MATUGA-KAPEKA'!E41,'21.08 MATUGA-KAPEKA'!E41,'22.08 MATUGA-KAPEKA'!E41,'23.08 MATUGA-KAPEKA'!E41,'24.08 MATUGA-KAPEKA-24h'!E41,'25.08 MATUGA-KAPEKA-24h'!E41,'26.08 MATUGA-KAPEEKA'!E41))</f>
        <v>0.74285714285714288</v>
      </c>
      <c r="E41" s="49">
        <f>0.6*(AVERAGE('20.08 MATUGA-KAPEKA'!E41,'21.08 MATUGA-KAPEKA'!E41,'22.08 MATUGA-KAPEKA'!E41,'23.08 MATUGA-KAPEKA'!E41,'24.08 MATUGA-KAPEKA-24h'!E41,'25.08 MATUGA-KAPEKA-24h'!E41,'26.08 MATUGA-KAPEEKA'!E41))</f>
        <v>1.1142857142857143</v>
      </c>
      <c r="F41" s="49">
        <f>AVERAGE('20.08 MATUGA-KAPEKA'!F41,'21.08 MATUGA-KAPEKA'!F41,'22.08 MATUGA-KAPEKA'!F41,'23.08 MATUGA-KAPEKA'!F41,'24.08 MATUGA-KAPEKA-24h'!F41,'25.08 MATUGA-KAPEKA-24h'!F41,'26.08 MATUGA-KAPEEKA'!F41)</f>
        <v>1</v>
      </c>
      <c r="G41" s="49">
        <f>AVERAGE('20.08 MATUGA-KAPEKA'!G41,'21.08 MATUGA-KAPEKA'!G41,'22.08 MATUGA-KAPEKA'!G41,'23.08 MATUGA-KAPEKA'!G41,'24.08 MATUGA-KAPEKA-24h'!G41,'25.08 MATUGA-KAPEKA-24h'!G41,'26.08 MATUGA-KAPEEKA'!G41)</f>
        <v>0.14285714285714285</v>
      </c>
      <c r="H41" s="49">
        <f>AVERAGE('20.08 MATUGA-KAPEKA'!H41,'21.08 MATUGA-KAPEKA'!H41,'22.08 MATUGA-KAPEKA'!H41,'23.08 MATUGA-KAPEKA'!H41,'24.08 MATUGA-KAPEKA-24h'!H41,'25.08 MATUGA-KAPEKA-24h'!H41,'26.08 MATUGA-KAPEEKA'!H41)</f>
        <v>0</v>
      </c>
      <c r="I41" s="49">
        <f>AVERAGE('20.08 MATUGA-KAPEKA'!I41,'21.08 MATUGA-KAPEKA'!I41,'22.08 MATUGA-KAPEKA'!I41,'23.08 MATUGA-KAPEKA'!I41,'24.08 MATUGA-KAPEKA-24h'!I41,'25.08 MATUGA-KAPEKA-24h'!I41,'26.08 MATUGA-KAPEEKA'!I41)</f>
        <v>3.1428571428571428</v>
      </c>
      <c r="J41" s="49">
        <f>AVERAGE('20.08 MATUGA-KAPEKA'!J41,'21.08 MATUGA-KAPEKA'!J41,'22.08 MATUGA-KAPEKA'!J41,'23.08 MATUGA-KAPEKA'!J41,'24.08 MATUGA-KAPEKA-24h'!J41,'25.08 MATUGA-KAPEKA-24h'!J41,'26.08 MATUGA-KAPEEKA'!J41)</f>
        <v>0.14285714285714285</v>
      </c>
      <c r="K41" s="49">
        <f>AVERAGE('20.08 MATUGA-KAPEKA'!K41,'21.08 MATUGA-KAPEKA'!K41,'22.08 MATUGA-KAPEKA'!K41,'23.08 MATUGA-KAPEKA'!K41,'24.08 MATUGA-KAPEKA-24h'!K41,'25.08 MATUGA-KAPEKA-24h'!K41,'26.08 MATUGA-KAPEEKA'!K41)</f>
        <v>0.14285714285714285</v>
      </c>
      <c r="L41" s="49">
        <f>AVERAGE('20.08 MATUGA-KAPEKA'!L41,'21.08 MATUGA-KAPEKA'!L41,'22.08 MATUGA-KAPEKA'!L41,'23.08 MATUGA-KAPEKA'!L41,'24.08 MATUGA-KAPEKA-24h'!L41,'25.08 MATUGA-KAPEKA-24h'!L41,'26.08 MATUGA-KAPEEKA'!L41)</f>
        <v>0</v>
      </c>
      <c r="M41" s="49">
        <f>AVERAGE('20.08 MATUGA-KAPEKA'!M41,'21.08 MATUGA-KAPEKA'!M41,'22.08 MATUGA-KAPEKA'!M41,'23.08 MATUGA-KAPEKA'!M41,'24.08 MATUGA-KAPEKA-24h'!M41,'25.08 MATUGA-KAPEKA-24h'!M41,'26.08 MATUGA-KAPEEKA'!M41)</f>
        <v>19.142857142857142</v>
      </c>
      <c r="N41" s="49">
        <f>AVERAGE('20.08 MATUGA-KAPEKA'!N41,'21.08 MATUGA-KAPEKA'!N41,'22.08 MATUGA-KAPEKA'!N41,'23.08 MATUGA-KAPEKA'!N41,'24.08 MATUGA-KAPEKA-24h'!N41,'25.08 MATUGA-KAPEKA-24h'!N41,'26.08 MATUGA-KAPEEKA'!N41)</f>
        <v>0</v>
      </c>
      <c r="O41" s="15">
        <f t="shared" si="0"/>
        <v>8.7142857142857135</v>
      </c>
      <c r="P41" s="15">
        <f t="shared" si="1"/>
        <v>27.857142857142854</v>
      </c>
      <c r="R41" s="5" t="s">
        <v>175</v>
      </c>
      <c r="S41" s="54">
        <f>SUM(S10:S33)</f>
        <v>140.28571428571428</v>
      </c>
      <c r="T41" s="54">
        <f t="shared" ref="T41:AD41" si="33">SUM(T10:T33)</f>
        <v>67.342857142857142</v>
      </c>
      <c r="U41" s="54">
        <f t="shared" si="33"/>
        <v>98.514285714285734</v>
      </c>
      <c r="V41" s="54">
        <f t="shared" si="33"/>
        <v>100.28571428571429</v>
      </c>
      <c r="W41" s="54">
        <f t="shared" si="33"/>
        <v>2.2857142857142856</v>
      </c>
      <c r="X41" s="54">
        <f t="shared" si="33"/>
        <v>1.1428571428571428</v>
      </c>
      <c r="Y41" s="54">
        <f t="shared" si="33"/>
        <v>164.71428571428572</v>
      </c>
      <c r="Z41" s="54">
        <f t="shared" si="33"/>
        <v>32.714285714285708</v>
      </c>
      <c r="AA41" s="54">
        <f t="shared" si="33"/>
        <v>34.714285714285715</v>
      </c>
      <c r="AB41" s="54">
        <f t="shared" si="33"/>
        <v>0</v>
      </c>
      <c r="AC41" s="54">
        <f t="shared" si="33"/>
        <v>1118.7142857142858</v>
      </c>
      <c r="AD41" s="54">
        <f t="shared" si="33"/>
        <v>0.42857142857142855</v>
      </c>
      <c r="AE41" s="55">
        <f>SUM(AE10:AE33)</f>
        <v>642.42857142857144</v>
      </c>
      <c r="AF41" s="55">
        <f>SUM(AF10:AF33)</f>
        <v>1761.1428571428571</v>
      </c>
    </row>
    <row r="42" spans="2:32" ht="23.1" customHeight="1" x14ac:dyDescent="0.25">
      <c r="B42" s="24" t="s">
        <v>69</v>
      </c>
      <c r="C42" s="49">
        <f>AVERAGE('20.08 MATUGA-KAPEKA'!C42,'21.08 MATUGA-KAPEKA'!C42,'22.08 MATUGA-KAPEKA'!C42,'23.08 MATUGA-KAPEKA'!C42,'24.08 MATUGA-KAPEKA-24h'!C42,'25.08 MATUGA-KAPEKA-24h'!C42,'26.08 MATUGA-KAPEEKA'!C42)</f>
        <v>2.1428571428571428</v>
      </c>
      <c r="D42" s="49">
        <f>0.4*(AVERAGE('20.08 MATUGA-KAPEKA'!E42,'21.08 MATUGA-KAPEKA'!E42,'22.08 MATUGA-KAPEKA'!E42,'23.08 MATUGA-KAPEKA'!E42,'24.08 MATUGA-KAPEKA-24h'!E42,'25.08 MATUGA-KAPEKA-24h'!E42,'26.08 MATUGA-KAPEEKA'!E42))</f>
        <v>0.91428571428571426</v>
      </c>
      <c r="E42" s="49">
        <f>0.6*(AVERAGE('20.08 MATUGA-KAPEKA'!E42,'21.08 MATUGA-KAPEKA'!E42,'22.08 MATUGA-KAPEKA'!E42,'23.08 MATUGA-KAPEKA'!E42,'24.08 MATUGA-KAPEKA-24h'!E42,'25.08 MATUGA-KAPEKA-24h'!E42,'26.08 MATUGA-KAPEEKA'!E42))</f>
        <v>1.3714285714285712</v>
      </c>
      <c r="F42" s="49">
        <f>AVERAGE('20.08 MATUGA-KAPEKA'!F42,'21.08 MATUGA-KAPEKA'!F42,'22.08 MATUGA-KAPEKA'!F42,'23.08 MATUGA-KAPEKA'!F42,'24.08 MATUGA-KAPEKA-24h'!F42,'25.08 MATUGA-KAPEKA-24h'!F42,'26.08 MATUGA-KAPEEKA'!F42)</f>
        <v>1.4285714285714286</v>
      </c>
      <c r="G42" s="49">
        <f>AVERAGE('20.08 MATUGA-KAPEKA'!G42,'21.08 MATUGA-KAPEKA'!G42,'22.08 MATUGA-KAPEKA'!G42,'23.08 MATUGA-KAPEKA'!G42,'24.08 MATUGA-KAPEKA-24h'!G42,'25.08 MATUGA-KAPEKA-24h'!G42,'26.08 MATUGA-KAPEEKA'!G42)</f>
        <v>0</v>
      </c>
      <c r="H42" s="49">
        <f>AVERAGE('20.08 MATUGA-KAPEKA'!H42,'21.08 MATUGA-KAPEKA'!H42,'22.08 MATUGA-KAPEKA'!H42,'23.08 MATUGA-KAPEKA'!H42,'24.08 MATUGA-KAPEKA-24h'!H42,'25.08 MATUGA-KAPEKA-24h'!H42,'26.08 MATUGA-KAPEEKA'!H42)</f>
        <v>0</v>
      </c>
      <c r="I42" s="49">
        <f>AVERAGE('20.08 MATUGA-KAPEKA'!I42,'21.08 MATUGA-KAPEKA'!I42,'22.08 MATUGA-KAPEKA'!I42,'23.08 MATUGA-KAPEKA'!I42,'24.08 MATUGA-KAPEKA-24h'!I42,'25.08 MATUGA-KAPEKA-24h'!I42,'26.08 MATUGA-KAPEEKA'!I42)</f>
        <v>2</v>
      </c>
      <c r="J42" s="49">
        <f>AVERAGE('20.08 MATUGA-KAPEKA'!J42,'21.08 MATUGA-KAPEKA'!J42,'22.08 MATUGA-KAPEKA'!J42,'23.08 MATUGA-KAPEKA'!J42,'24.08 MATUGA-KAPEKA-24h'!J42,'25.08 MATUGA-KAPEKA-24h'!J42,'26.08 MATUGA-KAPEEKA'!J42)</f>
        <v>0.8571428571428571</v>
      </c>
      <c r="K42" s="49">
        <f>AVERAGE('20.08 MATUGA-KAPEKA'!K42,'21.08 MATUGA-KAPEKA'!K42,'22.08 MATUGA-KAPEKA'!K42,'23.08 MATUGA-KAPEKA'!K42,'24.08 MATUGA-KAPEKA-24h'!K42,'25.08 MATUGA-KAPEKA-24h'!K42,'26.08 MATUGA-KAPEEKA'!K42)</f>
        <v>0.2857142857142857</v>
      </c>
      <c r="L42" s="49">
        <f>AVERAGE('20.08 MATUGA-KAPEKA'!L42,'21.08 MATUGA-KAPEKA'!L42,'22.08 MATUGA-KAPEKA'!L42,'23.08 MATUGA-KAPEKA'!L42,'24.08 MATUGA-KAPEKA-24h'!L42,'25.08 MATUGA-KAPEKA-24h'!L42,'26.08 MATUGA-KAPEEKA'!L42)</f>
        <v>0</v>
      </c>
      <c r="M42" s="49">
        <f>AVERAGE('20.08 MATUGA-KAPEKA'!M42,'21.08 MATUGA-KAPEKA'!M42,'22.08 MATUGA-KAPEKA'!M42,'23.08 MATUGA-KAPEKA'!M42,'24.08 MATUGA-KAPEKA-24h'!M42,'25.08 MATUGA-KAPEKA-24h'!M42,'26.08 MATUGA-KAPEEKA'!M42)</f>
        <v>21</v>
      </c>
      <c r="N42" s="49">
        <f>AVERAGE('20.08 MATUGA-KAPEKA'!N42,'21.08 MATUGA-KAPEKA'!N42,'22.08 MATUGA-KAPEKA'!N42,'23.08 MATUGA-KAPEKA'!N42,'24.08 MATUGA-KAPEKA-24h'!N42,'25.08 MATUGA-KAPEKA-24h'!N42,'26.08 MATUGA-KAPEEKA'!N42)</f>
        <v>0</v>
      </c>
      <c r="O42" s="15">
        <f t="shared" si="0"/>
        <v>9</v>
      </c>
      <c r="P42" s="15">
        <f t="shared" si="1"/>
        <v>30</v>
      </c>
      <c r="R42" s="5" t="s">
        <v>160</v>
      </c>
      <c r="S42" s="48">
        <f>S41/S40</f>
        <v>1.6843910806174955</v>
      </c>
      <c r="T42" s="48">
        <f t="shared" ref="T42:AF42" si="34">T41/T40</f>
        <v>1.5465879265091864</v>
      </c>
      <c r="U42" s="48">
        <f t="shared" si="34"/>
        <v>1.5083114610673669</v>
      </c>
      <c r="V42" s="48">
        <f t="shared" si="34"/>
        <v>1.4268292682926829</v>
      </c>
      <c r="W42" s="48">
        <f t="shared" si="34"/>
        <v>1</v>
      </c>
      <c r="X42" s="48">
        <f t="shared" si="34"/>
        <v>8</v>
      </c>
      <c r="Y42" s="48">
        <f t="shared" si="34"/>
        <v>1.461343472750317</v>
      </c>
      <c r="Z42" s="48">
        <f t="shared" si="34"/>
        <v>1.748091603053435</v>
      </c>
      <c r="AA42" s="48">
        <f t="shared" si="34"/>
        <v>1.5986842105263157</v>
      </c>
      <c r="AB42" s="48" t="e">
        <f t="shared" si="34"/>
        <v>#DIV/0!</v>
      </c>
      <c r="AC42" s="48">
        <f t="shared" si="34"/>
        <v>1.1841826704975049</v>
      </c>
      <c r="AD42" s="48">
        <f t="shared" si="34"/>
        <v>1</v>
      </c>
      <c r="AE42" s="56">
        <f t="shared" si="34"/>
        <v>1.5353362922499145</v>
      </c>
      <c r="AF42" s="56">
        <f t="shared" si="34"/>
        <v>1.2919723328442674</v>
      </c>
    </row>
    <row r="43" spans="2:32" ht="23.1" customHeight="1" x14ac:dyDescent="0.25">
      <c r="B43" s="23" t="s">
        <v>70</v>
      </c>
      <c r="C43" s="49">
        <f>AVERAGE('20.08 MATUGA-KAPEKA'!C43,'21.08 MATUGA-KAPEKA'!C43,'22.08 MATUGA-KAPEKA'!C43,'23.08 MATUGA-KAPEKA'!C43,'24.08 MATUGA-KAPEKA-24h'!C43,'25.08 MATUGA-KAPEKA-24h'!C43,'26.08 MATUGA-KAPEEKA'!C43)</f>
        <v>3.1428571428571428</v>
      </c>
      <c r="D43" s="49">
        <f>0.4*(AVERAGE('20.08 MATUGA-KAPEKA'!E43,'21.08 MATUGA-KAPEKA'!E43,'22.08 MATUGA-KAPEKA'!E43,'23.08 MATUGA-KAPEKA'!E43,'24.08 MATUGA-KAPEKA-24h'!E43,'25.08 MATUGA-KAPEKA-24h'!E43,'26.08 MATUGA-KAPEEKA'!E43))</f>
        <v>1.142857142857143</v>
      </c>
      <c r="E43" s="49">
        <f>0.6*(AVERAGE('20.08 MATUGA-KAPEKA'!E43,'21.08 MATUGA-KAPEKA'!E43,'22.08 MATUGA-KAPEKA'!E43,'23.08 MATUGA-KAPEKA'!E43,'24.08 MATUGA-KAPEKA-24h'!E43,'25.08 MATUGA-KAPEKA-24h'!E43,'26.08 MATUGA-KAPEEKA'!E43))</f>
        <v>1.7142857142857142</v>
      </c>
      <c r="F43" s="49">
        <f>AVERAGE('20.08 MATUGA-KAPEKA'!F43,'21.08 MATUGA-KAPEKA'!F43,'22.08 MATUGA-KAPEKA'!F43,'23.08 MATUGA-KAPEKA'!F43,'24.08 MATUGA-KAPEKA-24h'!F43,'25.08 MATUGA-KAPEKA-24h'!F43,'26.08 MATUGA-KAPEEKA'!F43)</f>
        <v>1.5714285714285714</v>
      </c>
      <c r="G43" s="49">
        <f>AVERAGE('20.08 MATUGA-KAPEKA'!G43,'21.08 MATUGA-KAPEKA'!G43,'22.08 MATUGA-KAPEKA'!G43,'23.08 MATUGA-KAPEKA'!G43,'24.08 MATUGA-KAPEKA-24h'!G43,'25.08 MATUGA-KAPEKA-24h'!G43,'26.08 MATUGA-KAPEEKA'!G43)</f>
        <v>0</v>
      </c>
      <c r="H43" s="49">
        <f>AVERAGE('20.08 MATUGA-KAPEKA'!H43,'21.08 MATUGA-KAPEKA'!H43,'22.08 MATUGA-KAPEKA'!H43,'23.08 MATUGA-KAPEKA'!H43,'24.08 MATUGA-KAPEKA-24h'!H43,'25.08 MATUGA-KAPEKA-24h'!H43,'26.08 MATUGA-KAPEEKA'!H43)</f>
        <v>0</v>
      </c>
      <c r="I43" s="49">
        <f>AVERAGE('20.08 MATUGA-KAPEKA'!I43,'21.08 MATUGA-KAPEKA'!I43,'22.08 MATUGA-KAPEKA'!I43,'23.08 MATUGA-KAPEKA'!I43,'24.08 MATUGA-KAPEKA-24h'!I43,'25.08 MATUGA-KAPEKA-24h'!I43,'26.08 MATUGA-KAPEEKA'!I43)</f>
        <v>1.7142857142857142</v>
      </c>
      <c r="J43" s="49">
        <f>AVERAGE('20.08 MATUGA-KAPEKA'!J43,'21.08 MATUGA-KAPEKA'!J43,'22.08 MATUGA-KAPEKA'!J43,'23.08 MATUGA-KAPEKA'!J43,'24.08 MATUGA-KAPEKA-24h'!J43,'25.08 MATUGA-KAPEKA-24h'!J43,'26.08 MATUGA-KAPEEKA'!J43)</f>
        <v>0.5714285714285714</v>
      </c>
      <c r="K43" s="49">
        <f>AVERAGE('20.08 MATUGA-KAPEKA'!K43,'21.08 MATUGA-KAPEKA'!K43,'22.08 MATUGA-KAPEKA'!K43,'23.08 MATUGA-KAPEKA'!K43,'24.08 MATUGA-KAPEKA-24h'!K43,'25.08 MATUGA-KAPEKA-24h'!K43,'26.08 MATUGA-KAPEEKA'!K43)</f>
        <v>0.42857142857142855</v>
      </c>
      <c r="L43" s="49">
        <f>AVERAGE('20.08 MATUGA-KAPEKA'!L43,'21.08 MATUGA-KAPEKA'!L43,'22.08 MATUGA-KAPEKA'!L43,'23.08 MATUGA-KAPEKA'!L43,'24.08 MATUGA-KAPEKA-24h'!L43,'25.08 MATUGA-KAPEKA-24h'!L43,'26.08 MATUGA-KAPEEKA'!L43)</f>
        <v>0</v>
      </c>
      <c r="M43" s="49">
        <f>AVERAGE('20.08 MATUGA-KAPEKA'!M43,'21.08 MATUGA-KAPEKA'!M43,'22.08 MATUGA-KAPEKA'!M43,'23.08 MATUGA-KAPEKA'!M43,'24.08 MATUGA-KAPEKA-24h'!M43,'25.08 MATUGA-KAPEKA-24h'!M43,'26.08 MATUGA-KAPEEKA'!M43)</f>
        <v>22.428571428571427</v>
      </c>
      <c r="N43" s="49">
        <f>AVERAGE('20.08 MATUGA-KAPEKA'!N43,'21.08 MATUGA-KAPEKA'!N43,'22.08 MATUGA-KAPEKA'!N43,'23.08 MATUGA-KAPEKA'!N43,'24.08 MATUGA-KAPEKA-24h'!N43,'25.08 MATUGA-KAPEKA-24h'!N43,'26.08 MATUGA-KAPEEKA'!N43)</f>
        <v>0</v>
      </c>
      <c r="O43" s="15">
        <f t="shared" si="0"/>
        <v>10.285714285714285</v>
      </c>
      <c r="P43" s="15">
        <f t="shared" si="1"/>
        <v>32.714285714285708</v>
      </c>
    </row>
    <row r="44" spans="2:32" ht="23.1" customHeight="1" x14ac:dyDescent="0.25">
      <c r="B44" s="25" t="s">
        <v>71</v>
      </c>
      <c r="C44" s="49">
        <f>AVERAGE('20.08 MATUGA-KAPEKA'!C44,'21.08 MATUGA-KAPEKA'!C44,'22.08 MATUGA-KAPEKA'!C44,'23.08 MATUGA-KAPEKA'!C44,'24.08 MATUGA-KAPEKA-24h'!C44,'25.08 MATUGA-KAPEKA-24h'!C44,'26.08 MATUGA-KAPEEKA'!C44)</f>
        <v>2.2857142857142856</v>
      </c>
      <c r="D44" s="49">
        <f>0.4*(AVERAGE('20.08 MATUGA-KAPEKA'!E44,'21.08 MATUGA-KAPEKA'!E44,'22.08 MATUGA-KAPEKA'!E44,'23.08 MATUGA-KAPEKA'!E44,'24.08 MATUGA-KAPEKA-24h'!E44,'25.08 MATUGA-KAPEKA-24h'!E44,'26.08 MATUGA-KAPEEKA'!E44))</f>
        <v>0.68571428571428572</v>
      </c>
      <c r="E44" s="49">
        <f>0.6*(AVERAGE('20.08 MATUGA-KAPEKA'!E44,'21.08 MATUGA-KAPEKA'!E44,'22.08 MATUGA-KAPEKA'!E44,'23.08 MATUGA-KAPEKA'!E44,'24.08 MATUGA-KAPEKA-24h'!E44,'25.08 MATUGA-KAPEKA-24h'!E44,'26.08 MATUGA-KAPEEKA'!E44))</f>
        <v>1.0285714285714285</v>
      </c>
      <c r="F44" s="49">
        <f>AVERAGE('20.08 MATUGA-KAPEKA'!F44,'21.08 MATUGA-KAPEKA'!F44,'22.08 MATUGA-KAPEKA'!F44,'23.08 MATUGA-KAPEKA'!F44,'24.08 MATUGA-KAPEKA-24h'!F44,'25.08 MATUGA-KAPEKA-24h'!F44,'26.08 MATUGA-KAPEEKA'!F44)</f>
        <v>1.4285714285714286</v>
      </c>
      <c r="G44" s="49">
        <f>AVERAGE('20.08 MATUGA-KAPEKA'!G44,'21.08 MATUGA-KAPEKA'!G44,'22.08 MATUGA-KAPEKA'!G44,'23.08 MATUGA-KAPEKA'!G44,'24.08 MATUGA-KAPEKA-24h'!G44,'25.08 MATUGA-KAPEKA-24h'!G44,'26.08 MATUGA-KAPEEKA'!G44)</f>
        <v>0.14285714285714285</v>
      </c>
      <c r="H44" s="49">
        <f>AVERAGE('20.08 MATUGA-KAPEKA'!H44,'21.08 MATUGA-KAPEKA'!H44,'22.08 MATUGA-KAPEKA'!H44,'23.08 MATUGA-KAPEKA'!H44,'24.08 MATUGA-KAPEKA-24h'!H44,'25.08 MATUGA-KAPEKA-24h'!H44,'26.08 MATUGA-KAPEEKA'!H44)</f>
        <v>0</v>
      </c>
      <c r="I44" s="49">
        <f>AVERAGE('20.08 MATUGA-KAPEKA'!I44,'21.08 MATUGA-KAPEKA'!I44,'22.08 MATUGA-KAPEKA'!I44,'23.08 MATUGA-KAPEKA'!I44,'24.08 MATUGA-KAPEKA-24h'!I44,'25.08 MATUGA-KAPEKA-24h'!I44,'26.08 MATUGA-KAPEEKA'!I44)</f>
        <v>3.2857142857142856</v>
      </c>
      <c r="J44" s="49">
        <f>AVERAGE('20.08 MATUGA-KAPEKA'!J44,'21.08 MATUGA-KAPEKA'!J44,'22.08 MATUGA-KAPEKA'!J44,'23.08 MATUGA-KAPEKA'!J44,'24.08 MATUGA-KAPEKA-24h'!J44,'25.08 MATUGA-KAPEKA-24h'!J44,'26.08 MATUGA-KAPEEKA'!J44)</f>
        <v>0.42857142857142855</v>
      </c>
      <c r="K44" s="49">
        <f>AVERAGE('20.08 MATUGA-KAPEKA'!K44,'21.08 MATUGA-KAPEKA'!K44,'22.08 MATUGA-KAPEKA'!K44,'23.08 MATUGA-KAPEKA'!K44,'24.08 MATUGA-KAPEKA-24h'!K44,'25.08 MATUGA-KAPEKA-24h'!K44,'26.08 MATUGA-KAPEEKA'!K44)</f>
        <v>0.5714285714285714</v>
      </c>
      <c r="L44" s="49">
        <f>AVERAGE('20.08 MATUGA-KAPEKA'!L44,'21.08 MATUGA-KAPEKA'!L44,'22.08 MATUGA-KAPEKA'!L44,'23.08 MATUGA-KAPEKA'!L44,'24.08 MATUGA-KAPEKA-24h'!L44,'25.08 MATUGA-KAPEKA-24h'!L44,'26.08 MATUGA-KAPEEKA'!L44)</f>
        <v>0</v>
      </c>
      <c r="M44" s="49">
        <f>AVERAGE('20.08 MATUGA-KAPEKA'!M44,'21.08 MATUGA-KAPEKA'!M44,'22.08 MATUGA-KAPEKA'!M44,'23.08 MATUGA-KAPEKA'!M44,'24.08 MATUGA-KAPEKA-24h'!M44,'25.08 MATUGA-KAPEKA-24h'!M44,'26.08 MATUGA-KAPEEKA'!M44)</f>
        <v>17</v>
      </c>
      <c r="N44" s="49">
        <f>AVERAGE('20.08 MATUGA-KAPEKA'!N44,'21.08 MATUGA-KAPEKA'!N44,'22.08 MATUGA-KAPEKA'!N44,'23.08 MATUGA-KAPEKA'!N44,'24.08 MATUGA-KAPEKA-24h'!N44,'25.08 MATUGA-KAPEKA-24h'!N44,'26.08 MATUGA-KAPEEKA'!N44)</f>
        <v>0</v>
      </c>
      <c r="O44" s="15">
        <f t="shared" si="0"/>
        <v>9.8571428571428577</v>
      </c>
      <c r="P44" s="15">
        <f t="shared" si="1"/>
        <v>26.857142857142858</v>
      </c>
    </row>
    <row r="45" spans="2:32" ht="23.1" customHeight="1" x14ac:dyDescent="0.25">
      <c r="B45" s="23" t="s">
        <v>72</v>
      </c>
      <c r="C45" s="49">
        <f>AVERAGE('20.08 MATUGA-KAPEKA'!C45,'21.08 MATUGA-KAPEKA'!C45,'22.08 MATUGA-KAPEKA'!C45,'23.08 MATUGA-KAPEKA'!C45,'24.08 MATUGA-KAPEKA-24h'!C45,'25.08 MATUGA-KAPEKA-24h'!C45,'26.08 MATUGA-KAPEEKA'!C45)</f>
        <v>2.4285714285714284</v>
      </c>
      <c r="D45" s="49">
        <f>0.4*(AVERAGE('20.08 MATUGA-KAPEKA'!E45,'21.08 MATUGA-KAPEKA'!E45,'22.08 MATUGA-KAPEKA'!E45,'23.08 MATUGA-KAPEKA'!E45,'24.08 MATUGA-KAPEKA-24h'!E45,'25.08 MATUGA-KAPEKA-24h'!E45,'26.08 MATUGA-KAPEEKA'!E45))</f>
        <v>1.0857142857142859</v>
      </c>
      <c r="E45" s="49">
        <f>0.6*(AVERAGE('20.08 MATUGA-KAPEKA'!E45,'21.08 MATUGA-KAPEKA'!E45,'22.08 MATUGA-KAPEKA'!E45,'23.08 MATUGA-KAPEKA'!E45,'24.08 MATUGA-KAPEKA-24h'!E45,'25.08 MATUGA-KAPEKA-24h'!E45,'26.08 MATUGA-KAPEEKA'!E45))</f>
        <v>1.6285714285714286</v>
      </c>
      <c r="F45" s="49">
        <f>AVERAGE('20.08 MATUGA-KAPEKA'!F45,'21.08 MATUGA-KAPEKA'!F45,'22.08 MATUGA-KAPEKA'!F45,'23.08 MATUGA-KAPEKA'!F45,'24.08 MATUGA-KAPEKA-24h'!F45,'25.08 MATUGA-KAPEKA-24h'!F45,'26.08 MATUGA-KAPEEKA'!F45)</f>
        <v>1.2857142857142858</v>
      </c>
      <c r="G45" s="49">
        <f>AVERAGE('20.08 MATUGA-KAPEKA'!G45,'21.08 MATUGA-KAPEKA'!G45,'22.08 MATUGA-KAPEKA'!G45,'23.08 MATUGA-KAPEKA'!G45,'24.08 MATUGA-KAPEKA-24h'!G45,'25.08 MATUGA-KAPEKA-24h'!G45,'26.08 MATUGA-KAPEEKA'!G45)</f>
        <v>0</v>
      </c>
      <c r="H45" s="49">
        <f>AVERAGE('20.08 MATUGA-KAPEKA'!H45,'21.08 MATUGA-KAPEKA'!H45,'22.08 MATUGA-KAPEKA'!H45,'23.08 MATUGA-KAPEKA'!H45,'24.08 MATUGA-KAPEKA-24h'!H45,'25.08 MATUGA-KAPEKA-24h'!H45,'26.08 MATUGA-KAPEEKA'!H45)</f>
        <v>0</v>
      </c>
      <c r="I45" s="49">
        <f>AVERAGE('20.08 MATUGA-KAPEKA'!I45,'21.08 MATUGA-KAPEKA'!I45,'22.08 MATUGA-KAPEKA'!I45,'23.08 MATUGA-KAPEKA'!I45,'24.08 MATUGA-KAPEKA-24h'!I45,'25.08 MATUGA-KAPEKA-24h'!I45,'26.08 MATUGA-KAPEEKA'!I45)</f>
        <v>2.4285714285714284</v>
      </c>
      <c r="J45" s="49">
        <f>AVERAGE('20.08 MATUGA-KAPEKA'!J45,'21.08 MATUGA-KAPEKA'!J45,'22.08 MATUGA-KAPEKA'!J45,'23.08 MATUGA-KAPEKA'!J45,'24.08 MATUGA-KAPEKA-24h'!J45,'25.08 MATUGA-KAPEKA-24h'!J45,'26.08 MATUGA-KAPEEKA'!J45)</f>
        <v>0.14285714285714285</v>
      </c>
      <c r="K45" s="49">
        <f>AVERAGE('20.08 MATUGA-KAPEKA'!K45,'21.08 MATUGA-KAPEKA'!K45,'22.08 MATUGA-KAPEKA'!K45,'23.08 MATUGA-KAPEKA'!K45,'24.08 MATUGA-KAPEKA-24h'!K45,'25.08 MATUGA-KAPEKA-24h'!K45,'26.08 MATUGA-KAPEEKA'!K45)</f>
        <v>0.42857142857142855</v>
      </c>
      <c r="L45" s="49">
        <f>AVERAGE('20.08 MATUGA-KAPEKA'!L45,'21.08 MATUGA-KAPEKA'!L45,'22.08 MATUGA-KAPEKA'!L45,'23.08 MATUGA-KAPEKA'!L45,'24.08 MATUGA-KAPEKA-24h'!L45,'25.08 MATUGA-KAPEKA-24h'!L45,'26.08 MATUGA-KAPEEKA'!L45)</f>
        <v>0</v>
      </c>
      <c r="M45" s="49">
        <f>AVERAGE('20.08 MATUGA-KAPEKA'!M45,'21.08 MATUGA-KAPEKA'!M45,'22.08 MATUGA-KAPEKA'!M45,'23.08 MATUGA-KAPEKA'!M45,'24.08 MATUGA-KAPEKA-24h'!M45,'25.08 MATUGA-KAPEKA-24h'!M45,'26.08 MATUGA-KAPEEKA'!M45)</f>
        <v>20.857142857142858</v>
      </c>
      <c r="N45" s="49">
        <f>AVERAGE('20.08 MATUGA-KAPEKA'!N45,'21.08 MATUGA-KAPEKA'!N45,'22.08 MATUGA-KAPEKA'!N45,'23.08 MATUGA-KAPEKA'!N45,'24.08 MATUGA-KAPEKA-24h'!N45,'25.08 MATUGA-KAPEKA-24h'!N45,'26.08 MATUGA-KAPEEKA'!N45)</f>
        <v>0</v>
      </c>
      <c r="O45" s="15">
        <f t="shared" si="0"/>
        <v>9.428571428571427</v>
      </c>
      <c r="P45" s="15">
        <f t="shared" si="1"/>
        <v>30.285714285714285</v>
      </c>
    </row>
    <row r="46" spans="2:32" ht="23.1" customHeight="1" x14ac:dyDescent="0.25">
      <c r="B46" s="24" t="s">
        <v>73</v>
      </c>
      <c r="C46" s="49">
        <f>AVERAGE('20.08 MATUGA-KAPEKA'!C46,'21.08 MATUGA-KAPEKA'!C46,'22.08 MATUGA-KAPEKA'!C46,'23.08 MATUGA-KAPEKA'!C46,'24.08 MATUGA-KAPEKA-24h'!C46,'25.08 MATUGA-KAPEKA-24h'!C46,'26.08 MATUGA-KAPEEKA'!C46)</f>
        <v>2.5714285714285716</v>
      </c>
      <c r="D46" s="49">
        <f>0.4*(AVERAGE('20.08 MATUGA-KAPEKA'!E46,'21.08 MATUGA-KAPEKA'!E46,'22.08 MATUGA-KAPEKA'!E46,'23.08 MATUGA-KAPEKA'!E46,'24.08 MATUGA-KAPEKA-24h'!E46,'25.08 MATUGA-KAPEKA-24h'!E46,'26.08 MATUGA-KAPEEKA'!E46))</f>
        <v>1.0857142857142859</v>
      </c>
      <c r="E46" s="49">
        <f>0.6*(AVERAGE('20.08 MATUGA-KAPEKA'!E46,'21.08 MATUGA-KAPEKA'!E46,'22.08 MATUGA-KAPEKA'!E46,'23.08 MATUGA-KAPEKA'!E46,'24.08 MATUGA-KAPEKA-24h'!E46,'25.08 MATUGA-KAPEKA-24h'!E46,'26.08 MATUGA-KAPEEKA'!E46))</f>
        <v>1.6285714285714286</v>
      </c>
      <c r="F46" s="49">
        <f>AVERAGE('20.08 MATUGA-KAPEKA'!F46,'21.08 MATUGA-KAPEKA'!F46,'22.08 MATUGA-KAPEKA'!F46,'23.08 MATUGA-KAPEKA'!F46,'24.08 MATUGA-KAPEKA-24h'!F46,'25.08 MATUGA-KAPEKA-24h'!F46,'26.08 MATUGA-KAPEEKA'!F46)</f>
        <v>1.5714285714285714</v>
      </c>
      <c r="G46" s="49">
        <f>AVERAGE('20.08 MATUGA-KAPEKA'!G46,'21.08 MATUGA-KAPEKA'!G46,'22.08 MATUGA-KAPEKA'!G46,'23.08 MATUGA-KAPEKA'!G46,'24.08 MATUGA-KAPEKA-24h'!G46,'25.08 MATUGA-KAPEKA-24h'!G46,'26.08 MATUGA-KAPEEKA'!G46)</f>
        <v>0.2857142857142857</v>
      </c>
      <c r="H46" s="49">
        <f>AVERAGE('20.08 MATUGA-KAPEKA'!H46,'21.08 MATUGA-KAPEKA'!H46,'22.08 MATUGA-KAPEKA'!H46,'23.08 MATUGA-KAPEKA'!H46,'24.08 MATUGA-KAPEKA-24h'!H46,'25.08 MATUGA-KAPEKA-24h'!H46,'26.08 MATUGA-KAPEEKA'!H46)</f>
        <v>0</v>
      </c>
      <c r="I46" s="49">
        <f>AVERAGE('20.08 MATUGA-KAPEKA'!I46,'21.08 MATUGA-KAPEKA'!I46,'22.08 MATUGA-KAPEKA'!I46,'23.08 MATUGA-KAPEKA'!I46,'24.08 MATUGA-KAPEKA-24h'!I46,'25.08 MATUGA-KAPEKA-24h'!I46,'26.08 MATUGA-KAPEEKA'!I46)</f>
        <v>3.2857142857142856</v>
      </c>
      <c r="J46" s="49">
        <f>AVERAGE('20.08 MATUGA-KAPEKA'!J46,'21.08 MATUGA-KAPEKA'!J46,'22.08 MATUGA-KAPEKA'!J46,'23.08 MATUGA-KAPEKA'!J46,'24.08 MATUGA-KAPEKA-24h'!J46,'25.08 MATUGA-KAPEKA-24h'!J46,'26.08 MATUGA-KAPEEKA'!J46)</f>
        <v>0.2857142857142857</v>
      </c>
      <c r="K46" s="49">
        <f>AVERAGE('20.08 MATUGA-KAPEKA'!K46,'21.08 MATUGA-KAPEKA'!K46,'22.08 MATUGA-KAPEKA'!K46,'23.08 MATUGA-KAPEKA'!K46,'24.08 MATUGA-KAPEKA-24h'!K46,'25.08 MATUGA-KAPEKA-24h'!K46,'26.08 MATUGA-KAPEEKA'!K46)</f>
        <v>0.5714285714285714</v>
      </c>
      <c r="L46" s="49">
        <f>AVERAGE('20.08 MATUGA-KAPEKA'!L46,'21.08 MATUGA-KAPEKA'!L46,'22.08 MATUGA-KAPEKA'!L46,'23.08 MATUGA-KAPEKA'!L46,'24.08 MATUGA-KAPEKA-24h'!L46,'25.08 MATUGA-KAPEKA-24h'!L46,'26.08 MATUGA-KAPEEKA'!L46)</f>
        <v>0</v>
      </c>
      <c r="M46" s="49">
        <f>AVERAGE('20.08 MATUGA-KAPEKA'!M46,'21.08 MATUGA-KAPEKA'!M46,'22.08 MATUGA-KAPEKA'!M46,'23.08 MATUGA-KAPEKA'!M46,'24.08 MATUGA-KAPEKA-24h'!M46,'25.08 MATUGA-KAPEKA-24h'!M46,'26.08 MATUGA-KAPEEKA'!M46)</f>
        <v>18.142857142857142</v>
      </c>
      <c r="N46" s="49">
        <f>AVERAGE('20.08 MATUGA-KAPEKA'!N46,'21.08 MATUGA-KAPEKA'!N46,'22.08 MATUGA-KAPEKA'!N46,'23.08 MATUGA-KAPEKA'!N46,'24.08 MATUGA-KAPEKA-24h'!N46,'25.08 MATUGA-KAPEKA-24h'!N46,'26.08 MATUGA-KAPEEKA'!N46)</f>
        <v>0</v>
      </c>
      <c r="O46" s="15">
        <f t="shared" si="0"/>
        <v>11.285714285714286</v>
      </c>
      <c r="P46" s="15">
        <f t="shared" si="1"/>
        <v>29.428571428571431</v>
      </c>
      <c r="R46" s="8"/>
      <c r="T46"/>
    </row>
    <row r="47" spans="2:32" ht="23.1" customHeight="1" x14ac:dyDescent="0.25">
      <c r="B47" s="24" t="s">
        <v>74</v>
      </c>
      <c r="C47" s="49">
        <f>AVERAGE('20.08 MATUGA-KAPEKA'!C47,'21.08 MATUGA-KAPEKA'!C47,'22.08 MATUGA-KAPEKA'!C47,'23.08 MATUGA-KAPEKA'!C47,'24.08 MATUGA-KAPEKA-24h'!C47,'25.08 MATUGA-KAPEKA-24h'!C47,'26.08 MATUGA-KAPEEKA'!C47)</f>
        <v>2.5714285714285716</v>
      </c>
      <c r="D47" s="49">
        <f>0.4*(AVERAGE('20.08 MATUGA-KAPEKA'!E47,'21.08 MATUGA-KAPEKA'!E47,'22.08 MATUGA-KAPEKA'!E47,'23.08 MATUGA-KAPEKA'!E47,'24.08 MATUGA-KAPEKA-24h'!E47,'25.08 MATUGA-KAPEKA-24h'!E47,'26.08 MATUGA-KAPEEKA'!E47))</f>
        <v>1.5428571428571429</v>
      </c>
      <c r="E47" s="49">
        <f>0.6*(AVERAGE('20.08 MATUGA-KAPEKA'!E47,'21.08 MATUGA-KAPEKA'!E47,'22.08 MATUGA-KAPEKA'!E47,'23.08 MATUGA-KAPEKA'!E47,'24.08 MATUGA-KAPEKA-24h'!E47,'25.08 MATUGA-KAPEKA-24h'!E47,'26.08 MATUGA-KAPEEKA'!E47))</f>
        <v>2.3142857142857141</v>
      </c>
      <c r="F47" s="49">
        <f>AVERAGE('20.08 MATUGA-KAPEKA'!F47,'21.08 MATUGA-KAPEKA'!F47,'22.08 MATUGA-KAPEKA'!F47,'23.08 MATUGA-KAPEKA'!F47,'24.08 MATUGA-KAPEKA-24h'!F47,'25.08 MATUGA-KAPEKA-24h'!F47,'26.08 MATUGA-KAPEEKA'!F47)</f>
        <v>2.1428571428571428</v>
      </c>
      <c r="G47" s="49">
        <f>AVERAGE('20.08 MATUGA-KAPEKA'!G47,'21.08 MATUGA-KAPEKA'!G47,'22.08 MATUGA-KAPEKA'!G47,'23.08 MATUGA-KAPEKA'!G47,'24.08 MATUGA-KAPEKA-24h'!G47,'25.08 MATUGA-KAPEKA-24h'!G47,'26.08 MATUGA-KAPEEKA'!G47)</f>
        <v>0.14285714285714285</v>
      </c>
      <c r="H47" s="49">
        <f>AVERAGE('20.08 MATUGA-KAPEKA'!H47,'21.08 MATUGA-KAPEKA'!H47,'22.08 MATUGA-KAPEKA'!H47,'23.08 MATUGA-KAPEKA'!H47,'24.08 MATUGA-KAPEKA-24h'!H47,'25.08 MATUGA-KAPEKA-24h'!H47,'26.08 MATUGA-KAPEEKA'!H47)</f>
        <v>0</v>
      </c>
      <c r="I47" s="49">
        <f>AVERAGE('20.08 MATUGA-KAPEKA'!I47,'21.08 MATUGA-KAPEKA'!I47,'22.08 MATUGA-KAPEKA'!I47,'23.08 MATUGA-KAPEKA'!I47,'24.08 MATUGA-KAPEKA-24h'!I47,'25.08 MATUGA-KAPEKA-24h'!I47,'26.08 MATUGA-KAPEEKA'!I47)</f>
        <v>4.1428571428571432</v>
      </c>
      <c r="J47" s="49">
        <f>AVERAGE('20.08 MATUGA-KAPEKA'!J47,'21.08 MATUGA-KAPEKA'!J47,'22.08 MATUGA-KAPEKA'!J47,'23.08 MATUGA-KAPEKA'!J47,'24.08 MATUGA-KAPEKA-24h'!J47,'25.08 MATUGA-KAPEKA-24h'!J47,'26.08 MATUGA-KAPEEKA'!J47)</f>
        <v>0.2857142857142857</v>
      </c>
      <c r="K47" s="49">
        <f>AVERAGE('20.08 MATUGA-KAPEKA'!K47,'21.08 MATUGA-KAPEKA'!K47,'22.08 MATUGA-KAPEKA'!K47,'23.08 MATUGA-KAPEKA'!K47,'24.08 MATUGA-KAPEKA-24h'!K47,'25.08 MATUGA-KAPEKA-24h'!K47,'26.08 MATUGA-KAPEEKA'!K47)</f>
        <v>0.42857142857142855</v>
      </c>
      <c r="L47" s="49">
        <f>AVERAGE('20.08 MATUGA-KAPEKA'!L47,'21.08 MATUGA-KAPEKA'!L47,'22.08 MATUGA-KAPEKA'!L47,'23.08 MATUGA-KAPEKA'!L47,'24.08 MATUGA-KAPEKA-24h'!L47,'25.08 MATUGA-KAPEKA-24h'!L47,'26.08 MATUGA-KAPEEKA'!L47)</f>
        <v>0</v>
      </c>
      <c r="M47" s="49">
        <f>AVERAGE('20.08 MATUGA-KAPEKA'!M47,'21.08 MATUGA-KAPEKA'!M47,'22.08 MATUGA-KAPEKA'!M47,'23.08 MATUGA-KAPEKA'!M47,'24.08 MATUGA-KAPEKA-24h'!M47,'25.08 MATUGA-KAPEKA-24h'!M47,'26.08 MATUGA-KAPEEKA'!M47)</f>
        <v>18.571428571428573</v>
      </c>
      <c r="N47" s="49">
        <f>AVERAGE('20.08 MATUGA-KAPEKA'!N47,'21.08 MATUGA-KAPEKA'!N47,'22.08 MATUGA-KAPEKA'!N47,'23.08 MATUGA-KAPEKA'!N47,'24.08 MATUGA-KAPEKA-24h'!N47,'25.08 MATUGA-KAPEKA-24h'!N47,'26.08 MATUGA-KAPEEKA'!N47)</f>
        <v>0</v>
      </c>
      <c r="O47" s="15">
        <f t="shared" si="0"/>
        <v>13.571428571428573</v>
      </c>
      <c r="P47" s="15">
        <f t="shared" si="1"/>
        <v>32.142857142857146</v>
      </c>
      <c r="R47" s="8"/>
      <c r="T47"/>
    </row>
    <row r="48" spans="2:32" ht="23.1" customHeight="1" x14ac:dyDescent="0.25">
      <c r="B48" s="24" t="s">
        <v>75</v>
      </c>
      <c r="C48" s="49">
        <f>AVERAGE('20.08 MATUGA-KAPEKA'!C48,'21.08 MATUGA-KAPEKA'!C48,'22.08 MATUGA-KAPEKA'!C48,'23.08 MATUGA-KAPEKA'!C48,'24.08 MATUGA-KAPEKA-24h'!C48,'25.08 MATUGA-KAPEKA-24h'!C48,'26.08 MATUGA-KAPEEKA'!C48)</f>
        <v>2.8571428571428572</v>
      </c>
      <c r="D48" s="49">
        <f>0.4*(AVERAGE('20.08 MATUGA-KAPEKA'!E48,'21.08 MATUGA-KAPEKA'!E48,'22.08 MATUGA-KAPEKA'!E48,'23.08 MATUGA-KAPEKA'!E48,'24.08 MATUGA-KAPEKA-24h'!E48,'25.08 MATUGA-KAPEKA-24h'!E48,'26.08 MATUGA-KAPEEKA'!E48))</f>
        <v>1.3714285714285714</v>
      </c>
      <c r="E48" s="49">
        <f>0.6*(AVERAGE('20.08 MATUGA-KAPEKA'!E48,'21.08 MATUGA-KAPEKA'!E48,'22.08 MATUGA-KAPEKA'!E48,'23.08 MATUGA-KAPEKA'!E48,'24.08 MATUGA-KAPEKA-24h'!E48,'25.08 MATUGA-KAPEKA-24h'!E48,'26.08 MATUGA-KAPEEKA'!E48))</f>
        <v>2.0571428571428569</v>
      </c>
      <c r="F48" s="49">
        <f>AVERAGE('20.08 MATUGA-KAPEKA'!F48,'21.08 MATUGA-KAPEKA'!F48,'22.08 MATUGA-KAPEKA'!F48,'23.08 MATUGA-KAPEKA'!F48,'24.08 MATUGA-KAPEKA-24h'!F48,'25.08 MATUGA-KAPEKA-24h'!F48,'26.08 MATUGA-KAPEEKA'!F48)</f>
        <v>2.4285714285714284</v>
      </c>
      <c r="G48" s="49">
        <f>AVERAGE('20.08 MATUGA-KAPEKA'!G48,'21.08 MATUGA-KAPEKA'!G48,'22.08 MATUGA-KAPEKA'!G48,'23.08 MATUGA-KAPEKA'!G48,'24.08 MATUGA-KAPEKA-24h'!G48,'25.08 MATUGA-KAPEKA-24h'!G48,'26.08 MATUGA-KAPEEKA'!G48)</f>
        <v>0.42857142857142855</v>
      </c>
      <c r="H48" s="49">
        <f>AVERAGE('20.08 MATUGA-KAPEKA'!H48,'21.08 MATUGA-KAPEKA'!H48,'22.08 MATUGA-KAPEKA'!H48,'23.08 MATUGA-KAPEKA'!H48,'24.08 MATUGA-KAPEKA-24h'!H48,'25.08 MATUGA-KAPEKA-24h'!H48,'26.08 MATUGA-KAPEEKA'!H48)</f>
        <v>0</v>
      </c>
      <c r="I48" s="49">
        <f>AVERAGE('20.08 MATUGA-KAPEKA'!I48,'21.08 MATUGA-KAPEKA'!I48,'22.08 MATUGA-KAPEKA'!I48,'23.08 MATUGA-KAPEKA'!I48,'24.08 MATUGA-KAPEKA-24h'!I48,'25.08 MATUGA-KAPEKA-24h'!I48,'26.08 MATUGA-KAPEEKA'!I48)</f>
        <v>3</v>
      </c>
      <c r="J48" s="49">
        <f>AVERAGE('20.08 MATUGA-KAPEKA'!J48,'21.08 MATUGA-KAPEKA'!J48,'22.08 MATUGA-KAPEKA'!J48,'23.08 MATUGA-KAPEKA'!J48,'24.08 MATUGA-KAPEKA-24h'!J48,'25.08 MATUGA-KAPEKA-24h'!J48,'26.08 MATUGA-KAPEEKA'!J48)</f>
        <v>0.8571428571428571</v>
      </c>
      <c r="K48" s="49">
        <f>AVERAGE('20.08 MATUGA-KAPEKA'!K48,'21.08 MATUGA-KAPEKA'!K48,'22.08 MATUGA-KAPEKA'!K48,'23.08 MATUGA-KAPEKA'!K48,'24.08 MATUGA-KAPEKA-24h'!K48,'25.08 MATUGA-KAPEKA-24h'!K48,'26.08 MATUGA-KAPEEKA'!K48)</f>
        <v>0.14285714285714285</v>
      </c>
      <c r="L48" s="49">
        <f>AVERAGE('20.08 MATUGA-KAPEKA'!L48,'21.08 MATUGA-KAPEKA'!L48,'22.08 MATUGA-KAPEKA'!L48,'23.08 MATUGA-KAPEKA'!L48,'24.08 MATUGA-KAPEKA-24h'!L48,'25.08 MATUGA-KAPEKA-24h'!L48,'26.08 MATUGA-KAPEEKA'!L48)</f>
        <v>0</v>
      </c>
      <c r="M48" s="49">
        <f>AVERAGE('20.08 MATUGA-KAPEKA'!M48,'21.08 MATUGA-KAPEKA'!M48,'22.08 MATUGA-KAPEKA'!M48,'23.08 MATUGA-KAPEKA'!M48,'24.08 MATUGA-KAPEKA-24h'!M48,'25.08 MATUGA-KAPEKA-24h'!M48,'26.08 MATUGA-KAPEEKA'!M48)</f>
        <v>19</v>
      </c>
      <c r="N48" s="49">
        <f>AVERAGE('20.08 MATUGA-KAPEKA'!N48,'21.08 MATUGA-KAPEKA'!N48,'22.08 MATUGA-KAPEKA'!N48,'23.08 MATUGA-KAPEKA'!N48,'24.08 MATUGA-KAPEKA-24h'!N48,'25.08 MATUGA-KAPEKA-24h'!N48,'26.08 MATUGA-KAPEEKA'!N48)</f>
        <v>0</v>
      </c>
      <c r="O48" s="15">
        <f t="shared" si="0"/>
        <v>13.142857142857142</v>
      </c>
      <c r="P48" s="15">
        <f t="shared" si="1"/>
        <v>32.142857142857139</v>
      </c>
      <c r="R48" s="8"/>
      <c r="T48"/>
    </row>
    <row r="49" spans="2:20" ht="23.1" customHeight="1" x14ac:dyDescent="0.25">
      <c r="B49" s="23" t="s">
        <v>76</v>
      </c>
      <c r="C49" s="49">
        <f>AVERAGE('20.08 MATUGA-KAPEKA'!C49,'21.08 MATUGA-KAPEKA'!C49,'22.08 MATUGA-KAPEKA'!C49,'23.08 MATUGA-KAPEKA'!C49,'24.08 MATUGA-KAPEKA-24h'!C49,'25.08 MATUGA-KAPEKA-24h'!C49,'26.08 MATUGA-KAPEEKA'!C49)</f>
        <v>1.8571428571428572</v>
      </c>
      <c r="D49" s="49">
        <f>0.4*(AVERAGE('20.08 MATUGA-KAPEKA'!E49,'21.08 MATUGA-KAPEKA'!E49,'22.08 MATUGA-KAPEKA'!E49,'23.08 MATUGA-KAPEKA'!E49,'24.08 MATUGA-KAPEKA-24h'!E49,'25.08 MATUGA-KAPEKA-24h'!E49,'26.08 MATUGA-KAPEEKA'!E49))</f>
        <v>1.5428571428571429</v>
      </c>
      <c r="E49" s="49">
        <f>0.6*(AVERAGE('20.08 MATUGA-KAPEKA'!E49,'21.08 MATUGA-KAPEKA'!E49,'22.08 MATUGA-KAPEKA'!E49,'23.08 MATUGA-KAPEKA'!E49,'24.08 MATUGA-KAPEKA-24h'!E49,'25.08 MATUGA-KAPEKA-24h'!E49,'26.08 MATUGA-KAPEEKA'!E49))</f>
        <v>2.3142857142857141</v>
      </c>
      <c r="F49" s="49">
        <f>AVERAGE('20.08 MATUGA-KAPEKA'!F49,'21.08 MATUGA-KAPEKA'!F49,'22.08 MATUGA-KAPEKA'!F49,'23.08 MATUGA-KAPEKA'!F49,'24.08 MATUGA-KAPEKA-24h'!F49,'25.08 MATUGA-KAPEKA-24h'!F49,'26.08 MATUGA-KAPEEKA'!F49)</f>
        <v>2.7142857142857144</v>
      </c>
      <c r="G49" s="49">
        <f>AVERAGE('20.08 MATUGA-KAPEKA'!G49,'21.08 MATUGA-KAPEKA'!G49,'22.08 MATUGA-KAPEKA'!G49,'23.08 MATUGA-KAPEKA'!G49,'24.08 MATUGA-KAPEKA-24h'!G49,'25.08 MATUGA-KAPEKA-24h'!G49,'26.08 MATUGA-KAPEEKA'!G49)</f>
        <v>0.14285714285714285</v>
      </c>
      <c r="H49" s="49">
        <f>AVERAGE('20.08 MATUGA-KAPEKA'!H49,'21.08 MATUGA-KAPEKA'!H49,'22.08 MATUGA-KAPEKA'!H49,'23.08 MATUGA-KAPEKA'!H49,'24.08 MATUGA-KAPEKA-24h'!H49,'25.08 MATUGA-KAPEKA-24h'!H49,'26.08 MATUGA-KAPEEKA'!H49)</f>
        <v>0</v>
      </c>
      <c r="I49" s="49">
        <f>AVERAGE('20.08 MATUGA-KAPEKA'!I49,'21.08 MATUGA-KAPEKA'!I49,'22.08 MATUGA-KAPEKA'!I49,'23.08 MATUGA-KAPEKA'!I49,'24.08 MATUGA-KAPEKA-24h'!I49,'25.08 MATUGA-KAPEKA-24h'!I49,'26.08 MATUGA-KAPEEKA'!I49)</f>
        <v>2</v>
      </c>
      <c r="J49" s="49">
        <f>AVERAGE('20.08 MATUGA-KAPEKA'!J49,'21.08 MATUGA-KAPEKA'!J49,'22.08 MATUGA-KAPEKA'!J49,'23.08 MATUGA-KAPEKA'!J49,'24.08 MATUGA-KAPEKA-24h'!J49,'25.08 MATUGA-KAPEKA-24h'!J49,'26.08 MATUGA-KAPEEKA'!J49)</f>
        <v>0.5714285714285714</v>
      </c>
      <c r="K49" s="49">
        <f>AVERAGE('20.08 MATUGA-KAPEKA'!K49,'21.08 MATUGA-KAPEKA'!K49,'22.08 MATUGA-KAPEKA'!K49,'23.08 MATUGA-KAPEKA'!K49,'24.08 MATUGA-KAPEKA-24h'!K49,'25.08 MATUGA-KAPEKA-24h'!K49,'26.08 MATUGA-KAPEEKA'!K49)</f>
        <v>0.42857142857142855</v>
      </c>
      <c r="L49" s="49">
        <f>AVERAGE('20.08 MATUGA-KAPEKA'!L49,'21.08 MATUGA-KAPEKA'!L49,'22.08 MATUGA-KAPEKA'!L49,'23.08 MATUGA-KAPEKA'!L49,'24.08 MATUGA-KAPEKA-24h'!L49,'25.08 MATUGA-KAPEKA-24h'!L49,'26.08 MATUGA-KAPEEKA'!L49)</f>
        <v>0</v>
      </c>
      <c r="M49" s="49">
        <f>AVERAGE('20.08 MATUGA-KAPEKA'!M49,'21.08 MATUGA-KAPEKA'!M49,'22.08 MATUGA-KAPEKA'!M49,'23.08 MATUGA-KAPEKA'!M49,'24.08 MATUGA-KAPEKA-24h'!M49,'25.08 MATUGA-KAPEKA-24h'!M49,'26.08 MATUGA-KAPEEKA'!M49)</f>
        <v>18.285714285714285</v>
      </c>
      <c r="N49" s="49">
        <f>AVERAGE('20.08 MATUGA-KAPEKA'!N49,'21.08 MATUGA-KAPEKA'!N49,'22.08 MATUGA-KAPEKA'!N49,'23.08 MATUGA-KAPEKA'!N49,'24.08 MATUGA-KAPEKA-24h'!N49,'25.08 MATUGA-KAPEKA-24h'!N49,'26.08 MATUGA-KAPEEKA'!N49)</f>
        <v>0</v>
      </c>
      <c r="O49" s="15">
        <f t="shared" si="0"/>
        <v>11.571428571428571</v>
      </c>
      <c r="P49" s="15">
        <f t="shared" si="1"/>
        <v>29.857142857142854</v>
      </c>
      <c r="R49" s="8"/>
      <c r="T49"/>
    </row>
    <row r="50" spans="2:20" ht="23.1" customHeight="1" x14ac:dyDescent="0.25">
      <c r="B50" s="24" t="s">
        <v>77</v>
      </c>
      <c r="C50" s="49">
        <f>AVERAGE('20.08 MATUGA-KAPEKA'!C50,'21.08 MATUGA-KAPEKA'!C50,'22.08 MATUGA-KAPEKA'!C50,'23.08 MATUGA-KAPEKA'!C50,'24.08 MATUGA-KAPEKA-24h'!C50,'25.08 MATUGA-KAPEKA-24h'!C50,'26.08 MATUGA-KAPEEKA'!C50)</f>
        <v>3.1428571428571428</v>
      </c>
      <c r="D50" s="49">
        <f>0.4*(AVERAGE('20.08 MATUGA-KAPEKA'!E50,'21.08 MATUGA-KAPEKA'!E50,'22.08 MATUGA-KAPEKA'!E50,'23.08 MATUGA-KAPEKA'!E50,'24.08 MATUGA-KAPEKA-24h'!E50,'25.08 MATUGA-KAPEKA-24h'!E50,'26.08 MATUGA-KAPEEKA'!E50))</f>
        <v>1.7142857142857144</v>
      </c>
      <c r="E50" s="49">
        <f>0.6*(AVERAGE('20.08 MATUGA-KAPEKA'!E50,'21.08 MATUGA-KAPEKA'!E50,'22.08 MATUGA-KAPEKA'!E50,'23.08 MATUGA-KAPEKA'!E50,'24.08 MATUGA-KAPEKA-24h'!E50,'25.08 MATUGA-KAPEKA-24h'!E50,'26.08 MATUGA-KAPEEKA'!E50))</f>
        <v>2.5714285714285712</v>
      </c>
      <c r="F50" s="49">
        <f>AVERAGE('20.08 MATUGA-KAPEKA'!F50,'21.08 MATUGA-KAPEKA'!F50,'22.08 MATUGA-KAPEKA'!F50,'23.08 MATUGA-KAPEKA'!F50,'24.08 MATUGA-KAPEKA-24h'!F50,'25.08 MATUGA-KAPEKA-24h'!F50,'26.08 MATUGA-KAPEEKA'!F50)</f>
        <v>2.2857142857142856</v>
      </c>
      <c r="G50" s="49">
        <f>AVERAGE('20.08 MATUGA-KAPEKA'!G50,'21.08 MATUGA-KAPEKA'!G50,'22.08 MATUGA-KAPEKA'!G50,'23.08 MATUGA-KAPEKA'!G50,'24.08 MATUGA-KAPEKA-24h'!G50,'25.08 MATUGA-KAPEKA-24h'!G50,'26.08 MATUGA-KAPEEKA'!G50)</f>
        <v>0</v>
      </c>
      <c r="H50" s="49">
        <f>AVERAGE('20.08 MATUGA-KAPEKA'!H50,'21.08 MATUGA-KAPEKA'!H50,'22.08 MATUGA-KAPEKA'!H50,'23.08 MATUGA-KAPEKA'!H50,'24.08 MATUGA-KAPEKA-24h'!H50,'25.08 MATUGA-KAPEKA-24h'!H50,'26.08 MATUGA-KAPEEKA'!H50)</f>
        <v>0</v>
      </c>
      <c r="I50" s="49">
        <f>AVERAGE('20.08 MATUGA-KAPEKA'!I50,'21.08 MATUGA-KAPEKA'!I50,'22.08 MATUGA-KAPEKA'!I50,'23.08 MATUGA-KAPEKA'!I50,'24.08 MATUGA-KAPEKA-24h'!I50,'25.08 MATUGA-KAPEKA-24h'!I50,'26.08 MATUGA-KAPEEKA'!I50)</f>
        <v>3.7142857142857144</v>
      </c>
      <c r="J50" s="49">
        <f>AVERAGE('20.08 MATUGA-KAPEKA'!J50,'21.08 MATUGA-KAPEKA'!J50,'22.08 MATUGA-KAPEKA'!J50,'23.08 MATUGA-KAPEKA'!J50,'24.08 MATUGA-KAPEKA-24h'!J50,'25.08 MATUGA-KAPEKA-24h'!J50,'26.08 MATUGA-KAPEEKA'!J50)</f>
        <v>0.7142857142857143</v>
      </c>
      <c r="K50" s="49">
        <f>AVERAGE('20.08 MATUGA-KAPEKA'!K50,'21.08 MATUGA-KAPEKA'!K50,'22.08 MATUGA-KAPEKA'!K50,'23.08 MATUGA-KAPEKA'!K50,'24.08 MATUGA-KAPEKA-24h'!K50,'25.08 MATUGA-KAPEKA-24h'!K50,'26.08 MATUGA-KAPEEKA'!K50)</f>
        <v>0.14285714285714285</v>
      </c>
      <c r="L50" s="49">
        <f>AVERAGE('20.08 MATUGA-KAPEKA'!L50,'21.08 MATUGA-KAPEKA'!L50,'22.08 MATUGA-KAPEKA'!L50,'23.08 MATUGA-KAPEKA'!L50,'24.08 MATUGA-KAPEKA-24h'!L50,'25.08 MATUGA-KAPEKA-24h'!L50,'26.08 MATUGA-KAPEEKA'!L50)</f>
        <v>0</v>
      </c>
      <c r="M50" s="49">
        <f>AVERAGE('20.08 MATUGA-KAPEKA'!M50,'21.08 MATUGA-KAPEKA'!M50,'22.08 MATUGA-KAPEKA'!M50,'23.08 MATUGA-KAPEKA'!M50,'24.08 MATUGA-KAPEKA-24h'!M50,'25.08 MATUGA-KAPEKA-24h'!M50,'26.08 MATUGA-KAPEEKA'!M50)</f>
        <v>19.285714285714285</v>
      </c>
      <c r="N50" s="49">
        <f>AVERAGE('20.08 MATUGA-KAPEKA'!N50,'21.08 MATUGA-KAPEKA'!N50,'22.08 MATUGA-KAPEKA'!N50,'23.08 MATUGA-KAPEKA'!N50,'24.08 MATUGA-KAPEKA-24h'!N50,'25.08 MATUGA-KAPEKA-24h'!N50,'26.08 MATUGA-KAPEEKA'!N50)</f>
        <v>0</v>
      </c>
      <c r="O50" s="15">
        <f t="shared" si="0"/>
        <v>14.285714285714286</v>
      </c>
      <c r="P50" s="15">
        <f t="shared" si="1"/>
        <v>33.571428571428569</v>
      </c>
      <c r="R50" s="8"/>
      <c r="T50"/>
    </row>
    <row r="51" spans="2:20" ht="23.1" customHeight="1" x14ac:dyDescent="0.25">
      <c r="B51" s="24" t="s">
        <v>78</v>
      </c>
      <c r="C51" s="49">
        <f>AVERAGE('20.08 MATUGA-KAPEKA'!C51,'21.08 MATUGA-KAPEKA'!C51,'22.08 MATUGA-KAPEKA'!C51,'23.08 MATUGA-KAPEKA'!C51,'24.08 MATUGA-KAPEKA-24h'!C51,'25.08 MATUGA-KAPEKA-24h'!C51,'26.08 MATUGA-KAPEEKA'!C51)</f>
        <v>2.5714285714285716</v>
      </c>
      <c r="D51" s="49">
        <f>0.4*(AVERAGE('20.08 MATUGA-KAPEKA'!E51,'21.08 MATUGA-KAPEKA'!E51,'22.08 MATUGA-KAPEKA'!E51,'23.08 MATUGA-KAPEKA'!E51,'24.08 MATUGA-KAPEKA-24h'!E51,'25.08 MATUGA-KAPEKA-24h'!E51,'26.08 MATUGA-KAPEEKA'!E51))</f>
        <v>1.0285714285714287</v>
      </c>
      <c r="E51" s="49">
        <f>0.6*(AVERAGE('20.08 MATUGA-KAPEKA'!E51,'21.08 MATUGA-KAPEKA'!E51,'22.08 MATUGA-KAPEKA'!E51,'23.08 MATUGA-KAPEKA'!E51,'24.08 MATUGA-KAPEKA-24h'!E51,'25.08 MATUGA-KAPEKA-24h'!E51,'26.08 MATUGA-KAPEEKA'!E51))</f>
        <v>1.5428571428571429</v>
      </c>
      <c r="F51" s="49">
        <f>AVERAGE('20.08 MATUGA-KAPEKA'!F51,'21.08 MATUGA-KAPEKA'!F51,'22.08 MATUGA-KAPEKA'!F51,'23.08 MATUGA-KAPEKA'!F51,'24.08 MATUGA-KAPEKA-24h'!F51,'25.08 MATUGA-KAPEKA-24h'!F51,'26.08 MATUGA-KAPEEKA'!F51)</f>
        <v>1.8571428571428572</v>
      </c>
      <c r="G51" s="49">
        <f>AVERAGE('20.08 MATUGA-KAPEKA'!G51,'21.08 MATUGA-KAPEKA'!G51,'22.08 MATUGA-KAPEKA'!G51,'23.08 MATUGA-KAPEKA'!G51,'24.08 MATUGA-KAPEKA-24h'!G51,'25.08 MATUGA-KAPEKA-24h'!G51,'26.08 MATUGA-KAPEEKA'!G51)</f>
        <v>0</v>
      </c>
      <c r="H51" s="49">
        <f>AVERAGE('20.08 MATUGA-KAPEKA'!H51,'21.08 MATUGA-KAPEKA'!H51,'22.08 MATUGA-KAPEKA'!H51,'23.08 MATUGA-KAPEKA'!H51,'24.08 MATUGA-KAPEKA-24h'!H51,'25.08 MATUGA-KAPEKA-24h'!H51,'26.08 MATUGA-KAPEEKA'!H51)</f>
        <v>0</v>
      </c>
      <c r="I51" s="49">
        <f>AVERAGE('20.08 MATUGA-KAPEKA'!I51,'21.08 MATUGA-KAPEKA'!I51,'22.08 MATUGA-KAPEKA'!I51,'23.08 MATUGA-KAPEKA'!I51,'24.08 MATUGA-KAPEKA-24h'!I51,'25.08 MATUGA-KAPEKA-24h'!I51,'26.08 MATUGA-KAPEEKA'!I51)</f>
        <v>3.7142857142857144</v>
      </c>
      <c r="J51" s="49">
        <f>AVERAGE('20.08 MATUGA-KAPEKA'!J51,'21.08 MATUGA-KAPEKA'!J51,'22.08 MATUGA-KAPEKA'!J51,'23.08 MATUGA-KAPEKA'!J51,'24.08 MATUGA-KAPEKA-24h'!J51,'25.08 MATUGA-KAPEKA-24h'!J51,'26.08 MATUGA-KAPEEKA'!J51)</f>
        <v>0.42857142857142855</v>
      </c>
      <c r="K51" s="49">
        <f>AVERAGE('20.08 MATUGA-KAPEKA'!K51,'21.08 MATUGA-KAPEKA'!K51,'22.08 MATUGA-KAPEKA'!K51,'23.08 MATUGA-KAPEKA'!K51,'24.08 MATUGA-KAPEKA-24h'!K51,'25.08 MATUGA-KAPEKA-24h'!K51,'26.08 MATUGA-KAPEEKA'!K51)</f>
        <v>0.7142857142857143</v>
      </c>
      <c r="L51" s="49">
        <f>AVERAGE('20.08 MATUGA-KAPEKA'!L51,'21.08 MATUGA-KAPEKA'!L51,'22.08 MATUGA-KAPEKA'!L51,'23.08 MATUGA-KAPEKA'!L51,'24.08 MATUGA-KAPEKA-24h'!L51,'25.08 MATUGA-KAPEKA-24h'!L51,'26.08 MATUGA-KAPEEKA'!L51)</f>
        <v>0</v>
      </c>
      <c r="M51" s="49">
        <f>AVERAGE('20.08 MATUGA-KAPEKA'!M51,'21.08 MATUGA-KAPEKA'!M51,'22.08 MATUGA-KAPEKA'!M51,'23.08 MATUGA-KAPEKA'!M51,'24.08 MATUGA-KAPEKA-24h'!M51,'25.08 MATUGA-KAPEKA-24h'!M51,'26.08 MATUGA-KAPEEKA'!M51)</f>
        <v>25.571428571428573</v>
      </c>
      <c r="N51" s="49">
        <f>AVERAGE('20.08 MATUGA-KAPEKA'!N51,'21.08 MATUGA-KAPEKA'!N51,'22.08 MATUGA-KAPEKA'!N51,'23.08 MATUGA-KAPEKA'!N51,'24.08 MATUGA-KAPEKA-24h'!N51,'25.08 MATUGA-KAPEKA-24h'!N51,'26.08 MATUGA-KAPEEKA'!N51)</f>
        <v>0</v>
      </c>
      <c r="O51" s="15">
        <f t="shared" si="0"/>
        <v>11.857142857142858</v>
      </c>
      <c r="P51" s="15">
        <f t="shared" si="1"/>
        <v>37.428571428571431</v>
      </c>
      <c r="R51" s="8"/>
      <c r="T51"/>
    </row>
    <row r="52" spans="2:20" ht="23.1" customHeight="1" x14ac:dyDescent="0.25">
      <c r="B52" s="24" t="s">
        <v>79</v>
      </c>
      <c r="C52" s="49">
        <f>AVERAGE('20.08 MATUGA-KAPEKA'!C52,'21.08 MATUGA-KAPEKA'!C52,'22.08 MATUGA-KAPEKA'!C52,'23.08 MATUGA-KAPEKA'!C52,'24.08 MATUGA-KAPEKA-24h'!C52,'25.08 MATUGA-KAPEKA-24h'!C52,'26.08 MATUGA-KAPEEKA'!C52)</f>
        <v>2.4285714285714284</v>
      </c>
      <c r="D52" s="49">
        <f>0.4*(AVERAGE('20.08 MATUGA-KAPEKA'!E52,'21.08 MATUGA-KAPEKA'!E52,'22.08 MATUGA-KAPEKA'!E52,'23.08 MATUGA-KAPEKA'!E52,'24.08 MATUGA-KAPEKA-24h'!E52,'25.08 MATUGA-KAPEKA-24h'!E52,'26.08 MATUGA-KAPEEKA'!E52))</f>
        <v>2.7428571428571429</v>
      </c>
      <c r="E52" s="49">
        <f>0.6*(AVERAGE('20.08 MATUGA-KAPEKA'!E52,'21.08 MATUGA-KAPEKA'!E52,'22.08 MATUGA-KAPEKA'!E52,'23.08 MATUGA-KAPEKA'!E52,'24.08 MATUGA-KAPEKA-24h'!E52,'25.08 MATUGA-KAPEKA-24h'!E52,'26.08 MATUGA-KAPEEKA'!E52))</f>
        <v>4.1142857142857139</v>
      </c>
      <c r="F52" s="49">
        <f>AVERAGE('20.08 MATUGA-KAPEKA'!F52,'21.08 MATUGA-KAPEKA'!F52,'22.08 MATUGA-KAPEKA'!F52,'23.08 MATUGA-KAPEKA'!F52,'24.08 MATUGA-KAPEKA-24h'!F52,'25.08 MATUGA-KAPEKA-24h'!F52,'26.08 MATUGA-KAPEEKA'!F52)</f>
        <v>2.7142857142857144</v>
      </c>
      <c r="G52" s="49">
        <f>AVERAGE('20.08 MATUGA-KAPEKA'!G52,'21.08 MATUGA-KAPEKA'!G52,'22.08 MATUGA-KAPEKA'!G52,'23.08 MATUGA-KAPEKA'!G52,'24.08 MATUGA-KAPEKA-24h'!G52,'25.08 MATUGA-KAPEKA-24h'!G52,'26.08 MATUGA-KAPEEKA'!G52)</f>
        <v>0.14285714285714285</v>
      </c>
      <c r="H52" s="49">
        <f>AVERAGE('20.08 MATUGA-KAPEKA'!H52,'21.08 MATUGA-KAPEKA'!H52,'22.08 MATUGA-KAPEKA'!H52,'23.08 MATUGA-KAPEKA'!H52,'24.08 MATUGA-KAPEKA-24h'!H52,'25.08 MATUGA-KAPEKA-24h'!H52,'26.08 MATUGA-KAPEEKA'!H52)</f>
        <v>0</v>
      </c>
      <c r="I52" s="49">
        <f>AVERAGE('20.08 MATUGA-KAPEKA'!I52,'21.08 MATUGA-KAPEKA'!I52,'22.08 MATUGA-KAPEKA'!I52,'23.08 MATUGA-KAPEKA'!I52,'24.08 MATUGA-KAPEKA-24h'!I52,'25.08 MATUGA-KAPEKA-24h'!I52,'26.08 MATUGA-KAPEEKA'!I52)</f>
        <v>3.5714285714285716</v>
      </c>
      <c r="J52" s="49">
        <f>AVERAGE('20.08 MATUGA-KAPEKA'!J52,'21.08 MATUGA-KAPEKA'!J52,'22.08 MATUGA-KAPEKA'!J52,'23.08 MATUGA-KAPEKA'!J52,'24.08 MATUGA-KAPEKA-24h'!J52,'25.08 MATUGA-KAPEKA-24h'!J52,'26.08 MATUGA-KAPEEKA'!J52)</f>
        <v>0.14285714285714285</v>
      </c>
      <c r="K52" s="49">
        <f>AVERAGE('20.08 MATUGA-KAPEKA'!K52,'21.08 MATUGA-KAPEKA'!K52,'22.08 MATUGA-KAPEKA'!K52,'23.08 MATUGA-KAPEKA'!K52,'24.08 MATUGA-KAPEKA-24h'!K52,'25.08 MATUGA-KAPEKA-24h'!K52,'26.08 MATUGA-KAPEEKA'!K52)</f>
        <v>0.7142857142857143</v>
      </c>
      <c r="L52" s="49">
        <f>AVERAGE('20.08 MATUGA-KAPEKA'!L52,'21.08 MATUGA-KAPEKA'!L52,'22.08 MATUGA-KAPEKA'!L52,'23.08 MATUGA-KAPEKA'!L52,'24.08 MATUGA-KAPEKA-24h'!L52,'25.08 MATUGA-KAPEKA-24h'!L52,'26.08 MATUGA-KAPEEKA'!L52)</f>
        <v>0</v>
      </c>
      <c r="M52" s="49">
        <f>AVERAGE('20.08 MATUGA-KAPEKA'!M52,'21.08 MATUGA-KAPEKA'!M52,'22.08 MATUGA-KAPEKA'!M52,'23.08 MATUGA-KAPEKA'!M52,'24.08 MATUGA-KAPEKA-24h'!M52,'25.08 MATUGA-KAPEKA-24h'!M52,'26.08 MATUGA-KAPEEKA'!M52)</f>
        <v>25.428571428571427</v>
      </c>
      <c r="N52" s="49">
        <f>AVERAGE('20.08 MATUGA-KAPEKA'!N52,'21.08 MATUGA-KAPEKA'!N52,'22.08 MATUGA-KAPEKA'!N52,'23.08 MATUGA-KAPEKA'!N52,'24.08 MATUGA-KAPEKA-24h'!N52,'25.08 MATUGA-KAPEKA-24h'!N52,'26.08 MATUGA-KAPEEKA'!N52)</f>
        <v>0</v>
      </c>
      <c r="O52" s="15">
        <f t="shared" si="0"/>
        <v>16.571428571428569</v>
      </c>
      <c r="P52" s="15">
        <f t="shared" si="1"/>
        <v>42</v>
      </c>
      <c r="R52" s="8"/>
      <c r="T52"/>
    </row>
    <row r="53" spans="2:20" ht="23.1" customHeight="1" x14ac:dyDescent="0.25">
      <c r="B53" s="23" t="s">
        <v>80</v>
      </c>
      <c r="C53" s="49">
        <f>AVERAGE('20.08 MATUGA-KAPEKA'!C53,'21.08 MATUGA-KAPEKA'!C53,'22.08 MATUGA-KAPEKA'!C53,'23.08 MATUGA-KAPEKA'!C53,'24.08 MATUGA-KAPEKA-24h'!C53,'25.08 MATUGA-KAPEKA-24h'!C53,'26.08 MATUGA-KAPEEKA'!C53)</f>
        <v>4.1428571428571432</v>
      </c>
      <c r="D53" s="49">
        <f>0.4*(AVERAGE('20.08 MATUGA-KAPEKA'!E53,'21.08 MATUGA-KAPEKA'!E53,'22.08 MATUGA-KAPEKA'!E53,'23.08 MATUGA-KAPEKA'!E53,'24.08 MATUGA-KAPEKA-24h'!E53,'25.08 MATUGA-KAPEKA-24h'!E53,'26.08 MATUGA-KAPEEKA'!E53))</f>
        <v>1.0285714285714287</v>
      </c>
      <c r="E53" s="49">
        <f>0.6*(AVERAGE('20.08 MATUGA-KAPEKA'!E53,'21.08 MATUGA-KAPEKA'!E53,'22.08 MATUGA-KAPEKA'!E53,'23.08 MATUGA-KAPEKA'!E53,'24.08 MATUGA-KAPEKA-24h'!E53,'25.08 MATUGA-KAPEKA-24h'!E53,'26.08 MATUGA-KAPEEKA'!E53))</f>
        <v>1.5428571428571429</v>
      </c>
      <c r="F53" s="49">
        <f>AVERAGE('20.08 MATUGA-KAPEKA'!F53,'21.08 MATUGA-KAPEKA'!F53,'22.08 MATUGA-KAPEKA'!F53,'23.08 MATUGA-KAPEKA'!F53,'24.08 MATUGA-KAPEKA-24h'!F53,'25.08 MATUGA-KAPEKA-24h'!F53,'26.08 MATUGA-KAPEEKA'!F53)</f>
        <v>1.5714285714285714</v>
      </c>
      <c r="G53" s="49">
        <f>AVERAGE('20.08 MATUGA-KAPEKA'!G53,'21.08 MATUGA-KAPEKA'!G53,'22.08 MATUGA-KAPEKA'!G53,'23.08 MATUGA-KAPEKA'!G53,'24.08 MATUGA-KAPEKA-24h'!G53,'25.08 MATUGA-KAPEKA-24h'!G53,'26.08 MATUGA-KAPEEKA'!G53)</f>
        <v>0</v>
      </c>
      <c r="H53" s="49">
        <f>AVERAGE('20.08 MATUGA-KAPEKA'!H53,'21.08 MATUGA-KAPEKA'!H53,'22.08 MATUGA-KAPEKA'!H53,'23.08 MATUGA-KAPEKA'!H53,'24.08 MATUGA-KAPEKA-24h'!H53,'25.08 MATUGA-KAPEKA-24h'!H53,'26.08 MATUGA-KAPEEKA'!H53)</f>
        <v>0</v>
      </c>
      <c r="I53" s="49">
        <f>AVERAGE('20.08 MATUGA-KAPEKA'!I53,'21.08 MATUGA-KAPEKA'!I53,'22.08 MATUGA-KAPEKA'!I53,'23.08 MATUGA-KAPEKA'!I53,'24.08 MATUGA-KAPEKA-24h'!I53,'25.08 MATUGA-KAPEKA-24h'!I53,'26.08 MATUGA-KAPEEKA'!I53)</f>
        <v>3.7142857142857144</v>
      </c>
      <c r="J53" s="49">
        <f>AVERAGE('20.08 MATUGA-KAPEKA'!J53,'21.08 MATUGA-KAPEKA'!J53,'22.08 MATUGA-KAPEKA'!J53,'23.08 MATUGA-KAPEKA'!J53,'24.08 MATUGA-KAPEKA-24h'!J53,'25.08 MATUGA-KAPEKA-24h'!J53,'26.08 MATUGA-KAPEEKA'!J53)</f>
        <v>0.14285714285714285</v>
      </c>
      <c r="K53" s="49">
        <f>AVERAGE('20.08 MATUGA-KAPEKA'!K53,'21.08 MATUGA-KAPEKA'!K53,'22.08 MATUGA-KAPEKA'!K53,'23.08 MATUGA-KAPEKA'!K53,'24.08 MATUGA-KAPEKA-24h'!K53,'25.08 MATUGA-KAPEKA-24h'!K53,'26.08 MATUGA-KAPEEKA'!K53)</f>
        <v>0.2857142857142857</v>
      </c>
      <c r="L53" s="49">
        <f>AVERAGE('20.08 MATUGA-KAPEKA'!L53,'21.08 MATUGA-KAPEKA'!L53,'22.08 MATUGA-KAPEKA'!L53,'23.08 MATUGA-KAPEKA'!L53,'24.08 MATUGA-KAPEKA-24h'!L53,'25.08 MATUGA-KAPEKA-24h'!L53,'26.08 MATUGA-KAPEEKA'!L53)</f>
        <v>0</v>
      </c>
      <c r="M53" s="49">
        <f>AVERAGE('20.08 MATUGA-KAPEKA'!M53,'21.08 MATUGA-KAPEKA'!M53,'22.08 MATUGA-KAPEKA'!M53,'23.08 MATUGA-KAPEKA'!M53,'24.08 MATUGA-KAPEKA-24h'!M53,'25.08 MATUGA-KAPEKA-24h'!M53,'26.08 MATUGA-KAPEEKA'!M53)</f>
        <v>25.571428571428573</v>
      </c>
      <c r="N53" s="49">
        <f>AVERAGE('20.08 MATUGA-KAPEKA'!N53,'21.08 MATUGA-KAPEKA'!N53,'22.08 MATUGA-KAPEKA'!N53,'23.08 MATUGA-KAPEKA'!N53,'24.08 MATUGA-KAPEKA-24h'!N53,'25.08 MATUGA-KAPEKA-24h'!N53,'26.08 MATUGA-KAPEEKA'!N53)</f>
        <v>0</v>
      </c>
      <c r="O53" s="15">
        <f t="shared" si="0"/>
        <v>12.428571428571429</v>
      </c>
      <c r="P53" s="15">
        <f t="shared" si="1"/>
        <v>38</v>
      </c>
      <c r="R53" s="8"/>
      <c r="T53"/>
    </row>
    <row r="54" spans="2:20" ht="23.1" customHeight="1" x14ac:dyDescent="0.25">
      <c r="B54" s="23" t="s">
        <v>81</v>
      </c>
      <c r="C54" s="49">
        <f>AVERAGE('20.08 MATUGA-KAPEKA'!C54,'21.08 MATUGA-KAPEKA'!C54,'22.08 MATUGA-KAPEKA'!C54,'23.08 MATUGA-KAPEKA'!C54,'24.08 MATUGA-KAPEKA-24h'!C54,'25.08 MATUGA-KAPEKA-24h'!C54,'26.08 MATUGA-KAPEEKA'!C54)</f>
        <v>2.5714285714285716</v>
      </c>
      <c r="D54" s="49">
        <f>0.4*(AVERAGE('20.08 MATUGA-KAPEKA'!E54,'21.08 MATUGA-KAPEKA'!E54,'22.08 MATUGA-KAPEKA'!E54,'23.08 MATUGA-KAPEKA'!E54,'24.08 MATUGA-KAPEKA-24h'!E54,'25.08 MATUGA-KAPEKA-24h'!E54,'26.08 MATUGA-KAPEEKA'!E54))</f>
        <v>1.2000000000000002</v>
      </c>
      <c r="E54" s="49">
        <f>0.6*(AVERAGE('20.08 MATUGA-KAPEKA'!E54,'21.08 MATUGA-KAPEKA'!E54,'22.08 MATUGA-KAPEKA'!E54,'23.08 MATUGA-KAPEKA'!E54,'24.08 MATUGA-KAPEKA-24h'!E54,'25.08 MATUGA-KAPEKA-24h'!E54,'26.08 MATUGA-KAPEEKA'!E54))</f>
        <v>1.7999999999999998</v>
      </c>
      <c r="F54" s="49">
        <f>AVERAGE('20.08 MATUGA-KAPEKA'!F54,'21.08 MATUGA-KAPEKA'!F54,'22.08 MATUGA-KAPEKA'!F54,'23.08 MATUGA-KAPEKA'!F54,'24.08 MATUGA-KAPEKA-24h'!F54,'25.08 MATUGA-KAPEKA-24h'!F54,'26.08 MATUGA-KAPEEKA'!F54)</f>
        <v>2.2857142857142856</v>
      </c>
      <c r="G54" s="49">
        <f>AVERAGE('20.08 MATUGA-KAPEKA'!G54,'21.08 MATUGA-KAPEKA'!G54,'22.08 MATUGA-KAPEKA'!G54,'23.08 MATUGA-KAPEKA'!G54,'24.08 MATUGA-KAPEKA-24h'!G54,'25.08 MATUGA-KAPEKA-24h'!G54,'26.08 MATUGA-KAPEEKA'!G54)</f>
        <v>0.2857142857142857</v>
      </c>
      <c r="H54" s="49">
        <f>AVERAGE('20.08 MATUGA-KAPEKA'!H54,'21.08 MATUGA-KAPEKA'!H54,'22.08 MATUGA-KAPEKA'!H54,'23.08 MATUGA-KAPEKA'!H54,'24.08 MATUGA-KAPEKA-24h'!H54,'25.08 MATUGA-KAPEKA-24h'!H54,'26.08 MATUGA-KAPEEKA'!H54)</f>
        <v>0</v>
      </c>
      <c r="I54" s="49">
        <f>AVERAGE('20.08 MATUGA-KAPEKA'!I54,'21.08 MATUGA-KAPEKA'!I54,'22.08 MATUGA-KAPEKA'!I54,'23.08 MATUGA-KAPEKA'!I54,'24.08 MATUGA-KAPEKA-24h'!I54,'25.08 MATUGA-KAPEKA-24h'!I54,'26.08 MATUGA-KAPEEKA'!I54)</f>
        <v>4.1428571428571432</v>
      </c>
      <c r="J54" s="49">
        <f>AVERAGE('20.08 MATUGA-KAPEKA'!J54,'21.08 MATUGA-KAPEKA'!J54,'22.08 MATUGA-KAPEKA'!J54,'23.08 MATUGA-KAPEKA'!J54,'24.08 MATUGA-KAPEKA-24h'!J54,'25.08 MATUGA-KAPEKA-24h'!J54,'26.08 MATUGA-KAPEEKA'!J54)</f>
        <v>0</v>
      </c>
      <c r="K54" s="49">
        <f>AVERAGE('20.08 MATUGA-KAPEKA'!K54,'21.08 MATUGA-KAPEKA'!K54,'22.08 MATUGA-KAPEKA'!K54,'23.08 MATUGA-KAPEKA'!K54,'24.08 MATUGA-KAPEKA-24h'!K54,'25.08 MATUGA-KAPEKA-24h'!K54,'26.08 MATUGA-KAPEEKA'!K54)</f>
        <v>0.5714285714285714</v>
      </c>
      <c r="L54" s="49">
        <f>AVERAGE('20.08 MATUGA-KAPEKA'!L54,'21.08 MATUGA-KAPEKA'!L54,'22.08 MATUGA-KAPEKA'!L54,'23.08 MATUGA-KAPEKA'!L54,'24.08 MATUGA-KAPEKA-24h'!L54,'25.08 MATUGA-KAPEKA-24h'!L54,'26.08 MATUGA-KAPEEKA'!L54)</f>
        <v>0</v>
      </c>
      <c r="M54" s="49">
        <f>AVERAGE('20.08 MATUGA-KAPEKA'!M54,'21.08 MATUGA-KAPEKA'!M54,'22.08 MATUGA-KAPEKA'!M54,'23.08 MATUGA-KAPEKA'!M54,'24.08 MATUGA-KAPEKA-24h'!M54,'25.08 MATUGA-KAPEKA-24h'!M54,'26.08 MATUGA-KAPEEKA'!M54)</f>
        <v>24.571428571428573</v>
      </c>
      <c r="N54" s="49">
        <f>AVERAGE('20.08 MATUGA-KAPEKA'!N54,'21.08 MATUGA-KAPEKA'!N54,'22.08 MATUGA-KAPEKA'!N54,'23.08 MATUGA-KAPEKA'!N54,'24.08 MATUGA-KAPEKA-24h'!N54,'25.08 MATUGA-KAPEKA-24h'!N54,'26.08 MATUGA-KAPEEKA'!N54)</f>
        <v>0</v>
      </c>
      <c r="O54" s="15">
        <f t="shared" si="0"/>
        <v>12.857142857142856</v>
      </c>
      <c r="P54" s="15">
        <f t="shared" si="1"/>
        <v>37.428571428571431</v>
      </c>
      <c r="R54" s="8"/>
      <c r="T54"/>
    </row>
    <row r="55" spans="2:20" ht="23.1" customHeight="1" x14ac:dyDescent="0.25">
      <c r="B55" s="23" t="s">
        <v>82</v>
      </c>
      <c r="C55" s="49">
        <f>AVERAGE('20.08 MATUGA-KAPEKA'!C55,'21.08 MATUGA-KAPEKA'!C55,'22.08 MATUGA-KAPEKA'!C55,'23.08 MATUGA-KAPEKA'!C55,'24.08 MATUGA-KAPEKA-24h'!C55,'25.08 MATUGA-KAPEKA-24h'!C55,'26.08 MATUGA-KAPEEKA'!C55)</f>
        <v>2.7142857142857144</v>
      </c>
      <c r="D55" s="49">
        <f>0.4*(AVERAGE('20.08 MATUGA-KAPEKA'!E55,'21.08 MATUGA-KAPEKA'!E55,'22.08 MATUGA-KAPEKA'!E55,'23.08 MATUGA-KAPEKA'!E55,'24.08 MATUGA-KAPEKA-24h'!E55,'25.08 MATUGA-KAPEKA-24h'!E55,'26.08 MATUGA-KAPEEKA'!E55))</f>
        <v>1.3142857142857143</v>
      </c>
      <c r="E55" s="49">
        <f>0.6*(AVERAGE('20.08 MATUGA-KAPEKA'!E55,'21.08 MATUGA-KAPEKA'!E55,'22.08 MATUGA-KAPEKA'!E55,'23.08 MATUGA-KAPEKA'!E55,'24.08 MATUGA-KAPEKA-24h'!E55,'25.08 MATUGA-KAPEKA-24h'!E55,'26.08 MATUGA-KAPEEKA'!E55))</f>
        <v>1.9714285714285713</v>
      </c>
      <c r="F55" s="49">
        <f>AVERAGE('20.08 MATUGA-KAPEKA'!F55,'21.08 MATUGA-KAPEKA'!F55,'22.08 MATUGA-KAPEKA'!F55,'23.08 MATUGA-KAPEKA'!F55,'24.08 MATUGA-KAPEKA-24h'!F55,'25.08 MATUGA-KAPEKA-24h'!F55,'26.08 MATUGA-KAPEEKA'!F55)</f>
        <v>2.2857142857142856</v>
      </c>
      <c r="G55" s="49">
        <f>AVERAGE('20.08 MATUGA-KAPEKA'!G55,'21.08 MATUGA-KAPEKA'!G55,'22.08 MATUGA-KAPEKA'!G55,'23.08 MATUGA-KAPEKA'!G55,'24.08 MATUGA-KAPEKA-24h'!G55,'25.08 MATUGA-KAPEKA-24h'!G55,'26.08 MATUGA-KAPEEKA'!G55)</f>
        <v>0.14285714285714285</v>
      </c>
      <c r="H55" s="49">
        <f>AVERAGE('20.08 MATUGA-KAPEKA'!H55,'21.08 MATUGA-KAPEKA'!H55,'22.08 MATUGA-KAPEKA'!H55,'23.08 MATUGA-KAPEKA'!H55,'24.08 MATUGA-KAPEKA-24h'!H55,'25.08 MATUGA-KAPEKA-24h'!H55,'26.08 MATUGA-KAPEEKA'!H55)</f>
        <v>0</v>
      </c>
      <c r="I55" s="49">
        <f>AVERAGE('20.08 MATUGA-KAPEKA'!I55,'21.08 MATUGA-KAPEKA'!I55,'22.08 MATUGA-KAPEKA'!I55,'23.08 MATUGA-KAPEKA'!I55,'24.08 MATUGA-KAPEKA-24h'!I55,'25.08 MATUGA-KAPEKA-24h'!I55,'26.08 MATUGA-KAPEEKA'!I55)</f>
        <v>4.8571428571428568</v>
      </c>
      <c r="J55" s="49">
        <f>AVERAGE('20.08 MATUGA-KAPEKA'!J55,'21.08 MATUGA-KAPEKA'!J55,'22.08 MATUGA-KAPEKA'!J55,'23.08 MATUGA-KAPEKA'!J55,'24.08 MATUGA-KAPEKA-24h'!J55,'25.08 MATUGA-KAPEKA-24h'!J55,'26.08 MATUGA-KAPEEKA'!J55)</f>
        <v>0.14285714285714285</v>
      </c>
      <c r="K55" s="49">
        <f>AVERAGE('20.08 MATUGA-KAPEKA'!K55,'21.08 MATUGA-KAPEKA'!K55,'22.08 MATUGA-KAPEKA'!K55,'23.08 MATUGA-KAPEKA'!K55,'24.08 MATUGA-KAPEKA-24h'!K55,'25.08 MATUGA-KAPEKA-24h'!K55,'26.08 MATUGA-KAPEEKA'!K55)</f>
        <v>0.2857142857142857</v>
      </c>
      <c r="L55" s="49">
        <f>AVERAGE('20.08 MATUGA-KAPEKA'!L55,'21.08 MATUGA-KAPEKA'!L55,'22.08 MATUGA-KAPEKA'!L55,'23.08 MATUGA-KAPEKA'!L55,'24.08 MATUGA-KAPEKA-24h'!L55,'25.08 MATUGA-KAPEKA-24h'!L55,'26.08 MATUGA-KAPEEKA'!L55)</f>
        <v>0</v>
      </c>
      <c r="M55" s="49">
        <f>AVERAGE('20.08 MATUGA-KAPEKA'!M55,'21.08 MATUGA-KAPEKA'!M55,'22.08 MATUGA-KAPEKA'!M55,'23.08 MATUGA-KAPEKA'!M55,'24.08 MATUGA-KAPEKA-24h'!M55,'25.08 MATUGA-KAPEKA-24h'!M55,'26.08 MATUGA-KAPEEKA'!M55)</f>
        <v>28.428571428571427</v>
      </c>
      <c r="N55" s="49">
        <f>AVERAGE('20.08 MATUGA-KAPEKA'!N55,'21.08 MATUGA-KAPEKA'!N55,'22.08 MATUGA-KAPEKA'!N55,'23.08 MATUGA-KAPEKA'!N55,'24.08 MATUGA-KAPEKA-24h'!N55,'25.08 MATUGA-KAPEKA-24h'!N55,'26.08 MATUGA-KAPEEKA'!N55)</f>
        <v>0</v>
      </c>
      <c r="O55" s="15">
        <f t="shared" si="0"/>
        <v>13.714285714285714</v>
      </c>
      <c r="P55" s="15">
        <f t="shared" si="1"/>
        <v>42.142857142857139</v>
      </c>
      <c r="R55" s="8"/>
      <c r="T55"/>
    </row>
    <row r="56" spans="2:20" ht="23.1" customHeight="1" x14ac:dyDescent="0.25">
      <c r="B56" s="23" t="s">
        <v>83</v>
      </c>
      <c r="C56" s="49">
        <f>AVERAGE('20.08 MATUGA-KAPEKA'!C56,'21.08 MATUGA-KAPEKA'!C56,'22.08 MATUGA-KAPEKA'!C56,'23.08 MATUGA-KAPEKA'!C56,'24.08 MATUGA-KAPEKA-24h'!C56,'25.08 MATUGA-KAPEKA-24h'!C56,'26.08 MATUGA-KAPEEKA'!C56)</f>
        <v>2.5714285714285716</v>
      </c>
      <c r="D56" s="49">
        <f>0.4*(AVERAGE('20.08 MATUGA-KAPEKA'!E56,'21.08 MATUGA-KAPEKA'!E56,'22.08 MATUGA-KAPEKA'!E56,'23.08 MATUGA-KAPEKA'!E56,'24.08 MATUGA-KAPEKA-24h'!E56,'25.08 MATUGA-KAPEKA-24h'!E56,'26.08 MATUGA-KAPEEKA'!E56))</f>
        <v>0.97142857142857142</v>
      </c>
      <c r="E56" s="49">
        <f>0.6*(AVERAGE('20.08 MATUGA-KAPEKA'!E56,'21.08 MATUGA-KAPEKA'!E56,'22.08 MATUGA-KAPEKA'!E56,'23.08 MATUGA-KAPEKA'!E56,'24.08 MATUGA-KAPEKA-24h'!E56,'25.08 MATUGA-KAPEKA-24h'!E56,'26.08 MATUGA-KAPEEKA'!E56))</f>
        <v>1.4571428571428571</v>
      </c>
      <c r="F56" s="49">
        <f>AVERAGE('20.08 MATUGA-KAPEKA'!F56,'21.08 MATUGA-KAPEKA'!F56,'22.08 MATUGA-KAPEKA'!F56,'23.08 MATUGA-KAPEKA'!F56,'24.08 MATUGA-KAPEKA-24h'!F56,'25.08 MATUGA-KAPEKA-24h'!F56,'26.08 MATUGA-KAPEEKA'!F56)</f>
        <v>2.7142857142857144</v>
      </c>
      <c r="G56" s="49">
        <f>AVERAGE('20.08 MATUGA-KAPEKA'!G56,'21.08 MATUGA-KAPEKA'!G56,'22.08 MATUGA-KAPEKA'!G56,'23.08 MATUGA-KAPEKA'!G56,'24.08 MATUGA-KAPEKA-24h'!G56,'25.08 MATUGA-KAPEKA-24h'!G56,'26.08 MATUGA-KAPEEKA'!G56)</f>
        <v>0</v>
      </c>
      <c r="H56" s="49">
        <f>AVERAGE('20.08 MATUGA-KAPEKA'!H56,'21.08 MATUGA-KAPEKA'!H56,'22.08 MATUGA-KAPEKA'!H56,'23.08 MATUGA-KAPEKA'!H56,'24.08 MATUGA-KAPEKA-24h'!H56,'25.08 MATUGA-KAPEKA-24h'!H56,'26.08 MATUGA-KAPEEKA'!H56)</f>
        <v>0</v>
      </c>
      <c r="I56" s="49">
        <f>AVERAGE('20.08 MATUGA-KAPEKA'!I56,'21.08 MATUGA-KAPEKA'!I56,'22.08 MATUGA-KAPEKA'!I56,'23.08 MATUGA-KAPEKA'!I56,'24.08 MATUGA-KAPEKA-24h'!I56,'25.08 MATUGA-KAPEKA-24h'!I56,'26.08 MATUGA-KAPEEKA'!I56)</f>
        <v>3.2857142857142856</v>
      </c>
      <c r="J56" s="49">
        <f>AVERAGE('20.08 MATUGA-KAPEKA'!J56,'21.08 MATUGA-KAPEKA'!J56,'22.08 MATUGA-KAPEKA'!J56,'23.08 MATUGA-KAPEKA'!J56,'24.08 MATUGA-KAPEKA-24h'!J56,'25.08 MATUGA-KAPEKA-24h'!J56,'26.08 MATUGA-KAPEEKA'!J56)</f>
        <v>0.2857142857142857</v>
      </c>
      <c r="K56" s="49">
        <f>AVERAGE('20.08 MATUGA-KAPEKA'!K56,'21.08 MATUGA-KAPEKA'!K56,'22.08 MATUGA-KAPEKA'!K56,'23.08 MATUGA-KAPEKA'!K56,'24.08 MATUGA-KAPEKA-24h'!K56,'25.08 MATUGA-KAPEKA-24h'!K56,'26.08 MATUGA-KAPEEKA'!K56)</f>
        <v>0.42857142857142855</v>
      </c>
      <c r="L56" s="49">
        <f>AVERAGE('20.08 MATUGA-KAPEKA'!L56,'21.08 MATUGA-KAPEKA'!L56,'22.08 MATUGA-KAPEKA'!L56,'23.08 MATUGA-KAPEKA'!L56,'24.08 MATUGA-KAPEKA-24h'!L56,'25.08 MATUGA-KAPEKA-24h'!L56,'26.08 MATUGA-KAPEEKA'!L56)</f>
        <v>0</v>
      </c>
      <c r="M56" s="49">
        <f>AVERAGE('20.08 MATUGA-KAPEKA'!M56,'21.08 MATUGA-KAPEKA'!M56,'22.08 MATUGA-KAPEKA'!M56,'23.08 MATUGA-KAPEKA'!M56,'24.08 MATUGA-KAPEKA-24h'!M56,'25.08 MATUGA-KAPEKA-24h'!M56,'26.08 MATUGA-KAPEEKA'!M56)</f>
        <v>27.285714285714285</v>
      </c>
      <c r="N56" s="49">
        <f>AVERAGE('20.08 MATUGA-KAPEKA'!N56,'21.08 MATUGA-KAPEKA'!N56,'22.08 MATUGA-KAPEKA'!N56,'23.08 MATUGA-KAPEKA'!N56,'24.08 MATUGA-KAPEKA-24h'!N56,'25.08 MATUGA-KAPEKA-24h'!N56,'26.08 MATUGA-KAPEEKA'!N56)</f>
        <v>0</v>
      </c>
      <c r="O56" s="15">
        <f t="shared" si="0"/>
        <v>11.714285714285715</v>
      </c>
      <c r="P56" s="15">
        <f t="shared" si="1"/>
        <v>39</v>
      </c>
      <c r="R56" s="8"/>
      <c r="T56"/>
    </row>
    <row r="57" spans="2:20" ht="23.1" customHeight="1" x14ac:dyDescent="0.25">
      <c r="B57" s="23" t="s">
        <v>84</v>
      </c>
      <c r="C57" s="49">
        <f>AVERAGE('20.08 MATUGA-KAPEKA'!C57,'21.08 MATUGA-KAPEKA'!C57,'22.08 MATUGA-KAPEKA'!C57,'23.08 MATUGA-KAPEKA'!C57,'24.08 MATUGA-KAPEKA-24h'!C57,'25.08 MATUGA-KAPEKA-24h'!C57,'26.08 MATUGA-KAPEEKA'!C57)</f>
        <v>2.5714285714285716</v>
      </c>
      <c r="D57" s="49">
        <f>0.4*(AVERAGE('20.08 MATUGA-KAPEKA'!E57,'21.08 MATUGA-KAPEKA'!E57,'22.08 MATUGA-KAPEKA'!E57,'23.08 MATUGA-KAPEKA'!E57,'24.08 MATUGA-KAPEKA-24h'!E57,'25.08 MATUGA-KAPEKA-24h'!E57,'26.08 MATUGA-KAPEEKA'!E57))</f>
        <v>1.0285714285714287</v>
      </c>
      <c r="E57" s="49">
        <f>0.6*(AVERAGE('20.08 MATUGA-KAPEKA'!E57,'21.08 MATUGA-KAPEKA'!E57,'22.08 MATUGA-KAPEKA'!E57,'23.08 MATUGA-KAPEKA'!E57,'24.08 MATUGA-KAPEKA-24h'!E57,'25.08 MATUGA-KAPEKA-24h'!E57,'26.08 MATUGA-KAPEEKA'!E57))</f>
        <v>1.5428571428571429</v>
      </c>
      <c r="F57" s="49">
        <f>AVERAGE('20.08 MATUGA-KAPEKA'!F57,'21.08 MATUGA-KAPEKA'!F57,'22.08 MATUGA-KAPEKA'!F57,'23.08 MATUGA-KAPEKA'!F57,'24.08 MATUGA-KAPEKA-24h'!F57,'25.08 MATUGA-KAPEKA-24h'!F57,'26.08 MATUGA-KAPEEKA'!F57)</f>
        <v>1.7142857142857142</v>
      </c>
      <c r="G57" s="49">
        <f>AVERAGE('20.08 MATUGA-KAPEKA'!G57,'21.08 MATUGA-KAPEKA'!G57,'22.08 MATUGA-KAPEKA'!G57,'23.08 MATUGA-KAPEKA'!G57,'24.08 MATUGA-KAPEKA-24h'!G57,'25.08 MATUGA-KAPEKA-24h'!G57,'26.08 MATUGA-KAPEEKA'!G57)</f>
        <v>0</v>
      </c>
      <c r="H57" s="49">
        <f>AVERAGE('20.08 MATUGA-KAPEKA'!H57,'21.08 MATUGA-KAPEKA'!H57,'22.08 MATUGA-KAPEKA'!H57,'23.08 MATUGA-KAPEKA'!H57,'24.08 MATUGA-KAPEKA-24h'!H57,'25.08 MATUGA-KAPEKA-24h'!H57,'26.08 MATUGA-KAPEEKA'!H57)</f>
        <v>0</v>
      </c>
      <c r="I57" s="49">
        <f>AVERAGE('20.08 MATUGA-KAPEKA'!I57,'21.08 MATUGA-KAPEKA'!I57,'22.08 MATUGA-KAPEKA'!I57,'23.08 MATUGA-KAPEKA'!I57,'24.08 MATUGA-KAPEKA-24h'!I57,'25.08 MATUGA-KAPEKA-24h'!I57,'26.08 MATUGA-KAPEEKA'!I57)</f>
        <v>5.1428571428571432</v>
      </c>
      <c r="J57" s="49">
        <f>AVERAGE('20.08 MATUGA-KAPEKA'!J57,'21.08 MATUGA-KAPEKA'!J57,'22.08 MATUGA-KAPEKA'!J57,'23.08 MATUGA-KAPEKA'!J57,'24.08 MATUGA-KAPEKA-24h'!J57,'25.08 MATUGA-KAPEKA-24h'!J57,'26.08 MATUGA-KAPEEKA'!J57)</f>
        <v>0.2857142857142857</v>
      </c>
      <c r="K57" s="49">
        <f>AVERAGE('20.08 MATUGA-KAPEKA'!K57,'21.08 MATUGA-KAPEKA'!K57,'22.08 MATUGA-KAPEKA'!K57,'23.08 MATUGA-KAPEKA'!K57,'24.08 MATUGA-KAPEKA-24h'!K57,'25.08 MATUGA-KAPEKA-24h'!K57,'26.08 MATUGA-KAPEEKA'!K57)</f>
        <v>0.14285714285714285</v>
      </c>
      <c r="L57" s="49">
        <f>AVERAGE('20.08 MATUGA-KAPEKA'!L57,'21.08 MATUGA-KAPEKA'!L57,'22.08 MATUGA-KAPEKA'!L57,'23.08 MATUGA-KAPEKA'!L57,'24.08 MATUGA-KAPEKA-24h'!L57,'25.08 MATUGA-KAPEKA-24h'!L57,'26.08 MATUGA-KAPEEKA'!L57)</f>
        <v>0</v>
      </c>
      <c r="M57" s="49">
        <f>AVERAGE('20.08 MATUGA-KAPEKA'!M57,'21.08 MATUGA-KAPEKA'!M57,'22.08 MATUGA-KAPEKA'!M57,'23.08 MATUGA-KAPEKA'!M57,'24.08 MATUGA-KAPEKA-24h'!M57,'25.08 MATUGA-KAPEKA-24h'!M57,'26.08 MATUGA-KAPEEKA'!M57)</f>
        <v>24.142857142857142</v>
      </c>
      <c r="N57" s="49">
        <f>AVERAGE('20.08 MATUGA-KAPEKA'!N57,'21.08 MATUGA-KAPEKA'!N57,'22.08 MATUGA-KAPEKA'!N57,'23.08 MATUGA-KAPEKA'!N57,'24.08 MATUGA-KAPEKA-24h'!N57,'25.08 MATUGA-KAPEKA-24h'!N57,'26.08 MATUGA-KAPEEKA'!N57)</f>
        <v>0</v>
      </c>
      <c r="O57" s="15">
        <f t="shared" si="0"/>
        <v>12.428571428571429</v>
      </c>
      <c r="P57" s="15">
        <f t="shared" si="1"/>
        <v>36.571428571428569</v>
      </c>
      <c r="R57" s="8"/>
      <c r="T57"/>
    </row>
    <row r="58" spans="2:20" ht="23.1" customHeight="1" x14ac:dyDescent="0.25">
      <c r="B58" s="23" t="s">
        <v>99</v>
      </c>
      <c r="C58" s="49">
        <f>AVERAGE('24.08 MATUGA-KAPEKA-24h'!C58,'25.08 MATUGA-KAPEKA-24h'!C58)</f>
        <v>1</v>
      </c>
      <c r="D58" s="49">
        <f>0.4*(AVERAGE('24.08 MATUGA-KAPEKA-24h'!E58,'25.08 MATUGA-KAPEKA-24h'!E58))</f>
        <v>1.6</v>
      </c>
      <c r="E58" s="49">
        <f>0.6*(AVERAGE('24.08 MATUGA-KAPEKA-24h'!E58,'25.08 MATUGA-KAPEKA-24h'!E58))</f>
        <v>2.4</v>
      </c>
      <c r="F58" s="49">
        <f>AVERAGE('24.08 MATUGA-KAPEKA-24h'!F58,'25.08 MATUGA-KAPEKA-24h'!F58)</f>
        <v>0</v>
      </c>
      <c r="G58" s="49">
        <f>AVERAGE('24.08 MATUGA-KAPEKA-24h'!G58,'25.08 MATUGA-KAPEKA-24h'!G58)</f>
        <v>0</v>
      </c>
      <c r="H58" s="49">
        <f>AVERAGE('24.08 MATUGA-KAPEKA-24h'!H58,'25.08 MATUGA-KAPEKA-24h'!H58)</f>
        <v>0</v>
      </c>
      <c r="I58" s="49">
        <f>AVERAGE('24.08 MATUGA-KAPEKA-24h'!I58,'25.08 MATUGA-KAPEKA-24h'!I58)</f>
        <v>2</v>
      </c>
      <c r="J58" s="49">
        <f>AVERAGE('24.08 MATUGA-KAPEKA-24h'!J58,'25.08 MATUGA-KAPEKA-24h'!J58)</f>
        <v>0</v>
      </c>
      <c r="K58" s="49">
        <f>AVERAGE('24.08 MATUGA-KAPEKA-24h'!K58,'25.08 MATUGA-KAPEKA-24h'!K58)</f>
        <v>0</v>
      </c>
      <c r="L58" s="49">
        <f>AVERAGE('24.08 MATUGA-KAPEKA-24h'!L58,'25.08 MATUGA-KAPEKA-24h'!L58)</f>
        <v>0</v>
      </c>
      <c r="M58" s="49">
        <f>AVERAGE('24.08 MATUGA-KAPEKA-24h'!M58,'25.08 MATUGA-KAPEKA-24h'!M58)</f>
        <v>15</v>
      </c>
      <c r="N58" s="49">
        <f>AVERAGE('24.08 MATUGA-KAPEKA-24h'!N58,'25.08 MATUGA-KAPEKA-24h'!N58)</f>
        <v>0</v>
      </c>
      <c r="O58" s="15">
        <f t="shared" si="0"/>
        <v>7</v>
      </c>
      <c r="P58" s="15">
        <f t="shared" si="1"/>
        <v>22</v>
      </c>
      <c r="R58" s="8"/>
      <c r="T58"/>
    </row>
    <row r="59" spans="2:20" ht="23.1" customHeight="1" x14ac:dyDescent="0.25">
      <c r="B59" s="23" t="s">
        <v>100</v>
      </c>
      <c r="C59" s="49">
        <f>AVERAGE('24.08 MATUGA-KAPEKA-24h'!C59,'25.08 MATUGA-KAPEKA-24h'!C59)</f>
        <v>1</v>
      </c>
      <c r="D59" s="49">
        <f>0.4*(AVERAGE('24.08 MATUGA-KAPEKA-24h'!E59,'25.08 MATUGA-KAPEKA-24h'!E59))</f>
        <v>0.4</v>
      </c>
      <c r="E59" s="49">
        <f>0.6*(AVERAGE('24.08 MATUGA-KAPEKA-24h'!E59,'25.08 MATUGA-KAPEKA-24h'!E59))</f>
        <v>0.6</v>
      </c>
      <c r="F59" s="49">
        <f>AVERAGE('24.08 MATUGA-KAPEKA-24h'!F59,'25.08 MATUGA-KAPEKA-24h'!F59)</f>
        <v>4</v>
      </c>
      <c r="G59" s="49">
        <f>AVERAGE('24.08 MATUGA-KAPEKA-24h'!G59,'25.08 MATUGA-KAPEKA-24h'!G59)</f>
        <v>0</v>
      </c>
      <c r="H59" s="49">
        <f>AVERAGE('24.08 MATUGA-KAPEKA-24h'!H59,'25.08 MATUGA-KAPEKA-24h'!H59)</f>
        <v>0</v>
      </c>
      <c r="I59" s="49">
        <f>AVERAGE('24.08 MATUGA-KAPEKA-24h'!I59,'25.08 MATUGA-KAPEKA-24h'!I59)</f>
        <v>4</v>
      </c>
      <c r="J59" s="49">
        <f>AVERAGE('24.08 MATUGA-KAPEKA-24h'!J59,'25.08 MATUGA-KAPEKA-24h'!J59)</f>
        <v>0</v>
      </c>
      <c r="K59" s="49">
        <f>AVERAGE('24.08 MATUGA-KAPEKA-24h'!K59,'25.08 MATUGA-KAPEKA-24h'!K59)</f>
        <v>0</v>
      </c>
      <c r="L59" s="49">
        <f>AVERAGE('24.08 MATUGA-KAPEKA-24h'!L59,'25.08 MATUGA-KAPEKA-24h'!L59)</f>
        <v>0</v>
      </c>
      <c r="M59" s="49">
        <f>AVERAGE('24.08 MATUGA-KAPEKA-24h'!M59,'25.08 MATUGA-KAPEKA-24h'!M59)</f>
        <v>17</v>
      </c>
      <c r="N59" s="49">
        <f>AVERAGE('24.08 MATUGA-KAPEKA-24h'!N59,'25.08 MATUGA-KAPEKA-24h'!N59)</f>
        <v>0</v>
      </c>
      <c r="O59" s="15">
        <f t="shared" si="0"/>
        <v>10</v>
      </c>
      <c r="P59" s="15">
        <f t="shared" si="1"/>
        <v>27</v>
      </c>
      <c r="R59" s="8"/>
      <c r="T59"/>
    </row>
    <row r="60" spans="2:20" ht="23.1" customHeight="1" x14ac:dyDescent="0.25">
      <c r="B60" s="23" t="s">
        <v>101</v>
      </c>
      <c r="C60" s="49">
        <f>AVERAGE('24.08 MATUGA-KAPEKA-24h'!C60,'25.08 MATUGA-KAPEKA-24h'!C60)</f>
        <v>0</v>
      </c>
      <c r="D60" s="49">
        <f>0.4*(AVERAGE('24.08 MATUGA-KAPEKA-24h'!E60,'25.08 MATUGA-KAPEKA-24h'!E60))</f>
        <v>0.4</v>
      </c>
      <c r="E60" s="49">
        <f>0.6*(AVERAGE('24.08 MATUGA-KAPEKA-24h'!E60,'25.08 MATUGA-KAPEKA-24h'!E60))</f>
        <v>0.6</v>
      </c>
      <c r="F60" s="49">
        <f>AVERAGE('24.08 MATUGA-KAPEKA-24h'!F60,'25.08 MATUGA-KAPEKA-24h'!F60)</f>
        <v>0</v>
      </c>
      <c r="G60" s="49">
        <f>AVERAGE('24.08 MATUGA-KAPEKA-24h'!G60,'25.08 MATUGA-KAPEKA-24h'!G60)</f>
        <v>0</v>
      </c>
      <c r="H60" s="49">
        <f>AVERAGE('24.08 MATUGA-KAPEKA-24h'!H60,'25.08 MATUGA-KAPEKA-24h'!H60)</f>
        <v>0</v>
      </c>
      <c r="I60" s="49">
        <f>AVERAGE('24.08 MATUGA-KAPEKA-24h'!I60,'25.08 MATUGA-KAPEKA-24h'!I60)</f>
        <v>3</v>
      </c>
      <c r="J60" s="49">
        <f>AVERAGE('24.08 MATUGA-KAPEKA-24h'!J60,'25.08 MATUGA-KAPEKA-24h'!J60)</f>
        <v>1</v>
      </c>
      <c r="K60" s="49">
        <f>AVERAGE('24.08 MATUGA-KAPEKA-24h'!K60,'25.08 MATUGA-KAPEKA-24h'!K60)</f>
        <v>0</v>
      </c>
      <c r="L60" s="49">
        <f>AVERAGE('24.08 MATUGA-KAPEKA-24h'!L60,'25.08 MATUGA-KAPEKA-24h'!L60)</f>
        <v>0</v>
      </c>
      <c r="M60" s="49">
        <f>AVERAGE('24.08 MATUGA-KAPEKA-24h'!M60,'25.08 MATUGA-KAPEKA-24h'!M60)</f>
        <v>13</v>
      </c>
      <c r="N60" s="49">
        <f>AVERAGE('24.08 MATUGA-KAPEKA-24h'!N60,'25.08 MATUGA-KAPEKA-24h'!N60)</f>
        <v>0</v>
      </c>
      <c r="O60" s="15">
        <f t="shared" si="0"/>
        <v>5</v>
      </c>
      <c r="P60" s="15">
        <f t="shared" si="1"/>
        <v>18</v>
      </c>
      <c r="R60" s="8"/>
      <c r="T60"/>
    </row>
    <row r="61" spans="2:20" ht="23.1" customHeight="1" x14ac:dyDescent="0.25">
      <c r="B61" s="23" t="s">
        <v>102</v>
      </c>
      <c r="C61" s="49">
        <f>AVERAGE('24.08 MATUGA-KAPEKA-24h'!C61,'25.08 MATUGA-KAPEKA-24h'!C61)</f>
        <v>2</v>
      </c>
      <c r="D61" s="49">
        <f>0.4*(AVERAGE('24.08 MATUGA-KAPEKA-24h'!E61,'25.08 MATUGA-KAPEKA-24h'!E61))</f>
        <v>0.8</v>
      </c>
      <c r="E61" s="49">
        <f>0.6*(AVERAGE('24.08 MATUGA-KAPEKA-24h'!E61,'25.08 MATUGA-KAPEKA-24h'!E61))</f>
        <v>1.2</v>
      </c>
      <c r="F61" s="49">
        <f>AVERAGE('24.08 MATUGA-KAPEKA-24h'!F61,'25.08 MATUGA-KAPEKA-24h'!F61)</f>
        <v>0</v>
      </c>
      <c r="G61" s="49">
        <f>AVERAGE('24.08 MATUGA-KAPEKA-24h'!G61,'25.08 MATUGA-KAPEKA-24h'!G61)</f>
        <v>0</v>
      </c>
      <c r="H61" s="49">
        <f>AVERAGE('24.08 MATUGA-KAPEKA-24h'!H61,'25.08 MATUGA-KAPEKA-24h'!H61)</f>
        <v>0</v>
      </c>
      <c r="I61" s="49">
        <f>AVERAGE('24.08 MATUGA-KAPEKA-24h'!I61,'25.08 MATUGA-KAPEKA-24h'!I61)</f>
        <v>3</v>
      </c>
      <c r="J61" s="49">
        <f>AVERAGE('24.08 MATUGA-KAPEKA-24h'!J61,'25.08 MATUGA-KAPEKA-24h'!J61)</f>
        <v>1</v>
      </c>
      <c r="K61" s="49">
        <f>AVERAGE('24.08 MATUGA-KAPEKA-24h'!K61,'25.08 MATUGA-KAPEKA-24h'!K61)</f>
        <v>0</v>
      </c>
      <c r="L61" s="49">
        <f>AVERAGE('24.08 MATUGA-KAPEKA-24h'!L61,'25.08 MATUGA-KAPEKA-24h'!L61)</f>
        <v>0</v>
      </c>
      <c r="M61" s="49">
        <f>AVERAGE('24.08 MATUGA-KAPEKA-24h'!M61,'25.08 MATUGA-KAPEKA-24h'!M61)</f>
        <v>14</v>
      </c>
      <c r="N61" s="49">
        <f>AVERAGE('24.08 MATUGA-KAPEKA-24h'!N61,'25.08 MATUGA-KAPEKA-24h'!N61)</f>
        <v>0</v>
      </c>
      <c r="O61" s="15">
        <f t="shared" si="0"/>
        <v>8</v>
      </c>
      <c r="P61" s="15">
        <f t="shared" si="1"/>
        <v>22</v>
      </c>
      <c r="R61" s="8"/>
      <c r="T61"/>
    </row>
    <row r="62" spans="2:20" ht="23.1" customHeight="1" x14ac:dyDescent="0.25">
      <c r="B62" s="23" t="s">
        <v>107</v>
      </c>
      <c r="C62" s="49">
        <f>AVERAGE('24.08 MATUGA-KAPEKA-24h'!C62,'25.08 MATUGA-KAPEKA-24h'!C62)</f>
        <v>2</v>
      </c>
      <c r="D62" s="49">
        <f>0.4*(AVERAGE('24.08 MATUGA-KAPEKA-24h'!E62,'25.08 MATUGA-KAPEKA-24h'!E62))</f>
        <v>0.8</v>
      </c>
      <c r="E62" s="49">
        <f>0.6*(AVERAGE('24.08 MATUGA-KAPEKA-24h'!E62,'25.08 MATUGA-KAPEKA-24h'!E62))</f>
        <v>1.2</v>
      </c>
      <c r="F62" s="49">
        <f>AVERAGE('24.08 MATUGA-KAPEKA-24h'!F62,'25.08 MATUGA-KAPEKA-24h'!F62)</f>
        <v>3</v>
      </c>
      <c r="G62" s="49">
        <f>AVERAGE('24.08 MATUGA-KAPEKA-24h'!G62,'25.08 MATUGA-KAPEKA-24h'!G62)</f>
        <v>0</v>
      </c>
      <c r="H62" s="49">
        <f>AVERAGE('24.08 MATUGA-KAPEKA-24h'!H62,'25.08 MATUGA-KAPEKA-24h'!H62)</f>
        <v>0</v>
      </c>
      <c r="I62" s="49">
        <f>AVERAGE('24.08 MATUGA-KAPEKA-24h'!I62,'25.08 MATUGA-KAPEKA-24h'!I62)</f>
        <v>2</v>
      </c>
      <c r="J62" s="49">
        <f>AVERAGE('24.08 MATUGA-KAPEKA-24h'!J62,'25.08 MATUGA-KAPEKA-24h'!J62)</f>
        <v>0</v>
      </c>
      <c r="K62" s="49">
        <f>AVERAGE('24.08 MATUGA-KAPEKA-24h'!K62,'25.08 MATUGA-KAPEKA-24h'!K62)</f>
        <v>2</v>
      </c>
      <c r="L62" s="49">
        <f>AVERAGE('24.08 MATUGA-KAPEKA-24h'!L62,'25.08 MATUGA-KAPEKA-24h'!L62)</f>
        <v>0</v>
      </c>
      <c r="M62" s="49">
        <f>AVERAGE('24.08 MATUGA-KAPEKA-24h'!M62,'25.08 MATUGA-KAPEKA-24h'!M62)</f>
        <v>11</v>
      </c>
      <c r="N62" s="49">
        <f>AVERAGE('24.08 MATUGA-KAPEKA-24h'!N62,'25.08 MATUGA-KAPEKA-24h'!N62)</f>
        <v>0</v>
      </c>
      <c r="O62" s="15">
        <f t="shared" si="0"/>
        <v>11</v>
      </c>
      <c r="P62" s="15">
        <f t="shared" si="1"/>
        <v>22</v>
      </c>
      <c r="R62" s="8"/>
      <c r="T62"/>
    </row>
    <row r="63" spans="2:20" ht="23.1" customHeight="1" x14ac:dyDescent="0.25">
      <c r="B63" s="23" t="s">
        <v>108</v>
      </c>
      <c r="C63" s="49">
        <f>AVERAGE('24.08 MATUGA-KAPEKA-24h'!C63,'25.08 MATUGA-KAPEKA-24h'!C63)</f>
        <v>2</v>
      </c>
      <c r="D63" s="49">
        <f>0.4*(AVERAGE('24.08 MATUGA-KAPEKA-24h'!E63,'25.08 MATUGA-KAPEKA-24h'!E63))</f>
        <v>1.2000000000000002</v>
      </c>
      <c r="E63" s="49">
        <f>0.6*(AVERAGE('24.08 MATUGA-KAPEKA-24h'!E63,'25.08 MATUGA-KAPEKA-24h'!E63))</f>
        <v>1.7999999999999998</v>
      </c>
      <c r="F63" s="49">
        <f>AVERAGE('24.08 MATUGA-KAPEKA-24h'!F63,'25.08 MATUGA-KAPEKA-24h'!F63)</f>
        <v>0</v>
      </c>
      <c r="G63" s="49">
        <f>AVERAGE('24.08 MATUGA-KAPEKA-24h'!G63,'25.08 MATUGA-KAPEKA-24h'!G63)</f>
        <v>0</v>
      </c>
      <c r="H63" s="49">
        <f>AVERAGE('24.08 MATUGA-KAPEKA-24h'!H63,'25.08 MATUGA-KAPEKA-24h'!H63)</f>
        <v>0</v>
      </c>
      <c r="I63" s="49">
        <f>AVERAGE('24.08 MATUGA-KAPEKA-24h'!I63,'25.08 MATUGA-KAPEKA-24h'!I63)</f>
        <v>0</v>
      </c>
      <c r="J63" s="49">
        <f>AVERAGE('24.08 MATUGA-KAPEKA-24h'!J63,'25.08 MATUGA-KAPEKA-24h'!J63)</f>
        <v>0</v>
      </c>
      <c r="K63" s="49">
        <f>AVERAGE('24.08 MATUGA-KAPEKA-24h'!K63,'25.08 MATUGA-KAPEKA-24h'!K63)</f>
        <v>1</v>
      </c>
      <c r="L63" s="49">
        <f>AVERAGE('24.08 MATUGA-KAPEKA-24h'!L63,'25.08 MATUGA-KAPEKA-24h'!L63)</f>
        <v>0</v>
      </c>
      <c r="M63" s="49">
        <f>AVERAGE('24.08 MATUGA-KAPEKA-24h'!M63,'25.08 MATUGA-KAPEKA-24h'!M63)</f>
        <v>7</v>
      </c>
      <c r="N63" s="49">
        <f>AVERAGE('24.08 MATUGA-KAPEKA-24h'!N63,'25.08 MATUGA-KAPEKA-24h'!N63)</f>
        <v>0</v>
      </c>
      <c r="O63" s="15">
        <f t="shared" si="0"/>
        <v>6</v>
      </c>
      <c r="P63" s="15">
        <f t="shared" si="1"/>
        <v>13</v>
      </c>
      <c r="R63" s="8"/>
      <c r="T63"/>
    </row>
    <row r="64" spans="2:20" ht="23.1" customHeight="1" x14ac:dyDescent="0.25">
      <c r="B64" s="23" t="s">
        <v>109</v>
      </c>
      <c r="C64" s="49">
        <f>AVERAGE('24.08 MATUGA-KAPEKA-24h'!C64,'25.08 MATUGA-KAPEKA-24h'!C64)</f>
        <v>3</v>
      </c>
      <c r="D64" s="49">
        <f>0.4*(AVERAGE('24.08 MATUGA-KAPEKA-24h'!E64,'25.08 MATUGA-KAPEKA-24h'!E64))</f>
        <v>1.6</v>
      </c>
      <c r="E64" s="49">
        <f>0.6*(AVERAGE('24.08 MATUGA-KAPEKA-24h'!E64,'25.08 MATUGA-KAPEKA-24h'!E64))</f>
        <v>2.4</v>
      </c>
      <c r="F64" s="49">
        <f>AVERAGE('24.08 MATUGA-KAPEKA-24h'!F64,'25.08 MATUGA-KAPEKA-24h'!F64)</f>
        <v>1</v>
      </c>
      <c r="G64" s="49">
        <f>AVERAGE('24.08 MATUGA-KAPEKA-24h'!G64,'25.08 MATUGA-KAPEKA-24h'!G64)</f>
        <v>0</v>
      </c>
      <c r="H64" s="49">
        <f>AVERAGE('24.08 MATUGA-KAPEKA-24h'!H64,'25.08 MATUGA-KAPEKA-24h'!H64)</f>
        <v>0</v>
      </c>
      <c r="I64" s="49">
        <f>AVERAGE('24.08 MATUGA-KAPEKA-24h'!I64,'25.08 MATUGA-KAPEKA-24h'!I64)</f>
        <v>4</v>
      </c>
      <c r="J64" s="49">
        <f>AVERAGE('24.08 MATUGA-KAPEKA-24h'!J64,'25.08 MATUGA-KAPEKA-24h'!J64)</f>
        <v>0</v>
      </c>
      <c r="K64" s="49">
        <f>AVERAGE('24.08 MATUGA-KAPEKA-24h'!K64,'25.08 MATUGA-KAPEKA-24h'!K64)</f>
        <v>0</v>
      </c>
      <c r="L64" s="49">
        <f>AVERAGE('24.08 MATUGA-KAPEKA-24h'!L64,'25.08 MATUGA-KAPEKA-24h'!L64)</f>
        <v>0</v>
      </c>
      <c r="M64" s="49">
        <f>AVERAGE('24.08 MATUGA-KAPEKA-24h'!M64,'25.08 MATUGA-KAPEKA-24h'!M64)</f>
        <v>11</v>
      </c>
      <c r="N64" s="49">
        <f>AVERAGE('24.08 MATUGA-KAPEKA-24h'!N64,'25.08 MATUGA-KAPEKA-24h'!N64)</f>
        <v>0</v>
      </c>
      <c r="O64" s="15">
        <f t="shared" si="0"/>
        <v>12</v>
      </c>
      <c r="P64" s="15">
        <f t="shared" si="1"/>
        <v>23</v>
      </c>
      <c r="R64" s="8"/>
      <c r="T64"/>
    </row>
    <row r="65" spans="2:20" ht="23.1" customHeight="1" x14ac:dyDescent="0.25">
      <c r="B65" s="23" t="s">
        <v>158</v>
      </c>
      <c r="C65" s="49">
        <f>AVERAGE('24.08 MATUGA-KAPEKA-24h'!C65,'25.08 MATUGA-KAPEKA-24h'!C65)</f>
        <v>3</v>
      </c>
      <c r="D65" s="49">
        <f>0.4*(AVERAGE('24.08 MATUGA-KAPEKA-24h'!E65,'25.08 MATUGA-KAPEKA-24h'!E65))</f>
        <v>0</v>
      </c>
      <c r="E65" s="49">
        <f>0.6*(AVERAGE('24.08 MATUGA-KAPEKA-24h'!E65,'25.08 MATUGA-KAPEKA-24h'!E65))</f>
        <v>0</v>
      </c>
      <c r="F65" s="49">
        <f>AVERAGE('24.08 MATUGA-KAPEKA-24h'!F65,'25.08 MATUGA-KAPEKA-24h'!F65)</f>
        <v>2</v>
      </c>
      <c r="G65" s="49">
        <f>AVERAGE('24.08 MATUGA-KAPEKA-24h'!G65,'25.08 MATUGA-KAPEKA-24h'!G65)</f>
        <v>0</v>
      </c>
      <c r="H65" s="49">
        <f>AVERAGE('24.08 MATUGA-KAPEKA-24h'!H65,'25.08 MATUGA-KAPEKA-24h'!H65)</f>
        <v>0</v>
      </c>
      <c r="I65" s="49">
        <f>AVERAGE('24.08 MATUGA-KAPEKA-24h'!I65,'25.08 MATUGA-KAPEKA-24h'!I65)</f>
        <v>1</v>
      </c>
      <c r="J65" s="49">
        <f>AVERAGE('24.08 MATUGA-KAPEKA-24h'!J65,'25.08 MATUGA-KAPEKA-24h'!J65)</f>
        <v>1</v>
      </c>
      <c r="K65" s="49">
        <f>AVERAGE('24.08 MATUGA-KAPEKA-24h'!K65,'25.08 MATUGA-KAPEKA-24h'!K65)</f>
        <v>1</v>
      </c>
      <c r="L65" s="49">
        <f>AVERAGE('24.08 MATUGA-KAPEKA-24h'!L65,'25.08 MATUGA-KAPEKA-24h'!L65)</f>
        <v>0</v>
      </c>
      <c r="M65" s="49">
        <f>AVERAGE('24.08 MATUGA-KAPEKA-24h'!M65,'25.08 MATUGA-KAPEKA-24h'!M65)</f>
        <v>10</v>
      </c>
      <c r="N65" s="49">
        <f>AVERAGE('24.08 MATUGA-KAPEKA-24h'!N65,'25.08 MATUGA-KAPEKA-24h'!N65)</f>
        <v>0</v>
      </c>
      <c r="O65" s="15">
        <f t="shared" si="0"/>
        <v>8</v>
      </c>
      <c r="P65" s="15">
        <f t="shared" si="1"/>
        <v>18</v>
      </c>
      <c r="R65" s="8"/>
      <c r="T65"/>
    </row>
    <row r="66" spans="2:20" ht="23.1" customHeight="1" x14ac:dyDescent="0.25">
      <c r="B66" s="23" t="s">
        <v>103</v>
      </c>
      <c r="C66" s="49">
        <f>AVERAGE('24.08 MATUGA-KAPEKA-24h'!C66,'25.08 MATUGA-KAPEKA-24h'!C66)</f>
        <v>1</v>
      </c>
      <c r="D66" s="49">
        <f>0.4*(AVERAGE('24.08 MATUGA-KAPEKA-24h'!E66,'25.08 MATUGA-KAPEKA-24h'!E66))</f>
        <v>0.4</v>
      </c>
      <c r="E66" s="49">
        <f>0.6*(AVERAGE('24.08 MATUGA-KAPEKA-24h'!E66,'25.08 MATUGA-KAPEKA-24h'!E66))</f>
        <v>0.6</v>
      </c>
      <c r="F66" s="49">
        <f>AVERAGE('24.08 MATUGA-KAPEKA-24h'!F66,'25.08 MATUGA-KAPEKA-24h'!F66)</f>
        <v>1</v>
      </c>
      <c r="G66" s="49">
        <f>AVERAGE('24.08 MATUGA-KAPEKA-24h'!G66,'25.08 MATUGA-KAPEKA-24h'!G66)</f>
        <v>0</v>
      </c>
      <c r="H66" s="49">
        <f>AVERAGE('24.08 MATUGA-KAPEKA-24h'!H66,'25.08 MATUGA-KAPEKA-24h'!H66)</f>
        <v>0</v>
      </c>
      <c r="I66" s="49">
        <f>AVERAGE('24.08 MATUGA-KAPEKA-24h'!I66,'25.08 MATUGA-KAPEKA-24h'!I66)</f>
        <v>2</v>
      </c>
      <c r="J66" s="49">
        <f>AVERAGE('24.08 MATUGA-KAPEKA-24h'!J66,'25.08 MATUGA-KAPEKA-24h'!J66)</f>
        <v>1</v>
      </c>
      <c r="K66" s="49">
        <f>AVERAGE('24.08 MATUGA-KAPEKA-24h'!K66,'25.08 MATUGA-KAPEKA-24h'!K66)</f>
        <v>1</v>
      </c>
      <c r="L66" s="49">
        <f>AVERAGE('24.08 MATUGA-KAPEKA-24h'!L66,'25.08 MATUGA-KAPEKA-24h'!L66)</f>
        <v>0</v>
      </c>
      <c r="M66" s="49">
        <f>AVERAGE('24.08 MATUGA-KAPEKA-24h'!M66,'25.08 MATUGA-KAPEKA-24h'!M66)</f>
        <v>6</v>
      </c>
      <c r="N66" s="49">
        <f>AVERAGE('24.08 MATUGA-KAPEKA-24h'!N66,'25.08 MATUGA-KAPEKA-24h'!N66)</f>
        <v>0</v>
      </c>
      <c r="O66" s="15">
        <f t="shared" si="0"/>
        <v>7</v>
      </c>
      <c r="P66" s="15">
        <f t="shared" si="1"/>
        <v>13</v>
      </c>
      <c r="R66" s="8"/>
      <c r="T66"/>
    </row>
    <row r="67" spans="2:20" ht="23.1" customHeight="1" x14ac:dyDescent="0.25">
      <c r="B67" s="23" t="s">
        <v>104</v>
      </c>
      <c r="C67" s="49">
        <f>AVERAGE('24.08 MATUGA-KAPEKA-24h'!C67,'25.08 MATUGA-KAPEKA-24h'!C67)</f>
        <v>4</v>
      </c>
      <c r="D67" s="49">
        <f>0.4*(AVERAGE('24.08 MATUGA-KAPEKA-24h'!E67,'25.08 MATUGA-KAPEKA-24h'!E67))</f>
        <v>0.8</v>
      </c>
      <c r="E67" s="49">
        <f>0.6*(AVERAGE('24.08 MATUGA-KAPEKA-24h'!E67,'25.08 MATUGA-KAPEKA-24h'!E67))</f>
        <v>1.2</v>
      </c>
      <c r="F67" s="49">
        <f>AVERAGE('24.08 MATUGA-KAPEKA-24h'!F67,'25.08 MATUGA-KAPEKA-24h'!F67)</f>
        <v>1</v>
      </c>
      <c r="G67" s="49">
        <f>AVERAGE('24.08 MATUGA-KAPEKA-24h'!G67,'25.08 MATUGA-KAPEKA-24h'!G67)</f>
        <v>0</v>
      </c>
      <c r="H67" s="49">
        <f>AVERAGE('24.08 MATUGA-KAPEKA-24h'!H67,'25.08 MATUGA-KAPEKA-24h'!H67)</f>
        <v>0</v>
      </c>
      <c r="I67" s="49">
        <f>AVERAGE('24.08 MATUGA-KAPEKA-24h'!I67,'25.08 MATUGA-KAPEKA-24h'!I67)</f>
        <v>2</v>
      </c>
      <c r="J67" s="49">
        <f>AVERAGE('24.08 MATUGA-KAPEKA-24h'!J67,'25.08 MATUGA-KAPEKA-24h'!J67)</f>
        <v>0</v>
      </c>
      <c r="K67" s="49">
        <f>AVERAGE('24.08 MATUGA-KAPEKA-24h'!K67,'25.08 MATUGA-KAPEKA-24h'!K67)</f>
        <v>0</v>
      </c>
      <c r="L67" s="49">
        <f>AVERAGE('24.08 MATUGA-KAPEKA-24h'!L67,'25.08 MATUGA-KAPEKA-24h'!L67)</f>
        <v>0</v>
      </c>
      <c r="M67" s="49">
        <f>AVERAGE('24.08 MATUGA-KAPEKA-24h'!M67,'25.08 MATUGA-KAPEKA-24h'!M67)</f>
        <v>4</v>
      </c>
      <c r="N67" s="49">
        <f>AVERAGE('24.08 MATUGA-KAPEKA-24h'!N67,'25.08 MATUGA-KAPEKA-24h'!N67)</f>
        <v>0</v>
      </c>
      <c r="O67" s="15">
        <f t="shared" si="0"/>
        <v>9</v>
      </c>
      <c r="P67" s="15">
        <f t="shared" si="1"/>
        <v>13</v>
      </c>
      <c r="R67" s="8"/>
      <c r="T67"/>
    </row>
    <row r="68" spans="2:20" ht="23.1" customHeight="1" x14ac:dyDescent="0.25">
      <c r="B68" s="23" t="s">
        <v>105</v>
      </c>
      <c r="C68" s="49">
        <f>AVERAGE('24.08 MATUGA-KAPEKA-24h'!C68,'25.08 MATUGA-KAPEKA-24h'!C68)</f>
        <v>5</v>
      </c>
      <c r="D68" s="49">
        <f>0.4*(AVERAGE('24.08 MATUGA-KAPEKA-24h'!E68,'25.08 MATUGA-KAPEKA-24h'!E68))</f>
        <v>1.2000000000000002</v>
      </c>
      <c r="E68" s="49">
        <f>0.6*(AVERAGE('24.08 MATUGA-KAPEKA-24h'!E68,'25.08 MATUGA-KAPEKA-24h'!E68))</f>
        <v>1.7999999999999998</v>
      </c>
      <c r="F68" s="49">
        <f>AVERAGE('24.08 MATUGA-KAPEKA-24h'!F68,'25.08 MATUGA-KAPEKA-24h'!F68)</f>
        <v>1</v>
      </c>
      <c r="G68" s="49">
        <f>AVERAGE('24.08 MATUGA-KAPEKA-24h'!G68,'25.08 MATUGA-KAPEKA-24h'!G68)</f>
        <v>0</v>
      </c>
      <c r="H68" s="49">
        <f>AVERAGE('24.08 MATUGA-KAPEKA-24h'!H68,'25.08 MATUGA-KAPEKA-24h'!H68)</f>
        <v>0</v>
      </c>
      <c r="I68" s="49">
        <f>AVERAGE('24.08 MATUGA-KAPEKA-24h'!I68,'25.08 MATUGA-KAPEKA-24h'!I68)</f>
        <v>2</v>
      </c>
      <c r="J68" s="49">
        <f>AVERAGE('24.08 MATUGA-KAPEKA-24h'!J68,'25.08 MATUGA-KAPEKA-24h'!J68)</f>
        <v>2</v>
      </c>
      <c r="K68" s="49">
        <f>AVERAGE('24.08 MATUGA-KAPEKA-24h'!K68,'25.08 MATUGA-KAPEKA-24h'!K68)</f>
        <v>0</v>
      </c>
      <c r="L68" s="49">
        <f>AVERAGE('24.08 MATUGA-KAPEKA-24h'!L68,'25.08 MATUGA-KAPEKA-24h'!L68)</f>
        <v>0</v>
      </c>
      <c r="M68" s="49">
        <f>AVERAGE('24.08 MATUGA-KAPEKA-24h'!M68,'25.08 MATUGA-KAPEKA-24h'!M68)</f>
        <v>5</v>
      </c>
      <c r="N68" s="49">
        <f>AVERAGE('24.08 MATUGA-KAPEKA-24h'!N68,'25.08 MATUGA-KAPEKA-24h'!N68)</f>
        <v>0</v>
      </c>
      <c r="O68" s="15">
        <f t="shared" si="0"/>
        <v>13</v>
      </c>
      <c r="P68" s="15">
        <f t="shared" si="1"/>
        <v>18</v>
      </c>
      <c r="R68" s="8"/>
      <c r="T68"/>
    </row>
    <row r="69" spans="2:20" ht="23.1" customHeight="1" x14ac:dyDescent="0.25">
      <c r="B69" s="23" t="s">
        <v>106</v>
      </c>
      <c r="C69" s="49">
        <f>AVERAGE('24.08 MATUGA-KAPEKA-24h'!C69,'25.08 MATUGA-KAPEKA-24h'!C69)</f>
        <v>1</v>
      </c>
      <c r="D69" s="49">
        <f>0.4*(AVERAGE('24.08 MATUGA-KAPEKA-24h'!E69,'25.08 MATUGA-KAPEKA-24h'!E69))</f>
        <v>0.8</v>
      </c>
      <c r="E69" s="49">
        <f>0.6*(AVERAGE('24.08 MATUGA-KAPEKA-24h'!E69,'25.08 MATUGA-KAPEKA-24h'!E69))</f>
        <v>1.2</v>
      </c>
      <c r="F69" s="49">
        <f>AVERAGE('24.08 MATUGA-KAPEKA-24h'!F69,'25.08 MATUGA-KAPEKA-24h'!F69)</f>
        <v>0</v>
      </c>
      <c r="G69" s="49">
        <f>AVERAGE('24.08 MATUGA-KAPEKA-24h'!G69,'25.08 MATUGA-KAPEKA-24h'!G69)</f>
        <v>0</v>
      </c>
      <c r="H69" s="49">
        <f>AVERAGE('24.08 MATUGA-KAPEKA-24h'!H69,'25.08 MATUGA-KAPEKA-24h'!H69)</f>
        <v>0</v>
      </c>
      <c r="I69" s="49">
        <f>AVERAGE('24.08 MATUGA-KAPEKA-24h'!I69,'25.08 MATUGA-KAPEKA-24h'!I69)</f>
        <v>1</v>
      </c>
      <c r="J69" s="49">
        <f>AVERAGE('24.08 MATUGA-KAPEKA-24h'!J69,'25.08 MATUGA-KAPEKA-24h'!J69)</f>
        <v>0</v>
      </c>
      <c r="K69" s="49">
        <f>AVERAGE('24.08 MATUGA-KAPEKA-24h'!K69,'25.08 MATUGA-KAPEKA-24h'!K69)</f>
        <v>0</v>
      </c>
      <c r="L69" s="49">
        <f>AVERAGE('24.08 MATUGA-KAPEKA-24h'!L69,'25.08 MATUGA-KAPEKA-24h'!L69)</f>
        <v>0</v>
      </c>
      <c r="M69" s="49">
        <f>AVERAGE('24.08 MATUGA-KAPEKA-24h'!M69,'25.08 MATUGA-KAPEKA-24h'!M69)</f>
        <v>6</v>
      </c>
      <c r="N69" s="49">
        <f>AVERAGE('24.08 MATUGA-KAPEKA-24h'!N69,'25.08 MATUGA-KAPEKA-24h'!N69)</f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23" t="s">
        <v>110</v>
      </c>
      <c r="C70" s="49">
        <f>AVERAGE('24.08 MATUGA-KAPEKA-24h'!C70,'25.08 MATUGA-KAPEKA-24h'!C70)</f>
        <v>1</v>
      </c>
      <c r="D70" s="49">
        <f>0.4*(AVERAGE('24.08 MATUGA-KAPEKA-24h'!E70,'25.08 MATUGA-KAPEKA-24h'!E70))</f>
        <v>0.4</v>
      </c>
      <c r="E70" s="49">
        <f>0.6*(AVERAGE('24.08 MATUGA-KAPEKA-24h'!E70,'25.08 MATUGA-KAPEKA-24h'!E70))</f>
        <v>0.6</v>
      </c>
      <c r="F70" s="49">
        <f>AVERAGE('24.08 MATUGA-KAPEKA-24h'!F70,'25.08 MATUGA-KAPEKA-24h'!F70)</f>
        <v>2</v>
      </c>
      <c r="G70" s="49">
        <f>AVERAGE('24.08 MATUGA-KAPEKA-24h'!G70,'25.08 MATUGA-KAPEKA-24h'!G70)</f>
        <v>0</v>
      </c>
      <c r="H70" s="49">
        <f>AVERAGE('24.08 MATUGA-KAPEKA-24h'!H70,'25.08 MATUGA-KAPEKA-24h'!H70)</f>
        <v>0</v>
      </c>
      <c r="I70" s="49">
        <f>AVERAGE('24.08 MATUGA-KAPEKA-24h'!I70,'25.08 MATUGA-KAPEKA-24h'!I70)</f>
        <v>2</v>
      </c>
      <c r="J70" s="49">
        <f>AVERAGE('24.08 MATUGA-KAPEKA-24h'!J70,'25.08 MATUGA-KAPEKA-24h'!J70)</f>
        <v>0</v>
      </c>
      <c r="K70" s="49">
        <f>AVERAGE('24.08 MATUGA-KAPEKA-24h'!K70,'25.08 MATUGA-KAPEKA-24h'!K70)</f>
        <v>0</v>
      </c>
      <c r="L70" s="49">
        <f>AVERAGE('24.08 MATUGA-KAPEKA-24h'!L70,'25.08 MATUGA-KAPEKA-24h'!L70)</f>
        <v>0</v>
      </c>
      <c r="M70" s="49">
        <f>AVERAGE('24.08 MATUGA-KAPEKA-24h'!M70,'25.08 MATUGA-KAPEKA-24h'!M70)</f>
        <v>7</v>
      </c>
      <c r="N70" s="49">
        <f>AVERAGE('24.08 MATUGA-KAPEKA-24h'!N70,'25.08 MATUGA-KAPEKA-24h'!N70)</f>
        <v>0</v>
      </c>
      <c r="O70" s="15">
        <f t="shared" si="0"/>
        <v>6</v>
      </c>
      <c r="P70" s="15">
        <f t="shared" si="1"/>
        <v>13</v>
      </c>
      <c r="R70" s="8"/>
      <c r="T70"/>
    </row>
    <row r="71" spans="2:20" ht="23.1" customHeight="1" x14ac:dyDescent="0.25">
      <c r="B71" s="23" t="s">
        <v>111</v>
      </c>
      <c r="C71" s="49">
        <f>AVERAGE('24.08 MATUGA-KAPEKA-24h'!C71,'25.08 MATUGA-KAPEKA-24h'!C71)</f>
        <v>0</v>
      </c>
      <c r="D71" s="49">
        <f>0.4*(AVERAGE('24.08 MATUGA-KAPEKA-24h'!E71,'25.08 MATUGA-KAPEKA-24h'!E71))</f>
        <v>0.4</v>
      </c>
      <c r="E71" s="49">
        <f>0.6*(AVERAGE('24.08 MATUGA-KAPEKA-24h'!E71,'25.08 MATUGA-KAPEKA-24h'!E71))</f>
        <v>0.6</v>
      </c>
      <c r="F71" s="49">
        <f>AVERAGE('24.08 MATUGA-KAPEKA-24h'!F71,'25.08 MATUGA-KAPEKA-24h'!F71)</f>
        <v>0</v>
      </c>
      <c r="G71" s="49">
        <f>AVERAGE('24.08 MATUGA-KAPEKA-24h'!G71,'25.08 MATUGA-KAPEKA-24h'!G71)</f>
        <v>0</v>
      </c>
      <c r="H71" s="49">
        <f>AVERAGE('24.08 MATUGA-KAPEKA-24h'!H71,'25.08 MATUGA-KAPEKA-24h'!H71)</f>
        <v>0</v>
      </c>
      <c r="I71" s="49">
        <f>AVERAGE('24.08 MATUGA-KAPEKA-24h'!I71,'25.08 MATUGA-KAPEKA-24h'!I71)</f>
        <v>2</v>
      </c>
      <c r="J71" s="49">
        <f>AVERAGE('24.08 MATUGA-KAPEKA-24h'!J71,'25.08 MATUGA-KAPEKA-24h'!J71)</f>
        <v>1</v>
      </c>
      <c r="K71" s="49">
        <f>AVERAGE('24.08 MATUGA-KAPEKA-24h'!K71,'25.08 MATUGA-KAPEKA-24h'!K71)</f>
        <v>0</v>
      </c>
      <c r="L71" s="49">
        <f>AVERAGE('24.08 MATUGA-KAPEKA-24h'!L71,'25.08 MATUGA-KAPEKA-24h'!L71)</f>
        <v>0</v>
      </c>
      <c r="M71" s="49">
        <f>AVERAGE('24.08 MATUGA-KAPEKA-24h'!M71,'25.08 MATUGA-KAPEKA-24h'!M71)</f>
        <v>3</v>
      </c>
      <c r="N71" s="49">
        <f>AVERAGE('24.08 MATUGA-KAPEKA-24h'!N71,'25.08 MATUGA-KAPEKA-24h'!N71)</f>
        <v>0</v>
      </c>
      <c r="O71" s="15">
        <f t="shared" si="0"/>
        <v>4</v>
      </c>
      <c r="P71" s="15">
        <f t="shared" si="1"/>
        <v>7</v>
      </c>
      <c r="R71" s="8"/>
      <c r="T71"/>
    </row>
    <row r="72" spans="2:20" ht="23.1" customHeight="1" x14ac:dyDescent="0.25">
      <c r="B72" s="23" t="s">
        <v>112</v>
      </c>
      <c r="C72" s="49">
        <f>AVERAGE('24.08 MATUGA-KAPEKA-24h'!C72,'25.08 MATUGA-KAPEKA-24h'!C72)</f>
        <v>1</v>
      </c>
      <c r="D72" s="49">
        <f>0.4*(AVERAGE('24.08 MATUGA-KAPEKA-24h'!E72,'25.08 MATUGA-KAPEKA-24h'!E72))</f>
        <v>0.4</v>
      </c>
      <c r="E72" s="49">
        <f>0.6*(AVERAGE('24.08 MATUGA-KAPEKA-24h'!E72,'25.08 MATUGA-KAPEKA-24h'!E72))</f>
        <v>0.6</v>
      </c>
      <c r="F72" s="49">
        <f>AVERAGE('24.08 MATUGA-KAPEKA-24h'!F72,'25.08 MATUGA-KAPEKA-24h'!F72)</f>
        <v>0</v>
      </c>
      <c r="G72" s="49">
        <f>AVERAGE('24.08 MATUGA-KAPEKA-24h'!G72,'25.08 MATUGA-KAPEKA-24h'!G72)</f>
        <v>0</v>
      </c>
      <c r="H72" s="49">
        <f>AVERAGE('24.08 MATUGA-KAPEKA-24h'!H72,'25.08 MATUGA-KAPEKA-24h'!H72)</f>
        <v>0</v>
      </c>
      <c r="I72" s="49">
        <f>AVERAGE('24.08 MATUGA-KAPEKA-24h'!I72,'25.08 MATUGA-KAPEKA-24h'!I72)</f>
        <v>2</v>
      </c>
      <c r="J72" s="49">
        <f>AVERAGE('24.08 MATUGA-KAPEKA-24h'!J72,'25.08 MATUGA-KAPEKA-24h'!J72)</f>
        <v>1</v>
      </c>
      <c r="K72" s="49">
        <f>AVERAGE('24.08 MATUGA-KAPEKA-24h'!K72,'25.08 MATUGA-KAPEKA-24h'!K72)</f>
        <v>0</v>
      </c>
      <c r="L72" s="49">
        <f>AVERAGE('24.08 MATUGA-KAPEKA-24h'!L72,'25.08 MATUGA-KAPEKA-24h'!L72)</f>
        <v>0</v>
      </c>
      <c r="M72" s="49">
        <f>AVERAGE('24.08 MATUGA-KAPEKA-24h'!M72,'25.08 MATUGA-KAPEKA-24h'!M72)</f>
        <v>2</v>
      </c>
      <c r="N72" s="49">
        <f>AVERAGE('24.08 MATUGA-KAPEKA-24h'!N72,'25.08 MATUGA-KAPEKA-24h'!N72)</f>
        <v>0</v>
      </c>
      <c r="O72" s="15">
        <f t="shared" si="0"/>
        <v>5</v>
      </c>
      <c r="P72" s="15">
        <f t="shared" si="1"/>
        <v>7</v>
      </c>
      <c r="R72" s="8"/>
      <c r="T72"/>
    </row>
    <row r="73" spans="2:20" ht="23.1" customHeight="1" x14ac:dyDescent="0.25">
      <c r="B73" s="23" t="s">
        <v>113</v>
      </c>
      <c r="C73" s="49">
        <f>AVERAGE('24.08 MATUGA-KAPEKA-24h'!C73,'25.08 MATUGA-KAPEKA-24h'!C73)</f>
        <v>1</v>
      </c>
      <c r="D73" s="49">
        <f>0.4*(AVERAGE('24.08 MATUGA-KAPEKA-24h'!E73,'25.08 MATUGA-KAPEKA-24h'!E73))</f>
        <v>0.4</v>
      </c>
      <c r="E73" s="49">
        <f>0.6*(AVERAGE('24.08 MATUGA-KAPEKA-24h'!E73,'25.08 MATUGA-KAPEKA-24h'!E73))</f>
        <v>0.6</v>
      </c>
      <c r="F73" s="49">
        <f>AVERAGE('24.08 MATUGA-KAPEKA-24h'!F73,'25.08 MATUGA-KAPEKA-24h'!F73)</f>
        <v>2</v>
      </c>
      <c r="G73" s="49">
        <f>AVERAGE('24.08 MATUGA-KAPEKA-24h'!G73,'25.08 MATUGA-KAPEKA-24h'!G73)</f>
        <v>0</v>
      </c>
      <c r="H73" s="49">
        <f>AVERAGE('24.08 MATUGA-KAPEKA-24h'!H73,'25.08 MATUGA-KAPEKA-24h'!H73)</f>
        <v>0</v>
      </c>
      <c r="I73" s="49">
        <f>AVERAGE('24.08 MATUGA-KAPEKA-24h'!I73,'25.08 MATUGA-KAPEKA-24h'!I73)</f>
        <v>1</v>
      </c>
      <c r="J73" s="49">
        <f>AVERAGE('24.08 MATUGA-KAPEKA-24h'!J73,'25.08 MATUGA-KAPEKA-24h'!J73)</f>
        <v>0</v>
      </c>
      <c r="K73" s="49">
        <f>AVERAGE('24.08 MATUGA-KAPEKA-24h'!K73,'25.08 MATUGA-KAPEKA-24h'!K73)</f>
        <v>1</v>
      </c>
      <c r="L73" s="49">
        <f>AVERAGE('24.08 MATUGA-KAPEKA-24h'!L73,'25.08 MATUGA-KAPEKA-24h'!L73)</f>
        <v>0</v>
      </c>
      <c r="M73" s="49">
        <f>AVERAGE('24.08 MATUGA-KAPEKA-24h'!M73,'25.08 MATUGA-KAPEKA-24h'!M73)</f>
        <v>1</v>
      </c>
      <c r="N73" s="49">
        <f>AVERAGE('24.08 MATUGA-KAPEKA-24h'!N73,'25.08 MATUGA-KAPEKA-24h'!N73)</f>
        <v>0</v>
      </c>
      <c r="O73" s="15">
        <f t="shared" si="0"/>
        <v>6</v>
      </c>
      <c r="P73" s="15">
        <f t="shared" si="1"/>
        <v>7</v>
      </c>
      <c r="R73" s="8"/>
      <c r="T73"/>
    </row>
    <row r="74" spans="2:20" ht="23.1" customHeight="1" x14ac:dyDescent="0.25">
      <c r="B74" s="23" t="s">
        <v>114</v>
      </c>
      <c r="C74" s="49">
        <f>AVERAGE('24.08 MATUGA-KAPEKA-24h'!C74,'25.08 MATUGA-KAPEKA-24h'!C74)</f>
        <v>1</v>
      </c>
      <c r="D74" s="49">
        <f>0.4*(AVERAGE('24.08 MATUGA-KAPEKA-24h'!E74,'25.08 MATUGA-KAPEKA-24h'!E74))</f>
        <v>0.8</v>
      </c>
      <c r="E74" s="49">
        <f>0.6*(AVERAGE('24.08 MATUGA-KAPEKA-24h'!E74,'25.08 MATUGA-KAPEKA-24h'!E74))</f>
        <v>1.2</v>
      </c>
      <c r="F74" s="49">
        <f>AVERAGE('24.08 MATUGA-KAPEKA-24h'!F74,'25.08 MATUGA-KAPEKA-24h'!F74)</f>
        <v>0</v>
      </c>
      <c r="G74" s="49">
        <f>AVERAGE('24.08 MATUGA-KAPEKA-24h'!G74,'25.08 MATUGA-KAPEKA-24h'!G74)</f>
        <v>0</v>
      </c>
      <c r="H74" s="49">
        <f>AVERAGE('24.08 MATUGA-KAPEKA-24h'!H74,'25.08 MATUGA-KAPEKA-24h'!H74)</f>
        <v>0</v>
      </c>
      <c r="I74" s="49">
        <f>AVERAGE('24.08 MATUGA-KAPEKA-24h'!I74,'25.08 MATUGA-KAPEKA-24h'!I74)</f>
        <v>0</v>
      </c>
      <c r="J74" s="49">
        <f>AVERAGE('24.08 MATUGA-KAPEKA-24h'!J74,'25.08 MATUGA-KAPEKA-24h'!J74)</f>
        <v>0</v>
      </c>
      <c r="K74" s="49">
        <f>AVERAGE('24.08 MATUGA-KAPEKA-24h'!K74,'25.08 MATUGA-KAPEKA-24h'!K74)</f>
        <v>1</v>
      </c>
      <c r="L74" s="49">
        <f>AVERAGE('24.08 MATUGA-KAPEKA-24h'!L74,'25.08 MATUGA-KAPEKA-24h'!L74)</f>
        <v>0</v>
      </c>
      <c r="M74" s="49">
        <f>AVERAGE('24.08 MATUGA-KAPEKA-24h'!M74,'25.08 MATUGA-KAPEKA-24h'!M74)</f>
        <v>1</v>
      </c>
      <c r="N74" s="49">
        <f>AVERAGE('24.08 MATUGA-KAPEKA-24h'!N74,'25.08 MATUGA-KAPEKA-24h'!N74)</f>
        <v>0</v>
      </c>
      <c r="O74" s="15">
        <f t="shared" ref="O74:O105" si="35">SUM(C74:L74,N74)</f>
        <v>4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23" t="s">
        <v>115</v>
      </c>
      <c r="C75" s="49">
        <f>AVERAGE('24.08 MATUGA-KAPEKA-24h'!C75,'25.08 MATUGA-KAPEKA-24h'!C75)</f>
        <v>2</v>
      </c>
      <c r="D75" s="49">
        <f>0.4*(AVERAGE('24.08 MATUGA-KAPEKA-24h'!E75,'25.08 MATUGA-KAPEKA-24h'!E75))</f>
        <v>0.8</v>
      </c>
      <c r="E75" s="49">
        <f>0.6*(AVERAGE('24.08 MATUGA-KAPEKA-24h'!E75,'25.08 MATUGA-KAPEKA-24h'!E75))</f>
        <v>1.2</v>
      </c>
      <c r="F75" s="49">
        <f>AVERAGE('24.08 MATUGA-KAPEKA-24h'!F75,'25.08 MATUGA-KAPEKA-24h'!F75)</f>
        <v>1</v>
      </c>
      <c r="G75" s="49">
        <f>AVERAGE('24.08 MATUGA-KAPEKA-24h'!G75,'25.08 MATUGA-KAPEKA-24h'!G75)</f>
        <v>0</v>
      </c>
      <c r="H75" s="49">
        <f>AVERAGE('24.08 MATUGA-KAPEKA-24h'!H75,'25.08 MATUGA-KAPEKA-24h'!H75)</f>
        <v>0</v>
      </c>
      <c r="I75" s="49">
        <f>AVERAGE('24.08 MATUGA-KAPEKA-24h'!I75,'25.08 MATUGA-KAPEKA-24h'!I75)</f>
        <v>2</v>
      </c>
      <c r="J75" s="49">
        <f>AVERAGE('24.08 MATUGA-KAPEKA-24h'!J75,'25.08 MATUGA-KAPEKA-24h'!J75)</f>
        <v>0</v>
      </c>
      <c r="K75" s="49">
        <f>AVERAGE('24.08 MATUGA-KAPEKA-24h'!K75,'25.08 MATUGA-KAPEKA-24h'!K75)</f>
        <v>0</v>
      </c>
      <c r="L75" s="49">
        <f>AVERAGE('24.08 MATUGA-KAPEKA-24h'!L75,'25.08 MATUGA-KAPEKA-24h'!L75)</f>
        <v>0</v>
      </c>
      <c r="M75" s="49">
        <f>AVERAGE('24.08 MATUGA-KAPEKA-24h'!M75,'25.08 MATUGA-KAPEKA-24h'!M75)</f>
        <v>0</v>
      </c>
      <c r="N75" s="49">
        <f>AVERAGE('24.08 MATUGA-KAPEKA-24h'!N75,'25.08 MATUGA-KAPEKA-24h'!N75)</f>
        <v>0</v>
      </c>
      <c r="O75" s="15">
        <f t="shared" si="35"/>
        <v>7</v>
      </c>
      <c r="P75" s="15">
        <f t="shared" si="36"/>
        <v>7</v>
      </c>
      <c r="R75" s="8"/>
      <c r="T75"/>
    </row>
    <row r="76" spans="2:20" ht="23.1" customHeight="1" x14ac:dyDescent="0.25">
      <c r="B76" s="23" t="s">
        <v>116</v>
      </c>
      <c r="C76" s="49">
        <f>AVERAGE('24.08 MATUGA-KAPEKA-24h'!C76,'25.08 MATUGA-KAPEKA-24h'!C76)</f>
        <v>2</v>
      </c>
      <c r="D76" s="49">
        <f>0.4*(AVERAGE('24.08 MATUGA-KAPEKA-24h'!E76,'25.08 MATUGA-KAPEKA-24h'!E76))</f>
        <v>0</v>
      </c>
      <c r="E76" s="49">
        <f>0.6*(AVERAGE('24.08 MATUGA-KAPEKA-24h'!E76,'25.08 MATUGA-KAPEKA-24h'!E76))</f>
        <v>0</v>
      </c>
      <c r="F76" s="49">
        <f>AVERAGE('24.08 MATUGA-KAPEKA-24h'!F76,'25.08 MATUGA-KAPEKA-24h'!F76)</f>
        <v>1</v>
      </c>
      <c r="G76" s="49">
        <f>AVERAGE('24.08 MATUGA-KAPEKA-24h'!G76,'25.08 MATUGA-KAPEKA-24h'!G76)</f>
        <v>0</v>
      </c>
      <c r="H76" s="49">
        <f>AVERAGE('24.08 MATUGA-KAPEKA-24h'!H76,'25.08 MATUGA-KAPEKA-24h'!H76)</f>
        <v>0</v>
      </c>
      <c r="I76" s="49">
        <f>AVERAGE('24.08 MATUGA-KAPEKA-24h'!I76,'25.08 MATUGA-KAPEKA-24h'!I76)</f>
        <v>1</v>
      </c>
      <c r="J76" s="49">
        <f>AVERAGE('24.08 MATUGA-KAPEKA-24h'!J76,'25.08 MATUGA-KAPEKA-24h'!J76)</f>
        <v>1</v>
      </c>
      <c r="K76" s="49">
        <f>AVERAGE('24.08 MATUGA-KAPEKA-24h'!K76,'25.08 MATUGA-KAPEKA-24h'!K76)</f>
        <v>1</v>
      </c>
      <c r="L76" s="49">
        <f>AVERAGE('24.08 MATUGA-KAPEKA-24h'!L76,'25.08 MATUGA-KAPEKA-24h'!L76)</f>
        <v>0</v>
      </c>
      <c r="M76" s="49">
        <f>AVERAGE('24.08 MATUGA-KAPEKA-24h'!M76,'25.08 MATUGA-KAPEKA-24h'!M76)</f>
        <v>0</v>
      </c>
      <c r="N76" s="49">
        <f>AVERAGE('24.08 MATUGA-KAPEKA-24h'!N76,'25.08 MATUGA-KAPEKA-24h'!N76)</f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23" t="s">
        <v>117</v>
      </c>
      <c r="C77" s="49">
        <f>AVERAGE('24.08 MATUGA-KAPEKA-24h'!C77,'25.08 MATUGA-KAPEKA-24h'!C77)</f>
        <v>1</v>
      </c>
      <c r="D77" s="49">
        <f>0.4*(AVERAGE('24.08 MATUGA-KAPEKA-24h'!E77,'25.08 MATUGA-KAPEKA-24h'!E77))</f>
        <v>0.4</v>
      </c>
      <c r="E77" s="49">
        <f>0.6*(AVERAGE('24.08 MATUGA-KAPEKA-24h'!E77,'25.08 MATUGA-KAPEKA-24h'!E77))</f>
        <v>0.6</v>
      </c>
      <c r="F77" s="49">
        <f>AVERAGE('24.08 MATUGA-KAPEKA-24h'!F77,'25.08 MATUGA-KAPEKA-24h'!F77)</f>
        <v>1</v>
      </c>
      <c r="G77" s="49">
        <f>AVERAGE('24.08 MATUGA-KAPEKA-24h'!G77,'25.08 MATUGA-KAPEKA-24h'!G77)</f>
        <v>0</v>
      </c>
      <c r="H77" s="49">
        <f>AVERAGE('24.08 MATUGA-KAPEKA-24h'!H77,'25.08 MATUGA-KAPEKA-24h'!H77)</f>
        <v>0</v>
      </c>
      <c r="I77" s="49">
        <f>AVERAGE('24.08 MATUGA-KAPEKA-24h'!I77,'25.08 MATUGA-KAPEKA-24h'!I77)</f>
        <v>1</v>
      </c>
      <c r="J77" s="49">
        <f>AVERAGE('24.08 MATUGA-KAPEKA-24h'!J77,'25.08 MATUGA-KAPEKA-24h'!J77)</f>
        <v>1</v>
      </c>
      <c r="K77" s="49">
        <f>AVERAGE('24.08 MATUGA-KAPEKA-24h'!K77,'25.08 MATUGA-KAPEKA-24h'!K77)</f>
        <v>1</v>
      </c>
      <c r="L77" s="49">
        <f>AVERAGE('24.08 MATUGA-KAPEKA-24h'!L77,'25.08 MATUGA-KAPEKA-24h'!L77)</f>
        <v>0</v>
      </c>
      <c r="M77" s="49">
        <f>AVERAGE('24.08 MATUGA-KAPEKA-24h'!M77,'25.08 MATUGA-KAPEKA-24h'!M77)</f>
        <v>1</v>
      </c>
      <c r="N77" s="49">
        <f>AVERAGE('24.08 MATUGA-KAPEKA-24h'!N77,'25.08 MATUGA-KAPEKA-24h'!N77)</f>
        <v>0</v>
      </c>
      <c r="O77" s="15">
        <f t="shared" si="35"/>
        <v>6</v>
      </c>
      <c r="P77" s="15">
        <f t="shared" si="36"/>
        <v>7</v>
      </c>
      <c r="R77" s="8"/>
      <c r="T77"/>
    </row>
    <row r="78" spans="2:20" ht="23.1" customHeight="1" x14ac:dyDescent="0.25">
      <c r="B78" s="24" t="s">
        <v>118</v>
      </c>
      <c r="C78" s="49">
        <f>AVERAGE('24.08 MATUGA-KAPEKA-24h'!C78,'25.08 MATUGA-KAPEKA-24h'!C78)</f>
        <v>2</v>
      </c>
      <c r="D78" s="49">
        <f>0.4*(AVERAGE('24.08 MATUGA-KAPEKA-24h'!E78,'25.08 MATUGA-KAPEKA-24h'!E78))</f>
        <v>0.4</v>
      </c>
      <c r="E78" s="49">
        <f>0.6*(AVERAGE('24.08 MATUGA-KAPEKA-24h'!E78,'25.08 MATUGA-KAPEKA-24h'!E78))</f>
        <v>0.6</v>
      </c>
      <c r="F78" s="49">
        <f>AVERAGE('24.08 MATUGA-KAPEKA-24h'!F78,'25.08 MATUGA-KAPEKA-24h'!F78)</f>
        <v>1</v>
      </c>
      <c r="G78" s="49">
        <f>AVERAGE('24.08 MATUGA-KAPEKA-24h'!G78,'25.08 MATUGA-KAPEKA-24h'!G78)</f>
        <v>0</v>
      </c>
      <c r="H78" s="49">
        <f>AVERAGE('24.08 MATUGA-KAPEKA-24h'!H78,'25.08 MATUGA-KAPEKA-24h'!H78)</f>
        <v>0</v>
      </c>
      <c r="I78" s="49">
        <f>AVERAGE('24.08 MATUGA-KAPEKA-24h'!I78,'25.08 MATUGA-KAPEKA-24h'!I78)</f>
        <v>1</v>
      </c>
      <c r="J78" s="49">
        <f>AVERAGE('24.08 MATUGA-KAPEKA-24h'!J78,'25.08 MATUGA-KAPEKA-24h'!J78)</f>
        <v>0</v>
      </c>
      <c r="K78" s="49">
        <f>AVERAGE('24.08 MATUGA-KAPEKA-24h'!K78,'25.08 MATUGA-KAPEKA-24h'!K78)</f>
        <v>0</v>
      </c>
      <c r="L78" s="49">
        <f>AVERAGE('24.08 MATUGA-KAPEKA-24h'!L78,'25.08 MATUGA-KAPEKA-24h'!L78)</f>
        <v>0</v>
      </c>
      <c r="M78" s="49">
        <f>AVERAGE('24.08 MATUGA-KAPEKA-24h'!M78,'25.08 MATUGA-KAPEKA-24h'!M78)</f>
        <v>0</v>
      </c>
      <c r="N78" s="49">
        <f>AVERAGE('24.08 MATUGA-KAPEKA-24h'!N78,'25.08 MATUGA-KAPEKA-24h'!N78)</f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23" t="s">
        <v>119</v>
      </c>
      <c r="C79" s="49">
        <f>AVERAGE('24.08 MATUGA-KAPEKA-24h'!C79,'25.08 MATUGA-KAPEKA-24h'!C79)</f>
        <v>3</v>
      </c>
      <c r="D79" s="49">
        <f>0.4*(AVERAGE('24.08 MATUGA-KAPEKA-24h'!E79,'25.08 MATUGA-KAPEKA-24h'!E79))</f>
        <v>0.8</v>
      </c>
      <c r="E79" s="49">
        <f>0.6*(AVERAGE('24.08 MATUGA-KAPEKA-24h'!E79,'25.08 MATUGA-KAPEKA-24h'!E79))</f>
        <v>1.2</v>
      </c>
      <c r="F79" s="49">
        <f>AVERAGE('24.08 MATUGA-KAPEKA-24h'!F79,'25.08 MATUGA-KAPEKA-24h'!F79)</f>
        <v>1</v>
      </c>
      <c r="G79" s="49">
        <f>AVERAGE('24.08 MATUGA-KAPEKA-24h'!G79,'25.08 MATUGA-KAPEKA-24h'!G79)</f>
        <v>0</v>
      </c>
      <c r="H79" s="49">
        <f>AVERAGE('24.08 MATUGA-KAPEKA-24h'!H79,'25.08 MATUGA-KAPEKA-24h'!H79)</f>
        <v>0</v>
      </c>
      <c r="I79" s="49">
        <f>AVERAGE('24.08 MATUGA-KAPEKA-24h'!I79,'25.08 MATUGA-KAPEKA-24h'!I79)</f>
        <v>1</v>
      </c>
      <c r="J79" s="49">
        <f>AVERAGE('24.08 MATUGA-KAPEKA-24h'!J79,'25.08 MATUGA-KAPEKA-24h'!J79)</f>
        <v>1</v>
      </c>
      <c r="K79" s="49">
        <f>AVERAGE('24.08 MATUGA-KAPEKA-24h'!K79,'25.08 MATUGA-KAPEKA-24h'!K79)</f>
        <v>0</v>
      </c>
      <c r="L79" s="49">
        <f>AVERAGE('24.08 MATUGA-KAPEKA-24h'!L79,'25.08 MATUGA-KAPEKA-24h'!L79)</f>
        <v>0</v>
      </c>
      <c r="M79" s="49">
        <f>AVERAGE('24.08 MATUGA-KAPEKA-24h'!M79,'25.08 MATUGA-KAPEKA-24h'!M79)</f>
        <v>0</v>
      </c>
      <c r="N79" s="49">
        <f>AVERAGE('24.08 MATUGA-KAPEKA-24h'!N79,'25.08 MATUGA-KAPEKA-24h'!N79)</f>
        <v>0</v>
      </c>
      <c r="O79" s="15">
        <f t="shared" si="35"/>
        <v>8</v>
      </c>
      <c r="P79" s="15">
        <f t="shared" si="36"/>
        <v>8</v>
      </c>
      <c r="R79" s="8"/>
      <c r="T79"/>
    </row>
    <row r="80" spans="2:20" ht="23.1" customHeight="1" x14ac:dyDescent="0.25">
      <c r="B80" s="25" t="s">
        <v>120</v>
      </c>
      <c r="C80" s="49">
        <f>AVERAGE('24.08 MATUGA-KAPEKA-24h'!C80,'25.08 MATUGA-KAPEKA-24h'!C80)</f>
        <v>1</v>
      </c>
      <c r="D80" s="49">
        <f>0.4*(AVERAGE('24.08 MATUGA-KAPEKA-24h'!E80,'25.08 MATUGA-KAPEKA-24h'!E80))</f>
        <v>0.4</v>
      </c>
      <c r="E80" s="49">
        <f>0.6*(AVERAGE('24.08 MATUGA-KAPEKA-24h'!E80,'25.08 MATUGA-KAPEKA-24h'!E80))</f>
        <v>0.6</v>
      </c>
      <c r="F80" s="49">
        <f>AVERAGE('24.08 MATUGA-KAPEKA-24h'!F80,'25.08 MATUGA-KAPEKA-24h'!F80)</f>
        <v>0</v>
      </c>
      <c r="G80" s="49">
        <f>AVERAGE('24.08 MATUGA-KAPEKA-24h'!G80,'25.08 MATUGA-KAPEKA-24h'!G80)</f>
        <v>0</v>
      </c>
      <c r="H80" s="49">
        <f>AVERAGE('24.08 MATUGA-KAPEKA-24h'!H80,'25.08 MATUGA-KAPEKA-24h'!H80)</f>
        <v>0</v>
      </c>
      <c r="I80" s="49">
        <f>AVERAGE('24.08 MATUGA-KAPEKA-24h'!I80,'25.08 MATUGA-KAPEKA-24h'!I80)</f>
        <v>1</v>
      </c>
      <c r="J80" s="49">
        <f>AVERAGE('24.08 MATUGA-KAPEKA-24h'!J80,'25.08 MATUGA-KAPEKA-24h'!J80)</f>
        <v>0</v>
      </c>
      <c r="K80" s="49">
        <f>AVERAGE('24.08 MATUGA-KAPEKA-24h'!K80,'25.08 MATUGA-KAPEKA-24h'!K80)</f>
        <v>0</v>
      </c>
      <c r="L80" s="49">
        <f>AVERAGE('24.08 MATUGA-KAPEKA-24h'!L80,'25.08 MATUGA-KAPEKA-24h'!L80)</f>
        <v>0</v>
      </c>
      <c r="M80" s="49">
        <f>AVERAGE('24.08 MATUGA-KAPEKA-24h'!M80,'25.08 MATUGA-KAPEKA-24h'!M80)</f>
        <v>1</v>
      </c>
      <c r="N80" s="49">
        <f>AVERAGE('24.08 MATUGA-KAPEKA-24h'!N80,'25.08 MATUGA-KAPEKA-24h'!N80)</f>
        <v>0</v>
      </c>
      <c r="O80" s="15">
        <f t="shared" si="35"/>
        <v>3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AVERAGE('24.08 MATUGA-KAPEKA-24h'!C81,'25.08 MATUGA-KAPEKA-24h'!C81)</f>
        <v>1</v>
      </c>
      <c r="D81" s="49">
        <f>0.4*(AVERAGE('24.08 MATUGA-KAPEKA-24h'!E81,'25.08 MATUGA-KAPEKA-24h'!E81))</f>
        <v>0.4</v>
      </c>
      <c r="E81" s="49">
        <f>0.6*(AVERAGE('24.08 MATUGA-KAPEKA-24h'!E81,'25.08 MATUGA-KAPEKA-24h'!E81))</f>
        <v>0.6</v>
      </c>
      <c r="F81" s="49">
        <f>AVERAGE('24.08 MATUGA-KAPEKA-24h'!F81,'25.08 MATUGA-KAPEKA-24h'!F81)</f>
        <v>1</v>
      </c>
      <c r="G81" s="49">
        <f>AVERAGE('24.08 MATUGA-KAPEKA-24h'!G81,'25.08 MATUGA-KAPEKA-24h'!G81)</f>
        <v>0</v>
      </c>
      <c r="H81" s="49">
        <f>AVERAGE('24.08 MATUGA-KAPEKA-24h'!H81,'25.08 MATUGA-KAPEKA-24h'!H81)</f>
        <v>0</v>
      </c>
      <c r="I81" s="49">
        <f>AVERAGE('24.08 MATUGA-KAPEKA-24h'!I81,'25.08 MATUGA-KAPEKA-24h'!I81)</f>
        <v>1</v>
      </c>
      <c r="J81" s="49">
        <f>AVERAGE('24.08 MATUGA-KAPEKA-24h'!J81,'25.08 MATUGA-KAPEKA-24h'!J81)</f>
        <v>0</v>
      </c>
      <c r="K81" s="49">
        <f>AVERAGE('24.08 MATUGA-KAPEKA-24h'!K81,'25.08 MATUGA-KAPEKA-24h'!K81)</f>
        <v>0</v>
      </c>
      <c r="L81" s="49">
        <f>AVERAGE('24.08 MATUGA-KAPEKA-24h'!L81,'25.08 MATUGA-KAPEKA-24h'!L81)</f>
        <v>0</v>
      </c>
      <c r="M81" s="49">
        <f>AVERAGE('24.08 MATUGA-KAPEKA-24h'!M81,'25.08 MATUGA-KAPEKA-24h'!M81)</f>
        <v>0</v>
      </c>
      <c r="N81" s="49">
        <f>AVERAGE('24.08 MATUGA-KAPEKA-24h'!N81,'25.08 MATUGA-KAPEKA-24h'!N81)</f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AVERAGE('24.08 MATUGA-KAPEKA-24h'!C82,'25.08 MATUGA-KAPEKA-24h'!C82)</f>
        <v>0</v>
      </c>
      <c r="D82" s="49">
        <f>0.4*(AVERAGE('24.08 MATUGA-KAPEKA-24h'!E82,'25.08 MATUGA-KAPEKA-24h'!E82))</f>
        <v>0.4</v>
      </c>
      <c r="E82" s="49">
        <f>0.6*(AVERAGE('24.08 MATUGA-KAPEKA-24h'!E82,'25.08 MATUGA-KAPEKA-24h'!E82))</f>
        <v>0.6</v>
      </c>
      <c r="F82" s="49">
        <f>AVERAGE('24.08 MATUGA-KAPEKA-24h'!F82,'25.08 MATUGA-KAPEKA-24h'!F82)</f>
        <v>0</v>
      </c>
      <c r="G82" s="49">
        <f>AVERAGE('24.08 MATUGA-KAPEKA-24h'!G82,'25.08 MATUGA-KAPEKA-24h'!G82)</f>
        <v>0</v>
      </c>
      <c r="H82" s="49">
        <f>AVERAGE('24.08 MATUGA-KAPEKA-24h'!H82,'25.08 MATUGA-KAPEKA-24h'!H82)</f>
        <v>0</v>
      </c>
      <c r="I82" s="49">
        <f>AVERAGE('24.08 MATUGA-KAPEKA-24h'!I82,'25.08 MATUGA-KAPEKA-24h'!I82)</f>
        <v>1</v>
      </c>
      <c r="J82" s="49">
        <f>AVERAGE('24.08 MATUGA-KAPEKA-24h'!J82,'25.08 MATUGA-KAPEKA-24h'!J82)</f>
        <v>1</v>
      </c>
      <c r="K82" s="49">
        <f>AVERAGE('24.08 MATUGA-KAPEKA-24h'!K82,'25.08 MATUGA-KAPEKA-24h'!K82)</f>
        <v>0</v>
      </c>
      <c r="L82" s="49">
        <f>AVERAGE('24.08 MATUGA-KAPEKA-24h'!L82,'25.08 MATUGA-KAPEKA-24h'!L82)</f>
        <v>0</v>
      </c>
      <c r="M82" s="49">
        <f>AVERAGE('24.08 MATUGA-KAPEKA-24h'!M82,'25.08 MATUGA-KAPEKA-24h'!M82)</f>
        <v>0</v>
      </c>
      <c r="N82" s="49">
        <f>AVERAGE('24.08 MATUGA-KAPEKA-24h'!N82,'25.08 MATUGA-KAPEKA-24h'!N82)</f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AVERAGE('24.08 MATUGA-KAPEKA-24h'!C83,'25.08 MATUGA-KAPEKA-24h'!C83)</f>
        <v>1</v>
      </c>
      <c r="D83" s="49">
        <f>0.4*(AVERAGE('24.08 MATUGA-KAPEKA-24h'!E83,'25.08 MATUGA-KAPEKA-24h'!E83))</f>
        <v>0.4</v>
      </c>
      <c r="E83" s="49">
        <f>0.6*(AVERAGE('24.08 MATUGA-KAPEKA-24h'!E83,'25.08 MATUGA-KAPEKA-24h'!E83))</f>
        <v>0.6</v>
      </c>
      <c r="F83" s="49">
        <f>AVERAGE('24.08 MATUGA-KAPEKA-24h'!F83,'25.08 MATUGA-KAPEKA-24h'!F83)</f>
        <v>0</v>
      </c>
      <c r="G83" s="49">
        <f>AVERAGE('24.08 MATUGA-KAPEKA-24h'!G83,'25.08 MATUGA-KAPEKA-24h'!G83)</f>
        <v>0</v>
      </c>
      <c r="H83" s="49">
        <f>AVERAGE('24.08 MATUGA-KAPEKA-24h'!H83,'25.08 MATUGA-KAPEKA-24h'!H83)</f>
        <v>0</v>
      </c>
      <c r="I83" s="49">
        <f>AVERAGE('24.08 MATUGA-KAPEKA-24h'!I83,'25.08 MATUGA-KAPEKA-24h'!I83)</f>
        <v>1</v>
      </c>
      <c r="J83" s="49">
        <f>AVERAGE('24.08 MATUGA-KAPEKA-24h'!J83,'25.08 MATUGA-KAPEKA-24h'!J83)</f>
        <v>1</v>
      </c>
      <c r="K83" s="49">
        <f>AVERAGE('24.08 MATUGA-KAPEKA-24h'!K83,'25.08 MATUGA-KAPEKA-24h'!K83)</f>
        <v>0</v>
      </c>
      <c r="L83" s="49">
        <f>AVERAGE('24.08 MATUGA-KAPEKA-24h'!L83,'25.08 MATUGA-KAPEKA-24h'!L83)</f>
        <v>0</v>
      </c>
      <c r="M83" s="49">
        <f>AVERAGE('24.08 MATUGA-KAPEKA-24h'!M83,'25.08 MATUGA-KAPEKA-24h'!M83)</f>
        <v>0</v>
      </c>
      <c r="N83" s="49">
        <f>AVERAGE('24.08 MATUGA-KAPEKA-24h'!N83,'25.08 MATUGA-KAPEKA-24h'!N83)</f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25" t="s">
        <v>124</v>
      </c>
      <c r="C84" s="49">
        <f>AVERAGE('24.08 MATUGA-KAPEKA-24h'!C84,'25.08 MATUGA-KAPEKA-24h'!C84)</f>
        <v>1</v>
      </c>
      <c r="D84" s="49">
        <f>0.4*(AVERAGE('24.08 MATUGA-KAPEKA-24h'!E84,'25.08 MATUGA-KAPEKA-24h'!E84))</f>
        <v>0.4</v>
      </c>
      <c r="E84" s="49">
        <f>0.6*(AVERAGE('24.08 MATUGA-KAPEKA-24h'!E84,'25.08 MATUGA-KAPEKA-24h'!E84))</f>
        <v>0.6</v>
      </c>
      <c r="F84" s="49">
        <f>AVERAGE('24.08 MATUGA-KAPEKA-24h'!F84,'25.08 MATUGA-KAPEKA-24h'!F84)</f>
        <v>1</v>
      </c>
      <c r="G84" s="49">
        <f>AVERAGE('24.08 MATUGA-KAPEKA-24h'!G84,'25.08 MATUGA-KAPEKA-24h'!G84)</f>
        <v>0</v>
      </c>
      <c r="H84" s="49">
        <f>AVERAGE('24.08 MATUGA-KAPEKA-24h'!H84,'25.08 MATUGA-KAPEKA-24h'!H84)</f>
        <v>0</v>
      </c>
      <c r="I84" s="49">
        <f>AVERAGE('24.08 MATUGA-KAPEKA-24h'!I84,'25.08 MATUGA-KAPEKA-24h'!I84)</f>
        <v>1</v>
      </c>
      <c r="J84" s="49">
        <f>AVERAGE('24.08 MATUGA-KAPEKA-24h'!J84,'25.08 MATUGA-KAPEKA-24h'!J84)</f>
        <v>0</v>
      </c>
      <c r="K84" s="49">
        <f>AVERAGE('24.08 MATUGA-KAPEKA-24h'!K84,'25.08 MATUGA-KAPEKA-24h'!K84)</f>
        <v>1</v>
      </c>
      <c r="L84" s="49">
        <f>AVERAGE('24.08 MATUGA-KAPEKA-24h'!L84,'25.08 MATUGA-KAPEKA-24h'!L84)</f>
        <v>0</v>
      </c>
      <c r="M84" s="49">
        <f>AVERAGE('24.08 MATUGA-KAPEKA-24h'!M84,'25.08 MATUGA-KAPEKA-24h'!M84)</f>
        <v>1</v>
      </c>
      <c r="N84" s="49">
        <f>AVERAGE('24.08 MATUGA-KAPEKA-24h'!N84,'25.08 MATUGA-KAPEKA-24h'!N84)</f>
        <v>0</v>
      </c>
      <c r="O84" s="15">
        <f t="shared" si="35"/>
        <v>5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AVERAGE('24.08 MATUGA-KAPEKA-24h'!C85,'25.08 MATUGA-KAPEKA-24h'!C85)</f>
        <v>1</v>
      </c>
      <c r="D85" s="49">
        <f>0.4*(AVERAGE('24.08 MATUGA-KAPEKA-24h'!E85,'25.08 MATUGA-KAPEKA-24h'!E85))</f>
        <v>0.4</v>
      </c>
      <c r="E85" s="49">
        <f>0.6*(AVERAGE('24.08 MATUGA-KAPEKA-24h'!E85,'25.08 MATUGA-KAPEKA-24h'!E85))</f>
        <v>0.6</v>
      </c>
      <c r="F85" s="49">
        <f>AVERAGE('24.08 MATUGA-KAPEKA-24h'!F85,'25.08 MATUGA-KAPEKA-24h'!F85)</f>
        <v>0</v>
      </c>
      <c r="G85" s="49">
        <f>AVERAGE('24.08 MATUGA-KAPEKA-24h'!G85,'25.08 MATUGA-KAPEKA-24h'!G85)</f>
        <v>0</v>
      </c>
      <c r="H85" s="49">
        <f>AVERAGE('24.08 MATUGA-KAPEKA-24h'!H85,'25.08 MATUGA-KAPEKA-24h'!H85)</f>
        <v>0</v>
      </c>
      <c r="I85" s="49">
        <f>AVERAGE('24.08 MATUGA-KAPEKA-24h'!I85,'25.08 MATUGA-KAPEKA-24h'!I85)</f>
        <v>0</v>
      </c>
      <c r="J85" s="49">
        <f>AVERAGE('24.08 MATUGA-KAPEKA-24h'!J85,'25.08 MATUGA-KAPEKA-24h'!J85)</f>
        <v>0</v>
      </c>
      <c r="K85" s="49">
        <f>AVERAGE('24.08 MATUGA-KAPEKA-24h'!K85,'25.08 MATUGA-KAPEKA-24h'!K85)</f>
        <v>1</v>
      </c>
      <c r="L85" s="49">
        <f>AVERAGE('24.08 MATUGA-KAPEKA-24h'!L85,'25.08 MATUGA-KAPEKA-24h'!L85)</f>
        <v>0</v>
      </c>
      <c r="M85" s="49">
        <f>AVERAGE('24.08 MATUGA-KAPEKA-24h'!M85,'25.08 MATUGA-KAPEKA-24h'!M85)</f>
        <v>0</v>
      </c>
      <c r="N85" s="49">
        <f>AVERAGE('24.08 MATUGA-KAPEKA-24h'!N85,'25.08 MATUGA-KAPEKA-24h'!N85)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AVERAGE('24.08 MATUGA-KAPEKA-24h'!C86,'25.08 MATUGA-KAPEKA-24h'!C86)</f>
        <v>0</v>
      </c>
      <c r="D86" s="49">
        <f>0.4*(AVERAGE('24.08 MATUGA-KAPEKA-24h'!E86,'25.08 MATUGA-KAPEKA-24h'!E86))</f>
        <v>0</v>
      </c>
      <c r="E86" s="49">
        <f>0.6*(AVERAGE('24.08 MATUGA-KAPEKA-24h'!E86,'25.08 MATUGA-KAPEKA-24h'!E86))</f>
        <v>0</v>
      </c>
      <c r="F86" s="49">
        <f>AVERAGE('24.08 MATUGA-KAPEKA-24h'!F86,'25.08 MATUGA-KAPEKA-24h'!F86)</f>
        <v>0</v>
      </c>
      <c r="G86" s="49">
        <f>AVERAGE('24.08 MATUGA-KAPEKA-24h'!G86,'25.08 MATUGA-KAPEKA-24h'!G86)</f>
        <v>0</v>
      </c>
      <c r="H86" s="49">
        <f>AVERAGE('24.08 MATUGA-KAPEKA-24h'!H86,'25.08 MATUGA-KAPEKA-24h'!H86)</f>
        <v>0</v>
      </c>
      <c r="I86" s="49">
        <f>AVERAGE('24.08 MATUGA-KAPEKA-24h'!I86,'25.08 MATUGA-KAPEKA-24h'!I86)</f>
        <v>0</v>
      </c>
      <c r="J86" s="49">
        <f>AVERAGE('24.08 MATUGA-KAPEKA-24h'!J86,'25.08 MATUGA-KAPEKA-24h'!J86)</f>
        <v>0</v>
      </c>
      <c r="K86" s="49">
        <f>AVERAGE('24.08 MATUGA-KAPEKA-24h'!K86,'25.08 MATUGA-KAPEKA-24h'!K86)</f>
        <v>0</v>
      </c>
      <c r="L86" s="49">
        <f>AVERAGE('24.08 MATUGA-KAPEKA-24h'!L86,'25.08 MATUGA-KAPEKA-24h'!L86)</f>
        <v>0</v>
      </c>
      <c r="M86" s="49">
        <f>AVERAGE('24.08 MATUGA-KAPEKA-24h'!M86,'25.08 MATUGA-KAPEKA-24h'!M86)</f>
        <v>0</v>
      </c>
      <c r="N86" s="49">
        <f>AVERAGE('24.08 MATUGA-KAPEKA-24h'!N86,'25.08 MATUGA-KAPEKA-24h'!N86)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AVERAGE('24.08 MATUGA-KAPEKA-24h'!C87,'25.08 MATUGA-KAPEKA-24h'!C87)</f>
        <v>0</v>
      </c>
      <c r="D87" s="49">
        <f>0.4*(AVERAGE('24.08 MATUGA-KAPEKA-24h'!E87,'25.08 MATUGA-KAPEKA-24h'!E87))</f>
        <v>0</v>
      </c>
      <c r="E87" s="49">
        <f>0.6*(AVERAGE('24.08 MATUGA-KAPEKA-24h'!E87,'25.08 MATUGA-KAPEKA-24h'!E87))</f>
        <v>0</v>
      </c>
      <c r="F87" s="49">
        <f>AVERAGE('24.08 MATUGA-KAPEKA-24h'!F87,'25.08 MATUGA-KAPEKA-24h'!F87)</f>
        <v>0</v>
      </c>
      <c r="G87" s="49">
        <f>AVERAGE('24.08 MATUGA-KAPEKA-24h'!G87,'25.08 MATUGA-KAPEKA-24h'!G87)</f>
        <v>0</v>
      </c>
      <c r="H87" s="49">
        <f>AVERAGE('24.08 MATUGA-KAPEKA-24h'!H87,'25.08 MATUGA-KAPEKA-24h'!H87)</f>
        <v>0</v>
      </c>
      <c r="I87" s="49">
        <f>AVERAGE('24.08 MATUGA-KAPEKA-24h'!I87,'25.08 MATUGA-KAPEKA-24h'!I87)</f>
        <v>0</v>
      </c>
      <c r="J87" s="49">
        <f>AVERAGE('24.08 MATUGA-KAPEKA-24h'!J87,'25.08 MATUGA-KAPEKA-24h'!J87)</f>
        <v>0</v>
      </c>
      <c r="K87" s="49">
        <f>AVERAGE('24.08 MATUGA-KAPEKA-24h'!K87,'25.08 MATUGA-KAPEKA-24h'!K87)</f>
        <v>0</v>
      </c>
      <c r="L87" s="49">
        <f>AVERAGE('24.08 MATUGA-KAPEKA-24h'!L87,'25.08 MATUGA-KAPEKA-24h'!L87)</f>
        <v>0</v>
      </c>
      <c r="M87" s="49">
        <f>AVERAGE('24.08 MATUGA-KAPEKA-24h'!M87,'25.08 MATUGA-KAPEKA-24h'!M87)</f>
        <v>0</v>
      </c>
      <c r="N87" s="49">
        <f>AVERAGE('24.08 MATUGA-KAPEKA-24h'!N87,'25.08 MATUGA-KAPEKA-24h'!N87)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AVERAGE('24.08 MATUGA-KAPEKA-24h'!C88,'25.08 MATUGA-KAPEKA-24h'!C88)</f>
        <v>0</v>
      </c>
      <c r="D88" s="49">
        <f>0.4*(AVERAGE('24.08 MATUGA-KAPEKA-24h'!E88,'25.08 MATUGA-KAPEKA-24h'!E88))</f>
        <v>0</v>
      </c>
      <c r="E88" s="49">
        <f>0.6*(AVERAGE('24.08 MATUGA-KAPEKA-24h'!E88,'25.08 MATUGA-KAPEKA-24h'!E88))</f>
        <v>0</v>
      </c>
      <c r="F88" s="49">
        <f>AVERAGE('24.08 MATUGA-KAPEKA-24h'!F88,'25.08 MATUGA-KAPEKA-24h'!F88)</f>
        <v>0</v>
      </c>
      <c r="G88" s="49">
        <f>AVERAGE('24.08 MATUGA-KAPEKA-24h'!G88,'25.08 MATUGA-KAPEKA-24h'!G88)</f>
        <v>0</v>
      </c>
      <c r="H88" s="49">
        <f>AVERAGE('24.08 MATUGA-KAPEKA-24h'!H88,'25.08 MATUGA-KAPEKA-24h'!H88)</f>
        <v>0</v>
      </c>
      <c r="I88" s="49">
        <f>AVERAGE('24.08 MATUGA-KAPEKA-24h'!I88,'25.08 MATUGA-KAPEKA-24h'!I88)</f>
        <v>0</v>
      </c>
      <c r="J88" s="49">
        <f>AVERAGE('24.08 MATUGA-KAPEKA-24h'!J88,'25.08 MATUGA-KAPEKA-24h'!J88)</f>
        <v>0</v>
      </c>
      <c r="K88" s="49">
        <f>AVERAGE('24.08 MATUGA-KAPEKA-24h'!K88,'25.08 MATUGA-KAPEKA-24h'!K88)</f>
        <v>0</v>
      </c>
      <c r="L88" s="49">
        <f>AVERAGE('24.08 MATUGA-KAPEKA-24h'!L88,'25.08 MATUGA-KAPEKA-24h'!L88)</f>
        <v>0</v>
      </c>
      <c r="M88" s="49">
        <f>AVERAGE('24.08 MATUGA-KAPEKA-24h'!M88,'25.08 MATUGA-KAPEKA-24h'!M88)</f>
        <v>0</v>
      </c>
      <c r="N88" s="49">
        <f>AVERAGE('24.08 MATUGA-KAPEKA-24h'!N88,'25.08 MATUGA-KAPEKA-24h'!N88)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AVERAGE('24.08 MATUGA-KAPEKA-24h'!C89,'25.08 MATUGA-KAPEKA-24h'!C89)</f>
        <v>0</v>
      </c>
      <c r="D89" s="49">
        <f>0.4*(AVERAGE('24.08 MATUGA-KAPEKA-24h'!E89,'25.08 MATUGA-KAPEKA-24h'!E89))</f>
        <v>0</v>
      </c>
      <c r="E89" s="49">
        <f>0.6*(AVERAGE('24.08 MATUGA-KAPEKA-24h'!E89,'25.08 MATUGA-KAPEKA-24h'!E89))</f>
        <v>0</v>
      </c>
      <c r="F89" s="49">
        <f>AVERAGE('24.08 MATUGA-KAPEKA-24h'!F89,'25.08 MATUGA-KAPEKA-24h'!F89)</f>
        <v>0</v>
      </c>
      <c r="G89" s="49">
        <f>AVERAGE('24.08 MATUGA-KAPEKA-24h'!G89,'25.08 MATUGA-KAPEKA-24h'!G89)</f>
        <v>0</v>
      </c>
      <c r="H89" s="49">
        <f>AVERAGE('24.08 MATUGA-KAPEKA-24h'!H89,'25.08 MATUGA-KAPEKA-24h'!H89)</f>
        <v>0</v>
      </c>
      <c r="I89" s="49">
        <f>AVERAGE('24.08 MATUGA-KAPEKA-24h'!I89,'25.08 MATUGA-KAPEKA-24h'!I89)</f>
        <v>0</v>
      </c>
      <c r="J89" s="49">
        <f>AVERAGE('24.08 MATUGA-KAPEKA-24h'!J89,'25.08 MATUGA-KAPEKA-24h'!J89)</f>
        <v>0</v>
      </c>
      <c r="K89" s="49">
        <f>AVERAGE('24.08 MATUGA-KAPEKA-24h'!K89,'25.08 MATUGA-KAPEKA-24h'!K89)</f>
        <v>0</v>
      </c>
      <c r="L89" s="49">
        <f>AVERAGE('24.08 MATUGA-KAPEKA-24h'!L89,'25.08 MATUGA-KAPEKA-24h'!L89)</f>
        <v>0</v>
      </c>
      <c r="M89" s="49">
        <f>AVERAGE('24.08 MATUGA-KAPEKA-24h'!M89,'25.08 MATUGA-KAPEKA-24h'!M89)</f>
        <v>0</v>
      </c>
      <c r="N89" s="49">
        <f>AVERAGE('24.08 MATUGA-KAPEKA-24h'!N89,'25.08 MATUGA-KAPEKA-24h'!N89)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AVERAGE('24.08 MATUGA-KAPEKA-24h'!C90,'25.08 MATUGA-KAPEKA-24h'!C90)</f>
        <v>2</v>
      </c>
      <c r="D90" s="49">
        <f>0.4*(AVERAGE('24.08 MATUGA-KAPEKA-24h'!E90,'25.08 MATUGA-KAPEKA-24h'!E90))</f>
        <v>0.4</v>
      </c>
      <c r="E90" s="49">
        <f>0.6*(AVERAGE('24.08 MATUGA-KAPEKA-24h'!E90,'25.08 MATUGA-KAPEKA-24h'!E90))</f>
        <v>0.6</v>
      </c>
      <c r="F90" s="49">
        <f>AVERAGE('24.08 MATUGA-KAPEKA-24h'!F90,'25.08 MATUGA-KAPEKA-24h'!F90)</f>
        <v>1</v>
      </c>
      <c r="G90" s="49">
        <f>AVERAGE('24.08 MATUGA-KAPEKA-24h'!G90,'25.08 MATUGA-KAPEKA-24h'!G90)</f>
        <v>0</v>
      </c>
      <c r="H90" s="49">
        <f>AVERAGE('24.08 MATUGA-KAPEKA-24h'!H90,'25.08 MATUGA-KAPEKA-24h'!H90)</f>
        <v>0</v>
      </c>
      <c r="I90" s="49">
        <f>AVERAGE('24.08 MATUGA-KAPEKA-24h'!I90,'25.08 MATUGA-KAPEKA-24h'!I90)</f>
        <v>1</v>
      </c>
      <c r="J90" s="49">
        <f>AVERAGE('24.08 MATUGA-KAPEKA-24h'!J90,'25.08 MATUGA-KAPEKA-24h'!J90)</f>
        <v>1</v>
      </c>
      <c r="K90" s="49">
        <f>AVERAGE('24.08 MATUGA-KAPEKA-24h'!K90,'25.08 MATUGA-KAPEKA-24h'!K90)</f>
        <v>0</v>
      </c>
      <c r="L90" s="49">
        <f>AVERAGE('24.08 MATUGA-KAPEKA-24h'!L90,'25.08 MATUGA-KAPEKA-24h'!L90)</f>
        <v>0</v>
      </c>
      <c r="M90" s="49">
        <f>AVERAGE('24.08 MATUGA-KAPEKA-24h'!M90,'25.08 MATUGA-KAPEKA-24h'!M90)</f>
        <v>0</v>
      </c>
      <c r="N90" s="49">
        <f>AVERAGE('24.08 MATUGA-KAPEKA-24h'!N90,'25.08 MATUGA-KAPEKA-24h'!N90)</f>
        <v>0</v>
      </c>
      <c r="O90" s="15">
        <f t="shared" si="35"/>
        <v>6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AVERAGE('24.08 MATUGA-KAPEKA-24h'!C91,'25.08 MATUGA-KAPEKA-24h'!C91)</f>
        <v>0</v>
      </c>
      <c r="D91" s="49">
        <f>0.4*(AVERAGE('24.08 MATUGA-KAPEKA-24h'!E91,'25.08 MATUGA-KAPEKA-24h'!E91))</f>
        <v>0</v>
      </c>
      <c r="E91" s="49">
        <f>0.6*(AVERAGE('24.08 MATUGA-KAPEKA-24h'!E91,'25.08 MATUGA-KAPEKA-24h'!E91))</f>
        <v>0</v>
      </c>
      <c r="F91" s="49">
        <f>AVERAGE('24.08 MATUGA-KAPEKA-24h'!F91,'25.08 MATUGA-KAPEKA-24h'!F91)</f>
        <v>0</v>
      </c>
      <c r="G91" s="49">
        <f>AVERAGE('24.08 MATUGA-KAPEKA-24h'!G91,'25.08 MATUGA-KAPEKA-24h'!G91)</f>
        <v>0</v>
      </c>
      <c r="H91" s="49">
        <f>AVERAGE('24.08 MATUGA-KAPEKA-24h'!H91,'25.08 MATUGA-KAPEKA-24h'!H91)</f>
        <v>0</v>
      </c>
      <c r="I91" s="49">
        <f>AVERAGE('24.08 MATUGA-KAPEKA-24h'!I91,'25.08 MATUGA-KAPEKA-24h'!I91)</f>
        <v>0</v>
      </c>
      <c r="J91" s="49">
        <f>AVERAGE('24.08 MATUGA-KAPEKA-24h'!J91,'25.08 MATUGA-KAPEKA-24h'!J91)</f>
        <v>0</v>
      </c>
      <c r="K91" s="49">
        <f>AVERAGE('24.08 MATUGA-KAPEKA-24h'!K91,'25.08 MATUGA-KAPEKA-24h'!K91)</f>
        <v>0</v>
      </c>
      <c r="L91" s="49">
        <f>AVERAGE('24.08 MATUGA-KAPEKA-24h'!L91,'25.08 MATUGA-KAPEKA-24h'!L91)</f>
        <v>0</v>
      </c>
      <c r="M91" s="49">
        <f>AVERAGE('24.08 MATUGA-KAPEKA-24h'!M91,'25.08 MATUGA-KAPEKA-24h'!M91)</f>
        <v>0</v>
      </c>
      <c r="N91" s="49">
        <f>AVERAGE('24.08 MATUGA-KAPEKA-24h'!N91,'25.08 MATUGA-KAPEKA-24h'!N91)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AVERAGE('24.08 MATUGA-KAPEKA-24h'!C92,'25.08 MATUGA-KAPEKA-24h'!C92)</f>
        <v>1</v>
      </c>
      <c r="D92" s="49">
        <f>0.4*(AVERAGE('24.08 MATUGA-KAPEKA-24h'!E92,'25.08 MATUGA-KAPEKA-24h'!E92))</f>
        <v>0.4</v>
      </c>
      <c r="E92" s="49">
        <f>0.6*(AVERAGE('24.08 MATUGA-KAPEKA-24h'!E92,'25.08 MATUGA-KAPEKA-24h'!E92))</f>
        <v>0.6</v>
      </c>
      <c r="F92" s="49">
        <f>AVERAGE('24.08 MATUGA-KAPEKA-24h'!F92,'25.08 MATUGA-KAPEKA-24h'!F92)</f>
        <v>1</v>
      </c>
      <c r="G92" s="49">
        <f>AVERAGE('24.08 MATUGA-KAPEKA-24h'!G92,'25.08 MATUGA-KAPEKA-24h'!G92)</f>
        <v>0</v>
      </c>
      <c r="H92" s="49">
        <f>AVERAGE('24.08 MATUGA-KAPEKA-24h'!H92,'25.08 MATUGA-KAPEKA-24h'!H92)</f>
        <v>0</v>
      </c>
      <c r="I92" s="49">
        <f>AVERAGE('24.08 MATUGA-KAPEKA-24h'!I92,'25.08 MATUGA-KAPEKA-24h'!I92)</f>
        <v>1</v>
      </c>
      <c r="J92" s="49">
        <f>AVERAGE('24.08 MATUGA-KAPEKA-24h'!J92,'25.08 MATUGA-KAPEKA-24h'!J92)</f>
        <v>0</v>
      </c>
      <c r="K92" s="49">
        <f>AVERAGE('24.08 MATUGA-KAPEKA-24h'!K92,'25.08 MATUGA-KAPEKA-24h'!K92)</f>
        <v>0</v>
      </c>
      <c r="L92" s="49">
        <f>AVERAGE('24.08 MATUGA-KAPEKA-24h'!L92,'25.08 MATUGA-KAPEKA-24h'!L92)</f>
        <v>0</v>
      </c>
      <c r="M92" s="49">
        <f>AVERAGE('24.08 MATUGA-KAPEKA-24h'!M92,'25.08 MATUGA-KAPEKA-24h'!M92)</f>
        <v>0</v>
      </c>
      <c r="N92" s="49">
        <f>AVERAGE('24.08 MATUGA-KAPEKA-24h'!N92,'25.08 MATUGA-KAPEKA-24h'!N92)</f>
        <v>0</v>
      </c>
      <c r="O92" s="15">
        <f t="shared" si="35"/>
        <v>4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AVERAGE('24.08 MATUGA-KAPEKA-24h'!C93,'25.08 MATUGA-KAPEKA-24h'!C93)</f>
        <v>0</v>
      </c>
      <c r="D93" s="49">
        <f>0.4*(AVERAGE('24.08 MATUGA-KAPEKA-24h'!E93,'25.08 MATUGA-KAPEKA-24h'!E93))</f>
        <v>0</v>
      </c>
      <c r="E93" s="49">
        <f>0.6*(AVERAGE('24.08 MATUGA-KAPEKA-24h'!E93,'25.08 MATUGA-KAPEKA-24h'!E93))</f>
        <v>0</v>
      </c>
      <c r="F93" s="49">
        <f>AVERAGE('24.08 MATUGA-KAPEKA-24h'!F93,'25.08 MATUGA-KAPEKA-24h'!F93)</f>
        <v>0</v>
      </c>
      <c r="G93" s="49">
        <f>AVERAGE('24.08 MATUGA-KAPEKA-24h'!G93,'25.08 MATUGA-KAPEKA-24h'!G93)</f>
        <v>0</v>
      </c>
      <c r="H93" s="49">
        <f>AVERAGE('24.08 MATUGA-KAPEKA-24h'!H93,'25.08 MATUGA-KAPEKA-24h'!H93)</f>
        <v>0</v>
      </c>
      <c r="I93" s="49">
        <f>AVERAGE('24.08 MATUGA-KAPEKA-24h'!I93,'25.08 MATUGA-KAPEKA-24h'!I93)</f>
        <v>0</v>
      </c>
      <c r="J93" s="49">
        <f>AVERAGE('24.08 MATUGA-KAPEKA-24h'!J93,'25.08 MATUGA-KAPEKA-24h'!J93)</f>
        <v>0</v>
      </c>
      <c r="K93" s="49">
        <f>AVERAGE('24.08 MATUGA-KAPEKA-24h'!K93,'25.08 MATUGA-KAPEKA-24h'!K93)</f>
        <v>0</v>
      </c>
      <c r="L93" s="49">
        <f>AVERAGE('24.08 MATUGA-KAPEKA-24h'!L93,'25.08 MATUGA-KAPEKA-24h'!L93)</f>
        <v>0</v>
      </c>
      <c r="M93" s="49">
        <f>AVERAGE('24.08 MATUGA-KAPEKA-24h'!M93,'25.08 MATUGA-KAPEKA-24h'!M93)</f>
        <v>0</v>
      </c>
      <c r="N93" s="49">
        <f>AVERAGE('24.08 MATUGA-KAPEKA-24h'!N93,'25.08 MATUGA-KAPEKA-24h'!N93)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AVERAGE('24.08 MATUGA-KAPEKA-24h'!C94,'25.08 MATUGA-KAPEKA-24h'!C94)</f>
        <v>0</v>
      </c>
      <c r="D94" s="49">
        <f>0.4*(AVERAGE('24.08 MATUGA-KAPEKA-24h'!E94,'25.08 MATUGA-KAPEKA-24h'!E94))</f>
        <v>0</v>
      </c>
      <c r="E94" s="49">
        <f>0.6*(AVERAGE('24.08 MATUGA-KAPEKA-24h'!E94,'25.08 MATUGA-KAPEKA-24h'!E94))</f>
        <v>0</v>
      </c>
      <c r="F94" s="49">
        <f>AVERAGE('24.08 MATUGA-KAPEKA-24h'!F94,'25.08 MATUGA-KAPEKA-24h'!F94)</f>
        <v>0</v>
      </c>
      <c r="G94" s="49">
        <f>AVERAGE('24.08 MATUGA-KAPEKA-24h'!G94,'25.08 MATUGA-KAPEKA-24h'!G94)</f>
        <v>0</v>
      </c>
      <c r="H94" s="49">
        <f>AVERAGE('24.08 MATUGA-KAPEKA-24h'!H94,'25.08 MATUGA-KAPEKA-24h'!H94)</f>
        <v>0</v>
      </c>
      <c r="I94" s="49">
        <f>AVERAGE('24.08 MATUGA-KAPEKA-24h'!I94,'25.08 MATUGA-KAPEKA-24h'!I94)</f>
        <v>0</v>
      </c>
      <c r="J94" s="49">
        <f>AVERAGE('24.08 MATUGA-KAPEKA-24h'!J94,'25.08 MATUGA-KAPEKA-24h'!J94)</f>
        <v>0</v>
      </c>
      <c r="K94" s="49">
        <f>AVERAGE('24.08 MATUGA-KAPEKA-24h'!K94,'25.08 MATUGA-KAPEKA-24h'!K94)</f>
        <v>0</v>
      </c>
      <c r="L94" s="49">
        <f>AVERAGE('24.08 MATUGA-KAPEKA-24h'!L94,'25.08 MATUGA-KAPEKA-24h'!L94)</f>
        <v>0</v>
      </c>
      <c r="M94" s="49">
        <f>AVERAGE('24.08 MATUGA-KAPEKA-24h'!M94,'25.08 MATUGA-KAPEKA-24h'!M94)</f>
        <v>0</v>
      </c>
      <c r="N94" s="49">
        <f>AVERAGE('24.08 MATUGA-KAPEKA-24h'!N94,'25.08 MATUGA-KAPEKA-24h'!N94)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AVERAGE('24.08 MATUGA-KAPEKA-24h'!C95,'25.08 MATUGA-KAPEKA-24h'!C95)</f>
        <v>0</v>
      </c>
      <c r="D95" s="49">
        <f>0.4*(AVERAGE('24.08 MATUGA-KAPEKA-24h'!E95,'25.08 MATUGA-KAPEKA-24h'!E95))</f>
        <v>0</v>
      </c>
      <c r="E95" s="49">
        <f>0.6*(AVERAGE('24.08 MATUGA-KAPEKA-24h'!E95,'25.08 MATUGA-KAPEKA-24h'!E95))</f>
        <v>0</v>
      </c>
      <c r="F95" s="49">
        <f>AVERAGE('24.08 MATUGA-KAPEKA-24h'!F95,'25.08 MATUGA-KAPEKA-24h'!F95)</f>
        <v>0</v>
      </c>
      <c r="G95" s="49">
        <f>AVERAGE('24.08 MATUGA-KAPEKA-24h'!G95,'25.08 MATUGA-KAPEKA-24h'!G95)</f>
        <v>0</v>
      </c>
      <c r="H95" s="49">
        <f>AVERAGE('24.08 MATUGA-KAPEKA-24h'!H95,'25.08 MATUGA-KAPEKA-24h'!H95)</f>
        <v>0</v>
      </c>
      <c r="I95" s="49">
        <f>AVERAGE('24.08 MATUGA-KAPEKA-24h'!I95,'25.08 MATUGA-KAPEKA-24h'!I95)</f>
        <v>0</v>
      </c>
      <c r="J95" s="49">
        <f>AVERAGE('24.08 MATUGA-KAPEKA-24h'!J95,'25.08 MATUGA-KAPEKA-24h'!J95)</f>
        <v>0</v>
      </c>
      <c r="K95" s="49">
        <f>AVERAGE('24.08 MATUGA-KAPEKA-24h'!K95,'25.08 MATUGA-KAPEKA-24h'!K95)</f>
        <v>0</v>
      </c>
      <c r="L95" s="49">
        <f>AVERAGE('24.08 MATUGA-KAPEKA-24h'!L95,'25.08 MATUGA-KAPEKA-24h'!L95)</f>
        <v>0</v>
      </c>
      <c r="M95" s="49">
        <f>AVERAGE('24.08 MATUGA-KAPEKA-24h'!M95,'25.08 MATUGA-KAPEKA-24h'!M95)</f>
        <v>0</v>
      </c>
      <c r="N95" s="49">
        <f>AVERAGE('24.08 MATUGA-KAPEKA-24h'!N95,'25.08 MATUGA-KAPEKA-24h'!N95)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AVERAGE('24.08 MATUGA-KAPEKA-24h'!C96,'25.08 MATUGA-KAPEKA-24h'!C96)</f>
        <v>0</v>
      </c>
      <c r="D96" s="49">
        <f>0.4*(AVERAGE('24.08 MATUGA-KAPEKA-24h'!E96,'25.08 MATUGA-KAPEKA-24h'!E96))</f>
        <v>0</v>
      </c>
      <c r="E96" s="49">
        <f>0.6*(AVERAGE('24.08 MATUGA-KAPEKA-24h'!E96,'25.08 MATUGA-KAPEKA-24h'!E96))</f>
        <v>0</v>
      </c>
      <c r="F96" s="49">
        <f>AVERAGE('24.08 MATUGA-KAPEKA-24h'!F96,'25.08 MATUGA-KAPEKA-24h'!F96)</f>
        <v>0</v>
      </c>
      <c r="G96" s="49">
        <f>AVERAGE('24.08 MATUGA-KAPEKA-24h'!G96,'25.08 MATUGA-KAPEKA-24h'!G96)</f>
        <v>0</v>
      </c>
      <c r="H96" s="49">
        <f>AVERAGE('24.08 MATUGA-KAPEKA-24h'!H96,'25.08 MATUGA-KAPEKA-24h'!H96)</f>
        <v>0</v>
      </c>
      <c r="I96" s="49">
        <f>AVERAGE('24.08 MATUGA-KAPEKA-24h'!I96,'25.08 MATUGA-KAPEKA-24h'!I96)</f>
        <v>0</v>
      </c>
      <c r="J96" s="49">
        <f>AVERAGE('24.08 MATUGA-KAPEKA-24h'!J96,'25.08 MATUGA-KAPEKA-24h'!J96)</f>
        <v>0</v>
      </c>
      <c r="K96" s="49">
        <f>AVERAGE('24.08 MATUGA-KAPEKA-24h'!K96,'25.08 MATUGA-KAPEKA-24h'!K96)</f>
        <v>0</v>
      </c>
      <c r="L96" s="49">
        <f>AVERAGE('24.08 MATUGA-KAPEKA-24h'!L96,'25.08 MATUGA-KAPEKA-24h'!L96)</f>
        <v>0</v>
      </c>
      <c r="M96" s="49">
        <f>AVERAGE('24.08 MATUGA-KAPEKA-24h'!M96,'25.08 MATUGA-KAPEKA-24h'!M96)</f>
        <v>0</v>
      </c>
      <c r="N96" s="49">
        <f>AVERAGE('24.08 MATUGA-KAPEKA-24h'!N96,'25.08 MATUGA-KAPEKA-24h'!N96)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AVERAGE('24.08 MATUGA-KAPEKA-24h'!C97,'25.08 MATUGA-KAPEKA-24h'!C97)</f>
        <v>0</v>
      </c>
      <c r="D97" s="49">
        <f>0.4*(AVERAGE('24.08 MATUGA-KAPEKA-24h'!E97,'25.08 MATUGA-KAPEKA-24h'!E97))</f>
        <v>0</v>
      </c>
      <c r="E97" s="49">
        <f>0.6*(AVERAGE('24.08 MATUGA-KAPEKA-24h'!E97,'25.08 MATUGA-KAPEKA-24h'!E97))</f>
        <v>0</v>
      </c>
      <c r="F97" s="49">
        <f>AVERAGE('24.08 MATUGA-KAPEKA-24h'!F97,'25.08 MATUGA-KAPEKA-24h'!F97)</f>
        <v>0</v>
      </c>
      <c r="G97" s="49">
        <f>AVERAGE('24.08 MATUGA-KAPEKA-24h'!G97,'25.08 MATUGA-KAPEKA-24h'!G97)</f>
        <v>0</v>
      </c>
      <c r="H97" s="49">
        <f>AVERAGE('24.08 MATUGA-KAPEKA-24h'!H97,'25.08 MATUGA-KAPEKA-24h'!H97)</f>
        <v>0</v>
      </c>
      <c r="I97" s="49">
        <f>AVERAGE('24.08 MATUGA-KAPEKA-24h'!I97,'25.08 MATUGA-KAPEKA-24h'!I97)</f>
        <v>0</v>
      </c>
      <c r="J97" s="49">
        <f>AVERAGE('24.08 MATUGA-KAPEKA-24h'!J97,'25.08 MATUGA-KAPEKA-24h'!J97)</f>
        <v>0</v>
      </c>
      <c r="K97" s="49">
        <f>AVERAGE('24.08 MATUGA-KAPEKA-24h'!K97,'25.08 MATUGA-KAPEKA-24h'!K97)</f>
        <v>0</v>
      </c>
      <c r="L97" s="49">
        <f>AVERAGE('24.08 MATUGA-KAPEKA-24h'!L97,'25.08 MATUGA-KAPEKA-24h'!L97)</f>
        <v>0</v>
      </c>
      <c r="M97" s="49">
        <f>AVERAGE('24.08 MATUGA-KAPEKA-24h'!M97,'25.08 MATUGA-KAPEKA-24h'!M97)</f>
        <v>0</v>
      </c>
      <c r="N97" s="49">
        <f>AVERAGE('24.08 MATUGA-KAPEKA-24h'!N97,'25.08 MATUGA-KAPEKA-24h'!N97)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AVERAGE('24.08 MATUGA-KAPEKA-24h'!C98,'25.08 MATUGA-KAPEKA-24h'!C98)</f>
        <v>0</v>
      </c>
      <c r="D98" s="49">
        <f>0.4*(AVERAGE('24.08 MATUGA-KAPEKA-24h'!E98,'25.08 MATUGA-KAPEKA-24h'!E98))</f>
        <v>0</v>
      </c>
      <c r="E98" s="49">
        <f>0.6*(AVERAGE('24.08 MATUGA-KAPEKA-24h'!E98,'25.08 MATUGA-KAPEKA-24h'!E98))</f>
        <v>0</v>
      </c>
      <c r="F98" s="49">
        <f>AVERAGE('24.08 MATUGA-KAPEKA-24h'!F98,'25.08 MATUGA-KAPEKA-24h'!F98)</f>
        <v>0</v>
      </c>
      <c r="G98" s="49">
        <f>AVERAGE('24.08 MATUGA-KAPEKA-24h'!G98,'25.08 MATUGA-KAPEKA-24h'!G98)</f>
        <v>0</v>
      </c>
      <c r="H98" s="49">
        <f>AVERAGE('24.08 MATUGA-KAPEKA-24h'!H98,'25.08 MATUGA-KAPEKA-24h'!H98)</f>
        <v>0</v>
      </c>
      <c r="I98" s="49">
        <f>AVERAGE('24.08 MATUGA-KAPEKA-24h'!I98,'25.08 MATUGA-KAPEKA-24h'!I98)</f>
        <v>0</v>
      </c>
      <c r="J98" s="49">
        <f>AVERAGE('24.08 MATUGA-KAPEKA-24h'!J98,'25.08 MATUGA-KAPEKA-24h'!J98)</f>
        <v>0</v>
      </c>
      <c r="K98" s="49">
        <f>AVERAGE('24.08 MATUGA-KAPEKA-24h'!K98,'25.08 MATUGA-KAPEKA-24h'!K98)</f>
        <v>0</v>
      </c>
      <c r="L98" s="49">
        <f>AVERAGE('24.08 MATUGA-KAPEKA-24h'!L98,'25.08 MATUGA-KAPEKA-24h'!L98)</f>
        <v>0</v>
      </c>
      <c r="M98" s="49">
        <f>AVERAGE('24.08 MATUGA-KAPEKA-24h'!M98,'25.08 MATUGA-KAPEKA-24h'!M98)</f>
        <v>2</v>
      </c>
      <c r="N98" s="49">
        <f>AVERAGE('24.08 MATUGA-KAPEKA-24h'!N98,'25.08 MATUGA-KAPEKA-24h'!N98)</f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AVERAGE('24.08 MATUGA-KAPEKA-24h'!C99,'25.08 MATUGA-KAPEKA-24h'!C99)</f>
        <v>0</v>
      </c>
      <c r="D99" s="49">
        <f>0.4*(AVERAGE('24.08 MATUGA-KAPEKA-24h'!E99,'25.08 MATUGA-KAPEKA-24h'!E99))</f>
        <v>0</v>
      </c>
      <c r="E99" s="49">
        <f>0.6*(AVERAGE('24.08 MATUGA-KAPEKA-24h'!E99,'25.08 MATUGA-KAPEKA-24h'!E99))</f>
        <v>0</v>
      </c>
      <c r="F99" s="49">
        <f>AVERAGE('24.08 MATUGA-KAPEKA-24h'!F99,'25.08 MATUGA-KAPEKA-24h'!F99)</f>
        <v>0</v>
      </c>
      <c r="G99" s="49">
        <f>AVERAGE('24.08 MATUGA-KAPEKA-24h'!G99,'25.08 MATUGA-KAPEKA-24h'!G99)</f>
        <v>0</v>
      </c>
      <c r="H99" s="49">
        <f>AVERAGE('24.08 MATUGA-KAPEKA-24h'!H99,'25.08 MATUGA-KAPEKA-24h'!H99)</f>
        <v>0</v>
      </c>
      <c r="I99" s="49">
        <f>AVERAGE('24.08 MATUGA-KAPEKA-24h'!I99,'25.08 MATUGA-KAPEKA-24h'!I99)</f>
        <v>0</v>
      </c>
      <c r="J99" s="49">
        <f>AVERAGE('24.08 MATUGA-KAPEKA-24h'!J99,'25.08 MATUGA-KAPEKA-24h'!J99)</f>
        <v>0</v>
      </c>
      <c r="K99" s="49">
        <f>AVERAGE('24.08 MATUGA-KAPEKA-24h'!K99,'25.08 MATUGA-KAPEKA-24h'!K99)</f>
        <v>0</v>
      </c>
      <c r="L99" s="49">
        <f>AVERAGE('24.08 MATUGA-KAPEKA-24h'!L99,'25.08 MATUGA-KAPEKA-24h'!L99)</f>
        <v>0</v>
      </c>
      <c r="M99" s="49">
        <f>AVERAGE('24.08 MATUGA-KAPEKA-24h'!M99,'25.08 MATUGA-KAPEKA-24h'!M99)</f>
        <v>1</v>
      </c>
      <c r="N99" s="49">
        <f>AVERAGE('24.08 MATUGA-KAPEKA-24h'!N99,'25.08 MATUGA-KAPEKA-24h'!N99)</f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AVERAGE('24.08 MATUGA-KAPEKA-24h'!C100,'25.08 MATUGA-KAPEKA-24h'!C100)</f>
        <v>0</v>
      </c>
      <c r="D100" s="49">
        <f>0.4*(AVERAGE('24.08 MATUGA-KAPEKA-24h'!E100,'25.08 MATUGA-KAPEKA-24h'!E100))</f>
        <v>0</v>
      </c>
      <c r="E100" s="49">
        <f>0.6*(AVERAGE('24.08 MATUGA-KAPEKA-24h'!E100,'25.08 MATUGA-KAPEKA-24h'!E100))</f>
        <v>0</v>
      </c>
      <c r="F100" s="49">
        <f>AVERAGE('24.08 MATUGA-KAPEKA-24h'!F100,'25.08 MATUGA-KAPEKA-24h'!F100)</f>
        <v>0</v>
      </c>
      <c r="G100" s="49">
        <f>AVERAGE('24.08 MATUGA-KAPEKA-24h'!G100,'25.08 MATUGA-KAPEKA-24h'!G100)</f>
        <v>0</v>
      </c>
      <c r="H100" s="49">
        <f>AVERAGE('24.08 MATUGA-KAPEKA-24h'!H100,'25.08 MATUGA-KAPEKA-24h'!H100)</f>
        <v>0</v>
      </c>
      <c r="I100" s="49">
        <f>AVERAGE('24.08 MATUGA-KAPEKA-24h'!I100,'25.08 MATUGA-KAPEKA-24h'!I100)</f>
        <v>0</v>
      </c>
      <c r="J100" s="49">
        <f>AVERAGE('24.08 MATUGA-KAPEKA-24h'!J100,'25.08 MATUGA-KAPEKA-24h'!J100)</f>
        <v>0</v>
      </c>
      <c r="K100" s="49">
        <f>AVERAGE('24.08 MATUGA-KAPEKA-24h'!K100,'25.08 MATUGA-KAPEKA-24h'!K100)</f>
        <v>0</v>
      </c>
      <c r="L100" s="49">
        <f>AVERAGE('24.08 MATUGA-KAPEKA-24h'!L100,'25.08 MATUGA-KAPEKA-24h'!L100)</f>
        <v>0</v>
      </c>
      <c r="M100" s="49">
        <f>AVERAGE('24.08 MATUGA-KAPEKA-24h'!M100,'25.08 MATUGA-KAPEKA-24h'!M100)</f>
        <v>1</v>
      </c>
      <c r="N100" s="49">
        <f>AVERAGE('24.08 MATUGA-KAPEKA-24h'!N100,'25.08 MATUGA-KAPEKA-24h'!N100)</f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AVERAGE('24.08 MATUGA-KAPEKA-24h'!C101,'25.08 MATUGA-KAPEKA-24h'!C101)</f>
        <v>2</v>
      </c>
      <c r="D101" s="49">
        <f>0.4*(AVERAGE('24.08 MATUGA-KAPEKA-24h'!E101,'25.08 MATUGA-KAPEKA-24h'!E101))</f>
        <v>1.2000000000000002</v>
      </c>
      <c r="E101" s="49">
        <f>0.6*(AVERAGE('24.08 MATUGA-KAPEKA-24h'!E101,'25.08 MATUGA-KAPEKA-24h'!E101))</f>
        <v>1.7999999999999998</v>
      </c>
      <c r="F101" s="49">
        <f>AVERAGE('24.08 MATUGA-KAPEKA-24h'!F101,'25.08 MATUGA-KAPEKA-24h'!F101)</f>
        <v>0</v>
      </c>
      <c r="G101" s="49">
        <f>AVERAGE('24.08 MATUGA-KAPEKA-24h'!G101,'25.08 MATUGA-KAPEKA-24h'!G101)</f>
        <v>0</v>
      </c>
      <c r="H101" s="49">
        <f>AVERAGE('24.08 MATUGA-KAPEKA-24h'!H101,'25.08 MATUGA-KAPEKA-24h'!H101)</f>
        <v>0</v>
      </c>
      <c r="I101" s="49">
        <f>AVERAGE('24.08 MATUGA-KAPEKA-24h'!I101,'25.08 MATUGA-KAPEKA-24h'!I101)</f>
        <v>0</v>
      </c>
      <c r="J101" s="49">
        <f>AVERAGE('24.08 MATUGA-KAPEKA-24h'!J101,'25.08 MATUGA-KAPEKA-24h'!J101)</f>
        <v>0</v>
      </c>
      <c r="K101" s="49">
        <f>AVERAGE('24.08 MATUGA-KAPEKA-24h'!K101,'25.08 MATUGA-KAPEKA-24h'!K101)</f>
        <v>1</v>
      </c>
      <c r="L101" s="49">
        <f>AVERAGE('24.08 MATUGA-KAPEKA-24h'!L101,'25.08 MATUGA-KAPEKA-24h'!L101)</f>
        <v>0</v>
      </c>
      <c r="M101" s="49">
        <f>AVERAGE('24.08 MATUGA-KAPEKA-24h'!M101,'25.08 MATUGA-KAPEKA-24h'!M101)</f>
        <v>3</v>
      </c>
      <c r="N101" s="49">
        <f>AVERAGE('24.08 MATUGA-KAPEKA-24h'!N101,'25.08 MATUGA-KAPEKA-24h'!N101)</f>
        <v>0</v>
      </c>
      <c r="O101" s="15">
        <f t="shared" si="35"/>
        <v>6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AVERAGE('24.08 MATUGA-KAPEKA-24h'!C102,'25.08 MATUGA-KAPEKA-24h'!C102)</f>
        <v>0</v>
      </c>
      <c r="D102" s="49">
        <f>0.4*(AVERAGE('24.08 MATUGA-KAPEKA-24h'!E102,'25.08 MATUGA-KAPEKA-24h'!E102))</f>
        <v>0</v>
      </c>
      <c r="E102" s="49">
        <f>0.6*(AVERAGE('24.08 MATUGA-KAPEKA-24h'!E102,'25.08 MATUGA-KAPEKA-24h'!E102))</f>
        <v>0</v>
      </c>
      <c r="F102" s="49">
        <f>AVERAGE('24.08 MATUGA-KAPEKA-24h'!F102,'25.08 MATUGA-KAPEKA-24h'!F102)</f>
        <v>0</v>
      </c>
      <c r="G102" s="49">
        <f>AVERAGE('24.08 MATUGA-KAPEKA-24h'!G102,'25.08 MATUGA-KAPEKA-24h'!G102)</f>
        <v>0</v>
      </c>
      <c r="H102" s="49">
        <f>AVERAGE('24.08 MATUGA-KAPEKA-24h'!H102,'25.08 MATUGA-KAPEKA-24h'!H102)</f>
        <v>0</v>
      </c>
      <c r="I102" s="49">
        <f>AVERAGE('24.08 MATUGA-KAPEKA-24h'!I102,'25.08 MATUGA-KAPEKA-24h'!I102)</f>
        <v>0</v>
      </c>
      <c r="J102" s="49">
        <f>AVERAGE('24.08 MATUGA-KAPEKA-24h'!J102,'25.08 MATUGA-KAPEKA-24h'!J102)</f>
        <v>0</v>
      </c>
      <c r="K102" s="49">
        <f>AVERAGE('24.08 MATUGA-KAPEKA-24h'!K102,'25.08 MATUGA-KAPEKA-24h'!K102)</f>
        <v>0</v>
      </c>
      <c r="L102" s="49">
        <f>AVERAGE('24.08 MATUGA-KAPEKA-24h'!L102,'25.08 MATUGA-KAPEKA-24h'!L102)</f>
        <v>0</v>
      </c>
      <c r="M102" s="49">
        <f>AVERAGE('24.08 MATUGA-KAPEKA-24h'!M102,'25.08 MATUGA-KAPEKA-24h'!M102)</f>
        <v>6</v>
      </c>
      <c r="N102" s="49">
        <f>AVERAGE('24.08 MATUGA-KAPEKA-24h'!N102,'25.08 MATUGA-KAPEKA-24h'!N102)</f>
        <v>0</v>
      </c>
      <c r="O102" s="15">
        <f t="shared" si="35"/>
        <v>0</v>
      </c>
      <c r="P102" s="15">
        <f t="shared" si="36"/>
        <v>6</v>
      </c>
      <c r="R102" s="8"/>
      <c r="T102"/>
    </row>
    <row r="103" spans="2:20" ht="23.1" customHeight="1" x14ac:dyDescent="0.25">
      <c r="B103" s="23" t="s">
        <v>143</v>
      </c>
      <c r="C103" s="49">
        <f>AVERAGE('24.08 MATUGA-KAPEKA-24h'!C103,'25.08 MATUGA-KAPEKA-24h'!C103)</f>
        <v>2</v>
      </c>
      <c r="D103" s="49">
        <f>0.4*(AVERAGE('24.08 MATUGA-KAPEKA-24h'!E103,'25.08 MATUGA-KAPEKA-24h'!E103))</f>
        <v>0.8</v>
      </c>
      <c r="E103" s="49">
        <f>0.6*(AVERAGE('24.08 MATUGA-KAPEKA-24h'!E103,'25.08 MATUGA-KAPEKA-24h'!E103))</f>
        <v>1.2</v>
      </c>
      <c r="F103" s="49">
        <f>AVERAGE('24.08 MATUGA-KAPEKA-24h'!F103,'25.08 MATUGA-KAPEKA-24h'!F103)</f>
        <v>1</v>
      </c>
      <c r="G103" s="49">
        <f>AVERAGE('24.08 MATUGA-KAPEKA-24h'!G103,'25.08 MATUGA-KAPEKA-24h'!G103)</f>
        <v>0</v>
      </c>
      <c r="H103" s="49">
        <f>AVERAGE('24.08 MATUGA-KAPEKA-24h'!H103,'25.08 MATUGA-KAPEKA-24h'!H103)</f>
        <v>0</v>
      </c>
      <c r="I103" s="49">
        <f>AVERAGE('24.08 MATUGA-KAPEKA-24h'!I103,'25.08 MATUGA-KAPEKA-24h'!I103)</f>
        <v>1</v>
      </c>
      <c r="J103" s="49">
        <f>AVERAGE('24.08 MATUGA-KAPEKA-24h'!J103,'25.08 MATUGA-KAPEKA-24h'!J103)</f>
        <v>0</v>
      </c>
      <c r="K103" s="49">
        <f>AVERAGE('24.08 MATUGA-KAPEKA-24h'!K103,'25.08 MATUGA-KAPEKA-24h'!K103)</f>
        <v>1</v>
      </c>
      <c r="L103" s="49">
        <f>AVERAGE('24.08 MATUGA-KAPEKA-24h'!L103,'25.08 MATUGA-KAPEKA-24h'!L103)</f>
        <v>0</v>
      </c>
      <c r="M103" s="49">
        <f>AVERAGE('24.08 MATUGA-KAPEKA-24h'!M103,'25.08 MATUGA-KAPEKA-24h'!M103)</f>
        <v>7</v>
      </c>
      <c r="N103" s="49">
        <f>AVERAGE('24.08 MATUGA-KAPEKA-24h'!N103,'25.08 MATUGA-KAPEKA-24h'!N103)</f>
        <v>0</v>
      </c>
      <c r="O103" s="15">
        <f t="shared" si="35"/>
        <v>7</v>
      </c>
      <c r="P103" s="15">
        <f t="shared" si="36"/>
        <v>14</v>
      </c>
      <c r="R103" s="8"/>
      <c r="T103"/>
    </row>
    <row r="104" spans="2:20" ht="23.1" customHeight="1" x14ac:dyDescent="0.25">
      <c r="B104" s="25" t="s">
        <v>144</v>
      </c>
      <c r="C104" s="49">
        <f>AVERAGE('24.08 MATUGA-KAPEKA-24h'!C104,'25.08 MATUGA-KAPEKA-24h'!C104)</f>
        <v>2</v>
      </c>
      <c r="D104" s="49">
        <f>0.4*(AVERAGE('24.08 MATUGA-KAPEKA-24h'!E104,'25.08 MATUGA-KAPEKA-24h'!E104))</f>
        <v>0.8</v>
      </c>
      <c r="E104" s="49">
        <f>0.6*(AVERAGE('24.08 MATUGA-KAPEKA-24h'!E104,'25.08 MATUGA-KAPEKA-24h'!E104))</f>
        <v>1.2</v>
      </c>
      <c r="F104" s="49">
        <f>AVERAGE('24.08 MATUGA-KAPEKA-24h'!F104,'25.08 MATUGA-KAPEKA-24h'!F104)</f>
        <v>2</v>
      </c>
      <c r="G104" s="49">
        <f>AVERAGE('24.08 MATUGA-KAPEKA-24h'!G104,'25.08 MATUGA-KAPEKA-24h'!G104)</f>
        <v>0</v>
      </c>
      <c r="H104" s="49">
        <f>AVERAGE('24.08 MATUGA-KAPEKA-24h'!H104,'25.08 MATUGA-KAPEKA-24h'!H104)</f>
        <v>1</v>
      </c>
      <c r="I104" s="49">
        <f>AVERAGE('24.08 MATUGA-KAPEKA-24h'!I104,'25.08 MATUGA-KAPEKA-24h'!I104)</f>
        <v>2</v>
      </c>
      <c r="J104" s="49">
        <f>AVERAGE('24.08 MATUGA-KAPEKA-24h'!J104,'25.08 MATUGA-KAPEKA-24h'!J104)</f>
        <v>0</v>
      </c>
      <c r="K104" s="49">
        <f>AVERAGE('24.08 MATUGA-KAPEKA-24h'!K104,'25.08 MATUGA-KAPEKA-24h'!K104)</f>
        <v>0</v>
      </c>
      <c r="L104" s="49">
        <f>AVERAGE('24.08 MATUGA-KAPEKA-24h'!L104,'25.08 MATUGA-KAPEKA-24h'!L104)</f>
        <v>0</v>
      </c>
      <c r="M104" s="49">
        <f>AVERAGE('24.08 MATUGA-KAPEKA-24h'!M104,'25.08 MATUGA-KAPEKA-24h'!M104)</f>
        <v>6</v>
      </c>
      <c r="N104" s="49">
        <f>AVERAGE('24.08 MATUGA-KAPEKA-24h'!N104,'25.08 MATUGA-KAPEKA-24h'!N104)</f>
        <v>0</v>
      </c>
      <c r="O104" s="15">
        <f t="shared" si="35"/>
        <v>9</v>
      </c>
      <c r="P104" s="15">
        <f t="shared" si="36"/>
        <v>15</v>
      </c>
      <c r="R104" s="8"/>
      <c r="T104"/>
    </row>
    <row r="105" spans="2:20" ht="23.1" customHeight="1" x14ac:dyDescent="0.25">
      <c r="B105" s="23" t="s">
        <v>145</v>
      </c>
      <c r="C105" s="49">
        <f>AVERAGE('24.08 MATUGA-KAPEKA-24h'!C105,'25.08 MATUGA-KAPEKA-24h'!C105)</f>
        <v>4</v>
      </c>
      <c r="D105" s="49">
        <v>3</v>
      </c>
      <c r="E105" s="49">
        <v>2</v>
      </c>
      <c r="F105" s="49">
        <f>AVERAGE('24.08 MATUGA-KAPEKA-24h'!F105,'25.08 MATUGA-KAPEKA-24h'!F105)</f>
        <v>1</v>
      </c>
      <c r="G105" s="49">
        <f>AVERAGE('24.08 MATUGA-KAPEKA-24h'!G105,'25.08 MATUGA-KAPEKA-24h'!G105)</f>
        <v>0</v>
      </c>
      <c r="H105" s="49">
        <f>AVERAGE('24.08 MATUGA-KAPEKA-24h'!H105,'25.08 MATUGA-KAPEKA-24h'!H105)</f>
        <v>0</v>
      </c>
      <c r="I105" s="49">
        <f>AVERAGE('24.08 MATUGA-KAPEKA-24h'!I105,'25.08 MATUGA-KAPEKA-24h'!I105)</f>
        <v>3</v>
      </c>
      <c r="J105" s="49">
        <f>AVERAGE('24.08 MATUGA-KAPEKA-24h'!J105,'25.08 MATUGA-KAPEKA-24h'!J105)</f>
        <v>0</v>
      </c>
      <c r="K105" s="49">
        <f>AVERAGE('24.08 MATUGA-KAPEKA-24h'!K105,'25.08 MATUGA-KAPEKA-24h'!K105)</f>
        <v>0</v>
      </c>
      <c r="L105" s="49">
        <f>AVERAGE('24.08 MATUGA-KAPEKA-24h'!L105,'25.08 MATUGA-KAPEKA-24h'!L105)</f>
        <v>0</v>
      </c>
      <c r="M105" s="49">
        <f>AVERAGE('24.08 MATUGA-KAPEKA-24h'!M105,'25.08 MATUGA-KAPEKA-24h'!M105)</f>
        <v>12</v>
      </c>
      <c r="N105" s="49">
        <f>AVERAGE('24.08 MATUGA-KAPEKA-24h'!N105,'25.08 MATUGA-KAPEKA-24h'!N105)</f>
        <v>0</v>
      </c>
      <c r="O105" s="15">
        <f t="shared" si="35"/>
        <v>13</v>
      </c>
      <c r="P105" s="15">
        <f t="shared" si="36"/>
        <v>25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140.28571428571428</v>
      </c>
      <c r="D106" s="16">
        <f t="shared" ref="D106:P106" si="37">SUM(D10:D105)</f>
        <v>67.342857142857113</v>
      </c>
      <c r="E106" s="16">
        <f t="shared" si="37"/>
        <v>98.514285714285649</v>
      </c>
      <c r="F106" s="16">
        <f t="shared" si="37"/>
        <v>100.28571428571428</v>
      </c>
      <c r="G106" s="16">
        <f t="shared" si="37"/>
        <v>2.2857142857142856</v>
      </c>
      <c r="H106" s="16">
        <f t="shared" si="37"/>
        <v>1.1428571428571428</v>
      </c>
      <c r="I106" s="16">
        <f t="shared" si="37"/>
        <v>164.71428571428569</v>
      </c>
      <c r="J106" s="16">
        <f t="shared" si="37"/>
        <v>32.714285714285708</v>
      </c>
      <c r="K106" s="16">
        <f t="shared" si="37"/>
        <v>34.714285714285715</v>
      </c>
      <c r="L106" s="16">
        <f t="shared" si="37"/>
        <v>0</v>
      </c>
      <c r="M106" s="16">
        <f t="shared" si="37"/>
        <v>1118.7142857142858</v>
      </c>
      <c r="N106" s="16">
        <f t="shared" si="37"/>
        <v>0.42857142857142855</v>
      </c>
      <c r="O106" s="16">
        <f t="shared" si="37"/>
        <v>642.42857142857133</v>
      </c>
      <c r="P106" s="16">
        <f t="shared" si="37"/>
        <v>1761.1428571428571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7.9656067488643734E-2</v>
      </c>
      <c r="D107" s="43">
        <f t="shared" si="38"/>
        <v>3.8238157040882528E-2</v>
      </c>
      <c r="E107" s="43">
        <f t="shared" si="38"/>
        <v>5.593770279039581E-2</v>
      </c>
      <c r="F107" s="43">
        <f t="shared" si="38"/>
        <v>5.6943543153796232E-2</v>
      </c>
      <c r="G107" s="43">
        <f t="shared" si="38"/>
        <v>1.2978585334198572E-3</v>
      </c>
      <c r="H107" s="43">
        <f t="shared" si="38"/>
        <v>6.4892926670992858E-4</v>
      </c>
      <c r="I107" s="43">
        <f t="shared" si="38"/>
        <v>9.3526930564568456E-2</v>
      </c>
      <c r="J107" s="43">
        <f t="shared" si="38"/>
        <v>1.8575600259571702E-2</v>
      </c>
      <c r="K107" s="43">
        <f t="shared" si="38"/>
        <v>1.9711226476314084E-2</v>
      </c>
      <c r="L107" s="43">
        <f t="shared" si="38"/>
        <v>0</v>
      </c>
      <c r="M107" s="43">
        <f t="shared" si="38"/>
        <v>0.63522063595068146</v>
      </c>
      <c r="N107" s="43">
        <f t="shared" si="38"/>
        <v>2.4334847501622322E-4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0.2183678007560596</v>
      </c>
      <c r="D108" s="44">
        <f t="shared" ref="D108:N108" si="39">D106/$O$106</f>
        <v>0.10482543918167664</v>
      </c>
      <c r="E108" s="44">
        <f t="shared" si="39"/>
        <v>0.15334667556148535</v>
      </c>
      <c r="F108" s="44">
        <f t="shared" si="39"/>
        <v>0.1561040693795864</v>
      </c>
      <c r="G108" s="44">
        <f t="shared" si="39"/>
        <v>3.5579275072270405E-3</v>
      </c>
      <c r="H108" s="44">
        <f t="shared" si="39"/>
        <v>1.7789637536135203E-3</v>
      </c>
      <c r="I108" s="44">
        <f t="shared" si="39"/>
        <v>0.25639315098954857</v>
      </c>
      <c r="J108" s="44">
        <f t="shared" si="39"/>
        <v>5.0922837447187015E-2</v>
      </c>
      <c r="K108" s="44">
        <f t="shared" si="39"/>
        <v>5.4036024016010681E-2</v>
      </c>
      <c r="L108" s="44">
        <f t="shared" si="39"/>
        <v>0</v>
      </c>
      <c r="M108" s="44"/>
      <c r="N108" s="44">
        <f t="shared" si="39"/>
        <v>6.671114076050701E-4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A3" zoomScale="60" workbookViewId="0">
      <selection activeCell="C106" sqref="C106:N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'26.08 MATUGA-KAPEEKA'!C3:G3</f>
        <v>MCC - C3- STN86 - SEMUTO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'Avg Week MATUGGA-KAPEEKA'!G5:H5</f>
        <v>Kapeeka</v>
      </c>
      <c r="H5" s="67"/>
      <c r="I5" s="14"/>
      <c r="J5" s="2" t="s">
        <v>5</v>
      </c>
      <c r="K5" s="66" t="str">
        <f>'Avg Week MATUGGA-KAPEEKA'!K5:L5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MATUGGA-KAPEEKA'!K6:L6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KAPEEKA-MATUGA'!C10+'Avg Week MATUGGA-KAPEEKA'!C10</f>
        <v>0.8571428571428571</v>
      </c>
      <c r="D10" s="49">
        <f>'Avg KAPEEKA-MATUGA'!D10+'Avg Week MATUGGA-KAPEEKA'!D10</f>
        <v>0.8</v>
      </c>
      <c r="E10" s="49">
        <f>'Avg KAPEEKA-MATUGA'!E10+'Avg Week MATUGGA-KAPEEKA'!E10</f>
        <v>1.2</v>
      </c>
      <c r="F10" s="49">
        <f>'Avg KAPEEKA-MATUGA'!F10+'Avg Week MATUGGA-KAPEEKA'!F10</f>
        <v>3.2857142857142856</v>
      </c>
      <c r="G10" s="49">
        <f>'Avg KAPEEKA-MATUGA'!G10+'Avg Week MATUGGA-KAPEEKA'!G10</f>
        <v>0.14285714285714285</v>
      </c>
      <c r="H10" s="49">
        <f>'Avg KAPEEKA-MATUGA'!H10+'Avg Week MATUGGA-KAPEEKA'!H10</f>
        <v>0</v>
      </c>
      <c r="I10" s="49">
        <f>'Avg KAPEEKA-MATUGA'!I10+'Avg Week MATUGGA-KAPEEKA'!I10</f>
        <v>2.4285714285714284</v>
      </c>
      <c r="J10" s="49">
        <f>'Avg KAPEEKA-MATUGA'!J10+'Avg Week MATUGGA-KAPEEKA'!J10</f>
        <v>0.14285714285714285</v>
      </c>
      <c r="K10" s="49">
        <f>'Avg KAPEEKA-MATUGA'!K10+'Avg Week MATUGGA-KAPEEKA'!K10</f>
        <v>0.14285714285714285</v>
      </c>
      <c r="L10" s="49">
        <f>'Avg KAPEEKA-MATUGA'!L10+'Avg Week MATUGGA-KAPEEKA'!L10</f>
        <v>0.14285714285714285</v>
      </c>
      <c r="M10" s="49">
        <f>'Avg KAPEEKA-MATUGA'!M10+'Avg Week MATUGGA-KAPEEKA'!M10</f>
        <v>24.714285714285715</v>
      </c>
      <c r="N10" s="49">
        <f>'Avg KAPEEKA-MATUGA'!N10+'Avg Week MATUGGA-KAPEEKA'!N10</f>
        <v>0</v>
      </c>
      <c r="O10" s="15">
        <f t="shared" ref="O10:O73" si="0">SUM(C10:L10,N10)</f>
        <v>9.1428571428571406</v>
      </c>
      <c r="P10" s="15">
        <f t="shared" ref="P10:P73" si="1">SUM(C10:N10)</f>
        <v>33.857142857142854</v>
      </c>
      <c r="R10" s="1" t="s">
        <v>6</v>
      </c>
      <c r="S10" s="17">
        <f t="shared" ref="S10:AF10" si="2">SUM(C10:C13)</f>
        <v>5.4285714285714279</v>
      </c>
      <c r="T10" s="17">
        <f t="shared" si="2"/>
        <v>3.4857142857142858</v>
      </c>
      <c r="U10" s="17">
        <f t="shared" si="2"/>
        <v>5.2285714285714278</v>
      </c>
      <c r="V10" s="17">
        <f t="shared" si="2"/>
        <v>10.142857142857142</v>
      </c>
      <c r="W10" s="17">
        <f t="shared" si="2"/>
        <v>0.2857142857142857</v>
      </c>
      <c r="X10" s="17">
        <f t="shared" si="2"/>
        <v>0</v>
      </c>
      <c r="Y10" s="17">
        <f t="shared" si="2"/>
        <v>15</v>
      </c>
      <c r="Z10" s="17">
        <f t="shared" si="2"/>
        <v>2.1428571428571428</v>
      </c>
      <c r="AA10" s="17">
        <f t="shared" si="2"/>
        <v>0.8571428571428571</v>
      </c>
      <c r="AB10" s="17">
        <f t="shared" si="2"/>
        <v>0.5714285714285714</v>
      </c>
      <c r="AC10" s="17">
        <f t="shared" si="2"/>
        <v>122.57142857142858</v>
      </c>
      <c r="AD10" s="17">
        <f t="shared" si="2"/>
        <v>0.14285714285714285</v>
      </c>
      <c r="AE10" s="31">
        <f t="shared" si="2"/>
        <v>43.285714285714278</v>
      </c>
      <c r="AF10" s="31">
        <f t="shared" si="2"/>
        <v>165.85714285714289</v>
      </c>
    </row>
    <row r="11" spans="2:32" s="6" customFormat="1" ht="23.1" customHeight="1" x14ac:dyDescent="0.25">
      <c r="B11" s="23" t="s">
        <v>38</v>
      </c>
      <c r="C11" s="49">
        <f>'Avg KAPEEKA-MATUGA'!C11+'Avg Week MATUGGA-KAPEEKA'!C11</f>
        <v>0.7142857142857143</v>
      </c>
      <c r="D11" s="49">
        <f>'Avg KAPEEKA-MATUGA'!D11+'Avg Week MATUGGA-KAPEEKA'!D11</f>
        <v>0.68571428571428572</v>
      </c>
      <c r="E11" s="49">
        <f>'Avg KAPEEKA-MATUGA'!E11+'Avg Week MATUGGA-KAPEEKA'!E11</f>
        <v>1.0285714285714285</v>
      </c>
      <c r="F11" s="49">
        <f>'Avg KAPEEKA-MATUGA'!F11+'Avg Week MATUGGA-KAPEEKA'!F11</f>
        <v>2.5714285714285712</v>
      </c>
      <c r="G11" s="49">
        <f>'Avg KAPEEKA-MATUGA'!G11+'Avg Week MATUGGA-KAPEEKA'!G11</f>
        <v>0</v>
      </c>
      <c r="H11" s="49">
        <f>'Avg KAPEEKA-MATUGA'!H11+'Avg Week MATUGGA-KAPEEKA'!H11</f>
        <v>0</v>
      </c>
      <c r="I11" s="49">
        <f>'Avg KAPEEKA-MATUGA'!I11+'Avg Week MATUGGA-KAPEEKA'!I11</f>
        <v>3.2857142857142856</v>
      </c>
      <c r="J11" s="49">
        <f>'Avg KAPEEKA-MATUGA'!J11+'Avg Week MATUGGA-KAPEEKA'!J11</f>
        <v>0.5714285714285714</v>
      </c>
      <c r="K11" s="49">
        <f>'Avg KAPEEKA-MATUGA'!K11+'Avg Week MATUGGA-KAPEEKA'!K11</f>
        <v>0.2857142857142857</v>
      </c>
      <c r="L11" s="49">
        <f>'Avg KAPEEKA-MATUGA'!L11+'Avg Week MATUGGA-KAPEEKA'!L11</f>
        <v>0.14285714285714285</v>
      </c>
      <c r="M11" s="49">
        <f>'Avg KAPEEKA-MATUGA'!M11+'Avg Week MATUGGA-KAPEEKA'!M11</f>
        <v>30.571428571428573</v>
      </c>
      <c r="N11" s="49">
        <f>'Avg KAPEEKA-MATUGA'!N11+'Avg Week MATUGGA-KAPEEKA'!N11</f>
        <v>0</v>
      </c>
      <c r="O11" s="15">
        <f t="shared" si="0"/>
        <v>9.2857142857142847</v>
      </c>
      <c r="P11" s="15">
        <f t="shared" si="1"/>
        <v>39.857142857142861</v>
      </c>
      <c r="R11" s="1" t="s">
        <v>7</v>
      </c>
      <c r="S11" s="17">
        <f t="shared" ref="S11:AF11" si="3">SUM(C14:C17)</f>
        <v>10.857142857142858</v>
      </c>
      <c r="T11" s="17">
        <f t="shared" si="3"/>
        <v>4.6857142857142868</v>
      </c>
      <c r="U11" s="17">
        <f t="shared" si="3"/>
        <v>7.0285714285714285</v>
      </c>
      <c r="V11" s="17">
        <f t="shared" si="3"/>
        <v>10.571428571428569</v>
      </c>
      <c r="W11" s="17">
        <f t="shared" si="3"/>
        <v>0.2857142857142857</v>
      </c>
      <c r="X11" s="17">
        <f t="shared" si="3"/>
        <v>0</v>
      </c>
      <c r="Y11" s="17">
        <f t="shared" si="3"/>
        <v>19.142857142857142</v>
      </c>
      <c r="Z11" s="17">
        <f t="shared" si="3"/>
        <v>1.714285714285714</v>
      </c>
      <c r="AA11" s="17">
        <f t="shared" si="3"/>
        <v>3.4285714285714288</v>
      </c>
      <c r="AB11" s="17">
        <f t="shared" si="3"/>
        <v>0.5714285714285714</v>
      </c>
      <c r="AC11" s="17">
        <f t="shared" si="3"/>
        <v>139.85714285714283</v>
      </c>
      <c r="AD11" s="17">
        <f t="shared" si="3"/>
        <v>0.14285714285714285</v>
      </c>
      <c r="AE11" s="31">
        <f t="shared" si="3"/>
        <v>58.428571428571431</v>
      </c>
      <c r="AF11" s="31">
        <f t="shared" si="3"/>
        <v>198.28571428571428</v>
      </c>
    </row>
    <row r="12" spans="2:32" ht="23.1" customHeight="1" x14ac:dyDescent="0.25">
      <c r="B12" s="23" t="s">
        <v>39</v>
      </c>
      <c r="C12" s="49">
        <f>'Avg KAPEEKA-MATUGA'!C12+'Avg Week MATUGGA-KAPEEKA'!C12</f>
        <v>2.2857142857142856</v>
      </c>
      <c r="D12" s="49">
        <f>'Avg KAPEEKA-MATUGA'!D12+'Avg Week MATUGGA-KAPEEKA'!D12</f>
        <v>1.1428571428571428</v>
      </c>
      <c r="E12" s="49">
        <f>'Avg KAPEEKA-MATUGA'!E12+'Avg Week MATUGGA-KAPEEKA'!E12</f>
        <v>1.714285714285714</v>
      </c>
      <c r="F12" s="49">
        <f>'Avg KAPEEKA-MATUGA'!F12+'Avg Week MATUGGA-KAPEEKA'!F12</f>
        <v>2.2857142857142856</v>
      </c>
      <c r="G12" s="49">
        <f>'Avg KAPEEKA-MATUGA'!G12+'Avg Week MATUGGA-KAPEEKA'!G12</f>
        <v>0</v>
      </c>
      <c r="H12" s="49">
        <f>'Avg KAPEEKA-MATUGA'!H12+'Avg Week MATUGGA-KAPEEKA'!H12</f>
        <v>0</v>
      </c>
      <c r="I12" s="49">
        <f>'Avg KAPEEKA-MATUGA'!I12+'Avg Week MATUGGA-KAPEEKA'!I12</f>
        <v>4.2857142857142856</v>
      </c>
      <c r="J12" s="49">
        <f>'Avg KAPEEKA-MATUGA'!J12+'Avg Week MATUGGA-KAPEEKA'!J12</f>
        <v>1.1428571428571428</v>
      </c>
      <c r="K12" s="49">
        <f>'Avg KAPEEKA-MATUGA'!K12+'Avg Week MATUGGA-KAPEEKA'!K12</f>
        <v>0.42857142857142855</v>
      </c>
      <c r="L12" s="49">
        <f>'Avg KAPEEKA-MATUGA'!L12+'Avg Week MATUGGA-KAPEEKA'!L12</f>
        <v>0.14285714285714285</v>
      </c>
      <c r="M12" s="49">
        <f>'Avg KAPEEKA-MATUGA'!M12+'Avg Week MATUGGA-KAPEEKA'!M12</f>
        <v>33.428571428571431</v>
      </c>
      <c r="N12" s="49">
        <f>'Avg KAPEEKA-MATUGA'!N12+'Avg Week MATUGGA-KAPEEKA'!N12</f>
        <v>0</v>
      </c>
      <c r="O12" s="15">
        <f t="shared" si="0"/>
        <v>13.428571428571427</v>
      </c>
      <c r="P12" s="15">
        <f t="shared" si="1"/>
        <v>46.857142857142861</v>
      </c>
      <c r="R12" s="1" t="s">
        <v>8</v>
      </c>
      <c r="S12" s="17">
        <f t="shared" ref="S12:AF12" si="4">SUM(C18:C21)</f>
        <v>12.857142857142858</v>
      </c>
      <c r="T12" s="17">
        <f t="shared" si="4"/>
        <v>5.8857142857142861</v>
      </c>
      <c r="U12" s="17">
        <f t="shared" si="4"/>
        <v>8.8285714285714292</v>
      </c>
      <c r="V12" s="17">
        <f t="shared" si="4"/>
        <v>8.2857142857142865</v>
      </c>
      <c r="W12" s="17">
        <f t="shared" si="4"/>
        <v>0.5714285714285714</v>
      </c>
      <c r="X12" s="17">
        <f t="shared" si="4"/>
        <v>0</v>
      </c>
      <c r="Y12" s="17">
        <f t="shared" si="4"/>
        <v>21.571428571428569</v>
      </c>
      <c r="Z12" s="17">
        <f t="shared" si="4"/>
        <v>3.4285714285714288</v>
      </c>
      <c r="AA12" s="17">
        <f t="shared" si="4"/>
        <v>5.2857142857142856</v>
      </c>
      <c r="AB12" s="17">
        <f t="shared" si="4"/>
        <v>0.5714285714285714</v>
      </c>
      <c r="AC12" s="17">
        <f t="shared" si="4"/>
        <v>144.14285714285714</v>
      </c>
      <c r="AD12" s="17">
        <f t="shared" si="4"/>
        <v>0</v>
      </c>
      <c r="AE12" s="31">
        <f t="shared" si="4"/>
        <v>67.285714285714278</v>
      </c>
      <c r="AF12" s="31">
        <f t="shared" si="4"/>
        <v>211.42857142857144</v>
      </c>
    </row>
    <row r="13" spans="2:32" ht="23.1" customHeight="1" x14ac:dyDescent="0.25">
      <c r="B13" s="23" t="s">
        <v>40</v>
      </c>
      <c r="C13" s="49">
        <f>'Avg KAPEEKA-MATUGA'!C13+'Avg Week MATUGGA-KAPEEKA'!C13</f>
        <v>1.5714285714285714</v>
      </c>
      <c r="D13" s="49">
        <f>'Avg KAPEEKA-MATUGA'!D13+'Avg Week MATUGGA-KAPEEKA'!D13</f>
        <v>0.85714285714285721</v>
      </c>
      <c r="E13" s="49">
        <f>'Avg KAPEEKA-MATUGA'!E13+'Avg Week MATUGGA-KAPEEKA'!E13</f>
        <v>1.2857142857142856</v>
      </c>
      <c r="F13" s="49">
        <f>'Avg KAPEEKA-MATUGA'!F13+'Avg Week MATUGGA-KAPEEKA'!F13</f>
        <v>2</v>
      </c>
      <c r="G13" s="49">
        <f>'Avg KAPEEKA-MATUGA'!G13+'Avg Week MATUGGA-KAPEEKA'!G13</f>
        <v>0.14285714285714285</v>
      </c>
      <c r="H13" s="49">
        <f>'Avg KAPEEKA-MATUGA'!H13+'Avg Week MATUGGA-KAPEEKA'!H13</f>
        <v>0</v>
      </c>
      <c r="I13" s="49">
        <f>'Avg KAPEEKA-MATUGA'!I13+'Avg Week MATUGGA-KAPEEKA'!I13</f>
        <v>5</v>
      </c>
      <c r="J13" s="49">
        <f>'Avg KAPEEKA-MATUGA'!J13+'Avg Week MATUGGA-KAPEEKA'!J13</f>
        <v>0.2857142857142857</v>
      </c>
      <c r="K13" s="49">
        <f>'Avg KAPEEKA-MATUGA'!K13+'Avg Week MATUGGA-KAPEEKA'!K13</f>
        <v>0</v>
      </c>
      <c r="L13" s="49">
        <f>'Avg KAPEEKA-MATUGA'!L13+'Avg Week MATUGGA-KAPEEKA'!L13</f>
        <v>0.14285714285714285</v>
      </c>
      <c r="M13" s="49">
        <f>'Avg KAPEEKA-MATUGA'!M13+'Avg Week MATUGGA-KAPEEKA'!M13</f>
        <v>33.857142857142861</v>
      </c>
      <c r="N13" s="49">
        <f>'Avg KAPEEKA-MATUGA'!N13+'Avg Week MATUGGA-KAPEEKA'!N13</f>
        <v>0.14285714285714285</v>
      </c>
      <c r="O13" s="15">
        <f t="shared" si="0"/>
        <v>11.428571428571429</v>
      </c>
      <c r="P13" s="15">
        <f t="shared" si="1"/>
        <v>45.285714285714292</v>
      </c>
      <c r="R13" s="1" t="s">
        <v>9</v>
      </c>
      <c r="S13" s="17">
        <f t="shared" ref="S13:AF13" si="5">SUM(C22:C25)</f>
        <v>12.857142857142858</v>
      </c>
      <c r="T13" s="17">
        <f t="shared" si="5"/>
        <v>7.6571428571428566</v>
      </c>
      <c r="U13" s="17">
        <f t="shared" si="5"/>
        <v>11.485714285714284</v>
      </c>
      <c r="V13" s="17">
        <f t="shared" si="5"/>
        <v>10.428571428571429</v>
      </c>
      <c r="W13" s="17">
        <f t="shared" si="5"/>
        <v>0.42857142857142855</v>
      </c>
      <c r="X13" s="17">
        <f t="shared" si="5"/>
        <v>0.14285714285714285</v>
      </c>
      <c r="Y13" s="17">
        <f t="shared" si="5"/>
        <v>19.857142857142858</v>
      </c>
      <c r="Z13" s="17">
        <f t="shared" si="5"/>
        <v>2.5714285714285712</v>
      </c>
      <c r="AA13" s="17">
        <f t="shared" si="5"/>
        <v>5</v>
      </c>
      <c r="AB13" s="17">
        <f t="shared" si="5"/>
        <v>0.5714285714285714</v>
      </c>
      <c r="AC13" s="17">
        <f t="shared" si="5"/>
        <v>161</v>
      </c>
      <c r="AD13" s="17">
        <f t="shared" si="5"/>
        <v>0.14285714285714285</v>
      </c>
      <c r="AE13" s="31">
        <f t="shared" si="5"/>
        <v>71.142857142857139</v>
      </c>
      <c r="AF13" s="31">
        <f t="shared" si="5"/>
        <v>232.14285714285711</v>
      </c>
    </row>
    <row r="14" spans="2:32" ht="23.1" customHeight="1" x14ac:dyDescent="0.25">
      <c r="B14" s="23" t="s">
        <v>41</v>
      </c>
      <c r="C14" s="49">
        <f>'Avg KAPEEKA-MATUGA'!C14+'Avg Week MATUGGA-KAPEEKA'!C14</f>
        <v>1.7142857142857144</v>
      </c>
      <c r="D14" s="49">
        <f>'Avg KAPEEKA-MATUGA'!D14+'Avg Week MATUGGA-KAPEEKA'!D14</f>
        <v>0.85714285714285721</v>
      </c>
      <c r="E14" s="49">
        <f>'Avg KAPEEKA-MATUGA'!E14+'Avg Week MATUGGA-KAPEEKA'!E14</f>
        <v>1.2857142857142856</v>
      </c>
      <c r="F14" s="49">
        <f>'Avg KAPEEKA-MATUGA'!F14+'Avg Week MATUGGA-KAPEEKA'!F14</f>
        <v>2.5714285714285716</v>
      </c>
      <c r="G14" s="49">
        <f>'Avg KAPEEKA-MATUGA'!G14+'Avg Week MATUGGA-KAPEEKA'!G14</f>
        <v>0.14285714285714285</v>
      </c>
      <c r="H14" s="49">
        <f>'Avg KAPEEKA-MATUGA'!H14+'Avg Week MATUGGA-KAPEEKA'!H14</f>
        <v>0</v>
      </c>
      <c r="I14" s="49">
        <f>'Avg KAPEEKA-MATUGA'!I14+'Avg Week MATUGGA-KAPEEKA'!I14</f>
        <v>4.2857142857142856</v>
      </c>
      <c r="J14" s="49">
        <f>'Avg KAPEEKA-MATUGA'!J14+'Avg Week MATUGGA-KAPEEKA'!J14</f>
        <v>0.2857142857142857</v>
      </c>
      <c r="K14" s="49">
        <f>'Avg KAPEEKA-MATUGA'!K14+'Avg Week MATUGGA-KAPEEKA'!K14</f>
        <v>0.14285714285714285</v>
      </c>
      <c r="L14" s="49">
        <f>'Avg KAPEEKA-MATUGA'!L14+'Avg Week MATUGGA-KAPEEKA'!L14</f>
        <v>0.14285714285714285</v>
      </c>
      <c r="M14" s="49">
        <f>'Avg KAPEEKA-MATUGA'!M14+'Avg Week MATUGGA-KAPEEKA'!M14</f>
        <v>30.142857142857142</v>
      </c>
      <c r="N14" s="49">
        <f>'Avg KAPEEKA-MATUGA'!N14+'Avg Week MATUGGA-KAPEEKA'!N14</f>
        <v>0</v>
      </c>
      <c r="O14" s="15">
        <f t="shared" si="0"/>
        <v>11.428571428571429</v>
      </c>
      <c r="P14" s="15">
        <f t="shared" si="1"/>
        <v>41.571428571428569</v>
      </c>
      <c r="R14" s="1" t="s">
        <v>10</v>
      </c>
      <c r="S14" s="17">
        <f t="shared" ref="S14:AF14" si="6">SUM(C26:C29)</f>
        <v>15.571428571428573</v>
      </c>
      <c r="T14" s="17">
        <f t="shared" si="6"/>
        <v>8.0571428571428569</v>
      </c>
      <c r="U14" s="17">
        <f t="shared" si="6"/>
        <v>12.085714285714285</v>
      </c>
      <c r="V14" s="17">
        <f t="shared" si="6"/>
        <v>10.571428571428571</v>
      </c>
      <c r="W14" s="17">
        <f t="shared" si="6"/>
        <v>0</v>
      </c>
      <c r="X14" s="17">
        <f t="shared" si="6"/>
        <v>0</v>
      </c>
      <c r="Y14" s="17">
        <f t="shared" si="6"/>
        <v>19</v>
      </c>
      <c r="Z14" s="17">
        <f t="shared" si="6"/>
        <v>3.5714285714285712</v>
      </c>
      <c r="AA14" s="17">
        <f t="shared" si="6"/>
        <v>4.2857142857142856</v>
      </c>
      <c r="AB14" s="17">
        <f t="shared" si="6"/>
        <v>0.5714285714285714</v>
      </c>
      <c r="AC14" s="17">
        <f t="shared" si="6"/>
        <v>167.14285714285714</v>
      </c>
      <c r="AD14" s="17">
        <f t="shared" si="6"/>
        <v>0.14285714285714285</v>
      </c>
      <c r="AE14" s="31">
        <f t="shared" si="6"/>
        <v>73.857142857142861</v>
      </c>
      <c r="AF14" s="31">
        <f t="shared" si="6"/>
        <v>241</v>
      </c>
    </row>
    <row r="15" spans="2:32" ht="23.1" customHeight="1" x14ac:dyDescent="0.25">
      <c r="B15" s="23" t="s">
        <v>42</v>
      </c>
      <c r="C15" s="49">
        <f>'Avg KAPEEKA-MATUGA'!C15+'Avg Week MATUGGA-KAPEEKA'!C15</f>
        <v>2.5714285714285712</v>
      </c>
      <c r="D15" s="49">
        <f>'Avg KAPEEKA-MATUGA'!D15+'Avg Week MATUGGA-KAPEEKA'!D15</f>
        <v>1.0857142857142856</v>
      </c>
      <c r="E15" s="49">
        <f>'Avg KAPEEKA-MATUGA'!E15+'Avg Week MATUGGA-KAPEEKA'!E15</f>
        <v>1.6285714285714286</v>
      </c>
      <c r="F15" s="49">
        <f>'Avg KAPEEKA-MATUGA'!F15+'Avg Week MATUGGA-KAPEEKA'!F15</f>
        <v>3</v>
      </c>
      <c r="G15" s="49">
        <f>'Avg KAPEEKA-MATUGA'!G15+'Avg Week MATUGGA-KAPEEKA'!G15</f>
        <v>0.14285714285714285</v>
      </c>
      <c r="H15" s="49">
        <f>'Avg KAPEEKA-MATUGA'!H15+'Avg Week MATUGGA-KAPEEKA'!H15</f>
        <v>0</v>
      </c>
      <c r="I15" s="49">
        <f>'Avg KAPEEKA-MATUGA'!I15+'Avg Week MATUGGA-KAPEEKA'!I15</f>
        <v>4.8571428571428568</v>
      </c>
      <c r="J15" s="49">
        <f>'Avg KAPEEKA-MATUGA'!J15+'Avg Week MATUGGA-KAPEEKA'!J15</f>
        <v>0.42857142857142855</v>
      </c>
      <c r="K15" s="49">
        <f>'Avg KAPEEKA-MATUGA'!K15+'Avg Week MATUGGA-KAPEEKA'!K15</f>
        <v>0.85714285714285721</v>
      </c>
      <c r="L15" s="49">
        <f>'Avg KAPEEKA-MATUGA'!L15+'Avg Week MATUGGA-KAPEEKA'!L15</f>
        <v>0.14285714285714285</v>
      </c>
      <c r="M15" s="49">
        <f>'Avg KAPEEKA-MATUGA'!M15+'Avg Week MATUGGA-KAPEEKA'!M15</f>
        <v>36.428571428571431</v>
      </c>
      <c r="N15" s="49">
        <f>'Avg KAPEEKA-MATUGA'!N15+'Avg Week MATUGGA-KAPEEKA'!N15</f>
        <v>0.14285714285714285</v>
      </c>
      <c r="O15" s="15">
        <f t="shared" si="0"/>
        <v>14.857142857142856</v>
      </c>
      <c r="P15" s="15">
        <f t="shared" si="1"/>
        <v>51.285714285714292</v>
      </c>
      <c r="R15" s="1" t="s">
        <v>11</v>
      </c>
      <c r="S15" s="17">
        <f t="shared" ref="S15:AF15" si="7">SUM(C30:C33)</f>
        <v>16.714285714285715</v>
      </c>
      <c r="T15" s="17">
        <f t="shared" si="7"/>
        <v>8.1714285714285726</v>
      </c>
      <c r="U15" s="17">
        <f t="shared" si="7"/>
        <v>12.257142857142856</v>
      </c>
      <c r="V15" s="17">
        <f t="shared" si="7"/>
        <v>10.428571428571429</v>
      </c>
      <c r="W15" s="17">
        <f t="shared" si="7"/>
        <v>0</v>
      </c>
      <c r="X15" s="17">
        <f t="shared" si="7"/>
        <v>0</v>
      </c>
      <c r="Y15" s="17">
        <f t="shared" si="7"/>
        <v>19.571428571428573</v>
      </c>
      <c r="Z15" s="17">
        <f t="shared" si="7"/>
        <v>3.1428571428571428</v>
      </c>
      <c r="AA15" s="17">
        <f t="shared" si="7"/>
        <v>2.8571428571428572</v>
      </c>
      <c r="AB15" s="17">
        <f t="shared" si="7"/>
        <v>0.5714285714285714</v>
      </c>
      <c r="AC15" s="17">
        <f t="shared" si="7"/>
        <v>171.42857142857144</v>
      </c>
      <c r="AD15" s="17">
        <f t="shared" si="7"/>
        <v>0.2857142857142857</v>
      </c>
      <c r="AE15" s="31">
        <f t="shared" si="7"/>
        <v>73.999999999999986</v>
      </c>
      <c r="AF15" s="31">
        <f t="shared" si="7"/>
        <v>245.42857142857144</v>
      </c>
    </row>
    <row r="16" spans="2:32" ht="23.1" customHeight="1" x14ac:dyDescent="0.25">
      <c r="B16" s="23" t="s">
        <v>43</v>
      </c>
      <c r="C16" s="49">
        <f>'Avg KAPEEKA-MATUGA'!C16+'Avg Week MATUGGA-KAPEEKA'!C16</f>
        <v>3.4285714285714288</v>
      </c>
      <c r="D16" s="49">
        <f>'Avg KAPEEKA-MATUGA'!D16+'Avg Week MATUGGA-KAPEEKA'!D16</f>
        <v>1.6571428571428575</v>
      </c>
      <c r="E16" s="49">
        <f>'Avg KAPEEKA-MATUGA'!E16+'Avg Week MATUGGA-KAPEEKA'!E16</f>
        <v>2.4857142857142858</v>
      </c>
      <c r="F16" s="49">
        <f>'Avg KAPEEKA-MATUGA'!F16+'Avg Week MATUGGA-KAPEEKA'!F16</f>
        <v>3.7142857142857144</v>
      </c>
      <c r="G16" s="49">
        <f>'Avg KAPEEKA-MATUGA'!G16+'Avg Week MATUGGA-KAPEEKA'!G16</f>
        <v>0</v>
      </c>
      <c r="H16" s="49">
        <f>'Avg KAPEEKA-MATUGA'!H16+'Avg Week MATUGGA-KAPEEKA'!H16</f>
        <v>0</v>
      </c>
      <c r="I16" s="49">
        <f>'Avg KAPEEKA-MATUGA'!I16+'Avg Week MATUGGA-KAPEEKA'!I16</f>
        <v>5.4285714285714288</v>
      </c>
      <c r="J16" s="49">
        <f>'Avg KAPEEKA-MATUGA'!J16+'Avg Week MATUGGA-KAPEEKA'!J16</f>
        <v>0.2857142857142857</v>
      </c>
      <c r="K16" s="49">
        <f>'Avg KAPEEKA-MATUGA'!K16+'Avg Week MATUGGA-KAPEEKA'!K16</f>
        <v>0.8571428571428571</v>
      </c>
      <c r="L16" s="49">
        <f>'Avg KAPEEKA-MATUGA'!L16+'Avg Week MATUGGA-KAPEEKA'!L16</f>
        <v>0.14285714285714285</v>
      </c>
      <c r="M16" s="49">
        <f>'Avg KAPEEKA-MATUGA'!M16+'Avg Week MATUGGA-KAPEEKA'!M16</f>
        <v>38.714285714285715</v>
      </c>
      <c r="N16" s="49">
        <f>'Avg KAPEEKA-MATUGA'!N16+'Avg Week MATUGGA-KAPEEKA'!N16</f>
        <v>0</v>
      </c>
      <c r="O16" s="15">
        <f t="shared" si="0"/>
        <v>18</v>
      </c>
      <c r="P16" s="15">
        <f t="shared" si="1"/>
        <v>56.714285714285715</v>
      </c>
      <c r="R16" s="1" t="s">
        <v>12</v>
      </c>
      <c r="S16" s="17">
        <f t="shared" ref="S16:AF16" si="8">SUM(C34:C37)</f>
        <v>17.571428571428569</v>
      </c>
      <c r="T16" s="17">
        <f t="shared" si="8"/>
        <v>7.7142857142857144</v>
      </c>
      <c r="U16" s="17">
        <f t="shared" si="8"/>
        <v>11.571428571428571</v>
      </c>
      <c r="V16" s="17">
        <f t="shared" si="8"/>
        <v>12.142857142857142</v>
      </c>
      <c r="W16" s="17">
        <f t="shared" si="8"/>
        <v>0.14285714285714285</v>
      </c>
      <c r="X16" s="17">
        <f t="shared" si="8"/>
        <v>0</v>
      </c>
      <c r="Y16" s="17">
        <f t="shared" si="8"/>
        <v>19.428571428571427</v>
      </c>
      <c r="Z16" s="17">
        <f t="shared" si="8"/>
        <v>3</v>
      </c>
      <c r="AA16" s="17">
        <f t="shared" si="8"/>
        <v>3.5714285714285712</v>
      </c>
      <c r="AB16" s="17">
        <f t="shared" si="8"/>
        <v>0.5714285714285714</v>
      </c>
      <c r="AC16" s="17">
        <f t="shared" si="8"/>
        <v>164</v>
      </c>
      <c r="AD16" s="17">
        <f t="shared" si="8"/>
        <v>0.2857142857142857</v>
      </c>
      <c r="AE16" s="31">
        <f t="shared" si="8"/>
        <v>76</v>
      </c>
      <c r="AF16" s="31">
        <f t="shared" si="8"/>
        <v>240</v>
      </c>
    </row>
    <row r="17" spans="2:32" ht="23.1" customHeight="1" x14ac:dyDescent="0.25">
      <c r="B17" s="23" t="s">
        <v>44</v>
      </c>
      <c r="C17" s="49">
        <f>'Avg KAPEEKA-MATUGA'!C17+'Avg Week MATUGGA-KAPEEKA'!C17</f>
        <v>3.1428571428571432</v>
      </c>
      <c r="D17" s="49">
        <f>'Avg KAPEEKA-MATUGA'!D17+'Avg Week MATUGGA-KAPEEKA'!D17</f>
        <v>1.0857142857142859</v>
      </c>
      <c r="E17" s="49">
        <f>'Avg KAPEEKA-MATUGA'!E17+'Avg Week MATUGGA-KAPEEKA'!E17</f>
        <v>1.6285714285714286</v>
      </c>
      <c r="F17" s="49">
        <f>'Avg KAPEEKA-MATUGA'!F17+'Avg Week MATUGGA-KAPEEKA'!F17</f>
        <v>1.2857142857142856</v>
      </c>
      <c r="G17" s="49">
        <f>'Avg KAPEEKA-MATUGA'!G17+'Avg Week MATUGGA-KAPEEKA'!G17</f>
        <v>0</v>
      </c>
      <c r="H17" s="49">
        <f>'Avg KAPEEKA-MATUGA'!H17+'Avg Week MATUGGA-KAPEEKA'!H17</f>
        <v>0</v>
      </c>
      <c r="I17" s="49">
        <f>'Avg KAPEEKA-MATUGA'!I17+'Avg Week MATUGGA-KAPEEKA'!I17</f>
        <v>4.5714285714285712</v>
      </c>
      <c r="J17" s="49">
        <f>'Avg KAPEEKA-MATUGA'!J17+'Avg Week MATUGGA-KAPEEKA'!J17</f>
        <v>0.71428571428571419</v>
      </c>
      <c r="K17" s="49">
        <f>'Avg KAPEEKA-MATUGA'!K17+'Avg Week MATUGGA-KAPEEKA'!K17</f>
        <v>1.5714285714285714</v>
      </c>
      <c r="L17" s="49">
        <f>'Avg KAPEEKA-MATUGA'!L17+'Avg Week MATUGGA-KAPEEKA'!L17</f>
        <v>0.14285714285714285</v>
      </c>
      <c r="M17" s="49">
        <f>'Avg KAPEEKA-MATUGA'!M17+'Avg Week MATUGGA-KAPEEKA'!M17</f>
        <v>34.571428571428569</v>
      </c>
      <c r="N17" s="49">
        <f>'Avg KAPEEKA-MATUGA'!N17+'Avg Week MATUGGA-KAPEEKA'!N17</f>
        <v>0</v>
      </c>
      <c r="O17" s="15">
        <f t="shared" si="0"/>
        <v>14.142857142857142</v>
      </c>
      <c r="P17" s="15">
        <f t="shared" si="1"/>
        <v>48.714285714285708</v>
      </c>
      <c r="R17" s="1" t="s">
        <v>13</v>
      </c>
      <c r="S17" s="17">
        <f t="shared" ref="S17:AF17" si="9">SUM(C38:C41)</f>
        <v>17.428571428571427</v>
      </c>
      <c r="T17" s="17">
        <f t="shared" si="9"/>
        <v>7.9428571428571431</v>
      </c>
      <c r="U17" s="17">
        <f t="shared" si="9"/>
        <v>11.914285714285715</v>
      </c>
      <c r="V17" s="17">
        <f t="shared" si="9"/>
        <v>11.428571428571427</v>
      </c>
      <c r="W17" s="17">
        <f t="shared" si="9"/>
        <v>0.5714285714285714</v>
      </c>
      <c r="X17" s="17">
        <f t="shared" si="9"/>
        <v>0</v>
      </c>
      <c r="Y17" s="17">
        <f t="shared" si="9"/>
        <v>23.142857142857142</v>
      </c>
      <c r="Z17" s="17">
        <f t="shared" si="9"/>
        <v>3.9999999999999996</v>
      </c>
      <c r="AA17" s="17">
        <f t="shared" si="9"/>
        <v>2.2857142857142856</v>
      </c>
      <c r="AB17" s="17">
        <f t="shared" si="9"/>
        <v>0.5714285714285714</v>
      </c>
      <c r="AC17" s="17">
        <f t="shared" si="9"/>
        <v>164.28571428571428</v>
      </c>
      <c r="AD17" s="17">
        <f t="shared" si="9"/>
        <v>0</v>
      </c>
      <c r="AE17" s="31">
        <f t="shared" si="9"/>
        <v>79.285714285714278</v>
      </c>
      <c r="AF17" s="31">
        <f t="shared" si="9"/>
        <v>243.57142857142856</v>
      </c>
    </row>
    <row r="18" spans="2:32" ht="23.1" customHeight="1" x14ac:dyDescent="0.25">
      <c r="B18" s="23" t="s">
        <v>45</v>
      </c>
      <c r="C18" s="49">
        <f>'Avg KAPEEKA-MATUGA'!C18+'Avg Week MATUGGA-KAPEEKA'!C18</f>
        <v>3.1428571428571428</v>
      </c>
      <c r="D18" s="49">
        <f>'Avg KAPEEKA-MATUGA'!D18+'Avg Week MATUGGA-KAPEEKA'!D18</f>
        <v>1.142857142857143</v>
      </c>
      <c r="E18" s="49">
        <f>'Avg KAPEEKA-MATUGA'!E18+'Avg Week MATUGGA-KAPEEKA'!E18</f>
        <v>1.7142857142857142</v>
      </c>
      <c r="F18" s="49">
        <f>'Avg KAPEEKA-MATUGA'!F18+'Avg Week MATUGGA-KAPEEKA'!F18</f>
        <v>1.8571428571428572</v>
      </c>
      <c r="G18" s="49">
        <f>'Avg KAPEEKA-MATUGA'!G18+'Avg Week MATUGGA-KAPEEKA'!G18</f>
        <v>0</v>
      </c>
      <c r="H18" s="49">
        <f>'Avg KAPEEKA-MATUGA'!H18+'Avg Week MATUGGA-KAPEEKA'!H18</f>
        <v>0</v>
      </c>
      <c r="I18" s="49">
        <f>'Avg KAPEEKA-MATUGA'!I18+'Avg Week MATUGGA-KAPEEKA'!I18</f>
        <v>6</v>
      </c>
      <c r="J18" s="49">
        <f>'Avg KAPEEKA-MATUGA'!J18+'Avg Week MATUGGA-KAPEEKA'!J18</f>
        <v>0.8571428571428571</v>
      </c>
      <c r="K18" s="49">
        <f>'Avg KAPEEKA-MATUGA'!K18+'Avg Week MATUGGA-KAPEEKA'!K18</f>
        <v>1.7142857142857142</v>
      </c>
      <c r="L18" s="49">
        <f>'Avg KAPEEKA-MATUGA'!L18+'Avg Week MATUGGA-KAPEEKA'!L18</f>
        <v>0.14285714285714285</v>
      </c>
      <c r="M18" s="49">
        <f>'Avg KAPEEKA-MATUGA'!M18+'Avg Week MATUGGA-KAPEEKA'!M18</f>
        <v>34.714285714285715</v>
      </c>
      <c r="N18" s="49">
        <f>'Avg KAPEEKA-MATUGA'!N18+'Avg Week MATUGGA-KAPEEKA'!N18</f>
        <v>0</v>
      </c>
      <c r="O18" s="15">
        <f t="shared" si="0"/>
        <v>16.571428571428573</v>
      </c>
      <c r="P18" s="15">
        <f t="shared" si="1"/>
        <v>51.285714285714292</v>
      </c>
      <c r="R18" s="1" t="s">
        <v>14</v>
      </c>
      <c r="S18" s="17">
        <f t="shared" ref="S18:AF18" si="10">SUM(C42:C45)</f>
        <v>17.714285714285715</v>
      </c>
      <c r="T18" s="17">
        <f t="shared" si="10"/>
        <v>7.8285714285714292</v>
      </c>
      <c r="U18" s="17">
        <f t="shared" si="10"/>
        <v>11.74285714285714</v>
      </c>
      <c r="V18" s="17">
        <f t="shared" si="10"/>
        <v>12.142857142857142</v>
      </c>
      <c r="W18" s="17">
        <f t="shared" si="10"/>
        <v>0.5714285714285714</v>
      </c>
      <c r="X18" s="17">
        <f t="shared" si="10"/>
        <v>0</v>
      </c>
      <c r="Y18" s="17">
        <f t="shared" si="10"/>
        <v>21.999999999999996</v>
      </c>
      <c r="Z18" s="17">
        <f t="shared" si="10"/>
        <v>3.2857142857142856</v>
      </c>
      <c r="AA18" s="17">
        <f t="shared" si="10"/>
        <v>3.4285714285714284</v>
      </c>
      <c r="AB18" s="17">
        <f t="shared" si="10"/>
        <v>0.5714285714285714</v>
      </c>
      <c r="AC18" s="17">
        <f t="shared" si="10"/>
        <v>163</v>
      </c>
      <c r="AD18" s="17">
        <f t="shared" si="10"/>
        <v>0</v>
      </c>
      <c r="AE18" s="31">
        <f t="shared" si="10"/>
        <v>79.285714285714278</v>
      </c>
      <c r="AF18" s="31">
        <f t="shared" si="10"/>
        <v>242.28571428571428</v>
      </c>
    </row>
    <row r="19" spans="2:32" ht="23.1" customHeight="1" x14ac:dyDescent="0.25">
      <c r="B19" s="23" t="s">
        <v>46</v>
      </c>
      <c r="C19" s="49">
        <f>'Avg KAPEEKA-MATUGA'!C19+'Avg Week MATUGGA-KAPEEKA'!C19</f>
        <v>2.7142857142857144</v>
      </c>
      <c r="D19" s="49">
        <f>'Avg KAPEEKA-MATUGA'!D19+'Avg Week MATUGGA-KAPEEKA'!D19</f>
        <v>1.7142857142857144</v>
      </c>
      <c r="E19" s="49">
        <f>'Avg KAPEEKA-MATUGA'!E19+'Avg Week MATUGGA-KAPEEKA'!E19</f>
        <v>2.5714285714285712</v>
      </c>
      <c r="F19" s="49">
        <f>'Avg KAPEEKA-MATUGA'!F19+'Avg Week MATUGGA-KAPEEKA'!F19</f>
        <v>2.4285714285714288</v>
      </c>
      <c r="G19" s="49">
        <f>'Avg KAPEEKA-MATUGA'!G19+'Avg Week MATUGGA-KAPEEKA'!G19</f>
        <v>0</v>
      </c>
      <c r="H19" s="49">
        <f>'Avg KAPEEKA-MATUGA'!H19+'Avg Week MATUGGA-KAPEEKA'!H19</f>
        <v>0</v>
      </c>
      <c r="I19" s="49">
        <f>'Avg KAPEEKA-MATUGA'!I19+'Avg Week MATUGGA-KAPEEKA'!I19</f>
        <v>4.5714285714285712</v>
      </c>
      <c r="J19" s="49">
        <f>'Avg KAPEEKA-MATUGA'!J19+'Avg Week MATUGGA-KAPEEKA'!J19</f>
        <v>1</v>
      </c>
      <c r="K19" s="49">
        <f>'Avg KAPEEKA-MATUGA'!K19+'Avg Week MATUGGA-KAPEEKA'!K19</f>
        <v>1.7142857142857142</v>
      </c>
      <c r="L19" s="49">
        <f>'Avg KAPEEKA-MATUGA'!L19+'Avg Week MATUGGA-KAPEEKA'!L19</f>
        <v>0.14285714285714285</v>
      </c>
      <c r="M19" s="49">
        <f>'Avg KAPEEKA-MATUGA'!M19+'Avg Week MATUGGA-KAPEEKA'!M19</f>
        <v>34.571428571428569</v>
      </c>
      <c r="N19" s="49">
        <f>'Avg KAPEEKA-MATUGA'!N19+'Avg Week MATUGGA-KAPEEKA'!N19</f>
        <v>0</v>
      </c>
      <c r="O19" s="15">
        <f t="shared" si="0"/>
        <v>16.857142857142858</v>
      </c>
      <c r="P19" s="15">
        <f t="shared" si="1"/>
        <v>51.428571428571431</v>
      </c>
      <c r="R19" s="1" t="s">
        <v>15</v>
      </c>
      <c r="S19" s="17">
        <f t="shared" ref="S19:AF19" si="11">SUM(C46:C49)</f>
        <v>15.428571428571429</v>
      </c>
      <c r="T19" s="17">
        <f t="shared" si="11"/>
        <v>9.0857142857142854</v>
      </c>
      <c r="U19" s="17">
        <f t="shared" si="11"/>
        <v>13.62857142857143</v>
      </c>
      <c r="V19" s="17">
        <f t="shared" si="11"/>
        <v>16</v>
      </c>
      <c r="W19" s="17">
        <f t="shared" si="11"/>
        <v>1.1428571428571428</v>
      </c>
      <c r="X19" s="17">
        <f t="shared" si="11"/>
        <v>0</v>
      </c>
      <c r="Y19" s="17">
        <f t="shared" si="11"/>
        <v>24.857142857142858</v>
      </c>
      <c r="Z19" s="17">
        <f t="shared" si="11"/>
        <v>4.5714285714285712</v>
      </c>
      <c r="AA19" s="17">
        <f t="shared" si="11"/>
        <v>2.2857142857142856</v>
      </c>
      <c r="AB19" s="17">
        <f t="shared" si="11"/>
        <v>0.5714285714285714</v>
      </c>
      <c r="AC19" s="17">
        <f t="shared" si="11"/>
        <v>146.42857142857144</v>
      </c>
      <c r="AD19" s="17">
        <f t="shared" si="11"/>
        <v>0</v>
      </c>
      <c r="AE19" s="31">
        <f t="shared" si="11"/>
        <v>87.571428571428569</v>
      </c>
      <c r="AF19" s="31">
        <f t="shared" si="11"/>
        <v>234</v>
      </c>
    </row>
    <row r="20" spans="2:32" ht="23.1" customHeight="1" x14ac:dyDescent="0.25">
      <c r="B20" s="23" t="s">
        <v>47</v>
      </c>
      <c r="C20" s="49">
        <f>'Avg KAPEEKA-MATUGA'!C20+'Avg Week MATUGGA-KAPEEKA'!C20</f>
        <v>4</v>
      </c>
      <c r="D20" s="49">
        <f>'Avg KAPEEKA-MATUGA'!D20+'Avg Week MATUGGA-KAPEEKA'!D20</f>
        <v>1.4285714285714286</v>
      </c>
      <c r="E20" s="49">
        <f>'Avg KAPEEKA-MATUGA'!E20+'Avg Week MATUGGA-KAPEEKA'!E20</f>
        <v>2.1428571428571428</v>
      </c>
      <c r="F20" s="49">
        <f>'Avg KAPEEKA-MATUGA'!F20+'Avg Week MATUGGA-KAPEEKA'!F20</f>
        <v>2.7142857142857144</v>
      </c>
      <c r="G20" s="49">
        <f>'Avg KAPEEKA-MATUGA'!G20+'Avg Week MATUGGA-KAPEEKA'!G20</f>
        <v>0.14285714285714285</v>
      </c>
      <c r="H20" s="49">
        <f>'Avg KAPEEKA-MATUGA'!H20+'Avg Week MATUGGA-KAPEEKA'!H20</f>
        <v>0</v>
      </c>
      <c r="I20" s="49">
        <f>'Avg KAPEEKA-MATUGA'!I20+'Avg Week MATUGGA-KAPEEKA'!I20</f>
        <v>5</v>
      </c>
      <c r="J20" s="49">
        <f>'Avg KAPEEKA-MATUGA'!J20+'Avg Week MATUGGA-KAPEEKA'!J20</f>
        <v>1</v>
      </c>
      <c r="K20" s="49">
        <f>'Avg KAPEEKA-MATUGA'!K20+'Avg Week MATUGGA-KAPEEKA'!K20</f>
        <v>1.1428571428571428</v>
      </c>
      <c r="L20" s="49">
        <f>'Avg KAPEEKA-MATUGA'!L20+'Avg Week MATUGGA-KAPEEKA'!L20</f>
        <v>0.14285714285714285</v>
      </c>
      <c r="M20" s="49">
        <f>'Avg KAPEEKA-MATUGA'!M20+'Avg Week MATUGGA-KAPEEKA'!M20</f>
        <v>37.428571428571431</v>
      </c>
      <c r="N20" s="49">
        <f>'Avg KAPEEKA-MATUGA'!N20+'Avg Week MATUGGA-KAPEEKA'!N20</f>
        <v>0</v>
      </c>
      <c r="O20" s="15">
        <f t="shared" si="0"/>
        <v>17.714285714285712</v>
      </c>
      <c r="P20" s="15">
        <f t="shared" si="1"/>
        <v>55.142857142857139</v>
      </c>
      <c r="R20" s="1" t="s">
        <v>16</v>
      </c>
      <c r="S20" s="17">
        <f t="shared" ref="S20:AF20" si="12">SUM(C50:C53)</f>
        <v>20.428571428571431</v>
      </c>
      <c r="T20" s="17">
        <f t="shared" si="12"/>
        <v>10.457142857142859</v>
      </c>
      <c r="U20" s="17">
        <f t="shared" si="12"/>
        <v>15.685714285714287</v>
      </c>
      <c r="V20" s="17">
        <f t="shared" si="12"/>
        <v>14.571428571428573</v>
      </c>
      <c r="W20" s="17">
        <f t="shared" si="12"/>
        <v>0.14285714285714285</v>
      </c>
      <c r="X20" s="17">
        <f t="shared" si="12"/>
        <v>0</v>
      </c>
      <c r="Y20" s="17">
        <f t="shared" si="12"/>
        <v>25.428571428571427</v>
      </c>
      <c r="Z20" s="17">
        <f t="shared" si="12"/>
        <v>3.1428571428571423</v>
      </c>
      <c r="AA20" s="17">
        <f t="shared" si="12"/>
        <v>4.2857142857142856</v>
      </c>
      <c r="AB20" s="17">
        <f t="shared" si="12"/>
        <v>0.5714285714285714</v>
      </c>
      <c r="AC20" s="17">
        <f t="shared" si="12"/>
        <v>184.85714285714286</v>
      </c>
      <c r="AD20" s="17">
        <f t="shared" si="12"/>
        <v>0</v>
      </c>
      <c r="AE20" s="31">
        <f t="shared" si="12"/>
        <v>94.714285714285708</v>
      </c>
      <c r="AF20" s="31">
        <f t="shared" si="12"/>
        <v>279.57142857142861</v>
      </c>
    </row>
    <row r="21" spans="2:32" ht="23.1" customHeight="1" x14ac:dyDescent="0.25">
      <c r="B21" s="23" t="s">
        <v>48</v>
      </c>
      <c r="C21" s="49">
        <f>'Avg KAPEEKA-MATUGA'!C21+'Avg Week MATUGGA-KAPEEKA'!C21</f>
        <v>3</v>
      </c>
      <c r="D21" s="49">
        <f>'Avg KAPEEKA-MATUGA'!D21+'Avg Week MATUGGA-KAPEEKA'!D21</f>
        <v>1.6</v>
      </c>
      <c r="E21" s="49">
        <f>'Avg KAPEEKA-MATUGA'!E21+'Avg Week MATUGGA-KAPEEKA'!E21</f>
        <v>2.4</v>
      </c>
      <c r="F21" s="49">
        <f>'Avg KAPEEKA-MATUGA'!F21+'Avg Week MATUGGA-KAPEEKA'!F21</f>
        <v>1.2857142857142856</v>
      </c>
      <c r="G21" s="49">
        <f>'Avg KAPEEKA-MATUGA'!G21+'Avg Week MATUGGA-KAPEEKA'!G21</f>
        <v>0.42857142857142855</v>
      </c>
      <c r="H21" s="49">
        <f>'Avg KAPEEKA-MATUGA'!H21+'Avg Week MATUGGA-KAPEEKA'!H21</f>
        <v>0</v>
      </c>
      <c r="I21" s="49">
        <f>'Avg KAPEEKA-MATUGA'!I21+'Avg Week MATUGGA-KAPEEKA'!I21</f>
        <v>6</v>
      </c>
      <c r="J21" s="49">
        <f>'Avg KAPEEKA-MATUGA'!J21+'Avg Week MATUGGA-KAPEEKA'!J21</f>
        <v>0.5714285714285714</v>
      </c>
      <c r="K21" s="49">
        <f>'Avg KAPEEKA-MATUGA'!K21+'Avg Week MATUGGA-KAPEEKA'!K21</f>
        <v>0.71428571428571419</v>
      </c>
      <c r="L21" s="49">
        <f>'Avg KAPEEKA-MATUGA'!L21+'Avg Week MATUGGA-KAPEEKA'!L21</f>
        <v>0.14285714285714285</v>
      </c>
      <c r="M21" s="49">
        <f>'Avg KAPEEKA-MATUGA'!M21+'Avg Week MATUGGA-KAPEEKA'!M21</f>
        <v>37.428571428571431</v>
      </c>
      <c r="N21" s="49">
        <f>'Avg KAPEEKA-MATUGA'!N21+'Avg Week MATUGGA-KAPEEKA'!N21</f>
        <v>0</v>
      </c>
      <c r="O21" s="15">
        <f t="shared" si="0"/>
        <v>16.142857142857142</v>
      </c>
      <c r="P21" s="15">
        <f t="shared" si="1"/>
        <v>53.571428571428569</v>
      </c>
      <c r="R21" s="36" t="s">
        <v>20</v>
      </c>
      <c r="S21" s="34">
        <f t="shared" ref="S21:AF21" si="13">SUM(C54:C57)</f>
        <v>15.571428571428573</v>
      </c>
      <c r="T21" s="17">
        <f t="shared" si="13"/>
        <v>7.9428571428571422</v>
      </c>
      <c r="U21" s="17">
        <f t="shared" si="13"/>
        <v>11.914285714285713</v>
      </c>
      <c r="V21" s="17">
        <f t="shared" si="13"/>
        <v>15.285714285714286</v>
      </c>
      <c r="W21" s="17">
        <f t="shared" si="13"/>
        <v>0.5714285714285714</v>
      </c>
      <c r="X21" s="17">
        <f t="shared" si="13"/>
        <v>0.14285714285714285</v>
      </c>
      <c r="Y21" s="17">
        <f t="shared" si="13"/>
        <v>27.571428571428573</v>
      </c>
      <c r="Z21" s="17">
        <f t="shared" si="13"/>
        <v>2.9999999999999996</v>
      </c>
      <c r="AA21" s="17">
        <f t="shared" si="13"/>
        <v>2.8571428571428568</v>
      </c>
      <c r="AB21" s="17">
        <f t="shared" si="13"/>
        <v>0.5714285714285714</v>
      </c>
      <c r="AC21" s="17">
        <f t="shared" si="13"/>
        <v>199</v>
      </c>
      <c r="AD21" s="17">
        <f t="shared" si="13"/>
        <v>0</v>
      </c>
      <c r="AE21" s="31">
        <f t="shared" si="13"/>
        <v>85.428571428571416</v>
      </c>
      <c r="AF21" s="31">
        <f t="shared" si="13"/>
        <v>284.42857142857144</v>
      </c>
    </row>
    <row r="22" spans="2:32" ht="23.1" customHeight="1" x14ac:dyDescent="0.25">
      <c r="B22" s="23" t="s">
        <v>49</v>
      </c>
      <c r="C22" s="49">
        <f>'Avg KAPEEKA-MATUGA'!C22+'Avg Week MATUGGA-KAPEEKA'!C22</f>
        <v>3.5714285714285712</v>
      </c>
      <c r="D22" s="49">
        <f>'Avg KAPEEKA-MATUGA'!D22+'Avg Week MATUGGA-KAPEEKA'!D22</f>
        <v>1.7142857142857144</v>
      </c>
      <c r="E22" s="49">
        <f>'Avg KAPEEKA-MATUGA'!E22+'Avg Week MATUGGA-KAPEEKA'!E22</f>
        <v>2.5714285714285712</v>
      </c>
      <c r="F22" s="49">
        <f>'Avg KAPEEKA-MATUGA'!F22+'Avg Week MATUGGA-KAPEEKA'!F22</f>
        <v>2.7142857142857144</v>
      </c>
      <c r="G22" s="49">
        <f>'Avg KAPEEKA-MATUGA'!G22+'Avg Week MATUGGA-KAPEEKA'!G22</f>
        <v>0.2857142857142857</v>
      </c>
      <c r="H22" s="49">
        <f>'Avg KAPEEKA-MATUGA'!H22+'Avg Week MATUGGA-KAPEEKA'!H22</f>
        <v>0.14285714285714285</v>
      </c>
      <c r="I22" s="49">
        <f>'Avg KAPEEKA-MATUGA'!I22+'Avg Week MATUGGA-KAPEEKA'!I22</f>
        <v>4.2857142857142856</v>
      </c>
      <c r="J22" s="49">
        <f>'Avg KAPEEKA-MATUGA'!J22+'Avg Week MATUGGA-KAPEEKA'!J22</f>
        <v>0.5714285714285714</v>
      </c>
      <c r="K22" s="49">
        <f>'Avg KAPEEKA-MATUGA'!K22+'Avg Week MATUGGA-KAPEEKA'!K22</f>
        <v>1.1428571428571428</v>
      </c>
      <c r="L22" s="49">
        <f>'Avg KAPEEKA-MATUGA'!L22+'Avg Week MATUGGA-KAPEEKA'!L22</f>
        <v>0.14285714285714285</v>
      </c>
      <c r="M22" s="49">
        <f>'Avg KAPEEKA-MATUGA'!M22+'Avg Week MATUGGA-KAPEEKA'!M22</f>
        <v>39.428571428571431</v>
      </c>
      <c r="N22" s="49">
        <f>'Avg KAPEEKA-MATUGA'!N22+'Avg Week MATUGGA-KAPEEKA'!N22</f>
        <v>0</v>
      </c>
      <c r="O22" s="15">
        <f t="shared" si="0"/>
        <v>17.142857142857142</v>
      </c>
      <c r="P22" s="15">
        <f t="shared" si="1"/>
        <v>56.571428571428569</v>
      </c>
      <c r="R22" s="1" t="s">
        <v>146</v>
      </c>
      <c r="S22" s="34">
        <f>SUM(C58:C61)</f>
        <v>8</v>
      </c>
      <c r="T22" s="34">
        <f t="shared" ref="T22:AF22" si="14">SUM(D58:D61)</f>
        <v>6.4</v>
      </c>
      <c r="U22" s="34">
        <f t="shared" si="14"/>
        <v>9.6</v>
      </c>
      <c r="V22" s="34">
        <f t="shared" si="14"/>
        <v>8</v>
      </c>
      <c r="W22" s="34">
        <f t="shared" si="14"/>
        <v>0</v>
      </c>
      <c r="X22" s="34">
        <f t="shared" si="14"/>
        <v>0</v>
      </c>
      <c r="Y22" s="34">
        <f t="shared" si="14"/>
        <v>24</v>
      </c>
      <c r="Z22" s="34">
        <f t="shared" si="14"/>
        <v>4</v>
      </c>
      <c r="AA22" s="34">
        <f t="shared" si="14"/>
        <v>0</v>
      </c>
      <c r="AB22" s="34">
        <f t="shared" si="14"/>
        <v>0</v>
      </c>
      <c r="AC22" s="34">
        <f t="shared" si="14"/>
        <v>118</v>
      </c>
      <c r="AD22" s="34">
        <f t="shared" si="14"/>
        <v>0</v>
      </c>
      <c r="AE22" s="31">
        <f t="shared" si="14"/>
        <v>60</v>
      </c>
      <c r="AF22" s="31">
        <f t="shared" si="14"/>
        <v>178</v>
      </c>
    </row>
    <row r="23" spans="2:32" ht="23.1" customHeight="1" x14ac:dyDescent="0.25">
      <c r="B23" s="23" t="s">
        <v>50</v>
      </c>
      <c r="C23" s="49">
        <f>'Avg KAPEEKA-MATUGA'!C23+'Avg Week MATUGGA-KAPEEKA'!C23</f>
        <v>4</v>
      </c>
      <c r="D23" s="49">
        <f>'Avg KAPEEKA-MATUGA'!D23+'Avg Week MATUGGA-KAPEEKA'!D23</f>
        <v>2.342857142857143</v>
      </c>
      <c r="E23" s="49">
        <f>'Avg KAPEEKA-MATUGA'!E23+'Avg Week MATUGGA-KAPEEKA'!E23</f>
        <v>3.5142857142857142</v>
      </c>
      <c r="F23" s="49">
        <f>'Avg KAPEEKA-MATUGA'!F23+'Avg Week MATUGGA-KAPEEKA'!F23</f>
        <v>2.7142857142857144</v>
      </c>
      <c r="G23" s="49">
        <f>'Avg KAPEEKA-MATUGA'!G23+'Avg Week MATUGGA-KAPEEKA'!G23</f>
        <v>0</v>
      </c>
      <c r="H23" s="49">
        <f>'Avg KAPEEKA-MATUGA'!H23+'Avg Week MATUGGA-KAPEEKA'!H23</f>
        <v>0</v>
      </c>
      <c r="I23" s="49">
        <f>'Avg KAPEEKA-MATUGA'!I23+'Avg Week MATUGGA-KAPEEKA'!I23</f>
        <v>5.7142857142857135</v>
      </c>
      <c r="J23" s="49">
        <f>'Avg KAPEEKA-MATUGA'!J23+'Avg Week MATUGGA-KAPEEKA'!J23</f>
        <v>0.2857142857142857</v>
      </c>
      <c r="K23" s="49">
        <f>'Avg KAPEEKA-MATUGA'!K23+'Avg Week MATUGGA-KAPEEKA'!K23</f>
        <v>1.2857142857142856</v>
      </c>
      <c r="L23" s="49">
        <f>'Avg KAPEEKA-MATUGA'!L23+'Avg Week MATUGGA-KAPEEKA'!L23</f>
        <v>0.14285714285714285</v>
      </c>
      <c r="M23" s="49">
        <f>'Avg KAPEEKA-MATUGA'!M23+'Avg Week MATUGGA-KAPEEKA'!M23</f>
        <v>39.285714285714285</v>
      </c>
      <c r="N23" s="49">
        <f>'Avg KAPEEKA-MATUGA'!N23+'Avg Week MATUGGA-KAPEEKA'!N23</f>
        <v>0.14285714285714285</v>
      </c>
      <c r="O23" s="15">
        <f t="shared" si="0"/>
        <v>20.142857142857139</v>
      </c>
      <c r="P23" s="15">
        <f t="shared" si="1"/>
        <v>59.428571428571423</v>
      </c>
      <c r="R23" s="1" t="s">
        <v>147</v>
      </c>
      <c r="S23" s="34">
        <f>SUM(C62:C65)</f>
        <v>20</v>
      </c>
      <c r="T23" s="34">
        <f t="shared" ref="T23:AF23" si="15">SUM(D62:D65)</f>
        <v>7.2</v>
      </c>
      <c r="U23" s="34">
        <f t="shared" si="15"/>
        <v>10.8</v>
      </c>
      <c r="V23" s="34">
        <f t="shared" si="15"/>
        <v>12</v>
      </c>
      <c r="W23" s="34">
        <f t="shared" si="15"/>
        <v>0</v>
      </c>
      <c r="X23" s="34">
        <f t="shared" si="15"/>
        <v>0</v>
      </c>
      <c r="Y23" s="34">
        <f t="shared" si="15"/>
        <v>14</v>
      </c>
      <c r="Z23" s="34">
        <f t="shared" si="15"/>
        <v>2</v>
      </c>
      <c r="AA23" s="34">
        <f t="shared" si="15"/>
        <v>8</v>
      </c>
      <c r="AB23" s="34">
        <f t="shared" si="15"/>
        <v>0</v>
      </c>
      <c r="AC23" s="34">
        <f t="shared" si="15"/>
        <v>78</v>
      </c>
      <c r="AD23" s="34">
        <f t="shared" si="15"/>
        <v>0</v>
      </c>
      <c r="AE23" s="31">
        <f t="shared" si="15"/>
        <v>74</v>
      </c>
      <c r="AF23" s="31">
        <f t="shared" si="15"/>
        <v>152</v>
      </c>
    </row>
    <row r="24" spans="2:32" ht="23.1" customHeight="1" x14ac:dyDescent="0.25">
      <c r="B24" s="23" t="s">
        <v>51</v>
      </c>
      <c r="C24" s="49">
        <f>'Avg KAPEEKA-MATUGA'!C24+'Avg Week MATUGGA-KAPEEKA'!C24</f>
        <v>2.8571428571428572</v>
      </c>
      <c r="D24" s="49">
        <f>'Avg KAPEEKA-MATUGA'!D24+'Avg Week MATUGGA-KAPEEKA'!D24</f>
        <v>2.0571428571428569</v>
      </c>
      <c r="E24" s="49">
        <f>'Avg KAPEEKA-MATUGA'!E24+'Avg Week MATUGGA-KAPEEKA'!E24</f>
        <v>3.0857142857142854</v>
      </c>
      <c r="F24" s="49">
        <f>'Avg KAPEEKA-MATUGA'!F24+'Avg Week MATUGGA-KAPEEKA'!F24</f>
        <v>2.1428571428571428</v>
      </c>
      <c r="G24" s="49">
        <f>'Avg KAPEEKA-MATUGA'!G24+'Avg Week MATUGGA-KAPEEKA'!G24</f>
        <v>0.14285714285714285</v>
      </c>
      <c r="H24" s="49">
        <f>'Avg KAPEEKA-MATUGA'!H24+'Avg Week MATUGGA-KAPEEKA'!H24</f>
        <v>0</v>
      </c>
      <c r="I24" s="49">
        <f>'Avg KAPEEKA-MATUGA'!I24+'Avg Week MATUGGA-KAPEEKA'!I24</f>
        <v>4.7142857142857144</v>
      </c>
      <c r="J24" s="49">
        <f>'Avg KAPEEKA-MATUGA'!J24+'Avg Week MATUGGA-KAPEEKA'!J24</f>
        <v>0.7142857142857143</v>
      </c>
      <c r="K24" s="49">
        <f>'Avg KAPEEKA-MATUGA'!K24+'Avg Week MATUGGA-KAPEEKA'!K24</f>
        <v>1.4285714285714284</v>
      </c>
      <c r="L24" s="49">
        <f>'Avg KAPEEKA-MATUGA'!L24+'Avg Week MATUGGA-KAPEEKA'!L24</f>
        <v>0.14285714285714285</v>
      </c>
      <c r="M24" s="49">
        <f>'Avg KAPEEKA-MATUGA'!M24+'Avg Week MATUGGA-KAPEEKA'!M24</f>
        <v>43.285714285714285</v>
      </c>
      <c r="N24" s="49">
        <f>'Avg KAPEEKA-MATUGA'!N24+'Avg Week MATUGGA-KAPEEKA'!N24</f>
        <v>0</v>
      </c>
      <c r="O24" s="15">
        <f t="shared" si="0"/>
        <v>17.285714285714285</v>
      </c>
      <c r="P24" s="15">
        <f t="shared" si="1"/>
        <v>60.571428571428569</v>
      </c>
      <c r="R24" s="1" t="s">
        <v>148</v>
      </c>
      <c r="S24" s="34">
        <f>SUM(C66:C69)</f>
        <v>22</v>
      </c>
      <c r="T24" s="34">
        <f t="shared" ref="T24:AF24" si="16">SUM(D66:D69)</f>
        <v>6.4</v>
      </c>
      <c r="U24" s="34">
        <f t="shared" si="16"/>
        <v>9.6</v>
      </c>
      <c r="V24" s="34">
        <f t="shared" si="16"/>
        <v>6</v>
      </c>
      <c r="W24" s="34">
        <f t="shared" si="16"/>
        <v>0</v>
      </c>
      <c r="X24" s="34">
        <f t="shared" si="16"/>
        <v>0</v>
      </c>
      <c r="Y24" s="34">
        <f t="shared" si="16"/>
        <v>14</v>
      </c>
      <c r="Z24" s="34">
        <f t="shared" si="16"/>
        <v>6</v>
      </c>
      <c r="AA24" s="34">
        <f t="shared" si="16"/>
        <v>2</v>
      </c>
      <c r="AB24" s="34">
        <f t="shared" si="16"/>
        <v>0</v>
      </c>
      <c r="AC24" s="34">
        <f t="shared" si="16"/>
        <v>42</v>
      </c>
      <c r="AD24" s="34">
        <f t="shared" si="16"/>
        <v>0</v>
      </c>
      <c r="AE24" s="31">
        <f t="shared" si="16"/>
        <v>66</v>
      </c>
      <c r="AF24" s="31">
        <f t="shared" si="16"/>
        <v>108</v>
      </c>
    </row>
    <row r="25" spans="2:32" ht="23.1" customHeight="1" x14ac:dyDescent="0.25">
      <c r="B25" s="23" t="s">
        <v>52</v>
      </c>
      <c r="C25" s="49">
        <f>'Avg KAPEEKA-MATUGA'!C25+'Avg Week MATUGGA-KAPEEKA'!C25</f>
        <v>2.4285714285714288</v>
      </c>
      <c r="D25" s="49">
        <f>'Avg KAPEEKA-MATUGA'!D25+'Avg Week MATUGGA-KAPEEKA'!D25</f>
        <v>1.5428571428571429</v>
      </c>
      <c r="E25" s="49">
        <f>'Avg KAPEEKA-MATUGA'!E25+'Avg Week MATUGGA-KAPEEKA'!E25</f>
        <v>2.3142857142857141</v>
      </c>
      <c r="F25" s="49">
        <f>'Avg KAPEEKA-MATUGA'!F25+'Avg Week MATUGGA-KAPEEKA'!F25</f>
        <v>2.8571428571428572</v>
      </c>
      <c r="G25" s="49">
        <f>'Avg KAPEEKA-MATUGA'!G25+'Avg Week MATUGGA-KAPEEKA'!G25</f>
        <v>0</v>
      </c>
      <c r="H25" s="49">
        <f>'Avg KAPEEKA-MATUGA'!H25+'Avg Week MATUGGA-KAPEEKA'!H25</f>
        <v>0</v>
      </c>
      <c r="I25" s="49">
        <f>'Avg KAPEEKA-MATUGA'!I25+'Avg Week MATUGGA-KAPEEKA'!I25</f>
        <v>5.1428571428571432</v>
      </c>
      <c r="J25" s="49">
        <f>'Avg KAPEEKA-MATUGA'!J25+'Avg Week MATUGGA-KAPEEKA'!J25</f>
        <v>1</v>
      </c>
      <c r="K25" s="49">
        <f>'Avg KAPEEKA-MATUGA'!K25+'Avg Week MATUGGA-KAPEEKA'!K25</f>
        <v>1.1428571428571428</v>
      </c>
      <c r="L25" s="49">
        <f>'Avg KAPEEKA-MATUGA'!L25+'Avg Week MATUGGA-KAPEEKA'!L25</f>
        <v>0.14285714285714285</v>
      </c>
      <c r="M25" s="49">
        <f>'Avg KAPEEKA-MATUGA'!M25+'Avg Week MATUGGA-KAPEEKA'!M25</f>
        <v>39</v>
      </c>
      <c r="N25" s="49">
        <f>'Avg KAPEEKA-MATUGA'!N25+'Avg Week MATUGGA-KAPEEKA'!N25</f>
        <v>0</v>
      </c>
      <c r="O25" s="15">
        <f t="shared" si="0"/>
        <v>16.571428571428569</v>
      </c>
      <c r="P25" s="15">
        <f t="shared" si="1"/>
        <v>55.571428571428569</v>
      </c>
      <c r="R25" s="1" t="s">
        <v>149</v>
      </c>
      <c r="S25" s="34">
        <f>SUM(C70:C73)</f>
        <v>6</v>
      </c>
      <c r="T25" s="34">
        <f t="shared" ref="T25:AF25" si="17">SUM(D70:D73)</f>
        <v>3.2</v>
      </c>
      <c r="U25" s="34">
        <f t="shared" si="17"/>
        <v>4.8</v>
      </c>
      <c r="V25" s="34">
        <f t="shared" si="17"/>
        <v>8</v>
      </c>
      <c r="W25" s="34">
        <f t="shared" si="17"/>
        <v>0</v>
      </c>
      <c r="X25" s="34">
        <f t="shared" si="17"/>
        <v>0</v>
      </c>
      <c r="Y25" s="34">
        <f t="shared" si="17"/>
        <v>14</v>
      </c>
      <c r="Z25" s="34">
        <f t="shared" si="17"/>
        <v>4</v>
      </c>
      <c r="AA25" s="34">
        <f t="shared" si="17"/>
        <v>2</v>
      </c>
      <c r="AB25" s="34">
        <f t="shared" si="17"/>
        <v>0</v>
      </c>
      <c r="AC25" s="34">
        <f t="shared" si="17"/>
        <v>26</v>
      </c>
      <c r="AD25" s="34">
        <f t="shared" si="17"/>
        <v>0</v>
      </c>
      <c r="AE25" s="31">
        <f t="shared" si="17"/>
        <v>42</v>
      </c>
      <c r="AF25" s="31">
        <f t="shared" si="17"/>
        <v>68</v>
      </c>
    </row>
    <row r="26" spans="2:32" ht="23.1" customHeight="1" x14ac:dyDescent="0.25">
      <c r="B26" s="23" t="s">
        <v>53</v>
      </c>
      <c r="C26" s="49">
        <f>'Avg KAPEEKA-MATUGA'!C26+'Avg Week MATUGGA-KAPEEKA'!C26</f>
        <v>4</v>
      </c>
      <c r="D26" s="49">
        <f>'Avg KAPEEKA-MATUGA'!D26+'Avg Week MATUGGA-KAPEEKA'!D26</f>
        <v>2.1714285714285717</v>
      </c>
      <c r="E26" s="49">
        <f>'Avg KAPEEKA-MATUGA'!E26+'Avg Week MATUGGA-KAPEEKA'!E26</f>
        <v>3.2571428571428571</v>
      </c>
      <c r="F26" s="49">
        <f>'Avg KAPEEKA-MATUGA'!F26+'Avg Week MATUGGA-KAPEEKA'!F26</f>
        <v>1.8571428571428572</v>
      </c>
      <c r="G26" s="49">
        <f>'Avg KAPEEKA-MATUGA'!G26+'Avg Week MATUGGA-KAPEEKA'!G26</f>
        <v>0</v>
      </c>
      <c r="H26" s="49">
        <f>'Avg KAPEEKA-MATUGA'!H26+'Avg Week MATUGGA-KAPEEKA'!H26</f>
        <v>0</v>
      </c>
      <c r="I26" s="49">
        <f>'Avg KAPEEKA-MATUGA'!I26+'Avg Week MATUGGA-KAPEEKA'!I26</f>
        <v>4.7142857142857144</v>
      </c>
      <c r="J26" s="49">
        <f>'Avg KAPEEKA-MATUGA'!J26+'Avg Week MATUGGA-KAPEEKA'!J26</f>
        <v>0.8571428571428571</v>
      </c>
      <c r="K26" s="49">
        <f>'Avg KAPEEKA-MATUGA'!K26+'Avg Week MATUGGA-KAPEEKA'!K26</f>
        <v>1.2857142857142856</v>
      </c>
      <c r="L26" s="49">
        <f>'Avg KAPEEKA-MATUGA'!L26+'Avg Week MATUGGA-KAPEEKA'!L26</f>
        <v>0.14285714285714285</v>
      </c>
      <c r="M26" s="49">
        <f>'Avg KAPEEKA-MATUGA'!M26+'Avg Week MATUGGA-KAPEEKA'!M26</f>
        <v>40.571428571428569</v>
      </c>
      <c r="N26" s="49">
        <f>'Avg KAPEEKA-MATUGA'!N26+'Avg Week MATUGGA-KAPEEKA'!N26</f>
        <v>0</v>
      </c>
      <c r="O26" s="15">
        <f t="shared" si="0"/>
        <v>18.285714285714285</v>
      </c>
      <c r="P26" s="15">
        <f t="shared" si="1"/>
        <v>58.857142857142854</v>
      </c>
      <c r="R26" s="1" t="s">
        <v>150</v>
      </c>
      <c r="S26" s="34">
        <f>SUM(C74:C77)</f>
        <v>12</v>
      </c>
      <c r="T26" s="34">
        <f t="shared" ref="T26:AF26" si="18">SUM(D74:D77)</f>
        <v>4</v>
      </c>
      <c r="U26" s="34">
        <f t="shared" si="18"/>
        <v>6</v>
      </c>
      <c r="V26" s="34">
        <f t="shared" si="18"/>
        <v>6</v>
      </c>
      <c r="W26" s="34">
        <f t="shared" si="18"/>
        <v>0</v>
      </c>
      <c r="X26" s="34">
        <f t="shared" si="18"/>
        <v>0</v>
      </c>
      <c r="Y26" s="34">
        <f t="shared" si="18"/>
        <v>8</v>
      </c>
      <c r="Z26" s="34">
        <f t="shared" si="18"/>
        <v>4</v>
      </c>
      <c r="AA26" s="34">
        <f t="shared" si="18"/>
        <v>6</v>
      </c>
      <c r="AB26" s="34">
        <f t="shared" si="18"/>
        <v>0</v>
      </c>
      <c r="AC26" s="34">
        <f t="shared" si="18"/>
        <v>4</v>
      </c>
      <c r="AD26" s="34">
        <f t="shared" si="18"/>
        <v>0</v>
      </c>
      <c r="AE26" s="31">
        <f t="shared" si="18"/>
        <v>46</v>
      </c>
      <c r="AF26" s="31">
        <f t="shared" si="18"/>
        <v>50</v>
      </c>
    </row>
    <row r="27" spans="2:32" ht="23.1" customHeight="1" x14ac:dyDescent="0.25">
      <c r="B27" s="23" t="s">
        <v>54</v>
      </c>
      <c r="C27" s="49">
        <f>'Avg KAPEEKA-MATUGA'!C27+'Avg Week MATUGGA-KAPEEKA'!C27</f>
        <v>3</v>
      </c>
      <c r="D27" s="49">
        <f>'Avg KAPEEKA-MATUGA'!D27+'Avg Week MATUGGA-KAPEEKA'!D27</f>
        <v>1.8857142857142857</v>
      </c>
      <c r="E27" s="49">
        <f>'Avg KAPEEKA-MATUGA'!E27+'Avg Week MATUGGA-KAPEEKA'!E27</f>
        <v>2.8285714285714283</v>
      </c>
      <c r="F27" s="49">
        <f>'Avg KAPEEKA-MATUGA'!F27+'Avg Week MATUGGA-KAPEEKA'!F27</f>
        <v>2.2857142857142856</v>
      </c>
      <c r="G27" s="49">
        <f>'Avg KAPEEKA-MATUGA'!G27+'Avg Week MATUGGA-KAPEEKA'!G27</f>
        <v>0</v>
      </c>
      <c r="H27" s="49">
        <f>'Avg KAPEEKA-MATUGA'!H27+'Avg Week MATUGGA-KAPEEKA'!H27</f>
        <v>0</v>
      </c>
      <c r="I27" s="49">
        <f>'Avg KAPEEKA-MATUGA'!I27+'Avg Week MATUGGA-KAPEEKA'!I27</f>
        <v>4.7142857142857135</v>
      </c>
      <c r="J27" s="49">
        <f>'Avg KAPEEKA-MATUGA'!J27+'Avg Week MATUGGA-KAPEEKA'!J27</f>
        <v>1</v>
      </c>
      <c r="K27" s="49">
        <f>'Avg KAPEEKA-MATUGA'!K27+'Avg Week MATUGGA-KAPEEKA'!K27</f>
        <v>1.1428571428571428</v>
      </c>
      <c r="L27" s="49">
        <f>'Avg KAPEEKA-MATUGA'!L27+'Avg Week MATUGGA-KAPEEKA'!L27</f>
        <v>0.14285714285714285</v>
      </c>
      <c r="M27" s="49">
        <f>'Avg KAPEEKA-MATUGA'!M27+'Avg Week MATUGGA-KAPEEKA'!M27</f>
        <v>40.857142857142861</v>
      </c>
      <c r="N27" s="49">
        <f>'Avg KAPEEKA-MATUGA'!N27+'Avg Week MATUGGA-KAPEEKA'!N27</f>
        <v>0.14285714285714285</v>
      </c>
      <c r="O27" s="15">
        <f t="shared" si="0"/>
        <v>17.142857142857142</v>
      </c>
      <c r="P27" s="15">
        <f t="shared" si="1"/>
        <v>58.000000000000007</v>
      </c>
      <c r="R27" s="1" t="s">
        <v>151</v>
      </c>
      <c r="S27" s="34">
        <f>SUM(C78:C81)</f>
        <v>14</v>
      </c>
      <c r="T27" s="34">
        <f t="shared" ref="T27:AF27" si="19">SUM(D78:D81)</f>
        <v>4</v>
      </c>
      <c r="U27" s="34">
        <f t="shared" si="19"/>
        <v>6</v>
      </c>
      <c r="V27" s="34">
        <f t="shared" si="19"/>
        <v>6</v>
      </c>
      <c r="W27" s="34">
        <f t="shared" si="19"/>
        <v>0</v>
      </c>
      <c r="X27" s="34">
        <f t="shared" si="19"/>
        <v>0</v>
      </c>
      <c r="Y27" s="34">
        <f t="shared" si="19"/>
        <v>8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40</v>
      </c>
      <c r="AF27" s="31">
        <f t="shared" si="19"/>
        <v>42</v>
      </c>
    </row>
    <row r="28" spans="2:32" ht="23.1" customHeight="1" x14ac:dyDescent="0.25">
      <c r="B28" s="23" t="s">
        <v>55</v>
      </c>
      <c r="C28" s="49">
        <f>'Avg KAPEEKA-MATUGA'!C28+'Avg Week MATUGGA-KAPEEKA'!C28</f>
        <v>4.4285714285714288</v>
      </c>
      <c r="D28" s="49">
        <f>'Avg KAPEEKA-MATUGA'!D28+'Avg Week MATUGGA-KAPEEKA'!D28</f>
        <v>1.8857142857142857</v>
      </c>
      <c r="E28" s="49">
        <f>'Avg KAPEEKA-MATUGA'!E28+'Avg Week MATUGGA-KAPEEKA'!E28</f>
        <v>2.8285714285714283</v>
      </c>
      <c r="F28" s="49">
        <f>'Avg KAPEEKA-MATUGA'!F28+'Avg Week MATUGGA-KAPEEKA'!F28</f>
        <v>2.8571428571428572</v>
      </c>
      <c r="G28" s="49">
        <f>'Avg KAPEEKA-MATUGA'!G28+'Avg Week MATUGGA-KAPEEKA'!G28</f>
        <v>0</v>
      </c>
      <c r="H28" s="49">
        <f>'Avg KAPEEKA-MATUGA'!H28+'Avg Week MATUGGA-KAPEEKA'!H28</f>
        <v>0</v>
      </c>
      <c r="I28" s="49">
        <f>'Avg KAPEEKA-MATUGA'!I28+'Avg Week MATUGGA-KAPEEKA'!I28</f>
        <v>4.4285714285714288</v>
      </c>
      <c r="J28" s="49">
        <f>'Avg KAPEEKA-MATUGA'!J28+'Avg Week MATUGGA-KAPEEKA'!J28</f>
        <v>1.2857142857142856</v>
      </c>
      <c r="K28" s="49">
        <f>'Avg KAPEEKA-MATUGA'!K28+'Avg Week MATUGGA-KAPEEKA'!K28</f>
        <v>0.8571428571428571</v>
      </c>
      <c r="L28" s="49">
        <f>'Avg KAPEEKA-MATUGA'!L28+'Avg Week MATUGGA-KAPEEKA'!L28</f>
        <v>0.14285714285714285</v>
      </c>
      <c r="M28" s="49">
        <f>'Avg KAPEEKA-MATUGA'!M28+'Avg Week MATUGGA-KAPEEKA'!M28</f>
        <v>45.142857142857139</v>
      </c>
      <c r="N28" s="49">
        <f>'Avg KAPEEKA-MATUGA'!N28+'Avg Week MATUGGA-KAPEEKA'!N28</f>
        <v>0</v>
      </c>
      <c r="O28" s="15">
        <f t="shared" si="0"/>
        <v>18.714285714285715</v>
      </c>
      <c r="P28" s="15">
        <f t="shared" si="1"/>
        <v>63.857142857142854</v>
      </c>
      <c r="R28" s="1" t="s">
        <v>152</v>
      </c>
      <c r="S28" s="34">
        <f>SUM(C82:C85)</f>
        <v>6</v>
      </c>
      <c r="T28" s="34">
        <f t="shared" ref="T28:AF28" si="20">SUM(D82:D85)</f>
        <v>3.2</v>
      </c>
      <c r="U28" s="34">
        <f t="shared" si="20"/>
        <v>4.8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6</v>
      </c>
      <c r="Z28" s="34">
        <f t="shared" si="20"/>
        <v>4</v>
      </c>
      <c r="AA28" s="34">
        <f t="shared" si="20"/>
        <v>4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30</v>
      </c>
      <c r="AF28" s="31">
        <f t="shared" si="20"/>
        <v>32</v>
      </c>
    </row>
    <row r="29" spans="2:32" ht="23.1" customHeight="1" x14ac:dyDescent="0.25">
      <c r="B29" s="23" t="s">
        <v>56</v>
      </c>
      <c r="C29" s="49">
        <f>'Avg KAPEEKA-MATUGA'!C29+'Avg Week MATUGGA-KAPEEKA'!C29</f>
        <v>4.1428571428571432</v>
      </c>
      <c r="D29" s="49">
        <f>'Avg KAPEEKA-MATUGA'!D29+'Avg Week MATUGGA-KAPEEKA'!D29</f>
        <v>2.1142857142857143</v>
      </c>
      <c r="E29" s="49">
        <f>'Avg KAPEEKA-MATUGA'!E29+'Avg Week MATUGGA-KAPEEKA'!E29</f>
        <v>3.1714285714285713</v>
      </c>
      <c r="F29" s="49">
        <f>'Avg KAPEEKA-MATUGA'!F29+'Avg Week MATUGGA-KAPEEKA'!F29</f>
        <v>3.5714285714285712</v>
      </c>
      <c r="G29" s="49">
        <f>'Avg KAPEEKA-MATUGA'!G29+'Avg Week MATUGGA-KAPEEKA'!G29</f>
        <v>0</v>
      </c>
      <c r="H29" s="49">
        <f>'Avg KAPEEKA-MATUGA'!H29+'Avg Week MATUGGA-KAPEEKA'!H29</f>
        <v>0</v>
      </c>
      <c r="I29" s="49">
        <f>'Avg KAPEEKA-MATUGA'!I29+'Avg Week MATUGGA-KAPEEKA'!I29</f>
        <v>5.1428571428571423</v>
      </c>
      <c r="J29" s="49">
        <f>'Avg KAPEEKA-MATUGA'!J29+'Avg Week MATUGGA-KAPEEKA'!J29</f>
        <v>0.42857142857142855</v>
      </c>
      <c r="K29" s="49">
        <f>'Avg KAPEEKA-MATUGA'!K29+'Avg Week MATUGGA-KAPEEKA'!K29</f>
        <v>1</v>
      </c>
      <c r="L29" s="49">
        <f>'Avg KAPEEKA-MATUGA'!L29+'Avg Week MATUGGA-KAPEEKA'!L29</f>
        <v>0.14285714285714285</v>
      </c>
      <c r="M29" s="49">
        <f>'Avg KAPEEKA-MATUGA'!M29+'Avg Week MATUGGA-KAPEEKA'!M29</f>
        <v>40.571428571428569</v>
      </c>
      <c r="N29" s="49">
        <f>'Avg KAPEEKA-MATUGA'!N29+'Avg Week MATUGGA-KAPEEKA'!N29</f>
        <v>0</v>
      </c>
      <c r="O29" s="15">
        <f t="shared" si="0"/>
        <v>19.714285714285712</v>
      </c>
      <c r="P29" s="15">
        <f t="shared" si="1"/>
        <v>60.285714285714278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'Avg KAPEEKA-MATUGA'!C30+'Avg Week MATUGGA-KAPEEKA'!C30</f>
        <v>4</v>
      </c>
      <c r="D30" s="49">
        <f>'Avg KAPEEKA-MATUGA'!D30+'Avg Week MATUGGA-KAPEEKA'!D30</f>
        <v>2.7428571428571429</v>
      </c>
      <c r="E30" s="49">
        <f>'Avg KAPEEKA-MATUGA'!E30+'Avg Week MATUGGA-KAPEEKA'!E30</f>
        <v>4.1142857142857139</v>
      </c>
      <c r="F30" s="49">
        <f>'Avg KAPEEKA-MATUGA'!F30+'Avg Week MATUGGA-KAPEEKA'!F30</f>
        <v>2</v>
      </c>
      <c r="G30" s="49">
        <f>'Avg KAPEEKA-MATUGA'!G30+'Avg Week MATUGGA-KAPEEKA'!G30</f>
        <v>0</v>
      </c>
      <c r="H30" s="49">
        <f>'Avg KAPEEKA-MATUGA'!H30+'Avg Week MATUGGA-KAPEEKA'!H30</f>
        <v>0</v>
      </c>
      <c r="I30" s="49">
        <f>'Avg KAPEEKA-MATUGA'!I30+'Avg Week MATUGGA-KAPEEKA'!I30</f>
        <v>3.1428571428571428</v>
      </c>
      <c r="J30" s="49">
        <f>'Avg KAPEEKA-MATUGA'!J30+'Avg Week MATUGGA-KAPEEKA'!J30</f>
        <v>0.71428571428571419</v>
      </c>
      <c r="K30" s="49">
        <f>'Avg KAPEEKA-MATUGA'!K30+'Avg Week MATUGGA-KAPEEKA'!K30</f>
        <v>0.71428571428571419</v>
      </c>
      <c r="L30" s="49">
        <f>'Avg KAPEEKA-MATUGA'!L30+'Avg Week MATUGGA-KAPEEKA'!L30</f>
        <v>0.14285714285714285</v>
      </c>
      <c r="M30" s="49">
        <f>'Avg KAPEEKA-MATUGA'!M30+'Avg Week MATUGGA-KAPEEKA'!M30</f>
        <v>42.285714285714285</v>
      </c>
      <c r="N30" s="49">
        <f>'Avg KAPEEKA-MATUGA'!N30+'Avg Week MATUGGA-KAPEEKA'!N30</f>
        <v>0.14285714285714285</v>
      </c>
      <c r="O30" s="15">
        <f t="shared" si="0"/>
        <v>17.714285714285715</v>
      </c>
      <c r="P30" s="15">
        <f t="shared" si="1"/>
        <v>60.000000000000007</v>
      </c>
      <c r="R30" s="1" t="s">
        <v>154</v>
      </c>
      <c r="S30" s="34">
        <f>SUM(C90:C93)</f>
        <v>6</v>
      </c>
      <c r="T30" s="34">
        <f t="shared" ref="T30:AF30" si="22">SUM(D90:D93)</f>
        <v>1.6</v>
      </c>
      <c r="U30" s="34">
        <f t="shared" si="22"/>
        <v>2.4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20</v>
      </c>
      <c r="AF30" s="31">
        <f t="shared" si="22"/>
        <v>20</v>
      </c>
    </row>
    <row r="31" spans="2:32" ht="23.1" customHeight="1" x14ac:dyDescent="0.25">
      <c r="B31" s="24" t="s">
        <v>58</v>
      </c>
      <c r="C31" s="49">
        <f>'Avg KAPEEKA-MATUGA'!C31+'Avg Week MATUGGA-KAPEEKA'!C31</f>
        <v>4</v>
      </c>
      <c r="D31" s="49">
        <f>'Avg KAPEEKA-MATUGA'!D31+'Avg Week MATUGGA-KAPEEKA'!D31</f>
        <v>2.0571428571428574</v>
      </c>
      <c r="E31" s="49">
        <f>'Avg KAPEEKA-MATUGA'!E31+'Avg Week MATUGGA-KAPEEKA'!E31</f>
        <v>3.0857142857142854</v>
      </c>
      <c r="F31" s="49">
        <f>'Avg KAPEEKA-MATUGA'!F31+'Avg Week MATUGGA-KAPEEKA'!F31</f>
        <v>2.5714285714285712</v>
      </c>
      <c r="G31" s="49">
        <f>'Avg KAPEEKA-MATUGA'!G31+'Avg Week MATUGGA-KAPEEKA'!G31</f>
        <v>0</v>
      </c>
      <c r="H31" s="49">
        <f>'Avg KAPEEKA-MATUGA'!H31+'Avg Week MATUGGA-KAPEEKA'!H31</f>
        <v>0</v>
      </c>
      <c r="I31" s="49">
        <f>'Avg KAPEEKA-MATUGA'!I31+'Avg Week MATUGGA-KAPEEKA'!I31</f>
        <v>5.7142857142857144</v>
      </c>
      <c r="J31" s="49">
        <f>'Avg KAPEEKA-MATUGA'!J31+'Avg Week MATUGGA-KAPEEKA'!J31</f>
        <v>0.42857142857142855</v>
      </c>
      <c r="K31" s="49">
        <f>'Avg KAPEEKA-MATUGA'!K31+'Avg Week MATUGGA-KAPEEKA'!K31</f>
        <v>0.42857142857142855</v>
      </c>
      <c r="L31" s="49">
        <f>'Avg KAPEEKA-MATUGA'!L31+'Avg Week MATUGGA-KAPEEKA'!L31</f>
        <v>0.14285714285714285</v>
      </c>
      <c r="M31" s="49">
        <f>'Avg KAPEEKA-MATUGA'!M31+'Avg Week MATUGGA-KAPEEKA'!M31</f>
        <v>42.857142857142861</v>
      </c>
      <c r="N31" s="49">
        <f>'Avg KAPEEKA-MATUGA'!N31+'Avg Week MATUGGA-KAPEEKA'!N31</f>
        <v>0.14285714285714285</v>
      </c>
      <c r="O31" s="15">
        <f t="shared" si="0"/>
        <v>18.571428571428566</v>
      </c>
      <c r="P31" s="15">
        <f t="shared" si="1"/>
        <v>61.428571428571431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'Avg KAPEEKA-MATUGA'!C32+'Avg Week MATUGGA-KAPEEKA'!C32</f>
        <v>3.2857142857142856</v>
      </c>
      <c r="D32" s="49">
        <f>'Avg KAPEEKA-MATUGA'!D32+'Avg Week MATUGGA-KAPEEKA'!D32</f>
        <v>1.2571428571428571</v>
      </c>
      <c r="E32" s="49">
        <f>'Avg KAPEEKA-MATUGA'!E32+'Avg Week MATUGGA-KAPEEKA'!E32</f>
        <v>1.8857142857142857</v>
      </c>
      <c r="F32" s="49">
        <f>'Avg KAPEEKA-MATUGA'!F32+'Avg Week MATUGGA-KAPEEKA'!F32</f>
        <v>2.7142857142857144</v>
      </c>
      <c r="G32" s="49">
        <f>'Avg KAPEEKA-MATUGA'!G32+'Avg Week MATUGGA-KAPEEKA'!G32</f>
        <v>0</v>
      </c>
      <c r="H32" s="49">
        <f>'Avg KAPEEKA-MATUGA'!H32+'Avg Week MATUGGA-KAPEEKA'!H32</f>
        <v>0</v>
      </c>
      <c r="I32" s="49">
        <f>'Avg KAPEEKA-MATUGA'!I32+'Avg Week MATUGGA-KAPEEKA'!I32</f>
        <v>5.4285714285714288</v>
      </c>
      <c r="J32" s="49">
        <f>'Avg KAPEEKA-MATUGA'!J32+'Avg Week MATUGGA-KAPEEKA'!J32</f>
        <v>1</v>
      </c>
      <c r="K32" s="49">
        <f>'Avg KAPEEKA-MATUGA'!K32+'Avg Week MATUGGA-KAPEEKA'!K32</f>
        <v>0.8571428571428571</v>
      </c>
      <c r="L32" s="49">
        <f>'Avg KAPEEKA-MATUGA'!L32+'Avg Week MATUGGA-KAPEEKA'!L32</f>
        <v>0.14285714285714285</v>
      </c>
      <c r="M32" s="49">
        <f>'Avg KAPEEKA-MATUGA'!M32+'Avg Week MATUGGA-KAPEEKA'!M32</f>
        <v>43.571428571428569</v>
      </c>
      <c r="N32" s="49">
        <f>'Avg KAPEEKA-MATUGA'!N32+'Avg Week MATUGGA-KAPEEKA'!N32</f>
        <v>0</v>
      </c>
      <c r="O32" s="15">
        <f t="shared" si="0"/>
        <v>16.571428571428569</v>
      </c>
      <c r="P32" s="15">
        <f t="shared" si="1"/>
        <v>60.142857142857139</v>
      </c>
      <c r="R32" s="1" t="s">
        <v>156</v>
      </c>
      <c r="S32" s="34">
        <f>SUM(C98:C101)</f>
        <v>4</v>
      </c>
      <c r="T32" s="34">
        <f t="shared" ref="T32:AF32" si="24">SUM(D98:D101)</f>
        <v>2.4000000000000004</v>
      </c>
      <c r="U32" s="34">
        <f t="shared" si="24"/>
        <v>3.5999999999999996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2</v>
      </c>
      <c r="AB32" s="34">
        <f t="shared" si="24"/>
        <v>0</v>
      </c>
      <c r="AC32" s="34">
        <f t="shared" si="24"/>
        <v>14</v>
      </c>
      <c r="AD32" s="34">
        <f t="shared" si="24"/>
        <v>0</v>
      </c>
      <c r="AE32" s="31">
        <f t="shared" si="24"/>
        <v>12</v>
      </c>
      <c r="AF32" s="31">
        <f t="shared" si="24"/>
        <v>26</v>
      </c>
    </row>
    <row r="33" spans="2:32" ht="23.1" customHeight="1" x14ac:dyDescent="0.25">
      <c r="B33" s="23" t="s">
        <v>60</v>
      </c>
      <c r="C33" s="49">
        <f>'Avg KAPEEKA-MATUGA'!C33+'Avg Week MATUGGA-KAPEEKA'!C33</f>
        <v>5.4285714285714288</v>
      </c>
      <c r="D33" s="49">
        <f>'Avg KAPEEKA-MATUGA'!D33+'Avg Week MATUGGA-KAPEEKA'!D33</f>
        <v>2.1142857142857148</v>
      </c>
      <c r="E33" s="49">
        <f>'Avg KAPEEKA-MATUGA'!E33+'Avg Week MATUGGA-KAPEEKA'!E33</f>
        <v>3.1714285714285717</v>
      </c>
      <c r="F33" s="49">
        <f>'Avg KAPEEKA-MATUGA'!F33+'Avg Week MATUGGA-KAPEEKA'!F33</f>
        <v>3.1428571428571428</v>
      </c>
      <c r="G33" s="49">
        <f>'Avg KAPEEKA-MATUGA'!G33+'Avg Week MATUGGA-KAPEEKA'!G33</f>
        <v>0</v>
      </c>
      <c r="H33" s="49">
        <f>'Avg KAPEEKA-MATUGA'!H33+'Avg Week MATUGGA-KAPEEKA'!H33</f>
        <v>0</v>
      </c>
      <c r="I33" s="49">
        <f>'Avg KAPEEKA-MATUGA'!I33+'Avg Week MATUGGA-KAPEEKA'!I33</f>
        <v>5.2857142857142856</v>
      </c>
      <c r="J33" s="49">
        <f>'Avg KAPEEKA-MATUGA'!J33+'Avg Week MATUGGA-KAPEEKA'!J33</f>
        <v>1</v>
      </c>
      <c r="K33" s="49">
        <f>'Avg KAPEEKA-MATUGA'!K33+'Avg Week MATUGGA-KAPEEKA'!K33</f>
        <v>0.8571428571428571</v>
      </c>
      <c r="L33" s="49">
        <f>'Avg KAPEEKA-MATUGA'!L33+'Avg Week MATUGGA-KAPEEKA'!L33</f>
        <v>0.14285714285714285</v>
      </c>
      <c r="M33" s="49">
        <f>'Avg KAPEEKA-MATUGA'!M33+'Avg Week MATUGGA-KAPEEKA'!M33</f>
        <v>42.714285714285715</v>
      </c>
      <c r="N33" s="49">
        <f>'Avg KAPEEKA-MATUGA'!N33+'Avg Week MATUGGA-KAPEEKA'!N33</f>
        <v>0</v>
      </c>
      <c r="O33" s="15">
        <f t="shared" si="0"/>
        <v>21.142857142857142</v>
      </c>
      <c r="P33" s="15">
        <f t="shared" si="1"/>
        <v>63.857142857142861</v>
      </c>
      <c r="R33" s="1" t="s">
        <v>157</v>
      </c>
      <c r="S33" s="34">
        <f>SUM(C102:C105)</f>
        <v>16</v>
      </c>
      <c r="T33" s="34">
        <f t="shared" ref="T33:AF33" si="25">SUM(D102:D105)</f>
        <v>8.1999999999999993</v>
      </c>
      <c r="U33" s="34">
        <f t="shared" si="25"/>
        <v>7.8</v>
      </c>
      <c r="V33" s="34">
        <f t="shared" si="25"/>
        <v>8</v>
      </c>
      <c r="W33" s="34">
        <f t="shared" si="25"/>
        <v>0</v>
      </c>
      <c r="X33" s="34">
        <f t="shared" si="25"/>
        <v>2</v>
      </c>
      <c r="Y33" s="34">
        <f t="shared" si="25"/>
        <v>12</v>
      </c>
      <c r="Z33" s="34">
        <f t="shared" si="25"/>
        <v>0</v>
      </c>
      <c r="AA33" s="34">
        <f t="shared" si="25"/>
        <v>2</v>
      </c>
      <c r="AB33" s="34">
        <f t="shared" si="25"/>
        <v>0</v>
      </c>
      <c r="AC33" s="34">
        <f t="shared" si="25"/>
        <v>62</v>
      </c>
      <c r="AD33" s="34">
        <f t="shared" si="25"/>
        <v>0</v>
      </c>
      <c r="AE33" s="31">
        <f t="shared" si="25"/>
        <v>56</v>
      </c>
      <c r="AF33" s="31">
        <f t="shared" si="25"/>
        <v>118</v>
      </c>
    </row>
    <row r="34" spans="2:32" ht="23.1" customHeight="1" x14ac:dyDescent="0.25">
      <c r="B34" s="24" t="s">
        <v>61</v>
      </c>
      <c r="C34" s="49">
        <f>'Avg KAPEEKA-MATUGA'!C34+'Avg Week MATUGGA-KAPEEKA'!C34</f>
        <v>5.1428571428571423</v>
      </c>
      <c r="D34" s="49">
        <f>'Avg KAPEEKA-MATUGA'!D34+'Avg Week MATUGGA-KAPEEKA'!D34</f>
        <v>2.1714285714285717</v>
      </c>
      <c r="E34" s="49">
        <f>'Avg KAPEEKA-MATUGA'!E34+'Avg Week MATUGGA-KAPEEKA'!E34</f>
        <v>3.2571428571428571</v>
      </c>
      <c r="F34" s="49">
        <f>'Avg KAPEEKA-MATUGA'!F34+'Avg Week MATUGGA-KAPEEKA'!F34</f>
        <v>3.1428571428571428</v>
      </c>
      <c r="G34" s="49">
        <f>'Avg KAPEEKA-MATUGA'!G34+'Avg Week MATUGGA-KAPEEKA'!G34</f>
        <v>0.14285714285714285</v>
      </c>
      <c r="H34" s="49">
        <f>'Avg KAPEEKA-MATUGA'!H34+'Avg Week MATUGGA-KAPEEKA'!H34</f>
        <v>0</v>
      </c>
      <c r="I34" s="49">
        <f>'Avg KAPEEKA-MATUGA'!I34+'Avg Week MATUGGA-KAPEEKA'!I34</f>
        <v>3.8571428571428568</v>
      </c>
      <c r="J34" s="49">
        <f>'Avg KAPEEKA-MATUGA'!J34+'Avg Week MATUGGA-KAPEEKA'!J34</f>
        <v>0.8571428571428571</v>
      </c>
      <c r="K34" s="49">
        <f>'Avg KAPEEKA-MATUGA'!K34+'Avg Week MATUGGA-KAPEEKA'!K34</f>
        <v>0.8571428571428571</v>
      </c>
      <c r="L34" s="49">
        <f>'Avg KAPEEKA-MATUGA'!L34+'Avg Week MATUGGA-KAPEEKA'!L34</f>
        <v>0.14285714285714285</v>
      </c>
      <c r="M34" s="49">
        <f>'Avg KAPEEKA-MATUGA'!M34+'Avg Week MATUGGA-KAPEEKA'!M34</f>
        <v>41.142857142857139</v>
      </c>
      <c r="N34" s="49">
        <f>'Avg KAPEEKA-MATUGA'!N34+'Avg Week MATUGGA-KAPEEKA'!N34</f>
        <v>0.14285714285714285</v>
      </c>
      <c r="O34" s="15">
        <f t="shared" si="0"/>
        <v>19.714285714285712</v>
      </c>
      <c r="P34" s="15">
        <f t="shared" si="1"/>
        <v>60.857142857142854</v>
      </c>
      <c r="R34" s="51" t="s">
        <v>90</v>
      </c>
      <c r="S34" s="52">
        <f t="shared" ref="S34:AF34" si="26">MAX(S10:S12)</f>
        <v>12.857142857142858</v>
      </c>
      <c r="T34" s="52">
        <f t="shared" si="26"/>
        <v>5.8857142857142861</v>
      </c>
      <c r="U34" s="52">
        <f t="shared" si="26"/>
        <v>8.8285714285714292</v>
      </c>
      <c r="V34" s="52">
        <f t="shared" si="26"/>
        <v>10.571428571428569</v>
      </c>
      <c r="W34" s="52">
        <f t="shared" si="26"/>
        <v>0.5714285714285714</v>
      </c>
      <c r="X34" s="52">
        <f t="shared" si="26"/>
        <v>0</v>
      </c>
      <c r="Y34" s="52">
        <f t="shared" si="26"/>
        <v>21.571428571428569</v>
      </c>
      <c r="Z34" s="52">
        <f t="shared" si="26"/>
        <v>3.4285714285714288</v>
      </c>
      <c r="AA34" s="52">
        <f t="shared" si="26"/>
        <v>5.2857142857142856</v>
      </c>
      <c r="AB34" s="52">
        <f t="shared" si="26"/>
        <v>0.5714285714285714</v>
      </c>
      <c r="AC34" s="52">
        <f t="shared" si="26"/>
        <v>144.14285714285714</v>
      </c>
      <c r="AD34" s="52">
        <f t="shared" si="26"/>
        <v>0.14285714285714285</v>
      </c>
      <c r="AE34" s="40">
        <f t="shared" si="26"/>
        <v>67.285714285714278</v>
      </c>
      <c r="AF34" s="40">
        <f t="shared" si="26"/>
        <v>211.42857142857144</v>
      </c>
    </row>
    <row r="35" spans="2:32" ht="23.1" customHeight="1" x14ac:dyDescent="0.25">
      <c r="B35" s="24" t="s">
        <v>62</v>
      </c>
      <c r="C35" s="49">
        <f>'Avg KAPEEKA-MATUGA'!C35+'Avg Week MATUGGA-KAPEEKA'!C35</f>
        <v>3.8571428571428568</v>
      </c>
      <c r="D35" s="49">
        <f>'Avg KAPEEKA-MATUGA'!D35+'Avg Week MATUGGA-KAPEEKA'!D35</f>
        <v>1.7714285714285716</v>
      </c>
      <c r="E35" s="49">
        <f>'Avg KAPEEKA-MATUGA'!E35+'Avg Week MATUGGA-KAPEEKA'!E35</f>
        <v>2.6571428571428575</v>
      </c>
      <c r="F35" s="49">
        <f>'Avg KAPEEKA-MATUGA'!F35+'Avg Week MATUGGA-KAPEEKA'!F35</f>
        <v>3</v>
      </c>
      <c r="G35" s="49">
        <f>'Avg KAPEEKA-MATUGA'!G35+'Avg Week MATUGGA-KAPEEKA'!G35</f>
        <v>0</v>
      </c>
      <c r="H35" s="49">
        <f>'Avg KAPEEKA-MATUGA'!H35+'Avg Week MATUGGA-KAPEEKA'!H35</f>
        <v>0</v>
      </c>
      <c r="I35" s="49">
        <f>'Avg KAPEEKA-MATUGA'!I35+'Avg Week MATUGGA-KAPEEKA'!I35</f>
        <v>4.4285714285714288</v>
      </c>
      <c r="J35" s="49">
        <f>'Avg KAPEEKA-MATUGA'!J35+'Avg Week MATUGGA-KAPEEKA'!J35</f>
        <v>0.85714285714285721</v>
      </c>
      <c r="K35" s="49">
        <f>'Avg KAPEEKA-MATUGA'!K35+'Avg Week MATUGGA-KAPEEKA'!K35</f>
        <v>0.5714285714285714</v>
      </c>
      <c r="L35" s="49">
        <f>'Avg KAPEEKA-MATUGA'!L35+'Avg Week MATUGGA-KAPEEKA'!L35</f>
        <v>0.14285714285714285</v>
      </c>
      <c r="M35" s="49">
        <f>'Avg KAPEEKA-MATUGA'!M35+'Avg Week MATUGGA-KAPEEKA'!M35</f>
        <v>38.857142857142854</v>
      </c>
      <c r="N35" s="49">
        <f>'Avg KAPEEKA-MATUGA'!N35+'Avg Week MATUGGA-KAPEEKA'!N35</f>
        <v>0.14285714285714285</v>
      </c>
      <c r="O35" s="15">
        <f t="shared" si="0"/>
        <v>17.428571428571427</v>
      </c>
      <c r="P35" s="15">
        <f t="shared" si="1"/>
        <v>56.285714285714285</v>
      </c>
      <c r="R35" s="51" t="s">
        <v>91</v>
      </c>
      <c r="S35" s="52">
        <f t="shared" ref="S35:AF35" si="27">MAX(S13:S18)</f>
        <v>17.714285714285715</v>
      </c>
      <c r="T35" s="52">
        <f t="shared" si="27"/>
        <v>8.1714285714285726</v>
      </c>
      <c r="U35" s="52">
        <f t="shared" si="27"/>
        <v>12.257142857142856</v>
      </c>
      <c r="V35" s="52">
        <f t="shared" si="27"/>
        <v>12.142857142857142</v>
      </c>
      <c r="W35" s="52">
        <f t="shared" si="27"/>
        <v>0.5714285714285714</v>
      </c>
      <c r="X35" s="52">
        <f t="shared" si="27"/>
        <v>0.14285714285714285</v>
      </c>
      <c r="Y35" s="52">
        <f t="shared" si="27"/>
        <v>23.142857142857142</v>
      </c>
      <c r="Z35" s="52">
        <f t="shared" si="27"/>
        <v>3.9999999999999996</v>
      </c>
      <c r="AA35" s="52">
        <f t="shared" si="27"/>
        <v>5</v>
      </c>
      <c r="AB35" s="52">
        <f t="shared" si="27"/>
        <v>0.5714285714285714</v>
      </c>
      <c r="AC35" s="52">
        <f t="shared" si="27"/>
        <v>171.42857142857144</v>
      </c>
      <c r="AD35" s="52">
        <f t="shared" si="27"/>
        <v>0.2857142857142857</v>
      </c>
      <c r="AE35" s="40">
        <f t="shared" si="27"/>
        <v>79.285714285714278</v>
      </c>
      <c r="AF35" s="40">
        <f t="shared" si="27"/>
        <v>245.42857142857144</v>
      </c>
    </row>
    <row r="36" spans="2:32" ht="23.1" customHeight="1" x14ac:dyDescent="0.25">
      <c r="B36" s="24" t="s">
        <v>63</v>
      </c>
      <c r="C36" s="49">
        <f>'Avg KAPEEKA-MATUGA'!C36+'Avg Week MATUGGA-KAPEEKA'!C36</f>
        <v>4</v>
      </c>
      <c r="D36" s="49">
        <f>'Avg KAPEEKA-MATUGA'!D36+'Avg Week MATUGGA-KAPEEKA'!D36</f>
        <v>2.0571428571428574</v>
      </c>
      <c r="E36" s="49">
        <f>'Avg KAPEEKA-MATUGA'!E36+'Avg Week MATUGGA-KAPEEKA'!E36</f>
        <v>3.0857142857142854</v>
      </c>
      <c r="F36" s="49">
        <f>'Avg KAPEEKA-MATUGA'!F36+'Avg Week MATUGGA-KAPEEKA'!F36</f>
        <v>2.5714285714285716</v>
      </c>
      <c r="G36" s="49">
        <f>'Avg KAPEEKA-MATUGA'!G36+'Avg Week MATUGGA-KAPEEKA'!G36</f>
        <v>0</v>
      </c>
      <c r="H36" s="49">
        <f>'Avg KAPEEKA-MATUGA'!H36+'Avg Week MATUGGA-KAPEEKA'!H36</f>
        <v>0</v>
      </c>
      <c r="I36" s="49">
        <f>'Avg KAPEEKA-MATUGA'!I36+'Avg Week MATUGGA-KAPEEKA'!I36</f>
        <v>5.1428571428571423</v>
      </c>
      <c r="J36" s="49">
        <f>'Avg KAPEEKA-MATUGA'!J36+'Avg Week MATUGGA-KAPEEKA'!J36</f>
        <v>0.5714285714285714</v>
      </c>
      <c r="K36" s="49">
        <f>'Avg KAPEEKA-MATUGA'!K36+'Avg Week MATUGGA-KAPEEKA'!K36</f>
        <v>0.71428571428571419</v>
      </c>
      <c r="L36" s="49">
        <f>'Avg KAPEEKA-MATUGA'!L36+'Avg Week MATUGGA-KAPEEKA'!L36</f>
        <v>0.14285714285714285</v>
      </c>
      <c r="M36" s="49">
        <f>'Avg KAPEEKA-MATUGA'!M36+'Avg Week MATUGGA-KAPEEKA'!M36</f>
        <v>40.857142857142861</v>
      </c>
      <c r="N36" s="49">
        <f>'Avg KAPEEKA-MATUGA'!N36+'Avg Week MATUGGA-KAPEEKA'!N36</f>
        <v>0</v>
      </c>
      <c r="O36" s="15">
        <f t="shared" si="0"/>
        <v>18.285714285714285</v>
      </c>
      <c r="P36" s="15">
        <f t="shared" si="1"/>
        <v>59.142857142857146</v>
      </c>
      <c r="R36" s="51" t="s">
        <v>92</v>
      </c>
      <c r="S36" s="52">
        <f t="shared" ref="S36:AF36" si="28">MAX(S19:S21)</f>
        <v>20.428571428571431</v>
      </c>
      <c r="T36" s="52">
        <f t="shared" si="28"/>
        <v>10.457142857142859</v>
      </c>
      <c r="U36" s="52">
        <f t="shared" si="28"/>
        <v>15.685714285714287</v>
      </c>
      <c r="V36" s="52">
        <f t="shared" si="28"/>
        <v>16</v>
      </c>
      <c r="W36" s="52">
        <f t="shared" si="28"/>
        <v>1.1428571428571428</v>
      </c>
      <c r="X36" s="52">
        <f t="shared" si="28"/>
        <v>0.14285714285714285</v>
      </c>
      <c r="Y36" s="52">
        <f t="shared" si="28"/>
        <v>27.571428571428573</v>
      </c>
      <c r="Z36" s="52">
        <f t="shared" si="28"/>
        <v>4.5714285714285712</v>
      </c>
      <c r="AA36" s="52">
        <f t="shared" si="28"/>
        <v>4.2857142857142856</v>
      </c>
      <c r="AB36" s="52">
        <f t="shared" si="28"/>
        <v>0.5714285714285714</v>
      </c>
      <c r="AC36" s="52">
        <f t="shared" si="28"/>
        <v>199</v>
      </c>
      <c r="AD36" s="52">
        <f t="shared" si="28"/>
        <v>0</v>
      </c>
      <c r="AE36" s="40">
        <f t="shared" si="28"/>
        <v>94.714285714285708</v>
      </c>
      <c r="AF36" s="40">
        <f t="shared" si="28"/>
        <v>284.42857142857144</v>
      </c>
    </row>
    <row r="37" spans="2:32" ht="23.1" customHeight="1" x14ac:dyDescent="0.25">
      <c r="B37" s="23" t="s">
        <v>64</v>
      </c>
      <c r="C37" s="49">
        <f>'Avg KAPEEKA-MATUGA'!C37+'Avg Week MATUGGA-KAPEEKA'!C37</f>
        <v>4.5714285714285712</v>
      </c>
      <c r="D37" s="49">
        <f>'Avg KAPEEKA-MATUGA'!D37+'Avg Week MATUGGA-KAPEEKA'!D37</f>
        <v>1.7142857142857144</v>
      </c>
      <c r="E37" s="49">
        <f>'Avg KAPEEKA-MATUGA'!E37+'Avg Week MATUGGA-KAPEEKA'!E37</f>
        <v>2.5714285714285712</v>
      </c>
      <c r="F37" s="49">
        <f>'Avg KAPEEKA-MATUGA'!F37+'Avg Week MATUGGA-KAPEEKA'!F37</f>
        <v>3.4285714285714288</v>
      </c>
      <c r="G37" s="49">
        <f>'Avg KAPEEKA-MATUGA'!G37+'Avg Week MATUGGA-KAPEEKA'!G37</f>
        <v>0</v>
      </c>
      <c r="H37" s="49">
        <f>'Avg KAPEEKA-MATUGA'!H37+'Avg Week MATUGGA-KAPEEKA'!H37</f>
        <v>0</v>
      </c>
      <c r="I37" s="49">
        <f>'Avg KAPEEKA-MATUGA'!I37+'Avg Week MATUGGA-KAPEEKA'!I37</f>
        <v>6</v>
      </c>
      <c r="J37" s="49">
        <f>'Avg KAPEEKA-MATUGA'!J37+'Avg Week MATUGGA-KAPEEKA'!J37</f>
        <v>0.71428571428571419</v>
      </c>
      <c r="K37" s="49">
        <f>'Avg KAPEEKA-MATUGA'!K37+'Avg Week MATUGGA-KAPEEKA'!K37</f>
        <v>1.4285714285714286</v>
      </c>
      <c r="L37" s="49">
        <f>'Avg KAPEEKA-MATUGA'!L37+'Avg Week MATUGGA-KAPEEKA'!L37</f>
        <v>0.14285714285714285</v>
      </c>
      <c r="M37" s="49">
        <f>'Avg KAPEEKA-MATUGA'!M37+'Avg Week MATUGGA-KAPEEKA'!M37</f>
        <v>43.142857142857139</v>
      </c>
      <c r="N37" s="49">
        <f>'Avg KAPEEKA-MATUGA'!N37+'Avg Week MATUGGA-KAPEEKA'!N37</f>
        <v>0</v>
      </c>
      <c r="O37" s="15">
        <f t="shared" si="0"/>
        <v>20.571428571428569</v>
      </c>
      <c r="P37" s="15">
        <f t="shared" si="1"/>
        <v>63.714285714285708</v>
      </c>
      <c r="R37" s="37" t="s">
        <v>85</v>
      </c>
      <c r="S37" s="53">
        <f t="shared" ref="S37:AF37" si="29">SUM(S10:S12)</f>
        <v>29.142857142857142</v>
      </c>
      <c r="T37" s="54">
        <f t="shared" si="29"/>
        <v>14.057142857142859</v>
      </c>
      <c r="U37" s="54">
        <f t="shared" si="29"/>
        <v>21.085714285714285</v>
      </c>
      <c r="V37" s="54">
        <f t="shared" si="29"/>
        <v>29</v>
      </c>
      <c r="W37" s="54">
        <f t="shared" si="29"/>
        <v>1.1428571428571428</v>
      </c>
      <c r="X37" s="54">
        <f t="shared" si="29"/>
        <v>0</v>
      </c>
      <c r="Y37" s="54">
        <f t="shared" si="29"/>
        <v>55.714285714285708</v>
      </c>
      <c r="Z37" s="54">
        <f t="shared" si="29"/>
        <v>7.2857142857142856</v>
      </c>
      <c r="AA37" s="54">
        <f t="shared" si="29"/>
        <v>9.5714285714285712</v>
      </c>
      <c r="AB37" s="54">
        <f t="shared" si="29"/>
        <v>1.7142857142857142</v>
      </c>
      <c r="AC37" s="54">
        <f t="shared" si="29"/>
        <v>406.57142857142856</v>
      </c>
      <c r="AD37" s="54">
        <f t="shared" si="29"/>
        <v>0.2857142857142857</v>
      </c>
      <c r="AE37" s="55">
        <f t="shared" si="29"/>
        <v>169</v>
      </c>
      <c r="AF37" s="55">
        <f t="shared" si="29"/>
        <v>575.57142857142867</v>
      </c>
    </row>
    <row r="38" spans="2:32" ht="23.1" customHeight="1" x14ac:dyDescent="0.25">
      <c r="B38" s="24" t="s">
        <v>65</v>
      </c>
      <c r="C38" s="49">
        <f>'Avg KAPEEKA-MATUGA'!C38+'Avg Week MATUGGA-KAPEEKA'!C38</f>
        <v>3.5714285714285716</v>
      </c>
      <c r="D38" s="49">
        <f>'Avg KAPEEKA-MATUGA'!D38+'Avg Week MATUGGA-KAPEEKA'!D38</f>
        <v>1.8857142857142859</v>
      </c>
      <c r="E38" s="49">
        <f>'Avg KAPEEKA-MATUGA'!E38+'Avg Week MATUGGA-KAPEEKA'!E38</f>
        <v>2.8285714285714283</v>
      </c>
      <c r="F38" s="49">
        <f>'Avg KAPEEKA-MATUGA'!F38+'Avg Week MATUGGA-KAPEEKA'!F38</f>
        <v>2.8571428571428568</v>
      </c>
      <c r="G38" s="49">
        <f>'Avg KAPEEKA-MATUGA'!G38+'Avg Week MATUGGA-KAPEEKA'!G38</f>
        <v>0.14285714285714285</v>
      </c>
      <c r="H38" s="49">
        <f>'Avg KAPEEKA-MATUGA'!H38+'Avg Week MATUGGA-KAPEEKA'!H38</f>
        <v>0</v>
      </c>
      <c r="I38" s="49">
        <f>'Avg KAPEEKA-MATUGA'!I38+'Avg Week MATUGGA-KAPEEKA'!I38</f>
        <v>6.7142857142857144</v>
      </c>
      <c r="J38" s="49">
        <f>'Avg KAPEEKA-MATUGA'!J38+'Avg Week MATUGGA-KAPEEKA'!J38</f>
        <v>0.8571428571428571</v>
      </c>
      <c r="K38" s="49">
        <f>'Avg KAPEEKA-MATUGA'!K38+'Avg Week MATUGGA-KAPEEKA'!K38</f>
        <v>0.71428571428571419</v>
      </c>
      <c r="L38" s="49">
        <f>'Avg KAPEEKA-MATUGA'!L38+'Avg Week MATUGGA-KAPEEKA'!L38</f>
        <v>0.14285714285714285</v>
      </c>
      <c r="M38" s="49">
        <f>'Avg KAPEEKA-MATUGA'!M38+'Avg Week MATUGGA-KAPEEKA'!M38</f>
        <v>47</v>
      </c>
      <c r="N38" s="49">
        <f>'Avg KAPEEKA-MATUGA'!N38+'Avg Week MATUGGA-KAPEEKA'!N38</f>
        <v>0</v>
      </c>
      <c r="O38" s="15">
        <f t="shared" si="0"/>
        <v>19.714285714285715</v>
      </c>
      <c r="P38" s="15">
        <f t="shared" si="1"/>
        <v>66.714285714285722</v>
      </c>
      <c r="R38" s="28" t="s">
        <v>86</v>
      </c>
      <c r="S38" s="54">
        <f t="shared" ref="S38:AF38" si="30">SUM(S13:S18)</f>
        <v>97.857142857142861</v>
      </c>
      <c r="T38" s="54">
        <f t="shared" si="30"/>
        <v>47.371428571428574</v>
      </c>
      <c r="U38" s="54">
        <f t="shared" si="30"/>
        <v>71.05714285714285</v>
      </c>
      <c r="V38" s="54">
        <f t="shared" si="30"/>
        <v>67.142857142857139</v>
      </c>
      <c r="W38" s="54">
        <f t="shared" si="30"/>
        <v>1.7142857142857142</v>
      </c>
      <c r="X38" s="54">
        <f t="shared" si="30"/>
        <v>0.14285714285714285</v>
      </c>
      <c r="Y38" s="54">
        <f t="shared" si="30"/>
        <v>123</v>
      </c>
      <c r="Z38" s="54">
        <f t="shared" si="30"/>
        <v>19.571428571428569</v>
      </c>
      <c r="AA38" s="54">
        <f t="shared" si="30"/>
        <v>21.428571428571427</v>
      </c>
      <c r="AB38" s="54">
        <f t="shared" si="30"/>
        <v>3.4285714285714279</v>
      </c>
      <c r="AC38" s="54">
        <f t="shared" si="30"/>
        <v>990.85714285714289</v>
      </c>
      <c r="AD38" s="54">
        <f t="shared" si="30"/>
        <v>0.8571428571428571</v>
      </c>
      <c r="AE38" s="55">
        <f t="shared" si="30"/>
        <v>453.57142857142856</v>
      </c>
      <c r="AF38" s="55">
        <f t="shared" si="30"/>
        <v>1444.4285714285713</v>
      </c>
    </row>
    <row r="39" spans="2:32" ht="23.1" customHeight="1" x14ac:dyDescent="0.25">
      <c r="B39" s="24" t="s">
        <v>66</v>
      </c>
      <c r="C39" s="49">
        <f>'Avg KAPEEKA-MATUGA'!C39+'Avg Week MATUGGA-KAPEEKA'!C39</f>
        <v>5</v>
      </c>
      <c r="D39" s="49">
        <f>'Avg KAPEEKA-MATUGA'!D39+'Avg Week MATUGGA-KAPEEKA'!D39</f>
        <v>2.2285714285714286</v>
      </c>
      <c r="E39" s="49">
        <f>'Avg KAPEEKA-MATUGA'!E39+'Avg Week MATUGGA-KAPEEKA'!E39</f>
        <v>3.3428571428571425</v>
      </c>
      <c r="F39" s="49">
        <f>'Avg KAPEEKA-MATUGA'!F39+'Avg Week MATUGGA-KAPEEKA'!F39</f>
        <v>2.2857142857142856</v>
      </c>
      <c r="G39" s="49">
        <f>'Avg KAPEEKA-MATUGA'!G39+'Avg Week MATUGGA-KAPEEKA'!G39</f>
        <v>0</v>
      </c>
      <c r="H39" s="49">
        <f>'Avg KAPEEKA-MATUGA'!H39+'Avg Week MATUGGA-KAPEEKA'!H39</f>
        <v>0</v>
      </c>
      <c r="I39" s="49">
        <f>'Avg KAPEEKA-MATUGA'!I39+'Avg Week MATUGGA-KAPEEKA'!I39</f>
        <v>6.7142857142857144</v>
      </c>
      <c r="J39" s="49">
        <f>'Avg KAPEEKA-MATUGA'!J39+'Avg Week MATUGGA-KAPEEKA'!J39</f>
        <v>0.5714285714285714</v>
      </c>
      <c r="K39" s="49">
        <f>'Avg KAPEEKA-MATUGA'!K39+'Avg Week MATUGGA-KAPEEKA'!K39</f>
        <v>0.42857142857142855</v>
      </c>
      <c r="L39" s="49">
        <f>'Avg KAPEEKA-MATUGA'!L39+'Avg Week MATUGGA-KAPEEKA'!L39</f>
        <v>0.14285714285714285</v>
      </c>
      <c r="M39" s="49">
        <f>'Avg KAPEEKA-MATUGA'!M39+'Avg Week MATUGGA-KAPEEKA'!M39</f>
        <v>35.571428571428569</v>
      </c>
      <c r="N39" s="49">
        <f>'Avg KAPEEKA-MATUGA'!N39+'Avg Week MATUGGA-KAPEEKA'!N39</f>
        <v>0</v>
      </c>
      <c r="O39" s="15">
        <f t="shared" si="0"/>
        <v>20.714285714285715</v>
      </c>
      <c r="P39" s="15">
        <f t="shared" si="1"/>
        <v>56.285714285714285</v>
      </c>
      <c r="R39" s="29" t="s">
        <v>87</v>
      </c>
      <c r="S39" s="54">
        <f t="shared" ref="S39:AF39" si="31">SUM(S19:S21)</f>
        <v>51.428571428571431</v>
      </c>
      <c r="T39" s="54">
        <f t="shared" si="31"/>
        <v>27.485714285714288</v>
      </c>
      <c r="U39" s="54">
        <f t="shared" si="31"/>
        <v>41.228571428571428</v>
      </c>
      <c r="V39" s="54">
        <f t="shared" si="31"/>
        <v>45.857142857142861</v>
      </c>
      <c r="W39" s="54">
        <f t="shared" si="31"/>
        <v>1.857142857142857</v>
      </c>
      <c r="X39" s="54">
        <f t="shared" si="31"/>
        <v>0.14285714285714285</v>
      </c>
      <c r="Y39" s="54">
        <f t="shared" si="31"/>
        <v>77.857142857142861</v>
      </c>
      <c r="Z39" s="54">
        <f t="shared" si="31"/>
        <v>10.714285714285714</v>
      </c>
      <c r="AA39" s="54">
        <f t="shared" si="31"/>
        <v>9.428571428571427</v>
      </c>
      <c r="AB39" s="54">
        <f t="shared" si="31"/>
        <v>1.7142857142857142</v>
      </c>
      <c r="AC39" s="54">
        <f t="shared" si="31"/>
        <v>530.28571428571433</v>
      </c>
      <c r="AD39" s="54">
        <f t="shared" si="31"/>
        <v>0</v>
      </c>
      <c r="AE39" s="55">
        <f t="shared" si="31"/>
        <v>267.71428571428567</v>
      </c>
      <c r="AF39" s="55">
        <f t="shared" si="31"/>
        <v>798.00000000000011</v>
      </c>
    </row>
    <row r="40" spans="2:32" ht="23.1" customHeight="1" x14ac:dyDescent="0.25">
      <c r="B40" s="24" t="s">
        <v>67</v>
      </c>
      <c r="C40" s="49">
        <f>'Avg KAPEEKA-MATUGA'!C40+'Avg Week MATUGGA-KAPEEKA'!C40</f>
        <v>5</v>
      </c>
      <c r="D40" s="49">
        <f>'Avg KAPEEKA-MATUGA'!D40+'Avg Week MATUGGA-KAPEEKA'!D40</f>
        <v>2.342857142857143</v>
      </c>
      <c r="E40" s="49">
        <f>'Avg KAPEEKA-MATUGA'!E40+'Avg Week MATUGGA-KAPEEKA'!E40</f>
        <v>3.5142857142857142</v>
      </c>
      <c r="F40" s="49">
        <f>'Avg KAPEEKA-MATUGA'!F40+'Avg Week MATUGGA-KAPEEKA'!F40</f>
        <v>4.2857142857142856</v>
      </c>
      <c r="G40" s="49">
        <f>'Avg KAPEEKA-MATUGA'!G40+'Avg Week MATUGGA-KAPEEKA'!G40</f>
        <v>0.2857142857142857</v>
      </c>
      <c r="H40" s="49">
        <f>'Avg KAPEEKA-MATUGA'!H40+'Avg Week MATUGGA-KAPEEKA'!H40</f>
        <v>0</v>
      </c>
      <c r="I40" s="49">
        <f>'Avg KAPEEKA-MATUGA'!I40+'Avg Week MATUGGA-KAPEEKA'!I40</f>
        <v>4.7142857142857144</v>
      </c>
      <c r="J40" s="49">
        <f>'Avg KAPEEKA-MATUGA'!J40+'Avg Week MATUGGA-KAPEEKA'!J40</f>
        <v>1.4285714285714286</v>
      </c>
      <c r="K40" s="49">
        <f>'Avg KAPEEKA-MATUGA'!K40+'Avg Week MATUGGA-KAPEEKA'!K40</f>
        <v>0.5714285714285714</v>
      </c>
      <c r="L40" s="49">
        <f>'Avg KAPEEKA-MATUGA'!L40+'Avg Week MATUGGA-KAPEEKA'!L40</f>
        <v>0.14285714285714285</v>
      </c>
      <c r="M40" s="49">
        <f>'Avg KAPEEKA-MATUGA'!M40+'Avg Week MATUGGA-KAPEEKA'!M40</f>
        <v>43.142857142857139</v>
      </c>
      <c r="N40" s="49">
        <f>'Avg KAPEEKA-MATUGA'!N40+'Avg Week MATUGGA-KAPEEKA'!N40</f>
        <v>0</v>
      </c>
      <c r="O40" s="15">
        <f t="shared" si="0"/>
        <v>22.285714285714285</v>
      </c>
      <c r="P40" s="15">
        <f t="shared" si="1"/>
        <v>65.428571428571416</v>
      </c>
      <c r="R40" s="5" t="s">
        <v>17</v>
      </c>
      <c r="S40" s="54">
        <f t="shared" ref="S40:AF40" si="32">SUM(S10:S21)</f>
        <v>178.42857142857142</v>
      </c>
      <c r="T40" s="54">
        <f t="shared" si="32"/>
        <v>88.914285714285711</v>
      </c>
      <c r="U40" s="54">
        <f t="shared" si="32"/>
        <v>133.37142857142857</v>
      </c>
      <c r="V40" s="54">
        <f t="shared" si="32"/>
        <v>142</v>
      </c>
      <c r="W40" s="54">
        <f t="shared" si="32"/>
        <v>4.7142857142857135</v>
      </c>
      <c r="X40" s="54">
        <f t="shared" si="32"/>
        <v>0.2857142857142857</v>
      </c>
      <c r="Y40" s="54">
        <f t="shared" si="32"/>
        <v>256.57142857142856</v>
      </c>
      <c r="Z40" s="54">
        <f t="shared" si="32"/>
        <v>37.571428571428569</v>
      </c>
      <c r="AA40" s="54">
        <f t="shared" si="32"/>
        <v>40.428571428571423</v>
      </c>
      <c r="AB40" s="54">
        <f t="shared" si="32"/>
        <v>6.857142857142855</v>
      </c>
      <c r="AC40" s="54">
        <f t="shared" si="32"/>
        <v>1927.7142857142856</v>
      </c>
      <c r="AD40" s="54">
        <f t="shared" si="32"/>
        <v>1.1428571428571428</v>
      </c>
      <c r="AE40" s="55">
        <f t="shared" si="32"/>
        <v>890.28571428571411</v>
      </c>
      <c r="AF40" s="55">
        <f t="shared" si="32"/>
        <v>2818</v>
      </c>
    </row>
    <row r="41" spans="2:32" ht="23.1" customHeight="1" x14ac:dyDescent="0.25">
      <c r="B41" s="23" t="s">
        <v>68</v>
      </c>
      <c r="C41" s="49">
        <f>'Avg KAPEEKA-MATUGA'!C41+'Avg Week MATUGGA-KAPEEKA'!C41</f>
        <v>3.8571428571428568</v>
      </c>
      <c r="D41" s="49">
        <f>'Avg KAPEEKA-MATUGA'!D41+'Avg Week MATUGGA-KAPEEKA'!D41</f>
        <v>1.4857142857142858</v>
      </c>
      <c r="E41" s="49">
        <f>'Avg KAPEEKA-MATUGA'!E41+'Avg Week MATUGGA-KAPEEKA'!E41</f>
        <v>2.2285714285714286</v>
      </c>
      <c r="F41" s="49">
        <f>'Avg KAPEEKA-MATUGA'!F41+'Avg Week MATUGGA-KAPEEKA'!F41</f>
        <v>2</v>
      </c>
      <c r="G41" s="49">
        <f>'Avg KAPEEKA-MATUGA'!G41+'Avg Week MATUGGA-KAPEEKA'!G41</f>
        <v>0.14285714285714285</v>
      </c>
      <c r="H41" s="49">
        <f>'Avg KAPEEKA-MATUGA'!H41+'Avg Week MATUGGA-KAPEEKA'!H41</f>
        <v>0</v>
      </c>
      <c r="I41" s="49">
        <f>'Avg KAPEEKA-MATUGA'!I41+'Avg Week MATUGGA-KAPEEKA'!I41</f>
        <v>5</v>
      </c>
      <c r="J41" s="49">
        <f>'Avg KAPEEKA-MATUGA'!J41+'Avg Week MATUGGA-KAPEEKA'!J41</f>
        <v>1.1428571428571428</v>
      </c>
      <c r="K41" s="49">
        <f>'Avg KAPEEKA-MATUGA'!K41+'Avg Week MATUGGA-KAPEEKA'!K41</f>
        <v>0.5714285714285714</v>
      </c>
      <c r="L41" s="49">
        <f>'Avg KAPEEKA-MATUGA'!L41+'Avg Week MATUGGA-KAPEEKA'!L41</f>
        <v>0.14285714285714285</v>
      </c>
      <c r="M41" s="49">
        <f>'Avg KAPEEKA-MATUGA'!M41+'Avg Week MATUGGA-KAPEEKA'!M41</f>
        <v>38.571428571428569</v>
      </c>
      <c r="N41" s="49">
        <f>'Avg KAPEEKA-MATUGA'!N41+'Avg Week MATUGGA-KAPEEKA'!N41</f>
        <v>0</v>
      </c>
      <c r="O41" s="15">
        <f t="shared" si="0"/>
        <v>16.571428571428569</v>
      </c>
      <c r="P41" s="15">
        <f t="shared" si="1"/>
        <v>55.142857142857139</v>
      </c>
      <c r="R41" s="5" t="s">
        <v>175</v>
      </c>
      <c r="S41" s="54">
        <f>SUM(S10:S33)</f>
        <v>292.42857142857144</v>
      </c>
      <c r="T41" s="54">
        <f t="shared" ref="T41:AD41" si="33">SUM(T10:T33)</f>
        <v>135.51428571428573</v>
      </c>
      <c r="U41" s="54">
        <f t="shared" si="33"/>
        <v>198.7714285714286</v>
      </c>
      <c r="V41" s="54">
        <f t="shared" si="33"/>
        <v>202</v>
      </c>
      <c r="W41" s="54">
        <f t="shared" si="33"/>
        <v>4.7142857142857135</v>
      </c>
      <c r="X41" s="54">
        <f t="shared" si="33"/>
        <v>2.2857142857142856</v>
      </c>
      <c r="Y41" s="54">
        <f t="shared" si="33"/>
        <v>360.57142857142856</v>
      </c>
      <c r="Z41" s="54">
        <f t="shared" si="33"/>
        <v>65.571428571428569</v>
      </c>
      <c r="AA41" s="54">
        <f t="shared" si="33"/>
        <v>66.428571428571416</v>
      </c>
      <c r="AB41" s="54">
        <f t="shared" si="33"/>
        <v>6.857142857142855</v>
      </c>
      <c r="AC41" s="54">
        <f t="shared" si="33"/>
        <v>2275.7142857142853</v>
      </c>
      <c r="AD41" s="54">
        <f t="shared" si="33"/>
        <v>1.1428571428571428</v>
      </c>
      <c r="AE41" s="55">
        <f>SUM(AE10:AE33)</f>
        <v>1336.2857142857142</v>
      </c>
      <c r="AF41" s="55">
        <f>SUM(AF10:AF33)</f>
        <v>3612</v>
      </c>
    </row>
    <row r="42" spans="2:32" ht="23.1" customHeight="1" x14ac:dyDescent="0.25">
      <c r="B42" s="24" t="s">
        <v>69</v>
      </c>
      <c r="C42" s="49">
        <f>'Avg KAPEEKA-MATUGA'!C42+'Avg Week MATUGGA-KAPEEKA'!C42</f>
        <v>4.7142857142857144</v>
      </c>
      <c r="D42" s="49">
        <f>'Avg KAPEEKA-MATUGA'!D42+'Avg Week MATUGGA-KAPEEKA'!D42</f>
        <v>1.8285714285714285</v>
      </c>
      <c r="E42" s="49">
        <f>'Avg KAPEEKA-MATUGA'!E42+'Avg Week MATUGGA-KAPEEKA'!E42</f>
        <v>2.7428571428571424</v>
      </c>
      <c r="F42" s="49">
        <f>'Avg KAPEEKA-MATUGA'!F42+'Avg Week MATUGGA-KAPEEKA'!F42</f>
        <v>2.5714285714285712</v>
      </c>
      <c r="G42" s="49">
        <f>'Avg KAPEEKA-MATUGA'!G42+'Avg Week MATUGGA-KAPEEKA'!G42</f>
        <v>0.14285714285714285</v>
      </c>
      <c r="H42" s="49">
        <f>'Avg KAPEEKA-MATUGA'!H42+'Avg Week MATUGGA-KAPEEKA'!H42</f>
        <v>0</v>
      </c>
      <c r="I42" s="49">
        <f>'Avg KAPEEKA-MATUGA'!I42+'Avg Week MATUGGA-KAPEEKA'!I42</f>
        <v>5.1428571428571423</v>
      </c>
      <c r="J42" s="49">
        <f>'Avg KAPEEKA-MATUGA'!J42+'Avg Week MATUGGA-KAPEEKA'!J42</f>
        <v>1.1428571428571428</v>
      </c>
      <c r="K42" s="49">
        <f>'Avg KAPEEKA-MATUGA'!K42+'Avg Week MATUGGA-KAPEEKA'!K42</f>
        <v>0.5714285714285714</v>
      </c>
      <c r="L42" s="49">
        <f>'Avg KAPEEKA-MATUGA'!L42+'Avg Week MATUGGA-KAPEEKA'!L42</f>
        <v>0.14285714285714285</v>
      </c>
      <c r="M42" s="49">
        <f>'Avg KAPEEKA-MATUGA'!M42+'Avg Week MATUGGA-KAPEEKA'!M42</f>
        <v>41.285714285714285</v>
      </c>
      <c r="N42" s="49">
        <f>'Avg KAPEEKA-MATUGA'!N42+'Avg Week MATUGGA-KAPEEKA'!N42</f>
        <v>0</v>
      </c>
      <c r="O42" s="15">
        <f t="shared" si="0"/>
        <v>18.999999999999996</v>
      </c>
      <c r="P42" s="15">
        <f t="shared" si="1"/>
        <v>60.285714285714278</v>
      </c>
      <c r="R42" s="5" t="s">
        <v>160</v>
      </c>
      <c r="S42" s="48">
        <f>S41/S40</f>
        <v>1.6389111289031226</v>
      </c>
      <c r="T42" s="48">
        <f t="shared" ref="T42:AF42" si="34">T41/T40</f>
        <v>1.5241002570694091</v>
      </c>
      <c r="U42" s="48">
        <f t="shared" si="34"/>
        <v>1.4903598971722367</v>
      </c>
      <c r="V42" s="48">
        <f t="shared" si="34"/>
        <v>1.4225352112676057</v>
      </c>
      <c r="W42" s="48">
        <f t="shared" si="34"/>
        <v>1</v>
      </c>
      <c r="X42" s="48">
        <f t="shared" si="34"/>
        <v>8</v>
      </c>
      <c r="Y42" s="48">
        <f t="shared" si="34"/>
        <v>1.4053452115812919</v>
      </c>
      <c r="Z42" s="48">
        <f t="shared" si="34"/>
        <v>1.7452471482889733</v>
      </c>
      <c r="AA42" s="48">
        <f t="shared" si="34"/>
        <v>1.6431095406360423</v>
      </c>
      <c r="AB42" s="48">
        <f t="shared" si="34"/>
        <v>1</v>
      </c>
      <c r="AC42" s="48">
        <f t="shared" si="34"/>
        <v>1.1805246776345042</v>
      </c>
      <c r="AD42" s="48">
        <f t="shared" si="34"/>
        <v>1</v>
      </c>
      <c r="AE42" s="56">
        <f t="shared" si="34"/>
        <v>1.5009627727856227</v>
      </c>
      <c r="AF42" s="56">
        <f t="shared" si="34"/>
        <v>1.2817601135557133</v>
      </c>
    </row>
    <row r="43" spans="2:32" ht="23.1" customHeight="1" x14ac:dyDescent="0.25">
      <c r="B43" s="23" t="s">
        <v>70</v>
      </c>
      <c r="C43" s="49">
        <f>'Avg KAPEEKA-MATUGA'!C43+'Avg Week MATUGGA-KAPEEKA'!C43</f>
        <v>5</v>
      </c>
      <c r="D43" s="49">
        <f>'Avg KAPEEKA-MATUGA'!D43+'Avg Week MATUGGA-KAPEEKA'!D43</f>
        <v>2.0571428571428574</v>
      </c>
      <c r="E43" s="49">
        <f>'Avg KAPEEKA-MATUGA'!E43+'Avg Week MATUGGA-KAPEEKA'!E43</f>
        <v>3.0857142857142854</v>
      </c>
      <c r="F43" s="49">
        <f>'Avg KAPEEKA-MATUGA'!F43+'Avg Week MATUGGA-KAPEEKA'!F43</f>
        <v>3.1428571428571428</v>
      </c>
      <c r="G43" s="49">
        <f>'Avg KAPEEKA-MATUGA'!G43+'Avg Week MATUGGA-KAPEEKA'!G43</f>
        <v>0</v>
      </c>
      <c r="H43" s="49">
        <f>'Avg KAPEEKA-MATUGA'!H43+'Avg Week MATUGGA-KAPEEKA'!H43</f>
        <v>0</v>
      </c>
      <c r="I43" s="49">
        <f>'Avg KAPEEKA-MATUGA'!I43+'Avg Week MATUGGA-KAPEEKA'!I43</f>
        <v>4.2857142857142856</v>
      </c>
      <c r="J43" s="49">
        <f>'Avg KAPEEKA-MATUGA'!J43+'Avg Week MATUGGA-KAPEEKA'!J43</f>
        <v>1</v>
      </c>
      <c r="K43" s="49">
        <f>'Avg KAPEEKA-MATUGA'!K43+'Avg Week MATUGGA-KAPEEKA'!K43</f>
        <v>0.71428571428571419</v>
      </c>
      <c r="L43" s="49">
        <f>'Avg KAPEEKA-MATUGA'!L43+'Avg Week MATUGGA-KAPEEKA'!L43</f>
        <v>0.14285714285714285</v>
      </c>
      <c r="M43" s="49">
        <f>'Avg KAPEEKA-MATUGA'!M43+'Avg Week MATUGGA-KAPEEKA'!M43</f>
        <v>44.285714285714285</v>
      </c>
      <c r="N43" s="49">
        <f>'Avg KAPEEKA-MATUGA'!N43+'Avg Week MATUGGA-KAPEEKA'!N43</f>
        <v>0</v>
      </c>
      <c r="O43" s="15">
        <f t="shared" si="0"/>
        <v>19.428571428571427</v>
      </c>
      <c r="P43" s="15">
        <f t="shared" si="1"/>
        <v>63.714285714285708</v>
      </c>
    </row>
    <row r="44" spans="2:32" ht="23.1" customHeight="1" x14ac:dyDescent="0.25">
      <c r="B44" s="25" t="s">
        <v>71</v>
      </c>
      <c r="C44" s="49">
        <f>'Avg KAPEEKA-MATUGA'!C44+'Avg Week MATUGGA-KAPEEKA'!C44</f>
        <v>4</v>
      </c>
      <c r="D44" s="49">
        <f>'Avg KAPEEKA-MATUGA'!D44+'Avg Week MATUGGA-KAPEEKA'!D44</f>
        <v>1.7142857142857144</v>
      </c>
      <c r="E44" s="49">
        <f>'Avg KAPEEKA-MATUGA'!E44+'Avg Week MATUGGA-KAPEEKA'!E44</f>
        <v>2.5714285714285712</v>
      </c>
      <c r="F44" s="49">
        <f>'Avg KAPEEKA-MATUGA'!F44+'Avg Week MATUGGA-KAPEEKA'!F44</f>
        <v>3.2857142857142856</v>
      </c>
      <c r="G44" s="49">
        <f>'Avg KAPEEKA-MATUGA'!G44+'Avg Week MATUGGA-KAPEEKA'!G44</f>
        <v>0.2857142857142857</v>
      </c>
      <c r="H44" s="49">
        <f>'Avg KAPEEKA-MATUGA'!H44+'Avg Week MATUGGA-KAPEEKA'!H44</f>
        <v>0</v>
      </c>
      <c r="I44" s="49">
        <f>'Avg KAPEEKA-MATUGA'!I44+'Avg Week MATUGGA-KAPEEKA'!I44</f>
        <v>6.7142857142857135</v>
      </c>
      <c r="J44" s="49">
        <f>'Avg KAPEEKA-MATUGA'!J44+'Avg Week MATUGGA-KAPEEKA'!J44</f>
        <v>0.5714285714285714</v>
      </c>
      <c r="K44" s="49">
        <f>'Avg KAPEEKA-MATUGA'!K44+'Avg Week MATUGGA-KAPEEKA'!K44</f>
        <v>1.2857142857142856</v>
      </c>
      <c r="L44" s="49">
        <f>'Avg KAPEEKA-MATUGA'!L44+'Avg Week MATUGGA-KAPEEKA'!L44</f>
        <v>0.14285714285714285</v>
      </c>
      <c r="M44" s="49">
        <f>'Avg KAPEEKA-MATUGA'!M44+'Avg Week MATUGGA-KAPEEKA'!M44</f>
        <v>37.857142857142861</v>
      </c>
      <c r="N44" s="49">
        <f>'Avg KAPEEKA-MATUGA'!N44+'Avg Week MATUGGA-KAPEEKA'!N44</f>
        <v>0</v>
      </c>
      <c r="O44" s="15">
        <f t="shared" si="0"/>
        <v>20.571428571428569</v>
      </c>
      <c r="P44" s="15">
        <f t="shared" si="1"/>
        <v>58.428571428571431</v>
      </c>
    </row>
    <row r="45" spans="2:32" ht="23.1" customHeight="1" x14ac:dyDescent="0.25">
      <c r="B45" s="23" t="s">
        <v>72</v>
      </c>
      <c r="C45" s="49">
        <f>'Avg KAPEEKA-MATUGA'!C45+'Avg Week MATUGGA-KAPEEKA'!C45</f>
        <v>4</v>
      </c>
      <c r="D45" s="49">
        <f>'Avg KAPEEKA-MATUGA'!D45+'Avg Week MATUGGA-KAPEEKA'!D45</f>
        <v>2.2285714285714286</v>
      </c>
      <c r="E45" s="49">
        <f>'Avg KAPEEKA-MATUGA'!E45+'Avg Week MATUGGA-KAPEEKA'!E45</f>
        <v>3.3428571428571425</v>
      </c>
      <c r="F45" s="49">
        <f>'Avg KAPEEKA-MATUGA'!F45+'Avg Week MATUGGA-KAPEEKA'!F45</f>
        <v>3.1428571428571432</v>
      </c>
      <c r="G45" s="49">
        <f>'Avg KAPEEKA-MATUGA'!G45+'Avg Week MATUGGA-KAPEEKA'!G45</f>
        <v>0.14285714285714285</v>
      </c>
      <c r="H45" s="49">
        <f>'Avg KAPEEKA-MATUGA'!H45+'Avg Week MATUGGA-KAPEEKA'!H45</f>
        <v>0</v>
      </c>
      <c r="I45" s="49">
        <f>'Avg KAPEEKA-MATUGA'!I45+'Avg Week MATUGGA-KAPEEKA'!I45</f>
        <v>5.8571428571428568</v>
      </c>
      <c r="J45" s="49">
        <f>'Avg KAPEEKA-MATUGA'!J45+'Avg Week MATUGGA-KAPEEKA'!J45</f>
        <v>0.5714285714285714</v>
      </c>
      <c r="K45" s="49">
        <f>'Avg KAPEEKA-MATUGA'!K45+'Avg Week MATUGGA-KAPEEKA'!K45</f>
        <v>0.8571428571428571</v>
      </c>
      <c r="L45" s="49">
        <f>'Avg KAPEEKA-MATUGA'!L45+'Avg Week MATUGGA-KAPEEKA'!L45</f>
        <v>0.14285714285714285</v>
      </c>
      <c r="M45" s="49">
        <f>'Avg KAPEEKA-MATUGA'!M45+'Avg Week MATUGGA-KAPEEKA'!M45</f>
        <v>39.571428571428569</v>
      </c>
      <c r="N45" s="49">
        <f>'Avg KAPEEKA-MATUGA'!N45+'Avg Week MATUGGA-KAPEEKA'!N45</f>
        <v>0</v>
      </c>
      <c r="O45" s="15">
        <f t="shared" si="0"/>
        <v>20.285714285714288</v>
      </c>
      <c r="P45" s="15">
        <f t="shared" si="1"/>
        <v>59.857142857142861</v>
      </c>
    </row>
    <row r="46" spans="2:32" ht="23.1" customHeight="1" x14ac:dyDescent="0.25">
      <c r="B46" s="24" t="s">
        <v>73</v>
      </c>
      <c r="C46" s="49">
        <f>'Avg KAPEEKA-MATUGA'!C46+'Avg Week MATUGGA-KAPEEKA'!C46</f>
        <v>3.8571428571428577</v>
      </c>
      <c r="D46" s="49">
        <f>'Avg KAPEEKA-MATUGA'!D46+'Avg Week MATUGGA-KAPEEKA'!D46</f>
        <v>2.1142857142857148</v>
      </c>
      <c r="E46" s="49">
        <f>'Avg KAPEEKA-MATUGA'!E46+'Avg Week MATUGGA-KAPEEKA'!E46</f>
        <v>3.1714285714285717</v>
      </c>
      <c r="F46" s="49">
        <f>'Avg KAPEEKA-MATUGA'!F46+'Avg Week MATUGGA-KAPEEKA'!F46</f>
        <v>3.2857142857142856</v>
      </c>
      <c r="G46" s="49">
        <f>'Avg KAPEEKA-MATUGA'!G46+'Avg Week MATUGGA-KAPEEKA'!G46</f>
        <v>0.2857142857142857</v>
      </c>
      <c r="H46" s="49">
        <f>'Avg KAPEEKA-MATUGA'!H46+'Avg Week MATUGGA-KAPEEKA'!H46</f>
        <v>0</v>
      </c>
      <c r="I46" s="49">
        <f>'Avg KAPEEKA-MATUGA'!I46+'Avg Week MATUGGA-KAPEEKA'!I46</f>
        <v>6.7142857142857135</v>
      </c>
      <c r="J46" s="49">
        <f>'Avg KAPEEKA-MATUGA'!J46+'Avg Week MATUGGA-KAPEEKA'!J46</f>
        <v>1.2857142857142856</v>
      </c>
      <c r="K46" s="49">
        <f>'Avg KAPEEKA-MATUGA'!K46+'Avg Week MATUGGA-KAPEEKA'!K46</f>
        <v>0.71428571428571419</v>
      </c>
      <c r="L46" s="49">
        <f>'Avg KAPEEKA-MATUGA'!L46+'Avg Week MATUGGA-KAPEEKA'!L46</f>
        <v>0.14285714285714285</v>
      </c>
      <c r="M46" s="49">
        <f>'Avg KAPEEKA-MATUGA'!M46+'Avg Week MATUGGA-KAPEEKA'!M46</f>
        <v>35.857142857142861</v>
      </c>
      <c r="N46" s="49">
        <f>'Avg KAPEEKA-MATUGA'!N46+'Avg Week MATUGGA-KAPEEKA'!N46</f>
        <v>0</v>
      </c>
      <c r="O46" s="15">
        <f t="shared" si="0"/>
        <v>21.571428571428573</v>
      </c>
      <c r="P46" s="15">
        <f t="shared" si="1"/>
        <v>57.428571428571431</v>
      </c>
      <c r="R46" s="8"/>
      <c r="T46"/>
    </row>
    <row r="47" spans="2:32" ht="23.1" customHeight="1" x14ac:dyDescent="0.25">
      <c r="B47" s="24" t="s">
        <v>74</v>
      </c>
      <c r="C47" s="49">
        <f>'Avg KAPEEKA-MATUGA'!C47+'Avg Week MATUGGA-KAPEEKA'!C47</f>
        <v>4.2857142857142856</v>
      </c>
      <c r="D47" s="49">
        <f>'Avg KAPEEKA-MATUGA'!D47+'Avg Week MATUGGA-KAPEEKA'!D47</f>
        <v>2.342857142857143</v>
      </c>
      <c r="E47" s="49">
        <f>'Avg KAPEEKA-MATUGA'!E47+'Avg Week MATUGGA-KAPEEKA'!E47</f>
        <v>3.5142857142857142</v>
      </c>
      <c r="F47" s="49">
        <f>'Avg KAPEEKA-MATUGA'!F47+'Avg Week MATUGGA-KAPEEKA'!F47</f>
        <v>4.1428571428571423</v>
      </c>
      <c r="G47" s="49">
        <f>'Avg KAPEEKA-MATUGA'!G47+'Avg Week MATUGGA-KAPEEKA'!G47</f>
        <v>0.14285714285714285</v>
      </c>
      <c r="H47" s="49">
        <f>'Avg KAPEEKA-MATUGA'!H47+'Avg Week MATUGGA-KAPEEKA'!H47</f>
        <v>0</v>
      </c>
      <c r="I47" s="49">
        <f>'Avg KAPEEKA-MATUGA'!I47+'Avg Week MATUGGA-KAPEEKA'!I47</f>
        <v>6.7142857142857153</v>
      </c>
      <c r="J47" s="49">
        <f>'Avg KAPEEKA-MATUGA'!J47+'Avg Week MATUGGA-KAPEEKA'!J47</f>
        <v>0.8571428571428571</v>
      </c>
      <c r="K47" s="49">
        <f>'Avg KAPEEKA-MATUGA'!K47+'Avg Week MATUGGA-KAPEEKA'!K47</f>
        <v>0.71428571428571419</v>
      </c>
      <c r="L47" s="49">
        <f>'Avg KAPEEKA-MATUGA'!L47+'Avg Week MATUGGA-KAPEEKA'!L47</f>
        <v>0.14285714285714285</v>
      </c>
      <c r="M47" s="49">
        <f>'Avg KAPEEKA-MATUGA'!M47+'Avg Week MATUGGA-KAPEEKA'!M47</f>
        <v>38.571428571428569</v>
      </c>
      <c r="N47" s="49">
        <f>'Avg KAPEEKA-MATUGA'!N47+'Avg Week MATUGGA-KAPEEKA'!N47</f>
        <v>0</v>
      </c>
      <c r="O47" s="15">
        <f t="shared" si="0"/>
        <v>22.857142857142858</v>
      </c>
      <c r="P47" s="15">
        <f t="shared" si="1"/>
        <v>61.428571428571431</v>
      </c>
      <c r="R47" s="8"/>
      <c r="T47"/>
    </row>
    <row r="48" spans="2:32" ht="23.1" customHeight="1" x14ac:dyDescent="0.25">
      <c r="B48" s="24" t="s">
        <v>75</v>
      </c>
      <c r="C48" s="49">
        <f>'Avg KAPEEKA-MATUGA'!C48+'Avg Week MATUGGA-KAPEEKA'!C48</f>
        <v>3.4285714285714288</v>
      </c>
      <c r="D48" s="49">
        <f>'Avg KAPEEKA-MATUGA'!D48+'Avg Week MATUGGA-KAPEEKA'!D48</f>
        <v>2.0571428571428569</v>
      </c>
      <c r="E48" s="49">
        <f>'Avg KAPEEKA-MATUGA'!E48+'Avg Week MATUGGA-KAPEEKA'!E48</f>
        <v>3.0857142857142854</v>
      </c>
      <c r="F48" s="49">
        <f>'Avg KAPEEKA-MATUGA'!F48+'Avg Week MATUGGA-KAPEEKA'!F48</f>
        <v>3.8571428571428568</v>
      </c>
      <c r="G48" s="49">
        <f>'Avg KAPEEKA-MATUGA'!G48+'Avg Week MATUGGA-KAPEEKA'!G48</f>
        <v>0.5714285714285714</v>
      </c>
      <c r="H48" s="49">
        <f>'Avg KAPEEKA-MATUGA'!H48+'Avg Week MATUGGA-KAPEEKA'!H48</f>
        <v>0</v>
      </c>
      <c r="I48" s="49">
        <f>'Avg KAPEEKA-MATUGA'!I48+'Avg Week MATUGGA-KAPEEKA'!I48</f>
        <v>5.7142857142857144</v>
      </c>
      <c r="J48" s="49">
        <f>'Avg KAPEEKA-MATUGA'!J48+'Avg Week MATUGGA-KAPEEKA'!J48</f>
        <v>1.4285714285714284</v>
      </c>
      <c r="K48" s="49">
        <f>'Avg KAPEEKA-MATUGA'!K48+'Avg Week MATUGGA-KAPEEKA'!K48</f>
        <v>0.42857142857142855</v>
      </c>
      <c r="L48" s="49">
        <f>'Avg KAPEEKA-MATUGA'!L48+'Avg Week MATUGGA-KAPEEKA'!L48</f>
        <v>0.14285714285714285</v>
      </c>
      <c r="M48" s="49">
        <f>'Avg KAPEEKA-MATUGA'!M48+'Avg Week MATUGGA-KAPEEKA'!M48</f>
        <v>34.428571428571431</v>
      </c>
      <c r="N48" s="49">
        <f>'Avg KAPEEKA-MATUGA'!N48+'Avg Week MATUGGA-KAPEEKA'!N48</f>
        <v>0</v>
      </c>
      <c r="O48" s="15">
        <f t="shared" si="0"/>
        <v>20.714285714285708</v>
      </c>
      <c r="P48" s="15">
        <f t="shared" si="1"/>
        <v>55.142857142857139</v>
      </c>
      <c r="R48" s="8"/>
      <c r="T48"/>
    </row>
    <row r="49" spans="2:20" ht="23.1" customHeight="1" x14ac:dyDescent="0.25">
      <c r="B49" s="23" t="s">
        <v>76</v>
      </c>
      <c r="C49" s="49">
        <f>'Avg KAPEEKA-MATUGA'!C49+'Avg Week MATUGGA-KAPEEKA'!C49</f>
        <v>3.8571428571428572</v>
      </c>
      <c r="D49" s="49">
        <f>'Avg KAPEEKA-MATUGA'!D49+'Avg Week MATUGGA-KAPEEKA'!D49</f>
        <v>2.5714285714285716</v>
      </c>
      <c r="E49" s="49">
        <f>'Avg KAPEEKA-MATUGA'!E49+'Avg Week MATUGGA-KAPEEKA'!E49</f>
        <v>3.8571428571428568</v>
      </c>
      <c r="F49" s="49">
        <f>'Avg KAPEEKA-MATUGA'!F49+'Avg Week MATUGGA-KAPEEKA'!F49</f>
        <v>4.7142857142857144</v>
      </c>
      <c r="G49" s="49">
        <f>'Avg KAPEEKA-MATUGA'!G49+'Avg Week MATUGGA-KAPEEKA'!G49</f>
        <v>0.14285714285714285</v>
      </c>
      <c r="H49" s="49">
        <f>'Avg KAPEEKA-MATUGA'!H49+'Avg Week MATUGGA-KAPEEKA'!H49</f>
        <v>0</v>
      </c>
      <c r="I49" s="49">
        <f>'Avg KAPEEKA-MATUGA'!I49+'Avg Week MATUGGA-KAPEEKA'!I49</f>
        <v>5.7142857142857144</v>
      </c>
      <c r="J49" s="49">
        <f>'Avg KAPEEKA-MATUGA'!J49+'Avg Week MATUGGA-KAPEEKA'!J49</f>
        <v>1</v>
      </c>
      <c r="K49" s="49">
        <f>'Avg KAPEEKA-MATUGA'!K49+'Avg Week MATUGGA-KAPEEKA'!K49</f>
        <v>0.42857142857142855</v>
      </c>
      <c r="L49" s="49">
        <f>'Avg KAPEEKA-MATUGA'!L49+'Avg Week MATUGGA-KAPEEKA'!L49</f>
        <v>0.14285714285714285</v>
      </c>
      <c r="M49" s="49">
        <f>'Avg KAPEEKA-MATUGA'!M49+'Avg Week MATUGGA-KAPEEKA'!M49</f>
        <v>37.571428571428569</v>
      </c>
      <c r="N49" s="49">
        <f>'Avg KAPEEKA-MATUGA'!N49+'Avg Week MATUGGA-KAPEEKA'!N49</f>
        <v>0</v>
      </c>
      <c r="O49" s="15">
        <f t="shared" si="0"/>
        <v>22.428571428571427</v>
      </c>
      <c r="P49" s="15">
        <f t="shared" si="1"/>
        <v>60</v>
      </c>
      <c r="R49" s="8"/>
      <c r="T49"/>
    </row>
    <row r="50" spans="2:20" ht="23.1" customHeight="1" x14ac:dyDescent="0.25">
      <c r="B50" s="24" t="s">
        <v>77</v>
      </c>
      <c r="C50" s="49">
        <f>'Avg KAPEEKA-MATUGA'!C50+'Avg Week MATUGGA-KAPEEKA'!C50</f>
        <v>4.7142857142857144</v>
      </c>
      <c r="D50" s="49">
        <f>'Avg KAPEEKA-MATUGA'!D50+'Avg Week MATUGGA-KAPEEKA'!D50</f>
        <v>2.6285714285714286</v>
      </c>
      <c r="E50" s="49">
        <f>'Avg KAPEEKA-MATUGA'!E50+'Avg Week MATUGGA-KAPEEKA'!E50</f>
        <v>3.9428571428571422</v>
      </c>
      <c r="F50" s="49">
        <f>'Avg KAPEEKA-MATUGA'!F50+'Avg Week MATUGGA-KAPEEKA'!F50</f>
        <v>3.4285714285714284</v>
      </c>
      <c r="G50" s="49">
        <f>'Avg KAPEEKA-MATUGA'!G50+'Avg Week MATUGGA-KAPEEKA'!G50</f>
        <v>0</v>
      </c>
      <c r="H50" s="49">
        <f>'Avg KAPEEKA-MATUGA'!H50+'Avg Week MATUGGA-KAPEEKA'!H50</f>
        <v>0</v>
      </c>
      <c r="I50" s="49">
        <f>'Avg KAPEEKA-MATUGA'!I50+'Avg Week MATUGGA-KAPEEKA'!I50</f>
        <v>7</v>
      </c>
      <c r="J50" s="49">
        <f>'Avg KAPEEKA-MATUGA'!J50+'Avg Week MATUGGA-KAPEEKA'!J50</f>
        <v>0.85714285714285721</v>
      </c>
      <c r="K50" s="49">
        <f>'Avg KAPEEKA-MATUGA'!K50+'Avg Week MATUGGA-KAPEEKA'!K50</f>
        <v>0.85714285714285721</v>
      </c>
      <c r="L50" s="49">
        <f>'Avg KAPEEKA-MATUGA'!L50+'Avg Week MATUGGA-KAPEEKA'!L50</f>
        <v>0.14285714285714285</v>
      </c>
      <c r="M50" s="49">
        <f>'Avg KAPEEKA-MATUGA'!M50+'Avg Week MATUGGA-KAPEEKA'!M50</f>
        <v>38.285714285714285</v>
      </c>
      <c r="N50" s="49">
        <f>'Avg KAPEEKA-MATUGA'!N50+'Avg Week MATUGGA-KAPEEKA'!N50</f>
        <v>0</v>
      </c>
      <c r="O50" s="15">
        <f t="shared" si="0"/>
        <v>23.571428571428573</v>
      </c>
      <c r="P50" s="15">
        <f t="shared" si="1"/>
        <v>61.857142857142861</v>
      </c>
      <c r="R50" s="8"/>
      <c r="T50"/>
    </row>
    <row r="51" spans="2:20" ht="23.1" customHeight="1" x14ac:dyDescent="0.25">
      <c r="B51" s="24" t="s">
        <v>78</v>
      </c>
      <c r="C51" s="49">
        <f>'Avg KAPEEKA-MATUGA'!C51+'Avg Week MATUGGA-KAPEEKA'!C51</f>
        <v>4.4285714285714288</v>
      </c>
      <c r="D51" s="49">
        <f>'Avg KAPEEKA-MATUGA'!D51+'Avg Week MATUGGA-KAPEEKA'!D51</f>
        <v>2.1142857142857148</v>
      </c>
      <c r="E51" s="49">
        <f>'Avg KAPEEKA-MATUGA'!E51+'Avg Week MATUGGA-KAPEEKA'!E51</f>
        <v>3.1714285714285717</v>
      </c>
      <c r="F51" s="49">
        <f>'Avg KAPEEKA-MATUGA'!F51+'Avg Week MATUGGA-KAPEEKA'!F51</f>
        <v>4</v>
      </c>
      <c r="G51" s="49">
        <f>'Avg KAPEEKA-MATUGA'!G51+'Avg Week MATUGGA-KAPEEKA'!G51</f>
        <v>0</v>
      </c>
      <c r="H51" s="49">
        <f>'Avg KAPEEKA-MATUGA'!H51+'Avg Week MATUGGA-KAPEEKA'!H51</f>
        <v>0</v>
      </c>
      <c r="I51" s="49">
        <f>'Avg KAPEEKA-MATUGA'!I51+'Avg Week MATUGGA-KAPEEKA'!I51</f>
        <v>6.5714285714285712</v>
      </c>
      <c r="J51" s="49">
        <f>'Avg KAPEEKA-MATUGA'!J51+'Avg Week MATUGGA-KAPEEKA'!J51</f>
        <v>1</v>
      </c>
      <c r="K51" s="49">
        <f>'Avg KAPEEKA-MATUGA'!K51+'Avg Week MATUGGA-KAPEEKA'!K51</f>
        <v>1.5714285714285714</v>
      </c>
      <c r="L51" s="49">
        <f>'Avg KAPEEKA-MATUGA'!L51+'Avg Week MATUGGA-KAPEEKA'!L51</f>
        <v>0.14285714285714285</v>
      </c>
      <c r="M51" s="49">
        <f>'Avg KAPEEKA-MATUGA'!M51+'Avg Week MATUGGA-KAPEEKA'!M51</f>
        <v>46.285714285714292</v>
      </c>
      <c r="N51" s="49">
        <f>'Avg KAPEEKA-MATUGA'!N51+'Avg Week MATUGGA-KAPEEKA'!N51</f>
        <v>0</v>
      </c>
      <c r="O51" s="15">
        <f t="shared" si="0"/>
        <v>23</v>
      </c>
      <c r="P51" s="15">
        <f t="shared" si="1"/>
        <v>69.285714285714292</v>
      </c>
      <c r="R51" s="8"/>
      <c r="T51"/>
    </row>
    <row r="52" spans="2:20" ht="23.1" customHeight="1" x14ac:dyDescent="0.25">
      <c r="B52" s="24" t="s">
        <v>79</v>
      </c>
      <c r="C52" s="49">
        <f>'Avg KAPEEKA-MATUGA'!C52+'Avg Week MATUGGA-KAPEEKA'!C52</f>
        <v>4</v>
      </c>
      <c r="D52" s="49">
        <f>'Avg KAPEEKA-MATUGA'!D52+'Avg Week MATUGGA-KAPEEKA'!D52</f>
        <v>3.8857142857142861</v>
      </c>
      <c r="E52" s="49">
        <f>'Avg KAPEEKA-MATUGA'!E52+'Avg Week MATUGGA-KAPEEKA'!E52</f>
        <v>5.8285714285714283</v>
      </c>
      <c r="F52" s="49">
        <f>'Avg KAPEEKA-MATUGA'!F52+'Avg Week MATUGGA-KAPEEKA'!F52</f>
        <v>4.2857142857142856</v>
      </c>
      <c r="G52" s="49">
        <f>'Avg KAPEEKA-MATUGA'!G52+'Avg Week MATUGGA-KAPEEKA'!G52</f>
        <v>0.14285714285714285</v>
      </c>
      <c r="H52" s="49">
        <f>'Avg KAPEEKA-MATUGA'!H52+'Avg Week MATUGGA-KAPEEKA'!H52</f>
        <v>0</v>
      </c>
      <c r="I52" s="49">
        <f>'Avg KAPEEKA-MATUGA'!I52+'Avg Week MATUGGA-KAPEEKA'!I52</f>
        <v>5.7142857142857144</v>
      </c>
      <c r="J52" s="49">
        <f>'Avg KAPEEKA-MATUGA'!J52+'Avg Week MATUGGA-KAPEEKA'!J52</f>
        <v>0.71428571428571419</v>
      </c>
      <c r="K52" s="49">
        <f>'Avg KAPEEKA-MATUGA'!K52+'Avg Week MATUGGA-KAPEEKA'!K52</f>
        <v>1</v>
      </c>
      <c r="L52" s="49">
        <f>'Avg KAPEEKA-MATUGA'!L52+'Avg Week MATUGGA-KAPEEKA'!L52</f>
        <v>0.14285714285714285</v>
      </c>
      <c r="M52" s="49">
        <f>'Avg KAPEEKA-MATUGA'!M52+'Avg Week MATUGGA-KAPEEKA'!M52</f>
        <v>52.142857142857139</v>
      </c>
      <c r="N52" s="49">
        <f>'Avg KAPEEKA-MATUGA'!N52+'Avg Week MATUGGA-KAPEEKA'!N52</f>
        <v>0</v>
      </c>
      <c r="O52" s="15">
        <f t="shared" si="0"/>
        <v>25.714285714285715</v>
      </c>
      <c r="P52" s="15">
        <f t="shared" si="1"/>
        <v>77.857142857142861</v>
      </c>
      <c r="R52" s="8"/>
      <c r="T52"/>
    </row>
    <row r="53" spans="2:20" ht="23.1" customHeight="1" x14ac:dyDescent="0.25">
      <c r="B53" s="23" t="s">
        <v>80</v>
      </c>
      <c r="C53" s="49">
        <f>'Avg KAPEEKA-MATUGA'!C53+'Avg Week MATUGGA-KAPEEKA'!C53</f>
        <v>7.2857142857142865</v>
      </c>
      <c r="D53" s="49">
        <f>'Avg KAPEEKA-MATUGA'!D53+'Avg Week MATUGGA-KAPEEKA'!D53</f>
        <v>1.8285714285714287</v>
      </c>
      <c r="E53" s="49">
        <f>'Avg KAPEEKA-MATUGA'!E53+'Avg Week MATUGGA-KAPEEKA'!E53</f>
        <v>2.7428571428571429</v>
      </c>
      <c r="F53" s="49">
        <f>'Avg KAPEEKA-MATUGA'!F53+'Avg Week MATUGGA-KAPEEKA'!F53</f>
        <v>2.8571428571428572</v>
      </c>
      <c r="G53" s="49">
        <f>'Avg KAPEEKA-MATUGA'!G53+'Avg Week MATUGGA-KAPEEKA'!G53</f>
        <v>0</v>
      </c>
      <c r="H53" s="49">
        <f>'Avg KAPEEKA-MATUGA'!H53+'Avg Week MATUGGA-KAPEEKA'!H53</f>
        <v>0</v>
      </c>
      <c r="I53" s="49">
        <f>'Avg KAPEEKA-MATUGA'!I53+'Avg Week MATUGGA-KAPEEKA'!I53</f>
        <v>6.1428571428571423</v>
      </c>
      <c r="J53" s="49">
        <f>'Avg KAPEEKA-MATUGA'!J53+'Avg Week MATUGGA-KAPEEKA'!J53</f>
        <v>0.5714285714285714</v>
      </c>
      <c r="K53" s="49">
        <f>'Avg KAPEEKA-MATUGA'!K53+'Avg Week MATUGGA-KAPEEKA'!K53</f>
        <v>0.8571428571428571</v>
      </c>
      <c r="L53" s="49">
        <f>'Avg KAPEEKA-MATUGA'!L53+'Avg Week MATUGGA-KAPEEKA'!L53</f>
        <v>0.14285714285714285</v>
      </c>
      <c r="M53" s="49">
        <f>'Avg KAPEEKA-MATUGA'!M53+'Avg Week MATUGGA-KAPEEKA'!M53</f>
        <v>48.142857142857146</v>
      </c>
      <c r="N53" s="49">
        <f>'Avg KAPEEKA-MATUGA'!N53+'Avg Week MATUGGA-KAPEEKA'!N53</f>
        <v>0</v>
      </c>
      <c r="O53" s="15">
        <f t="shared" si="0"/>
        <v>22.428571428571431</v>
      </c>
      <c r="P53" s="15">
        <f t="shared" si="1"/>
        <v>70.571428571428584</v>
      </c>
      <c r="R53" s="8"/>
      <c r="T53"/>
    </row>
    <row r="54" spans="2:20" ht="23.1" customHeight="1" x14ac:dyDescent="0.25">
      <c r="B54" s="23" t="s">
        <v>81</v>
      </c>
      <c r="C54" s="49">
        <f>'Avg KAPEEKA-MATUGA'!C54+'Avg Week MATUGGA-KAPEEKA'!C54</f>
        <v>3.8571428571428577</v>
      </c>
      <c r="D54" s="49">
        <f>'Avg KAPEEKA-MATUGA'!D54+'Avg Week MATUGGA-KAPEEKA'!D54</f>
        <v>2.285714285714286</v>
      </c>
      <c r="E54" s="49">
        <f>'Avg KAPEEKA-MATUGA'!E54+'Avg Week MATUGGA-KAPEEKA'!E54</f>
        <v>3.4285714285714284</v>
      </c>
      <c r="F54" s="49">
        <f>'Avg KAPEEKA-MATUGA'!F54+'Avg Week MATUGGA-KAPEEKA'!F54</f>
        <v>3.2857142857142856</v>
      </c>
      <c r="G54" s="49">
        <f>'Avg KAPEEKA-MATUGA'!G54+'Avg Week MATUGGA-KAPEEKA'!G54</f>
        <v>0.2857142857142857</v>
      </c>
      <c r="H54" s="49">
        <f>'Avg KAPEEKA-MATUGA'!H54+'Avg Week MATUGGA-KAPEEKA'!H54</f>
        <v>0</v>
      </c>
      <c r="I54" s="49">
        <f>'Avg KAPEEKA-MATUGA'!I54+'Avg Week MATUGGA-KAPEEKA'!I54</f>
        <v>6.2857142857142865</v>
      </c>
      <c r="J54" s="49">
        <f>'Avg KAPEEKA-MATUGA'!J54+'Avg Week MATUGGA-KAPEEKA'!J54</f>
        <v>0.5714285714285714</v>
      </c>
      <c r="K54" s="49">
        <f>'Avg KAPEEKA-MATUGA'!K54+'Avg Week MATUGGA-KAPEEKA'!K54</f>
        <v>1</v>
      </c>
      <c r="L54" s="49">
        <f>'Avg KAPEEKA-MATUGA'!L54+'Avg Week MATUGGA-KAPEEKA'!L54</f>
        <v>0.14285714285714285</v>
      </c>
      <c r="M54" s="49">
        <f>'Avg KAPEEKA-MATUGA'!M54+'Avg Week MATUGGA-KAPEEKA'!M54</f>
        <v>52.285714285714292</v>
      </c>
      <c r="N54" s="49">
        <f>'Avg KAPEEKA-MATUGA'!N54+'Avg Week MATUGGA-KAPEEKA'!N54</f>
        <v>0</v>
      </c>
      <c r="O54" s="15">
        <f t="shared" si="0"/>
        <v>21.142857142857146</v>
      </c>
      <c r="P54" s="15">
        <f t="shared" si="1"/>
        <v>73.428571428571445</v>
      </c>
      <c r="R54" s="8"/>
      <c r="T54"/>
    </row>
    <row r="55" spans="2:20" ht="23.1" customHeight="1" x14ac:dyDescent="0.25">
      <c r="B55" s="23" t="s">
        <v>82</v>
      </c>
      <c r="C55" s="49">
        <f>'Avg KAPEEKA-MATUGA'!C55+'Avg Week MATUGGA-KAPEEKA'!C55</f>
        <v>4.1428571428571432</v>
      </c>
      <c r="D55" s="49">
        <f>'Avg KAPEEKA-MATUGA'!D55+'Avg Week MATUGGA-KAPEEKA'!D55</f>
        <v>2.2857142857142856</v>
      </c>
      <c r="E55" s="49">
        <f>'Avg KAPEEKA-MATUGA'!E55+'Avg Week MATUGGA-KAPEEKA'!E55</f>
        <v>3.4285714285714284</v>
      </c>
      <c r="F55" s="49">
        <f>'Avg KAPEEKA-MATUGA'!F55+'Avg Week MATUGGA-KAPEEKA'!F55</f>
        <v>3.5714285714285712</v>
      </c>
      <c r="G55" s="49">
        <f>'Avg KAPEEKA-MATUGA'!G55+'Avg Week MATUGGA-KAPEEKA'!G55</f>
        <v>0.2857142857142857</v>
      </c>
      <c r="H55" s="49">
        <f>'Avg KAPEEKA-MATUGA'!H55+'Avg Week MATUGGA-KAPEEKA'!H55</f>
        <v>0</v>
      </c>
      <c r="I55" s="49">
        <f>'Avg KAPEEKA-MATUGA'!I55+'Avg Week MATUGGA-KAPEEKA'!I55</f>
        <v>8</v>
      </c>
      <c r="J55" s="49">
        <f>'Avg KAPEEKA-MATUGA'!J55+'Avg Week MATUGGA-KAPEEKA'!J55</f>
        <v>0.85714285714285721</v>
      </c>
      <c r="K55" s="49">
        <f>'Avg KAPEEKA-MATUGA'!K55+'Avg Week MATUGGA-KAPEEKA'!K55</f>
        <v>0.71428571428571419</v>
      </c>
      <c r="L55" s="49">
        <f>'Avg KAPEEKA-MATUGA'!L55+'Avg Week MATUGGA-KAPEEKA'!L55</f>
        <v>0.14285714285714285</v>
      </c>
      <c r="M55" s="49">
        <f>'Avg KAPEEKA-MATUGA'!M55+'Avg Week MATUGGA-KAPEEKA'!M55</f>
        <v>50.142857142857139</v>
      </c>
      <c r="N55" s="49">
        <f>'Avg KAPEEKA-MATUGA'!N55+'Avg Week MATUGGA-KAPEEKA'!N55</f>
        <v>0</v>
      </c>
      <c r="O55" s="15">
        <f t="shared" si="0"/>
        <v>23.428571428571431</v>
      </c>
      <c r="P55" s="15">
        <f t="shared" si="1"/>
        <v>73.571428571428569</v>
      </c>
      <c r="R55" s="8"/>
      <c r="T55"/>
    </row>
    <row r="56" spans="2:20" ht="23.1" customHeight="1" x14ac:dyDescent="0.25">
      <c r="B56" s="23" t="s">
        <v>83</v>
      </c>
      <c r="C56" s="49">
        <f>'Avg KAPEEKA-MATUGA'!C56+'Avg Week MATUGGA-KAPEEKA'!C56</f>
        <v>3.8571428571428577</v>
      </c>
      <c r="D56" s="49">
        <f>'Avg KAPEEKA-MATUGA'!D56+'Avg Week MATUGGA-KAPEEKA'!D56</f>
        <v>1.657142857142857</v>
      </c>
      <c r="E56" s="49">
        <f>'Avg KAPEEKA-MATUGA'!E56+'Avg Week MATUGGA-KAPEEKA'!E56</f>
        <v>2.4857142857142858</v>
      </c>
      <c r="F56" s="49">
        <f>'Avg KAPEEKA-MATUGA'!F56+'Avg Week MATUGGA-KAPEEKA'!F56</f>
        <v>4.8571428571428577</v>
      </c>
      <c r="G56" s="49">
        <f>'Avg KAPEEKA-MATUGA'!G56+'Avg Week MATUGGA-KAPEEKA'!G56</f>
        <v>0</v>
      </c>
      <c r="H56" s="49">
        <f>'Avg KAPEEKA-MATUGA'!H56+'Avg Week MATUGGA-KAPEEKA'!H56</f>
        <v>0</v>
      </c>
      <c r="I56" s="49">
        <f>'Avg KAPEEKA-MATUGA'!I56+'Avg Week MATUGGA-KAPEEKA'!I56</f>
        <v>5.4285714285714288</v>
      </c>
      <c r="J56" s="49">
        <f>'Avg KAPEEKA-MATUGA'!J56+'Avg Week MATUGGA-KAPEEKA'!J56</f>
        <v>1.1428571428571428</v>
      </c>
      <c r="K56" s="49">
        <f>'Avg KAPEEKA-MATUGA'!K56+'Avg Week MATUGGA-KAPEEKA'!K56</f>
        <v>0.42857142857142855</v>
      </c>
      <c r="L56" s="49">
        <f>'Avg KAPEEKA-MATUGA'!L56+'Avg Week MATUGGA-KAPEEKA'!L56</f>
        <v>0.14285714285714285</v>
      </c>
      <c r="M56" s="49">
        <f>'Avg KAPEEKA-MATUGA'!M56+'Avg Week MATUGGA-KAPEEKA'!M56</f>
        <v>48.571428571428569</v>
      </c>
      <c r="N56" s="49">
        <f>'Avg KAPEEKA-MATUGA'!N56+'Avg Week MATUGGA-KAPEEKA'!N56</f>
        <v>0</v>
      </c>
      <c r="O56" s="15">
        <f t="shared" si="0"/>
        <v>19.999999999999996</v>
      </c>
      <c r="P56" s="15">
        <f t="shared" si="1"/>
        <v>68.571428571428569</v>
      </c>
      <c r="R56" s="8"/>
      <c r="T56"/>
    </row>
    <row r="57" spans="2:20" ht="23.1" customHeight="1" x14ac:dyDescent="0.25">
      <c r="B57" s="23" t="s">
        <v>84</v>
      </c>
      <c r="C57" s="49">
        <f>'Avg KAPEEKA-MATUGA'!C57+'Avg Week MATUGGA-KAPEEKA'!C57</f>
        <v>3.7142857142857144</v>
      </c>
      <c r="D57" s="49">
        <f>'Avg KAPEEKA-MATUGA'!D57+'Avg Week MATUGGA-KAPEEKA'!D57</f>
        <v>1.7142857142857144</v>
      </c>
      <c r="E57" s="49">
        <f>'Avg KAPEEKA-MATUGA'!E57+'Avg Week MATUGGA-KAPEEKA'!E57</f>
        <v>2.5714285714285712</v>
      </c>
      <c r="F57" s="49">
        <f>'Avg KAPEEKA-MATUGA'!F57+'Avg Week MATUGGA-KAPEEKA'!F57</f>
        <v>3.5714285714285712</v>
      </c>
      <c r="G57" s="49">
        <f>'Avg KAPEEKA-MATUGA'!G57+'Avg Week MATUGGA-KAPEEKA'!G57</f>
        <v>0</v>
      </c>
      <c r="H57" s="49">
        <f>'Avg KAPEEKA-MATUGA'!H57+'Avg Week MATUGGA-KAPEEKA'!H57</f>
        <v>0.14285714285714285</v>
      </c>
      <c r="I57" s="49">
        <f>'Avg KAPEEKA-MATUGA'!I57+'Avg Week MATUGGA-KAPEEKA'!I57</f>
        <v>7.8571428571428577</v>
      </c>
      <c r="J57" s="49">
        <f>'Avg KAPEEKA-MATUGA'!J57+'Avg Week MATUGGA-KAPEEKA'!J57</f>
        <v>0.42857142857142855</v>
      </c>
      <c r="K57" s="49">
        <f>'Avg KAPEEKA-MATUGA'!K57+'Avg Week MATUGGA-KAPEEKA'!K57</f>
        <v>0.71428571428571419</v>
      </c>
      <c r="L57" s="49">
        <f>'Avg KAPEEKA-MATUGA'!L57+'Avg Week MATUGGA-KAPEEKA'!L57</f>
        <v>0.14285714285714285</v>
      </c>
      <c r="M57" s="49">
        <f>'Avg KAPEEKA-MATUGA'!M57+'Avg Week MATUGGA-KAPEEKA'!M57</f>
        <v>48</v>
      </c>
      <c r="N57" s="49">
        <f>'Avg KAPEEKA-MATUGA'!N57+'Avg Week MATUGGA-KAPEEKA'!N57</f>
        <v>0</v>
      </c>
      <c r="O57" s="15">
        <f t="shared" si="0"/>
        <v>20.857142857142854</v>
      </c>
      <c r="P57" s="15">
        <f t="shared" si="1"/>
        <v>68.857142857142861</v>
      </c>
      <c r="R57" s="8"/>
      <c r="T57"/>
    </row>
    <row r="58" spans="2:20" ht="23.1" customHeight="1" x14ac:dyDescent="0.25">
      <c r="B58" s="23" t="s">
        <v>99</v>
      </c>
      <c r="C58" s="49">
        <f>'Avg KAPEEKA-MATUGA'!C58+'Avg Week MATUGGA-KAPEEKA'!C58</f>
        <v>2</v>
      </c>
      <c r="D58" s="49">
        <f>'Avg KAPEEKA-MATUGA'!D58+'Avg Week MATUGGA-KAPEEKA'!D58</f>
        <v>3.2</v>
      </c>
      <c r="E58" s="49">
        <f>'Avg KAPEEKA-MATUGA'!E58+'Avg Week MATUGGA-KAPEEKA'!E58</f>
        <v>4.8</v>
      </c>
      <c r="F58" s="49">
        <f>'Avg KAPEEKA-MATUGA'!F58+'Avg Week MATUGGA-KAPEEKA'!F58</f>
        <v>0</v>
      </c>
      <c r="G58" s="49">
        <f>'Avg KAPEEKA-MATUGA'!G58+'Avg Week MATUGGA-KAPEEKA'!G58</f>
        <v>0</v>
      </c>
      <c r="H58" s="49">
        <f>'Avg KAPEEKA-MATUGA'!H58+'Avg Week MATUGGA-KAPEEKA'!H58</f>
        <v>0</v>
      </c>
      <c r="I58" s="49">
        <f>'Avg KAPEEKA-MATUGA'!I58+'Avg Week MATUGGA-KAPEEKA'!I58</f>
        <v>4</v>
      </c>
      <c r="J58" s="49">
        <f>'Avg KAPEEKA-MATUGA'!J58+'Avg Week MATUGGA-KAPEEKA'!J58</f>
        <v>0</v>
      </c>
      <c r="K58" s="49">
        <f>'Avg KAPEEKA-MATUGA'!K58+'Avg Week MATUGGA-KAPEEKA'!K58</f>
        <v>0</v>
      </c>
      <c r="L58" s="49">
        <f>'Avg KAPEEKA-MATUGA'!L58+'Avg Week MATUGGA-KAPEEKA'!L58</f>
        <v>0</v>
      </c>
      <c r="M58" s="49">
        <f>'Avg KAPEEKA-MATUGA'!M58+'Avg Week MATUGGA-KAPEEKA'!M58</f>
        <v>30</v>
      </c>
      <c r="N58" s="49">
        <f>'Avg KAPEEKA-MATUGA'!N58+'Avg Week MATUGGA-KAPEEKA'!N58</f>
        <v>0</v>
      </c>
      <c r="O58" s="15">
        <f t="shared" si="0"/>
        <v>14</v>
      </c>
      <c r="P58" s="15">
        <f t="shared" si="1"/>
        <v>44</v>
      </c>
      <c r="R58" s="8"/>
      <c r="T58"/>
    </row>
    <row r="59" spans="2:20" ht="23.1" customHeight="1" x14ac:dyDescent="0.25">
      <c r="B59" s="23" t="s">
        <v>100</v>
      </c>
      <c r="C59" s="49">
        <f>'Avg KAPEEKA-MATUGA'!C59+'Avg Week MATUGGA-KAPEEKA'!C59</f>
        <v>2</v>
      </c>
      <c r="D59" s="49">
        <f>'Avg KAPEEKA-MATUGA'!D59+'Avg Week MATUGGA-KAPEEKA'!D59</f>
        <v>0.8</v>
      </c>
      <c r="E59" s="49">
        <f>'Avg KAPEEKA-MATUGA'!E59+'Avg Week MATUGGA-KAPEEKA'!E59</f>
        <v>1.2</v>
      </c>
      <c r="F59" s="49">
        <f>'Avg KAPEEKA-MATUGA'!F59+'Avg Week MATUGGA-KAPEEKA'!F59</f>
        <v>8</v>
      </c>
      <c r="G59" s="49">
        <f>'Avg KAPEEKA-MATUGA'!G59+'Avg Week MATUGGA-KAPEEKA'!G59</f>
        <v>0</v>
      </c>
      <c r="H59" s="49">
        <f>'Avg KAPEEKA-MATUGA'!H59+'Avg Week MATUGGA-KAPEEKA'!H59</f>
        <v>0</v>
      </c>
      <c r="I59" s="49">
        <f>'Avg KAPEEKA-MATUGA'!I59+'Avg Week MATUGGA-KAPEEKA'!I59</f>
        <v>8</v>
      </c>
      <c r="J59" s="49">
        <f>'Avg KAPEEKA-MATUGA'!J59+'Avg Week MATUGGA-KAPEEKA'!J59</f>
        <v>0</v>
      </c>
      <c r="K59" s="49">
        <f>'Avg KAPEEKA-MATUGA'!K59+'Avg Week MATUGGA-KAPEEKA'!K59</f>
        <v>0</v>
      </c>
      <c r="L59" s="49">
        <f>'Avg KAPEEKA-MATUGA'!L59+'Avg Week MATUGGA-KAPEEKA'!L59</f>
        <v>0</v>
      </c>
      <c r="M59" s="49">
        <f>'Avg KAPEEKA-MATUGA'!M59+'Avg Week MATUGGA-KAPEEKA'!M59</f>
        <v>34</v>
      </c>
      <c r="N59" s="49">
        <f>'Avg KAPEEKA-MATUGA'!N59+'Avg Week MATUGGA-KAPEEKA'!N59</f>
        <v>0</v>
      </c>
      <c r="O59" s="15">
        <f t="shared" si="0"/>
        <v>20</v>
      </c>
      <c r="P59" s="15">
        <f t="shared" si="1"/>
        <v>54</v>
      </c>
      <c r="R59" s="8"/>
      <c r="T59"/>
    </row>
    <row r="60" spans="2:20" ht="23.1" customHeight="1" x14ac:dyDescent="0.25">
      <c r="B60" s="23" t="s">
        <v>101</v>
      </c>
      <c r="C60" s="49">
        <f>'Avg KAPEEKA-MATUGA'!C60+'Avg Week MATUGGA-KAPEEKA'!C60</f>
        <v>0</v>
      </c>
      <c r="D60" s="49">
        <f>'Avg KAPEEKA-MATUGA'!D60+'Avg Week MATUGGA-KAPEEKA'!D60</f>
        <v>0.8</v>
      </c>
      <c r="E60" s="49">
        <f>'Avg KAPEEKA-MATUGA'!E60+'Avg Week MATUGGA-KAPEEKA'!E60</f>
        <v>1.2</v>
      </c>
      <c r="F60" s="49">
        <f>'Avg KAPEEKA-MATUGA'!F60+'Avg Week MATUGGA-KAPEEKA'!F60</f>
        <v>0</v>
      </c>
      <c r="G60" s="49">
        <f>'Avg KAPEEKA-MATUGA'!G60+'Avg Week MATUGGA-KAPEEKA'!G60</f>
        <v>0</v>
      </c>
      <c r="H60" s="49">
        <f>'Avg KAPEEKA-MATUGA'!H60+'Avg Week MATUGGA-KAPEEKA'!H60</f>
        <v>0</v>
      </c>
      <c r="I60" s="49">
        <f>'Avg KAPEEKA-MATUGA'!I60+'Avg Week MATUGGA-KAPEEKA'!I60</f>
        <v>6</v>
      </c>
      <c r="J60" s="49">
        <f>'Avg KAPEEKA-MATUGA'!J60+'Avg Week MATUGGA-KAPEEKA'!J60</f>
        <v>2</v>
      </c>
      <c r="K60" s="49">
        <f>'Avg KAPEEKA-MATUGA'!K60+'Avg Week MATUGGA-KAPEEKA'!K60</f>
        <v>0</v>
      </c>
      <c r="L60" s="49">
        <f>'Avg KAPEEKA-MATUGA'!L60+'Avg Week MATUGGA-KAPEEKA'!L60</f>
        <v>0</v>
      </c>
      <c r="M60" s="49">
        <f>'Avg KAPEEKA-MATUGA'!M60+'Avg Week MATUGGA-KAPEEKA'!M60</f>
        <v>26</v>
      </c>
      <c r="N60" s="49">
        <f>'Avg KAPEEKA-MATUGA'!N60+'Avg Week MATUGGA-KAPEEKA'!N60</f>
        <v>0</v>
      </c>
      <c r="O60" s="15">
        <f t="shared" si="0"/>
        <v>10</v>
      </c>
      <c r="P60" s="15">
        <f t="shared" si="1"/>
        <v>36</v>
      </c>
      <c r="R60" s="8"/>
      <c r="T60"/>
    </row>
    <row r="61" spans="2:20" ht="23.1" customHeight="1" x14ac:dyDescent="0.25">
      <c r="B61" s="23" t="s">
        <v>102</v>
      </c>
      <c r="C61" s="49">
        <f>'Avg KAPEEKA-MATUGA'!C61+'Avg Week MATUGGA-KAPEEKA'!C61</f>
        <v>4</v>
      </c>
      <c r="D61" s="49">
        <f>'Avg KAPEEKA-MATUGA'!D61+'Avg Week MATUGGA-KAPEEKA'!D61</f>
        <v>1.6</v>
      </c>
      <c r="E61" s="49">
        <f>'Avg KAPEEKA-MATUGA'!E61+'Avg Week MATUGGA-KAPEEKA'!E61</f>
        <v>2.4</v>
      </c>
      <c r="F61" s="49">
        <f>'Avg KAPEEKA-MATUGA'!F61+'Avg Week MATUGGA-KAPEEKA'!F61</f>
        <v>0</v>
      </c>
      <c r="G61" s="49">
        <f>'Avg KAPEEKA-MATUGA'!G61+'Avg Week MATUGGA-KAPEEKA'!G61</f>
        <v>0</v>
      </c>
      <c r="H61" s="49">
        <f>'Avg KAPEEKA-MATUGA'!H61+'Avg Week MATUGGA-KAPEEKA'!H61</f>
        <v>0</v>
      </c>
      <c r="I61" s="49">
        <f>'Avg KAPEEKA-MATUGA'!I61+'Avg Week MATUGGA-KAPEEKA'!I61</f>
        <v>6</v>
      </c>
      <c r="J61" s="49">
        <f>'Avg KAPEEKA-MATUGA'!J61+'Avg Week MATUGGA-KAPEEKA'!J61</f>
        <v>2</v>
      </c>
      <c r="K61" s="49">
        <f>'Avg KAPEEKA-MATUGA'!K61+'Avg Week MATUGGA-KAPEEKA'!K61</f>
        <v>0</v>
      </c>
      <c r="L61" s="49">
        <f>'Avg KAPEEKA-MATUGA'!L61+'Avg Week MATUGGA-KAPEEKA'!L61</f>
        <v>0</v>
      </c>
      <c r="M61" s="49">
        <f>'Avg KAPEEKA-MATUGA'!M61+'Avg Week MATUGGA-KAPEEKA'!M61</f>
        <v>28</v>
      </c>
      <c r="N61" s="49">
        <f>'Avg KAPEEKA-MATUGA'!N61+'Avg Week MATUGGA-KAPEEKA'!N61</f>
        <v>0</v>
      </c>
      <c r="O61" s="15">
        <f t="shared" si="0"/>
        <v>16</v>
      </c>
      <c r="P61" s="15">
        <f t="shared" si="1"/>
        <v>44</v>
      </c>
      <c r="R61" s="8"/>
      <c r="T61"/>
    </row>
    <row r="62" spans="2:20" ht="23.1" customHeight="1" x14ac:dyDescent="0.25">
      <c r="B62" s="23" t="s">
        <v>107</v>
      </c>
      <c r="C62" s="49">
        <f>'Avg KAPEEKA-MATUGA'!C62+'Avg Week MATUGGA-KAPEEKA'!C62</f>
        <v>4</v>
      </c>
      <c r="D62" s="49">
        <f>'Avg KAPEEKA-MATUGA'!D62+'Avg Week MATUGGA-KAPEEKA'!D62</f>
        <v>1.6</v>
      </c>
      <c r="E62" s="49">
        <f>'Avg KAPEEKA-MATUGA'!E62+'Avg Week MATUGGA-KAPEEKA'!E62</f>
        <v>2.4</v>
      </c>
      <c r="F62" s="49">
        <f>'Avg KAPEEKA-MATUGA'!F62+'Avg Week MATUGGA-KAPEEKA'!F62</f>
        <v>6</v>
      </c>
      <c r="G62" s="49">
        <f>'Avg KAPEEKA-MATUGA'!G62+'Avg Week MATUGGA-KAPEEKA'!G62</f>
        <v>0</v>
      </c>
      <c r="H62" s="49">
        <f>'Avg KAPEEKA-MATUGA'!H62+'Avg Week MATUGGA-KAPEEKA'!H62</f>
        <v>0</v>
      </c>
      <c r="I62" s="49">
        <f>'Avg KAPEEKA-MATUGA'!I62+'Avg Week MATUGGA-KAPEEKA'!I62</f>
        <v>4</v>
      </c>
      <c r="J62" s="49">
        <f>'Avg KAPEEKA-MATUGA'!J62+'Avg Week MATUGGA-KAPEEKA'!J62</f>
        <v>0</v>
      </c>
      <c r="K62" s="49">
        <f>'Avg KAPEEKA-MATUGA'!K62+'Avg Week MATUGGA-KAPEEKA'!K62</f>
        <v>4</v>
      </c>
      <c r="L62" s="49">
        <f>'Avg KAPEEKA-MATUGA'!L62+'Avg Week MATUGGA-KAPEEKA'!L62</f>
        <v>0</v>
      </c>
      <c r="M62" s="49">
        <f>'Avg KAPEEKA-MATUGA'!M62+'Avg Week MATUGGA-KAPEEKA'!M62</f>
        <v>22</v>
      </c>
      <c r="N62" s="49">
        <f>'Avg KAPEEKA-MATUGA'!N62+'Avg Week MATUGGA-KAPEEKA'!N62</f>
        <v>0</v>
      </c>
      <c r="O62" s="15">
        <f t="shared" si="0"/>
        <v>22</v>
      </c>
      <c r="P62" s="15">
        <f t="shared" si="1"/>
        <v>44</v>
      </c>
      <c r="R62" s="8"/>
      <c r="T62"/>
    </row>
    <row r="63" spans="2:20" ht="23.1" customHeight="1" x14ac:dyDescent="0.25">
      <c r="B63" s="23" t="s">
        <v>108</v>
      </c>
      <c r="C63" s="49">
        <f>'Avg KAPEEKA-MATUGA'!C63+'Avg Week MATUGGA-KAPEEKA'!C63</f>
        <v>4</v>
      </c>
      <c r="D63" s="49">
        <f>'Avg KAPEEKA-MATUGA'!D63+'Avg Week MATUGGA-KAPEEKA'!D63</f>
        <v>2.4000000000000004</v>
      </c>
      <c r="E63" s="49">
        <f>'Avg KAPEEKA-MATUGA'!E63+'Avg Week MATUGGA-KAPEEKA'!E63</f>
        <v>3.5999999999999996</v>
      </c>
      <c r="F63" s="49">
        <f>'Avg KAPEEKA-MATUGA'!F63+'Avg Week MATUGGA-KAPEEKA'!F63</f>
        <v>0</v>
      </c>
      <c r="G63" s="49">
        <f>'Avg KAPEEKA-MATUGA'!G63+'Avg Week MATUGGA-KAPEEKA'!G63</f>
        <v>0</v>
      </c>
      <c r="H63" s="49">
        <f>'Avg KAPEEKA-MATUGA'!H63+'Avg Week MATUGGA-KAPEEKA'!H63</f>
        <v>0</v>
      </c>
      <c r="I63" s="49">
        <f>'Avg KAPEEKA-MATUGA'!I63+'Avg Week MATUGGA-KAPEEKA'!I63</f>
        <v>0</v>
      </c>
      <c r="J63" s="49">
        <f>'Avg KAPEEKA-MATUGA'!J63+'Avg Week MATUGGA-KAPEEKA'!J63</f>
        <v>0</v>
      </c>
      <c r="K63" s="49">
        <f>'Avg KAPEEKA-MATUGA'!K63+'Avg Week MATUGGA-KAPEEKA'!K63</f>
        <v>2</v>
      </c>
      <c r="L63" s="49">
        <f>'Avg KAPEEKA-MATUGA'!L63+'Avg Week MATUGGA-KAPEEKA'!L63</f>
        <v>0</v>
      </c>
      <c r="M63" s="49">
        <f>'Avg KAPEEKA-MATUGA'!M63+'Avg Week MATUGGA-KAPEEKA'!M63</f>
        <v>14</v>
      </c>
      <c r="N63" s="49">
        <f>'Avg KAPEEKA-MATUGA'!N63+'Avg Week MATUGGA-KAPEEKA'!N63</f>
        <v>0</v>
      </c>
      <c r="O63" s="15">
        <f t="shared" si="0"/>
        <v>12</v>
      </c>
      <c r="P63" s="15">
        <f t="shared" si="1"/>
        <v>26</v>
      </c>
      <c r="R63" s="8"/>
      <c r="T63"/>
    </row>
    <row r="64" spans="2:20" ht="23.1" customHeight="1" x14ac:dyDescent="0.25">
      <c r="B64" s="23" t="s">
        <v>109</v>
      </c>
      <c r="C64" s="49">
        <f>'Avg KAPEEKA-MATUGA'!C64+'Avg Week MATUGGA-KAPEEKA'!C64</f>
        <v>6</v>
      </c>
      <c r="D64" s="49">
        <f>'Avg KAPEEKA-MATUGA'!D64+'Avg Week MATUGGA-KAPEEKA'!D64</f>
        <v>3.2</v>
      </c>
      <c r="E64" s="49">
        <f>'Avg KAPEEKA-MATUGA'!E64+'Avg Week MATUGGA-KAPEEKA'!E64</f>
        <v>4.8</v>
      </c>
      <c r="F64" s="49">
        <f>'Avg KAPEEKA-MATUGA'!F64+'Avg Week MATUGGA-KAPEEKA'!F64</f>
        <v>2</v>
      </c>
      <c r="G64" s="49">
        <f>'Avg KAPEEKA-MATUGA'!G64+'Avg Week MATUGGA-KAPEEKA'!G64</f>
        <v>0</v>
      </c>
      <c r="H64" s="49">
        <f>'Avg KAPEEKA-MATUGA'!H64+'Avg Week MATUGGA-KAPEEKA'!H64</f>
        <v>0</v>
      </c>
      <c r="I64" s="49">
        <f>'Avg KAPEEKA-MATUGA'!I64+'Avg Week MATUGGA-KAPEEKA'!I64</f>
        <v>8</v>
      </c>
      <c r="J64" s="49">
        <f>'Avg KAPEEKA-MATUGA'!J64+'Avg Week MATUGGA-KAPEEKA'!J64</f>
        <v>0</v>
      </c>
      <c r="K64" s="49">
        <f>'Avg KAPEEKA-MATUGA'!K64+'Avg Week MATUGGA-KAPEEKA'!K64</f>
        <v>0</v>
      </c>
      <c r="L64" s="49">
        <f>'Avg KAPEEKA-MATUGA'!L64+'Avg Week MATUGGA-KAPEEKA'!L64</f>
        <v>0</v>
      </c>
      <c r="M64" s="49">
        <f>'Avg KAPEEKA-MATUGA'!M64+'Avg Week MATUGGA-KAPEEKA'!M64</f>
        <v>22</v>
      </c>
      <c r="N64" s="49">
        <f>'Avg KAPEEKA-MATUGA'!N64+'Avg Week MATUGGA-KAPEEKA'!N64</f>
        <v>0</v>
      </c>
      <c r="O64" s="15">
        <f t="shared" si="0"/>
        <v>24</v>
      </c>
      <c r="P64" s="15">
        <f t="shared" si="1"/>
        <v>46</v>
      </c>
      <c r="R64" s="8"/>
      <c r="T64"/>
    </row>
    <row r="65" spans="2:20" ht="23.1" customHeight="1" x14ac:dyDescent="0.25">
      <c r="B65" s="23" t="s">
        <v>158</v>
      </c>
      <c r="C65" s="49">
        <f>'Avg KAPEEKA-MATUGA'!C65+'Avg Week MATUGGA-KAPEEKA'!C65</f>
        <v>6</v>
      </c>
      <c r="D65" s="49">
        <f>'Avg KAPEEKA-MATUGA'!D65+'Avg Week MATUGGA-KAPEEKA'!D65</f>
        <v>0</v>
      </c>
      <c r="E65" s="49">
        <f>'Avg KAPEEKA-MATUGA'!E65+'Avg Week MATUGGA-KAPEEKA'!E65</f>
        <v>0</v>
      </c>
      <c r="F65" s="49">
        <f>'Avg KAPEEKA-MATUGA'!F65+'Avg Week MATUGGA-KAPEEKA'!F65</f>
        <v>4</v>
      </c>
      <c r="G65" s="49">
        <f>'Avg KAPEEKA-MATUGA'!G65+'Avg Week MATUGGA-KAPEEKA'!G65</f>
        <v>0</v>
      </c>
      <c r="H65" s="49">
        <f>'Avg KAPEEKA-MATUGA'!H65+'Avg Week MATUGGA-KAPEEKA'!H65</f>
        <v>0</v>
      </c>
      <c r="I65" s="49">
        <f>'Avg KAPEEKA-MATUGA'!I65+'Avg Week MATUGGA-KAPEEKA'!I65</f>
        <v>2</v>
      </c>
      <c r="J65" s="49">
        <f>'Avg KAPEEKA-MATUGA'!J65+'Avg Week MATUGGA-KAPEEKA'!J65</f>
        <v>2</v>
      </c>
      <c r="K65" s="49">
        <f>'Avg KAPEEKA-MATUGA'!K65+'Avg Week MATUGGA-KAPEEKA'!K65</f>
        <v>2</v>
      </c>
      <c r="L65" s="49">
        <f>'Avg KAPEEKA-MATUGA'!L65+'Avg Week MATUGGA-KAPEEKA'!L65</f>
        <v>0</v>
      </c>
      <c r="M65" s="49">
        <f>'Avg KAPEEKA-MATUGA'!M65+'Avg Week MATUGGA-KAPEEKA'!M65</f>
        <v>20</v>
      </c>
      <c r="N65" s="49">
        <f>'Avg KAPEEKA-MATUGA'!N65+'Avg Week MATUGGA-KAPEEKA'!N65</f>
        <v>0</v>
      </c>
      <c r="O65" s="15">
        <f t="shared" si="0"/>
        <v>16</v>
      </c>
      <c r="P65" s="15">
        <f t="shared" si="1"/>
        <v>36</v>
      </c>
      <c r="R65" s="8"/>
      <c r="T65"/>
    </row>
    <row r="66" spans="2:20" ht="23.1" customHeight="1" x14ac:dyDescent="0.25">
      <c r="B66" s="23" t="s">
        <v>103</v>
      </c>
      <c r="C66" s="49">
        <f>'Avg KAPEEKA-MATUGA'!C66+'Avg Week MATUGGA-KAPEEKA'!C66</f>
        <v>2</v>
      </c>
      <c r="D66" s="49">
        <f>'Avg KAPEEKA-MATUGA'!D66+'Avg Week MATUGGA-KAPEEKA'!D66</f>
        <v>0.8</v>
      </c>
      <c r="E66" s="49">
        <f>'Avg KAPEEKA-MATUGA'!E66+'Avg Week MATUGGA-KAPEEKA'!E66</f>
        <v>1.2</v>
      </c>
      <c r="F66" s="49">
        <f>'Avg KAPEEKA-MATUGA'!F66+'Avg Week MATUGGA-KAPEEKA'!F66</f>
        <v>2</v>
      </c>
      <c r="G66" s="49">
        <f>'Avg KAPEEKA-MATUGA'!G66+'Avg Week MATUGGA-KAPEEKA'!G66</f>
        <v>0</v>
      </c>
      <c r="H66" s="49">
        <f>'Avg KAPEEKA-MATUGA'!H66+'Avg Week MATUGGA-KAPEEKA'!H66</f>
        <v>0</v>
      </c>
      <c r="I66" s="49">
        <f>'Avg KAPEEKA-MATUGA'!I66+'Avg Week MATUGGA-KAPEEKA'!I66</f>
        <v>4</v>
      </c>
      <c r="J66" s="49">
        <f>'Avg KAPEEKA-MATUGA'!J66+'Avg Week MATUGGA-KAPEEKA'!J66</f>
        <v>2</v>
      </c>
      <c r="K66" s="49">
        <f>'Avg KAPEEKA-MATUGA'!K66+'Avg Week MATUGGA-KAPEEKA'!K66</f>
        <v>2</v>
      </c>
      <c r="L66" s="49">
        <f>'Avg KAPEEKA-MATUGA'!L66+'Avg Week MATUGGA-KAPEEKA'!L66</f>
        <v>0</v>
      </c>
      <c r="M66" s="49">
        <f>'Avg KAPEEKA-MATUGA'!M66+'Avg Week MATUGGA-KAPEEKA'!M66</f>
        <v>12</v>
      </c>
      <c r="N66" s="49">
        <f>'Avg KAPEEKA-MATUGA'!N66+'Avg Week MATUGGA-KAPEEKA'!N66</f>
        <v>0</v>
      </c>
      <c r="O66" s="15">
        <f t="shared" si="0"/>
        <v>14</v>
      </c>
      <c r="P66" s="15">
        <f t="shared" si="1"/>
        <v>26</v>
      </c>
      <c r="R66" s="8"/>
      <c r="T66"/>
    </row>
    <row r="67" spans="2:20" ht="23.1" customHeight="1" x14ac:dyDescent="0.25">
      <c r="B67" s="23" t="s">
        <v>104</v>
      </c>
      <c r="C67" s="49">
        <f>'Avg KAPEEKA-MATUGA'!C67+'Avg Week MATUGGA-KAPEEKA'!C67</f>
        <v>8</v>
      </c>
      <c r="D67" s="49">
        <f>'Avg KAPEEKA-MATUGA'!D67+'Avg Week MATUGGA-KAPEEKA'!D67</f>
        <v>1.6</v>
      </c>
      <c r="E67" s="49">
        <f>'Avg KAPEEKA-MATUGA'!E67+'Avg Week MATUGGA-KAPEEKA'!E67</f>
        <v>2.4</v>
      </c>
      <c r="F67" s="49">
        <f>'Avg KAPEEKA-MATUGA'!F67+'Avg Week MATUGGA-KAPEEKA'!F67</f>
        <v>2</v>
      </c>
      <c r="G67" s="49">
        <f>'Avg KAPEEKA-MATUGA'!G67+'Avg Week MATUGGA-KAPEEKA'!G67</f>
        <v>0</v>
      </c>
      <c r="H67" s="49">
        <f>'Avg KAPEEKA-MATUGA'!H67+'Avg Week MATUGGA-KAPEEKA'!H67</f>
        <v>0</v>
      </c>
      <c r="I67" s="49">
        <f>'Avg KAPEEKA-MATUGA'!I67+'Avg Week MATUGGA-KAPEEKA'!I67</f>
        <v>4</v>
      </c>
      <c r="J67" s="49">
        <f>'Avg KAPEEKA-MATUGA'!J67+'Avg Week MATUGGA-KAPEEKA'!J67</f>
        <v>0</v>
      </c>
      <c r="K67" s="49">
        <f>'Avg KAPEEKA-MATUGA'!K67+'Avg Week MATUGGA-KAPEEKA'!K67</f>
        <v>0</v>
      </c>
      <c r="L67" s="49">
        <f>'Avg KAPEEKA-MATUGA'!L67+'Avg Week MATUGGA-KAPEEKA'!L67</f>
        <v>0</v>
      </c>
      <c r="M67" s="49">
        <f>'Avg KAPEEKA-MATUGA'!M67+'Avg Week MATUGGA-KAPEEKA'!M67</f>
        <v>8</v>
      </c>
      <c r="N67" s="49">
        <f>'Avg KAPEEKA-MATUGA'!N67+'Avg Week MATUGGA-KAPEEKA'!N67</f>
        <v>0</v>
      </c>
      <c r="O67" s="15">
        <f t="shared" si="0"/>
        <v>18</v>
      </c>
      <c r="P67" s="15">
        <f t="shared" si="1"/>
        <v>26</v>
      </c>
      <c r="R67" s="8"/>
      <c r="T67"/>
    </row>
    <row r="68" spans="2:20" ht="23.1" customHeight="1" x14ac:dyDescent="0.25">
      <c r="B68" s="23" t="s">
        <v>105</v>
      </c>
      <c r="C68" s="49">
        <f>'Avg KAPEEKA-MATUGA'!C68+'Avg Week MATUGGA-KAPEEKA'!C68</f>
        <v>10</v>
      </c>
      <c r="D68" s="49">
        <f>'Avg KAPEEKA-MATUGA'!D68+'Avg Week MATUGGA-KAPEEKA'!D68</f>
        <v>2.4000000000000004</v>
      </c>
      <c r="E68" s="49">
        <f>'Avg KAPEEKA-MATUGA'!E68+'Avg Week MATUGGA-KAPEEKA'!E68</f>
        <v>3.5999999999999996</v>
      </c>
      <c r="F68" s="49">
        <f>'Avg KAPEEKA-MATUGA'!F68+'Avg Week MATUGGA-KAPEEKA'!F68</f>
        <v>2</v>
      </c>
      <c r="G68" s="49">
        <f>'Avg KAPEEKA-MATUGA'!G68+'Avg Week MATUGGA-KAPEEKA'!G68</f>
        <v>0</v>
      </c>
      <c r="H68" s="49">
        <f>'Avg KAPEEKA-MATUGA'!H68+'Avg Week MATUGGA-KAPEEKA'!H68</f>
        <v>0</v>
      </c>
      <c r="I68" s="49">
        <f>'Avg KAPEEKA-MATUGA'!I68+'Avg Week MATUGGA-KAPEEKA'!I68</f>
        <v>4</v>
      </c>
      <c r="J68" s="49">
        <f>'Avg KAPEEKA-MATUGA'!J68+'Avg Week MATUGGA-KAPEEKA'!J68</f>
        <v>4</v>
      </c>
      <c r="K68" s="49">
        <f>'Avg KAPEEKA-MATUGA'!K68+'Avg Week MATUGGA-KAPEEKA'!K68</f>
        <v>0</v>
      </c>
      <c r="L68" s="49">
        <f>'Avg KAPEEKA-MATUGA'!L68+'Avg Week MATUGGA-KAPEEKA'!L68</f>
        <v>0</v>
      </c>
      <c r="M68" s="49">
        <f>'Avg KAPEEKA-MATUGA'!M68+'Avg Week MATUGGA-KAPEEKA'!M68</f>
        <v>10</v>
      </c>
      <c r="N68" s="49">
        <f>'Avg KAPEEKA-MATUGA'!N68+'Avg Week MATUGGA-KAPEEKA'!N68</f>
        <v>0</v>
      </c>
      <c r="O68" s="15">
        <f t="shared" si="0"/>
        <v>26</v>
      </c>
      <c r="P68" s="15">
        <f t="shared" si="1"/>
        <v>36</v>
      </c>
      <c r="R68" s="8"/>
      <c r="T68"/>
    </row>
    <row r="69" spans="2:20" ht="23.1" customHeight="1" x14ac:dyDescent="0.25">
      <c r="B69" s="23" t="s">
        <v>106</v>
      </c>
      <c r="C69" s="49">
        <f>'Avg KAPEEKA-MATUGA'!C69+'Avg Week MATUGGA-KAPEEKA'!C69</f>
        <v>2</v>
      </c>
      <c r="D69" s="49">
        <f>'Avg KAPEEKA-MATUGA'!D69+'Avg Week MATUGGA-KAPEEKA'!D69</f>
        <v>1.6</v>
      </c>
      <c r="E69" s="49">
        <f>'Avg KAPEEKA-MATUGA'!E69+'Avg Week MATUGGA-KAPEEKA'!E69</f>
        <v>2.4</v>
      </c>
      <c r="F69" s="49">
        <f>'Avg KAPEEKA-MATUGA'!F69+'Avg Week MATUGGA-KAPEEKA'!F69</f>
        <v>0</v>
      </c>
      <c r="G69" s="49">
        <f>'Avg KAPEEKA-MATUGA'!G69+'Avg Week MATUGGA-KAPEEKA'!G69</f>
        <v>0</v>
      </c>
      <c r="H69" s="49">
        <f>'Avg KAPEEKA-MATUGA'!H69+'Avg Week MATUGGA-KAPEEKA'!H69</f>
        <v>0</v>
      </c>
      <c r="I69" s="49">
        <f>'Avg KAPEEKA-MATUGA'!I69+'Avg Week MATUGGA-KAPEEKA'!I69</f>
        <v>2</v>
      </c>
      <c r="J69" s="49">
        <f>'Avg KAPEEKA-MATUGA'!J69+'Avg Week MATUGGA-KAPEEKA'!J69</f>
        <v>0</v>
      </c>
      <c r="K69" s="49">
        <f>'Avg KAPEEKA-MATUGA'!K69+'Avg Week MATUGGA-KAPEEKA'!K69</f>
        <v>0</v>
      </c>
      <c r="L69" s="49">
        <f>'Avg KAPEEKA-MATUGA'!L69+'Avg Week MATUGGA-KAPEEKA'!L69</f>
        <v>0</v>
      </c>
      <c r="M69" s="49">
        <f>'Avg KAPEEKA-MATUGA'!M69+'Avg Week MATUGGA-KAPEEKA'!M69</f>
        <v>12</v>
      </c>
      <c r="N69" s="49">
        <f>'Avg KAPEEKA-MATUGA'!N69+'Avg Week MATUGGA-KAPEEKA'!N69</f>
        <v>0</v>
      </c>
      <c r="O69" s="15">
        <f t="shared" si="0"/>
        <v>8</v>
      </c>
      <c r="P69" s="15">
        <f t="shared" si="1"/>
        <v>20</v>
      </c>
      <c r="R69" s="8"/>
      <c r="T69"/>
    </row>
    <row r="70" spans="2:20" ht="23.1" customHeight="1" x14ac:dyDescent="0.25">
      <c r="B70" s="23" t="s">
        <v>110</v>
      </c>
      <c r="C70" s="49">
        <f>'Avg KAPEEKA-MATUGA'!C70+'Avg Week MATUGGA-KAPEEKA'!C70</f>
        <v>2</v>
      </c>
      <c r="D70" s="49">
        <f>'Avg KAPEEKA-MATUGA'!D70+'Avg Week MATUGGA-KAPEEKA'!D70</f>
        <v>0.8</v>
      </c>
      <c r="E70" s="49">
        <f>'Avg KAPEEKA-MATUGA'!E70+'Avg Week MATUGGA-KAPEEKA'!E70</f>
        <v>1.2</v>
      </c>
      <c r="F70" s="49">
        <f>'Avg KAPEEKA-MATUGA'!F70+'Avg Week MATUGGA-KAPEEKA'!F70</f>
        <v>4</v>
      </c>
      <c r="G70" s="49">
        <f>'Avg KAPEEKA-MATUGA'!G70+'Avg Week MATUGGA-KAPEEKA'!G70</f>
        <v>0</v>
      </c>
      <c r="H70" s="49">
        <f>'Avg KAPEEKA-MATUGA'!H70+'Avg Week MATUGGA-KAPEEKA'!H70</f>
        <v>0</v>
      </c>
      <c r="I70" s="49">
        <f>'Avg KAPEEKA-MATUGA'!I70+'Avg Week MATUGGA-KAPEEKA'!I70</f>
        <v>4</v>
      </c>
      <c r="J70" s="49">
        <f>'Avg KAPEEKA-MATUGA'!J70+'Avg Week MATUGGA-KAPEEKA'!J70</f>
        <v>0</v>
      </c>
      <c r="K70" s="49">
        <f>'Avg KAPEEKA-MATUGA'!K70+'Avg Week MATUGGA-KAPEEKA'!K70</f>
        <v>0</v>
      </c>
      <c r="L70" s="49">
        <f>'Avg KAPEEKA-MATUGA'!L70+'Avg Week MATUGGA-KAPEEKA'!L70</f>
        <v>0</v>
      </c>
      <c r="M70" s="49">
        <f>'Avg KAPEEKA-MATUGA'!M70+'Avg Week MATUGGA-KAPEEKA'!M70</f>
        <v>14</v>
      </c>
      <c r="N70" s="49">
        <f>'Avg KAPEEKA-MATUGA'!N70+'Avg Week MATUGGA-KAPEEKA'!N70</f>
        <v>0</v>
      </c>
      <c r="O70" s="15">
        <f t="shared" si="0"/>
        <v>12</v>
      </c>
      <c r="P70" s="15">
        <f t="shared" si="1"/>
        <v>26</v>
      </c>
      <c r="R70" s="8"/>
      <c r="T70"/>
    </row>
    <row r="71" spans="2:20" ht="23.1" customHeight="1" x14ac:dyDescent="0.25">
      <c r="B71" s="23" t="s">
        <v>111</v>
      </c>
      <c r="C71" s="49">
        <f>'Avg KAPEEKA-MATUGA'!C71+'Avg Week MATUGGA-KAPEEKA'!C71</f>
        <v>0</v>
      </c>
      <c r="D71" s="49">
        <f>'Avg KAPEEKA-MATUGA'!D71+'Avg Week MATUGGA-KAPEEKA'!D71</f>
        <v>0.8</v>
      </c>
      <c r="E71" s="49">
        <f>'Avg KAPEEKA-MATUGA'!E71+'Avg Week MATUGGA-KAPEEKA'!E71</f>
        <v>1.2</v>
      </c>
      <c r="F71" s="49">
        <f>'Avg KAPEEKA-MATUGA'!F71+'Avg Week MATUGGA-KAPEEKA'!F71</f>
        <v>0</v>
      </c>
      <c r="G71" s="49">
        <f>'Avg KAPEEKA-MATUGA'!G71+'Avg Week MATUGGA-KAPEEKA'!G71</f>
        <v>0</v>
      </c>
      <c r="H71" s="49">
        <f>'Avg KAPEEKA-MATUGA'!H71+'Avg Week MATUGGA-KAPEEKA'!H71</f>
        <v>0</v>
      </c>
      <c r="I71" s="49">
        <f>'Avg KAPEEKA-MATUGA'!I71+'Avg Week MATUGGA-KAPEEKA'!I71</f>
        <v>4</v>
      </c>
      <c r="J71" s="49">
        <f>'Avg KAPEEKA-MATUGA'!J71+'Avg Week MATUGGA-KAPEEKA'!J71</f>
        <v>2</v>
      </c>
      <c r="K71" s="49">
        <f>'Avg KAPEEKA-MATUGA'!K71+'Avg Week MATUGGA-KAPEEKA'!K71</f>
        <v>0</v>
      </c>
      <c r="L71" s="49">
        <f>'Avg KAPEEKA-MATUGA'!L71+'Avg Week MATUGGA-KAPEEKA'!L71</f>
        <v>0</v>
      </c>
      <c r="M71" s="49">
        <f>'Avg KAPEEKA-MATUGA'!M71+'Avg Week MATUGGA-KAPEEKA'!M71</f>
        <v>6</v>
      </c>
      <c r="N71" s="49">
        <f>'Avg KAPEEKA-MATUGA'!N71+'Avg Week MATUGGA-KAPEEKA'!N71</f>
        <v>0</v>
      </c>
      <c r="O71" s="15">
        <f t="shared" si="0"/>
        <v>8</v>
      </c>
      <c r="P71" s="15">
        <f t="shared" si="1"/>
        <v>14</v>
      </c>
      <c r="R71" s="8"/>
      <c r="T71"/>
    </row>
    <row r="72" spans="2:20" ht="23.1" customHeight="1" x14ac:dyDescent="0.25">
      <c r="B72" s="23" t="s">
        <v>112</v>
      </c>
      <c r="C72" s="49">
        <f>'Avg KAPEEKA-MATUGA'!C72+'Avg Week MATUGGA-KAPEEKA'!C72</f>
        <v>2</v>
      </c>
      <c r="D72" s="49">
        <f>'Avg KAPEEKA-MATUGA'!D72+'Avg Week MATUGGA-KAPEEKA'!D72</f>
        <v>0.8</v>
      </c>
      <c r="E72" s="49">
        <f>'Avg KAPEEKA-MATUGA'!E72+'Avg Week MATUGGA-KAPEEKA'!E72</f>
        <v>1.2</v>
      </c>
      <c r="F72" s="49">
        <f>'Avg KAPEEKA-MATUGA'!F72+'Avg Week MATUGGA-KAPEEKA'!F72</f>
        <v>0</v>
      </c>
      <c r="G72" s="49">
        <f>'Avg KAPEEKA-MATUGA'!G72+'Avg Week MATUGGA-KAPEEKA'!G72</f>
        <v>0</v>
      </c>
      <c r="H72" s="49">
        <f>'Avg KAPEEKA-MATUGA'!H72+'Avg Week MATUGGA-KAPEEKA'!H72</f>
        <v>0</v>
      </c>
      <c r="I72" s="49">
        <f>'Avg KAPEEKA-MATUGA'!I72+'Avg Week MATUGGA-KAPEEKA'!I72</f>
        <v>4</v>
      </c>
      <c r="J72" s="49">
        <f>'Avg KAPEEKA-MATUGA'!J72+'Avg Week MATUGGA-KAPEEKA'!J72</f>
        <v>2</v>
      </c>
      <c r="K72" s="49">
        <f>'Avg KAPEEKA-MATUGA'!K72+'Avg Week MATUGGA-KAPEEKA'!K72</f>
        <v>0</v>
      </c>
      <c r="L72" s="49">
        <f>'Avg KAPEEKA-MATUGA'!L72+'Avg Week MATUGGA-KAPEEKA'!L72</f>
        <v>0</v>
      </c>
      <c r="M72" s="49">
        <f>'Avg KAPEEKA-MATUGA'!M72+'Avg Week MATUGGA-KAPEEKA'!M72</f>
        <v>4</v>
      </c>
      <c r="N72" s="49">
        <f>'Avg KAPEEKA-MATUGA'!N72+'Avg Week MATUGGA-KAPEEKA'!N72</f>
        <v>0</v>
      </c>
      <c r="O72" s="15">
        <f t="shared" si="0"/>
        <v>10</v>
      </c>
      <c r="P72" s="15">
        <f t="shared" si="1"/>
        <v>14</v>
      </c>
      <c r="R72" s="8"/>
      <c r="T72"/>
    </row>
    <row r="73" spans="2:20" ht="23.1" customHeight="1" x14ac:dyDescent="0.25">
      <c r="B73" s="23" t="s">
        <v>113</v>
      </c>
      <c r="C73" s="49">
        <f>'Avg KAPEEKA-MATUGA'!C73+'Avg Week MATUGGA-KAPEEKA'!C73</f>
        <v>2</v>
      </c>
      <c r="D73" s="49">
        <f>'Avg KAPEEKA-MATUGA'!D73+'Avg Week MATUGGA-KAPEEKA'!D73</f>
        <v>0.8</v>
      </c>
      <c r="E73" s="49">
        <f>'Avg KAPEEKA-MATUGA'!E73+'Avg Week MATUGGA-KAPEEKA'!E73</f>
        <v>1.2</v>
      </c>
      <c r="F73" s="49">
        <f>'Avg KAPEEKA-MATUGA'!F73+'Avg Week MATUGGA-KAPEEKA'!F73</f>
        <v>4</v>
      </c>
      <c r="G73" s="49">
        <f>'Avg KAPEEKA-MATUGA'!G73+'Avg Week MATUGGA-KAPEEKA'!G73</f>
        <v>0</v>
      </c>
      <c r="H73" s="49">
        <f>'Avg KAPEEKA-MATUGA'!H73+'Avg Week MATUGGA-KAPEEKA'!H73</f>
        <v>0</v>
      </c>
      <c r="I73" s="49">
        <f>'Avg KAPEEKA-MATUGA'!I73+'Avg Week MATUGGA-KAPEEKA'!I73</f>
        <v>2</v>
      </c>
      <c r="J73" s="49">
        <f>'Avg KAPEEKA-MATUGA'!J73+'Avg Week MATUGGA-KAPEEKA'!J73</f>
        <v>0</v>
      </c>
      <c r="K73" s="49">
        <f>'Avg KAPEEKA-MATUGA'!K73+'Avg Week MATUGGA-KAPEEKA'!K73</f>
        <v>2</v>
      </c>
      <c r="L73" s="49">
        <f>'Avg KAPEEKA-MATUGA'!L73+'Avg Week MATUGGA-KAPEEKA'!L73</f>
        <v>0</v>
      </c>
      <c r="M73" s="49">
        <f>'Avg KAPEEKA-MATUGA'!M73+'Avg Week MATUGGA-KAPEEKA'!M73</f>
        <v>2</v>
      </c>
      <c r="N73" s="49">
        <f>'Avg KAPEEKA-MATUGA'!N73+'Avg Week MATUGGA-KAPEEKA'!N73</f>
        <v>0</v>
      </c>
      <c r="O73" s="15">
        <f t="shared" si="0"/>
        <v>12</v>
      </c>
      <c r="P73" s="15">
        <f t="shared" si="1"/>
        <v>14</v>
      </c>
      <c r="R73" s="8"/>
      <c r="T73"/>
    </row>
    <row r="74" spans="2:20" ht="23.1" customHeight="1" x14ac:dyDescent="0.25">
      <c r="B74" s="23" t="s">
        <v>114</v>
      </c>
      <c r="C74" s="49">
        <f>'Avg KAPEEKA-MATUGA'!C74+'Avg Week MATUGGA-KAPEEKA'!C74</f>
        <v>2</v>
      </c>
      <c r="D74" s="49">
        <f>'Avg KAPEEKA-MATUGA'!D74+'Avg Week MATUGGA-KAPEEKA'!D74</f>
        <v>1.6</v>
      </c>
      <c r="E74" s="49">
        <f>'Avg KAPEEKA-MATUGA'!E74+'Avg Week MATUGGA-KAPEEKA'!E74</f>
        <v>2.4</v>
      </c>
      <c r="F74" s="49">
        <f>'Avg KAPEEKA-MATUGA'!F74+'Avg Week MATUGGA-KAPEEKA'!F74</f>
        <v>0</v>
      </c>
      <c r="G74" s="49">
        <f>'Avg KAPEEKA-MATUGA'!G74+'Avg Week MATUGGA-KAPEEKA'!G74</f>
        <v>0</v>
      </c>
      <c r="H74" s="49">
        <f>'Avg KAPEEKA-MATUGA'!H74+'Avg Week MATUGGA-KAPEEKA'!H74</f>
        <v>0</v>
      </c>
      <c r="I74" s="49">
        <f>'Avg KAPEEKA-MATUGA'!I74+'Avg Week MATUGGA-KAPEEKA'!I74</f>
        <v>0</v>
      </c>
      <c r="J74" s="49">
        <f>'Avg KAPEEKA-MATUGA'!J74+'Avg Week MATUGGA-KAPEEKA'!J74</f>
        <v>0</v>
      </c>
      <c r="K74" s="49">
        <f>'Avg KAPEEKA-MATUGA'!K74+'Avg Week MATUGGA-KAPEEKA'!K74</f>
        <v>2</v>
      </c>
      <c r="L74" s="49">
        <f>'Avg KAPEEKA-MATUGA'!L74+'Avg Week MATUGGA-KAPEEKA'!L74</f>
        <v>0</v>
      </c>
      <c r="M74" s="49">
        <f>'Avg KAPEEKA-MATUGA'!M74+'Avg Week MATUGGA-KAPEEKA'!M74</f>
        <v>2</v>
      </c>
      <c r="N74" s="49">
        <f>'Avg KAPEEKA-MATUGA'!N74+'Avg Week MATUGGA-KAPEEKA'!N74</f>
        <v>0</v>
      </c>
      <c r="O74" s="15">
        <f t="shared" ref="O74:O105" si="35">SUM(C74:L74,N74)</f>
        <v>8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23" t="s">
        <v>115</v>
      </c>
      <c r="C75" s="49">
        <f>'Avg KAPEEKA-MATUGA'!C75+'Avg Week MATUGGA-KAPEEKA'!C75</f>
        <v>4</v>
      </c>
      <c r="D75" s="49">
        <f>'Avg KAPEEKA-MATUGA'!D75+'Avg Week MATUGGA-KAPEEKA'!D75</f>
        <v>1.6</v>
      </c>
      <c r="E75" s="49">
        <f>'Avg KAPEEKA-MATUGA'!E75+'Avg Week MATUGGA-KAPEEKA'!E75</f>
        <v>2.4</v>
      </c>
      <c r="F75" s="49">
        <f>'Avg KAPEEKA-MATUGA'!F75+'Avg Week MATUGGA-KAPEEKA'!F75</f>
        <v>2</v>
      </c>
      <c r="G75" s="49">
        <f>'Avg KAPEEKA-MATUGA'!G75+'Avg Week MATUGGA-KAPEEKA'!G75</f>
        <v>0</v>
      </c>
      <c r="H75" s="49">
        <f>'Avg KAPEEKA-MATUGA'!H75+'Avg Week MATUGGA-KAPEEKA'!H75</f>
        <v>0</v>
      </c>
      <c r="I75" s="49">
        <f>'Avg KAPEEKA-MATUGA'!I75+'Avg Week MATUGGA-KAPEEKA'!I75</f>
        <v>4</v>
      </c>
      <c r="J75" s="49">
        <f>'Avg KAPEEKA-MATUGA'!J75+'Avg Week MATUGGA-KAPEEKA'!J75</f>
        <v>0</v>
      </c>
      <c r="K75" s="49">
        <f>'Avg KAPEEKA-MATUGA'!K75+'Avg Week MATUGGA-KAPEEKA'!K75</f>
        <v>0</v>
      </c>
      <c r="L75" s="49">
        <f>'Avg KAPEEKA-MATUGA'!L75+'Avg Week MATUGGA-KAPEEKA'!L75</f>
        <v>0</v>
      </c>
      <c r="M75" s="49">
        <f>'Avg KAPEEKA-MATUGA'!M75+'Avg Week MATUGGA-KAPEEKA'!M75</f>
        <v>0</v>
      </c>
      <c r="N75" s="49">
        <f>'Avg KAPEEKA-MATUGA'!N75+'Avg Week MATUGGA-KAPEEKA'!N75</f>
        <v>0</v>
      </c>
      <c r="O75" s="15">
        <f t="shared" si="35"/>
        <v>14</v>
      </c>
      <c r="P75" s="15">
        <f t="shared" si="36"/>
        <v>14</v>
      </c>
      <c r="R75" s="8"/>
      <c r="T75"/>
    </row>
    <row r="76" spans="2:20" ht="23.1" customHeight="1" x14ac:dyDescent="0.25">
      <c r="B76" s="23" t="s">
        <v>116</v>
      </c>
      <c r="C76" s="49">
        <f>'Avg KAPEEKA-MATUGA'!C76+'Avg Week MATUGGA-KAPEEKA'!C76</f>
        <v>4</v>
      </c>
      <c r="D76" s="49">
        <f>'Avg KAPEEKA-MATUGA'!D76+'Avg Week MATUGGA-KAPEEKA'!D76</f>
        <v>0</v>
      </c>
      <c r="E76" s="49">
        <f>'Avg KAPEEKA-MATUGA'!E76+'Avg Week MATUGGA-KAPEEKA'!E76</f>
        <v>0</v>
      </c>
      <c r="F76" s="49">
        <f>'Avg KAPEEKA-MATUGA'!F76+'Avg Week MATUGGA-KAPEEKA'!F76</f>
        <v>2</v>
      </c>
      <c r="G76" s="49">
        <f>'Avg KAPEEKA-MATUGA'!G76+'Avg Week MATUGGA-KAPEEKA'!G76</f>
        <v>0</v>
      </c>
      <c r="H76" s="49">
        <f>'Avg KAPEEKA-MATUGA'!H76+'Avg Week MATUGGA-KAPEEKA'!H76</f>
        <v>0</v>
      </c>
      <c r="I76" s="49">
        <f>'Avg KAPEEKA-MATUGA'!I76+'Avg Week MATUGGA-KAPEEKA'!I76</f>
        <v>2</v>
      </c>
      <c r="J76" s="49">
        <f>'Avg KAPEEKA-MATUGA'!J76+'Avg Week MATUGGA-KAPEEKA'!J76</f>
        <v>2</v>
      </c>
      <c r="K76" s="49">
        <f>'Avg KAPEEKA-MATUGA'!K76+'Avg Week MATUGGA-KAPEEKA'!K76</f>
        <v>2</v>
      </c>
      <c r="L76" s="49">
        <f>'Avg KAPEEKA-MATUGA'!L76+'Avg Week MATUGGA-KAPEEKA'!L76</f>
        <v>0</v>
      </c>
      <c r="M76" s="49">
        <f>'Avg KAPEEKA-MATUGA'!M76+'Avg Week MATUGGA-KAPEEKA'!M76</f>
        <v>0</v>
      </c>
      <c r="N76" s="49">
        <f>'Avg KAPEEKA-MATUGA'!N76+'Avg Week MATUGGA-KAPEEKA'!N76</f>
        <v>0</v>
      </c>
      <c r="O76" s="15">
        <f t="shared" si="35"/>
        <v>12</v>
      </c>
      <c r="P76" s="15">
        <f t="shared" si="36"/>
        <v>12</v>
      </c>
      <c r="R76" s="8"/>
      <c r="T76"/>
    </row>
    <row r="77" spans="2:20" ht="23.1" customHeight="1" x14ac:dyDescent="0.25">
      <c r="B77" s="23" t="s">
        <v>117</v>
      </c>
      <c r="C77" s="49">
        <f>'Avg KAPEEKA-MATUGA'!C77+'Avg Week MATUGGA-KAPEEKA'!C77</f>
        <v>2</v>
      </c>
      <c r="D77" s="49">
        <f>'Avg KAPEEKA-MATUGA'!D77+'Avg Week MATUGGA-KAPEEKA'!D77</f>
        <v>0.8</v>
      </c>
      <c r="E77" s="49">
        <f>'Avg KAPEEKA-MATUGA'!E77+'Avg Week MATUGGA-KAPEEKA'!E77</f>
        <v>1.2</v>
      </c>
      <c r="F77" s="49">
        <f>'Avg KAPEEKA-MATUGA'!F77+'Avg Week MATUGGA-KAPEEKA'!F77</f>
        <v>2</v>
      </c>
      <c r="G77" s="49">
        <f>'Avg KAPEEKA-MATUGA'!G77+'Avg Week MATUGGA-KAPEEKA'!G77</f>
        <v>0</v>
      </c>
      <c r="H77" s="49">
        <f>'Avg KAPEEKA-MATUGA'!H77+'Avg Week MATUGGA-KAPEEKA'!H77</f>
        <v>0</v>
      </c>
      <c r="I77" s="49">
        <f>'Avg KAPEEKA-MATUGA'!I77+'Avg Week MATUGGA-KAPEEKA'!I77</f>
        <v>2</v>
      </c>
      <c r="J77" s="49">
        <f>'Avg KAPEEKA-MATUGA'!J77+'Avg Week MATUGGA-KAPEEKA'!J77</f>
        <v>2</v>
      </c>
      <c r="K77" s="49">
        <f>'Avg KAPEEKA-MATUGA'!K77+'Avg Week MATUGGA-KAPEEKA'!K77</f>
        <v>2</v>
      </c>
      <c r="L77" s="49">
        <f>'Avg KAPEEKA-MATUGA'!L77+'Avg Week MATUGGA-KAPEEKA'!L77</f>
        <v>0</v>
      </c>
      <c r="M77" s="49">
        <f>'Avg KAPEEKA-MATUGA'!M77+'Avg Week MATUGGA-KAPEEKA'!M77</f>
        <v>2</v>
      </c>
      <c r="N77" s="49">
        <f>'Avg KAPEEKA-MATUGA'!N77+'Avg Week MATUGGA-KAPEEKA'!N77</f>
        <v>0</v>
      </c>
      <c r="O77" s="15">
        <f t="shared" si="35"/>
        <v>12</v>
      </c>
      <c r="P77" s="15">
        <f t="shared" si="36"/>
        <v>14</v>
      </c>
      <c r="R77" s="8"/>
      <c r="T77"/>
    </row>
    <row r="78" spans="2:20" ht="23.1" customHeight="1" x14ac:dyDescent="0.25">
      <c r="B78" s="24" t="s">
        <v>118</v>
      </c>
      <c r="C78" s="49">
        <f>'Avg KAPEEKA-MATUGA'!C78+'Avg Week MATUGGA-KAPEEKA'!C78</f>
        <v>4</v>
      </c>
      <c r="D78" s="49">
        <f>'Avg KAPEEKA-MATUGA'!D78+'Avg Week MATUGGA-KAPEEKA'!D78</f>
        <v>0.8</v>
      </c>
      <c r="E78" s="49">
        <f>'Avg KAPEEKA-MATUGA'!E78+'Avg Week MATUGGA-KAPEEKA'!E78</f>
        <v>1.2</v>
      </c>
      <c r="F78" s="49">
        <f>'Avg KAPEEKA-MATUGA'!F78+'Avg Week MATUGGA-KAPEEKA'!F78</f>
        <v>2</v>
      </c>
      <c r="G78" s="49">
        <f>'Avg KAPEEKA-MATUGA'!G78+'Avg Week MATUGGA-KAPEEKA'!G78</f>
        <v>0</v>
      </c>
      <c r="H78" s="49">
        <f>'Avg KAPEEKA-MATUGA'!H78+'Avg Week MATUGGA-KAPEEKA'!H78</f>
        <v>0</v>
      </c>
      <c r="I78" s="49">
        <f>'Avg KAPEEKA-MATUGA'!I78+'Avg Week MATUGGA-KAPEEKA'!I78</f>
        <v>2</v>
      </c>
      <c r="J78" s="49">
        <f>'Avg KAPEEKA-MATUGA'!J78+'Avg Week MATUGGA-KAPEEKA'!J78</f>
        <v>0</v>
      </c>
      <c r="K78" s="49">
        <f>'Avg KAPEEKA-MATUGA'!K78+'Avg Week MATUGGA-KAPEEKA'!K78</f>
        <v>0</v>
      </c>
      <c r="L78" s="49">
        <f>'Avg KAPEEKA-MATUGA'!L78+'Avg Week MATUGGA-KAPEEKA'!L78</f>
        <v>0</v>
      </c>
      <c r="M78" s="49">
        <f>'Avg KAPEEKA-MATUGA'!M78+'Avg Week MATUGGA-KAPEEKA'!M78</f>
        <v>0</v>
      </c>
      <c r="N78" s="49">
        <f>'Avg KAPEEKA-MATUGA'!N78+'Avg Week MATUGGA-KAPEEKA'!N78</f>
        <v>0</v>
      </c>
      <c r="O78" s="15">
        <f t="shared" si="35"/>
        <v>10</v>
      </c>
      <c r="P78" s="15">
        <f t="shared" si="36"/>
        <v>10</v>
      </c>
      <c r="R78" s="8"/>
      <c r="T78"/>
    </row>
    <row r="79" spans="2:20" ht="23.1" customHeight="1" x14ac:dyDescent="0.25">
      <c r="B79" s="23" t="s">
        <v>119</v>
      </c>
      <c r="C79" s="49">
        <f>'Avg KAPEEKA-MATUGA'!C79+'Avg Week MATUGGA-KAPEEKA'!C79</f>
        <v>6</v>
      </c>
      <c r="D79" s="49">
        <f>'Avg KAPEEKA-MATUGA'!D79+'Avg Week MATUGGA-KAPEEKA'!D79</f>
        <v>1.6</v>
      </c>
      <c r="E79" s="49">
        <f>'Avg KAPEEKA-MATUGA'!E79+'Avg Week MATUGGA-KAPEEKA'!E79</f>
        <v>2.4</v>
      </c>
      <c r="F79" s="49">
        <f>'Avg KAPEEKA-MATUGA'!F79+'Avg Week MATUGGA-KAPEEKA'!F79</f>
        <v>2</v>
      </c>
      <c r="G79" s="49">
        <f>'Avg KAPEEKA-MATUGA'!G79+'Avg Week MATUGGA-KAPEEKA'!G79</f>
        <v>0</v>
      </c>
      <c r="H79" s="49">
        <f>'Avg KAPEEKA-MATUGA'!H79+'Avg Week MATUGGA-KAPEEKA'!H79</f>
        <v>0</v>
      </c>
      <c r="I79" s="49">
        <f>'Avg KAPEEKA-MATUGA'!I79+'Avg Week MATUGGA-KAPEEKA'!I79</f>
        <v>2</v>
      </c>
      <c r="J79" s="49">
        <f>'Avg KAPEEKA-MATUGA'!J79+'Avg Week MATUGGA-KAPEEKA'!J79</f>
        <v>2</v>
      </c>
      <c r="K79" s="49">
        <f>'Avg KAPEEKA-MATUGA'!K79+'Avg Week MATUGGA-KAPEEKA'!K79</f>
        <v>0</v>
      </c>
      <c r="L79" s="49">
        <f>'Avg KAPEEKA-MATUGA'!L79+'Avg Week MATUGGA-KAPEEKA'!L79</f>
        <v>0</v>
      </c>
      <c r="M79" s="49">
        <f>'Avg KAPEEKA-MATUGA'!M79+'Avg Week MATUGGA-KAPEEKA'!M79</f>
        <v>0</v>
      </c>
      <c r="N79" s="49">
        <f>'Avg KAPEEKA-MATUGA'!N79+'Avg Week MATUGGA-KAPEEKA'!N79</f>
        <v>0</v>
      </c>
      <c r="O79" s="15">
        <f t="shared" si="35"/>
        <v>16</v>
      </c>
      <c r="P79" s="15">
        <f t="shared" si="36"/>
        <v>16</v>
      </c>
      <c r="R79" s="8"/>
      <c r="T79"/>
    </row>
    <row r="80" spans="2:20" ht="23.1" customHeight="1" x14ac:dyDescent="0.25">
      <c r="B80" s="25" t="s">
        <v>120</v>
      </c>
      <c r="C80" s="49">
        <f>'Avg KAPEEKA-MATUGA'!C80+'Avg Week MATUGGA-KAPEEKA'!C80</f>
        <v>2</v>
      </c>
      <c r="D80" s="49">
        <f>'Avg KAPEEKA-MATUGA'!D80+'Avg Week MATUGGA-KAPEEKA'!D80</f>
        <v>0.8</v>
      </c>
      <c r="E80" s="49">
        <f>'Avg KAPEEKA-MATUGA'!E80+'Avg Week MATUGGA-KAPEEKA'!E80</f>
        <v>1.2</v>
      </c>
      <c r="F80" s="49">
        <f>'Avg KAPEEKA-MATUGA'!F80+'Avg Week MATUGGA-KAPEEKA'!F80</f>
        <v>0</v>
      </c>
      <c r="G80" s="49">
        <f>'Avg KAPEEKA-MATUGA'!G80+'Avg Week MATUGGA-KAPEEKA'!G80</f>
        <v>0</v>
      </c>
      <c r="H80" s="49">
        <f>'Avg KAPEEKA-MATUGA'!H80+'Avg Week MATUGGA-KAPEEKA'!H80</f>
        <v>0</v>
      </c>
      <c r="I80" s="49">
        <f>'Avg KAPEEKA-MATUGA'!I80+'Avg Week MATUGGA-KAPEEKA'!I80</f>
        <v>2</v>
      </c>
      <c r="J80" s="49">
        <f>'Avg KAPEEKA-MATUGA'!J80+'Avg Week MATUGGA-KAPEEKA'!J80</f>
        <v>0</v>
      </c>
      <c r="K80" s="49">
        <f>'Avg KAPEEKA-MATUGA'!K80+'Avg Week MATUGGA-KAPEEKA'!K80</f>
        <v>0</v>
      </c>
      <c r="L80" s="49">
        <f>'Avg KAPEEKA-MATUGA'!L80+'Avg Week MATUGGA-KAPEEKA'!L80</f>
        <v>0</v>
      </c>
      <c r="M80" s="49">
        <f>'Avg KAPEEKA-MATUGA'!M80+'Avg Week MATUGGA-KAPEEKA'!M80</f>
        <v>2</v>
      </c>
      <c r="N80" s="49">
        <f>'Avg KAPEEKA-MATUGA'!N80+'Avg Week MATUGGA-KAPEEKA'!N80</f>
        <v>0</v>
      </c>
      <c r="O80" s="15">
        <f t="shared" si="35"/>
        <v>6</v>
      </c>
      <c r="P80" s="15">
        <f t="shared" si="36"/>
        <v>8</v>
      </c>
      <c r="R80" s="8"/>
      <c r="T80"/>
    </row>
    <row r="81" spans="2:20" ht="23.1" customHeight="1" x14ac:dyDescent="0.25">
      <c r="B81" s="23" t="s">
        <v>121</v>
      </c>
      <c r="C81" s="49">
        <f>'Avg KAPEEKA-MATUGA'!C81+'Avg Week MATUGGA-KAPEEKA'!C81</f>
        <v>2</v>
      </c>
      <c r="D81" s="49">
        <f>'Avg KAPEEKA-MATUGA'!D81+'Avg Week MATUGGA-KAPEEKA'!D81</f>
        <v>0.8</v>
      </c>
      <c r="E81" s="49">
        <f>'Avg KAPEEKA-MATUGA'!E81+'Avg Week MATUGGA-KAPEEKA'!E81</f>
        <v>1.2</v>
      </c>
      <c r="F81" s="49">
        <f>'Avg KAPEEKA-MATUGA'!F81+'Avg Week MATUGGA-KAPEEKA'!F81</f>
        <v>2</v>
      </c>
      <c r="G81" s="49">
        <f>'Avg KAPEEKA-MATUGA'!G81+'Avg Week MATUGGA-KAPEEKA'!G81</f>
        <v>0</v>
      </c>
      <c r="H81" s="49">
        <f>'Avg KAPEEKA-MATUGA'!H81+'Avg Week MATUGGA-KAPEEKA'!H81</f>
        <v>0</v>
      </c>
      <c r="I81" s="49">
        <f>'Avg KAPEEKA-MATUGA'!I81+'Avg Week MATUGGA-KAPEEKA'!I81</f>
        <v>2</v>
      </c>
      <c r="J81" s="49">
        <f>'Avg KAPEEKA-MATUGA'!J81+'Avg Week MATUGGA-KAPEEKA'!J81</f>
        <v>0</v>
      </c>
      <c r="K81" s="49">
        <f>'Avg KAPEEKA-MATUGA'!K81+'Avg Week MATUGGA-KAPEEKA'!K81</f>
        <v>0</v>
      </c>
      <c r="L81" s="49">
        <f>'Avg KAPEEKA-MATUGA'!L81+'Avg Week MATUGGA-KAPEEKA'!L81</f>
        <v>0</v>
      </c>
      <c r="M81" s="49">
        <f>'Avg KAPEEKA-MATUGA'!M81+'Avg Week MATUGGA-KAPEEKA'!M81</f>
        <v>0</v>
      </c>
      <c r="N81" s="49">
        <f>'Avg KAPEEKA-MATUGA'!N81+'Avg Week MATUGGA-KAPEEKA'!N81</f>
        <v>0</v>
      </c>
      <c r="O81" s="15">
        <f t="shared" si="35"/>
        <v>8</v>
      </c>
      <c r="P81" s="15">
        <f t="shared" si="36"/>
        <v>8</v>
      </c>
      <c r="R81" s="8"/>
      <c r="T81"/>
    </row>
    <row r="82" spans="2:20" ht="23.1" customHeight="1" x14ac:dyDescent="0.25">
      <c r="B82" s="24" t="s">
        <v>122</v>
      </c>
      <c r="C82" s="49">
        <f>'Avg KAPEEKA-MATUGA'!C82+'Avg Week MATUGGA-KAPEEKA'!C82</f>
        <v>0</v>
      </c>
      <c r="D82" s="49">
        <f>'Avg KAPEEKA-MATUGA'!D82+'Avg Week MATUGGA-KAPEEKA'!D82</f>
        <v>0.8</v>
      </c>
      <c r="E82" s="49">
        <f>'Avg KAPEEKA-MATUGA'!E82+'Avg Week MATUGGA-KAPEEKA'!E82</f>
        <v>1.2</v>
      </c>
      <c r="F82" s="49">
        <f>'Avg KAPEEKA-MATUGA'!F82+'Avg Week MATUGGA-KAPEEKA'!F82</f>
        <v>0</v>
      </c>
      <c r="G82" s="49">
        <f>'Avg KAPEEKA-MATUGA'!G82+'Avg Week MATUGGA-KAPEEKA'!G82</f>
        <v>0</v>
      </c>
      <c r="H82" s="49">
        <f>'Avg KAPEEKA-MATUGA'!H82+'Avg Week MATUGGA-KAPEEKA'!H82</f>
        <v>0</v>
      </c>
      <c r="I82" s="49">
        <f>'Avg KAPEEKA-MATUGA'!I82+'Avg Week MATUGGA-KAPEEKA'!I82</f>
        <v>2</v>
      </c>
      <c r="J82" s="49">
        <f>'Avg KAPEEKA-MATUGA'!J82+'Avg Week MATUGGA-KAPEEKA'!J82</f>
        <v>2</v>
      </c>
      <c r="K82" s="49">
        <f>'Avg KAPEEKA-MATUGA'!K82+'Avg Week MATUGGA-KAPEEKA'!K82</f>
        <v>0</v>
      </c>
      <c r="L82" s="49">
        <f>'Avg KAPEEKA-MATUGA'!L82+'Avg Week MATUGGA-KAPEEKA'!L82</f>
        <v>0</v>
      </c>
      <c r="M82" s="49">
        <f>'Avg KAPEEKA-MATUGA'!M82+'Avg Week MATUGGA-KAPEEKA'!M82</f>
        <v>0</v>
      </c>
      <c r="N82" s="49">
        <f>'Avg KAPEEKA-MATUGA'!N82+'Avg Week MATUGGA-KAPEEKA'!N82</f>
        <v>0</v>
      </c>
      <c r="O82" s="15">
        <f t="shared" si="35"/>
        <v>6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'Avg KAPEEKA-MATUGA'!C83+'Avg Week MATUGGA-KAPEEKA'!C83</f>
        <v>2</v>
      </c>
      <c r="D83" s="49">
        <f>'Avg KAPEEKA-MATUGA'!D83+'Avg Week MATUGGA-KAPEEKA'!D83</f>
        <v>0.8</v>
      </c>
      <c r="E83" s="49">
        <f>'Avg KAPEEKA-MATUGA'!E83+'Avg Week MATUGGA-KAPEEKA'!E83</f>
        <v>1.2</v>
      </c>
      <c r="F83" s="49">
        <f>'Avg KAPEEKA-MATUGA'!F83+'Avg Week MATUGGA-KAPEEKA'!F83</f>
        <v>0</v>
      </c>
      <c r="G83" s="49">
        <f>'Avg KAPEEKA-MATUGA'!G83+'Avg Week MATUGGA-KAPEEKA'!G83</f>
        <v>0</v>
      </c>
      <c r="H83" s="49">
        <f>'Avg KAPEEKA-MATUGA'!H83+'Avg Week MATUGGA-KAPEEKA'!H83</f>
        <v>0</v>
      </c>
      <c r="I83" s="49">
        <f>'Avg KAPEEKA-MATUGA'!I83+'Avg Week MATUGGA-KAPEEKA'!I83</f>
        <v>2</v>
      </c>
      <c r="J83" s="49">
        <f>'Avg KAPEEKA-MATUGA'!J83+'Avg Week MATUGGA-KAPEEKA'!J83</f>
        <v>2</v>
      </c>
      <c r="K83" s="49">
        <f>'Avg KAPEEKA-MATUGA'!K83+'Avg Week MATUGGA-KAPEEKA'!K83</f>
        <v>0</v>
      </c>
      <c r="L83" s="49">
        <f>'Avg KAPEEKA-MATUGA'!L83+'Avg Week MATUGGA-KAPEEKA'!L83</f>
        <v>0</v>
      </c>
      <c r="M83" s="49">
        <f>'Avg KAPEEKA-MATUGA'!M83+'Avg Week MATUGGA-KAPEEKA'!M83</f>
        <v>0</v>
      </c>
      <c r="N83" s="49">
        <f>'Avg KAPEEKA-MATUGA'!N83+'Avg Week MATUGGA-KAPEEKA'!N83</f>
        <v>0</v>
      </c>
      <c r="O83" s="15">
        <f t="shared" si="35"/>
        <v>8</v>
      </c>
      <c r="P83" s="15">
        <f t="shared" si="36"/>
        <v>8</v>
      </c>
      <c r="R83" s="8"/>
      <c r="T83"/>
    </row>
    <row r="84" spans="2:20" ht="23.1" customHeight="1" x14ac:dyDescent="0.25">
      <c r="B84" s="25" t="s">
        <v>124</v>
      </c>
      <c r="C84" s="49">
        <f>'Avg KAPEEKA-MATUGA'!C84+'Avg Week MATUGGA-KAPEEKA'!C84</f>
        <v>2</v>
      </c>
      <c r="D84" s="49">
        <f>'Avg KAPEEKA-MATUGA'!D84+'Avg Week MATUGGA-KAPEEKA'!D84</f>
        <v>0.8</v>
      </c>
      <c r="E84" s="49">
        <f>'Avg KAPEEKA-MATUGA'!E84+'Avg Week MATUGGA-KAPEEKA'!E84</f>
        <v>1.2</v>
      </c>
      <c r="F84" s="49">
        <f>'Avg KAPEEKA-MATUGA'!F84+'Avg Week MATUGGA-KAPEEKA'!F84</f>
        <v>2</v>
      </c>
      <c r="G84" s="49">
        <f>'Avg KAPEEKA-MATUGA'!G84+'Avg Week MATUGGA-KAPEEKA'!G84</f>
        <v>0</v>
      </c>
      <c r="H84" s="49">
        <f>'Avg KAPEEKA-MATUGA'!H84+'Avg Week MATUGGA-KAPEEKA'!H84</f>
        <v>0</v>
      </c>
      <c r="I84" s="49">
        <f>'Avg KAPEEKA-MATUGA'!I84+'Avg Week MATUGGA-KAPEEKA'!I84</f>
        <v>2</v>
      </c>
      <c r="J84" s="49">
        <f>'Avg KAPEEKA-MATUGA'!J84+'Avg Week MATUGGA-KAPEEKA'!J84</f>
        <v>0</v>
      </c>
      <c r="K84" s="49">
        <f>'Avg KAPEEKA-MATUGA'!K84+'Avg Week MATUGGA-KAPEEKA'!K84</f>
        <v>2</v>
      </c>
      <c r="L84" s="49">
        <f>'Avg KAPEEKA-MATUGA'!L84+'Avg Week MATUGGA-KAPEEKA'!L84</f>
        <v>0</v>
      </c>
      <c r="M84" s="49">
        <f>'Avg KAPEEKA-MATUGA'!M84+'Avg Week MATUGGA-KAPEEKA'!M84</f>
        <v>2</v>
      </c>
      <c r="N84" s="49">
        <f>'Avg KAPEEKA-MATUGA'!N84+'Avg Week MATUGGA-KAPEEKA'!N84</f>
        <v>0</v>
      </c>
      <c r="O84" s="15">
        <f t="shared" si="35"/>
        <v>10</v>
      </c>
      <c r="P84" s="15">
        <f t="shared" si="36"/>
        <v>12</v>
      </c>
      <c r="R84" s="8"/>
      <c r="T84"/>
    </row>
    <row r="85" spans="2:20" ht="23.1" customHeight="1" x14ac:dyDescent="0.25">
      <c r="B85" s="23" t="s">
        <v>125</v>
      </c>
      <c r="C85" s="49">
        <f>'Avg KAPEEKA-MATUGA'!C85+'Avg Week MATUGGA-KAPEEKA'!C85</f>
        <v>2</v>
      </c>
      <c r="D85" s="49">
        <f>'Avg KAPEEKA-MATUGA'!D85+'Avg Week MATUGGA-KAPEEKA'!D85</f>
        <v>0.8</v>
      </c>
      <c r="E85" s="49">
        <f>'Avg KAPEEKA-MATUGA'!E85+'Avg Week MATUGGA-KAPEEKA'!E85</f>
        <v>1.2</v>
      </c>
      <c r="F85" s="49">
        <f>'Avg KAPEEKA-MATUGA'!F85+'Avg Week MATUGGA-KAPEEKA'!F85</f>
        <v>0</v>
      </c>
      <c r="G85" s="49">
        <f>'Avg KAPEEKA-MATUGA'!G85+'Avg Week MATUGGA-KAPEEKA'!G85</f>
        <v>0</v>
      </c>
      <c r="H85" s="49">
        <f>'Avg KAPEEKA-MATUGA'!H85+'Avg Week MATUGGA-KAPEEKA'!H85</f>
        <v>0</v>
      </c>
      <c r="I85" s="49">
        <f>'Avg KAPEEKA-MATUGA'!I85+'Avg Week MATUGGA-KAPEEKA'!I85</f>
        <v>0</v>
      </c>
      <c r="J85" s="49">
        <f>'Avg KAPEEKA-MATUGA'!J85+'Avg Week MATUGGA-KAPEEKA'!J85</f>
        <v>0</v>
      </c>
      <c r="K85" s="49">
        <f>'Avg KAPEEKA-MATUGA'!K85+'Avg Week MATUGGA-KAPEEKA'!K85</f>
        <v>2</v>
      </c>
      <c r="L85" s="49">
        <f>'Avg KAPEEKA-MATUGA'!L85+'Avg Week MATUGGA-KAPEEKA'!L85</f>
        <v>0</v>
      </c>
      <c r="M85" s="49">
        <f>'Avg KAPEEKA-MATUGA'!M85+'Avg Week MATUGGA-KAPEEKA'!M85</f>
        <v>0</v>
      </c>
      <c r="N85" s="49">
        <f>'Avg KAPEEKA-MATUGA'!N85+'Avg Week MATUGGA-KAPEEKA'!N85</f>
        <v>0</v>
      </c>
      <c r="O85" s="15">
        <f t="shared" si="35"/>
        <v>6</v>
      </c>
      <c r="P85" s="15">
        <f t="shared" si="36"/>
        <v>6</v>
      </c>
      <c r="R85" s="8"/>
      <c r="T85"/>
    </row>
    <row r="86" spans="2:20" ht="23.1" customHeight="1" x14ac:dyDescent="0.25">
      <c r="B86" s="24" t="s">
        <v>126</v>
      </c>
      <c r="C86" s="49">
        <f>'Avg KAPEEKA-MATUGA'!C86+'Avg Week MATUGGA-KAPEEKA'!C86</f>
        <v>0</v>
      </c>
      <c r="D86" s="49">
        <f>'Avg KAPEEKA-MATUGA'!D86+'Avg Week MATUGGA-KAPEEKA'!D86</f>
        <v>0</v>
      </c>
      <c r="E86" s="49">
        <f>'Avg KAPEEKA-MATUGA'!E86+'Avg Week MATUGGA-KAPEEKA'!E86</f>
        <v>0</v>
      </c>
      <c r="F86" s="49">
        <f>'Avg KAPEEKA-MATUGA'!F86+'Avg Week MATUGGA-KAPEEKA'!F86</f>
        <v>0</v>
      </c>
      <c r="G86" s="49">
        <f>'Avg KAPEEKA-MATUGA'!G86+'Avg Week MATUGGA-KAPEEKA'!G86</f>
        <v>0</v>
      </c>
      <c r="H86" s="49">
        <f>'Avg KAPEEKA-MATUGA'!H86+'Avg Week MATUGGA-KAPEEKA'!H86</f>
        <v>0</v>
      </c>
      <c r="I86" s="49">
        <f>'Avg KAPEEKA-MATUGA'!I86+'Avg Week MATUGGA-KAPEEKA'!I86</f>
        <v>0</v>
      </c>
      <c r="J86" s="49">
        <f>'Avg KAPEEKA-MATUGA'!J86+'Avg Week MATUGGA-KAPEEKA'!J86</f>
        <v>0</v>
      </c>
      <c r="K86" s="49">
        <f>'Avg KAPEEKA-MATUGA'!K86+'Avg Week MATUGGA-KAPEEKA'!K86</f>
        <v>0</v>
      </c>
      <c r="L86" s="49">
        <f>'Avg KAPEEKA-MATUGA'!L86+'Avg Week MATUGGA-KAPEEKA'!L86</f>
        <v>0</v>
      </c>
      <c r="M86" s="49">
        <f>'Avg KAPEEKA-MATUGA'!M86+'Avg Week MATUGGA-KAPEEKA'!M86</f>
        <v>0</v>
      </c>
      <c r="N86" s="49">
        <f>'Avg KAPEEKA-MATUGA'!N86+'Avg Week MATUGGA-KAPEEKA'!N86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'Avg KAPEEKA-MATUGA'!C87+'Avg Week MATUGGA-KAPEEKA'!C87</f>
        <v>0</v>
      </c>
      <c r="D87" s="49">
        <f>'Avg KAPEEKA-MATUGA'!D87+'Avg Week MATUGGA-KAPEEKA'!D87</f>
        <v>0</v>
      </c>
      <c r="E87" s="49">
        <f>'Avg KAPEEKA-MATUGA'!E87+'Avg Week MATUGGA-KAPEEKA'!E87</f>
        <v>0</v>
      </c>
      <c r="F87" s="49">
        <f>'Avg KAPEEKA-MATUGA'!F87+'Avg Week MATUGGA-KAPEEKA'!F87</f>
        <v>0</v>
      </c>
      <c r="G87" s="49">
        <f>'Avg KAPEEKA-MATUGA'!G87+'Avg Week MATUGGA-KAPEEKA'!G87</f>
        <v>0</v>
      </c>
      <c r="H87" s="49">
        <f>'Avg KAPEEKA-MATUGA'!H87+'Avg Week MATUGGA-KAPEEKA'!H87</f>
        <v>0</v>
      </c>
      <c r="I87" s="49">
        <f>'Avg KAPEEKA-MATUGA'!I87+'Avg Week MATUGGA-KAPEEKA'!I87</f>
        <v>0</v>
      </c>
      <c r="J87" s="49">
        <f>'Avg KAPEEKA-MATUGA'!J87+'Avg Week MATUGGA-KAPEEKA'!J87</f>
        <v>0</v>
      </c>
      <c r="K87" s="49">
        <f>'Avg KAPEEKA-MATUGA'!K87+'Avg Week MATUGGA-KAPEEKA'!K87</f>
        <v>0</v>
      </c>
      <c r="L87" s="49">
        <f>'Avg KAPEEKA-MATUGA'!L87+'Avg Week MATUGGA-KAPEEKA'!L87</f>
        <v>0</v>
      </c>
      <c r="M87" s="49">
        <f>'Avg KAPEEKA-MATUGA'!M87+'Avg Week MATUGGA-KAPEEKA'!M87</f>
        <v>0</v>
      </c>
      <c r="N87" s="49">
        <f>'Avg KAPEEKA-MATUGA'!N87+'Avg Week MATUGGA-KAPEEKA'!N87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KAPEEKA-MATUGA'!C88+'Avg Week MATUGGA-KAPEEKA'!C88</f>
        <v>0</v>
      </c>
      <c r="D88" s="49">
        <f>'Avg KAPEEKA-MATUGA'!D88+'Avg Week MATUGGA-KAPEEKA'!D88</f>
        <v>0</v>
      </c>
      <c r="E88" s="49">
        <f>'Avg KAPEEKA-MATUGA'!E88+'Avg Week MATUGGA-KAPEEKA'!E88</f>
        <v>0</v>
      </c>
      <c r="F88" s="49">
        <f>'Avg KAPEEKA-MATUGA'!F88+'Avg Week MATUGGA-KAPEEKA'!F88</f>
        <v>0</v>
      </c>
      <c r="G88" s="49">
        <f>'Avg KAPEEKA-MATUGA'!G88+'Avg Week MATUGGA-KAPEEKA'!G88</f>
        <v>0</v>
      </c>
      <c r="H88" s="49">
        <f>'Avg KAPEEKA-MATUGA'!H88+'Avg Week MATUGGA-KAPEEKA'!H88</f>
        <v>0</v>
      </c>
      <c r="I88" s="49">
        <f>'Avg KAPEEKA-MATUGA'!I88+'Avg Week MATUGGA-KAPEEKA'!I88</f>
        <v>0</v>
      </c>
      <c r="J88" s="49">
        <f>'Avg KAPEEKA-MATUGA'!J88+'Avg Week MATUGGA-KAPEEKA'!J88</f>
        <v>0</v>
      </c>
      <c r="K88" s="49">
        <f>'Avg KAPEEKA-MATUGA'!K88+'Avg Week MATUGGA-KAPEEKA'!K88</f>
        <v>0</v>
      </c>
      <c r="L88" s="49">
        <f>'Avg KAPEEKA-MATUGA'!L88+'Avg Week MATUGGA-KAPEEKA'!L88</f>
        <v>0</v>
      </c>
      <c r="M88" s="49">
        <f>'Avg KAPEEKA-MATUGA'!M88+'Avg Week MATUGGA-KAPEEKA'!M88</f>
        <v>0</v>
      </c>
      <c r="N88" s="49">
        <f>'Avg KAPEEKA-MATUGA'!N88+'Avg Week MATUGGA-KAPEEKA'!N88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KAPEEKA-MATUGA'!C89+'Avg Week MATUGGA-KAPEEKA'!C89</f>
        <v>0</v>
      </c>
      <c r="D89" s="49">
        <f>'Avg KAPEEKA-MATUGA'!D89+'Avg Week MATUGGA-KAPEEKA'!D89</f>
        <v>0</v>
      </c>
      <c r="E89" s="49">
        <f>'Avg KAPEEKA-MATUGA'!E89+'Avg Week MATUGGA-KAPEEKA'!E89</f>
        <v>0</v>
      </c>
      <c r="F89" s="49">
        <f>'Avg KAPEEKA-MATUGA'!F89+'Avg Week MATUGGA-KAPEEKA'!F89</f>
        <v>0</v>
      </c>
      <c r="G89" s="49">
        <f>'Avg KAPEEKA-MATUGA'!G89+'Avg Week MATUGGA-KAPEEKA'!G89</f>
        <v>0</v>
      </c>
      <c r="H89" s="49">
        <f>'Avg KAPEEKA-MATUGA'!H89+'Avg Week MATUGGA-KAPEEKA'!H89</f>
        <v>0</v>
      </c>
      <c r="I89" s="49">
        <f>'Avg KAPEEKA-MATUGA'!I89+'Avg Week MATUGGA-KAPEEKA'!I89</f>
        <v>0</v>
      </c>
      <c r="J89" s="49">
        <f>'Avg KAPEEKA-MATUGA'!J89+'Avg Week MATUGGA-KAPEEKA'!J89</f>
        <v>0</v>
      </c>
      <c r="K89" s="49">
        <f>'Avg KAPEEKA-MATUGA'!K89+'Avg Week MATUGGA-KAPEEKA'!K89</f>
        <v>0</v>
      </c>
      <c r="L89" s="49">
        <f>'Avg KAPEEKA-MATUGA'!L89+'Avg Week MATUGGA-KAPEEKA'!L89</f>
        <v>0</v>
      </c>
      <c r="M89" s="49">
        <f>'Avg KAPEEKA-MATUGA'!M89+'Avg Week MATUGGA-KAPEEKA'!M89</f>
        <v>0</v>
      </c>
      <c r="N89" s="49">
        <f>'Avg KAPEEKA-MATUGA'!N89+'Avg Week MATUGGA-KAPEEKA'!N89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'Avg KAPEEKA-MATUGA'!C90+'Avg Week MATUGGA-KAPEEKA'!C90</f>
        <v>4</v>
      </c>
      <c r="D90" s="49">
        <f>'Avg KAPEEKA-MATUGA'!D90+'Avg Week MATUGGA-KAPEEKA'!D90</f>
        <v>0.8</v>
      </c>
      <c r="E90" s="49">
        <f>'Avg KAPEEKA-MATUGA'!E90+'Avg Week MATUGGA-KAPEEKA'!E90</f>
        <v>1.2</v>
      </c>
      <c r="F90" s="49">
        <f>'Avg KAPEEKA-MATUGA'!F90+'Avg Week MATUGGA-KAPEEKA'!F90</f>
        <v>2</v>
      </c>
      <c r="G90" s="49">
        <f>'Avg KAPEEKA-MATUGA'!G90+'Avg Week MATUGGA-KAPEEKA'!G90</f>
        <v>0</v>
      </c>
      <c r="H90" s="49">
        <f>'Avg KAPEEKA-MATUGA'!H90+'Avg Week MATUGGA-KAPEEKA'!H90</f>
        <v>0</v>
      </c>
      <c r="I90" s="49">
        <f>'Avg KAPEEKA-MATUGA'!I90+'Avg Week MATUGGA-KAPEEKA'!I90</f>
        <v>2</v>
      </c>
      <c r="J90" s="49">
        <f>'Avg KAPEEKA-MATUGA'!J90+'Avg Week MATUGGA-KAPEEKA'!J90</f>
        <v>2</v>
      </c>
      <c r="K90" s="49">
        <f>'Avg KAPEEKA-MATUGA'!K90+'Avg Week MATUGGA-KAPEEKA'!K90</f>
        <v>0</v>
      </c>
      <c r="L90" s="49">
        <f>'Avg KAPEEKA-MATUGA'!L90+'Avg Week MATUGGA-KAPEEKA'!L90</f>
        <v>0</v>
      </c>
      <c r="M90" s="49">
        <f>'Avg KAPEEKA-MATUGA'!M90+'Avg Week MATUGGA-KAPEEKA'!M90</f>
        <v>0</v>
      </c>
      <c r="N90" s="49">
        <f>'Avg KAPEEKA-MATUGA'!N90+'Avg Week MATUGGA-KAPEEKA'!N90</f>
        <v>0</v>
      </c>
      <c r="O90" s="15">
        <f t="shared" si="35"/>
        <v>12</v>
      </c>
      <c r="P90" s="15">
        <f t="shared" si="36"/>
        <v>12</v>
      </c>
      <c r="R90" s="8"/>
      <c r="T90"/>
    </row>
    <row r="91" spans="2:20" ht="23.1" customHeight="1" x14ac:dyDescent="0.25">
      <c r="B91" s="23" t="s">
        <v>131</v>
      </c>
      <c r="C91" s="49">
        <f>'Avg KAPEEKA-MATUGA'!C91+'Avg Week MATUGGA-KAPEEKA'!C91</f>
        <v>0</v>
      </c>
      <c r="D91" s="49">
        <f>'Avg KAPEEKA-MATUGA'!D91+'Avg Week MATUGGA-KAPEEKA'!D91</f>
        <v>0</v>
      </c>
      <c r="E91" s="49">
        <f>'Avg KAPEEKA-MATUGA'!E91+'Avg Week MATUGGA-KAPEEKA'!E91</f>
        <v>0</v>
      </c>
      <c r="F91" s="49">
        <f>'Avg KAPEEKA-MATUGA'!F91+'Avg Week MATUGGA-KAPEEKA'!F91</f>
        <v>0</v>
      </c>
      <c r="G91" s="49">
        <f>'Avg KAPEEKA-MATUGA'!G91+'Avg Week MATUGGA-KAPEEKA'!G91</f>
        <v>0</v>
      </c>
      <c r="H91" s="49">
        <f>'Avg KAPEEKA-MATUGA'!H91+'Avg Week MATUGGA-KAPEEKA'!H91</f>
        <v>0</v>
      </c>
      <c r="I91" s="49">
        <f>'Avg KAPEEKA-MATUGA'!I91+'Avg Week MATUGGA-KAPEEKA'!I91</f>
        <v>0</v>
      </c>
      <c r="J91" s="49">
        <f>'Avg KAPEEKA-MATUGA'!J91+'Avg Week MATUGGA-KAPEEKA'!J91</f>
        <v>0</v>
      </c>
      <c r="K91" s="49">
        <f>'Avg KAPEEKA-MATUGA'!K91+'Avg Week MATUGGA-KAPEEKA'!K91</f>
        <v>0</v>
      </c>
      <c r="L91" s="49">
        <f>'Avg KAPEEKA-MATUGA'!L91+'Avg Week MATUGGA-KAPEEKA'!L91</f>
        <v>0</v>
      </c>
      <c r="M91" s="49">
        <f>'Avg KAPEEKA-MATUGA'!M91+'Avg Week MATUGGA-KAPEEKA'!M91</f>
        <v>0</v>
      </c>
      <c r="N91" s="49">
        <f>'Avg KAPEEKA-MATUGA'!N91+'Avg Week MATUGGA-KAPEEKA'!N91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KAPEEKA-MATUGA'!C92+'Avg Week MATUGGA-KAPEEKA'!C92</f>
        <v>2</v>
      </c>
      <c r="D92" s="49">
        <f>'Avg KAPEEKA-MATUGA'!D92+'Avg Week MATUGGA-KAPEEKA'!D92</f>
        <v>0.8</v>
      </c>
      <c r="E92" s="49">
        <f>'Avg KAPEEKA-MATUGA'!E92+'Avg Week MATUGGA-KAPEEKA'!E92</f>
        <v>1.2</v>
      </c>
      <c r="F92" s="49">
        <f>'Avg KAPEEKA-MATUGA'!F92+'Avg Week MATUGGA-KAPEEKA'!F92</f>
        <v>2</v>
      </c>
      <c r="G92" s="49">
        <f>'Avg KAPEEKA-MATUGA'!G92+'Avg Week MATUGGA-KAPEEKA'!G92</f>
        <v>0</v>
      </c>
      <c r="H92" s="49">
        <f>'Avg KAPEEKA-MATUGA'!H92+'Avg Week MATUGGA-KAPEEKA'!H92</f>
        <v>0</v>
      </c>
      <c r="I92" s="49">
        <f>'Avg KAPEEKA-MATUGA'!I92+'Avg Week MATUGGA-KAPEEKA'!I92</f>
        <v>2</v>
      </c>
      <c r="J92" s="49">
        <f>'Avg KAPEEKA-MATUGA'!J92+'Avg Week MATUGGA-KAPEEKA'!J92</f>
        <v>0</v>
      </c>
      <c r="K92" s="49">
        <f>'Avg KAPEEKA-MATUGA'!K92+'Avg Week MATUGGA-KAPEEKA'!K92</f>
        <v>0</v>
      </c>
      <c r="L92" s="49">
        <f>'Avg KAPEEKA-MATUGA'!L92+'Avg Week MATUGGA-KAPEEKA'!L92</f>
        <v>0</v>
      </c>
      <c r="M92" s="49">
        <f>'Avg KAPEEKA-MATUGA'!M92+'Avg Week MATUGGA-KAPEEKA'!M92</f>
        <v>0</v>
      </c>
      <c r="N92" s="49">
        <f>'Avg KAPEEKA-MATUGA'!N92+'Avg Week MATUGGA-KAPEEKA'!N92</f>
        <v>0</v>
      </c>
      <c r="O92" s="15">
        <f t="shared" si="35"/>
        <v>8</v>
      </c>
      <c r="P92" s="15">
        <f t="shared" si="36"/>
        <v>8</v>
      </c>
      <c r="R92" s="8"/>
      <c r="T92"/>
    </row>
    <row r="93" spans="2:20" ht="23.1" customHeight="1" x14ac:dyDescent="0.25">
      <c r="B93" s="23" t="s">
        <v>133</v>
      </c>
      <c r="C93" s="49">
        <f>'Avg KAPEEKA-MATUGA'!C93+'Avg Week MATUGGA-KAPEEKA'!C93</f>
        <v>0</v>
      </c>
      <c r="D93" s="49">
        <f>'Avg KAPEEKA-MATUGA'!D93+'Avg Week MATUGGA-KAPEEKA'!D93</f>
        <v>0</v>
      </c>
      <c r="E93" s="49">
        <f>'Avg KAPEEKA-MATUGA'!E93+'Avg Week MATUGGA-KAPEEKA'!E93</f>
        <v>0</v>
      </c>
      <c r="F93" s="49">
        <f>'Avg KAPEEKA-MATUGA'!F93+'Avg Week MATUGGA-KAPEEKA'!F93</f>
        <v>0</v>
      </c>
      <c r="G93" s="49">
        <f>'Avg KAPEEKA-MATUGA'!G93+'Avg Week MATUGGA-KAPEEKA'!G93</f>
        <v>0</v>
      </c>
      <c r="H93" s="49">
        <f>'Avg KAPEEKA-MATUGA'!H93+'Avg Week MATUGGA-KAPEEKA'!H93</f>
        <v>0</v>
      </c>
      <c r="I93" s="49">
        <f>'Avg KAPEEKA-MATUGA'!I93+'Avg Week MATUGGA-KAPEEKA'!I93</f>
        <v>0</v>
      </c>
      <c r="J93" s="49">
        <f>'Avg KAPEEKA-MATUGA'!J93+'Avg Week MATUGGA-KAPEEKA'!J93</f>
        <v>0</v>
      </c>
      <c r="K93" s="49">
        <f>'Avg KAPEEKA-MATUGA'!K93+'Avg Week MATUGGA-KAPEEKA'!K93</f>
        <v>0</v>
      </c>
      <c r="L93" s="49">
        <f>'Avg KAPEEKA-MATUGA'!L93+'Avg Week MATUGGA-KAPEEKA'!L93</f>
        <v>0</v>
      </c>
      <c r="M93" s="49">
        <f>'Avg KAPEEKA-MATUGA'!M93+'Avg Week MATUGGA-KAPEEKA'!M93</f>
        <v>0</v>
      </c>
      <c r="N93" s="49">
        <f>'Avg KAPEEKA-MATUGA'!N93+'Avg Week MATUGGA-KAPEEKA'!N93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'Avg KAPEEKA-MATUGA'!C94+'Avg Week MATUGGA-KAPEEKA'!C94</f>
        <v>0</v>
      </c>
      <c r="D94" s="49">
        <f>'Avg KAPEEKA-MATUGA'!D94+'Avg Week MATUGGA-KAPEEKA'!D94</f>
        <v>0</v>
      </c>
      <c r="E94" s="49">
        <f>'Avg KAPEEKA-MATUGA'!E94+'Avg Week MATUGGA-KAPEEKA'!E94</f>
        <v>0</v>
      </c>
      <c r="F94" s="49">
        <f>'Avg KAPEEKA-MATUGA'!F94+'Avg Week MATUGGA-KAPEEKA'!F94</f>
        <v>0</v>
      </c>
      <c r="G94" s="49">
        <f>'Avg KAPEEKA-MATUGA'!G94+'Avg Week MATUGGA-KAPEEKA'!G94</f>
        <v>0</v>
      </c>
      <c r="H94" s="49">
        <f>'Avg KAPEEKA-MATUGA'!H94+'Avg Week MATUGGA-KAPEEKA'!H94</f>
        <v>0</v>
      </c>
      <c r="I94" s="49">
        <f>'Avg KAPEEKA-MATUGA'!I94+'Avg Week MATUGGA-KAPEEKA'!I94</f>
        <v>0</v>
      </c>
      <c r="J94" s="49">
        <f>'Avg KAPEEKA-MATUGA'!J94+'Avg Week MATUGGA-KAPEEKA'!J94</f>
        <v>0</v>
      </c>
      <c r="K94" s="49">
        <f>'Avg KAPEEKA-MATUGA'!K94+'Avg Week MATUGGA-KAPEEKA'!K94</f>
        <v>0</v>
      </c>
      <c r="L94" s="49">
        <f>'Avg KAPEEKA-MATUGA'!L94+'Avg Week MATUGGA-KAPEEKA'!L94</f>
        <v>0</v>
      </c>
      <c r="M94" s="49">
        <f>'Avg KAPEEKA-MATUGA'!M94+'Avg Week MATUGGA-KAPEEKA'!M94</f>
        <v>0</v>
      </c>
      <c r="N94" s="49">
        <f>'Avg KAPEEKA-MATUGA'!N94+'Avg Week MATUGGA-KAPEEKA'!N94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'Avg KAPEEKA-MATUGA'!C95+'Avg Week MATUGGA-KAPEEKA'!C95</f>
        <v>0</v>
      </c>
      <c r="D95" s="49">
        <f>'Avg KAPEEKA-MATUGA'!D95+'Avg Week MATUGGA-KAPEEKA'!D95</f>
        <v>0</v>
      </c>
      <c r="E95" s="49">
        <f>'Avg KAPEEKA-MATUGA'!E95+'Avg Week MATUGGA-KAPEEKA'!E95</f>
        <v>0</v>
      </c>
      <c r="F95" s="49">
        <f>'Avg KAPEEKA-MATUGA'!F95+'Avg Week MATUGGA-KAPEEKA'!F95</f>
        <v>0</v>
      </c>
      <c r="G95" s="49">
        <f>'Avg KAPEEKA-MATUGA'!G95+'Avg Week MATUGGA-KAPEEKA'!G95</f>
        <v>0</v>
      </c>
      <c r="H95" s="49">
        <f>'Avg KAPEEKA-MATUGA'!H95+'Avg Week MATUGGA-KAPEEKA'!H95</f>
        <v>0</v>
      </c>
      <c r="I95" s="49">
        <f>'Avg KAPEEKA-MATUGA'!I95+'Avg Week MATUGGA-KAPEEKA'!I95</f>
        <v>0</v>
      </c>
      <c r="J95" s="49">
        <f>'Avg KAPEEKA-MATUGA'!J95+'Avg Week MATUGGA-KAPEEKA'!J95</f>
        <v>0</v>
      </c>
      <c r="K95" s="49">
        <f>'Avg KAPEEKA-MATUGA'!K95+'Avg Week MATUGGA-KAPEEKA'!K95</f>
        <v>0</v>
      </c>
      <c r="L95" s="49">
        <f>'Avg KAPEEKA-MATUGA'!L95+'Avg Week MATUGGA-KAPEEKA'!L95</f>
        <v>0</v>
      </c>
      <c r="M95" s="49">
        <f>'Avg KAPEEKA-MATUGA'!M95+'Avg Week MATUGGA-KAPEEKA'!M95</f>
        <v>0</v>
      </c>
      <c r="N95" s="49">
        <f>'Avg KAPEEKA-MATUGA'!N95+'Avg Week MATUGGA-KAPEEKA'!N95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'Avg KAPEEKA-MATUGA'!C96+'Avg Week MATUGGA-KAPEEKA'!C96</f>
        <v>0</v>
      </c>
      <c r="D96" s="49">
        <f>'Avg KAPEEKA-MATUGA'!D96+'Avg Week MATUGGA-KAPEEKA'!D96</f>
        <v>0</v>
      </c>
      <c r="E96" s="49">
        <f>'Avg KAPEEKA-MATUGA'!E96+'Avg Week MATUGGA-KAPEEKA'!E96</f>
        <v>0</v>
      </c>
      <c r="F96" s="49">
        <f>'Avg KAPEEKA-MATUGA'!F96+'Avg Week MATUGGA-KAPEEKA'!F96</f>
        <v>0</v>
      </c>
      <c r="G96" s="49">
        <f>'Avg KAPEEKA-MATUGA'!G96+'Avg Week MATUGGA-KAPEEKA'!G96</f>
        <v>0</v>
      </c>
      <c r="H96" s="49">
        <f>'Avg KAPEEKA-MATUGA'!H96+'Avg Week MATUGGA-KAPEEKA'!H96</f>
        <v>0</v>
      </c>
      <c r="I96" s="49">
        <f>'Avg KAPEEKA-MATUGA'!I96+'Avg Week MATUGGA-KAPEEKA'!I96</f>
        <v>0</v>
      </c>
      <c r="J96" s="49">
        <f>'Avg KAPEEKA-MATUGA'!J96+'Avg Week MATUGGA-KAPEEKA'!J96</f>
        <v>0</v>
      </c>
      <c r="K96" s="49">
        <f>'Avg KAPEEKA-MATUGA'!K96+'Avg Week MATUGGA-KAPEEKA'!K96</f>
        <v>0</v>
      </c>
      <c r="L96" s="49">
        <f>'Avg KAPEEKA-MATUGA'!L96+'Avg Week MATUGGA-KAPEEKA'!L96</f>
        <v>0</v>
      </c>
      <c r="M96" s="49">
        <f>'Avg KAPEEKA-MATUGA'!M96+'Avg Week MATUGGA-KAPEEKA'!M96</f>
        <v>0</v>
      </c>
      <c r="N96" s="49">
        <f>'Avg KAPEEKA-MATUGA'!N96+'Avg Week MATUGGA-KAPEEKA'!N96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'Avg KAPEEKA-MATUGA'!C97+'Avg Week MATUGGA-KAPEEKA'!C97</f>
        <v>0</v>
      </c>
      <c r="D97" s="49">
        <f>'Avg KAPEEKA-MATUGA'!D97+'Avg Week MATUGGA-KAPEEKA'!D97</f>
        <v>0</v>
      </c>
      <c r="E97" s="49">
        <f>'Avg KAPEEKA-MATUGA'!E97+'Avg Week MATUGGA-KAPEEKA'!E97</f>
        <v>0</v>
      </c>
      <c r="F97" s="49">
        <f>'Avg KAPEEKA-MATUGA'!F97+'Avg Week MATUGGA-KAPEEKA'!F97</f>
        <v>0</v>
      </c>
      <c r="G97" s="49">
        <f>'Avg KAPEEKA-MATUGA'!G97+'Avg Week MATUGGA-KAPEEKA'!G97</f>
        <v>0</v>
      </c>
      <c r="H97" s="49">
        <f>'Avg KAPEEKA-MATUGA'!H97+'Avg Week MATUGGA-KAPEEKA'!H97</f>
        <v>0</v>
      </c>
      <c r="I97" s="49">
        <f>'Avg KAPEEKA-MATUGA'!I97+'Avg Week MATUGGA-KAPEEKA'!I97</f>
        <v>0</v>
      </c>
      <c r="J97" s="49">
        <f>'Avg KAPEEKA-MATUGA'!J97+'Avg Week MATUGGA-KAPEEKA'!J97</f>
        <v>0</v>
      </c>
      <c r="K97" s="49">
        <f>'Avg KAPEEKA-MATUGA'!K97+'Avg Week MATUGGA-KAPEEKA'!K97</f>
        <v>0</v>
      </c>
      <c r="L97" s="49">
        <f>'Avg KAPEEKA-MATUGA'!L97+'Avg Week MATUGGA-KAPEEKA'!L97</f>
        <v>0</v>
      </c>
      <c r="M97" s="49">
        <f>'Avg KAPEEKA-MATUGA'!M97+'Avg Week MATUGGA-KAPEEKA'!M97</f>
        <v>0</v>
      </c>
      <c r="N97" s="49">
        <f>'Avg KAPEEKA-MATUGA'!N97+'Avg Week MATUGGA-KAPEEKA'!N97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'Avg KAPEEKA-MATUGA'!C98+'Avg Week MATUGGA-KAPEEKA'!C98</f>
        <v>0</v>
      </c>
      <c r="D98" s="49">
        <f>'Avg KAPEEKA-MATUGA'!D98+'Avg Week MATUGGA-KAPEEKA'!D98</f>
        <v>0</v>
      </c>
      <c r="E98" s="49">
        <f>'Avg KAPEEKA-MATUGA'!E98+'Avg Week MATUGGA-KAPEEKA'!E98</f>
        <v>0</v>
      </c>
      <c r="F98" s="49">
        <f>'Avg KAPEEKA-MATUGA'!F98+'Avg Week MATUGGA-KAPEEKA'!F98</f>
        <v>0</v>
      </c>
      <c r="G98" s="49">
        <f>'Avg KAPEEKA-MATUGA'!G98+'Avg Week MATUGGA-KAPEEKA'!G98</f>
        <v>0</v>
      </c>
      <c r="H98" s="49">
        <f>'Avg KAPEEKA-MATUGA'!H98+'Avg Week MATUGGA-KAPEEKA'!H98</f>
        <v>0</v>
      </c>
      <c r="I98" s="49">
        <f>'Avg KAPEEKA-MATUGA'!I98+'Avg Week MATUGGA-KAPEEKA'!I98</f>
        <v>0</v>
      </c>
      <c r="J98" s="49">
        <f>'Avg KAPEEKA-MATUGA'!J98+'Avg Week MATUGGA-KAPEEKA'!J98</f>
        <v>0</v>
      </c>
      <c r="K98" s="49">
        <f>'Avg KAPEEKA-MATUGA'!K98+'Avg Week MATUGGA-KAPEEKA'!K98</f>
        <v>0</v>
      </c>
      <c r="L98" s="49">
        <f>'Avg KAPEEKA-MATUGA'!L98+'Avg Week MATUGGA-KAPEEKA'!L98</f>
        <v>0</v>
      </c>
      <c r="M98" s="49">
        <f>'Avg KAPEEKA-MATUGA'!M98+'Avg Week MATUGGA-KAPEEKA'!M98</f>
        <v>4</v>
      </c>
      <c r="N98" s="49">
        <f>'Avg KAPEEKA-MATUGA'!N98+'Avg Week MATUGGA-KAPEEKA'!N98</f>
        <v>0</v>
      </c>
      <c r="O98" s="15">
        <f t="shared" si="35"/>
        <v>0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'Avg KAPEEKA-MATUGA'!C99+'Avg Week MATUGGA-KAPEEKA'!C99</f>
        <v>0</v>
      </c>
      <c r="D99" s="49">
        <f>'Avg KAPEEKA-MATUGA'!D99+'Avg Week MATUGGA-KAPEEKA'!D99</f>
        <v>0</v>
      </c>
      <c r="E99" s="49">
        <f>'Avg KAPEEKA-MATUGA'!E99+'Avg Week MATUGGA-KAPEEKA'!E99</f>
        <v>0</v>
      </c>
      <c r="F99" s="49">
        <f>'Avg KAPEEKA-MATUGA'!F99+'Avg Week MATUGGA-KAPEEKA'!F99</f>
        <v>0</v>
      </c>
      <c r="G99" s="49">
        <f>'Avg KAPEEKA-MATUGA'!G99+'Avg Week MATUGGA-KAPEEKA'!G99</f>
        <v>0</v>
      </c>
      <c r="H99" s="49">
        <f>'Avg KAPEEKA-MATUGA'!H99+'Avg Week MATUGGA-KAPEEKA'!H99</f>
        <v>0</v>
      </c>
      <c r="I99" s="49">
        <f>'Avg KAPEEKA-MATUGA'!I99+'Avg Week MATUGGA-KAPEEKA'!I99</f>
        <v>0</v>
      </c>
      <c r="J99" s="49">
        <f>'Avg KAPEEKA-MATUGA'!J99+'Avg Week MATUGGA-KAPEEKA'!J99</f>
        <v>0</v>
      </c>
      <c r="K99" s="49">
        <f>'Avg KAPEEKA-MATUGA'!K99+'Avg Week MATUGGA-KAPEEKA'!K99</f>
        <v>0</v>
      </c>
      <c r="L99" s="49">
        <f>'Avg KAPEEKA-MATUGA'!L99+'Avg Week MATUGGA-KAPEEKA'!L99</f>
        <v>0</v>
      </c>
      <c r="M99" s="49">
        <f>'Avg KAPEEKA-MATUGA'!M99+'Avg Week MATUGGA-KAPEEKA'!M99</f>
        <v>2</v>
      </c>
      <c r="N99" s="49">
        <f>'Avg KAPEEKA-MATUGA'!N99+'Avg Week MATUGGA-KAPEEKA'!N99</f>
        <v>0</v>
      </c>
      <c r="O99" s="15">
        <f t="shared" si="35"/>
        <v>0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'Avg KAPEEKA-MATUGA'!C100+'Avg Week MATUGGA-KAPEEKA'!C100</f>
        <v>0</v>
      </c>
      <c r="D100" s="49">
        <f>'Avg KAPEEKA-MATUGA'!D100+'Avg Week MATUGGA-KAPEEKA'!D100</f>
        <v>0</v>
      </c>
      <c r="E100" s="49">
        <f>'Avg KAPEEKA-MATUGA'!E100+'Avg Week MATUGGA-KAPEEKA'!E100</f>
        <v>0</v>
      </c>
      <c r="F100" s="49">
        <f>'Avg KAPEEKA-MATUGA'!F100+'Avg Week MATUGGA-KAPEEKA'!F100</f>
        <v>0</v>
      </c>
      <c r="G100" s="49">
        <f>'Avg KAPEEKA-MATUGA'!G100+'Avg Week MATUGGA-KAPEEKA'!G100</f>
        <v>0</v>
      </c>
      <c r="H100" s="49">
        <f>'Avg KAPEEKA-MATUGA'!H100+'Avg Week MATUGGA-KAPEEKA'!H100</f>
        <v>0</v>
      </c>
      <c r="I100" s="49">
        <f>'Avg KAPEEKA-MATUGA'!I100+'Avg Week MATUGGA-KAPEEKA'!I100</f>
        <v>0</v>
      </c>
      <c r="J100" s="49">
        <f>'Avg KAPEEKA-MATUGA'!J100+'Avg Week MATUGGA-KAPEEKA'!J100</f>
        <v>0</v>
      </c>
      <c r="K100" s="49">
        <f>'Avg KAPEEKA-MATUGA'!K100+'Avg Week MATUGGA-KAPEEKA'!K100</f>
        <v>0</v>
      </c>
      <c r="L100" s="49">
        <f>'Avg KAPEEKA-MATUGA'!L100+'Avg Week MATUGGA-KAPEEKA'!L100</f>
        <v>0</v>
      </c>
      <c r="M100" s="49">
        <f>'Avg KAPEEKA-MATUGA'!M100+'Avg Week MATUGGA-KAPEEKA'!M100</f>
        <v>2</v>
      </c>
      <c r="N100" s="49">
        <f>'Avg KAPEEKA-MATUGA'!N100+'Avg Week MATUGGA-KAPEEKA'!N100</f>
        <v>0</v>
      </c>
      <c r="O100" s="15">
        <f t="shared" si="35"/>
        <v>0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'Avg KAPEEKA-MATUGA'!C101+'Avg Week MATUGGA-KAPEEKA'!C101</f>
        <v>4</v>
      </c>
      <c r="D101" s="49">
        <f>'Avg KAPEEKA-MATUGA'!D101+'Avg Week MATUGGA-KAPEEKA'!D101</f>
        <v>2.4000000000000004</v>
      </c>
      <c r="E101" s="49">
        <f>'Avg KAPEEKA-MATUGA'!E101+'Avg Week MATUGGA-KAPEEKA'!E101</f>
        <v>3.5999999999999996</v>
      </c>
      <c r="F101" s="49">
        <f>'Avg KAPEEKA-MATUGA'!F101+'Avg Week MATUGGA-KAPEEKA'!F101</f>
        <v>0</v>
      </c>
      <c r="G101" s="49">
        <f>'Avg KAPEEKA-MATUGA'!G101+'Avg Week MATUGGA-KAPEEKA'!G101</f>
        <v>0</v>
      </c>
      <c r="H101" s="49">
        <f>'Avg KAPEEKA-MATUGA'!H101+'Avg Week MATUGGA-KAPEEKA'!H101</f>
        <v>0</v>
      </c>
      <c r="I101" s="49">
        <f>'Avg KAPEEKA-MATUGA'!I101+'Avg Week MATUGGA-KAPEEKA'!I101</f>
        <v>0</v>
      </c>
      <c r="J101" s="49">
        <f>'Avg KAPEEKA-MATUGA'!J101+'Avg Week MATUGGA-KAPEEKA'!J101</f>
        <v>0</v>
      </c>
      <c r="K101" s="49">
        <f>'Avg KAPEEKA-MATUGA'!K101+'Avg Week MATUGGA-KAPEEKA'!K101</f>
        <v>2</v>
      </c>
      <c r="L101" s="49">
        <f>'Avg KAPEEKA-MATUGA'!L101+'Avg Week MATUGGA-KAPEEKA'!L101</f>
        <v>0</v>
      </c>
      <c r="M101" s="49">
        <f>'Avg KAPEEKA-MATUGA'!M101+'Avg Week MATUGGA-KAPEEKA'!M101</f>
        <v>6</v>
      </c>
      <c r="N101" s="49">
        <f>'Avg KAPEEKA-MATUGA'!N101+'Avg Week MATUGGA-KAPEEKA'!N101</f>
        <v>0</v>
      </c>
      <c r="O101" s="15">
        <f t="shared" si="35"/>
        <v>12</v>
      </c>
      <c r="P101" s="15">
        <f t="shared" si="36"/>
        <v>18</v>
      </c>
      <c r="R101" s="8"/>
      <c r="T101"/>
    </row>
    <row r="102" spans="2:20" ht="23.1" customHeight="1" x14ac:dyDescent="0.25">
      <c r="B102" s="24" t="s">
        <v>142</v>
      </c>
      <c r="C102" s="49">
        <f>'Avg KAPEEKA-MATUGA'!C102+'Avg Week MATUGGA-KAPEEKA'!C102</f>
        <v>0</v>
      </c>
      <c r="D102" s="49">
        <f>'Avg KAPEEKA-MATUGA'!D102+'Avg Week MATUGGA-KAPEEKA'!D102</f>
        <v>0</v>
      </c>
      <c r="E102" s="49">
        <f>'Avg KAPEEKA-MATUGA'!E102+'Avg Week MATUGGA-KAPEEKA'!E102</f>
        <v>0</v>
      </c>
      <c r="F102" s="49">
        <f>'Avg KAPEEKA-MATUGA'!F102+'Avg Week MATUGGA-KAPEEKA'!F102</f>
        <v>0</v>
      </c>
      <c r="G102" s="49">
        <f>'Avg KAPEEKA-MATUGA'!G102+'Avg Week MATUGGA-KAPEEKA'!G102</f>
        <v>0</v>
      </c>
      <c r="H102" s="49">
        <f>'Avg KAPEEKA-MATUGA'!H102+'Avg Week MATUGGA-KAPEEKA'!H102</f>
        <v>0</v>
      </c>
      <c r="I102" s="49">
        <f>'Avg KAPEEKA-MATUGA'!I102+'Avg Week MATUGGA-KAPEEKA'!I102</f>
        <v>0</v>
      </c>
      <c r="J102" s="49">
        <f>'Avg KAPEEKA-MATUGA'!J102+'Avg Week MATUGGA-KAPEEKA'!J102</f>
        <v>0</v>
      </c>
      <c r="K102" s="49">
        <f>'Avg KAPEEKA-MATUGA'!K102+'Avg Week MATUGGA-KAPEEKA'!K102</f>
        <v>0</v>
      </c>
      <c r="L102" s="49">
        <f>'Avg KAPEEKA-MATUGA'!L102+'Avg Week MATUGGA-KAPEEKA'!L102</f>
        <v>0</v>
      </c>
      <c r="M102" s="49">
        <f>'Avg KAPEEKA-MATUGA'!M102+'Avg Week MATUGGA-KAPEEKA'!M102</f>
        <v>12</v>
      </c>
      <c r="N102" s="49">
        <f>'Avg KAPEEKA-MATUGA'!N102+'Avg Week MATUGGA-KAPEEKA'!N102</f>
        <v>0</v>
      </c>
      <c r="O102" s="15">
        <f t="shared" si="35"/>
        <v>0</v>
      </c>
      <c r="P102" s="15">
        <f t="shared" si="36"/>
        <v>12</v>
      </c>
      <c r="R102" s="8"/>
      <c r="T102"/>
    </row>
    <row r="103" spans="2:20" ht="23.1" customHeight="1" x14ac:dyDescent="0.25">
      <c r="B103" s="23" t="s">
        <v>143</v>
      </c>
      <c r="C103" s="49">
        <f>'Avg KAPEEKA-MATUGA'!C103+'Avg Week MATUGGA-KAPEEKA'!C103</f>
        <v>4</v>
      </c>
      <c r="D103" s="49">
        <f>'Avg KAPEEKA-MATUGA'!D103+'Avg Week MATUGGA-KAPEEKA'!D103</f>
        <v>1.6</v>
      </c>
      <c r="E103" s="49">
        <f>'Avg KAPEEKA-MATUGA'!E103+'Avg Week MATUGGA-KAPEEKA'!E103</f>
        <v>2.4</v>
      </c>
      <c r="F103" s="49">
        <f>'Avg KAPEEKA-MATUGA'!F103+'Avg Week MATUGGA-KAPEEKA'!F103</f>
        <v>2</v>
      </c>
      <c r="G103" s="49">
        <f>'Avg KAPEEKA-MATUGA'!G103+'Avg Week MATUGGA-KAPEEKA'!G103</f>
        <v>0</v>
      </c>
      <c r="H103" s="49">
        <f>'Avg KAPEEKA-MATUGA'!H103+'Avg Week MATUGGA-KAPEEKA'!H103</f>
        <v>0</v>
      </c>
      <c r="I103" s="49">
        <f>'Avg KAPEEKA-MATUGA'!I103+'Avg Week MATUGGA-KAPEEKA'!I103</f>
        <v>2</v>
      </c>
      <c r="J103" s="49">
        <f>'Avg KAPEEKA-MATUGA'!J103+'Avg Week MATUGGA-KAPEEKA'!J103</f>
        <v>0</v>
      </c>
      <c r="K103" s="49">
        <f>'Avg KAPEEKA-MATUGA'!K103+'Avg Week MATUGGA-KAPEEKA'!K103</f>
        <v>2</v>
      </c>
      <c r="L103" s="49">
        <f>'Avg KAPEEKA-MATUGA'!L103+'Avg Week MATUGGA-KAPEEKA'!L103</f>
        <v>0</v>
      </c>
      <c r="M103" s="49">
        <f>'Avg KAPEEKA-MATUGA'!M103+'Avg Week MATUGGA-KAPEEKA'!M103</f>
        <v>14</v>
      </c>
      <c r="N103" s="49">
        <f>'Avg KAPEEKA-MATUGA'!N103+'Avg Week MATUGGA-KAPEEKA'!N103</f>
        <v>0</v>
      </c>
      <c r="O103" s="15">
        <f t="shared" si="35"/>
        <v>14</v>
      </c>
      <c r="P103" s="15">
        <f t="shared" si="36"/>
        <v>28</v>
      </c>
      <c r="R103" s="8"/>
      <c r="T103"/>
    </row>
    <row r="104" spans="2:20" ht="23.1" customHeight="1" x14ac:dyDescent="0.25">
      <c r="B104" s="25" t="s">
        <v>144</v>
      </c>
      <c r="C104" s="49">
        <f>'Avg KAPEEKA-MATUGA'!C104+'Avg Week MATUGGA-KAPEEKA'!C104</f>
        <v>4</v>
      </c>
      <c r="D104" s="49">
        <f>'Avg KAPEEKA-MATUGA'!D104+'Avg Week MATUGGA-KAPEEKA'!D104</f>
        <v>1.6</v>
      </c>
      <c r="E104" s="49">
        <f>'Avg KAPEEKA-MATUGA'!E104+'Avg Week MATUGGA-KAPEEKA'!E104</f>
        <v>2.4</v>
      </c>
      <c r="F104" s="49">
        <f>'Avg KAPEEKA-MATUGA'!F104+'Avg Week MATUGGA-KAPEEKA'!F104</f>
        <v>4</v>
      </c>
      <c r="G104" s="49">
        <f>'Avg KAPEEKA-MATUGA'!G104+'Avg Week MATUGGA-KAPEEKA'!G104</f>
        <v>0</v>
      </c>
      <c r="H104" s="49">
        <f>'Avg KAPEEKA-MATUGA'!H104+'Avg Week MATUGGA-KAPEEKA'!H104</f>
        <v>2</v>
      </c>
      <c r="I104" s="49">
        <f>'Avg KAPEEKA-MATUGA'!I104+'Avg Week MATUGGA-KAPEEKA'!I104</f>
        <v>4</v>
      </c>
      <c r="J104" s="49">
        <f>'Avg KAPEEKA-MATUGA'!J104+'Avg Week MATUGGA-KAPEEKA'!J104</f>
        <v>0</v>
      </c>
      <c r="K104" s="49">
        <f>'Avg KAPEEKA-MATUGA'!K104+'Avg Week MATUGGA-KAPEEKA'!K104</f>
        <v>0</v>
      </c>
      <c r="L104" s="49">
        <f>'Avg KAPEEKA-MATUGA'!L104+'Avg Week MATUGGA-KAPEEKA'!L104</f>
        <v>0</v>
      </c>
      <c r="M104" s="49">
        <f>'Avg KAPEEKA-MATUGA'!M104+'Avg Week MATUGGA-KAPEEKA'!M104</f>
        <v>12</v>
      </c>
      <c r="N104" s="49">
        <f>'Avg KAPEEKA-MATUGA'!N104+'Avg Week MATUGGA-KAPEEKA'!N104</f>
        <v>0</v>
      </c>
      <c r="O104" s="15">
        <f t="shared" si="35"/>
        <v>18</v>
      </c>
      <c r="P104" s="15">
        <f t="shared" si="36"/>
        <v>30</v>
      </c>
      <c r="R104" s="8"/>
      <c r="T104"/>
    </row>
    <row r="105" spans="2:20" ht="23.1" customHeight="1" x14ac:dyDescent="0.25">
      <c r="B105" s="23" t="s">
        <v>145</v>
      </c>
      <c r="C105" s="49">
        <f>'Avg KAPEEKA-MATUGA'!C105+'Avg Week MATUGGA-KAPEEKA'!C105</f>
        <v>8</v>
      </c>
      <c r="D105" s="49">
        <f>'Avg KAPEEKA-MATUGA'!D105+'Avg Week MATUGGA-KAPEEKA'!D105</f>
        <v>5</v>
      </c>
      <c r="E105" s="49">
        <f>'Avg KAPEEKA-MATUGA'!E105+'Avg Week MATUGGA-KAPEEKA'!E105</f>
        <v>3</v>
      </c>
      <c r="F105" s="49">
        <f>'Avg KAPEEKA-MATUGA'!F105+'Avg Week MATUGGA-KAPEEKA'!F105</f>
        <v>2</v>
      </c>
      <c r="G105" s="49">
        <f>'Avg KAPEEKA-MATUGA'!G105+'Avg Week MATUGGA-KAPEEKA'!G105</f>
        <v>0</v>
      </c>
      <c r="H105" s="49">
        <f>'Avg KAPEEKA-MATUGA'!H105+'Avg Week MATUGGA-KAPEEKA'!H105</f>
        <v>0</v>
      </c>
      <c r="I105" s="49">
        <f>'Avg KAPEEKA-MATUGA'!I105+'Avg Week MATUGGA-KAPEEKA'!I105</f>
        <v>6</v>
      </c>
      <c r="J105" s="49">
        <f>'Avg KAPEEKA-MATUGA'!J105+'Avg Week MATUGGA-KAPEEKA'!J105</f>
        <v>0</v>
      </c>
      <c r="K105" s="49">
        <f>'Avg KAPEEKA-MATUGA'!K105+'Avg Week MATUGGA-KAPEEKA'!K105</f>
        <v>0</v>
      </c>
      <c r="L105" s="49">
        <f>'Avg KAPEEKA-MATUGA'!L105+'Avg Week MATUGGA-KAPEEKA'!L105</f>
        <v>0</v>
      </c>
      <c r="M105" s="49">
        <f>'Avg KAPEEKA-MATUGA'!M105+'Avg Week MATUGGA-KAPEEKA'!M105</f>
        <v>24</v>
      </c>
      <c r="N105" s="49">
        <f>'Avg KAPEEKA-MATUGA'!N105+'Avg Week MATUGGA-KAPEEKA'!N105</f>
        <v>0</v>
      </c>
      <c r="O105" s="15">
        <f t="shared" si="35"/>
        <v>24</v>
      </c>
      <c r="P105" s="15">
        <f t="shared" si="36"/>
        <v>48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292.42857142857144</v>
      </c>
      <c r="D106" s="16">
        <f t="shared" ref="D106:P106" si="37">SUM(D10:D105)</f>
        <v>135.51428571428565</v>
      </c>
      <c r="E106" s="16">
        <f t="shared" si="37"/>
        <v>198.77142857142846</v>
      </c>
      <c r="F106" s="16">
        <f t="shared" si="37"/>
        <v>202.00000000000006</v>
      </c>
      <c r="G106" s="16">
        <f t="shared" si="37"/>
        <v>4.7142857142857126</v>
      </c>
      <c r="H106" s="16">
        <f t="shared" si="37"/>
        <v>2.2857142857142856</v>
      </c>
      <c r="I106" s="16">
        <f t="shared" si="37"/>
        <v>360.57142857142861</v>
      </c>
      <c r="J106" s="16">
        <f t="shared" si="37"/>
        <v>65.571428571428569</v>
      </c>
      <c r="K106" s="16">
        <f t="shared" si="37"/>
        <v>66.428571428571445</v>
      </c>
      <c r="L106" s="16">
        <f t="shared" si="37"/>
        <v>6.857142857142863</v>
      </c>
      <c r="M106" s="16">
        <f t="shared" si="37"/>
        <v>2275.7142857142858</v>
      </c>
      <c r="N106" s="16">
        <f t="shared" si="37"/>
        <v>1.1428571428571426</v>
      </c>
      <c r="O106" s="16">
        <f t="shared" si="37"/>
        <v>1336.2857142857142</v>
      </c>
      <c r="P106" s="16">
        <f t="shared" si="37"/>
        <v>3611.9999999999991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8.096029109318148E-2</v>
      </c>
      <c r="D107" s="43">
        <f t="shared" si="38"/>
        <v>3.7517797816801132E-2</v>
      </c>
      <c r="E107" s="43">
        <f t="shared" si="38"/>
        <v>5.5030849549121956E-2</v>
      </c>
      <c r="F107" s="43">
        <f t="shared" si="38"/>
        <v>5.5924695459579211E-2</v>
      </c>
      <c r="G107" s="43">
        <f t="shared" si="38"/>
        <v>1.305173232083531E-3</v>
      </c>
      <c r="H107" s="43">
        <f t="shared" si="38"/>
        <v>6.3281126404050002E-4</v>
      </c>
      <c r="I107" s="43">
        <f t="shared" si="38"/>
        <v>9.9825976902388897E-2</v>
      </c>
      <c r="J107" s="43">
        <f t="shared" si="38"/>
        <v>1.8153773137161846E-2</v>
      </c>
      <c r="K107" s="43">
        <f t="shared" si="38"/>
        <v>1.8391077361177038E-2</v>
      </c>
      <c r="L107" s="43">
        <f t="shared" si="38"/>
        <v>1.8984337921215018E-3</v>
      </c>
      <c r="M107" s="43">
        <f t="shared" si="38"/>
        <v>0.63004271476032292</v>
      </c>
      <c r="N107" s="43">
        <f t="shared" si="38"/>
        <v>3.1640563202024995E-4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0.21883686123583496</v>
      </c>
      <c r="D108" s="44">
        <f t="shared" ref="D108:N108" si="39">D106/$O$106</f>
        <v>0.10141116100064139</v>
      </c>
      <c r="E108" s="44">
        <f t="shared" si="39"/>
        <v>0.14874919820397683</v>
      </c>
      <c r="F108" s="44">
        <f t="shared" si="39"/>
        <v>0.15116527688689335</v>
      </c>
      <c r="G108" s="44">
        <f t="shared" si="39"/>
        <v>3.527902501603591E-3</v>
      </c>
      <c r="H108" s="44">
        <f t="shared" si="39"/>
        <v>1.7104981825956809E-3</v>
      </c>
      <c r="I108" s="44">
        <f t="shared" si="39"/>
        <v>0.26983108830446872</v>
      </c>
      <c r="J108" s="44">
        <f t="shared" si="39"/>
        <v>4.9069916613213596E-2</v>
      </c>
      <c r="K108" s="44">
        <f t="shared" si="39"/>
        <v>4.9711353431686991E-2</v>
      </c>
      <c r="L108" s="44">
        <f t="shared" si="39"/>
        <v>5.1314945477870478E-3</v>
      </c>
      <c r="M108" s="44"/>
      <c r="N108" s="44">
        <f t="shared" si="39"/>
        <v>8.5524909129784036E-4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20.08 KAPEKA-MATUGA</vt:lpstr>
      <vt:lpstr>20.08 MATUGA-KAPEKA</vt:lpstr>
      <vt:lpstr>21.08 KAPEKA-MATUGA</vt:lpstr>
      <vt:lpstr>21.08 MATUGA-KAPEKA</vt:lpstr>
      <vt:lpstr>22.08 KAPEKA-MATUGA</vt:lpstr>
      <vt:lpstr>22.08 MATUGA-KAPEKA</vt:lpstr>
      <vt:lpstr>23.08 KAPEKA-MATUGA</vt:lpstr>
      <vt:lpstr>23.08 MATUGA-KAPEKA</vt:lpstr>
      <vt:lpstr>24.08 KAPEKA-MATUGA-24h</vt:lpstr>
      <vt:lpstr>24.08 MATUGA-KAPEKA-24h</vt:lpstr>
      <vt:lpstr>25.08 KAPEEKA-MATUGA-24h</vt:lpstr>
      <vt:lpstr>25.08 MATUGA-KAPEKA-24h</vt:lpstr>
      <vt:lpstr>26.08 KAPEKA-MATUGA</vt:lpstr>
      <vt:lpstr>26.08 MATUGA-KAPEEKA</vt:lpstr>
      <vt:lpstr>Avg KAPEEKA-MATUGA</vt:lpstr>
      <vt:lpstr>Avg Week MATUGGA-KAPEEKA</vt:lpstr>
      <vt:lpstr>Avg Week KAPEEKA-MATUGGA-2Dir</vt:lpstr>
      <vt:lpstr>'20.08 KAPEKA-MATUGA'!Print_Area</vt:lpstr>
      <vt:lpstr>'20.08 MATUGA-KAPEKA'!Print_Area</vt:lpstr>
      <vt:lpstr>'21.08 KAPEKA-MATUGA'!Print_Area</vt:lpstr>
      <vt:lpstr>'21.08 MATUGA-KAPEKA'!Print_Area</vt:lpstr>
      <vt:lpstr>'22.08 KAPEKA-MATUGA'!Print_Area</vt:lpstr>
      <vt:lpstr>'22.08 MATUGA-KAPEKA'!Print_Area</vt:lpstr>
      <vt:lpstr>'23.08 KAPEKA-MATUGA'!Print_Area</vt:lpstr>
      <vt:lpstr>'23.08 MATUGA-KAPEKA'!Print_Area</vt:lpstr>
      <vt:lpstr>'24.08 KAPEKA-MATUGA-24h'!Print_Area</vt:lpstr>
      <vt:lpstr>'24.08 MATUGA-KAPEKA-24h'!Print_Area</vt:lpstr>
      <vt:lpstr>'25.08 KAPEEKA-MATUGA-24h'!Print_Area</vt:lpstr>
      <vt:lpstr>'25.08 MATUGA-KAPEKA-24h'!Print_Area</vt:lpstr>
      <vt:lpstr>'26.08 KAPEKA-MATUGA'!Print_Area</vt:lpstr>
      <vt:lpstr>'26.08 MATUGA-KAPEEKA'!Print_Area</vt:lpstr>
      <vt:lpstr>'Avg KAPEEKA-MATUGA'!Print_Area</vt:lpstr>
      <vt:lpstr>'Avg Week KAPEEKA-MATUGGA-2Dir'!Print_Area</vt:lpstr>
      <vt:lpstr>'Avg Week MATUGGA-KAPEEKA'!Print_Area</vt:lpstr>
      <vt:lpstr>'20.08 KAPEKA-MATUGA'!Print_Titles</vt:lpstr>
      <vt:lpstr>'20.08 MATUGA-KAPEKA'!Print_Titles</vt:lpstr>
      <vt:lpstr>'21.08 KAPEKA-MATUGA'!Print_Titles</vt:lpstr>
      <vt:lpstr>'21.08 MATUGA-KAPEKA'!Print_Titles</vt:lpstr>
      <vt:lpstr>'22.08 KAPEKA-MATUGA'!Print_Titles</vt:lpstr>
      <vt:lpstr>'22.08 MATUGA-KAPEKA'!Print_Titles</vt:lpstr>
      <vt:lpstr>'23.08 KAPEKA-MATUGA'!Print_Titles</vt:lpstr>
      <vt:lpstr>'23.08 MATUGA-KAPEKA'!Print_Titles</vt:lpstr>
      <vt:lpstr>'24.08 KAPEKA-MATUGA-24h'!Print_Titles</vt:lpstr>
      <vt:lpstr>'24.08 MATUGA-KAPEKA-24h'!Print_Titles</vt:lpstr>
      <vt:lpstr>'25.08 KAPEEKA-MATUGA-24h'!Print_Titles</vt:lpstr>
      <vt:lpstr>'25.08 MATUGA-KAPEKA-24h'!Print_Titles</vt:lpstr>
      <vt:lpstr>'26.08 KAPEKA-MATUGA'!Print_Titles</vt:lpstr>
      <vt:lpstr>'26.08 MATUGA-KAPEEKA'!Print_Titles</vt:lpstr>
      <vt:lpstr>'Avg KAPEEKA-MATUGA'!Print_Titles</vt:lpstr>
      <vt:lpstr>'Avg Week KAPEEKA-MATUGGA-2Dir'!Print_Titles</vt:lpstr>
      <vt:lpstr>'Avg Week MATUGGA-KAPEEKA'!Print_Titles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2020-04-09T05:13:52Z</dcterms:modified>
</cp:coreProperties>
</file>