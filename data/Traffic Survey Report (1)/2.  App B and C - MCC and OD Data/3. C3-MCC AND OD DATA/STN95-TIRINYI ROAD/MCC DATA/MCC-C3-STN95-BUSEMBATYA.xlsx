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emf" ContentType="image/x-emf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drawings/drawing2.xml" ContentType="application/vnd.openxmlformats-officedocument.drawing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drawings/drawing3.xml" ContentType="application/vnd.openxmlformats-officedocument.drawing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drawings/drawing4.xml" ContentType="application/vnd.openxmlformats-officedocument.drawing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drawings/drawing5.xml" ContentType="application/vnd.openxmlformats-officedocument.drawing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drawings/drawing6.xml" ContentType="application/vnd.openxmlformats-officedocument.drawing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drawings/drawing7.xml" ContentType="application/vnd.openxmlformats-officedocument.drawing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drawings/drawing8.xml" ContentType="application/vnd.openxmlformats-officedocument.drawing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drawings/drawing9.xml" ContentType="application/vnd.openxmlformats-officedocument.drawing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drawings/drawing10.xml" ContentType="application/vnd.openxmlformats-officedocument.drawing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drawings/drawing11.xml" ContentType="application/vnd.openxmlformats-officedocument.drawing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drawings/drawing12.xml" ContentType="application/vnd.openxmlformats-officedocument.drawing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drawings/drawing13.xml" ContentType="application/vnd.openxmlformats-officedocument.drawing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drawings/drawing14.xml" ContentType="application/vnd.openxmlformats-officedocument.drawing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drawings/drawing15.xml" ContentType="application/vnd.openxmlformats-officedocument.drawing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drawings/drawing16.xml" ContentType="application/vnd.openxmlformats-officedocument.drawing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drawings/drawing17.xml" ContentType="application/vnd.openxmlformats-officedocument.drawing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61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7" lowestEdited="7" rupBuild="16729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st\Desktop\C-3 Analysis   Complete-Steve\STN95-TIRINYI ROAD\MCC DATA\"/>
    </mc:Choice>
  </mc:AlternateContent>
  <bookViews>
    <workbookView xWindow="0" yWindow="0" windowWidth="15600" windowHeight="10920" tabRatio="895" firstSheet="14" activeTab="16"/>
  </bookViews>
  <sheets>
    <sheet name="17.10 Busembatya-Butongole" sheetId="93" r:id="rId1"/>
    <sheet name="17.10 Butongole-Busembatya" sheetId="94" r:id="rId2"/>
    <sheet name="18.10 Busembatya-Butongole" sheetId="95" r:id="rId3"/>
    <sheet name="18.10 Butongole-Busembatya" sheetId="96" r:id="rId4"/>
    <sheet name="19.10 Busembatya-Butongole 24h" sheetId="109" r:id="rId5"/>
    <sheet name="19.10 Butongole-Busembatya-24h" sheetId="101" r:id="rId6"/>
    <sheet name="20.10 Busembatya-Butongole" sheetId="97" r:id="rId7"/>
    <sheet name="20.10 Butongole-Busembatya" sheetId="98" r:id="rId8"/>
    <sheet name="21.10 Busembatya-Butongole-24h" sheetId="105" r:id="rId9"/>
    <sheet name="21.10 -Butongole-Bsembatya-24h" sheetId="110" r:id="rId10"/>
    <sheet name="22.10 Busembatya-Butongole" sheetId="99" r:id="rId11"/>
    <sheet name="22.10 Butongole-Busembatya" sheetId="100" r:id="rId12"/>
    <sheet name="23.10 Busembtya-Butongole" sheetId="103" r:id="rId13"/>
    <sheet name="23.10 Butongole-Busembatya" sheetId="104" r:id="rId14"/>
    <sheet name="Avg Week  Busembatya-Butongole" sheetId="107" r:id="rId15"/>
    <sheet name="Avg Week Butongole-Bsembatya" sheetId="108" r:id="rId16"/>
    <sheet name="AvgWeekButongole-Busembaty-2Dir" sheetId="111" r:id="rId17"/>
  </sheets>
  <definedNames>
    <definedName name="_xlnm.Print_Area" localSheetId="0">'17.10 Busembatya-Butongole'!$A$1:$AF$60</definedName>
    <definedName name="_xlnm.Print_Area" localSheetId="1">'17.10 Butongole-Busembatya'!$A$1:$AF$60</definedName>
    <definedName name="_xlnm.Print_Area" localSheetId="2">'18.10 Busembatya-Butongole'!$A$1:$AF$60</definedName>
    <definedName name="_xlnm.Print_Area" localSheetId="3">'18.10 Butongole-Busembatya'!$A$1:$AF$60</definedName>
    <definedName name="_xlnm.Print_Area" localSheetId="4">'19.10 Busembatya-Butongole 24h'!$A$1:$AF$108</definedName>
    <definedName name="_xlnm.Print_Area" localSheetId="5">'19.10 Butongole-Busembatya-24h'!$A$1:$AF$108</definedName>
    <definedName name="_xlnm.Print_Area" localSheetId="6">'20.10 Busembatya-Butongole'!$A$1:$AF$60</definedName>
    <definedName name="_xlnm.Print_Area" localSheetId="7">'20.10 Butongole-Busembatya'!$A$1:$AF$60</definedName>
    <definedName name="_xlnm.Print_Area" localSheetId="8">'21.10 Busembatya-Butongole-24h'!$A$1:$AF$108</definedName>
    <definedName name="_xlnm.Print_Area" localSheetId="9">'21.10 -Butongole-Bsembatya-24h'!$A$1:$AF$108</definedName>
    <definedName name="_xlnm.Print_Area" localSheetId="10">'22.10 Busembatya-Butongole'!$A$1:$AF$60</definedName>
    <definedName name="_xlnm.Print_Area" localSheetId="11">'22.10 Butongole-Busembatya'!$A$1:$AF$60</definedName>
    <definedName name="_xlnm.Print_Area" localSheetId="12">'23.10 Busembtya-Butongole'!$A$1:$AF$60</definedName>
    <definedName name="_xlnm.Print_Area" localSheetId="13">'23.10 Butongole-Busembatya'!$A$1:$AF$60</definedName>
    <definedName name="_xlnm.Print_Area" localSheetId="14">'Avg Week  Busembatya-Butongole'!$A$1:$AF$108</definedName>
    <definedName name="_xlnm.Print_Area" localSheetId="15">'Avg Week Butongole-Bsembatya'!$A$1:$AF$108</definedName>
    <definedName name="_xlnm.Print_Area" localSheetId="16">'AvgWeekButongole-Busembaty-2Dir'!$A$1:$AF$108</definedName>
    <definedName name="_xlnm.Print_Titles" localSheetId="0">'17.10 Busembatya-Butongole'!$1:$8</definedName>
    <definedName name="_xlnm.Print_Titles" localSheetId="1">'17.10 Butongole-Busembatya'!$1:$8</definedName>
    <definedName name="_xlnm.Print_Titles" localSheetId="2">'18.10 Busembatya-Butongole'!$1:$8</definedName>
    <definedName name="_xlnm.Print_Titles" localSheetId="3">'18.10 Butongole-Busembatya'!$1:$8</definedName>
    <definedName name="_xlnm.Print_Titles" localSheetId="4">'19.10 Busembatya-Butongole 24h'!$1:$8</definedName>
    <definedName name="_xlnm.Print_Titles" localSheetId="5">'19.10 Butongole-Busembatya-24h'!$1:$8</definedName>
    <definedName name="_xlnm.Print_Titles" localSheetId="6">'20.10 Busembatya-Butongole'!$1:$8</definedName>
    <definedName name="_xlnm.Print_Titles" localSheetId="7">'20.10 Butongole-Busembatya'!$1:$8</definedName>
    <definedName name="_xlnm.Print_Titles" localSheetId="8">'21.10 Busembatya-Butongole-24h'!$1:$8</definedName>
    <definedName name="_xlnm.Print_Titles" localSheetId="9">'21.10 -Butongole-Bsembatya-24h'!$1:$8</definedName>
    <definedName name="_xlnm.Print_Titles" localSheetId="10">'22.10 Busembatya-Butongole'!$1:$8</definedName>
    <definedName name="_xlnm.Print_Titles" localSheetId="11">'22.10 Butongole-Busembatya'!$1:$8</definedName>
    <definedName name="_xlnm.Print_Titles" localSheetId="12">'23.10 Busembtya-Butongole'!$1:$8</definedName>
    <definedName name="_xlnm.Print_Titles" localSheetId="13">'23.10 Butongole-Busembatya'!$1:$8</definedName>
    <definedName name="_xlnm.Print_Titles" localSheetId="14">'Avg Week  Busembatya-Butongole'!$1:$8</definedName>
    <definedName name="_xlnm.Print_Titles" localSheetId="15">'Avg Week Butongole-Bsembatya'!$1:$8</definedName>
    <definedName name="_xlnm.Print_Titles" localSheetId="16">'AvgWeekButongole-Busembaty-2Dir'!$1:$8</definedName>
  </definedNames>
  <calcPr calcId="162913"/>
  <extLst>
    <ext xmlns:xcalcf="http://schemas.microsoft.com/office/spreadsheetml/2018/calcfeatures" uri="{B58B0392-4F1F-4190-BB64-5DF3571DCE5F}">
      <xcalcf:calcFeatures>
        <xcalcf:feature name="microsoft.com:RD"/>
      </xcalcf:calcFeatures>
    </ext>
  </extLst>
</workbook>
</file>

<file path=xl/calcChain.xml><?xml version="1.0" encoding="utf-8"?>
<calcChain xmlns="http://schemas.openxmlformats.org/spreadsheetml/2006/main">
  <c r="AF41" i="111" l="1"/>
  <c r="AF42" i="111" s="1"/>
  <c r="AE41" i="111"/>
  <c r="AE42" i="111" s="1"/>
  <c r="AD41" i="111"/>
  <c r="AD42" i="111" s="1"/>
  <c r="AC41" i="111"/>
  <c r="AC42" i="111" s="1"/>
  <c r="AB41" i="111"/>
  <c r="AB42" i="111" s="1"/>
  <c r="AA41" i="111"/>
  <c r="AA42" i="111" s="1"/>
  <c r="Z41" i="111"/>
  <c r="Z42" i="111" s="1"/>
  <c r="Y41" i="111"/>
  <c r="Y42" i="111" s="1"/>
  <c r="X41" i="111"/>
  <c r="X42" i="111" s="1"/>
  <c r="W41" i="111"/>
  <c r="W42" i="111" s="1"/>
  <c r="V41" i="111"/>
  <c r="V42" i="111" s="1"/>
  <c r="U41" i="111"/>
  <c r="U42" i="111" s="1"/>
  <c r="T41" i="111"/>
  <c r="T42" i="111" s="1"/>
  <c r="S41" i="111"/>
  <c r="S42" i="111" s="1"/>
  <c r="T22" i="111"/>
  <c r="U22" i="111"/>
  <c r="V22" i="111"/>
  <c r="W22" i="111"/>
  <c r="X22" i="111"/>
  <c r="Y22" i="111"/>
  <c r="Z22" i="111"/>
  <c r="AA22" i="111"/>
  <c r="AB22" i="111"/>
  <c r="AC22" i="111"/>
  <c r="AD22" i="111"/>
  <c r="AE22" i="111"/>
  <c r="AF22" i="111"/>
  <c r="T23" i="111"/>
  <c r="U23" i="111"/>
  <c r="V23" i="111"/>
  <c r="W23" i="111"/>
  <c r="X23" i="111"/>
  <c r="Y23" i="111"/>
  <c r="Z23" i="111"/>
  <c r="AA23" i="111"/>
  <c r="AB23" i="111"/>
  <c r="AC23" i="111"/>
  <c r="AD23" i="111"/>
  <c r="AE23" i="111"/>
  <c r="AF23" i="111"/>
  <c r="T24" i="111"/>
  <c r="U24" i="111"/>
  <c r="V24" i="111"/>
  <c r="W24" i="111"/>
  <c r="X24" i="111"/>
  <c r="Y24" i="111"/>
  <c r="Z24" i="111"/>
  <c r="AA24" i="111"/>
  <c r="AB24" i="111"/>
  <c r="AC24" i="111"/>
  <c r="AD24" i="111"/>
  <c r="AE24" i="111"/>
  <c r="AF24" i="111"/>
  <c r="T25" i="111"/>
  <c r="U25" i="111"/>
  <c r="V25" i="111"/>
  <c r="W25" i="111"/>
  <c r="X25" i="111"/>
  <c r="Y25" i="111"/>
  <c r="Z25" i="111"/>
  <c r="AA25" i="111"/>
  <c r="AB25" i="111"/>
  <c r="AC25" i="111"/>
  <c r="AD25" i="111"/>
  <c r="AE25" i="111"/>
  <c r="AF25" i="111"/>
  <c r="T26" i="111"/>
  <c r="U26" i="111"/>
  <c r="V26" i="111"/>
  <c r="W26" i="111"/>
  <c r="X26" i="111"/>
  <c r="Y26" i="111"/>
  <c r="Z26" i="111"/>
  <c r="AA26" i="111"/>
  <c r="AB26" i="111"/>
  <c r="AC26" i="111"/>
  <c r="AD26" i="111"/>
  <c r="AE26" i="111"/>
  <c r="AF26" i="111"/>
  <c r="T27" i="111"/>
  <c r="U27" i="111"/>
  <c r="V27" i="111"/>
  <c r="W27" i="111"/>
  <c r="X27" i="111"/>
  <c r="Y27" i="111"/>
  <c r="Z27" i="111"/>
  <c r="AA27" i="111"/>
  <c r="AB27" i="111"/>
  <c r="AC27" i="111"/>
  <c r="AD27" i="111"/>
  <c r="AE27" i="111"/>
  <c r="AF27" i="111"/>
  <c r="T28" i="111"/>
  <c r="U28" i="111"/>
  <c r="V28" i="111"/>
  <c r="W28" i="111"/>
  <c r="X28" i="111"/>
  <c r="Y28" i="111"/>
  <c r="Z28" i="111"/>
  <c r="AA28" i="111"/>
  <c r="AB28" i="111"/>
  <c r="AC28" i="111"/>
  <c r="AD28" i="111"/>
  <c r="AE28" i="111"/>
  <c r="AF28" i="111"/>
  <c r="T29" i="111"/>
  <c r="U29" i="111"/>
  <c r="V29" i="111"/>
  <c r="W29" i="111"/>
  <c r="X29" i="111"/>
  <c r="Y29" i="111"/>
  <c r="Z29" i="111"/>
  <c r="AA29" i="111"/>
  <c r="AB29" i="111"/>
  <c r="AC29" i="111"/>
  <c r="AD29" i="111"/>
  <c r="AE29" i="111"/>
  <c r="AF29" i="111"/>
  <c r="T30" i="111"/>
  <c r="U30" i="111"/>
  <c r="V30" i="111"/>
  <c r="W30" i="111"/>
  <c r="X30" i="111"/>
  <c r="Y30" i="111"/>
  <c r="Z30" i="111"/>
  <c r="AA30" i="111"/>
  <c r="AB30" i="111"/>
  <c r="AC30" i="111"/>
  <c r="AD30" i="111"/>
  <c r="AE30" i="111"/>
  <c r="AF30" i="111"/>
  <c r="T31" i="111"/>
  <c r="U31" i="111"/>
  <c r="V31" i="111"/>
  <c r="W31" i="111"/>
  <c r="X31" i="111"/>
  <c r="Y31" i="111"/>
  <c r="Z31" i="111"/>
  <c r="AA31" i="111"/>
  <c r="AB31" i="111"/>
  <c r="AC31" i="111"/>
  <c r="AD31" i="111"/>
  <c r="AE31" i="111"/>
  <c r="AF31" i="111"/>
  <c r="T32" i="111"/>
  <c r="U32" i="111"/>
  <c r="V32" i="111"/>
  <c r="W32" i="111"/>
  <c r="X32" i="111"/>
  <c r="Y32" i="111"/>
  <c r="Z32" i="111"/>
  <c r="AA32" i="111"/>
  <c r="AB32" i="111"/>
  <c r="AC32" i="111"/>
  <c r="AD32" i="111"/>
  <c r="AE32" i="111"/>
  <c r="AF32" i="111"/>
  <c r="T33" i="111"/>
  <c r="U33" i="111"/>
  <c r="V33" i="111"/>
  <c r="W33" i="111"/>
  <c r="X33" i="111"/>
  <c r="Y33" i="111"/>
  <c r="Z33" i="111"/>
  <c r="AA33" i="111"/>
  <c r="AB33" i="111"/>
  <c r="AC33" i="111"/>
  <c r="AD33" i="111"/>
  <c r="AE33" i="111"/>
  <c r="AF33" i="111"/>
  <c r="S33" i="111"/>
  <c r="S32" i="111"/>
  <c r="S31" i="111"/>
  <c r="S30" i="111"/>
  <c r="S29" i="111"/>
  <c r="S28" i="111"/>
  <c r="S27" i="111"/>
  <c r="S26" i="111"/>
  <c r="S25" i="111"/>
  <c r="S24" i="111"/>
  <c r="S23" i="111"/>
  <c r="S22" i="111"/>
  <c r="AF41" i="108"/>
  <c r="AF42" i="108" s="1"/>
  <c r="AE41" i="108"/>
  <c r="AE42" i="108" s="1"/>
  <c r="AD41" i="108"/>
  <c r="AD42" i="108" s="1"/>
  <c r="AC41" i="108"/>
  <c r="AC42" i="108" s="1"/>
  <c r="AB41" i="108"/>
  <c r="AB42" i="108" s="1"/>
  <c r="AA41" i="108"/>
  <c r="AA42" i="108" s="1"/>
  <c r="Z41" i="108"/>
  <c r="Z42" i="108" s="1"/>
  <c r="Y41" i="108"/>
  <c r="Y42" i="108" s="1"/>
  <c r="X41" i="108"/>
  <c r="X42" i="108" s="1"/>
  <c r="W41" i="108"/>
  <c r="W42" i="108" s="1"/>
  <c r="V41" i="108"/>
  <c r="V42" i="108" s="1"/>
  <c r="U41" i="108"/>
  <c r="U42" i="108" s="1"/>
  <c r="T41" i="108"/>
  <c r="T42" i="108" s="1"/>
  <c r="S41" i="108"/>
  <c r="S42" i="108" s="1"/>
  <c r="T22" i="108"/>
  <c r="U22" i="108"/>
  <c r="V22" i="108"/>
  <c r="W22" i="108"/>
  <c r="X22" i="108"/>
  <c r="Y22" i="108"/>
  <c r="Z22" i="108"/>
  <c r="AA22" i="108"/>
  <c r="AB22" i="108"/>
  <c r="AC22" i="108"/>
  <c r="AD22" i="108"/>
  <c r="AE22" i="108"/>
  <c r="AF22" i="108"/>
  <c r="T23" i="108"/>
  <c r="U23" i="108"/>
  <c r="V23" i="108"/>
  <c r="W23" i="108"/>
  <c r="X23" i="108"/>
  <c r="Y23" i="108"/>
  <c r="Z23" i="108"/>
  <c r="AA23" i="108"/>
  <c r="AB23" i="108"/>
  <c r="AC23" i="108"/>
  <c r="AD23" i="108"/>
  <c r="AE23" i="108"/>
  <c r="AF23" i="108"/>
  <c r="T24" i="108"/>
  <c r="U24" i="108"/>
  <c r="V24" i="108"/>
  <c r="W24" i="108"/>
  <c r="X24" i="108"/>
  <c r="Y24" i="108"/>
  <c r="Z24" i="108"/>
  <c r="AA24" i="108"/>
  <c r="AB24" i="108"/>
  <c r="AC24" i="108"/>
  <c r="AD24" i="108"/>
  <c r="AE24" i="108"/>
  <c r="AF24" i="108"/>
  <c r="T25" i="108"/>
  <c r="U25" i="108"/>
  <c r="V25" i="108"/>
  <c r="W25" i="108"/>
  <c r="X25" i="108"/>
  <c r="Y25" i="108"/>
  <c r="Z25" i="108"/>
  <c r="AA25" i="108"/>
  <c r="AB25" i="108"/>
  <c r="AC25" i="108"/>
  <c r="AD25" i="108"/>
  <c r="AE25" i="108"/>
  <c r="AF25" i="108"/>
  <c r="T26" i="108"/>
  <c r="U26" i="108"/>
  <c r="V26" i="108"/>
  <c r="W26" i="108"/>
  <c r="X26" i="108"/>
  <c r="Y26" i="108"/>
  <c r="Z26" i="108"/>
  <c r="AA26" i="108"/>
  <c r="AB26" i="108"/>
  <c r="AC26" i="108"/>
  <c r="AD26" i="108"/>
  <c r="AE26" i="108"/>
  <c r="AF26" i="108"/>
  <c r="T27" i="108"/>
  <c r="U27" i="108"/>
  <c r="V27" i="108"/>
  <c r="W27" i="108"/>
  <c r="X27" i="108"/>
  <c r="Y27" i="108"/>
  <c r="Z27" i="108"/>
  <c r="AA27" i="108"/>
  <c r="AB27" i="108"/>
  <c r="AC27" i="108"/>
  <c r="AD27" i="108"/>
  <c r="AE27" i="108"/>
  <c r="AF27" i="108"/>
  <c r="T28" i="108"/>
  <c r="U28" i="108"/>
  <c r="V28" i="108"/>
  <c r="W28" i="108"/>
  <c r="X28" i="108"/>
  <c r="Y28" i="108"/>
  <c r="Z28" i="108"/>
  <c r="AA28" i="108"/>
  <c r="AB28" i="108"/>
  <c r="AC28" i="108"/>
  <c r="AD28" i="108"/>
  <c r="AE28" i="108"/>
  <c r="AF28" i="108"/>
  <c r="T29" i="108"/>
  <c r="U29" i="108"/>
  <c r="V29" i="108"/>
  <c r="W29" i="108"/>
  <c r="X29" i="108"/>
  <c r="Y29" i="108"/>
  <c r="Z29" i="108"/>
  <c r="AA29" i="108"/>
  <c r="AB29" i="108"/>
  <c r="AC29" i="108"/>
  <c r="AD29" i="108"/>
  <c r="AE29" i="108"/>
  <c r="AF29" i="108"/>
  <c r="T30" i="108"/>
  <c r="U30" i="108"/>
  <c r="V30" i="108"/>
  <c r="W30" i="108"/>
  <c r="X30" i="108"/>
  <c r="Y30" i="108"/>
  <c r="Z30" i="108"/>
  <c r="AA30" i="108"/>
  <c r="AB30" i="108"/>
  <c r="AC30" i="108"/>
  <c r="AD30" i="108"/>
  <c r="AE30" i="108"/>
  <c r="AF30" i="108"/>
  <c r="T31" i="108"/>
  <c r="U31" i="108"/>
  <c r="V31" i="108"/>
  <c r="W31" i="108"/>
  <c r="X31" i="108"/>
  <c r="Y31" i="108"/>
  <c r="Z31" i="108"/>
  <c r="AA31" i="108"/>
  <c r="AB31" i="108"/>
  <c r="AC31" i="108"/>
  <c r="AD31" i="108"/>
  <c r="AE31" i="108"/>
  <c r="AF31" i="108"/>
  <c r="T32" i="108"/>
  <c r="U32" i="108"/>
  <c r="V32" i="108"/>
  <c r="W32" i="108"/>
  <c r="X32" i="108"/>
  <c r="Y32" i="108"/>
  <c r="Z32" i="108"/>
  <c r="AA32" i="108"/>
  <c r="AB32" i="108"/>
  <c r="AC32" i="108"/>
  <c r="AD32" i="108"/>
  <c r="AE32" i="108"/>
  <c r="AF32" i="108"/>
  <c r="T33" i="108"/>
  <c r="U33" i="108"/>
  <c r="V33" i="108"/>
  <c r="W33" i="108"/>
  <c r="X33" i="108"/>
  <c r="Y33" i="108"/>
  <c r="Z33" i="108"/>
  <c r="AA33" i="108"/>
  <c r="AB33" i="108"/>
  <c r="AC33" i="108"/>
  <c r="AD33" i="108"/>
  <c r="AE33" i="108"/>
  <c r="AF33" i="108"/>
  <c r="S33" i="108"/>
  <c r="S32" i="108"/>
  <c r="S31" i="108"/>
  <c r="S30" i="108"/>
  <c r="S29" i="108"/>
  <c r="S28" i="108"/>
  <c r="S27" i="108"/>
  <c r="S26" i="108"/>
  <c r="S25" i="108"/>
  <c r="S24" i="108"/>
  <c r="S23" i="108"/>
  <c r="S22" i="108"/>
  <c r="AF41" i="107"/>
  <c r="AF42" i="107" s="1"/>
  <c r="AE41" i="107"/>
  <c r="AE42" i="107" s="1"/>
  <c r="AD41" i="107"/>
  <c r="AD42" i="107" s="1"/>
  <c r="AC41" i="107"/>
  <c r="AC42" i="107" s="1"/>
  <c r="AB41" i="107"/>
  <c r="AB42" i="107" s="1"/>
  <c r="AA41" i="107"/>
  <c r="AA42" i="107" s="1"/>
  <c r="Z41" i="107"/>
  <c r="Z42" i="107" s="1"/>
  <c r="Y41" i="107"/>
  <c r="Y42" i="107" s="1"/>
  <c r="X41" i="107"/>
  <c r="X42" i="107" s="1"/>
  <c r="W41" i="107"/>
  <c r="W42" i="107" s="1"/>
  <c r="V41" i="107"/>
  <c r="V42" i="107" s="1"/>
  <c r="U41" i="107"/>
  <c r="U42" i="107" s="1"/>
  <c r="T41" i="107"/>
  <c r="T42" i="107" s="1"/>
  <c r="S41" i="107"/>
  <c r="S42" i="107" s="1"/>
  <c r="T22" i="107"/>
  <c r="U22" i="107"/>
  <c r="V22" i="107"/>
  <c r="W22" i="107"/>
  <c r="X22" i="107"/>
  <c r="Y22" i="107"/>
  <c r="Z22" i="107"/>
  <c r="AA22" i="107"/>
  <c r="AB22" i="107"/>
  <c r="AC22" i="107"/>
  <c r="AD22" i="107"/>
  <c r="AE22" i="107"/>
  <c r="AF22" i="107"/>
  <c r="T23" i="107"/>
  <c r="U23" i="107"/>
  <c r="V23" i="107"/>
  <c r="W23" i="107"/>
  <c r="X23" i="107"/>
  <c r="Y23" i="107"/>
  <c r="Z23" i="107"/>
  <c r="AA23" i="107"/>
  <c r="AB23" i="107"/>
  <c r="AC23" i="107"/>
  <c r="AD23" i="107"/>
  <c r="AE23" i="107"/>
  <c r="AF23" i="107"/>
  <c r="T24" i="107"/>
  <c r="U24" i="107"/>
  <c r="V24" i="107"/>
  <c r="W24" i="107"/>
  <c r="X24" i="107"/>
  <c r="Y24" i="107"/>
  <c r="Z24" i="107"/>
  <c r="AA24" i="107"/>
  <c r="AB24" i="107"/>
  <c r="AC24" i="107"/>
  <c r="AD24" i="107"/>
  <c r="AE24" i="107"/>
  <c r="AF24" i="107"/>
  <c r="T25" i="107"/>
  <c r="U25" i="107"/>
  <c r="V25" i="107"/>
  <c r="W25" i="107"/>
  <c r="X25" i="107"/>
  <c r="Y25" i="107"/>
  <c r="Z25" i="107"/>
  <c r="AA25" i="107"/>
  <c r="AB25" i="107"/>
  <c r="AC25" i="107"/>
  <c r="AD25" i="107"/>
  <c r="AE25" i="107"/>
  <c r="AF25" i="107"/>
  <c r="T26" i="107"/>
  <c r="U26" i="107"/>
  <c r="V26" i="107"/>
  <c r="W26" i="107"/>
  <c r="X26" i="107"/>
  <c r="Y26" i="107"/>
  <c r="Z26" i="107"/>
  <c r="AA26" i="107"/>
  <c r="AB26" i="107"/>
  <c r="AC26" i="107"/>
  <c r="AD26" i="107"/>
  <c r="AE26" i="107"/>
  <c r="AF26" i="107"/>
  <c r="T27" i="107"/>
  <c r="U27" i="107"/>
  <c r="V27" i="107"/>
  <c r="W27" i="107"/>
  <c r="X27" i="107"/>
  <c r="Y27" i="107"/>
  <c r="Z27" i="107"/>
  <c r="AA27" i="107"/>
  <c r="AB27" i="107"/>
  <c r="AC27" i="107"/>
  <c r="AD27" i="107"/>
  <c r="AE27" i="107"/>
  <c r="AF27" i="107"/>
  <c r="T28" i="107"/>
  <c r="U28" i="107"/>
  <c r="V28" i="107"/>
  <c r="W28" i="107"/>
  <c r="X28" i="107"/>
  <c r="Y28" i="107"/>
  <c r="Z28" i="107"/>
  <c r="AA28" i="107"/>
  <c r="AB28" i="107"/>
  <c r="AC28" i="107"/>
  <c r="AD28" i="107"/>
  <c r="AE28" i="107"/>
  <c r="AF28" i="107"/>
  <c r="T29" i="107"/>
  <c r="U29" i="107"/>
  <c r="V29" i="107"/>
  <c r="W29" i="107"/>
  <c r="X29" i="107"/>
  <c r="Y29" i="107"/>
  <c r="Z29" i="107"/>
  <c r="AA29" i="107"/>
  <c r="AB29" i="107"/>
  <c r="AC29" i="107"/>
  <c r="AD29" i="107"/>
  <c r="AE29" i="107"/>
  <c r="AF29" i="107"/>
  <c r="T30" i="107"/>
  <c r="U30" i="107"/>
  <c r="V30" i="107"/>
  <c r="W30" i="107"/>
  <c r="X30" i="107"/>
  <c r="Y30" i="107"/>
  <c r="Z30" i="107"/>
  <c r="AA30" i="107"/>
  <c r="AB30" i="107"/>
  <c r="AC30" i="107"/>
  <c r="AD30" i="107"/>
  <c r="AE30" i="107"/>
  <c r="AF30" i="107"/>
  <c r="T31" i="107"/>
  <c r="U31" i="107"/>
  <c r="V31" i="107"/>
  <c r="W31" i="107"/>
  <c r="X31" i="107"/>
  <c r="Y31" i="107"/>
  <c r="Z31" i="107"/>
  <c r="AA31" i="107"/>
  <c r="AB31" i="107"/>
  <c r="AC31" i="107"/>
  <c r="AD31" i="107"/>
  <c r="AE31" i="107"/>
  <c r="AF31" i="107"/>
  <c r="T32" i="107"/>
  <c r="U32" i="107"/>
  <c r="V32" i="107"/>
  <c r="W32" i="107"/>
  <c r="X32" i="107"/>
  <c r="Y32" i="107"/>
  <c r="Z32" i="107"/>
  <c r="AA32" i="107"/>
  <c r="AB32" i="107"/>
  <c r="AC32" i="107"/>
  <c r="AD32" i="107"/>
  <c r="AE32" i="107"/>
  <c r="AF32" i="107"/>
  <c r="T33" i="107"/>
  <c r="U33" i="107"/>
  <c r="V33" i="107"/>
  <c r="W33" i="107"/>
  <c r="X33" i="107"/>
  <c r="Y33" i="107"/>
  <c r="Z33" i="107"/>
  <c r="AA33" i="107"/>
  <c r="AB33" i="107"/>
  <c r="AC33" i="107"/>
  <c r="AD33" i="107"/>
  <c r="AE33" i="107"/>
  <c r="AF33" i="107"/>
  <c r="S33" i="107"/>
  <c r="S32" i="107"/>
  <c r="S31" i="107"/>
  <c r="S30" i="107"/>
  <c r="S29" i="107"/>
  <c r="S28" i="107"/>
  <c r="S27" i="107"/>
  <c r="S26" i="107"/>
  <c r="S25" i="107"/>
  <c r="S24" i="107"/>
  <c r="S23" i="107"/>
  <c r="S22" i="107"/>
  <c r="D58" i="111"/>
  <c r="E58" i="111"/>
  <c r="F58" i="111"/>
  <c r="G58" i="111"/>
  <c r="H58" i="111"/>
  <c r="I58" i="111"/>
  <c r="J58" i="111"/>
  <c r="K58" i="111"/>
  <c r="L58" i="111"/>
  <c r="M58" i="111"/>
  <c r="N58" i="111"/>
  <c r="D59" i="111"/>
  <c r="E59" i="111"/>
  <c r="F59" i="111"/>
  <c r="G59" i="111"/>
  <c r="H59" i="111"/>
  <c r="I59" i="111"/>
  <c r="J59" i="111"/>
  <c r="K59" i="111"/>
  <c r="L59" i="111"/>
  <c r="M59" i="111"/>
  <c r="N59" i="111"/>
  <c r="D60" i="111"/>
  <c r="O60" i="111" s="1"/>
  <c r="E60" i="111"/>
  <c r="F60" i="111"/>
  <c r="G60" i="111"/>
  <c r="H60" i="111"/>
  <c r="I60" i="111"/>
  <c r="J60" i="111"/>
  <c r="K60" i="111"/>
  <c r="L60" i="111"/>
  <c r="M60" i="111"/>
  <c r="N60" i="111"/>
  <c r="D61" i="111"/>
  <c r="E61" i="111"/>
  <c r="F61" i="111"/>
  <c r="G61" i="111"/>
  <c r="H61" i="111"/>
  <c r="I61" i="111"/>
  <c r="J61" i="111"/>
  <c r="K61" i="111"/>
  <c r="L61" i="111"/>
  <c r="M61" i="111"/>
  <c r="N61" i="111"/>
  <c r="D62" i="111"/>
  <c r="E62" i="111"/>
  <c r="F62" i="111"/>
  <c r="G62" i="111"/>
  <c r="H62" i="111"/>
  <c r="I62" i="111"/>
  <c r="J62" i="111"/>
  <c r="K62" i="111"/>
  <c r="L62" i="111"/>
  <c r="M62" i="111"/>
  <c r="N62" i="111"/>
  <c r="D63" i="111"/>
  <c r="E63" i="111"/>
  <c r="F63" i="111"/>
  <c r="G63" i="111"/>
  <c r="H63" i="111"/>
  <c r="I63" i="111"/>
  <c r="J63" i="111"/>
  <c r="K63" i="111"/>
  <c r="L63" i="111"/>
  <c r="M63" i="111"/>
  <c r="N63" i="111"/>
  <c r="D64" i="111"/>
  <c r="O64" i="111" s="1"/>
  <c r="E64" i="111"/>
  <c r="F64" i="111"/>
  <c r="G64" i="111"/>
  <c r="H64" i="111"/>
  <c r="I64" i="111"/>
  <c r="J64" i="111"/>
  <c r="K64" i="111"/>
  <c r="L64" i="111"/>
  <c r="M64" i="111"/>
  <c r="N64" i="111"/>
  <c r="D65" i="111"/>
  <c r="E65" i="111"/>
  <c r="F65" i="111"/>
  <c r="G65" i="111"/>
  <c r="H65" i="111"/>
  <c r="I65" i="111"/>
  <c r="J65" i="111"/>
  <c r="K65" i="111"/>
  <c r="L65" i="111"/>
  <c r="M65" i="111"/>
  <c r="N65" i="111"/>
  <c r="D66" i="111"/>
  <c r="E66" i="111"/>
  <c r="F66" i="111"/>
  <c r="G66" i="111"/>
  <c r="H66" i="111"/>
  <c r="I66" i="111"/>
  <c r="J66" i="111"/>
  <c r="K66" i="111"/>
  <c r="L66" i="111"/>
  <c r="M66" i="111"/>
  <c r="N66" i="111"/>
  <c r="D67" i="111"/>
  <c r="E67" i="111"/>
  <c r="F67" i="111"/>
  <c r="G67" i="111"/>
  <c r="H67" i="111"/>
  <c r="I67" i="111"/>
  <c r="J67" i="111"/>
  <c r="K67" i="111"/>
  <c r="L67" i="111"/>
  <c r="M67" i="111"/>
  <c r="N67" i="111"/>
  <c r="D68" i="111"/>
  <c r="O68" i="111" s="1"/>
  <c r="E68" i="111"/>
  <c r="F68" i="111"/>
  <c r="G68" i="111"/>
  <c r="H68" i="111"/>
  <c r="I68" i="111"/>
  <c r="J68" i="111"/>
  <c r="K68" i="111"/>
  <c r="L68" i="111"/>
  <c r="M68" i="111"/>
  <c r="N68" i="111"/>
  <c r="D69" i="111"/>
  <c r="E69" i="111"/>
  <c r="F69" i="111"/>
  <c r="G69" i="111"/>
  <c r="H69" i="111"/>
  <c r="I69" i="111"/>
  <c r="J69" i="111"/>
  <c r="K69" i="111"/>
  <c r="L69" i="111"/>
  <c r="M69" i="111"/>
  <c r="N69" i="111"/>
  <c r="D70" i="111"/>
  <c r="E70" i="111"/>
  <c r="F70" i="111"/>
  <c r="G70" i="111"/>
  <c r="H70" i="111"/>
  <c r="I70" i="111"/>
  <c r="J70" i="111"/>
  <c r="K70" i="111"/>
  <c r="L70" i="111"/>
  <c r="M70" i="111"/>
  <c r="N70" i="111"/>
  <c r="D71" i="111"/>
  <c r="E71" i="111"/>
  <c r="F71" i="111"/>
  <c r="G71" i="111"/>
  <c r="H71" i="111"/>
  <c r="I71" i="111"/>
  <c r="J71" i="111"/>
  <c r="K71" i="111"/>
  <c r="L71" i="111"/>
  <c r="M71" i="111"/>
  <c r="N71" i="111"/>
  <c r="D72" i="111"/>
  <c r="O72" i="111" s="1"/>
  <c r="E72" i="111"/>
  <c r="F72" i="111"/>
  <c r="G72" i="111"/>
  <c r="H72" i="111"/>
  <c r="I72" i="111"/>
  <c r="J72" i="111"/>
  <c r="K72" i="111"/>
  <c r="L72" i="111"/>
  <c r="M72" i="111"/>
  <c r="N72" i="111"/>
  <c r="D73" i="111"/>
  <c r="E73" i="111"/>
  <c r="F73" i="111"/>
  <c r="G73" i="111"/>
  <c r="H73" i="111"/>
  <c r="I73" i="111"/>
  <c r="J73" i="111"/>
  <c r="K73" i="111"/>
  <c r="L73" i="111"/>
  <c r="M73" i="111"/>
  <c r="N73" i="111"/>
  <c r="D74" i="111"/>
  <c r="E74" i="111"/>
  <c r="F74" i="111"/>
  <c r="G74" i="111"/>
  <c r="H74" i="111"/>
  <c r="I74" i="111"/>
  <c r="J74" i="111"/>
  <c r="K74" i="111"/>
  <c r="L74" i="111"/>
  <c r="M74" i="111"/>
  <c r="N74" i="111"/>
  <c r="D75" i="111"/>
  <c r="E75" i="111"/>
  <c r="F75" i="111"/>
  <c r="G75" i="111"/>
  <c r="H75" i="111"/>
  <c r="I75" i="111"/>
  <c r="J75" i="111"/>
  <c r="K75" i="111"/>
  <c r="L75" i="111"/>
  <c r="M75" i="111"/>
  <c r="N75" i="111"/>
  <c r="D76" i="111"/>
  <c r="E76" i="111"/>
  <c r="F76" i="111"/>
  <c r="G76" i="111"/>
  <c r="H76" i="111"/>
  <c r="I76" i="111"/>
  <c r="J76" i="111"/>
  <c r="K76" i="111"/>
  <c r="L76" i="111"/>
  <c r="M76" i="111"/>
  <c r="N76" i="111"/>
  <c r="D77" i="111"/>
  <c r="E77" i="111"/>
  <c r="F77" i="111"/>
  <c r="G77" i="111"/>
  <c r="H77" i="111"/>
  <c r="I77" i="111"/>
  <c r="J77" i="111"/>
  <c r="K77" i="111"/>
  <c r="L77" i="111"/>
  <c r="M77" i="111"/>
  <c r="N77" i="111"/>
  <c r="D78" i="111"/>
  <c r="E78" i="111"/>
  <c r="F78" i="111"/>
  <c r="G78" i="111"/>
  <c r="H78" i="111"/>
  <c r="I78" i="111"/>
  <c r="J78" i="111"/>
  <c r="K78" i="111"/>
  <c r="L78" i="111"/>
  <c r="M78" i="111"/>
  <c r="N78" i="111"/>
  <c r="D79" i="111"/>
  <c r="E79" i="111"/>
  <c r="F79" i="111"/>
  <c r="G79" i="111"/>
  <c r="H79" i="111"/>
  <c r="I79" i="111"/>
  <c r="J79" i="111"/>
  <c r="K79" i="111"/>
  <c r="L79" i="111"/>
  <c r="M79" i="111"/>
  <c r="N79" i="111"/>
  <c r="D80" i="111"/>
  <c r="E80" i="111"/>
  <c r="F80" i="111"/>
  <c r="G80" i="111"/>
  <c r="H80" i="111"/>
  <c r="I80" i="111"/>
  <c r="J80" i="111"/>
  <c r="K80" i="111"/>
  <c r="L80" i="111"/>
  <c r="M80" i="111"/>
  <c r="N80" i="111"/>
  <c r="D81" i="111"/>
  <c r="E81" i="111"/>
  <c r="F81" i="111"/>
  <c r="G81" i="111"/>
  <c r="H81" i="111"/>
  <c r="I81" i="111"/>
  <c r="J81" i="111"/>
  <c r="K81" i="111"/>
  <c r="L81" i="111"/>
  <c r="M81" i="111"/>
  <c r="N81" i="111"/>
  <c r="D82" i="111"/>
  <c r="E82" i="111"/>
  <c r="F82" i="111"/>
  <c r="G82" i="111"/>
  <c r="H82" i="111"/>
  <c r="I82" i="111"/>
  <c r="J82" i="111"/>
  <c r="K82" i="111"/>
  <c r="L82" i="111"/>
  <c r="M82" i="111"/>
  <c r="N82" i="111"/>
  <c r="D83" i="111"/>
  <c r="E83" i="111"/>
  <c r="F83" i="111"/>
  <c r="G83" i="111"/>
  <c r="H83" i="111"/>
  <c r="I83" i="111"/>
  <c r="J83" i="111"/>
  <c r="K83" i="111"/>
  <c r="L83" i="111"/>
  <c r="M83" i="111"/>
  <c r="N83" i="111"/>
  <c r="D84" i="111"/>
  <c r="E84" i="111"/>
  <c r="F84" i="111"/>
  <c r="G84" i="111"/>
  <c r="H84" i="111"/>
  <c r="I84" i="111"/>
  <c r="J84" i="111"/>
  <c r="K84" i="111"/>
  <c r="L84" i="111"/>
  <c r="M84" i="111"/>
  <c r="N84" i="111"/>
  <c r="D85" i="111"/>
  <c r="E85" i="111"/>
  <c r="F85" i="111"/>
  <c r="G85" i="111"/>
  <c r="H85" i="111"/>
  <c r="I85" i="111"/>
  <c r="J85" i="111"/>
  <c r="K85" i="111"/>
  <c r="L85" i="111"/>
  <c r="M85" i="111"/>
  <c r="N85" i="111"/>
  <c r="D86" i="111"/>
  <c r="E86" i="111"/>
  <c r="F86" i="111"/>
  <c r="G86" i="111"/>
  <c r="H86" i="111"/>
  <c r="I86" i="111"/>
  <c r="J86" i="111"/>
  <c r="K86" i="111"/>
  <c r="L86" i="111"/>
  <c r="M86" i="111"/>
  <c r="N86" i="111"/>
  <c r="D87" i="111"/>
  <c r="E87" i="111"/>
  <c r="F87" i="111"/>
  <c r="G87" i="111"/>
  <c r="H87" i="111"/>
  <c r="I87" i="111"/>
  <c r="J87" i="111"/>
  <c r="K87" i="111"/>
  <c r="L87" i="111"/>
  <c r="M87" i="111"/>
  <c r="N87" i="111"/>
  <c r="D88" i="111"/>
  <c r="E88" i="111"/>
  <c r="F88" i="111"/>
  <c r="G88" i="111"/>
  <c r="H88" i="111"/>
  <c r="I88" i="111"/>
  <c r="J88" i="111"/>
  <c r="K88" i="111"/>
  <c r="L88" i="111"/>
  <c r="M88" i="111"/>
  <c r="N88" i="111"/>
  <c r="D89" i="111"/>
  <c r="E89" i="111"/>
  <c r="F89" i="111"/>
  <c r="G89" i="111"/>
  <c r="H89" i="111"/>
  <c r="I89" i="111"/>
  <c r="J89" i="111"/>
  <c r="K89" i="111"/>
  <c r="L89" i="111"/>
  <c r="M89" i="111"/>
  <c r="N89" i="111"/>
  <c r="D90" i="111"/>
  <c r="E90" i="111"/>
  <c r="F90" i="111"/>
  <c r="G90" i="111"/>
  <c r="H90" i="111"/>
  <c r="I90" i="111"/>
  <c r="J90" i="111"/>
  <c r="K90" i="111"/>
  <c r="L90" i="111"/>
  <c r="M90" i="111"/>
  <c r="N90" i="111"/>
  <c r="D91" i="111"/>
  <c r="E91" i="111"/>
  <c r="F91" i="111"/>
  <c r="G91" i="111"/>
  <c r="H91" i="111"/>
  <c r="I91" i="111"/>
  <c r="J91" i="111"/>
  <c r="K91" i="111"/>
  <c r="L91" i="111"/>
  <c r="M91" i="111"/>
  <c r="N91" i="111"/>
  <c r="D92" i="111"/>
  <c r="E92" i="111"/>
  <c r="F92" i="111"/>
  <c r="G92" i="111"/>
  <c r="H92" i="111"/>
  <c r="I92" i="111"/>
  <c r="J92" i="111"/>
  <c r="K92" i="111"/>
  <c r="L92" i="111"/>
  <c r="M92" i="111"/>
  <c r="N92" i="111"/>
  <c r="D93" i="111"/>
  <c r="E93" i="111"/>
  <c r="F93" i="111"/>
  <c r="G93" i="111"/>
  <c r="H93" i="111"/>
  <c r="I93" i="111"/>
  <c r="J93" i="111"/>
  <c r="K93" i="111"/>
  <c r="L93" i="111"/>
  <c r="M93" i="111"/>
  <c r="N93" i="111"/>
  <c r="D94" i="111"/>
  <c r="E94" i="111"/>
  <c r="F94" i="111"/>
  <c r="G94" i="111"/>
  <c r="H94" i="111"/>
  <c r="I94" i="111"/>
  <c r="J94" i="111"/>
  <c r="K94" i="111"/>
  <c r="L94" i="111"/>
  <c r="M94" i="111"/>
  <c r="N94" i="111"/>
  <c r="D95" i="111"/>
  <c r="E95" i="111"/>
  <c r="F95" i="111"/>
  <c r="G95" i="111"/>
  <c r="H95" i="111"/>
  <c r="I95" i="111"/>
  <c r="J95" i="111"/>
  <c r="K95" i="111"/>
  <c r="L95" i="111"/>
  <c r="M95" i="111"/>
  <c r="N95" i="111"/>
  <c r="D96" i="111"/>
  <c r="E96" i="111"/>
  <c r="F96" i="111"/>
  <c r="G96" i="111"/>
  <c r="H96" i="111"/>
  <c r="I96" i="111"/>
  <c r="J96" i="111"/>
  <c r="K96" i="111"/>
  <c r="L96" i="111"/>
  <c r="M96" i="111"/>
  <c r="N96" i="111"/>
  <c r="D97" i="111"/>
  <c r="E97" i="111"/>
  <c r="F97" i="111"/>
  <c r="G97" i="111"/>
  <c r="H97" i="111"/>
  <c r="I97" i="111"/>
  <c r="J97" i="111"/>
  <c r="K97" i="111"/>
  <c r="L97" i="111"/>
  <c r="M97" i="111"/>
  <c r="N97" i="111"/>
  <c r="D98" i="111"/>
  <c r="E98" i="111"/>
  <c r="F98" i="111"/>
  <c r="G98" i="111"/>
  <c r="H98" i="111"/>
  <c r="I98" i="111"/>
  <c r="J98" i="111"/>
  <c r="K98" i="111"/>
  <c r="L98" i="111"/>
  <c r="M98" i="111"/>
  <c r="N98" i="111"/>
  <c r="D99" i="111"/>
  <c r="E99" i="111"/>
  <c r="F99" i="111"/>
  <c r="G99" i="111"/>
  <c r="H99" i="111"/>
  <c r="I99" i="111"/>
  <c r="J99" i="111"/>
  <c r="K99" i="111"/>
  <c r="L99" i="111"/>
  <c r="M99" i="111"/>
  <c r="N99" i="111"/>
  <c r="D100" i="111"/>
  <c r="E100" i="111"/>
  <c r="F100" i="111"/>
  <c r="G100" i="111"/>
  <c r="H100" i="111"/>
  <c r="I100" i="111"/>
  <c r="J100" i="111"/>
  <c r="K100" i="111"/>
  <c r="L100" i="111"/>
  <c r="M100" i="111"/>
  <c r="N100" i="111"/>
  <c r="D101" i="111"/>
  <c r="E101" i="111"/>
  <c r="F101" i="111"/>
  <c r="G101" i="111"/>
  <c r="H101" i="111"/>
  <c r="I101" i="111"/>
  <c r="J101" i="111"/>
  <c r="K101" i="111"/>
  <c r="L101" i="111"/>
  <c r="M101" i="111"/>
  <c r="N101" i="111"/>
  <c r="D102" i="111"/>
  <c r="E102" i="111"/>
  <c r="F102" i="111"/>
  <c r="G102" i="111"/>
  <c r="H102" i="111"/>
  <c r="I102" i="111"/>
  <c r="J102" i="111"/>
  <c r="K102" i="111"/>
  <c r="L102" i="111"/>
  <c r="M102" i="111"/>
  <c r="N102" i="111"/>
  <c r="D103" i="111"/>
  <c r="E103" i="111"/>
  <c r="F103" i="111"/>
  <c r="G103" i="111"/>
  <c r="H103" i="111"/>
  <c r="I103" i="111"/>
  <c r="J103" i="111"/>
  <c r="K103" i="111"/>
  <c r="L103" i="111"/>
  <c r="M103" i="111"/>
  <c r="N103" i="111"/>
  <c r="D104" i="111"/>
  <c r="E104" i="111"/>
  <c r="F104" i="111"/>
  <c r="G104" i="111"/>
  <c r="H104" i="111"/>
  <c r="I104" i="111"/>
  <c r="J104" i="111"/>
  <c r="K104" i="111"/>
  <c r="L104" i="111"/>
  <c r="M104" i="111"/>
  <c r="N104" i="111"/>
  <c r="D105" i="111"/>
  <c r="E105" i="111"/>
  <c r="F105" i="111"/>
  <c r="G105" i="111"/>
  <c r="H105" i="111"/>
  <c r="I105" i="111"/>
  <c r="J105" i="111"/>
  <c r="K105" i="111"/>
  <c r="L105" i="111"/>
  <c r="M105" i="111"/>
  <c r="N105" i="111"/>
  <c r="C59" i="111"/>
  <c r="P59" i="111" s="1"/>
  <c r="C60" i="111"/>
  <c r="C61" i="111"/>
  <c r="P61" i="111" s="1"/>
  <c r="C62" i="111"/>
  <c r="C63" i="111"/>
  <c r="P63" i="111" s="1"/>
  <c r="C64" i="111"/>
  <c r="C65" i="111"/>
  <c r="P65" i="111" s="1"/>
  <c r="C66" i="111"/>
  <c r="C67" i="111"/>
  <c r="P67" i="111" s="1"/>
  <c r="C68" i="111"/>
  <c r="C69" i="111"/>
  <c r="P69" i="111" s="1"/>
  <c r="C70" i="111"/>
  <c r="C71" i="111"/>
  <c r="P71" i="111" s="1"/>
  <c r="C72" i="111"/>
  <c r="C73" i="111"/>
  <c r="P73" i="111" s="1"/>
  <c r="C74" i="111"/>
  <c r="C75" i="111"/>
  <c r="P75" i="111" s="1"/>
  <c r="C76" i="111"/>
  <c r="C77" i="111"/>
  <c r="P77" i="111" s="1"/>
  <c r="C78" i="111"/>
  <c r="C79" i="111"/>
  <c r="P79" i="111" s="1"/>
  <c r="C80" i="111"/>
  <c r="C81" i="111"/>
  <c r="P81" i="111" s="1"/>
  <c r="C82" i="111"/>
  <c r="C83" i="111"/>
  <c r="P83" i="111" s="1"/>
  <c r="C84" i="111"/>
  <c r="C85" i="111"/>
  <c r="P85" i="111" s="1"/>
  <c r="C86" i="111"/>
  <c r="C87" i="111"/>
  <c r="P87" i="111" s="1"/>
  <c r="C88" i="111"/>
  <c r="C89" i="111"/>
  <c r="P89" i="111" s="1"/>
  <c r="C90" i="111"/>
  <c r="C91" i="111"/>
  <c r="P91" i="111" s="1"/>
  <c r="C92" i="111"/>
  <c r="C93" i="111"/>
  <c r="P93" i="111" s="1"/>
  <c r="C94" i="111"/>
  <c r="C95" i="111"/>
  <c r="P95" i="111" s="1"/>
  <c r="C96" i="111"/>
  <c r="C97" i="111"/>
  <c r="P97" i="111" s="1"/>
  <c r="C98" i="111"/>
  <c r="C99" i="111"/>
  <c r="P99" i="111" s="1"/>
  <c r="C100" i="111"/>
  <c r="C101" i="111"/>
  <c r="P101" i="111" s="1"/>
  <c r="C102" i="111"/>
  <c r="C103" i="111"/>
  <c r="P103" i="111" s="1"/>
  <c r="C104" i="111"/>
  <c r="C105" i="111"/>
  <c r="P105" i="111" s="1"/>
  <c r="C58" i="111"/>
  <c r="P105" i="108"/>
  <c r="O105" i="108"/>
  <c r="P104" i="108"/>
  <c r="O104" i="108"/>
  <c r="P103" i="108"/>
  <c r="O103" i="108"/>
  <c r="P102" i="108"/>
  <c r="O102" i="108"/>
  <c r="P101" i="108"/>
  <c r="O101" i="108"/>
  <c r="P100" i="108"/>
  <c r="O100" i="108"/>
  <c r="P99" i="108"/>
  <c r="O99" i="108"/>
  <c r="P98" i="108"/>
  <c r="O98" i="108"/>
  <c r="P97" i="108"/>
  <c r="O97" i="108"/>
  <c r="P96" i="108"/>
  <c r="O96" i="108"/>
  <c r="P95" i="108"/>
  <c r="O95" i="108"/>
  <c r="P94" i="108"/>
  <c r="O94" i="108"/>
  <c r="P93" i="108"/>
  <c r="O93" i="108"/>
  <c r="P92" i="108"/>
  <c r="O92" i="108"/>
  <c r="P91" i="108"/>
  <c r="O91" i="108"/>
  <c r="P90" i="108"/>
  <c r="O90" i="108"/>
  <c r="P89" i="108"/>
  <c r="O89" i="108"/>
  <c r="P88" i="108"/>
  <c r="O88" i="108"/>
  <c r="P87" i="108"/>
  <c r="O87" i="108"/>
  <c r="P86" i="108"/>
  <c r="O86" i="108"/>
  <c r="P85" i="108"/>
  <c r="O85" i="108"/>
  <c r="P84" i="108"/>
  <c r="O84" i="108"/>
  <c r="P83" i="108"/>
  <c r="O83" i="108"/>
  <c r="P82" i="108"/>
  <c r="O82" i="108"/>
  <c r="P81" i="108"/>
  <c r="O81" i="108"/>
  <c r="P80" i="108"/>
  <c r="O80" i="108"/>
  <c r="P79" i="108"/>
  <c r="O79" i="108"/>
  <c r="P78" i="108"/>
  <c r="O78" i="108"/>
  <c r="P77" i="108"/>
  <c r="O77" i="108"/>
  <c r="P76" i="108"/>
  <c r="O76" i="108"/>
  <c r="P75" i="108"/>
  <c r="O75" i="108"/>
  <c r="P74" i="108"/>
  <c r="O74" i="108"/>
  <c r="P73" i="108"/>
  <c r="O73" i="108"/>
  <c r="P72" i="108"/>
  <c r="O72" i="108"/>
  <c r="P71" i="108"/>
  <c r="O71" i="108"/>
  <c r="P70" i="108"/>
  <c r="O70" i="108"/>
  <c r="P69" i="108"/>
  <c r="O69" i="108"/>
  <c r="P68" i="108"/>
  <c r="O68" i="108"/>
  <c r="P67" i="108"/>
  <c r="O67" i="108"/>
  <c r="P66" i="108"/>
  <c r="O66" i="108"/>
  <c r="P65" i="108"/>
  <c r="O65" i="108"/>
  <c r="P64" i="108"/>
  <c r="O64" i="108"/>
  <c r="P63" i="108"/>
  <c r="O63" i="108"/>
  <c r="P62" i="108"/>
  <c r="O62" i="108"/>
  <c r="P61" i="108"/>
  <c r="O61" i="108"/>
  <c r="P60" i="108"/>
  <c r="O60" i="108"/>
  <c r="P59" i="108"/>
  <c r="O59" i="108"/>
  <c r="P58" i="108"/>
  <c r="O58" i="108"/>
  <c r="D58" i="108"/>
  <c r="E58" i="108"/>
  <c r="F58" i="108"/>
  <c r="G58" i="108"/>
  <c r="H58" i="108"/>
  <c r="I58" i="108"/>
  <c r="J58" i="108"/>
  <c r="K58" i="108"/>
  <c r="L58" i="108"/>
  <c r="M58" i="108"/>
  <c r="N58" i="108"/>
  <c r="D59" i="108"/>
  <c r="E59" i="108"/>
  <c r="F59" i="108"/>
  <c r="G59" i="108"/>
  <c r="H59" i="108"/>
  <c r="I59" i="108"/>
  <c r="J59" i="108"/>
  <c r="K59" i="108"/>
  <c r="L59" i="108"/>
  <c r="M59" i="108"/>
  <c r="N59" i="108"/>
  <c r="D60" i="108"/>
  <c r="E60" i="108"/>
  <c r="F60" i="108"/>
  <c r="G60" i="108"/>
  <c r="H60" i="108"/>
  <c r="I60" i="108"/>
  <c r="J60" i="108"/>
  <c r="K60" i="108"/>
  <c r="L60" i="108"/>
  <c r="M60" i="108"/>
  <c r="N60" i="108"/>
  <c r="D61" i="108"/>
  <c r="E61" i="108"/>
  <c r="F61" i="108"/>
  <c r="G61" i="108"/>
  <c r="H61" i="108"/>
  <c r="I61" i="108"/>
  <c r="J61" i="108"/>
  <c r="K61" i="108"/>
  <c r="L61" i="108"/>
  <c r="M61" i="108"/>
  <c r="N61" i="108"/>
  <c r="D62" i="108"/>
  <c r="E62" i="108"/>
  <c r="F62" i="108"/>
  <c r="G62" i="108"/>
  <c r="H62" i="108"/>
  <c r="I62" i="108"/>
  <c r="J62" i="108"/>
  <c r="K62" i="108"/>
  <c r="L62" i="108"/>
  <c r="M62" i="108"/>
  <c r="N62" i="108"/>
  <c r="D63" i="108"/>
  <c r="E63" i="108"/>
  <c r="F63" i="108"/>
  <c r="G63" i="108"/>
  <c r="H63" i="108"/>
  <c r="I63" i="108"/>
  <c r="J63" i="108"/>
  <c r="K63" i="108"/>
  <c r="L63" i="108"/>
  <c r="M63" i="108"/>
  <c r="N63" i="108"/>
  <c r="D64" i="108"/>
  <c r="E64" i="108"/>
  <c r="F64" i="108"/>
  <c r="G64" i="108"/>
  <c r="H64" i="108"/>
  <c r="I64" i="108"/>
  <c r="J64" i="108"/>
  <c r="K64" i="108"/>
  <c r="L64" i="108"/>
  <c r="M64" i="108"/>
  <c r="N64" i="108"/>
  <c r="D65" i="108"/>
  <c r="E65" i="108"/>
  <c r="F65" i="108"/>
  <c r="G65" i="108"/>
  <c r="H65" i="108"/>
  <c r="I65" i="108"/>
  <c r="J65" i="108"/>
  <c r="K65" i="108"/>
  <c r="L65" i="108"/>
  <c r="M65" i="108"/>
  <c r="N65" i="108"/>
  <c r="D66" i="108"/>
  <c r="E66" i="108"/>
  <c r="F66" i="108"/>
  <c r="G66" i="108"/>
  <c r="H66" i="108"/>
  <c r="I66" i="108"/>
  <c r="J66" i="108"/>
  <c r="K66" i="108"/>
  <c r="L66" i="108"/>
  <c r="M66" i="108"/>
  <c r="N66" i="108"/>
  <c r="D67" i="108"/>
  <c r="E67" i="108"/>
  <c r="F67" i="108"/>
  <c r="G67" i="108"/>
  <c r="H67" i="108"/>
  <c r="I67" i="108"/>
  <c r="J67" i="108"/>
  <c r="K67" i="108"/>
  <c r="L67" i="108"/>
  <c r="M67" i="108"/>
  <c r="N67" i="108"/>
  <c r="D68" i="108"/>
  <c r="E68" i="108"/>
  <c r="F68" i="108"/>
  <c r="G68" i="108"/>
  <c r="H68" i="108"/>
  <c r="I68" i="108"/>
  <c r="J68" i="108"/>
  <c r="K68" i="108"/>
  <c r="L68" i="108"/>
  <c r="M68" i="108"/>
  <c r="N68" i="108"/>
  <c r="D69" i="108"/>
  <c r="E69" i="108"/>
  <c r="F69" i="108"/>
  <c r="G69" i="108"/>
  <c r="H69" i="108"/>
  <c r="I69" i="108"/>
  <c r="J69" i="108"/>
  <c r="K69" i="108"/>
  <c r="L69" i="108"/>
  <c r="M69" i="108"/>
  <c r="N69" i="108"/>
  <c r="D70" i="108"/>
  <c r="E70" i="108"/>
  <c r="F70" i="108"/>
  <c r="G70" i="108"/>
  <c r="H70" i="108"/>
  <c r="I70" i="108"/>
  <c r="J70" i="108"/>
  <c r="K70" i="108"/>
  <c r="L70" i="108"/>
  <c r="M70" i="108"/>
  <c r="N70" i="108"/>
  <c r="D71" i="108"/>
  <c r="E71" i="108"/>
  <c r="F71" i="108"/>
  <c r="G71" i="108"/>
  <c r="H71" i="108"/>
  <c r="I71" i="108"/>
  <c r="J71" i="108"/>
  <c r="K71" i="108"/>
  <c r="L71" i="108"/>
  <c r="M71" i="108"/>
  <c r="N71" i="108"/>
  <c r="D72" i="108"/>
  <c r="E72" i="108"/>
  <c r="F72" i="108"/>
  <c r="G72" i="108"/>
  <c r="H72" i="108"/>
  <c r="I72" i="108"/>
  <c r="J72" i="108"/>
  <c r="K72" i="108"/>
  <c r="L72" i="108"/>
  <c r="M72" i="108"/>
  <c r="N72" i="108"/>
  <c r="D73" i="108"/>
  <c r="E73" i="108"/>
  <c r="F73" i="108"/>
  <c r="G73" i="108"/>
  <c r="H73" i="108"/>
  <c r="I73" i="108"/>
  <c r="J73" i="108"/>
  <c r="K73" i="108"/>
  <c r="L73" i="108"/>
  <c r="M73" i="108"/>
  <c r="N73" i="108"/>
  <c r="D74" i="108"/>
  <c r="E74" i="108"/>
  <c r="F74" i="108"/>
  <c r="G74" i="108"/>
  <c r="H74" i="108"/>
  <c r="I74" i="108"/>
  <c r="J74" i="108"/>
  <c r="K74" i="108"/>
  <c r="L74" i="108"/>
  <c r="M74" i="108"/>
  <c r="N74" i="108"/>
  <c r="D75" i="108"/>
  <c r="E75" i="108"/>
  <c r="F75" i="108"/>
  <c r="G75" i="108"/>
  <c r="H75" i="108"/>
  <c r="I75" i="108"/>
  <c r="J75" i="108"/>
  <c r="K75" i="108"/>
  <c r="L75" i="108"/>
  <c r="M75" i="108"/>
  <c r="N75" i="108"/>
  <c r="D76" i="108"/>
  <c r="E76" i="108"/>
  <c r="F76" i="108"/>
  <c r="G76" i="108"/>
  <c r="H76" i="108"/>
  <c r="I76" i="108"/>
  <c r="J76" i="108"/>
  <c r="K76" i="108"/>
  <c r="L76" i="108"/>
  <c r="M76" i="108"/>
  <c r="N76" i="108"/>
  <c r="D77" i="108"/>
  <c r="E77" i="108"/>
  <c r="F77" i="108"/>
  <c r="G77" i="108"/>
  <c r="H77" i="108"/>
  <c r="I77" i="108"/>
  <c r="J77" i="108"/>
  <c r="K77" i="108"/>
  <c r="L77" i="108"/>
  <c r="M77" i="108"/>
  <c r="N77" i="108"/>
  <c r="D78" i="108"/>
  <c r="E78" i="108"/>
  <c r="F78" i="108"/>
  <c r="G78" i="108"/>
  <c r="H78" i="108"/>
  <c r="I78" i="108"/>
  <c r="J78" i="108"/>
  <c r="K78" i="108"/>
  <c r="L78" i="108"/>
  <c r="M78" i="108"/>
  <c r="N78" i="108"/>
  <c r="D79" i="108"/>
  <c r="E79" i="108"/>
  <c r="F79" i="108"/>
  <c r="G79" i="108"/>
  <c r="H79" i="108"/>
  <c r="I79" i="108"/>
  <c r="J79" i="108"/>
  <c r="K79" i="108"/>
  <c r="L79" i="108"/>
  <c r="M79" i="108"/>
  <c r="N79" i="108"/>
  <c r="D80" i="108"/>
  <c r="E80" i="108"/>
  <c r="F80" i="108"/>
  <c r="G80" i="108"/>
  <c r="H80" i="108"/>
  <c r="I80" i="108"/>
  <c r="J80" i="108"/>
  <c r="K80" i="108"/>
  <c r="L80" i="108"/>
  <c r="M80" i="108"/>
  <c r="N80" i="108"/>
  <c r="D81" i="108"/>
  <c r="E81" i="108"/>
  <c r="F81" i="108"/>
  <c r="G81" i="108"/>
  <c r="H81" i="108"/>
  <c r="I81" i="108"/>
  <c r="J81" i="108"/>
  <c r="K81" i="108"/>
  <c r="L81" i="108"/>
  <c r="M81" i="108"/>
  <c r="N81" i="108"/>
  <c r="D82" i="108"/>
  <c r="E82" i="108"/>
  <c r="F82" i="108"/>
  <c r="G82" i="108"/>
  <c r="H82" i="108"/>
  <c r="I82" i="108"/>
  <c r="J82" i="108"/>
  <c r="K82" i="108"/>
  <c r="L82" i="108"/>
  <c r="M82" i="108"/>
  <c r="N82" i="108"/>
  <c r="D83" i="108"/>
  <c r="E83" i="108"/>
  <c r="F83" i="108"/>
  <c r="G83" i="108"/>
  <c r="H83" i="108"/>
  <c r="I83" i="108"/>
  <c r="J83" i="108"/>
  <c r="K83" i="108"/>
  <c r="L83" i="108"/>
  <c r="M83" i="108"/>
  <c r="N83" i="108"/>
  <c r="D84" i="108"/>
  <c r="E84" i="108"/>
  <c r="F84" i="108"/>
  <c r="G84" i="108"/>
  <c r="H84" i="108"/>
  <c r="I84" i="108"/>
  <c r="J84" i="108"/>
  <c r="K84" i="108"/>
  <c r="L84" i="108"/>
  <c r="M84" i="108"/>
  <c r="N84" i="108"/>
  <c r="D85" i="108"/>
  <c r="E85" i="108"/>
  <c r="F85" i="108"/>
  <c r="G85" i="108"/>
  <c r="H85" i="108"/>
  <c r="I85" i="108"/>
  <c r="J85" i="108"/>
  <c r="K85" i="108"/>
  <c r="L85" i="108"/>
  <c r="M85" i="108"/>
  <c r="N85" i="108"/>
  <c r="D86" i="108"/>
  <c r="E86" i="108"/>
  <c r="F86" i="108"/>
  <c r="G86" i="108"/>
  <c r="H86" i="108"/>
  <c r="I86" i="108"/>
  <c r="J86" i="108"/>
  <c r="K86" i="108"/>
  <c r="L86" i="108"/>
  <c r="M86" i="108"/>
  <c r="N86" i="108"/>
  <c r="D87" i="108"/>
  <c r="E87" i="108"/>
  <c r="F87" i="108"/>
  <c r="G87" i="108"/>
  <c r="H87" i="108"/>
  <c r="I87" i="108"/>
  <c r="J87" i="108"/>
  <c r="K87" i="108"/>
  <c r="L87" i="108"/>
  <c r="M87" i="108"/>
  <c r="N87" i="108"/>
  <c r="D88" i="108"/>
  <c r="E88" i="108"/>
  <c r="F88" i="108"/>
  <c r="G88" i="108"/>
  <c r="H88" i="108"/>
  <c r="I88" i="108"/>
  <c r="J88" i="108"/>
  <c r="K88" i="108"/>
  <c r="L88" i="108"/>
  <c r="M88" i="108"/>
  <c r="N88" i="108"/>
  <c r="D89" i="108"/>
  <c r="E89" i="108"/>
  <c r="F89" i="108"/>
  <c r="G89" i="108"/>
  <c r="H89" i="108"/>
  <c r="I89" i="108"/>
  <c r="J89" i="108"/>
  <c r="K89" i="108"/>
  <c r="L89" i="108"/>
  <c r="M89" i="108"/>
  <c r="N89" i="108"/>
  <c r="D90" i="108"/>
  <c r="E90" i="108"/>
  <c r="F90" i="108"/>
  <c r="G90" i="108"/>
  <c r="H90" i="108"/>
  <c r="I90" i="108"/>
  <c r="J90" i="108"/>
  <c r="K90" i="108"/>
  <c r="L90" i="108"/>
  <c r="M90" i="108"/>
  <c r="N90" i="108"/>
  <c r="D91" i="108"/>
  <c r="E91" i="108"/>
  <c r="F91" i="108"/>
  <c r="G91" i="108"/>
  <c r="H91" i="108"/>
  <c r="I91" i="108"/>
  <c r="J91" i="108"/>
  <c r="K91" i="108"/>
  <c r="L91" i="108"/>
  <c r="M91" i="108"/>
  <c r="N91" i="108"/>
  <c r="D92" i="108"/>
  <c r="E92" i="108"/>
  <c r="F92" i="108"/>
  <c r="G92" i="108"/>
  <c r="H92" i="108"/>
  <c r="I92" i="108"/>
  <c r="J92" i="108"/>
  <c r="K92" i="108"/>
  <c r="L92" i="108"/>
  <c r="M92" i="108"/>
  <c r="N92" i="108"/>
  <c r="D93" i="108"/>
  <c r="E93" i="108"/>
  <c r="F93" i="108"/>
  <c r="G93" i="108"/>
  <c r="H93" i="108"/>
  <c r="I93" i="108"/>
  <c r="J93" i="108"/>
  <c r="K93" i="108"/>
  <c r="L93" i="108"/>
  <c r="M93" i="108"/>
  <c r="N93" i="108"/>
  <c r="D94" i="108"/>
  <c r="E94" i="108"/>
  <c r="F94" i="108"/>
  <c r="G94" i="108"/>
  <c r="H94" i="108"/>
  <c r="I94" i="108"/>
  <c r="J94" i="108"/>
  <c r="K94" i="108"/>
  <c r="L94" i="108"/>
  <c r="M94" i="108"/>
  <c r="N94" i="108"/>
  <c r="D95" i="108"/>
  <c r="E95" i="108"/>
  <c r="F95" i="108"/>
  <c r="G95" i="108"/>
  <c r="H95" i="108"/>
  <c r="I95" i="108"/>
  <c r="J95" i="108"/>
  <c r="K95" i="108"/>
  <c r="L95" i="108"/>
  <c r="M95" i="108"/>
  <c r="N95" i="108"/>
  <c r="D96" i="108"/>
  <c r="E96" i="108"/>
  <c r="F96" i="108"/>
  <c r="G96" i="108"/>
  <c r="H96" i="108"/>
  <c r="I96" i="108"/>
  <c r="J96" i="108"/>
  <c r="K96" i="108"/>
  <c r="L96" i="108"/>
  <c r="M96" i="108"/>
  <c r="N96" i="108"/>
  <c r="D97" i="108"/>
  <c r="E97" i="108"/>
  <c r="F97" i="108"/>
  <c r="G97" i="108"/>
  <c r="H97" i="108"/>
  <c r="I97" i="108"/>
  <c r="J97" i="108"/>
  <c r="K97" i="108"/>
  <c r="L97" i="108"/>
  <c r="M97" i="108"/>
  <c r="N97" i="108"/>
  <c r="D98" i="108"/>
  <c r="E98" i="108"/>
  <c r="F98" i="108"/>
  <c r="G98" i="108"/>
  <c r="H98" i="108"/>
  <c r="I98" i="108"/>
  <c r="J98" i="108"/>
  <c r="K98" i="108"/>
  <c r="L98" i="108"/>
  <c r="M98" i="108"/>
  <c r="N98" i="108"/>
  <c r="D99" i="108"/>
  <c r="E99" i="108"/>
  <c r="F99" i="108"/>
  <c r="G99" i="108"/>
  <c r="H99" i="108"/>
  <c r="I99" i="108"/>
  <c r="J99" i="108"/>
  <c r="K99" i="108"/>
  <c r="L99" i="108"/>
  <c r="M99" i="108"/>
  <c r="N99" i="108"/>
  <c r="D100" i="108"/>
  <c r="E100" i="108"/>
  <c r="F100" i="108"/>
  <c r="G100" i="108"/>
  <c r="H100" i="108"/>
  <c r="I100" i="108"/>
  <c r="J100" i="108"/>
  <c r="K100" i="108"/>
  <c r="L100" i="108"/>
  <c r="M100" i="108"/>
  <c r="N100" i="108"/>
  <c r="D101" i="108"/>
  <c r="E101" i="108"/>
  <c r="F101" i="108"/>
  <c r="G101" i="108"/>
  <c r="H101" i="108"/>
  <c r="I101" i="108"/>
  <c r="J101" i="108"/>
  <c r="K101" i="108"/>
  <c r="L101" i="108"/>
  <c r="M101" i="108"/>
  <c r="N101" i="108"/>
  <c r="D102" i="108"/>
  <c r="E102" i="108"/>
  <c r="F102" i="108"/>
  <c r="G102" i="108"/>
  <c r="H102" i="108"/>
  <c r="I102" i="108"/>
  <c r="J102" i="108"/>
  <c r="K102" i="108"/>
  <c r="L102" i="108"/>
  <c r="M102" i="108"/>
  <c r="N102" i="108"/>
  <c r="D103" i="108"/>
  <c r="E103" i="108"/>
  <c r="F103" i="108"/>
  <c r="G103" i="108"/>
  <c r="H103" i="108"/>
  <c r="I103" i="108"/>
  <c r="J103" i="108"/>
  <c r="K103" i="108"/>
  <c r="L103" i="108"/>
  <c r="M103" i="108"/>
  <c r="N103" i="108"/>
  <c r="D104" i="108"/>
  <c r="E104" i="108"/>
  <c r="F104" i="108"/>
  <c r="G104" i="108"/>
  <c r="H104" i="108"/>
  <c r="I104" i="108"/>
  <c r="J104" i="108"/>
  <c r="K104" i="108"/>
  <c r="L104" i="108"/>
  <c r="M104" i="108"/>
  <c r="N104" i="108"/>
  <c r="D105" i="108"/>
  <c r="E105" i="108"/>
  <c r="F105" i="108"/>
  <c r="G105" i="108"/>
  <c r="H105" i="108"/>
  <c r="I105" i="108"/>
  <c r="J105" i="108"/>
  <c r="K105" i="108"/>
  <c r="L105" i="108"/>
  <c r="M105" i="108"/>
  <c r="N105" i="108"/>
  <c r="C59" i="108"/>
  <c r="C60" i="108"/>
  <c r="C61" i="108"/>
  <c r="C62" i="108"/>
  <c r="C63" i="108"/>
  <c r="C64" i="108"/>
  <c r="C65" i="108"/>
  <c r="C66" i="108"/>
  <c r="C67" i="108"/>
  <c r="C68" i="108"/>
  <c r="C69" i="108"/>
  <c r="C70" i="108"/>
  <c r="C71" i="108"/>
  <c r="C72" i="108"/>
  <c r="C73" i="108"/>
  <c r="C74" i="108"/>
  <c r="C75" i="108"/>
  <c r="C76" i="108"/>
  <c r="C77" i="108"/>
  <c r="C78" i="108"/>
  <c r="C79" i="108"/>
  <c r="C80" i="108"/>
  <c r="C81" i="108"/>
  <c r="C82" i="108"/>
  <c r="C83" i="108"/>
  <c r="C84" i="108"/>
  <c r="C85" i="108"/>
  <c r="C86" i="108"/>
  <c r="C87" i="108"/>
  <c r="C88" i="108"/>
  <c r="C89" i="108"/>
  <c r="C90" i="108"/>
  <c r="C91" i="108"/>
  <c r="C92" i="108"/>
  <c r="C93" i="108"/>
  <c r="C94" i="108"/>
  <c r="C95" i="108"/>
  <c r="C96" i="108"/>
  <c r="C97" i="108"/>
  <c r="C98" i="108"/>
  <c r="C99" i="108"/>
  <c r="C100" i="108"/>
  <c r="C101" i="108"/>
  <c r="C102" i="108"/>
  <c r="C103" i="108"/>
  <c r="C104" i="108"/>
  <c r="C105" i="108"/>
  <c r="C58" i="108"/>
  <c r="O59" i="107"/>
  <c r="P59" i="107"/>
  <c r="P106" i="107" s="1"/>
  <c r="O60" i="107"/>
  <c r="P60" i="107"/>
  <c r="O61" i="107"/>
  <c r="P61" i="107"/>
  <c r="O62" i="107"/>
  <c r="P62" i="107"/>
  <c r="O63" i="107"/>
  <c r="P63" i="107"/>
  <c r="O64" i="107"/>
  <c r="P64" i="107"/>
  <c r="O65" i="107"/>
  <c r="P65" i="107"/>
  <c r="O66" i="107"/>
  <c r="P66" i="107"/>
  <c r="O67" i="107"/>
  <c r="P67" i="107"/>
  <c r="O68" i="107"/>
  <c r="P68" i="107"/>
  <c r="O69" i="107"/>
  <c r="P69" i="107"/>
  <c r="O70" i="107"/>
  <c r="P70" i="107"/>
  <c r="O71" i="107"/>
  <c r="P71" i="107"/>
  <c r="O72" i="107"/>
  <c r="P72" i="107"/>
  <c r="O73" i="107"/>
  <c r="P73" i="107"/>
  <c r="O74" i="107"/>
  <c r="P74" i="107"/>
  <c r="O75" i="107"/>
  <c r="P75" i="107"/>
  <c r="O76" i="107"/>
  <c r="P76" i="107"/>
  <c r="O77" i="107"/>
  <c r="P77" i="107"/>
  <c r="O78" i="107"/>
  <c r="P78" i="107"/>
  <c r="O79" i="107"/>
  <c r="P79" i="107"/>
  <c r="O80" i="107"/>
  <c r="P80" i="107"/>
  <c r="O81" i="107"/>
  <c r="P81" i="107"/>
  <c r="O82" i="107"/>
  <c r="P82" i="107"/>
  <c r="O83" i="107"/>
  <c r="P83" i="107"/>
  <c r="O84" i="107"/>
  <c r="P84" i="107"/>
  <c r="O85" i="107"/>
  <c r="P85" i="107"/>
  <c r="O86" i="107"/>
  <c r="P86" i="107"/>
  <c r="O87" i="107"/>
  <c r="P87" i="107"/>
  <c r="O88" i="107"/>
  <c r="P88" i="107"/>
  <c r="O89" i="107"/>
  <c r="P89" i="107"/>
  <c r="O90" i="107"/>
  <c r="P90" i="107"/>
  <c r="O91" i="107"/>
  <c r="P91" i="107"/>
  <c r="O92" i="107"/>
  <c r="P92" i="107"/>
  <c r="O93" i="107"/>
  <c r="P93" i="107"/>
  <c r="O94" i="107"/>
  <c r="P94" i="107"/>
  <c r="O95" i="107"/>
  <c r="P95" i="107"/>
  <c r="O96" i="107"/>
  <c r="P96" i="107"/>
  <c r="O97" i="107"/>
  <c r="P97" i="107"/>
  <c r="O98" i="107"/>
  <c r="P98" i="107"/>
  <c r="O99" i="107"/>
  <c r="P99" i="107"/>
  <c r="O100" i="107"/>
  <c r="P100" i="107"/>
  <c r="O101" i="107"/>
  <c r="P101" i="107"/>
  <c r="O102" i="107"/>
  <c r="P102" i="107"/>
  <c r="O103" i="107"/>
  <c r="P103" i="107"/>
  <c r="O104" i="107"/>
  <c r="P104" i="107"/>
  <c r="O105" i="107"/>
  <c r="P105" i="107"/>
  <c r="P58" i="107"/>
  <c r="O58" i="107"/>
  <c r="D106" i="107"/>
  <c r="E106" i="107"/>
  <c r="F106" i="107"/>
  <c r="G106" i="107"/>
  <c r="H106" i="107"/>
  <c r="I106" i="107"/>
  <c r="J106" i="107"/>
  <c r="K106" i="107"/>
  <c r="L106" i="107"/>
  <c r="M106" i="107"/>
  <c r="N106" i="107"/>
  <c r="O106" i="107"/>
  <c r="C106" i="107"/>
  <c r="D58" i="107"/>
  <c r="E58" i="107"/>
  <c r="F58" i="107"/>
  <c r="G58" i="107"/>
  <c r="H58" i="107"/>
  <c r="I58" i="107"/>
  <c r="J58" i="107"/>
  <c r="K58" i="107"/>
  <c r="L58" i="107"/>
  <c r="M58" i="107"/>
  <c r="N58" i="107"/>
  <c r="D59" i="107"/>
  <c r="E59" i="107"/>
  <c r="F59" i="107"/>
  <c r="G59" i="107"/>
  <c r="H59" i="107"/>
  <c r="I59" i="107"/>
  <c r="J59" i="107"/>
  <c r="K59" i="107"/>
  <c r="L59" i="107"/>
  <c r="M59" i="107"/>
  <c r="N59" i="107"/>
  <c r="D60" i="107"/>
  <c r="E60" i="107"/>
  <c r="F60" i="107"/>
  <c r="G60" i="107"/>
  <c r="H60" i="107"/>
  <c r="I60" i="107"/>
  <c r="J60" i="107"/>
  <c r="K60" i="107"/>
  <c r="L60" i="107"/>
  <c r="M60" i="107"/>
  <c r="N60" i="107"/>
  <c r="D61" i="107"/>
  <c r="E61" i="107"/>
  <c r="F61" i="107"/>
  <c r="G61" i="107"/>
  <c r="H61" i="107"/>
  <c r="I61" i="107"/>
  <c r="J61" i="107"/>
  <c r="K61" i="107"/>
  <c r="L61" i="107"/>
  <c r="M61" i="107"/>
  <c r="N61" i="107"/>
  <c r="D62" i="107"/>
  <c r="E62" i="107"/>
  <c r="F62" i="107"/>
  <c r="G62" i="107"/>
  <c r="H62" i="107"/>
  <c r="I62" i="107"/>
  <c r="J62" i="107"/>
  <c r="K62" i="107"/>
  <c r="L62" i="107"/>
  <c r="M62" i="107"/>
  <c r="N62" i="107"/>
  <c r="D63" i="107"/>
  <c r="E63" i="107"/>
  <c r="F63" i="107"/>
  <c r="G63" i="107"/>
  <c r="H63" i="107"/>
  <c r="I63" i="107"/>
  <c r="J63" i="107"/>
  <c r="K63" i="107"/>
  <c r="L63" i="107"/>
  <c r="M63" i="107"/>
  <c r="N63" i="107"/>
  <c r="D64" i="107"/>
  <c r="E64" i="107"/>
  <c r="F64" i="107"/>
  <c r="G64" i="107"/>
  <c r="H64" i="107"/>
  <c r="I64" i="107"/>
  <c r="J64" i="107"/>
  <c r="K64" i="107"/>
  <c r="L64" i="107"/>
  <c r="M64" i="107"/>
  <c r="N64" i="107"/>
  <c r="D65" i="107"/>
  <c r="E65" i="107"/>
  <c r="F65" i="107"/>
  <c r="G65" i="107"/>
  <c r="H65" i="107"/>
  <c r="I65" i="107"/>
  <c r="J65" i="107"/>
  <c r="K65" i="107"/>
  <c r="L65" i="107"/>
  <c r="M65" i="107"/>
  <c r="N65" i="107"/>
  <c r="D66" i="107"/>
  <c r="E66" i="107"/>
  <c r="F66" i="107"/>
  <c r="G66" i="107"/>
  <c r="H66" i="107"/>
  <c r="I66" i="107"/>
  <c r="J66" i="107"/>
  <c r="K66" i="107"/>
  <c r="L66" i="107"/>
  <c r="M66" i="107"/>
  <c r="N66" i="107"/>
  <c r="D67" i="107"/>
  <c r="E67" i="107"/>
  <c r="F67" i="107"/>
  <c r="G67" i="107"/>
  <c r="H67" i="107"/>
  <c r="I67" i="107"/>
  <c r="J67" i="107"/>
  <c r="K67" i="107"/>
  <c r="L67" i="107"/>
  <c r="M67" i="107"/>
  <c r="N67" i="107"/>
  <c r="D68" i="107"/>
  <c r="E68" i="107"/>
  <c r="F68" i="107"/>
  <c r="G68" i="107"/>
  <c r="H68" i="107"/>
  <c r="I68" i="107"/>
  <c r="J68" i="107"/>
  <c r="K68" i="107"/>
  <c r="L68" i="107"/>
  <c r="M68" i="107"/>
  <c r="N68" i="107"/>
  <c r="D69" i="107"/>
  <c r="E69" i="107"/>
  <c r="F69" i="107"/>
  <c r="G69" i="107"/>
  <c r="H69" i="107"/>
  <c r="I69" i="107"/>
  <c r="J69" i="107"/>
  <c r="K69" i="107"/>
  <c r="L69" i="107"/>
  <c r="M69" i="107"/>
  <c r="N69" i="107"/>
  <c r="D70" i="107"/>
  <c r="E70" i="107"/>
  <c r="F70" i="107"/>
  <c r="G70" i="107"/>
  <c r="H70" i="107"/>
  <c r="I70" i="107"/>
  <c r="J70" i="107"/>
  <c r="K70" i="107"/>
  <c r="L70" i="107"/>
  <c r="M70" i="107"/>
  <c r="N70" i="107"/>
  <c r="D71" i="107"/>
  <c r="E71" i="107"/>
  <c r="F71" i="107"/>
  <c r="G71" i="107"/>
  <c r="H71" i="107"/>
  <c r="I71" i="107"/>
  <c r="J71" i="107"/>
  <c r="K71" i="107"/>
  <c r="L71" i="107"/>
  <c r="M71" i="107"/>
  <c r="N71" i="107"/>
  <c r="D72" i="107"/>
  <c r="E72" i="107"/>
  <c r="F72" i="107"/>
  <c r="G72" i="107"/>
  <c r="H72" i="107"/>
  <c r="I72" i="107"/>
  <c r="J72" i="107"/>
  <c r="K72" i="107"/>
  <c r="L72" i="107"/>
  <c r="M72" i="107"/>
  <c r="N72" i="107"/>
  <c r="D73" i="107"/>
  <c r="E73" i="107"/>
  <c r="F73" i="107"/>
  <c r="G73" i="107"/>
  <c r="H73" i="107"/>
  <c r="I73" i="107"/>
  <c r="J73" i="107"/>
  <c r="K73" i="107"/>
  <c r="L73" i="107"/>
  <c r="M73" i="107"/>
  <c r="N73" i="107"/>
  <c r="D74" i="107"/>
  <c r="E74" i="107"/>
  <c r="F74" i="107"/>
  <c r="G74" i="107"/>
  <c r="H74" i="107"/>
  <c r="I74" i="107"/>
  <c r="J74" i="107"/>
  <c r="K74" i="107"/>
  <c r="L74" i="107"/>
  <c r="M74" i="107"/>
  <c r="N74" i="107"/>
  <c r="D75" i="107"/>
  <c r="E75" i="107"/>
  <c r="F75" i="107"/>
  <c r="G75" i="107"/>
  <c r="H75" i="107"/>
  <c r="I75" i="107"/>
  <c r="J75" i="107"/>
  <c r="K75" i="107"/>
  <c r="L75" i="107"/>
  <c r="M75" i="107"/>
  <c r="N75" i="107"/>
  <c r="D76" i="107"/>
  <c r="E76" i="107"/>
  <c r="F76" i="107"/>
  <c r="G76" i="107"/>
  <c r="H76" i="107"/>
  <c r="I76" i="107"/>
  <c r="J76" i="107"/>
  <c r="K76" i="107"/>
  <c r="L76" i="107"/>
  <c r="M76" i="107"/>
  <c r="N76" i="107"/>
  <c r="D77" i="107"/>
  <c r="E77" i="107"/>
  <c r="F77" i="107"/>
  <c r="G77" i="107"/>
  <c r="H77" i="107"/>
  <c r="I77" i="107"/>
  <c r="J77" i="107"/>
  <c r="K77" i="107"/>
  <c r="L77" i="107"/>
  <c r="M77" i="107"/>
  <c r="N77" i="107"/>
  <c r="D78" i="107"/>
  <c r="E78" i="107"/>
  <c r="F78" i="107"/>
  <c r="G78" i="107"/>
  <c r="H78" i="107"/>
  <c r="I78" i="107"/>
  <c r="J78" i="107"/>
  <c r="K78" i="107"/>
  <c r="L78" i="107"/>
  <c r="M78" i="107"/>
  <c r="N78" i="107"/>
  <c r="D79" i="107"/>
  <c r="E79" i="107"/>
  <c r="F79" i="107"/>
  <c r="G79" i="107"/>
  <c r="H79" i="107"/>
  <c r="I79" i="107"/>
  <c r="J79" i="107"/>
  <c r="K79" i="107"/>
  <c r="L79" i="107"/>
  <c r="M79" i="107"/>
  <c r="N79" i="107"/>
  <c r="D80" i="107"/>
  <c r="E80" i="107"/>
  <c r="F80" i="107"/>
  <c r="G80" i="107"/>
  <c r="H80" i="107"/>
  <c r="I80" i="107"/>
  <c r="J80" i="107"/>
  <c r="K80" i="107"/>
  <c r="L80" i="107"/>
  <c r="M80" i="107"/>
  <c r="N80" i="107"/>
  <c r="D81" i="107"/>
  <c r="E81" i="107"/>
  <c r="F81" i="107"/>
  <c r="G81" i="107"/>
  <c r="H81" i="107"/>
  <c r="I81" i="107"/>
  <c r="J81" i="107"/>
  <c r="K81" i="107"/>
  <c r="L81" i="107"/>
  <c r="M81" i="107"/>
  <c r="N81" i="107"/>
  <c r="D82" i="107"/>
  <c r="E82" i="107"/>
  <c r="F82" i="107"/>
  <c r="G82" i="107"/>
  <c r="H82" i="107"/>
  <c r="I82" i="107"/>
  <c r="J82" i="107"/>
  <c r="K82" i="107"/>
  <c r="L82" i="107"/>
  <c r="M82" i="107"/>
  <c r="N82" i="107"/>
  <c r="D83" i="107"/>
  <c r="E83" i="107"/>
  <c r="F83" i="107"/>
  <c r="G83" i="107"/>
  <c r="H83" i="107"/>
  <c r="I83" i="107"/>
  <c r="J83" i="107"/>
  <c r="K83" i="107"/>
  <c r="L83" i="107"/>
  <c r="M83" i="107"/>
  <c r="N83" i="107"/>
  <c r="D84" i="107"/>
  <c r="E84" i="107"/>
  <c r="F84" i="107"/>
  <c r="G84" i="107"/>
  <c r="H84" i="107"/>
  <c r="I84" i="107"/>
  <c r="J84" i="107"/>
  <c r="K84" i="107"/>
  <c r="L84" i="107"/>
  <c r="M84" i="107"/>
  <c r="N84" i="107"/>
  <c r="D85" i="107"/>
  <c r="E85" i="107"/>
  <c r="F85" i="107"/>
  <c r="G85" i="107"/>
  <c r="H85" i="107"/>
  <c r="I85" i="107"/>
  <c r="J85" i="107"/>
  <c r="K85" i="107"/>
  <c r="L85" i="107"/>
  <c r="M85" i="107"/>
  <c r="N85" i="107"/>
  <c r="D86" i="107"/>
  <c r="E86" i="107"/>
  <c r="F86" i="107"/>
  <c r="G86" i="107"/>
  <c r="H86" i="107"/>
  <c r="I86" i="107"/>
  <c r="J86" i="107"/>
  <c r="K86" i="107"/>
  <c r="L86" i="107"/>
  <c r="M86" i="107"/>
  <c r="N86" i="107"/>
  <c r="D87" i="107"/>
  <c r="E87" i="107"/>
  <c r="F87" i="107"/>
  <c r="G87" i="107"/>
  <c r="H87" i="107"/>
  <c r="I87" i="107"/>
  <c r="J87" i="107"/>
  <c r="K87" i="107"/>
  <c r="L87" i="107"/>
  <c r="M87" i="107"/>
  <c r="N87" i="107"/>
  <c r="D88" i="107"/>
  <c r="E88" i="107"/>
  <c r="F88" i="107"/>
  <c r="G88" i="107"/>
  <c r="H88" i="107"/>
  <c r="I88" i="107"/>
  <c r="J88" i="107"/>
  <c r="K88" i="107"/>
  <c r="L88" i="107"/>
  <c r="M88" i="107"/>
  <c r="N88" i="107"/>
  <c r="D89" i="107"/>
  <c r="E89" i="107"/>
  <c r="F89" i="107"/>
  <c r="G89" i="107"/>
  <c r="H89" i="107"/>
  <c r="I89" i="107"/>
  <c r="J89" i="107"/>
  <c r="K89" i="107"/>
  <c r="L89" i="107"/>
  <c r="M89" i="107"/>
  <c r="N89" i="107"/>
  <c r="D90" i="107"/>
  <c r="E90" i="107"/>
  <c r="F90" i="107"/>
  <c r="G90" i="107"/>
  <c r="H90" i="107"/>
  <c r="I90" i="107"/>
  <c r="J90" i="107"/>
  <c r="K90" i="107"/>
  <c r="L90" i="107"/>
  <c r="M90" i="107"/>
  <c r="N90" i="107"/>
  <c r="D91" i="107"/>
  <c r="E91" i="107"/>
  <c r="F91" i="107"/>
  <c r="G91" i="107"/>
  <c r="H91" i="107"/>
  <c r="I91" i="107"/>
  <c r="J91" i="107"/>
  <c r="K91" i="107"/>
  <c r="L91" i="107"/>
  <c r="M91" i="107"/>
  <c r="N91" i="107"/>
  <c r="D92" i="107"/>
  <c r="E92" i="107"/>
  <c r="F92" i="107"/>
  <c r="G92" i="107"/>
  <c r="H92" i="107"/>
  <c r="I92" i="107"/>
  <c r="J92" i="107"/>
  <c r="K92" i="107"/>
  <c r="L92" i="107"/>
  <c r="M92" i="107"/>
  <c r="N92" i="107"/>
  <c r="D93" i="107"/>
  <c r="E93" i="107"/>
  <c r="F93" i="107"/>
  <c r="G93" i="107"/>
  <c r="H93" i="107"/>
  <c r="I93" i="107"/>
  <c r="J93" i="107"/>
  <c r="K93" i="107"/>
  <c r="L93" i="107"/>
  <c r="M93" i="107"/>
  <c r="N93" i="107"/>
  <c r="D94" i="107"/>
  <c r="E94" i="107"/>
  <c r="F94" i="107"/>
  <c r="G94" i="107"/>
  <c r="H94" i="107"/>
  <c r="I94" i="107"/>
  <c r="J94" i="107"/>
  <c r="K94" i="107"/>
  <c r="L94" i="107"/>
  <c r="M94" i="107"/>
  <c r="N94" i="107"/>
  <c r="D95" i="107"/>
  <c r="E95" i="107"/>
  <c r="F95" i="107"/>
  <c r="G95" i="107"/>
  <c r="H95" i="107"/>
  <c r="I95" i="107"/>
  <c r="J95" i="107"/>
  <c r="K95" i="107"/>
  <c r="L95" i="107"/>
  <c r="M95" i="107"/>
  <c r="N95" i="107"/>
  <c r="D96" i="107"/>
  <c r="E96" i="107"/>
  <c r="F96" i="107"/>
  <c r="G96" i="107"/>
  <c r="H96" i="107"/>
  <c r="I96" i="107"/>
  <c r="J96" i="107"/>
  <c r="K96" i="107"/>
  <c r="L96" i="107"/>
  <c r="M96" i="107"/>
  <c r="N96" i="107"/>
  <c r="D97" i="107"/>
  <c r="E97" i="107"/>
  <c r="F97" i="107"/>
  <c r="G97" i="107"/>
  <c r="H97" i="107"/>
  <c r="I97" i="107"/>
  <c r="J97" i="107"/>
  <c r="K97" i="107"/>
  <c r="L97" i="107"/>
  <c r="M97" i="107"/>
  <c r="N97" i="107"/>
  <c r="D98" i="107"/>
  <c r="E98" i="107"/>
  <c r="F98" i="107"/>
  <c r="G98" i="107"/>
  <c r="H98" i="107"/>
  <c r="I98" i="107"/>
  <c r="J98" i="107"/>
  <c r="K98" i="107"/>
  <c r="L98" i="107"/>
  <c r="M98" i="107"/>
  <c r="N98" i="107"/>
  <c r="D99" i="107"/>
  <c r="E99" i="107"/>
  <c r="F99" i="107"/>
  <c r="G99" i="107"/>
  <c r="H99" i="107"/>
  <c r="I99" i="107"/>
  <c r="J99" i="107"/>
  <c r="K99" i="107"/>
  <c r="L99" i="107"/>
  <c r="M99" i="107"/>
  <c r="N99" i="107"/>
  <c r="D100" i="107"/>
  <c r="E100" i="107"/>
  <c r="F100" i="107"/>
  <c r="G100" i="107"/>
  <c r="H100" i="107"/>
  <c r="I100" i="107"/>
  <c r="J100" i="107"/>
  <c r="K100" i="107"/>
  <c r="L100" i="107"/>
  <c r="M100" i="107"/>
  <c r="N100" i="107"/>
  <c r="D101" i="107"/>
  <c r="E101" i="107"/>
  <c r="F101" i="107"/>
  <c r="G101" i="107"/>
  <c r="H101" i="107"/>
  <c r="I101" i="107"/>
  <c r="J101" i="107"/>
  <c r="K101" i="107"/>
  <c r="L101" i="107"/>
  <c r="M101" i="107"/>
  <c r="N101" i="107"/>
  <c r="D102" i="107"/>
  <c r="E102" i="107"/>
  <c r="F102" i="107"/>
  <c r="G102" i="107"/>
  <c r="H102" i="107"/>
  <c r="I102" i="107"/>
  <c r="J102" i="107"/>
  <c r="K102" i="107"/>
  <c r="L102" i="107"/>
  <c r="M102" i="107"/>
  <c r="N102" i="107"/>
  <c r="D103" i="107"/>
  <c r="E103" i="107"/>
  <c r="F103" i="107"/>
  <c r="G103" i="107"/>
  <c r="H103" i="107"/>
  <c r="I103" i="107"/>
  <c r="J103" i="107"/>
  <c r="K103" i="107"/>
  <c r="L103" i="107"/>
  <c r="M103" i="107"/>
  <c r="N103" i="107"/>
  <c r="D104" i="107"/>
  <c r="E104" i="107"/>
  <c r="F104" i="107"/>
  <c r="G104" i="107"/>
  <c r="H104" i="107"/>
  <c r="I104" i="107"/>
  <c r="J104" i="107"/>
  <c r="K104" i="107"/>
  <c r="L104" i="107"/>
  <c r="M104" i="107"/>
  <c r="N104" i="107"/>
  <c r="D105" i="107"/>
  <c r="E105" i="107"/>
  <c r="F105" i="107"/>
  <c r="G105" i="107"/>
  <c r="H105" i="107"/>
  <c r="I105" i="107"/>
  <c r="J105" i="107"/>
  <c r="K105" i="107"/>
  <c r="L105" i="107"/>
  <c r="M105" i="107"/>
  <c r="N105" i="107"/>
  <c r="C59" i="107"/>
  <c r="C60" i="107"/>
  <c r="C61" i="107"/>
  <c r="C62" i="107"/>
  <c r="C63" i="107"/>
  <c r="C64" i="107"/>
  <c r="C65" i="107"/>
  <c r="C66" i="107"/>
  <c r="C67" i="107"/>
  <c r="C68" i="107"/>
  <c r="C69" i="107"/>
  <c r="C70" i="107"/>
  <c r="C71" i="107"/>
  <c r="C72" i="107"/>
  <c r="C73" i="107"/>
  <c r="C74" i="107"/>
  <c r="C75" i="107"/>
  <c r="C76" i="107"/>
  <c r="C77" i="107"/>
  <c r="C78" i="107"/>
  <c r="C79" i="107"/>
  <c r="C80" i="107"/>
  <c r="C81" i="107"/>
  <c r="C82" i="107"/>
  <c r="C83" i="107"/>
  <c r="C84" i="107"/>
  <c r="C85" i="107"/>
  <c r="C86" i="107"/>
  <c r="C87" i="107"/>
  <c r="C88" i="107"/>
  <c r="C89" i="107"/>
  <c r="C90" i="107"/>
  <c r="C91" i="107"/>
  <c r="C92" i="107"/>
  <c r="C93" i="107"/>
  <c r="C94" i="107"/>
  <c r="C95" i="107"/>
  <c r="C96" i="107"/>
  <c r="C97" i="107"/>
  <c r="C98" i="107"/>
  <c r="C99" i="107"/>
  <c r="C100" i="107"/>
  <c r="C101" i="107"/>
  <c r="C102" i="107"/>
  <c r="C103" i="107"/>
  <c r="C104" i="107"/>
  <c r="C105" i="107"/>
  <c r="C58" i="107"/>
  <c r="P58" i="111" l="1"/>
  <c r="P74" i="111"/>
  <c r="P72" i="111"/>
  <c r="P70" i="111"/>
  <c r="P68" i="111"/>
  <c r="P66" i="111"/>
  <c r="P64" i="111"/>
  <c r="P62" i="111"/>
  <c r="P60" i="111"/>
  <c r="O75" i="111"/>
  <c r="O73" i="111"/>
  <c r="O71" i="111"/>
  <c r="O69" i="111"/>
  <c r="O67" i="111"/>
  <c r="O65" i="111"/>
  <c r="O63" i="111"/>
  <c r="O61" i="111"/>
  <c r="O59" i="111"/>
  <c r="O58" i="111"/>
  <c r="O62" i="111"/>
  <c r="O66" i="111"/>
  <c r="O70" i="111"/>
  <c r="O74" i="111"/>
  <c r="P104" i="111"/>
  <c r="O104" i="111"/>
  <c r="P102" i="111"/>
  <c r="O102" i="111"/>
  <c r="P100" i="111"/>
  <c r="O100" i="111"/>
  <c r="P98" i="111"/>
  <c r="O98" i="111"/>
  <c r="P96" i="111"/>
  <c r="O96" i="111"/>
  <c r="P94" i="111"/>
  <c r="O94" i="111"/>
  <c r="P92" i="111"/>
  <c r="O92" i="111"/>
  <c r="P90" i="111"/>
  <c r="O90" i="111"/>
  <c r="P88" i="111"/>
  <c r="O88" i="111"/>
  <c r="P86" i="111"/>
  <c r="O86" i="111"/>
  <c r="P84" i="111"/>
  <c r="O84" i="111"/>
  <c r="P82" i="111"/>
  <c r="O82" i="111"/>
  <c r="P80" i="111"/>
  <c r="O80" i="111"/>
  <c r="P78" i="111"/>
  <c r="O78" i="111"/>
  <c r="P76" i="111"/>
  <c r="O76" i="111"/>
  <c r="O105" i="111"/>
  <c r="O103" i="111"/>
  <c r="O101" i="111"/>
  <c r="O99" i="111"/>
  <c r="O97" i="111"/>
  <c r="O95" i="111"/>
  <c r="O93" i="111"/>
  <c r="O91" i="111"/>
  <c r="O89" i="111"/>
  <c r="O87" i="111"/>
  <c r="O85" i="111"/>
  <c r="O83" i="111"/>
  <c r="O81" i="111"/>
  <c r="O79" i="111"/>
  <c r="O77" i="111"/>
  <c r="O11" i="97"/>
  <c r="P15" i="96"/>
  <c r="O53" i="94"/>
  <c r="P53" i="94"/>
  <c r="O29" i="93"/>
  <c r="P29" i="93"/>
  <c r="K6" i="101" l="1"/>
  <c r="K6" i="109" s="1"/>
  <c r="K6" i="105" s="1"/>
  <c r="K6" i="103" s="1"/>
  <c r="K5" i="101"/>
  <c r="K5" i="109" s="1"/>
  <c r="K5" i="105" s="1"/>
  <c r="G5" i="98"/>
  <c r="G5" i="99" s="1"/>
  <c r="G5" i="100" s="1"/>
  <c r="G5" i="101" s="1"/>
  <c r="G5" i="109" s="1"/>
  <c r="G5" i="105" s="1"/>
  <c r="G5" i="110" s="1"/>
  <c r="G5" i="103" s="1"/>
  <c r="G5" i="97"/>
  <c r="K6" i="96"/>
  <c r="K5" i="96"/>
  <c r="G5" i="96"/>
  <c r="G5" i="95"/>
  <c r="K6" i="94"/>
  <c r="G5" i="94"/>
  <c r="G6" i="108"/>
  <c r="G6" i="103"/>
  <c r="G6" i="107" s="1"/>
  <c r="G6" i="105"/>
  <c r="G6" i="99"/>
  <c r="G6" i="97"/>
  <c r="G6" i="95"/>
  <c r="D6" i="108"/>
  <c r="D6" i="103"/>
  <c r="D6" i="107" s="1"/>
  <c r="D6" i="105"/>
  <c r="D6" i="99"/>
  <c r="D6" i="97"/>
  <c r="D6" i="95"/>
  <c r="D5" i="104"/>
  <c r="D5" i="110"/>
  <c r="D5" i="100"/>
  <c r="D5" i="98"/>
  <c r="D5" i="96"/>
  <c r="D5" i="94"/>
  <c r="K5" i="107" l="1"/>
  <c r="K5" i="108"/>
  <c r="K5" i="111" s="1"/>
  <c r="K6" i="104"/>
  <c r="K6" i="108" s="1"/>
  <c r="K6" i="111" s="1"/>
  <c r="K6" i="107"/>
  <c r="G5" i="107"/>
  <c r="G5" i="104"/>
  <c r="G5" i="108" s="1"/>
  <c r="G5" i="111" s="1"/>
  <c r="AC33" i="110"/>
  <c r="AA33" i="110"/>
  <c r="Y33" i="110"/>
  <c r="W33" i="110"/>
  <c r="U33" i="110"/>
  <c r="S33" i="110"/>
  <c r="AA32" i="110"/>
  <c r="W32" i="110"/>
  <c r="S32" i="110"/>
  <c r="AC31" i="110"/>
  <c r="AA31" i="110"/>
  <c r="Y31" i="110"/>
  <c r="W31" i="110"/>
  <c r="U31" i="110"/>
  <c r="S31" i="110"/>
  <c r="AA30" i="110"/>
  <c r="W30" i="110"/>
  <c r="S30" i="110"/>
  <c r="AC29" i="110"/>
  <c r="AA29" i="110"/>
  <c r="Y29" i="110"/>
  <c r="W29" i="110"/>
  <c r="U29" i="110"/>
  <c r="S29" i="110"/>
  <c r="AA28" i="110"/>
  <c r="W28" i="110"/>
  <c r="S28" i="110"/>
  <c r="AC27" i="110"/>
  <c r="AA27" i="110"/>
  <c r="Y27" i="110"/>
  <c r="W27" i="110"/>
  <c r="U27" i="110"/>
  <c r="S27" i="110"/>
  <c r="AA26" i="110"/>
  <c r="W26" i="110"/>
  <c r="S26" i="110"/>
  <c r="AC25" i="110"/>
  <c r="AA25" i="110"/>
  <c r="Y25" i="110"/>
  <c r="W25" i="110"/>
  <c r="U25" i="110"/>
  <c r="S25" i="110"/>
  <c r="AA24" i="110"/>
  <c r="W24" i="110"/>
  <c r="S24" i="110"/>
  <c r="AC23" i="110"/>
  <c r="AA23" i="110"/>
  <c r="Y23" i="110"/>
  <c r="W23" i="110"/>
  <c r="U23" i="110"/>
  <c r="S23" i="110"/>
  <c r="AA22" i="110"/>
  <c r="W22" i="110"/>
  <c r="S22" i="110"/>
  <c r="AA21" i="110"/>
  <c r="W21" i="110"/>
  <c r="S21" i="110"/>
  <c r="AA20" i="110"/>
  <c r="W20" i="110"/>
  <c r="S20" i="110"/>
  <c r="AA19" i="110"/>
  <c r="W19" i="110"/>
  <c r="S19" i="110"/>
  <c r="AA18" i="110"/>
  <c r="Y18" i="110"/>
  <c r="W18" i="110"/>
  <c r="U18" i="110"/>
  <c r="S18" i="110"/>
  <c r="AC17" i="110"/>
  <c r="AB17" i="110"/>
  <c r="AA17" i="110"/>
  <c r="Z17" i="110"/>
  <c r="Y17" i="110"/>
  <c r="X17" i="110"/>
  <c r="W17" i="110"/>
  <c r="V17" i="110"/>
  <c r="U17" i="110"/>
  <c r="T17" i="110"/>
  <c r="AD16" i="110"/>
  <c r="AC16" i="110"/>
  <c r="AB16" i="110"/>
  <c r="AA16" i="110"/>
  <c r="Z16" i="110"/>
  <c r="Y16" i="110"/>
  <c r="X16" i="110"/>
  <c r="W16" i="110"/>
  <c r="V16" i="110"/>
  <c r="U16" i="110"/>
  <c r="T16" i="110"/>
  <c r="S16" i="110"/>
  <c r="AD17" i="110"/>
  <c r="AC33" i="109"/>
  <c r="AA33" i="109"/>
  <c r="Y33" i="109"/>
  <c r="W33" i="109"/>
  <c r="U33" i="109"/>
  <c r="AA32" i="109"/>
  <c r="Y32" i="109"/>
  <c r="W32" i="109"/>
  <c r="U32" i="109"/>
  <c r="S32" i="109"/>
  <c r="AC31" i="109"/>
  <c r="AA31" i="109"/>
  <c r="Y31" i="109"/>
  <c r="W31" i="109"/>
  <c r="U31" i="109"/>
  <c r="AC30" i="109"/>
  <c r="AA30" i="109"/>
  <c r="Y30" i="109"/>
  <c r="W30" i="109"/>
  <c r="U30" i="109"/>
  <c r="S30" i="109"/>
  <c r="AC29" i="109"/>
  <c r="AA29" i="109"/>
  <c r="Y29" i="109"/>
  <c r="W29" i="109"/>
  <c r="U29" i="109"/>
  <c r="AC28" i="109"/>
  <c r="AA28" i="109"/>
  <c r="Y28" i="109"/>
  <c r="W28" i="109"/>
  <c r="U28" i="109"/>
  <c r="S28" i="109"/>
  <c r="AC27" i="109"/>
  <c r="AA27" i="109"/>
  <c r="Y27" i="109"/>
  <c r="W27" i="109"/>
  <c r="U27" i="109"/>
  <c r="AC26" i="109"/>
  <c r="AA26" i="109"/>
  <c r="Y26" i="109"/>
  <c r="W26" i="109"/>
  <c r="U26" i="109"/>
  <c r="S26" i="109"/>
  <c r="AC25" i="109"/>
  <c r="AA25" i="109"/>
  <c r="Y25" i="109"/>
  <c r="W25" i="109"/>
  <c r="U25" i="109"/>
  <c r="AC24" i="109"/>
  <c r="AA24" i="109"/>
  <c r="Y24" i="109"/>
  <c r="W24" i="109"/>
  <c r="U24" i="109"/>
  <c r="S24" i="109"/>
  <c r="AC23" i="109"/>
  <c r="AA23" i="109"/>
  <c r="Y23" i="109"/>
  <c r="W23" i="109"/>
  <c r="U23" i="109"/>
  <c r="AC22" i="109"/>
  <c r="AA22" i="109"/>
  <c r="Y22" i="109"/>
  <c r="W22" i="109"/>
  <c r="S22" i="109"/>
  <c r="AC21" i="109"/>
  <c r="AA21" i="109"/>
  <c r="Y21" i="109"/>
  <c r="W21" i="109"/>
  <c r="U21" i="109"/>
  <c r="S21" i="109"/>
  <c r="AC20" i="109"/>
  <c r="AA20" i="109"/>
  <c r="Y20" i="109"/>
  <c r="W20" i="109"/>
  <c r="U20" i="109"/>
  <c r="S20" i="109"/>
  <c r="AC19" i="109"/>
  <c r="AC39" i="109" s="1"/>
  <c r="AA19" i="109"/>
  <c r="Y19" i="109"/>
  <c r="Y39" i="109" s="1"/>
  <c r="W19" i="109"/>
  <c r="U19" i="109"/>
  <c r="U39" i="109" s="1"/>
  <c r="S19" i="109"/>
  <c r="AC18" i="109"/>
  <c r="AA18" i="109"/>
  <c r="Y18" i="109"/>
  <c r="W18" i="109"/>
  <c r="U18" i="109"/>
  <c r="S18" i="109"/>
  <c r="AB17" i="109"/>
  <c r="AA17" i="109"/>
  <c r="Z17" i="109"/>
  <c r="Y17" i="109"/>
  <c r="X17" i="109"/>
  <c r="W17" i="109"/>
  <c r="V17" i="109"/>
  <c r="U17" i="109"/>
  <c r="T17" i="109"/>
  <c r="AD16" i="109"/>
  <c r="AC16" i="109"/>
  <c r="AB16" i="109"/>
  <c r="AA16" i="109"/>
  <c r="Z16" i="109"/>
  <c r="Y16" i="109"/>
  <c r="X16" i="109"/>
  <c r="W16" i="109"/>
  <c r="V16" i="109"/>
  <c r="U16" i="109"/>
  <c r="T16" i="109"/>
  <c r="Z15" i="109"/>
  <c r="AD14" i="109"/>
  <c r="AD17" i="109"/>
  <c r="C3" i="109"/>
  <c r="C3" i="104"/>
  <c r="C3" i="103"/>
  <c r="C3" i="105"/>
  <c r="C3" i="100"/>
  <c r="C3" i="99"/>
  <c r="C3" i="98"/>
  <c r="C3" i="97"/>
  <c r="C3" i="96"/>
  <c r="C3" i="95"/>
  <c r="AC33" i="105"/>
  <c r="AB33" i="105"/>
  <c r="Z33" i="105"/>
  <c r="Y33" i="105"/>
  <c r="X33" i="105"/>
  <c r="W33" i="105"/>
  <c r="V33" i="105"/>
  <c r="U33" i="105"/>
  <c r="T33" i="105"/>
  <c r="AD32" i="105"/>
  <c r="AC32" i="105"/>
  <c r="AB32" i="105"/>
  <c r="AA32" i="105"/>
  <c r="Z32" i="105"/>
  <c r="Y32" i="105"/>
  <c r="X32" i="105"/>
  <c r="W32" i="105"/>
  <c r="V32" i="105"/>
  <c r="U32" i="105"/>
  <c r="T32" i="105"/>
  <c r="AD31" i="105"/>
  <c r="AC31" i="105"/>
  <c r="AB31" i="105"/>
  <c r="AA31" i="105"/>
  <c r="Z31" i="105"/>
  <c r="Y31" i="105"/>
  <c r="X31" i="105"/>
  <c r="W31" i="105"/>
  <c r="V31" i="105"/>
  <c r="U31" i="105"/>
  <c r="T31" i="105"/>
  <c r="AD30" i="105"/>
  <c r="AC30" i="105"/>
  <c r="AB30" i="105"/>
  <c r="AA30" i="105"/>
  <c r="Z30" i="105"/>
  <c r="Y30" i="105"/>
  <c r="X30" i="105"/>
  <c r="W30" i="105"/>
  <c r="V30" i="105"/>
  <c r="U30" i="105"/>
  <c r="T30" i="105"/>
  <c r="AC29" i="105"/>
  <c r="AB29" i="105"/>
  <c r="AA29" i="105"/>
  <c r="Z29" i="105"/>
  <c r="Y29" i="105"/>
  <c r="X29" i="105"/>
  <c r="W29" i="105"/>
  <c r="V29" i="105"/>
  <c r="U29" i="105"/>
  <c r="T29" i="105"/>
  <c r="AD28" i="105"/>
  <c r="AC28" i="105"/>
  <c r="AB28" i="105"/>
  <c r="AA28" i="105"/>
  <c r="Z28" i="105"/>
  <c r="Y28" i="105"/>
  <c r="X28" i="105"/>
  <c r="W28" i="105"/>
  <c r="V28" i="105"/>
  <c r="U28" i="105"/>
  <c r="T28" i="105"/>
  <c r="AD27" i="105"/>
  <c r="AC27" i="105"/>
  <c r="AB27" i="105"/>
  <c r="AA27" i="105"/>
  <c r="Z27" i="105"/>
  <c r="Y27" i="105"/>
  <c r="X27" i="105"/>
  <c r="W27" i="105"/>
  <c r="V27" i="105"/>
  <c r="U27" i="105"/>
  <c r="T27" i="105"/>
  <c r="AD26" i="105"/>
  <c r="AC26" i="105"/>
  <c r="AB26" i="105"/>
  <c r="AA26" i="105"/>
  <c r="Z26" i="105"/>
  <c r="Y26" i="105"/>
  <c r="X26" i="105"/>
  <c r="W26" i="105"/>
  <c r="V26" i="105"/>
  <c r="U26" i="105"/>
  <c r="T26" i="105"/>
  <c r="AD25" i="105"/>
  <c r="AC25" i="105"/>
  <c r="AB25" i="105"/>
  <c r="AA25" i="105"/>
  <c r="Z25" i="105"/>
  <c r="Y25" i="105"/>
  <c r="X25" i="105"/>
  <c r="W25" i="105"/>
  <c r="V25" i="105"/>
  <c r="U25" i="105"/>
  <c r="T25" i="105"/>
  <c r="AD24" i="105"/>
  <c r="AC24" i="105"/>
  <c r="AB24" i="105"/>
  <c r="AA24" i="105"/>
  <c r="Z24" i="105"/>
  <c r="X24" i="105"/>
  <c r="W24" i="105"/>
  <c r="V24" i="105"/>
  <c r="U24" i="105"/>
  <c r="T24" i="105"/>
  <c r="AD23" i="105"/>
  <c r="AC23" i="105"/>
  <c r="AB23" i="105"/>
  <c r="AA23" i="105"/>
  <c r="Z23" i="105"/>
  <c r="Y23" i="105"/>
  <c r="X23" i="105"/>
  <c r="V23" i="105"/>
  <c r="U23" i="105"/>
  <c r="AD22" i="105"/>
  <c r="AC22" i="105"/>
  <c r="AB22" i="105"/>
  <c r="AA22" i="105"/>
  <c r="Z22" i="105"/>
  <c r="Y22" i="105"/>
  <c r="X22" i="105"/>
  <c r="W22" i="105"/>
  <c r="V22" i="105"/>
  <c r="U22" i="105"/>
  <c r="T22" i="105"/>
  <c r="S22" i="105"/>
  <c r="AD21" i="105"/>
  <c r="AC21" i="105"/>
  <c r="AB21" i="105"/>
  <c r="AA21" i="105"/>
  <c r="Z21" i="105"/>
  <c r="Y21" i="105"/>
  <c r="X21" i="105"/>
  <c r="W21" i="105"/>
  <c r="V21" i="105"/>
  <c r="U21" i="105"/>
  <c r="T21" i="105"/>
  <c r="AD20" i="105"/>
  <c r="AC20" i="105"/>
  <c r="AA20" i="105"/>
  <c r="Z20" i="105"/>
  <c r="Y20" i="105"/>
  <c r="X20" i="105"/>
  <c r="W20" i="105"/>
  <c r="V20" i="105"/>
  <c r="S20" i="105"/>
  <c r="AD19" i="105"/>
  <c r="AD39" i="105" s="1"/>
  <c r="AC19" i="105"/>
  <c r="AB19" i="105"/>
  <c r="AA19" i="105"/>
  <c r="AA39" i="105" s="1"/>
  <c r="Z19" i="105"/>
  <c r="Z39" i="105" s="1"/>
  <c r="Y19" i="105"/>
  <c r="X19" i="105"/>
  <c r="X39" i="105" s="1"/>
  <c r="W19" i="105"/>
  <c r="W39" i="105" s="1"/>
  <c r="V19" i="105"/>
  <c r="V39" i="105" s="1"/>
  <c r="U19" i="105"/>
  <c r="T19" i="105"/>
  <c r="S19" i="105"/>
  <c r="AD18" i="105"/>
  <c r="AC18" i="105"/>
  <c r="AB18" i="105"/>
  <c r="AA18" i="105"/>
  <c r="Z18" i="105"/>
  <c r="Y18" i="105"/>
  <c r="X18" i="105"/>
  <c r="W18" i="105"/>
  <c r="V18" i="105"/>
  <c r="U18" i="105"/>
  <c r="T18" i="105"/>
  <c r="S18" i="105"/>
  <c r="AD17" i="105"/>
  <c r="AC17" i="105"/>
  <c r="AB17" i="105"/>
  <c r="AA17" i="105"/>
  <c r="Z17" i="105"/>
  <c r="Y17" i="105"/>
  <c r="X17" i="105"/>
  <c r="W17" i="105"/>
  <c r="V17" i="105"/>
  <c r="U17" i="105"/>
  <c r="T17" i="105"/>
  <c r="S17" i="105"/>
  <c r="AD16" i="105"/>
  <c r="AC16" i="105"/>
  <c r="AB16" i="105"/>
  <c r="AA16" i="105"/>
  <c r="Z16" i="105"/>
  <c r="Y16" i="105"/>
  <c r="X16" i="105"/>
  <c r="W16" i="105"/>
  <c r="V16" i="105"/>
  <c r="U16" i="105"/>
  <c r="T16" i="105"/>
  <c r="S16" i="105"/>
  <c r="AD33" i="105"/>
  <c r="X12" i="105"/>
  <c r="AB11" i="105"/>
  <c r="X11" i="105"/>
  <c r="T11" i="105"/>
  <c r="AA21" i="104"/>
  <c r="AC20" i="104"/>
  <c r="AA20" i="104"/>
  <c r="Y20" i="104"/>
  <c r="W20" i="104"/>
  <c r="U20" i="104"/>
  <c r="AA19" i="104"/>
  <c r="AC18" i="104"/>
  <c r="AA18" i="104"/>
  <c r="Y18" i="104"/>
  <c r="W18" i="104"/>
  <c r="U18" i="104"/>
  <c r="AA17" i="104"/>
  <c r="AC16" i="104"/>
  <c r="AA16" i="104"/>
  <c r="Y16" i="104"/>
  <c r="W16" i="104"/>
  <c r="U16" i="104"/>
  <c r="AA15" i="104"/>
  <c r="AD14" i="104"/>
  <c r="AC14" i="104"/>
  <c r="AB14" i="104"/>
  <c r="AA14" i="104"/>
  <c r="Z14" i="104"/>
  <c r="Y14" i="104"/>
  <c r="X14" i="104"/>
  <c r="W14" i="104"/>
  <c r="V14" i="104"/>
  <c r="U14" i="104"/>
  <c r="S14" i="104"/>
  <c r="AC13" i="104"/>
  <c r="AA13" i="104"/>
  <c r="Y13" i="104"/>
  <c r="W13" i="104"/>
  <c r="U13" i="104"/>
  <c r="AD12" i="104"/>
  <c r="Z12" i="104"/>
  <c r="V12" i="104"/>
  <c r="AD11" i="104"/>
  <c r="Z11" i="104"/>
  <c r="V11" i="104"/>
  <c r="AB16" i="103"/>
  <c r="Z16" i="103"/>
  <c r="X16" i="103"/>
  <c r="V16" i="103"/>
  <c r="T16" i="103"/>
  <c r="AD15" i="103"/>
  <c r="AB15" i="103"/>
  <c r="Z15" i="103"/>
  <c r="X15" i="103"/>
  <c r="V15" i="103"/>
  <c r="T15" i="103"/>
  <c r="AD14" i="103"/>
  <c r="AC14" i="103"/>
  <c r="AA14" i="103"/>
  <c r="Z14" i="103"/>
  <c r="Y14" i="103"/>
  <c r="W14" i="103"/>
  <c r="V14" i="103"/>
  <c r="U14" i="103"/>
  <c r="AD13" i="103"/>
  <c r="Z13" i="103"/>
  <c r="V13" i="103"/>
  <c r="AD21" i="103"/>
  <c r="AC21" i="103"/>
  <c r="AB21" i="103"/>
  <c r="AA21" i="103"/>
  <c r="Z21" i="103"/>
  <c r="Y21" i="103"/>
  <c r="X21" i="103"/>
  <c r="W21" i="103"/>
  <c r="V21" i="103"/>
  <c r="U21" i="103"/>
  <c r="T21" i="103"/>
  <c r="S21" i="103"/>
  <c r="AD20" i="103"/>
  <c r="AC20" i="103"/>
  <c r="AB20" i="103"/>
  <c r="AA20" i="103"/>
  <c r="Z20" i="103"/>
  <c r="Y20" i="103"/>
  <c r="X20" i="103"/>
  <c r="W20" i="103"/>
  <c r="V20" i="103"/>
  <c r="U20" i="103"/>
  <c r="T20" i="103"/>
  <c r="S20" i="103"/>
  <c r="AD19" i="103"/>
  <c r="AD27" i="103" s="1"/>
  <c r="AC19" i="103"/>
  <c r="AB19" i="103"/>
  <c r="AB27" i="103" s="1"/>
  <c r="AA19" i="103"/>
  <c r="AA27" i="103" s="1"/>
  <c r="Z19" i="103"/>
  <c r="Z27" i="103" s="1"/>
  <c r="Y19" i="103"/>
  <c r="Y27" i="103" s="1"/>
  <c r="X19" i="103"/>
  <c r="X27" i="103" s="1"/>
  <c r="W19" i="103"/>
  <c r="W27" i="103" s="1"/>
  <c r="V19" i="103"/>
  <c r="V27" i="103" s="1"/>
  <c r="U19" i="103"/>
  <c r="U24" i="103" s="1"/>
  <c r="T19" i="103"/>
  <c r="T27" i="103" s="1"/>
  <c r="S19" i="103"/>
  <c r="S27" i="103" s="1"/>
  <c r="AD18" i="103"/>
  <c r="AC18" i="103"/>
  <c r="AB18" i="103"/>
  <c r="AA18" i="103"/>
  <c r="Z18" i="103"/>
  <c r="Y18" i="103"/>
  <c r="X18" i="103"/>
  <c r="W18" i="103"/>
  <c r="V18" i="103"/>
  <c r="U18" i="103"/>
  <c r="T18" i="103"/>
  <c r="S18" i="103"/>
  <c r="AD12" i="103"/>
  <c r="AC12" i="103"/>
  <c r="AB12" i="103"/>
  <c r="AA12" i="103"/>
  <c r="Z12" i="103"/>
  <c r="Y12" i="103"/>
  <c r="X12" i="103"/>
  <c r="W12" i="103"/>
  <c r="V12" i="103"/>
  <c r="U12" i="103"/>
  <c r="T12" i="103"/>
  <c r="AD17" i="103"/>
  <c r="AC17" i="103"/>
  <c r="AB17" i="103"/>
  <c r="AA17" i="103"/>
  <c r="Z17" i="103"/>
  <c r="Y17" i="103"/>
  <c r="X17" i="103"/>
  <c r="W17" i="103"/>
  <c r="V17" i="103"/>
  <c r="U17" i="103"/>
  <c r="T17" i="103"/>
  <c r="S17" i="103"/>
  <c r="AD16" i="103"/>
  <c r="AD21" i="101"/>
  <c r="AC21" i="101"/>
  <c r="AB21" i="101"/>
  <c r="AA21" i="101"/>
  <c r="Z21" i="101"/>
  <c r="Y21" i="101"/>
  <c r="W21" i="101"/>
  <c r="V21" i="101"/>
  <c r="U21" i="101"/>
  <c r="T21" i="101"/>
  <c r="S21" i="101"/>
  <c r="AD20" i="101"/>
  <c r="AC20" i="101"/>
  <c r="AB20" i="101"/>
  <c r="AA20" i="101"/>
  <c r="Z20" i="101"/>
  <c r="Y20" i="101"/>
  <c r="X20" i="101"/>
  <c r="W20" i="101"/>
  <c r="V20" i="101"/>
  <c r="U20" i="101"/>
  <c r="T20" i="101"/>
  <c r="S20" i="101"/>
  <c r="AD19" i="101"/>
  <c r="AC19" i="101"/>
  <c r="AB19" i="101"/>
  <c r="AA19" i="101"/>
  <c r="Z19" i="101"/>
  <c r="Y19" i="101"/>
  <c r="X19" i="101"/>
  <c r="W19" i="101"/>
  <c r="W39" i="101" s="1"/>
  <c r="V19" i="101"/>
  <c r="V39" i="101" s="1"/>
  <c r="U19" i="101"/>
  <c r="T19" i="101"/>
  <c r="S19" i="101"/>
  <c r="S39" i="101" s="1"/>
  <c r="AD18" i="101"/>
  <c r="AC18" i="101"/>
  <c r="AB18" i="101"/>
  <c r="AA18" i="101"/>
  <c r="Z18" i="101"/>
  <c r="Y18" i="101"/>
  <c r="X18" i="101"/>
  <c r="W18" i="101"/>
  <c r="V18" i="101"/>
  <c r="U18" i="101"/>
  <c r="T18" i="101"/>
  <c r="S18" i="101"/>
  <c r="AD17" i="101"/>
  <c r="AC17" i="101"/>
  <c r="AB17" i="101"/>
  <c r="AA17" i="101"/>
  <c r="Y17" i="101"/>
  <c r="X17" i="101"/>
  <c r="W17" i="101"/>
  <c r="V17" i="101"/>
  <c r="U17" i="101"/>
  <c r="T17" i="101"/>
  <c r="AD16" i="101"/>
  <c r="AC16" i="101"/>
  <c r="AB16" i="101"/>
  <c r="AA16" i="101"/>
  <c r="Z16" i="101"/>
  <c r="Y16" i="101"/>
  <c r="X16" i="101"/>
  <c r="W16" i="101"/>
  <c r="V16" i="101"/>
  <c r="U16" i="101"/>
  <c r="T16" i="101"/>
  <c r="S16" i="101"/>
  <c r="AD15" i="101"/>
  <c r="AC15" i="101"/>
  <c r="AB15" i="101"/>
  <c r="AA15" i="101"/>
  <c r="Z15" i="101"/>
  <c r="X15" i="101"/>
  <c r="W15" i="101"/>
  <c r="V15" i="101"/>
  <c r="T15" i="101"/>
  <c r="S15" i="101"/>
  <c r="AD14" i="101"/>
  <c r="AC14" i="101"/>
  <c r="AA14" i="101"/>
  <c r="Z14" i="101"/>
  <c r="W14" i="101"/>
  <c r="U14" i="101"/>
  <c r="AD13" i="101"/>
  <c r="AD38" i="101" s="1"/>
  <c r="V13" i="101"/>
  <c r="AA21" i="100"/>
  <c r="AC20" i="100"/>
  <c r="AA20" i="100"/>
  <c r="Y20" i="100"/>
  <c r="W20" i="100"/>
  <c r="AA19" i="100"/>
  <c r="AC18" i="100"/>
  <c r="AA18" i="100"/>
  <c r="Y18" i="100"/>
  <c r="W18" i="100"/>
  <c r="U18" i="100"/>
  <c r="AA17" i="100"/>
  <c r="AC16" i="100"/>
  <c r="Y16" i="100"/>
  <c r="W16" i="100"/>
  <c r="U16" i="100"/>
  <c r="AA15" i="100"/>
  <c r="AD14" i="100"/>
  <c r="AC14" i="100"/>
  <c r="AB14" i="100"/>
  <c r="AA14" i="100"/>
  <c r="Z14" i="100"/>
  <c r="X14" i="100"/>
  <c r="W14" i="100"/>
  <c r="V14" i="100"/>
  <c r="U14" i="100"/>
  <c r="S14" i="100"/>
  <c r="AC13" i="100"/>
  <c r="AA13" i="100"/>
  <c r="W13" i="100"/>
  <c r="U13" i="100"/>
  <c r="AB12" i="100"/>
  <c r="T12" i="100"/>
  <c r="AB11" i="100"/>
  <c r="X11" i="100"/>
  <c r="T11" i="100"/>
  <c r="AD21" i="99"/>
  <c r="AC21" i="99"/>
  <c r="AB21" i="99"/>
  <c r="AA21" i="99"/>
  <c r="Z21" i="99"/>
  <c r="Y21" i="99"/>
  <c r="X21" i="99"/>
  <c r="W21" i="99"/>
  <c r="V21" i="99"/>
  <c r="U21" i="99"/>
  <c r="T21" i="99"/>
  <c r="S21" i="99"/>
  <c r="AD20" i="99"/>
  <c r="AA20" i="99"/>
  <c r="Z20" i="99"/>
  <c r="W20" i="99"/>
  <c r="V20" i="99"/>
  <c r="U20" i="99"/>
  <c r="T20" i="99"/>
  <c r="S20" i="99"/>
  <c r="AD19" i="99"/>
  <c r="AD27" i="99" s="1"/>
  <c r="AC19" i="99"/>
  <c r="AB19" i="99"/>
  <c r="AA19" i="99"/>
  <c r="AA27" i="99" s="1"/>
  <c r="Z19" i="99"/>
  <c r="Y19" i="99"/>
  <c r="X19" i="99"/>
  <c r="W19" i="99"/>
  <c r="W27" i="99" s="1"/>
  <c r="V19" i="99"/>
  <c r="V27" i="99" s="1"/>
  <c r="U19" i="99"/>
  <c r="T19" i="99"/>
  <c r="T27" i="99" s="1"/>
  <c r="S19" i="99"/>
  <c r="S27" i="99" s="1"/>
  <c r="AD18" i="99"/>
  <c r="AC18" i="99"/>
  <c r="AB18" i="99"/>
  <c r="AA18" i="99"/>
  <c r="Z18" i="99"/>
  <c r="Y18" i="99"/>
  <c r="X18" i="99"/>
  <c r="W18" i="99"/>
  <c r="V18" i="99"/>
  <c r="U18" i="99"/>
  <c r="T18" i="99"/>
  <c r="S18" i="99"/>
  <c r="AD17" i="99"/>
  <c r="AC17" i="99"/>
  <c r="AB17" i="99"/>
  <c r="AA17" i="99"/>
  <c r="Z17" i="99"/>
  <c r="Y17" i="99"/>
  <c r="X17" i="99"/>
  <c r="W17" i="99"/>
  <c r="V17" i="99"/>
  <c r="U17" i="99"/>
  <c r="T17" i="99"/>
  <c r="S17" i="99"/>
  <c r="AD16" i="99"/>
  <c r="AC16" i="99"/>
  <c r="AB16" i="99"/>
  <c r="AA16" i="99"/>
  <c r="Z16" i="99"/>
  <c r="Y16" i="99"/>
  <c r="X16" i="99"/>
  <c r="V16" i="99"/>
  <c r="U16" i="99"/>
  <c r="T16" i="99"/>
  <c r="S16" i="99"/>
  <c r="AD15" i="99"/>
  <c r="AC15" i="99"/>
  <c r="AB15" i="99"/>
  <c r="AA15" i="99"/>
  <c r="Z15" i="99"/>
  <c r="Y15" i="99"/>
  <c r="X15" i="99"/>
  <c r="W15" i="99"/>
  <c r="V15" i="99"/>
  <c r="T15" i="99"/>
  <c r="S15" i="99"/>
  <c r="AD14" i="99"/>
  <c r="AC14" i="99"/>
  <c r="AA14" i="99"/>
  <c r="Z14" i="99"/>
  <c r="Y14" i="99"/>
  <c r="W14" i="99"/>
  <c r="U14" i="99"/>
  <c r="V13" i="99"/>
  <c r="AC21" i="98"/>
  <c r="AB21" i="98"/>
  <c r="AA21" i="98"/>
  <c r="Y21" i="98"/>
  <c r="X21" i="98"/>
  <c r="W21" i="98"/>
  <c r="U21" i="98"/>
  <c r="AC20" i="98"/>
  <c r="AB20" i="98"/>
  <c r="AA20" i="98"/>
  <c r="Z20" i="98"/>
  <c r="Y20" i="98"/>
  <c r="X20" i="98"/>
  <c r="V20" i="98"/>
  <c r="U20" i="98"/>
  <c r="T20" i="98"/>
  <c r="AD19" i="98"/>
  <c r="AC19" i="98"/>
  <c r="AA19" i="98"/>
  <c r="Y19" i="98"/>
  <c r="X19" i="98"/>
  <c r="W19" i="98"/>
  <c r="V19" i="98"/>
  <c r="U19" i="98"/>
  <c r="T19" i="98"/>
  <c r="AC18" i="98"/>
  <c r="AB18" i="98"/>
  <c r="AA18" i="98"/>
  <c r="Z18" i="98"/>
  <c r="Y18" i="98"/>
  <c r="X18" i="98"/>
  <c r="W18" i="98"/>
  <c r="U18" i="98"/>
  <c r="AD17" i="98"/>
  <c r="AC17" i="98"/>
  <c r="AA17" i="98"/>
  <c r="Z17" i="98"/>
  <c r="Y17" i="98"/>
  <c r="X17" i="98"/>
  <c r="W17" i="98"/>
  <c r="V17" i="98"/>
  <c r="U17" i="98"/>
  <c r="T17" i="98"/>
  <c r="AD16" i="98"/>
  <c r="AB16" i="98"/>
  <c r="AA16" i="98"/>
  <c r="Z16" i="98"/>
  <c r="Y16" i="98"/>
  <c r="X16" i="98"/>
  <c r="W16" i="98"/>
  <c r="V16" i="98"/>
  <c r="U16" i="98"/>
  <c r="T16" i="98"/>
  <c r="AD15" i="98"/>
  <c r="AC15" i="98"/>
  <c r="AB15" i="98"/>
  <c r="AA15" i="98"/>
  <c r="Z15" i="98"/>
  <c r="Y15" i="98"/>
  <c r="X15" i="98"/>
  <c r="W15" i="98"/>
  <c r="U15" i="98"/>
  <c r="T15" i="98"/>
  <c r="AD14" i="98"/>
  <c r="AC14" i="98"/>
  <c r="AB14" i="98"/>
  <c r="AA14" i="98"/>
  <c r="Z14" i="98"/>
  <c r="Y14" i="98"/>
  <c r="X14" i="98"/>
  <c r="W14" i="98"/>
  <c r="U14" i="98"/>
  <c r="T14" i="98"/>
  <c r="AC13" i="98"/>
  <c r="AB13" i="98"/>
  <c r="AA13" i="98"/>
  <c r="Z13" i="98"/>
  <c r="Y13" i="98"/>
  <c r="X13" i="98"/>
  <c r="W13" i="98"/>
  <c r="V13" i="98"/>
  <c r="U13" i="98"/>
  <c r="T13" i="98"/>
  <c r="AD21" i="98"/>
  <c r="AC18" i="97"/>
  <c r="AA18" i="97"/>
  <c r="Z18" i="97"/>
  <c r="Y18" i="97"/>
  <c r="X18" i="97"/>
  <c r="W18" i="97"/>
  <c r="V18" i="97"/>
  <c r="U18" i="97"/>
  <c r="T18" i="97"/>
  <c r="AD17" i="97"/>
  <c r="AC17" i="97"/>
  <c r="AB17" i="97"/>
  <c r="AA17" i="97"/>
  <c r="Z17" i="97"/>
  <c r="Y17" i="97"/>
  <c r="X17" i="97"/>
  <c r="V17" i="97"/>
  <c r="T17" i="97"/>
  <c r="S17" i="97"/>
  <c r="AB16" i="97"/>
  <c r="AA16" i="97"/>
  <c r="Z16" i="97"/>
  <c r="Y16" i="97"/>
  <c r="W16" i="97"/>
  <c r="V16" i="97"/>
  <c r="U16" i="97"/>
  <c r="T16" i="97"/>
  <c r="S16" i="97"/>
  <c r="AD15" i="97"/>
  <c r="AC15" i="97"/>
  <c r="AB15" i="97"/>
  <c r="AA15" i="97"/>
  <c r="Z15" i="97"/>
  <c r="X15" i="97"/>
  <c r="W15" i="97"/>
  <c r="V15" i="97"/>
  <c r="U15" i="97"/>
  <c r="T15" i="97"/>
  <c r="S15" i="97"/>
  <c r="AD14" i="97"/>
  <c r="AC14" i="97"/>
  <c r="AB14" i="97"/>
  <c r="AA14" i="97"/>
  <c r="Z14" i="97"/>
  <c r="Y14" i="97"/>
  <c r="X14" i="97"/>
  <c r="W14" i="97"/>
  <c r="U14" i="97"/>
  <c r="T14" i="97"/>
  <c r="S14" i="97"/>
  <c r="AD13" i="97"/>
  <c r="AC13" i="97"/>
  <c r="AB13" i="97"/>
  <c r="AA13" i="97"/>
  <c r="Z13" i="97"/>
  <c r="Y13" i="97"/>
  <c r="X13" i="97"/>
  <c r="W13" i="97"/>
  <c r="U13" i="97"/>
  <c r="T13" i="97"/>
  <c r="AD21" i="97"/>
  <c r="AC21" i="97"/>
  <c r="AB21" i="97"/>
  <c r="AA21" i="97"/>
  <c r="Z21" i="97"/>
  <c r="Y21" i="97"/>
  <c r="X21" i="97"/>
  <c r="W21" i="97"/>
  <c r="V21" i="97"/>
  <c r="U21" i="97"/>
  <c r="T21" i="97"/>
  <c r="S21" i="97"/>
  <c r="AD20" i="97"/>
  <c r="AC20" i="97"/>
  <c r="AB20" i="97"/>
  <c r="AA20" i="97"/>
  <c r="Z20" i="97"/>
  <c r="Y20" i="97"/>
  <c r="X20" i="97"/>
  <c r="W20" i="97"/>
  <c r="V20" i="97"/>
  <c r="U20" i="97"/>
  <c r="T20" i="97"/>
  <c r="S20" i="97"/>
  <c r="AD19" i="97"/>
  <c r="AD27" i="97" s="1"/>
  <c r="AC19" i="97"/>
  <c r="AB19" i="97"/>
  <c r="AB27" i="97" s="1"/>
  <c r="AA19" i="97"/>
  <c r="Z19" i="97"/>
  <c r="Z27" i="97" s="1"/>
  <c r="Y19" i="97"/>
  <c r="X19" i="97"/>
  <c r="X27" i="97" s="1"/>
  <c r="W19" i="97"/>
  <c r="V19" i="97"/>
  <c r="V27" i="97" s="1"/>
  <c r="U19" i="97"/>
  <c r="T19" i="97"/>
  <c r="T27" i="97" s="1"/>
  <c r="S19" i="97"/>
  <c r="AD18" i="97"/>
  <c r="W17" i="97"/>
  <c r="AC11" i="97"/>
  <c r="AC21" i="96"/>
  <c r="AB21" i="96"/>
  <c r="AA21" i="96"/>
  <c r="Z21" i="96"/>
  <c r="X21" i="96"/>
  <c r="W21" i="96"/>
  <c r="V21" i="96"/>
  <c r="U21" i="96"/>
  <c r="T21" i="96"/>
  <c r="AD20" i="96"/>
  <c r="AC20" i="96"/>
  <c r="AB20" i="96"/>
  <c r="AA20" i="96"/>
  <c r="Z20" i="96"/>
  <c r="Y20" i="96"/>
  <c r="X20" i="96"/>
  <c r="V20" i="96"/>
  <c r="U20" i="96"/>
  <c r="T20" i="96"/>
  <c r="AD19" i="96"/>
  <c r="AC19" i="96"/>
  <c r="AB19" i="96"/>
  <c r="AA19" i="96"/>
  <c r="Z19" i="96"/>
  <c r="Y19" i="96"/>
  <c r="X19" i="96"/>
  <c r="W19" i="96"/>
  <c r="V19" i="96"/>
  <c r="U19" i="96"/>
  <c r="T19" i="96"/>
  <c r="AD18" i="96"/>
  <c r="AC18" i="96"/>
  <c r="AB18" i="96"/>
  <c r="Z18" i="96"/>
  <c r="X18" i="96"/>
  <c r="W18" i="96"/>
  <c r="V18" i="96"/>
  <c r="U18" i="96"/>
  <c r="T18" i="96"/>
  <c r="AD17" i="96"/>
  <c r="AC17" i="96"/>
  <c r="AB17" i="96"/>
  <c r="AA17" i="96"/>
  <c r="Z17" i="96"/>
  <c r="Y17" i="96"/>
  <c r="X17" i="96"/>
  <c r="V17" i="96"/>
  <c r="T17" i="96"/>
  <c r="AB16" i="96"/>
  <c r="AA16" i="96"/>
  <c r="Z16" i="96"/>
  <c r="X16" i="96"/>
  <c r="V16" i="96"/>
  <c r="U16" i="96"/>
  <c r="AD15" i="96"/>
  <c r="AC15" i="96"/>
  <c r="AB15" i="96"/>
  <c r="AA15" i="96"/>
  <c r="Z15" i="96"/>
  <c r="Y15" i="96"/>
  <c r="W15" i="96"/>
  <c r="V15" i="96"/>
  <c r="U15" i="96"/>
  <c r="T15" i="96"/>
  <c r="AD14" i="96"/>
  <c r="AB14" i="96"/>
  <c r="AA14" i="96"/>
  <c r="Z14" i="96"/>
  <c r="Y14" i="96"/>
  <c r="X14" i="96"/>
  <c r="W14" i="96"/>
  <c r="V14" i="96"/>
  <c r="T14" i="96"/>
  <c r="AD13" i="96"/>
  <c r="AC13" i="96"/>
  <c r="AA13" i="96"/>
  <c r="Z13" i="96"/>
  <c r="Y13" i="96"/>
  <c r="X13" i="96"/>
  <c r="W13" i="96"/>
  <c r="V13" i="96"/>
  <c r="U13" i="96"/>
  <c r="T13" i="96"/>
  <c r="AD21" i="96"/>
  <c r="AB21" i="95"/>
  <c r="AA21" i="95"/>
  <c r="Z21" i="95"/>
  <c r="Y21" i="95"/>
  <c r="X21" i="95"/>
  <c r="U21" i="95"/>
  <c r="T21" i="95"/>
  <c r="AD20" i="95"/>
  <c r="AB20" i="95"/>
  <c r="AA20" i="95"/>
  <c r="Z20" i="95"/>
  <c r="Y20" i="95"/>
  <c r="X20" i="95"/>
  <c r="W20" i="95"/>
  <c r="V20" i="95"/>
  <c r="T20" i="95"/>
  <c r="S20" i="95"/>
  <c r="AD19" i="95"/>
  <c r="AC19" i="95"/>
  <c r="AB19" i="95"/>
  <c r="AA19" i="95"/>
  <c r="Y19" i="95"/>
  <c r="X19" i="95"/>
  <c r="W19" i="95"/>
  <c r="U19" i="95"/>
  <c r="AD18" i="95"/>
  <c r="AB18" i="95"/>
  <c r="AA18" i="95"/>
  <c r="Y18" i="95"/>
  <c r="X18" i="95"/>
  <c r="W18" i="95"/>
  <c r="V18" i="95"/>
  <c r="U18" i="95"/>
  <c r="T18" i="95"/>
  <c r="AD17" i="95"/>
  <c r="AA17" i="95"/>
  <c r="Z17" i="95"/>
  <c r="Y17" i="95"/>
  <c r="X17" i="95"/>
  <c r="W17" i="95"/>
  <c r="V17" i="95"/>
  <c r="U17" i="95"/>
  <c r="T17" i="95"/>
  <c r="AD16" i="95"/>
  <c r="AA16" i="95"/>
  <c r="Z16" i="95"/>
  <c r="X16" i="95"/>
  <c r="W16" i="95"/>
  <c r="V16" i="95"/>
  <c r="U16" i="95"/>
  <c r="T16" i="95"/>
  <c r="AD15" i="95"/>
  <c r="AC15" i="95"/>
  <c r="AA15" i="95"/>
  <c r="Z15" i="95"/>
  <c r="Y15" i="95"/>
  <c r="X15" i="95"/>
  <c r="W15" i="95"/>
  <c r="U15" i="95"/>
  <c r="T15" i="95"/>
  <c r="AD14" i="95"/>
  <c r="AC14" i="95"/>
  <c r="AA14" i="95"/>
  <c r="Z14" i="95"/>
  <c r="Y14" i="95"/>
  <c r="X14" i="95"/>
  <c r="W14" i="95"/>
  <c r="V14" i="95"/>
  <c r="T14" i="95"/>
  <c r="AD13" i="95"/>
  <c r="AC13" i="95"/>
  <c r="AB13" i="95"/>
  <c r="AA13" i="95"/>
  <c r="W13" i="95"/>
  <c r="V13" i="95"/>
  <c r="U13" i="95"/>
  <c r="T13" i="95"/>
  <c r="AD21" i="95"/>
  <c r="AC20" i="95"/>
  <c r="T19" i="95"/>
  <c r="X26" i="98" l="1"/>
  <c r="AA26" i="95"/>
  <c r="AA39" i="101"/>
  <c r="Z39" i="101"/>
  <c r="AB39" i="101"/>
  <c r="AD39" i="101"/>
  <c r="W26" i="95"/>
  <c r="AD26" i="95"/>
  <c r="C3" i="108"/>
  <c r="C3" i="111"/>
  <c r="C3" i="107"/>
  <c r="X15" i="96"/>
  <c r="X23" i="96" s="1"/>
  <c r="AD16" i="97"/>
  <c r="AD23" i="97" s="1"/>
  <c r="U20" i="100"/>
  <c r="T20" i="105"/>
  <c r="T39" i="105" s="1"/>
  <c r="AC17" i="95"/>
  <c r="AB13" i="96"/>
  <c r="AB26" i="96" s="1"/>
  <c r="AB16" i="95"/>
  <c r="T18" i="98"/>
  <c r="T26" i="98" s="1"/>
  <c r="Z21" i="98"/>
  <c r="T16" i="96"/>
  <c r="T26" i="96" s="1"/>
  <c r="AB20" i="99"/>
  <c r="AB27" i="99" s="1"/>
  <c r="X21" i="101"/>
  <c r="X39" i="101" s="1"/>
  <c r="U20" i="105"/>
  <c r="U39" i="105" s="1"/>
  <c r="AA33" i="105"/>
  <c r="U22" i="109"/>
  <c r="W20" i="96"/>
  <c r="W24" i="96" s="1"/>
  <c r="V14" i="101"/>
  <c r="V38" i="101" s="1"/>
  <c r="Y13" i="95"/>
  <c r="V14" i="97"/>
  <c r="S17" i="101"/>
  <c r="T23" i="105"/>
  <c r="Z27" i="99"/>
  <c r="Y16" i="96"/>
  <c r="AC32" i="109"/>
  <c r="AC18" i="110"/>
  <c r="W21" i="95"/>
  <c r="AC21" i="95"/>
  <c r="AC24" i="95" s="1"/>
  <c r="AB17" i="98"/>
  <c r="AB23" i="98" s="1"/>
  <c r="W16" i="96"/>
  <c r="AB26" i="98"/>
  <c r="AD18" i="98"/>
  <c r="AC16" i="97"/>
  <c r="AB19" i="98"/>
  <c r="AB27" i="98" s="1"/>
  <c r="S14" i="94"/>
  <c r="S15" i="94"/>
  <c r="W15" i="94"/>
  <c r="S16" i="94"/>
  <c r="W17" i="94"/>
  <c r="W19" i="94"/>
  <c r="AA19" i="94"/>
  <c r="S20" i="94"/>
  <c r="U20" i="94"/>
  <c r="W20" i="94"/>
  <c r="Y20" i="94"/>
  <c r="AA20" i="94"/>
  <c r="AC21" i="94"/>
  <c r="AC14" i="96"/>
  <c r="W14" i="94"/>
  <c r="S17" i="94"/>
  <c r="S18" i="94"/>
  <c r="S19" i="94"/>
  <c r="AC19" i="94"/>
  <c r="S21" i="94"/>
  <c r="U21" i="94"/>
  <c r="W21" i="94"/>
  <c r="Y21" i="94"/>
  <c r="X12" i="100"/>
  <c r="S39" i="110"/>
  <c r="AA39" i="110"/>
  <c r="T12" i="110"/>
  <c r="V12" i="110"/>
  <c r="X12" i="110"/>
  <c r="Z12" i="110"/>
  <c r="AB12" i="110"/>
  <c r="AD12" i="110"/>
  <c r="U12" i="110"/>
  <c r="W12" i="110"/>
  <c r="Y12" i="110"/>
  <c r="AA12" i="110"/>
  <c r="AC12" i="110"/>
  <c r="P21" i="110"/>
  <c r="T13" i="110"/>
  <c r="V13" i="110"/>
  <c r="X13" i="110"/>
  <c r="Z13" i="110"/>
  <c r="AB13" i="110"/>
  <c r="AD13" i="110"/>
  <c r="U13" i="110"/>
  <c r="W13" i="110"/>
  <c r="Y13" i="110"/>
  <c r="AA13" i="110"/>
  <c r="AC13" i="110"/>
  <c r="P25" i="110"/>
  <c r="T14" i="110"/>
  <c r="V14" i="110"/>
  <c r="X14" i="110"/>
  <c r="Z14" i="110"/>
  <c r="AB14" i="110"/>
  <c r="AD14" i="110"/>
  <c r="U14" i="110"/>
  <c r="W14" i="110"/>
  <c r="Y14" i="110"/>
  <c r="AA14" i="110"/>
  <c r="AC14" i="110"/>
  <c r="P29" i="110"/>
  <c r="T15" i="110"/>
  <c r="V15" i="110"/>
  <c r="X15" i="110"/>
  <c r="Z15" i="110"/>
  <c r="AB15" i="110"/>
  <c r="AD15" i="110"/>
  <c r="U15" i="110"/>
  <c r="W15" i="110"/>
  <c r="Y15" i="110"/>
  <c r="AA15" i="110"/>
  <c r="AC15" i="110"/>
  <c r="P33" i="110"/>
  <c r="P45" i="110"/>
  <c r="P49" i="110"/>
  <c r="P53" i="110"/>
  <c r="P59" i="110"/>
  <c r="P63" i="110"/>
  <c r="P67" i="110"/>
  <c r="P71" i="110"/>
  <c r="P75" i="110"/>
  <c r="P79" i="110"/>
  <c r="P83" i="110"/>
  <c r="P87" i="110"/>
  <c r="P91" i="110"/>
  <c r="X20" i="99"/>
  <c r="X27" i="99" s="1"/>
  <c r="F13" i="108"/>
  <c r="J13" i="108"/>
  <c r="N13" i="108"/>
  <c r="J14" i="108"/>
  <c r="N14" i="108"/>
  <c r="F15" i="108"/>
  <c r="N15" i="108"/>
  <c r="J16" i="108"/>
  <c r="F17" i="108"/>
  <c r="N17" i="108"/>
  <c r="J18" i="108"/>
  <c r="N18" i="108"/>
  <c r="F19" i="108"/>
  <c r="N19" i="108"/>
  <c r="F20" i="108"/>
  <c r="J20" i="108"/>
  <c r="F21" i="108"/>
  <c r="AB15" i="95"/>
  <c r="U17" i="97"/>
  <c r="U26" i="97" s="1"/>
  <c r="J21" i="108"/>
  <c r="N21" i="108"/>
  <c r="J22" i="108"/>
  <c r="N22" i="108"/>
  <c r="F23" i="108"/>
  <c r="N23" i="108"/>
  <c r="J24" i="108"/>
  <c r="H46" i="108"/>
  <c r="J46" i="108"/>
  <c r="L46" i="108"/>
  <c r="N46" i="108"/>
  <c r="D47" i="108"/>
  <c r="F47" i="108"/>
  <c r="H47" i="108"/>
  <c r="J47" i="108"/>
  <c r="L47" i="108"/>
  <c r="N47" i="108"/>
  <c r="D48" i="108"/>
  <c r="F48" i="108"/>
  <c r="H48" i="108"/>
  <c r="J48" i="108"/>
  <c r="L48" i="108"/>
  <c r="N48" i="108"/>
  <c r="D49" i="108"/>
  <c r="F49" i="108"/>
  <c r="H49" i="108"/>
  <c r="J49" i="108"/>
  <c r="L49" i="108"/>
  <c r="N49" i="108"/>
  <c r="D50" i="108"/>
  <c r="F50" i="108"/>
  <c r="H50" i="108"/>
  <c r="J50" i="108"/>
  <c r="L50" i="108"/>
  <c r="N50" i="108"/>
  <c r="D51" i="108"/>
  <c r="F51" i="108"/>
  <c r="H51" i="108"/>
  <c r="J51" i="108"/>
  <c r="L51" i="108"/>
  <c r="N51" i="108"/>
  <c r="D52" i="108"/>
  <c r="F52" i="108"/>
  <c r="H52" i="108"/>
  <c r="J52" i="108"/>
  <c r="L52" i="108"/>
  <c r="N52" i="108"/>
  <c r="D53" i="108"/>
  <c r="F53" i="108"/>
  <c r="H53" i="108"/>
  <c r="J53" i="108"/>
  <c r="L53" i="108"/>
  <c r="N53" i="108"/>
  <c r="D54" i="108"/>
  <c r="F54" i="108"/>
  <c r="H54" i="108"/>
  <c r="J54" i="108"/>
  <c r="L54" i="108"/>
  <c r="N54" i="108"/>
  <c r="D55" i="108"/>
  <c r="F55" i="108"/>
  <c r="H55" i="108"/>
  <c r="J55" i="108"/>
  <c r="L55" i="108"/>
  <c r="N55" i="108"/>
  <c r="D56" i="108"/>
  <c r="F56" i="108"/>
  <c r="H56" i="108"/>
  <c r="J56" i="108"/>
  <c r="L56" i="108"/>
  <c r="N56" i="108"/>
  <c r="D57" i="108"/>
  <c r="F57" i="108"/>
  <c r="H57" i="108"/>
  <c r="J57" i="108"/>
  <c r="L57" i="108"/>
  <c r="N57" i="108"/>
  <c r="I47" i="108"/>
  <c r="M48" i="108"/>
  <c r="I51" i="108"/>
  <c r="M52" i="108"/>
  <c r="I55" i="108"/>
  <c r="M56" i="108"/>
  <c r="E10" i="108"/>
  <c r="G10" i="108"/>
  <c r="I10" i="108"/>
  <c r="K10" i="108"/>
  <c r="M10" i="108"/>
  <c r="C11" i="108"/>
  <c r="E11" i="108"/>
  <c r="G11" i="108"/>
  <c r="I11" i="108"/>
  <c r="K11" i="108"/>
  <c r="M11" i="108"/>
  <c r="C13" i="108"/>
  <c r="E13" i="108"/>
  <c r="G13" i="108"/>
  <c r="I13" i="108"/>
  <c r="K13" i="108"/>
  <c r="M13" i="108"/>
  <c r="C14" i="108"/>
  <c r="E14" i="108"/>
  <c r="G14" i="108"/>
  <c r="I14" i="108"/>
  <c r="K14" i="108"/>
  <c r="M14" i="108"/>
  <c r="C15" i="108"/>
  <c r="E15" i="108"/>
  <c r="G15" i="108"/>
  <c r="I15" i="108"/>
  <c r="K15" i="108"/>
  <c r="M15" i="108"/>
  <c r="C16" i="108"/>
  <c r="E16" i="108"/>
  <c r="G16" i="108"/>
  <c r="I16" i="108"/>
  <c r="K16" i="108"/>
  <c r="M16" i="108"/>
  <c r="C17" i="108"/>
  <c r="E17" i="108"/>
  <c r="G17" i="108"/>
  <c r="I17" i="108"/>
  <c r="K17" i="108"/>
  <c r="M17" i="108"/>
  <c r="C18" i="108"/>
  <c r="E18" i="108"/>
  <c r="G18" i="108"/>
  <c r="I18" i="108"/>
  <c r="K18" i="108"/>
  <c r="M18" i="108"/>
  <c r="C24" i="108"/>
  <c r="E24" i="108"/>
  <c r="G24" i="108"/>
  <c r="I24" i="108"/>
  <c r="K24" i="108"/>
  <c r="M24" i="108"/>
  <c r="C25" i="108"/>
  <c r="E25" i="108"/>
  <c r="G25" i="108"/>
  <c r="I25" i="108"/>
  <c r="K25" i="108"/>
  <c r="M25" i="108"/>
  <c r="E26" i="108"/>
  <c r="I26" i="108"/>
  <c r="M26" i="108"/>
  <c r="C27" i="108"/>
  <c r="E27" i="108"/>
  <c r="G27" i="108"/>
  <c r="I27" i="108"/>
  <c r="K27" i="108"/>
  <c r="M27" i="108"/>
  <c r="C28" i="108"/>
  <c r="E28" i="108"/>
  <c r="G28" i="108"/>
  <c r="I28" i="108"/>
  <c r="K28" i="108"/>
  <c r="M28" i="108"/>
  <c r="C29" i="108"/>
  <c r="E29" i="108"/>
  <c r="G29" i="108"/>
  <c r="I29" i="108"/>
  <c r="K29" i="108"/>
  <c r="M29" i="108"/>
  <c r="E30" i="108"/>
  <c r="I30" i="108"/>
  <c r="M30" i="108"/>
  <c r="C31" i="108"/>
  <c r="E31" i="108"/>
  <c r="G31" i="108"/>
  <c r="I31" i="108"/>
  <c r="K31" i="108"/>
  <c r="M31" i="108"/>
  <c r="C32" i="108"/>
  <c r="E32" i="108"/>
  <c r="G32" i="108"/>
  <c r="I32" i="108"/>
  <c r="K32" i="108"/>
  <c r="M32" i="108"/>
  <c r="C33" i="108"/>
  <c r="E33" i="108"/>
  <c r="G33" i="108"/>
  <c r="I33" i="108"/>
  <c r="K33" i="108"/>
  <c r="M33" i="108"/>
  <c r="E34" i="108"/>
  <c r="G34" i="108"/>
  <c r="I34" i="108"/>
  <c r="M34" i="108"/>
  <c r="C35" i="108"/>
  <c r="E35" i="108"/>
  <c r="G35" i="108"/>
  <c r="I35" i="108"/>
  <c r="K35" i="108"/>
  <c r="M35" i="108"/>
  <c r="C36" i="108"/>
  <c r="E36" i="108"/>
  <c r="G36" i="108"/>
  <c r="I36" i="108"/>
  <c r="P23" i="110"/>
  <c r="S13" i="110"/>
  <c r="P31" i="110"/>
  <c r="S15" i="110"/>
  <c r="K36" i="108"/>
  <c r="M36" i="108"/>
  <c r="C37" i="108"/>
  <c r="E37" i="108"/>
  <c r="G37" i="108"/>
  <c r="I37" i="108"/>
  <c r="K37" i="108"/>
  <c r="M37" i="108"/>
  <c r="E38" i="108"/>
  <c r="I38" i="108"/>
  <c r="K38" i="108"/>
  <c r="M38" i="108"/>
  <c r="C39" i="108"/>
  <c r="E39" i="108"/>
  <c r="G39" i="108"/>
  <c r="I39" i="108"/>
  <c r="K39" i="108"/>
  <c r="M39" i="108"/>
  <c r="C40" i="108"/>
  <c r="E40" i="108"/>
  <c r="G40" i="108"/>
  <c r="I40" i="108"/>
  <c r="K40" i="108"/>
  <c r="M40" i="108"/>
  <c r="C41" i="108"/>
  <c r="E41" i="108"/>
  <c r="G41" i="108"/>
  <c r="I41" i="108"/>
  <c r="K41" i="108"/>
  <c r="M41" i="108"/>
  <c r="E42" i="108"/>
  <c r="G42" i="108"/>
  <c r="I42" i="108"/>
  <c r="M42" i="108"/>
  <c r="C43" i="108"/>
  <c r="E43" i="108"/>
  <c r="G43" i="108"/>
  <c r="I43" i="108"/>
  <c r="K43" i="108"/>
  <c r="M43" i="108"/>
  <c r="C44" i="108"/>
  <c r="E44" i="108"/>
  <c r="G44" i="108"/>
  <c r="I44" i="108"/>
  <c r="K44" i="108"/>
  <c r="M44" i="108"/>
  <c r="C45" i="108"/>
  <c r="E45" i="108"/>
  <c r="G45" i="108"/>
  <c r="I45" i="108"/>
  <c r="K45" i="108"/>
  <c r="M45" i="108"/>
  <c r="E46" i="108"/>
  <c r="I46" i="108"/>
  <c r="E47" i="108"/>
  <c r="M47" i="108"/>
  <c r="I48" i="108"/>
  <c r="E49" i="108"/>
  <c r="M49" i="108"/>
  <c r="E51" i="108"/>
  <c r="M51" i="108"/>
  <c r="I52" i="108"/>
  <c r="E53" i="108"/>
  <c r="M53" i="108"/>
  <c r="E55" i="108"/>
  <c r="M55" i="108"/>
  <c r="I56" i="108"/>
  <c r="E57" i="108"/>
  <c r="M57" i="108"/>
  <c r="E48" i="108"/>
  <c r="I49" i="108"/>
  <c r="E52" i="108"/>
  <c r="I53" i="108"/>
  <c r="E56" i="108"/>
  <c r="I57" i="108"/>
  <c r="X10" i="110"/>
  <c r="P13" i="110"/>
  <c r="P15" i="110"/>
  <c r="W11" i="110"/>
  <c r="AA14" i="94"/>
  <c r="K26" i="108"/>
  <c r="AA15" i="94"/>
  <c r="K30" i="108"/>
  <c r="AA16" i="94"/>
  <c r="K34" i="108"/>
  <c r="AA18" i="94"/>
  <c r="K42" i="108"/>
  <c r="M54" i="108"/>
  <c r="M50" i="108"/>
  <c r="M46" i="108"/>
  <c r="C42" i="108"/>
  <c r="C34" i="108"/>
  <c r="C26" i="108"/>
  <c r="F10" i="108"/>
  <c r="J10" i="108"/>
  <c r="N10" i="108"/>
  <c r="D11" i="108"/>
  <c r="F11" i="108"/>
  <c r="H11" i="108"/>
  <c r="J11" i="108"/>
  <c r="L11" i="108"/>
  <c r="N11" i="108"/>
  <c r="D12" i="108"/>
  <c r="F12" i="108"/>
  <c r="J12" i="108"/>
  <c r="P19" i="110"/>
  <c r="S12" i="110"/>
  <c r="E54" i="108"/>
  <c r="E50" i="108"/>
  <c r="C46" i="108"/>
  <c r="C38" i="108"/>
  <c r="C30" i="108"/>
  <c r="C47" i="108"/>
  <c r="G47" i="108"/>
  <c r="K47" i="108"/>
  <c r="C48" i="108"/>
  <c r="G48" i="108"/>
  <c r="K48" i="108"/>
  <c r="C49" i="108"/>
  <c r="G49" i="108"/>
  <c r="K49" i="108"/>
  <c r="C51" i="108"/>
  <c r="G51" i="108"/>
  <c r="K51" i="108"/>
  <c r="C52" i="108"/>
  <c r="G52" i="108"/>
  <c r="K52" i="108"/>
  <c r="C53" i="108"/>
  <c r="G53" i="108"/>
  <c r="K53" i="108"/>
  <c r="K54" i="108"/>
  <c r="C55" i="108"/>
  <c r="G55" i="108"/>
  <c r="K55" i="108"/>
  <c r="C56" i="108"/>
  <c r="G56" i="108"/>
  <c r="K56" i="108"/>
  <c r="C57" i="108"/>
  <c r="G57" i="108"/>
  <c r="K57" i="108"/>
  <c r="N12" i="108"/>
  <c r="F14" i="108"/>
  <c r="J15" i="108"/>
  <c r="N16" i="108"/>
  <c r="F18" i="108"/>
  <c r="J19" i="108"/>
  <c r="N20" i="108"/>
  <c r="J23" i="108"/>
  <c r="N24" i="108"/>
  <c r="F24" i="108"/>
  <c r="Z13" i="109"/>
  <c r="P12" i="110"/>
  <c r="F16" i="108"/>
  <c r="J17" i="108"/>
  <c r="I54" i="108"/>
  <c r="I50" i="108"/>
  <c r="C12" i="108"/>
  <c r="E12" i="108"/>
  <c r="G12" i="108"/>
  <c r="I12" i="108"/>
  <c r="K12" i="108"/>
  <c r="M12" i="108"/>
  <c r="C19" i="108"/>
  <c r="E19" i="108"/>
  <c r="G19" i="108"/>
  <c r="I19" i="108"/>
  <c r="K19" i="108"/>
  <c r="M19" i="108"/>
  <c r="C20" i="108"/>
  <c r="E20" i="108"/>
  <c r="G20" i="108"/>
  <c r="I20" i="108"/>
  <c r="K20" i="108"/>
  <c r="M20" i="108"/>
  <c r="C21" i="108"/>
  <c r="E21" i="108"/>
  <c r="G21" i="108"/>
  <c r="I21" i="108"/>
  <c r="K21" i="108"/>
  <c r="M21" i="108"/>
  <c r="C22" i="108"/>
  <c r="E22" i="108"/>
  <c r="G22" i="108"/>
  <c r="I22" i="108"/>
  <c r="K22" i="108"/>
  <c r="M22" i="108"/>
  <c r="C23" i="108"/>
  <c r="E23" i="108"/>
  <c r="G23" i="108"/>
  <c r="I23" i="108"/>
  <c r="K23" i="108"/>
  <c r="M23" i="108"/>
  <c r="D106" i="110"/>
  <c r="L106" i="110"/>
  <c r="P27" i="110"/>
  <c r="S14" i="110"/>
  <c r="G54" i="108"/>
  <c r="C54" i="108"/>
  <c r="K50" i="108"/>
  <c r="G50" i="108"/>
  <c r="C50" i="108"/>
  <c r="K46" i="108"/>
  <c r="G46" i="108"/>
  <c r="G38" i="108"/>
  <c r="G30" i="108"/>
  <c r="G26" i="108"/>
  <c r="F22" i="108"/>
  <c r="H12" i="108"/>
  <c r="L12" i="108"/>
  <c r="D13" i="108"/>
  <c r="H13" i="108"/>
  <c r="L13" i="108"/>
  <c r="D14" i="108"/>
  <c r="H14" i="108"/>
  <c r="L14" i="108"/>
  <c r="D15" i="108"/>
  <c r="H15" i="108"/>
  <c r="L15" i="108"/>
  <c r="D16" i="108"/>
  <c r="H16" i="108"/>
  <c r="L16" i="108"/>
  <c r="D17" i="108"/>
  <c r="H17" i="108"/>
  <c r="L17" i="108"/>
  <c r="D18" i="108"/>
  <c r="H18" i="108"/>
  <c r="L18" i="108"/>
  <c r="D19" i="108"/>
  <c r="H19" i="108"/>
  <c r="L19" i="108"/>
  <c r="D20" i="108"/>
  <c r="H20" i="108"/>
  <c r="L20" i="108"/>
  <c r="D21" i="108"/>
  <c r="H21" i="108"/>
  <c r="L21" i="108"/>
  <c r="D22" i="108"/>
  <c r="H22" i="108"/>
  <c r="L22" i="108"/>
  <c r="D23" i="108"/>
  <c r="H23" i="108"/>
  <c r="L23" i="108"/>
  <c r="D24" i="108"/>
  <c r="H24" i="108"/>
  <c r="L24" i="108"/>
  <c r="D25" i="108"/>
  <c r="F25" i="108"/>
  <c r="H25" i="108"/>
  <c r="J25" i="108"/>
  <c r="L25" i="108"/>
  <c r="N25" i="108"/>
  <c r="D26" i="108"/>
  <c r="F26" i="108"/>
  <c r="H26" i="108"/>
  <c r="J26" i="108"/>
  <c r="L26" i="108"/>
  <c r="N26" i="108"/>
  <c r="D27" i="108"/>
  <c r="F27" i="108"/>
  <c r="H27" i="108"/>
  <c r="J27" i="108"/>
  <c r="L27" i="108"/>
  <c r="N27" i="108"/>
  <c r="D28" i="108"/>
  <c r="F28" i="108"/>
  <c r="H28" i="108"/>
  <c r="J28" i="108"/>
  <c r="L28" i="108"/>
  <c r="N28" i="108"/>
  <c r="D29" i="108"/>
  <c r="F29" i="108"/>
  <c r="H29" i="108"/>
  <c r="J29" i="108"/>
  <c r="L29" i="108"/>
  <c r="N29" i="108"/>
  <c r="D30" i="108"/>
  <c r="F30" i="108"/>
  <c r="H30" i="108"/>
  <c r="J30" i="108"/>
  <c r="L30" i="108"/>
  <c r="N30" i="108"/>
  <c r="D31" i="108"/>
  <c r="F31" i="108"/>
  <c r="H31" i="108"/>
  <c r="J31" i="108"/>
  <c r="L31" i="108"/>
  <c r="N31" i="108"/>
  <c r="D32" i="108"/>
  <c r="F32" i="108"/>
  <c r="H32" i="108"/>
  <c r="J32" i="108"/>
  <c r="L32" i="108"/>
  <c r="N32" i="108"/>
  <c r="D33" i="108"/>
  <c r="F33" i="108"/>
  <c r="H33" i="108"/>
  <c r="J33" i="108"/>
  <c r="L33" i="108"/>
  <c r="N33" i="108"/>
  <c r="D34" i="108"/>
  <c r="F34" i="108"/>
  <c r="H34" i="108"/>
  <c r="J34" i="108"/>
  <c r="L34" i="108"/>
  <c r="N34" i="108"/>
  <c r="D35" i="108"/>
  <c r="F35" i="108"/>
  <c r="H35" i="108"/>
  <c r="J35" i="108"/>
  <c r="L35" i="108"/>
  <c r="N35" i="108"/>
  <c r="D36" i="108"/>
  <c r="F36" i="108"/>
  <c r="H36" i="108"/>
  <c r="J36" i="108"/>
  <c r="L36" i="108"/>
  <c r="N36" i="108"/>
  <c r="D37" i="108"/>
  <c r="F37" i="108"/>
  <c r="H37" i="108"/>
  <c r="J37" i="108"/>
  <c r="L37" i="108"/>
  <c r="N37" i="108"/>
  <c r="D38" i="108"/>
  <c r="F38" i="108"/>
  <c r="H38" i="108"/>
  <c r="J38" i="108"/>
  <c r="L38" i="108"/>
  <c r="N38" i="108"/>
  <c r="D39" i="108"/>
  <c r="F39" i="108"/>
  <c r="H39" i="108"/>
  <c r="J39" i="108"/>
  <c r="L39" i="108"/>
  <c r="N39" i="108"/>
  <c r="D40" i="108"/>
  <c r="F40" i="108"/>
  <c r="H40" i="108"/>
  <c r="J40" i="108"/>
  <c r="L40" i="108"/>
  <c r="N40" i="108"/>
  <c r="D41" i="108"/>
  <c r="F41" i="108"/>
  <c r="H41" i="108"/>
  <c r="J41" i="108"/>
  <c r="L41" i="108"/>
  <c r="N41" i="108"/>
  <c r="D42" i="108"/>
  <c r="F42" i="108"/>
  <c r="H42" i="108"/>
  <c r="J42" i="108"/>
  <c r="L42" i="108"/>
  <c r="N42" i="108"/>
  <c r="D43" i="108"/>
  <c r="F43" i="108"/>
  <c r="H43" i="108"/>
  <c r="J43" i="108"/>
  <c r="L43" i="108"/>
  <c r="N43" i="108"/>
  <c r="D44" i="108"/>
  <c r="F44" i="108"/>
  <c r="H44" i="108"/>
  <c r="J44" i="108"/>
  <c r="L44" i="108"/>
  <c r="N44" i="108"/>
  <c r="D45" i="108"/>
  <c r="F45" i="108"/>
  <c r="H45" i="108"/>
  <c r="J45" i="108"/>
  <c r="L45" i="108"/>
  <c r="N45" i="108"/>
  <c r="D46" i="108"/>
  <c r="T19" i="108" s="1"/>
  <c r="F46" i="108"/>
  <c r="V19" i="108" s="1"/>
  <c r="V12" i="109"/>
  <c r="AD12" i="109"/>
  <c r="P14" i="110"/>
  <c r="U11" i="110"/>
  <c r="Y11" i="110"/>
  <c r="AA11" i="110"/>
  <c r="AC11" i="110"/>
  <c r="X16" i="97"/>
  <c r="X26" i="97" s="1"/>
  <c r="W23" i="105"/>
  <c r="S11" i="109"/>
  <c r="AC17" i="109"/>
  <c r="V14" i="109"/>
  <c r="W10" i="110"/>
  <c r="P11" i="110"/>
  <c r="S11" i="110"/>
  <c r="T11" i="110"/>
  <c r="V11" i="110"/>
  <c r="X11" i="110"/>
  <c r="Z11" i="110"/>
  <c r="AB11" i="110"/>
  <c r="AD11" i="110"/>
  <c r="L10" i="108"/>
  <c r="L106" i="108" s="1"/>
  <c r="H10" i="108"/>
  <c r="H106" i="108" s="1"/>
  <c r="D10" i="108"/>
  <c r="D106" i="108" s="1"/>
  <c r="V13" i="109"/>
  <c r="AD13" i="109"/>
  <c r="V15" i="109"/>
  <c r="AD15" i="109"/>
  <c r="C10" i="108"/>
  <c r="C106" i="108" s="1"/>
  <c r="AA11" i="109"/>
  <c r="Z12" i="109"/>
  <c r="Z14" i="109"/>
  <c r="S10" i="110"/>
  <c r="V18" i="110"/>
  <c r="X18" i="110"/>
  <c r="Z18" i="110"/>
  <c r="AB18" i="110"/>
  <c r="AD18" i="110"/>
  <c r="P18" i="110"/>
  <c r="W39" i="110"/>
  <c r="P20" i="110"/>
  <c r="P22" i="110"/>
  <c r="P24" i="110"/>
  <c r="P26" i="110"/>
  <c r="P28" i="110"/>
  <c r="P30" i="110"/>
  <c r="P32" i="110"/>
  <c r="P34" i="110"/>
  <c r="P35" i="110"/>
  <c r="P36" i="110"/>
  <c r="P37" i="110"/>
  <c r="P38" i="110"/>
  <c r="P39" i="110"/>
  <c r="P40" i="110"/>
  <c r="P41" i="110"/>
  <c r="P42" i="110"/>
  <c r="O44" i="110"/>
  <c r="U19" i="110"/>
  <c r="Y19" i="110"/>
  <c r="AC19" i="110"/>
  <c r="O48" i="110"/>
  <c r="U20" i="110"/>
  <c r="Y20" i="110"/>
  <c r="AC20" i="110"/>
  <c r="O52" i="110"/>
  <c r="U21" i="110"/>
  <c r="Y21" i="110"/>
  <c r="AC21" i="110"/>
  <c r="O56" i="110"/>
  <c r="O58" i="110"/>
  <c r="U22" i="110"/>
  <c r="Y22" i="110"/>
  <c r="AC22" i="110"/>
  <c r="O62" i="110"/>
  <c r="O66" i="110"/>
  <c r="U24" i="110"/>
  <c r="Y24" i="110"/>
  <c r="AC24" i="110"/>
  <c r="O70" i="110"/>
  <c r="O74" i="110"/>
  <c r="U26" i="110"/>
  <c r="Y26" i="110"/>
  <c r="AC26" i="110"/>
  <c r="O78" i="110"/>
  <c r="O82" i="110"/>
  <c r="U28" i="110"/>
  <c r="Y28" i="110"/>
  <c r="AC28" i="110"/>
  <c r="O86" i="110"/>
  <c r="O90" i="110"/>
  <c r="U30" i="110"/>
  <c r="Y30" i="110"/>
  <c r="AC30" i="110"/>
  <c r="O94" i="110"/>
  <c r="O98" i="110"/>
  <c r="U32" i="110"/>
  <c r="Y32" i="110"/>
  <c r="AC32" i="110"/>
  <c r="O102" i="110"/>
  <c r="AD13" i="99"/>
  <c r="AD26" i="99" s="1"/>
  <c r="P44" i="110"/>
  <c r="P48" i="110"/>
  <c r="V19" i="110"/>
  <c r="X19" i="110"/>
  <c r="Z19" i="110"/>
  <c r="AB19" i="110"/>
  <c r="AD19" i="110"/>
  <c r="P52" i="110"/>
  <c r="V20" i="110"/>
  <c r="X20" i="110"/>
  <c r="Z20" i="110"/>
  <c r="AB20" i="110"/>
  <c r="AD20" i="110"/>
  <c r="P56" i="110"/>
  <c r="P62" i="110"/>
  <c r="P70" i="110"/>
  <c r="P78" i="110"/>
  <c r="P86" i="110"/>
  <c r="P94" i="110"/>
  <c r="P102" i="110"/>
  <c r="S13" i="97"/>
  <c r="T12" i="109"/>
  <c r="X12" i="109"/>
  <c r="AB12" i="109"/>
  <c r="P20" i="109"/>
  <c r="T13" i="109"/>
  <c r="X13" i="109"/>
  <c r="AB13" i="109"/>
  <c r="P24" i="109"/>
  <c r="T14" i="109"/>
  <c r="X14" i="109"/>
  <c r="AB14" i="109"/>
  <c r="P28" i="109"/>
  <c r="T15" i="109"/>
  <c r="X15" i="109"/>
  <c r="AB15" i="109"/>
  <c r="P32" i="109"/>
  <c r="E106" i="110"/>
  <c r="G106" i="110"/>
  <c r="I106" i="110"/>
  <c r="K106" i="110"/>
  <c r="M106" i="110"/>
  <c r="AA10" i="110"/>
  <c r="P17" i="110"/>
  <c r="S17" i="110"/>
  <c r="S35" i="110" s="1"/>
  <c r="P43" i="110"/>
  <c r="O46" i="110"/>
  <c r="P46" i="110"/>
  <c r="P47" i="110"/>
  <c r="O50" i="110"/>
  <c r="P50" i="110"/>
  <c r="P51" i="110"/>
  <c r="O54" i="110"/>
  <c r="P54" i="110"/>
  <c r="P55" i="110"/>
  <c r="P58" i="110"/>
  <c r="P66" i="110"/>
  <c r="P74" i="110"/>
  <c r="P82" i="110"/>
  <c r="P90" i="110"/>
  <c r="P98" i="110"/>
  <c r="P57" i="110"/>
  <c r="V21" i="110"/>
  <c r="X21" i="110"/>
  <c r="Z21" i="110"/>
  <c r="AB21" i="110"/>
  <c r="AD21" i="110"/>
  <c r="O60" i="110"/>
  <c r="P60" i="110"/>
  <c r="P61" i="110"/>
  <c r="V22" i="110"/>
  <c r="X22" i="110"/>
  <c r="Z22" i="110"/>
  <c r="AB22" i="110"/>
  <c r="AD22" i="110"/>
  <c r="O64" i="110"/>
  <c r="P64" i="110"/>
  <c r="P65" i="110"/>
  <c r="V23" i="110"/>
  <c r="X23" i="110"/>
  <c r="Z23" i="110"/>
  <c r="AB23" i="110"/>
  <c r="AD23" i="110"/>
  <c r="O68" i="110"/>
  <c r="P68" i="110"/>
  <c r="P69" i="110"/>
  <c r="V24" i="110"/>
  <c r="X24" i="110"/>
  <c r="Z24" i="110"/>
  <c r="AB24" i="110"/>
  <c r="AD24" i="110"/>
  <c r="O72" i="110"/>
  <c r="P72" i="110"/>
  <c r="P73" i="110"/>
  <c r="V25" i="110"/>
  <c r="X25" i="110"/>
  <c r="Z25" i="110"/>
  <c r="AB25" i="110"/>
  <c r="AD25" i="110"/>
  <c r="O76" i="110"/>
  <c r="P76" i="110"/>
  <c r="P77" i="110"/>
  <c r="V26" i="110"/>
  <c r="X26" i="110"/>
  <c r="Z26" i="110"/>
  <c r="AB26" i="110"/>
  <c r="AD26" i="110"/>
  <c r="O80" i="110"/>
  <c r="P80" i="110"/>
  <c r="P81" i="110"/>
  <c r="V27" i="110"/>
  <c r="X27" i="110"/>
  <c r="Z27" i="110"/>
  <c r="AB27" i="110"/>
  <c r="AD27" i="110"/>
  <c r="O84" i="110"/>
  <c r="P84" i="110"/>
  <c r="P85" i="110"/>
  <c r="V28" i="110"/>
  <c r="X28" i="110"/>
  <c r="Z28" i="110"/>
  <c r="AB28" i="110"/>
  <c r="AD28" i="110"/>
  <c r="O88" i="110"/>
  <c r="P88" i="110"/>
  <c r="P89" i="110"/>
  <c r="V29" i="110"/>
  <c r="X29" i="110"/>
  <c r="Z29" i="110"/>
  <c r="AB29" i="110"/>
  <c r="AD29" i="110"/>
  <c r="O92" i="110"/>
  <c r="P92" i="110"/>
  <c r="P93" i="110"/>
  <c r="V30" i="110"/>
  <c r="X30" i="110"/>
  <c r="Z30" i="110"/>
  <c r="O96" i="110"/>
  <c r="P96" i="110"/>
  <c r="P97" i="110"/>
  <c r="O100" i="110"/>
  <c r="P100" i="110"/>
  <c r="P101" i="110"/>
  <c r="O104" i="110"/>
  <c r="P104" i="110"/>
  <c r="P105" i="110"/>
  <c r="S38" i="110"/>
  <c r="U38" i="110"/>
  <c r="W38" i="110"/>
  <c r="C106" i="110"/>
  <c r="P10" i="110"/>
  <c r="O10" i="110"/>
  <c r="U10" i="110"/>
  <c r="Y10" i="110"/>
  <c r="AC10" i="110"/>
  <c r="O11" i="110"/>
  <c r="O12" i="110"/>
  <c r="O13" i="110"/>
  <c r="O14" i="110"/>
  <c r="O15" i="110"/>
  <c r="P16" i="110"/>
  <c r="O16" i="110"/>
  <c r="O17" i="110"/>
  <c r="O18" i="110"/>
  <c r="O19" i="110"/>
  <c r="O20" i="110"/>
  <c r="O21" i="110"/>
  <c r="O22" i="110"/>
  <c r="O23" i="110"/>
  <c r="O24" i="110"/>
  <c r="O25" i="110"/>
  <c r="O26" i="110"/>
  <c r="O27" i="110"/>
  <c r="O28" i="110"/>
  <c r="O29" i="110"/>
  <c r="O30" i="110"/>
  <c r="S36" i="110"/>
  <c r="W36" i="110"/>
  <c r="AA36" i="110"/>
  <c r="H106" i="110"/>
  <c r="C106" i="109"/>
  <c r="E106" i="109"/>
  <c r="G106" i="109"/>
  <c r="I106" i="109"/>
  <c r="K106" i="109"/>
  <c r="M106" i="109"/>
  <c r="P11" i="109"/>
  <c r="W11" i="109"/>
  <c r="P18" i="109"/>
  <c r="U12" i="109"/>
  <c r="W12" i="109"/>
  <c r="Y12" i="109"/>
  <c r="AA12" i="109"/>
  <c r="AC12" i="109"/>
  <c r="P22" i="109"/>
  <c r="U13" i="109"/>
  <c r="W13" i="109"/>
  <c r="Y13" i="109"/>
  <c r="AA13" i="109"/>
  <c r="AC13" i="109"/>
  <c r="P26" i="109"/>
  <c r="U14" i="109"/>
  <c r="W14" i="109"/>
  <c r="Y14" i="109"/>
  <c r="AA14" i="109"/>
  <c r="AC14" i="109"/>
  <c r="P30" i="109"/>
  <c r="U15" i="109"/>
  <c r="U38" i="109" s="1"/>
  <c r="W15" i="109"/>
  <c r="Y15" i="109"/>
  <c r="AA15" i="109"/>
  <c r="AC15" i="109"/>
  <c r="P34" i="109"/>
  <c r="P35" i="109"/>
  <c r="P36" i="109"/>
  <c r="P37" i="109"/>
  <c r="P38" i="109"/>
  <c r="P39" i="109"/>
  <c r="P40" i="109"/>
  <c r="P41" i="109"/>
  <c r="P42" i="109"/>
  <c r="O44" i="109"/>
  <c r="S39" i="109"/>
  <c r="AA39" i="109"/>
  <c r="O48" i="109"/>
  <c r="O52" i="109"/>
  <c r="O56" i="109"/>
  <c r="O58" i="109"/>
  <c r="O62" i="109"/>
  <c r="O66" i="109"/>
  <c r="O70" i="109"/>
  <c r="O74" i="109"/>
  <c r="O78" i="109"/>
  <c r="O82" i="109"/>
  <c r="O86" i="109"/>
  <c r="O90" i="109"/>
  <c r="O94" i="109"/>
  <c r="O98" i="109"/>
  <c r="O102" i="109"/>
  <c r="F106" i="110"/>
  <c r="J106" i="110"/>
  <c r="N106" i="110"/>
  <c r="T10" i="110"/>
  <c r="V10" i="110"/>
  <c r="Z10" i="110"/>
  <c r="AB10" i="110"/>
  <c r="AD10" i="110"/>
  <c r="T18" i="110"/>
  <c r="T19" i="110"/>
  <c r="T20" i="110"/>
  <c r="T21" i="110"/>
  <c r="T22" i="110"/>
  <c r="T23" i="110"/>
  <c r="T24" i="110"/>
  <c r="T25" i="110"/>
  <c r="T26" i="110"/>
  <c r="T27" i="110"/>
  <c r="T28" i="110"/>
  <c r="T29" i="110"/>
  <c r="T30" i="110"/>
  <c r="O31" i="110"/>
  <c r="O32" i="110"/>
  <c r="O33" i="110"/>
  <c r="O34" i="110"/>
  <c r="O35" i="110"/>
  <c r="O36" i="110"/>
  <c r="O37" i="110"/>
  <c r="O38" i="110"/>
  <c r="O39" i="110"/>
  <c r="O40" i="110"/>
  <c r="O41" i="110"/>
  <c r="O42" i="110"/>
  <c r="AB30" i="110"/>
  <c r="AD30" i="110"/>
  <c r="P95" i="110"/>
  <c r="T31" i="110"/>
  <c r="V31" i="110"/>
  <c r="X31" i="110"/>
  <c r="Z31" i="110"/>
  <c r="AB31" i="110"/>
  <c r="AD31" i="110"/>
  <c r="P99" i="110"/>
  <c r="T32" i="110"/>
  <c r="V32" i="110"/>
  <c r="X32" i="110"/>
  <c r="Z32" i="110"/>
  <c r="AB32" i="110"/>
  <c r="AD32" i="110"/>
  <c r="P103" i="110"/>
  <c r="T33" i="110"/>
  <c r="V33" i="110"/>
  <c r="X33" i="110"/>
  <c r="Z33" i="110"/>
  <c r="AB33" i="110"/>
  <c r="AD33" i="110"/>
  <c r="O43" i="110"/>
  <c r="O45" i="110"/>
  <c r="O47" i="110"/>
  <c r="O49" i="110"/>
  <c r="O51" i="110"/>
  <c r="O53" i="110"/>
  <c r="O55" i="110"/>
  <c r="O57" i="110"/>
  <c r="O59" i="110"/>
  <c r="O61" i="110"/>
  <c r="O63" i="110"/>
  <c r="O65" i="110"/>
  <c r="O67" i="110"/>
  <c r="O69" i="110"/>
  <c r="O71" i="110"/>
  <c r="O73" i="110"/>
  <c r="O75" i="110"/>
  <c r="O77" i="110"/>
  <c r="O79" i="110"/>
  <c r="O81" i="110"/>
  <c r="O83" i="110"/>
  <c r="O85" i="110"/>
  <c r="O87" i="110"/>
  <c r="O89" i="110"/>
  <c r="O91" i="110"/>
  <c r="O93" i="110"/>
  <c r="O95" i="110"/>
  <c r="O97" i="110"/>
  <c r="O99" i="110"/>
  <c r="O101" i="110"/>
  <c r="O103" i="110"/>
  <c r="O105" i="110"/>
  <c r="V19" i="95"/>
  <c r="Y14" i="101"/>
  <c r="V15" i="98"/>
  <c r="W39" i="109"/>
  <c r="X10" i="109"/>
  <c r="P12" i="109"/>
  <c r="S12" i="109"/>
  <c r="P13" i="109"/>
  <c r="S13" i="109"/>
  <c r="P14" i="109"/>
  <c r="U11" i="109"/>
  <c r="Y11" i="109"/>
  <c r="AC11" i="109"/>
  <c r="S14" i="109"/>
  <c r="P15" i="109"/>
  <c r="S15" i="109"/>
  <c r="P16" i="109"/>
  <c r="S16" i="109"/>
  <c r="T11" i="109"/>
  <c r="V11" i="109"/>
  <c r="X11" i="109"/>
  <c r="Z11" i="109"/>
  <c r="AB11" i="109"/>
  <c r="AD11" i="109"/>
  <c r="P19" i="109"/>
  <c r="P21" i="109"/>
  <c r="P23" i="109"/>
  <c r="S23" i="109"/>
  <c r="P25" i="109"/>
  <c r="S25" i="109"/>
  <c r="P27" i="109"/>
  <c r="S27" i="109"/>
  <c r="P29" i="109"/>
  <c r="S29" i="109"/>
  <c r="P31" i="109"/>
  <c r="S31" i="109"/>
  <c r="P33" i="109"/>
  <c r="S33" i="109"/>
  <c r="S17" i="109"/>
  <c r="P45" i="109"/>
  <c r="V18" i="109"/>
  <c r="X18" i="109"/>
  <c r="Z18" i="109"/>
  <c r="AB18" i="109"/>
  <c r="AD18" i="109"/>
  <c r="P49" i="109"/>
  <c r="P53" i="109"/>
  <c r="P59" i="109"/>
  <c r="P63" i="109"/>
  <c r="P67" i="109"/>
  <c r="P71" i="109"/>
  <c r="P75" i="109"/>
  <c r="P79" i="109"/>
  <c r="P83" i="109"/>
  <c r="P87" i="109"/>
  <c r="P91" i="109"/>
  <c r="P44" i="109"/>
  <c r="P48" i="109"/>
  <c r="V19" i="109"/>
  <c r="X19" i="109"/>
  <c r="Z19" i="109"/>
  <c r="AB19" i="109"/>
  <c r="AD19" i="109"/>
  <c r="P52" i="109"/>
  <c r="V20" i="109"/>
  <c r="X20" i="109"/>
  <c r="Z20" i="109"/>
  <c r="AB20" i="109"/>
  <c r="AD20" i="109"/>
  <c r="P56" i="109"/>
  <c r="P62" i="109"/>
  <c r="P70" i="109"/>
  <c r="P78" i="109"/>
  <c r="P86" i="109"/>
  <c r="P94" i="109"/>
  <c r="P102" i="109"/>
  <c r="D106" i="109"/>
  <c r="L106" i="109"/>
  <c r="P17" i="109"/>
  <c r="P43" i="109"/>
  <c r="O46" i="109"/>
  <c r="P46" i="109"/>
  <c r="P47" i="109"/>
  <c r="O50" i="109"/>
  <c r="P50" i="109"/>
  <c r="P51" i="109"/>
  <c r="O54" i="109"/>
  <c r="P54" i="109"/>
  <c r="P55" i="109"/>
  <c r="P58" i="109"/>
  <c r="P66" i="109"/>
  <c r="P74" i="109"/>
  <c r="P82" i="109"/>
  <c r="P90" i="109"/>
  <c r="P98" i="109"/>
  <c r="P57" i="109"/>
  <c r="V21" i="109"/>
  <c r="X21" i="109"/>
  <c r="Z21" i="109"/>
  <c r="AB21" i="109"/>
  <c r="AD21" i="109"/>
  <c r="O60" i="109"/>
  <c r="P60" i="109"/>
  <c r="P61" i="109"/>
  <c r="V22" i="109"/>
  <c r="X22" i="109"/>
  <c r="Z22" i="109"/>
  <c r="AB22" i="109"/>
  <c r="AD22" i="109"/>
  <c r="O64" i="109"/>
  <c r="P64" i="109"/>
  <c r="P65" i="109"/>
  <c r="V23" i="109"/>
  <c r="X23" i="109"/>
  <c r="Z23" i="109"/>
  <c r="AB23" i="109"/>
  <c r="AD23" i="109"/>
  <c r="O68" i="109"/>
  <c r="P68" i="109"/>
  <c r="P69" i="109"/>
  <c r="V24" i="109"/>
  <c r="X24" i="109"/>
  <c r="Z24" i="109"/>
  <c r="AB24" i="109"/>
  <c r="AD24" i="109"/>
  <c r="O72" i="109"/>
  <c r="P72" i="109"/>
  <c r="P73" i="109"/>
  <c r="V25" i="109"/>
  <c r="X25" i="109"/>
  <c r="Z25" i="109"/>
  <c r="AB25" i="109"/>
  <c r="AD25" i="109"/>
  <c r="O76" i="109"/>
  <c r="P76" i="109"/>
  <c r="P77" i="109"/>
  <c r="V26" i="109"/>
  <c r="X26" i="109"/>
  <c r="Z26" i="109"/>
  <c r="AB26" i="109"/>
  <c r="AD26" i="109"/>
  <c r="O80" i="109"/>
  <c r="P80" i="109"/>
  <c r="P81" i="109"/>
  <c r="V27" i="109"/>
  <c r="X27" i="109"/>
  <c r="Z27" i="109"/>
  <c r="AB27" i="109"/>
  <c r="AD27" i="109"/>
  <c r="O84" i="109"/>
  <c r="P84" i="109"/>
  <c r="P85" i="109"/>
  <c r="V28" i="109"/>
  <c r="X28" i="109"/>
  <c r="Z28" i="109"/>
  <c r="AB28" i="109"/>
  <c r="AD28" i="109"/>
  <c r="O88" i="109"/>
  <c r="P88" i="109"/>
  <c r="P89" i="109"/>
  <c r="V29" i="109"/>
  <c r="X29" i="109"/>
  <c r="Z29" i="109"/>
  <c r="AB29" i="109"/>
  <c r="AD29" i="109"/>
  <c r="O92" i="109"/>
  <c r="P92" i="109"/>
  <c r="P93" i="109"/>
  <c r="V30" i="109"/>
  <c r="X30" i="109"/>
  <c r="Z30" i="109"/>
  <c r="O96" i="109"/>
  <c r="P96" i="109"/>
  <c r="P97" i="109"/>
  <c r="O100" i="109"/>
  <c r="P100" i="109"/>
  <c r="P101" i="109"/>
  <c r="O104" i="109"/>
  <c r="P104" i="109"/>
  <c r="P105" i="109"/>
  <c r="V39" i="109"/>
  <c r="V21" i="98"/>
  <c r="V27" i="98" s="1"/>
  <c r="AD29" i="105"/>
  <c r="O10" i="109"/>
  <c r="S10" i="109"/>
  <c r="U10" i="109"/>
  <c r="W10" i="109"/>
  <c r="Y10" i="109"/>
  <c r="AA10" i="109"/>
  <c r="AC10" i="109"/>
  <c r="O11" i="109"/>
  <c r="O12" i="109"/>
  <c r="O13" i="109"/>
  <c r="O14" i="109"/>
  <c r="O15" i="109"/>
  <c r="O16" i="109"/>
  <c r="O17" i="109"/>
  <c r="O18" i="109"/>
  <c r="O19" i="109"/>
  <c r="O20" i="109"/>
  <c r="O21" i="109"/>
  <c r="O22" i="109"/>
  <c r="O23" i="109"/>
  <c r="O24" i="109"/>
  <c r="O25" i="109"/>
  <c r="O26" i="109"/>
  <c r="O27" i="109"/>
  <c r="O28" i="109"/>
  <c r="O29" i="109"/>
  <c r="O30" i="109"/>
  <c r="S36" i="109"/>
  <c r="W36" i="109"/>
  <c r="AA36" i="109"/>
  <c r="H106" i="109"/>
  <c r="F106" i="109"/>
  <c r="J106" i="109"/>
  <c r="N106" i="109"/>
  <c r="P10" i="109"/>
  <c r="T10" i="109"/>
  <c r="V10" i="109"/>
  <c r="Z10" i="109"/>
  <c r="AB10" i="109"/>
  <c r="AD10" i="109"/>
  <c r="T18" i="109"/>
  <c r="T19" i="109"/>
  <c r="T20" i="109"/>
  <c r="T21" i="109"/>
  <c r="T22" i="109"/>
  <c r="T23" i="109"/>
  <c r="T24" i="109"/>
  <c r="T25" i="109"/>
  <c r="T26" i="109"/>
  <c r="T27" i="109"/>
  <c r="T28" i="109"/>
  <c r="T29" i="109"/>
  <c r="T30" i="109"/>
  <c r="O31" i="109"/>
  <c r="O32" i="109"/>
  <c r="O33" i="109"/>
  <c r="O34" i="109"/>
  <c r="O35" i="109"/>
  <c r="O36" i="109"/>
  <c r="U36" i="109"/>
  <c r="Y36" i="109"/>
  <c r="AC36" i="109"/>
  <c r="O37" i="109"/>
  <c r="O38" i="109"/>
  <c r="O39" i="109"/>
  <c r="O40" i="109"/>
  <c r="O41" i="109"/>
  <c r="O42" i="109"/>
  <c r="AB30" i="109"/>
  <c r="AD30" i="109"/>
  <c r="P95" i="109"/>
  <c r="T31" i="109"/>
  <c r="V31" i="109"/>
  <c r="X31" i="109"/>
  <c r="Z31" i="109"/>
  <c r="AB31" i="109"/>
  <c r="AD31" i="109"/>
  <c r="P99" i="109"/>
  <c r="T32" i="109"/>
  <c r="V32" i="109"/>
  <c r="X32" i="109"/>
  <c r="Z32" i="109"/>
  <c r="AB32" i="109"/>
  <c r="AD32" i="109"/>
  <c r="P103" i="109"/>
  <c r="T33" i="109"/>
  <c r="V33" i="109"/>
  <c r="X33" i="109"/>
  <c r="Z33" i="109"/>
  <c r="AB33" i="109"/>
  <c r="AD33" i="109"/>
  <c r="O43" i="109"/>
  <c r="O45" i="109"/>
  <c r="O47" i="109"/>
  <c r="O49" i="109"/>
  <c r="O51" i="109"/>
  <c r="O53" i="109"/>
  <c r="O55" i="109"/>
  <c r="O57" i="109"/>
  <c r="O59" i="109"/>
  <c r="O61" i="109"/>
  <c r="O63" i="109"/>
  <c r="O65" i="109"/>
  <c r="O67" i="109"/>
  <c r="O69" i="109"/>
  <c r="O71" i="109"/>
  <c r="O73" i="109"/>
  <c r="O75" i="109"/>
  <c r="O77" i="109"/>
  <c r="O79" i="109"/>
  <c r="O81" i="109"/>
  <c r="O83" i="109"/>
  <c r="O85" i="109"/>
  <c r="O87" i="109"/>
  <c r="O89" i="109"/>
  <c r="O91" i="109"/>
  <c r="O93" i="109"/>
  <c r="O95" i="109"/>
  <c r="O97" i="109"/>
  <c r="O99" i="109"/>
  <c r="O101" i="109"/>
  <c r="O103" i="109"/>
  <c r="O105" i="109"/>
  <c r="V13" i="97"/>
  <c r="U15" i="99"/>
  <c r="Z17" i="101"/>
  <c r="S21" i="105"/>
  <c r="S39" i="105" s="1"/>
  <c r="Y24" i="105"/>
  <c r="U20" i="95"/>
  <c r="AB20" i="105"/>
  <c r="AB39" i="105" s="1"/>
  <c r="U13" i="94"/>
  <c r="W13" i="94"/>
  <c r="Y13" i="94"/>
  <c r="AA13" i="94"/>
  <c r="AC13" i="94"/>
  <c r="Y15" i="94"/>
  <c r="AC15" i="94"/>
  <c r="U16" i="94"/>
  <c r="Y16" i="94"/>
  <c r="AC16" i="94"/>
  <c r="U17" i="94"/>
  <c r="AC17" i="94"/>
  <c r="Y18" i="94"/>
  <c r="AC18" i="94"/>
  <c r="U19" i="94"/>
  <c r="V14" i="94"/>
  <c r="X14" i="94"/>
  <c r="Z14" i="94"/>
  <c r="AB14" i="94"/>
  <c r="AD14" i="94"/>
  <c r="AA21" i="94"/>
  <c r="T13" i="105"/>
  <c r="AB13" i="105"/>
  <c r="T14" i="105"/>
  <c r="V14" i="105"/>
  <c r="X14" i="105"/>
  <c r="Z14" i="105"/>
  <c r="AB14" i="105"/>
  <c r="AD14" i="105"/>
  <c r="W15" i="105"/>
  <c r="Y39" i="105"/>
  <c r="T12" i="105"/>
  <c r="V12" i="105"/>
  <c r="Z12" i="105"/>
  <c r="AB12" i="105"/>
  <c r="AD12" i="105"/>
  <c r="V13" i="105"/>
  <c r="X13" i="105"/>
  <c r="Z13" i="105"/>
  <c r="AD13" i="105"/>
  <c r="V11" i="105"/>
  <c r="Z11" i="105"/>
  <c r="AD11" i="105"/>
  <c r="AC39" i="105"/>
  <c r="U12" i="105"/>
  <c r="W12" i="105"/>
  <c r="Y12" i="105"/>
  <c r="AA12" i="105"/>
  <c r="AC12" i="105"/>
  <c r="P16" i="105"/>
  <c r="U11" i="105"/>
  <c r="W11" i="105"/>
  <c r="Y11" i="105"/>
  <c r="AA11" i="105"/>
  <c r="AC11" i="105"/>
  <c r="O17" i="105"/>
  <c r="O18" i="105"/>
  <c r="O19" i="105"/>
  <c r="O20" i="105"/>
  <c r="P21" i="105"/>
  <c r="P22" i="105"/>
  <c r="U13" i="105"/>
  <c r="W13" i="105"/>
  <c r="Y13" i="105"/>
  <c r="AA13" i="105"/>
  <c r="AC13" i="105"/>
  <c r="S14" i="105"/>
  <c r="U14" i="105"/>
  <c r="W14" i="105"/>
  <c r="Y14" i="105"/>
  <c r="AA14" i="105"/>
  <c r="AC14" i="105"/>
  <c r="S15" i="105"/>
  <c r="AA15" i="105"/>
  <c r="U15" i="105"/>
  <c r="Y15" i="105"/>
  <c r="Y38" i="105" s="1"/>
  <c r="AC15" i="105"/>
  <c r="P12" i="105"/>
  <c r="S12" i="105"/>
  <c r="P13" i="105"/>
  <c r="S13" i="105"/>
  <c r="S38" i="105" s="1"/>
  <c r="P14" i="105"/>
  <c r="P15" i="105"/>
  <c r="P32" i="105"/>
  <c r="P34" i="105"/>
  <c r="P35" i="105"/>
  <c r="P36" i="105"/>
  <c r="P37" i="105"/>
  <c r="P38" i="105"/>
  <c r="P39" i="105"/>
  <c r="P40" i="105"/>
  <c r="P41" i="105"/>
  <c r="P42" i="105"/>
  <c r="P43" i="105"/>
  <c r="P44" i="105"/>
  <c r="P45" i="105"/>
  <c r="P46" i="105"/>
  <c r="P47" i="105"/>
  <c r="P48" i="105"/>
  <c r="P49" i="105"/>
  <c r="P50" i="105"/>
  <c r="P51" i="105"/>
  <c r="P52" i="105"/>
  <c r="P53" i="105"/>
  <c r="P54" i="105"/>
  <c r="P55" i="105"/>
  <c r="P56" i="105"/>
  <c r="P57" i="105"/>
  <c r="P58" i="105"/>
  <c r="P59" i="105"/>
  <c r="P60" i="105"/>
  <c r="P61" i="105"/>
  <c r="P63" i="105"/>
  <c r="P64" i="105"/>
  <c r="P65" i="105"/>
  <c r="P67" i="105"/>
  <c r="P68" i="105"/>
  <c r="P69" i="105"/>
  <c r="P71" i="105"/>
  <c r="P72" i="105"/>
  <c r="P73" i="105"/>
  <c r="P75" i="105"/>
  <c r="P76" i="105"/>
  <c r="P77" i="105"/>
  <c r="P79" i="105"/>
  <c r="P80" i="105"/>
  <c r="P81" i="105"/>
  <c r="P83" i="105"/>
  <c r="P84" i="105"/>
  <c r="P85" i="105"/>
  <c r="P87" i="105"/>
  <c r="P88" i="105"/>
  <c r="P89" i="105"/>
  <c r="P91" i="105"/>
  <c r="P92" i="105"/>
  <c r="P93" i="105"/>
  <c r="P95" i="105"/>
  <c r="P96" i="105"/>
  <c r="P97" i="105"/>
  <c r="P98" i="105"/>
  <c r="P99" i="105"/>
  <c r="P100" i="105"/>
  <c r="P101" i="105"/>
  <c r="P103" i="105"/>
  <c r="P104" i="105"/>
  <c r="P105" i="105"/>
  <c r="P62" i="105"/>
  <c r="S23" i="105"/>
  <c r="P66" i="105"/>
  <c r="S24" i="105"/>
  <c r="P70" i="105"/>
  <c r="S25" i="105"/>
  <c r="P74" i="105"/>
  <c r="S26" i="105"/>
  <c r="P78" i="105"/>
  <c r="S27" i="105"/>
  <c r="P82" i="105"/>
  <c r="S28" i="105"/>
  <c r="P86" i="105"/>
  <c r="S29" i="105"/>
  <c r="P90" i="105"/>
  <c r="S30" i="105"/>
  <c r="I106" i="105"/>
  <c r="K106" i="105"/>
  <c r="M106" i="105"/>
  <c r="P11" i="105"/>
  <c r="P23" i="105"/>
  <c r="P24" i="105"/>
  <c r="P25" i="105"/>
  <c r="P26" i="105"/>
  <c r="P27" i="105"/>
  <c r="P28" i="105"/>
  <c r="P29" i="105"/>
  <c r="P30" i="105"/>
  <c r="T15" i="105"/>
  <c r="V15" i="105"/>
  <c r="X15" i="105"/>
  <c r="Z15" i="105"/>
  <c r="AB15" i="105"/>
  <c r="AD15" i="105"/>
  <c r="S11" i="105"/>
  <c r="P94" i="105"/>
  <c r="S31" i="105"/>
  <c r="P102" i="105"/>
  <c r="S33" i="105"/>
  <c r="H106" i="105"/>
  <c r="J106" i="105"/>
  <c r="L106" i="105"/>
  <c r="N106" i="105"/>
  <c r="P17" i="105"/>
  <c r="P18" i="105"/>
  <c r="P19" i="105"/>
  <c r="P20" i="105"/>
  <c r="S32" i="105"/>
  <c r="P31" i="105"/>
  <c r="P33" i="105"/>
  <c r="D106" i="105"/>
  <c r="T10" i="105"/>
  <c r="F106" i="105"/>
  <c r="V10" i="105"/>
  <c r="C106" i="105"/>
  <c r="P10" i="105"/>
  <c r="S10" i="105"/>
  <c r="O10" i="105"/>
  <c r="E106" i="105"/>
  <c r="U10" i="105"/>
  <c r="G106" i="105"/>
  <c r="W10" i="105"/>
  <c r="Y10" i="105"/>
  <c r="AA10" i="105"/>
  <c r="AC10" i="105"/>
  <c r="O11" i="105"/>
  <c r="O12" i="105"/>
  <c r="O13" i="105"/>
  <c r="O14" i="105"/>
  <c r="O15" i="105"/>
  <c r="O16" i="105"/>
  <c r="O21" i="105"/>
  <c r="O22" i="105"/>
  <c r="O23" i="105"/>
  <c r="O24" i="105"/>
  <c r="O25" i="105"/>
  <c r="O26" i="105"/>
  <c r="O27" i="105"/>
  <c r="O28" i="105"/>
  <c r="O29" i="105"/>
  <c r="O30" i="105"/>
  <c r="O31" i="105"/>
  <c r="O32" i="105"/>
  <c r="O33" i="105"/>
  <c r="O34" i="105"/>
  <c r="O35" i="105"/>
  <c r="O36" i="105"/>
  <c r="W36" i="105"/>
  <c r="Y36" i="105"/>
  <c r="AA36" i="105"/>
  <c r="AC36" i="105"/>
  <c r="O37" i="105"/>
  <c r="O38" i="105"/>
  <c r="O39" i="105"/>
  <c r="O40" i="105"/>
  <c r="O41" i="105"/>
  <c r="O42" i="105"/>
  <c r="O43" i="105"/>
  <c r="O44" i="105"/>
  <c r="O45" i="105"/>
  <c r="O46" i="105"/>
  <c r="O47" i="105"/>
  <c r="O48" i="105"/>
  <c r="O49" i="105"/>
  <c r="O50" i="105"/>
  <c r="O51" i="105"/>
  <c r="O52" i="105"/>
  <c r="O53" i="105"/>
  <c r="O54" i="105"/>
  <c r="O55" i="105"/>
  <c r="O56" i="105"/>
  <c r="O57" i="105"/>
  <c r="O58" i="105"/>
  <c r="O59" i="105"/>
  <c r="O60" i="105"/>
  <c r="O61" i="105"/>
  <c r="O62" i="105"/>
  <c r="O63" i="105"/>
  <c r="O64" i="105"/>
  <c r="O65" i="105"/>
  <c r="O66" i="105"/>
  <c r="O67" i="105"/>
  <c r="O68" i="105"/>
  <c r="O69" i="105"/>
  <c r="O70" i="105"/>
  <c r="O71" i="105"/>
  <c r="O72" i="105"/>
  <c r="O73" i="105"/>
  <c r="O74" i="105"/>
  <c r="O75" i="105"/>
  <c r="O76" i="105"/>
  <c r="O77" i="105"/>
  <c r="O78" i="105"/>
  <c r="O79" i="105"/>
  <c r="O80" i="105"/>
  <c r="O81" i="105"/>
  <c r="O82" i="105"/>
  <c r="O83" i="105"/>
  <c r="O84" i="105"/>
  <c r="X10" i="105"/>
  <c r="Z10" i="105"/>
  <c r="AB10" i="105"/>
  <c r="AD10" i="105"/>
  <c r="T36" i="105"/>
  <c r="V36" i="105"/>
  <c r="X36" i="105"/>
  <c r="Z36" i="105"/>
  <c r="AD36" i="105"/>
  <c r="O85" i="105"/>
  <c r="O86" i="105"/>
  <c r="O87" i="105"/>
  <c r="O88" i="105"/>
  <c r="O89" i="105"/>
  <c r="O90" i="105"/>
  <c r="O91" i="105"/>
  <c r="O92" i="105"/>
  <c r="O93" i="105"/>
  <c r="O94" i="105"/>
  <c r="O95" i="105"/>
  <c r="O96" i="105"/>
  <c r="O97" i="105"/>
  <c r="O98" i="105"/>
  <c r="O99" i="105"/>
  <c r="O100" i="105"/>
  <c r="O101" i="105"/>
  <c r="O102" i="105"/>
  <c r="O103" i="105"/>
  <c r="O104" i="105"/>
  <c r="O105" i="105"/>
  <c r="D106" i="101"/>
  <c r="F106" i="101"/>
  <c r="H106" i="101"/>
  <c r="J106" i="101"/>
  <c r="L106" i="101"/>
  <c r="N106" i="101"/>
  <c r="M106" i="101"/>
  <c r="K106" i="101"/>
  <c r="I106" i="101"/>
  <c r="G106" i="101"/>
  <c r="E106" i="101"/>
  <c r="C106" i="101"/>
  <c r="U17" i="96"/>
  <c r="V18" i="98"/>
  <c r="AC16" i="96"/>
  <c r="U18" i="94"/>
  <c r="AC16" i="95"/>
  <c r="AB18" i="97"/>
  <c r="AB26" i="97" s="1"/>
  <c r="AC20" i="99"/>
  <c r="AC24" i="99" s="1"/>
  <c r="AD20" i="98"/>
  <c r="AD27" i="98" s="1"/>
  <c r="U14" i="95"/>
  <c r="U26" i="95" s="1"/>
  <c r="T39" i="101"/>
  <c r="AC18" i="95"/>
  <c r="W16" i="99"/>
  <c r="Y20" i="99"/>
  <c r="Y27" i="99" s="1"/>
  <c r="AC16" i="98"/>
  <c r="AC23" i="98" s="1"/>
  <c r="AD13" i="98"/>
  <c r="U14" i="96"/>
  <c r="AC32" i="101"/>
  <c r="AA32" i="101"/>
  <c r="Y32" i="101"/>
  <c r="W32" i="101"/>
  <c r="U32" i="101"/>
  <c r="AC30" i="101"/>
  <c r="AA30" i="101"/>
  <c r="Y30" i="101"/>
  <c r="W30" i="101"/>
  <c r="U30" i="101"/>
  <c r="AC28" i="101"/>
  <c r="AA28" i="101"/>
  <c r="Y28" i="101"/>
  <c r="W28" i="101"/>
  <c r="U28" i="101"/>
  <c r="AC26" i="101"/>
  <c r="AA26" i="101"/>
  <c r="Y26" i="101"/>
  <c r="W26" i="101"/>
  <c r="U26" i="101"/>
  <c r="AC24" i="101"/>
  <c r="AA24" i="101"/>
  <c r="Y24" i="101"/>
  <c r="W24" i="101"/>
  <c r="U24" i="101"/>
  <c r="AC22" i="101"/>
  <c r="AA22" i="101"/>
  <c r="Y22" i="101"/>
  <c r="W22" i="101"/>
  <c r="U22" i="101"/>
  <c r="AD33" i="101"/>
  <c r="AB33" i="101"/>
  <c r="Z33" i="101"/>
  <c r="X33" i="101"/>
  <c r="V33" i="101"/>
  <c r="T33" i="101"/>
  <c r="AD31" i="101"/>
  <c r="AB31" i="101"/>
  <c r="Z31" i="101"/>
  <c r="X31" i="101"/>
  <c r="V31" i="101"/>
  <c r="T31" i="101"/>
  <c r="AD29" i="101"/>
  <c r="AB29" i="101"/>
  <c r="Z29" i="101"/>
  <c r="X29" i="101"/>
  <c r="V29" i="101"/>
  <c r="T29" i="101"/>
  <c r="AD27" i="101"/>
  <c r="AB27" i="101"/>
  <c r="Z27" i="101"/>
  <c r="X27" i="101"/>
  <c r="V27" i="101"/>
  <c r="T27" i="101"/>
  <c r="AD25" i="101"/>
  <c r="AB25" i="101"/>
  <c r="Z25" i="101"/>
  <c r="X25" i="101"/>
  <c r="V25" i="101"/>
  <c r="T25" i="101"/>
  <c r="AD23" i="101"/>
  <c r="AC33" i="101"/>
  <c r="AA33" i="101"/>
  <c r="Y33" i="101"/>
  <c r="W33" i="101"/>
  <c r="U33" i="101"/>
  <c r="AC31" i="101"/>
  <c r="AA31" i="101"/>
  <c r="Y31" i="101"/>
  <c r="W31" i="101"/>
  <c r="U31" i="101"/>
  <c r="AC29" i="101"/>
  <c r="AA29" i="101"/>
  <c r="Y29" i="101"/>
  <c r="W29" i="101"/>
  <c r="U29" i="101"/>
  <c r="AC27" i="101"/>
  <c r="AA27" i="101"/>
  <c r="Y27" i="101"/>
  <c r="W27" i="101"/>
  <c r="U27" i="101"/>
  <c r="AC25" i="101"/>
  <c r="AA25" i="101"/>
  <c r="Y25" i="101"/>
  <c r="W25" i="101"/>
  <c r="U25" i="101"/>
  <c r="AC23" i="101"/>
  <c r="AA23" i="101"/>
  <c r="Y23" i="101"/>
  <c r="W23" i="101"/>
  <c r="U23" i="101"/>
  <c r="AD32" i="101"/>
  <c r="AB32" i="101"/>
  <c r="Z32" i="101"/>
  <c r="X32" i="101"/>
  <c r="V32" i="101"/>
  <c r="T32" i="101"/>
  <c r="AD30" i="101"/>
  <c r="AB30" i="101"/>
  <c r="Z30" i="101"/>
  <c r="X30" i="101"/>
  <c r="V30" i="101"/>
  <c r="T30" i="101"/>
  <c r="AD28" i="101"/>
  <c r="AB28" i="101"/>
  <c r="Z28" i="101"/>
  <c r="X28" i="101"/>
  <c r="V28" i="101"/>
  <c r="T28" i="101"/>
  <c r="AD26" i="101"/>
  <c r="AB26" i="101"/>
  <c r="Z26" i="101"/>
  <c r="X26" i="101"/>
  <c r="V26" i="101"/>
  <c r="T26" i="101"/>
  <c r="AD24" i="101"/>
  <c r="AB24" i="101"/>
  <c r="Z24" i="101"/>
  <c r="X24" i="101"/>
  <c r="V24" i="101"/>
  <c r="T24" i="101"/>
  <c r="AB23" i="101"/>
  <c r="Z23" i="101"/>
  <c r="X23" i="101"/>
  <c r="V23" i="101"/>
  <c r="T23" i="101"/>
  <c r="AD22" i="101"/>
  <c r="AB22" i="101"/>
  <c r="Z22" i="101"/>
  <c r="X22" i="101"/>
  <c r="V22" i="101"/>
  <c r="T22" i="101"/>
  <c r="S33" i="101"/>
  <c r="S32" i="101"/>
  <c r="S31" i="101"/>
  <c r="S30" i="101"/>
  <c r="S29" i="101"/>
  <c r="S28" i="101"/>
  <c r="S27" i="101"/>
  <c r="S26" i="101"/>
  <c r="S25" i="101"/>
  <c r="S24" i="101"/>
  <c r="AB17" i="95"/>
  <c r="S22" i="101"/>
  <c r="S23" i="101"/>
  <c r="Z19" i="95"/>
  <c r="Z27" i="95" s="1"/>
  <c r="V14" i="98"/>
  <c r="AA16" i="100"/>
  <c r="AA26" i="100" s="1"/>
  <c r="Z13" i="95"/>
  <c r="V14" i="99"/>
  <c r="V26" i="99" s="1"/>
  <c r="T21" i="98"/>
  <c r="T27" i="98" s="1"/>
  <c r="AB14" i="95"/>
  <c r="U15" i="101"/>
  <c r="P105" i="101"/>
  <c r="Y17" i="94"/>
  <c r="P77" i="101"/>
  <c r="P22" i="104"/>
  <c r="P23" i="104"/>
  <c r="P24" i="104"/>
  <c r="O30" i="104"/>
  <c r="O34" i="104"/>
  <c r="O38" i="104"/>
  <c r="O42" i="104"/>
  <c r="O46" i="104"/>
  <c r="O50" i="104"/>
  <c r="O54" i="104"/>
  <c r="P69" i="101"/>
  <c r="P91" i="101"/>
  <c r="U15" i="94"/>
  <c r="W17" i="96"/>
  <c r="Z19" i="98"/>
  <c r="AC24" i="103"/>
  <c r="P81" i="101"/>
  <c r="P63" i="101"/>
  <c r="P97" i="101"/>
  <c r="P73" i="101"/>
  <c r="Y19" i="94"/>
  <c r="P95" i="101"/>
  <c r="P79" i="101"/>
  <c r="P71" i="101"/>
  <c r="P59" i="101"/>
  <c r="P101" i="101"/>
  <c r="P88" i="101"/>
  <c r="P83" i="101"/>
  <c r="P75" i="101"/>
  <c r="P67" i="101"/>
  <c r="Y14" i="100"/>
  <c r="P99" i="101"/>
  <c r="P93" i="101"/>
  <c r="P85" i="101"/>
  <c r="P65" i="101"/>
  <c r="P103" i="101"/>
  <c r="P61" i="101"/>
  <c r="O104" i="101"/>
  <c r="O102" i="101"/>
  <c r="O100" i="101"/>
  <c r="O98" i="101"/>
  <c r="O96" i="101"/>
  <c r="O94" i="101"/>
  <c r="O92" i="101"/>
  <c r="O89" i="101"/>
  <c r="O86" i="101"/>
  <c r="O84" i="101"/>
  <c r="O82" i="101"/>
  <c r="O80" i="101"/>
  <c r="O78" i="101"/>
  <c r="O76" i="101"/>
  <c r="O74" i="101"/>
  <c r="O72" i="101"/>
  <c r="O70" i="101"/>
  <c r="O68" i="101"/>
  <c r="O66" i="101"/>
  <c r="O64" i="101"/>
  <c r="O62" i="101"/>
  <c r="O60" i="101"/>
  <c r="O58" i="101"/>
  <c r="O105" i="101"/>
  <c r="P104" i="101"/>
  <c r="O103" i="101"/>
  <c r="P102" i="101"/>
  <c r="AF33" i="101" s="1"/>
  <c r="O101" i="101"/>
  <c r="P100" i="101"/>
  <c r="O99" i="101"/>
  <c r="P98" i="101"/>
  <c r="AF32" i="101" s="1"/>
  <c r="O97" i="101"/>
  <c r="P96" i="101"/>
  <c r="O95" i="101"/>
  <c r="P94" i="101"/>
  <c r="O93" i="101"/>
  <c r="P92" i="101"/>
  <c r="O91" i="101"/>
  <c r="P90" i="101"/>
  <c r="O90" i="101"/>
  <c r="P89" i="101"/>
  <c r="O88" i="101"/>
  <c r="P87" i="101"/>
  <c r="O87" i="101"/>
  <c r="P86" i="101"/>
  <c r="O85" i="101"/>
  <c r="P84" i="101"/>
  <c r="O83" i="101"/>
  <c r="P82" i="101"/>
  <c r="AF28" i="101" s="1"/>
  <c r="O81" i="101"/>
  <c r="P80" i="101"/>
  <c r="O79" i="101"/>
  <c r="P78" i="101"/>
  <c r="O77" i="101"/>
  <c r="P76" i="101"/>
  <c r="O75" i="101"/>
  <c r="P74" i="101"/>
  <c r="O73" i="101"/>
  <c r="P72" i="101"/>
  <c r="O71" i="101"/>
  <c r="P70" i="101"/>
  <c r="AF25" i="101" s="1"/>
  <c r="O69" i="101"/>
  <c r="P68" i="101"/>
  <c r="O67" i="101"/>
  <c r="P66" i="101"/>
  <c r="O65" i="101"/>
  <c r="P64" i="101"/>
  <c r="O63" i="101"/>
  <c r="P62" i="101"/>
  <c r="O61" i="101"/>
  <c r="P60" i="101"/>
  <c r="O59" i="101"/>
  <c r="P58" i="101"/>
  <c r="Y18" i="96"/>
  <c r="AC14" i="94"/>
  <c r="Y13" i="100"/>
  <c r="Y15" i="97"/>
  <c r="Y23" i="97" s="1"/>
  <c r="Y16" i="95"/>
  <c r="AA18" i="96"/>
  <c r="AA23" i="96" s="1"/>
  <c r="W20" i="98"/>
  <c r="W24" i="98" s="1"/>
  <c r="AD16" i="96"/>
  <c r="AD23" i="96" s="1"/>
  <c r="Z18" i="95"/>
  <c r="Z26" i="95" s="1"/>
  <c r="Y14" i="94"/>
  <c r="Y21" i="96"/>
  <c r="Y24" i="96" s="1"/>
  <c r="Y15" i="101"/>
  <c r="AA17" i="94"/>
  <c r="V21" i="95"/>
  <c r="X13" i="95"/>
  <c r="X23" i="95" s="1"/>
  <c r="W16" i="94"/>
  <c r="AC20" i="94"/>
  <c r="V15" i="95"/>
  <c r="V26" i="95" s="1"/>
  <c r="U14" i="94"/>
  <c r="P17" i="104"/>
  <c r="S17" i="104"/>
  <c r="V11" i="103"/>
  <c r="AD12" i="101"/>
  <c r="AD11" i="103"/>
  <c r="T11" i="104"/>
  <c r="X11" i="104"/>
  <c r="AB11" i="104"/>
  <c r="U12" i="101"/>
  <c r="W12" i="101"/>
  <c r="Y12" i="101"/>
  <c r="AA12" i="101"/>
  <c r="AC12" i="101"/>
  <c r="V26" i="103"/>
  <c r="AD26" i="103"/>
  <c r="T10" i="104"/>
  <c r="F58" i="104"/>
  <c r="X10" i="104"/>
  <c r="J58" i="104"/>
  <c r="AB10" i="104"/>
  <c r="N58" i="104"/>
  <c r="P14" i="104"/>
  <c r="U11" i="104"/>
  <c r="W11" i="104"/>
  <c r="Y11" i="104"/>
  <c r="AA11" i="104"/>
  <c r="AC11" i="104"/>
  <c r="P18" i="104"/>
  <c r="U12" i="104"/>
  <c r="W12" i="104"/>
  <c r="Y12" i="104"/>
  <c r="AA12" i="104"/>
  <c r="AC12" i="104"/>
  <c r="T12" i="104"/>
  <c r="X12" i="104"/>
  <c r="AB12" i="104"/>
  <c r="P21" i="104"/>
  <c r="S21" i="104"/>
  <c r="V11" i="101"/>
  <c r="T11" i="103"/>
  <c r="X11" i="103"/>
  <c r="Z11" i="103"/>
  <c r="AB11" i="103"/>
  <c r="S13" i="104"/>
  <c r="S15" i="104"/>
  <c r="S19" i="104"/>
  <c r="AC36" i="101"/>
  <c r="Y24" i="103"/>
  <c r="AC27" i="103"/>
  <c r="T14" i="103"/>
  <c r="X14" i="103"/>
  <c r="AB14" i="103"/>
  <c r="W15" i="104"/>
  <c r="W17" i="104"/>
  <c r="W19" i="104"/>
  <c r="W21" i="104"/>
  <c r="W18" i="94"/>
  <c r="D58" i="103"/>
  <c r="F58" i="103"/>
  <c r="H58" i="103"/>
  <c r="J58" i="103"/>
  <c r="L58" i="103"/>
  <c r="N58" i="103"/>
  <c r="Z26" i="103"/>
  <c r="U11" i="103"/>
  <c r="W11" i="103"/>
  <c r="Y11" i="103"/>
  <c r="AA11" i="103"/>
  <c r="AC11" i="103"/>
  <c r="T13" i="103"/>
  <c r="T26" i="103" s="1"/>
  <c r="X13" i="103"/>
  <c r="X23" i="103" s="1"/>
  <c r="AB13" i="103"/>
  <c r="AB26" i="103" s="1"/>
  <c r="P25" i="103"/>
  <c r="P26" i="103"/>
  <c r="P27" i="103"/>
  <c r="U27" i="103"/>
  <c r="P11" i="104"/>
  <c r="W10" i="104"/>
  <c r="S11" i="104"/>
  <c r="P12" i="104"/>
  <c r="S12" i="104"/>
  <c r="P13" i="104"/>
  <c r="P15" i="104"/>
  <c r="P16" i="104"/>
  <c r="P19" i="104"/>
  <c r="P20" i="104"/>
  <c r="X26" i="103"/>
  <c r="AA26" i="104"/>
  <c r="P34" i="104"/>
  <c r="P42" i="104"/>
  <c r="P50" i="104"/>
  <c r="V11" i="99"/>
  <c r="T12" i="99"/>
  <c r="V12" i="99"/>
  <c r="X12" i="99"/>
  <c r="Z12" i="99"/>
  <c r="AB12" i="99"/>
  <c r="AD12" i="99"/>
  <c r="T12" i="101"/>
  <c r="V12" i="101"/>
  <c r="X12" i="101"/>
  <c r="Z12" i="101"/>
  <c r="AB12" i="101"/>
  <c r="E58" i="103"/>
  <c r="G58" i="103"/>
  <c r="I58" i="103"/>
  <c r="K58" i="103"/>
  <c r="M58" i="103"/>
  <c r="P11" i="103"/>
  <c r="P12" i="103"/>
  <c r="P13" i="103"/>
  <c r="P14" i="103"/>
  <c r="P15" i="103"/>
  <c r="P16" i="103"/>
  <c r="P17" i="103"/>
  <c r="P18" i="103"/>
  <c r="P19" i="103"/>
  <c r="P20" i="103"/>
  <c r="P21" i="103"/>
  <c r="P22" i="103"/>
  <c r="U13" i="103"/>
  <c r="W13" i="103"/>
  <c r="Y13" i="103"/>
  <c r="AA13" i="103"/>
  <c r="AC13" i="103"/>
  <c r="P23" i="103"/>
  <c r="P24" i="103"/>
  <c r="P28" i="103"/>
  <c r="P29" i="103"/>
  <c r="P30" i="103"/>
  <c r="P31" i="103"/>
  <c r="U15" i="103"/>
  <c r="W15" i="103"/>
  <c r="Y15" i="103"/>
  <c r="AA15" i="103"/>
  <c r="AC15" i="103"/>
  <c r="P32" i="103"/>
  <c r="P33" i="103"/>
  <c r="P34" i="103"/>
  <c r="P35" i="103"/>
  <c r="U16" i="103"/>
  <c r="W16" i="103"/>
  <c r="Y16" i="103"/>
  <c r="AA16" i="103"/>
  <c r="S10" i="104"/>
  <c r="S16" i="104"/>
  <c r="S18" i="104"/>
  <c r="S20" i="104"/>
  <c r="U15" i="104"/>
  <c r="Y15" i="104"/>
  <c r="AC15" i="104"/>
  <c r="P30" i="104"/>
  <c r="U17" i="104"/>
  <c r="Y17" i="104"/>
  <c r="AC17" i="104"/>
  <c r="P38" i="104"/>
  <c r="U19" i="104"/>
  <c r="Y19" i="104"/>
  <c r="AC19" i="104"/>
  <c r="P46" i="104"/>
  <c r="U21" i="104"/>
  <c r="Y21" i="104"/>
  <c r="AC21" i="104"/>
  <c r="P54" i="104"/>
  <c r="AC16" i="103"/>
  <c r="P36" i="103"/>
  <c r="P37" i="103"/>
  <c r="P39" i="103"/>
  <c r="P40" i="103"/>
  <c r="P41" i="103"/>
  <c r="P42" i="103"/>
  <c r="P43" i="103"/>
  <c r="P44" i="103"/>
  <c r="P45" i="103"/>
  <c r="P46" i="103"/>
  <c r="P47" i="103"/>
  <c r="P48" i="103"/>
  <c r="P49" i="103"/>
  <c r="P50" i="103"/>
  <c r="P51" i="103"/>
  <c r="P52" i="103"/>
  <c r="P53" i="103"/>
  <c r="P54" i="103"/>
  <c r="P55" i="103"/>
  <c r="P56" i="103"/>
  <c r="P57" i="103"/>
  <c r="E58" i="104"/>
  <c r="G58" i="104"/>
  <c r="I58" i="104"/>
  <c r="K58" i="104"/>
  <c r="M58" i="104"/>
  <c r="AA10" i="104"/>
  <c r="V13" i="104"/>
  <c r="X13" i="104"/>
  <c r="Z13" i="104"/>
  <c r="AB13" i="104"/>
  <c r="AD13" i="104"/>
  <c r="P27" i="104"/>
  <c r="P28" i="104"/>
  <c r="P29" i="104"/>
  <c r="O32" i="104"/>
  <c r="P32" i="104"/>
  <c r="P33" i="104"/>
  <c r="O36" i="104"/>
  <c r="P36" i="104"/>
  <c r="P37" i="104"/>
  <c r="O40" i="104"/>
  <c r="P40" i="104"/>
  <c r="P41" i="104"/>
  <c r="O44" i="104"/>
  <c r="P44" i="104"/>
  <c r="P45" i="104"/>
  <c r="O48" i="104"/>
  <c r="P48" i="104"/>
  <c r="P49" i="104"/>
  <c r="O52" i="104"/>
  <c r="P52" i="104"/>
  <c r="P53" i="104"/>
  <c r="O56" i="104"/>
  <c r="P56" i="104"/>
  <c r="P57" i="104"/>
  <c r="P10" i="103"/>
  <c r="C58" i="103"/>
  <c r="O10" i="103"/>
  <c r="U10" i="103"/>
  <c r="Y10" i="103"/>
  <c r="AC10" i="103"/>
  <c r="O11" i="103"/>
  <c r="O12" i="103"/>
  <c r="O13" i="103"/>
  <c r="O14" i="103"/>
  <c r="O15" i="103"/>
  <c r="O16" i="103"/>
  <c r="O17" i="103"/>
  <c r="O18" i="103"/>
  <c r="O19" i="103"/>
  <c r="O20" i="103"/>
  <c r="O21" i="103"/>
  <c r="O22" i="103"/>
  <c r="O23" i="103"/>
  <c r="O24" i="103"/>
  <c r="O25" i="103"/>
  <c r="O26" i="103"/>
  <c r="O27" i="103"/>
  <c r="O28" i="103"/>
  <c r="O29" i="103"/>
  <c r="O31" i="103"/>
  <c r="O33" i="103"/>
  <c r="O35" i="103"/>
  <c r="O37" i="103"/>
  <c r="T11" i="101"/>
  <c r="X11" i="101"/>
  <c r="Z11" i="101"/>
  <c r="AB11" i="101"/>
  <c r="AD11" i="101"/>
  <c r="Y39" i="101"/>
  <c r="Y36" i="101"/>
  <c r="S10" i="103"/>
  <c r="W10" i="103"/>
  <c r="AA10" i="103"/>
  <c r="S11" i="103"/>
  <c r="S12" i="103"/>
  <c r="S13" i="103"/>
  <c r="S14" i="103"/>
  <c r="S15" i="103"/>
  <c r="S16" i="103"/>
  <c r="S24" i="103"/>
  <c r="W24" i="103"/>
  <c r="AA24" i="103"/>
  <c r="O30" i="103"/>
  <c r="O32" i="103"/>
  <c r="O34" i="103"/>
  <c r="O36" i="103"/>
  <c r="P38" i="103"/>
  <c r="O38" i="103"/>
  <c r="O39" i="103"/>
  <c r="O40" i="103"/>
  <c r="O41" i="103"/>
  <c r="O42" i="103"/>
  <c r="O43" i="103"/>
  <c r="O44" i="103"/>
  <c r="O45" i="103"/>
  <c r="O46" i="103"/>
  <c r="O47" i="103"/>
  <c r="O48" i="103"/>
  <c r="O49" i="103"/>
  <c r="O50" i="103"/>
  <c r="O51" i="103"/>
  <c r="O52" i="103"/>
  <c r="O53" i="103"/>
  <c r="O54" i="103"/>
  <c r="O55" i="103"/>
  <c r="O56" i="103"/>
  <c r="O57" i="103"/>
  <c r="AA27" i="104"/>
  <c r="AA24" i="104"/>
  <c r="AA23" i="104"/>
  <c r="P25" i="104"/>
  <c r="T13" i="104"/>
  <c r="P26" i="104"/>
  <c r="T14" i="104"/>
  <c r="H58" i="104"/>
  <c r="Z13" i="101"/>
  <c r="T10" i="103"/>
  <c r="V10" i="103"/>
  <c r="X10" i="103"/>
  <c r="Z10" i="103"/>
  <c r="AB10" i="103"/>
  <c r="AD10" i="103"/>
  <c r="V23" i="103"/>
  <c r="Z23" i="103"/>
  <c r="AD23" i="103"/>
  <c r="T24" i="103"/>
  <c r="V24" i="103"/>
  <c r="X24" i="103"/>
  <c r="Z24" i="103"/>
  <c r="AB24" i="103"/>
  <c r="AD24" i="103"/>
  <c r="C58" i="104"/>
  <c r="P10" i="104"/>
  <c r="O10" i="104"/>
  <c r="U10" i="104"/>
  <c r="Y10" i="104"/>
  <c r="AC10" i="104"/>
  <c r="O11" i="104"/>
  <c r="O12" i="104"/>
  <c r="O13" i="104"/>
  <c r="O14" i="104"/>
  <c r="O15" i="104"/>
  <c r="O16" i="104"/>
  <c r="O17" i="104"/>
  <c r="O18" i="104"/>
  <c r="O19" i="104"/>
  <c r="O20" i="104"/>
  <c r="O21" i="104"/>
  <c r="O22" i="104"/>
  <c r="O23" i="104"/>
  <c r="O24" i="104"/>
  <c r="P31" i="104"/>
  <c r="T15" i="104"/>
  <c r="V15" i="104"/>
  <c r="X15" i="104"/>
  <c r="Z15" i="104"/>
  <c r="AB15" i="104"/>
  <c r="AD15" i="104"/>
  <c r="P35" i="104"/>
  <c r="T16" i="104"/>
  <c r="V16" i="104"/>
  <c r="X16" i="104"/>
  <c r="Z16" i="104"/>
  <c r="AB16" i="104"/>
  <c r="AD16" i="104"/>
  <c r="P39" i="104"/>
  <c r="T17" i="104"/>
  <c r="V17" i="104"/>
  <c r="X17" i="104"/>
  <c r="Z17" i="104"/>
  <c r="AB17" i="104"/>
  <c r="AD17" i="104"/>
  <c r="P43" i="104"/>
  <c r="T18" i="104"/>
  <c r="V18" i="104"/>
  <c r="X18" i="104"/>
  <c r="Z18" i="104"/>
  <c r="AB18" i="104"/>
  <c r="AD18" i="104"/>
  <c r="P47" i="104"/>
  <c r="T19" i="104"/>
  <c r="V19" i="104"/>
  <c r="X19" i="104"/>
  <c r="Z19" i="104"/>
  <c r="AB19" i="104"/>
  <c r="AD19" i="104"/>
  <c r="P51" i="104"/>
  <c r="T20" i="104"/>
  <c r="V20" i="104"/>
  <c r="X20" i="104"/>
  <c r="Z20" i="104"/>
  <c r="AB20" i="104"/>
  <c r="AD20" i="104"/>
  <c r="P55" i="104"/>
  <c r="T21" i="104"/>
  <c r="V21" i="104"/>
  <c r="X21" i="104"/>
  <c r="Z21" i="104"/>
  <c r="AB21" i="104"/>
  <c r="AD21" i="104"/>
  <c r="D58" i="104"/>
  <c r="L58" i="104"/>
  <c r="V10" i="104"/>
  <c r="Z10" i="104"/>
  <c r="AD10" i="104"/>
  <c r="O25" i="104"/>
  <c r="O26" i="104"/>
  <c r="O27" i="104"/>
  <c r="O28" i="104"/>
  <c r="O29" i="104"/>
  <c r="O31" i="104"/>
  <c r="O33" i="104"/>
  <c r="O35" i="104"/>
  <c r="O37" i="104"/>
  <c r="O39" i="104"/>
  <c r="O41" i="104"/>
  <c r="O43" i="104"/>
  <c r="O45" i="104"/>
  <c r="O47" i="104"/>
  <c r="O49" i="104"/>
  <c r="O51" i="104"/>
  <c r="O53" i="104"/>
  <c r="O55" i="104"/>
  <c r="O57" i="104"/>
  <c r="AB12" i="98"/>
  <c r="U36" i="101"/>
  <c r="U39" i="101"/>
  <c r="AC39" i="101"/>
  <c r="T14" i="101"/>
  <c r="X14" i="101"/>
  <c r="AB14" i="101"/>
  <c r="U11" i="101"/>
  <c r="W11" i="101"/>
  <c r="Y11" i="101"/>
  <c r="AA11" i="101"/>
  <c r="AC11" i="101"/>
  <c r="T13" i="101"/>
  <c r="X13" i="101"/>
  <c r="AB13" i="101"/>
  <c r="P25" i="101"/>
  <c r="P26" i="101"/>
  <c r="P27" i="101"/>
  <c r="AA12" i="97"/>
  <c r="T12" i="98"/>
  <c r="P21" i="100"/>
  <c r="P23" i="100"/>
  <c r="P24" i="100"/>
  <c r="O34" i="100"/>
  <c r="O42" i="100"/>
  <c r="O50" i="100"/>
  <c r="O54" i="100"/>
  <c r="P11" i="101"/>
  <c r="P12" i="101"/>
  <c r="P13" i="101"/>
  <c r="P14" i="101"/>
  <c r="P15" i="101"/>
  <c r="P16" i="101"/>
  <c r="P17" i="101"/>
  <c r="P18" i="101"/>
  <c r="P19" i="101"/>
  <c r="P20" i="101"/>
  <c r="P21" i="101"/>
  <c r="P22" i="101"/>
  <c r="U13" i="101"/>
  <c r="W13" i="101"/>
  <c r="W35" i="101" s="1"/>
  <c r="Y13" i="101"/>
  <c r="AA13" i="101"/>
  <c r="AA35" i="101" s="1"/>
  <c r="AC13" i="101"/>
  <c r="AC35" i="101" s="1"/>
  <c r="P23" i="101"/>
  <c r="P24" i="101"/>
  <c r="P28" i="101"/>
  <c r="P29" i="101"/>
  <c r="P31" i="101"/>
  <c r="P32" i="101"/>
  <c r="P33" i="101"/>
  <c r="P34" i="101"/>
  <c r="P35" i="101"/>
  <c r="P36" i="101"/>
  <c r="P37" i="101"/>
  <c r="P38" i="101"/>
  <c r="P39" i="101"/>
  <c r="P40" i="101"/>
  <c r="P41" i="101"/>
  <c r="P42" i="101"/>
  <c r="P43" i="101"/>
  <c r="P44" i="101"/>
  <c r="P45" i="101"/>
  <c r="P46" i="101"/>
  <c r="P47" i="101"/>
  <c r="P48" i="101"/>
  <c r="P49" i="101"/>
  <c r="P50" i="101"/>
  <c r="P51" i="101"/>
  <c r="P52" i="101"/>
  <c r="P53" i="101"/>
  <c r="P54" i="101"/>
  <c r="P55" i="101"/>
  <c r="P56" i="101"/>
  <c r="P57" i="101"/>
  <c r="AC11" i="95"/>
  <c r="O38" i="100"/>
  <c r="S17" i="100"/>
  <c r="P10" i="101"/>
  <c r="O10" i="101"/>
  <c r="U10" i="101"/>
  <c r="Y10" i="101"/>
  <c r="AC10" i="101"/>
  <c r="O11" i="101"/>
  <c r="O12" i="101"/>
  <c r="O13" i="101"/>
  <c r="O14" i="101"/>
  <c r="O15" i="101"/>
  <c r="O16" i="101"/>
  <c r="O17" i="101"/>
  <c r="O18" i="101"/>
  <c r="O19" i="101"/>
  <c r="O20" i="101"/>
  <c r="O21" i="101"/>
  <c r="O22" i="101"/>
  <c r="O23" i="101"/>
  <c r="O24" i="101"/>
  <c r="O25" i="101"/>
  <c r="O26" i="101"/>
  <c r="O27" i="101"/>
  <c r="O28" i="101"/>
  <c r="O29" i="101"/>
  <c r="U11" i="97"/>
  <c r="S10" i="101"/>
  <c r="W10" i="101"/>
  <c r="AA10" i="101"/>
  <c r="S11" i="101"/>
  <c r="S12" i="101"/>
  <c r="S13" i="101"/>
  <c r="S14" i="101"/>
  <c r="S36" i="101"/>
  <c r="W36" i="101"/>
  <c r="AA36" i="101"/>
  <c r="P30" i="101"/>
  <c r="O30" i="101"/>
  <c r="O31" i="101"/>
  <c r="O32" i="101"/>
  <c r="O33" i="101"/>
  <c r="O34" i="101"/>
  <c r="O35" i="101"/>
  <c r="O36" i="101"/>
  <c r="O37" i="101"/>
  <c r="O38" i="101"/>
  <c r="O39" i="101"/>
  <c r="O40" i="101"/>
  <c r="O41" i="101"/>
  <c r="O42" i="101"/>
  <c r="O43" i="101"/>
  <c r="O44" i="101"/>
  <c r="O45" i="101"/>
  <c r="O46" i="101"/>
  <c r="O47" i="101"/>
  <c r="O48" i="101"/>
  <c r="O49" i="101"/>
  <c r="O50" i="101"/>
  <c r="O51" i="101"/>
  <c r="O52" i="101"/>
  <c r="O53" i="101"/>
  <c r="O54" i="101"/>
  <c r="O55" i="101"/>
  <c r="O56" i="101"/>
  <c r="O57" i="101"/>
  <c r="U11" i="96"/>
  <c r="W11" i="96"/>
  <c r="Y11" i="96"/>
  <c r="AA11" i="96"/>
  <c r="AC11" i="96"/>
  <c r="Y11" i="97"/>
  <c r="T11" i="99"/>
  <c r="X11" i="99"/>
  <c r="Z11" i="99"/>
  <c r="AB11" i="99"/>
  <c r="AD11" i="99"/>
  <c r="U12" i="99"/>
  <c r="W12" i="99"/>
  <c r="Y12" i="99"/>
  <c r="AA12" i="99"/>
  <c r="AC12" i="99"/>
  <c r="P17" i="100"/>
  <c r="T10" i="101"/>
  <c r="V10" i="101"/>
  <c r="X10" i="101"/>
  <c r="Z10" i="101"/>
  <c r="AB10" i="101"/>
  <c r="AD10" i="101"/>
  <c r="AD35" i="101"/>
  <c r="T36" i="101"/>
  <c r="V36" i="101"/>
  <c r="X36" i="101"/>
  <c r="Z36" i="101"/>
  <c r="AB36" i="101"/>
  <c r="AD36" i="101"/>
  <c r="V27" i="96"/>
  <c r="S11" i="97"/>
  <c r="W11" i="97"/>
  <c r="AA11" i="97"/>
  <c r="S12" i="97"/>
  <c r="U12" i="97"/>
  <c r="W12" i="97"/>
  <c r="Y12" i="97"/>
  <c r="AC12" i="97"/>
  <c r="Z13" i="99"/>
  <c r="Z26" i="99" s="1"/>
  <c r="T10" i="100"/>
  <c r="T22" i="100" s="1"/>
  <c r="X10" i="100"/>
  <c r="AB10" i="100"/>
  <c r="AB22" i="100" s="1"/>
  <c r="V11" i="100"/>
  <c r="Z11" i="100"/>
  <c r="AD11" i="100"/>
  <c r="U12" i="100"/>
  <c r="W12" i="100"/>
  <c r="Y12" i="100"/>
  <c r="AA12" i="100"/>
  <c r="AC12" i="100"/>
  <c r="V12" i="100"/>
  <c r="Z12" i="100"/>
  <c r="AD12" i="100"/>
  <c r="P22" i="100"/>
  <c r="S13" i="100"/>
  <c r="O30" i="100"/>
  <c r="S15" i="100"/>
  <c r="W15" i="100"/>
  <c r="W17" i="100"/>
  <c r="O46" i="100"/>
  <c r="S19" i="100"/>
  <c r="W19" i="100"/>
  <c r="W21" i="100"/>
  <c r="U11" i="95"/>
  <c r="Y11" i="95"/>
  <c r="P13" i="96"/>
  <c r="P20" i="96"/>
  <c r="P22" i="96"/>
  <c r="P23" i="96"/>
  <c r="P24" i="96"/>
  <c r="O25" i="96"/>
  <c r="O26" i="96"/>
  <c r="O27" i="96"/>
  <c r="O28" i="96"/>
  <c r="O29" i="96"/>
  <c r="O31" i="96"/>
  <c r="O32" i="96"/>
  <c r="O33" i="96"/>
  <c r="O34" i="96"/>
  <c r="O35" i="96"/>
  <c r="O36" i="96"/>
  <c r="O37" i="96"/>
  <c r="O39" i="96"/>
  <c r="O40" i="96"/>
  <c r="O41" i="96"/>
  <c r="O43" i="96"/>
  <c r="O44" i="96"/>
  <c r="O45" i="96"/>
  <c r="O47" i="96"/>
  <c r="O48" i="96"/>
  <c r="O49" i="96"/>
  <c r="O50" i="96"/>
  <c r="O51" i="96"/>
  <c r="O52" i="96"/>
  <c r="O53" i="96"/>
  <c r="O55" i="96"/>
  <c r="O56" i="96"/>
  <c r="O57" i="96"/>
  <c r="C58" i="97"/>
  <c r="E58" i="97"/>
  <c r="G58" i="97"/>
  <c r="I58" i="97"/>
  <c r="K58" i="97"/>
  <c r="M58" i="97"/>
  <c r="O12" i="97"/>
  <c r="O13" i="97"/>
  <c r="T11" i="97"/>
  <c r="V11" i="97"/>
  <c r="X11" i="97"/>
  <c r="Z11" i="97"/>
  <c r="AB11" i="97"/>
  <c r="AD11" i="97"/>
  <c r="O16" i="97"/>
  <c r="O17" i="97"/>
  <c r="X11" i="98"/>
  <c r="V12" i="98"/>
  <c r="X12" i="98"/>
  <c r="Z12" i="98"/>
  <c r="AD12" i="98"/>
  <c r="D58" i="99"/>
  <c r="F58" i="99"/>
  <c r="H58" i="99"/>
  <c r="J58" i="99"/>
  <c r="L58" i="99"/>
  <c r="N58" i="99"/>
  <c r="U24" i="99"/>
  <c r="U27" i="99"/>
  <c r="T14" i="99"/>
  <c r="X14" i="99"/>
  <c r="AB14" i="99"/>
  <c r="F58" i="100"/>
  <c r="J58" i="100"/>
  <c r="N58" i="100"/>
  <c r="P14" i="100"/>
  <c r="S11" i="100"/>
  <c r="U11" i="100"/>
  <c r="W11" i="100"/>
  <c r="Y11" i="100"/>
  <c r="AA11" i="100"/>
  <c r="AC11" i="100"/>
  <c r="P18" i="100"/>
  <c r="S12" i="100"/>
  <c r="S21" i="100"/>
  <c r="U11" i="99"/>
  <c r="W11" i="99"/>
  <c r="Y11" i="99"/>
  <c r="AA11" i="99"/>
  <c r="AC11" i="99"/>
  <c r="T13" i="99"/>
  <c r="X13" i="99"/>
  <c r="AB13" i="99"/>
  <c r="P25" i="99"/>
  <c r="P26" i="99"/>
  <c r="P27" i="99"/>
  <c r="P11" i="100"/>
  <c r="W10" i="100"/>
  <c r="P12" i="100"/>
  <c r="P13" i="100"/>
  <c r="P15" i="100"/>
  <c r="P16" i="100"/>
  <c r="P19" i="100"/>
  <c r="P20" i="100"/>
  <c r="P34" i="100"/>
  <c r="P42" i="100"/>
  <c r="P50" i="100"/>
  <c r="O14" i="97"/>
  <c r="O15" i="97"/>
  <c r="P20" i="98"/>
  <c r="P23" i="98"/>
  <c r="P24" i="98"/>
  <c r="O25" i="98"/>
  <c r="O27" i="98"/>
  <c r="O28" i="98"/>
  <c r="O29" i="98"/>
  <c r="O30" i="98"/>
  <c r="O31" i="98"/>
  <c r="O32" i="98"/>
  <c r="O33" i="98"/>
  <c r="O35" i="98"/>
  <c r="O36" i="98"/>
  <c r="O37" i="98"/>
  <c r="O38" i="98"/>
  <c r="O39" i="98"/>
  <c r="O40" i="98"/>
  <c r="O41" i="98"/>
  <c r="O43" i="98"/>
  <c r="O44" i="98"/>
  <c r="O45" i="98"/>
  <c r="O47" i="98"/>
  <c r="O48" i="98"/>
  <c r="O49" i="98"/>
  <c r="O50" i="98"/>
  <c r="O51" i="98"/>
  <c r="O52" i="98"/>
  <c r="O53" i="98"/>
  <c r="O55" i="98"/>
  <c r="O56" i="98"/>
  <c r="O57" i="98"/>
  <c r="E58" i="99"/>
  <c r="G58" i="99"/>
  <c r="I58" i="99"/>
  <c r="K58" i="99"/>
  <c r="M58" i="99"/>
  <c r="P11" i="99"/>
  <c r="P12" i="99"/>
  <c r="P13" i="99"/>
  <c r="P14" i="99"/>
  <c r="P15" i="99"/>
  <c r="P16" i="99"/>
  <c r="P17" i="99"/>
  <c r="P18" i="99"/>
  <c r="P19" i="99"/>
  <c r="P20" i="99"/>
  <c r="P21" i="99"/>
  <c r="P22" i="99"/>
  <c r="U13" i="99"/>
  <c r="W13" i="99"/>
  <c r="Y13" i="99"/>
  <c r="Y26" i="99" s="1"/>
  <c r="AA13" i="99"/>
  <c r="AA26" i="99" s="1"/>
  <c r="AC13" i="99"/>
  <c r="AC23" i="99" s="1"/>
  <c r="P23" i="99"/>
  <c r="P24" i="99"/>
  <c r="P28" i="99"/>
  <c r="P29" i="99"/>
  <c r="P30" i="99"/>
  <c r="P31" i="99"/>
  <c r="P32" i="99"/>
  <c r="P33" i="99"/>
  <c r="P34" i="99"/>
  <c r="P35" i="99"/>
  <c r="S10" i="100"/>
  <c r="S16" i="100"/>
  <c r="S18" i="100"/>
  <c r="S20" i="100"/>
  <c r="U15" i="100"/>
  <c r="Y15" i="100"/>
  <c r="AC15" i="100"/>
  <c r="P30" i="100"/>
  <c r="U17" i="100"/>
  <c r="Y17" i="100"/>
  <c r="AC17" i="100"/>
  <c r="P38" i="100"/>
  <c r="U19" i="100"/>
  <c r="Y19" i="100"/>
  <c r="AC19" i="100"/>
  <c r="P46" i="100"/>
  <c r="U21" i="100"/>
  <c r="Y21" i="100"/>
  <c r="AC21" i="100"/>
  <c r="P54" i="100"/>
  <c r="P36" i="99"/>
  <c r="P37" i="99"/>
  <c r="P38" i="99"/>
  <c r="P39" i="99"/>
  <c r="P40" i="99"/>
  <c r="P41" i="99"/>
  <c r="P42" i="99"/>
  <c r="P43" i="99"/>
  <c r="P44" i="99"/>
  <c r="P45" i="99"/>
  <c r="P46" i="99"/>
  <c r="P47" i="99"/>
  <c r="P48" i="99"/>
  <c r="P49" i="99"/>
  <c r="P50" i="99"/>
  <c r="P51" i="99"/>
  <c r="P52" i="99"/>
  <c r="P53" i="99"/>
  <c r="P54" i="99"/>
  <c r="P55" i="99"/>
  <c r="P56" i="99"/>
  <c r="P57" i="99"/>
  <c r="E58" i="100"/>
  <c r="G58" i="100"/>
  <c r="I58" i="100"/>
  <c r="K58" i="100"/>
  <c r="M58" i="100"/>
  <c r="AA10" i="100"/>
  <c r="V13" i="100"/>
  <c r="X13" i="100"/>
  <c r="Z13" i="100"/>
  <c r="AB13" i="100"/>
  <c r="AD13" i="100"/>
  <c r="P27" i="100"/>
  <c r="P28" i="100"/>
  <c r="P29" i="100"/>
  <c r="O32" i="100"/>
  <c r="P32" i="100"/>
  <c r="P33" i="100"/>
  <c r="O36" i="100"/>
  <c r="P36" i="100"/>
  <c r="P37" i="100"/>
  <c r="O40" i="100"/>
  <c r="P40" i="100"/>
  <c r="P41" i="100"/>
  <c r="O44" i="100"/>
  <c r="P44" i="100"/>
  <c r="P45" i="100"/>
  <c r="O48" i="100"/>
  <c r="P48" i="100"/>
  <c r="P49" i="100"/>
  <c r="O52" i="100"/>
  <c r="P52" i="100"/>
  <c r="P53" i="100"/>
  <c r="O56" i="100"/>
  <c r="P56" i="100"/>
  <c r="P57" i="100"/>
  <c r="P10" i="99"/>
  <c r="C58" i="99"/>
  <c r="O10" i="99"/>
  <c r="U10" i="99"/>
  <c r="Y10" i="99"/>
  <c r="AC10" i="99"/>
  <c r="O11" i="99"/>
  <c r="O12" i="99"/>
  <c r="O13" i="99"/>
  <c r="O14" i="99"/>
  <c r="O15" i="99"/>
  <c r="O16" i="99"/>
  <c r="O17" i="99"/>
  <c r="O18" i="99"/>
  <c r="O19" i="99"/>
  <c r="O20" i="99"/>
  <c r="O21" i="99"/>
  <c r="O22" i="99"/>
  <c r="O23" i="99"/>
  <c r="O24" i="99"/>
  <c r="O25" i="99"/>
  <c r="O26" i="99"/>
  <c r="O27" i="99"/>
  <c r="S10" i="99"/>
  <c r="W10" i="99"/>
  <c r="AA10" i="99"/>
  <c r="S11" i="99"/>
  <c r="S12" i="99"/>
  <c r="S13" i="99"/>
  <c r="S14" i="99"/>
  <c r="S24" i="99"/>
  <c r="W24" i="99"/>
  <c r="AA24" i="99"/>
  <c r="O28" i="99"/>
  <c r="O29" i="99"/>
  <c r="O30" i="99"/>
  <c r="O31" i="99"/>
  <c r="O32" i="99"/>
  <c r="O33" i="99"/>
  <c r="O34" i="99"/>
  <c r="O35" i="99"/>
  <c r="O36" i="99"/>
  <c r="O37" i="99"/>
  <c r="O38" i="99"/>
  <c r="O39" i="99"/>
  <c r="O40" i="99"/>
  <c r="O41" i="99"/>
  <c r="O42" i="99"/>
  <c r="O43" i="99"/>
  <c r="O44" i="99"/>
  <c r="O45" i="99"/>
  <c r="O46" i="99"/>
  <c r="O47" i="99"/>
  <c r="O48" i="99"/>
  <c r="O49" i="99"/>
  <c r="O50" i="99"/>
  <c r="O51" i="99"/>
  <c r="O52" i="99"/>
  <c r="O53" i="99"/>
  <c r="O54" i="99"/>
  <c r="O55" i="99"/>
  <c r="O56" i="99"/>
  <c r="O57" i="99"/>
  <c r="AA27" i="100"/>
  <c r="AA24" i="100"/>
  <c r="P25" i="100"/>
  <c r="T13" i="100"/>
  <c r="P26" i="100"/>
  <c r="T14" i="100"/>
  <c r="H58" i="100"/>
  <c r="P45" i="97"/>
  <c r="P46" i="97"/>
  <c r="P47" i="97"/>
  <c r="P48" i="97"/>
  <c r="T11" i="98"/>
  <c r="V11" i="98"/>
  <c r="Z11" i="98"/>
  <c r="AB11" i="98"/>
  <c r="AD11" i="98"/>
  <c r="T10" i="99"/>
  <c r="V10" i="99"/>
  <c r="X10" i="99"/>
  <c r="Z10" i="99"/>
  <c r="AB10" i="99"/>
  <c r="AD10" i="99"/>
  <c r="T24" i="99"/>
  <c r="V24" i="99"/>
  <c r="Z24" i="99"/>
  <c r="AD24" i="99"/>
  <c r="C58" i="100"/>
  <c r="P10" i="100"/>
  <c r="O10" i="100"/>
  <c r="U10" i="100"/>
  <c r="Y10" i="100"/>
  <c r="AC10" i="100"/>
  <c r="O11" i="100"/>
  <c r="O12" i="100"/>
  <c r="O13" i="100"/>
  <c r="O14" i="100"/>
  <c r="O15" i="100"/>
  <c r="O16" i="100"/>
  <c r="O17" i="100"/>
  <c r="O18" i="100"/>
  <c r="O19" i="100"/>
  <c r="O20" i="100"/>
  <c r="O21" i="100"/>
  <c r="O22" i="100"/>
  <c r="O23" i="100"/>
  <c r="O24" i="100"/>
  <c r="P31" i="100"/>
  <c r="T15" i="100"/>
  <c r="V15" i="100"/>
  <c r="X15" i="100"/>
  <c r="Z15" i="100"/>
  <c r="AB15" i="100"/>
  <c r="AD15" i="100"/>
  <c r="P35" i="100"/>
  <c r="T16" i="100"/>
  <c r="V16" i="100"/>
  <c r="X16" i="100"/>
  <c r="Z16" i="100"/>
  <c r="AB16" i="100"/>
  <c r="AD16" i="100"/>
  <c r="P39" i="100"/>
  <c r="T17" i="100"/>
  <c r="V17" i="100"/>
  <c r="X17" i="100"/>
  <c r="Z17" i="100"/>
  <c r="AB17" i="100"/>
  <c r="AD17" i="100"/>
  <c r="P43" i="100"/>
  <c r="T18" i="100"/>
  <c r="V18" i="100"/>
  <c r="X18" i="100"/>
  <c r="Z18" i="100"/>
  <c r="AB18" i="100"/>
  <c r="AD18" i="100"/>
  <c r="P47" i="100"/>
  <c r="T19" i="100"/>
  <c r="V19" i="100"/>
  <c r="X19" i="100"/>
  <c r="Z19" i="100"/>
  <c r="AB19" i="100"/>
  <c r="AD19" i="100"/>
  <c r="P51" i="100"/>
  <c r="T20" i="100"/>
  <c r="V20" i="100"/>
  <c r="X20" i="100"/>
  <c r="Z20" i="100"/>
  <c r="AB20" i="100"/>
  <c r="AD20" i="100"/>
  <c r="P55" i="100"/>
  <c r="T21" i="100"/>
  <c r="V21" i="100"/>
  <c r="X21" i="100"/>
  <c r="Z21" i="100"/>
  <c r="AB21" i="100"/>
  <c r="AD21" i="100"/>
  <c r="D58" i="100"/>
  <c r="L58" i="100"/>
  <c r="V10" i="100"/>
  <c r="Z10" i="100"/>
  <c r="AD10" i="100"/>
  <c r="O25" i="100"/>
  <c r="O26" i="100"/>
  <c r="O27" i="100"/>
  <c r="O28" i="100"/>
  <c r="O29" i="100"/>
  <c r="O31" i="100"/>
  <c r="O33" i="100"/>
  <c r="O35" i="100"/>
  <c r="O37" i="100"/>
  <c r="O39" i="100"/>
  <c r="O41" i="100"/>
  <c r="O43" i="100"/>
  <c r="O45" i="100"/>
  <c r="O47" i="100"/>
  <c r="O49" i="100"/>
  <c r="O51" i="100"/>
  <c r="O53" i="100"/>
  <c r="O55" i="100"/>
  <c r="O57" i="100"/>
  <c r="O46" i="98"/>
  <c r="S19" i="98"/>
  <c r="T12" i="97"/>
  <c r="V12" i="97"/>
  <c r="X12" i="97"/>
  <c r="Z12" i="97"/>
  <c r="AB12" i="97"/>
  <c r="AD12" i="97"/>
  <c r="U11" i="98"/>
  <c r="W11" i="98"/>
  <c r="Y11" i="98"/>
  <c r="AA11" i="98"/>
  <c r="AC11" i="98"/>
  <c r="S15" i="98"/>
  <c r="V12" i="94"/>
  <c r="S11" i="95"/>
  <c r="W11" i="95"/>
  <c r="AA11" i="95"/>
  <c r="Z12" i="95"/>
  <c r="O20" i="97"/>
  <c r="O22" i="97"/>
  <c r="O23" i="97"/>
  <c r="O24" i="97"/>
  <c r="O25" i="97"/>
  <c r="O26" i="97"/>
  <c r="O27" i="97"/>
  <c r="O28" i="97"/>
  <c r="O29" i="97"/>
  <c r="O30" i="97"/>
  <c r="O31" i="97"/>
  <c r="O32" i="97"/>
  <c r="O33" i="97"/>
  <c r="O34" i="97"/>
  <c r="O35" i="97"/>
  <c r="O37" i="97"/>
  <c r="O38" i="97"/>
  <c r="O39" i="97"/>
  <c r="O40" i="97"/>
  <c r="O41" i="97"/>
  <c r="O42" i="97"/>
  <c r="O43" i="97"/>
  <c r="O44" i="97"/>
  <c r="P17" i="98"/>
  <c r="U12" i="98"/>
  <c r="W12" i="98"/>
  <c r="Y12" i="98"/>
  <c r="AA12" i="98"/>
  <c r="AC12" i="98"/>
  <c r="W26" i="97"/>
  <c r="AA26" i="97"/>
  <c r="P15" i="98"/>
  <c r="S11" i="98"/>
  <c r="P19" i="98"/>
  <c r="S12" i="98"/>
  <c r="U27" i="98"/>
  <c r="P22" i="98"/>
  <c r="S13" i="98"/>
  <c r="U26" i="98"/>
  <c r="W26" i="98"/>
  <c r="Y26" i="98"/>
  <c r="AA26" i="98"/>
  <c r="O26" i="98"/>
  <c r="S14" i="98"/>
  <c r="O34" i="98"/>
  <c r="S16" i="98"/>
  <c r="O42" i="98"/>
  <c r="S18" i="98"/>
  <c r="O54" i="98"/>
  <c r="S21" i="98"/>
  <c r="T11" i="95"/>
  <c r="V11" i="95"/>
  <c r="X11" i="95"/>
  <c r="Z11" i="95"/>
  <c r="AB11" i="95"/>
  <c r="AD11" i="95"/>
  <c r="D58" i="97"/>
  <c r="F58" i="97"/>
  <c r="H58" i="97"/>
  <c r="J58" i="97"/>
  <c r="L58" i="97"/>
  <c r="N58" i="97"/>
  <c r="T26" i="97"/>
  <c r="Z26" i="97"/>
  <c r="AD26" i="97"/>
  <c r="O18" i="97"/>
  <c r="S18" i="97"/>
  <c r="O19" i="97"/>
  <c r="S27" i="97"/>
  <c r="U27" i="97"/>
  <c r="W27" i="97"/>
  <c r="Y27" i="97"/>
  <c r="AA27" i="97"/>
  <c r="AC27" i="97"/>
  <c r="O21" i="97"/>
  <c r="P40" i="97"/>
  <c r="P41" i="97"/>
  <c r="P42" i="97"/>
  <c r="P43" i="97"/>
  <c r="P44" i="97"/>
  <c r="D58" i="98"/>
  <c r="F58" i="98"/>
  <c r="H58" i="98"/>
  <c r="J58" i="98"/>
  <c r="L58" i="98"/>
  <c r="N58" i="98"/>
  <c r="Z26" i="98"/>
  <c r="S17" i="98"/>
  <c r="S20" i="98"/>
  <c r="O45" i="97"/>
  <c r="O46" i="97"/>
  <c r="O47" i="97"/>
  <c r="O48" i="97"/>
  <c r="O49" i="97"/>
  <c r="O50" i="97"/>
  <c r="O51" i="97"/>
  <c r="O52" i="97"/>
  <c r="O53" i="97"/>
  <c r="O54" i="97"/>
  <c r="O55" i="97"/>
  <c r="O56" i="97"/>
  <c r="O57" i="97"/>
  <c r="C58" i="98"/>
  <c r="E58" i="98"/>
  <c r="G58" i="98"/>
  <c r="I58" i="98"/>
  <c r="K58" i="98"/>
  <c r="M58" i="98"/>
  <c r="P11" i="98"/>
  <c r="P12" i="98"/>
  <c r="P13" i="98"/>
  <c r="P14" i="98"/>
  <c r="P16" i="98"/>
  <c r="P18" i="98"/>
  <c r="P21" i="98"/>
  <c r="P43" i="98"/>
  <c r="P44" i="98"/>
  <c r="P45" i="98"/>
  <c r="P46" i="98"/>
  <c r="P47" i="98"/>
  <c r="P48" i="98"/>
  <c r="P49" i="98"/>
  <c r="P50" i="98"/>
  <c r="P51" i="98"/>
  <c r="P52" i="98"/>
  <c r="Z11" i="94"/>
  <c r="AD12" i="94"/>
  <c r="V12" i="95"/>
  <c r="AD12" i="95"/>
  <c r="T11" i="96"/>
  <c r="V11" i="96"/>
  <c r="X11" i="96"/>
  <c r="Z11" i="96"/>
  <c r="AB11" i="96"/>
  <c r="AD11" i="96"/>
  <c r="P10" i="97"/>
  <c r="T10" i="97"/>
  <c r="V10" i="97"/>
  <c r="X10" i="97"/>
  <c r="Z10" i="97"/>
  <c r="AB10" i="97"/>
  <c r="AD10" i="97"/>
  <c r="P11" i="97"/>
  <c r="P12" i="97"/>
  <c r="P13" i="97"/>
  <c r="P14" i="97"/>
  <c r="P15" i="97"/>
  <c r="P16" i="97"/>
  <c r="P17" i="97"/>
  <c r="P18" i="97"/>
  <c r="P19" i="97"/>
  <c r="P20" i="97"/>
  <c r="P21" i="97"/>
  <c r="P22" i="97"/>
  <c r="P23" i="97"/>
  <c r="T23" i="97"/>
  <c r="Z23" i="97"/>
  <c r="P24" i="97"/>
  <c r="T24" i="97"/>
  <c r="V24" i="97"/>
  <c r="X24" i="97"/>
  <c r="Z24" i="97"/>
  <c r="AB24" i="97"/>
  <c r="AD24" i="97"/>
  <c r="P25" i="97"/>
  <c r="P26" i="97"/>
  <c r="P27" i="97"/>
  <c r="P28" i="97"/>
  <c r="P29" i="97"/>
  <c r="P30" i="97"/>
  <c r="P31" i="97"/>
  <c r="P32" i="97"/>
  <c r="P33" i="97"/>
  <c r="P34" i="97"/>
  <c r="P35" i="97"/>
  <c r="S12" i="96"/>
  <c r="W12" i="96"/>
  <c r="AA12" i="96"/>
  <c r="O10" i="97"/>
  <c r="S10" i="97"/>
  <c r="U10" i="97"/>
  <c r="W10" i="97"/>
  <c r="Y10" i="97"/>
  <c r="AA10" i="97"/>
  <c r="AC10" i="97"/>
  <c r="W23" i="97"/>
  <c r="AA23" i="97"/>
  <c r="S24" i="97"/>
  <c r="U24" i="97"/>
  <c r="W24" i="97"/>
  <c r="Y24" i="97"/>
  <c r="AA24" i="97"/>
  <c r="AC24" i="97"/>
  <c r="O36" i="97"/>
  <c r="P36" i="97"/>
  <c r="P37" i="97"/>
  <c r="P38" i="97"/>
  <c r="P39" i="97"/>
  <c r="P49" i="97"/>
  <c r="P50" i="97"/>
  <c r="P51" i="97"/>
  <c r="P52" i="97"/>
  <c r="P53" i="97"/>
  <c r="P54" i="97"/>
  <c r="P55" i="97"/>
  <c r="P56" i="97"/>
  <c r="P57" i="97"/>
  <c r="O10" i="98"/>
  <c r="S10" i="98"/>
  <c r="U10" i="98"/>
  <c r="W10" i="98"/>
  <c r="Y10" i="98"/>
  <c r="AA10" i="98"/>
  <c r="AC10" i="98"/>
  <c r="O11" i="98"/>
  <c r="O12" i="98"/>
  <c r="O13" i="98"/>
  <c r="O14" i="98"/>
  <c r="O15" i="98"/>
  <c r="O16" i="98"/>
  <c r="O17" i="98"/>
  <c r="O18" i="98"/>
  <c r="O19" i="98"/>
  <c r="Y27" i="98"/>
  <c r="Y24" i="98"/>
  <c r="AA27" i="98"/>
  <c r="AA24" i="98"/>
  <c r="AC27" i="98"/>
  <c r="AC24" i="98"/>
  <c r="O20" i="98"/>
  <c r="O21" i="98"/>
  <c r="O22" i="98"/>
  <c r="O23" i="98"/>
  <c r="U23" i="98"/>
  <c r="W23" i="98"/>
  <c r="Y23" i="98"/>
  <c r="AA23" i="98"/>
  <c r="O24" i="98"/>
  <c r="U24" i="98"/>
  <c r="P10" i="98"/>
  <c r="T10" i="98"/>
  <c r="V10" i="98"/>
  <c r="X10" i="98"/>
  <c r="Z10" i="98"/>
  <c r="AB10" i="98"/>
  <c r="AD10" i="98"/>
  <c r="X27" i="98"/>
  <c r="X24" i="98"/>
  <c r="X23" i="98"/>
  <c r="Z23" i="98"/>
  <c r="P25" i="98"/>
  <c r="P26" i="98"/>
  <c r="P27" i="98"/>
  <c r="P28" i="98"/>
  <c r="P29" i="98"/>
  <c r="P30" i="98"/>
  <c r="P31" i="98"/>
  <c r="P32" i="98"/>
  <c r="P33" i="98"/>
  <c r="P34" i="98"/>
  <c r="P35" i="98"/>
  <c r="P36" i="98"/>
  <c r="P37" i="98"/>
  <c r="P38" i="98"/>
  <c r="P39" i="98"/>
  <c r="P40" i="98"/>
  <c r="P41" i="98"/>
  <c r="P42" i="98"/>
  <c r="P53" i="98"/>
  <c r="P54" i="98"/>
  <c r="P55" i="98"/>
  <c r="P56" i="98"/>
  <c r="P57" i="98"/>
  <c r="O42" i="96"/>
  <c r="S18" i="96"/>
  <c r="T11" i="94"/>
  <c r="V11" i="94"/>
  <c r="X11" i="94"/>
  <c r="AB11" i="94"/>
  <c r="AD11" i="94"/>
  <c r="T12" i="94"/>
  <c r="X12" i="94"/>
  <c r="Z12" i="94"/>
  <c r="AB12" i="94"/>
  <c r="D58" i="95"/>
  <c r="F58" i="95"/>
  <c r="H58" i="95"/>
  <c r="J58" i="95"/>
  <c r="L58" i="95"/>
  <c r="N58" i="95"/>
  <c r="T26" i="95"/>
  <c r="AD27" i="95"/>
  <c r="S13" i="96"/>
  <c r="P14" i="96"/>
  <c r="S11" i="96"/>
  <c r="S14" i="96"/>
  <c r="T12" i="95"/>
  <c r="X12" i="95"/>
  <c r="AB12" i="95"/>
  <c r="P21" i="95"/>
  <c r="P22" i="95"/>
  <c r="P23" i="95"/>
  <c r="P24" i="95"/>
  <c r="P25" i="95"/>
  <c r="P26" i="95"/>
  <c r="P27" i="95"/>
  <c r="P28" i="95"/>
  <c r="P29" i="95"/>
  <c r="P30" i="95"/>
  <c r="P31" i="95"/>
  <c r="P32" i="95"/>
  <c r="P33" i="95"/>
  <c r="P34" i="95"/>
  <c r="P35" i="95"/>
  <c r="O37" i="95"/>
  <c r="O39" i="95"/>
  <c r="O40" i="95"/>
  <c r="O41" i="95"/>
  <c r="O42" i="95"/>
  <c r="O43" i="95"/>
  <c r="O44" i="95"/>
  <c r="O45" i="95"/>
  <c r="O47" i="95"/>
  <c r="O48" i="95"/>
  <c r="O49" i="95"/>
  <c r="O50" i="95"/>
  <c r="O52" i="95"/>
  <c r="O53" i="95"/>
  <c r="O54" i="95"/>
  <c r="O55" i="95"/>
  <c r="O56" i="95"/>
  <c r="O57" i="95"/>
  <c r="C58" i="96"/>
  <c r="E58" i="96"/>
  <c r="G58" i="96"/>
  <c r="I58" i="96"/>
  <c r="K58" i="96"/>
  <c r="M58" i="96"/>
  <c r="P11" i="96"/>
  <c r="S10" i="94"/>
  <c r="W10" i="94"/>
  <c r="P18" i="95"/>
  <c r="T27" i="95"/>
  <c r="X27" i="95"/>
  <c r="AB27" i="95"/>
  <c r="P20" i="95"/>
  <c r="U12" i="95"/>
  <c r="W12" i="95"/>
  <c r="Y12" i="95"/>
  <c r="AA12" i="95"/>
  <c r="AC12" i="95"/>
  <c r="P12" i="96"/>
  <c r="P16" i="96"/>
  <c r="P18" i="96"/>
  <c r="U12" i="96"/>
  <c r="Y12" i="96"/>
  <c r="AC12" i="96"/>
  <c r="T12" i="96"/>
  <c r="V12" i="96"/>
  <c r="X12" i="96"/>
  <c r="Z12" i="96"/>
  <c r="AB12" i="96"/>
  <c r="AD12" i="96"/>
  <c r="O38" i="95"/>
  <c r="S17" i="95"/>
  <c r="O46" i="95"/>
  <c r="S19" i="95"/>
  <c r="Y27" i="95"/>
  <c r="AA27" i="95"/>
  <c r="O30" i="96"/>
  <c r="S15" i="96"/>
  <c r="O38" i="96"/>
  <c r="S17" i="96"/>
  <c r="O46" i="96"/>
  <c r="S19" i="96"/>
  <c r="U27" i="96"/>
  <c r="O54" i="96"/>
  <c r="S21" i="96"/>
  <c r="P14" i="94"/>
  <c r="U11" i="94"/>
  <c r="W11" i="94"/>
  <c r="Y11" i="94"/>
  <c r="AA11" i="94"/>
  <c r="AC11" i="94"/>
  <c r="P16" i="94"/>
  <c r="P18" i="94"/>
  <c r="U12" i="94"/>
  <c r="W12" i="94"/>
  <c r="Y12" i="94"/>
  <c r="AA12" i="94"/>
  <c r="AC12" i="94"/>
  <c r="P20" i="94"/>
  <c r="P22" i="94"/>
  <c r="P23" i="94"/>
  <c r="P24" i="94"/>
  <c r="O30" i="94"/>
  <c r="O34" i="94"/>
  <c r="O38" i="94"/>
  <c r="O42" i="94"/>
  <c r="O46" i="94"/>
  <c r="O50" i="94"/>
  <c r="O54" i="94"/>
  <c r="C58" i="95"/>
  <c r="E58" i="95"/>
  <c r="G58" i="95"/>
  <c r="I58" i="95"/>
  <c r="K58" i="95"/>
  <c r="M58" i="95"/>
  <c r="P11" i="95"/>
  <c r="P12" i="95"/>
  <c r="S12" i="95"/>
  <c r="P13" i="95"/>
  <c r="S13" i="95"/>
  <c r="P14" i="95"/>
  <c r="S14" i="95"/>
  <c r="P15" i="95"/>
  <c r="S15" i="95"/>
  <c r="P16" i="95"/>
  <c r="S16" i="95"/>
  <c r="S18" i="95"/>
  <c r="S21" i="95"/>
  <c r="S16" i="96"/>
  <c r="T27" i="96"/>
  <c r="S20" i="96"/>
  <c r="P17" i="95"/>
  <c r="P19" i="95"/>
  <c r="P49" i="95"/>
  <c r="P50" i="95"/>
  <c r="P51" i="95"/>
  <c r="P52" i="95"/>
  <c r="P53" i="95"/>
  <c r="P54" i="95"/>
  <c r="P55" i="95"/>
  <c r="P56" i="95"/>
  <c r="P57" i="95"/>
  <c r="D58" i="96"/>
  <c r="F58" i="96"/>
  <c r="H58" i="96"/>
  <c r="J58" i="96"/>
  <c r="L58" i="96"/>
  <c r="N58" i="96"/>
  <c r="V26" i="96"/>
  <c r="X26" i="96"/>
  <c r="Z26" i="96"/>
  <c r="P17" i="96"/>
  <c r="P19" i="96"/>
  <c r="P21" i="96"/>
  <c r="O10" i="95"/>
  <c r="S10" i="95"/>
  <c r="U10" i="95"/>
  <c r="W10" i="95"/>
  <c r="Y10" i="95"/>
  <c r="AA10" i="95"/>
  <c r="AC10" i="95"/>
  <c r="O11" i="95"/>
  <c r="O12" i="95"/>
  <c r="O13" i="95"/>
  <c r="O14" i="95"/>
  <c r="O15" i="95"/>
  <c r="O16" i="95"/>
  <c r="O17" i="95"/>
  <c r="O18" i="95"/>
  <c r="O19" i="95"/>
  <c r="O20" i="95"/>
  <c r="O21" i="95"/>
  <c r="O22" i="95"/>
  <c r="O23" i="95"/>
  <c r="W23" i="95"/>
  <c r="AA23" i="95"/>
  <c r="O24" i="95"/>
  <c r="Y24" i="95"/>
  <c r="AA24" i="95"/>
  <c r="O25" i="95"/>
  <c r="O26" i="95"/>
  <c r="O27" i="95"/>
  <c r="O28" i="95"/>
  <c r="O29" i="95"/>
  <c r="O30" i="95"/>
  <c r="O31" i="95"/>
  <c r="O32" i="95"/>
  <c r="O33" i="95"/>
  <c r="O34" i="95"/>
  <c r="O35" i="95"/>
  <c r="O36" i="95"/>
  <c r="P36" i="95"/>
  <c r="T10" i="94"/>
  <c r="F58" i="94"/>
  <c r="X10" i="94"/>
  <c r="J58" i="94"/>
  <c r="AB10" i="94"/>
  <c r="N58" i="94"/>
  <c r="P11" i="94"/>
  <c r="S11" i="94"/>
  <c r="P12" i="94"/>
  <c r="S12" i="94"/>
  <c r="P13" i="94"/>
  <c r="S13" i="94"/>
  <c r="P15" i="94"/>
  <c r="P17" i="94"/>
  <c r="P19" i="94"/>
  <c r="P21" i="94"/>
  <c r="P10" i="95"/>
  <c r="T10" i="95"/>
  <c r="V10" i="95"/>
  <c r="X10" i="95"/>
  <c r="Z10" i="95"/>
  <c r="AB10" i="95"/>
  <c r="AD10" i="95"/>
  <c r="T23" i="95"/>
  <c r="AD23" i="95"/>
  <c r="T24" i="95"/>
  <c r="X24" i="95"/>
  <c r="AB24" i="95"/>
  <c r="AD24" i="95"/>
  <c r="P37" i="95"/>
  <c r="P38" i="95"/>
  <c r="P39" i="95"/>
  <c r="P40" i="95"/>
  <c r="P41" i="95"/>
  <c r="P42" i="95"/>
  <c r="P43" i="95"/>
  <c r="P44" i="95"/>
  <c r="P45" i="95"/>
  <c r="P46" i="95"/>
  <c r="P47" i="95"/>
  <c r="P48" i="95"/>
  <c r="O10" i="96"/>
  <c r="S10" i="96"/>
  <c r="U10" i="96"/>
  <c r="W10" i="96"/>
  <c r="Y10" i="96"/>
  <c r="AA10" i="96"/>
  <c r="AC10" i="96"/>
  <c r="O11" i="96"/>
  <c r="O12" i="96"/>
  <c r="O13" i="96"/>
  <c r="O14" i="96"/>
  <c r="O16" i="96"/>
  <c r="O17" i="96"/>
  <c r="O18" i="96"/>
  <c r="O19" i="96"/>
  <c r="AA27" i="96"/>
  <c r="AA24" i="96"/>
  <c r="AC27" i="96"/>
  <c r="AC24" i="96"/>
  <c r="O20" i="96"/>
  <c r="O21" i="96"/>
  <c r="O22" i="96"/>
  <c r="O23" i="96"/>
  <c r="O24" i="96"/>
  <c r="U24" i="96"/>
  <c r="P10" i="96"/>
  <c r="T10" i="96"/>
  <c r="V10" i="96"/>
  <c r="X10" i="96"/>
  <c r="Z10" i="96"/>
  <c r="AB10" i="96"/>
  <c r="AD10" i="96"/>
  <c r="X27" i="96"/>
  <c r="X24" i="96"/>
  <c r="Z27" i="96"/>
  <c r="Z24" i="96"/>
  <c r="AB27" i="96"/>
  <c r="AB24" i="96"/>
  <c r="AD27" i="96"/>
  <c r="AD24" i="96"/>
  <c r="V23" i="96"/>
  <c r="Z23" i="96"/>
  <c r="T24" i="96"/>
  <c r="V24" i="96"/>
  <c r="P25" i="96"/>
  <c r="P26" i="96"/>
  <c r="P27" i="96"/>
  <c r="P28" i="96"/>
  <c r="P29" i="96"/>
  <c r="P30" i="96"/>
  <c r="P31" i="96"/>
  <c r="P32" i="96"/>
  <c r="P33" i="96"/>
  <c r="P34" i="96"/>
  <c r="P35" i="96"/>
  <c r="P36" i="96"/>
  <c r="P37" i="96"/>
  <c r="P38" i="96"/>
  <c r="P39" i="96"/>
  <c r="P40" i="96"/>
  <c r="P41" i="96"/>
  <c r="P42" i="96"/>
  <c r="P43" i="96"/>
  <c r="P44" i="96"/>
  <c r="P45" i="96"/>
  <c r="P46" i="96"/>
  <c r="P47" i="96"/>
  <c r="P48" i="96"/>
  <c r="P49" i="96"/>
  <c r="P50" i="96"/>
  <c r="P51" i="96"/>
  <c r="P52" i="96"/>
  <c r="P53" i="96"/>
  <c r="P54" i="96"/>
  <c r="P55" i="96"/>
  <c r="P56" i="96"/>
  <c r="P57" i="96"/>
  <c r="P30" i="94"/>
  <c r="P34" i="94"/>
  <c r="P38" i="94"/>
  <c r="P42" i="94"/>
  <c r="P46" i="94"/>
  <c r="P50" i="94"/>
  <c r="P54" i="94"/>
  <c r="E58" i="94"/>
  <c r="G58" i="94"/>
  <c r="I58" i="94"/>
  <c r="K58" i="94"/>
  <c r="M58" i="94"/>
  <c r="AA10" i="94"/>
  <c r="V13" i="94"/>
  <c r="X13" i="94"/>
  <c r="Z13" i="94"/>
  <c r="AB13" i="94"/>
  <c r="AD13" i="94"/>
  <c r="P27" i="94"/>
  <c r="P28" i="94"/>
  <c r="P29" i="94"/>
  <c r="O32" i="94"/>
  <c r="P32" i="94"/>
  <c r="P33" i="94"/>
  <c r="O36" i="94"/>
  <c r="P36" i="94"/>
  <c r="P37" i="94"/>
  <c r="O40" i="94"/>
  <c r="P40" i="94"/>
  <c r="P41" i="94"/>
  <c r="O44" i="94"/>
  <c r="P44" i="94"/>
  <c r="P45" i="94"/>
  <c r="O48" i="94"/>
  <c r="P48" i="94"/>
  <c r="P49" i="94"/>
  <c r="O52" i="94"/>
  <c r="P52" i="94"/>
  <c r="O56" i="94"/>
  <c r="P56" i="94"/>
  <c r="P57" i="94"/>
  <c r="P25" i="94"/>
  <c r="T13" i="94"/>
  <c r="P26" i="94"/>
  <c r="T14" i="94"/>
  <c r="H58" i="94"/>
  <c r="C58" i="94"/>
  <c r="P10" i="94"/>
  <c r="O10" i="94"/>
  <c r="U10" i="94"/>
  <c r="Y10" i="94"/>
  <c r="AC10" i="94"/>
  <c r="O11" i="94"/>
  <c r="O12" i="94"/>
  <c r="O13" i="94"/>
  <c r="O14" i="94"/>
  <c r="O15" i="94"/>
  <c r="O16" i="94"/>
  <c r="O17" i="94"/>
  <c r="O18" i="94"/>
  <c r="O19" i="94"/>
  <c r="O20" i="94"/>
  <c r="O21" i="94"/>
  <c r="O22" i="94"/>
  <c r="O23" i="94"/>
  <c r="O24" i="94"/>
  <c r="P31" i="94"/>
  <c r="T15" i="94"/>
  <c r="V15" i="94"/>
  <c r="X15" i="94"/>
  <c r="Z15" i="94"/>
  <c r="AB15" i="94"/>
  <c r="AD15" i="94"/>
  <c r="P35" i="94"/>
  <c r="T16" i="94"/>
  <c r="V16" i="94"/>
  <c r="X16" i="94"/>
  <c r="Z16" i="94"/>
  <c r="AB16" i="94"/>
  <c r="AD16" i="94"/>
  <c r="P39" i="94"/>
  <c r="T17" i="94"/>
  <c r="V17" i="94"/>
  <c r="X17" i="94"/>
  <c r="Z17" i="94"/>
  <c r="AB17" i="94"/>
  <c r="AD17" i="94"/>
  <c r="P43" i="94"/>
  <c r="T18" i="94"/>
  <c r="V18" i="94"/>
  <c r="X18" i="94"/>
  <c r="Z18" i="94"/>
  <c r="AB18" i="94"/>
  <c r="AD18" i="94"/>
  <c r="P47" i="94"/>
  <c r="T19" i="94"/>
  <c r="V19" i="94"/>
  <c r="X19" i="94"/>
  <c r="Z19" i="94"/>
  <c r="AB19" i="94"/>
  <c r="AD19" i="94"/>
  <c r="P51" i="94"/>
  <c r="T20" i="94"/>
  <c r="V20" i="94"/>
  <c r="X20" i="94"/>
  <c r="Z20" i="94"/>
  <c r="AB20" i="94"/>
  <c r="AD20" i="94"/>
  <c r="P55" i="94"/>
  <c r="T21" i="94"/>
  <c r="V21" i="94"/>
  <c r="X21" i="94"/>
  <c r="Z21" i="94"/>
  <c r="AB21" i="94"/>
  <c r="AD21" i="94"/>
  <c r="D58" i="94"/>
  <c r="L58" i="94"/>
  <c r="V10" i="94"/>
  <c r="Z10" i="94"/>
  <c r="AD10" i="94"/>
  <c r="O25" i="94"/>
  <c r="O26" i="94"/>
  <c r="O27" i="94"/>
  <c r="O28" i="94"/>
  <c r="O29" i="94"/>
  <c r="O31" i="94"/>
  <c r="O33" i="94"/>
  <c r="O35" i="94"/>
  <c r="O37" i="94"/>
  <c r="O39" i="94"/>
  <c r="O41" i="94"/>
  <c r="O43" i="94"/>
  <c r="O45" i="94"/>
  <c r="O47" i="94"/>
  <c r="O49" i="94"/>
  <c r="O51" i="94"/>
  <c r="O55" i="94"/>
  <c r="O57" i="94"/>
  <c r="C11" i="107"/>
  <c r="D11" i="107"/>
  <c r="E11" i="107"/>
  <c r="F11" i="107"/>
  <c r="G11" i="107"/>
  <c r="H11" i="107"/>
  <c r="I11" i="107"/>
  <c r="J11" i="107"/>
  <c r="K11" i="107"/>
  <c r="L11" i="107"/>
  <c r="M11" i="107"/>
  <c r="N11" i="107"/>
  <c r="C12" i="107"/>
  <c r="D12" i="107"/>
  <c r="E12" i="107"/>
  <c r="F12" i="107"/>
  <c r="G12" i="107"/>
  <c r="H12" i="107"/>
  <c r="I12" i="107"/>
  <c r="J12" i="107"/>
  <c r="K12" i="107"/>
  <c r="L12" i="107"/>
  <c r="M12" i="107"/>
  <c r="N12" i="107"/>
  <c r="C13" i="107"/>
  <c r="D13" i="107"/>
  <c r="E13" i="107"/>
  <c r="F13" i="107"/>
  <c r="G13" i="107"/>
  <c r="H13" i="107"/>
  <c r="I13" i="107"/>
  <c r="J13" i="107"/>
  <c r="K13" i="107"/>
  <c r="L13" i="107"/>
  <c r="M13" i="107"/>
  <c r="N13" i="107"/>
  <c r="C14" i="107"/>
  <c r="D14" i="107"/>
  <c r="E14" i="107"/>
  <c r="F14" i="107"/>
  <c r="G14" i="107"/>
  <c r="H14" i="107"/>
  <c r="I14" i="107"/>
  <c r="J14" i="107"/>
  <c r="K14" i="107"/>
  <c r="L14" i="107"/>
  <c r="M14" i="107"/>
  <c r="N14" i="107"/>
  <c r="C15" i="107"/>
  <c r="D15" i="107"/>
  <c r="E15" i="107"/>
  <c r="F15" i="107"/>
  <c r="G15" i="107"/>
  <c r="H15" i="107"/>
  <c r="I15" i="107"/>
  <c r="J15" i="107"/>
  <c r="K15" i="107"/>
  <c r="L15" i="107"/>
  <c r="M15" i="107"/>
  <c r="N15" i="107"/>
  <c r="C16" i="107"/>
  <c r="D16" i="107"/>
  <c r="E16" i="107"/>
  <c r="F16" i="107"/>
  <c r="G16" i="107"/>
  <c r="H16" i="107"/>
  <c r="I16" i="107"/>
  <c r="J16" i="107"/>
  <c r="K16" i="107"/>
  <c r="L16" i="107"/>
  <c r="M16" i="107"/>
  <c r="N16" i="107"/>
  <c r="C17" i="107"/>
  <c r="D17" i="107"/>
  <c r="E17" i="107"/>
  <c r="F17" i="107"/>
  <c r="G17" i="107"/>
  <c r="H17" i="107"/>
  <c r="I17" i="107"/>
  <c r="J17" i="107"/>
  <c r="K17" i="107"/>
  <c r="L17" i="107"/>
  <c r="M17" i="107"/>
  <c r="N17" i="107"/>
  <c r="C18" i="107"/>
  <c r="D18" i="107"/>
  <c r="E18" i="107"/>
  <c r="F18" i="107"/>
  <c r="G18" i="107"/>
  <c r="H18" i="107"/>
  <c r="I18" i="107"/>
  <c r="J18" i="107"/>
  <c r="K18" i="107"/>
  <c r="L18" i="107"/>
  <c r="M18" i="107"/>
  <c r="N18" i="107"/>
  <c r="C19" i="107"/>
  <c r="D19" i="107"/>
  <c r="E19" i="107"/>
  <c r="F19" i="107"/>
  <c r="G19" i="107"/>
  <c r="H19" i="107"/>
  <c r="I19" i="107"/>
  <c r="J19" i="107"/>
  <c r="K19" i="107"/>
  <c r="L19" i="107"/>
  <c r="M19" i="107"/>
  <c r="N19" i="107"/>
  <c r="C20" i="107"/>
  <c r="D20" i="107"/>
  <c r="E20" i="107"/>
  <c r="F20" i="107"/>
  <c r="G20" i="107"/>
  <c r="H20" i="107"/>
  <c r="I20" i="107"/>
  <c r="J20" i="107"/>
  <c r="K20" i="107"/>
  <c r="L20" i="107"/>
  <c r="M20" i="107"/>
  <c r="N20" i="107"/>
  <c r="C21" i="107"/>
  <c r="D21" i="107"/>
  <c r="E21" i="107"/>
  <c r="F21" i="107"/>
  <c r="G21" i="107"/>
  <c r="H21" i="107"/>
  <c r="I21" i="107"/>
  <c r="J21" i="107"/>
  <c r="K21" i="107"/>
  <c r="L21" i="107"/>
  <c r="M21" i="107"/>
  <c r="N21" i="107"/>
  <c r="C22" i="107"/>
  <c r="D22" i="107"/>
  <c r="E22" i="107"/>
  <c r="F22" i="107"/>
  <c r="G22" i="107"/>
  <c r="H22" i="107"/>
  <c r="I22" i="107"/>
  <c r="J22" i="107"/>
  <c r="K22" i="107"/>
  <c r="L22" i="107"/>
  <c r="M22" i="107"/>
  <c r="N22" i="107"/>
  <c r="C23" i="107"/>
  <c r="D23" i="107"/>
  <c r="E23" i="107"/>
  <c r="F23" i="107"/>
  <c r="G23" i="107"/>
  <c r="H23" i="107"/>
  <c r="I23" i="107"/>
  <c r="J23" i="107"/>
  <c r="K23" i="107"/>
  <c r="L23" i="107"/>
  <c r="M23" i="107"/>
  <c r="N23" i="107"/>
  <c r="C24" i="107"/>
  <c r="D24" i="107"/>
  <c r="E24" i="107"/>
  <c r="F24" i="107"/>
  <c r="G24" i="107"/>
  <c r="H24" i="107"/>
  <c r="I24" i="107"/>
  <c r="J24" i="107"/>
  <c r="K24" i="107"/>
  <c r="L24" i="107"/>
  <c r="M24" i="107"/>
  <c r="N24" i="107"/>
  <c r="C25" i="107"/>
  <c r="D25" i="107"/>
  <c r="E25" i="107"/>
  <c r="F25" i="107"/>
  <c r="G25" i="107"/>
  <c r="H25" i="107"/>
  <c r="I25" i="107"/>
  <c r="J25" i="107"/>
  <c r="K25" i="107"/>
  <c r="L25" i="107"/>
  <c r="M25" i="107"/>
  <c r="N25" i="107"/>
  <c r="C26" i="107"/>
  <c r="D26" i="107"/>
  <c r="E26" i="107"/>
  <c r="F26" i="107"/>
  <c r="G26" i="107"/>
  <c r="H26" i="107"/>
  <c r="I26" i="107"/>
  <c r="J26" i="107"/>
  <c r="K26" i="107"/>
  <c r="L26" i="107"/>
  <c r="M26" i="107"/>
  <c r="N26" i="107"/>
  <c r="C27" i="107"/>
  <c r="D27" i="107"/>
  <c r="E27" i="107"/>
  <c r="F27" i="107"/>
  <c r="G27" i="107"/>
  <c r="H27" i="107"/>
  <c r="I27" i="107"/>
  <c r="J27" i="107"/>
  <c r="K27" i="107"/>
  <c r="L27" i="107"/>
  <c r="M27" i="107"/>
  <c r="N27" i="107"/>
  <c r="C28" i="107"/>
  <c r="D28" i="107"/>
  <c r="E28" i="107"/>
  <c r="F28" i="107"/>
  <c r="G28" i="107"/>
  <c r="H28" i="107"/>
  <c r="I28" i="107"/>
  <c r="J28" i="107"/>
  <c r="K28" i="107"/>
  <c r="L28" i="107"/>
  <c r="M28" i="107"/>
  <c r="N28" i="107"/>
  <c r="C29" i="107"/>
  <c r="D29" i="107"/>
  <c r="E29" i="107"/>
  <c r="F29" i="107"/>
  <c r="G29" i="107"/>
  <c r="H29" i="107"/>
  <c r="I29" i="107"/>
  <c r="J29" i="107"/>
  <c r="K29" i="107"/>
  <c r="L29" i="107"/>
  <c r="M29" i="107"/>
  <c r="N29" i="107"/>
  <c r="C30" i="107"/>
  <c r="D30" i="107"/>
  <c r="E30" i="107"/>
  <c r="F30" i="107"/>
  <c r="G30" i="107"/>
  <c r="H30" i="107"/>
  <c r="I30" i="107"/>
  <c r="J30" i="107"/>
  <c r="K30" i="107"/>
  <c r="L30" i="107"/>
  <c r="M30" i="107"/>
  <c r="N30" i="107"/>
  <c r="C31" i="107"/>
  <c r="D31" i="107"/>
  <c r="E31" i="107"/>
  <c r="F31" i="107"/>
  <c r="G31" i="107"/>
  <c r="H31" i="107"/>
  <c r="I31" i="107"/>
  <c r="J31" i="107"/>
  <c r="K31" i="107"/>
  <c r="L31" i="107"/>
  <c r="M31" i="107"/>
  <c r="N31" i="107"/>
  <c r="C32" i="107"/>
  <c r="D32" i="107"/>
  <c r="E32" i="107"/>
  <c r="F32" i="107"/>
  <c r="G32" i="107"/>
  <c r="H32" i="107"/>
  <c r="I32" i="107"/>
  <c r="J32" i="107"/>
  <c r="K32" i="107"/>
  <c r="L32" i="107"/>
  <c r="M32" i="107"/>
  <c r="N32" i="107"/>
  <c r="C33" i="107"/>
  <c r="D33" i="107"/>
  <c r="E33" i="107"/>
  <c r="F33" i="107"/>
  <c r="G33" i="107"/>
  <c r="H33" i="107"/>
  <c r="I33" i="107"/>
  <c r="J33" i="107"/>
  <c r="K33" i="107"/>
  <c r="L33" i="107"/>
  <c r="M33" i="107"/>
  <c r="N33" i="107"/>
  <c r="C34" i="107"/>
  <c r="D34" i="107"/>
  <c r="E34" i="107"/>
  <c r="F34" i="107"/>
  <c r="G34" i="107"/>
  <c r="H34" i="107"/>
  <c r="I34" i="107"/>
  <c r="J34" i="107"/>
  <c r="K34" i="107"/>
  <c r="L34" i="107"/>
  <c r="M34" i="107"/>
  <c r="N34" i="107"/>
  <c r="C35" i="107"/>
  <c r="D35" i="107"/>
  <c r="E35" i="107"/>
  <c r="F35" i="107"/>
  <c r="G35" i="107"/>
  <c r="H35" i="107"/>
  <c r="I35" i="107"/>
  <c r="J35" i="107"/>
  <c r="K35" i="107"/>
  <c r="L35" i="107"/>
  <c r="M35" i="107"/>
  <c r="N35" i="107"/>
  <c r="C36" i="107"/>
  <c r="D36" i="107"/>
  <c r="E36" i="107"/>
  <c r="F36" i="107"/>
  <c r="G36" i="107"/>
  <c r="H36" i="107"/>
  <c r="I36" i="107"/>
  <c r="J36" i="107"/>
  <c r="K36" i="107"/>
  <c r="L36" i="107"/>
  <c r="M36" i="107"/>
  <c r="N36" i="107"/>
  <c r="C37" i="107"/>
  <c r="D37" i="107"/>
  <c r="E37" i="107"/>
  <c r="F37" i="107"/>
  <c r="G37" i="107"/>
  <c r="H37" i="107"/>
  <c r="I37" i="107"/>
  <c r="J37" i="107"/>
  <c r="K37" i="107"/>
  <c r="L37" i="107"/>
  <c r="M37" i="107"/>
  <c r="N37" i="107"/>
  <c r="C38" i="107"/>
  <c r="D38" i="107"/>
  <c r="E38" i="107"/>
  <c r="F38" i="107"/>
  <c r="G38" i="107"/>
  <c r="H38" i="107"/>
  <c r="I38" i="107"/>
  <c r="J38" i="107"/>
  <c r="K38" i="107"/>
  <c r="L38" i="107"/>
  <c r="M38" i="107"/>
  <c r="N38" i="107"/>
  <c r="C39" i="107"/>
  <c r="D39" i="107"/>
  <c r="E39" i="107"/>
  <c r="F39" i="107"/>
  <c r="G39" i="107"/>
  <c r="H39" i="107"/>
  <c r="I39" i="107"/>
  <c r="J39" i="107"/>
  <c r="K39" i="107"/>
  <c r="L39" i="107"/>
  <c r="M39" i="107"/>
  <c r="N39" i="107"/>
  <c r="C40" i="107"/>
  <c r="D40" i="107"/>
  <c r="E40" i="107"/>
  <c r="F40" i="107"/>
  <c r="G40" i="107"/>
  <c r="H40" i="107"/>
  <c r="I40" i="107"/>
  <c r="J40" i="107"/>
  <c r="K40" i="107"/>
  <c r="L40" i="107"/>
  <c r="M40" i="107"/>
  <c r="N40" i="107"/>
  <c r="C41" i="107"/>
  <c r="D41" i="107"/>
  <c r="E41" i="107"/>
  <c r="F41" i="107"/>
  <c r="G41" i="107"/>
  <c r="H41" i="107"/>
  <c r="I41" i="107"/>
  <c r="J41" i="107"/>
  <c r="K41" i="107"/>
  <c r="L41" i="107"/>
  <c r="M41" i="107"/>
  <c r="N41" i="107"/>
  <c r="C42" i="107"/>
  <c r="D42" i="107"/>
  <c r="E42" i="107"/>
  <c r="F42" i="107"/>
  <c r="G42" i="107"/>
  <c r="H42" i="107"/>
  <c r="I42" i="107"/>
  <c r="J42" i="107"/>
  <c r="K42" i="107"/>
  <c r="L42" i="107"/>
  <c r="M42" i="107"/>
  <c r="N42" i="107"/>
  <c r="C43" i="107"/>
  <c r="D43" i="107"/>
  <c r="E43" i="107"/>
  <c r="F43" i="107"/>
  <c r="G43" i="107"/>
  <c r="H43" i="107"/>
  <c r="I43" i="107"/>
  <c r="J43" i="107"/>
  <c r="K43" i="107"/>
  <c r="L43" i="107"/>
  <c r="M43" i="107"/>
  <c r="N43" i="107"/>
  <c r="C44" i="107"/>
  <c r="D44" i="107"/>
  <c r="E44" i="107"/>
  <c r="F44" i="107"/>
  <c r="G44" i="107"/>
  <c r="H44" i="107"/>
  <c r="I44" i="107"/>
  <c r="J44" i="107"/>
  <c r="K44" i="107"/>
  <c r="L44" i="107"/>
  <c r="M44" i="107"/>
  <c r="N44" i="107"/>
  <c r="C45" i="107"/>
  <c r="D45" i="107"/>
  <c r="E45" i="107"/>
  <c r="F45" i="107"/>
  <c r="G45" i="107"/>
  <c r="H45" i="107"/>
  <c r="I45" i="107"/>
  <c r="J45" i="107"/>
  <c r="K45" i="107"/>
  <c r="L45" i="107"/>
  <c r="M45" i="107"/>
  <c r="N45" i="107"/>
  <c r="C46" i="107"/>
  <c r="D46" i="107"/>
  <c r="E46" i="107"/>
  <c r="F46" i="107"/>
  <c r="G46" i="107"/>
  <c r="H46" i="107"/>
  <c r="I46" i="107"/>
  <c r="J46" i="107"/>
  <c r="K46" i="107"/>
  <c r="L46" i="107"/>
  <c r="M46" i="107"/>
  <c r="N46" i="107"/>
  <c r="C47" i="107"/>
  <c r="D47" i="107"/>
  <c r="E47" i="107"/>
  <c r="F47" i="107"/>
  <c r="G47" i="107"/>
  <c r="H47" i="107"/>
  <c r="I47" i="107"/>
  <c r="J47" i="107"/>
  <c r="K47" i="107"/>
  <c r="L47" i="107"/>
  <c r="M47" i="107"/>
  <c r="N47" i="107"/>
  <c r="C48" i="107"/>
  <c r="D48" i="107"/>
  <c r="E48" i="107"/>
  <c r="F48" i="107"/>
  <c r="G48" i="107"/>
  <c r="H48" i="107"/>
  <c r="I48" i="107"/>
  <c r="J48" i="107"/>
  <c r="K48" i="107"/>
  <c r="L48" i="107"/>
  <c r="M48" i="107"/>
  <c r="N48" i="107"/>
  <c r="C49" i="107"/>
  <c r="D49" i="107"/>
  <c r="E49" i="107"/>
  <c r="F49" i="107"/>
  <c r="G49" i="107"/>
  <c r="H49" i="107"/>
  <c r="I49" i="107"/>
  <c r="J49" i="107"/>
  <c r="K49" i="107"/>
  <c r="L49" i="107"/>
  <c r="M49" i="107"/>
  <c r="N49" i="107"/>
  <c r="C50" i="107"/>
  <c r="D50" i="107"/>
  <c r="E50" i="107"/>
  <c r="F50" i="107"/>
  <c r="G50" i="107"/>
  <c r="H50" i="107"/>
  <c r="I50" i="107"/>
  <c r="J50" i="107"/>
  <c r="K50" i="107"/>
  <c r="L50" i="107"/>
  <c r="M50" i="107"/>
  <c r="N50" i="107"/>
  <c r="C51" i="107"/>
  <c r="D51" i="107"/>
  <c r="E51" i="107"/>
  <c r="F51" i="107"/>
  <c r="G51" i="107"/>
  <c r="H51" i="107"/>
  <c r="I51" i="107"/>
  <c r="J51" i="107"/>
  <c r="K51" i="107"/>
  <c r="L51" i="107"/>
  <c r="M51" i="107"/>
  <c r="N51" i="107"/>
  <c r="C52" i="107"/>
  <c r="D52" i="107"/>
  <c r="E52" i="107"/>
  <c r="F52" i="107"/>
  <c r="G52" i="107"/>
  <c r="H52" i="107"/>
  <c r="I52" i="107"/>
  <c r="J52" i="107"/>
  <c r="K52" i="107"/>
  <c r="L52" i="107"/>
  <c r="M52" i="107"/>
  <c r="N52" i="107"/>
  <c r="C53" i="107"/>
  <c r="D53" i="107"/>
  <c r="E53" i="107"/>
  <c r="F53" i="107"/>
  <c r="G53" i="107"/>
  <c r="H53" i="107"/>
  <c r="I53" i="107"/>
  <c r="J53" i="107"/>
  <c r="K53" i="107"/>
  <c r="L53" i="107"/>
  <c r="M53" i="107"/>
  <c r="N53" i="107"/>
  <c r="C54" i="107"/>
  <c r="D54" i="107"/>
  <c r="E54" i="107"/>
  <c r="F54" i="107"/>
  <c r="G54" i="107"/>
  <c r="H54" i="107"/>
  <c r="I54" i="107"/>
  <c r="J54" i="107"/>
  <c r="K54" i="107"/>
  <c r="L54" i="107"/>
  <c r="M54" i="107"/>
  <c r="N54" i="107"/>
  <c r="C55" i="107"/>
  <c r="D55" i="107"/>
  <c r="E55" i="107"/>
  <c r="F55" i="107"/>
  <c r="G55" i="107"/>
  <c r="H55" i="107"/>
  <c r="I55" i="107"/>
  <c r="J55" i="107"/>
  <c r="K55" i="107"/>
  <c r="L55" i="107"/>
  <c r="M55" i="107"/>
  <c r="N55" i="107"/>
  <c r="C56" i="107"/>
  <c r="D56" i="107"/>
  <c r="E56" i="107"/>
  <c r="F56" i="107"/>
  <c r="G56" i="107"/>
  <c r="H56" i="107"/>
  <c r="I56" i="107"/>
  <c r="J56" i="107"/>
  <c r="K56" i="107"/>
  <c r="L56" i="107"/>
  <c r="M56" i="107"/>
  <c r="N56" i="107"/>
  <c r="C57" i="107"/>
  <c r="D57" i="107"/>
  <c r="E57" i="107"/>
  <c r="F57" i="107"/>
  <c r="G57" i="107"/>
  <c r="H57" i="107"/>
  <c r="I57" i="107"/>
  <c r="J57" i="107"/>
  <c r="K57" i="107"/>
  <c r="L57" i="107"/>
  <c r="M57" i="107"/>
  <c r="N57" i="107"/>
  <c r="D10" i="107"/>
  <c r="E10" i="107"/>
  <c r="F10" i="107"/>
  <c r="G10" i="107"/>
  <c r="H10" i="107"/>
  <c r="I10" i="107"/>
  <c r="J10" i="107"/>
  <c r="K10" i="107"/>
  <c r="L10" i="107"/>
  <c r="M10" i="107"/>
  <c r="N10" i="107"/>
  <c r="C10" i="107"/>
  <c r="N106" i="108" l="1"/>
  <c r="F106" i="108"/>
  <c r="M106" i="108"/>
  <c r="I106" i="108"/>
  <c r="E106" i="108"/>
  <c r="J106" i="108"/>
  <c r="K106" i="108"/>
  <c r="G106" i="108"/>
  <c r="AB23" i="96"/>
  <c r="AC26" i="95"/>
  <c r="T23" i="96"/>
  <c r="W27" i="96"/>
  <c r="T23" i="98"/>
  <c r="Z24" i="98"/>
  <c r="V35" i="101"/>
  <c r="U36" i="105"/>
  <c r="Y26" i="95"/>
  <c r="AB24" i="99"/>
  <c r="V26" i="97"/>
  <c r="Y26" i="96"/>
  <c r="U27" i="94"/>
  <c r="AC27" i="95"/>
  <c r="AD23" i="98"/>
  <c r="AB39" i="109"/>
  <c r="L10" i="111"/>
  <c r="J10" i="111"/>
  <c r="D10" i="111"/>
  <c r="M57" i="111"/>
  <c r="I57" i="111"/>
  <c r="G57" i="111"/>
  <c r="M56" i="111"/>
  <c r="K56" i="111"/>
  <c r="I56" i="111"/>
  <c r="C56" i="111"/>
  <c r="G55" i="111"/>
  <c r="E55" i="111"/>
  <c r="K54" i="111"/>
  <c r="I54" i="111"/>
  <c r="G54" i="111"/>
  <c r="I53" i="111"/>
  <c r="G53" i="111"/>
  <c r="E53" i="111"/>
  <c r="M52" i="111"/>
  <c r="K52" i="111"/>
  <c r="C52" i="111"/>
  <c r="M51" i="111"/>
  <c r="G51" i="111"/>
  <c r="M50" i="111"/>
  <c r="K50" i="111"/>
  <c r="E50" i="111"/>
  <c r="C50" i="111"/>
  <c r="M49" i="111"/>
  <c r="K49" i="111"/>
  <c r="I49" i="111"/>
  <c r="C49" i="111"/>
  <c r="M48" i="111"/>
  <c r="I48" i="111"/>
  <c r="G48" i="111"/>
  <c r="K47" i="111"/>
  <c r="E47" i="111"/>
  <c r="C47" i="111"/>
  <c r="G46" i="111"/>
  <c r="E46" i="111"/>
  <c r="K45" i="111"/>
  <c r="G45" i="111"/>
  <c r="C45" i="111"/>
  <c r="K44" i="111"/>
  <c r="G44" i="111"/>
  <c r="C44" i="111"/>
  <c r="K43" i="111"/>
  <c r="G43" i="111"/>
  <c r="C43" i="111"/>
  <c r="K42" i="111"/>
  <c r="I42" i="111"/>
  <c r="E42" i="111"/>
  <c r="C42" i="111"/>
  <c r="K41" i="111"/>
  <c r="G41" i="111"/>
  <c r="C41" i="111"/>
  <c r="K40" i="111"/>
  <c r="G40" i="111"/>
  <c r="C40" i="111"/>
  <c r="K39" i="111"/>
  <c r="G39" i="111"/>
  <c r="C39" i="111"/>
  <c r="K38" i="111"/>
  <c r="E38" i="111"/>
  <c r="C38" i="111"/>
  <c r="S24" i="94"/>
  <c r="C10" i="111"/>
  <c r="M10" i="111"/>
  <c r="I10" i="111"/>
  <c r="E10" i="111"/>
  <c r="L57" i="111"/>
  <c r="H57" i="111"/>
  <c r="D57" i="111"/>
  <c r="L56" i="111"/>
  <c r="H56" i="111"/>
  <c r="D56" i="111"/>
  <c r="L55" i="111"/>
  <c r="H55" i="111"/>
  <c r="D55" i="111"/>
  <c r="L54" i="111"/>
  <c r="H54" i="111"/>
  <c r="D54" i="111"/>
  <c r="L53" i="111"/>
  <c r="H53" i="111"/>
  <c r="D53" i="111"/>
  <c r="L52" i="111"/>
  <c r="H52" i="111"/>
  <c r="D52" i="111"/>
  <c r="L51" i="111"/>
  <c r="H51" i="111"/>
  <c r="D51" i="111"/>
  <c r="L50" i="111"/>
  <c r="H50" i="111"/>
  <c r="D50" i="111"/>
  <c r="L49" i="111"/>
  <c r="H49" i="111"/>
  <c r="D49" i="111"/>
  <c r="L48" i="111"/>
  <c r="H48" i="111"/>
  <c r="D48" i="111"/>
  <c r="L47" i="111"/>
  <c r="H47" i="111"/>
  <c r="D47" i="111"/>
  <c r="L46" i="111"/>
  <c r="H46" i="111"/>
  <c r="D46" i="111"/>
  <c r="L45" i="111"/>
  <c r="H45" i="111"/>
  <c r="D45" i="111"/>
  <c r="L44" i="111"/>
  <c r="H44" i="111"/>
  <c r="D44" i="111"/>
  <c r="L43" i="111"/>
  <c r="H43" i="111"/>
  <c r="D43" i="111"/>
  <c r="L42" i="111"/>
  <c r="H42" i="111"/>
  <c r="D42" i="111"/>
  <c r="L41" i="111"/>
  <c r="H41" i="111"/>
  <c r="D41" i="111"/>
  <c r="L40" i="111"/>
  <c r="H40" i="111"/>
  <c r="D40" i="111"/>
  <c r="L39" i="111"/>
  <c r="H39" i="111"/>
  <c r="D39" i="111"/>
  <c r="L38" i="111"/>
  <c r="H38" i="111"/>
  <c r="D38" i="111"/>
  <c r="L37" i="111"/>
  <c r="H37" i="111"/>
  <c r="D37" i="111"/>
  <c r="L36" i="111"/>
  <c r="H36" i="111"/>
  <c r="D36" i="111"/>
  <c r="L35" i="111"/>
  <c r="H35" i="111"/>
  <c r="D35" i="111"/>
  <c r="L34" i="111"/>
  <c r="H34" i="111"/>
  <c r="D34" i="111"/>
  <c r="L33" i="111"/>
  <c r="H33" i="111"/>
  <c r="D33" i="111"/>
  <c r="L32" i="111"/>
  <c r="H32" i="111"/>
  <c r="D32" i="111"/>
  <c r="L31" i="111"/>
  <c r="H31" i="111"/>
  <c r="D31" i="111"/>
  <c r="L30" i="111"/>
  <c r="H30" i="111"/>
  <c r="D30" i="111"/>
  <c r="L29" i="111"/>
  <c r="H29" i="111"/>
  <c r="D29" i="111"/>
  <c r="L28" i="111"/>
  <c r="H28" i="111"/>
  <c r="D28" i="111"/>
  <c r="L27" i="111"/>
  <c r="H27" i="111"/>
  <c r="D27" i="111"/>
  <c r="L26" i="111"/>
  <c r="H26" i="111"/>
  <c r="D26" i="111"/>
  <c r="L25" i="111"/>
  <c r="H25" i="111"/>
  <c r="D25" i="111"/>
  <c r="H24" i="111"/>
  <c r="F24" i="111"/>
  <c r="N23" i="111"/>
  <c r="L23" i="111"/>
  <c r="J23" i="111"/>
  <c r="D23" i="111"/>
  <c r="N22" i="111"/>
  <c r="H22" i="111"/>
  <c r="N21" i="111"/>
  <c r="L21" i="111"/>
  <c r="F21" i="111"/>
  <c r="D21" i="111"/>
  <c r="H20" i="111"/>
  <c r="F20" i="111"/>
  <c r="L19" i="111"/>
  <c r="J19" i="111"/>
  <c r="F19" i="111"/>
  <c r="D19" i="111"/>
  <c r="J18" i="111"/>
  <c r="H18" i="111"/>
  <c r="L17" i="111"/>
  <c r="J17" i="111"/>
  <c r="F17" i="111"/>
  <c r="D17" i="111"/>
  <c r="N16" i="111"/>
  <c r="H16" i="111"/>
  <c r="N15" i="111"/>
  <c r="L15" i="111"/>
  <c r="D15" i="111"/>
  <c r="N14" i="111"/>
  <c r="H14" i="111"/>
  <c r="F14" i="111"/>
  <c r="N13" i="111"/>
  <c r="L13" i="111"/>
  <c r="F13" i="111"/>
  <c r="D13" i="111"/>
  <c r="H12" i="111"/>
  <c r="F12" i="111"/>
  <c r="N11" i="111"/>
  <c r="J11" i="111"/>
  <c r="F11" i="111"/>
  <c r="AD21" i="108"/>
  <c r="Z20" i="108"/>
  <c r="W27" i="95"/>
  <c r="W24" i="95"/>
  <c r="K37" i="111"/>
  <c r="G37" i="111"/>
  <c r="C37" i="111"/>
  <c r="K36" i="111"/>
  <c r="G36" i="111"/>
  <c r="C36" i="111"/>
  <c r="K35" i="111"/>
  <c r="G35" i="111"/>
  <c r="C35" i="111"/>
  <c r="K34" i="111"/>
  <c r="I34" i="111"/>
  <c r="E34" i="111"/>
  <c r="K33" i="111"/>
  <c r="G33" i="111"/>
  <c r="C33" i="111"/>
  <c r="K32" i="111"/>
  <c r="G32" i="111"/>
  <c r="C32" i="111"/>
  <c r="K31" i="111"/>
  <c r="G31" i="111"/>
  <c r="C31" i="111"/>
  <c r="K30" i="111"/>
  <c r="I30" i="111"/>
  <c r="G30" i="111"/>
  <c r="M29" i="111"/>
  <c r="I29" i="111"/>
  <c r="E29" i="111"/>
  <c r="M28" i="111"/>
  <c r="I28" i="111"/>
  <c r="E28" i="111"/>
  <c r="M27" i="111"/>
  <c r="I27" i="111"/>
  <c r="E27" i="111"/>
  <c r="M26" i="111"/>
  <c r="K26" i="111"/>
  <c r="E26" i="111"/>
  <c r="C26" i="111"/>
  <c r="K25" i="111"/>
  <c r="G25" i="111"/>
  <c r="C25" i="111"/>
  <c r="K24" i="111"/>
  <c r="G24" i="111"/>
  <c r="C24" i="111"/>
  <c r="K23" i="111"/>
  <c r="G23" i="111"/>
  <c r="C23" i="111"/>
  <c r="K22" i="111"/>
  <c r="G22" i="111"/>
  <c r="C22" i="111"/>
  <c r="K21" i="111"/>
  <c r="G21" i="111"/>
  <c r="C21" i="111"/>
  <c r="K20" i="111"/>
  <c r="G20" i="111"/>
  <c r="C20" i="111"/>
  <c r="K19" i="111"/>
  <c r="G19" i="111"/>
  <c r="C19" i="111"/>
  <c r="K18" i="111"/>
  <c r="G18" i="111"/>
  <c r="C18" i="111"/>
  <c r="K17" i="111"/>
  <c r="G17" i="111"/>
  <c r="C17" i="111"/>
  <c r="K16" i="111"/>
  <c r="G16" i="111"/>
  <c r="C16" i="111"/>
  <c r="K15" i="111"/>
  <c r="G15" i="111"/>
  <c r="C15" i="111"/>
  <c r="K14" i="111"/>
  <c r="G14" i="111"/>
  <c r="C14" i="111"/>
  <c r="K13" i="111"/>
  <c r="G13" i="111"/>
  <c r="C13" i="111"/>
  <c r="K12" i="111"/>
  <c r="G12" i="111"/>
  <c r="C12" i="111"/>
  <c r="K11" i="111"/>
  <c r="G11" i="111"/>
  <c r="C11" i="111"/>
  <c r="AB24" i="98"/>
  <c r="W26" i="96"/>
  <c r="V21" i="108"/>
  <c r="AD19" i="108"/>
  <c r="Z21" i="108"/>
  <c r="AD20" i="108"/>
  <c r="V20" i="108"/>
  <c r="V36" i="108" s="1"/>
  <c r="Z19" i="108"/>
  <c r="AC26" i="97"/>
  <c r="AC23" i="97"/>
  <c r="N57" i="111"/>
  <c r="J57" i="111"/>
  <c r="F57" i="111"/>
  <c r="N56" i="111"/>
  <c r="J56" i="111"/>
  <c r="F56" i="111"/>
  <c r="N55" i="111"/>
  <c r="J55" i="111"/>
  <c r="F55" i="111"/>
  <c r="N54" i="111"/>
  <c r="J54" i="111"/>
  <c r="F54" i="111"/>
  <c r="N53" i="111"/>
  <c r="J53" i="111"/>
  <c r="F53" i="111"/>
  <c r="N52" i="111"/>
  <c r="J52" i="111"/>
  <c r="F52" i="111"/>
  <c r="N51" i="111"/>
  <c r="J51" i="111"/>
  <c r="F51" i="111"/>
  <c r="N50" i="111"/>
  <c r="J50" i="111"/>
  <c r="F50" i="111"/>
  <c r="N49" i="111"/>
  <c r="J49" i="111"/>
  <c r="F49" i="111"/>
  <c r="N48" i="111"/>
  <c r="J48" i="111"/>
  <c r="F48" i="111"/>
  <c r="N47" i="111"/>
  <c r="J47" i="111"/>
  <c r="F47" i="111"/>
  <c r="N46" i="111"/>
  <c r="J46" i="111"/>
  <c r="F46" i="111"/>
  <c r="N45" i="111"/>
  <c r="J45" i="111"/>
  <c r="F45" i="111"/>
  <c r="N44" i="111"/>
  <c r="J44" i="111"/>
  <c r="F44" i="111"/>
  <c r="N43" i="111"/>
  <c r="J43" i="111"/>
  <c r="F43" i="111"/>
  <c r="N42" i="111"/>
  <c r="J42" i="111"/>
  <c r="F42" i="111"/>
  <c r="N41" i="111"/>
  <c r="J41" i="111"/>
  <c r="F41" i="111"/>
  <c r="N40" i="111"/>
  <c r="J40" i="111"/>
  <c r="F40" i="111"/>
  <c r="N39" i="111"/>
  <c r="J39" i="111"/>
  <c r="F39" i="111"/>
  <c r="N38" i="111"/>
  <c r="J38" i="111"/>
  <c r="F38" i="111"/>
  <c r="N37" i="111"/>
  <c r="J37" i="111"/>
  <c r="F37" i="111"/>
  <c r="N36" i="111"/>
  <c r="J36" i="111"/>
  <c r="F36" i="111"/>
  <c r="N35" i="111"/>
  <c r="J35" i="111"/>
  <c r="F35" i="111"/>
  <c r="N34" i="111"/>
  <c r="J34" i="111"/>
  <c r="F34" i="111"/>
  <c r="N33" i="111"/>
  <c r="J33" i="111"/>
  <c r="F33" i="111"/>
  <c r="N32" i="111"/>
  <c r="J32" i="111"/>
  <c r="F32" i="111"/>
  <c r="N31" i="111"/>
  <c r="J31" i="111"/>
  <c r="F31" i="111"/>
  <c r="N30" i="111"/>
  <c r="J30" i="111"/>
  <c r="F30" i="111"/>
  <c r="N29" i="111"/>
  <c r="J29" i="111"/>
  <c r="F29" i="111"/>
  <c r="N28" i="111"/>
  <c r="J28" i="111"/>
  <c r="F28" i="111"/>
  <c r="N27" i="111"/>
  <c r="J27" i="111"/>
  <c r="F27" i="111"/>
  <c r="N26" i="111"/>
  <c r="J26" i="111"/>
  <c r="F26" i="111"/>
  <c r="N25" i="111"/>
  <c r="J25" i="111"/>
  <c r="F25" i="111"/>
  <c r="N24" i="111"/>
  <c r="L24" i="111"/>
  <c r="J24" i="111"/>
  <c r="D24" i="111"/>
  <c r="H23" i="111"/>
  <c r="F23" i="111"/>
  <c r="L22" i="111"/>
  <c r="J22" i="111"/>
  <c r="F22" i="111"/>
  <c r="D22" i="111"/>
  <c r="T13" i="111" s="1"/>
  <c r="J21" i="111"/>
  <c r="H21" i="111"/>
  <c r="N20" i="111"/>
  <c r="L20" i="111"/>
  <c r="J20" i="111"/>
  <c r="D20" i="111"/>
  <c r="N19" i="111"/>
  <c r="H19" i="111"/>
  <c r="N18" i="111"/>
  <c r="AD12" i="111" s="1"/>
  <c r="L18" i="111"/>
  <c r="F18" i="111"/>
  <c r="D18" i="111"/>
  <c r="N17" i="111"/>
  <c r="H17" i="111"/>
  <c r="L16" i="111"/>
  <c r="J16" i="111"/>
  <c r="F16" i="111"/>
  <c r="D16" i="111"/>
  <c r="J15" i="111"/>
  <c r="H15" i="111"/>
  <c r="F15" i="111"/>
  <c r="L14" i="111"/>
  <c r="J14" i="111"/>
  <c r="D14" i="111"/>
  <c r="J13" i="111"/>
  <c r="H13" i="111"/>
  <c r="N12" i="111"/>
  <c r="L12" i="111"/>
  <c r="J12" i="111"/>
  <c r="D12" i="111"/>
  <c r="L11" i="111"/>
  <c r="H11" i="111"/>
  <c r="D11" i="111"/>
  <c r="AC24" i="94"/>
  <c r="Y24" i="94"/>
  <c r="S27" i="94"/>
  <c r="AA38" i="110"/>
  <c r="W24" i="94"/>
  <c r="N10" i="111"/>
  <c r="H10" i="111"/>
  <c r="H106" i="111" s="1"/>
  <c r="F10" i="111"/>
  <c r="K57" i="111"/>
  <c r="E57" i="111"/>
  <c r="C57" i="111"/>
  <c r="G56" i="111"/>
  <c r="E56" i="111"/>
  <c r="M55" i="111"/>
  <c r="K55" i="111"/>
  <c r="I55" i="111"/>
  <c r="C55" i="111"/>
  <c r="M54" i="111"/>
  <c r="E54" i="111"/>
  <c r="C54" i="111"/>
  <c r="M53" i="111"/>
  <c r="K53" i="111"/>
  <c r="C53" i="111"/>
  <c r="I52" i="111"/>
  <c r="G52" i="111"/>
  <c r="E52" i="111"/>
  <c r="K51" i="111"/>
  <c r="I51" i="111"/>
  <c r="E51" i="111"/>
  <c r="C51" i="111"/>
  <c r="I50" i="111"/>
  <c r="G50" i="111"/>
  <c r="G49" i="111"/>
  <c r="E49" i="111"/>
  <c r="K48" i="111"/>
  <c r="E48" i="111"/>
  <c r="C48" i="111"/>
  <c r="M47" i="111"/>
  <c r="I47" i="111"/>
  <c r="G47" i="111"/>
  <c r="M46" i="111"/>
  <c r="K46" i="111"/>
  <c r="I46" i="111"/>
  <c r="C46" i="111"/>
  <c r="M45" i="111"/>
  <c r="I45" i="111"/>
  <c r="E45" i="111"/>
  <c r="M44" i="111"/>
  <c r="I44" i="111"/>
  <c r="E44" i="111"/>
  <c r="M43" i="111"/>
  <c r="I43" i="111"/>
  <c r="E43" i="111"/>
  <c r="M42" i="111"/>
  <c r="G42" i="111"/>
  <c r="M41" i="111"/>
  <c r="I41" i="111"/>
  <c r="E41" i="111"/>
  <c r="M40" i="111"/>
  <c r="I40" i="111"/>
  <c r="E40" i="111"/>
  <c r="M39" i="111"/>
  <c r="I39" i="111"/>
  <c r="E39" i="111"/>
  <c r="M38" i="111"/>
  <c r="I38" i="111"/>
  <c r="G38" i="111"/>
  <c r="M37" i="111"/>
  <c r="W27" i="94"/>
  <c r="S26" i="94"/>
  <c r="U23" i="97"/>
  <c r="AA27" i="94"/>
  <c r="U27" i="95"/>
  <c r="U24" i="95"/>
  <c r="I37" i="111"/>
  <c r="E37" i="111"/>
  <c r="M36" i="111"/>
  <c r="I36" i="111"/>
  <c r="E36" i="111"/>
  <c r="M35" i="111"/>
  <c r="I35" i="111"/>
  <c r="E35" i="111"/>
  <c r="M34" i="111"/>
  <c r="G34" i="111"/>
  <c r="C34" i="111"/>
  <c r="M33" i="111"/>
  <c r="I33" i="111"/>
  <c r="E33" i="111"/>
  <c r="M32" i="111"/>
  <c r="I32" i="111"/>
  <c r="E32" i="111"/>
  <c r="M31" i="111"/>
  <c r="I31" i="111"/>
  <c r="E31" i="111"/>
  <c r="M30" i="111"/>
  <c r="E30" i="111"/>
  <c r="C30" i="111"/>
  <c r="K29" i="111"/>
  <c r="G29" i="111"/>
  <c r="C29" i="111"/>
  <c r="K28" i="111"/>
  <c r="G28" i="111"/>
  <c r="C28" i="111"/>
  <c r="K27" i="111"/>
  <c r="G27" i="111"/>
  <c r="C27" i="111"/>
  <c r="I26" i="111"/>
  <c r="G26" i="111"/>
  <c r="M25" i="111"/>
  <c r="I25" i="111"/>
  <c r="E25" i="111"/>
  <c r="M24" i="111"/>
  <c r="I24" i="111"/>
  <c r="E24" i="111"/>
  <c r="M23" i="111"/>
  <c r="I23" i="111"/>
  <c r="E23" i="111"/>
  <c r="M22" i="111"/>
  <c r="I22" i="111"/>
  <c r="E22" i="111"/>
  <c r="M21" i="111"/>
  <c r="I21" i="111"/>
  <c r="E21" i="111"/>
  <c r="M20" i="111"/>
  <c r="I20" i="111"/>
  <c r="E20" i="111"/>
  <c r="M19" i="111"/>
  <c r="I19" i="111"/>
  <c r="E19" i="111"/>
  <c r="M18" i="111"/>
  <c r="I18" i="111"/>
  <c r="E18" i="111"/>
  <c r="M17" i="111"/>
  <c r="I17" i="111"/>
  <c r="E17" i="111"/>
  <c r="M16" i="111"/>
  <c r="I16" i="111"/>
  <c r="E16" i="111"/>
  <c r="M15" i="111"/>
  <c r="I15" i="111"/>
  <c r="E15" i="111"/>
  <c r="M14" i="111"/>
  <c r="I14" i="111"/>
  <c r="E14" i="111"/>
  <c r="M13" i="111"/>
  <c r="I13" i="111"/>
  <c r="E13" i="111"/>
  <c r="M12" i="111"/>
  <c r="I12" i="111"/>
  <c r="E12" i="111"/>
  <c r="M11" i="111"/>
  <c r="I11" i="111"/>
  <c r="E11" i="111"/>
  <c r="X22" i="100"/>
  <c r="AC26" i="96"/>
  <c r="V10" i="108"/>
  <c r="AB21" i="108"/>
  <c r="X21" i="108"/>
  <c r="T21" i="108"/>
  <c r="AB20" i="108"/>
  <c r="X20" i="108"/>
  <c r="T20" i="108"/>
  <c r="AB19" i="108"/>
  <c r="X19" i="108"/>
  <c r="AA35" i="110"/>
  <c r="W35" i="110"/>
  <c r="Z39" i="110"/>
  <c r="AD38" i="110"/>
  <c r="Z38" i="110"/>
  <c r="V38" i="110"/>
  <c r="X37" i="110"/>
  <c r="V12" i="108"/>
  <c r="V11" i="108"/>
  <c r="AD10" i="108"/>
  <c r="AD36" i="110"/>
  <c r="V36" i="110"/>
  <c r="AC35" i="109"/>
  <c r="AD11" i="108"/>
  <c r="AC38" i="110"/>
  <c r="K10" i="111"/>
  <c r="G10" i="111"/>
  <c r="G106" i="111" s="1"/>
  <c r="T38" i="110"/>
  <c r="AC36" i="110"/>
  <c r="Y35" i="110"/>
  <c r="AC35" i="110"/>
  <c r="U35" i="110"/>
  <c r="U26" i="99"/>
  <c r="Y38" i="110"/>
  <c r="X36" i="110"/>
  <c r="X24" i="99"/>
  <c r="U23" i="99"/>
  <c r="S36" i="105"/>
  <c r="T38" i="109"/>
  <c r="AD38" i="109"/>
  <c r="Z38" i="109"/>
  <c r="Z35" i="110"/>
  <c r="AB38" i="110"/>
  <c r="X35" i="110"/>
  <c r="AB36" i="110"/>
  <c r="X34" i="110"/>
  <c r="W37" i="110"/>
  <c r="Z11" i="108"/>
  <c r="AA35" i="109"/>
  <c r="U36" i="110"/>
  <c r="V35" i="109"/>
  <c r="X11" i="108"/>
  <c r="S41" i="110"/>
  <c r="Z10" i="108"/>
  <c r="W12" i="108"/>
  <c r="AF32" i="110"/>
  <c r="S35" i="109"/>
  <c r="T11" i="108"/>
  <c r="AA12" i="108"/>
  <c r="V24" i="98"/>
  <c r="X23" i="97"/>
  <c r="AD23" i="99"/>
  <c r="AB38" i="109"/>
  <c r="AD35" i="110"/>
  <c r="V35" i="110"/>
  <c r="AA40" i="110"/>
  <c r="Y36" i="110"/>
  <c r="S37" i="110"/>
  <c r="X10" i="108"/>
  <c r="W40" i="110"/>
  <c r="AD36" i="109"/>
  <c r="Z39" i="109"/>
  <c r="S26" i="97"/>
  <c r="AF33" i="110"/>
  <c r="AF31" i="110"/>
  <c r="AB35" i="110"/>
  <c r="X38" i="110"/>
  <c r="AA41" i="110"/>
  <c r="AA42" i="110" s="1"/>
  <c r="W41" i="110"/>
  <c r="T10" i="108"/>
  <c r="AB10" i="108"/>
  <c r="AF12" i="109"/>
  <c r="AE33" i="110"/>
  <c r="AE32" i="110"/>
  <c r="AE31" i="110"/>
  <c r="AE30" i="110"/>
  <c r="AE29" i="110"/>
  <c r="AE28" i="110"/>
  <c r="AE27" i="110"/>
  <c r="AE26" i="110"/>
  <c r="AE25" i="110"/>
  <c r="AE24" i="110"/>
  <c r="AE23" i="110"/>
  <c r="AE22" i="110"/>
  <c r="AE21" i="110"/>
  <c r="AE20" i="110"/>
  <c r="AE19" i="110"/>
  <c r="AA37" i="110"/>
  <c r="AD39" i="109"/>
  <c r="Z36" i="109"/>
  <c r="V36" i="109"/>
  <c r="AC38" i="109"/>
  <c r="U35" i="109"/>
  <c r="AD39" i="110"/>
  <c r="Z36" i="110"/>
  <c r="V39" i="110"/>
  <c r="S40" i="110"/>
  <c r="S42" i="110" s="1"/>
  <c r="V38" i="109"/>
  <c r="X35" i="109"/>
  <c r="AA34" i="110"/>
  <c r="W34" i="110"/>
  <c r="S34" i="110"/>
  <c r="AF30" i="110"/>
  <c r="AB39" i="110"/>
  <c r="X40" i="110"/>
  <c r="AF15" i="110"/>
  <c r="AF14" i="110"/>
  <c r="AF13" i="110"/>
  <c r="Z35" i="109"/>
  <c r="AD35" i="109"/>
  <c r="X34" i="109"/>
  <c r="T35" i="110"/>
  <c r="Y38" i="109"/>
  <c r="AC39" i="110"/>
  <c r="U39" i="110"/>
  <c r="AF17" i="110"/>
  <c r="AF16" i="110"/>
  <c r="Z38" i="101"/>
  <c r="Y35" i="109"/>
  <c r="X39" i="110"/>
  <c r="AF11" i="110"/>
  <c r="Y39" i="110"/>
  <c r="AF12" i="110"/>
  <c r="AA38" i="109"/>
  <c r="W38" i="109"/>
  <c r="AF29" i="110"/>
  <c r="AF28" i="110"/>
  <c r="AF27" i="110"/>
  <c r="AF26" i="110"/>
  <c r="AF25" i="110"/>
  <c r="AF24" i="110"/>
  <c r="AF23" i="110"/>
  <c r="AF22" i="110"/>
  <c r="AF18" i="110"/>
  <c r="AF30" i="109"/>
  <c r="X39" i="109"/>
  <c r="X37" i="109"/>
  <c r="X41" i="110"/>
  <c r="AF21" i="110"/>
  <c r="AF20" i="110"/>
  <c r="AF19" i="110"/>
  <c r="AF15" i="109"/>
  <c r="AF14" i="109"/>
  <c r="AF13" i="109"/>
  <c r="AE18" i="110"/>
  <c r="AE17" i="110"/>
  <c r="T39" i="110"/>
  <c r="T36" i="110"/>
  <c r="AD41" i="110"/>
  <c r="AD40" i="110"/>
  <c r="AD37" i="110"/>
  <c r="AD34" i="110"/>
  <c r="Z41" i="110"/>
  <c r="Z40" i="110"/>
  <c r="Z37" i="110"/>
  <c r="Z34" i="110"/>
  <c r="AF17" i="109"/>
  <c r="AF16" i="109"/>
  <c r="AE11" i="110"/>
  <c r="Y41" i="110"/>
  <c r="Y40" i="110"/>
  <c r="Y37" i="110"/>
  <c r="Y34" i="110"/>
  <c r="O106" i="110"/>
  <c r="J108" i="110" s="1"/>
  <c r="AE10" i="110"/>
  <c r="AF10" i="110"/>
  <c r="P106" i="110"/>
  <c r="N107" i="110" s="1"/>
  <c r="T41" i="110"/>
  <c r="T40" i="110"/>
  <c r="T37" i="110"/>
  <c r="T34" i="110"/>
  <c r="AC27" i="99"/>
  <c r="W38" i="101"/>
  <c r="U35" i="101"/>
  <c r="V27" i="95"/>
  <c r="AE33" i="109"/>
  <c r="AE32" i="109"/>
  <c r="AE31" i="109"/>
  <c r="AE30" i="109"/>
  <c r="AE29" i="109"/>
  <c r="AF32" i="109"/>
  <c r="AB35" i="109"/>
  <c r="W35" i="109"/>
  <c r="AF11" i="109"/>
  <c r="S38" i="109"/>
  <c r="AE16" i="110"/>
  <c r="AB41" i="110"/>
  <c r="AB40" i="110"/>
  <c r="AB37" i="110"/>
  <c r="AB34" i="110"/>
  <c r="V41" i="110"/>
  <c r="V40" i="110"/>
  <c r="V37" i="110"/>
  <c r="V34" i="110"/>
  <c r="AE15" i="110"/>
  <c r="AE14" i="110"/>
  <c r="AE13" i="110"/>
  <c r="AE12" i="110"/>
  <c r="AC41" i="110"/>
  <c r="AC40" i="110"/>
  <c r="AC37" i="110"/>
  <c r="AC34" i="110"/>
  <c r="U41" i="110"/>
  <c r="U40" i="110"/>
  <c r="U37" i="110"/>
  <c r="U34" i="110"/>
  <c r="AB36" i="109"/>
  <c r="X36" i="109"/>
  <c r="X40" i="109"/>
  <c r="V23" i="97"/>
  <c r="AD38" i="105"/>
  <c r="AF33" i="109"/>
  <c r="AF31" i="109"/>
  <c r="X38" i="109"/>
  <c r="X41" i="109"/>
  <c r="X42" i="109" s="1"/>
  <c r="T35" i="109"/>
  <c r="AF29" i="109"/>
  <c r="AF28" i="109"/>
  <c r="AF27" i="109"/>
  <c r="AF26" i="109"/>
  <c r="AF25" i="109"/>
  <c r="AF24" i="109"/>
  <c r="AF23" i="109"/>
  <c r="AF22" i="109"/>
  <c r="AF18" i="109"/>
  <c r="AF21" i="109"/>
  <c r="AF20" i="109"/>
  <c r="AF19" i="109"/>
  <c r="T39" i="109"/>
  <c r="T36" i="109"/>
  <c r="AD41" i="109"/>
  <c r="AD40" i="109"/>
  <c r="AD37" i="109"/>
  <c r="AD34" i="109"/>
  <c r="Z41" i="109"/>
  <c r="Z40" i="109"/>
  <c r="Z37" i="109"/>
  <c r="Z34" i="109"/>
  <c r="T41" i="109"/>
  <c r="T40" i="109"/>
  <c r="T37" i="109"/>
  <c r="T34" i="109"/>
  <c r="AE15" i="109"/>
  <c r="AE14" i="109"/>
  <c r="AE13" i="109"/>
  <c r="AE12" i="109"/>
  <c r="AE11" i="109"/>
  <c r="AC41" i="109"/>
  <c r="AC40" i="109"/>
  <c r="AC37" i="109"/>
  <c r="AC34" i="109"/>
  <c r="Y41" i="109"/>
  <c r="Y40" i="109"/>
  <c r="Y37" i="109"/>
  <c r="Y34" i="109"/>
  <c r="U41" i="109"/>
  <c r="U40" i="109"/>
  <c r="U37" i="109"/>
  <c r="U34" i="109"/>
  <c r="O106" i="109"/>
  <c r="AE10" i="109"/>
  <c r="AE28" i="109"/>
  <c r="AE27" i="109"/>
  <c r="AE26" i="109"/>
  <c r="AE25" i="109"/>
  <c r="AE24" i="109"/>
  <c r="AE23" i="109"/>
  <c r="AE22" i="109"/>
  <c r="AE21" i="109"/>
  <c r="AE20" i="109"/>
  <c r="AE19" i="109"/>
  <c r="AE18" i="109"/>
  <c r="AE17" i="109"/>
  <c r="AE16" i="109"/>
  <c r="AB41" i="109"/>
  <c r="AB40" i="109"/>
  <c r="AB37" i="109"/>
  <c r="AB34" i="109"/>
  <c r="V41" i="109"/>
  <c r="V40" i="109"/>
  <c r="V37" i="109"/>
  <c r="V34" i="109"/>
  <c r="AF10" i="109"/>
  <c r="P106" i="109"/>
  <c r="J107" i="109" s="1"/>
  <c r="AA41" i="109"/>
  <c r="AA40" i="109"/>
  <c r="AA37" i="109"/>
  <c r="AA34" i="109"/>
  <c r="W41" i="109"/>
  <c r="W40" i="109"/>
  <c r="W37" i="109"/>
  <c r="W34" i="109"/>
  <c r="S41" i="109"/>
  <c r="S40" i="109"/>
  <c r="S37" i="109"/>
  <c r="S34" i="109"/>
  <c r="AD13" i="108"/>
  <c r="AA24" i="94"/>
  <c r="AC23" i="96"/>
  <c r="AB36" i="105"/>
  <c r="P16" i="108"/>
  <c r="Z13" i="108"/>
  <c r="O56" i="108"/>
  <c r="S15" i="108"/>
  <c r="T17" i="108"/>
  <c r="O11" i="108"/>
  <c r="X18" i="108"/>
  <c r="AB15" i="108"/>
  <c r="O57" i="108"/>
  <c r="P40" i="108"/>
  <c r="AB17" i="108"/>
  <c r="O35" i="108"/>
  <c r="X16" i="108"/>
  <c r="T15" i="108"/>
  <c r="O10" i="108"/>
  <c r="AA26" i="94"/>
  <c r="AB18" i="108"/>
  <c r="T18" i="108"/>
  <c r="X17" i="108"/>
  <c r="AB16" i="108"/>
  <c r="T16" i="108"/>
  <c r="X15" i="108"/>
  <c r="P29" i="108"/>
  <c r="T13" i="108"/>
  <c r="AC11" i="108"/>
  <c r="Y12" i="108"/>
  <c r="O16" i="108"/>
  <c r="Y10" i="108"/>
  <c r="P49" i="108"/>
  <c r="P22" i="108"/>
  <c r="O49" i="108"/>
  <c r="P43" i="108"/>
  <c r="AD18" i="108"/>
  <c r="Z18" i="108"/>
  <c r="V18" i="108"/>
  <c r="AD16" i="108"/>
  <c r="Z16" i="108"/>
  <c r="V16" i="108"/>
  <c r="O28" i="108"/>
  <c r="W15" i="108"/>
  <c r="W19" i="108"/>
  <c r="S20" i="108"/>
  <c r="AA20" i="108"/>
  <c r="W21" i="108"/>
  <c r="O36" i="108"/>
  <c r="S13" i="108"/>
  <c r="O20" i="108"/>
  <c r="AA15" i="108"/>
  <c r="AA17" i="108"/>
  <c r="Y19" i="108"/>
  <c r="U20" i="108"/>
  <c r="AC20" i="108"/>
  <c r="Y21" i="108"/>
  <c r="P57" i="108"/>
  <c r="P55" i="108"/>
  <c r="P52" i="108"/>
  <c r="P35" i="108"/>
  <c r="P21" i="108"/>
  <c r="O13" i="108"/>
  <c r="P12" i="108"/>
  <c r="AA10" i="108"/>
  <c r="O53" i="108"/>
  <c r="O48" i="108"/>
  <c r="P46" i="108"/>
  <c r="O38" i="108"/>
  <c r="P45" i="108"/>
  <c r="P38" i="108"/>
  <c r="P32" i="108"/>
  <c r="O30" i="108"/>
  <c r="AB13" i="108"/>
  <c r="X13" i="108"/>
  <c r="O31" i="108"/>
  <c r="P24" i="108"/>
  <c r="P17" i="108"/>
  <c r="O14" i="108"/>
  <c r="O43" i="108"/>
  <c r="S11" i="108"/>
  <c r="P56" i="108"/>
  <c r="O55" i="108"/>
  <c r="P53" i="108"/>
  <c r="P51" i="108"/>
  <c r="P48" i="108"/>
  <c r="W18" i="108"/>
  <c r="O39" i="108"/>
  <c r="P37" i="108"/>
  <c r="W16" i="108"/>
  <c r="P27" i="108"/>
  <c r="AC12" i="108"/>
  <c r="U12" i="108"/>
  <c r="Y11" i="108"/>
  <c r="Y34" i="108" s="1"/>
  <c r="P13" i="108"/>
  <c r="O12" i="108"/>
  <c r="P11" i="108"/>
  <c r="AC10" i="108"/>
  <c r="P10" i="108"/>
  <c r="O52" i="108"/>
  <c r="P47" i="108"/>
  <c r="P26" i="108"/>
  <c r="U24" i="94"/>
  <c r="AC26" i="94"/>
  <c r="O51" i="108"/>
  <c r="O47" i="108"/>
  <c r="O26" i="108"/>
  <c r="O22" i="108"/>
  <c r="O18" i="108"/>
  <c r="U10" i="108"/>
  <c r="P54" i="108"/>
  <c r="O50" i="108"/>
  <c r="W14" i="108"/>
  <c r="W17" i="108"/>
  <c r="AA19" i="108"/>
  <c r="W20" i="108"/>
  <c r="S21" i="108"/>
  <c r="U19" i="108"/>
  <c r="AA14" i="108"/>
  <c r="AA16" i="108"/>
  <c r="AA18" i="108"/>
  <c r="AC19" i="108"/>
  <c r="Y20" i="108"/>
  <c r="U21" i="108"/>
  <c r="AC21" i="108"/>
  <c r="Z12" i="108"/>
  <c r="O44" i="108"/>
  <c r="AB14" i="108"/>
  <c r="X14" i="108"/>
  <c r="T14" i="108"/>
  <c r="V13" i="108"/>
  <c r="AA13" i="108"/>
  <c r="O46" i="108"/>
  <c r="S18" i="108"/>
  <c r="S16" i="108"/>
  <c r="S14" i="108"/>
  <c r="O45" i="108"/>
  <c r="P41" i="108"/>
  <c r="P39" i="108"/>
  <c r="AD17" i="108"/>
  <c r="Z17" i="108"/>
  <c r="V17" i="108"/>
  <c r="O37" i="108"/>
  <c r="O32" i="108"/>
  <c r="AD15" i="108"/>
  <c r="Z15" i="108"/>
  <c r="P30" i="108"/>
  <c r="P28" i="108"/>
  <c r="P25" i="108"/>
  <c r="P23" i="108"/>
  <c r="O21" i="108"/>
  <c r="P19" i="108"/>
  <c r="P44" i="108"/>
  <c r="O40" i="108"/>
  <c r="P36" i="108"/>
  <c r="P33" i="108"/>
  <c r="P31" i="108"/>
  <c r="O29" i="108"/>
  <c r="O27" i="108"/>
  <c r="O24" i="108"/>
  <c r="W13" i="108"/>
  <c r="P20" i="108"/>
  <c r="O17" i="108"/>
  <c r="P15" i="108"/>
  <c r="AA11" i="108"/>
  <c r="P14" i="108"/>
  <c r="AA21" i="108"/>
  <c r="W10" i="108"/>
  <c r="S10" i="108"/>
  <c r="S19" i="108"/>
  <c r="S17" i="108"/>
  <c r="AD12" i="108"/>
  <c r="AD14" i="108"/>
  <c r="Z14" i="108"/>
  <c r="V14" i="108"/>
  <c r="X12" i="108"/>
  <c r="AC18" i="108"/>
  <c r="Y18" i="108"/>
  <c r="U18" i="108"/>
  <c r="AC17" i="108"/>
  <c r="Y17" i="108"/>
  <c r="AC16" i="108"/>
  <c r="Y16" i="108"/>
  <c r="U16" i="108"/>
  <c r="Y14" i="108"/>
  <c r="AC13" i="108"/>
  <c r="Y13" i="108"/>
  <c r="U13" i="108"/>
  <c r="W11" i="108"/>
  <c r="AB11" i="108"/>
  <c r="O41" i="108"/>
  <c r="O33" i="108"/>
  <c r="O25" i="108"/>
  <c r="V15" i="108"/>
  <c r="O23" i="108"/>
  <c r="O19" i="108"/>
  <c r="O15" i="108"/>
  <c r="P50" i="108"/>
  <c r="P42" i="108"/>
  <c r="P34" i="108"/>
  <c r="S12" i="108"/>
  <c r="O54" i="108"/>
  <c r="O42" i="108"/>
  <c r="O34" i="108"/>
  <c r="P18" i="108"/>
  <c r="AB12" i="108"/>
  <c r="T12" i="108"/>
  <c r="U17" i="108"/>
  <c r="AC15" i="108"/>
  <c r="Y15" i="108"/>
  <c r="U15" i="108"/>
  <c r="AC14" i="108"/>
  <c r="U14" i="108"/>
  <c r="U11" i="108"/>
  <c r="Z38" i="105"/>
  <c r="V38" i="105"/>
  <c r="AC15" i="107"/>
  <c r="W15" i="107"/>
  <c r="U15" i="107"/>
  <c r="AC10" i="107"/>
  <c r="W10" i="107"/>
  <c r="U10" i="107"/>
  <c r="X38" i="105"/>
  <c r="O57" i="107"/>
  <c r="Y15" i="107"/>
  <c r="Z11" i="107"/>
  <c r="AC35" i="105"/>
  <c r="U38" i="105"/>
  <c r="AD21" i="107"/>
  <c r="AB21" i="107"/>
  <c r="Z21" i="107"/>
  <c r="X21" i="107"/>
  <c r="V21" i="107"/>
  <c r="T21" i="107"/>
  <c r="AD20" i="107"/>
  <c r="Z20" i="107"/>
  <c r="V20" i="107"/>
  <c r="AB19" i="107"/>
  <c r="X19" i="107"/>
  <c r="T19" i="107"/>
  <c r="AB18" i="107"/>
  <c r="X18" i="107"/>
  <c r="V18" i="107"/>
  <c r="AD17" i="107"/>
  <c r="Z17" i="107"/>
  <c r="V17" i="107"/>
  <c r="O37" i="107"/>
  <c r="P36" i="107"/>
  <c r="P35" i="107"/>
  <c r="AB16" i="107"/>
  <c r="X16" i="107"/>
  <c r="T16" i="107"/>
  <c r="O32" i="107"/>
  <c r="P31" i="107"/>
  <c r="AB15" i="107"/>
  <c r="X15" i="107"/>
  <c r="T15" i="107"/>
  <c r="P28" i="107"/>
  <c r="AD14" i="107"/>
  <c r="Z14" i="107"/>
  <c r="V14" i="107"/>
  <c r="O25" i="107"/>
  <c r="AD13" i="107"/>
  <c r="Z13" i="107"/>
  <c r="V13" i="107"/>
  <c r="O19" i="107"/>
  <c r="AB12" i="107"/>
  <c r="Z12" i="107"/>
  <c r="V12" i="107"/>
  <c r="T12" i="107"/>
  <c r="P18" i="107"/>
  <c r="O17" i="107"/>
  <c r="O15" i="107"/>
  <c r="AD11" i="107"/>
  <c r="AB11" i="107"/>
  <c r="T11" i="107"/>
  <c r="P14" i="107"/>
  <c r="AB20" i="107"/>
  <c r="X20" i="107"/>
  <c r="T20" i="107"/>
  <c r="AD19" i="107"/>
  <c r="AD39" i="107" s="1"/>
  <c r="Z19" i="107"/>
  <c r="V19" i="107"/>
  <c r="V39" i="107" s="1"/>
  <c r="AD18" i="107"/>
  <c r="Z18" i="107"/>
  <c r="T18" i="107"/>
  <c r="AB17" i="107"/>
  <c r="X17" i="107"/>
  <c r="T17" i="107"/>
  <c r="AD16" i="107"/>
  <c r="Z16" i="107"/>
  <c r="V16" i="107"/>
  <c r="P33" i="107"/>
  <c r="O33" i="107"/>
  <c r="AD15" i="107"/>
  <c r="Z15" i="107"/>
  <c r="V15" i="107"/>
  <c r="O29" i="107"/>
  <c r="O27" i="107"/>
  <c r="AB14" i="107"/>
  <c r="X14" i="107"/>
  <c r="T14" i="107"/>
  <c r="P24" i="107"/>
  <c r="AB13" i="107"/>
  <c r="X13" i="107"/>
  <c r="P22" i="107"/>
  <c r="T13" i="107"/>
  <c r="O22" i="107"/>
  <c r="O20" i="107"/>
  <c r="AD12" i="107"/>
  <c r="X12" i="107"/>
  <c r="X11" i="107"/>
  <c r="V11" i="107"/>
  <c r="O13" i="107"/>
  <c r="O11" i="107"/>
  <c r="AB10" i="107"/>
  <c r="Z10" i="107"/>
  <c r="X10" i="107"/>
  <c r="T10" i="107"/>
  <c r="P57" i="107"/>
  <c r="P56" i="107"/>
  <c r="O56" i="107"/>
  <c r="P55" i="107"/>
  <c r="O55" i="107"/>
  <c r="AC21" i="107"/>
  <c r="AA21" i="107"/>
  <c r="Y21" i="107"/>
  <c r="W21" i="107"/>
  <c r="U21" i="107"/>
  <c r="S21" i="107"/>
  <c r="P54" i="107"/>
  <c r="O54" i="107"/>
  <c r="P53" i="107"/>
  <c r="O53" i="107"/>
  <c r="O52" i="107"/>
  <c r="P52" i="107"/>
  <c r="O51" i="107"/>
  <c r="P51" i="107"/>
  <c r="AC20" i="107"/>
  <c r="AA20" i="107"/>
  <c r="Y20" i="107"/>
  <c r="W20" i="107"/>
  <c r="U20" i="107"/>
  <c r="O50" i="107"/>
  <c r="P50" i="107"/>
  <c r="S20" i="107"/>
  <c r="P49" i="107"/>
  <c r="O49" i="107"/>
  <c r="P48" i="107"/>
  <c r="O48" i="107"/>
  <c r="P47" i="107"/>
  <c r="O47" i="107"/>
  <c r="AC19" i="107"/>
  <c r="AA19" i="107"/>
  <c r="Y19" i="107"/>
  <c r="W19" i="107"/>
  <c r="U19" i="107"/>
  <c r="U36" i="107" s="1"/>
  <c r="S19" i="107"/>
  <c r="S36" i="107" s="1"/>
  <c r="O46" i="107"/>
  <c r="P46" i="107"/>
  <c r="P45" i="107"/>
  <c r="O45" i="107"/>
  <c r="O44" i="107"/>
  <c r="P44" i="107"/>
  <c r="O43" i="107"/>
  <c r="P43" i="107"/>
  <c r="AC18" i="107"/>
  <c r="AA18" i="107"/>
  <c r="Y18" i="107"/>
  <c r="W18" i="107"/>
  <c r="U18" i="107"/>
  <c r="O42" i="107"/>
  <c r="P42" i="107"/>
  <c r="S18" i="107"/>
  <c r="P41" i="107"/>
  <c r="O41" i="107"/>
  <c r="P40" i="107"/>
  <c r="P39" i="107"/>
  <c r="AC17" i="107"/>
  <c r="Y17" i="107"/>
  <c r="W17" i="107"/>
  <c r="U17" i="107"/>
  <c r="O38" i="107"/>
  <c r="P37" i="107"/>
  <c r="O36" i="107"/>
  <c r="O35" i="107"/>
  <c r="O34" i="107"/>
  <c r="P32" i="107"/>
  <c r="O31" i="107"/>
  <c r="P29" i="107"/>
  <c r="O28" i="107"/>
  <c r="P27" i="107"/>
  <c r="P25" i="107"/>
  <c r="O24" i="107"/>
  <c r="P23" i="107"/>
  <c r="P21" i="107"/>
  <c r="P17" i="107"/>
  <c r="O40" i="107"/>
  <c r="AA17" i="107"/>
  <c r="S17" i="107"/>
  <c r="AC16" i="107"/>
  <c r="AA16" i="107"/>
  <c r="Y16" i="107"/>
  <c r="W16" i="107"/>
  <c r="U16" i="107"/>
  <c r="AA15" i="107"/>
  <c r="S15" i="107"/>
  <c r="AC14" i="107"/>
  <c r="AA14" i="107"/>
  <c r="Y14" i="107"/>
  <c r="W14" i="107"/>
  <c r="U14" i="107"/>
  <c r="S14" i="107"/>
  <c r="AC13" i="107"/>
  <c r="AA13" i="107"/>
  <c r="Y13" i="107"/>
  <c r="W13" i="107"/>
  <c r="U13" i="107"/>
  <c r="S13" i="107"/>
  <c r="P20" i="107"/>
  <c r="P19" i="107"/>
  <c r="AC12" i="107"/>
  <c r="AA12" i="107"/>
  <c r="Y12" i="107"/>
  <c r="W12" i="107"/>
  <c r="U12" i="107"/>
  <c r="S12" i="107"/>
  <c r="P16" i="107"/>
  <c r="P15" i="107"/>
  <c r="AC11" i="107"/>
  <c r="AA11" i="107"/>
  <c r="Y11" i="107"/>
  <c r="W11" i="107"/>
  <c r="U11" i="107"/>
  <c r="S11" i="107"/>
  <c r="P13" i="107"/>
  <c r="P12" i="107"/>
  <c r="P11" i="107"/>
  <c r="O39" i="107"/>
  <c r="O26" i="107"/>
  <c r="O23" i="107"/>
  <c r="O21" i="107"/>
  <c r="O18" i="107"/>
  <c r="O16" i="107"/>
  <c r="O14" i="107"/>
  <c r="O12" i="107"/>
  <c r="P26" i="107"/>
  <c r="P38" i="107"/>
  <c r="P30" i="107"/>
  <c r="S16" i="107"/>
  <c r="P34" i="107"/>
  <c r="O30" i="107"/>
  <c r="Y10" i="107"/>
  <c r="AB38" i="105"/>
  <c r="T38" i="105"/>
  <c r="AD10" i="107"/>
  <c r="V10" i="107"/>
  <c r="AA10" i="107"/>
  <c r="P10" i="107"/>
  <c r="S10" i="107"/>
  <c r="O10" i="107"/>
  <c r="X35" i="105"/>
  <c r="U39" i="107"/>
  <c r="AC23" i="95"/>
  <c r="U23" i="96"/>
  <c r="AA35" i="105"/>
  <c r="AD26" i="98"/>
  <c r="U35" i="105"/>
  <c r="AB35" i="105"/>
  <c r="T35" i="105"/>
  <c r="AE12" i="105"/>
  <c r="AF33" i="105"/>
  <c r="AF31" i="105"/>
  <c r="AF13" i="105"/>
  <c r="AC38" i="105"/>
  <c r="AA38" i="105"/>
  <c r="W38" i="105"/>
  <c r="W35" i="105"/>
  <c r="S35" i="105"/>
  <c r="AF11" i="105"/>
  <c r="AF32" i="105"/>
  <c r="Y35" i="105"/>
  <c r="AF15" i="105"/>
  <c r="AF30" i="105"/>
  <c r="AF29" i="105"/>
  <c r="AF28" i="105"/>
  <c r="AF27" i="105"/>
  <c r="AF26" i="105"/>
  <c r="AF25" i="105"/>
  <c r="AF24" i="105"/>
  <c r="AF23" i="105"/>
  <c r="AF22" i="105"/>
  <c r="AF21" i="105"/>
  <c r="AF20" i="105"/>
  <c r="AF19" i="105"/>
  <c r="AF18" i="105"/>
  <c r="AF17" i="105"/>
  <c r="AF16" i="105"/>
  <c r="AF14" i="105"/>
  <c r="AD35" i="105"/>
  <c r="Z35" i="105"/>
  <c r="V35" i="105"/>
  <c r="AF12" i="105"/>
  <c r="AD41" i="105"/>
  <c r="AD40" i="105"/>
  <c r="AD37" i="105"/>
  <c r="AD34" i="105"/>
  <c r="Z41" i="105"/>
  <c r="Z40" i="105"/>
  <c r="Z37" i="105"/>
  <c r="Z34" i="105"/>
  <c r="AE28" i="105"/>
  <c r="AE27" i="105"/>
  <c r="AE26" i="105"/>
  <c r="AE25" i="105"/>
  <c r="AE24" i="105"/>
  <c r="AE23" i="105"/>
  <c r="AE22" i="105"/>
  <c r="AE21" i="105"/>
  <c r="AE20" i="105"/>
  <c r="AE19" i="105"/>
  <c r="AE18" i="105"/>
  <c r="AE17" i="105"/>
  <c r="AE16" i="105"/>
  <c r="AE15" i="105"/>
  <c r="AE14" i="105"/>
  <c r="AE13" i="105"/>
  <c r="AE11" i="105"/>
  <c r="AC41" i="105"/>
  <c r="AC40" i="105"/>
  <c r="AC37" i="105"/>
  <c r="AC34" i="105"/>
  <c r="Y41" i="105"/>
  <c r="Y40" i="105"/>
  <c r="Y37" i="105"/>
  <c r="Y34" i="105"/>
  <c r="W41" i="105"/>
  <c r="W40" i="105"/>
  <c r="W37" i="105"/>
  <c r="W34" i="105"/>
  <c r="U41" i="105"/>
  <c r="U40" i="105"/>
  <c r="U37" i="105"/>
  <c r="U34" i="105"/>
  <c r="O106" i="105"/>
  <c r="G108" i="105" s="1"/>
  <c r="AE10" i="105"/>
  <c r="P106" i="105"/>
  <c r="G107" i="105" s="1"/>
  <c r="AF10" i="105"/>
  <c r="V41" i="105"/>
  <c r="V40" i="105"/>
  <c r="V37" i="105"/>
  <c r="V34" i="105"/>
  <c r="T41" i="105"/>
  <c r="T40" i="105"/>
  <c r="T37" i="105"/>
  <c r="T34" i="105"/>
  <c r="AE33" i="105"/>
  <c r="AE32" i="105"/>
  <c r="AE31" i="105"/>
  <c r="AE30" i="105"/>
  <c r="AE29" i="105"/>
  <c r="AB41" i="105"/>
  <c r="AB40" i="105"/>
  <c r="AB37" i="105"/>
  <c r="AB34" i="105"/>
  <c r="X41" i="105"/>
  <c r="X40" i="105"/>
  <c r="X37" i="105"/>
  <c r="X34" i="105"/>
  <c r="AA41" i="105"/>
  <c r="AA40" i="105"/>
  <c r="AA37" i="105"/>
  <c r="AA34" i="105"/>
  <c r="S41" i="105"/>
  <c r="S40" i="105"/>
  <c r="S37" i="105"/>
  <c r="S34" i="105"/>
  <c r="AD24" i="98"/>
  <c r="AC26" i="98"/>
  <c r="AA23" i="100"/>
  <c r="O106" i="101"/>
  <c r="C108" i="101" s="1"/>
  <c r="Y24" i="99"/>
  <c r="P106" i="101"/>
  <c r="U26" i="96"/>
  <c r="AB23" i="97"/>
  <c r="W26" i="99"/>
  <c r="U26" i="94"/>
  <c r="V26" i="98"/>
  <c r="U23" i="95"/>
  <c r="V41" i="101"/>
  <c r="AB41" i="101"/>
  <c r="X41" i="101"/>
  <c r="T41" i="101"/>
  <c r="W41" i="101"/>
  <c r="AC41" i="101"/>
  <c r="U41" i="101"/>
  <c r="AD41" i="101"/>
  <c r="Z41" i="101"/>
  <c r="AA41" i="101"/>
  <c r="Y41" i="101"/>
  <c r="S41" i="101"/>
  <c r="AE30" i="101"/>
  <c r="AE31" i="101"/>
  <c r="AE32" i="101"/>
  <c r="AE33" i="101"/>
  <c r="AF22" i="101"/>
  <c r="AF23" i="101"/>
  <c r="AF24" i="101"/>
  <c r="AF26" i="101"/>
  <c r="AF27" i="101"/>
  <c r="AF29" i="101"/>
  <c r="AF30" i="101"/>
  <c r="AF31" i="101"/>
  <c r="AE22" i="101"/>
  <c r="AE23" i="101"/>
  <c r="AE24" i="101"/>
  <c r="AE25" i="101"/>
  <c r="AE26" i="101"/>
  <c r="AE27" i="101"/>
  <c r="AE28" i="101"/>
  <c r="AE29" i="101"/>
  <c r="AB23" i="95"/>
  <c r="Y24" i="100"/>
  <c r="AB26" i="95"/>
  <c r="Z24" i="95"/>
  <c r="V23" i="99"/>
  <c r="V23" i="98"/>
  <c r="Z27" i="98"/>
  <c r="T24" i="98"/>
  <c r="Y27" i="94"/>
  <c r="Y23" i="96"/>
  <c r="Y26" i="94"/>
  <c r="Y23" i="95"/>
  <c r="AF13" i="104"/>
  <c r="W23" i="96"/>
  <c r="AA26" i="96"/>
  <c r="Y26" i="97"/>
  <c r="AD26" i="96"/>
  <c r="AC23" i="94"/>
  <c r="W27" i="98"/>
  <c r="V24" i="95"/>
  <c r="Y27" i="96"/>
  <c r="Z23" i="95"/>
  <c r="AC27" i="94"/>
  <c r="AA23" i="94"/>
  <c r="X26" i="95"/>
  <c r="X38" i="101"/>
  <c r="Y23" i="94"/>
  <c r="Y38" i="101"/>
  <c r="W26" i="94"/>
  <c r="X35" i="101"/>
  <c r="AB38" i="101"/>
  <c r="T38" i="101"/>
  <c r="AB35" i="101"/>
  <c r="T35" i="101"/>
  <c r="U23" i="94"/>
  <c r="AC24" i="104"/>
  <c r="W28" i="104"/>
  <c r="V23" i="95"/>
  <c r="W23" i="104"/>
  <c r="X25" i="104"/>
  <c r="S24" i="104"/>
  <c r="AB25" i="104"/>
  <c r="W23" i="94"/>
  <c r="U24" i="104"/>
  <c r="AC23" i="104"/>
  <c r="S25" i="104"/>
  <c r="AA26" i="103"/>
  <c r="Y26" i="103"/>
  <c r="W25" i="104"/>
  <c r="W27" i="104"/>
  <c r="W26" i="104"/>
  <c r="AC27" i="104"/>
  <c r="U23" i="104"/>
  <c r="AF16" i="103"/>
  <c r="AC26" i="103"/>
  <c r="U26" i="103"/>
  <c r="AF12" i="104"/>
  <c r="AA28" i="104"/>
  <c r="AF11" i="104"/>
  <c r="AB22" i="104"/>
  <c r="T22" i="104"/>
  <c r="AB23" i="103"/>
  <c r="T23" i="103"/>
  <c r="W24" i="104"/>
  <c r="X22" i="104"/>
  <c r="AA38" i="101"/>
  <c r="T25" i="104"/>
  <c r="W22" i="104"/>
  <c r="S28" i="104"/>
  <c r="AA25" i="104"/>
  <c r="S27" i="104"/>
  <c r="Y27" i="104"/>
  <c r="W26" i="103"/>
  <c r="AC38" i="101"/>
  <c r="Y35" i="101"/>
  <c r="U38" i="101"/>
  <c r="AF18" i="104"/>
  <c r="AA22" i="104"/>
  <c r="S22" i="104"/>
  <c r="AC26" i="104"/>
  <c r="U26" i="104"/>
  <c r="Y23" i="103"/>
  <c r="U23" i="103"/>
  <c r="AF14" i="103"/>
  <c r="S26" i="104"/>
  <c r="AC23" i="103"/>
  <c r="AF15" i="103"/>
  <c r="AA23" i="103"/>
  <c r="W23" i="103"/>
  <c r="AF20" i="104"/>
  <c r="AF16" i="104"/>
  <c r="Y23" i="100"/>
  <c r="AE15" i="103"/>
  <c r="AF21" i="104"/>
  <c r="AF19" i="104"/>
  <c r="Y24" i="104"/>
  <c r="AF17" i="104"/>
  <c r="AF15" i="104"/>
  <c r="Y26" i="104"/>
  <c r="AD23" i="104"/>
  <c r="Z26" i="104"/>
  <c r="V23" i="104"/>
  <c r="Z23" i="104"/>
  <c r="AF13" i="103"/>
  <c r="AF12" i="103"/>
  <c r="AF11" i="103"/>
  <c r="W28" i="100"/>
  <c r="AB26" i="99"/>
  <c r="T26" i="99"/>
  <c r="AF13" i="100"/>
  <c r="Z35" i="101"/>
  <c r="AB23" i="104"/>
  <c r="X26" i="104"/>
  <c r="T28" i="104"/>
  <c r="Y23" i="104"/>
  <c r="AF14" i="104"/>
  <c r="AD26" i="104"/>
  <c r="V26" i="104"/>
  <c r="S23" i="104"/>
  <c r="AF17" i="103"/>
  <c r="AF21" i="103"/>
  <c r="AF20" i="103"/>
  <c r="AF19" i="103"/>
  <c r="AF18" i="103"/>
  <c r="U27" i="104"/>
  <c r="Z28" i="104"/>
  <c r="Z25" i="104"/>
  <c r="Z22" i="104"/>
  <c r="AB27" i="104"/>
  <c r="AB24" i="104"/>
  <c r="X27" i="104"/>
  <c r="X24" i="104"/>
  <c r="T24" i="104"/>
  <c r="T27" i="104"/>
  <c r="AE13" i="104"/>
  <c r="Y28" i="104"/>
  <c r="Y25" i="104"/>
  <c r="Y22" i="104"/>
  <c r="O58" i="104"/>
  <c r="L60" i="104" s="1"/>
  <c r="AE10" i="104"/>
  <c r="AF10" i="104"/>
  <c r="P58" i="104"/>
  <c r="L59" i="104" s="1"/>
  <c r="AD28" i="103"/>
  <c r="AD25" i="103"/>
  <c r="AD22" i="103"/>
  <c r="Z28" i="103"/>
  <c r="Z25" i="103"/>
  <c r="Z22" i="103"/>
  <c r="V28" i="103"/>
  <c r="V25" i="103"/>
  <c r="V22" i="103"/>
  <c r="X28" i="104"/>
  <c r="X23" i="104"/>
  <c r="AE21" i="103"/>
  <c r="AE20" i="103"/>
  <c r="AE19" i="103"/>
  <c r="AE18" i="103"/>
  <c r="AE17" i="103"/>
  <c r="S26" i="103"/>
  <c r="S23" i="103"/>
  <c r="W28" i="103"/>
  <c r="W25" i="103"/>
  <c r="W22" i="103"/>
  <c r="Y28" i="103"/>
  <c r="Y25" i="103"/>
  <c r="Y22" i="103"/>
  <c r="O58" i="103"/>
  <c r="C60" i="103" s="1"/>
  <c r="AE10" i="103"/>
  <c r="AC26" i="99"/>
  <c r="AE21" i="104"/>
  <c r="AE20" i="104"/>
  <c r="AE19" i="104"/>
  <c r="AE18" i="104"/>
  <c r="AE17" i="104"/>
  <c r="AE16" i="104"/>
  <c r="AE15" i="104"/>
  <c r="AE14" i="104"/>
  <c r="AD28" i="104"/>
  <c r="AD25" i="104"/>
  <c r="AD22" i="104"/>
  <c r="V28" i="104"/>
  <c r="V25" i="104"/>
  <c r="V22" i="104"/>
  <c r="AD27" i="104"/>
  <c r="AD24" i="104"/>
  <c r="Z27" i="104"/>
  <c r="Z24" i="104"/>
  <c r="V27" i="104"/>
  <c r="V24" i="104"/>
  <c r="AB28" i="104"/>
  <c r="AB26" i="104"/>
  <c r="AE12" i="104"/>
  <c r="AE11" i="104"/>
  <c r="AC28" i="104"/>
  <c r="AC25" i="104"/>
  <c r="AC22" i="104"/>
  <c r="U28" i="104"/>
  <c r="U25" i="104"/>
  <c r="U22" i="104"/>
  <c r="AB28" i="103"/>
  <c r="AB25" i="103"/>
  <c r="AB22" i="103"/>
  <c r="X28" i="103"/>
  <c r="X25" i="103"/>
  <c r="X22" i="103"/>
  <c r="T28" i="103"/>
  <c r="T25" i="103"/>
  <c r="T22" i="103"/>
  <c r="T23" i="104"/>
  <c r="T26" i="104"/>
  <c r="AE16" i="103"/>
  <c r="AA28" i="103"/>
  <c r="AA25" i="103"/>
  <c r="AA22" i="103"/>
  <c r="S28" i="103"/>
  <c r="S25" i="103"/>
  <c r="S22" i="103"/>
  <c r="AE14" i="103"/>
  <c r="AE13" i="103"/>
  <c r="AE12" i="103"/>
  <c r="AE11" i="103"/>
  <c r="AC28" i="103"/>
  <c r="AC25" i="103"/>
  <c r="AC22" i="103"/>
  <c r="U28" i="103"/>
  <c r="U25" i="103"/>
  <c r="U22" i="103"/>
  <c r="P58" i="103"/>
  <c r="AF10" i="103"/>
  <c r="AC24" i="100"/>
  <c r="U24" i="100"/>
  <c r="AC23" i="100"/>
  <c r="U23" i="100"/>
  <c r="T25" i="100"/>
  <c r="AB23" i="99"/>
  <c r="T23" i="99"/>
  <c r="AA22" i="100"/>
  <c r="X26" i="99"/>
  <c r="W27" i="100"/>
  <c r="AF15" i="101"/>
  <c r="AF14" i="101"/>
  <c r="AF13" i="101"/>
  <c r="AF12" i="101"/>
  <c r="AF11" i="101"/>
  <c r="X23" i="99"/>
  <c r="X25" i="100"/>
  <c r="AA25" i="100"/>
  <c r="S24" i="100"/>
  <c r="AF21" i="101"/>
  <c r="AF20" i="101"/>
  <c r="AF19" i="101"/>
  <c r="AF18" i="101"/>
  <c r="AF17" i="101"/>
  <c r="AF16" i="101"/>
  <c r="AB40" i="101"/>
  <c r="AB37" i="101"/>
  <c r="AB34" i="101"/>
  <c r="X40" i="101"/>
  <c r="X37" i="101"/>
  <c r="X34" i="101"/>
  <c r="T40" i="101"/>
  <c r="T37" i="101"/>
  <c r="T34" i="101"/>
  <c r="AE21" i="101"/>
  <c r="AE20" i="101"/>
  <c r="AE19" i="101"/>
  <c r="AE18" i="101"/>
  <c r="AE17" i="101"/>
  <c r="AE16" i="101"/>
  <c r="AE15" i="101"/>
  <c r="S38" i="101"/>
  <c r="S35" i="101"/>
  <c r="W40" i="101"/>
  <c r="W37" i="101"/>
  <c r="W34" i="101"/>
  <c r="AE14" i="101"/>
  <c r="AE13" i="101"/>
  <c r="AE12" i="101"/>
  <c r="AE11" i="101"/>
  <c r="AC40" i="101"/>
  <c r="AC37" i="101"/>
  <c r="AC34" i="101"/>
  <c r="U40" i="101"/>
  <c r="U37" i="101"/>
  <c r="U34" i="101"/>
  <c r="AF10" i="101"/>
  <c r="S23" i="98"/>
  <c r="Z23" i="99"/>
  <c r="Y23" i="99"/>
  <c r="S22" i="100"/>
  <c r="W26" i="100"/>
  <c r="AD40" i="101"/>
  <c r="AD37" i="101"/>
  <c r="AD34" i="101"/>
  <c r="Z40" i="101"/>
  <c r="Z37" i="101"/>
  <c r="Z34" i="101"/>
  <c r="V40" i="101"/>
  <c r="V37" i="101"/>
  <c r="V34" i="101"/>
  <c r="AA40" i="101"/>
  <c r="AA37" i="101"/>
  <c r="AA34" i="101"/>
  <c r="S40" i="101"/>
  <c r="S37" i="101"/>
  <c r="S34" i="101"/>
  <c r="Y40" i="101"/>
  <c r="Y37" i="101"/>
  <c r="Y34" i="101"/>
  <c r="AE10" i="101"/>
  <c r="AE12" i="97"/>
  <c r="Y27" i="100"/>
  <c r="Y26" i="100"/>
  <c r="AF13" i="96"/>
  <c r="AE19" i="96"/>
  <c r="AE17" i="96"/>
  <c r="AE15" i="96"/>
  <c r="S23" i="96"/>
  <c r="T25" i="94"/>
  <c r="AE18" i="96"/>
  <c r="S23" i="97"/>
  <c r="AB25" i="100"/>
  <c r="W23" i="100"/>
  <c r="AA28" i="100"/>
  <c r="AA23" i="99"/>
  <c r="W23" i="99"/>
  <c r="AF12" i="100"/>
  <c r="W25" i="100"/>
  <c r="S28" i="100"/>
  <c r="AF11" i="100"/>
  <c r="W24" i="100"/>
  <c r="S23" i="100"/>
  <c r="X25" i="94"/>
  <c r="S26" i="100"/>
  <c r="AE16" i="96"/>
  <c r="AE21" i="96"/>
  <c r="AF11" i="98"/>
  <c r="AE18" i="97"/>
  <c r="AE19" i="98"/>
  <c r="AE21" i="100"/>
  <c r="AE20" i="100"/>
  <c r="AE19" i="100"/>
  <c r="AE18" i="100"/>
  <c r="AE17" i="100"/>
  <c r="AE16" i="100"/>
  <c r="AE15" i="100"/>
  <c r="AF20" i="100"/>
  <c r="AF18" i="100"/>
  <c r="AF16" i="100"/>
  <c r="AB23" i="100"/>
  <c r="W22" i="100"/>
  <c r="AC27" i="100"/>
  <c r="AC26" i="100"/>
  <c r="U26" i="100"/>
  <c r="S27" i="100"/>
  <c r="S25" i="100"/>
  <c r="AF14" i="99"/>
  <c r="AE20" i="96"/>
  <c r="AE14" i="96"/>
  <c r="S23" i="95"/>
  <c r="S25" i="94"/>
  <c r="X23" i="100"/>
  <c r="AB28" i="100"/>
  <c r="AF21" i="99"/>
  <c r="AF20" i="99"/>
  <c r="AF19" i="99"/>
  <c r="AF18" i="99"/>
  <c r="AF17" i="99"/>
  <c r="U27" i="100"/>
  <c r="AF16" i="99"/>
  <c r="AF15" i="99"/>
  <c r="AF13" i="99"/>
  <c r="AF12" i="99"/>
  <c r="AF11" i="99"/>
  <c r="AE15" i="98"/>
  <c r="AF13" i="94"/>
  <c r="S23" i="94"/>
  <c r="X22" i="94"/>
  <c r="AE21" i="98"/>
  <c r="AE18" i="98"/>
  <c r="AE16" i="98"/>
  <c r="AE14" i="98"/>
  <c r="AF21" i="100"/>
  <c r="AF19" i="100"/>
  <c r="AF17" i="100"/>
  <c r="AD26" i="100"/>
  <c r="Z23" i="100"/>
  <c r="V26" i="100"/>
  <c r="AF15" i="100"/>
  <c r="AB26" i="100"/>
  <c r="X26" i="100"/>
  <c r="AF14" i="100"/>
  <c r="AE20" i="98"/>
  <c r="AE24" i="98" s="1"/>
  <c r="AE17" i="98"/>
  <c r="AE11" i="97"/>
  <c r="AE14" i="100"/>
  <c r="AD28" i="100"/>
  <c r="AD25" i="100"/>
  <c r="AD22" i="100"/>
  <c r="V28" i="100"/>
  <c r="V25" i="100"/>
  <c r="V22" i="100"/>
  <c r="AD27" i="100"/>
  <c r="AD24" i="100"/>
  <c r="Z27" i="100"/>
  <c r="Z24" i="100"/>
  <c r="V27" i="100"/>
  <c r="V24" i="100"/>
  <c r="AE12" i="100"/>
  <c r="AE11" i="100"/>
  <c r="AC28" i="100"/>
  <c r="AC25" i="100"/>
  <c r="AC22" i="100"/>
  <c r="U28" i="100"/>
  <c r="U25" i="100"/>
  <c r="U22" i="100"/>
  <c r="AB28" i="99"/>
  <c r="AB25" i="99"/>
  <c r="AB22" i="99"/>
  <c r="X28" i="99"/>
  <c r="X25" i="99"/>
  <c r="X22" i="99"/>
  <c r="T28" i="99"/>
  <c r="T25" i="99"/>
  <c r="T22" i="99"/>
  <c r="AD23" i="100"/>
  <c r="Z26" i="100"/>
  <c r="V23" i="100"/>
  <c r="T23" i="100"/>
  <c r="T26" i="100"/>
  <c r="S26" i="99"/>
  <c r="S23" i="99"/>
  <c r="W28" i="99"/>
  <c r="W25" i="99"/>
  <c r="W22" i="99"/>
  <c r="Y28" i="99"/>
  <c r="Y25" i="99"/>
  <c r="Y22" i="99"/>
  <c r="O58" i="99"/>
  <c r="C60" i="99" s="1"/>
  <c r="AE10" i="99"/>
  <c r="AA25" i="94"/>
  <c r="AF12" i="95"/>
  <c r="S24" i="96"/>
  <c r="S26" i="96"/>
  <c r="AF20" i="98"/>
  <c r="AF13" i="98"/>
  <c r="AF19" i="97"/>
  <c r="AE16" i="97"/>
  <c r="Z28" i="100"/>
  <c r="Z25" i="100"/>
  <c r="Z22" i="100"/>
  <c r="AB27" i="100"/>
  <c r="AB24" i="100"/>
  <c r="X27" i="100"/>
  <c r="X24" i="100"/>
  <c r="T24" i="100"/>
  <c r="T27" i="100"/>
  <c r="T28" i="100"/>
  <c r="AE13" i="100"/>
  <c r="Y28" i="100"/>
  <c r="Y25" i="100"/>
  <c r="Y22" i="100"/>
  <c r="O58" i="100"/>
  <c r="AE10" i="100"/>
  <c r="AF10" i="100"/>
  <c r="P58" i="100"/>
  <c r="H59" i="100" s="1"/>
  <c r="AD28" i="99"/>
  <c r="AD25" i="99"/>
  <c r="AD22" i="99"/>
  <c r="Z28" i="99"/>
  <c r="Z25" i="99"/>
  <c r="Z22" i="99"/>
  <c r="V28" i="99"/>
  <c r="V25" i="99"/>
  <c r="V22" i="99"/>
  <c r="X28" i="100"/>
  <c r="AE21" i="99"/>
  <c r="AE20" i="99"/>
  <c r="AE19" i="99"/>
  <c r="AE18" i="99"/>
  <c r="AE17" i="99"/>
  <c r="AE16" i="99"/>
  <c r="AE15" i="99"/>
  <c r="AA28" i="99"/>
  <c r="AA25" i="99"/>
  <c r="AA22" i="99"/>
  <c r="S28" i="99"/>
  <c r="S25" i="99"/>
  <c r="S22" i="99"/>
  <c r="AE14" i="99"/>
  <c r="AE13" i="99"/>
  <c r="AE12" i="99"/>
  <c r="AE11" i="99"/>
  <c r="AC28" i="99"/>
  <c r="AC25" i="99"/>
  <c r="AC22" i="99"/>
  <c r="U28" i="99"/>
  <c r="U25" i="99"/>
  <c r="U22" i="99"/>
  <c r="P58" i="99"/>
  <c r="AF10" i="99"/>
  <c r="AF12" i="98"/>
  <c r="S24" i="98"/>
  <c r="AE17" i="97"/>
  <c r="AE15" i="97"/>
  <c r="AE14" i="97"/>
  <c r="AE13" i="97"/>
  <c r="AF18" i="97"/>
  <c r="S27" i="98"/>
  <c r="AB22" i="94"/>
  <c r="T22" i="94"/>
  <c r="AF18" i="98"/>
  <c r="AF19" i="98"/>
  <c r="AE21" i="97"/>
  <c r="AE20" i="97"/>
  <c r="AE19" i="97"/>
  <c r="S26" i="98"/>
  <c r="AF21" i="98"/>
  <c r="AF17" i="98"/>
  <c r="AF16" i="98"/>
  <c r="AF15" i="98"/>
  <c r="AF14" i="98"/>
  <c r="AD28" i="98"/>
  <c r="AD25" i="98"/>
  <c r="AD22" i="98"/>
  <c r="Z28" i="98"/>
  <c r="Z25" i="98"/>
  <c r="Z22" i="98"/>
  <c r="V28" i="98"/>
  <c r="V25" i="98"/>
  <c r="V22" i="98"/>
  <c r="P58" i="98"/>
  <c r="AF10" i="98"/>
  <c r="AA28" i="98"/>
  <c r="AA25" i="98"/>
  <c r="AA22" i="98"/>
  <c r="W28" i="98"/>
  <c r="W25" i="98"/>
  <c r="W22" i="98"/>
  <c r="S28" i="98"/>
  <c r="S25" i="98"/>
  <c r="S22" i="98"/>
  <c r="AF21" i="97"/>
  <c r="AF20" i="97"/>
  <c r="AC28" i="97"/>
  <c r="AC25" i="97"/>
  <c r="AC22" i="97"/>
  <c r="Y28" i="97"/>
  <c r="Y25" i="97"/>
  <c r="Y22" i="97"/>
  <c r="U28" i="97"/>
  <c r="U25" i="97"/>
  <c r="U22" i="97"/>
  <c r="O58" i="97"/>
  <c r="AE10" i="97"/>
  <c r="AB28" i="97"/>
  <c r="AB25" i="97"/>
  <c r="AB22" i="97"/>
  <c r="X28" i="97"/>
  <c r="X25" i="97"/>
  <c r="X22" i="97"/>
  <c r="T28" i="97"/>
  <c r="T25" i="97"/>
  <c r="T22" i="97"/>
  <c r="AF12" i="96"/>
  <c r="W25" i="94"/>
  <c r="AB28" i="98"/>
  <c r="AB25" i="98"/>
  <c r="AB22" i="98"/>
  <c r="X28" i="98"/>
  <c r="X25" i="98"/>
  <c r="X22" i="98"/>
  <c r="T28" i="98"/>
  <c r="T25" i="98"/>
  <c r="T22" i="98"/>
  <c r="AE13" i="98"/>
  <c r="AE12" i="98"/>
  <c r="AE11" i="98"/>
  <c r="AC28" i="98"/>
  <c r="AC25" i="98"/>
  <c r="AC22" i="98"/>
  <c r="Y28" i="98"/>
  <c r="Y25" i="98"/>
  <c r="Y22" i="98"/>
  <c r="U28" i="98"/>
  <c r="U25" i="98"/>
  <c r="U22" i="98"/>
  <c r="O58" i="98"/>
  <c r="AE10" i="98"/>
  <c r="AF17" i="97"/>
  <c r="AA28" i="97"/>
  <c r="AA25" i="97"/>
  <c r="AA22" i="97"/>
  <c r="W28" i="97"/>
  <c r="W25" i="97"/>
  <c r="W22" i="97"/>
  <c r="S28" i="97"/>
  <c r="S25" i="97"/>
  <c r="S22" i="97"/>
  <c r="AF16" i="97"/>
  <c r="AF15" i="97"/>
  <c r="AF14" i="97"/>
  <c r="AF13" i="97"/>
  <c r="AF12" i="97"/>
  <c r="AF11" i="97"/>
  <c r="AD28" i="97"/>
  <c r="AD25" i="97"/>
  <c r="AD22" i="97"/>
  <c r="Z28" i="97"/>
  <c r="Z25" i="97"/>
  <c r="Z22" i="97"/>
  <c r="V28" i="97"/>
  <c r="V25" i="97"/>
  <c r="V22" i="97"/>
  <c r="P58" i="97"/>
  <c r="AF10" i="97"/>
  <c r="AE21" i="95"/>
  <c r="AE20" i="95"/>
  <c r="AB25" i="94"/>
  <c r="W22" i="94"/>
  <c r="AF11" i="94"/>
  <c r="W28" i="94"/>
  <c r="AE19" i="95"/>
  <c r="AE17" i="95"/>
  <c r="AE18" i="95"/>
  <c r="AF15" i="95"/>
  <c r="AF14" i="95"/>
  <c r="AF13" i="95"/>
  <c r="AF11" i="96"/>
  <c r="S27" i="95"/>
  <c r="S28" i="94"/>
  <c r="AA28" i="94"/>
  <c r="AF12" i="94"/>
  <c r="AF16" i="95"/>
  <c r="AF21" i="95"/>
  <c r="AF20" i="95"/>
  <c r="S26" i="95"/>
  <c r="AF20" i="94"/>
  <c r="AF18" i="94"/>
  <c r="AF16" i="94"/>
  <c r="AF14" i="94"/>
  <c r="AA22" i="94"/>
  <c r="S22" i="94"/>
  <c r="S24" i="95"/>
  <c r="AF11" i="95"/>
  <c r="S27" i="96"/>
  <c r="AF21" i="96"/>
  <c r="AF20" i="96"/>
  <c r="AF19" i="96"/>
  <c r="AF18" i="96"/>
  <c r="AF17" i="96"/>
  <c r="AF16" i="96"/>
  <c r="AF15" i="96"/>
  <c r="AF14" i="96"/>
  <c r="AD28" i="96"/>
  <c r="AD25" i="96"/>
  <c r="AD22" i="96"/>
  <c r="Z28" i="96"/>
  <c r="Z25" i="96"/>
  <c r="Z22" i="96"/>
  <c r="V28" i="96"/>
  <c r="V25" i="96"/>
  <c r="V22" i="96"/>
  <c r="P58" i="96"/>
  <c r="AF10" i="96"/>
  <c r="AA28" i="96"/>
  <c r="AA25" i="96"/>
  <c r="AA22" i="96"/>
  <c r="W28" i="96"/>
  <c r="W25" i="96"/>
  <c r="W22" i="96"/>
  <c r="S28" i="96"/>
  <c r="S25" i="96"/>
  <c r="S22" i="96"/>
  <c r="AB28" i="95"/>
  <c r="AB25" i="95"/>
  <c r="AB22" i="95"/>
  <c r="X28" i="95"/>
  <c r="X25" i="95"/>
  <c r="X22" i="95"/>
  <c r="T28" i="95"/>
  <c r="T25" i="95"/>
  <c r="T22" i="95"/>
  <c r="AE13" i="95"/>
  <c r="AE12" i="95"/>
  <c r="AE11" i="95"/>
  <c r="AC28" i="95"/>
  <c r="AC25" i="95"/>
  <c r="AC22" i="95"/>
  <c r="Y28" i="95"/>
  <c r="Y25" i="95"/>
  <c r="Y22" i="95"/>
  <c r="U28" i="95"/>
  <c r="U25" i="95"/>
  <c r="U22" i="95"/>
  <c r="O58" i="95"/>
  <c r="AE10" i="95"/>
  <c r="AB28" i="96"/>
  <c r="AB25" i="96"/>
  <c r="AB22" i="96"/>
  <c r="X28" i="96"/>
  <c r="X25" i="96"/>
  <c r="X22" i="96"/>
  <c r="T28" i="96"/>
  <c r="T25" i="96"/>
  <c r="T22" i="96"/>
  <c r="AE13" i="96"/>
  <c r="AE12" i="96"/>
  <c r="AE11" i="96"/>
  <c r="AC28" i="96"/>
  <c r="AC25" i="96"/>
  <c r="AC22" i="96"/>
  <c r="Y28" i="96"/>
  <c r="Y25" i="96"/>
  <c r="Y22" i="96"/>
  <c r="U28" i="96"/>
  <c r="U25" i="96"/>
  <c r="U22" i="96"/>
  <c r="O58" i="96"/>
  <c r="AE10" i="96"/>
  <c r="AF19" i="95"/>
  <c r="AF18" i="95"/>
  <c r="AF17" i="95"/>
  <c r="AD28" i="95"/>
  <c r="AD25" i="95"/>
  <c r="AD22" i="95"/>
  <c r="Z28" i="95"/>
  <c r="Z25" i="95"/>
  <c r="Z22" i="95"/>
  <c r="V28" i="95"/>
  <c r="V25" i="95"/>
  <c r="V22" i="95"/>
  <c r="P58" i="95"/>
  <c r="AF10" i="95"/>
  <c r="AE16" i="95"/>
  <c r="AE15" i="95"/>
  <c r="AE14" i="95"/>
  <c r="AA28" i="95"/>
  <c r="AA25" i="95"/>
  <c r="AA22" i="95"/>
  <c r="W28" i="95"/>
  <c r="W25" i="95"/>
  <c r="W22" i="95"/>
  <c r="S28" i="95"/>
  <c r="S25" i="95"/>
  <c r="S22" i="95"/>
  <c r="AB23" i="94"/>
  <c r="X26" i="94"/>
  <c r="AB28" i="94"/>
  <c r="X28" i="94"/>
  <c r="X23" i="94"/>
  <c r="AF21" i="94"/>
  <c r="AF19" i="94"/>
  <c r="AF17" i="94"/>
  <c r="AD23" i="94"/>
  <c r="Z26" i="94"/>
  <c r="V23" i="94"/>
  <c r="AF15" i="94"/>
  <c r="AB26" i="94"/>
  <c r="T28" i="94"/>
  <c r="Z28" i="94"/>
  <c r="Z25" i="94"/>
  <c r="Z22" i="94"/>
  <c r="AD27" i="94"/>
  <c r="AD24" i="94"/>
  <c r="Z27" i="94"/>
  <c r="Z24" i="94"/>
  <c r="V27" i="94"/>
  <c r="V24" i="94"/>
  <c r="AE12" i="94"/>
  <c r="AE11" i="94"/>
  <c r="AC28" i="94"/>
  <c r="AC25" i="94"/>
  <c r="AC22" i="94"/>
  <c r="U28" i="94"/>
  <c r="U25" i="94"/>
  <c r="U22" i="94"/>
  <c r="AD26" i="94"/>
  <c r="Z23" i="94"/>
  <c r="V26" i="94"/>
  <c r="AE21" i="94"/>
  <c r="AE20" i="94"/>
  <c r="AE19" i="94"/>
  <c r="AE18" i="94"/>
  <c r="AE17" i="94"/>
  <c r="AE16" i="94"/>
  <c r="AE15" i="94"/>
  <c r="AE14" i="94"/>
  <c r="AD28" i="94"/>
  <c r="AD25" i="94"/>
  <c r="AD22" i="94"/>
  <c r="V28" i="94"/>
  <c r="V25" i="94"/>
  <c r="V22" i="94"/>
  <c r="AB27" i="94"/>
  <c r="AB24" i="94"/>
  <c r="X27" i="94"/>
  <c r="X24" i="94"/>
  <c r="T24" i="94"/>
  <c r="T27" i="94"/>
  <c r="AE13" i="94"/>
  <c r="Y28" i="94"/>
  <c r="Y25" i="94"/>
  <c r="Y22" i="94"/>
  <c r="O58" i="94"/>
  <c r="C60" i="94" s="1"/>
  <c r="AE10" i="94"/>
  <c r="AF10" i="94"/>
  <c r="P58" i="94"/>
  <c r="H59" i="94" s="1"/>
  <c r="T23" i="94"/>
  <c r="T26" i="94"/>
  <c r="Z21" i="93"/>
  <c r="AD20" i="93"/>
  <c r="V20" i="93"/>
  <c r="Z19" i="93"/>
  <c r="AD18" i="93"/>
  <c r="V18" i="93"/>
  <c r="Z17" i="93"/>
  <c r="AD16" i="93"/>
  <c r="V16" i="93"/>
  <c r="Z15" i="93"/>
  <c r="AD14" i="93"/>
  <c r="V14" i="93"/>
  <c r="Z13" i="93"/>
  <c r="AD12" i="93"/>
  <c r="V12" i="93"/>
  <c r="Z11" i="93"/>
  <c r="AD21" i="93"/>
  <c r="V21" i="93"/>
  <c r="Z20" i="93"/>
  <c r="AD19" i="93"/>
  <c r="V19" i="93"/>
  <c r="Z18" i="93"/>
  <c r="AD17" i="93"/>
  <c r="V17" i="93"/>
  <c r="Z16" i="93"/>
  <c r="AD15" i="93"/>
  <c r="V15" i="93"/>
  <c r="Z14" i="93"/>
  <c r="AD13" i="93"/>
  <c r="V13" i="93"/>
  <c r="Z12" i="93"/>
  <c r="AD11" i="93"/>
  <c r="V11" i="93"/>
  <c r="AB21" i="93"/>
  <c r="X21" i="93"/>
  <c r="T21" i="93"/>
  <c r="AB20" i="93"/>
  <c r="X20" i="93"/>
  <c r="T20" i="93"/>
  <c r="AB19" i="93"/>
  <c r="X19" i="93"/>
  <c r="T19" i="93"/>
  <c r="AB18" i="93"/>
  <c r="X18" i="93"/>
  <c r="T18" i="93"/>
  <c r="AB17" i="93"/>
  <c r="X17" i="93"/>
  <c r="T17" i="93"/>
  <c r="AB16" i="93"/>
  <c r="X16" i="93"/>
  <c r="T16" i="93"/>
  <c r="AB15" i="93"/>
  <c r="X15" i="93"/>
  <c r="T15" i="93"/>
  <c r="AB14" i="93"/>
  <c r="X14" i="93"/>
  <c r="T14" i="93"/>
  <c r="AB13" i="93"/>
  <c r="X13" i="93"/>
  <c r="T13" i="93"/>
  <c r="AB12" i="93"/>
  <c r="X12" i="93"/>
  <c r="T12" i="93"/>
  <c r="AB11" i="93"/>
  <c r="X11" i="93"/>
  <c r="T11" i="93"/>
  <c r="AC21" i="93"/>
  <c r="AA21" i="93"/>
  <c r="Y21" i="93"/>
  <c r="W21" i="93"/>
  <c r="U21" i="93"/>
  <c r="S21" i="93"/>
  <c r="AC20" i="93"/>
  <c r="AA20" i="93"/>
  <c r="Y20" i="93"/>
  <c r="W20" i="93"/>
  <c r="U20" i="93"/>
  <c r="S20" i="93"/>
  <c r="AC19" i="93"/>
  <c r="AA19" i="93"/>
  <c r="Y19" i="93"/>
  <c r="W19" i="93"/>
  <c r="U19" i="93"/>
  <c r="S19" i="93"/>
  <c r="AC18" i="93"/>
  <c r="AA18" i="93"/>
  <c r="Y18" i="93"/>
  <c r="W18" i="93"/>
  <c r="U18" i="93"/>
  <c r="S18" i="93"/>
  <c r="AC17" i="93"/>
  <c r="AA17" i="93"/>
  <c r="Y17" i="93"/>
  <c r="W17" i="93"/>
  <c r="U17" i="93"/>
  <c r="S17" i="93"/>
  <c r="AC16" i="93"/>
  <c r="AA16" i="93"/>
  <c r="Y16" i="93"/>
  <c r="W16" i="93"/>
  <c r="U16" i="93"/>
  <c r="S16" i="93"/>
  <c r="AC15" i="93"/>
  <c r="AA15" i="93"/>
  <c r="Y15" i="93"/>
  <c r="W15" i="93"/>
  <c r="U15" i="93"/>
  <c r="S15" i="93"/>
  <c r="AC14" i="93"/>
  <c r="AA14" i="93"/>
  <c r="Y14" i="93"/>
  <c r="W14" i="93"/>
  <c r="U14" i="93"/>
  <c r="S14" i="93"/>
  <c r="AC13" i="93"/>
  <c r="AA13" i="93"/>
  <c r="Y13" i="93"/>
  <c r="W13" i="93"/>
  <c r="U13" i="93"/>
  <c r="S13" i="93"/>
  <c r="AC12" i="93"/>
  <c r="AA12" i="93"/>
  <c r="Y12" i="93"/>
  <c r="W12" i="93"/>
  <c r="U12" i="93"/>
  <c r="S12" i="93"/>
  <c r="AC11" i="93"/>
  <c r="AA11" i="93"/>
  <c r="Y11" i="93"/>
  <c r="W11" i="93"/>
  <c r="U11" i="93"/>
  <c r="S11" i="93"/>
  <c r="S10" i="93"/>
  <c r="AC10" i="93"/>
  <c r="AA10" i="93"/>
  <c r="Y10" i="93"/>
  <c r="W10" i="93"/>
  <c r="U10" i="93"/>
  <c r="AD10" i="93"/>
  <c r="AB10" i="93"/>
  <c r="Z10" i="93"/>
  <c r="X10" i="93"/>
  <c r="V10" i="93"/>
  <c r="V22" i="93" s="1"/>
  <c r="T10" i="93"/>
  <c r="P34" i="93"/>
  <c r="P50" i="93"/>
  <c r="P18" i="93"/>
  <c r="N58" i="93"/>
  <c r="P42" i="93"/>
  <c r="P26" i="93"/>
  <c r="P56" i="93"/>
  <c r="P46" i="93"/>
  <c r="P38" i="93"/>
  <c r="P30" i="93"/>
  <c r="P22" i="93"/>
  <c r="P14" i="93"/>
  <c r="F58" i="93"/>
  <c r="P10" i="93"/>
  <c r="P52" i="93"/>
  <c r="P48" i="93"/>
  <c r="P44" i="93"/>
  <c r="P40" i="93"/>
  <c r="P36" i="93"/>
  <c r="P32" i="93"/>
  <c r="P28" i="93"/>
  <c r="P24" i="93"/>
  <c r="P23" i="93"/>
  <c r="P20" i="93"/>
  <c r="P16" i="93"/>
  <c r="P12" i="93"/>
  <c r="P54" i="93"/>
  <c r="P51" i="93"/>
  <c r="P49" i="93"/>
  <c r="P35" i="93"/>
  <c r="P33" i="93"/>
  <c r="P31" i="93"/>
  <c r="P21" i="93"/>
  <c r="P19" i="93"/>
  <c r="P17" i="93"/>
  <c r="P15" i="93"/>
  <c r="P13" i="93"/>
  <c r="P11" i="93"/>
  <c r="P47" i="93"/>
  <c r="P45" i="93"/>
  <c r="P43" i="93"/>
  <c r="P41" i="93"/>
  <c r="P39" i="93"/>
  <c r="P37" i="93"/>
  <c r="P27" i="93"/>
  <c r="P25" i="93"/>
  <c r="K58" i="93"/>
  <c r="G58" i="93"/>
  <c r="P57" i="93"/>
  <c r="P55" i="93"/>
  <c r="H58" i="93"/>
  <c r="D58" i="93"/>
  <c r="L58" i="93"/>
  <c r="P53" i="93"/>
  <c r="J58" i="93"/>
  <c r="E58" i="93"/>
  <c r="I58" i="93"/>
  <c r="O27" i="93"/>
  <c r="O31" i="93"/>
  <c r="O33" i="93"/>
  <c r="O35" i="93"/>
  <c r="O37" i="93"/>
  <c r="O39" i="93"/>
  <c r="O41" i="93"/>
  <c r="O43" i="93"/>
  <c r="O45" i="93"/>
  <c r="O47" i="93"/>
  <c r="O49" i="93"/>
  <c r="O51" i="93"/>
  <c r="O53" i="93"/>
  <c r="O55" i="93"/>
  <c r="O57" i="93"/>
  <c r="M58" i="93"/>
  <c r="O10" i="93"/>
  <c r="O11" i="93"/>
  <c r="O12" i="93"/>
  <c r="O13" i="93"/>
  <c r="O14" i="93"/>
  <c r="O15" i="93"/>
  <c r="O16" i="93"/>
  <c r="O17" i="93"/>
  <c r="O18" i="93"/>
  <c r="O19" i="93"/>
  <c r="O20" i="93"/>
  <c r="O21" i="93"/>
  <c r="O22" i="93"/>
  <c r="O23" i="93"/>
  <c r="O24" i="93"/>
  <c r="O25" i="93"/>
  <c r="O26" i="93"/>
  <c r="O28" i="93"/>
  <c r="O30" i="93"/>
  <c r="O32" i="93"/>
  <c r="O34" i="93"/>
  <c r="O36" i="93"/>
  <c r="O38" i="93"/>
  <c r="O40" i="93"/>
  <c r="O42" i="93"/>
  <c r="O44" i="93"/>
  <c r="O46" i="93"/>
  <c r="O48" i="93"/>
  <c r="O50" i="93"/>
  <c r="O52" i="93"/>
  <c r="O54" i="93"/>
  <c r="O56" i="93"/>
  <c r="C58" i="93"/>
  <c r="I106" i="111" l="1"/>
  <c r="C106" i="111"/>
  <c r="J106" i="111"/>
  <c r="K106" i="111"/>
  <c r="F106" i="111"/>
  <c r="N106" i="111"/>
  <c r="E106" i="111"/>
  <c r="M106" i="111"/>
  <c r="D106" i="111"/>
  <c r="L106" i="111"/>
  <c r="AF10" i="108"/>
  <c r="P106" i="108"/>
  <c r="O106" i="108"/>
  <c r="T12" i="111"/>
  <c r="T11" i="111"/>
  <c r="V17" i="111"/>
  <c r="AA12" i="111"/>
  <c r="X14" i="111"/>
  <c r="AD11" i="111"/>
  <c r="T17" i="111"/>
  <c r="AB19" i="111"/>
  <c r="AA15" i="111"/>
  <c r="O47" i="111"/>
  <c r="Z14" i="111"/>
  <c r="AD19" i="111"/>
  <c r="W11" i="111"/>
  <c r="U14" i="111"/>
  <c r="AB15" i="111"/>
  <c r="X18" i="111"/>
  <c r="T21" i="111"/>
  <c r="AA18" i="111"/>
  <c r="AD36" i="108"/>
  <c r="AB12" i="111"/>
  <c r="S18" i="111"/>
  <c r="Y14" i="111"/>
  <c r="S15" i="111"/>
  <c r="W17" i="111"/>
  <c r="W18" i="111"/>
  <c r="Y19" i="111"/>
  <c r="O52" i="111"/>
  <c r="AC20" i="111"/>
  <c r="AA21" i="111"/>
  <c r="X11" i="111"/>
  <c r="V13" i="111"/>
  <c r="AD13" i="111"/>
  <c r="V15" i="111"/>
  <c r="AD15" i="111"/>
  <c r="Z16" i="111"/>
  <c r="AD17" i="111"/>
  <c r="Z18" i="111"/>
  <c r="V19" i="111"/>
  <c r="Z20" i="111"/>
  <c r="V21" i="111"/>
  <c r="AD21" i="111"/>
  <c r="Z36" i="108"/>
  <c r="S11" i="111"/>
  <c r="AA11" i="111"/>
  <c r="S12" i="111"/>
  <c r="W12" i="111"/>
  <c r="S13" i="111"/>
  <c r="AA13" i="111"/>
  <c r="T14" i="111"/>
  <c r="AB14" i="111"/>
  <c r="X15" i="111"/>
  <c r="T15" i="111"/>
  <c r="X16" i="111"/>
  <c r="T16" i="111"/>
  <c r="AB16" i="111"/>
  <c r="X17" i="111"/>
  <c r="AB17" i="111"/>
  <c r="T18" i="111"/>
  <c r="AB18" i="111"/>
  <c r="T19" i="111"/>
  <c r="X20" i="111"/>
  <c r="T20" i="111"/>
  <c r="AB20" i="111"/>
  <c r="X21" i="111"/>
  <c r="S17" i="111"/>
  <c r="AA17" i="111"/>
  <c r="W13" i="111"/>
  <c r="AC14" i="111"/>
  <c r="X13" i="111"/>
  <c r="AB21" i="111"/>
  <c r="Z10" i="111"/>
  <c r="V39" i="108"/>
  <c r="U19" i="111"/>
  <c r="AC21" i="111"/>
  <c r="Y21" i="111"/>
  <c r="W15" i="111"/>
  <c r="AA16" i="111"/>
  <c r="O12" i="111"/>
  <c r="P26" i="111"/>
  <c r="V11" i="111"/>
  <c r="X12" i="111"/>
  <c r="Z12" i="111"/>
  <c r="P46" i="111"/>
  <c r="S10" i="111"/>
  <c r="AB36" i="108"/>
  <c r="AD37" i="108"/>
  <c r="P10" i="111"/>
  <c r="X19" i="111"/>
  <c r="W10" i="111"/>
  <c r="O22" i="111"/>
  <c r="P31" i="111"/>
  <c r="W16" i="111"/>
  <c r="V10" i="111"/>
  <c r="T10" i="111"/>
  <c r="AB10" i="111"/>
  <c r="Z11" i="111"/>
  <c r="AB11" i="111"/>
  <c r="V12" i="111"/>
  <c r="AB13" i="111"/>
  <c r="Z13" i="111"/>
  <c r="V14" i="111"/>
  <c r="AD14" i="111"/>
  <c r="Z15" i="111"/>
  <c r="V16" i="111"/>
  <c r="AD16" i="111"/>
  <c r="Z17" i="111"/>
  <c r="V18" i="111"/>
  <c r="AD18" i="111"/>
  <c r="Z19" i="111"/>
  <c r="V20" i="111"/>
  <c r="AD20" i="111"/>
  <c r="Z21" i="111"/>
  <c r="AD39" i="108"/>
  <c r="Z39" i="108"/>
  <c r="O34" i="111"/>
  <c r="P17" i="111"/>
  <c r="O21" i="111"/>
  <c r="O37" i="111"/>
  <c r="P41" i="111"/>
  <c r="O42" i="111"/>
  <c r="U20" i="111"/>
  <c r="P53" i="111"/>
  <c r="X10" i="111"/>
  <c r="T39" i="108"/>
  <c r="U10" i="111"/>
  <c r="AC10" i="111"/>
  <c r="P13" i="111"/>
  <c r="O14" i="111"/>
  <c r="O15" i="111"/>
  <c r="O17" i="111"/>
  <c r="O19" i="111"/>
  <c r="P20" i="111"/>
  <c r="P25" i="111"/>
  <c r="O26" i="111"/>
  <c r="P28" i="111"/>
  <c r="P30" i="111"/>
  <c r="O32" i="111"/>
  <c r="P33" i="111"/>
  <c r="U16" i="111"/>
  <c r="AC16" i="111"/>
  <c r="Y16" i="111"/>
  <c r="P38" i="111"/>
  <c r="P39" i="111"/>
  <c r="O40" i="111"/>
  <c r="P44" i="111"/>
  <c r="S19" i="111"/>
  <c r="AA19" i="111"/>
  <c r="P47" i="111"/>
  <c r="P50" i="111"/>
  <c r="P51" i="111"/>
  <c r="Y20" i="111"/>
  <c r="P54" i="111"/>
  <c r="O55" i="111"/>
  <c r="U21" i="111"/>
  <c r="P23" i="111"/>
  <c r="O23" i="111"/>
  <c r="Y18" i="111"/>
  <c r="O43" i="111"/>
  <c r="O49" i="111"/>
  <c r="P49" i="111"/>
  <c r="W21" i="111"/>
  <c r="P56" i="111"/>
  <c r="O10" i="111"/>
  <c r="C108" i="110"/>
  <c r="P15" i="111"/>
  <c r="O28" i="111"/>
  <c r="O35" i="111"/>
  <c r="O25" i="111"/>
  <c r="O44" i="111"/>
  <c r="O54" i="111"/>
  <c r="AD10" i="111"/>
  <c r="P36" i="111"/>
  <c r="O57" i="111"/>
  <c r="X36" i="108"/>
  <c r="V34" i="108"/>
  <c r="O11" i="111"/>
  <c r="Y10" i="111"/>
  <c r="O13" i="111"/>
  <c r="Y11" i="111"/>
  <c r="U11" i="111"/>
  <c r="AC11" i="111"/>
  <c r="O16" i="111"/>
  <c r="Y12" i="111"/>
  <c r="U12" i="111"/>
  <c r="AC12" i="111"/>
  <c r="O20" i="111"/>
  <c r="P21" i="111"/>
  <c r="Y13" i="111"/>
  <c r="U13" i="111"/>
  <c r="AC13" i="111"/>
  <c r="P24" i="111"/>
  <c r="W14" i="111"/>
  <c r="AA14" i="111"/>
  <c r="P29" i="111"/>
  <c r="O30" i="111"/>
  <c r="AC15" i="111"/>
  <c r="Y15" i="111"/>
  <c r="U15" i="111"/>
  <c r="O33" i="111"/>
  <c r="P34" i="111"/>
  <c r="P35" i="111"/>
  <c r="O36" i="111"/>
  <c r="P37" i="111"/>
  <c r="O38" i="111"/>
  <c r="AC17" i="111"/>
  <c r="Y17" i="111"/>
  <c r="U17" i="111"/>
  <c r="O41" i="111"/>
  <c r="P42" i="111"/>
  <c r="U18" i="111"/>
  <c r="AC18" i="111"/>
  <c r="P45" i="111"/>
  <c r="O46" i="111"/>
  <c r="AC19" i="111"/>
  <c r="O48" i="111"/>
  <c r="W19" i="111"/>
  <c r="O50" i="111"/>
  <c r="O51" i="111"/>
  <c r="AA20" i="111"/>
  <c r="W20" i="111"/>
  <c r="O53" i="111"/>
  <c r="P55" i="111"/>
  <c r="O56" i="111"/>
  <c r="P57" i="111"/>
  <c r="P14" i="111"/>
  <c r="P16" i="111"/>
  <c r="O18" i="111"/>
  <c r="S14" i="111"/>
  <c r="O27" i="111"/>
  <c r="O29" i="111"/>
  <c r="S16" i="111"/>
  <c r="O39" i="111"/>
  <c r="P48" i="111"/>
  <c r="S20" i="111"/>
  <c r="P52" i="111"/>
  <c r="P12" i="111"/>
  <c r="P19" i="111"/>
  <c r="O24" i="111"/>
  <c r="O31" i="111"/>
  <c r="O45" i="111"/>
  <c r="S21" i="111"/>
  <c r="P11" i="111"/>
  <c r="P18" i="111"/>
  <c r="P22" i="111"/>
  <c r="P27" i="111"/>
  <c r="P32" i="111"/>
  <c r="P40" i="111"/>
  <c r="P43" i="111"/>
  <c r="X39" i="108"/>
  <c r="T36" i="108"/>
  <c r="AB39" i="108"/>
  <c r="V37" i="108"/>
  <c r="T34" i="108"/>
  <c r="F108" i="110"/>
  <c r="AA10" i="111"/>
  <c r="H108" i="110"/>
  <c r="N108" i="110"/>
  <c r="X34" i="108"/>
  <c r="AE39" i="110"/>
  <c r="W42" i="110"/>
  <c r="Z34" i="108"/>
  <c r="AE36" i="110"/>
  <c r="F107" i="110"/>
  <c r="C107" i="110"/>
  <c r="H107" i="110"/>
  <c r="T42" i="110"/>
  <c r="Y42" i="110"/>
  <c r="X42" i="110"/>
  <c r="AF36" i="110"/>
  <c r="AF39" i="110"/>
  <c r="AF35" i="110"/>
  <c r="AF38" i="110"/>
  <c r="U42" i="110"/>
  <c r="AC42" i="110"/>
  <c r="AE38" i="110"/>
  <c r="AE35" i="110"/>
  <c r="V42" i="110"/>
  <c r="AB42" i="110"/>
  <c r="M107" i="110"/>
  <c r="D107" i="110"/>
  <c r="L107" i="110"/>
  <c r="E107" i="110"/>
  <c r="G107" i="110"/>
  <c r="I107" i="110"/>
  <c r="K107" i="110"/>
  <c r="AE41" i="110"/>
  <c r="AE40" i="110"/>
  <c r="AE37" i="110"/>
  <c r="AE34" i="110"/>
  <c r="Z42" i="110"/>
  <c r="AD42" i="110"/>
  <c r="AF41" i="110"/>
  <c r="AF40" i="110"/>
  <c r="AF37" i="110"/>
  <c r="AF34" i="110"/>
  <c r="D108" i="110"/>
  <c r="L108" i="110"/>
  <c r="E108" i="110"/>
  <c r="G108" i="110"/>
  <c r="I108" i="110"/>
  <c r="K108" i="110"/>
  <c r="J107" i="110"/>
  <c r="H107" i="109"/>
  <c r="U42" i="109"/>
  <c r="Y42" i="109"/>
  <c r="AC42" i="109"/>
  <c r="AF39" i="109"/>
  <c r="AF36" i="109"/>
  <c r="AF38" i="109"/>
  <c r="AF35" i="109"/>
  <c r="M107" i="109"/>
  <c r="D107" i="109"/>
  <c r="L107" i="109"/>
  <c r="C107" i="109"/>
  <c r="E107" i="109"/>
  <c r="G107" i="109"/>
  <c r="I107" i="109"/>
  <c r="K107" i="109"/>
  <c r="D108" i="109"/>
  <c r="L108" i="109"/>
  <c r="C108" i="109"/>
  <c r="E108" i="109"/>
  <c r="G108" i="109"/>
  <c r="I108" i="109"/>
  <c r="K108" i="109"/>
  <c r="F108" i="109"/>
  <c r="N107" i="109"/>
  <c r="S42" i="109"/>
  <c r="W42" i="109"/>
  <c r="AA42" i="109"/>
  <c r="H108" i="109"/>
  <c r="J108" i="109"/>
  <c r="AF41" i="109"/>
  <c r="AF40" i="109"/>
  <c r="AF37" i="109"/>
  <c r="AF34" i="109"/>
  <c r="V42" i="109"/>
  <c r="AB42" i="109"/>
  <c r="AE39" i="109"/>
  <c r="AE36" i="109"/>
  <c r="AE41" i="109"/>
  <c r="AE40" i="109"/>
  <c r="AE37" i="109"/>
  <c r="AE34" i="109"/>
  <c r="AE38" i="109"/>
  <c r="AE35" i="109"/>
  <c r="F107" i="109"/>
  <c r="N108" i="109"/>
  <c r="T42" i="109"/>
  <c r="Z42" i="109"/>
  <c r="AD42" i="109"/>
  <c r="AE21" i="108"/>
  <c r="AD38" i="108"/>
  <c r="AE20" i="107"/>
  <c r="T39" i="107"/>
  <c r="AB39" i="107"/>
  <c r="Z37" i="108"/>
  <c r="Z38" i="108"/>
  <c r="AF11" i="108"/>
  <c r="AC36" i="108"/>
  <c r="Y39" i="108"/>
  <c r="AF21" i="108"/>
  <c r="AC34" i="108"/>
  <c r="AE10" i="108"/>
  <c r="AF19" i="108"/>
  <c r="U39" i="108"/>
  <c r="W36" i="108"/>
  <c r="T38" i="108"/>
  <c r="Y37" i="108"/>
  <c r="AD34" i="107"/>
  <c r="S38" i="107"/>
  <c r="AC34" i="107"/>
  <c r="V34" i="107"/>
  <c r="AD40" i="108"/>
  <c r="AA39" i="108"/>
  <c r="AA35" i="108"/>
  <c r="T35" i="108"/>
  <c r="AB35" i="108"/>
  <c r="AE12" i="108"/>
  <c r="X38" i="108"/>
  <c r="AC37" i="108"/>
  <c r="X40" i="108"/>
  <c r="AE18" i="108"/>
  <c r="S37" i="108"/>
  <c r="AE19" i="108"/>
  <c r="W39" i="108"/>
  <c r="AD38" i="107"/>
  <c r="X35" i="108"/>
  <c r="AF20" i="108"/>
  <c r="AE17" i="108"/>
  <c r="AC40" i="108"/>
  <c r="AA40" i="108"/>
  <c r="AE14" i="108"/>
  <c r="AF14" i="108"/>
  <c r="AE15" i="108"/>
  <c r="V38" i="108"/>
  <c r="AF17" i="108"/>
  <c r="S35" i="108"/>
  <c r="Y36" i="108"/>
  <c r="AC39" i="108"/>
  <c r="AE20" i="108"/>
  <c r="AE13" i="108"/>
  <c r="H108" i="108"/>
  <c r="U36" i="108"/>
  <c r="V36" i="107"/>
  <c r="AD37" i="107"/>
  <c r="AD35" i="107"/>
  <c r="C107" i="107"/>
  <c r="V37" i="107"/>
  <c r="Y37" i="107"/>
  <c r="W34" i="107"/>
  <c r="U40" i="108"/>
  <c r="AF12" i="108"/>
  <c r="AF18" i="108"/>
  <c r="AA38" i="108"/>
  <c r="AE11" i="108"/>
  <c r="AD36" i="107"/>
  <c r="Y34" i="107"/>
  <c r="Z40" i="107"/>
  <c r="AB35" i="107"/>
  <c r="Z36" i="107"/>
  <c r="AD34" i="108"/>
  <c r="U37" i="108"/>
  <c r="AB38" i="108"/>
  <c r="AB40" i="108"/>
  <c r="S38" i="108"/>
  <c r="S40" i="108"/>
  <c r="AA34" i="108"/>
  <c r="Y40" i="108"/>
  <c r="V35" i="108"/>
  <c r="AD35" i="108"/>
  <c r="AF13" i="108"/>
  <c r="AF15" i="108"/>
  <c r="AE16" i="108"/>
  <c r="Z40" i="108"/>
  <c r="F107" i="105"/>
  <c r="AE12" i="107"/>
  <c r="AE16" i="107"/>
  <c r="AF18" i="107"/>
  <c r="S39" i="108"/>
  <c r="S36" i="108"/>
  <c r="W38" i="108"/>
  <c r="W35" i="108"/>
  <c r="H107" i="108"/>
  <c r="V40" i="108"/>
  <c r="Z35" i="108"/>
  <c r="U34" i="108"/>
  <c r="T40" i="108"/>
  <c r="S34" i="108"/>
  <c r="AF16" i="108"/>
  <c r="AA37" i="108"/>
  <c r="AA36" i="108"/>
  <c r="AB34" i="108"/>
  <c r="AB37" i="108"/>
  <c r="W40" i="108"/>
  <c r="W37" i="108"/>
  <c r="W34" i="108"/>
  <c r="Y38" i="108"/>
  <c r="Y35" i="108"/>
  <c r="T37" i="108"/>
  <c r="X37" i="108"/>
  <c r="Y40" i="107"/>
  <c r="AE14" i="107"/>
  <c r="AE18" i="107"/>
  <c r="T38" i="107"/>
  <c r="V38" i="107"/>
  <c r="X36" i="107"/>
  <c r="U37" i="107"/>
  <c r="U38" i="108"/>
  <c r="U35" i="108"/>
  <c r="AC38" i="108"/>
  <c r="AC35" i="108"/>
  <c r="X35" i="107"/>
  <c r="T36" i="107"/>
  <c r="AB36" i="107"/>
  <c r="AC40" i="107"/>
  <c r="E107" i="105"/>
  <c r="V40" i="107"/>
  <c r="Z37" i="107"/>
  <c r="AE10" i="107"/>
  <c r="AF10" i="107"/>
  <c r="AC38" i="107"/>
  <c r="D107" i="105"/>
  <c r="C107" i="105"/>
  <c r="Z34" i="107"/>
  <c r="AE15" i="107"/>
  <c r="S35" i="107"/>
  <c r="U40" i="107"/>
  <c r="AC37" i="107"/>
  <c r="U35" i="107"/>
  <c r="Y35" i="107"/>
  <c r="AC35" i="107"/>
  <c r="AE19" i="107"/>
  <c r="AE21" i="107"/>
  <c r="X40" i="107"/>
  <c r="AB40" i="107"/>
  <c r="X38" i="107"/>
  <c r="Z35" i="107"/>
  <c r="AF35" i="105"/>
  <c r="AE17" i="107"/>
  <c r="AE13" i="107"/>
  <c r="AF15" i="107"/>
  <c r="H108" i="107"/>
  <c r="T40" i="107"/>
  <c r="AE11" i="107"/>
  <c r="V35" i="107"/>
  <c r="AD40" i="107"/>
  <c r="AB38" i="107"/>
  <c r="X39" i="107"/>
  <c r="Z39" i="107"/>
  <c r="W40" i="107"/>
  <c r="D108" i="105"/>
  <c r="F108" i="105"/>
  <c r="C108" i="105"/>
  <c r="E108" i="105"/>
  <c r="U34" i="107"/>
  <c r="T35" i="107"/>
  <c r="Z38" i="107"/>
  <c r="U38" i="107"/>
  <c r="Y38" i="107"/>
  <c r="W37" i="107"/>
  <c r="AF16" i="107"/>
  <c r="AF14" i="107"/>
  <c r="W38" i="107"/>
  <c r="W35" i="107"/>
  <c r="AA35" i="107"/>
  <c r="AA38" i="107"/>
  <c r="Y39" i="107"/>
  <c r="Y36" i="107"/>
  <c r="AC39" i="107"/>
  <c r="AC36" i="107"/>
  <c r="AF19" i="107"/>
  <c r="AF21" i="107"/>
  <c r="T37" i="107"/>
  <c r="T34" i="107"/>
  <c r="AF13" i="107"/>
  <c r="AF17" i="107"/>
  <c r="W39" i="107"/>
  <c r="W36" i="107"/>
  <c r="AA36" i="107"/>
  <c r="AA39" i="107"/>
  <c r="S39" i="107"/>
  <c r="AF20" i="107"/>
  <c r="X37" i="107"/>
  <c r="X34" i="107"/>
  <c r="AB34" i="107"/>
  <c r="AB37" i="107"/>
  <c r="AF11" i="107"/>
  <c r="AF12" i="107"/>
  <c r="AA40" i="107"/>
  <c r="AA37" i="107"/>
  <c r="AA34" i="107"/>
  <c r="S37" i="107"/>
  <c r="S40" i="107"/>
  <c r="S34" i="107"/>
  <c r="AF38" i="105"/>
  <c r="T42" i="105"/>
  <c r="V42" i="105"/>
  <c r="U42" i="105"/>
  <c r="W42" i="105"/>
  <c r="Y42" i="105"/>
  <c r="AC42" i="105"/>
  <c r="AF39" i="105"/>
  <c r="AF36" i="105"/>
  <c r="M107" i="105"/>
  <c r="N107" i="105"/>
  <c r="I107" i="105"/>
  <c r="K107" i="105"/>
  <c r="H107" i="105"/>
  <c r="J107" i="105"/>
  <c r="L107" i="105"/>
  <c r="I108" i="105"/>
  <c r="K108" i="105"/>
  <c r="H108" i="105"/>
  <c r="J108" i="105"/>
  <c r="L108" i="105"/>
  <c r="N108" i="105"/>
  <c r="AE38" i="105"/>
  <c r="AE35" i="105"/>
  <c r="AE39" i="105"/>
  <c r="AE36" i="105"/>
  <c r="S42" i="105"/>
  <c r="AA42" i="105"/>
  <c r="X42" i="105"/>
  <c r="AB42" i="105"/>
  <c r="AF41" i="105"/>
  <c r="AF40" i="105"/>
  <c r="AF37" i="105"/>
  <c r="AF34" i="105"/>
  <c r="AE41" i="105"/>
  <c r="AE40" i="105"/>
  <c r="AE37" i="105"/>
  <c r="AE34" i="105"/>
  <c r="Z42" i="105"/>
  <c r="AD42" i="105"/>
  <c r="Z42" i="101"/>
  <c r="U42" i="101"/>
  <c r="W42" i="101"/>
  <c r="X42" i="101"/>
  <c r="Y42" i="101"/>
  <c r="V42" i="101"/>
  <c r="AA42" i="101"/>
  <c r="AD42" i="101"/>
  <c r="AC42" i="101"/>
  <c r="T42" i="101"/>
  <c r="AB42" i="101"/>
  <c r="S42" i="101"/>
  <c r="AF41" i="101"/>
  <c r="AE41" i="101"/>
  <c r="AF23" i="104"/>
  <c r="AF27" i="104"/>
  <c r="H60" i="104"/>
  <c r="C60" i="104"/>
  <c r="AF26" i="104"/>
  <c r="AF24" i="104"/>
  <c r="H59" i="104"/>
  <c r="AF26" i="103"/>
  <c r="AF23" i="103"/>
  <c r="H60" i="94"/>
  <c r="C59" i="104"/>
  <c r="AF27" i="103"/>
  <c r="AF24" i="103"/>
  <c r="M59" i="103"/>
  <c r="D59" i="103"/>
  <c r="H59" i="103"/>
  <c r="L59" i="103"/>
  <c r="E59" i="103"/>
  <c r="G59" i="103"/>
  <c r="I59" i="103"/>
  <c r="K59" i="103"/>
  <c r="F59" i="103"/>
  <c r="J59" i="103"/>
  <c r="N59" i="103"/>
  <c r="AE27" i="104"/>
  <c r="AE24" i="104"/>
  <c r="E60" i="103"/>
  <c r="G60" i="103"/>
  <c r="I60" i="103"/>
  <c r="K60" i="103"/>
  <c r="F60" i="103"/>
  <c r="J60" i="103"/>
  <c r="N60" i="103"/>
  <c r="D60" i="103"/>
  <c r="H60" i="103"/>
  <c r="L60" i="103"/>
  <c r="AF22" i="104"/>
  <c r="AF28" i="104"/>
  <c r="AF25" i="104"/>
  <c r="F60" i="104"/>
  <c r="E60" i="104"/>
  <c r="G60" i="104"/>
  <c r="I60" i="104"/>
  <c r="K60" i="104"/>
  <c r="J60" i="104"/>
  <c r="N60" i="104"/>
  <c r="AE26" i="104"/>
  <c r="AE23" i="104"/>
  <c r="D60" i="104"/>
  <c r="AF35" i="101"/>
  <c r="AF28" i="103"/>
  <c r="AF25" i="103"/>
  <c r="AF22" i="103"/>
  <c r="AE26" i="103"/>
  <c r="AE23" i="103"/>
  <c r="C59" i="103"/>
  <c r="AE28" i="103"/>
  <c r="AE25" i="103"/>
  <c r="AE22" i="103"/>
  <c r="AE27" i="103"/>
  <c r="AE24" i="103"/>
  <c r="F59" i="104"/>
  <c r="M59" i="104"/>
  <c r="J59" i="104"/>
  <c r="E59" i="104"/>
  <c r="G59" i="104"/>
  <c r="I59" i="104"/>
  <c r="K59" i="104"/>
  <c r="N59" i="104"/>
  <c r="AE28" i="104"/>
  <c r="AE25" i="104"/>
  <c r="AE22" i="104"/>
  <c r="D59" i="104"/>
  <c r="AF24" i="100"/>
  <c r="AE27" i="96"/>
  <c r="AF36" i="101"/>
  <c r="AF39" i="101"/>
  <c r="AF38" i="101"/>
  <c r="F108" i="101"/>
  <c r="J108" i="101"/>
  <c r="N108" i="101"/>
  <c r="E108" i="101"/>
  <c r="G108" i="101"/>
  <c r="I108" i="101"/>
  <c r="K108" i="101"/>
  <c r="D108" i="101"/>
  <c r="H108" i="101"/>
  <c r="L108" i="101"/>
  <c r="E107" i="101"/>
  <c r="G107" i="101"/>
  <c r="I107" i="101"/>
  <c r="K107" i="101"/>
  <c r="D107" i="101"/>
  <c r="H107" i="101"/>
  <c r="L107" i="101"/>
  <c r="M107" i="101"/>
  <c r="F107" i="101"/>
  <c r="J107" i="101"/>
  <c r="N107" i="101"/>
  <c r="AE39" i="101"/>
  <c r="AE36" i="101"/>
  <c r="AF23" i="100"/>
  <c r="AE24" i="96"/>
  <c r="AE27" i="100"/>
  <c r="C107" i="101"/>
  <c r="AE40" i="101"/>
  <c r="AE37" i="101"/>
  <c r="AE34" i="101"/>
  <c r="AF40" i="101"/>
  <c r="AF37" i="101"/>
  <c r="AF34" i="101"/>
  <c r="AE38" i="101"/>
  <c r="AE35" i="101"/>
  <c r="AE26" i="97"/>
  <c r="AF27" i="97"/>
  <c r="AE24" i="100"/>
  <c r="AF26" i="100"/>
  <c r="AF27" i="100"/>
  <c r="AF23" i="99"/>
  <c r="AF26" i="99"/>
  <c r="AF24" i="99"/>
  <c r="AF27" i="99"/>
  <c r="AE23" i="97"/>
  <c r="D59" i="100"/>
  <c r="AE27" i="98"/>
  <c r="AF28" i="99"/>
  <c r="AF25" i="99"/>
  <c r="AF22" i="99"/>
  <c r="AE26" i="99"/>
  <c r="AE23" i="99"/>
  <c r="AE27" i="99"/>
  <c r="AE24" i="99"/>
  <c r="AF22" i="100"/>
  <c r="AF28" i="100"/>
  <c r="AF25" i="100"/>
  <c r="N60" i="100"/>
  <c r="J60" i="100"/>
  <c r="F60" i="100"/>
  <c r="E60" i="100"/>
  <c r="G60" i="100"/>
  <c r="I60" i="100"/>
  <c r="K60" i="100"/>
  <c r="AE26" i="100"/>
  <c r="AE23" i="100"/>
  <c r="E60" i="99"/>
  <c r="G60" i="99"/>
  <c r="I60" i="99"/>
  <c r="K60" i="99"/>
  <c r="F60" i="99"/>
  <c r="J60" i="99"/>
  <c r="N60" i="99"/>
  <c r="D60" i="99"/>
  <c r="H60" i="99"/>
  <c r="L60" i="99"/>
  <c r="C60" i="100"/>
  <c r="L60" i="100"/>
  <c r="M59" i="99"/>
  <c r="D59" i="99"/>
  <c r="H59" i="99"/>
  <c r="L59" i="99"/>
  <c r="E59" i="99"/>
  <c r="G59" i="99"/>
  <c r="I59" i="99"/>
  <c r="K59" i="99"/>
  <c r="F59" i="99"/>
  <c r="J59" i="99"/>
  <c r="N59" i="99"/>
  <c r="F59" i="100"/>
  <c r="J59" i="100"/>
  <c r="E59" i="100"/>
  <c r="G59" i="100"/>
  <c r="I59" i="100"/>
  <c r="K59" i="100"/>
  <c r="N59" i="100"/>
  <c r="M59" i="100"/>
  <c r="AE28" i="100"/>
  <c r="AE25" i="100"/>
  <c r="AE22" i="100"/>
  <c r="D60" i="100"/>
  <c r="C59" i="99"/>
  <c r="AE28" i="99"/>
  <c r="AE25" i="99"/>
  <c r="AE22" i="99"/>
  <c r="H60" i="100"/>
  <c r="C59" i="100"/>
  <c r="L59" i="100"/>
  <c r="AF24" i="97"/>
  <c r="AF23" i="98"/>
  <c r="AF27" i="98"/>
  <c r="AE27" i="97"/>
  <c r="AE24" i="97"/>
  <c r="AF28" i="97"/>
  <c r="AF25" i="97"/>
  <c r="AF22" i="97"/>
  <c r="C60" i="98"/>
  <c r="E60" i="98"/>
  <c r="G60" i="98"/>
  <c r="I60" i="98"/>
  <c r="K60" i="98"/>
  <c r="D60" i="98"/>
  <c r="F60" i="98"/>
  <c r="H60" i="98"/>
  <c r="J60" i="98"/>
  <c r="L60" i="98"/>
  <c r="N60" i="98"/>
  <c r="AE26" i="98"/>
  <c r="AE23" i="98"/>
  <c r="AE28" i="97"/>
  <c r="AE25" i="97"/>
  <c r="AE22" i="97"/>
  <c r="AF28" i="98"/>
  <c r="AF25" i="98"/>
  <c r="AF22" i="98"/>
  <c r="AF26" i="98"/>
  <c r="M59" i="97"/>
  <c r="D59" i="97"/>
  <c r="F59" i="97"/>
  <c r="H59" i="97"/>
  <c r="J59" i="97"/>
  <c r="L59" i="97"/>
  <c r="N59" i="97"/>
  <c r="C59" i="97"/>
  <c r="E59" i="97"/>
  <c r="G59" i="97"/>
  <c r="I59" i="97"/>
  <c r="K59" i="97"/>
  <c r="AF26" i="97"/>
  <c r="AF23" i="97"/>
  <c r="AE28" i="98"/>
  <c r="AE25" i="98"/>
  <c r="AE22" i="98"/>
  <c r="D60" i="97"/>
  <c r="F60" i="97"/>
  <c r="H60" i="97"/>
  <c r="J60" i="97"/>
  <c r="L60" i="97"/>
  <c r="N60" i="97"/>
  <c r="C60" i="97"/>
  <c r="E60" i="97"/>
  <c r="G60" i="97"/>
  <c r="I60" i="97"/>
  <c r="K60" i="97"/>
  <c r="C59" i="98"/>
  <c r="E59" i="98"/>
  <c r="G59" i="98"/>
  <c r="I59" i="98"/>
  <c r="K59" i="98"/>
  <c r="D59" i="98"/>
  <c r="F59" i="98"/>
  <c r="H59" i="98"/>
  <c r="J59" i="98"/>
  <c r="L59" i="98"/>
  <c r="N59" i="98"/>
  <c r="M59" i="98"/>
  <c r="AF24" i="98"/>
  <c r="AE27" i="95"/>
  <c r="AE24" i="95"/>
  <c r="AF23" i="94"/>
  <c r="AF27" i="94"/>
  <c r="AF26" i="96"/>
  <c r="AF24" i="94"/>
  <c r="AF26" i="94"/>
  <c r="AF26" i="95"/>
  <c r="AF28" i="95"/>
  <c r="AF25" i="95"/>
  <c r="AF22" i="95"/>
  <c r="AE28" i="96"/>
  <c r="AE25" i="96"/>
  <c r="AE22" i="96"/>
  <c r="C60" i="95"/>
  <c r="E60" i="95"/>
  <c r="G60" i="95"/>
  <c r="I60" i="95"/>
  <c r="K60" i="95"/>
  <c r="D60" i="95"/>
  <c r="F60" i="95"/>
  <c r="H60" i="95"/>
  <c r="J60" i="95"/>
  <c r="L60" i="95"/>
  <c r="N60" i="95"/>
  <c r="AE26" i="95"/>
  <c r="AE23" i="95"/>
  <c r="C59" i="96"/>
  <c r="E59" i="96"/>
  <c r="G59" i="96"/>
  <c r="I59" i="96"/>
  <c r="K59" i="96"/>
  <c r="D59" i="96"/>
  <c r="F59" i="96"/>
  <c r="H59" i="96"/>
  <c r="J59" i="96"/>
  <c r="L59" i="96"/>
  <c r="N59" i="96"/>
  <c r="M59" i="96"/>
  <c r="AF23" i="95"/>
  <c r="AF23" i="96"/>
  <c r="L60" i="94"/>
  <c r="M59" i="95"/>
  <c r="C59" i="95"/>
  <c r="E59" i="95"/>
  <c r="G59" i="95"/>
  <c r="I59" i="95"/>
  <c r="K59" i="95"/>
  <c r="D59" i="95"/>
  <c r="F59" i="95"/>
  <c r="H59" i="95"/>
  <c r="J59" i="95"/>
  <c r="L59" i="95"/>
  <c r="N59" i="95"/>
  <c r="AF27" i="95"/>
  <c r="AF24" i="95"/>
  <c r="C60" i="96"/>
  <c r="E60" i="96"/>
  <c r="G60" i="96"/>
  <c r="I60" i="96"/>
  <c r="K60" i="96"/>
  <c r="D60" i="96"/>
  <c r="F60" i="96"/>
  <c r="H60" i="96"/>
  <c r="J60" i="96"/>
  <c r="L60" i="96"/>
  <c r="N60" i="96"/>
  <c r="AE26" i="96"/>
  <c r="AE23" i="96"/>
  <c r="AE28" i="95"/>
  <c r="AE25" i="95"/>
  <c r="AE22" i="95"/>
  <c r="AF28" i="96"/>
  <c r="AF25" i="96"/>
  <c r="AF22" i="96"/>
  <c r="AF27" i="96"/>
  <c r="AF24" i="96"/>
  <c r="E59" i="94"/>
  <c r="G59" i="94"/>
  <c r="I59" i="94"/>
  <c r="K59" i="94"/>
  <c r="F59" i="94"/>
  <c r="J59" i="94"/>
  <c r="N59" i="94"/>
  <c r="M59" i="94"/>
  <c r="AE28" i="94"/>
  <c r="AE25" i="94"/>
  <c r="AE22" i="94"/>
  <c r="D59" i="94"/>
  <c r="AF22" i="94"/>
  <c r="AF28" i="94"/>
  <c r="AF25" i="94"/>
  <c r="F60" i="94"/>
  <c r="J60" i="94"/>
  <c r="N60" i="94"/>
  <c r="E60" i="94"/>
  <c r="G60" i="94"/>
  <c r="I60" i="94"/>
  <c r="K60" i="94"/>
  <c r="AE26" i="94"/>
  <c r="AE23" i="94"/>
  <c r="D60" i="94"/>
  <c r="AE27" i="94"/>
  <c r="AE24" i="94"/>
  <c r="C59" i="94"/>
  <c r="L59" i="94"/>
  <c r="T22" i="93"/>
  <c r="X22" i="93"/>
  <c r="AB22" i="93"/>
  <c r="U22" i="93"/>
  <c r="Y22" i="93"/>
  <c r="AC22" i="93"/>
  <c r="Z24" i="93"/>
  <c r="W26" i="93"/>
  <c r="W23" i="93"/>
  <c r="AA26" i="93"/>
  <c r="AA23" i="93"/>
  <c r="W27" i="93"/>
  <c r="W24" i="93"/>
  <c r="AA27" i="93"/>
  <c r="AA24" i="93"/>
  <c r="T26" i="93"/>
  <c r="T23" i="93"/>
  <c r="AB26" i="93"/>
  <c r="AB23" i="93"/>
  <c r="T27" i="93"/>
  <c r="T24" i="93"/>
  <c r="AB27" i="93"/>
  <c r="AB24" i="93"/>
  <c r="V26" i="93"/>
  <c r="V23" i="93"/>
  <c r="AD27" i="93"/>
  <c r="AD24" i="93"/>
  <c r="Z22" i="93"/>
  <c r="AD22" i="93"/>
  <c r="W22" i="93"/>
  <c r="AA22" i="93"/>
  <c r="U26" i="93"/>
  <c r="U23" i="93"/>
  <c r="Y26" i="93"/>
  <c r="Y23" i="93"/>
  <c r="AC26" i="93"/>
  <c r="AC23" i="93"/>
  <c r="U27" i="93"/>
  <c r="U24" i="93"/>
  <c r="Y27" i="93"/>
  <c r="Y24" i="93"/>
  <c r="AC27" i="93"/>
  <c r="AC24" i="93"/>
  <c r="X23" i="93"/>
  <c r="X24" i="93"/>
  <c r="AD23" i="93"/>
  <c r="V24" i="93"/>
  <c r="Z23" i="93"/>
  <c r="S27" i="93"/>
  <c r="S24" i="93"/>
  <c r="S26" i="93"/>
  <c r="S23" i="93"/>
  <c r="S22" i="93"/>
  <c r="Z27" i="93"/>
  <c r="T28" i="93"/>
  <c r="T25" i="93"/>
  <c r="X28" i="93"/>
  <c r="X25" i="93"/>
  <c r="AB28" i="93"/>
  <c r="AB25" i="93"/>
  <c r="U28" i="93"/>
  <c r="U25" i="93"/>
  <c r="Y28" i="93"/>
  <c r="Y25" i="93"/>
  <c r="AC28" i="93"/>
  <c r="AC25" i="93"/>
  <c r="V28" i="93"/>
  <c r="V25" i="93"/>
  <c r="Z28" i="93"/>
  <c r="Z25" i="93"/>
  <c r="AD28" i="93"/>
  <c r="AD25" i="93"/>
  <c r="W28" i="93"/>
  <c r="W25" i="93"/>
  <c r="AA28" i="93"/>
  <c r="AA25" i="93"/>
  <c r="S28" i="93"/>
  <c r="S25" i="93"/>
  <c r="X26" i="93"/>
  <c r="X27" i="93"/>
  <c r="AD26" i="93"/>
  <c r="V27" i="93"/>
  <c r="Z26" i="93"/>
  <c r="AF10" i="93"/>
  <c r="AF16" i="93"/>
  <c r="AF18" i="93"/>
  <c r="AF14" i="93"/>
  <c r="AF20" i="93"/>
  <c r="AF13" i="93"/>
  <c r="AF11" i="93"/>
  <c r="AF12" i="93"/>
  <c r="AF15" i="93"/>
  <c r="AF17" i="93"/>
  <c r="AF19" i="93"/>
  <c r="P58" i="93"/>
  <c r="G59" i="93" s="1"/>
  <c r="AF21" i="93"/>
  <c r="AE20" i="93"/>
  <c r="AE18" i="93"/>
  <c r="AE16" i="93"/>
  <c r="AE14" i="93"/>
  <c r="AE12" i="93"/>
  <c r="AE11" i="93"/>
  <c r="O58" i="93"/>
  <c r="C60" i="93" s="1"/>
  <c r="AE10" i="93"/>
  <c r="AE21" i="93"/>
  <c r="AE19" i="93"/>
  <c r="AE17" i="93"/>
  <c r="AE15" i="93"/>
  <c r="AE13" i="93"/>
  <c r="O106" i="111" l="1"/>
  <c r="P106" i="111"/>
  <c r="AD37" i="111"/>
  <c r="X34" i="111"/>
  <c r="AD39" i="111"/>
  <c r="T34" i="111"/>
  <c r="W37" i="111"/>
  <c r="X36" i="111"/>
  <c r="Z39" i="111"/>
  <c r="AD38" i="111"/>
  <c r="V40" i="111"/>
  <c r="AA35" i="111"/>
  <c r="AF12" i="111"/>
  <c r="S34" i="111"/>
  <c r="T39" i="111"/>
  <c r="AC34" i="111"/>
  <c r="AD34" i="111"/>
  <c r="T37" i="111"/>
  <c r="AE15" i="111"/>
  <c r="AF19" i="111"/>
  <c r="AE12" i="111"/>
  <c r="AA36" i="111"/>
  <c r="AF14" i="111"/>
  <c r="AE14" i="111"/>
  <c r="AF11" i="111"/>
  <c r="AE18" i="111"/>
  <c r="Z37" i="111"/>
  <c r="T38" i="111"/>
  <c r="AF10" i="111"/>
  <c r="AF34" i="111" s="1"/>
  <c r="W36" i="111"/>
  <c r="Y40" i="111"/>
  <c r="U36" i="111"/>
  <c r="Z36" i="111"/>
  <c r="V35" i="111"/>
  <c r="AB40" i="111"/>
  <c r="X39" i="111"/>
  <c r="S37" i="111"/>
  <c r="AB36" i="111"/>
  <c r="AE20" i="111"/>
  <c r="AE10" i="111"/>
  <c r="X35" i="111"/>
  <c r="S40" i="111"/>
  <c r="Z38" i="111"/>
  <c r="AE13" i="111"/>
  <c r="V34" i="111"/>
  <c r="W35" i="111"/>
  <c r="AC35" i="111"/>
  <c r="AB38" i="111"/>
  <c r="W40" i="111"/>
  <c r="V39" i="111"/>
  <c r="AD40" i="111"/>
  <c r="X40" i="111"/>
  <c r="V38" i="111"/>
  <c r="AB39" i="111"/>
  <c r="AB37" i="111"/>
  <c r="W34" i="111"/>
  <c r="AF15" i="111"/>
  <c r="AF13" i="111"/>
  <c r="AE21" i="111"/>
  <c r="W38" i="111"/>
  <c r="X38" i="111"/>
  <c r="AF20" i="111"/>
  <c r="S36" i="111"/>
  <c r="AE11" i="111"/>
  <c r="U39" i="111"/>
  <c r="Z35" i="111"/>
  <c r="Z40" i="111"/>
  <c r="V37" i="111"/>
  <c r="T36" i="111"/>
  <c r="T40" i="111"/>
  <c r="AB35" i="111"/>
  <c r="AA38" i="111"/>
  <c r="V36" i="111"/>
  <c r="AD35" i="111"/>
  <c r="X37" i="111"/>
  <c r="AC39" i="111"/>
  <c r="Y39" i="111"/>
  <c r="U35" i="111"/>
  <c r="AD36" i="111"/>
  <c r="AE19" i="111"/>
  <c r="U40" i="111"/>
  <c r="Z34" i="111"/>
  <c r="T35" i="111"/>
  <c r="AB34" i="111"/>
  <c r="U34" i="111"/>
  <c r="AF17" i="111"/>
  <c r="AC36" i="111"/>
  <c r="Y36" i="111"/>
  <c r="U37" i="111"/>
  <c r="AA39" i="111"/>
  <c r="S39" i="111"/>
  <c r="S38" i="111"/>
  <c r="Y38" i="111"/>
  <c r="AF16" i="111"/>
  <c r="K108" i="111"/>
  <c r="N107" i="111"/>
  <c r="AF21" i="111"/>
  <c r="W39" i="111"/>
  <c r="AE17" i="111"/>
  <c r="AC38" i="111"/>
  <c r="U38" i="111"/>
  <c r="AC40" i="111"/>
  <c r="Y37" i="111"/>
  <c r="AE16" i="111"/>
  <c r="Y35" i="111"/>
  <c r="S35" i="111"/>
  <c r="AF18" i="111"/>
  <c r="Y34" i="111"/>
  <c r="AC37" i="111"/>
  <c r="AA37" i="111"/>
  <c r="AA40" i="111"/>
  <c r="AA34" i="111"/>
  <c r="M107" i="107"/>
  <c r="AF39" i="108"/>
  <c r="F108" i="107"/>
  <c r="J107" i="108"/>
  <c r="AF42" i="110"/>
  <c r="AE42" i="110"/>
  <c r="AE42" i="109"/>
  <c r="AF42" i="109"/>
  <c r="K107" i="107"/>
  <c r="C108" i="107"/>
  <c r="L107" i="108"/>
  <c r="G107" i="108"/>
  <c r="L107" i="107"/>
  <c r="G108" i="108"/>
  <c r="AE39" i="108"/>
  <c r="AE37" i="108"/>
  <c r="F108" i="108"/>
  <c r="AE36" i="108"/>
  <c r="AF36" i="108"/>
  <c r="AF34" i="108"/>
  <c r="C108" i="108"/>
  <c r="K108" i="108"/>
  <c r="N108" i="108"/>
  <c r="AF40" i="108"/>
  <c r="K108" i="107"/>
  <c r="L108" i="108"/>
  <c r="D108" i="108"/>
  <c r="I108" i="108"/>
  <c r="E108" i="108"/>
  <c r="J108" i="108"/>
  <c r="AF37" i="108"/>
  <c r="AE38" i="108"/>
  <c r="AE39" i="107"/>
  <c r="AF35" i="108"/>
  <c r="AE35" i="108"/>
  <c r="D107" i="107"/>
  <c r="G107" i="107"/>
  <c r="J107" i="107"/>
  <c r="N108" i="107"/>
  <c r="G108" i="107"/>
  <c r="D107" i="108"/>
  <c r="M107" i="108"/>
  <c r="K107" i="108"/>
  <c r="L108" i="107"/>
  <c r="AE40" i="108"/>
  <c r="AF40" i="107"/>
  <c r="F107" i="107"/>
  <c r="I107" i="107"/>
  <c r="E107" i="107"/>
  <c r="N107" i="107"/>
  <c r="C107" i="108"/>
  <c r="AE34" i="108"/>
  <c r="N107" i="108"/>
  <c r="F107" i="108"/>
  <c r="I107" i="108"/>
  <c r="E107" i="108"/>
  <c r="H107" i="107"/>
  <c r="AF38" i="108"/>
  <c r="AE37" i="107"/>
  <c r="AE35" i="107"/>
  <c r="AF34" i="107"/>
  <c r="AE40" i="107"/>
  <c r="AE38" i="107"/>
  <c r="AE36" i="107"/>
  <c r="AE34" i="107"/>
  <c r="D108" i="107"/>
  <c r="J108" i="107"/>
  <c r="I108" i="107"/>
  <c r="E108" i="107"/>
  <c r="AF37" i="107"/>
  <c r="AF35" i="107"/>
  <c r="AF38" i="107"/>
  <c r="AF36" i="107"/>
  <c r="AF39" i="107"/>
  <c r="AE42" i="105"/>
  <c r="AF42" i="105"/>
  <c r="AE42" i="101"/>
  <c r="AF42" i="101"/>
  <c r="M59" i="93"/>
  <c r="N60" i="93"/>
  <c r="G60" i="93"/>
  <c r="E60" i="93"/>
  <c r="H60" i="93"/>
  <c r="J60" i="93"/>
  <c r="F60" i="93"/>
  <c r="D60" i="93"/>
  <c r="K60" i="93"/>
  <c r="L60" i="93"/>
  <c r="I60" i="93"/>
  <c r="AE24" i="93"/>
  <c r="AE22" i="93"/>
  <c r="AF23" i="93"/>
  <c r="AE23" i="93"/>
  <c r="AF24" i="93"/>
  <c r="AF22" i="93"/>
  <c r="AE26" i="93"/>
  <c r="AF27" i="93"/>
  <c r="AF28" i="93"/>
  <c r="AF25" i="93"/>
  <c r="AE27" i="93"/>
  <c r="AE28" i="93"/>
  <c r="AE25" i="93"/>
  <c r="AF26" i="93"/>
  <c r="D59" i="93"/>
  <c r="C59" i="93"/>
  <c r="L59" i="93"/>
  <c r="F59" i="93"/>
  <c r="J59" i="93"/>
  <c r="E59" i="93"/>
  <c r="H59" i="93"/>
  <c r="K59" i="93"/>
  <c r="N59" i="93"/>
  <c r="I59" i="93"/>
  <c r="AF37" i="111" l="1"/>
  <c r="K107" i="111"/>
  <c r="E108" i="111"/>
  <c r="AE34" i="111"/>
  <c r="F108" i="111"/>
  <c r="AE39" i="111"/>
  <c r="AE37" i="111"/>
  <c r="H107" i="111"/>
  <c r="F107" i="111"/>
  <c r="E107" i="111"/>
  <c r="C107" i="111"/>
  <c r="I107" i="111"/>
  <c r="AE40" i="111"/>
  <c r="AF40" i="111"/>
  <c r="N108" i="111"/>
  <c r="H108" i="111"/>
  <c r="C108" i="111"/>
  <c r="AE35" i="111"/>
  <c r="AE36" i="111"/>
  <c r="AF36" i="111"/>
  <c r="M107" i="111"/>
  <c r="D107" i="111"/>
  <c r="L107" i="111"/>
  <c r="G107" i="111"/>
  <c r="J107" i="111"/>
  <c r="AF38" i="111"/>
  <c r="AF39" i="111"/>
  <c r="AE38" i="111"/>
  <c r="J108" i="111"/>
  <c r="I108" i="111"/>
  <c r="D108" i="111"/>
  <c r="L108" i="111"/>
  <c r="G108" i="111"/>
  <c r="AF35" i="111"/>
</calcChain>
</file>

<file path=xl/sharedStrings.xml><?xml version="1.0" encoding="utf-8"?>
<sst xmlns="http://schemas.openxmlformats.org/spreadsheetml/2006/main" count="2357" uniqueCount="185">
  <si>
    <t>Time / Veh Type</t>
  </si>
  <si>
    <t xml:space="preserve">  Location</t>
  </si>
  <si>
    <t xml:space="preserve">  Dir. To</t>
  </si>
  <si>
    <t>Date</t>
  </si>
  <si>
    <t>Dir. From</t>
  </si>
  <si>
    <t>Surveyor</t>
  </si>
  <si>
    <t>0700-0800</t>
  </si>
  <si>
    <t>0800-0900</t>
  </si>
  <si>
    <t>0900-1000</t>
  </si>
  <si>
    <t>1000-1100</t>
  </si>
  <si>
    <t>1100-1200</t>
  </si>
  <si>
    <t>1200-1300</t>
  </si>
  <si>
    <t>1300-1400</t>
  </si>
  <si>
    <t>1400-1500</t>
  </si>
  <si>
    <t>1500-1600</t>
  </si>
  <si>
    <t>1600-1700</t>
  </si>
  <si>
    <t>1700-1800</t>
  </si>
  <si>
    <t>12 Hours</t>
  </si>
  <si>
    <t>Totals</t>
  </si>
  <si>
    <t>Time</t>
  </si>
  <si>
    <t>1800-1900</t>
  </si>
  <si>
    <t>Supervisor</t>
  </si>
  <si>
    <t>Total All</t>
  </si>
  <si>
    <t>Consultancy services for Preparation of Expressway Development Master Plan (EDMP) for Uganda</t>
  </si>
  <si>
    <t>1. Car</t>
  </si>
  <si>
    <t>2. Station Wagon</t>
  </si>
  <si>
    <t>3. Pickups</t>
  </si>
  <si>
    <t>4. Minibus, matatu</t>
  </si>
  <si>
    <t xml:space="preserve">5. Medium bus </t>
  </si>
  <si>
    <t>6. Large Bus</t>
  </si>
  <si>
    <t xml:space="preserve">7. Light Truck </t>
  </si>
  <si>
    <t xml:space="preserve">8. Medium Truck </t>
  </si>
  <si>
    <t xml:space="preserve">9. Heavy truck </t>
  </si>
  <si>
    <t xml:space="preserve">10. Truck Trailer </t>
  </si>
  <si>
    <t>11. Motorcycles</t>
  </si>
  <si>
    <t>12. Tractors, Graders</t>
  </si>
  <si>
    <t>Total Excl M/Cycles</t>
  </si>
  <si>
    <t>07.00 - 07.15</t>
  </si>
  <si>
    <t>07.15 - 07.30</t>
  </si>
  <si>
    <t>07.30 - 07.45</t>
  </si>
  <si>
    <t>07.45 - 08.00</t>
  </si>
  <si>
    <t>08.00 - 08.15</t>
  </si>
  <si>
    <t>08.15 - 08.30</t>
  </si>
  <si>
    <t>08.30 - 08.45</t>
  </si>
  <si>
    <t>08.45 - 9.00</t>
  </si>
  <si>
    <t>09.00 - 09.15</t>
  </si>
  <si>
    <t>09.15 - 09.30</t>
  </si>
  <si>
    <t>09.30 - 09.45</t>
  </si>
  <si>
    <t>09.45 - 10.00</t>
  </si>
  <si>
    <t>10.00 - 10.15</t>
  </si>
  <si>
    <t>10.15 - 10.30</t>
  </si>
  <si>
    <t>10.30 - 10.45</t>
  </si>
  <si>
    <t>10.45 - 11.00</t>
  </si>
  <si>
    <t>11.00 - 11.15</t>
  </si>
  <si>
    <t>11.15 - 11.30</t>
  </si>
  <si>
    <t>11.30 - 11.45</t>
  </si>
  <si>
    <t>11.45 - 12.00</t>
  </si>
  <si>
    <t>12.00 - 12.15</t>
  </si>
  <si>
    <t>12.15 - 12.30</t>
  </si>
  <si>
    <t>12.30 - 12.45</t>
  </si>
  <si>
    <t>12.45 - 13.00</t>
  </si>
  <si>
    <t>13.00 - 13.15</t>
  </si>
  <si>
    <t>13.15 - 13.30</t>
  </si>
  <si>
    <t>13.30 - 13.45</t>
  </si>
  <si>
    <t>13.45 - 14.00</t>
  </si>
  <si>
    <t>14.00 - 14.15</t>
  </si>
  <si>
    <t>14.15 - 14.30</t>
  </si>
  <si>
    <t>14.30 - 14.45</t>
  </si>
  <si>
    <t>14.45 - 15.00</t>
  </si>
  <si>
    <t>15.00 - 15.15</t>
  </si>
  <si>
    <t>15.15 - 15.30</t>
  </si>
  <si>
    <t>15.30 - 15.45</t>
  </si>
  <si>
    <t>15.45 - 16.00</t>
  </si>
  <si>
    <t>16.00 - 16.15</t>
  </si>
  <si>
    <t>16.15 -16.30</t>
  </si>
  <si>
    <t>16.30 -16.45</t>
  </si>
  <si>
    <t>16.45 -17.00</t>
  </si>
  <si>
    <t>17.00 -17.15</t>
  </si>
  <si>
    <t>17.15 -17.30</t>
  </si>
  <si>
    <t>17.30 -17.45</t>
  </si>
  <si>
    <t>17.45 -18.00</t>
  </si>
  <si>
    <t>18.00 - 18.15</t>
  </si>
  <si>
    <t>18.15 - 18.30</t>
  </si>
  <si>
    <t>18.30 - 18.45</t>
  </si>
  <si>
    <t>18.45 - 19.00</t>
  </si>
  <si>
    <t>AM Period</t>
  </si>
  <si>
    <t>IP Period</t>
  </si>
  <si>
    <t>PM Period</t>
  </si>
  <si>
    <t>SUMMARY TRAFFIC VOLUMES</t>
  </si>
  <si>
    <t>Total Excl M/ Cycles</t>
  </si>
  <si>
    <t>AM Peak Hr</t>
  </si>
  <si>
    <t>IP Peak Hr</t>
  </si>
  <si>
    <t>PM Peak Hr</t>
  </si>
  <si>
    <t>%ges + MCs</t>
  </si>
  <si>
    <t>%ges w/o MCs</t>
  </si>
  <si>
    <t>MANUAL CLASSIFIED COUNT (MCC)</t>
  </si>
  <si>
    <t>ROAD NAME:</t>
  </si>
  <si>
    <t>12. Tractors</t>
  </si>
  <si>
    <t>11. Motor cycles</t>
  </si>
  <si>
    <t>19.00 - 19.15</t>
  </si>
  <si>
    <t>19.15 - 19.30</t>
  </si>
  <si>
    <t>19.30 - 19.45</t>
  </si>
  <si>
    <t>19.45 - 20.00</t>
  </si>
  <si>
    <t>21.00 - 21.15</t>
  </si>
  <si>
    <t>21.15 - 21.30</t>
  </si>
  <si>
    <t>21.30 - 21.45</t>
  </si>
  <si>
    <t>21.45 - 22.00</t>
  </si>
  <si>
    <t>20.00 - 20.15</t>
  </si>
  <si>
    <t>20.15 - 20.30</t>
  </si>
  <si>
    <t>20.30 - 20.45</t>
  </si>
  <si>
    <t>22.00 - 22.15</t>
  </si>
  <si>
    <t>22.15 - 22.30</t>
  </si>
  <si>
    <t>22.30 - 22.45</t>
  </si>
  <si>
    <t>22.45 - 23.00</t>
  </si>
  <si>
    <t>23.00 - 23.15</t>
  </si>
  <si>
    <t>23.15 - 23.30</t>
  </si>
  <si>
    <t>23.30 - 23.45</t>
  </si>
  <si>
    <t>23.45 - 00.00</t>
  </si>
  <si>
    <t>00.00 - 00.15</t>
  </si>
  <si>
    <t>00.15 - 00.30</t>
  </si>
  <si>
    <t>00.30 - 00.45</t>
  </si>
  <si>
    <t>00.45 - 01.00</t>
  </si>
  <si>
    <t>01.00 - 01.15</t>
  </si>
  <si>
    <t>01.15 - 01.30</t>
  </si>
  <si>
    <t>01.30 - 01.45</t>
  </si>
  <si>
    <t>01.45 - 02.00</t>
  </si>
  <si>
    <t>02.00 - 02.15</t>
  </si>
  <si>
    <t>02.15 - 02.30</t>
  </si>
  <si>
    <t>02.30 - 02.45</t>
  </si>
  <si>
    <t>02.45 - 03.00</t>
  </si>
  <si>
    <t>03.00 - 03.15</t>
  </si>
  <si>
    <t>03.15 - 03.30</t>
  </si>
  <si>
    <t>03.30 - 03.45</t>
  </si>
  <si>
    <t>03.45 - 04.00</t>
  </si>
  <si>
    <t>04.00 - 04.15</t>
  </si>
  <si>
    <t>04.15 - 04.30</t>
  </si>
  <si>
    <t>04.30 - 04.45</t>
  </si>
  <si>
    <t>04.45 - 05.00</t>
  </si>
  <si>
    <t>05.00 - 05.15</t>
  </si>
  <si>
    <t>05.15 - 05.30</t>
  </si>
  <si>
    <t>05.30 - 05.45</t>
  </si>
  <si>
    <t>05.45 - 06.00</t>
  </si>
  <si>
    <t>06.00 - 06.15</t>
  </si>
  <si>
    <t>06.15 - 06.30</t>
  </si>
  <si>
    <t>06.30 - 06.45</t>
  </si>
  <si>
    <t>06.45 - 07.00</t>
  </si>
  <si>
    <t>1900-2000</t>
  </si>
  <si>
    <t>2000-2100</t>
  </si>
  <si>
    <t>2100-2200</t>
  </si>
  <si>
    <t>2200-2300</t>
  </si>
  <si>
    <t>2300-0000</t>
  </si>
  <si>
    <t>0000-0100</t>
  </si>
  <si>
    <t>0100-0200</t>
  </si>
  <si>
    <t>0200-0300</t>
  </si>
  <si>
    <t>0300-0400</t>
  </si>
  <si>
    <t>0400-0500</t>
  </si>
  <si>
    <t>0500-0600</t>
  </si>
  <si>
    <t>0600-0700</t>
  </si>
  <si>
    <t>20.45 - 21.00</t>
  </si>
  <si>
    <t>24 Hrs/ADT</t>
  </si>
  <si>
    <t>NEF</t>
  </si>
  <si>
    <t>BOTH DIRECTIONS</t>
  </si>
  <si>
    <t>26.07.19</t>
  </si>
  <si>
    <t>AVERAGE WEEK</t>
  </si>
  <si>
    <t>17.10.19</t>
  </si>
  <si>
    <t>BUSEMBATYA</t>
  </si>
  <si>
    <t>BUTONGOLE</t>
  </si>
  <si>
    <t>NAMALEMBA</t>
  </si>
  <si>
    <t>Norman T</t>
  </si>
  <si>
    <t>18.10.2019</t>
  </si>
  <si>
    <t>Butongole</t>
  </si>
  <si>
    <t>Busembatya</t>
  </si>
  <si>
    <t>19.10.19</t>
  </si>
  <si>
    <t>b</t>
  </si>
  <si>
    <t>20.10.2019</t>
  </si>
  <si>
    <t>21.10.2019</t>
  </si>
  <si>
    <t>Atukoi Joshua</t>
  </si>
  <si>
    <t>Turyahabwe Norman</t>
  </si>
  <si>
    <t>22.10.2019</t>
  </si>
  <si>
    <t>23.10.2019</t>
  </si>
  <si>
    <t>turyahabwe Norma</t>
  </si>
  <si>
    <t>BUSEMBATYA-BUTONGOLE</t>
  </si>
  <si>
    <t>BUTONGOLE-BUSEMBATYA</t>
  </si>
  <si>
    <t>BUTONGOLE-BUSEMBTYA</t>
  </si>
  <si>
    <t>24 Hours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</si>
</sst>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41" formatCode="_(* #,##0_);_(* \(#,##0\);_(* &quot;-&quot;_);_(@_)"/>
    <numFmt numFmtId="164" formatCode="0.0%"/>
    <numFmt numFmtId="165" formatCode="0.000"/>
  </numFmts>
  <fonts count="1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name val="Arial"/>
      <family val="2"/>
    </font>
    <font>
      <sz val="11"/>
      <color theme="1"/>
      <name val="Calibri"/>
      <family val="2"/>
      <scheme val="minor"/>
    </font>
    <font>
      <b/>
      <sz val="11"/>
      <color indexed="8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b/>
      <sz val="10"/>
      <color theme="1"/>
      <name val="Calibri"/>
      <family val="2"/>
      <scheme val="minor"/>
    </font>
    <font>
      <b/>
      <sz val="12"/>
      <color theme="1"/>
      <name val="Arial"/>
      <family val="2"/>
    </font>
    <font>
      <i/>
      <sz val="11"/>
      <color theme="1"/>
      <name val="Calibri"/>
      <family val="2"/>
      <scheme val="minor"/>
    </font>
    <font>
      <b/>
      <sz val="14"/>
      <name val="Arial"/>
      <family val="2"/>
    </font>
    <font>
      <b/>
      <sz val="16"/>
      <name val="Arial"/>
      <family val="2"/>
    </font>
    <font>
      <sz val="8"/>
      <name val="Calibri"/>
      <family val="2"/>
      <scheme val="minor"/>
    </font>
    <font>
      <b/>
      <sz val="10"/>
      <color theme="1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9FCD2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1" fontId="3" fillId="0" borderId="0" applyFont="0" applyFill="0" applyBorder="0" applyAlignment="0" applyProtection="0"/>
  </cellStyleXfs>
  <cellXfs count="70">
    <xf numFmtId="0" fontId="0" fillId="0" borderId="0" xfId="0"/>
    <xf numFmtId="0" fontId="0" fillId="0" borderId="1" xfId="0" applyBorder="1"/>
    <xf numFmtId="0" fontId="1" fillId="0" borderId="0" xfId="0" applyFont="1"/>
    <xf numFmtId="0" fontId="0" fillId="0" borderId="0" xfId="0" applyBorder="1"/>
    <xf numFmtId="0" fontId="1" fillId="0" borderId="0" xfId="0" applyFont="1" applyAlignment="1"/>
    <xf numFmtId="0" fontId="1" fillId="0" borderId="1" xfId="0" applyFont="1" applyBorder="1"/>
    <xf numFmtId="9" fontId="0" fillId="0" borderId="0" xfId="1" applyFont="1"/>
    <xf numFmtId="0" fontId="0" fillId="0" borderId="0" xfId="0" applyFont="1" applyFill="1"/>
    <xf numFmtId="0" fontId="0" fillId="0" borderId="0" xfId="0" applyFont="1" applyFill="1" applyAlignment="1">
      <alignment horizontal="center"/>
    </xf>
    <xf numFmtId="0" fontId="4" fillId="0" borderId="1" xfId="0" applyFont="1" applyBorder="1" applyAlignment="1">
      <alignment horizontal="center" vertical="center"/>
    </xf>
    <xf numFmtId="0" fontId="0" fillId="0" borderId="0" xfId="0" applyBorder="1" applyAlignment="1">
      <alignment horizontal="center"/>
    </xf>
    <xf numFmtId="0" fontId="1" fillId="0" borderId="4" xfId="0" applyFont="1" applyBorder="1" applyAlignment="1">
      <alignment horizontal="center" vertical="center" wrapText="1"/>
    </xf>
    <xf numFmtId="0" fontId="1" fillId="0" borderId="5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0" fontId="6" fillId="0" borderId="0" xfId="0" applyFont="1"/>
    <xf numFmtId="1" fontId="0" fillId="0" borderId="1" xfId="0" applyNumberFormat="1" applyFill="1" applyBorder="1" applyAlignment="1">
      <alignment horizontal="center"/>
    </xf>
    <xf numFmtId="1" fontId="1" fillId="0" borderId="1" xfId="0" applyNumberFormat="1" applyFont="1" applyBorder="1" applyAlignment="1">
      <alignment horizontal="center"/>
    </xf>
    <xf numFmtId="1" fontId="0" fillId="0" borderId="1" xfId="0" applyNumberFormat="1" applyBorder="1" applyAlignment="1">
      <alignment horizontal="center"/>
    </xf>
    <xf numFmtId="164" fontId="0" fillId="0" borderId="0" xfId="0" applyNumberFormat="1"/>
    <xf numFmtId="0" fontId="0" fillId="0" borderId="0" xfId="0" applyAlignment="1">
      <alignment horizontal="center"/>
    </xf>
    <xf numFmtId="1" fontId="0" fillId="0" borderId="0" xfId="0" applyNumberFormat="1" applyAlignment="1">
      <alignment horizontal="center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7" fillId="0" borderId="1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/>
    </xf>
    <xf numFmtId="0" fontId="7" fillId="0" borderId="5" xfId="0" applyFont="1" applyBorder="1" applyAlignment="1">
      <alignment horizontal="center" vertical="center"/>
    </xf>
    <xf numFmtId="0" fontId="8" fillId="0" borderId="5" xfId="0" applyFont="1" applyFill="1" applyBorder="1" applyAlignment="1">
      <alignment horizontal="left" vertical="center"/>
    </xf>
    <xf numFmtId="0" fontId="9" fillId="0" borderId="1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left" wrapText="1"/>
    </xf>
    <xf numFmtId="0" fontId="1" fillId="0" borderId="1" xfId="0" applyFont="1" applyBorder="1" applyAlignment="1">
      <alignment wrapText="1"/>
    </xf>
    <xf numFmtId="0" fontId="9" fillId="3" borderId="4" xfId="0" applyFont="1" applyFill="1" applyBorder="1" applyAlignment="1">
      <alignment horizontal="center" vertical="center" wrapText="1"/>
    </xf>
    <xf numFmtId="1" fontId="0" fillId="3" borderId="1" xfId="0" applyNumberFormat="1" applyFill="1" applyBorder="1" applyAlignment="1">
      <alignment horizontal="center"/>
    </xf>
    <xf numFmtId="1" fontId="1" fillId="3" borderId="1" xfId="0" applyNumberFormat="1" applyFont="1" applyFill="1" applyBorder="1" applyAlignment="1">
      <alignment horizontal="center"/>
    </xf>
    <xf numFmtId="0" fontId="0" fillId="0" borderId="5" xfId="0" applyFont="1" applyFill="1" applyBorder="1"/>
    <xf numFmtId="1" fontId="0" fillId="0" borderId="4" xfId="0" applyNumberFormat="1" applyBorder="1" applyAlignment="1">
      <alignment horizontal="center"/>
    </xf>
    <xf numFmtId="1" fontId="1" fillId="0" borderId="8" xfId="0" applyNumberFormat="1" applyFont="1" applyBorder="1" applyAlignment="1">
      <alignment horizontal="center"/>
    </xf>
    <xf numFmtId="0" fontId="0" fillId="0" borderId="4" xfId="0" applyBorder="1"/>
    <xf numFmtId="0" fontId="1" fillId="0" borderId="8" xfId="0" applyFont="1" applyBorder="1" applyAlignment="1">
      <alignment wrapText="1"/>
    </xf>
    <xf numFmtId="0" fontId="11" fillId="0" borderId="9" xfId="0" applyFont="1" applyFill="1" applyBorder="1"/>
    <xf numFmtId="1" fontId="11" fillId="0" borderId="9" xfId="0" applyNumberFormat="1" applyFont="1" applyFill="1" applyBorder="1" applyAlignment="1">
      <alignment horizontal="center"/>
    </xf>
    <xf numFmtId="1" fontId="11" fillId="3" borderId="1" xfId="0" applyNumberFormat="1" applyFont="1" applyFill="1" applyBorder="1" applyAlignment="1">
      <alignment horizontal="center"/>
    </xf>
    <xf numFmtId="0" fontId="1" fillId="0" borderId="0" xfId="0" applyFont="1" applyAlignment="1">
      <alignment horizontal="center"/>
    </xf>
    <xf numFmtId="0" fontId="8" fillId="0" borderId="7" xfId="0" applyFont="1" applyFill="1" applyBorder="1" applyAlignment="1">
      <alignment horizontal="center" vertical="center"/>
    </xf>
    <xf numFmtId="164" fontId="1" fillId="0" borderId="4" xfId="1" applyNumberFormat="1" applyFont="1" applyBorder="1" applyAlignment="1">
      <alignment horizontal="center"/>
    </xf>
    <xf numFmtId="10" fontId="1" fillId="0" borderId="9" xfId="1" applyNumberFormat="1" applyFont="1" applyBorder="1"/>
    <xf numFmtId="0" fontId="7" fillId="0" borderId="1" xfId="0" applyFont="1" applyBorder="1" applyAlignment="1">
      <alignment horizontal="left" vertical="center"/>
    </xf>
    <xf numFmtId="0" fontId="7" fillId="0" borderId="4" xfId="0" applyFont="1" applyBorder="1" applyAlignment="1">
      <alignment horizontal="left" vertical="center"/>
    </xf>
    <xf numFmtId="0" fontId="7" fillId="0" borderId="5" xfId="0" applyFont="1" applyBorder="1" applyAlignment="1">
      <alignment horizontal="left" vertical="center"/>
    </xf>
    <xf numFmtId="165" fontId="1" fillId="0" borderId="1" xfId="0" applyNumberFormat="1" applyFont="1" applyBorder="1" applyAlignment="1">
      <alignment horizontal="center"/>
    </xf>
    <xf numFmtId="1" fontId="0" fillId="0" borderId="1" xfId="0" applyNumberFormat="1" applyFill="1" applyBorder="1" applyAlignment="1">
      <alignment horizontal="center" vertical="center"/>
    </xf>
    <xf numFmtId="1" fontId="0" fillId="4" borderId="1" xfId="0" applyNumberFormat="1" applyFill="1" applyBorder="1" applyAlignment="1">
      <alignment horizontal="center" vertical="center"/>
    </xf>
    <xf numFmtId="0" fontId="0" fillId="2" borderId="4" xfId="0" applyFill="1" applyBorder="1"/>
    <xf numFmtId="0" fontId="0" fillId="2" borderId="4" xfId="0" applyFill="1" applyBorder="1" applyAlignment="1">
      <alignment horizontal="center"/>
    </xf>
    <xf numFmtId="1" fontId="0" fillId="2" borderId="1" xfId="0" applyNumberFormat="1" applyFill="1" applyBorder="1" applyAlignment="1">
      <alignment horizontal="center" vertical="center"/>
    </xf>
    <xf numFmtId="165" fontId="1" fillId="3" borderId="1" xfId="0" applyNumberFormat="1" applyFont="1" applyFill="1" applyBorder="1" applyAlignment="1">
      <alignment horizontal="center"/>
    </xf>
    <xf numFmtId="41" fontId="1" fillId="0" borderId="1" xfId="2" applyFont="1" applyBorder="1" applyAlignment="1">
      <alignment horizontal="center"/>
    </xf>
    <xf numFmtId="41" fontId="1" fillId="3" borderId="1" xfId="2" applyFont="1" applyFill="1" applyBorder="1" applyAlignment="1">
      <alignment horizontal="center"/>
    </xf>
    <xf numFmtId="0" fontId="8" fillId="2" borderId="2" xfId="0" applyFont="1" applyFill="1" applyBorder="1" applyAlignment="1">
      <alignment horizontal="left" vertical="center" wrapText="1"/>
    </xf>
    <xf numFmtId="0" fontId="8" fillId="2" borderId="3" xfId="0" applyFont="1" applyFill="1" applyBorder="1" applyAlignment="1">
      <alignment horizontal="left" vertical="center" wrapText="1"/>
    </xf>
    <xf numFmtId="0" fontId="10" fillId="0" borderId="6" xfId="0" applyFont="1" applyFill="1" applyBorder="1" applyAlignment="1">
      <alignment horizont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center"/>
    </xf>
    <xf numFmtId="0" fontId="2" fillId="2" borderId="9" xfId="0" applyFont="1" applyFill="1" applyBorder="1" applyAlignment="1">
      <alignment horizontal="center"/>
    </xf>
    <xf numFmtId="0" fontId="2" fillId="0" borderId="9" xfId="0" applyFont="1" applyFill="1" applyBorder="1" applyAlignment="1">
      <alignment horizontal="center"/>
    </xf>
    <xf numFmtId="0" fontId="8" fillId="0" borderId="2" xfId="0" applyFont="1" applyBorder="1" applyAlignment="1">
      <alignment horizontal="left" vertical="center" wrapText="1"/>
    </xf>
    <xf numFmtId="0" fontId="8" fillId="0" borderId="3" xfId="0" applyFont="1" applyBorder="1" applyAlignment="1">
      <alignment horizontal="left" vertical="center" wrapText="1"/>
    </xf>
    <xf numFmtId="0" fontId="1" fillId="0" borderId="2" xfId="0" applyFont="1" applyBorder="1" applyAlignment="1">
      <alignment horizontal="left"/>
    </xf>
    <xf numFmtId="0" fontId="1" fillId="0" borderId="3" xfId="0" applyFont="1" applyBorder="1" applyAlignment="1">
      <alignment horizontal="left"/>
    </xf>
    <xf numFmtId="0" fontId="15" fillId="0" borderId="2" xfId="0" applyFont="1" applyBorder="1" applyAlignment="1">
      <alignment horizontal="left" vertical="center" wrapText="1"/>
    </xf>
    <xf numFmtId="0" fontId="15" fillId="0" borderId="3" xfId="0" applyFont="1" applyBorder="1" applyAlignment="1">
      <alignment horizontal="left" vertical="center" wrapText="1"/>
    </xf>
  </cellXfs>
  <cellStyles count="3">
    <cellStyle name="Comma [0]" xfId="2" builtinId="6"/>
    <cellStyle name="Normal" xfId="0" builtinId="0"/>
    <cellStyle name="Percent" xfId="1" builtinId="5"/>
  </cellStyles>
  <dxfs count="0"/>
  <tableStyles count="0" defaultTableStyle="TableStyleMedium9" defaultPivotStyle="PivotStyleLight16"/>
  <colors>
    <mruColors>
      <color rgb="FFF9FCD2"/>
      <color rgb="FFF0F2D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60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61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'17.10 Busembatya-Butongole'!$AE$9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'17.10 Busembatya-Butongole'!$R$10:$R$21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'17.10 Busembatya-Butongole'!$AE$10:$AE$21</c:f>
              <c:numCache>
                <c:formatCode>0</c:formatCode>
                <c:ptCount val="12"/>
                <c:pt idx="0">
                  <c:v>47</c:v>
                </c:pt>
                <c:pt idx="1">
                  <c:v>43</c:v>
                </c:pt>
                <c:pt idx="2">
                  <c:v>59</c:v>
                </c:pt>
                <c:pt idx="3">
                  <c:v>60</c:v>
                </c:pt>
                <c:pt idx="4">
                  <c:v>56</c:v>
                </c:pt>
                <c:pt idx="5">
                  <c:v>69</c:v>
                </c:pt>
                <c:pt idx="6">
                  <c:v>81</c:v>
                </c:pt>
                <c:pt idx="7">
                  <c:v>63</c:v>
                </c:pt>
                <c:pt idx="8">
                  <c:v>80</c:v>
                </c:pt>
                <c:pt idx="9">
                  <c:v>73</c:v>
                </c:pt>
                <c:pt idx="10">
                  <c:v>99</c:v>
                </c:pt>
                <c:pt idx="11">
                  <c:v>98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A2E1-4581-8355-9A9D08B6A3D4}"/>
            </c:ext>
          </c:extLst>
        </c:ser>
        <c:ser>
          <c:idx val="1"/>
          <c:order val="1"/>
          <c:tx>
            <c:strRef>
              <c:f>'17.10 Busembatya-Butongole'!$AF$9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'17.10 Busembatya-Butongole'!$R$10:$R$21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'17.10 Busembatya-Butongole'!$AF$10:$AF$21</c:f>
              <c:numCache>
                <c:formatCode>0</c:formatCode>
                <c:ptCount val="12"/>
                <c:pt idx="0">
                  <c:v>83</c:v>
                </c:pt>
                <c:pt idx="1">
                  <c:v>66</c:v>
                </c:pt>
                <c:pt idx="2">
                  <c:v>86</c:v>
                </c:pt>
                <c:pt idx="3">
                  <c:v>91</c:v>
                </c:pt>
                <c:pt idx="4">
                  <c:v>95</c:v>
                </c:pt>
                <c:pt idx="5">
                  <c:v>101</c:v>
                </c:pt>
                <c:pt idx="6">
                  <c:v>122</c:v>
                </c:pt>
                <c:pt idx="7">
                  <c:v>84</c:v>
                </c:pt>
                <c:pt idx="8">
                  <c:v>113</c:v>
                </c:pt>
                <c:pt idx="9">
                  <c:v>112</c:v>
                </c:pt>
                <c:pt idx="10">
                  <c:v>154</c:v>
                </c:pt>
                <c:pt idx="11">
                  <c:v>135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A2E1-4581-8355-9A9D08B6A3D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5948288"/>
        <c:axId val="85949824"/>
      </c:lineChart>
      <c:catAx>
        <c:axId val="85948288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85949824"/>
        <c:crosses val="autoZero"/>
        <c:auto val="1"/>
        <c:lblAlgn val="ctr"/>
        <c:lblOffset val="100"/>
        <c:noMultiLvlLbl val="0"/>
      </c:catAx>
      <c:valAx>
        <c:axId val="85949824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859482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966C-49DF-A540-BEECCA775C95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966C-49DF-A540-BEECCA775C95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966C-49DF-A540-BEECCA775C95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966C-49DF-A540-BEECCA775C95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966C-49DF-A540-BEECCA775C95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966C-49DF-A540-BEECCA775C95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966C-49DF-A540-BEECCA775C95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966C-49DF-A540-BEECCA775C95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966C-49DF-A540-BEECCA775C95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966C-49DF-A540-BEECCA775C95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966C-49DF-A540-BEECCA775C95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966C-49DF-A540-BEECCA775C95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966C-49DF-A540-BEECCA775C9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'17.10 Busembatya-Butongole'!$C$9:$N$9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'17.10 Busembatya-Butongole'!$C$59:$N$59</c:f>
              <c:numCache>
                <c:formatCode>0.0%</c:formatCode>
                <c:ptCount val="12"/>
                <c:pt idx="0">
                  <c:v>0.11513687600644122</c:v>
                </c:pt>
                <c:pt idx="1">
                  <c:v>4.2673107890499197E-2</c:v>
                </c:pt>
                <c:pt idx="2">
                  <c:v>7.3268921095008058E-2</c:v>
                </c:pt>
                <c:pt idx="3">
                  <c:v>0.2890499194847021</c:v>
                </c:pt>
                <c:pt idx="4">
                  <c:v>1.6908212560386472E-2</c:v>
                </c:pt>
                <c:pt idx="5">
                  <c:v>1.0466988727858293E-2</c:v>
                </c:pt>
                <c:pt idx="6">
                  <c:v>2.8180354267310789E-2</c:v>
                </c:pt>
                <c:pt idx="7">
                  <c:v>4.5893719806763288E-2</c:v>
                </c:pt>
                <c:pt idx="8">
                  <c:v>3.864734299516908E-2</c:v>
                </c:pt>
                <c:pt idx="9">
                  <c:v>3.2206119162640902E-3</c:v>
                </c:pt>
                <c:pt idx="10">
                  <c:v>0.33333333333333331</c:v>
                </c:pt>
                <c:pt idx="11">
                  <c:v>3.2206119162640902E-3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966C-49DF-A540-BEECCA775C9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EE16-490A-B833-4EE796B330D7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EE16-490A-B833-4EE796B330D7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EE16-490A-B833-4EE796B330D7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EE16-490A-B833-4EE796B330D7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EE16-490A-B833-4EE796B330D7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EE16-490A-B833-4EE796B330D7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EE16-490A-B833-4EE796B330D7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EE16-490A-B833-4EE796B330D7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EE16-490A-B833-4EE796B330D7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EE16-490A-B833-4EE796B330D7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EE16-490A-B833-4EE796B330D7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EE16-490A-B833-4EE796B330D7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EE16-490A-B833-4EE796B330D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'17.10 Busembatya-Butongole'!$C$9:$N$9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'17.10 Busembatya-Butongole'!$C$60:$N$60</c:f>
              <c:numCache>
                <c:formatCode>0.00%</c:formatCode>
                <c:ptCount val="12"/>
                <c:pt idx="0">
                  <c:v>0.17270531400966183</c:v>
                </c:pt>
                <c:pt idx="1">
                  <c:v>6.4009661835748799E-2</c:v>
                </c:pt>
                <c:pt idx="2">
                  <c:v>0.10990338164251208</c:v>
                </c:pt>
                <c:pt idx="3">
                  <c:v>0.43357487922705312</c:v>
                </c:pt>
                <c:pt idx="4">
                  <c:v>2.5362318840579712E-2</c:v>
                </c:pt>
                <c:pt idx="5">
                  <c:v>1.570048309178744E-2</c:v>
                </c:pt>
                <c:pt idx="6">
                  <c:v>4.2270531400966184E-2</c:v>
                </c:pt>
                <c:pt idx="7">
                  <c:v>6.8840579710144928E-2</c:v>
                </c:pt>
                <c:pt idx="8">
                  <c:v>5.7971014492753624E-2</c:v>
                </c:pt>
                <c:pt idx="9">
                  <c:v>4.830917874396135E-3</c:v>
                </c:pt>
                <c:pt idx="11">
                  <c:v>4.830917874396135E-3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EE16-490A-B833-4EE796B330D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'17.10 Butongole-Busembatya'!$AE$9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'17.10 Butongole-Busembatya'!$R$10:$R$21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'17.10 Butongole-Busembatya'!$AE$10:$AE$21</c:f>
              <c:numCache>
                <c:formatCode>0</c:formatCode>
                <c:ptCount val="12"/>
                <c:pt idx="0">
                  <c:v>43</c:v>
                </c:pt>
                <c:pt idx="1">
                  <c:v>60</c:v>
                </c:pt>
                <c:pt idx="2">
                  <c:v>75</c:v>
                </c:pt>
                <c:pt idx="3">
                  <c:v>61</c:v>
                </c:pt>
                <c:pt idx="4">
                  <c:v>88</c:v>
                </c:pt>
                <c:pt idx="5">
                  <c:v>107</c:v>
                </c:pt>
                <c:pt idx="6">
                  <c:v>112</c:v>
                </c:pt>
                <c:pt idx="7">
                  <c:v>107</c:v>
                </c:pt>
                <c:pt idx="8">
                  <c:v>92</c:v>
                </c:pt>
                <c:pt idx="9">
                  <c:v>98</c:v>
                </c:pt>
                <c:pt idx="10">
                  <c:v>94</c:v>
                </c:pt>
                <c:pt idx="11">
                  <c:v>65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A89C-45BB-88A7-B65865997A3E}"/>
            </c:ext>
          </c:extLst>
        </c:ser>
        <c:ser>
          <c:idx val="1"/>
          <c:order val="1"/>
          <c:tx>
            <c:strRef>
              <c:f>'17.10 Butongole-Busembatya'!$AF$9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'17.10 Butongole-Busembatya'!$R$10:$R$21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'17.10 Butongole-Busembatya'!$AF$10:$AF$21</c:f>
              <c:numCache>
                <c:formatCode>0</c:formatCode>
                <c:ptCount val="12"/>
                <c:pt idx="0">
                  <c:v>84</c:v>
                </c:pt>
                <c:pt idx="1">
                  <c:v>106</c:v>
                </c:pt>
                <c:pt idx="2">
                  <c:v>124</c:v>
                </c:pt>
                <c:pt idx="3">
                  <c:v>116</c:v>
                </c:pt>
                <c:pt idx="4">
                  <c:v>162</c:v>
                </c:pt>
                <c:pt idx="5">
                  <c:v>180</c:v>
                </c:pt>
                <c:pt idx="6">
                  <c:v>180</c:v>
                </c:pt>
                <c:pt idx="7">
                  <c:v>160</c:v>
                </c:pt>
                <c:pt idx="8">
                  <c:v>131</c:v>
                </c:pt>
                <c:pt idx="9">
                  <c:v>147</c:v>
                </c:pt>
                <c:pt idx="10">
                  <c:v>154</c:v>
                </c:pt>
                <c:pt idx="11">
                  <c:v>134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A89C-45BB-88A7-B65865997A3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6568320"/>
        <c:axId val="86590592"/>
      </c:lineChart>
      <c:catAx>
        <c:axId val="86568320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86590592"/>
        <c:crosses val="autoZero"/>
        <c:auto val="1"/>
        <c:lblAlgn val="ctr"/>
        <c:lblOffset val="100"/>
        <c:noMultiLvlLbl val="0"/>
      </c:catAx>
      <c:valAx>
        <c:axId val="86590592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865683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E8B9-4D32-9FA4-C5B7B71D021F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E8B9-4D32-9FA4-C5B7B71D021F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E8B9-4D32-9FA4-C5B7B71D021F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E8B9-4D32-9FA4-C5B7B71D021F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E8B9-4D32-9FA4-C5B7B71D021F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E8B9-4D32-9FA4-C5B7B71D021F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E8B9-4D32-9FA4-C5B7B71D021F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E8B9-4D32-9FA4-C5B7B71D021F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E8B9-4D32-9FA4-C5B7B71D021F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E8B9-4D32-9FA4-C5B7B71D021F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E8B9-4D32-9FA4-C5B7B71D021F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E8B9-4D32-9FA4-C5B7B71D021F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E8B9-4D32-9FA4-C5B7B71D021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'17.10 Butongole-Busembatya'!$C$9:$N$9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'17.10 Butongole-Busembatya'!$C$59:$N$59</c:f>
              <c:numCache>
                <c:formatCode>0.0%</c:formatCode>
                <c:ptCount val="12"/>
                <c:pt idx="0">
                  <c:v>0.10429082240762813</c:v>
                </c:pt>
                <c:pt idx="1">
                  <c:v>4.8271752085816445E-2</c:v>
                </c:pt>
                <c:pt idx="2">
                  <c:v>7.0917759237187128E-2</c:v>
                </c:pt>
                <c:pt idx="3">
                  <c:v>0.23659117997616211</c:v>
                </c:pt>
                <c:pt idx="4">
                  <c:v>1.9070321811680571E-2</c:v>
                </c:pt>
                <c:pt idx="5">
                  <c:v>8.3432657926102508E-3</c:v>
                </c:pt>
                <c:pt idx="6">
                  <c:v>3.1585220500595951E-2</c:v>
                </c:pt>
                <c:pt idx="7">
                  <c:v>4.4696066746126341E-2</c:v>
                </c:pt>
                <c:pt idx="8">
                  <c:v>2.5029797377830752E-2</c:v>
                </c:pt>
                <c:pt idx="9">
                  <c:v>5.9594755661501785E-3</c:v>
                </c:pt>
                <c:pt idx="10">
                  <c:v>0.40286054827175211</c:v>
                </c:pt>
                <c:pt idx="11">
                  <c:v>2.3837902264600714E-3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E8B9-4D32-9FA4-C5B7B71D021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Hourly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Variation of Classified Traffic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31244670799128843"/>
          <c:y val="2.2960226637323725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'17.10 Butongole-Busembatya'!$S$9</c:f>
              <c:strCache>
                <c:ptCount val="1"/>
                <c:pt idx="0">
                  <c:v>1. Car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'17.10 Butongole-Busembatya'!$R$10:$R$21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'17.10 Butongole-Busembatya'!$S$10:$S$21</c:f>
              <c:numCache>
                <c:formatCode>0</c:formatCode>
                <c:ptCount val="12"/>
                <c:pt idx="0">
                  <c:v>7</c:v>
                </c:pt>
                <c:pt idx="1">
                  <c:v>12</c:v>
                </c:pt>
                <c:pt idx="2">
                  <c:v>11</c:v>
                </c:pt>
                <c:pt idx="3">
                  <c:v>9</c:v>
                </c:pt>
                <c:pt idx="4">
                  <c:v>14</c:v>
                </c:pt>
                <c:pt idx="5">
                  <c:v>21</c:v>
                </c:pt>
                <c:pt idx="6">
                  <c:v>24</c:v>
                </c:pt>
                <c:pt idx="7">
                  <c:v>20</c:v>
                </c:pt>
                <c:pt idx="8">
                  <c:v>19</c:v>
                </c:pt>
                <c:pt idx="9">
                  <c:v>19</c:v>
                </c:pt>
                <c:pt idx="10">
                  <c:v>11</c:v>
                </c:pt>
                <c:pt idx="11">
                  <c:v>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4651-40BE-9A1E-5B6943FE144C}"/>
            </c:ext>
          </c:extLst>
        </c:ser>
        <c:ser>
          <c:idx val="1"/>
          <c:order val="1"/>
          <c:tx>
            <c:strRef>
              <c:f>'17.10 Butongole-Busembatya'!$T$9</c:f>
              <c:strCache>
                <c:ptCount val="1"/>
                <c:pt idx="0">
                  <c:v>2. Station Wagon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'17.10 Butongole-Busembatya'!$R$10:$R$21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'17.10 Butongole-Busembatya'!$T$10:$T$21</c:f>
              <c:numCache>
                <c:formatCode>0</c:formatCode>
                <c:ptCount val="12"/>
                <c:pt idx="0">
                  <c:v>2</c:v>
                </c:pt>
                <c:pt idx="1">
                  <c:v>6</c:v>
                </c:pt>
                <c:pt idx="2">
                  <c:v>5</c:v>
                </c:pt>
                <c:pt idx="3">
                  <c:v>4</c:v>
                </c:pt>
                <c:pt idx="4">
                  <c:v>7</c:v>
                </c:pt>
                <c:pt idx="5">
                  <c:v>12</c:v>
                </c:pt>
                <c:pt idx="6">
                  <c:v>8</c:v>
                </c:pt>
                <c:pt idx="7">
                  <c:v>9</c:v>
                </c:pt>
                <c:pt idx="8">
                  <c:v>3</c:v>
                </c:pt>
                <c:pt idx="9">
                  <c:v>7</c:v>
                </c:pt>
                <c:pt idx="10">
                  <c:v>12</c:v>
                </c:pt>
                <c:pt idx="11">
                  <c:v>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4651-40BE-9A1E-5B6943FE144C}"/>
            </c:ext>
          </c:extLst>
        </c:ser>
        <c:ser>
          <c:idx val="2"/>
          <c:order val="2"/>
          <c:tx>
            <c:strRef>
              <c:f>'17.10 Butongole-Busembatya'!$U$9</c:f>
              <c:strCache>
                <c:ptCount val="1"/>
                <c:pt idx="0">
                  <c:v>3. Pickups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'17.10 Butongole-Busembatya'!$U$10:$U$21</c:f>
              <c:numCache>
                <c:formatCode>0</c:formatCode>
                <c:ptCount val="12"/>
                <c:pt idx="0">
                  <c:v>6</c:v>
                </c:pt>
                <c:pt idx="1">
                  <c:v>6</c:v>
                </c:pt>
                <c:pt idx="2">
                  <c:v>12</c:v>
                </c:pt>
                <c:pt idx="3">
                  <c:v>11</c:v>
                </c:pt>
                <c:pt idx="4">
                  <c:v>10</c:v>
                </c:pt>
                <c:pt idx="5">
                  <c:v>9</c:v>
                </c:pt>
                <c:pt idx="6">
                  <c:v>10</c:v>
                </c:pt>
                <c:pt idx="7">
                  <c:v>9</c:v>
                </c:pt>
                <c:pt idx="8">
                  <c:v>11</c:v>
                </c:pt>
                <c:pt idx="9">
                  <c:v>12</c:v>
                </c:pt>
                <c:pt idx="10">
                  <c:v>18</c:v>
                </c:pt>
                <c:pt idx="11">
                  <c:v>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4651-40BE-9A1E-5B6943FE144C}"/>
            </c:ext>
          </c:extLst>
        </c:ser>
        <c:ser>
          <c:idx val="3"/>
          <c:order val="3"/>
          <c:tx>
            <c:strRef>
              <c:f>'17.10 Butongole-Busembatya'!$V$9</c:f>
              <c:strCache>
                <c:ptCount val="1"/>
                <c:pt idx="0">
                  <c:v>4. Minibus, matatu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'17.10 Butongole-Busembatya'!$V$10:$V$21</c:f>
              <c:numCache>
                <c:formatCode>0</c:formatCode>
                <c:ptCount val="12"/>
                <c:pt idx="0">
                  <c:v>12</c:v>
                </c:pt>
                <c:pt idx="1">
                  <c:v>21</c:v>
                </c:pt>
                <c:pt idx="2">
                  <c:v>28</c:v>
                </c:pt>
                <c:pt idx="3">
                  <c:v>28</c:v>
                </c:pt>
                <c:pt idx="4">
                  <c:v>39</c:v>
                </c:pt>
                <c:pt idx="5">
                  <c:v>39</c:v>
                </c:pt>
                <c:pt idx="6">
                  <c:v>45</c:v>
                </c:pt>
                <c:pt idx="7">
                  <c:v>43</c:v>
                </c:pt>
                <c:pt idx="8">
                  <c:v>43</c:v>
                </c:pt>
                <c:pt idx="9">
                  <c:v>37</c:v>
                </c:pt>
                <c:pt idx="10">
                  <c:v>33</c:v>
                </c:pt>
                <c:pt idx="11">
                  <c:v>29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4651-40BE-9A1E-5B6943FE144C}"/>
            </c:ext>
          </c:extLst>
        </c:ser>
        <c:ser>
          <c:idx val="4"/>
          <c:order val="4"/>
          <c:tx>
            <c:strRef>
              <c:f>'17.10 Butongole-Busembatya'!$W$9</c:f>
              <c:strCache>
                <c:ptCount val="1"/>
                <c:pt idx="0">
                  <c:v>5. Medium bus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'17.10 Butongole-Busembatya'!$W$10:$W$21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1</c:v>
                </c:pt>
                <c:pt idx="4">
                  <c:v>2</c:v>
                </c:pt>
                <c:pt idx="5">
                  <c:v>5</c:v>
                </c:pt>
                <c:pt idx="6">
                  <c:v>8</c:v>
                </c:pt>
                <c:pt idx="7">
                  <c:v>9</c:v>
                </c:pt>
                <c:pt idx="8">
                  <c:v>5</c:v>
                </c:pt>
                <c:pt idx="9">
                  <c:v>2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4651-40BE-9A1E-5B6943FE144C}"/>
            </c:ext>
          </c:extLst>
        </c:ser>
        <c:ser>
          <c:idx val="5"/>
          <c:order val="5"/>
          <c:tx>
            <c:strRef>
              <c:f>'17.10 Butongole-Busembatya'!$X$9</c:f>
              <c:strCache>
                <c:ptCount val="1"/>
                <c:pt idx="0">
                  <c:v>6. Large Bus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'17.10 Butongole-Busembatya'!$X$10:$X$21</c:f>
              <c:numCache>
                <c:formatCode>0</c:formatCode>
                <c:ptCount val="12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0</c:v>
                </c:pt>
                <c:pt idx="6">
                  <c:v>2</c:v>
                </c:pt>
                <c:pt idx="7">
                  <c:v>1</c:v>
                </c:pt>
                <c:pt idx="8">
                  <c:v>0</c:v>
                </c:pt>
                <c:pt idx="9">
                  <c:v>3</c:v>
                </c:pt>
                <c:pt idx="10">
                  <c:v>2</c:v>
                </c:pt>
                <c:pt idx="11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4651-40BE-9A1E-5B6943FE144C}"/>
            </c:ext>
          </c:extLst>
        </c:ser>
        <c:ser>
          <c:idx val="6"/>
          <c:order val="6"/>
          <c:tx>
            <c:strRef>
              <c:f>'17.10 Butongole-Busembatya'!$Y$9</c:f>
              <c:strCache>
                <c:ptCount val="1"/>
                <c:pt idx="0">
                  <c:v>7. Light Truck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'17.10 Butongole-Busembatya'!$Y$10:$Y$21</c:f>
              <c:numCache>
                <c:formatCode>0</c:formatCode>
                <c:ptCount val="12"/>
                <c:pt idx="0">
                  <c:v>3</c:v>
                </c:pt>
                <c:pt idx="1">
                  <c:v>3</c:v>
                </c:pt>
                <c:pt idx="2">
                  <c:v>6</c:v>
                </c:pt>
                <c:pt idx="3">
                  <c:v>1</c:v>
                </c:pt>
                <c:pt idx="4">
                  <c:v>7</c:v>
                </c:pt>
                <c:pt idx="5">
                  <c:v>7</c:v>
                </c:pt>
                <c:pt idx="6">
                  <c:v>4</c:v>
                </c:pt>
                <c:pt idx="7">
                  <c:v>4</c:v>
                </c:pt>
                <c:pt idx="8">
                  <c:v>2</c:v>
                </c:pt>
                <c:pt idx="9">
                  <c:v>7</c:v>
                </c:pt>
                <c:pt idx="10">
                  <c:v>5</c:v>
                </c:pt>
                <c:pt idx="11">
                  <c:v>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4651-40BE-9A1E-5B6943FE144C}"/>
            </c:ext>
          </c:extLst>
        </c:ser>
        <c:ser>
          <c:idx val="7"/>
          <c:order val="7"/>
          <c:tx>
            <c:strRef>
              <c:f>'17.10 Butongole-Busembatya'!$Z$9</c:f>
              <c:strCache>
                <c:ptCount val="1"/>
                <c:pt idx="0">
                  <c:v>8. Medium Truck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'17.10 Butongole-Busembatya'!$Z$10:$Z$21</c:f>
              <c:numCache>
                <c:formatCode>0</c:formatCode>
                <c:ptCount val="12"/>
                <c:pt idx="0">
                  <c:v>9</c:v>
                </c:pt>
                <c:pt idx="1">
                  <c:v>7</c:v>
                </c:pt>
                <c:pt idx="2">
                  <c:v>4</c:v>
                </c:pt>
                <c:pt idx="3">
                  <c:v>4</c:v>
                </c:pt>
                <c:pt idx="4">
                  <c:v>4</c:v>
                </c:pt>
                <c:pt idx="5">
                  <c:v>9</c:v>
                </c:pt>
                <c:pt idx="6">
                  <c:v>5</c:v>
                </c:pt>
                <c:pt idx="7">
                  <c:v>6</c:v>
                </c:pt>
                <c:pt idx="8">
                  <c:v>3</c:v>
                </c:pt>
                <c:pt idx="9">
                  <c:v>7</c:v>
                </c:pt>
                <c:pt idx="10">
                  <c:v>8</c:v>
                </c:pt>
                <c:pt idx="11">
                  <c:v>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4651-40BE-9A1E-5B6943FE144C}"/>
            </c:ext>
          </c:extLst>
        </c:ser>
        <c:ser>
          <c:idx val="8"/>
          <c:order val="8"/>
          <c:tx>
            <c:strRef>
              <c:f>'17.10 Butongole-Busembatya'!$AA$9</c:f>
              <c:strCache>
                <c:ptCount val="1"/>
                <c:pt idx="0">
                  <c:v>9. Heavy truck 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'17.10 Butongole-Busembatya'!$AA$10:$AA$21</c:f>
              <c:numCache>
                <c:formatCode>0</c:formatCode>
                <c:ptCount val="12"/>
                <c:pt idx="0">
                  <c:v>3</c:v>
                </c:pt>
                <c:pt idx="1">
                  <c:v>4</c:v>
                </c:pt>
                <c:pt idx="2">
                  <c:v>7</c:v>
                </c:pt>
                <c:pt idx="3">
                  <c:v>0</c:v>
                </c:pt>
                <c:pt idx="4">
                  <c:v>1</c:v>
                </c:pt>
                <c:pt idx="5">
                  <c:v>4</c:v>
                </c:pt>
                <c:pt idx="6">
                  <c:v>4</c:v>
                </c:pt>
                <c:pt idx="7">
                  <c:v>4</c:v>
                </c:pt>
                <c:pt idx="8">
                  <c:v>6</c:v>
                </c:pt>
                <c:pt idx="9">
                  <c:v>4</c:v>
                </c:pt>
                <c:pt idx="10">
                  <c:v>4</c:v>
                </c:pt>
                <c:pt idx="11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4651-40BE-9A1E-5B6943FE144C}"/>
            </c:ext>
          </c:extLst>
        </c:ser>
        <c:ser>
          <c:idx val="9"/>
          <c:order val="9"/>
          <c:tx>
            <c:strRef>
              <c:f>'17.10 Butongole-Busembatya'!$AB$9</c:f>
              <c:strCache>
                <c:ptCount val="1"/>
                <c:pt idx="0">
                  <c:v>10. Truck Trailer 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'17.10 Butongole-Busembatya'!$AB$10:$AB$21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2</c:v>
                </c:pt>
                <c:pt idx="8">
                  <c:v>0</c:v>
                </c:pt>
                <c:pt idx="9">
                  <c:v>0</c:v>
                </c:pt>
                <c:pt idx="10">
                  <c:v>1</c:v>
                </c:pt>
                <c:pt idx="11">
                  <c:v>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4651-40BE-9A1E-5B6943FE144C}"/>
            </c:ext>
          </c:extLst>
        </c:ser>
        <c:ser>
          <c:idx val="10"/>
          <c:order val="10"/>
          <c:tx>
            <c:strRef>
              <c:f>'17.10 Butongole-Busembatya'!$AC$9</c:f>
              <c:strCache>
                <c:ptCount val="1"/>
                <c:pt idx="0">
                  <c:v>11. Motorcycles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'17.10 Butongole-Busembatya'!$AC$10:$AC$21</c:f>
              <c:numCache>
                <c:formatCode>0</c:formatCode>
                <c:ptCount val="12"/>
                <c:pt idx="0">
                  <c:v>41</c:v>
                </c:pt>
                <c:pt idx="1">
                  <c:v>46</c:v>
                </c:pt>
                <c:pt idx="2">
                  <c:v>49</c:v>
                </c:pt>
                <c:pt idx="3">
                  <c:v>55</c:v>
                </c:pt>
                <c:pt idx="4">
                  <c:v>74</c:v>
                </c:pt>
                <c:pt idx="5">
                  <c:v>73</c:v>
                </c:pt>
                <c:pt idx="6">
                  <c:v>68</c:v>
                </c:pt>
                <c:pt idx="7">
                  <c:v>53</c:v>
                </c:pt>
                <c:pt idx="8">
                  <c:v>39</c:v>
                </c:pt>
                <c:pt idx="9">
                  <c:v>49</c:v>
                </c:pt>
                <c:pt idx="10">
                  <c:v>60</c:v>
                </c:pt>
                <c:pt idx="11">
                  <c:v>69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4651-40BE-9A1E-5B6943FE144C}"/>
            </c:ext>
          </c:extLst>
        </c:ser>
        <c:ser>
          <c:idx val="11"/>
          <c:order val="11"/>
          <c:tx>
            <c:strRef>
              <c:f>'17.10 Butongole-Busembatya'!$AD$9</c:f>
              <c:strCache>
                <c:ptCount val="1"/>
                <c:pt idx="0">
                  <c:v>12. Tractors, Graders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'17.10 Butongole-Busembatya'!$AD$10:$AD$21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1</c:v>
                </c:pt>
                <c:pt idx="4">
                  <c:v>2</c:v>
                </c:pt>
                <c:pt idx="5">
                  <c:v>0</c:v>
                </c:pt>
                <c:pt idx="6">
                  <c:v>1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4651-40BE-9A1E-5B6943FE144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6705664"/>
        <c:axId val="86707200"/>
      </c:lineChart>
      <c:catAx>
        <c:axId val="8670566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86707200"/>
        <c:crosses val="autoZero"/>
        <c:auto val="1"/>
        <c:lblAlgn val="ctr"/>
        <c:lblOffset val="100"/>
        <c:noMultiLvlLbl val="0"/>
      </c:catAx>
      <c:valAx>
        <c:axId val="867072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5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05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 Volume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8670566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4F2F-4319-A1B1-A94A163849D9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4F2F-4319-A1B1-A94A163849D9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4F2F-4319-A1B1-A94A163849D9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4F2F-4319-A1B1-A94A163849D9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4F2F-4319-A1B1-A94A163849D9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4F2F-4319-A1B1-A94A163849D9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4F2F-4319-A1B1-A94A163849D9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4F2F-4319-A1B1-A94A163849D9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4F2F-4319-A1B1-A94A163849D9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4F2F-4319-A1B1-A94A163849D9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4F2F-4319-A1B1-A94A163849D9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4F2F-4319-A1B1-A94A163849D9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4F2F-4319-A1B1-A94A163849D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'17.10 Butongole-Busembatya'!$C$9:$N$9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'17.10 Butongole-Busembatya'!$C$60:$N$60</c:f>
              <c:numCache>
                <c:formatCode>0.00%</c:formatCode>
                <c:ptCount val="12"/>
                <c:pt idx="0">
                  <c:v>0.17465069860279442</c:v>
                </c:pt>
                <c:pt idx="1">
                  <c:v>8.0838323353293412E-2</c:v>
                </c:pt>
                <c:pt idx="2">
                  <c:v>0.1187624750499002</c:v>
                </c:pt>
                <c:pt idx="3">
                  <c:v>0.3962075848303393</c:v>
                </c:pt>
                <c:pt idx="4">
                  <c:v>3.1936127744510975E-2</c:v>
                </c:pt>
                <c:pt idx="5">
                  <c:v>1.3972055888223553E-2</c:v>
                </c:pt>
                <c:pt idx="6">
                  <c:v>5.289421157684631E-2</c:v>
                </c:pt>
                <c:pt idx="7">
                  <c:v>7.4850299401197598E-2</c:v>
                </c:pt>
                <c:pt idx="8">
                  <c:v>4.1916167664670656E-2</c:v>
                </c:pt>
                <c:pt idx="9">
                  <c:v>9.9800399201596807E-3</c:v>
                </c:pt>
                <c:pt idx="11">
                  <c:v>3.9920159680638719E-3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4F2F-4319-A1B1-A94A163849D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'18.10 Busembatya-Butongole'!$AE$9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'18.10 Busembatya-Butongole'!$R$10:$R$21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'18.10 Busembatya-Butongole'!$AE$10:$AE$21</c:f>
              <c:numCache>
                <c:formatCode>0</c:formatCode>
                <c:ptCount val="12"/>
                <c:pt idx="0">
                  <c:v>52</c:v>
                </c:pt>
                <c:pt idx="1">
                  <c:v>41</c:v>
                </c:pt>
                <c:pt idx="2">
                  <c:v>63</c:v>
                </c:pt>
                <c:pt idx="3">
                  <c:v>73</c:v>
                </c:pt>
                <c:pt idx="4">
                  <c:v>52</c:v>
                </c:pt>
                <c:pt idx="5">
                  <c:v>69</c:v>
                </c:pt>
                <c:pt idx="6">
                  <c:v>74</c:v>
                </c:pt>
                <c:pt idx="7">
                  <c:v>97</c:v>
                </c:pt>
                <c:pt idx="8">
                  <c:v>84</c:v>
                </c:pt>
                <c:pt idx="9">
                  <c:v>92</c:v>
                </c:pt>
                <c:pt idx="10">
                  <c:v>64</c:v>
                </c:pt>
                <c:pt idx="11">
                  <c:v>131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56D6-4B77-8026-30DBF41B753F}"/>
            </c:ext>
          </c:extLst>
        </c:ser>
        <c:ser>
          <c:idx val="1"/>
          <c:order val="1"/>
          <c:tx>
            <c:strRef>
              <c:f>'18.10 Busembatya-Butongole'!$AF$9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'18.10 Busembatya-Butongole'!$R$10:$R$21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'18.10 Busembatya-Butongole'!$AF$10:$AF$21</c:f>
              <c:numCache>
                <c:formatCode>0</c:formatCode>
                <c:ptCount val="12"/>
                <c:pt idx="0">
                  <c:v>87</c:v>
                </c:pt>
                <c:pt idx="1">
                  <c:v>80</c:v>
                </c:pt>
                <c:pt idx="2">
                  <c:v>106</c:v>
                </c:pt>
                <c:pt idx="3">
                  <c:v>114</c:v>
                </c:pt>
                <c:pt idx="4">
                  <c:v>95</c:v>
                </c:pt>
                <c:pt idx="5">
                  <c:v>97</c:v>
                </c:pt>
                <c:pt idx="6">
                  <c:v>102</c:v>
                </c:pt>
                <c:pt idx="7">
                  <c:v>146</c:v>
                </c:pt>
                <c:pt idx="8">
                  <c:v>142</c:v>
                </c:pt>
                <c:pt idx="9">
                  <c:v>151</c:v>
                </c:pt>
                <c:pt idx="10">
                  <c:v>149</c:v>
                </c:pt>
                <c:pt idx="11">
                  <c:v>204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56D6-4B77-8026-30DBF41B753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9203456"/>
        <c:axId val="89204992"/>
      </c:lineChart>
      <c:catAx>
        <c:axId val="89203456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89204992"/>
        <c:crosses val="autoZero"/>
        <c:auto val="1"/>
        <c:lblAlgn val="ctr"/>
        <c:lblOffset val="100"/>
        <c:noMultiLvlLbl val="0"/>
      </c:catAx>
      <c:valAx>
        <c:axId val="89204992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8920345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F5BA-447C-A3CB-236E1F2B31F3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F5BA-447C-A3CB-236E1F2B31F3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F5BA-447C-A3CB-236E1F2B31F3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F5BA-447C-A3CB-236E1F2B31F3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F5BA-447C-A3CB-236E1F2B31F3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F5BA-447C-A3CB-236E1F2B31F3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F5BA-447C-A3CB-236E1F2B31F3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F5BA-447C-A3CB-236E1F2B31F3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F5BA-447C-A3CB-236E1F2B31F3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F5BA-447C-A3CB-236E1F2B31F3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F5BA-447C-A3CB-236E1F2B31F3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F5BA-447C-A3CB-236E1F2B31F3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F5BA-447C-A3CB-236E1F2B31F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'18.10 Busembatya-Butongole'!$C$9:$N$9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'18.10 Busembatya-Butongole'!$C$59:$N$59</c:f>
              <c:numCache>
                <c:formatCode>0.0%</c:formatCode>
                <c:ptCount val="12"/>
                <c:pt idx="0">
                  <c:v>0.12016293279022404</c:v>
                </c:pt>
                <c:pt idx="1">
                  <c:v>4.4806517311608958E-2</c:v>
                </c:pt>
                <c:pt idx="2">
                  <c:v>6.1099796334012219E-2</c:v>
                </c:pt>
                <c:pt idx="3">
                  <c:v>0.26883910386965376</c:v>
                </c:pt>
                <c:pt idx="4">
                  <c:v>8.1466395112016286E-3</c:v>
                </c:pt>
                <c:pt idx="5">
                  <c:v>1.4256619144602852E-2</c:v>
                </c:pt>
                <c:pt idx="6">
                  <c:v>2.5118805159538356E-2</c:v>
                </c:pt>
                <c:pt idx="7">
                  <c:v>2.9192124915139173E-2</c:v>
                </c:pt>
                <c:pt idx="8">
                  <c:v>4.005431093007468E-2</c:v>
                </c:pt>
                <c:pt idx="9">
                  <c:v>7.4677528852681602E-3</c:v>
                </c:pt>
                <c:pt idx="10">
                  <c:v>0.38085539714867617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F5BA-447C-A3CB-236E1F2B31F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Hourly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Variation of Classified Traffic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31244670799128843"/>
          <c:y val="2.2960226637323725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'18.10 Busembatya-Butongole'!$S$9</c:f>
              <c:strCache>
                <c:ptCount val="1"/>
                <c:pt idx="0">
                  <c:v>1. Car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'18.10 Busembatya-Butongole'!$R$10:$R$21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'18.10 Busembatya-Butongole'!$S$10:$S$21</c:f>
              <c:numCache>
                <c:formatCode>0</c:formatCode>
                <c:ptCount val="12"/>
                <c:pt idx="0">
                  <c:v>10</c:v>
                </c:pt>
                <c:pt idx="1">
                  <c:v>9</c:v>
                </c:pt>
                <c:pt idx="2">
                  <c:v>13</c:v>
                </c:pt>
                <c:pt idx="3">
                  <c:v>9</c:v>
                </c:pt>
                <c:pt idx="4">
                  <c:v>8</c:v>
                </c:pt>
                <c:pt idx="5">
                  <c:v>18</c:v>
                </c:pt>
                <c:pt idx="6">
                  <c:v>18</c:v>
                </c:pt>
                <c:pt idx="7">
                  <c:v>18</c:v>
                </c:pt>
                <c:pt idx="8">
                  <c:v>17</c:v>
                </c:pt>
                <c:pt idx="9">
                  <c:v>17</c:v>
                </c:pt>
                <c:pt idx="10">
                  <c:v>9</c:v>
                </c:pt>
                <c:pt idx="11">
                  <c:v>31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6D54-447E-B68D-E1368766DED9}"/>
            </c:ext>
          </c:extLst>
        </c:ser>
        <c:ser>
          <c:idx val="1"/>
          <c:order val="1"/>
          <c:tx>
            <c:strRef>
              <c:f>'18.10 Busembatya-Butongole'!$T$9</c:f>
              <c:strCache>
                <c:ptCount val="1"/>
                <c:pt idx="0">
                  <c:v>2. Station Wagon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'18.10 Busembatya-Butongole'!$R$10:$R$21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'18.10 Busembatya-Butongole'!$T$10:$T$21</c:f>
              <c:numCache>
                <c:formatCode>0</c:formatCode>
                <c:ptCount val="12"/>
                <c:pt idx="0">
                  <c:v>4</c:v>
                </c:pt>
                <c:pt idx="1">
                  <c:v>0</c:v>
                </c:pt>
                <c:pt idx="2">
                  <c:v>4</c:v>
                </c:pt>
                <c:pt idx="3">
                  <c:v>4</c:v>
                </c:pt>
                <c:pt idx="4">
                  <c:v>3</c:v>
                </c:pt>
                <c:pt idx="5">
                  <c:v>3</c:v>
                </c:pt>
                <c:pt idx="6">
                  <c:v>3</c:v>
                </c:pt>
                <c:pt idx="7">
                  <c:v>7</c:v>
                </c:pt>
                <c:pt idx="8">
                  <c:v>12</c:v>
                </c:pt>
                <c:pt idx="9">
                  <c:v>10</c:v>
                </c:pt>
                <c:pt idx="10">
                  <c:v>4</c:v>
                </c:pt>
                <c:pt idx="11">
                  <c:v>12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6D54-447E-B68D-E1368766DED9}"/>
            </c:ext>
          </c:extLst>
        </c:ser>
        <c:ser>
          <c:idx val="2"/>
          <c:order val="2"/>
          <c:tx>
            <c:strRef>
              <c:f>'18.10 Busembatya-Butongole'!$U$9</c:f>
              <c:strCache>
                <c:ptCount val="1"/>
                <c:pt idx="0">
                  <c:v>3. Pickups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'18.10 Busembatya-Butongole'!$U$10:$U$21</c:f>
              <c:numCache>
                <c:formatCode>0</c:formatCode>
                <c:ptCount val="12"/>
                <c:pt idx="0">
                  <c:v>6</c:v>
                </c:pt>
                <c:pt idx="1">
                  <c:v>6</c:v>
                </c:pt>
                <c:pt idx="2">
                  <c:v>4</c:v>
                </c:pt>
                <c:pt idx="3">
                  <c:v>5</c:v>
                </c:pt>
                <c:pt idx="4">
                  <c:v>2</c:v>
                </c:pt>
                <c:pt idx="5">
                  <c:v>5</c:v>
                </c:pt>
                <c:pt idx="6">
                  <c:v>5</c:v>
                </c:pt>
                <c:pt idx="7">
                  <c:v>8</c:v>
                </c:pt>
                <c:pt idx="8">
                  <c:v>6</c:v>
                </c:pt>
                <c:pt idx="9">
                  <c:v>11</c:v>
                </c:pt>
                <c:pt idx="10">
                  <c:v>8</c:v>
                </c:pt>
                <c:pt idx="11">
                  <c:v>24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D54-447E-B68D-E1368766DED9}"/>
            </c:ext>
          </c:extLst>
        </c:ser>
        <c:ser>
          <c:idx val="3"/>
          <c:order val="3"/>
          <c:tx>
            <c:strRef>
              <c:f>'18.10 Busembatya-Butongole'!$V$9</c:f>
              <c:strCache>
                <c:ptCount val="1"/>
                <c:pt idx="0">
                  <c:v>4. Minibus, matatu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'18.10 Busembatya-Butongole'!$V$10:$V$21</c:f>
              <c:numCache>
                <c:formatCode>0</c:formatCode>
                <c:ptCount val="12"/>
                <c:pt idx="0">
                  <c:v>22</c:v>
                </c:pt>
                <c:pt idx="1">
                  <c:v>19</c:v>
                </c:pt>
                <c:pt idx="2">
                  <c:v>31</c:v>
                </c:pt>
                <c:pt idx="3">
                  <c:v>42</c:v>
                </c:pt>
                <c:pt idx="4">
                  <c:v>32</c:v>
                </c:pt>
                <c:pt idx="5">
                  <c:v>27</c:v>
                </c:pt>
                <c:pt idx="6">
                  <c:v>32</c:v>
                </c:pt>
                <c:pt idx="7">
                  <c:v>44</c:v>
                </c:pt>
                <c:pt idx="8">
                  <c:v>27</c:v>
                </c:pt>
                <c:pt idx="9">
                  <c:v>34</c:v>
                </c:pt>
                <c:pt idx="10">
                  <c:v>43</c:v>
                </c:pt>
                <c:pt idx="11">
                  <c:v>43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6D54-447E-B68D-E1368766DED9}"/>
            </c:ext>
          </c:extLst>
        </c:ser>
        <c:ser>
          <c:idx val="4"/>
          <c:order val="4"/>
          <c:tx>
            <c:strRef>
              <c:f>'18.10 Busembatya-Butongole'!$W$9</c:f>
              <c:strCache>
                <c:ptCount val="1"/>
                <c:pt idx="0">
                  <c:v>5. Medium bus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'18.10 Busembatya-Butongole'!$W$10:$W$21</c:f>
              <c:numCache>
                <c:formatCode>0</c:formatCode>
                <c:ptCount val="12"/>
                <c:pt idx="0">
                  <c:v>0</c:v>
                </c:pt>
                <c:pt idx="1">
                  <c:v>3</c:v>
                </c:pt>
                <c:pt idx="2">
                  <c:v>1</c:v>
                </c:pt>
                <c:pt idx="3">
                  <c:v>0</c:v>
                </c:pt>
                <c:pt idx="4">
                  <c:v>0</c:v>
                </c:pt>
                <c:pt idx="5">
                  <c:v>1</c:v>
                </c:pt>
                <c:pt idx="6">
                  <c:v>2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6D54-447E-B68D-E1368766DED9}"/>
            </c:ext>
          </c:extLst>
        </c:ser>
        <c:ser>
          <c:idx val="5"/>
          <c:order val="5"/>
          <c:tx>
            <c:strRef>
              <c:f>'18.10 Busembatya-Butongole'!$X$9</c:f>
              <c:strCache>
                <c:ptCount val="1"/>
                <c:pt idx="0">
                  <c:v>6. Large Bus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'18.10 Busembatya-Butongole'!$X$10:$X$21</c:f>
              <c:numCache>
                <c:formatCode>0</c:formatCode>
                <c:ptCount val="12"/>
                <c:pt idx="0">
                  <c:v>1</c:v>
                </c:pt>
                <c:pt idx="1">
                  <c:v>1</c:v>
                </c:pt>
                <c:pt idx="2">
                  <c:v>2</c:v>
                </c:pt>
                <c:pt idx="3">
                  <c:v>0</c:v>
                </c:pt>
                <c:pt idx="4">
                  <c:v>1</c:v>
                </c:pt>
                <c:pt idx="5">
                  <c:v>2</c:v>
                </c:pt>
                <c:pt idx="6">
                  <c:v>3</c:v>
                </c:pt>
                <c:pt idx="7">
                  <c:v>2</c:v>
                </c:pt>
                <c:pt idx="8">
                  <c:v>4</c:v>
                </c:pt>
                <c:pt idx="9">
                  <c:v>1</c:v>
                </c:pt>
                <c:pt idx="10">
                  <c:v>1</c:v>
                </c:pt>
                <c:pt idx="11">
                  <c:v>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6D54-447E-B68D-E1368766DED9}"/>
            </c:ext>
          </c:extLst>
        </c:ser>
        <c:ser>
          <c:idx val="6"/>
          <c:order val="6"/>
          <c:tx>
            <c:strRef>
              <c:f>'18.10 Busembatya-Butongole'!$Y$9</c:f>
              <c:strCache>
                <c:ptCount val="1"/>
                <c:pt idx="0">
                  <c:v>7. Light Truck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'18.10 Busembatya-Butongole'!$Y$10:$Y$21</c:f>
              <c:numCache>
                <c:formatCode>0</c:formatCode>
                <c:ptCount val="12"/>
                <c:pt idx="0">
                  <c:v>1</c:v>
                </c:pt>
                <c:pt idx="1">
                  <c:v>0</c:v>
                </c:pt>
                <c:pt idx="2">
                  <c:v>2</c:v>
                </c:pt>
                <c:pt idx="3">
                  <c:v>4</c:v>
                </c:pt>
                <c:pt idx="4">
                  <c:v>4</c:v>
                </c:pt>
                <c:pt idx="5">
                  <c:v>3</c:v>
                </c:pt>
                <c:pt idx="6">
                  <c:v>2</c:v>
                </c:pt>
                <c:pt idx="7">
                  <c:v>5</c:v>
                </c:pt>
                <c:pt idx="8">
                  <c:v>4</c:v>
                </c:pt>
                <c:pt idx="9">
                  <c:v>3</c:v>
                </c:pt>
                <c:pt idx="10">
                  <c:v>2</c:v>
                </c:pt>
                <c:pt idx="11">
                  <c:v>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6D54-447E-B68D-E1368766DED9}"/>
            </c:ext>
          </c:extLst>
        </c:ser>
        <c:ser>
          <c:idx val="7"/>
          <c:order val="7"/>
          <c:tx>
            <c:strRef>
              <c:f>'18.10 Busembatya-Butongole'!$Z$9</c:f>
              <c:strCache>
                <c:ptCount val="1"/>
                <c:pt idx="0">
                  <c:v>8. Medium Truck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'18.10 Busembatya-Butongole'!$Z$10:$Z$21</c:f>
              <c:numCache>
                <c:formatCode>0</c:formatCode>
                <c:ptCount val="12"/>
                <c:pt idx="0">
                  <c:v>4</c:v>
                </c:pt>
                <c:pt idx="1">
                  <c:v>1</c:v>
                </c:pt>
                <c:pt idx="2">
                  <c:v>4</c:v>
                </c:pt>
                <c:pt idx="3">
                  <c:v>3</c:v>
                </c:pt>
                <c:pt idx="4">
                  <c:v>2</c:v>
                </c:pt>
                <c:pt idx="5">
                  <c:v>3</c:v>
                </c:pt>
                <c:pt idx="6">
                  <c:v>6</c:v>
                </c:pt>
                <c:pt idx="7">
                  <c:v>3</c:v>
                </c:pt>
                <c:pt idx="8">
                  <c:v>6</c:v>
                </c:pt>
                <c:pt idx="9">
                  <c:v>3</c:v>
                </c:pt>
                <c:pt idx="10">
                  <c:v>4</c:v>
                </c:pt>
                <c:pt idx="11">
                  <c:v>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6D54-447E-B68D-E1368766DED9}"/>
            </c:ext>
          </c:extLst>
        </c:ser>
        <c:ser>
          <c:idx val="8"/>
          <c:order val="8"/>
          <c:tx>
            <c:strRef>
              <c:f>'18.10 Busembatya-Butongole'!$AA$9</c:f>
              <c:strCache>
                <c:ptCount val="1"/>
                <c:pt idx="0">
                  <c:v>9. Heavy truck 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'18.10 Busembatya-Butongole'!$AA$10:$AA$21</c:f>
              <c:numCache>
                <c:formatCode>0</c:formatCode>
                <c:ptCount val="12"/>
                <c:pt idx="0">
                  <c:v>3</c:v>
                </c:pt>
                <c:pt idx="1">
                  <c:v>2</c:v>
                </c:pt>
                <c:pt idx="2">
                  <c:v>2</c:v>
                </c:pt>
                <c:pt idx="3">
                  <c:v>4</c:v>
                </c:pt>
                <c:pt idx="4">
                  <c:v>0</c:v>
                </c:pt>
                <c:pt idx="5">
                  <c:v>6</c:v>
                </c:pt>
                <c:pt idx="6">
                  <c:v>3</c:v>
                </c:pt>
                <c:pt idx="7">
                  <c:v>8</c:v>
                </c:pt>
                <c:pt idx="8">
                  <c:v>5</c:v>
                </c:pt>
                <c:pt idx="9">
                  <c:v>11</c:v>
                </c:pt>
                <c:pt idx="10">
                  <c:v>9</c:v>
                </c:pt>
                <c:pt idx="11">
                  <c:v>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6D54-447E-B68D-E1368766DED9}"/>
            </c:ext>
          </c:extLst>
        </c:ser>
        <c:ser>
          <c:idx val="9"/>
          <c:order val="9"/>
          <c:tx>
            <c:strRef>
              <c:f>'18.10 Busembatya-Butongole'!$AB$9</c:f>
              <c:strCache>
                <c:ptCount val="1"/>
                <c:pt idx="0">
                  <c:v>10. Truck Trailer 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'18.10 Busembatya-Butongole'!$AB$10:$AB$21</c:f>
              <c:numCache>
                <c:formatCode>0</c:formatCode>
                <c:ptCount val="12"/>
                <c:pt idx="0">
                  <c:v>1</c:v>
                </c:pt>
                <c:pt idx="1">
                  <c:v>0</c:v>
                </c:pt>
                <c:pt idx="2">
                  <c:v>0</c:v>
                </c:pt>
                <c:pt idx="3">
                  <c:v>2</c:v>
                </c:pt>
                <c:pt idx="4">
                  <c:v>0</c:v>
                </c:pt>
                <c:pt idx="5">
                  <c:v>1</c:v>
                </c:pt>
                <c:pt idx="6">
                  <c:v>0</c:v>
                </c:pt>
                <c:pt idx="7">
                  <c:v>1</c:v>
                </c:pt>
                <c:pt idx="8">
                  <c:v>2</c:v>
                </c:pt>
                <c:pt idx="9">
                  <c:v>1</c:v>
                </c:pt>
                <c:pt idx="10">
                  <c:v>3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6D54-447E-B68D-E1368766DED9}"/>
            </c:ext>
          </c:extLst>
        </c:ser>
        <c:ser>
          <c:idx val="10"/>
          <c:order val="10"/>
          <c:tx>
            <c:strRef>
              <c:f>'18.10 Busembatya-Butongole'!$AC$9</c:f>
              <c:strCache>
                <c:ptCount val="1"/>
                <c:pt idx="0">
                  <c:v>11. Motorcycles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'18.10 Busembatya-Butongole'!$AC$10:$AC$21</c:f>
              <c:numCache>
                <c:formatCode>0</c:formatCode>
                <c:ptCount val="12"/>
                <c:pt idx="0">
                  <c:v>35</c:v>
                </c:pt>
                <c:pt idx="1">
                  <c:v>39</c:v>
                </c:pt>
                <c:pt idx="2">
                  <c:v>43</c:v>
                </c:pt>
                <c:pt idx="3">
                  <c:v>41</c:v>
                </c:pt>
                <c:pt idx="4">
                  <c:v>43</c:v>
                </c:pt>
                <c:pt idx="5">
                  <c:v>28</c:v>
                </c:pt>
                <c:pt idx="6">
                  <c:v>28</c:v>
                </c:pt>
                <c:pt idx="7">
                  <c:v>49</c:v>
                </c:pt>
                <c:pt idx="8">
                  <c:v>58</c:v>
                </c:pt>
                <c:pt idx="9">
                  <c:v>59</c:v>
                </c:pt>
                <c:pt idx="10">
                  <c:v>65</c:v>
                </c:pt>
                <c:pt idx="11">
                  <c:v>73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6D54-447E-B68D-E1368766DED9}"/>
            </c:ext>
          </c:extLst>
        </c:ser>
        <c:ser>
          <c:idx val="11"/>
          <c:order val="11"/>
          <c:tx>
            <c:strRef>
              <c:f>'18.10 Busembatya-Butongole'!$AD$9</c:f>
              <c:strCache>
                <c:ptCount val="1"/>
                <c:pt idx="0">
                  <c:v>12. Tractors, Graders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'18.10 Busembatya-Butongole'!$AD$10:$AD$21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6D54-447E-B68D-E1368766DED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9287296"/>
        <c:axId val="89297280"/>
      </c:lineChart>
      <c:catAx>
        <c:axId val="8928729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89297280"/>
        <c:crosses val="autoZero"/>
        <c:auto val="1"/>
        <c:lblAlgn val="ctr"/>
        <c:lblOffset val="100"/>
        <c:noMultiLvlLbl val="0"/>
      </c:catAx>
      <c:valAx>
        <c:axId val="892972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5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05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 Volume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892872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CB73-46DF-8DE2-8B27C2F90D10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CB73-46DF-8DE2-8B27C2F90D10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CB73-46DF-8DE2-8B27C2F90D10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CB73-46DF-8DE2-8B27C2F90D10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CB73-46DF-8DE2-8B27C2F90D10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CB73-46DF-8DE2-8B27C2F90D10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CB73-46DF-8DE2-8B27C2F90D10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CB73-46DF-8DE2-8B27C2F90D10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CB73-46DF-8DE2-8B27C2F90D10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CB73-46DF-8DE2-8B27C2F90D10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CB73-46DF-8DE2-8B27C2F90D10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CB73-46DF-8DE2-8B27C2F90D10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CB73-46DF-8DE2-8B27C2F90D1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'18.10 Busembatya-Butongole'!$C$9:$N$9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'18.10 Busembatya-Butongole'!$C$60:$N$60</c:f>
              <c:numCache>
                <c:formatCode>0.00%</c:formatCode>
                <c:ptCount val="12"/>
                <c:pt idx="0">
                  <c:v>0.19843049327354259</c:v>
                </c:pt>
                <c:pt idx="1">
                  <c:v>7.3991031390134535E-2</c:v>
                </c:pt>
                <c:pt idx="2">
                  <c:v>0.10089686098654709</c:v>
                </c:pt>
                <c:pt idx="3">
                  <c:v>0.44394618834080718</c:v>
                </c:pt>
                <c:pt idx="4">
                  <c:v>1.3452914798206279E-2</c:v>
                </c:pt>
                <c:pt idx="5">
                  <c:v>2.3542600896860985E-2</c:v>
                </c:pt>
                <c:pt idx="6">
                  <c:v>4.1479820627802692E-2</c:v>
                </c:pt>
                <c:pt idx="7">
                  <c:v>4.820627802690583E-2</c:v>
                </c:pt>
                <c:pt idx="8">
                  <c:v>6.614349775784753E-2</c:v>
                </c:pt>
                <c:pt idx="9">
                  <c:v>1.2331838565022421E-2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CB73-46DF-8DE2-8B27C2F90D1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'18.10 Butongole-Busembatya'!$AE$9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'18.10 Butongole-Busembatya'!$R$10:$R$21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'18.10 Butongole-Busembatya'!$AE$10:$AE$21</c:f>
              <c:numCache>
                <c:formatCode>0</c:formatCode>
                <c:ptCount val="12"/>
                <c:pt idx="0">
                  <c:v>50</c:v>
                </c:pt>
                <c:pt idx="1">
                  <c:v>79</c:v>
                </c:pt>
                <c:pt idx="2">
                  <c:v>87</c:v>
                </c:pt>
                <c:pt idx="3">
                  <c:v>81</c:v>
                </c:pt>
                <c:pt idx="4">
                  <c:v>81</c:v>
                </c:pt>
                <c:pt idx="5">
                  <c:v>98</c:v>
                </c:pt>
                <c:pt idx="6">
                  <c:v>90</c:v>
                </c:pt>
                <c:pt idx="7">
                  <c:v>93</c:v>
                </c:pt>
                <c:pt idx="8">
                  <c:v>109</c:v>
                </c:pt>
                <c:pt idx="9">
                  <c:v>120</c:v>
                </c:pt>
                <c:pt idx="10">
                  <c:v>108</c:v>
                </c:pt>
                <c:pt idx="11">
                  <c:v>114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7D5F-499C-8247-FFF3D6EFDA44}"/>
            </c:ext>
          </c:extLst>
        </c:ser>
        <c:ser>
          <c:idx val="1"/>
          <c:order val="1"/>
          <c:tx>
            <c:strRef>
              <c:f>'18.10 Butongole-Busembatya'!$AF$9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'18.10 Butongole-Busembatya'!$R$10:$R$21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'18.10 Butongole-Busembatya'!$AF$10:$AF$21</c:f>
              <c:numCache>
                <c:formatCode>0</c:formatCode>
                <c:ptCount val="12"/>
                <c:pt idx="0">
                  <c:v>93</c:v>
                </c:pt>
                <c:pt idx="1">
                  <c:v>150</c:v>
                </c:pt>
                <c:pt idx="2">
                  <c:v>141</c:v>
                </c:pt>
                <c:pt idx="3">
                  <c:v>131</c:v>
                </c:pt>
                <c:pt idx="4">
                  <c:v>150</c:v>
                </c:pt>
                <c:pt idx="5">
                  <c:v>157</c:v>
                </c:pt>
                <c:pt idx="6">
                  <c:v>143</c:v>
                </c:pt>
                <c:pt idx="7">
                  <c:v>156</c:v>
                </c:pt>
                <c:pt idx="8">
                  <c:v>176</c:v>
                </c:pt>
                <c:pt idx="9">
                  <c:v>190</c:v>
                </c:pt>
                <c:pt idx="10">
                  <c:v>199</c:v>
                </c:pt>
                <c:pt idx="11">
                  <c:v>194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7D5F-499C-8247-FFF3D6EFDA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10888832"/>
        <c:axId val="110890368"/>
      </c:lineChart>
      <c:catAx>
        <c:axId val="110888832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10890368"/>
        <c:crosses val="autoZero"/>
        <c:auto val="1"/>
        <c:lblAlgn val="ctr"/>
        <c:lblOffset val="100"/>
        <c:noMultiLvlLbl val="0"/>
      </c:catAx>
      <c:valAx>
        <c:axId val="110890368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1088883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CAD9-43D2-B994-F66788B4CE12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CAD9-43D2-B994-F66788B4CE12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CAD9-43D2-B994-F66788B4CE12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CAD9-43D2-B994-F66788B4CE12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CAD9-43D2-B994-F66788B4CE12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CAD9-43D2-B994-F66788B4CE12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CAD9-43D2-B994-F66788B4CE12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CAD9-43D2-B994-F66788B4CE12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CAD9-43D2-B994-F66788B4CE12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CAD9-43D2-B994-F66788B4CE12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CAD9-43D2-B994-F66788B4CE12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CAD9-43D2-B994-F66788B4CE12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CAD9-43D2-B994-F66788B4CE12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'18.10 Butongole-Busembatya'!$C$9:$N$9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'18.10 Butongole-Busembatya'!$C$59:$N$59</c:f>
              <c:numCache>
                <c:formatCode>0.0%</c:formatCode>
                <c:ptCount val="12"/>
                <c:pt idx="0">
                  <c:v>0.11542553191489362</c:v>
                </c:pt>
                <c:pt idx="1">
                  <c:v>5.9574468085106386E-2</c:v>
                </c:pt>
                <c:pt idx="2">
                  <c:v>6.0106382978723401E-2</c:v>
                </c:pt>
                <c:pt idx="3">
                  <c:v>0.22287234042553192</c:v>
                </c:pt>
                <c:pt idx="4">
                  <c:v>7.9787234042553185E-3</c:v>
                </c:pt>
                <c:pt idx="5">
                  <c:v>9.5744680851063829E-3</c:v>
                </c:pt>
                <c:pt idx="6">
                  <c:v>3.6170212765957444E-2</c:v>
                </c:pt>
                <c:pt idx="7">
                  <c:v>3.5638297872340428E-2</c:v>
                </c:pt>
                <c:pt idx="8">
                  <c:v>3.2446808510638296E-2</c:v>
                </c:pt>
                <c:pt idx="9">
                  <c:v>3.1914893617021275E-3</c:v>
                </c:pt>
                <c:pt idx="10">
                  <c:v>0.40265957446808509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CAD9-43D2-B994-F66788B4CE1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Hourly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Variation of Classified Traffic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31244670799128843"/>
          <c:y val="2.2960226637323725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'18.10 Butongole-Busembatya'!$S$9</c:f>
              <c:strCache>
                <c:ptCount val="1"/>
                <c:pt idx="0">
                  <c:v>1. Car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'18.10 Butongole-Busembatya'!$R$10:$R$21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'18.10 Butongole-Busembatya'!$S$10:$S$21</c:f>
              <c:numCache>
                <c:formatCode>0</c:formatCode>
                <c:ptCount val="12"/>
                <c:pt idx="0">
                  <c:v>9</c:v>
                </c:pt>
                <c:pt idx="1">
                  <c:v>12</c:v>
                </c:pt>
                <c:pt idx="2">
                  <c:v>11</c:v>
                </c:pt>
                <c:pt idx="3">
                  <c:v>10</c:v>
                </c:pt>
                <c:pt idx="4">
                  <c:v>18</c:v>
                </c:pt>
                <c:pt idx="5">
                  <c:v>15</c:v>
                </c:pt>
                <c:pt idx="6">
                  <c:v>18</c:v>
                </c:pt>
                <c:pt idx="7">
                  <c:v>14</c:v>
                </c:pt>
                <c:pt idx="8">
                  <c:v>25</c:v>
                </c:pt>
                <c:pt idx="9">
                  <c:v>32</c:v>
                </c:pt>
                <c:pt idx="10">
                  <c:v>20</c:v>
                </c:pt>
                <c:pt idx="11">
                  <c:v>33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5232-4340-AED5-CD3F6DAF145D}"/>
            </c:ext>
          </c:extLst>
        </c:ser>
        <c:ser>
          <c:idx val="1"/>
          <c:order val="1"/>
          <c:tx>
            <c:strRef>
              <c:f>'18.10 Butongole-Busembatya'!$T$9</c:f>
              <c:strCache>
                <c:ptCount val="1"/>
                <c:pt idx="0">
                  <c:v>2. Station Wagon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'18.10 Butongole-Busembatya'!$R$10:$R$21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'18.10 Butongole-Busembatya'!$T$10:$T$21</c:f>
              <c:numCache>
                <c:formatCode>0</c:formatCode>
                <c:ptCount val="12"/>
                <c:pt idx="0">
                  <c:v>3</c:v>
                </c:pt>
                <c:pt idx="1">
                  <c:v>6</c:v>
                </c:pt>
                <c:pt idx="2">
                  <c:v>13</c:v>
                </c:pt>
                <c:pt idx="3">
                  <c:v>9</c:v>
                </c:pt>
                <c:pt idx="4">
                  <c:v>13</c:v>
                </c:pt>
                <c:pt idx="5">
                  <c:v>13</c:v>
                </c:pt>
                <c:pt idx="6">
                  <c:v>6</c:v>
                </c:pt>
                <c:pt idx="7">
                  <c:v>5</c:v>
                </c:pt>
                <c:pt idx="8">
                  <c:v>9</c:v>
                </c:pt>
                <c:pt idx="9">
                  <c:v>5</c:v>
                </c:pt>
                <c:pt idx="10">
                  <c:v>18</c:v>
                </c:pt>
                <c:pt idx="11">
                  <c:v>12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5232-4340-AED5-CD3F6DAF145D}"/>
            </c:ext>
          </c:extLst>
        </c:ser>
        <c:ser>
          <c:idx val="2"/>
          <c:order val="2"/>
          <c:tx>
            <c:strRef>
              <c:f>'18.10 Butongole-Busembatya'!$U$9</c:f>
              <c:strCache>
                <c:ptCount val="1"/>
                <c:pt idx="0">
                  <c:v>3. Pickups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'18.10 Butongole-Busembatya'!$U$10:$U$21</c:f>
              <c:numCache>
                <c:formatCode>0</c:formatCode>
                <c:ptCount val="12"/>
                <c:pt idx="0">
                  <c:v>6</c:v>
                </c:pt>
                <c:pt idx="1">
                  <c:v>8</c:v>
                </c:pt>
                <c:pt idx="2">
                  <c:v>10</c:v>
                </c:pt>
                <c:pt idx="3">
                  <c:v>10</c:v>
                </c:pt>
                <c:pt idx="4">
                  <c:v>6</c:v>
                </c:pt>
                <c:pt idx="5">
                  <c:v>12</c:v>
                </c:pt>
                <c:pt idx="6">
                  <c:v>6</c:v>
                </c:pt>
                <c:pt idx="7">
                  <c:v>11</c:v>
                </c:pt>
                <c:pt idx="8">
                  <c:v>11</c:v>
                </c:pt>
                <c:pt idx="9">
                  <c:v>16</c:v>
                </c:pt>
                <c:pt idx="10">
                  <c:v>11</c:v>
                </c:pt>
                <c:pt idx="11">
                  <c:v>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232-4340-AED5-CD3F6DAF145D}"/>
            </c:ext>
          </c:extLst>
        </c:ser>
        <c:ser>
          <c:idx val="3"/>
          <c:order val="3"/>
          <c:tx>
            <c:strRef>
              <c:f>'18.10 Butongole-Busembatya'!$V$9</c:f>
              <c:strCache>
                <c:ptCount val="1"/>
                <c:pt idx="0">
                  <c:v>4. Minibus, matatu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'18.10 Butongole-Busembatya'!$V$10:$V$21</c:f>
              <c:numCache>
                <c:formatCode>0</c:formatCode>
                <c:ptCount val="12"/>
                <c:pt idx="0">
                  <c:v>16</c:v>
                </c:pt>
                <c:pt idx="1">
                  <c:v>21</c:v>
                </c:pt>
                <c:pt idx="2">
                  <c:v>33</c:v>
                </c:pt>
                <c:pt idx="3">
                  <c:v>32</c:v>
                </c:pt>
                <c:pt idx="4">
                  <c:v>31</c:v>
                </c:pt>
                <c:pt idx="5">
                  <c:v>40</c:v>
                </c:pt>
                <c:pt idx="6">
                  <c:v>35</c:v>
                </c:pt>
                <c:pt idx="7">
                  <c:v>45</c:v>
                </c:pt>
                <c:pt idx="8">
                  <c:v>44</c:v>
                </c:pt>
                <c:pt idx="9">
                  <c:v>40</c:v>
                </c:pt>
                <c:pt idx="10">
                  <c:v>41</c:v>
                </c:pt>
                <c:pt idx="11">
                  <c:v>41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5232-4340-AED5-CD3F6DAF145D}"/>
            </c:ext>
          </c:extLst>
        </c:ser>
        <c:ser>
          <c:idx val="4"/>
          <c:order val="4"/>
          <c:tx>
            <c:strRef>
              <c:f>'18.10 Butongole-Busembatya'!$W$9</c:f>
              <c:strCache>
                <c:ptCount val="1"/>
                <c:pt idx="0">
                  <c:v>5. Medium bus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'18.10 Butongole-Busembatya'!$W$10:$W$21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1</c:v>
                </c:pt>
                <c:pt idx="4">
                  <c:v>1</c:v>
                </c:pt>
                <c:pt idx="5">
                  <c:v>0</c:v>
                </c:pt>
                <c:pt idx="6">
                  <c:v>2</c:v>
                </c:pt>
                <c:pt idx="7">
                  <c:v>0</c:v>
                </c:pt>
                <c:pt idx="8">
                  <c:v>6</c:v>
                </c:pt>
                <c:pt idx="9">
                  <c:v>2</c:v>
                </c:pt>
                <c:pt idx="10">
                  <c:v>0</c:v>
                </c:pt>
                <c:pt idx="11">
                  <c:v>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5232-4340-AED5-CD3F6DAF145D}"/>
            </c:ext>
          </c:extLst>
        </c:ser>
        <c:ser>
          <c:idx val="5"/>
          <c:order val="5"/>
          <c:tx>
            <c:strRef>
              <c:f>'18.10 Butongole-Busembatya'!$X$9</c:f>
              <c:strCache>
                <c:ptCount val="1"/>
                <c:pt idx="0">
                  <c:v>6. Large Bus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'18.10 Butongole-Busembatya'!$X$10:$X$21</c:f>
              <c:numCache>
                <c:formatCode>0</c:formatCode>
                <c:ptCount val="12"/>
                <c:pt idx="0">
                  <c:v>2</c:v>
                </c:pt>
                <c:pt idx="1">
                  <c:v>0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3</c:v>
                </c:pt>
                <c:pt idx="7">
                  <c:v>0</c:v>
                </c:pt>
                <c:pt idx="8">
                  <c:v>3</c:v>
                </c:pt>
                <c:pt idx="9">
                  <c:v>2</c:v>
                </c:pt>
                <c:pt idx="10">
                  <c:v>2</c:v>
                </c:pt>
                <c:pt idx="11">
                  <c:v>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5232-4340-AED5-CD3F6DAF145D}"/>
            </c:ext>
          </c:extLst>
        </c:ser>
        <c:ser>
          <c:idx val="6"/>
          <c:order val="6"/>
          <c:tx>
            <c:strRef>
              <c:f>'18.10 Butongole-Busembatya'!$Y$9</c:f>
              <c:strCache>
                <c:ptCount val="1"/>
                <c:pt idx="0">
                  <c:v>7. Light Truck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'18.10 Butongole-Busembatya'!$Y$10:$Y$21</c:f>
              <c:numCache>
                <c:formatCode>0</c:formatCode>
                <c:ptCount val="12"/>
                <c:pt idx="0">
                  <c:v>4</c:v>
                </c:pt>
                <c:pt idx="1">
                  <c:v>9</c:v>
                </c:pt>
                <c:pt idx="2">
                  <c:v>4</c:v>
                </c:pt>
                <c:pt idx="3">
                  <c:v>4</c:v>
                </c:pt>
                <c:pt idx="4">
                  <c:v>4</c:v>
                </c:pt>
                <c:pt idx="5">
                  <c:v>6</c:v>
                </c:pt>
                <c:pt idx="6">
                  <c:v>10</c:v>
                </c:pt>
                <c:pt idx="7">
                  <c:v>4</c:v>
                </c:pt>
                <c:pt idx="8">
                  <c:v>5</c:v>
                </c:pt>
                <c:pt idx="9">
                  <c:v>5</c:v>
                </c:pt>
                <c:pt idx="10">
                  <c:v>6</c:v>
                </c:pt>
                <c:pt idx="11">
                  <c:v>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5232-4340-AED5-CD3F6DAF145D}"/>
            </c:ext>
          </c:extLst>
        </c:ser>
        <c:ser>
          <c:idx val="7"/>
          <c:order val="7"/>
          <c:tx>
            <c:strRef>
              <c:f>'18.10 Butongole-Busembatya'!$Z$9</c:f>
              <c:strCache>
                <c:ptCount val="1"/>
                <c:pt idx="0">
                  <c:v>8. Medium Truck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'18.10 Butongole-Busembatya'!$Z$10:$Z$21</c:f>
              <c:numCache>
                <c:formatCode>0</c:formatCode>
                <c:ptCount val="12"/>
                <c:pt idx="0">
                  <c:v>6</c:v>
                </c:pt>
                <c:pt idx="1">
                  <c:v>1</c:v>
                </c:pt>
                <c:pt idx="2">
                  <c:v>8</c:v>
                </c:pt>
                <c:pt idx="3">
                  <c:v>9</c:v>
                </c:pt>
                <c:pt idx="4">
                  <c:v>5</c:v>
                </c:pt>
                <c:pt idx="5">
                  <c:v>6</c:v>
                </c:pt>
                <c:pt idx="6">
                  <c:v>8</c:v>
                </c:pt>
                <c:pt idx="7">
                  <c:v>6</c:v>
                </c:pt>
                <c:pt idx="8">
                  <c:v>2</c:v>
                </c:pt>
                <c:pt idx="9">
                  <c:v>7</c:v>
                </c:pt>
                <c:pt idx="10">
                  <c:v>3</c:v>
                </c:pt>
                <c:pt idx="11">
                  <c:v>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5232-4340-AED5-CD3F6DAF145D}"/>
            </c:ext>
          </c:extLst>
        </c:ser>
        <c:ser>
          <c:idx val="8"/>
          <c:order val="8"/>
          <c:tx>
            <c:strRef>
              <c:f>'18.10 Butongole-Busembatya'!$AA$9</c:f>
              <c:strCache>
                <c:ptCount val="1"/>
                <c:pt idx="0">
                  <c:v>9. Heavy truck 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'18.10 Butongole-Busembatya'!$AA$10:$AA$21</c:f>
              <c:numCache>
                <c:formatCode>0</c:formatCode>
                <c:ptCount val="12"/>
                <c:pt idx="0">
                  <c:v>2</c:v>
                </c:pt>
                <c:pt idx="1">
                  <c:v>7</c:v>
                </c:pt>
                <c:pt idx="2">
                  <c:v>5</c:v>
                </c:pt>
                <c:pt idx="3">
                  <c:v>5</c:v>
                </c:pt>
                <c:pt idx="4">
                  <c:v>2</c:v>
                </c:pt>
                <c:pt idx="5">
                  <c:v>5</c:v>
                </c:pt>
                <c:pt idx="6">
                  <c:v>2</c:v>
                </c:pt>
                <c:pt idx="7">
                  <c:v>8</c:v>
                </c:pt>
                <c:pt idx="8">
                  <c:v>4</c:v>
                </c:pt>
                <c:pt idx="9">
                  <c:v>11</c:v>
                </c:pt>
                <c:pt idx="10">
                  <c:v>6</c:v>
                </c:pt>
                <c:pt idx="11">
                  <c:v>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5232-4340-AED5-CD3F6DAF145D}"/>
            </c:ext>
          </c:extLst>
        </c:ser>
        <c:ser>
          <c:idx val="9"/>
          <c:order val="9"/>
          <c:tx>
            <c:strRef>
              <c:f>'18.10 Butongole-Busembatya'!$AB$9</c:f>
              <c:strCache>
                <c:ptCount val="1"/>
                <c:pt idx="0">
                  <c:v>10. Truck Trailer 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'18.10 Butongole-Busembatya'!$AB$10:$AB$21</c:f>
              <c:numCache>
                <c:formatCode>0</c:formatCode>
                <c:ptCount val="12"/>
                <c:pt idx="0">
                  <c:v>2</c:v>
                </c:pt>
                <c:pt idx="1">
                  <c:v>1</c:v>
                </c:pt>
                <c:pt idx="2">
                  <c:v>2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1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5232-4340-AED5-CD3F6DAF145D}"/>
            </c:ext>
          </c:extLst>
        </c:ser>
        <c:ser>
          <c:idx val="10"/>
          <c:order val="10"/>
          <c:tx>
            <c:strRef>
              <c:f>'18.10 Butongole-Busembatya'!$AC$9</c:f>
              <c:strCache>
                <c:ptCount val="1"/>
                <c:pt idx="0">
                  <c:v>11. Motorcycles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'18.10 Butongole-Busembatya'!$AC$10:$AC$21</c:f>
              <c:numCache>
                <c:formatCode>0</c:formatCode>
                <c:ptCount val="12"/>
                <c:pt idx="0">
                  <c:v>43</c:v>
                </c:pt>
                <c:pt idx="1">
                  <c:v>58</c:v>
                </c:pt>
                <c:pt idx="2">
                  <c:v>54</c:v>
                </c:pt>
                <c:pt idx="3">
                  <c:v>50</c:v>
                </c:pt>
                <c:pt idx="4">
                  <c:v>69</c:v>
                </c:pt>
                <c:pt idx="5">
                  <c:v>59</c:v>
                </c:pt>
                <c:pt idx="6">
                  <c:v>53</c:v>
                </c:pt>
                <c:pt idx="7">
                  <c:v>63</c:v>
                </c:pt>
                <c:pt idx="8">
                  <c:v>67</c:v>
                </c:pt>
                <c:pt idx="9">
                  <c:v>70</c:v>
                </c:pt>
                <c:pt idx="10">
                  <c:v>91</c:v>
                </c:pt>
                <c:pt idx="11">
                  <c:v>80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5232-4340-AED5-CD3F6DAF145D}"/>
            </c:ext>
          </c:extLst>
        </c:ser>
        <c:ser>
          <c:idx val="11"/>
          <c:order val="11"/>
          <c:tx>
            <c:strRef>
              <c:f>'18.10 Butongole-Busembatya'!$AD$9</c:f>
              <c:strCache>
                <c:ptCount val="1"/>
                <c:pt idx="0">
                  <c:v>12. Tractors, Graders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'18.10 Butongole-Busembatya'!$AD$10:$AD$21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5232-4340-AED5-CD3F6DAF145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1140864"/>
        <c:axId val="111142400"/>
      </c:lineChart>
      <c:catAx>
        <c:axId val="11114086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11142400"/>
        <c:crosses val="autoZero"/>
        <c:auto val="1"/>
        <c:lblAlgn val="ctr"/>
        <c:lblOffset val="100"/>
        <c:noMultiLvlLbl val="0"/>
      </c:catAx>
      <c:valAx>
        <c:axId val="1111424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5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05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 Volume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1114086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C496-4C9C-BA89-19C872160E0D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C496-4C9C-BA89-19C872160E0D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C496-4C9C-BA89-19C872160E0D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C496-4C9C-BA89-19C872160E0D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C496-4C9C-BA89-19C872160E0D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C496-4C9C-BA89-19C872160E0D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C496-4C9C-BA89-19C872160E0D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C496-4C9C-BA89-19C872160E0D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C496-4C9C-BA89-19C872160E0D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C496-4C9C-BA89-19C872160E0D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C496-4C9C-BA89-19C872160E0D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C496-4C9C-BA89-19C872160E0D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C496-4C9C-BA89-19C872160E0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'18.10 Butongole-Busembatya'!$C$9:$N$9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'18.10 Butongole-Busembatya'!$C$60:$N$60</c:f>
              <c:numCache>
                <c:formatCode>0.00%</c:formatCode>
                <c:ptCount val="12"/>
                <c:pt idx="0">
                  <c:v>0.1954954954954955</c:v>
                </c:pt>
                <c:pt idx="1">
                  <c:v>0.1009009009009009</c:v>
                </c:pt>
                <c:pt idx="2">
                  <c:v>0.1018018018018018</c:v>
                </c:pt>
                <c:pt idx="3">
                  <c:v>0.37747747747747745</c:v>
                </c:pt>
                <c:pt idx="4">
                  <c:v>1.3513513513513514E-2</c:v>
                </c:pt>
                <c:pt idx="5">
                  <c:v>1.6216216216216217E-2</c:v>
                </c:pt>
                <c:pt idx="6">
                  <c:v>6.126126126126126E-2</c:v>
                </c:pt>
                <c:pt idx="7">
                  <c:v>6.0360360360360361E-2</c:v>
                </c:pt>
                <c:pt idx="8">
                  <c:v>5.4954954954954956E-2</c:v>
                </c:pt>
                <c:pt idx="9">
                  <c:v>5.4054054054054057E-3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C496-4C9C-BA89-19C872160E0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41523264176214386"/>
          <c:y val="2.9617409316263936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'19.10 Busembatya-Butongole 24h'!$AE$9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'19.10 Busembatya-Butongole 24h'!$R$10:$R$33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'19.10 Busembatya-Butongole 24h'!$AE$10:$AE$33</c:f>
              <c:numCache>
                <c:formatCode>0</c:formatCode>
                <c:ptCount val="24"/>
                <c:pt idx="0">
                  <c:v>41</c:v>
                </c:pt>
                <c:pt idx="1">
                  <c:v>45</c:v>
                </c:pt>
                <c:pt idx="2">
                  <c:v>81</c:v>
                </c:pt>
                <c:pt idx="3">
                  <c:v>88</c:v>
                </c:pt>
                <c:pt idx="4">
                  <c:v>115</c:v>
                </c:pt>
                <c:pt idx="5">
                  <c:v>101</c:v>
                </c:pt>
                <c:pt idx="6">
                  <c:v>77</c:v>
                </c:pt>
                <c:pt idx="7">
                  <c:v>80</c:v>
                </c:pt>
                <c:pt idx="8">
                  <c:v>78</c:v>
                </c:pt>
                <c:pt idx="9">
                  <c:v>90</c:v>
                </c:pt>
                <c:pt idx="10">
                  <c:v>93</c:v>
                </c:pt>
                <c:pt idx="11">
                  <c:v>108</c:v>
                </c:pt>
                <c:pt idx="12">
                  <c:v>146</c:v>
                </c:pt>
                <c:pt idx="13">
                  <c:v>117</c:v>
                </c:pt>
                <c:pt idx="14">
                  <c:v>66</c:v>
                </c:pt>
                <c:pt idx="15">
                  <c:v>43</c:v>
                </c:pt>
                <c:pt idx="16">
                  <c:v>19</c:v>
                </c:pt>
                <c:pt idx="17">
                  <c:v>14</c:v>
                </c:pt>
                <c:pt idx="18">
                  <c:v>12</c:v>
                </c:pt>
                <c:pt idx="19">
                  <c:v>10</c:v>
                </c:pt>
                <c:pt idx="20">
                  <c:v>9</c:v>
                </c:pt>
                <c:pt idx="21">
                  <c:v>16</c:v>
                </c:pt>
                <c:pt idx="22">
                  <c:v>7</c:v>
                </c:pt>
                <c:pt idx="23">
                  <c:v>31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8D7C-43E4-8D98-AF01AC8ABB92}"/>
            </c:ext>
          </c:extLst>
        </c:ser>
        <c:ser>
          <c:idx val="1"/>
          <c:order val="1"/>
          <c:tx>
            <c:strRef>
              <c:f>'19.10 Busembatya-Butongole 24h'!$AF$9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'19.10 Busembatya-Butongole 24h'!$R$10:$R$33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'19.10 Busembatya-Butongole 24h'!$AF$10:$AF$33</c:f>
              <c:numCache>
                <c:formatCode>0</c:formatCode>
                <c:ptCount val="24"/>
                <c:pt idx="0">
                  <c:v>65</c:v>
                </c:pt>
                <c:pt idx="1">
                  <c:v>82</c:v>
                </c:pt>
                <c:pt idx="2">
                  <c:v>109</c:v>
                </c:pt>
                <c:pt idx="3">
                  <c:v>131</c:v>
                </c:pt>
                <c:pt idx="4">
                  <c:v>166</c:v>
                </c:pt>
                <c:pt idx="5">
                  <c:v>140</c:v>
                </c:pt>
                <c:pt idx="6">
                  <c:v>119</c:v>
                </c:pt>
                <c:pt idx="7">
                  <c:v>125</c:v>
                </c:pt>
                <c:pt idx="8">
                  <c:v>117</c:v>
                </c:pt>
                <c:pt idx="9">
                  <c:v>146</c:v>
                </c:pt>
                <c:pt idx="10">
                  <c:v>115</c:v>
                </c:pt>
                <c:pt idx="11">
                  <c:v>153</c:v>
                </c:pt>
                <c:pt idx="12">
                  <c:v>180</c:v>
                </c:pt>
                <c:pt idx="13">
                  <c:v>133</c:v>
                </c:pt>
                <c:pt idx="14">
                  <c:v>77</c:v>
                </c:pt>
                <c:pt idx="15">
                  <c:v>50</c:v>
                </c:pt>
                <c:pt idx="16">
                  <c:v>20</c:v>
                </c:pt>
                <c:pt idx="17">
                  <c:v>18</c:v>
                </c:pt>
                <c:pt idx="18">
                  <c:v>12</c:v>
                </c:pt>
                <c:pt idx="19">
                  <c:v>10</c:v>
                </c:pt>
                <c:pt idx="20">
                  <c:v>9</c:v>
                </c:pt>
                <c:pt idx="21">
                  <c:v>16</c:v>
                </c:pt>
                <c:pt idx="22">
                  <c:v>8</c:v>
                </c:pt>
                <c:pt idx="23">
                  <c:v>36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8D7C-43E4-8D98-AF01AC8ABB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13789952"/>
        <c:axId val="113820032"/>
      </c:lineChart>
      <c:catAx>
        <c:axId val="113789952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13820032"/>
        <c:crosses val="autoZero"/>
        <c:auto val="1"/>
        <c:lblAlgn val="ctr"/>
        <c:lblOffset val="100"/>
        <c:noMultiLvlLbl val="0"/>
      </c:catAx>
      <c:valAx>
        <c:axId val="113820032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1378995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B533-467E-9052-E80B684A022A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B533-467E-9052-E80B684A022A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B533-467E-9052-E80B684A022A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B533-467E-9052-E80B684A022A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B533-467E-9052-E80B684A022A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B533-467E-9052-E80B684A022A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B533-467E-9052-E80B684A022A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B533-467E-9052-E80B684A022A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B533-467E-9052-E80B684A022A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B533-467E-9052-E80B684A022A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B533-467E-9052-E80B684A022A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B533-467E-9052-E80B684A022A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B533-467E-9052-E80B684A022A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'19.10 Busembatya-Butongole 24h'!$C$9:$N$9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'19.10 Busembatya-Butongole 24h'!$C$107:$N$107</c:f>
              <c:numCache>
                <c:formatCode>0.0%</c:formatCode>
                <c:ptCount val="12"/>
                <c:pt idx="0">
                  <c:v>0.17280314187530682</c:v>
                </c:pt>
                <c:pt idx="1">
                  <c:v>5.5473735886107017E-2</c:v>
                </c:pt>
                <c:pt idx="2">
                  <c:v>6.823760432007854E-2</c:v>
                </c:pt>
                <c:pt idx="3">
                  <c:v>0.26656848306332842</c:v>
                </c:pt>
                <c:pt idx="4">
                  <c:v>9.8183603338242512E-3</c:v>
                </c:pt>
                <c:pt idx="5">
                  <c:v>1.7673048600883652E-2</c:v>
                </c:pt>
                <c:pt idx="6">
                  <c:v>6.2837506136475207E-2</c:v>
                </c:pt>
                <c:pt idx="7">
                  <c:v>2.7491408934707903E-2</c:v>
                </c:pt>
                <c:pt idx="8">
                  <c:v>3.8291605301914583E-2</c:v>
                </c:pt>
                <c:pt idx="9">
                  <c:v>9.3274423171330386E-3</c:v>
                </c:pt>
                <c:pt idx="10">
                  <c:v>0.2700049091801669</c:v>
                </c:pt>
                <c:pt idx="11">
                  <c:v>1.4727540500736377E-3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B533-467E-9052-E80B684A022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5529-4064-B18B-726F86F6119F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5529-4064-B18B-726F86F6119F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5529-4064-B18B-726F86F6119F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5529-4064-B18B-726F86F6119F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5529-4064-B18B-726F86F6119F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5529-4064-B18B-726F86F6119F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5529-4064-B18B-726F86F6119F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5529-4064-B18B-726F86F6119F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5529-4064-B18B-726F86F6119F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5529-4064-B18B-726F86F6119F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5529-4064-B18B-726F86F6119F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5529-4064-B18B-726F86F6119F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5529-4064-B18B-726F86F6119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'19.10 Busembatya-Butongole 24h'!$C$9:$N$9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'19.10 Busembatya-Butongole 24h'!$C$108:$N$108</c:f>
              <c:numCache>
                <c:formatCode>0.00%</c:formatCode>
                <c:ptCount val="12"/>
                <c:pt idx="0">
                  <c:v>0.2367182246133154</c:v>
                </c:pt>
                <c:pt idx="1">
                  <c:v>7.5991930060524543E-2</c:v>
                </c:pt>
                <c:pt idx="2">
                  <c:v>9.3476798924008064E-2</c:v>
                </c:pt>
                <c:pt idx="3">
                  <c:v>0.36516476126429054</c:v>
                </c:pt>
                <c:pt idx="4">
                  <c:v>1.3449899125756557E-2</c:v>
                </c:pt>
                <c:pt idx="5">
                  <c:v>2.4209818426361801E-2</c:v>
                </c:pt>
                <c:pt idx="6">
                  <c:v>8.6079354404841962E-2</c:v>
                </c:pt>
                <c:pt idx="7">
                  <c:v>3.765971755211836E-2</c:v>
                </c:pt>
                <c:pt idx="8">
                  <c:v>5.2454606590450571E-2</c:v>
                </c:pt>
                <c:pt idx="9">
                  <c:v>1.2777404169468728E-2</c:v>
                </c:pt>
                <c:pt idx="11">
                  <c:v>2.0174848688634837E-3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5529-4064-B18B-726F86F6119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41523264176214386"/>
          <c:y val="2.9617409316263936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'19.10 Butongole-Busembatya-24h'!$AE$9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'19.10 Butongole-Busembatya-24h'!$R$10:$R$33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'19.10 Butongole-Busembatya-24h'!$AE$10:$AE$33</c:f>
              <c:numCache>
                <c:formatCode>0</c:formatCode>
                <c:ptCount val="24"/>
                <c:pt idx="0">
                  <c:v>62</c:v>
                </c:pt>
                <c:pt idx="1">
                  <c:v>100</c:v>
                </c:pt>
                <c:pt idx="2">
                  <c:v>115</c:v>
                </c:pt>
                <c:pt idx="3">
                  <c:v>97</c:v>
                </c:pt>
                <c:pt idx="4">
                  <c:v>111</c:v>
                </c:pt>
                <c:pt idx="5">
                  <c:v>128</c:v>
                </c:pt>
                <c:pt idx="6">
                  <c:v>110</c:v>
                </c:pt>
                <c:pt idx="7">
                  <c:v>90</c:v>
                </c:pt>
                <c:pt idx="8">
                  <c:v>110</c:v>
                </c:pt>
                <c:pt idx="9">
                  <c:v>72</c:v>
                </c:pt>
                <c:pt idx="10">
                  <c:v>100</c:v>
                </c:pt>
                <c:pt idx="11">
                  <c:v>92</c:v>
                </c:pt>
                <c:pt idx="12">
                  <c:v>80</c:v>
                </c:pt>
                <c:pt idx="13">
                  <c:v>55</c:v>
                </c:pt>
                <c:pt idx="14">
                  <c:v>67</c:v>
                </c:pt>
                <c:pt idx="15">
                  <c:v>38</c:v>
                </c:pt>
                <c:pt idx="16">
                  <c:v>50</c:v>
                </c:pt>
                <c:pt idx="17">
                  <c:v>20</c:v>
                </c:pt>
                <c:pt idx="18">
                  <c:v>10</c:v>
                </c:pt>
                <c:pt idx="19">
                  <c:v>12</c:v>
                </c:pt>
                <c:pt idx="20">
                  <c:v>14</c:v>
                </c:pt>
                <c:pt idx="21">
                  <c:v>15</c:v>
                </c:pt>
                <c:pt idx="22">
                  <c:v>14</c:v>
                </c:pt>
                <c:pt idx="23">
                  <c:v>26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DFC2-4A7B-9B5C-FEA0112544F4}"/>
            </c:ext>
          </c:extLst>
        </c:ser>
        <c:ser>
          <c:idx val="1"/>
          <c:order val="1"/>
          <c:tx>
            <c:strRef>
              <c:f>'19.10 Butongole-Busembatya-24h'!$AF$9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'19.10 Butongole-Busembatya-24h'!$R$10:$R$33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'19.10 Butongole-Busembatya-24h'!$AF$10:$AF$33</c:f>
              <c:numCache>
                <c:formatCode>0</c:formatCode>
                <c:ptCount val="24"/>
                <c:pt idx="0">
                  <c:v>93</c:v>
                </c:pt>
                <c:pt idx="1">
                  <c:v>144</c:v>
                </c:pt>
                <c:pt idx="2">
                  <c:v>170</c:v>
                </c:pt>
                <c:pt idx="3">
                  <c:v>150</c:v>
                </c:pt>
                <c:pt idx="4">
                  <c:v>164</c:v>
                </c:pt>
                <c:pt idx="5">
                  <c:v>182</c:v>
                </c:pt>
                <c:pt idx="6">
                  <c:v>158</c:v>
                </c:pt>
                <c:pt idx="7">
                  <c:v>150</c:v>
                </c:pt>
                <c:pt idx="8">
                  <c:v>165</c:v>
                </c:pt>
                <c:pt idx="9">
                  <c:v>112</c:v>
                </c:pt>
                <c:pt idx="10">
                  <c:v>174</c:v>
                </c:pt>
                <c:pt idx="11">
                  <c:v>155</c:v>
                </c:pt>
                <c:pt idx="12">
                  <c:v>124</c:v>
                </c:pt>
                <c:pt idx="13">
                  <c:v>74</c:v>
                </c:pt>
                <c:pt idx="14">
                  <c:v>91</c:v>
                </c:pt>
                <c:pt idx="15">
                  <c:v>44</c:v>
                </c:pt>
                <c:pt idx="16">
                  <c:v>51</c:v>
                </c:pt>
                <c:pt idx="17">
                  <c:v>21</c:v>
                </c:pt>
                <c:pt idx="18">
                  <c:v>11</c:v>
                </c:pt>
                <c:pt idx="19">
                  <c:v>13</c:v>
                </c:pt>
                <c:pt idx="20">
                  <c:v>14</c:v>
                </c:pt>
                <c:pt idx="21">
                  <c:v>15</c:v>
                </c:pt>
                <c:pt idx="22">
                  <c:v>15</c:v>
                </c:pt>
                <c:pt idx="23">
                  <c:v>35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DFC2-4A7B-9B5C-FEA0112544F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13521792"/>
        <c:axId val="113522944"/>
      </c:lineChart>
      <c:catAx>
        <c:axId val="113521792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13522944"/>
        <c:crosses val="autoZero"/>
        <c:auto val="1"/>
        <c:lblAlgn val="ctr"/>
        <c:lblOffset val="100"/>
        <c:noMultiLvlLbl val="0"/>
      </c:catAx>
      <c:valAx>
        <c:axId val="113522944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1352179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543B-4B95-BFC1-AB46B6A1DAB2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543B-4B95-BFC1-AB46B6A1DAB2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543B-4B95-BFC1-AB46B6A1DAB2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543B-4B95-BFC1-AB46B6A1DAB2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543B-4B95-BFC1-AB46B6A1DAB2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543B-4B95-BFC1-AB46B6A1DAB2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543B-4B95-BFC1-AB46B6A1DAB2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543B-4B95-BFC1-AB46B6A1DAB2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543B-4B95-BFC1-AB46B6A1DAB2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543B-4B95-BFC1-AB46B6A1DAB2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543B-4B95-BFC1-AB46B6A1DAB2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543B-4B95-BFC1-AB46B6A1DAB2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543B-4B95-BFC1-AB46B6A1DAB2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'19.10 Butongole-Busembatya-24h'!$C$9:$N$9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'19.10 Butongole-Busembatya-24h'!$C$107:$N$107</c:f>
              <c:numCache>
                <c:formatCode>0.0%</c:formatCode>
                <c:ptCount val="12"/>
                <c:pt idx="0">
                  <c:v>0.17849462365591398</c:v>
                </c:pt>
                <c:pt idx="1">
                  <c:v>5.5913978494623658E-2</c:v>
                </c:pt>
                <c:pt idx="2">
                  <c:v>5.5053763440860215E-2</c:v>
                </c:pt>
                <c:pt idx="3">
                  <c:v>0.25720430107526882</c:v>
                </c:pt>
                <c:pt idx="4">
                  <c:v>9.0322580645161299E-3</c:v>
                </c:pt>
                <c:pt idx="5">
                  <c:v>1.4193548387096775E-2</c:v>
                </c:pt>
                <c:pt idx="6">
                  <c:v>5.6344086021505375E-2</c:v>
                </c:pt>
                <c:pt idx="7">
                  <c:v>2.4946236559139787E-2</c:v>
                </c:pt>
                <c:pt idx="8">
                  <c:v>2.5376344086021504E-2</c:v>
                </c:pt>
                <c:pt idx="9">
                  <c:v>5.5913978494623656E-3</c:v>
                </c:pt>
                <c:pt idx="10">
                  <c:v>0.31698924731182798</c:v>
                </c:pt>
                <c:pt idx="11">
                  <c:v>8.6021505376344086E-4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543B-4B95-BFC1-AB46B6A1DAB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4889-4F07-A028-107AA614C720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4889-4F07-A028-107AA614C720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4889-4F07-A028-107AA614C720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4889-4F07-A028-107AA614C720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4889-4F07-A028-107AA614C720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4889-4F07-A028-107AA614C720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4889-4F07-A028-107AA614C720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4889-4F07-A028-107AA614C720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4889-4F07-A028-107AA614C720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4889-4F07-A028-107AA614C720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4889-4F07-A028-107AA614C720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4889-4F07-A028-107AA614C720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4889-4F07-A028-107AA614C72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'19.10 Butongole-Busembatya-24h'!$C$9:$N$9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'19.10 Butongole-Busembatya-24h'!$C$108:$N$108</c:f>
              <c:numCache>
                <c:formatCode>0.00%</c:formatCode>
                <c:ptCount val="12"/>
                <c:pt idx="0">
                  <c:v>0.26133501259445846</c:v>
                </c:pt>
                <c:pt idx="1">
                  <c:v>8.1863979848866494E-2</c:v>
                </c:pt>
                <c:pt idx="2">
                  <c:v>8.0604534005037781E-2</c:v>
                </c:pt>
                <c:pt idx="3">
                  <c:v>0.37657430730478592</c:v>
                </c:pt>
                <c:pt idx="4">
                  <c:v>1.3224181360201511E-2</c:v>
                </c:pt>
                <c:pt idx="5">
                  <c:v>2.0780856423173802E-2</c:v>
                </c:pt>
                <c:pt idx="6">
                  <c:v>8.2493702770780858E-2</c:v>
                </c:pt>
                <c:pt idx="7">
                  <c:v>3.6523929471032744E-2</c:v>
                </c:pt>
                <c:pt idx="8">
                  <c:v>3.7153652392947101E-2</c:v>
                </c:pt>
                <c:pt idx="9">
                  <c:v>8.1863979848866494E-3</c:v>
                </c:pt>
                <c:pt idx="11">
                  <c:v>1.2594458438287153E-3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4889-4F07-A028-107AA614C72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'20.10 Busembatya-Butongole'!$AE$9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'20.10 Busembatya-Butongole'!$R$10:$R$21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'20.10 Busembatya-Butongole'!$AE$10:$AE$21</c:f>
              <c:numCache>
                <c:formatCode>0</c:formatCode>
                <c:ptCount val="12"/>
                <c:pt idx="0">
                  <c:v>44</c:v>
                </c:pt>
                <c:pt idx="1">
                  <c:v>72</c:v>
                </c:pt>
                <c:pt idx="2">
                  <c:v>58</c:v>
                </c:pt>
                <c:pt idx="3">
                  <c:v>59</c:v>
                </c:pt>
                <c:pt idx="4">
                  <c:v>90</c:v>
                </c:pt>
                <c:pt idx="5">
                  <c:v>83</c:v>
                </c:pt>
                <c:pt idx="6">
                  <c:v>106</c:v>
                </c:pt>
                <c:pt idx="7">
                  <c:v>104</c:v>
                </c:pt>
                <c:pt idx="8">
                  <c:v>95</c:v>
                </c:pt>
                <c:pt idx="9">
                  <c:v>128</c:v>
                </c:pt>
                <c:pt idx="10">
                  <c:v>153</c:v>
                </c:pt>
                <c:pt idx="11">
                  <c:v>118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A6D8-486C-94F6-6CD386BE52F0}"/>
            </c:ext>
          </c:extLst>
        </c:ser>
        <c:ser>
          <c:idx val="1"/>
          <c:order val="1"/>
          <c:tx>
            <c:strRef>
              <c:f>'20.10 Busembatya-Butongole'!$AF$9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'20.10 Busembatya-Butongole'!$R$10:$R$21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'20.10 Busembatya-Butongole'!$AF$10:$AF$21</c:f>
              <c:numCache>
                <c:formatCode>0</c:formatCode>
                <c:ptCount val="12"/>
                <c:pt idx="0">
                  <c:v>77</c:v>
                </c:pt>
                <c:pt idx="1">
                  <c:v>109</c:v>
                </c:pt>
                <c:pt idx="2">
                  <c:v>92</c:v>
                </c:pt>
                <c:pt idx="3">
                  <c:v>101</c:v>
                </c:pt>
                <c:pt idx="4">
                  <c:v>113</c:v>
                </c:pt>
                <c:pt idx="5">
                  <c:v>98</c:v>
                </c:pt>
                <c:pt idx="6">
                  <c:v>143</c:v>
                </c:pt>
                <c:pt idx="7">
                  <c:v>157</c:v>
                </c:pt>
                <c:pt idx="8">
                  <c:v>136</c:v>
                </c:pt>
                <c:pt idx="9">
                  <c:v>157</c:v>
                </c:pt>
                <c:pt idx="10">
                  <c:v>195</c:v>
                </c:pt>
                <c:pt idx="11">
                  <c:v>159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A6D8-486C-94F6-6CD386BE52F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11352832"/>
        <c:axId val="111403776"/>
      </c:lineChart>
      <c:catAx>
        <c:axId val="111352832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11403776"/>
        <c:crosses val="autoZero"/>
        <c:auto val="1"/>
        <c:lblAlgn val="ctr"/>
        <c:lblOffset val="100"/>
        <c:noMultiLvlLbl val="0"/>
      </c:catAx>
      <c:valAx>
        <c:axId val="111403776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1135283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7B3F-4B31-952A-3E8EFBAD12A4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7B3F-4B31-952A-3E8EFBAD12A4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7B3F-4B31-952A-3E8EFBAD12A4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7B3F-4B31-952A-3E8EFBAD12A4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7B3F-4B31-952A-3E8EFBAD12A4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7B3F-4B31-952A-3E8EFBAD12A4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7B3F-4B31-952A-3E8EFBAD12A4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7B3F-4B31-952A-3E8EFBAD12A4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7B3F-4B31-952A-3E8EFBAD12A4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7B3F-4B31-952A-3E8EFBAD12A4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7B3F-4B31-952A-3E8EFBAD12A4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7B3F-4B31-952A-3E8EFBAD12A4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7B3F-4B31-952A-3E8EFBAD12A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'20.10 Busembatya-Butongole'!$C$9:$N$9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'20.10 Busembatya-Butongole'!$C$59:$N$59</c:f>
              <c:numCache>
                <c:formatCode>0.0%</c:formatCode>
                <c:ptCount val="12"/>
                <c:pt idx="0">
                  <c:v>0.17241379310344829</c:v>
                </c:pt>
                <c:pt idx="1">
                  <c:v>6.0507482108002601E-2</c:v>
                </c:pt>
                <c:pt idx="2">
                  <c:v>7.0266753415744954E-2</c:v>
                </c:pt>
                <c:pt idx="3">
                  <c:v>0.30448926480156147</c:v>
                </c:pt>
                <c:pt idx="4">
                  <c:v>8.4580351333767081E-3</c:v>
                </c:pt>
                <c:pt idx="5">
                  <c:v>1.1060507482108002E-2</c:v>
                </c:pt>
                <c:pt idx="6">
                  <c:v>2.9277813923227064E-2</c:v>
                </c:pt>
                <c:pt idx="7">
                  <c:v>3.4482758620689655E-2</c:v>
                </c:pt>
                <c:pt idx="8">
                  <c:v>2.0819778789850359E-2</c:v>
                </c:pt>
                <c:pt idx="9">
                  <c:v>8.4580351333767081E-3</c:v>
                </c:pt>
                <c:pt idx="10">
                  <c:v>0.27781392322706572</c:v>
                </c:pt>
                <c:pt idx="11">
                  <c:v>1.9518542615484711E-3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7B3F-4B31-952A-3E8EFBAD12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Hourly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Variation of Classified Traffic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31244670799128843"/>
          <c:y val="2.2960226637323725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'20.10 Busembatya-Butongole'!$S$9</c:f>
              <c:strCache>
                <c:ptCount val="1"/>
                <c:pt idx="0">
                  <c:v>1. Car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'20.10 Busembatya-Butongole'!$R$10:$R$21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'20.10 Busembatya-Butongole'!$S$10:$S$21</c:f>
              <c:numCache>
                <c:formatCode>0</c:formatCode>
                <c:ptCount val="12"/>
                <c:pt idx="0">
                  <c:v>13</c:v>
                </c:pt>
                <c:pt idx="1">
                  <c:v>12</c:v>
                </c:pt>
                <c:pt idx="2">
                  <c:v>12</c:v>
                </c:pt>
                <c:pt idx="3">
                  <c:v>9</c:v>
                </c:pt>
                <c:pt idx="4">
                  <c:v>25</c:v>
                </c:pt>
                <c:pt idx="5">
                  <c:v>23</c:v>
                </c:pt>
                <c:pt idx="6">
                  <c:v>24</c:v>
                </c:pt>
                <c:pt idx="7">
                  <c:v>27</c:v>
                </c:pt>
                <c:pt idx="8">
                  <c:v>25</c:v>
                </c:pt>
                <c:pt idx="9">
                  <c:v>25</c:v>
                </c:pt>
                <c:pt idx="10">
                  <c:v>45</c:v>
                </c:pt>
                <c:pt idx="11">
                  <c:v>25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EEE7-484C-BD81-92E397547986}"/>
            </c:ext>
          </c:extLst>
        </c:ser>
        <c:ser>
          <c:idx val="1"/>
          <c:order val="1"/>
          <c:tx>
            <c:strRef>
              <c:f>'20.10 Busembatya-Butongole'!$T$9</c:f>
              <c:strCache>
                <c:ptCount val="1"/>
                <c:pt idx="0">
                  <c:v>2. Station Wagon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'20.10 Busembatya-Butongole'!$R$10:$R$21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'20.10 Busembatya-Butongole'!$T$10:$T$21</c:f>
              <c:numCache>
                <c:formatCode>0</c:formatCode>
                <c:ptCount val="12"/>
                <c:pt idx="0">
                  <c:v>1</c:v>
                </c:pt>
                <c:pt idx="1">
                  <c:v>8</c:v>
                </c:pt>
                <c:pt idx="2">
                  <c:v>0</c:v>
                </c:pt>
                <c:pt idx="3">
                  <c:v>6</c:v>
                </c:pt>
                <c:pt idx="4">
                  <c:v>6</c:v>
                </c:pt>
                <c:pt idx="5">
                  <c:v>5</c:v>
                </c:pt>
                <c:pt idx="6">
                  <c:v>20</c:v>
                </c:pt>
                <c:pt idx="7">
                  <c:v>14</c:v>
                </c:pt>
                <c:pt idx="8">
                  <c:v>8</c:v>
                </c:pt>
                <c:pt idx="9">
                  <c:v>11</c:v>
                </c:pt>
                <c:pt idx="10">
                  <c:v>7</c:v>
                </c:pt>
                <c:pt idx="11">
                  <c:v>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EEE7-484C-BD81-92E397547986}"/>
            </c:ext>
          </c:extLst>
        </c:ser>
        <c:ser>
          <c:idx val="2"/>
          <c:order val="2"/>
          <c:tx>
            <c:strRef>
              <c:f>'20.10 Busembatya-Butongole'!$U$9</c:f>
              <c:strCache>
                <c:ptCount val="1"/>
                <c:pt idx="0">
                  <c:v>3. Pickups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'20.10 Busembatya-Butongole'!$U$10:$U$21</c:f>
              <c:numCache>
                <c:formatCode>0</c:formatCode>
                <c:ptCount val="12"/>
                <c:pt idx="0">
                  <c:v>4</c:v>
                </c:pt>
                <c:pt idx="1">
                  <c:v>4</c:v>
                </c:pt>
                <c:pt idx="2">
                  <c:v>2</c:v>
                </c:pt>
                <c:pt idx="3">
                  <c:v>10</c:v>
                </c:pt>
                <c:pt idx="4">
                  <c:v>10</c:v>
                </c:pt>
                <c:pt idx="5">
                  <c:v>3</c:v>
                </c:pt>
                <c:pt idx="6">
                  <c:v>16</c:v>
                </c:pt>
                <c:pt idx="7">
                  <c:v>14</c:v>
                </c:pt>
                <c:pt idx="8">
                  <c:v>7</c:v>
                </c:pt>
                <c:pt idx="9">
                  <c:v>15</c:v>
                </c:pt>
                <c:pt idx="10">
                  <c:v>11</c:v>
                </c:pt>
                <c:pt idx="11">
                  <c:v>12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EE7-484C-BD81-92E397547986}"/>
            </c:ext>
          </c:extLst>
        </c:ser>
        <c:ser>
          <c:idx val="3"/>
          <c:order val="3"/>
          <c:tx>
            <c:strRef>
              <c:f>'20.10 Busembatya-Butongole'!$V$9</c:f>
              <c:strCache>
                <c:ptCount val="1"/>
                <c:pt idx="0">
                  <c:v>4. Minibus, matatu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'20.10 Busembatya-Butongole'!$V$10:$V$21</c:f>
              <c:numCache>
                <c:formatCode>0</c:formatCode>
                <c:ptCount val="12"/>
                <c:pt idx="0">
                  <c:v>14</c:v>
                </c:pt>
                <c:pt idx="1">
                  <c:v>33</c:v>
                </c:pt>
                <c:pt idx="2">
                  <c:v>35</c:v>
                </c:pt>
                <c:pt idx="3">
                  <c:v>28</c:v>
                </c:pt>
                <c:pt idx="4">
                  <c:v>41</c:v>
                </c:pt>
                <c:pt idx="5">
                  <c:v>30</c:v>
                </c:pt>
                <c:pt idx="6">
                  <c:v>35</c:v>
                </c:pt>
                <c:pt idx="7">
                  <c:v>38</c:v>
                </c:pt>
                <c:pt idx="8">
                  <c:v>42</c:v>
                </c:pt>
                <c:pt idx="9">
                  <c:v>52</c:v>
                </c:pt>
                <c:pt idx="10">
                  <c:v>67</c:v>
                </c:pt>
                <c:pt idx="11">
                  <c:v>53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EE7-484C-BD81-92E397547986}"/>
            </c:ext>
          </c:extLst>
        </c:ser>
        <c:ser>
          <c:idx val="4"/>
          <c:order val="4"/>
          <c:tx>
            <c:strRef>
              <c:f>'20.10 Busembatya-Butongole'!$W$9</c:f>
              <c:strCache>
                <c:ptCount val="1"/>
                <c:pt idx="0">
                  <c:v>5. Medium bus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'20.10 Busembatya-Butongole'!$W$10:$W$21</c:f>
              <c:numCache>
                <c:formatCode>0</c:formatCode>
                <c:ptCount val="12"/>
                <c:pt idx="0">
                  <c:v>3</c:v>
                </c:pt>
                <c:pt idx="1">
                  <c:v>2</c:v>
                </c:pt>
                <c:pt idx="2">
                  <c:v>0</c:v>
                </c:pt>
                <c:pt idx="3">
                  <c:v>0</c:v>
                </c:pt>
                <c:pt idx="4">
                  <c:v>1</c:v>
                </c:pt>
                <c:pt idx="5">
                  <c:v>3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2</c:v>
                </c:pt>
                <c:pt idx="11">
                  <c:v>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EEE7-484C-BD81-92E397547986}"/>
            </c:ext>
          </c:extLst>
        </c:ser>
        <c:ser>
          <c:idx val="5"/>
          <c:order val="5"/>
          <c:tx>
            <c:strRef>
              <c:f>'20.10 Busembatya-Butongole'!$X$9</c:f>
              <c:strCache>
                <c:ptCount val="1"/>
                <c:pt idx="0">
                  <c:v>6. Large Bus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'20.10 Busembatya-Butongole'!$X$10:$X$21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1</c:v>
                </c:pt>
                <c:pt idx="4">
                  <c:v>1</c:v>
                </c:pt>
                <c:pt idx="5">
                  <c:v>4</c:v>
                </c:pt>
                <c:pt idx="6">
                  <c:v>1</c:v>
                </c:pt>
                <c:pt idx="7">
                  <c:v>3</c:v>
                </c:pt>
                <c:pt idx="8">
                  <c:v>2</c:v>
                </c:pt>
                <c:pt idx="9">
                  <c:v>2</c:v>
                </c:pt>
                <c:pt idx="10">
                  <c:v>0</c:v>
                </c:pt>
                <c:pt idx="11">
                  <c:v>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EEE7-484C-BD81-92E397547986}"/>
            </c:ext>
          </c:extLst>
        </c:ser>
        <c:ser>
          <c:idx val="6"/>
          <c:order val="6"/>
          <c:tx>
            <c:strRef>
              <c:f>'20.10 Busembatya-Butongole'!$Y$9</c:f>
              <c:strCache>
                <c:ptCount val="1"/>
                <c:pt idx="0">
                  <c:v>7. Light Truck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'20.10 Busembatya-Butongole'!$Y$10:$Y$21</c:f>
              <c:numCache>
                <c:formatCode>0</c:formatCode>
                <c:ptCount val="12"/>
                <c:pt idx="0">
                  <c:v>0</c:v>
                </c:pt>
                <c:pt idx="1">
                  <c:v>2</c:v>
                </c:pt>
                <c:pt idx="2">
                  <c:v>2</c:v>
                </c:pt>
                <c:pt idx="3">
                  <c:v>1</c:v>
                </c:pt>
                <c:pt idx="4">
                  <c:v>2</c:v>
                </c:pt>
                <c:pt idx="5">
                  <c:v>8</c:v>
                </c:pt>
                <c:pt idx="6">
                  <c:v>6</c:v>
                </c:pt>
                <c:pt idx="7">
                  <c:v>5</c:v>
                </c:pt>
                <c:pt idx="8">
                  <c:v>1</c:v>
                </c:pt>
                <c:pt idx="9">
                  <c:v>6</c:v>
                </c:pt>
                <c:pt idx="10">
                  <c:v>5</c:v>
                </c:pt>
                <c:pt idx="11">
                  <c:v>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EEE7-484C-BD81-92E397547986}"/>
            </c:ext>
          </c:extLst>
        </c:ser>
        <c:ser>
          <c:idx val="7"/>
          <c:order val="7"/>
          <c:tx>
            <c:strRef>
              <c:f>'20.10 Busembatya-Butongole'!$Z$9</c:f>
              <c:strCache>
                <c:ptCount val="1"/>
                <c:pt idx="0">
                  <c:v>8. Medium Truck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'20.10 Busembatya-Butongole'!$Z$10:$Z$21</c:f>
              <c:numCache>
                <c:formatCode>0</c:formatCode>
                <c:ptCount val="12"/>
                <c:pt idx="0">
                  <c:v>1</c:v>
                </c:pt>
                <c:pt idx="1">
                  <c:v>8</c:v>
                </c:pt>
                <c:pt idx="2">
                  <c:v>5</c:v>
                </c:pt>
                <c:pt idx="3">
                  <c:v>1</c:v>
                </c:pt>
                <c:pt idx="4">
                  <c:v>3</c:v>
                </c:pt>
                <c:pt idx="5">
                  <c:v>2</c:v>
                </c:pt>
                <c:pt idx="6">
                  <c:v>1</c:v>
                </c:pt>
                <c:pt idx="7">
                  <c:v>1</c:v>
                </c:pt>
                <c:pt idx="8">
                  <c:v>5</c:v>
                </c:pt>
                <c:pt idx="9">
                  <c:v>7</c:v>
                </c:pt>
                <c:pt idx="10">
                  <c:v>14</c:v>
                </c:pt>
                <c:pt idx="11">
                  <c:v>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EEE7-484C-BD81-92E397547986}"/>
            </c:ext>
          </c:extLst>
        </c:ser>
        <c:ser>
          <c:idx val="8"/>
          <c:order val="8"/>
          <c:tx>
            <c:strRef>
              <c:f>'20.10 Busembatya-Butongole'!$AA$9</c:f>
              <c:strCache>
                <c:ptCount val="1"/>
                <c:pt idx="0">
                  <c:v>9. Heavy truck 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'20.10 Busembatya-Butongole'!$AA$10:$AA$21</c:f>
              <c:numCache>
                <c:formatCode>0</c:formatCode>
                <c:ptCount val="12"/>
                <c:pt idx="0">
                  <c:v>5</c:v>
                </c:pt>
                <c:pt idx="1">
                  <c:v>2</c:v>
                </c:pt>
                <c:pt idx="2">
                  <c:v>2</c:v>
                </c:pt>
                <c:pt idx="3">
                  <c:v>0</c:v>
                </c:pt>
                <c:pt idx="4">
                  <c:v>1</c:v>
                </c:pt>
                <c:pt idx="5">
                  <c:v>5</c:v>
                </c:pt>
                <c:pt idx="6">
                  <c:v>2</c:v>
                </c:pt>
                <c:pt idx="7">
                  <c:v>2</c:v>
                </c:pt>
                <c:pt idx="8">
                  <c:v>2</c:v>
                </c:pt>
                <c:pt idx="9">
                  <c:v>7</c:v>
                </c:pt>
                <c:pt idx="10">
                  <c:v>0</c:v>
                </c:pt>
                <c:pt idx="11">
                  <c:v>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EEE7-484C-BD81-92E397547986}"/>
            </c:ext>
          </c:extLst>
        </c:ser>
        <c:ser>
          <c:idx val="9"/>
          <c:order val="9"/>
          <c:tx>
            <c:strRef>
              <c:f>'20.10 Busembatya-Butongole'!$AB$9</c:f>
              <c:strCache>
                <c:ptCount val="1"/>
                <c:pt idx="0">
                  <c:v>10. Truck Trailer 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'20.10 Busembatya-Butongole'!$AB$10:$AB$21</c:f>
              <c:numCache>
                <c:formatCode>0</c:formatCode>
                <c:ptCount val="12"/>
                <c:pt idx="0">
                  <c:v>3</c:v>
                </c:pt>
                <c:pt idx="1">
                  <c:v>1</c:v>
                </c:pt>
                <c:pt idx="2">
                  <c:v>0</c:v>
                </c:pt>
                <c:pt idx="3">
                  <c:v>3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2</c:v>
                </c:pt>
                <c:pt idx="9">
                  <c:v>2</c:v>
                </c:pt>
                <c:pt idx="10">
                  <c:v>2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EEE7-484C-BD81-92E397547986}"/>
            </c:ext>
          </c:extLst>
        </c:ser>
        <c:ser>
          <c:idx val="10"/>
          <c:order val="10"/>
          <c:tx>
            <c:strRef>
              <c:f>'20.10 Busembatya-Butongole'!$AC$9</c:f>
              <c:strCache>
                <c:ptCount val="1"/>
                <c:pt idx="0">
                  <c:v>11. Motorcycles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'20.10 Busembatya-Butongole'!$AC$10:$AC$21</c:f>
              <c:numCache>
                <c:formatCode>0</c:formatCode>
                <c:ptCount val="12"/>
                <c:pt idx="0">
                  <c:v>33</c:v>
                </c:pt>
                <c:pt idx="1">
                  <c:v>37</c:v>
                </c:pt>
                <c:pt idx="2">
                  <c:v>34</c:v>
                </c:pt>
                <c:pt idx="3">
                  <c:v>42</c:v>
                </c:pt>
                <c:pt idx="4">
                  <c:v>23</c:v>
                </c:pt>
                <c:pt idx="5">
                  <c:v>15</c:v>
                </c:pt>
                <c:pt idx="6">
                  <c:v>37</c:v>
                </c:pt>
                <c:pt idx="7">
                  <c:v>53</c:v>
                </c:pt>
                <c:pt idx="8">
                  <c:v>41</c:v>
                </c:pt>
                <c:pt idx="9">
                  <c:v>29</c:v>
                </c:pt>
                <c:pt idx="10">
                  <c:v>42</c:v>
                </c:pt>
                <c:pt idx="11">
                  <c:v>41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EEE7-484C-BD81-92E397547986}"/>
            </c:ext>
          </c:extLst>
        </c:ser>
        <c:ser>
          <c:idx val="11"/>
          <c:order val="11"/>
          <c:tx>
            <c:strRef>
              <c:f>'20.10 Busembatya-Butongole'!$AD$9</c:f>
              <c:strCache>
                <c:ptCount val="1"/>
                <c:pt idx="0">
                  <c:v>12. Tractors, Graders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'20.10 Busembatya-Butongole'!$AD$10:$AD$21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1</c:v>
                </c:pt>
                <c:pt idx="7">
                  <c:v>0</c:v>
                </c:pt>
                <c:pt idx="8">
                  <c:v>1</c:v>
                </c:pt>
                <c:pt idx="9">
                  <c:v>1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EEE7-484C-BD81-92E39754798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1752320"/>
        <c:axId val="111753856"/>
      </c:lineChart>
      <c:catAx>
        <c:axId val="11175232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11753856"/>
        <c:crosses val="autoZero"/>
        <c:auto val="1"/>
        <c:lblAlgn val="ctr"/>
        <c:lblOffset val="100"/>
        <c:noMultiLvlLbl val="0"/>
      </c:catAx>
      <c:valAx>
        <c:axId val="1117538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5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05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 Volume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117523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D13E-4D2A-8551-63DD0883CC0B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D13E-4D2A-8551-63DD0883CC0B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D13E-4D2A-8551-63DD0883CC0B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D13E-4D2A-8551-63DD0883CC0B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D13E-4D2A-8551-63DD0883CC0B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D13E-4D2A-8551-63DD0883CC0B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D13E-4D2A-8551-63DD0883CC0B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D13E-4D2A-8551-63DD0883CC0B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D13E-4D2A-8551-63DD0883CC0B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D13E-4D2A-8551-63DD0883CC0B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D13E-4D2A-8551-63DD0883CC0B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D13E-4D2A-8551-63DD0883CC0B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D13E-4D2A-8551-63DD0883CC0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'20.10 Busembatya-Butongole'!$C$9:$N$9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'20.10 Busembatya-Butongole'!$C$60:$N$60</c:f>
              <c:numCache>
                <c:formatCode>0.00%</c:formatCode>
                <c:ptCount val="12"/>
                <c:pt idx="0">
                  <c:v>0.23873873873873874</c:v>
                </c:pt>
                <c:pt idx="1">
                  <c:v>8.3783783783783788E-2</c:v>
                </c:pt>
                <c:pt idx="2">
                  <c:v>9.7297297297297303E-2</c:v>
                </c:pt>
                <c:pt idx="3">
                  <c:v>0.42162162162162165</c:v>
                </c:pt>
                <c:pt idx="4">
                  <c:v>1.1711711711711712E-2</c:v>
                </c:pt>
                <c:pt idx="5">
                  <c:v>1.5315315315315315E-2</c:v>
                </c:pt>
                <c:pt idx="6">
                  <c:v>4.0540540540540543E-2</c:v>
                </c:pt>
                <c:pt idx="7">
                  <c:v>4.7747747747747746E-2</c:v>
                </c:pt>
                <c:pt idx="8">
                  <c:v>2.8828828828828829E-2</c:v>
                </c:pt>
                <c:pt idx="9">
                  <c:v>1.1711711711711712E-2</c:v>
                </c:pt>
                <c:pt idx="11">
                  <c:v>2.7027027027027029E-3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D13E-4D2A-8551-63DD0883CC0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'20.10 Butongole-Busembatya'!$AE$9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'20.10 Butongole-Busembatya'!$R$10:$R$21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'20.10 Butongole-Busembatya'!$AE$10:$AE$21</c:f>
              <c:numCache>
                <c:formatCode>0</c:formatCode>
                <c:ptCount val="12"/>
                <c:pt idx="0">
                  <c:v>45</c:v>
                </c:pt>
                <c:pt idx="1">
                  <c:v>49</c:v>
                </c:pt>
                <c:pt idx="2">
                  <c:v>61</c:v>
                </c:pt>
                <c:pt idx="3">
                  <c:v>91</c:v>
                </c:pt>
                <c:pt idx="4">
                  <c:v>96</c:v>
                </c:pt>
                <c:pt idx="5">
                  <c:v>107</c:v>
                </c:pt>
                <c:pt idx="6">
                  <c:v>83</c:v>
                </c:pt>
                <c:pt idx="7">
                  <c:v>93</c:v>
                </c:pt>
                <c:pt idx="8">
                  <c:v>93</c:v>
                </c:pt>
                <c:pt idx="9">
                  <c:v>96</c:v>
                </c:pt>
                <c:pt idx="10">
                  <c:v>105</c:v>
                </c:pt>
                <c:pt idx="11">
                  <c:v>95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4E57-4E01-B444-33D7FA1808CD}"/>
            </c:ext>
          </c:extLst>
        </c:ser>
        <c:ser>
          <c:idx val="1"/>
          <c:order val="1"/>
          <c:tx>
            <c:strRef>
              <c:f>'20.10 Butongole-Busembatya'!$AF$9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'20.10 Butongole-Busembatya'!$R$10:$R$21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'20.10 Butongole-Busembatya'!$AF$10:$AF$21</c:f>
              <c:numCache>
                <c:formatCode>0</c:formatCode>
                <c:ptCount val="12"/>
                <c:pt idx="0">
                  <c:v>78</c:v>
                </c:pt>
                <c:pt idx="1">
                  <c:v>94</c:v>
                </c:pt>
                <c:pt idx="2">
                  <c:v>117</c:v>
                </c:pt>
                <c:pt idx="3">
                  <c:v>136</c:v>
                </c:pt>
                <c:pt idx="4">
                  <c:v>146</c:v>
                </c:pt>
                <c:pt idx="5">
                  <c:v>175</c:v>
                </c:pt>
                <c:pt idx="6">
                  <c:v>155</c:v>
                </c:pt>
                <c:pt idx="7">
                  <c:v>161</c:v>
                </c:pt>
                <c:pt idx="8">
                  <c:v>160</c:v>
                </c:pt>
                <c:pt idx="9">
                  <c:v>117</c:v>
                </c:pt>
                <c:pt idx="10">
                  <c:v>155</c:v>
                </c:pt>
                <c:pt idx="11">
                  <c:v>150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4E57-4E01-B444-33D7FA1808C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11841664"/>
        <c:axId val="111843200"/>
      </c:lineChart>
      <c:catAx>
        <c:axId val="111841664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11843200"/>
        <c:crosses val="autoZero"/>
        <c:auto val="1"/>
        <c:lblAlgn val="ctr"/>
        <c:lblOffset val="100"/>
        <c:noMultiLvlLbl val="0"/>
      </c:catAx>
      <c:valAx>
        <c:axId val="111843200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1184166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5161-4E7D-9CEC-CABF73E743EC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5161-4E7D-9CEC-CABF73E743EC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5161-4E7D-9CEC-CABF73E743EC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5161-4E7D-9CEC-CABF73E743EC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5161-4E7D-9CEC-CABF73E743EC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5161-4E7D-9CEC-CABF73E743EC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5161-4E7D-9CEC-CABF73E743EC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5161-4E7D-9CEC-CABF73E743EC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5161-4E7D-9CEC-CABF73E743EC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5161-4E7D-9CEC-CABF73E743EC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5161-4E7D-9CEC-CABF73E743EC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5161-4E7D-9CEC-CABF73E743EC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5161-4E7D-9CEC-CABF73E743E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'20.10 Butongole-Busembatya'!$C$9:$N$9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'20.10 Butongole-Busembatya'!$C$59:$N$59</c:f>
              <c:numCache>
                <c:formatCode>0.0%</c:formatCode>
                <c:ptCount val="12"/>
                <c:pt idx="0">
                  <c:v>0.13625304136253041</c:v>
                </c:pt>
                <c:pt idx="1">
                  <c:v>5.2919708029197078E-2</c:v>
                </c:pt>
                <c:pt idx="2">
                  <c:v>4.5012165450121655E-2</c:v>
                </c:pt>
                <c:pt idx="3">
                  <c:v>0.29257907542579076</c:v>
                </c:pt>
                <c:pt idx="4">
                  <c:v>6.6909975669099753E-3</c:v>
                </c:pt>
                <c:pt idx="5">
                  <c:v>1.0948905109489052E-2</c:v>
                </c:pt>
                <c:pt idx="6">
                  <c:v>2.6155717761557177E-2</c:v>
                </c:pt>
                <c:pt idx="7">
                  <c:v>2.7372262773722629E-2</c:v>
                </c:pt>
                <c:pt idx="8">
                  <c:v>1.8856447688564478E-2</c:v>
                </c:pt>
                <c:pt idx="9">
                  <c:v>0</c:v>
                </c:pt>
                <c:pt idx="10">
                  <c:v>0.38321167883211676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5161-4E7D-9CEC-CABF73E743E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6E42-4CDD-86E3-A4C2F2E44AF9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6E42-4CDD-86E3-A4C2F2E44AF9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6E42-4CDD-86E3-A4C2F2E44AF9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6E42-4CDD-86E3-A4C2F2E44AF9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6E42-4CDD-86E3-A4C2F2E44AF9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6E42-4CDD-86E3-A4C2F2E44AF9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6E42-4CDD-86E3-A4C2F2E44AF9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6E42-4CDD-86E3-A4C2F2E44AF9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6E42-4CDD-86E3-A4C2F2E44AF9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6E42-4CDD-86E3-A4C2F2E44AF9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6E42-4CDD-86E3-A4C2F2E44AF9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6E42-4CDD-86E3-A4C2F2E44AF9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6E42-4CDD-86E3-A4C2F2E44AF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'20.10 Butongole-Busembatya'!$C$9:$N$9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'20.10 Butongole-Busembatya'!$C$60:$N$60</c:f>
              <c:numCache>
                <c:formatCode>0.00%</c:formatCode>
                <c:ptCount val="12"/>
                <c:pt idx="0">
                  <c:v>0.22090729783037474</c:v>
                </c:pt>
                <c:pt idx="1">
                  <c:v>8.5798816568047331E-2</c:v>
                </c:pt>
                <c:pt idx="2">
                  <c:v>7.2978303747534515E-2</c:v>
                </c:pt>
                <c:pt idx="3">
                  <c:v>0.47435897435897434</c:v>
                </c:pt>
                <c:pt idx="4">
                  <c:v>1.0848126232741617E-2</c:v>
                </c:pt>
                <c:pt idx="5">
                  <c:v>1.7751479289940829E-2</c:v>
                </c:pt>
                <c:pt idx="6">
                  <c:v>4.2406311637080869E-2</c:v>
                </c:pt>
                <c:pt idx="7">
                  <c:v>4.4378698224852069E-2</c:v>
                </c:pt>
                <c:pt idx="8">
                  <c:v>3.0571992110453649E-2</c:v>
                </c:pt>
                <c:pt idx="9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6E42-4CDD-86E3-A4C2F2E44AF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41523264176214386"/>
          <c:y val="2.9617409316263936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'21.10 Busembatya-Butongole-24h'!$AE$9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'21.10 Busembatya-Butongole-24h'!$R$10:$R$33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'21.10 Busembatya-Butongole-24h'!$AE$10:$AE$33</c:f>
              <c:numCache>
                <c:formatCode>0</c:formatCode>
                <c:ptCount val="24"/>
                <c:pt idx="0">
                  <c:v>62</c:v>
                </c:pt>
                <c:pt idx="1">
                  <c:v>60</c:v>
                </c:pt>
                <c:pt idx="2">
                  <c:v>51</c:v>
                </c:pt>
                <c:pt idx="3">
                  <c:v>47</c:v>
                </c:pt>
                <c:pt idx="4">
                  <c:v>67</c:v>
                </c:pt>
                <c:pt idx="5">
                  <c:v>69</c:v>
                </c:pt>
                <c:pt idx="6">
                  <c:v>95</c:v>
                </c:pt>
                <c:pt idx="7">
                  <c:v>67</c:v>
                </c:pt>
                <c:pt idx="8">
                  <c:v>63</c:v>
                </c:pt>
                <c:pt idx="9">
                  <c:v>85</c:v>
                </c:pt>
                <c:pt idx="10">
                  <c:v>109</c:v>
                </c:pt>
                <c:pt idx="11">
                  <c:v>82</c:v>
                </c:pt>
                <c:pt idx="12">
                  <c:v>89</c:v>
                </c:pt>
                <c:pt idx="13">
                  <c:v>65</c:v>
                </c:pt>
                <c:pt idx="14">
                  <c:v>32</c:v>
                </c:pt>
                <c:pt idx="15">
                  <c:v>26</c:v>
                </c:pt>
                <c:pt idx="16">
                  <c:v>13</c:v>
                </c:pt>
                <c:pt idx="17">
                  <c:v>19</c:v>
                </c:pt>
                <c:pt idx="18">
                  <c:v>7</c:v>
                </c:pt>
                <c:pt idx="19">
                  <c:v>12</c:v>
                </c:pt>
                <c:pt idx="20">
                  <c:v>9</c:v>
                </c:pt>
                <c:pt idx="21">
                  <c:v>13</c:v>
                </c:pt>
                <c:pt idx="22">
                  <c:v>22</c:v>
                </c:pt>
                <c:pt idx="23">
                  <c:v>40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DB9B-4793-84FD-99A5405B7AD3}"/>
            </c:ext>
          </c:extLst>
        </c:ser>
        <c:ser>
          <c:idx val="1"/>
          <c:order val="1"/>
          <c:tx>
            <c:strRef>
              <c:f>'21.10 Busembatya-Butongole-24h'!$AF$9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'21.10 Busembatya-Butongole-24h'!$R$10:$R$33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'21.10 Busembatya-Butongole-24h'!$AF$10:$AF$33</c:f>
              <c:numCache>
                <c:formatCode>0</c:formatCode>
                <c:ptCount val="24"/>
                <c:pt idx="0">
                  <c:v>85</c:v>
                </c:pt>
                <c:pt idx="1">
                  <c:v>80</c:v>
                </c:pt>
                <c:pt idx="2">
                  <c:v>72</c:v>
                </c:pt>
                <c:pt idx="3">
                  <c:v>70</c:v>
                </c:pt>
                <c:pt idx="4">
                  <c:v>93</c:v>
                </c:pt>
                <c:pt idx="5">
                  <c:v>109</c:v>
                </c:pt>
                <c:pt idx="6">
                  <c:v>138</c:v>
                </c:pt>
                <c:pt idx="7">
                  <c:v>103</c:v>
                </c:pt>
                <c:pt idx="8">
                  <c:v>86</c:v>
                </c:pt>
                <c:pt idx="9">
                  <c:v>118</c:v>
                </c:pt>
                <c:pt idx="10">
                  <c:v>169</c:v>
                </c:pt>
                <c:pt idx="11">
                  <c:v>129</c:v>
                </c:pt>
                <c:pt idx="12">
                  <c:v>142</c:v>
                </c:pt>
                <c:pt idx="13">
                  <c:v>89</c:v>
                </c:pt>
                <c:pt idx="14">
                  <c:v>42</c:v>
                </c:pt>
                <c:pt idx="15">
                  <c:v>29</c:v>
                </c:pt>
                <c:pt idx="16">
                  <c:v>13</c:v>
                </c:pt>
                <c:pt idx="17">
                  <c:v>20</c:v>
                </c:pt>
                <c:pt idx="18">
                  <c:v>7</c:v>
                </c:pt>
                <c:pt idx="19">
                  <c:v>12</c:v>
                </c:pt>
                <c:pt idx="20">
                  <c:v>10</c:v>
                </c:pt>
                <c:pt idx="21">
                  <c:v>15</c:v>
                </c:pt>
                <c:pt idx="22">
                  <c:v>25</c:v>
                </c:pt>
                <c:pt idx="23">
                  <c:v>71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DB9B-4793-84FD-99A5405B7AD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14410240"/>
        <c:axId val="114411776"/>
      </c:lineChart>
      <c:catAx>
        <c:axId val="114410240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14411776"/>
        <c:crosses val="autoZero"/>
        <c:auto val="1"/>
        <c:lblAlgn val="ctr"/>
        <c:lblOffset val="100"/>
        <c:noMultiLvlLbl val="0"/>
      </c:catAx>
      <c:valAx>
        <c:axId val="114411776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14410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CC19-40B6-88F6-F149CBCFBC0F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CC19-40B6-88F6-F149CBCFBC0F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CC19-40B6-88F6-F149CBCFBC0F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CC19-40B6-88F6-F149CBCFBC0F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CC19-40B6-88F6-F149CBCFBC0F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CC19-40B6-88F6-F149CBCFBC0F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CC19-40B6-88F6-F149CBCFBC0F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CC19-40B6-88F6-F149CBCFBC0F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CC19-40B6-88F6-F149CBCFBC0F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CC19-40B6-88F6-F149CBCFBC0F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CC19-40B6-88F6-F149CBCFBC0F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CC19-40B6-88F6-F149CBCFBC0F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CC19-40B6-88F6-F149CBCFBC0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'21.10 Busembatya-Butongole-24h'!$C$9:$N$9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'21.10 Busembatya-Butongole-24h'!$C$107:$N$107</c:f>
              <c:numCache>
                <c:formatCode>0.0%</c:formatCode>
                <c:ptCount val="12"/>
                <c:pt idx="0">
                  <c:v>0.10538506079907353</c:v>
                </c:pt>
                <c:pt idx="1">
                  <c:v>4.2848870874348584E-2</c:v>
                </c:pt>
                <c:pt idx="2">
                  <c:v>7.1221771858714533E-2</c:v>
                </c:pt>
                <c:pt idx="3">
                  <c:v>0.29530978575564565</c:v>
                </c:pt>
                <c:pt idx="4">
                  <c:v>1.0422698320787493E-2</c:v>
                </c:pt>
                <c:pt idx="5">
                  <c:v>2.1424435437174292E-2</c:v>
                </c:pt>
                <c:pt idx="6">
                  <c:v>5.6745801968731906E-2</c:v>
                </c:pt>
                <c:pt idx="7">
                  <c:v>3.9953676896352056E-2</c:v>
                </c:pt>
                <c:pt idx="8">
                  <c:v>3.7637521713954833E-2</c:v>
                </c:pt>
                <c:pt idx="9">
                  <c:v>1.4475969889982629E-2</c:v>
                </c:pt>
                <c:pt idx="10">
                  <c:v>0.30283729009843657</c:v>
                </c:pt>
                <c:pt idx="11">
                  <c:v>1.7371163867979154E-3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CC19-40B6-88F6-F149CBCFBC0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6F34-448D-935B-A3D0702D3518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6F34-448D-935B-A3D0702D3518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6F34-448D-935B-A3D0702D3518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6F34-448D-935B-A3D0702D3518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6F34-448D-935B-A3D0702D3518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6F34-448D-935B-A3D0702D3518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6F34-448D-935B-A3D0702D3518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6F34-448D-935B-A3D0702D3518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6F34-448D-935B-A3D0702D3518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6F34-448D-935B-A3D0702D3518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6F34-448D-935B-A3D0702D3518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6F34-448D-935B-A3D0702D3518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6F34-448D-935B-A3D0702D3518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'21.10 Busembatya-Butongole-24h'!$C$9:$N$9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'21.10 Busembatya-Butongole-24h'!$C$108:$N$108</c:f>
              <c:numCache>
                <c:formatCode>0.00%</c:formatCode>
                <c:ptCount val="12"/>
                <c:pt idx="0">
                  <c:v>0.15116279069767441</c:v>
                </c:pt>
                <c:pt idx="1">
                  <c:v>6.1461794019933555E-2</c:v>
                </c:pt>
                <c:pt idx="2">
                  <c:v>0.10215946843853821</c:v>
                </c:pt>
                <c:pt idx="3">
                  <c:v>0.42358803986710963</c:v>
                </c:pt>
                <c:pt idx="4">
                  <c:v>1.4950166112956811E-2</c:v>
                </c:pt>
                <c:pt idx="5">
                  <c:v>3.0730897009966777E-2</c:v>
                </c:pt>
                <c:pt idx="6">
                  <c:v>8.1395348837209308E-2</c:v>
                </c:pt>
                <c:pt idx="7">
                  <c:v>5.7308970099667775E-2</c:v>
                </c:pt>
                <c:pt idx="8">
                  <c:v>5.3986710963455149E-2</c:v>
                </c:pt>
                <c:pt idx="9">
                  <c:v>2.0764119601328904E-2</c:v>
                </c:pt>
                <c:pt idx="11">
                  <c:v>2.4916943521594683E-3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6F34-448D-935B-A3D0702D351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41523264176214386"/>
          <c:y val="2.9617409316263936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'21.10 -Butongole-Bsembatya-24h'!$AE$9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'21.10 -Butongole-Bsembatya-24h'!$R$10:$R$33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'21.10 -Butongole-Bsembatya-24h'!$AE$10:$AE$33</c:f>
              <c:numCache>
                <c:formatCode>0</c:formatCode>
                <c:ptCount val="24"/>
                <c:pt idx="0">
                  <c:v>41</c:v>
                </c:pt>
                <c:pt idx="1">
                  <c:v>69</c:v>
                </c:pt>
                <c:pt idx="2">
                  <c:v>78</c:v>
                </c:pt>
                <c:pt idx="3">
                  <c:v>87</c:v>
                </c:pt>
                <c:pt idx="4">
                  <c:v>90</c:v>
                </c:pt>
                <c:pt idx="5">
                  <c:v>100</c:v>
                </c:pt>
                <c:pt idx="6">
                  <c:v>111</c:v>
                </c:pt>
                <c:pt idx="7">
                  <c:v>124</c:v>
                </c:pt>
                <c:pt idx="8">
                  <c:v>98</c:v>
                </c:pt>
                <c:pt idx="9">
                  <c:v>102</c:v>
                </c:pt>
                <c:pt idx="10">
                  <c:v>106</c:v>
                </c:pt>
                <c:pt idx="11">
                  <c:v>105</c:v>
                </c:pt>
                <c:pt idx="12">
                  <c:v>87</c:v>
                </c:pt>
                <c:pt idx="13">
                  <c:v>66</c:v>
                </c:pt>
                <c:pt idx="14">
                  <c:v>39</c:v>
                </c:pt>
                <c:pt idx="15">
                  <c:v>35</c:v>
                </c:pt>
                <c:pt idx="16">
                  <c:v>29</c:v>
                </c:pt>
                <c:pt idx="17">
                  <c:v>23</c:v>
                </c:pt>
                <c:pt idx="18">
                  <c:v>15</c:v>
                </c:pt>
                <c:pt idx="19">
                  <c:v>13</c:v>
                </c:pt>
                <c:pt idx="20">
                  <c:v>18</c:v>
                </c:pt>
                <c:pt idx="21">
                  <c:v>8</c:v>
                </c:pt>
                <c:pt idx="22">
                  <c:v>13</c:v>
                </c:pt>
                <c:pt idx="23">
                  <c:v>40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83B5-43D7-8A8D-1950D8303871}"/>
            </c:ext>
          </c:extLst>
        </c:ser>
        <c:ser>
          <c:idx val="1"/>
          <c:order val="1"/>
          <c:tx>
            <c:strRef>
              <c:f>'21.10 -Butongole-Bsembatya-24h'!$AF$9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'21.10 -Butongole-Bsembatya-24h'!$R$10:$R$33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'21.10 -Butongole-Bsembatya-24h'!$AF$10:$AF$33</c:f>
              <c:numCache>
                <c:formatCode>0</c:formatCode>
                <c:ptCount val="24"/>
                <c:pt idx="0">
                  <c:v>65</c:v>
                </c:pt>
                <c:pt idx="1">
                  <c:v>99</c:v>
                </c:pt>
                <c:pt idx="2">
                  <c:v>100</c:v>
                </c:pt>
                <c:pt idx="3">
                  <c:v>124</c:v>
                </c:pt>
                <c:pt idx="4">
                  <c:v>128</c:v>
                </c:pt>
                <c:pt idx="5">
                  <c:v>165</c:v>
                </c:pt>
                <c:pt idx="6">
                  <c:v>154</c:v>
                </c:pt>
                <c:pt idx="7">
                  <c:v>173</c:v>
                </c:pt>
                <c:pt idx="8">
                  <c:v>148</c:v>
                </c:pt>
                <c:pt idx="9">
                  <c:v>152</c:v>
                </c:pt>
                <c:pt idx="10">
                  <c:v>182</c:v>
                </c:pt>
                <c:pt idx="11">
                  <c:v>159</c:v>
                </c:pt>
                <c:pt idx="12">
                  <c:v>152</c:v>
                </c:pt>
                <c:pt idx="13">
                  <c:v>86</c:v>
                </c:pt>
                <c:pt idx="14">
                  <c:v>54</c:v>
                </c:pt>
                <c:pt idx="15">
                  <c:v>40</c:v>
                </c:pt>
                <c:pt idx="16">
                  <c:v>29</c:v>
                </c:pt>
                <c:pt idx="17">
                  <c:v>24</c:v>
                </c:pt>
                <c:pt idx="18">
                  <c:v>15</c:v>
                </c:pt>
                <c:pt idx="19">
                  <c:v>16</c:v>
                </c:pt>
                <c:pt idx="20">
                  <c:v>19</c:v>
                </c:pt>
                <c:pt idx="21">
                  <c:v>9</c:v>
                </c:pt>
                <c:pt idx="22">
                  <c:v>16</c:v>
                </c:pt>
                <c:pt idx="23">
                  <c:v>81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83B5-43D7-8A8D-1950D830387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15866240"/>
        <c:axId val="115888512"/>
      </c:lineChart>
      <c:catAx>
        <c:axId val="115866240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15888512"/>
        <c:crosses val="autoZero"/>
        <c:auto val="1"/>
        <c:lblAlgn val="ctr"/>
        <c:lblOffset val="100"/>
        <c:noMultiLvlLbl val="0"/>
      </c:catAx>
      <c:valAx>
        <c:axId val="115888512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15866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3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4CC2-41FB-AB6C-D0315A687D35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4CC2-41FB-AB6C-D0315A687D35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4CC2-41FB-AB6C-D0315A687D35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4CC2-41FB-AB6C-D0315A687D35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4CC2-41FB-AB6C-D0315A687D35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4CC2-41FB-AB6C-D0315A687D35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4CC2-41FB-AB6C-D0315A687D35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4CC2-41FB-AB6C-D0315A687D35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4CC2-41FB-AB6C-D0315A687D35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4CC2-41FB-AB6C-D0315A687D35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4CC2-41FB-AB6C-D0315A687D35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4CC2-41FB-AB6C-D0315A687D35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4CC2-41FB-AB6C-D0315A687D3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'21.10 -Butongole-Bsembatya-24h'!$C$9:$N$9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'21.10 -Butongole-Bsembatya-24h'!$C$107:$N$107</c:f>
              <c:numCache>
                <c:formatCode>0.0%</c:formatCode>
                <c:ptCount val="12"/>
                <c:pt idx="0">
                  <c:v>0.11735159817351598</c:v>
                </c:pt>
                <c:pt idx="1">
                  <c:v>5.8447488584474884E-2</c:v>
                </c:pt>
                <c:pt idx="2">
                  <c:v>7.8538812785388129E-2</c:v>
                </c:pt>
                <c:pt idx="3">
                  <c:v>0.24520547945205479</c:v>
                </c:pt>
                <c:pt idx="4">
                  <c:v>1.6894977168949773E-2</c:v>
                </c:pt>
                <c:pt idx="5">
                  <c:v>1.7351598173515982E-2</c:v>
                </c:pt>
                <c:pt idx="6">
                  <c:v>6.8949771689497716E-2</c:v>
                </c:pt>
                <c:pt idx="7">
                  <c:v>3.744292237442922E-2</c:v>
                </c:pt>
                <c:pt idx="8">
                  <c:v>2.1461187214611873E-2</c:v>
                </c:pt>
                <c:pt idx="9">
                  <c:v>2.0547945205479451E-2</c:v>
                </c:pt>
                <c:pt idx="10">
                  <c:v>0.31643835616438354</c:v>
                </c:pt>
                <c:pt idx="11">
                  <c:v>1.3698630136986301E-3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4CC2-41FB-AB6C-D0315A687D3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3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477A-4202-BB82-6DE350EE311C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477A-4202-BB82-6DE350EE311C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477A-4202-BB82-6DE350EE311C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477A-4202-BB82-6DE350EE311C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477A-4202-BB82-6DE350EE311C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477A-4202-BB82-6DE350EE311C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477A-4202-BB82-6DE350EE311C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477A-4202-BB82-6DE350EE311C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477A-4202-BB82-6DE350EE311C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477A-4202-BB82-6DE350EE311C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477A-4202-BB82-6DE350EE311C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477A-4202-BB82-6DE350EE311C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477A-4202-BB82-6DE350EE311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'21.10 -Butongole-Bsembatya-24h'!$C$9:$N$9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'21.10 -Butongole-Bsembatya-24h'!$C$108:$N$108</c:f>
              <c:numCache>
                <c:formatCode>0.00%</c:formatCode>
                <c:ptCount val="12"/>
                <c:pt idx="0">
                  <c:v>0.17167668670674682</c:v>
                </c:pt>
                <c:pt idx="1">
                  <c:v>8.5504342017368076E-2</c:v>
                </c:pt>
                <c:pt idx="2">
                  <c:v>0.11489645958583834</c:v>
                </c:pt>
                <c:pt idx="3">
                  <c:v>0.3587174348697395</c:v>
                </c:pt>
                <c:pt idx="4">
                  <c:v>2.4716098864395457E-2</c:v>
                </c:pt>
                <c:pt idx="5">
                  <c:v>2.5384101536406144E-2</c:v>
                </c:pt>
                <c:pt idx="6">
                  <c:v>0.10086840347361389</c:v>
                </c:pt>
                <c:pt idx="7">
                  <c:v>5.4776219104876421E-2</c:v>
                </c:pt>
                <c:pt idx="8">
                  <c:v>3.1396125584502339E-2</c:v>
                </c:pt>
                <c:pt idx="9">
                  <c:v>3.0060120240480961E-2</c:v>
                </c:pt>
                <c:pt idx="11">
                  <c:v>2.004008016032064E-3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477A-4202-BB82-6DE350EE311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3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'22.10 Busembatya-Butongole'!$AE$9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'22.10 Busembatya-Butongole'!$R$10:$R$21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'22.10 Busembatya-Butongole'!$AE$10:$AE$21</c:f>
              <c:numCache>
                <c:formatCode>0</c:formatCode>
                <c:ptCount val="12"/>
                <c:pt idx="0">
                  <c:v>59</c:v>
                </c:pt>
                <c:pt idx="1">
                  <c:v>65</c:v>
                </c:pt>
                <c:pt idx="2">
                  <c:v>73</c:v>
                </c:pt>
                <c:pt idx="3">
                  <c:v>71</c:v>
                </c:pt>
                <c:pt idx="4">
                  <c:v>73</c:v>
                </c:pt>
                <c:pt idx="5">
                  <c:v>82</c:v>
                </c:pt>
                <c:pt idx="6">
                  <c:v>79</c:v>
                </c:pt>
                <c:pt idx="7">
                  <c:v>77</c:v>
                </c:pt>
                <c:pt idx="8">
                  <c:v>93</c:v>
                </c:pt>
                <c:pt idx="9">
                  <c:v>83</c:v>
                </c:pt>
                <c:pt idx="10">
                  <c:v>115</c:v>
                </c:pt>
                <c:pt idx="11">
                  <c:v>94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4C61-4EFF-B3FE-B7ED65A6BB38}"/>
            </c:ext>
          </c:extLst>
        </c:ser>
        <c:ser>
          <c:idx val="1"/>
          <c:order val="1"/>
          <c:tx>
            <c:strRef>
              <c:f>'22.10 Busembatya-Butongole'!$AF$9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'22.10 Busembatya-Butongole'!$R$10:$R$21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'22.10 Busembatya-Butongole'!$AF$10:$AF$21</c:f>
              <c:numCache>
                <c:formatCode>0</c:formatCode>
                <c:ptCount val="12"/>
                <c:pt idx="0">
                  <c:v>96</c:v>
                </c:pt>
                <c:pt idx="1">
                  <c:v>97</c:v>
                </c:pt>
                <c:pt idx="2">
                  <c:v>113</c:v>
                </c:pt>
                <c:pt idx="3">
                  <c:v>112</c:v>
                </c:pt>
                <c:pt idx="4">
                  <c:v>102</c:v>
                </c:pt>
                <c:pt idx="5">
                  <c:v>127</c:v>
                </c:pt>
                <c:pt idx="6">
                  <c:v>111</c:v>
                </c:pt>
                <c:pt idx="7">
                  <c:v>105</c:v>
                </c:pt>
                <c:pt idx="8">
                  <c:v>117</c:v>
                </c:pt>
                <c:pt idx="9">
                  <c:v>101</c:v>
                </c:pt>
                <c:pt idx="10">
                  <c:v>144</c:v>
                </c:pt>
                <c:pt idx="11">
                  <c:v>118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4C61-4EFF-B3FE-B7ED65A6BB3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12530944"/>
        <c:axId val="112532480"/>
      </c:lineChart>
      <c:catAx>
        <c:axId val="112530944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12532480"/>
        <c:crosses val="autoZero"/>
        <c:auto val="1"/>
        <c:lblAlgn val="ctr"/>
        <c:lblOffset val="100"/>
        <c:noMultiLvlLbl val="0"/>
      </c:catAx>
      <c:valAx>
        <c:axId val="112532480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1253094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3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4385-42DE-9260-DCACDBA6D289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4385-42DE-9260-DCACDBA6D289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4385-42DE-9260-DCACDBA6D289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4385-42DE-9260-DCACDBA6D289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4385-42DE-9260-DCACDBA6D289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4385-42DE-9260-DCACDBA6D289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4385-42DE-9260-DCACDBA6D289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4385-42DE-9260-DCACDBA6D289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4385-42DE-9260-DCACDBA6D289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4385-42DE-9260-DCACDBA6D289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4385-42DE-9260-DCACDBA6D289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4385-42DE-9260-DCACDBA6D289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4385-42DE-9260-DCACDBA6D28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'22.10 Busembatya-Butongole'!$C$9:$N$9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'22.10 Busembatya-Butongole'!$C$59:$N$59</c:f>
              <c:numCache>
                <c:formatCode>0.0%</c:formatCode>
                <c:ptCount val="12"/>
                <c:pt idx="0">
                  <c:v>0.12285927029039465</c:v>
                </c:pt>
                <c:pt idx="1">
                  <c:v>5.5845122859270291E-2</c:v>
                </c:pt>
                <c:pt idx="2">
                  <c:v>6.7014147431124355E-2</c:v>
                </c:pt>
                <c:pt idx="3">
                  <c:v>0.32315711094564409</c:v>
                </c:pt>
                <c:pt idx="4">
                  <c:v>6.7014147431124346E-3</c:v>
                </c:pt>
                <c:pt idx="5">
                  <c:v>1.1913626209977662E-2</c:v>
                </c:pt>
                <c:pt idx="6">
                  <c:v>4.244229337304542E-2</c:v>
                </c:pt>
                <c:pt idx="7">
                  <c:v>3.9463886820551006E-2</c:v>
                </c:pt>
                <c:pt idx="8">
                  <c:v>2.0104244229337303E-2</c:v>
                </c:pt>
                <c:pt idx="9">
                  <c:v>2.3082650781831721E-2</c:v>
                </c:pt>
                <c:pt idx="10">
                  <c:v>0.28220402084884588</c:v>
                </c:pt>
                <c:pt idx="11">
                  <c:v>5.2122114668652275E-3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4385-42DE-9260-DCACDBA6D28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3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Hourly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Variation of Classified Traffic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31244670799128843"/>
          <c:y val="2.2960226637323725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'22.10 Busembatya-Butongole'!$S$9</c:f>
              <c:strCache>
                <c:ptCount val="1"/>
                <c:pt idx="0">
                  <c:v>1. Car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'22.10 Busembatya-Butongole'!$R$10:$R$21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'22.10 Busembatya-Butongole'!$S$10:$S$21</c:f>
              <c:numCache>
                <c:formatCode>0</c:formatCode>
                <c:ptCount val="12"/>
                <c:pt idx="0">
                  <c:v>10</c:v>
                </c:pt>
                <c:pt idx="1">
                  <c:v>7</c:v>
                </c:pt>
                <c:pt idx="2">
                  <c:v>9</c:v>
                </c:pt>
                <c:pt idx="3">
                  <c:v>15</c:v>
                </c:pt>
                <c:pt idx="4">
                  <c:v>12</c:v>
                </c:pt>
                <c:pt idx="5">
                  <c:v>15</c:v>
                </c:pt>
                <c:pt idx="6">
                  <c:v>10</c:v>
                </c:pt>
                <c:pt idx="7">
                  <c:v>19</c:v>
                </c:pt>
                <c:pt idx="8">
                  <c:v>20</c:v>
                </c:pt>
                <c:pt idx="9">
                  <c:v>13</c:v>
                </c:pt>
                <c:pt idx="10">
                  <c:v>22</c:v>
                </c:pt>
                <c:pt idx="11">
                  <c:v>13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F565-49B4-8ABB-8A67B7CF0463}"/>
            </c:ext>
          </c:extLst>
        </c:ser>
        <c:ser>
          <c:idx val="1"/>
          <c:order val="1"/>
          <c:tx>
            <c:strRef>
              <c:f>'22.10 Busembatya-Butongole'!$T$9</c:f>
              <c:strCache>
                <c:ptCount val="1"/>
                <c:pt idx="0">
                  <c:v>2. Station Wagon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'22.10 Busembatya-Butongole'!$R$10:$R$21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'22.10 Busembatya-Butongole'!$T$10:$T$21</c:f>
              <c:numCache>
                <c:formatCode>0</c:formatCode>
                <c:ptCount val="12"/>
                <c:pt idx="0">
                  <c:v>4</c:v>
                </c:pt>
                <c:pt idx="1">
                  <c:v>5</c:v>
                </c:pt>
                <c:pt idx="2">
                  <c:v>4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4</c:v>
                </c:pt>
                <c:pt idx="7">
                  <c:v>6</c:v>
                </c:pt>
                <c:pt idx="8">
                  <c:v>9</c:v>
                </c:pt>
                <c:pt idx="9">
                  <c:v>8</c:v>
                </c:pt>
                <c:pt idx="10">
                  <c:v>10</c:v>
                </c:pt>
                <c:pt idx="11">
                  <c:v>13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F565-49B4-8ABB-8A67B7CF0463}"/>
            </c:ext>
          </c:extLst>
        </c:ser>
        <c:ser>
          <c:idx val="2"/>
          <c:order val="2"/>
          <c:tx>
            <c:strRef>
              <c:f>'22.10 Busembatya-Butongole'!$U$9</c:f>
              <c:strCache>
                <c:ptCount val="1"/>
                <c:pt idx="0">
                  <c:v>3. Pickups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'22.10 Busembatya-Butongole'!$U$10:$U$21</c:f>
              <c:numCache>
                <c:formatCode>0</c:formatCode>
                <c:ptCount val="12"/>
                <c:pt idx="0">
                  <c:v>5</c:v>
                </c:pt>
                <c:pt idx="1">
                  <c:v>9</c:v>
                </c:pt>
                <c:pt idx="2">
                  <c:v>7</c:v>
                </c:pt>
                <c:pt idx="3">
                  <c:v>4</c:v>
                </c:pt>
                <c:pt idx="4">
                  <c:v>6</c:v>
                </c:pt>
                <c:pt idx="5">
                  <c:v>3</c:v>
                </c:pt>
                <c:pt idx="6">
                  <c:v>7</c:v>
                </c:pt>
                <c:pt idx="7">
                  <c:v>4</c:v>
                </c:pt>
                <c:pt idx="8">
                  <c:v>12</c:v>
                </c:pt>
                <c:pt idx="9">
                  <c:v>11</c:v>
                </c:pt>
                <c:pt idx="10">
                  <c:v>13</c:v>
                </c:pt>
                <c:pt idx="11">
                  <c:v>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565-49B4-8ABB-8A67B7CF0463}"/>
            </c:ext>
          </c:extLst>
        </c:ser>
        <c:ser>
          <c:idx val="3"/>
          <c:order val="3"/>
          <c:tx>
            <c:strRef>
              <c:f>'22.10 Busembatya-Butongole'!$V$9</c:f>
              <c:strCache>
                <c:ptCount val="1"/>
                <c:pt idx="0">
                  <c:v>4. Minibus, matatu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'22.10 Busembatya-Butongole'!$V$10:$V$21</c:f>
              <c:numCache>
                <c:formatCode>0</c:formatCode>
                <c:ptCount val="12"/>
                <c:pt idx="0">
                  <c:v>25</c:v>
                </c:pt>
                <c:pt idx="1">
                  <c:v>29</c:v>
                </c:pt>
                <c:pt idx="2">
                  <c:v>38</c:v>
                </c:pt>
                <c:pt idx="3">
                  <c:v>41</c:v>
                </c:pt>
                <c:pt idx="4">
                  <c:v>35</c:v>
                </c:pt>
                <c:pt idx="5">
                  <c:v>42</c:v>
                </c:pt>
                <c:pt idx="6">
                  <c:v>44</c:v>
                </c:pt>
                <c:pt idx="7">
                  <c:v>28</c:v>
                </c:pt>
                <c:pt idx="8">
                  <c:v>28</c:v>
                </c:pt>
                <c:pt idx="9">
                  <c:v>37</c:v>
                </c:pt>
                <c:pt idx="10">
                  <c:v>46</c:v>
                </c:pt>
                <c:pt idx="11">
                  <c:v>41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F565-49B4-8ABB-8A67B7CF0463}"/>
            </c:ext>
          </c:extLst>
        </c:ser>
        <c:ser>
          <c:idx val="4"/>
          <c:order val="4"/>
          <c:tx>
            <c:strRef>
              <c:f>'22.10 Busembatya-Butongole'!$W$9</c:f>
              <c:strCache>
                <c:ptCount val="1"/>
                <c:pt idx="0">
                  <c:v>5. Medium bus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'22.10 Busembatya-Butongole'!$W$10:$W$21</c:f>
              <c:numCache>
                <c:formatCode>0</c:formatCode>
                <c:ptCount val="12"/>
                <c:pt idx="0">
                  <c:v>1</c:v>
                </c:pt>
                <c:pt idx="1">
                  <c:v>3</c:v>
                </c:pt>
                <c:pt idx="2">
                  <c:v>0</c:v>
                </c:pt>
                <c:pt idx="3">
                  <c:v>0</c:v>
                </c:pt>
                <c:pt idx="4">
                  <c:v>1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F565-49B4-8ABB-8A67B7CF0463}"/>
            </c:ext>
          </c:extLst>
        </c:ser>
        <c:ser>
          <c:idx val="5"/>
          <c:order val="5"/>
          <c:tx>
            <c:strRef>
              <c:f>'22.10 Busembatya-Butongole'!$X$9</c:f>
              <c:strCache>
                <c:ptCount val="1"/>
                <c:pt idx="0">
                  <c:v>6. Large Bus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'22.10 Busembatya-Butongole'!$X$10:$X$21</c:f>
              <c:numCache>
                <c:formatCode>0</c:formatCode>
                <c:ptCount val="12"/>
                <c:pt idx="0">
                  <c:v>1</c:v>
                </c:pt>
                <c:pt idx="1">
                  <c:v>0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2</c:v>
                </c:pt>
                <c:pt idx="7">
                  <c:v>3</c:v>
                </c:pt>
                <c:pt idx="8">
                  <c:v>1</c:v>
                </c:pt>
                <c:pt idx="9">
                  <c:v>2</c:v>
                </c:pt>
                <c:pt idx="10">
                  <c:v>0</c:v>
                </c:pt>
                <c:pt idx="11">
                  <c:v>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F565-49B4-8ABB-8A67B7CF0463}"/>
            </c:ext>
          </c:extLst>
        </c:ser>
        <c:ser>
          <c:idx val="6"/>
          <c:order val="6"/>
          <c:tx>
            <c:strRef>
              <c:f>'22.10 Busembatya-Butongole'!$Y$9</c:f>
              <c:strCache>
                <c:ptCount val="1"/>
                <c:pt idx="0">
                  <c:v>7. Light Truck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'22.10 Busembatya-Butongole'!$Y$10:$Y$21</c:f>
              <c:numCache>
                <c:formatCode>0</c:formatCode>
                <c:ptCount val="12"/>
                <c:pt idx="0">
                  <c:v>5</c:v>
                </c:pt>
                <c:pt idx="1">
                  <c:v>2</c:v>
                </c:pt>
                <c:pt idx="2">
                  <c:v>5</c:v>
                </c:pt>
                <c:pt idx="3">
                  <c:v>2</c:v>
                </c:pt>
                <c:pt idx="4">
                  <c:v>8</c:v>
                </c:pt>
                <c:pt idx="5">
                  <c:v>4</c:v>
                </c:pt>
                <c:pt idx="6">
                  <c:v>5</c:v>
                </c:pt>
                <c:pt idx="7">
                  <c:v>2</c:v>
                </c:pt>
                <c:pt idx="8">
                  <c:v>9</c:v>
                </c:pt>
                <c:pt idx="9">
                  <c:v>3</c:v>
                </c:pt>
                <c:pt idx="10">
                  <c:v>7</c:v>
                </c:pt>
                <c:pt idx="11">
                  <c:v>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F565-49B4-8ABB-8A67B7CF0463}"/>
            </c:ext>
          </c:extLst>
        </c:ser>
        <c:ser>
          <c:idx val="7"/>
          <c:order val="7"/>
          <c:tx>
            <c:strRef>
              <c:f>'22.10 Busembatya-Butongole'!$Z$9</c:f>
              <c:strCache>
                <c:ptCount val="1"/>
                <c:pt idx="0">
                  <c:v>8. Medium Truck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'22.10 Busembatya-Butongole'!$Z$10:$Z$21</c:f>
              <c:numCache>
                <c:formatCode>0</c:formatCode>
                <c:ptCount val="12"/>
                <c:pt idx="0">
                  <c:v>4</c:v>
                </c:pt>
                <c:pt idx="1">
                  <c:v>5</c:v>
                </c:pt>
                <c:pt idx="2">
                  <c:v>3</c:v>
                </c:pt>
                <c:pt idx="3">
                  <c:v>0</c:v>
                </c:pt>
                <c:pt idx="4">
                  <c:v>5</c:v>
                </c:pt>
                <c:pt idx="5">
                  <c:v>5</c:v>
                </c:pt>
                <c:pt idx="6">
                  <c:v>5</c:v>
                </c:pt>
                <c:pt idx="7">
                  <c:v>3</c:v>
                </c:pt>
                <c:pt idx="8">
                  <c:v>5</c:v>
                </c:pt>
                <c:pt idx="9">
                  <c:v>4</c:v>
                </c:pt>
                <c:pt idx="10">
                  <c:v>8</c:v>
                </c:pt>
                <c:pt idx="11">
                  <c:v>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F565-49B4-8ABB-8A67B7CF0463}"/>
            </c:ext>
          </c:extLst>
        </c:ser>
        <c:ser>
          <c:idx val="8"/>
          <c:order val="8"/>
          <c:tx>
            <c:strRef>
              <c:f>'22.10 Busembatya-Butongole'!$AA$9</c:f>
              <c:strCache>
                <c:ptCount val="1"/>
                <c:pt idx="0">
                  <c:v>9. Heavy truck 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'22.10 Busembatya-Butongole'!$AA$10:$AA$21</c:f>
              <c:numCache>
                <c:formatCode>0</c:formatCode>
                <c:ptCount val="12"/>
                <c:pt idx="0">
                  <c:v>2</c:v>
                </c:pt>
                <c:pt idx="1">
                  <c:v>0</c:v>
                </c:pt>
                <c:pt idx="2">
                  <c:v>2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2</c:v>
                </c:pt>
                <c:pt idx="7">
                  <c:v>3</c:v>
                </c:pt>
                <c:pt idx="8">
                  <c:v>4</c:v>
                </c:pt>
                <c:pt idx="9">
                  <c:v>4</c:v>
                </c:pt>
                <c:pt idx="10">
                  <c:v>4</c:v>
                </c:pt>
                <c:pt idx="11">
                  <c:v>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F565-49B4-8ABB-8A67B7CF0463}"/>
            </c:ext>
          </c:extLst>
        </c:ser>
        <c:ser>
          <c:idx val="9"/>
          <c:order val="9"/>
          <c:tx>
            <c:strRef>
              <c:f>'22.10 Busembatya-Butongole'!$AB$9</c:f>
              <c:strCache>
                <c:ptCount val="1"/>
                <c:pt idx="0">
                  <c:v>10. Truck Trailer 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'22.10 Busembatya-Butongole'!$AB$10:$AB$21</c:f>
              <c:numCache>
                <c:formatCode>0</c:formatCode>
                <c:ptCount val="12"/>
                <c:pt idx="0">
                  <c:v>2</c:v>
                </c:pt>
                <c:pt idx="1">
                  <c:v>5</c:v>
                </c:pt>
                <c:pt idx="2">
                  <c:v>4</c:v>
                </c:pt>
                <c:pt idx="3">
                  <c:v>4</c:v>
                </c:pt>
                <c:pt idx="4">
                  <c:v>0</c:v>
                </c:pt>
                <c:pt idx="5">
                  <c:v>6</c:v>
                </c:pt>
                <c:pt idx="6">
                  <c:v>0</c:v>
                </c:pt>
                <c:pt idx="7">
                  <c:v>7</c:v>
                </c:pt>
                <c:pt idx="8">
                  <c:v>1</c:v>
                </c:pt>
                <c:pt idx="9">
                  <c:v>0</c:v>
                </c:pt>
                <c:pt idx="10">
                  <c:v>2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F565-49B4-8ABB-8A67B7CF0463}"/>
            </c:ext>
          </c:extLst>
        </c:ser>
        <c:ser>
          <c:idx val="10"/>
          <c:order val="10"/>
          <c:tx>
            <c:strRef>
              <c:f>'22.10 Busembatya-Butongole'!$AC$9</c:f>
              <c:strCache>
                <c:ptCount val="1"/>
                <c:pt idx="0">
                  <c:v>11. Motorcycles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'22.10 Busembatya-Butongole'!$AC$10:$AC$21</c:f>
              <c:numCache>
                <c:formatCode>0</c:formatCode>
                <c:ptCount val="12"/>
                <c:pt idx="0">
                  <c:v>37</c:v>
                </c:pt>
                <c:pt idx="1">
                  <c:v>32</c:v>
                </c:pt>
                <c:pt idx="2">
                  <c:v>40</c:v>
                </c:pt>
                <c:pt idx="3">
                  <c:v>41</c:v>
                </c:pt>
                <c:pt idx="4">
                  <c:v>29</c:v>
                </c:pt>
                <c:pt idx="5">
                  <c:v>45</c:v>
                </c:pt>
                <c:pt idx="6">
                  <c:v>32</c:v>
                </c:pt>
                <c:pt idx="7">
                  <c:v>28</c:v>
                </c:pt>
                <c:pt idx="8">
                  <c:v>24</c:v>
                </c:pt>
                <c:pt idx="9">
                  <c:v>18</c:v>
                </c:pt>
                <c:pt idx="10">
                  <c:v>29</c:v>
                </c:pt>
                <c:pt idx="11">
                  <c:v>24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F565-49B4-8ABB-8A67B7CF0463}"/>
            </c:ext>
          </c:extLst>
        </c:ser>
        <c:ser>
          <c:idx val="11"/>
          <c:order val="11"/>
          <c:tx>
            <c:strRef>
              <c:f>'22.10 Busembatya-Butongole'!$AD$9</c:f>
              <c:strCache>
                <c:ptCount val="1"/>
                <c:pt idx="0">
                  <c:v>12. Tractors, Graders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'22.10 Busembatya-Butongole'!$AD$10:$AD$21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2</c:v>
                </c:pt>
                <c:pt idx="8">
                  <c:v>3</c:v>
                </c:pt>
                <c:pt idx="9">
                  <c:v>0</c:v>
                </c:pt>
                <c:pt idx="10">
                  <c:v>2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F565-49B4-8ABB-8A67B7CF046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2680320"/>
        <c:axId val="112702592"/>
      </c:lineChart>
      <c:catAx>
        <c:axId val="11268032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12702592"/>
        <c:crosses val="autoZero"/>
        <c:auto val="1"/>
        <c:lblAlgn val="ctr"/>
        <c:lblOffset val="100"/>
        <c:noMultiLvlLbl val="0"/>
      </c:catAx>
      <c:valAx>
        <c:axId val="1127025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5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05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 Volume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126803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3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F7C5-4DCE-BEC7-0690C330694A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F7C5-4DCE-BEC7-0690C330694A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F7C5-4DCE-BEC7-0690C330694A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F7C5-4DCE-BEC7-0690C330694A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F7C5-4DCE-BEC7-0690C330694A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F7C5-4DCE-BEC7-0690C330694A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F7C5-4DCE-BEC7-0690C330694A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F7C5-4DCE-BEC7-0690C330694A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F7C5-4DCE-BEC7-0690C330694A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F7C5-4DCE-BEC7-0690C330694A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F7C5-4DCE-BEC7-0690C330694A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F7C5-4DCE-BEC7-0690C330694A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F7C5-4DCE-BEC7-0690C330694A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'22.10 Busembatya-Butongole'!$C$9:$N$9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'22.10 Busembatya-Butongole'!$C$60:$N$60</c:f>
              <c:numCache>
                <c:formatCode>0.00%</c:formatCode>
                <c:ptCount val="12"/>
                <c:pt idx="0">
                  <c:v>0.17116182572614108</c:v>
                </c:pt>
                <c:pt idx="1">
                  <c:v>7.7800829875518673E-2</c:v>
                </c:pt>
                <c:pt idx="2">
                  <c:v>9.3360995850622408E-2</c:v>
                </c:pt>
                <c:pt idx="3">
                  <c:v>0.45020746887966806</c:v>
                </c:pt>
                <c:pt idx="4">
                  <c:v>9.3360995850622405E-3</c:v>
                </c:pt>
                <c:pt idx="5">
                  <c:v>1.6597510373443983E-2</c:v>
                </c:pt>
                <c:pt idx="6">
                  <c:v>5.9128630705394189E-2</c:v>
                </c:pt>
                <c:pt idx="7">
                  <c:v>5.4979253112033194E-2</c:v>
                </c:pt>
                <c:pt idx="8">
                  <c:v>2.8008298755186723E-2</c:v>
                </c:pt>
                <c:pt idx="9">
                  <c:v>3.2157676348547715E-2</c:v>
                </c:pt>
                <c:pt idx="11">
                  <c:v>7.261410788381743E-3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F7C5-4DCE-BEC7-0690C330694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3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'22.10 Butongole-Busembatya'!$AE$9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'22.10 Butongole-Busembatya'!$R$10:$R$21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'22.10 Butongole-Busembatya'!$AE$10:$AE$21</c:f>
              <c:numCache>
                <c:formatCode>0</c:formatCode>
                <c:ptCount val="12"/>
                <c:pt idx="0">
                  <c:v>62</c:v>
                </c:pt>
                <c:pt idx="1">
                  <c:v>86</c:v>
                </c:pt>
                <c:pt idx="2">
                  <c:v>105</c:v>
                </c:pt>
                <c:pt idx="3">
                  <c:v>130</c:v>
                </c:pt>
                <c:pt idx="4">
                  <c:v>106</c:v>
                </c:pt>
                <c:pt idx="5">
                  <c:v>96</c:v>
                </c:pt>
                <c:pt idx="6">
                  <c:v>78</c:v>
                </c:pt>
                <c:pt idx="7">
                  <c:v>57</c:v>
                </c:pt>
                <c:pt idx="8">
                  <c:v>118</c:v>
                </c:pt>
                <c:pt idx="9">
                  <c:v>70</c:v>
                </c:pt>
                <c:pt idx="10">
                  <c:v>85</c:v>
                </c:pt>
                <c:pt idx="11">
                  <c:v>91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8463-4278-A5CC-74015684B17F}"/>
            </c:ext>
          </c:extLst>
        </c:ser>
        <c:ser>
          <c:idx val="1"/>
          <c:order val="1"/>
          <c:tx>
            <c:strRef>
              <c:f>'22.10 Butongole-Busembatya'!$AF$9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'22.10 Butongole-Busembatya'!$R$10:$R$21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'22.10 Butongole-Busembatya'!$AF$10:$AF$21</c:f>
              <c:numCache>
                <c:formatCode>0</c:formatCode>
                <c:ptCount val="12"/>
                <c:pt idx="0">
                  <c:v>119</c:v>
                </c:pt>
                <c:pt idx="1">
                  <c:v>143</c:v>
                </c:pt>
                <c:pt idx="2">
                  <c:v>155</c:v>
                </c:pt>
                <c:pt idx="3">
                  <c:v>185</c:v>
                </c:pt>
                <c:pt idx="4">
                  <c:v>164</c:v>
                </c:pt>
                <c:pt idx="5">
                  <c:v>138</c:v>
                </c:pt>
                <c:pt idx="6">
                  <c:v>113</c:v>
                </c:pt>
                <c:pt idx="7">
                  <c:v>89</c:v>
                </c:pt>
                <c:pt idx="8">
                  <c:v>171</c:v>
                </c:pt>
                <c:pt idx="9">
                  <c:v>108</c:v>
                </c:pt>
                <c:pt idx="10">
                  <c:v>119</c:v>
                </c:pt>
                <c:pt idx="11">
                  <c:v>144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8463-4278-A5CC-74015684B1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12921216"/>
        <c:axId val="112931200"/>
      </c:lineChart>
      <c:catAx>
        <c:axId val="112921216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12931200"/>
        <c:crosses val="autoZero"/>
        <c:auto val="1"/>
        <c:lblAlgn val="ctr"/>
        <c:lblOffset val="100"/>
        <c:noMultiLvlLbl val="0"/>
      </c:catAx>
      <c:valAx>
        <c:axId val="112931200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129212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4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5838-4AD2-B02D-63FE1AB93A14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5838-4AD2-B02D-63FE1AB93A14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5838-4AD2-B02D-63FE1AB93A14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5838-4AD2-B02D-63FE1AB93A14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5838-4AD2-B02D-63FE1AB93A14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5838-4AD2-B02D-63FE1AB93A14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5838-4AD2-B02D-63FE1AB93A14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5838-4AD2-B02D-63FE1AB93A14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5838-4AD2-B02D-63FE1AB93A14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5838-4AD2-B02D-63FE1AB93A14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5838-4AD2-B02D-63FE1AB93A14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5838-4AD2-B02D-63FE1AB93A14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5838-4AD2-B02D-63FE1AB93A1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'22.10 Butongole-Busembatya'!$C$9:$N$9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'22.10 Butongole-Busembatya'!$C$59:$N$59</c:f>
              <c:numCache>
                <c:formatCode>0.0%</c:formatCode>
                <c:ptCount val="12"/>
                <c:pt idx="0">
                  <c:v>0.1171116504854369</c:v>
                </c:pt>
                <c:pt idx="1">
                  <c:v>7.1601941747572811E-2</c:v>
                </c:pt>
                <c:pt idx="2">
                  <c:v>8.6165048543689324E-2</c:v>
                </c:pt>
                <c:pt idx="3">
                  <c:v>0.25</c:v>
                </c:pt>
                <c:pt idx="4">
                  <c:v>1.0922330097087379E-2</c:v>
                </c:pt>
                <c:pt idx="5">
                  <c:v>9.101941747572815E-3</c:v>
                </c:pt>
                <c:pt idx="6">
                  <c:v>3.1553398058252427E-2</c:v>
                </c:pt>
                <c:pt idx="7">
                  <c:v>3.640776699029126E-2</c:v>
                </c:pt>
                <c:pt idx="8">
                  <c:v>1.820388349514563E-2</c:v>
                </c:pt>
                <c:pt idx="9">
                  <c:v>2.5485436893203883E-2</c:v>
                </c:pt>
                <c:pt idx="10">
                  <c:v>0.34223300970873788</c:v>
                </c:pt>
                <c:pt idx="11">
                  <c:v>1.2135922330097086E-3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5838-4AD2-B02D-63FE1AB93A1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4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Hourly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Variation of Classified Traffic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31244670799128843"/>
          <c:y val="2.2960226637323725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'22.10 Butongole-Busembatya'!$S$9</c:f>
              <c:strCache>
                <c:ptCount val="1"/>
                <c:pt idx="0">
                  <c:v>1. Car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'22.10 Butongole-Busembatya'!$R$10:$R$21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'22.10 Butongole-Busembatya'!$S$10:$S$21</c:f>
              <c:numCache>
                <c:formatCode>0</c:formatCode>
                <c:ptCount val="12"/>
                <c:pt idx="0">
                  <c:v>11</c:v>
                </c:pt>
                <c:pt idx="1">
                  <c:v>17</c:v>
                </c:pt>
                <c:pt idx="2">
                  <c:v>25</c:v>
                </c:pt>
                <c:pt idx="3">
                  <c:v>21</c:v>
                </c:pt>
                <c:pt idx="4">
                  <c:v>25</c:v>
                </c:pt>
                <c:pt idx="5">
                  <c:v>13</c:v>
                </c:pt>
                <c:pt idx="6">
                  <c:v>17</c:v>
                </c:pt>
                <c:pt idx="7">
                  <c:v>11</c:v>
                </c:pt>
                <c:pt idx="8">
                  <c:v>14</c:v>
                </c:pt>
                <c:pt idx="9">
                  <c:v>12</c:v>
                </c:pt>
                <c:pt idx="10">
                  <c:v>9</c:v>
                </c:pt>
                <c:pt idx="11">
                  <c:v>18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8ACD-4E4E-9939-9E943A18B54F}"/>
            </c:ext>
          </c:extLst>
        </c:ser>
        <c:ser>
          <c:idx val="1"/>
          <c:order val="1"/>
          <c:tx>
            <c:strRef>
              <c:f>'22.10 Butongole-Busembatya'!$T$9</c:f>
              <c:strCache>
                <c:ptCount val="1"/>
                <c:pt idx="0">
                  <c:v>2. Station Wagon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'22.10 Butongole-Busembatya'!$R$10:$R$21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'22.10 Butongole-Busembatya'!$T$10:$T$21</c:f>
              <c:numCache>
                <c:formatCode>0</c:formatCode>
                <c:ptCount val="12"/>
                <c:pt idx="0">
                  <c:v>4</c:v>
                </c:pt>
                <c:pt idx="1">
                  <c:v>14</c:v>
                </c:pt>
                <c:pt idx="2">
                  <c:v>13</c:v>
                </c:pt>
                <c:pt idx="3">
                  <c:v>25</c:v>
                </c:pt>
                <c:pt idx="4">
                  <c:v>13</c:v>
                </c:pt>
                <c:pt idx="5">
                  <c:v>9</c:v>
                </c:pt>
                <c:pt idx="6">
                  <c:v>11</c:v>
                </c:pt>
                <c:pt idx="7">
                  <c:v>1</c:v>
                </c:pt>
                <c:pt idx="8">
                  <c:v>12</c:v>
                </c:pt>
                <c:pt idx="9">
                  <c:v>4</c:v>
                </c:pt>
                <c:pt idx="10">
                  <c:v>7</c:v>
                </c:pt>
                <c:pt idx="11">
                  <c:v>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8ACD-4E4E-9939-9E943A18B54F}"/>
            </c:ext>
          </c:extLst>
        </c:ser>
        <c:ser>
          <c:idx val="2"/>
          <c:order val="2"/>
          <c:tx>
            <c:strRef>
              <c:f>'22.10 Butongole-Busembatya'!$U$9</c:f>
              <c:strCache>
                <c:ptCount val="1"/>
                <c:pt idx="0">
                  <c:v>3. Pickups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'22.10 Butongole-Busembatya'!$U$10:$U$21</c:f>
              <c:numCache>
                <c:formatCode>0</c:formatCode>
                <c:ptCount val="12"/>
                <c:pt idx="0">
                  <c:v>14</c:v>
                </c:pt>
                <c:pt idx="1">
                  <c:v>10</c:v>
                </c:pt>
                <c:pt idx="2">
                  <c:v>20</c:v>
                </c:pt>
                <c:pt idx="3">
                  <c:v>19</c:v>
                </c:pt>
                <c:pt idx="4">
                  <c:v>19</c:v>
                </c:pt>
                <c:pt idx="5">
                  <c:v>9</c:v>
                </c:pt>
                <c:pt idx="6">
                  <c:v>9</c:v>
                </c:pt>
                <c:pt idx="7">
                  <c:v>4</c:v>
                </c:pt>
                <c:pt idx="8">
                  <c:v>9</c:v>
                </c:pt>
                <c:pt idx="9">
                  <c:v>6</c:v>
                </c:pt>
                <c:pt idx="10">
                  <c:v>12</c:v>
                </c:pt>
                <c:pt idx="11">
                  <c:v>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ACD-4E4E-9939-9E943A18B54F}"/>
            </c:ext>
          </c:extLst>
        </c:ser>
        <c:ser>
          <c:idx val="3"/>
          <c:order val="3"/>
          <c:tx>
            <c:strRef>
              <c:f>'22.10 Butongole-Busembatya'!$V$9</c:f>
              <c:strCache>
                <c:ptCount val="1"/>
                <c:pt idx="0">
                  <c:v>4. Minibus, matatu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'22.10 Butongole-Busembatya'!$V$10:$V$21</c:f>
              <c:numCache>
                <c:formatCode>0</c:formatCode>
                <c:ptCount val="12"/>
                <c:pt idx="0">
                  <c:v>12</c:v>
                </c:pt>
                <c:pt idx="1">
                  <c:v>30</c:v>
                </c:pt>
                <c:pt idx="2">
                  <c:v>31</c:v>
                </c:pt>
                <c:pt idx="3">
                  <c:v>44</c:v>
                </c:pt>
                <c:pt idx="4">
                  <c:v>35</c:v>
                </c:pt>
                <c:pt idx="5">
                  <c:v>42</c:v>
                </c:pt>
                <c:pt idx="6">
                  <c:v>31</c:v>
                </c:pt>
                <c:pt idx="7">
                  <c:v>34</c:v>
                </c:pt>
                <c:pt idx="8">
                  <c:v>52</c:v>
                </c:pt>
                <c:pt idx="9">
                  <c:v>26</c:v>
                </c:pt>
                <c:pt idx="10">
                  <c:v>35</c:v>
                </c:pt>
                <c:pt idx="11">
                  <c:v>40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8ACD-4E4E-9939-9E943A18B54F}"/>
            </c:ext>
          </c:extLst>
        </c:ser>
        <c:ser>
          <c:idx val="4"/>
          <c:order val="4"/>
          <c:tx>
            <c:strRef>
              <c:f>'22.10 Butongole-Busembatya'!$W$9</c:f>
              <c:strCache>
                <c:ptCount val="1"/>
                <c:pt idx="0">
                  <c:v>5. Medium bus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'22.10 Butongole-Busembatya'!$W$10:$W$21</c:f>
              <c:numCache>
                <c:formatCode>0</c:formatCode>
                <c:ptCount val="1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0</c:v>
                </c:pt>
                <c:pt idx="4">
                  <c:v>4</c:v>
                </c:pt>
                <c:pt idx="5">
                  <c:v>2</c:v>
                </c:pt>
                <c:pt idx="6">
                  <c:v>4</c:v>
                </c:pt>
                <c:pt idx="7">
                  <c:v>1</c:v>
                </c:pt>
                <c:pt idx="8">
                  <c:v>2</c:v>
                </c:pt>
                <c:pt idx="9">
                  <c:v>0</c:v>
                </c:pt>
                <c:pt idx="10">
                  <c:v>1</c:v>
                </c:pt>
                <c:pt idx="11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8ACD-4E4E-9939-9E943A18B54F}"/>
            </c:ext>
          </c:extLst>
        </c:ser>
        <c:ser>
          <c:idx val="5"/>
          <c:order val="5"/>
          <c:tx>
            <c:strRef>
              <c:f>'22.10 Butongole-Busembatya'!$X$9</c:f>
              <c:strCache>
                <c:ptCount val="1"/>
                <c:pt idx="0">
                  <c:v>6. Large Bus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'22.10 Butongole-Busembatya'!$X$10:$X$21</c:f>
              <c:numCache>
                <c:formatCode>0</c:formatCode>
                <c:ptCount val="12"/>
                <c:pt idx="0">
                  <c:v>2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3</c:v>
                </c:pt>
                <c:pt idx="6">
                  <c:v>0</c:v>
                </c:pt>
                <c:pt idx="7">
                  <c:v>1</c:v>
                </c:pt>
                <c:pt idx="8">
                  <c:v>3</c:v>
                </c:pt>
                <c:pt idx="9">
                  <c:v>0</c:v>
                </c:pt>
                <c:pt idx="10">
                  <c:v>1</c:v>
                </c:pt>
                <c:pt idx="11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8ACD-4E4E-9939-9E943A18B54F}"/>
            </c:ext>
          </c:extLst>
        </c:ser>
        <c:ser>
          <c:idx val="6"/>
          <c:order val="6"/>
          <c:tx>
            <c:strRef>
              <c:f>'22.10 Butongole-Busembatya'!$Y$9</c:f>
              <c:strCache>
                <c:ptCount val="1"/>
                <c:pt idx="0">
                  <c:v>7. Light Truck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'22.10 Butongole-Busembatya'!$Y$10:$Y$21</c:f>
              <c:numCache>
                <c:formatCode>0</c:formatCode>
                <c:ptCount val="12"/>
                <c:pt idx="0">
                  <c:v>9</c:v>
                </c:pt>
                <c:pt idx="1">
                  <c:v>5</c:v>
                </c:pt>
                <c:pt idx="2">
                  <c:v>3</c:v>
                </c:pt>
                <c:pt idx="3">
                  <c:v>5</c:v>
                </c:pt>
                <c:pt idx="4">
                  <c:v>2</c:v>
                </c:pt>
                <c:pt idx="5">
                  <c:v>5</c:v>
                </c:pt>
                <c:pt idx="6">
                  <c:v>2</c:v>
                </c:pt>
                <c:pt idx="7">
                  <c:v>1</c:v>
                </c:pt>
                <c:pt idx="8">
                  <c:v>5</c:v>
                </c:pt>
                <c:pt idx="9">
                  <c:v>7</c:v>
                </c:pt>
                <c:pt idx="10">
                  <c:v>3</c:v>
                </c:pt>
                <c:pt idx="11">
                  <c:v>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8ACD-4E4E-9939-9E943A18B54F}"/>
            </c:ext>
          </c:extLst>
        </c:ser>
        <c:ser>
          <c:idx val="7"/>
          <c:order val="7"/>
          <c:tx>
            <c:strRef>
              <c:f>'22.10 Butongole-Busembatya'!$Z$9</c:f>
              <c:strCache>
                <c:ptCount val="1"/>
                <c:pt idx="0">
                  <c:v>8. Medium Truck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'22.10 Butongole-Busembatya'!$Z$10:$Z$21</c:f>
              <c:numCache>
                <c:formatCode>0</c:formatCode>
                <c:ptCount val="12"/>
                <c:pt idx="0">
                  <c:v>3</c:v>
                </c:pt>
                <c:pt idx="1">
                  <c:v>3</c:v>
                </c:pt>
                <c:pt idx="2">
                  <c:v>3</c:v>
                </c:pt>
                <c:pt idx="3">
                  <c:v>11</c:v>
                </c:pt>
                <c:pt idx="4">
                  <c:v>2</c:v>
                </c:pt>
                <c:pt idx="5">
                  <c:v>4</c:v>
                </c:pt>
                <c:pt idx="6">
                  <c:v>1</c:v>
                </c:pt>
                <c:pt idx="7">
                  <c:v>3</c:v>
                </c:pt>
                <c:pt idx="8">
                  <c:v>12</c:v>
                </c:pt>
                <c:pt idx="9">
                  <c:v>5</c:v>
                </c:pt>
                <c:pt idx="10">
                  <c:v>7</c:v>
                </c:pt>
                <c:pt idx="11">
                  <c:v>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8ACD-4E4E-9939-9E943A18B54F}"/>
            </c:ext>
          </c:extLst>
        </c:ser>
        <c:ser>
          <c:idx val="8"/>
          <c:order val="8"/>
          <c:tx>
            <c:strRef>
              <c:f>'22.10 Butongole-Busembatya'!$AA$9</c:f>
              <c:strCache>
                <c:ptCount val="1"/>
                <c:pt idx="0">
                  <c:v>9. Heavy truck 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'22.10 Butongole-Busembatya'!$AA$10:$AA$21</c:f>
              <c:numCache>
                <c:formatCode>0</c:formatCode>
                <c:ptCount val="12"/>
                <c:pt idx="0">
                  <c:v>4</c:v>
                </c:pt>
                <c:pt idx="1">
                  <c:v>4</c:v>
                </c:pt>
                <c:pt idx="2">
                  <c:v>1</c:v>
                </c:pt>
                <c:pt idx="3">
                  <c:v>0</c:v>
                </c:pt>
                <c:pt idx="4">
                  <c:v>2</c:v>
                </c:pt>
                <c:pt idx="5">
                  <c:v>3</c:v>
                </c:pt>
                <c:pt idx="6">
                  <c:v>2</c:v>
                </c:pt>
                <c:pt idx="7">
                  <c:v>0</c:v>
                </c:pt>
                <c:pt idx="8">
                  <c:v>1</c:v>
                </c:pt>
                <c:pt idx="9">
                  <c:v>7</c:v>
                </c:pt>
                <c:pt idx="10">
                  <c:v>4</c:v>
                </c:pt>
                <c:pt idx="11">
                  <c:v>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8ACD-4E4E-9939-9E943A18B54F}"/>
            </c:ext>
          </c:extLst>
        </c:ser>
        <c:ser>
          <c:idx val="9"/>
          <c:order val="9"/>
          <c:tx>
            <c:strRef>
              <c:f>'22.10 Butongole-Busembatya'!$AB$9</c:f>
              <c:strCache>
                <c:ptCount val="1"/>
                <c:pt idx="0">
                  <c:v>10. Truck Trailer 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'22.10 Butongole-Busembatya'!$AB$10:$AB$21</c:f>
              <c:numCache>
                <c:formatCode>0</c:formatCode>
                <c:ptCount val="12"/>
                <c:pt idx="0">
                  <c:v>3</c:v>
                </c:pt>
                <c:pt idx="1">
                  <c:v>1</c:v>
                </c:pt>
                <c:pt idx="2">
                  <c:v>6</c:v>
                </c:pt>
                <c:pt idx="3">
                  <c:v>3</c:v>
                </c:pt>
                <c:pt idx="4">
                  <c:v>3</c:v>
                </c:pt>
                <c:pt idx="5">
                  <c:v>6</c:v>
                </c:pt>
                <c:pt idx="6">
                  <c:v>1</c:v>
                </c:pt>
                <c:pt idx="7">
                  <c:v>1</c:v>
                </c:pt>
                <c:pt idx="8">
                  <c:v>7</c:v>
                </c:pt>
                <c:pt idx="9">
                  <c:v>3</c:v>
                </c:pt>
                <c:pt idx="10">
                  <c:v>6</c:v>
                </c:pt>
                <c:pt idx="11">
                  <c:v>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8ACD-4E4E-9939-9E943A18B54F}"/>
            </c:ext>
          </c:extLst>
        </c:ser>
        <c:ser>
          <c:idx val="10"/>
          <c:order val="10"/>
          <c:tx>
            <c:strRef>
              <c:f>'22.10 Butongole-Busembatya'!$AC$9</c:f>
              <c:strCache>
                <c:ptCount val="1"/>
                <c:pt idx="0">
                  <c:v>11. Motorcycles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'22.10 Butongole-Busembatya'!$AC$10:$AC$21</c:f>
              <c:numCache>
                <c:formatCode>0</c:formatCode>
                <c:ptCount val="12"/>
                <c:pt idx="0">
                  <c:v>57</c:v>
                </c:pt>
                <c:pt idx="1">
                  <c:v>57</c:v>
                </c:pt>
                <c:pt idx="2">
                  <c:v>50</c:v>
                </c:pt>
                <c:pt idx="3">
                  <c:v>55</c:v>
                </c:pt>
                <c:pt idx="4">
                  <c:v>58</c:v>
                </c:pt>
                <c:pt idx="5">
                  <c:v>42</c:v>
                </c:pt>
                <c:pt idx="6">
                  <c:v>35</c:v>
                </c:pt>
                <c:pt idx="7">
                  <c:v>32</c:v>
                </c:pt>
                <c:pt idx="8">
                  <c:v>53</c:v>
                </c:pt>
                <c:pt idx="9">
                  <c:v>38</c:v>
                </c:pt>
                <c:pt idx="10">
                  <c:v>34</c:v>
                </c:pt>
                <c:pt idx="11">
                  <c:v>53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8ACD-4E4E-9939-9E943A18B54F}"/>
            </c:ext>
          </c:extLst>
        </c:ser>
        <c:ser>
          <c:idx val="11"/>
          <c:order val="11"/>
          <c:tx>
            <c:strRef>
              <c:f>'22.10 Butongole-Busembatya'!$AD$9</c:f>
              <c:strCache>
                <c:ptCount val="1"/>
                <c:pt idx="0">
                  <c:v>12. Tractors, Graders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'22.10 Butongole-Busembatya'!$AD$10:$AD$21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1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1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8ACD-4E4E-9939-9E943A18B54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3218304"/>
        <c:axId val="113219840"/>
      </c:lineChart>
      <c:catAx>
        <c:axId val="11321830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13219840"/>
        <c:crosses val="autoZero"/>
        <c:auto val="1"/>
        <c:lblAlgn val="ctr"/>
        <c:lblOffset val="100"/>
        <c:noMultiLvlLbl val="0"/>
      </c:catAx>
      <c:valAx>
        <c:axId val="1132198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5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05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 Volume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132183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4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5B51-4D84-891B-06C3FCEF4330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5B51-4D84-891B-06C3FCEF4330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5B51-4D84-891B-06C3FCEF4330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5B51-4D84-891B-06C3FCEF4330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5B51-4D84-891B-06C3FCEF4330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5B51-4D84-891B-06C3FCEF4330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5B51-4D84-891B-06C3FCEF4330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5B51-4D84-891B-06C3FCEF4330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5B51-4D84-891B-06C3FCEF4330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5B51-4D84-891B-06C3FCEF4330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5B51-4D84-891B-06C3FCEF4330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5B51-4D84-891B-06C3FCEF4330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5B51-4D84-891B-06C3FCEF433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'22.10 Butongole-Busembatya'!$C$9:$N$9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'22.10 Butongole-Busembatya'!$C$60:$N$60</c:f>
              <c:numCache>
                <c:formatCode>0.00%</c:formatCode>
                <c:ptCount val="12"/>
                <c:pt idx="0">
                  <c:v>0.17804428044280443</c:v>
                </c:pt>
                <c:pt idx="1">
                  <c:v>0.10885608856088561</c:v>
                </c:pt>
                <c:pt idx="2">
                  <c:v>0.13099630996309963</c:v>
                </c:pt>
                <c:pt idx="3">
                  <c:v>0.38007380073800739</c:v>
                </c:pt>
                <c:pt idx="4">
                  <c:v>1.6605166051660517E-2</c:v>
                </c:pt>
                <c:pt idx="5">
                  <c:v>1.3837638376383764E-2</c:v>
                </c:pt>
                <c:pt idx="6">
                  <c:v>4.797047970479705E-2</c:v>
                </c:pt>
                <c:pt idx="7">
                  <c:v>5.5350553505535055E-2</c:v>
                </c:pt>
                <c:pt idx="8">
                  <c:v>2.7675276752767528E-2</c:v>
                </c:pt>
                <c:pt idx="9">
                  <c:v>3.8745387453874541E-2</c:v>
                </c:pt>
                <c:pt idx="11">
                  <c:v>1.8450184501845018E-3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5B51-4D84-891B-06C3FCEF433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4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'23.10 Busembtya-Butongole'!$AE$9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'23.10 Busembtya-Butongole'!$R$10:$R$21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'23.10 Busembtya-Butongole'!$AE$10:$AE$21</c:f>
              <c:numCache>
                <c:formatCode>0</c:formatCode>
                <c:ptCount val="12"/>
                <c:pt idx="0">
                  <c:v>69</c:v>
                </c:pt>
                <c:pt idx="1">
                  <c:v>52</c:v>
                </c:pt>
                <c:pt idx="2">
                  <c:v>86</c:v>
                </c:pt>
                <c:pt idx="3">
                  <c:v>68</c:v>
                </c:pt>
                <c:pt idx="4">
                  <c:v>73</c:v>
                </c:pt>
                <c:pt idx="5">
                  <c:v>91</c:v>
                </c:pt>
                <c:pt idx="6">
                  <c:v>71</c:v>
                </c:pt>
                <c:pt idx="7">
                  <c:v>84</c:v>
                </c:pt>
                <c:pt idx="8">
                  <c:v>97</c:v>
                </c:pt>
                <c:pt idx="9">
                  <c:v>85</c:v>
                </c:pt>
                <c:pt idx="10">
                  <c:v>90</c:v>
                </c:pt>
                <c:pt idx="11">
                  <c:v>80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15C8-45AB-8CEF-A7108B6754B8}"/>
            </c:ext>
          </c:extLst>
        </c:ser>
        <c:ser>
          <c:idx val="1"/>
          <c:order val="1"/>
          <c:tx>
            <c:strRef>
              <c:f>'23.10 Busembtya-Butongole'!$AF$9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'23.10 Busembtya-Butongole'!$R$10:$R$21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'23.10 Busembtya-Butongole'!$AF$10:$AF$21</c:f>
              <c:numCache>
                <c:formatCode>0</c:formatCode>
                <c:ptCount val="12"/>
                <c:pt idx="0">
                  <c:v>110</c:v>
                </c:pt>
                <c:pt idx="1">
                  <c:v>74</c:v>
                </c:pt>
                <c:pt idx="2">
                  <c:v>132</c:v>
                </c:pt>
                <c:pt idx="3">
                  <c:v>103</c:v>
                </c:pt>
                <c:pt idx="4">
                  <c:v>120</c:v>
                </c:pt>
                <c:pt idx="5">
                  <c:v>124</c:v>
                </c:pt>
                <c:pt idx="6">
                  <c:v>101</c:v>
                </c:pt>
                <c:pt idx="7">
                  <c:v>134</c:v>
                </c:pt>
                <c:pt idx="8">
                  <c:v>131</c:v>
                </c:pt>
                <c:pt idx="9">
                  <c:v>101</c:v>
                </c:pt>
                <c:pt idx="10">
                  <c:v>127</c:v>
                </c:pt>
                <c:pt idx="11">
                  <c:v>112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15C8-45AB-8CEF-A7108B6754B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16314112"/>
        <c:axId val="116315648"/>
      </c:lineChart>
      <c:catAx>
        <c:axId val="116314112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16315648"/>
        <c:crosses val="autoZero"/>
        <c:auto val="1"/>
        <c:lblAlgn val="ctr"/>
        <c:lblOffset val="100"/>
        <c:noMultiLvlLbl val="0"/>
      </c:catAx>
      <c:valAx>
        <c:axId val="116315648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163141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4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C085-4D7B-92D4-0FE0B8706BF0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C085-4D7B-92D4-0FE0B8706BF0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C085-4D7B-92D4-0FE0B8706BF0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C085-4D7B-92D4-0FE0B8706BF0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C085-4D7B-92D4-0FE0B8706BF0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C085-4D7B-92D4-0FE0B8706BF0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C085-4D7B-92D4-0FE0B8706BF0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C085-4D7B-92D4-0FE0B8706BF0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C085-4D7B-92D4-0FE0B8706BF0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C085-4D7B-92D4-0FE0B8706BF0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C085-4D7B-92D4-0FE0B8706BF0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C085-4D7B-92D4-0FE0B8706BF0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C085-4D7B-92D4-0FE0B8706BF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'23.10 Busembtya-Butongole'!$C$9:$N$9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'23.10 Busembtya-Butongole'!$C$59:$N$59</c:f>
              <c:numCache>
                <c:formatCode>0.0%</c:formatCode>
                <c:ptCount val="12"/>
                <c:pt idx="0">
                  <c:v>0.11102994886778671</c:v>
                </c:pt>
                <c:pt idx="1">
                  <c:v>6.4280496712929139E-2</c:v>
                </c:pt>
                <c:pt idx="2">
                  <c:v>7.5967859751643538E-2</c:v>
                </c:pt>
                <c:pt idx="3">
                  <c:v>0.29218407596785972</c:v>
                </c:pt>
                <c:pt idx="4">
                  <c:v>1.241782322863404E-2</c:v>
                </c:pt>
                <c:pt idx="5">
                  <c:v>1.241782322863404E-2</c:v>
                </c:pt>
                <c:pt idx="6">
                  <c:v>3.3601168736303873E-2</c:v>
                </c:pt>
                <c:pt idx="7">
                  <c:v>3.7253469685902117E-2</c:v>
                </c:pt>
                <c:pt idx="8">
                  <c:v>2.6296566837107377E-2</c:v>
                </c:pt>
                <c:pt idx="9">
                  <c:v>2.483564645726808E-2</c:v>
                </c:pt>
                <c:pt idx="10">
                  <c:v>0.30898466033601169</c:v>
                </c:pt>
                <c:pt idx="11">
                  <c:v>7.3046018991964939E-4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C085-4D7B-92D4-0FE0B8706BF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4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Hourly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Variation of Classified Traffic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31244670799128843"/>
          <c:y val="2.2960226637323725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'23.10 Busembtya-Butongole'!$S$9</c:f>
              <c:strCache>
                <c:ptCount val="1"/>
                <c:pt idx="0">
                  <c:v>1. Car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'23.10 Busembtya-Butongole'!$R$10:$R$21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'23.10 Busembtya-Butongole'!$S$10:$S$21</c:f>
              <c:numCache>
                <c:formatCode>0</c:formatCode>
                <c:ptCount val="12"/>
                <c:pt idx="0">
                  <c:v>14</c:v>
                </c:pt>
                <c:pt idx="1">
                  <c:v>2</c:v>
                </c:pt>
                <c:pt idx="2">
                  <c:v>10</c:v>
                </c:pt>
                <c:pt idx="3">
                  <c:v>16</c:v>
                </c:pt>
                <c:pt idx="4">
                  <c:v>15</c:v>
                </c:pt>
                <c:pt idx="5">
                  <c:v>20</c:v>
                </c:pt>
                <c:pt idx="6">
                  <c:v>8</c:v>
                </c:pt>
                <c:pt idx="7">
                  <c:v>10</c:v>
                </c:pt>
                <c:pt idx="8">
                  <c:v>14</c:v>
                </c:pt>
                <c:pt idx="9">
                  <c:v>17</c:v>
                </c:pt>
                <c:pt idx="10">
                  <c:v>18</c:v>
                </c:pt>
                <c:pt idx="11">
                  <c:v>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428B-46B4-90C5-4BE58AC1B7CD}"/>
            </c:ext>
          </c:extLst>
        </c:ser>
        <c:ser>
          <c:idx val="1"/>
          <c:order val="1"/>
          <c:tx>
            <c:strRef>
              <c:f>'23.10 Busembtya-Butongole'!$T$9</c:f>
              <c:strCache>
                <c:ptCount val="1"/>
                <c:pt idx="0">
                  <c:v>2. Station Wagon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'23.10 Busembtya-Butongole'!$R$10:$R$21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'23.10 Busembtya-Butongole'!$T$10:$T$21</c:f>
              <c:numCache>
                <c:formatCode>0</c:formatCode>
                <c:ptCount val="12"/>
                <c:pt idx="0">
                  <c:v>3</c:v>
                </c:pt>
                <c:pt idx="1">
                  <c:v>4</c:v>
                </c:pt>
                <c:pt idx="2">
                  <c:v>8</c:v>
                </c:pt>
                <c:pt idx="3">
                  <c:v>7</c:v>
                </c:pt>
                <c:pt idx="4">
                  <c:v>6</c:v>
                </c:pt>
                <c:pt idx="5">
                  <c:v>8</c:v>
                </c:pt>
                <c:pt idx="6">
                  <c:v>8</c:v>
                </c:pt>
                <c:pt idx="7">
                  <c:v>7</c:v>
                </c:pt>
                <c:pt idx="8">
                  <c:v>7</c:v>
                </c:pt>
                <c:pt idx="9">
                  <c:v>13</c:v>
                </c:pt>
                <c:pt idx="10">
                  <c:v>9</c:v>
                </c:pt>
                <c:pt idx="11">
                  <c:v>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428B-46B4-90C5-4BE58AC1B7CD}"/>
            </c:ext>
          </c:extLst>
        </c:ser>
        <c:ser>
          <c:idx val="2"/>
          <c:order val="2"/>
          <c:tx>
            <c:strRef>
              <c:f>'23.10 Busembtya-Butongole'!$U$9</c:f>
              <c:strCache>
                <c:ptCount val="1"/>
                <c:pt idx="0">
                  <c:v>3. Pickups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'23.10 Busembtya-Butongole'!$U$10:$U$21</c:f>
              <c:numCache>
                <c:formatCode>0</c:formatCode>
                <c:ptCount val="12"/>
                <c:pt idx="0">
                  <c:v>5</c:v>
                </c:pt>
                <c:pt idx="1">
                  <c:v>1</c:v>
                </c:pt>
                <c:pt idx="2">
                  <c:v>9</c:v>
                </c:pt>
                <c:pt idx="3">
                  <c:v>5</c:v>
                </c:pt>
                <c:pt idx="4">
                  <c:v>9</c:v>
                </c:pt>
                <c:pt idx="5">
                  <c:v>7</c:v>
                </c:pt>
                <c:pt idx="6">
                  <c:v>7</c:v>
                </c:pt>
                <c:pt idx="7">
                  <c:v>15</c:v>
                </c:pt>
                <c:pt idx="8">
                  <c:v>13</c:v>
                </c:pt>
                <c:pt idx="9">
                  <c:v>12</c:v>
                </c:pt>
                <c:pt idx="10">
                  <c:v>11</c:v>
                </c:pt>
                <c:pt idx="11">
                  <c:v>10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428B-46B4-90C5-4BE58AC1B7CD}"/>
            </c:ext>
          </c:extLst>
        </c:ser>
        <c:ser>
          <c:idx val="3"/>
          <c:order val="3"/>
          <c:tx>
            <c:strRef>
              <c:f>'23.10 Busembtya-Butongole'!$V$9</c:f>
              <c:strCache>
                <c:ptCount val="1"/>
                <c:pt idx="0">
                  <c:v>4. Minibus, matatu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'23.10 Busembtya-Butongole'!$V$10:$V$21</c:f>
              <c:numCache>
                <c:formatCode>0</c:formatCode>
                <c:ptCount val="12"/>
                <c:pt idx="0">
                  <c:v>27</c:v>
                </c:pt>
                <c:pt idx="1">
                  <c:v>26</c:v>
                </c:pt>
                <c:pt idx="2">
                  <c:v>46</c:v>
                </c:pt>
                <c:pt idx="3">
                  <c:v>32</c:v>
                </c:pt>
                <c:pt idx="4">
                  <c:v>35</c:v>
                </c:pt>
                <c:pt idx="5">
                  <c:v>44</c:v>
                </c:pt>
                <c:pt idx="6">
                  <c:v>33</c:v>
                </c:pt>
                <c:pt idx="7">
                  <c:v>29</c:v>
                </c:pt>
                <c:pt idx="8">
                  <c:v>38</c:v>
                </c:pt>
                <c:pt idx="9">
                  <c:v>30</c:v>
                </c:pt>
                <c:pt idx="10">
                  <c:v>30</c:v>
                </c:pt>
                <c:pt idx="11">
                  <c:v>30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428B-46B4-90C5-4BE58AC1B7CD}"/>
            </c:ext>
          </c:extLst>
        </c:ser>
        <c:ser>
          <c:idx val="4"/>
          <c:order val="4"/>
          <c:tx>
            <c:strRef>
              <c:f>'23.10 Busembtya-Butongole'!$W$9</c:f>
              <c:strCache>
                <c:ptCount val="1"/>
                <c:pt idx="0">
                  <c:v>5. Medium bus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'23.10 Busembtya-Butongole'!$W$10:$W$21</c:f>
              <c:numCache>
                <c:formatCode>0</c:formatCode>
                <c:ptCount val="12"/>
                <c:pt idx="0">
                  <c:v>2</c:v>
                </c:pt>
                <c:pt idx="1">
                  <c:v>2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</c:v>
                </c:pt>
                <c:pt idx="6">
                  <c:v>0</c:v>
                </c:pt>
                <c:pt idx="7">
                  <c:v>0</c:v>
                </c:pt>
                <c:pt idx="8">
                  <c:v>2</c:v>
                </c:pt>
                <c:pt idx="9">
                  <c:v>3</c:v>
                </c:pt>
                <c:pt idx="10">
                  <c:v>6</c:v>
                </c:pt>
                <c:pt idx="11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428B-46B4-90C5-4BE58AC1B7CD}"/>
            </c:ext>
          </c:extLst>
        </c:ser>
        <c:ser>
          <c:idx val="5"/>
          <c:order val="5"/>
          <c:tx>
            <c:strRef>
              <c:f>'23.10 Busembtya-Butongole'!$X$9</c:f>
              <c:strCache>
                <c:ptCount val="1"/>
                <c:pt idx="0">
                  <c:v>6. Large Bus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'23.10 Busembtya-Butongole'!$X$10:$X$21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2</c:v>
                </c:pt>
                <c:pt idx="6">
                  <c:v>3</c:v>
                </c:pt>
                <c:pt idx="7">
                  <c:v>2</c:v>
                </c:pt>
                <c:pt idx="8">
                  <c:v>3</c:v>
                </c:pt>
                <c:pt idx="9">
                  <c:v>3</c:v>
                </c:pt>
                <c:pt idx="10">
                  <c:v>1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428B-46B4-90C5-4BE58AC1B7CD}"/>
            </c:ext>
          </c:extLst>
        </c:ser>
        <c:ser>
          <c:idx val="6"/>
          <c:order val="6"/>
          <c:tx>
            <c:strRef>
              <c:f>'23.10 Busembtya-Butongole'!$Y$9</c:f>
              <c:strCache>
                <c:ptCount val="1"/>
                <c:pt idx="0">
                  <c:v>7. Light Truck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'23.10 Busembtya-Butongole'!$Y$10:$Y$21</c:f>
              <c:numCache>
                <c:formatCode>0</c:formatCode>
                <c:ptCount val="12"/>
                <c:pt idx="0">
                  <c:v>4</c:v>
                </c:pt>
                <c:pt idx="1">
                  <c:v>4</c:v>
                </c:pt>
                <c:pt idx="2">
                  <c:v>3</c:v>
                </c:pt>
                <c:pt idx="3">
                  <c:v>1</c:v>
                </c:pt>
                <c:pt idx="4">
                  <c:v>2</c:v>
                </c:pt>
                <c:pt idx="5">
                  <c:v>2</c:v>
                </c:pt>
                <c:pt idx="6">
                  <c:v>5</c:v>
                </c:pt>
                <c:pt idx="7">
                  <c:v>6</c:v>
                </c:pt>
                <c:pt idx="8">
                  <c:v>4</c:v>
                </c:pt>
                <c:pt idx="9">
                  <c:v>3</c:v>
                </c:pt>
                <c:pt idx="10">
                  <c:v>6</c:v>
                </c:pt>
                <c:pt idx="11">
                  <c:v>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428B-46B4-90C5-4BE58AC1B7CD}"/>
            </c:ext>
          </c:extLst>
        </c:ser>
        <c:ser>
          <c:idx val="7"/>
          <c:order val="7"/>
          <c:tx>
            <c:strRef>
              <c:f>'23.10 Busembtya-Butongole'!$Z$9</c:f>
              <c:strCache>
                <c:ptCount val="1"/>
                <c:pt idx="0">
                  <c:v>8. Medium Truck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'23.10 Busembtya-Butongole'!$Z$10:$Z$21</c:f>
              <c:numCache>
                <c:formatCode>0</c:formatCode>
                <c:ptCount val="12"/>
                <c:pt idx="0">
                  <c:v>2</c:v>
                </c:pt>
                <c:pt idx="1">
                  <c:v>2</c:v>
                </c:pt>
                <c:pt idx="2">
                  <c:v>2</c:v>
                </c:pt>
                <c:pt idx="3">
                  <c:v>3</c:v>
                </c:pt>
                <c:pt idx="4">
                  <c:v>3</c:v>
                </c:pt>
                <c:pt idx="5">
                  <c:v>2</c:v>
                </c:pt>
                <c:pt idx="6">
                  <c:v>4</c:v>
                </c:pt>
                <c:pt idx="7">
                  <c:v>6</c:v>
                </c:pt>
                <c:pt idx="8">
                  <c:v>11</c:v>
                </c:pt>
                <c:pt idx="9">
                  <c:v>2</c:v>
                </c:pt>
                <c:pt idx="10">
                  <c:v>6</c:v>
                </c:pt>
                <c:pt idx="11">
                  <c:v>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428B-46B4-90C5-4BE58AC1B7CD}"/>
            </c:ext>
          </c:extLst>
        </c:ser>
        <c:ser>
          <c:idx val="8"/>
          <c:order val="8"/>
          <c:tx>
            <c:strRef>
              <c:f>'23.10 Busembtya-Butongole'!$AA$9</c:f>
              <c:strCache>
                <c:ptCount val="1"/>
                <c:pt idx="0">
                  <c:v>9. Heavy truck 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'23.10 Busembtya-Butongole'!$AA$10:$AA$21</c:f>
              <c:numCache>
                <c:formatCode>0</c:formatCode>
                <c:ptCount val="12"/>
                <c:pt idx="0">
                  <c:v>8</c:v>
                </c:pt>
                <c:pt idx="1">
                  <c:v>5</c:v>
                </c:pt>
                <c:pt idx="2">
                  <c:v>4</c:v>
                </c:pt>
                <c:pt idx="3">
                  <c:v>0</c:v>
                </c:pt>
                <c:pt idx="4">
                  <c:v>2</c:v>
                </c:pt>
                <c:pt idx="5">
                  <c:v>3</c:v>
                </c:pt>
                <c:pt idx="6">
                  <c:v>0</c:v>
                </c:pt>
                <c:pt idx="7">
                  <c:v>3</c:v>
                </c:pt>
                <c:pt idx="8">
                  <c:v>3</c:v>
                </c:pt>
                <c:pt idx="9">
                  <c:v>2</c:v>
                </c:pt>
                <c:pt idx="10">
                  <c:v>1</c:v>
                </c:pt>
                <c:pt idx="11">
                  <c:v>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428B-46B4-90C5-4BE58AC1B7CD}"/>
            </c:ext>
          </c:extLst>
        </c:ser>
        <c:ser>
          <c:idx val="9"/>
          <c:order val="9"/>
          <c:tx>
            <c:strRef>
              <c:f>'23.10 Busembtya-Butongole'!$AB$9</c:f>
              <c:strCache>
                <c:ptCount val="1"/>
                <c:pt idx="0">
                  <c:v>10. Truck Trailer 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'23.10 Busembtya-Butongole'!$AB$10:$AB$21</c:f>
              <c:numCache>
                <c:formatCode>0</c:formatCode>
                <c:ptCount val="12"/>
                <c:pt idx="0">
                  <c:v>4</c:v>
                </c:pt>
                <c:pt idx="1">
                  <c:v>6</c:v>
                </c:pt>
                <c:pt idx="2">
                  <c:v>2</c:v>
                </c:pt>
                <c:pt idx="3">
                  <c:v>3</c:v>
                </c:pt>
                <c:pt idx="4">
                  <c:v>0</c:v>
                </c:pt>
                <c:pt idx="5">
                  <c:v>2</c:v>
                </c:pt>
                <c:pt idx="6">
                  <c:v>3</c:v>
                </c:pt>
                <c:pt idx="7">
                  <c:v>6</c:v>
                </c:pt>
                <c:pt idx="8">
                  <c:v>2</c:v>
                </c:pt>
                <c:pt idx="9">
                  <c:v>0</c:v>
                </c:pt>
                <c:pt idx="10">
                  <c:v>2</c:v>
                </c:pt>
                <c:pt idx="11">
                  <c:v>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428B-46B4-90C5-4BE58AC1B7CD}"/>
            </c:ext>
          </c:extLst>
        </c:ser>
        <c:ser>
          <c:idx val="10"/>
          <c:order val="10"/>
          <c:tx>
            <c:strRef>
              <c:f>'23.10 Busembtya-Butongole'!$AC$9</c:f>
              <c:strCache>
                <c:ptCount val="1"/>
                <c:pt idx="0">
                  <c:v>11. Motorcycles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'23.10 Busembtya-Butongole'!$AC$10:$AC$21</c:f>
              <c:numCache>
                <c:formatCode>0</c:formatCode>
                <c:ptCount val="12"/>
                <c:pt idx="0">
                  <c:v>41</c:v>
                </c:pt>
                <c:pt idx="1">
                  <c:v>22</c:v>
                </c:pt>
                <c:pt idx="2">
                  <c:v>46</c:v>
                </c:pt>
                <c:pt idx="3">
                  <c:v>35</c:v>
                </c:pt>
                <c:pt idx="4">
                  <c:v>47</c:v>
                </c:pt>
                <c:pt idx="5">
                  <c:v>33</c:v>
                </c:pt>
                <c:pt idx="6">
                  <c:v>30</c:v>
                </c:pt>
                <c:pt idx="7">
                  <c:v>50</c:v>
                </c:pt>
                <c:pt idx="8">
                  <c:v>34</c:v>
                </c:pt>
                <c:pt idx="9">
                  <c:v>16</c:v>
                </c:pt>
                <c:pt idx="10">
                  <c:v>37</c:v>
                </c:pt>
                <c:pt idx="11">
                  <c:v>32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428B-46B4-90C5-4BE58AC1B7CD}"/>
            </c:ext>
          </c:extLst>
        </c:ser>
        <c:ser>
          <c:idx val="11"/>
          <c:order val="11"/>
          <c:tx>
            <c:strRef>
              <c:f>'23.10 Busembtya-Butongole'!$AD$9</c:f>
              <c:strCache>
                <c:ptCount val="1"/>
                <c:pt idx="0">
                  <c:v>12. Tractors, Graders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'23.10 Busembtya-Butongole'!$AD$10:$AD$21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1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428B-46B4-90C5-4BE58AC1B7C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6397952"/>
        <c:axId val="116399488"/>
      </c:lineChart>
      <c:catAx>
        <c:axId val="11639795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16399488"/>
        <c:crosses val="autoZero"/>
        <c:auto val="1"/>
        <c:lblAlgn val="ctr"/>
        <c:lblOffset val="100"/>
        <c:noMultiLvlLbl val="0"/>
      </c:catAx>
      <c:valAx>
        <c:axId val="1163994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5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05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 Volume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1639795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4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DC12-4217-8AB6-47C18865D9D7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DC12-4217-8AB6-47C18865D9D7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DC12-4217-8AB6-47C18865D9D7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DC12-4217-8AB6-47C18865D9D7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DC12-4217-8AB6-47C18865D9D7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DC12-4217-8AB6-47C18865D9D7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DC12-4217-8AB6-47C18865D9D7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DC12-4217-8AB6-47C18865D9D7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DC12-4217-8AB6-47C18865D9D7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DC12-4217-8AB6-47C18865D9D7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DC12-4217-8AB6-47C18865D9D7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DC12-4217-8AB6-47C18865D9D7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DC12-4217-8AB6-47C18865D9D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'23.10 Busembtya-Butongole'!$C$9:$N$9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'23.10 Busembtya-Butongole'!$C$60:$N$60</c:f>
              <c:numCache>
                <c:formatCode>0.00%</c:formatCode>
                <c:ptCount val="12"/>
                <c:pt idx="0">
                  <c:v>0.16067653276955601</c:v>
                </c:pt>
                <c:pt idx="1">
                  <c:v>9.3023255813953487E-2</c:v>
                </c:pt>
                <c:pt idx="2">
                  <c:v>0.10993657505285412</c:v>
                </c:pt>
                <c:pt idx="3">
                  <c:v>0.42283298097251587</c:v>
                </c:pt>
                <c:pt idx="4">
                  <c:v>1.7970401691331923E-2</c:v>
                </c:pt>
                <c:pt idx="5">
                  <c:v>1.7970401691331923E-2</c:v>
                </c:pt>
                <c:pt idx="6">
                  <c:v>4.8625792811839326E-2</c:v>
                </c:pt>
                <c:pt idx="7">
                  <c:v>5.3911205073995772E-2</c:v>
                </c:pt>
                <c:pt idx="8">
                  <c:v>3.8054968287526428E-2</c:v>
                </c:pt>
                <c:pt idx="9">
                  <c:v>3.5940803382663845E-2</c:v>
                </c:pt>
                <c:pt idx="11">
                  <c:v>1.0570824524312897E-3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DC12-4217-8AB6-47C18865D9D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4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'23.10 Butongole-Busembatya'!$AE$9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'23.10 Butongole-Busembatya'!$R$10:$R$21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'23.10 Butongole-Busembatya'!$AE$10:$AE$21</c:f>
              <c:numCache>
                <c:formatCode>0</c:formatCode>
                <c:ptCount val="12"/>
                <c:pt idx="0">
                  <c:v>65</c:v>
                </c:pt>
                <c:pt idx="1">
                  <c:v>56</c:v>
                </c:pt>
                <c:pt idx="2">
                  <c:v>84</c:v>
                </c:pt>
                <c:pt idx="3">
                  <c:v>76</c:v>
                </c:pt>
                <c:pt idx="4">
                  <c:v>95</c:v>
                </c:pt>
                <c:pt idx="5">
                  <c:v>86</c:v>
                </c:pt>
                <c:pt idx="6">
                  <c:v>72</c:v>
                </c:pt>
                <c:pt idx="7">
                  <c:v>110</c:v>
                </c:pt>
                <c:pt idx="8">
                  <c:v>95</c:v>
                </c:pt>
                <c:pt idx="9">
                  <c:v>81</c:v>
                </c:pt>
                <c:pt idx="10">
                  <c:v>100</c:v>
                </c:pt>
                <c:pt idx="11">
                  <c:v>80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C9DE-43FB-B018-4B429EDDE76A}"/>
            </c:ext>
          </c:extLst>
        </c:ser>
        <c:ser>
          <c:idx val="1"/>
          <c:order val="1"/>
          <c:tx>
            <c:strRef>
              <c:f>'23.10 Butongole-Busembatya'!$AF$9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'23.10 Butongole-Busembatya'!$R$10:$R$21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'23.10 Butongole-Busembatya'!$AF$10:$AF$21</c:f>
              <c:numCache>
                <c:formatCode>0</c:formatCode>
                <c:ptCount val="12"/>
                <c:pt idx="0">
                  <c:v>97</c:v>
                </c:pt>
                <c:pt idx="1">
                  <c:v>83</c:v>
                </c:pt>
                <c:pt idx="2">
                  <c:v>132</c:v>
                </c:pt>
                <c:pt idx="3">
                  <c:v>124</c:v>
                </c:pt>
                <c:pt idx="4">
                  <c:v>154</c:v>
                </c:pt>
                <c:pt idx="5">
                  <c:v>138</c:v>
                </c:pt>
                <c:pt idx="6">
                  <c:v>113</c:v>
                </c:pt>
                <c:pt idx="7">
                  <c:v>164</c:v>
                </c:pt>
                <c:pt idx="8">
                  <c:v>148</c:v>
                </c:pt>
                <c:pt idx="9">
                  <c:v>110</c:v>
                </c:pt>
                <c:pt idx="10">
                  <c:v>146</c:v>
                </c:pt>
                <c:pt idx="11">
                  <c:v>121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C9DE-43FB-B018-4B429EDDE76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16638848"/>
        <c:axId val="116640384"/>
      </c:lineChart>
      <c:catAx>
        <c:axId val="116638848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16640384"/>
        <c:crosses val="autoZero"/>
        <c:auto val="1"/>
        <c:lblAlgn val="ctr"/>
        <c:lblOffset val="100"/>
        <c:noMultiLvlLbl val="0"/>
      </c:catAx>
      <c:valAx>
        <c:axId val="116640384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166388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4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A85F-4049-90B5-622F08A1EAA3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A85F-4049-90B5-622F08A1EAA3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A85F-4049-90B5-622F08A1EAA3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A85F-4049-90B5-622F08A1EAA3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A85F-4049-90B5-622F08A1EAA3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A85F-4049-90B5-622F08A1EAA3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A85F-4049-90B5-622F08A1EAA3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A85F-4049-90B5-622F08A1EAA3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A85F-4049-90B5-622F08A1EAA3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A85F-4049-90B5-622F08A1EAA3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A85F-4049-90B5-622F08A1EAA3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A85F-4049-90B5-622F08A1EAA3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A85F-4049-90B5-622F08A1EAA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'23.10 Butongole-Busembatya'!$C$9:$N$9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'23.10 Butongole-Busembatya'!$C$59:$N$59</c:f>
              <c:numCache>
                <c:formatCode>0.0%</c:formatCode>
                <c:ptCount val="12"/>
                <c:pt idx="0">
                  <c:v>0.10784313725490197</c:v>
                </c:pt>
                <c:pt idx="1">
                  <c:v>6.7320261437908493E-2</c:v>
                </c:pt>
                <c:pt idx="2">
                  <c:v>7.8431372549019607E-2</c:v>
                </c:pt>
                <c:pt idx="3">
                  <c:v>0.25359477124183005</c:v>
                </c:pt>
                <c:pt idx="4">
                  <c:v>8.4967320261437902E-3</c:v>
                </c:pt>
                <c:pt idx="5">
                  <c:v>1.045751633986928E-2</c:v>
                </c:pt>
                <c:pt idx="6">
                  <c:v>3.9869281045751631E-2</c:v>
                </c:pt>
                <c:pt idx="7">
                  <c:v>4.5751633986928102E-2</c:v>
                </c:pt>
                <c:pt idx="8">
                  <c:v>2.0261437908496733E-2</c:v>
                </c:pt>
                <c:pt idx="9">
                  <c:v>2.1568627450980392E-2</c:v>
                </c:pt>
                <c:pt idx="10">
                  <c:v>0.34640522875816993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A85F-4049-90B5-622F08A1EAA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4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Hourly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Variation of Classified Traffic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31244670799128843"/>
          <c:y val="2.2960226637323725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'23.10 Butongole-Busembatya'!$S$9</c:f>
              <c:strCache>
                <c:ptCount val="1"/>
                <c:pt idx="0">
                  <c:v>1. Car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'23.10 Butongole-Busembatya'!$R$10:$R$21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'23.10 Butongole-Busembatya'!$S$10:$S$21</c:f>
              <c:numCache>
                <c:formatCode>0</c:formatCode>
                <c:ptCount val="12"/>
                <c:pt idx="0">
                  <c:v>9</c:v>
                </c:pt>
                <c:pt idx="1">
                  <c:v>6</c:v>
                </c:pt>
                <c:pt idx="2">
                  <c:v>12</c:v>
                </c:pt>
                <c:pt idx="3">
                  <c:v>14</c:v>
                </c:pt>
                <c:pt idx="4">
                  <c:v>21</c:v>
                </c:pt>
                <c:pt idx="5">
                  <c:v>19</c:v>
                </c:pt>
                <c:pt idx="6">
                  <c:v>7</c:v>
                </c:pt>
                <c:pt idx="7">
                  <c:v>21</c:v>
                </c:pt>
                <c:pt idx="8">
                  <c:v>11</c:v>
                </c:pt>
                <c:pt idx="9">
                  <c:v>12</c:v>
                </c:pt>
                <c:pt idx="10">
                  <c:v>20</c:v>
                </c:pt>
                <c:pt idx="11">
                  <c:v>13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5793-4957-A836-ECDA67D2C747}"/>
            </c:ext>
          </c:extLst>
        </c:ser>
        <c:ser>
          <c:idx val="1"/>
          <c:order val="1"/>
          <c:tx>
            <c:strRef>
              <c:f>'23.10 Butongole-Busembatya'!$T$9</c:f>
              <c:strCache>
                <c:ptCount val="1"/>
                <c:pt idx="0">
                  <c:v>2. Station Wagon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'23.10 Butongole-Busembatya'!$R$10:$R$21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'23.10 Butongole-Busembatya'!$T$10:$T$21</c:f>
              <c:numCache>
                <c:formatCode>0</c:formatCode>
                <c:ptCount val="12"/>
                <c:pt idx="0">
                  <c:v>6</c:v>
                </c:pt>
                <c:pt idx="1">
                  <c:v>6</c:v>
                </c:pt>
                <c:pt idx="2">
                  <c:v>10</c:v>
                </c:pt>
                <c:pt idx="3">
                  <c:v>11</c:v>
                </c:pt>
                <c:pt idx="4">
                  <c:v>7</c:v>
                </c:pt>
                <c:pt idx="5">
                  <c:v>5</c:v>
                </c:pt>
                <c:pt idx="6">
                  <c:v>5</c:v>
                </c:pt>
                <c:pt idx="7">
                  <c:v>11</c:v>
                </c:pt>
                <c:pt idx="8">
                  <c:v>11</c:v>
                </c:pt>
                <c:pt idx="9">
                  <c:v>14</c:v>
                </c:pt>
                <c:pt idx="10">
                  <c:v>11</c:v>
                </c:pt>
                <c:pt idx="11">
                  <c:v>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5793-4957-A836-ECDA67D2C747}"/>
            </c:ext>
          </c:extLst>
        </c:ser>
        <c:ser>
          <c:idx val="2"/>
          <c:order val="2"/>
          <c:tx>
            <c:strRef>
              <c:f>'23.10 Butongole-Busembatya'!$U$9</c:f>
              <c:strCache>
                <c:ptCount val="1"/>
                <c:pt idx="0">
                  <c:v>3. Pickups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'23.10 Butongole-Busembatya'!$U$10:$U$21</c:f>
              <c:numCache>
                <c:formatCode>0</c:formatCode>
                <c:ptCount val="12"/>
                <c:pt idx="0">
                  <c:v>16</c:v>
                </c:pt>
                <c:pt idx="1">
                  <c:v>10</c:v>
                </c:pt>
                <c:pt idx="2">
                  <c:v>16</c:v>
                </c:pt>
                <c:pt idx="3">
                  <c:v>3</c:v>
                </c:pt>
                <c:pt idx="4">
                  <c:v>8</c:v>
                </c:pt>
                <c:pt idx="5">
                  <c:v>9</c:v>
                </c:pt>
                <c:pt idx="6">
                  <c:v>7</c:v>
                </c:pt>
                <c:pt idx="7">
                  <c:v>8</c:v>
                </c:pt>
                <c:pt idx="8">
                  <c:v>12</c:v>
                </c:pt>
                <c:pt idx="9">
                  <c:v>9</c:v>
                </c:pt>
                <c:pt idx="10">
                  <c:v>8</c:v>
                </c:pt>
                <c:pt idx="11">
                  <c:v>14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793-4957-A836-ECDA67D2C747}"/>
            </c:ext>
          </c:extLst>
        </c:ser>
        <c:ser>
          <c:idx val="3"/>
          <c:order val="3"/>
          <c:tx>
            <c:strRef>
              <c:f>'23.10 Butongole-Busembatya'!$V$9</c:f>
              <c:strCache>
                <c:ptCount val="1"/>
                <c:pt idx="0">
                  <c:v>4. Minibus, matatu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'23.10 Butongole-Busembatya'!$V$10:$V$21</c:f>
              <c:numCache>
                <c:formatCode>0</c:formatCode>
                <c:ptCount val="12"/>
                <c:pt idx="0">
                  <c:v>14</c:v>
                </c:pt>
                <c:pt idx="1">
                  <c:v>21</c:v>
                </c:pt>
                <c:pt idx="2">
                  <c:v>29</c:v>
                </c:pt>
                <c:pt idx="3">
                  <c:v>27</c:v>
                </c:pt>
                <c:pt idx="4">
                  <c:v>40</c:v>
                </c:pt>
                <c:pt idx="5">
                  <c:v>35</c:v>
                </c:pt>
                <c:pt idx="6">
                  <c:v>41</c:v>
                </c:pt>
                <c:pt idx="7">
                  <c:v>44</c:v>
                </c:pt>
                <c:pt idx="8">
                  <c:v>44</c:v>
                </c:pt>
                <c:pt idx="9">
                  <c:v>28</c:v>
                </c:pt>
                <c:pt idx="10">
                  <c:v>33</c:v>
                </c:pt>
                <c:pt idx="11">
                  <c:v>32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5793-4957-A836-ECDA67D2C747}"/>
            </c:ext>
          </c:extLst>
        </c:ser>
        <c:ser>
          <c:idx val="4"/>
          <c:order val="4"/>
          <c:tx>
            <c:strRef>
              <c:f>'23.10 Butongole-Busembatya'!$W$9</c:f>
              <c:strCache>
                <c:ptCount val="1"/>
                <c:pt idx="0">
                  <c:v>5. Medium bus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'23.10 Butongole-Busembatya'!$W$10:$W$21</c:f>
              <c:numCache>
                <c:formatCode>0</c:formatCode>
                <c:ptCount val="12"/>
                <c:pt idx="0">
                  <c:v>1</c:v>
                </c:pt>
                <c:pt idx="1">
                  <c:v>1</c:v>
                </c:pt>
                <c:pt idx="2">
                  <c:v>0</c:v>
                </c:pt>
                <c:pt idx="3">
                  <c:v>0</c:v>
                </c:pt>
                <c:pt idx="4">
                  <c:v>2</c:v>
                </c:pt>
                <c:pt idx="5">
                  <c:v>1</c:v>
                </c:pt>
                <c:pt idx="6">
                  <c:v>2</c:v>
                </c:pt>
                <c:pt idx="7">
                  <c:v>4</c:v>
                </c:pt>
                <c:pt idx="8">
                  <c:v>1</c:v>
                </c:pt>
                <c:pt idx="9">
                  <c:v>0</c:v>
                </c:pt>
                <c:pt idx="10">
                  <c:v>1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5793-4957-A836-ECDA67D2C747}"/>
            </c:ext>
          </c:extLst>
        </c:ser>
        <c:ser>
          <c:idx val="5"/>
          <c:order val="5"/>
          <c:tx>
            <c:strRef>
              <c:f>'23.10 Butongole-Busembatya'!$X$9</c:f>
              <c:strCache>
                <c:ptCount val="1"/>
                <c:pt idx="0">
                  <c:v>6. Large Bus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'23.10 Butongole-Busembatya'!$X$10:$X$21</c:f>
              <c:numCache>
                <c:formatCode>0</c:formatCode>
                <c:ptCount val="12"/>
                <c:pt idx="0">
                  <c:v>2</c:v>
                </c:pt>
                <c:pt idx="1">
                  <c:v>0</c:v>
                </c:pt>
                <c:pt idx="2">
                  <c:v>1</c:v>
                </c:pt>
                <c:pt idx="3">
                  <c:v>0</c:v>
                </c:pt>
                <c:pt idx="4">
                  <c:v>1</c:v>
                </c:pt>
                <c:pt idx="5">
                  <c:v>2</c:v>
                </c:pt>
                <c:pt idx="6">
                  <c:v>0</c:v>
                </c:pt>
                <c:pt idx="7">
                  <c:v>2</c:v>
                </c:pt>
                <c:pt idx="8">
                  <c:v>2</c:v>
                </c:pt>
                <c:pt idx="9">
                  <c:v>1</c:v>
                </c:pt>
                <c:pt idx="10">
                  <c:v>3</c:v>
                </c:pt>
                <c:pt idx="11">
                  <c:v>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5793-4957-A836-ECDA67D2C747}"/>
            </c:ext>
          </c:extLst>
        </c:ser>
        <c:ser>
          <c:idx val="6"/>
          <c:order val="6"/>
          <c:tx>
            <c:strRef>
              <c:f>'23.10 Butongole-Busembatya'!$Y$9</c:f>
              <c:strCache>
                <c:ptCount val="1"/>
                <c:pt idx="0">
                  <c:v>7. Light Truck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'23.10 Butongole-Busembatya'!$Y$10:$Y$21</c:f>
              <c:numCache>
                <c:formatCode>0</c:formatCode>
                <c:ptCount val="12"/>
                <c:pt idx="0">
                  <c:v>8</c:v>
                </c:pt>
                <c:pt idx="1">
                  <c:v>6</c:v>
                </c:pt>
                <c:pt idx="2">
                  <c:v>2</c:v>
                </c:pt>
                <c:pt idx="3">
                  <c:v>5</c:v>
                </c:pt>
                <c:pt idx="4">
                  <c:v>4</c:v>
                </c:pt>
                <c:pt idx="5">
                  <c:v>4</c:v>
                </c:pt>
                <c:pt idx="6">
                  <c:v>7</c:v>
                </c:pt>
                <c:pt idx="7">
                  <c:v>6</c:v>
                </c:pt>
                <c:pt idx="8">
                  <c:v>3</c:v>
                </c:pt>
                <c:pt idx="9">
                  <c:v>3</c:v>
                </c:pt>
                <c:pt idx="10">
                  <c:v>10</c:v>
                </c:pt>
                <c:pt idx="11">
                  <c:v>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5793-4957-A836-ECDA67D2C747}"/>
            </c:ext>
          </c:extLst>
        </c:ser>
        <c:ser>
          <c:idx val="7"/>
          <c:order val="7"/>
          <c:tx>
            <c:strRef>
              <c:f>'23.10 Butongole-Busembatya'!$Z$9</c:f>
              <c:strCache>
                <c:ptCount val="1"/>
                <c:pt idx="0">
                  <c:v>8. Medium Truck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'23.10 Butongole-Busembatya'!$Z$10:$Z$21</c:f>
              <c:numCache>
                <c:formatCode>0</c:formatCode>
                <c:ptCount val="12"/>
                <c:pt idx="0">
                  <c:v>4</c:v>
                </c:pt>
                <c:pt idx="1">
                  <c:v>5</c:v>
                </c:pt>
                <c:pt idx="2">
                  <c:v>9</c:v>
                </c:pt>
                <c:pt idx="3">
                  <c:v>7</c:v>
                </c:pt>
                <c:pt idx="4">
                  <c:v>6</c:v>
                </c:pt>
                <c:pt idx="5">
                  <c:v>7</c:v>
                </c:pt>
                <c:pt idx="6">
                  <c:v>1</c:v>
                </c:pt>
                <c:pt idx="7">
                  <c:v>8</c:v>
                </c:pt>
                <c:pt idx="8">
                  <c:v>3</c:v>
                </c:pt>
                <c:pt idx="9">
                  <c:v>6</c:v>
                </c:pt>
                <c:pt idx="10">
                  <c:v>8</c:v>
                </c:pt>
                <c:pt idx="11">
                  <c:v>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5793-4957-A836-ECDA67D2C747}"/>
            </c:ext>
          </c:extLst>
        </c:ser>
        <c:ser>
          <c:idx val="8"/>
          <c:order val="8"/>
          <c:tx>
            <c:strRef>
              <c:f>'23.10 Butongole-Busembatya'!$AA$9</c:f>
              <c:strCache>
                <c:ptCount val="1"/>
                <c:pt idx="0">
                  <c:v>9. Heavy truck 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'23.10 Butongole-Busembatya'!$AA$10:$AA$21</c:f>
              <c:numCache>
                <c:formatCode>0</c:formatCode>
                <c:ptCount val="12"/>
                <c:pt idx="0">
                  <c:v>1</c:v>
                </c:pt>
                <c:pt idx="1">
                  <c:v>1</c:v>
                </c:pt>
                <c:pt idx="2">
                  <c:v>3</c:v>
                </c:pt>
                <c:pt idx="3">
                  <c:v>4</c:v>
                </c:pt>
                <c:pt idx="4">
                  <c:v>4</c:v>
                </c:pt>
                <c:pt idx="5">
                  <c:v>1</c:v>
                </c:pt>
                <c:pt idx="6">
                  <c:v>2</c:v>
                </c:pt>
                <c:pt idx="7">
                  <c:v>1</c:v>
                </c:pt>
                <c:pt idx="8">
                  <c:v>2</c:v>
                </c:pt>
                <c:pt idx="9">
                  <c:v>5</c:v>
                </c:pt>
                <c:pt idx="10">
                  <c:v>5</c:v>
                </c:pt>
                <c:pt idx="11">
                  <c:v>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5793-4957-A836-ECDA67D2C747}"/>
            </c:ext>
          </c:extLst>
        </c:ser>
        <c:ser>
          <c:idx val="9"/>
          <c:order val="9"/>
          <c:tx>
            <c:strRef>
              <c:f>'23.10 Butongole-Busembatya'!$AB$9</c:f>
              <c:strCache>
                <c:ptCount val="1"/>
                <c:pt idx="0">
                  <c:v>10. Truck Trailer 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'23.10 Butongole-Busembatya'!$AB$10:$AB$21</c:f>
              <c:numCache>
                <c:formatCode>0</c:formatCode>
                <c:ptCount val="12"/>
                <c:pt idx="0">
                  <c:v>4</c:v>
                </c:pt>
                <c:pt idx="1">
                  <c:v>0</c:v>
                </c:pt>
                <c:pt idx="2">
                  <c:v>2</c:v>
                </c:pt>
                <c:pt idx="3">
                  <c:v>5</c:v>
                </c:pt>
                <c:pt idx="4">
                  <c:v>2</c:v>
                </c:pt>
                <c:pt idx="5">
                  <c:v>3</c:v>
                </c:pt>
                <c:pt idx="6">
                  <c:v>0</c:v>
                </c:pt>
                <c:pt idx="7">
                  <c:v>5</c:v>
                </c:pt>
                <c:pt idx="8">
                  <c:v>6</c:v>
                </c:pt>
                <c:pt idx="9">
                  <c:v>3</c:v>
                </c:pt>
                <c:pt idx="10">
                  <c:v>1</c:v>
                </c:pt>
                <c:pt idx="11">
                  <c:v>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5793-4957-A836-ECDA67D2C747}"/>
            </c:ext>
          </c:extLst>
        </c:ser>
        <c:ser>
          <c:idx val="10"/>
          <c:order val="10"/>
          <c:tx>
            <c:strRef>
              <c:f>'23.10 Butongole-Busembatya'!$AC$9</c:f>
              <c:strCache>
                <c:ptCount val="1"/>
                <c:pt idx="0">
                  <c:v>11. Motorcycles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'23.10 Butongole-Busembatya'!$AC$10:$AC$21</c:f>
              <c:numCache>
                <c:formatCode>0</c:formatCode>
                <c:ptCount val="12"/>
                <c:pt idx="0">
                  <c:v>32</c:v>
                </c:pt>
                <c:pt idx="1">
                  <c:v>27</c:v>
                </c:pt>
                <c:pt idx="2">
                  <c:v>48</c:v>
                </c:pt>
                <c:pt idx="3">
                  <c:v>48</c:v>
                </c:pt>
                <c:pt idx="4">
                  <c:v>59</c:v>
                </c:pt>
                <c:pt idx="5">
                  <c:v>52</c:v>
                </c:pt>
                <c:pt idx="6">
                  <c:v>41</c:v>
                </c:pt>
                <c:pt idx="7">
                  <c:v>54</c:v>
                </c:pt>
                <c:pt idx="8">
                  <c:v>53</c:v>
                </c:pt>
                <c:pt idx="9">
                  <c:v>29</c:v>
                </c:pt>
                <c:pt idx="10">
                  <c:v>46</c:v>
                </c:pt>
                <c:pt idx="11">
                  <c:v>41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5793-4957-A836-ECDA67D2C747}"/>
            </c:ext>
          </c:extLst>
        </c:ser>
        <c:ser>
          <c:idx val="11"/>
          <c:order val="11"/>
          <c:tx>
            <c:strRef>
              <c:f>'23.10 Butongole-Busembatya'!$AD$9</c:f>
              <c:strCache>
                <c:ptCount val="1"/>
                <c:pt idx="0">
                  <c:v>12. Tractors, Graders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'23.10 Butongole-Busembatya'!$AD$10:$AD$21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5793-4957-A836-ECDA67D2C74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6866048"/>
        <c:axId val="116880128"/>
      </c:lineChart>
      <c:catAx>
        <c:axId val="11686604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16880128"/>
        <c:crosses val="autoZero"/>
        <c:auto val="1"/>
        <c:lblAlgn val="ctr"/>
        <c:lblOffset val="100"/>
        <c:noMultiLvlLbl val="0"/>
      </c:catAx>
      <c:valAx>
        <c:axId val="1168801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5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05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 Volume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168660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5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ACB0-4F20-A91A-776340154943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ACB0-4F20-A91A-776340154943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ACB0-4F20-A91A-776340154943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ACB0-4F20-A91A-776340154943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ACB0-4F20-A91A-776340154943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ACB0-4F20-A91A-776340154943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ACB0-4F20-A91A-776340154943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ACB0-4F20-A91A-776340154943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ACB0-4F20-A91A-776340154943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ACB0-4F20-A91A-776340154943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ACB0-4F20-A91A-776340154943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ACB0-4F20-A91A-776340154943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ACB0-4F20-A91A-77634015494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'23.10 Butongole-Busembatya'!$C$9:$N$9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'23.10 Butongole-Busembatya'!$C$60:$N$60</c:f>
              <c:numCache>
                <c:formatCode>0.00%</c:formatCode>
                <c:ptCount val="12"/>
                <c:pt idx="0">
                  <c:v>0.16500000000000001</c:v>
                </c:pt>
                <c:pt idx="1">
                  <c:v>0.10299999999999999</c:v>
                </c:pt>
                <c:pt idx="2">
                  <c:v>0.12</c:v>
                </c:pt>
                <c:pt idx="3">
                  <c:v>0.38800000000000001</c:v>
                </c:pt>
                <c:pt idx="4">
                  <c:v>1.2999999999999999E-2</c:v>
                </c:pt>
                <c:pt idx="5">
                  <c:v>1.6E-2</c:v>
                </c:pt>
                <c:pt idx="6">
                  <c:v>6.0999999999999999E-2</c:v>
                </c:pt>
                <c:pt idx="7">
                  <c:v>7.0000000000000007E-2</c:v>
                </c:pt>
                <c:pt idx="8">
                  <c:v>3.1E-2</c:v>
                </c:pt>
                <c:pt idx="9">
                  <c:v>3.3000000000000002E-2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ACB0-4F20-A91A-7763401549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5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'Avg Week  Busembatya-Butongole'!$AE$9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'Avg Week  Busembatya-Butongole'!$R$10:$R$33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'Avg Week  Busembatya-Butongole'!$AE$10:$AE$33</c:f>
              <c:numCache>
                <c:formatCode>0</c:formatCode>
                <c:ptCount val="24"/>
                <c:pt idx="0">
                  <c:v>56.428571428571423</c:v>
                </c:pt>
                <c:pt idx="1">
                  <c:v>61.857142857142861</c:v>
                </c:pt>
                <c:pt idx="2">
                  <c:v>72.142857142857139</c:v>
                </c:pt>
                <c:pt idx="3">
                  <c:v>67.857142857142847</c:v>
                </c:pt>
                <c:pt idx="4">
                  <c:v>74.571428571428569</c:v>
                </c:pt>
                <c:pt idx="5">
                  <c:v>84.428571428571431</c:v>
                </c:pt>
                <c:pt idx="6">
                  <c:v>88</c:v>
                </c:pt>
                <c:pt idx="7">
                  <c:v>83.142857142857139</c:v>
                </c:pt>
                <c:pt idx="8">
                  <c:v>88.857142857142847</c:v>
                </c:pt>
                <c:pt idx="9">
                  <c:v>88.285714285714278</c:v>
                </c:pt>
                <c:pt idx="10">
                  <c:v>107.14285714285714</c:v>
                </c:pt>
                <c:pt idx="11">
                  <c:v>99.285714285714292</c:v>
                </c:pt>
                <c:pt idx="12">
                  <c:v>117.5</c:v>
                </c:pt>
                <c:pt idx="13">
                  <c:v>91</c:v>
                </c:pt>
                <c:pt idx="14">
                  <c:v>49</c:v>
                </c:pt>
                <c:pt idx="15">
                  <c:v>34.5</c:v>
                </c:pt>
                <c:pt idx="16">
                  <c:v>16</c:v>
                </c:pt>
                <c:pt idx="17">
                  <c:v>16.5</c:v>
                </c:pt>
                <c:pt idx="18">
                  <c:v>9.5</c:v>
                </c:pt>
                <c:pt idx="19">
                  <c:v>11</c:v>
                </c:pt>
                <c:pt idx="20">
                  <c:v>9</c:v>
                </c:pt>
                <c:pt idx="21">
                  <c:v>14.5</c:v>
                </c:pt>
                <c:pt idx="22">
                  <c:v>14.5</c:v>
                </c:pt>
                <c:pt idx="23">
                  <c:v>35.5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2E85-422C-8502-C8D950B820C5}"/>
            </c:ext>
          </c:extLst>
        </c:ser>
        <c:ser>
          <c:idx val="1"/>
          <c:order val="1"/>
          <c:tx>
            <c:strRef>
              <c:f>'Avg Week  Busembatya-Butongole'!$AF$9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'Avg Week  Busembatya-Butongole'!$R$10:$R$33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'Avg Week  Busembatya-Butongole'!$AF$10:$AF$33</c:f>
              <c:numCache>
                <c:formatCode>0</c:formatCode>
                <c:ptCount val="24"/>
                <c:pt idx="0">
                  <c:v>90.142857142857139</c:v>
                </c:pt>
                <c:pt idx="1">
                  <c:v>92.857142857142875</c:v>
                </c:pt>
                <c:pt idx="2">
                  <c:v>110.14285714285714</c:v>
                </c:pt>
                <c:pt idx="3">
                  <c:v>105.85714285714285</c:v>
                </c:pt>
                <c:pt idx="4">
                  <c:v>111.71428571428572</c:v>
                </c:pt>
                <c:pt idx="5">
                  <c:v>119.71428571428571</c:v>
                </c:pt>
                <c:pt idx="6">
                  <c:v>125</c:v>
                </c:pt>
                <c:pt idx="7">
                  <c:v>125.57142857142857</c:v>
                </c:pt>
                <c:pt idx="8">
                  <c:v>127.14285714285712</c:v>
                </c:pt>
                <c:pt idx="9">
                  <c:v>121.71428571428571</c:v>
                </c:pt>
                <c:pt idx="10">
                  <c:v>158.85714285714286</c:v>
                </c:pt>
                <c:pt idx="11">
                  <c:v>144.57142857142856</c:v>
                </c:pt>
                <c:pt idx="12">
                  <c:v>161</c:v>
                </c:pt>
                <c:pt idx="13">
                  <c:v>111</c:v>
                </c:pt>
                <c:pt idx="14">
                  <c:v>59.5</c:v>
                </c:pt>
                <c:pt idx="15">
                  <c:v>39.5</c:v>
                </c:pt>
                <c:pt idx="16">
                  <c:v>16.5</c:v>
                </c:pt>
                <c:pt idx="17">
                  <c:v>19</c:v>
                </c:pt>
                <c:pt idx="18">
                  <c:v>9.5</c:v>
                </c:pt>
                <c:pt idx="19">
                  <c:v>11</c:v>
                </c:pt>
                <c:pt idx="20">
                  <c:v>9.5</c:v>
                </c:pt>
                <c:pt idx="21">
                  <c:v>15.5</c:v>
                </c:pt>
                <c:pt idx="22">
                  <c:v>16.5</c:v>
                </c:pt>
                <c:pt idx="23">
                  <c:v>53.5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2E85-422C-8502-C8D950B820C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17094656"/>
        <c:axId val="117243904"/>
      </c:lineChart>
      <c:catAx>
        <c:axId val="117094656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17243904"/>
        <c:crosses val="autoZero"/>
        <c:auto val="1"/>
        <c:lblAlgn val="ctr"/>
        <c:lblOffset val="100"/>
        <c:noMultiLvlLbl val="0"/>
      </c:catAx>
      <c:valAx>
        <c:axId val="117243904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1709465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5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8.4585881761437956E-2"/>
          <c:y val="0.16002814333522994"/>
          <c:w val="0.82101228366016787"/>
          <c:h val="0.7446058403538719"/>
        </c:manualLayout>
      </c:layout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15E7-413A-BC41-2C6194EF8EC3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15E7-413A-BC41-2C6194EF8EC3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15E7-413A-BC41-2C6194EF8EC3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15E7-413A-BC41-2C6194EF8EC3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15E7-413A-BC41-2C6194EF8EC3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15E7-413A-BC41-2C6194EF8EC3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15E7-413A-BC41-2C6194EF8EC3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15E7-413A-BC41-2C6194EF8EC3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15E7-413A-BC41-2C6194EF8EC3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15E7-413A-BC41-2C6194EF8EC3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15E7-413A-BC41-2C6194EF8EC3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15E7-413A-BC41-2C6194EF8EC3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15E7-413A-BC41-2C6194EF8EC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'Avg Week  Busembatya-Butongole'!$C$9:$N$9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'Avg Week  Busembatya-Butongole'!$C$107:$N$107</c:f>
              <c:numCache>
                <c:formatCode>0.0%</c:formatCode>
                <c:ptCount val="12"/>
                <c:pt idx="0">
                  <c:v>0.15295535909987579</c:v>
                </c:pt>
                <c:pt idx="1">
                  <c:v>5.5490611529188286E-2</c:v>
                </c:pt>
                <c:pt idx="2">
                  <c:v>6.4952144370570619E-2</c:v>
                </c:pt>
                <c:pt idx="3">
                  <c:v>0.2716080952728866</c:v>
                </c:pt>
                <c:pt idx="4">
                  <c:v>1.136114561262512E-2</c:v>
                </c:pt>
                <c:pt idx="5">
                  <c:v>1.8338569445459196E-2</c:v>
                </c:pt>
                <c:pt idx="6">
                  <c:v>5.530795645503031E-2</c:v>
                </c:pt>
                <c:pt idx="7">
                  <c:v>2.9845839117410677E-2</c:v>
                </c:pt>
                <c:pt idx="8">
                  <c:v>4.0257178344414397E-2</c:v>
                </c:pt>
                <c:pt idx="9">
                  <c:v>9.5711258858771093E-3</c:v>
                </c:pt>
                <c:pt idx="10">
                  <c:v>0.28885073427339814</c:v>
                </c:pt>
                <c:pt idx="11">
                  <c:v>1.4612405932636805E-3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15E7-413A-BC41-2C6194EF8EC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5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D80A-4F64-9F70-B5B6C796803E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D80A-4F64-9F70-B5B6C796803E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D80A-4F64-9F70-B5B6C796803E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D80A-4F64-9F70-B5B6C796803E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D80A-4F64-9F70-B5B6C796803E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D80A-4F64-9F70-B5B6C796803E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D80A-4F64-9F70-B5B6C796803E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D80A-4F64-9F70-B5B6C796803E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D80A-4F64-9F70-B5B6C796803E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D80A-4F64-9F70-B5B6C796803E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D80A-4F64-9F70-B5B6C796803E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D80A-4F64-9F70-B5B6C796803E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D80A-4F64-9F70-B5B6C796803E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'Avg Week  Busembatya-Butongole'!$C$9:$N$9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'Avg Week  Busembatya-Butongole'!$C$108:$N$108</c:f>
              <c:numCache>
                <c:formatCode>0.00%</c:formatCode>
                <c:ptCount val="12"/>
                <c:pt idx="0">
                  <c:v>0.21508193352853547</c:v>
                </c:pt>
                <c:pt idx="1">
                  <c:v>7.8029485796476089E-2</c:v>
                </c:pt>
                <c:pt idx="2">
                  <c:v>9.1334052499101051E-2</c:v>
                </c:pt>
                <c:pt idx="3">
                  <c:v>0.38192839163712938</c:v>
                </c:pt>
                <c:pt idx="4">
                  <c:v>1.5975753839831512E-2</c:v>
                </c:pt>
                <c:pt idx="5">
                  <c:v>2.5787229670724818E-2</c:v>
                </c:pt>
                <c:pt idx="6">
                  <c:v>7.7772640879436986E-2</c:v>
                </c:pt>
                <c:pt idx="7">
                  <c:v>4.1968459444187589E-2</c:v>
                </c:pt>
                <c:pt idx="8">
                  <c:v>5.6608619715415816E-2</c:v>
                </c:pt>
                <c:pt idx="9">
                  <c:v>1.3458673652848408E-2</c:v>
                </c:pt>
                <c:pt idx="11">
                  <c:v>2.0547593363127339E-3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D80A-4F64-9F70-B5B6C796803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5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'Avg Week Butongole-Bsembatya'!$AE$9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'Avg Week Butongole-Bsembatya'!$R$10:$R$33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'Avg Week Butongole-Bsembatya'!$AE$10:$AE$33</c:f>
              <c:numCache>
                <c:formatCode>0</c:formatCode>
                <c:ptCount val="24"/>
                <c:pt idx="0">
                  <c:v>49.571428571428569</c:v>
                </c:pt>
                <c:pt idx="1">
                  <c:v>61.428571428571416</c:v>
                </c:pt>
                <c:pt idx="2">
                  <c:v>81.571428571428569</c:v>
                </c:pt>
                <c:pt idx="3">
                  <c:v>87.714285714285694</c:v>
                </c:pt>
                <c:pt idx="4">
                  <c:v>95.857142857142847</c:v>
                </c:pt>
                <c:pt idx="5">
                  <c:v>99.285714285714263</c:v>
                </c:pt>
                <c:pt idx="6">
                  <c:v>89</c:v>
                </c:pt>
                <c:pt idx="7">
                  <c:v>94.857142857142861</c:v>
                </c:pt>
                <c:pt idx="8">
                  <c:v>97.571428571428569</c:v>
                </c:pt>
                <c:pt idx="9">
                  <c:v>93.857142857142847</c:v>
                </c:pt>
                <c:pt idx="10">
                  <c:v>98.714285714285722</c:v>
                </c:pt>
                <c:pt idx="11">
                  <c:v>94</c:v>
                </c:pt>
                <c:pt idx="12">
                  <c:v>83.5</c:v>
                </c:pt>
                <c:pt idx="13">
                  <c:v>60.5</c:v>
                </c:pt>
                <c:pt idx="14">
                  <c:v>53</c:v>
                </c:pt>
                <c:pt idx="15">
                  <c:v>36.5</c:v>
                </c:pt>
                <c:pt idx="16">
                  <c:v>39.5</c:v>
                </c:pt>
                <c:pt idx="17">
                  <c:v>21.5</c:v>
                </c:pt>
                <c:pt idx="18">
                  <c:v>12.5</c:v>
                </c:pt>
                <c:pt idx="19">
                  <c:v>12.5</c:v>
                </c:pt>
                <c:pt idx="20">
                  <c:v>16</c:v>
                </c:pt>
                <c:pt idx="21">
                  <c:v>11.5</c:v>
                </c:pt>
                <c:pt idx="22">
                  <c:v>13.5</c:v>
                </c:pt>
                <c:pt idx="23">
                  <c:v>33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36F8-46F1-A26B-8380F37E487A}"/>
            </c:ext>
          </c:extLst>
        </c:ser>
        <c:ser>
          <c:idx val="1"/>
          <c:order val="1"/>
          <c:tx>
            <c:strRef>
              <c:f>'Avg Week Butongole-Bsembatya'!$AF$9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'Avg Week Butongole-Bsembatya'!$R$10:$R$33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'Avg Week Butongole-Bsembatya'!$AF$10:$AF$33</c:f>
              <c:numCache>
                <c:formatCode>0</c:formatCode>
                <c:ptCount val="24"/>
                <c:pt idx="0">
                  <c:v>85.857142857142861</c:v>
                </c:pt>
                <c:pt idx="1">
                  <c:v>104.28571428571428</c:v>
                </c:pt>
                <c:pt idx="2">
                  <c:v>125.42857142857143</c:v>
                </c:pt>
                <c:pt idx="3">
                  <c:v>135.28571428571428</c:v>
                </c:pt>
                <c:pt idx="4">
                  <c:v>152.85714285714289</c:v>
                </c:pt>
                <c:pt idx="5">
                  <c:v>156.14285714285714</c:v>
                </c:pt>
                <c:pt idx="6">
                  <c:v>139.57142857142858</c:v>
                </c:pt>
                <c:pt idx="7">
                  <c:v>146.85714285714289</c:v>
                </c:pt>
                <c:pt idx="8">
                  <c:v>150.14285714285717</c:v>
                </c:pt>
                <c:pt idx="9">
                  <c:v>138.57142857142858</c:v>
                </c:pt>
                <c:pt idx="10">
                  <c:v>152.85714285714286</c:v>
                </c:pt>
                <c:pt idx="11">
                  <c:v>150.71428571428569</c:v>
                </c:pt>
                <c:pt idx="12">
                  <c:v>138</c:v>
                </c:pt>
                <c:pt idx="13">
                  <c:v>80</c:v>
                </c:pt>
                <c:pt idx="14">
                  <c:v>72.5</c:v>
                </c:pt>
                <c:pt idx="15">
                  <c:v>42</c:v>
                </c:pt>
                <c:pt idx="16">
                  <c:v>40</c:v>
                </c:pt>
                <c:pt idx="17">
                  <c:v>22.5</c:v>
                </c:pt>
                <c:pt idx="18">
                  <c:v>13</c:v>
                </c:pt>
                <c:pt idx="19">
                  <c:v>14.5</c:v>
                </c:pt>
                <c:pt idx="20">
                  <c:v>16.5</c:v>
                </c:pt>
                <c:pt idx="21">
                  <c:v>12</c:v>
                </c:pt>
                <c:pt idx="22">
                  <c:v>15.5</c:v>
                </c:pt>
                <c:pt idx="23">
                  <c:v>58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36F8-46F1-A26B-8380F37E487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17988736"/>
        <c:axId val="117998720"/>
      </c:lineChart>
      <c:catAx>
        <c:axId val="117988736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17998720"/>
        <c:crosses val="autoZero"/>
        <c:auto val="1"/>
        <c:lblAlgn val="ctr"/>
        <c:lblOffset val="100"/>
        <c:noMultiLvlLbl val="0"/>
      </c:catAx>
      <c:valAx>
        <c:axId val="117998720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1798873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5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3B84-4A7D-9CBD-0C2ADBE1B04D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3B84-4A7D-9CBD-0C2ADBE1B04D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3B84-4A7D-9CBD-0C2ADBE1B04D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3B84-4A7D-9CBD-0C2ADBE1B04D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3B84-4A7D-9CBD-0C2ADBE1B04D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3B84-4A7D-9CBD-0C2ADBE1B04D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3B84-4A7D-9CBD-0C2ADBE1B04D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3B84-4A7D-9CBD-0C2ADBE1B04D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3B84-4A7D-9CBD-0C2ADBE1B04D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3B84-4A7D-9CBD-0C2ADBE1B04D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3B84-4A7D-9CBD-0C2ADBE1B04D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3B84-4A7D-9CBD-0C2ADBE1B04D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3B84-4A7D-9CBD-0C2ADBE1B04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'Avg Week Butongole-Bsembatya'!$C$9:$N$9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'Avg Week Butongole-Bsembatya'!$C$107:$N$107</c:f>
              <c:numCache>
                <c:formatCode>0.0%</c:formatCode>
                <c:ptCount val="12"/>
                <c:pt idx="0">
                  <c:v>0.12455833305815145</c:v>
                </c:pt>
                <c:pt idx="1">
                  <c:v>5.5575735561205965E-2</c:v>
                </c:pt>
                <c:pt idx="2">
                  <c:v>6.8454248258098593E-2</c:v>
                </c:pt>
                <c:pt idx="3">
                  <c:v>0.24845622956774435</c:v>
                </c:pt>
                <c:pt idx="4">
                  <c:v>1.182181421919889E-2</c:v>
                </c:pt>
                <c:pt idx="5">
                  <c:v>1.6543935541392864E-2</c:v>
                </c:pt>
                <c:pt idx="6">
                  <c:v>6.8718422877522056E-2</c:v>
                </c:pt>
                <c:pt idx="7">
                  <c:v>3.0247993923983755E-2</c:v>
                </c:pt>
                <c:pt idx="8">
                  <c:v>2.5591916256645645E-2</c:v>
                </c:pt>
                <c:pt idx="9">
                  <c:v>1.3538949245451242E-2</c:v>
                </c:pt>
                <c:pt idx="10">
                  <c:v>0.33569989763233499</c:v>
                </c:pt>
                <c:pt idx="11">
                  <c:v>7.9252385827031653E-4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3B84-4A7D-9CBD-0C2ADBE1B04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5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8B8A-48E6-9C2F-F83D2727468E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8B8A-48E6-9C2F-F83D2727468E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8B8A-48E6-9C2F-F83D2727468E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8B8A-48E6-9C2F-F83D2727468E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8B8A-48E6-9C2F-F83D2727468E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8B8A-48E6-9C2F-F83D2727468E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8B8A-48E6-9C2F-F83D2727468E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8B8A-48E6-9C2F-F83D2727468E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8B8A-48E6-9C2F-F83D2727468E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8B8A-48E6-9C2F-F83D2727468E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8B8A-48E6-9C2F-F83D2727468E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8B8A-48E6-9C2F-F83D2727468E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8B8A-48E6-9C2F-F83D2727468E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'Avg Week Butongole-Bsembatya'!$C$9:$N$9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'Avg Week Butongole-Bsembatya'!$C$108:$N$108</c:f>
              <c:numCache>
                <c:formatCode>0.00%</c:formatCode>
                <c:ptCount val="12"/>
                <c:pt idx="0">
                  <c:v>0.18750310682507337</c:v>
                </c:pt>
                <c:pt idx="1">
                  <c:v>8.3660585574389851E-2</c:v>
                </c:pt>
                <c:pt idx="2">
                  <c:v>0.10304717403191332</c:v>
                </c:pt>
                <c:pt idx="3">
                  <c:v>0.37401202962668406</c:v>
                </c:pt>
                <c:pt idx="4">
                  <c:v>1.7795894019983102E-2</c:v>
                </c:pt>
                <c:pt idx="5">
                  <c:v>2.4904309787741722E-2</c:v>
                </c:pt>
                <c:pt idx="6">
                  <c:v>0.10344484764129845</c:v>
                </c:pt>
                <c:pt idx="7">
                  <c:v>4.5533628274593639E-2</c:v>
                </c:pt>
                <c:pt idx="8">
                  <c:v>3.8524630909181304E-2</c:v>
                </c:pt>
                <c:pt idx="9">
                  <c:v>2.0380772480986232E-2</c:v>
                </c:pt>
                <c:pt idx="11">
                  <c:v>1.1930208281552917E-3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8B8A-48E6-9C2F-F83D272746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5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D9B1-462A-9165-7345BB810963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D9B1-462A-9165-7345BB810963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D9B1-462A-9165-7345BB810963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D9B1-462A-9165-7345BB810963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D9B1-462A-9165-7345BB810963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D9B1-462A-9165-7345BB810963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D9B1-462A-9165-7345BB810963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D9B1-462A-9165-7345BB810963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D9B1-462A-9165-7345BB810963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D9B1-462A-9165-7345BB810963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D9B1-462A-9165-7345BB810963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D9B1-462A-9165-7345BB810963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D9B1-462A-9165-7345BB81096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'AvgWeekButongole-Busembaty-2Dir'!$C$9:$N$9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'AvgWeekButongole-Busembaty-2Dir'!$C$107:$N$107</c:f>
              <c:numCache>
                <c:formatCode>0.0%</c:formatCode>
                <c:ptCount val="12"/>
                <c:pt idx="0">
                  <c:v>0.13804048077423381</c:v>
                </c:pt>
                <c:pt idx="1">
                  <c:v>5.553532094975458E-2</c:v>
                </c:pt>
                <c:pt idx="2">
                  <c:v>6.679154309103838E-2</c:v>
                </c:pt>
                <c:pt idx="3">
                  <c:v>0.25944811558006831</c:v>
                </c:pt>
                <c:pt idx="4">
                  <c:v>1.1603101097871897E-2</c:v>
                </c:pt>
                <c:pt idx="5">
                  <c:v>1.7395979672893143E-2</c:v>
                </c:pt>
                <c:pt idx="6">
                  <c:v>6.2351492446710712E-2</c:v>
                </c:pt>
                <c:pt idx="7">
                  <c:v>3.0057061588358743E-2</c:v>
                </c:pt>
                <c:pt idx="8">
                  <c:v>3.2554590075793054E-2</c:v>
                </c:pt>
                <c:pt idx="9">
                  <c:v>1.1655132941360112E-2</c:v>
                </c:pt>
                <c:pt idx="10">
                  <c:v>0.31345716912083527</c:v>
                </c:pt>
                <c:pt idx="11">
                  <c:v>1.1100126610819154E-3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D9B1-462A-9165-7345BB81096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5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0EAD-440A-938B-73199DDCAD0D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0EAD-440A-938B-73199DDCAD0D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0EAD-440A-938B-73199DDCAD0D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0EAD-440A-938B-73199DDCAD0D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0EAD-440A-938B-73199DDCAD0D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0EAD-440A-938B-73199DDCAD0D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0EAD-440A-938B-73199DDCAD0D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0EAD-440A-938B-73199DDCAD0D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0EAD-440A-938B-73199DDCAD0D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0EAD-440A-938B-73199DDCAD0D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0EAD-440A-938B-73199DDCAD0D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0EAD-440A-938B-73199DDCAD0D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0EAD-440A-938B-73199DDCAD0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'AvgWeekButongole-Busembaty-2Dir'!$C$9:$N$9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'AvgWeekButongole-Busembaty-2Dir'!$C$108:$N$108</c:f>
              <c:numCache>
                <c:formatCode>0.00%</c:formatCode>
                <c:ptCount val="12"/>
                <c:pt idx="0">
                  <c:v>0.20106608730800321</c:v>
                </c:pt>
                <c:pt idx="1">
                  <c:v>8.0891269199676638E-2</c:v>
                </c:pt>
                <c:pt idx="2">
                  <c:v>9.7286782538399341E-2</c:v>
                </c:pt>
                <c:pt idx="3">
                  <c:v>0.37790521422797085</c:v>
                </c:pt>
                <c:pt idx="4">
                  <c:v>1.6900767987065479E-2</c:v>
                </c:pt>
                <c:pt idx="5">
                  <c:v>2.533852061438965E-2</c:v>
                </c:pt>
                <c:pt idx="6">
                  <c:v>9.0819523039611952E-2</c:v>
                </c:pt>
                <c:pt idx="7">
                  <c:v>4.3780315278900563E-2</c:v>
                </c:pt>
                <c:pt idx="8">
                  <c:v>4.7418148746968473E-2</c:v>
                </c:pt>
                <c:pt idx="9">
                  <c:v>1.6976556184316895E-2</c:v>
                </c:pt>
                <c:pt idx="11">
                  <c:v>1.6168148746968471E-3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0EAD-440A-938B-73199DDCAD0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5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'AvgWeekButongole-Busembaty-2Dir'!$AE$9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'AvgWeekButongole-Busembaty-2Dir'!$R$10:$R$33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'AvgWeekButongole-Busembaty-2Dir'!$AE$10:$AE$33</c:f>
              <c:numCache>
                <c:formatCode>0</c:formatCode>
                <c:ptCount val="24"/>
                <c:pt idx="0">
                  <c:v>106</c:v>
                </c:pt>
                <c:pt idx="1">
                  <c:v>123.28571428571428</c:v>
                </c:pt>
                <c:pt idx="2">
                  <c:v>153.71428571428569</c:v>
                </c:pt>
                <c:pt idx="3">
                  <c:v>155.57142857142856</c:v>
                </c:pt>
                <c:pt idx="4">
                  <c:v>170.42857142857144</c:v>
                </c:pt>
                <c:pt idx="5">
                  <c:v>183.71428571428572</c:v>
                </c:pt>
                <c:pt idx="6">
                  <c:v>177</c:v>
                </c:pt>
                <c:pt idx="7">
                  <c:v>178</c:v>
                </c:pt>
                <c:pt idx="8">
                  <c:v>186.42857142857142</c:v>
                </c:pt>
                <c:pt idx="9">
                  <c:v>182.14285714285714</c:v>
                </c:pt>
                <c:pt idx="10">
                  <c:v>205.85714285714289</c:v>
                </c:pt>
                <c:pt idx="11">
                  <c:v>193.28571428571428</c:v>
                </c:pt>
                <c:pt idx="12">
                  <c:v>201</c:v>
                </c:pt>
                <c:pt idx="13">
                  <c:v>151.5</c:v>
                </c:pt>
                <c:pt idx="14">
                  <c:v>102</c:v>
                </c:pt>
                <c:pt idx="15">
                  <c:v>71</c:v>
                </c:pt>
                <c:pt idx="16">
                  <c:v>55.5</c:v>
                </c:pt>
                <c:pt idx="17">
                  <c:v>38</c:v>
                </c:pt>
                <c:pt idx="18">
                  <c:v>22</c:v>
                </c:pt>
                <c:pt idx="19">
                  <c:v>23.5</c:v>
                </c:pt>
                <c:pt idx="20">
                  <c:v>25</c:v>
                </c:pt>
                <c:pt idx="21">
                  <c:v>26</c:v>
                </c:pt>
                <c:pt idx="22">
                  <c:v>28</c:v>
                </c:pt>
                <c:pt idx="23">
                  <c:v>68.5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F959-454F-873B-2C168A516444}"/>
            </c:ext>
          </c:extLst>
        </c:ser>
        <c:ser>
          <c:idx val="1"/>
          <c:order val="1"/>
          <c:tx>
            <c:strRef>
              <c:f>'AvgWeekButongole-Busembaty-2Dir'!$AF$9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'AvgWeekButongole-Busembaty-2Dir'!$R$10:$R$33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'AvgWeekButongole-Busembaty-2Dir'!$AF$10:$AF$33</c:f>
              <c:numCache>
                <c:formatCode>0</c:formatCode>
                <c:ptCount val="24"/>
                <c:pt idx="0">
                  <c:v>176</c:v>
                </c:pt>
                <c:pt idx="1">
                  <c:v>197.14285714285714</c:v>
                </c:pt>
                <c:pt idx="2">
                  <c:v>235.57142857142856</c:v>
                </c:pt>
                <c:pt idx="3">
                  <c:v>241.14285714285711</c:v>
                </c:pt>
                <c:pt idx="4">
                  <c:v>264.57142857142861</c:v>
                </c:pt>
                <c:pt idx="5">
                  <c:v>275.85714285714283</c:v>
                </c:pt>
                <c:pt idx="6">
                  <c:v>264.57142857142856</c:v>
                </c:pt>
                <c:pt idx="7">
                  <c:v>272.42857142857144</c:v>
                </c:pt>
                <c:pt idx="8">
                  <c:v>277.28571428571422</c:v>
                </c:pt>
                <c:pt idx="9">
                  <c:v>260.28571428571428</c:v>
                </c:pt>
                <c:pt idx="10">
                  <c:v>311.71428571428572</c:v>
                </c:pt>
                <c:pt idx="11">
                  <c:v>295.28571428571428</c:v>
                </c:pt>
                <c:pt idx="12">
                  <c:v>299</c:v>
                </c:pt>
                <c:pt idx="13">
                  <c:v>191</c:v>
                </c:pt>
                <c:pt idx="14">
                  <c:v>132</c:v>
                </c:pt>
                <c:pt idx="15">
                  <c:v>81.5</c:v>
                </c:pt>
                <c:pt idx="16">
                  <c:v>56.5</c:v>
                </c:pt>
                <c:pt idx="17">
                  <c:v>41.5</c:v>
                </c:pt>
                <c:pt idx="18">
                  <c:v>22.5</c:v>
                </c:pt>
                <c:pt idx="19">
                  <c:v>25.5</c:v>
                </c:pt>
                <c:pt idx="20">
                  <c:v>26</c:v>
                </c:pt>
                <c:pt idx="21">
                  <c:v>27.5</c:v>
                </c:pt>
                <c:pt idx="22">
                  <c:v>32</c:v>
                </c:pt>
                <c:pt idx="23">
                  <c:v>111.5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F959-454F-873B-2C168A516444}"/>
            </c:ext>
          </c:extLst>
        </c:ser>
        <c:ser>
          <c:idx val="5"/>
          <c:order val="2"/>
          <c:tx>
            <c:strRef>
              <c:f>'AvgWeekButongole-Busembaty-2Dir'!$AC$9</c:f>
              <c:strCache>
                <c:ptCount val="1"/>
                <c:pt idx="0">
                  <c:v>11. Motorcycles</c:v>
                </c:pt>
              </c:strCache>
            </c:strRef>
          </c:tx>
          <c:cat>
            <c:strRef>
              <c:f>'AvgWeekButongole-Busembaty-2Dir'!$R$10:$R$33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'AvgWeekButongole-Busembaty-2Dir'!$AC$10:$AC$33</c:f>
              <c:numCache>
                <c:formatCode>0</c:formatCode>
                <c:ptCount val="24"/>
                <c:pt idx="0">
                  <c:v>70</c:v>
                </c:pt>
                <c:pt idx="1">
                  <c:v>73.857142857142861</c:v>
                </c:pt>
                <c:pt idx="2">
                  <c:v>81.857142857142861</c:v>
                </c:pt>
                <c:pt idx="3">
                  <c:v>85.571428571428569</c:v>
                </c:pt>
                <c:pt idx="4">
                  <c:v>94.142857142857139</c:v>
                </c:pt>
                <c:pt idx="5">
                  <c:v>92.142857142857139</c:v>
                </c:pt>
                <c:pt idx="6">
                  <c:v>87.571428571428555</c:v>
                </c:pt>
                <c:pt idx="7">
                  <c:v>94.428571428571431</c:v>
                </c:pt>
                <c:pt idx="8">
                  <c:v>90.857142857142861</c:v>
                </c:pt>
                <c:pt idx="9">
                  <c:v>78.142857142857139</c:v>
                </c:pt>
                <c:pt idx="10">
                  <c:v>105.85714285714285</c:v>
                </c:pt>
                <c:pt idx="11">
                  <c:v>102</c:v>
                </c:pt>
                <c:pt idx="12">
                  <c:v>98</c:v>
                </c:pt>
                <c:pt idx="13">
                  <c:v>39.5</c:v>
                </c:pt>
                <c:pt idx="14">
                  <c:v>30</c:v>
                </c:pt>
                <c:pt idx="15">
                  <c:v>10.5</c:v>
                </c:pt>
                <c:pt idx="16">
                  <c:v>1</c:v>
                </c:pt>
                <c:pt idx="17">
                  <c:v>3.5</c:v>
                </c:pt>
                <c:pt idx="18">
                  <c:v>0.5</c:v>
                </c:pt>
                <c:pt idx="19">
                  <c:v>2</c:v>
                </c:pt>
                <c:pt idx="20">
                  <c:v>1</c:v>
                </c:pt>
                <c:pt idx="21">
                  <c:v>1.5</c:v>
                </c:pt>
                <c:pt idx="22">
                  <c:v>4</c:v>
                </c:pt>
                <c:pt idx="23">
                  <c:v>43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959-454F-873B-2C168A5164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11253088"/>
        <c:axId val="811254720"/>
      </c:lineChart>
      <c:catAx>
        <c:axId val="811253088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1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811254720"/>
        <c:crosses val="autoZero"/>
        <c:auto val="1"/>
        <c:lblAlgn val="ctr"/>
        <c:lblOffset val="100"/>
        <c:noMultiLvlLbl val="0"/>
      </c:catAx>
      <c:valAx>
        <c:axId val="811254720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811253088"/>
        <c:crosses val="autoZero"/>
        <c:crossBetween val="between"/>
        <c:majorUnit val="250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6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 b="1">
                <a:solidFill>
                  <a:schemeClr val="tx1"/>
                </a:solidFill>
              </a:rPr>
              <a:t>Average Daily Traffic (ADT)</a:t>
            </a:r>
            <a:r>
              <a:rPr lang="en-US" b="1" baseline="0">
                <a:solidFill>
                  <a:schemeClr val="tx1"/>
                </a:solidFill>
              </a:rPr>
              <a:t> by vehicle class</a:t>
            </a:r>
            <a:endParaRPr lang="en-US" b="1">
              <a:solidFill>
                <a:schemeClr val="tx1"/>
              </a:solidFill>
            </a:endParaRPr>
          </a:p>
        </c:rich>
      </c:tx>
      <c:layout>
        <c:manualLayout>
          <c:xMode val="edge"/>
          <c:yMode val="edge"/>
          <c:x val="0.28951305428926649"/>
          <c:y val="2.254314649517308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28983112308329878"/>
          <c:y val="0.1045156629382462"/>
          <c:w val="0.64701098217985908"/>
          <c:h val="0.7828249624521264"/>
        </c:manualLayout>
      </c:layout>
      <c:barChart>
        <c:barDir val="bar"/>
        <c:grouping val="clustered"/>
        <c:varyColors val="0"/>
        <c:ser>
          <c:idx val="0"/>
          <c:order val="0"/>
          <c:spPr>
            <a:solidFill>
              <a:schemeClr val="accent2">
                <a:lumMod val="7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'AvgWeekButongole-Busembaty-2Dir'!$S$9:$AF$9</c:f>
              <c:strCache>
                <c:ptCount val="14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Motorcycles</c:v>
                </c:pt>
                <c:pt idx="11">
                  <c:v>12. Tractors, Graders</c:v>
                </c:pt>
                <c:pt idx="12">
                  <c:v>Total Excl M/ Cycles</c:v>
                </c:pt>
                <c:pt idx="13">
                  <c:v>Total All</c:v>
                </c:pt>
              </c:strCache>
            </c:strRef>
          </c:cat>
          <c:val>
            <c:numRef>
              <c:f>'AvgWeekButongole-Busembaty-2Dir'!$S$41:$AF$41</c:f>
              <c:numCache>
                <c:formatCode>_(* #,##0_);_(* \(#,##0\);_(* "-"_);_(@_)</c:formatCode>
                <c:ptCount val="14"/>
                <c:pt idx="0">
                  <c:v>568.5</c:v>
                </c:pt>
                <c:pt idx="1">
                  <c:v>228.71428571428569</c:v>
                </c:pt>
                <c:pt idx="2">
                  <c:v>275.07142857142861</c:v>
                </c:pt>
                <c:pt idx="3">
                  <c:v>1068.5</c:v>
                </c:pt>
                <c:pt idx="4">
                  <c:v>47.785714285714285</c:v>
                </c:pt>
                <c:pt idx="5">
                  <c:v>71.642857142857139</c:v>
                </c:pt>
                <c:pt idx="6">
                  <c:v>256.78571428571428</c:v>
                </c:pt>
                <c:pt idx="7">
                  <c:v>123.78571428571428</c:v>
                </c:pt>
                <c:pt idx="8">
                  <c:v>134.07142857142856</c:v>
                </c:pt>
                <c:pt idx="9">
                  <c:v>48</c:v>
                </c:pt>
                <c:pt idx="10">
                  <c:v>1290.9285714285716</c:v>
                </c:pt>
                <c:pt idx="11">
                  <c:v>4.5714285714285721</c:v>
                </c:pt>
                <c:pt idx="12">
                  <c:v>2827.4285714285716</c:v>
                </c:pt>
                <c:pt idx="13">
                  <c:v>4118.3571428571431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DA9-4B29-9C52-357258FE0B9A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00"/>
        <c:axId val="613522704"/>
        <c:axId val="613520736"/>
      </c:barChart>
      <c:catAx>
        <c:axId val="6135227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613520736"/>
        <c:crosses val="autoZero"/>
        <c:auto val="1"/>
        <c:lblAlgn val="ctr"/>
        <c:lblOffset val="100"/>
        <c:noMultiLvlLbl val="0"/>
      </c:catAx>
      <c:valAx>
        <c:axId val="61352073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61352270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 b="1">
                <a:solidFill>
                  <a:schemeClr val="tx1"/>
                </a:solidFill>
              </a:rPr>
              <a:t>Night Equivalent Factors (NEF)</a:t>
            </a:r>
            <a:r>
              <a:rPr lang="en-US" b="1" baseline="0">
                <a:solidFill>
                  <a:schemeClr val="tx1"/>
                </a:solidFill>
              </a:rPr>
              <a:t> by vehicle class</a:t>
            </a:r>
            <a:endParaRPr lang="en-US" b="1">
              <a:solidFill>
                <a:schemeClr val="tx1"/>
              </a:solidFill>
            </a:endParaRPr>
          </a:p>
        </c:rich>
      </c:tx>
      <c:layout>
        <c:manualLayout>
          <c:xMode val="edge"/>
          <c:yMode val="edge"/>
          <c:x val="0.28951305428926649"/>
          <c:y val="2.254314649517308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28983112308329878"/>
          <c:y val="0.1045156629382462"/>
          <c:w val="0.64701098217985908"/>
          <c:h val="0.7828249624521264"/>
        </c:manualLayout>
      </c:layout>
      <c:barChart>
        <c:barDir val="bar"/>
        <c:grouping val="clustered"/>
        <c:varyColors val="0"/>
        <c:ser>
          <c:idx val="0"/>
          <c:order val="0"/>
          <c:spPr>
            <a:solidFill>
              <a:schemeClr val="accent2">
                <a:lumMod val="7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'AvgWeekButongole-Busembaty-2Dir'!$AD$9:$AF$9</c:f>
              <c:strCache>
                <c:ptCount val="3"/>
                <c:pt idx="0">
                  <c:v>12. Tractors, Graders</c:v>
                </c:pt>
                <c:pt idx="1">
                  <c:v>Total Excl M/ Cycles</c:v>
                </c:pt>
                <c:pt idx="2">
                  <c:v>Total All</c:v>
                </c:pt>
              </c:strCache>
            </c:strRef>
          </c:cat>
          <c:val>
            <c:numRef>
              <c:f>'AvgWeekButongole-Busembaty-2Dir'!$S$42:$AF$42</c:f>
              <c:numCache>
                <c:formatCode>0.000</c:formatCode>
                <c:ptCount val="14"/>
                <c:pt idx="0">
                  <c:v>1.461439588688946</c:v>
                </c:pt>
                <c:pt idx="1">
                  <c:v>1.3242349048800661</c:v>
                </c:pt>
                <c:pt idx="2">
                  <c:v>1.294018817204301</c:v>
                </c:pt>
                <c:pt idx="3">
                  <c:v>1.2705112960760998</c:v>
                </c:pt>
                <c:pt idx="4">
                  <c:v>1.4800884955752212</c:v>
                </c:pt>
                <c:pt idx="5">
                  <c:v>2.1616379310344827</c:v>
                </c:pt>
                <c:pt idx="6">
                  <c:v>2.612645348837209</c:v>
                </c:pt>
                <c:pt idx="7">
                  <c:v>1.0464975845410629</c:v>
                </c:pt>
                <c:pt idx="8">
                  <c:v>1.7741020793950848</c:v>
                </c:pt>
                <c:pt idx="9">
                  <c:v>1.263157894736842</c:v>
                </c:pt>
                <c:pt idx="10">
                  <c:v>1.2219743069641649</c:v>
                </c:pt>
                <c:pt idx="11">
                  <c:v>1</c:v>
                </c:pt>
                <c:pt idx="12">
                  <c:v>1.4028919761837257</c:v>
                </c:pt>
                <c:pt idx="13">
                  <c:v>1.3406733944100824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27B-42DA-9242-15F94FF4D348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00"/>
        <c:axId val="613522704"/>
        <c:axId val="613520736"/>
      </c:barChart>
      <c:catAx>
        <c:axId val="6135227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613520736"/>
        <c:crosses val="autoZero"/>
        <c:auto val="1"/>
        <c:lblAlgn val="ctr"/>
        <c:lblOffset val="100"/>
        <c:noMultiLvlLbl val="0"/>
      </c:catAx>
      <c:valAx>
        <c:axId val="61352073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61352270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1.jpeg"/><Relationship Id="rId2" Type="http://schemas.openxmlformats.org/officeDocument/2006/relationships/image" Target="../media/image1.emf"/><Relationship Id="rId1" Type="http://schemas.openxmlformats.org/officeDocument/2006/relationships/chart" Target="../charts/chart1.xml"/><Relationship Id="rId6" Type="http://schemas.openxmlformats.org/officeDocument/2006/relationships/image" Target="../media/image5.emf"/><Relationship Id="rId11" Type="http://schemas.openxmlformats.org/officeDocument/2006/relationships/image" Target="../media/image10.jpeg"/><Relationship Id="rId5" Type="http://schemas.openxmlformats.org/officeDocument/2006/relationships/image" Target="../media/image4.emf"/><Relationship Id="rId15" Type="http://schemas.openxmlformats.org/officeDocument/2006/relationships/chart" Target="../charts/chart3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2.xml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1.jpeg"/><Relationship Id="rId2" Type="http://schemas.openxmlformats.org/officeDocument/2006/relationships/image" Target="../media/image1.emf"/><Relationship Id="rId16" Type="http://schemas.openxmlformats.org/officeDocument/2006/relationships/chart" Target="../charts/chart7.xml"/><Relationship Id="rId1" Type="http://schemas.openxmlformats.org/officeDocument/2006/relationships/chart" Target="../charts/chart4.xml"/><Relationship Id="rId6" Type="http://schemas.openxmlformats.org/officeDocument/2006/relationships/image" Target="../media/image5.emf"/><Relationship Id="rId11" Type="http://schemas.openxmlformats.org/officeDocument/2006/relationships/image" Target="../media/image10.jpeg"/><Relationship Id="rId5" Type="http://schemas.openxmlformats.org/officeDocument/2006/relationships/image" Target="../media/image4.emf"/><Relationship Id="rId15" Type="http://schemas.openxmlformats.org/officeDocument/2006/relationships/chart" Target="../charts/chart6.xml"/><Relationship Id="rId10" Type="http://schemas.openxmlformats.org/officeDocument/2006/relationships/image" Target="../media/image13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5.xml"/></Relationships>
</file>

<file path=xl/drawings/_rels/drawing3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1.jpeg"/><Relationship Id="rId2" Type="http://schemas.openxmlformats.org/officeDocument/2006/relationships/image" Target="../media/image1.emf"/><Relationship Id="rId16" Type="http://schemas.openxmlformats.org/officeDocument/2006/relationships/chart" Target="../charts/chart11.xml"/><Relationship Id="rId1" Type="http://schemas.openxmlformats.org/officeDocument/2006/relationships/chart" Target="../charts/chart8.xml"/><Relationship Id="rId6" Type="http://schemas.openxmlformats.org/officeDocument/2006/relationships/image" Target="../media/image5.emf"/><Relationship Id="rId11" Type="http://schemas.openxmlformats.org/officeDocument/2006/relationships/image" Target="../media/image14.jpeg"/><Relationship Id="rId5" Type="http://schemas.openxmlformats.org/officeDocument/2006/relationships/image" Target="../media/image4.emf"/><Relationship Id="rId15" Type="http://schemas.openxmlformats.org/officeDocument/2006/relationships/chart" Target="../charts/chart10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9.xml"/></Relationships>
</file>

<file path=xl/drawings/_rels/drawing4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6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5.jpeg"/><Relationship Id="rId2" Type="http://schemas.openxmlformats.org/officeDocument/2006/relationships/image" Target="../media/image1.emf"/><Relationship Id="rId16" Type="http://schemas.openxmlformats.org/officeDocument/2006/relationships/chart" Target="../charts/chart15.xml"/><Relationship Id="rId1" Type="http://schemas.openxmlformats.org/officeDocument/2006/relationships/chart" Target="../charts/chart12.xml"/><Relationship Id="rId6" Type="http://schemas.openxmlformats.org/officeDocument/2006/relationships/image" Target="../media/image5.emf"/><Relationship Id="rId11" Type="http://schemas.openxmlformats.org/officeDocument/2006/relationships/image" Target="../media/image14.jpeg"/><Relationship Id="rId5" Type="http://schemas.openxmlformats.org/officeDocument/2006/relationships/image" Target="../media/image4.emf"/><Relationship Id="rId15" Type="http://schemas.openxmlformats.org/officeDocument/2006/relationships/chart" Target="../charts/chart14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13.xml"/></Relationships>
</file>

<file path=xl/drawings/_rels/drawing5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5.jpeg"/><Relationship Id="rId2" Type="http://schemas.openxmlformats.org/officeDocument/2006/relationships/image" Target="../media/image1.emf"/><Relationship Id="rId1" Type="http://schemas.openxmlformats.org/officeDocument/2006/relationships/chart" Target="../charts/chart16.xml"/><Relationship Id="rId6" Type="http://schemas.openxmlformats.org/officeDocument/2006/relationships/image" Target="../media/image5.emf"/><Relationship Id="rId11" Type="http://schemas.openxmlformats.org/officeDocument/2006/relationships/image" Target="../media/image17.jpeg"/><Relationship Id="rId5" Type="http://schemas.openxmlformats.org/officeDocument/2006/relationships/image" Target="../media/image4.emf"/><Relationship Id="rId15" Type="http://schemas.openxmlformats.org/officeDocument/2006/relationships/chart" Target="../charts/chart18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17.xml"/></Relationships>
</file>

<file path=xl/drawings/_rels/drawing6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6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9.png"/><Relationship Id="rId2" Type="http://schemas.openxmlformats.org/officeDocument/2006/relationships/image" Target="../media/image1.emf"/><Relationship Id="rId1" Type="http://schemas.openxmlformats.org/officeDocument/2006/relationships/chart" Target="../charts/chart19.xml"/><Relationship Id="rId6" Type="http://schemas.openxmlformats.org/officeDocument/2006/relationships/image" Target="../media/image5.emf"/><Relationship Id="rId11" Type="http://schemas.openxmlformats.org/officeDocument/2006/relationships/image" Target="../media/image18.jpeg"/><Relationship Id="rId5" Type="http://schemas.openxmlformats.org/officeDocument/2006/relationships/image" Target="../media/image4.emf"/><Relationship Id="rId15" Type="http://schemas.openxmlformats.org/officeDocument/2006/relationships/chart" Target="../charts/chart21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20.xml"/></Relationships>
</file>

<file path=xl/drawings/_rels/drawing7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5.jpeg"/><Relationship Id="rId2" Type="http://schemas.openxmlformats.org/officeDocument/2006/relationships/image" Target="../media/image1.emf"/><Relationship Id="rId16" Type="http://schemas.openxmlformats.org/officeDocument/2006/relationships/chart" Target="../charts/chart25.xml"/><Relationship Id="rId1" Type="http://schemas.openxmlformats.org/officeDocument/2006/relationships/chart" Target="../charts/chart22.xml"/><Relationship Id="rId6" Type="http://schemas.openxmlformats.org/officeDocument/2006/relationships/image" Target="../media/image5.emf"/><Relationship Id="rId11" Type="http://schemas.openxmlformats.org/officeDocument/2006/relationships/image" Target="../media/image18.jpeg"/><Relationship Id="rId5" Type="http://schemas.openxmlformats.org/officeDocument/2006/relationships/image" Target="../media/image4.emf"/><Relationship Id="rId15" Type="http://schemas.openxmlformats.org/officeDocument/2006/relationships/chart" Target="../charts/chart24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23.xml"/></Relationships>
</file>

<file path=xl/drawings/_rels/drawing8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9.png"/><Relationship Id="rId2" Type="http://schemas.openxmlformats.org/officeDocument/2006/relationships/image" Target="../media/image1.emf"/><Relationship Id="rId1" Type="http://schemas.openxmlformats.org/officeDocument/2006/relationships/chart" Target="../charts/chart26.xml"/><Relationship Id="rId6" Type="http://schemas.openxmlformats.org/officeDocument/2006/relationships/image" Target="../media/image5.emf"/><Relationship Id="rId11" Type="http://schemas.openxmlformats.org/officeDocument/2006/relationships/image" Target="../media/image14.jpeg"/><Relationship Id="rId5" Type="http://schemas.openxmlformats.org/officeDocument/2006/relationships/image" Target="../media/image4.emf"/><Relationship Id="rId15" Type="http://schemas.openxmlformats.org/officeDocument/2006/relationships/chart" Target="../charts/chart28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27.xml"/></Relationships>
</file>

<file path=xl/drawings/_rels/drawing9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5.jpeg"/><Relationship Id="rId2" Type="http://schemas.openxmlformats.org/officeDocument/2006/relationships/image" Target="../media/image1.emf"/><Relationship Id="rId1" Type="http://schemas.openxmlformats.org/officeDocument/2006/relationships/chart" Target="../charts/chart29.xml"/><Relationship Id="rId6" Type="http://schemas.openxmlformats.org/officeDocument/2006/relationships/image" Target="../media/image5.emf"/><Relationship Id="rId11" Type="http://schemas.openxmlformats.org/officeDocument/2006/relationships/image" Target="../media/image17.jpeg"/><Relationship Id="rId5" Type="http://schemas.openxmlformats.org/officeDocument/2006/relationships/image" Target="../media/image4.emf"/><Relationship Id="rId15" Type="http://schemas.openxmlformats.org/officeDocument/2006/relationships/chart" Target="../charts/chart31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30.xml"/></Relationships>
</file>

<file path=xl/drawings/_rels/drawing10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5.jpeg"/><Relationship Id="rId2" Type="http://schemas.openxmlformats.org/officeDocument/2006/relationships/image" Target="../media/image1.emf"/><Relationship Id="rId1" Type="http://schemas.openxmlformats.org/officeDocument/2006/relationships/chart" Target="../charts/chart32.xml"/><Relationship Id="rId6" Type="http://schemas.openxmlformats.org/officeDocument/2006/relationships/image" Target="../media/image5.emf"/><Relationship Id="rId11" Type="http://schemas.openxmlformats.org/officeDocument/2006/relationships/image" Target="../media/image14.jpeg"/><Relationship Id="rId5" Type="http://schemas.openxmlformats.org/officeDocument/2006/relationships/image" Target="../media/image4.emf"/><Relationship Id="rId15" Type="http://schemas.openxmlformats.org/officeDocument/2006/relationships/chart" Target="../charts/chart34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33.xml"/></Relationships>
</file>

<file path=xl/drawings/_rels/drawing11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1.jpeg"/><Relationship Id="rId2" Type="http://schemas.openxmlformats.org/officeDocument/2006/relationships/image" Target="../media/image1.emf"/><Relationship Id="rId16" Type="http://schemas.openxmlformats.org/officeDocument/2006/relationships/chart" Target="../charts/chart38.xml"/><Relationship Id="rId1" Type="http://schemas.openxmlformats.org/officeDocument/2006/relationships/chart" Target="../charts/chart35.xml"/><Relationship Id="rId6" Type="http://schemas.openxmlformats.org/officeDocument/2006/relationships/image" Target="../media/image5.emf"/><Relationship Id="rId11" Type="http://schemas.openxmlformats.org/officeDocument/2006/relationships/image" Target="../media/image10.jpeg"/><Relationship Id="rId5" Type="http://schemas.openxmlformats.org/officeDocument/2006/relationships/image" Target="../media/image4.emf"/><Relationship Id="rId15" Type="http://schemas.openxmlformats.org/officeDocument/2006/relationships/chart" Target="../charts/chart37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36.xml"/></Relationships>
</file>

<file path=xl/drawings/_rels/drawing12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9.png"/><Relationship Id="rId2" Type="http://schemas.openxmlformats.org/officeDocument/2006/relationships/image" Target="../media/image1.emf"/><Relationship Id="rId16" Type="http://schemas.openxmlformats.org/officeDocument/2006/relationships/chart" Target="../charts/chart42.xml"/><Relationship Id="rId1" Type="http://schemas.openxmlformats.org/officeDocument/2006/relationships/chart" Target="../charts/chart39.xml"/><Relationship Id="rId6" Type="http://schemas.openxmlformats.org/officeDocument/2006/relationships/image" Target="../media/image5.emf"/><Relationship Id="rId11" Type="http://schemas.openxmlformats.org/officeDocument/2006/relationships/image" Target="../media/image14.jpeg"/><Relationship Id="rId5" Type="http://schemas.openxmlformats.org/officeDocument/2006/relationships/image" Target="../media/image4.emf"/><Relationship Id="rId15" Type="http://schemas.openxmlformats.org/officeDocument/2006/relationships/chart" Target="../charts/chart41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40.xml"/></Relationships>
</file>

<file path=xl/drawings/_rels/drawing13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5.jpeg"/><Relationship Id="rId2" Type="http://schemas.openxmlformats.org/officeDocument/2006/relationships/image" Target="../media/image1.emf"/><Relationship Id="rId16" Type="http://schemas.openxmlformats.org/officeDocument/2006/relationships/chart" Target="../charts/chart46.xml"/><Relationship Id="rId1" Type="http://schemas.openxmlformats.org/officeDocument/2006/relationships/chart" Target="../charts/chart43.xml"/><Relationship Id="rId6" Type="http://schemas.openxmlformats.org/officeDocument/2006/relationships/image" Target="../media/image5.emf"/><Relationship Id="rId11" Type="http://schemas.openxmlformats.org/officeDocument/2006/relationships/image" Target="../media/image14.jpeg"/><Relationship Id="rId5" Type="http://schemas.openxmlformats.org/officeDocument/2006/relationships/image" Target="../media/image4.emf"/><Relationship Id="rId15" Type="http://schemas.openxmlformats.org/officeDocument/2006/relationships/chart" Target="../charts/chart45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44.xml"/></Relationships>
</file>

<file path=xl/drawings/_rels/drawing14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5.jpeg"/><Relationship Id="rId2" Type="http://schemas.openxmlformats.org/officeDocument/2006/relationships/image" Target="../media/image1.emf"/><Relationship Id="rId16" Type="http://schemas.openxmlformats.org/officeDocument/2006/relationships/chart" Target="../charts/chart50.xml"/><Relationship Id="rId1" Type="http://schemas.openxmlformats.org/officeDocument/2006/relationships/chart" Target="../charts/chart47.xml"/><Relationship Id="rId6" Type="http://schemas.openxmlformats.org/officeDocument/2006/relationships/image" Target="../media/image5.emf"/><Relationship Id="rId11" Type="http://schemas.openxmlformats.org/officeDocument/2006/relationships/image" Target="../media/image14.jpeg"/><Relationship Id="rId5" Type="http://schemas.openxmlformats.org/officeDocument/2006/relationships/image" Target="../media/image4.emf"/><Relationship Id="rId15" Type="http://schemas.openxmlformats.org/officeDocument/2006/relationships/chart" Target="../charts/chart49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48.xml"/></Relationships>
</file>

<file path=xl/drawings/_rels/drawing15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5.jpeg"/><Relationship Id="rId2" Type="http://schemas.openxmlformats.org/officeDocument/2006/relationships/image" Target="../media/image1.emf"/><Relationship Id="rId1" Type="http://schemas.openxmlformats.org/officeDocument/2006/relationships/chart" Target="../charts/chart51.xml"/><Relationship Id="rId6" Type="http://schemas.openxmlformats.org/officeDocument/2006/relationships/image" Target="../media/image5.emf"/><Relationship Id="rId11" Type="http://schemas.openxmlformats.org/officeDocument/2006/relationships/image" Target="../media/image14.jpeg"/><Relationship Id="rId5" Type="http://schemas.openxmlformats.org/officeDocument/2006/relationships/image" Target="../media/image4.emf"/><Relationship Id="rId15" Type="http://schemas.openxmlformats.org/officeDocument/2006/relationships/chart" Target="../charts/chart53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52.xml"/></Relationships>
</file>

<file path=xl/drawings/_rels/drawing16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5.jpeg"/><Relationship Id="rId2" Type="http://schemas.openxmlformats.org/officeDocument/2006/relationships/image" Target="../media/image1.emf"/><Relationship Id="rId1" Type="http://schemas.openxmlformats.org/officeDocument/2006/relationships/chart" Target="../charts/chart54.xml"/><Relationship Id="rId6" Type="http://schemas.openxmlformats.org/officeDocument/2006/relationships/image" Target="../media/image5.emf"/><Relationship Id="rId11" Type="http://schemas.openxmlformats.org/officeDocument/2006/relationships/image" Target="../media/image14.jpeg"/><Relationship Id="rId5" Type="http://schemas.openxmlformats.org/officeDocument/2006/relationships/image" Target="../media/image4.emf"/><Relationship Id="rId15" Type="http://schemas.openxmlformats.org/officeDocument/2006/relationships/chart" Target="../charts/chart56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55.xml"/></Relationships>
</file>

<file path=xl/drawings/_rels/drawing17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emf"/><Relationship Id="rId13" Type="http://schemas.openxmlformats.org/officeDocument/2006/relationships/chart" Target="../charts/chart57.xml"/><Relationship Id="rId3" Type="http://schemas.openxmlformats.org/officeDocument/2006/relationships/image" Target="../media/image3.emf"/><Relationship Id="rId7" Type="http://schemas.openxmlformats.org/officeDocument/2006/relationships/image" Target="../media/image7.emf"/><Relationship Id="rId12" Type="http://schemas.openxmlformats.org/officeDocument/2006/relationships/image" Target="../media/image20.jpeg"/><Relationship Id="rId17" Type="http://schemas.openxmlformats.org/officeDocument/2006/relationships/chart" Target="../charts/chart61.xml"/><Relationship Id="rId2" Type="http://schemas.openxmlformats.org/officeDocument/2006/relationships/image" Target="../media/image2.emf"/><Relationship Id="rId16" Type="http://schemas.openxmlformats.org/officeDocument/2006/relationships/chart" Target="../charts/chart60.xml"/><Relationship Id="rId1" Type="http://schemas.openxmlformats.org/officeDocument/2006/relationships/image" Target="../media/image1.emf"/><Relationship Id="rId6" Type="http://schemas.openxmlformats.org/officeDocument/2006/relationships/image" Target="../media/image6.emf"/><Relationship Id="rId11" Type="http://schemas.openxmlformats.org/officeDocument/2006/relationships/image" Target="../media/image19.png"/><Relationship Id="rId5" Type="http://schemas.openxmlformats.org/officeDocument/2006/relationships/image" Target="../media/image5.emf"/><Relationship Id="rId15" Type="http://schemas.openxmlformats.org/officeDocument/2006/relationships/chart" Target="../charts/chart59.xml"/><Relationship Id="rId10" Type="http://schemas.openxmlformats.org/officeDocument/2006/relationships/image" Target="../media/image14.jpeg"/><Relationship Id="rId4" Type="http://schemas.openxmlformats.org/officeDocument/2006/relationships/image" Target="../media/image4.emf"/><Relationship Id="rId9" Type="http://schemas.openxmlformats.org/officeDocument/2006/relationships/image" Target="../media/image9.jpeg"/><Relationship Id="rId14" Type="http://schemas.openxmlformats.org/officeDocument/2006/relationships/chart" Target="../charts/chart58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11CFC8F-8205-41F9-9B66-3FB509C1B37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69668C2-2D94-4C8C-96DE-2CD1278FFAE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333500" y="1673906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2C5BC59C-7E3C-4E1F-91A2-6F538DE49DB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117311" y="1670737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2B6741EE-101A-4A6F-997F-922F9E44B8B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025475" y="1687514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B1DAA80F-C131-44FF-BDF1-CA9E99769D2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627613" y="1691935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7F46918-8C1C-4569-909D-FD12E8C5975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469001" y="1736837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EF735D66-9CA4-4254-B9CE-F7C19D9AC20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170720" y="1702028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AF74CF17-906F-46A6-B2D3-E4FB5B997C4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042565" y="1674812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7A836CBE-E43B-4747-B456-ED2BC6AB95B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510155" y="1646689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23D52FEC-A071-4566-B75B-A8B46F3354B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4861479" y="1693368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9522811C-AE7E-45C3-999C-EFC5CE53DDF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797259" y="1646690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C3FAFA0F-5253-46F9-B5E5-09FCA768E38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163548" y="1666875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5E2D3460-AF99-4CF8-B315-BC15BD18C0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237448" y="1615168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7CCF053B-5EE4-4D1D-9765-55AB84E67D8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9D8383C4-2A7E-4FD9-8219-0A81ADCB043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C2C0347-031E-41BF-9698-B9D2F9703DA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74A14BA3-34AF-404D-9061-B4634F44D48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DBFC2162-A6BC-4391-9A69-3D8C5544FF5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E3FA3AE-9984-4154-B374-4610ED1E6DC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E2528374-C385-4D0B-BC3C-A1B06CB699E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3FE29D3-8F89-4F3F-84DA-37414C1B5B8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82C67768-AB9B-43C5-9CF9-EED2366D95F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AF28159B-FC13-4FCA-ADF6-4FEC6C38240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E30E89F1-CD3B-4869-AE97-8EFA490099E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16B891E8-B6FF-4446-BB0E-8326D5C83C8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F3A3F91A-FB1F-4FA7-8EC9-86727745CBA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C9AAF4C-3770-465C-8BD4-005CF823465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795FF5EB-DAD7-4CB9-A84F-7E6DCE4CA18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C3A10EFF-54D3-42C6-A641-4F2C5D8BB04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32</xdr:col>
      <xdr:colOff>285750</xdr:colOff>
      <xdr:row>42</xdr:row>
      <xdr:rowOff>239711</xdr:rowOff>
    </xdr:from>
    <xdr:to>
      <xdr:col>40</xdr:col>
      <xdr:colOff>31750</xdr:colOff>
      <xdr:row>59</xdr:row>
      <xdr:rowOff>63500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2897E610-198F-4797-B1DD-819E571F088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98581BB7-4A56-4ADF-96B2-6F63A98F5A7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CD83B4B-FDF8-4F87-8F75-60637E0F595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EF2E341C-99E0-4E94-B000-EF651B159EE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4357BF90-5E78-4CE9-8F6D-17919CF931C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D2510501-ECDE-4C26-91A3-A96646FDA72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27C0573-D332-492A-A3A7-3FE018587CB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F8BE280-8189-4E91-A8F8-A2BBBB1D1F5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0908D9BF-8405-4431-A904-8C08188A36B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7D73E152-1E1E-4B07-9426-D9D662F02CC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FF81ADE5-C017-481D-AC00-CAB3F26811D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BA66D135-723A-4789-B7B4-ECA20A0FFCD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8A303E91-D188-4198-9869-D6544838D9F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B3035FD1-0A58-44C6-B7CB-2E208566C2C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414DE2D-8B57-4FC6-B505-2EE9020AA52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B1441D28-4BFD-464B-AA5C-64C94D17127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32</xdr:col>
      <xdr:colOff>285750</xdr:colOff>
      <xdr:row>42</xdr:row>
      <xdr:rowOff>239711</xdr:rowOff>
    </xdr:from>
    <xdr:to>
      <xdr:col>40</xdr:col>
      <xdr:colOff>31750</xdr:colOff>
      <xdr:row>59</xdr:row>
      <xdr:rowOff>63500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4812AF20-09AA-4DDA-9975-7AE7B3E2948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E2C644DC-E669-4020-AC88-491A3FEAB67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AE50EFE-1DE0-4F36-B48C-A69FF36114E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C5EBDA1F-EC34-4EA9-976D-6289DE0FB98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8A6D516-6369-4DF7-976B-FBD3A1EF043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C2BF08E9-0317-45DF-9764-5E2AFD1532D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78647EFF-C4C1-44C3-AC8E-F40BB82E127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8484C3A2-0AA3-4E8E-A647-EBD805BB49D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72C3E48D-2F03-4F5E-8402-482EEA7BC39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77F25959-7B9A-4DD0-8D16-556A4E80981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A704E06-1314-4D2D-8CBA-81BD622C652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F8145C8-FE4D-4244-A206-AA0C05319BB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79485777-7D50-46B6-965E-65B58F2D544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656E12E-5B01-4152-825E-79993A11E0E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D957C12B-D8EF-4055-B4D0-7E0011F8E18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EF5C02A8-A5EC-4B9F-85CB-E1BEE4C52D4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32</xdr:col>
      <xdr:colOff>285750</xdr:colOff>
      <xdr:row>42</xdr:row>
      <xdr:rowOff>239711</xdr:rowOff>
    </xdr:from>
    <xdr:to>
      <xdr:col>40</xdr:col>
      <xdr:colOff>31750</xdr:colOff>
      <xdr:row>59</xdr:row>
      <xdr:rowOff>63500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D6B69222-0397-44E0-9C74-708D4A6DBD1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62A5628F-C824-44D7-A41E-75796BEF002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44</xdr:row>
      <xdr:rowOff>276224</xdr:rowOff>
    </xdr:from>
    <xdr:to>
      <xdr:col>31</xdr:col>
      <xdr:colOff>603250</xdr:colOff>
      <xdr:row>59</xdr:row>
      <xdr:rowOff>69399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BE5B84F-E7F9-4888-8364-5155D466359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AB9F8FE3-434C-498C-B69C-5D6653FA2AA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792E213C-AC12-4AB2-8177-5988196C599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46E9F966-108A-437A-BA82-30567CD847D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333210A5-3608-4FA6-A870-15F7A148ECF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AD2E9C6A-86FC-43C8-ACC5-4E8F1D7C16E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23849C80-1C79-4E58-BCA0-DADFCCC7DD1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1F0B3A3-2D65-4925-A130-ACE32C1696D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B5C815D1-3DC3-49D4-8EC4-F0F9844C714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27392CC8-C478-4740-9F98-E794DD06717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F394D704-B477-44ED-9B81-731CE82146B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D99B64C7-FCB5-4657-9490-6332A3AC50B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3180EDBA-E56F-4F40-8629-7FA88E9F38B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17</xdr:col>
      <xdr:colOff>47625</xdr:colOff>
      <xdr:row>62</xdr:row>
      <xdr:rowOff>57150</xdr:rowOff>
    </xdr:from>
    <xdr:to>
      <xdr:col>24</xdr:col>
      <xdr:colOff>190500</xdr:colOff>
      <xdr:row>76</xdr:row>
      <xdr:rowOff>142875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41715DD5-608D-41A8-9BD9-0CBABB14A28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24</xdr:col>
      <xdr:colOff>254001</xdr:colOff>
      <xdr:row>62</xdr:row>
      <xdr:rowOff>63502</xdr:rowOff>
    </xdr:from>
    <xdr:to>
      <xdr:col>31</xdr:col>
      <xdr:colOff>666750</xdr:colOff>
      <xdr:row>76</xdr:row>
      <xdr:rowOff>127000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E418EF71-2456-4AC3-8C28-8D9EEDDA711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44</xdr:row>
      <xdr:rowOff>276224</xdr:rowOff>
    </xdr:from>
    <xdr:to>
      <xdr:col>31</xdr:col>
      <xdr:colOff>603250</xdr:colOff>
      <xdr:row>59</xdr:row>
      <xdr:rowOff>69399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D5A5A00-3F3E-4DBA-AD14-690787A24FC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95E51A4-0F43-47FB-BCAE-F51F8BAACFA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D630DFB9-D4D4-4CDE-A91B-F1DC724995E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E932A2E4-E7EE-409F-AC15-01426DB5939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8FE05EDC-131A-4C10-9500-FACF491A9A7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5C7BC54-4C0E-49B3-A8E3-B116B62A452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B51489E6-558E-4134-87C8-4C1F569F608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09A18647-F6CB-4D27-8E90-6AF05A17123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690289A6-A003-456F-90CE-D799661B10E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90214C5D-5BBD-405E-BE0F-3B23F9C841F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92887784-3C03-4F6B-9C5B-394BAA31B67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3BBA41DC-5511-41C0-B5A4-3930BD242F4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A733BC1-F32D-4BE4-972B-658A1C0D2B4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17</xdr:col>
      <xdr:colOff>47625</xdr:colOff>
      <xdr:row>62</xdr:row>
      <xdr:rowOff>57150</xdr:rowOff>
    </xdr:from>
    <xdr:to>
      <xdr:col>24</xdr:col>
      <xdr:colOff>190500</xdr:colOff>
      <xdr:row>76</xdr:row>
      <xdr:rowOff>142875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30AC53BB-20A6-473E-8FE0-88E6F885D6C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24</xdr:col>
      <xdr:colOff>254001</xdr:colOff>
      <xdr:row>62</xdr:row>
      <xdr:rowOff>63502</xdr:rowOff>
    </xdr:from>
    <xdr:to>
      <xdr:col>31</xdr:col>
      <xdr:colOff>666750</xdr:colOff>
      <xdr:row>76</xdr:row>
      <xdr:rowOff>127000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709E55AF-4406-4A38-AA5A-2F1F9B7080D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C61C7AC-8404-4FB2-9E2A-96A3009AB24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685E319-E1D8-4517-B949-556C3CE3023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3BB457DF-B5A1-410D-9BB1-A95BB7E5D95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230BB277-1955-4EDC-9A5C-BC7DCD1244B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CE017E93-72EF-48E2-831E-CD7D7EEB408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7DFF92E4-C563-4536-987C-D24D1C74631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79BCA9A5-16A1-413D-8FBC-CB7CC854FD4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B408C7D7-F161-4A8D-ACEC-EB041736E1D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497CD0D3-73F8-42EC-85C5-3E1C385FA75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3FD549FA-B008-417E-BF85-75D96392B84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0D5A0C7D-7BAB-4935-8EE1-FEC5A375CDA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91C839DE-231F-4ACD-86F3-F59FB50EF07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2D641106-2317-4F80-87C7-C13B5FB048E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E4D0AED3-3098-4D8D-B25D-9F5581AA5D0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32</xdr:col>
      <xdr:colOff>285750</xdr:colOff>
      <xdr:row>42</xdr:row>
      <xdr:rowOff>239711</xdr:rowOff>
    </xdr:from>
    <xdr:to>
      <xdr:col>40</xdr:col>
      <xdr:colOff>31750</xdr:colOff>
      <xdr:row>59</xdr:row>
      <xdr:rowOff>63500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E3CB3AE0-43BD-4850-9667-0DE1DC52589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EEA84219-10C6-4B19-97B2-1D4D595AB49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9B00FFE-DD09-45A9-B33F-4C450DB096F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173AE11-444F-4EC3-B71E-F539F0647A1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4FD4C580-EC77-4048-AC2B-2BD67560D2B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39518047-B158-4835-92F8-EAC36AEE485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97311B7-08BF-42A8-ACEC-0D016FD3D57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2A0F041C-2D0D-4BAC-ACDD-966BB384948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0FD4D835-662A-4596-8863-F9E128B037C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5DCEF17B-C14E-47EA-AF5C-30EE46F71D9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ACA8A7C0-DB2A-4BCE-8988-68C272C05D4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210A3017-8013-4BF0-B56E-544ABCD0260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A2E5C341-0FBD-4FBD-A30D-34D80945203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41FAE38C-A41A-46F2-AA04-7F38CF91F94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3486FF56-DA39-420A-9E58-7B3F931CC9E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2313355F-B328-417E-8CC5-FCD157B1FE8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F5BCD592-340E-492C-96BD-36C9FC5425A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44</xdr:row>
      <xdr:rowOff>276224</xdr:rowOff>
    </xdr:from>
    <xdr:to>
      <xdr:col>31</xdr:col>
      <xdr:colOff>603250</xdr:colOff>
      <xdr:row>59</xdr:row>
      <xdr:rowOff>69399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A000981-BCC2-455D-92B1-84DD7DCCBD1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F067BD92-CB62-48CA-9DD0-D7D774A4374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39B28062-6AFE-4011-AC68-49C6148E77A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6BBE398-A56C-48CA-BFC1-610BFA1F68D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E16943D-B516-40D0-9F97-98CDF8795F4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13D749C9-5906-4CCA-B152-603DD1B861A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D11ACD35-E8D5-49D7-8A70-A0EE7F23870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A3A3C7FF-69D9-458C-90FE-961D7820FC2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36C6BECF-838E-467B-9866-1751A3FA86A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48C437B6-5E45-41B7-A976-1F2FE471409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4B44EA52-C439-4105-8E19-92FF5E0EEE0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792DAE31-610C-4B7C-92D5-87E82424207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BC5A4F1F-083B-416F-92CC-4CB874426E3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17</xdr:col>
      <xdr:colOff>47625</xdr:colOff>
      <xdr:row>62</xdr:row>
      <xdr:rowOff>57150</xdr:rowOff>
    </xdr:from>
    <xdr:to>
      <xdr:col>24</xdr:col>
      <xdr:colOff>190500</xdr:colOff>
      <xdr:row>76</xdr:row>
      <xdr:rowOff>142875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28D37E80-8382-43D6-89E4-90052E5CA7D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24</xdr:col>
      <xdr:colOff>254001</xdr:colOff>
      <xdr:row>62</xdr:row>
      <xdr:rowOff>63502</xdr:rowOff>
    </xdr:from>
    <xdr:to>
      <xdr:col>31</xdr:col>
      <xdr:colOff>666750</xdr:colOff>
      <xdr:row>76</xdr:row>
      <xdr:rowOff>127000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9B672CC8-D710-48E5-AB41-49A38A9B5F3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44</xdr:row>
      <xdr:rowOff>276224</xdr:rowOff>
    </xdr:from>
    <xdr:to>
      <xdr:col>31</xdr:col>
      <xdr:colOff>603250</xdr:colOff>
      <xdr:row>59</xdr:row>
      <xdr:rowOff>69399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090FA51-49AF-4CA3-893F-A6307CD3777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AF387249-FF27-4F30-987E-FC22E7B52B3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A32569C-9E75-463F-ACBE-CF56B22E1B3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792D3384-2668-4564-822A-662D7C8E541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E13CE831-D300-49E1-8F9A-D08884AEE19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29E34F9B-964E-4D0D-A88C-FC65CFB8657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ED160651-F549-4C3F-909F-ED55905A27B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00F2A909-B6DE-424E-A030-5AE73C58F1F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973ED4A3-7329-4B47-96A7-1D4BAF08AB8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58E7A2BB-1E98-4723-BFA1-4F9AE593288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88646930-FD6D-4C3B-BCD4-B71CD49281A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E787FB74-CC8A-46EC-9323-5806E884262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A5AD1D5-6AEB-4429-B00D-A6CE4C8EDD5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17</xdr:col>
      <xdr:colOff>47625</xdr:colOff>
      <xdr:row>62</xdr:row>
      <xdr:rowOff>57150</xdr:rowOff>
    </xdr:from>
    <xdr:to>
      <xdr:col>24</xdr:col>
      <xdr:colOff>190500</xdr:colOff>
      <xdr:row>76</xdr:row>
      <xdr:rowOff>142875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5F200170-D06E-4657-AE7F-2C965A096B3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24</xdr:col>
      <xdr:colOff>254001</xdr:colOff>
      <xdr:row>62</xdr:row>
      <xdr:rowOff>63502</xdr:rowOff>
    </xdr:from>
    <xdr:to>
      <xdr:col>31</xdr:col>
      <xdr:colOff>666750</xdr:colOff>
      <xdr:row>76</xdr:row>
      <xdr:rowOff>127000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D7BEA8A8-6B06-44C3-9B82-A3448FA4E5F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C078940-D67E-4802-9FBB-4F55C4BD166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D0530FB7-75AB-4825-A797-D7AA75235DC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135A41DF-59D0-4AD7-92C6-E962F44A876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FCCC58F1-3EDC-423C-B2A6-04BAD9A48C2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CDBBFF5B-347F-438A-8A35-2E65D31C3D1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8A571D3F-AFC5-4A01-A84E-8CEB978B6B5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86F93436-8CDE-45F1-868D-1F76FB4087E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6F520AE7-EC71-4888-B58B-81185D16541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B92A2E0E-4AE9-4466-BC9C-57638934825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D090FDE7-E4CB-4E22-B076-5707B6D0E81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F4AD34A0-4ABD-4539-AB95-A0B25A4F58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D73990A3-EB40-4A65-9507-E2A0F49D17B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E3078063-06B0-4C57-8381-301B07C3789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F4096C3F-CC05-4533-A944-12E0A90C970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32</xdr:col>
      <xdr:colOff>285750</xdr:colOff>
      <xdr:row>42</xdr:row>
      <xdr:rowOff>239711</xdr:rowOff>
    </xdr:from>
    <xdr:to>
      <xdr:col>40</xdr:col>
      <xdr:colOff>31750</xdr:colOff>
      <xdr:row>59</xdr:row>
      <xdr:rowOff>63500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A82EA7F7-7ED0-4466-A41A-9E4F7CA51EC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D05ED10C-2476-4BCE-8984-47C0B6FAA0E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0FDDE2E-EA38-4B4D-8F37-64E25CE8838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2A60D40-9565-4BE5-885C-69774B7BDB0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8DA518A-CF2C-4098-A02A-1FEED12B5F3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FD7427E8-FCCB-4B05-902E-94004146B61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C457C5FA-4230-45D3-9BEA-5E77FB0BFDC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30933819-0678-4844-93F6-365B817E199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02CCF32F-F899-4E8E-B169-C557ED0E332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0923289F-04AC-42EC-BEB0-F19B76801E6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BC56928B-5F6F-4CA9-95A8-F399437D49C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CFF91CBE-F1A9-4733-8633-AD10A781A09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C6E00A70-5769-4FF4-BE23-24F31F7307B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96B68D07-B3D3-4201-B269-156425BE3DB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C49B6ACB-2E8A-4F79-8D8F-272D6FB94C2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81D804CD-FF7D-4398-800E-A1697F34FDE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32</xdr:col>
      <xdr:colOff>285750</xdr:colOff>
      <xdr:row>42</xdr:row>
      <xdr:rowOff>239711</xdr:rowOff>
    </xdr:from>
    <xdr:to>
      <xdr:col>40</xdr:col>
      <xdr:colOff>31750</xdr:colOff>
      <xdr:row>59</xdr:row>
      <xdr:rowOff>63500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124A468D-B7E9-45D8-994D-4AB3845E969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6B99EDFE-EFBB-4B74-9F4F-C15AA0D8AF7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3769D03-56A4-48BA-B708-B148277AB3D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2B164D1-D3A6-4F49-9915-40FB592F1B5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3CE22DE1-2830-460C-AD37-672B9EDF9D5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F4B4FF9F-7500-457A-A8E0-459FE0B6B5B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0ABC7C4-EBC7-43FB-81F4-8FD3DD6945D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41605433-CB66-4379-9010-6F98A56B22C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49160004-F210-483C-B162-76455BE5213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11BE1DF2-A9D8-4961-907D-55040170AD3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AB691F47-86A4-4229-906C-ECE96BF798D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DDFCDC9-1F96-4F74-B537-4F2AFC05E93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D5EF5D29-A47E-4AF8-85B3-1374B4F6A7C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CABD53E-2D47-4AB7-9914-01C65DBFFA6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70D1C830-FF5D-4624-ABBF-4B163D9A5D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9FCDC906-6885-45D8-83E7-FFBB67A6322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32</xdr:col>
      <xdr:colOff>285750</xdr:colOff>
      <xdr:row>42</xdr:row>
      <xdr:rowOff>239711</xdr:rowOff>
    </xdr:from>
    <xdr:to>
      <xdr:col>40</xdr:col>
      <xdr:colOff>31750</xdr:colOff>
      <xdr:row>59</xdr:row>
      <xdr:rowOff>63500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EE1C5C6E-100B-42E3-92B6-502B45D5AB1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A8EE9ABE-75B0-4BCE-B434-CB5CBADB77B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24D07F7-A505-4739-B386-7B6D7DD0896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0BBC979-15AA-4A11-9224-18E0E7CF6E0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41B8E3D4-7E5F-418C-BBAF-8F5F6270B85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D05A13E-1128-4A13-B522-6EF66121EE1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207A79A5-DE2C-43B6-93E8-029BEE79CCC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6335A27C-6117-4ADE-BAD3-8B5E13539C0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E099A6C3-B976-4FB8-8A58-5E45F6D0F1B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8EA27B75-11E2-47C3-92D0-E1274591C96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2DE68A34-6B83-4CE1-B89D-93C3D05F7CE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AA6CD2C4-2193-49F0-A361-74A7AAA2905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89D090DF-78EB-40DF-8A6D-54E8002AB20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8CC2D505-B814-4153-9006-3734F691216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9849053B-C2A2-4B10-B63A-9FD0112A147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F75497C2-F34C-49E6-A4E9-41E13AD164E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32</xdr:col>
      <xdr:colOff>285750</xdr:colOff>
      <xdr:row>42</xdr:row>
      <xdr:rowOff>239711</xdr:rowOff>
    </xdr:from>
    <xdr:to>
      <xdr:col>40</xdr:col>
      <xdr:colOff>31750</xdr:colOff>
      <xdr:row>59</xdr:row>
      <xdr:rowOff>63500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944922A7-8790-46BB-B71A-6BD4B4C9DF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7F0904D3-4B8A-474B-86E5-F1190B2850C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43</xdr:row>
      <xdr:rowOff>38099</xdr:rowOff>
    </xdr:from>
    <xdr:to>
      <xdr:col>28</xdr:col>
      <xdr:colOff>0</xdr:colOff>
      <xdr:row>58</xdr:row>
      <xdr:rowOff>269875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06C45E2-77C7-4510-884F-FEF0715DDB6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219AEE80-7130-4FE5-8DCD-05DF10B8C22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3E1E659-91F2-4594-978C-33DD6417A5B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82B73A80-E2E3-4174-B73D-D61B63E6008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7E46CF73-4595-47F7-B47F-2B24A9AA94D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7AF59A5-69EA-4554-923B-279A64D6C4C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400AE0E0-9A4F-45E2-BBB2-010A32C6E97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47AD0C11-87DE-4860-AEB0-7F2EB944A61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DB53AA64-9B63-48C4-86C6-C93F9474598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FA31503D-49F8-4886-9D79-D1CF7783162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D89B662C-1BD4-43B0-ACB7-D5C2088AE05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C2C04AF1-D698-4B62-BF42-BE1F9D58FB5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906F0358-DE0D-42DF-9D85-A89ACE83399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17</xdr:col>
      <xdr:colOff>1</xdr:colOff>
      <xdr:row>60</xdr:row>
      <xdr:rowOff>9525</xdr:rowOff>
    </xdr:from>
    <xdr:to>
      <xdr:col>22</xdr:col>
      <xdr:colOff>698500</xdr:colOff>
      <xdr:row>74</xdr:row>
      <xdr:rowOff>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872B518F-3318-457A-AD2F-F257EB81D50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24</xdr:col>
      <xdr:colOff>15876</xdr:colOff>
      <xdr:row>59</xdr:row>
      <xdr:rowOff>269875</xdr:rowOff>
    </xdr:from>
    <xdr:to>
      <xdr:col>31</xdr:col>
      <xdr:colOff>31751</xdr:colOff>
      <xdr:row>74</xdr:row>
      <xdr:rowOff>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F07B1E9E-4942-4AD4-98C8-E1AF8366002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19960</xdr:colOff>
      <xdr:row>43</xdr:row>
      <xdr:rowOff>6349</xdr:rowOff>
    </xdr:from>
    <xdr:to>
      <xdr:col>27</xdr:col>
      <xdr:colOff>698499</xdr:colOff>
      <xdr:row>58</xdr:row>
      <xdr:rowOff>269875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0B270C2-815D-4851-AC3C-4EA46B2C644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1A68EABE-F73F-486D-BB3C-58052251225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F9A39479-5D94-439F-AAAE-4B1288B89B1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A639D45-A3C5-49D6-8FD7-337DBA87034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A32685D6-892C-43F5-AFA8-62F9167E79C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CB110D7-9219-4421-AE6E-5DABBB7FCC3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DCC9CC16-C5B8-4879-9435-5E3796BA4AE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A9D0DABC-8D47-4952-A548-79AF3DF1FAC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AF999087-E9AB-4F93-B9EF-BE24ADD193A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6963AAD9-4121-45A3-93F6-094DAF14FE6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9B7D99CA-796E-4A36-B9D3-FD180F1A83C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7C936931-6EFD-4A74-AEA9-47EEB365E22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200DC7B-A120-4F30-A5FF-185ED29C033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17</xdr:col>
      <xdr:colOff>15876</xdr:colOff>
      <xdr:row>60</xdr:row>
      <xdr:rowOff>9525</xdr:rowOff>
    </xdr:from>
    <xdr:to>
      <xdr:col>22</xdr:col>
      <xdr:colOff>698500</xdr:colOff>
      <xdr:row>74</xdr:row>
      <xdr:rowOff>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57033F9A-A642-43E1-B688-5FBA3AD22AD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24</xdr:col>
      <xdr:colOff>15876</xdr:colOff>
      <xdr:row>60</xdr:row>
      <xdr:rowOff>15875</xdr:rowOff>
    </xdr:from>
    <xdr:to>
      <xdr:col>31</xdr:col>
      <xdr:colOff>1</xdr:colOff>
      <xdr:row>74</xdr:row>
      <xdr:rowOff>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0288892E-53EA-4DAD-967C-F738DF767CB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092412C-BA1C-4D34-B971-DE0C2104536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213F6493-22B5-43D3-89E3-9CBBD5F672E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66A6F653-AFF5-4987-B236-C85A1CE131E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BB621B9F-62A3-4E5A-AFD4-DC12703D4B0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2AE15982-C002-4BDF-96C3-22A45DA5C7B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B3C3AB7B-75D5-418A-958E-EACBF65A125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60CF7CE4-A85A-4C22-9DC3-58935080984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E90AC934-2ABE-477D-8A15-38EFC094156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2E53BA24-BE44-430F-9803-6A8B6CB29FB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11BA8E67-A1DD-42EA-85BC-CB4649F507C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FAA7FF40-C1FE-4D4D-88B0-F8E6F921362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165D294B-6A53-4A12-9BC4-B2A9462DB2A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17</xdr:col>
      <xdr:colOff>15875</xdr:colOff>
      <xdr:row>58</xdr:row>
      <xdr:rowOff>263525</xdr:rowOff>
    </xdr:from>
    <xdr:to>
      <xdr:col>23</xdr:col>
      <xdr:colOff>650874</xdr:colOff>
      <xdr:row>74</xdr:row>
      <xdr:rowOff>238125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9829EB85-A50A-4379-94F7-6C2E31DC19D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17</xdr:col>
      <xdr:colOff>15875</xdr:colOff>
      <xdr:row>74</xdr:row>
      <xdr:rowOff>254000</xdr:rowOff>
    </xdr:from>
    <xdr:to>
      <xdr:col>23</xdr:col>
      <xdr:colOff>650874</xdr:colOff>
      <xdr:row>91</xdr:row>
      <xdr:rowOff>31750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603DD9D7-E468-486E-B0CF-46B1770E47D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17</xdr:col>
      <xdr:colOff>15876</xdr:colOff>
      <xdr:row>42</xdr:row>
      <xdr:rowOff>254000</xdr:rowOff>
    </xdr:from>
    <xdr:to>
      <xdr:col>28</xdr:col>
      <xdr:colOff>31750</xdr:colOff>
      <xdr:row>58</xdr:row>
      <xdr:rowOff>269875</xdr:rowOff>
    </xdr:to>
    <xdr:graphicFrame macro="">
      <xdr:nvGraphicFramePr>
        <xdr:cNvPr id="18" name="Chart 17">
          <a:extLst>
            <a:ext uri="{FF2B5EF4-FFF2-40B4-BE49-F238E27FC236}">
              <a16:creationId xmlns:a16="http://schemas.microsoft.com/office/drawing/2014/main" id="{1F3C755B-FA06-4641-8226-864954F6E96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23</xdr:col>
      <xdr:colOff>666750</xdr:colOff>
      <xdr:row>58</xdr:row>
      <xdr:rowOff>269875</xdr:rowOff>
    </xdr:from>
    <xdr:to>
      <xdr:col>30</xdr:col>
      <xdr:colOff>650875</xdr:colOff>
      <xdr:row>74</xdr:row>
      <xdr:rowOff>268288</xdr:rowOff>
    </xdr:to>
    <xdr:graphicFrame macro="">
      <xdr:nvGraphicFramePr>
        <xdr:cNvPr id="19" name="Chart 18">
          <a:extLst>
            <a:ext uri="{FF2B5EF4-FFF2-40B4-BE49-F238E27FC236}">
              <a16:creationId xmlns:a16="http://schemas.microsoft.com/office/drawing/2014/main" id="{23627A04-1E0E-4C3A-8B25-FA92ABCB63C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23</xdr:col>
      <xdr:colOff>666750</xdr:colOff>
      <xdr:row>75</xdr:row>
      <xdr:rowOff>0</xdr:rowOff>
    </xdr:from>
    <xdr:to>
      <xdr:col>30</xdr:col>
      <xdr:colOff>650875</xdr:colOff>
      <xdr:row>91</xdr:row>
      <xdr:rowOff>14288</xdr:rowOff>
    </xdr:to>
    <xdr:graphicFrame macro="">
      <xdr:nvGraphicFramePr>
        <xdr:cNvPr id="20" name="Chart 19">
          <a:extLst>
            <a:ext uri="{FF2B5EF4-FFF2-40B4-BE49-F238E27FC236}">
              <a16:creationId xmlns:a16="http://schemas.microsoft.com/office/drawing/2014/main" id="{7CD2BF54-C297-4A9B-8975-0C4CE3D1A65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AF126"/>
  <sheetViews>
    <sheetView view="pageBreakPreview" zoomScale="60" workbookViewId="0">
      <selection activeCell="C3" sqref="C3:G3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60" t="s">
        <v>23</v>
      </c>
      <c r="C1" s="60"/>
      <c r="D1" s="60"/>
      <c r="E1" s="60"/>
      <c r="F1" s="60"/>
      <c r="G1" s="60"/>
      <c r="H1" s="60"/>
      <c r="I1" s="60"/>
      <c r="J1" s="60"/>
      <c r="K1" s="60"/>
      <c r="L1" s="60"/>
      <c r="M1" s="60"/>
      <c r="N1" s="60"/>
      <c r="O1" s="60"/>
      <c r="P1" s="60"/>
      <c r="Q1" s="60"/>
      <c r="R1" s="60"/>
      <c r="S1" s="60"/>
      <c r="T1" s="60"/>
      <c r="U1" s="60"/>
      <c r="V1" s="60"/>
      <c r="W1" s="60"/>
      <c r="X1" s="60"/>
      <c r="Y1" s="60"/>
      <c r="Z1" s="60"/>
      <c r="AA1" s="60"/>
      <c r="AB1" s="60"/>
      <c r="AC1" s="60"/>
      <c r="AD1" s="60"/>
      <c r="AE1" s="60"/>
    </row>
    <row r="2" spans="2:32" ht="20.100000000000001" customHeight="1" x14ac:dyDescent="0.25">
      <c r="B2" s="61" t="s">
        <v>95</v>
      </c>
      <c r="C2" s="61"/>
      <c r="D2" s="61"/>
      <c r="E2" s="61"/>
      <c r="F2" s="61"/>
      <c r="G2" s="61"/>
      <c r="H2" s="61"/>
      <c r="I2" s="61"/>
      <c r="J2" s="61"/>
      <c r="K2" s="61"/>
      <c r="L2" s="61"/>
      <c r="M2" s="61"/>
      <c r="N2" s="61"/>
      <c r="O2" s="61"/>
      <c r="P2" s="61"/>
      <c r="Q2" s="61"/>
      <c r="R2" s="61"/>
      <c r="S2" s="61"/>
      <c r="T2" s="61"/>
      <c r="U2" s="61"/>
      <c r="V2" s="61"/>
      <c r="W2" s="61"/>
      <c r="X2" s="61"/>
      <c r="Y2" s="61"/>
      <c r="Z2" s="61"/>
      <c r="AA2" s="61"/>
      <c r="AB2" s="61"/>
      <c r="AC2" s="61"/>
      <c r="AD2" s="61"/>
      <c r="AE2" s="61"/>
    </row>
    <row r="3" spans="2:32" ht="20.100000000000001" customHeight="1" x14ac:dyDescent="0.25">
      <c r="B3" s="21" t="s">
        <v>96</v>
      </c>
      <c r="C3" s="62" t="s">
        <v>181</v>
      </c>
      <c r="D3" s="62"/>
      <c r="E3" s="62"/>
      <c r="F3" s="62"/>
      <c r="G3" s="62"/>
      <c r="H3" s="21"/>
      <c r="I3" s="21"/>
      <c r="J3" s="21"/>
      <c r="K3" s="21"/>
      <c r="L3" s="21"/>
      <c r="M3" s="21"/>
      <c r="N3" s="21"/>
      <c r="O3" s="21"/>
      <c r="P3" s="21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51" t="s">
        <v>164</v>
      </c>
      <c r="E5" s="3"/>
      <c r="F5" s="41" t="s">
        <v>1</v>
      </c>
      <c r="G5" s="57" t="s">
        <v>167</v>
      </c>
      <c r="H5" s="58"/>
      <c r="I5" s="14"/>
      <c r="J5" s="2" t="s">
        <v>5</v>
      </c>
      <c r="K5" s="57" t="s">
        <v>168</v>
      </c>
      <c r="L5" s="58"/>
      <c r="M5" s="10"/>
      <c r="N5" s="10"/>
      <c r="O5" s="3"/>
      <c r="P5" s="3"/>
    </row>
    <row r="6" spans="2:32" ht="23.25" customHeight="1" x14ac:dyDescent="0.25">
      <c r="C6" s="2" t="s">
        <v>4</v>
      </c>
      <c r="D6" s="57" t="s">
        <v>165</v>
      </c>
      <c r="E6" s="58"/>
      <c r="F6" s="2" t="s">
        <v>2</v>
      </c>
      <c r="G6" s="57" t="s">
        <v>166</v>
      </c>
      <c r="H6" s="58"/>
      <c r="J6" s="2" t="s">
        <v>21</v>
      </c>
      <c r="K6" s="57" t="s">
        <v>168</v>
      </c>
      <c r="L6" s="58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9" t="s">
        <v>88</v>
      </c>
      <c r="S8" s="59"/>
      <c r="T8" s="59"/>
      <c r="U8" s="59"/>
      <c r="V8" s="59"/>
      <c r="W8" s="59"/>
      <c r="X8" s="59"/>
      <c r="Y8" s="59"/>
      <c r="Z8" s="59"/>
      <c r="AA8" s="59"/>
      <c r="AB8" s="59"/>
      <c r="AC8" s="59"/>
      <c r="AD8" s="59"/>
      <c r="AE8" s="59"/>
      <c r="AF8" s="59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50">
        <v>3</v>
      </c>
      <c r="D10" s="50">
        <v>0</v>
      </c>
      <c r="E10" s="50">
        <v>2</v>
      </c>
      <c r="F10" s="50">
        <v>4</v>
      </c>
      <c r="G10" s="50">
        <v>1</v>
      </c>
      <c r="H10" s="50">
        <v>0</v>
      </c>
      <c r="I10" s="50">
        <v>0</v>
      </c>
      <c r="J10" s="50">
        <v>0</v>
      </c>
      <c r="K10" s="50">
        <v>2</v>
      </c>
      <c r="L10" s="50">
        <v>0</v>
      </c>
      <c r="M10" s="50">
        <v>11</v>
      </c>
      <c r="N10" s="50">
        <v>1</v>
      </c>
      <c r="O10" s="15">
        <f t="shared" ref="O10:O57" si="0">SUM(C10:L10,N10)</f>
        <v>13</v>
      </c>
      <c r="P10" s="15">
        <f t="shared" ref="P10:P57" si="1">SUM(C10:N10)</f>
        <v>24</v>
      </c>
      <c r="R10" s="1" t="s">
        <v>6</v>
      </c>
      <c r="S10" s="17">
        <f t="shared" ref="S10:AF10" si="2">SUM(C10:C13)</f>
        <v>5</v>
      </c>
      <c r="T10" s="17">
        <f t="shared" si="2"/>
        <v>1</v>
      </c>
      <c r="U10" s="17">
        <f t="shared" si="2"/>
        <v>6</v>
      </c>
      <c r="V10" s="17">
        <f t="shared" si="2"/>
        <v>27</v>
      </c>
      <c r="W10" s="17">
        <f t="shared" si="2"/>
        <v>2</v>
      </c>
      <c r="X10" s="17">
        <f t="shared" si="2"/>
        <v>1</v>
      </c>
      <c r="Y10" s="17">
        <f t="shared" si="2"/>
        <v>1</v>
      </c>
      <c r="Z10" s="17">
        <f t="shared" si="2"/>
        <v>1</v>
      </c>
      <c r="AA10" s="17">
        <f t="shared" si="2"/>
        <v>2</v>
      </c>
      <c r="AB10" s="17">
        <f t="shared" si="2"/>
        <v>0</v>
      </c>
      <c r="AC10" s="17">
        <f t="shared" si="2"/>
        <v>36</v>
      </c>
      <c r="AD10" s="17">
        <f t="shared" si="2"/>
        <v>1</v>
      </c>
      <c r="AE10" s="31">
        <f t="shared" si="2"/>
        <v>47</v>
      </c>
      <c r="AF10" s="31">
        <f t="shared" si="2"/>
        <v>83</v>
      </c>
    </row>
    <row r="11" spans="2:32" s="6" customFormat="1" ht="23.1" customHeight="1" x14ac:dyDescent="0.25">
      <c r="B11" s="23" t="s">
        <v>38</v>
      </c>
      <c r="C11" s="50">
        <v>1</v>
      </c>
      <c r="D11" s="50">
        <v>0</v>
      </c>
      <c r="E11" s="50">
        <v>2</v>
      </c>
      <c r="F11" s="50">
        <v>7</v>
      </c>
      <c r="G11" s="50">
        <v>0</v>
      </c>
      <c r="H11" s="50">
        <v>0</v>
      </c>
      <c r="I11" s="50">
        <v>1</v>
      </c>
      <c r="J11" s="50">
        <v>0</v>
      </c>
      <c r="K11" s="50">
        <v>0</v>
      </c>
      <c r="L11" s="50">
        <v>0</v>
      </c>
      <c r="M11" s="50">
        <v>12</v>
      </c>
      <c r="N11" s="50">
        <v>0</v>
      </c>
      <c r="O11" s="15">
        <f t="shared" si="0"/>
        <v>11</v>
      </c>
      <c r="P11" s="15">
        <f t="shared" si="1"/>
        <v>23</v>
      </c>
      <c r="R11" s="1" t="s">
        <v>7</v>
      </c>
      <c r="S11" s="17">
        <f t="shared" ref="S11:AF11" si="3">SUM(C14:C17)</f>
        <v>7</v>
      </c>
      <c r="T11" s="17">
        <f t="shared" si="3"/>
        <v>1</v>
      </c>
      <c r="U11" s="17">
        <f t="shared" si="3"/>
        <v>3</v>
      </c>
      <c r="V11" s="17">
        <f t="shared" si="3"/>
        <v>22</v>
      </c>
      <c r="W11" s="17">
        <f t="shared" si="3"/>
        <v>0</v>
      </c>
      <c r="X11" s="17">
        <f t="shared" si="3"/>
        <v>0</v>
      </c>
      <c r="Y11" s="17">
        <f t="shared" si="3"/>
        <v>4</v>
      </c>
      <c r="Z11" s="17">
        <f t="shared" si="3"/>
        <v>3</v>
      </c>
      <c r="AA11" s="17">
        <f t="shared" si="3"/>
        <v>3</v>
      </c>
      <c r="AB11" s="17">
        <f t="shared" si="3"/>
        <v>0</v>
      </c>
      <c r="AC11" s="17">
        <f t="shared" si="3"/>
        <v>23</v>
      </c>
      <c r="AD11" s="17">
        <f t="shared" si="3"/>
        <v>0</v>
      </c>
      <c r="AE11" s="31">
        <f t="shared" si="3"/>
        <v>43</v>
      </c>
      <c r="AF11" s="31">
        <f t="shared" si="3"/>
        <v>66</v>
      </c>
    </row>
    <row r="12" spans="2:32" ht="23.1" customHeight="1" x14ac:dyDescent="0.25">
      <c r="B12" s="23" t="s">
        <v>39</v>
      </c>
      <c r="C12" s="50">
        <v>0</v>
      </c>
      <c r="D12" s="50">
        <v>0</v>
      </c>
      <c r="E12" s="50">
        <v>0</v>
      </c>
      <c r="F12" s="50">
        <v>13</v>
      </c>
      <c r="G12" s="50">
        <v>0</v>
      </c>
      <c r="H12" s="50">
        <v>1</v>
      </c>
      <c r="I12" s="50">
        <v>0</v>
      </c>
      <c r="J12" s="50">
        <v>1</v>
      </c>
      <c r="K12" s="50">
        <v>0</v>
      </c>
      <c r="L12" s="50">
        <v>0</v>
      </c>
      <c r="M12" s="50">
        <v>7</v>
      </c>
      <c r="N12" s="50">
        <v>0</v>
      </c>
      <c r="O12" s="15">
        <f t="shared" si="0"/>
        <v>15</v>
      </c>
      <c r="P12" s="15">
        <f t="shared" si="1"/>
        <v>22</v>
      </c>
      <c r="R12" s="1" t="s">
        <v>8</v>
      </c>
      <c r="S12" s="17">
        <f t="shared" ref="S12:AF12" si="4">SUM(C18:C21)</f>
        <v>6</v>
      </c>
      <c r="T12" s="17">
        <f t="shared" si="4"/>
        <v>3</v>
      </c>
      <c r="U12" s="17">
        <f t="shared" si="4"/>
        <v>9</v>
      </c>
      <c r="V12" s="17">
        <f t="shared" si="4"/>
        <v>29</v>
      </c>
      <c r="W12" s="17">
        <f t="shared" si="4"/>
        <v>0</v>
      </c>
      <c r="X12" s="17">
        <f t="shared" si="4"/>
        <v>2</v>
      </c>
      <c r="Y12" s="17">
        <f t="shared" si="4"/>
        <v>2</v>
      </c>
      <c r="Z12" s="17">
        <f t="shared" si="4"/>
        <v>3</v>
      </c>
      <c r="AA12" s="17">
        <f t="shared" si="4"/>
        <v>3</v>
      </c>
      <c r="AB12" s="17">
        <f t="shared" si="4"/>
        <v>0</v>
      </c>
      <c r="AC12" s="17">
        <f t="shared" si="4"/>
        <v>27</v>
      </c>
      <c r="AD12" s="17">
        <f t="shared" si="4"/>
        <v>2</v>
      </c>
      <c r="AE12" s="31">
        <f t="shared" si="4"/>
        <v>59</v>
      </c>
      <c r="AF12" s="31">
        <f t="shared" si="4"/>
        <v>86</v>
      </c>
    </row>
    <row r="13" spans="2:32" ht="23.1" customHeight="1" x14ac:dyDescent="0.25">
      <c r="B13" s="23" t="s">
        <v>40</v>
      </c>
      <c r="C13" s="50">
        <v>1</v>
      </c>
      <c r="D13" s="50">
        <v>1</v>
      </c>
      <c r="E13" s="50">
        <v>2</v>
      </c>
      <c r="F13" s="50">
        <v>3</v>
      </c>
      <c r="G13" s="50">
        <v>1</v>
      </c>
      <c r="H13" s="50">
        <v>0</v>
      </c>
      <c r="I13" s="50">
        <v>0</v>
      </c>
      <c r="J13" s="50">
        <v>0</v>
      </c>
      <c r="K13" s="50">
        <v>0</v>
      </c>
      <c r="L13" s="50">
        <v>0</v>
      </c>
      <c r="M13" s="50">
        <v>6</v>
      </c>
      <c r="N13" s="50">
        <v>0</v>
      </c>
      <c r="O13" s="15">
        <f t="shared" si="0"/>
        <v>8</v>
      </c>
      <c r="P13" s="15">
        <f t="shared" si="1"/>
        <v>14</v>
      </c>
      <c r="R13" s="1" t="s">
        <v>9</v>
      </c>
      <c r="S13" s="17">
        <f t="shared" ref="S13:AF13" si="5">SUM(C22:C25)</f>
        <v>10</v>
      </c>
      <c r="T13" s="17">
        <f t="shared" si="5"/>
        <v>3</v>
      </c>
      <c r="U13" s="17">
        <f t="shared" si="5"/>
        <v>2</v>
      </c>
      <c r="V13" s="17">
        <f t="shared" si="5"/>
        <v>33</v>
      </c>
      <c r="W13" s="17">
        <f t="shared" si="5"/>
        <v>1</v>
      </c>
      <c r="X13" s="17">
        <f t="shared" si="5"/>
        <v>0</v>
      </c>
      <c r="Y13" s="17">
        <f t="shared" si="5"/>
        <v>2</v>
      </c>
      <c r="Z13" s="17">
        <f t="shared" si="5"/>
        <v>5</v>
      </c>
      <c r="AA13" s="17">
        <f t="shared" si="5"/>
        <v>4</v>
      </c>
      <c r="AB13" s="17">
        <f t="shared" si="5"/>
        <v>0</v>
      </c>
      <c r="AC13" s="17">
        <f t="shared" si="5"/>
        <v>31</v>
      </c>
      <c r="AD13" s="17">
        <f t="shared" si="5"/>
        <v>0</v>
      </c>
      <c r="AE13" s="31">
        <f t="shared" si="5"/>
        <v>60</v>
      </c>
      <c r="AF13" s="31">
        <f t="shared" si="5"/>
        <v>91</v>
      </c>
    </row>
    <row r="14" spans="2:32" ht="23.1" customHeight="1" x14ac:dyDescent="0.25">
      <c r="B14" s="23" t="s">
        <v>41</v>
      </c>
      <c r="C14" s="50">
        <v>0</v>
      </c>
      <c r="D14" s="50">
        <v>0</v>
      </c>
      <c r="E14" s="50">
        <v>2</v>
      </c>
      <c r="F14" s="50">
        <v>9</v>
      </c>
      <c r="G14" s="50">
        <v>0</v>
      </c>
      <c r="H14" s="50">
        <v>0</v>
      </c>
      <c r="I14" s="50">
        <v>0</v>
      </c>
      <c r="J14" s="50">
        <v>1</v>
      </c>
      <c r="K14" s="50">
        <v>0</v>
      </c>
      <c r="L14" s="50">
        <v>0</v>
      </c>
      <c r="M14" s="50">
        <v>2</v>
      </c>
      <c r="N14" s="50">
        <v>0</v>
      </c>
      <c r="O14" s="15">
        <f t="shared" si="0"/>
        <v>12</v>
      </c>
      <c r="P14" s="15">
        <f t="shared" si="1"/>
        <v>14</v>
      </c>
      <c r="R14" s="1" t="s">
        <v>10</v>
      </c>
      <c r="S14" s="17">
        <f t="shared" ref="S14:AF14" si="6">SUM(C26:C29)</f>
        <v>7</v>
      </c>
      <c r="T14" s="17">
        <f t="shared" si="6"/>
        <v>5</v>
      </c>
      <c r="U14" s="17">
        <f t="shared" si="6"/>
        <v>5</v>
      </c>
      <c r="V14" s="17">
        <f t="shared" si="6"/>
        <v>30</v>
      </c>
      <c r="W14" s="17">
        <f t="shared" si="6"/>
        <v>1</v>
      </c>
      <c r="X14" s="17">
        <f t="shared" si="6"/>
        <v>0</v>
      </c>
      <c r="Y14" s="17">
        <f t="shared" si="6"/>
        <v>2</v>
      </c>
      <c r="Z14" s="17">
        <f t="shared" si="6"/>
        <v>6</v>
      </c>
      <c r="AA14" s="17">
        <f t="shared" si="6"/>
        <v>0</v>
      </c>
      <c r="AB14" s="17">
        <f t="shared" si="6"/>
        <v>0</v>
      </c>
      <c r="AC14" s="17">
        <f t="shared" si="6"/>
        <v>39</v>
      </c>
      <c r="AD14" s="17">
        <f t="shared" si="6"/>
        <v>0</v>
      </c>
      <c r="AE14" s="31">
        <f t="shared" si="6"/>
        <v>56</v>
      </c>
      <c r="AF14" s="31">
        <f t="shared" si="6"/>
        <v>95</v>
      </c>
    </row>
    <row r="15" spans="2:32" ht="23.1" customHeight="1" x14ac:dyDescent="0.25">
      <c r="B15" s="23" t="s">
        <v>42</v>
      </c>
      <c r="C15" s="50">
        <v>0</v>
      </c>
      <c r="D15" s="50">
        <v>0</v>
      </c>
      <c r="E15" s="50">
        <v>0</v>
      </c>
      <c r="F15" s="50">
        <v>3</v>
      </c>
      <c r="G15" s="50">
        <v>0</v>
      </c>
      <c r="H15" s="50">
        <v>0</v>
      </c>
      <c r="I15" s="50">
        <v>1</v>
      </c>
      <c r="J15" s="50">
        <v>1</v>
      </c>
      <c r="K15" s="50">
        <v>2</v>
      </c>
      <c r="L15" s="50">
        <v>0</v>
      </c>
      <c r="M15" s="50">
        <v>4</v>
      </c>
      <c r="N15" s="50">
        <v>0</v>
      </c>
      <c r="O15" s="15">
        <f t="shared" si="0"/>
        <v>7</v>
      </c>
      <c r="P15" s="15">
        <f t="shared" si="1"/>
        <v>11</v>
      </c>
      <c r="R15" s="1" t="s">
        <v>11</v>
      </c>
      <c r="S15" s="17">
        <f t="shared" ref="S15:AF15" si="7">SUM(C30:C33)</f>
        <v>13</v>
      </c>
      <c r="T15" s="17">
        <f t="shared" si="7"/>
        <v>5</v>
      </c>
      <c r="U15" s="17">
        <f t="shared" si="7"/>
        <v>5</v>
      </c>
      <c r="V15" s="17">
        <f t="shared" si="7"/>
        <v>30</v>
      </c>
      <c r="W15" s="17">
        <f t="shared" si="7"/>
        <v>0</v>
      </c>
      <c r="X15" s="17">
        <f t="shared" si="7"/>
        <v>2</v>
      </c>
      <c r="Y15" s="17">
        <f t="shared" si="7"/>
        <v>2</v>
      </c>
      <c r="Z15" s="17">
        <f t="shared" si="7"/>
        <v>7</v>
      </c>
      <c r="AA15" s="17">
        <f t="shared" si="7"/>
        <v>4</v>
      </c>
      <c r="AB15" s="17">
        <f t="shared" si="7"/>
        <v>1</v>
      </c>
      <c r="AC15" s="17">
        <f t="shared" si="7"/>
        <v>32</v>
      </c>
      <c r="AD15" s="17">
        <f t="shared" si="7"/>
        <v>0</v>
      </c>
      <c r="AE15" s="31">
        <f t="shared" si="7"/>
        <v>69</v>
      </c>
      <c r="AF15" s="31">
        <f t="shared" si="7"/>
        <v>101</v>
      </c>
    </row>
    <row r="16" spans="2:32" ht="23.1" customHeight="1" x14ac:dyDescent="0.25">
      <c r="B16" s="23" t="s">
        <v>43</v>
      </c>
      <c r="C16" s="50">
        <v>4</v>
      </c>
      <c r="D16" s="50">
        <v>1</v>
      </c>
      <c r="E16" s="50">
        <v>0</v>
      </c>
      <c r="F16" s="50">
        <v>4</v>
      </c>
      <c r="G16" s="50">
        <v>0</v>
      </c>
      <c r="H16" s="50">
        <v>0</v>
      </c>
      <c r="I16" s="50">
        <v>0</v>
      </c>
      <c r="J16" s="50">
        <v>0</v>
      </c>
      <c r="K16" s="50">
        <v>1</v>
      </c>
      <c r="L16" s="50">
        <v>0</v>
      </c>
      <c r="M16" s="50">
        <v>6</v>
      </c>
      <c r="N16" s="50">
        <v>0</v>
      </c>
      <c r="O16" s="15">
        <f t="shared" si="0"/>
        <v>10</v>
      </c>
      <c r="P16" s="15">
        <f t="shared" si="1"/>
        <v>16</v>
      </c>
      <c r="R16" s="1" t="s">
        <v>12</v>
      </c>
      <c r="S16" s="17">
        <f t="shared" ref="S16:AF16" si="8">SUM(C34:C37)</f>
        <v>7</v>
      </c>
      <c r="T16" s="17">
        <f t="shared" si="8"/>
        <v>8</v>
      </c>
      <c r="U16" s="17">
        <f t="shared" si="8"/>
        <v>7</v>
      </c>
      <c r="V16" s="17">
        <f t="shared" si="8"/>
        <v>40</v>
      </c>
      <c r="W16" s="17">
        <f t="shared" si="8"/>
        <v>2</v>
      </c>
      <c r="X16" s="17">
        <f t="shared" si="8"/>
        <v>1</v>
      </c>
      <c r="Y16" s="17">
        <f t="shared" si="8"/>
        <v>4</v>
      </c>
      <c r="Z16" s="17">
        <f t="shared" si="8"/>
        <v>3</v>
      </c>
      <c r="AA16" s="17">
        <f t="shared" si="8"/>
        <v>7</v>
      </c>
      <c r="AB16" s="17">
        <f t="shared" si="8"/>
        <v>1</v>
      </c>
      <c r="AC16" s="17">
        <f t="shared" si="8"/>
        <v>41</v>
      </c>
      <c r="AD16" s="17">
        <f t="shared" si="8"/>
        <v>1</v>
      </c>
      <c r="AE16" s="31">
        <f t="shared" si="8"/>
        <v>81</v>
      </c>
      <c r="AF16" s="31">
        <f t="shared" si="8"/>
        <v>122</v>
      </c>
    </row>
    <row r="17" spans="2:32" ht="23.1" customHeight="1" x14ac:dyDescent="0.25">
      <c r="B17" s="23" t="s">
        <v>44</v>
      </c>
      <c r="C17" s="50">
        <v>3</v>
      </c>
      <c r="D17" s="50">
        <v>0</v>
      </c>
      <c r="E17" s="50">
        <v>1</v>
      </c>
      <c r="F17" s="50">
        <v>6</v>
      </c>
      <c r="G17" s="50">
        <v>0</v>
      </c>
      <c r="H17" s="50">
        <v>0</v>
      </c>
      <c r="I17" s="50">
        <v>3</v>
      </c>
      <c r="J17" s="50">
        <v>1</v>
      </c>
      <c r="K17" s="50">
        <v>0</v>
      </c>
      <c r="L17" s="50">
        <v>0</v>
      </c>
      <c r="M17" s="50">
        <v>11</v>
      </c>
      <c r="N17" s="50">
        <v>0</v>
      </c>
      <c r="O17" s="15">
        <f t="shared" si="0"/>
        <v>14</v>
      </c>
      <c r="P17" s="15">
        <f t="shared" si="1"/>
        <v>25</v>
      </c>
      <c r="R17" s="1" t="s">
        <v>13</v>
      </c>
      <c r="S17" s="17">
        <f t="shared" ref="S17:AF17" si="9">SUM(C38:C41)</f>
        <v>8</v>
      </c>
      <c r="T17" s="17">
        <f t="shared" si="9"/>
        <v>4</v>
      </c>
      <c r="U17" s="17">
        <f t="shared" si="9"/>
        <v>3</v>
      </c>
      <c r="V17" s="17">
        <f t="shared" si="9"/>
        <v>31</v>
      </c>
      <c r="W17" s="17">
        <f t="shared" si="9"/>
        <v>1</v>
      </c>
      <c r="X17" s="17">
        <f t="shared" si="9"/>
        <v>1</v>
      </c>
      <c r="Y17" s="17">
        <f t="shared" si="9"/>
        <v>1</v>
      </c>
      <c r="Z17" s="17">
        <f t="shared" si="9"/>
        <v>5</v>
      </c>
      <c r="AA17" s="17">
        <f t="shared" si="9"/>
        <v>8</v>
      </c>
      <c r="AB17" s="17">
        <f t="shared" si="9"/>
        <v>1</v>
      </c>
      <c r="AC17" s="17">
        <f t="shared" si="9"/>
        <v>21</v>
      </c>
      <c r="AD17" s="17">
        <f t="shared" si="9"/>
        <v>0</v>
      </c>
      <c r="AE17" s="31">
        <f t="shared" si="9"/>
        <v>63</v>
      </c>
      <c r="AF17" s="31">
        <f t="shared" si="9"/>
        <v>84</v>
      </c>
    </row>
    <row r="18" spans="2:32" ht="23.1" customHeight="1" x14ac:dyDescent="0.25">
      <c r="B18" s="23" t="s">
        <v>45</v>
      </c>
      <c r="C18" s="50">
        <v>1</v>
      </c>
      <c r="D18" s="50">
        <v>0</v>
      </c>
      <c r="E18" s="50">
        <v>4</v>
      </c>
      <c r="F18" s="50">
        <v>6</v>
      </c>
      <c r="G18" s="50">
        <v>0</v>
      </c>
      <c r="H18" s="50">
        <v>0</v>
      </c>
      <c r="I18" s="50">
        <v>0</v>
      </c>
      <c r="J18" s="50">
        <v>2</v>
      </c>
      <c r="K18" s="50">
        <v>0</v>
      </c>
      <c r="L18" s="50">
        <v>0</v>
      </c>
      <c r="M18" s="50">
        <v>8</v>
      </c>
      <c r="N18" s="50">
        <v>0</v>
      </c>
      <c r="O18" s="15">
        <f t="shared" si="0"/>
        <v>13</v>
      </c>
      <c r="P18" s="15">
        <f t="shared" si="1"/>
        <v>21</v>
      </c>
      <c r="R18" s="1" t="s">
        <v>14</v>
      </c>
      <c r="S18" s="17">
        <f t="shared" ref="S18:AF18" si="10">SUM(C42:C45)</f>
        <v>11</v>
      </c>
      <c r="T18" s="17">
        <f t="shared" si="10"/>
        <v>5</v>
      </c>
      <c r="U18" s="17">
        <f t="shared" si="10"/>
        <v>12</v>
      </c>
      <c r="V18" s="17">
        <f t="shared" si="10"/>
        <v>29</v>
      </c>
      <c r="W18" s="17">
        <f t="shared" si="10"/>
        <v>0</v>
      </c>
      <c r="X18" s="17">
        <f t="shared" si="10"/>
        <v>2</v>
      </c>
      <c r="Y18" s="17">
        <f t="shared" si="10"/>
        <v>4</v>
      </c>
      <c r="Z18" s="17">
        <f t="shared" si="10"/>
        <v>12</v>
      </c>
      <c r="AA18" s="17">
        <f t="shared" si="10"/>
        <v>4</v>
      </c>
      <c r="AB18" s="17">
        <f t="shared" si="10"/>
        <v>1</v>
      </c>
      <c r="AC18" s="17">
        <f t="shared" si="10"/>
        <v>33</v>
      </c>
      <c r="AD18" s="17">
        <f t="shared" si="10"/>
        <v>0</v>
      </c>
      <c r="AE18" s="31">
        <f t="shared" si="10"/>
        <v>80</v>
      </c>
      <c r="AF18" s="31">
        <f t="shared" si="10"/>
        <v>113</v>
      </c>
    </row>
    <row r="19" spans="2:32" ht="23.1" customHeight="1" x14ac:dyDescent="0.25">
      <c r="B19" s="23" t="s">
        <v>46</v>
      </c>
      <c r="C19" s="50">
        <v>2</v>
      </c>
      <c r="D19" s="50">
        <v>0</v>
      </c>
      <c r="E19" s="50">
        <v>3</v>
      </c>
      <c r="F19" s="50">
        <v>4</v>
      </c>
      <c r="G19" s="50">
        <v>0</v>
      </c>
      <c r="H19" s="50">
        <v>0</v>
      </c>
      <c r="I19" s="50">
        <v>0</v>
      </c>
      <c r="J19" s="50">
        <v>0</v>
      </c>
      <c r="K19" s="50">
        <v>1</v>
      </c>
      <c r="L19" s="50">
        <v>0</v>
      </c>
      <c r="M19" s="50">
        <v>5</v>
      </c>
      <c r="N19" s="50">
        <v>0</v>
      </c>
      <c r="O19" s="15">
        <f t="shared" si="0"/>
        <v>10</v>
      </c>
      <c r="P19" s="15">
        <f t="shared" si="1"/>
        <v>15</v>
      </c>
      <c r="R19" s="1" t="s">
        <v>15</v>
      </c>
      <c r="S19" s="17">
        <f t="shared" ref="S19:AF19" si="11">SUM(C46:C49)</f>
        <v>17</v>
      </c>
      <c r="T19" s="17">
        <f t="shared" si="11"/>
        <v>4</v>
      </c>
      <c r="U19" s="17">
        <f t="shared" si="11"/>
        <v>9</v>
      </c>
      <c r="V19" s="17">
        <f t="shared" si="11"/>
        <v>26</v>
      </c>
      <c r="W19" s="17">
        <f t="shared" si="11"/>
        <v>0</v>
      </c>
      <c r="X19" s="17">
        <f t="shared" si="11"/>
        <v>2</v>
      </c>
      <c r="Y19" s="17">
        <f t="shared" si="11"/>
        <v>6</v>
      </c>
      <c r="Z19" s="17">
        <f t="shared" si="11"/>
        <v>6</v>
      </c>
      <c r="AA19" s="17">
        <f t="shared" si="11"/>
        <v>3</v>
      </c>
      <c r="AB19" s="17">
        <f t="shared" si="11"/>
        <v>0</v>
      </c>
      <c r="AC19" s="17">
        <f t="shared" si="11"/>
        <v>39</v>
      </c>
      <c r="AD19" s="17">
        <f t="shared" si="11"/>
        <v>0</v>
      </c>
      <c r="AE19" s="31">
        <f t="shared" si="11"/>
        <v>73</v>
      </c>
      <c r="AF19" s="31">
        <f t="shared" si="11"/>
        <v>112</v>
      </c>
    </row>
    <row r="20" spans="2:32" ht="23.1" customHeight="1" x14ac:dyDescent="0.25">
      <c r="B20" s="23" t="s">
        <v>47</v>
      </c>
      <c r="C20" s="50">
        <v>1</v>
      </c>
      <c r="D20" s="50">
        <v>3</v>
      </c>
      <c r="E20" s="50">
        <v>2</v>
      </c>
      <c r="F20" s="50">
        <v>8</v>
      </c>
      <c r="G20" s="50">
        <v>0</v>
      </c>
      <c r="H20" s="50">
        <v>0</v>
      </c>
      <c r="I20" s="50">
        <v>2</v>
      </c>
      <c r="J20" s="50">
        <v>0</v>
      </c>
      <c r="K20" s="50">
        <v>0</v>
      </c>
      <c r="L20" s="50">
        <v>0</v>
      </c>
      <c r="M20" s="50">
        <v>8</v>
      </c>
      <c r="N20" s="50">
        <v>1</v>
      </c>
      <c r="O20" s="15">
        <f t="shared" si="0"/>
        <v>17</v>
      </c>
      <c r="P20" s="15">
        <f t="shared" si="1"/>
        <v>25</v>
      </c>
      <c r="R20" s="1" t="s">
        <v>16</v>
      </c>
      <c r="S20" s="17">
        <f t="shared" ref="S20:AF20" si="12">SUM(C50:C53)</f>
        <v>27</v>
      </c>
      <c r="T20" s="17">
        <f t="shared" si="12"/>
        <v>6</v>
      </c>
      <c r="U20" s="17">
        <f t="shared" si="12"/>
        <v>16</v>
      </c>
      <c r="V20" s="17">
        <f t="shared" si="12"/>
        <v>35</v>
      </c>
      <c r="W20" s="17">
        <f t="shared" si="12"/>
        <v>1</v>
      </c>
      <c r="X20" s="17">
        <f t="shared" si="12"/>
        <v>1</v>
      </c>
      <c r="Y20" s="17">
        <f t="shared" si="12"/>
        <v>4</v>
      </c>
      <c r="Z20" s="17">
        <f t="shared" si="12"/>
        <v>4</v>
      </c>
      <c r="AA20" s="17">
        <f t="shared" si="12"/>
        <v>5</v>
      </c>
      <c r="AB20" s="17">
        <f t="shared" si="12"/>
        <v>0</v>
      </c>
      <c r="AC20" s="17">
        <f t="shared" si="12"/>
        <v>55</v>
      </c>
      <c r="AD20" s="17">
        <f t="shared" si="12"/>
        <v>0</v>
      </c>
      <c r="AE20" s="31">
        <f t="shared" si="12"/>
        <v>99</v>
      </c>
      <c r="AF20" s="31">
        <f t="shared" si="12"/>
        <v>154</v>
      </c>
    </row>
    <row r="21" spans="2:32" ht="23.1" customHeight="1" x14ac:dyDescent="0.25">
      <c r="B21" s="23" t="s">
        <v>48</v>
      </c>
      <c r="C21" s="50">
        <v>2</v>
      </c>
      <c r="D21" s="50">
        <v>0</v>
      </c>
      <c r="E21" s="50">
        <v>0</v>
      </c>
      <c r="F21" s="50">
        <v>11</v>
      </c>
      <c r="G21" s="50">
        <v>0</v>
      </c>
      <c r="H21" s="50">
        <v>2</v>
      </c>
      <c r="I21" s="50">
        <v>0</v>
      </c>
      <c r="J21" s="50">
        <v>1</v>
      </c>
      <c r="K21" s="50">
        <v>2</v>
      </c>
      <c r="L21" s="50">
        <v>0</v>
      </c>
      <c r="M21" s="50">
        <v>6</v>
      </c>
      <c r="N21" s="50">
        <v>1</v>
      </c>
      <c r="O21" s="15">
        <f t="shared" si="0"/>
        <v>19</v>
      </c>
      <c r="P21" s="15">
        <f t="shared" si="1"/>
        <v>25</v>
      </c>
      <c r="R21" s="36" t="s">
        <v>20</v>
      </c>
      <c r="S21" s="34">
        <f t="shared" ref="S21:AF21" si="13">SUM(C54:C57)</f>
        <v>25</v>
      </c>
      <c r="T21" s="17">
        <f t="shared" si="13"/>
        <v>8</v>
      </c>
      <c r="U21" s="17">
        <f t="shared" si="13"/>
        <v>14</v>
      </c>
      <c r="V21" s="17">
        <f t="shared" si="13"/>
        <v>27</v>
      </c>
      <c r="W21" s="17">
        <f t="shared" si="13"/>
        <v>13</v>
      </c>
      <c r="X21" s="17">
        <f t="shared" si="13"/>
        <v>1</v>
      </c>
      <c r="Y21" s="17">
        <f t="shared" si="13"/>
        <v>3</v>
      </c>
      <c r="Z21" s="17">
        <f t="shared" si="13"/>
        <v>2</v>
      </c>
      <c r="AA21" s="17">
        <f t="shared" si="13"/>
        <v>5</v>
      </c>
      <c r="AB21" s="17">
        <f t="shared" si="13"/>
        <v>0</v>
      </c>
      <c r="AC21" s="17">
        <f t="shared" si="13"/>
        <v>37</v>
      </c>
      <c r="AD21" s="17">
        <f t="shared" si="13"/>
        <v>0</v>
      </c>
      <c r="AE21" s="31">
        <f t="shared" si="13"/>
        <v>98</v>
      </c>
      <c r="AF21" s="31">
        <f t="shared" si="13"/>
        <v>135</v>
      </c>
    </row>
    <row r="22" spans="2:32" ht="23.1" customHeight="1" x14ac:dyDescent="0.25">
      <c r="B22" s="23" t="s">
        <v>49</v>
      </c>
      <c r="C22" s="50">
        <v>0</v>
      </c>
      <c r="D22" s="50">
        <v>0</v>
      </c>
      <c r="E22" s="50">
        <v>1</v>
      </c>
      <c r="F22" s="50">
        <v>7</v>
      </c>
      <c r="G22" s="50">
        <v>1</v>
      </c>
      <c r="H22" s="50">
        <v>0</v>
      </c>
      <c r="I22" s="50">
        <v>1</v>
      </c>
      <c r="J22" s="50">
        <v>0</v>
      </c>
      <c r="K22" s="50">
        <v>0</v>
      </c>
      <c r="L22" s="50">
        <v>0</v>
      </c>
      <c r="M22" s="50">
        <v>7</v>
      </c>
      <c r="N22" s="50">
        <v>0</v>
      </c>
      <c r="O22" s="15">
        <f t="shared" si="0"/>
        <v>10</v>
      </c>
      <c r="P22" s="15">
        <f t="shared" si="1"/>
        <v>17</v>
      </c>
      <c r="R22" s="38" t="s">
        <v>90</v>
      </c>
      <c r="S22" s="39">
        <f>MAX(S10:S12)</f>
        <v>7</v>
      </c>
      <c r="T22" s="39">
        <f t="shared" ref="T22:AF22" si="14">MAX(T10:T12)</f>
        <v>3</v>
      </c>
      <c r="U22" s="39">
        <f t="shared" si="14"/>
        <v>9</v>
      </c>
      <c r="V22" s="39">
        <f t="shared" si="14"/>
        <v>29</v>
      </c>
      <c r="W22" s="39">
        <f t="shared" si="14"/>
        <v>2</v>
      </c>
      <c r="X22" s="39">
        <f t="shared" si="14"/>
        <v>2</v>
      </c>
      <c r="Y22" s="39">
        <f t="shared" si="14"/>
        <v>4</v>
      </c>
      <c r="Z22" s="39">
        <f t="shared" si="14"/>
        <v>3</v>
      </c>
      <c r="AA22" s="39">
        <f t="shared" si="14"/>
        <v>3</v>
      </c>
      <c r="AB22" s="39">
        <f t="shared" si="14"/>
        <v>0</v>
      </c>
      <c r="AC22" s="39">
        <f t="shared" si="14"/>
        <v>36</v>
      </c>
      <c r="AD22" s="39">
        <f t="shared" si="14"/>
        <v>2</v>
      </c>
      <c r="AE22" s="40">
        <f t="shared" si="14"/>
        <v>59</v>
      </c>
      <c r="AF22" s="40">
        <f t="shared" si="14"/>
        <v>86</v>
      </c>
    </row>
    <row r="23" spans="2:32" ht="23.1" customHeight="1" x14ac:dyDescent="0.25">
      <c r="B23" s="23" t="s">
        <v>50</v>
      </c>
      <c r="C23" s="50">
        <v>4</v>
      </c>
      <c r="D23" s="50">
        <v>1</v>
      </c>
      <c r="E23" s="50">
        <v>1</v>
      </c>
      <c r="F23" s="50">
        <v>10</v>
      </c>
      <c r="G23" s="50">
        <v>0</v>
      </c>
      <c r="H23" s="50">
        <v>0</v>
      </c>
      <c r="I23" s="50">
        <v>0</v>
      </c>
      <c r="J23" s="50">
        <v>3</v>
      </c>
      <c r="K23" s="50">
        <v>2</v>
      </c>
      <c r="L23" s="50">
        <v>0</v>
      </c>
      <c r="M23" s="50">
        <v>4</v>
      </c>
      <c r="N23" s="50">
        <v>0</v>
      </c>
      <c r="O23" s="15">
        <f t="shared" si="0"/>
        <v>21</v>
      </c>
      <c r="P23" s="15">
        <f t="shared" si="1"/>
        <v>25</v>
      </c>
      <c r="R23" s="38" t="s">
        <v>91</v>
      </c>
      <c r="S23" s="39">
        <f>MAX(S13:S18)</f>
        <v>13</v>
      </c>
      <c r="T23" s="39">
        <f t="shared" ref="T23:AF23" si="15">MAX(T13:T18)</f>
        <v>8</v>
      </c>
      <c r="U23" s="39">
        <f t="shared" si="15"/>
        <v>12</v>
      </c>
      <c r="V23" s="39">
        <f t="shared" si="15"/>
        <v>40</v>
      </c>
      <c r="W23" s="39">
        <f t="shared" si="15"/>
        <v>2</v>
      </c>
      <c r="X23" s="39">
        <f t="shared" si="15"/>
        <v>2</v>
      </c>
      <c r="Y23" s="39">
        <f t="shared" si="15"/>
        <v>4</v>
      </c>
      <c r="Z23" s="39">
        <f t="shared" si="15"/>
        <v>12</v>
      </c>
      <c r="AA23" s="39">
        <f t="shared" si="15"/>
        <v>8</v>
      </c>
      <c r="AB23" s="39">
        <f t="shared" si="15"/>
        <v>1</v>
      </c>
      <c r="AC23" s="39">
        <f t="shared" si="15"/>
        <v>41</v>
      </c>
      <c r="AD23" s="39">
        <f t="shared" si="15"/>
        <v>1</v>
      </c>
      <c r="AE23" s="40">
        <f t="shared" si="15"/>
        <v>81</v>
      </c>
      <c r="AF23" s="40">
        <f t="shared" si="15"/>
        <v>122</v>
      </c>
    </row>
    <row r="24" spans="2:32" ht="23.1" customHeight="1" x14ac:dyDescent="0.25">
      <c r="B24" s="23" t="s">
        <v>51</v>
      </c>
      <c r="C24" s="50">
        <v>2</v>
      </c>
      <c r="D24" s="50">
        <v>1</v>
      </c>
      <c r="E24" s="50">
        <v>0</v>
      </c>
      <c r="F24" s="50">
        <v>6</v>
      </c>
      <c r="G24" s="50">
        <v>0</v>
      </c>
      <c r="H24" s="50">
        <v>0</v>
      </c>
      <c r="I24" s="50">
        <v>0</v>
      </c>
      <c r="J24" s="50">
        <v>1</v>
      </c>
      <c r="K24" s="50">
        <v>0</v>
      </c>
      <c r="L24" s="50">
        <v>0</v>
      </c>
      <c r="M24" s="50">
        <v>7</v>
      </c>
      <c r="N24" s="50">
        <v>0</v>
      </c>
      <c r="O24" s="15">
        <f t="shared" si="0"/>
        <v>10</v>
      </c>
      <c r="P24" s="15">
        <f t="shared" si="1"/>
        <v>17</v>
      </c>
      <c r="R24" s="38" t="s">
        <v>92</v>
      </c>
      <c r="S24" s="39">
        <f>MAX(S19:S21)</f>
        <v>27</v>
      </c>
      <c r="T24" s="39">
        <f t="shared" ref="T24:AF24" si="16">MAX(T19:T21)</f>
        <v>8</v>
      </c>
      <c r="U24" s="39">
        <f t="shared" si="16"/>
        <v>16</v>
      </c>
      <c r="V24" s="39">
        <f t="shared" si="16"/>
        <v>35</v>
      </c>
      <c r="W24" s="39">
        <f t="shared" si="16"/>
        <v>13</v>
      </c>
      <c r="X24" s="39">
        <f t="shared" si="16"/>
        <v>2</v>
      </c>
      <c r="Y24" s="39">
        <f t="shared" si="16"/>
        <v>6</v>
      </c>
      <c r="Z24" s="39">
        <f t="shared" si="16"/>
        <v>6</v>
      </c>
      <c r="AA24" s="39">
        <f t="shared" si="16"/>
        <v>5</v>
      </c>
      <c r="AB24" s="39">
        <f t="shared" si="16"/>
        <v>0</v>
      </c>
      <c r="AC24" s="39">
        <f t="shared" si="16"/>
        <v>55</v>
      </c>
      <c r="AD24" s="39">
        <f t="shared" si="16"/>
        <v>0</v>
      </c>
      <c r="AE24" s="40">
        <f t="shared" si="16"/>
        <v>99</v>
      </c>
      <c r="AF24" s="40">
        <f t="shared" si="16"/>
        <v>154</v>
      </c>
    </row>
    <row r="25" spans="2:32" ht="23.1" customHeight="1" x14ac:dyDescent="0.25">
      <c r="B25" s="23" t="s">
        <v>52</v>
      </c>
      <c r="C25" s="50">
        <v>4</v>
      </c>
      <c r="D25" s="50">
        <v>1</v>
      </c>
      <c r="E25" s="50">
        <v>0</v>
      </c>
      <c r="F25" s="50">
        <v>10</v>
      </c>
      <c r="G25" s="50">
        <v>0</v>
      </c>
      <c r="H25" s="50">
        <v>0</v>
      </c>
      <c r="I25" s="50">
        <v>1</v>
      </c>
      <c r="J25" s="50">
        <v>1</v>
      </c>
      <c r="K25" s="50">
        <v>2</v>
      </c>
      <c r="L25" s="50">
        <v>0</v>
      </c>
      <c r="M25" s="50">
        <v>13</v>
      </c>
      <c r="N25" s="50">
        <v>0</v>
      </c>
      <c r="O25" s="15">
        <f t="shared" si="0"/>
        <v>19</v>
      </c>
      <c r="P25" s="15">
        <f t="shared" si="1"/>
        <v>32</v>
      </c>
      <c r="R25" s="37" t="s">
        <v>85</v>
      </c>
      <c r="S25" s="35">
        <f t="shared" ref="S25:AF25" si="17">SUM(S10:S12)</f>
        <v>18</v>
      </c>
      <c r="T25" s="16">
        <f t="shared" si="17"/>
        <v>5</v>
      </c>
      <c r="U25" s="16">
        <f t="shared" si="17"/>
        <v>18</v>
      </c>
      <c r="V25" s="16">
        <f t="shared" si="17"/>
        <v>78</v>
      </c>
      <c r="W25" s="16">
        <f t="shared" si="17"/>
        <v>2</v>
      </c>
      <c r="X25" s="16">
        <f t="shared" si="17"/>
        <v>3</v>
      </c>
      <c r="Y25" s="16">
        <f t="shared" si="17"/>
        <v>7</v>
      </c>
      <c r="Z25" s="16">
        <f t="shared" si="17"/>
        <v>7</v>
      </c>
      <c r="AA25" s="16">
        <f t="shared" si="17"/>
        <v>8</v>
      </c>
      <c r="AB25" s="16">
        <f t="shared" si="17"/>
        <v>0</v>
      </c>
      <c r="AC25" s="16">
        <f t="shared" si="17"/>
        <v>86</v>
      </c>
      <c r="AD25" s="16">
        <f t="shared" si="17"/>
        <v>3</v>
      </c>
      <c r="AE25" s="32">
        <f t="shared" si="17"/>
        <v>149</v>
      </c>
      <c r="AF25" s="32">
        <f t="shared" si="17"/>
        <v>235</v>
      </c>
    </row>
    <row r="26" spans="2:32" ht="23.1" customHeight="1" x14ac:dyDescent="0.25">
      <c r="B26" s="23" t="s">
        <v>53</v>
      </c>
      <c r="C26" s="50">
        <v>1</v>
      </c>
      <c r="D26" s="50">
        <v>1</v>
      </c>
      <c r="E26" s="50">
        <v>0</v>
      </c>
      <c r="F26" s="50">
        <v>8</v>
      </c>
      <c r="G26" s="50">
        <v>0</v>
      </c>
      <c r="H26" s="50">
        <v>0</v>
      </c>
      <c r="I26" s="50">
        <v>1</v>
      </c>
      <c r="J26" s="50">
        <v>0</v>
      </c>
      <c r="K26" s="50">
        <v>0</v>
      </c>
      <c r="L26" s="50">
        <v>0</v>
      </c>
      <c r="M26" s="50">
        <v>5</v>
      </c>
      <c r="N26" s="50">
        <v>0</v>
      </c>
      <c r="O26" s="15">
        <f t="shared" si="0"/>
        <v>11</v>
      </c>
      <c r="P26" s="15">
        <f t="shared" si="1"/>
        <v>16</v>
      </c>
      <c r="R26" s="28" t="s">
        <v>86</v>
      </c>
      <c r="S26" s="16">
        <f t="shared" ref="S26:AF26" si="18">SUM(S13:S18)</f>
        <v>56</v>
      </c>
      <c r="T26" s="16">
        <f t="shared" si="18"/>
        <v>30</v>
      </c>
      <c r="U26" s="16">
        <f t="shared" si="18"/>
        <v>34</v>
      </c>
      <c r="V26" s="16">
        <f t="shared" si="18"/>
        <v>193</v>
      </c>
      <c r="W26" s="16">
        <f t="shared" si="18"/>
        <v>5</v>
      </c>
      <c r="X26" s="16">
        <f t="shared" si="18"/>
        <v>6</v>
      </c>
      <c r="Y26" s="16">
        <f t="shared" si="18"/>
        <v>15</v>
      </c>
      <c r="Z26" s="16">
        <f t="shared" si="18"/>
        <v>38</v>
      </c>
      <c r="AA26" s="16">
        <f t="shared" si="18"/>
        <v>27</v>
      </c>
      <c r="AB26" s="16">
        <f t="shared" si="18"/>
        <v>4</v>
      </c>
      <c r="AC26" s="16">
        <f t="shared" si="18"/>
        <v>197</v>
      </c>
      <c r="AD26" s="16">
        <f t="shared" si="18"/>
        <v>1</v>
      </c>
      <c r="AE26" s="32">
        <f t="shared" si="18"/>
        <v>409</v>
      </c>
      <c r="AF26" s="32">
        <f t="shared" si="18"/>
        <v>606</v>
      </c>
    </row>
    <row r="27" spans="2:32" ht="23.1" customHeight="1" x14ac:dyDescent="0.25">
      <c r="B27" s="23" t="s">
        <v>54</v>
      </c>
      <c r="C27" s="50">
        <v>1</v>
      </c>
      <c r="D27" s="50">
        <v>3</v>
      </c>
      <c r="E27" s="50">
        <v>1</v>
      </c>
      <c r="F27" s="50">
        <v>7</v>
      </c>
      <c r="G27" s="50">
        <v>0</v>
      </c>
      <c r="H27" s="50">
        <v>0</v>
      </c>
      <c r="I27" s="50">
        <v>0</v>
      </c>
      <c r="J27" s="50">
        <v>1</v>
      </c>
      <c r="K27" s="50">
        <v>0</v>
      </c>
      <c r="L27" s="50">
        <v>0</v>
      </c>
      <c r="M27" s="50">
        <v>11</v>
      </c>
      <c r="N27" s="50">
        <v>0</v>
      </c>
      <c r="O27" s="15">
        <f t="shared" si="0"/>
        <v>13</v>
      </c>
      <c r="P27" s="15">
        <f t="shared" si="1"/>
        <v>24</v>
      </c>
      <c r="R27" s="29" t="s">
        <v>87</v>
      </c>
      <c r="S27" s="16">
        <f t="shared" ref="S27:AF27" si="19">SUM(S19:S21)</f>
        <v>69</v>
      </c>
      <c r="T27" s="16">
        <f t="shared" si="19"/>
        <v>18</v>
      </c>
      <c r="U27" s="16">
        <f t="shared" si="19"/>
        <v>39</v>
      </c>
      <c r="V27" s="16">
        <f t="shared" si="19"/>
        <v>88</v>
      </c>
      <c r="W27" s="16">
        <f t="shared" si="19"/>
        <v>14</v>
      </c>
      <c r="X27" s="16">
        <f t="shared" si="19"/>
        <v>4</v>
      </c>
      <c r="Y27" s="16">
        <f t="shared" si="19"/>
        <v>13</v>
      </c>
      <c r="Z27" s="16">
        <f t="shared" si="19"/>
        <v>12</v>
      </c>
      <c r="AA27" s="16">
        <f t="shared" si="19"/>
        <v>13</v>
      </c>
      <c r="AB27" s="16">
        <f t="shared" si="19"/>
        <v>0</v>
      </c>
      <c r="AC27" s="16">
        <f t="shared" si="19"/>
        <v>131</v>
      </c>
      <c r="AD27" s="16">
        <f t="shared" si="19"/>
        <v>0</v>
      </c>
      <c r="AE27" s="32">
        <f t="shared" si="19"/>
        <v>270</v>
      </c>
      <c r="AF27" s="32">
        <f t="shared" si="19"/>
        <v>401</v>
      </c>
    </row>
    <row r="28" spans="2:32" ht="23.1" customHeight="1" x14ac:dyDescent="0.25">
      <c r="B28" s="23" t="s">
        <v>55</v>
      </c>
      <c r="C28" s="50">
        <v>4</v>
      </c>
      <c r="D28" s="50">
        <v>1</v>
      </c>
      <c r="E28" s="50">
        <v>1</v>
      </c>
      <c r="F28" s="50">
        <v>9</v>
      </c>
      <c r="G28" s="50">
        <v>0</v>
      </c>
      <c r="H28" s="50">
        <v>0</v>
      </c>
      <c r="I28" s="50">
        <v>1</v>
      </c>
      <c r="J28" s="50">
        <v>2</v>
      </c>
      <c r="K28" s="50">
        <v>0</v>
      </c>
      <c r="L28" s="50">
        <v>0</v>
      </c>
      <c r="M28" s="50">
        <v>7</v>
      </c>
      <c r="N28" s="50">
        <v>0</v>
      </c>
      <c r="O28" s="15">
        <f t="shared" si="0"/>
        <v>18</v>
      </c>
      <c r="P28" s="15">
        <f t="shared" si="1"/>
        <v>25</v>
      </c>
      <c r="R28" s="5" t="s">
        <v>17</v>
      </c>
      <c r="S28" s="16">
        <f t="shared" ref="S28:AF28" si="20">SUM(S10:S21)</f>
        <v>143</v>
      </c>
      <c r="T28" s="16">
        <f t="shared" si="20"/>
        <v>53</v>
      </c>
      <c r="U28" s="16">
        <f t="shared" si="20"/>
        <v>91</v>
      </c>
      <c r="V28" s="16">
        <f t="shared" si="20"/>
        <v>359</v>
      </c>
      <c r="W28" s="16">
        <f t="shared" si="20"/>
        <v>21</v>
      </c>
      <c r="X28" s="16">
        <f t="shared" si="20"/>
        <v>13</v>
      </c>
      <c r="Y28" s="16">
        <f t="shared" si="20"/>
        <v>35</v>
      </c>
      <c r="Z28" s="16">
        <f t="shared" si="20"/>
        <v>57</v>
      </c>
      <c r="AA28" s="16">
        <f t="shared" si="20"/>
        <v>48</v>
      </c>
      <c r="AB28" s="16">
        <f t="shared" si="20"/>
        <v>4</v>
      </c>
      <c r="AC28" s="16">
        <f t="shared" si="20"/>
        <v>414</v>
      </c>
      <c r="AD28" s="16">
        <f t="shared" si="20"/>
        <v>4</v>
      </c>
      <c r="AE28" s="32">
        <f t="shared" si="20"/>
        <v>828</v>
      </c>
      <c r="AF28" s="32">
        <f t="shared" si="20"/>
        <v>1242</v>
      </c>
    </row>
    <row r="29" spans="2:32" ht="23.1" customHeight="1" x14ac:dyDescent="0.25">
      <c r="B29" s="23" t="s">
        <v>56</v>
      </c>
      <c r="C29" s="50">
        <v>1</v>
      </c>
      <c r="D29" s="50">
        <v>0</v>
      </c>
      <c r="E29" s="50">
        <v>3</v>
      </c>
      <c r="F29" s="50">
        <v>6</v>
      </c>
      <c r="G29" s="50">
        <v>1</v>
      </c>
      <c r="H29" s="50">
        <v>0</v>
      </c>
      <c r="I29" s="50">
        <v>0</v>
      </c>
      <c r="J29" s="50">
        <v>3</v>
      </c>
      <c r="K29" s="50">
        <v>0</v>
      </c>
      <c r="L29" s="50">
        <v>0</v>
      </c>
      <c r="M29" s="50">
        <v>16</v>
      </c>
      <c r="N29" s="50">
        <v>0</v>
      </c>
      <c r="O29" s="15">
        <f t="shared" si="0"/>
        <v>14</v>
      </c>
      <c r="P29" s="15">
        <f t="shared" si="1"/>
        <v>30</v>
      </c>
      <c r="R29"/>
      <c r="S29" s="20"/>
      <c r="T29" s="19"/>
    </row>
    <row r="30" spans="2:32" ht="23.1" customHeight="1" x14ac:dyDescent="0.25">
      <c r="B30" s="23" t="s">
        <v>57</v>
      </c>
      <c r="C30" s="50">
        <v>2</v>
      </c>
      <c r="D30" s="50">
        <v>1</v>
      </c>
      <c r="E30" s="50">
        <v>1</v>
      </c>
      <c r="F30" s="50">
        <v>8</v>
      </c>
      <c r="G30" s="50">
        <v>0</v>
      </c>
      <c r="H30" s="50">
        <v>0</v>
      </c>
      <c r="I30" s="50">
        <v>1</v>
      </c>
      <c r="J30" s="50">
        <v>1</v>
      </c>
      <c r="K30" s="50">
        <v>0</v>
      </c>
      <c r="L30" s="50">
        <v>0</v>
      </c>
      <c r="M30" s="50">
        <v>11</v>
      </c>
      <c r="N30" s="50">
        <v>0</v>
      </c>
      <c r="O30" s="15">
        <f t="shared" si="0"/>
        <v>14</v>
      </c>
      <c r="P30" s="15">
        <f t="shared" si="1"/>
        <v>25</v>
      </c>
    </row>
    <row r="31" spans="2:32" ht="23.1" customHeight="1" x14ac:dyDescent="0.25">
      <c r="B31" s="24" t="s">
        <v>58</v>
      </c>
      <c r="C31" s="50">
        <v>1</v>
      </c>
      <c r="D31" s="50">
        <v>2</v>
      </c>
      <c r="E31" s="50">
        <v>1</v>
      </c>
      <c r="F31" s="50">
        <v>6</v>
      </c>
      <c r="G31" s="50">
        <v>0</v>
      </c>
      <c r="H31" s="50">
        <v>1</v>
      </c>
      <c r="I31" s="50">
        <v>1</v>
      </c>
      <c r="J31" s="50">
        <v>4</v>
      </c>
      <c r="K31" s="50">
        <v>1</v>
      </c>
      <c r="L31" s="50">
        <v>0</v>
      </c>
      <c r="M31" s="50">
        <v>10</v>
      </c>
      <c r="N31" s="50">
        <v>0</v>
      </c>
      <c r="O31" s="15">
        <f t="shared" si="0"/>
        <v>17</v>
      </c>
      <c r="P31" s="15">
        <f t="shared" si="1"/>
        <v>27</v>
      </c>
    </row>
    <row r="32" spans="2:32" ht="23.1" customHeight="1" x14ac:dyDescent="0.25">
      <c r="B32" s="24" t="s">
        <v>59</v>
      </c>
      <c r="C32" s="50">
        <v>5</v>
      </c>
      <c r="D32" s="50">
        <v>2</v>
      </c>
      <c r="E32" s="50">
        <v>3</v>
      </c>
      <c r="F32" s="50">
        <v>10</v>
      </c>
      <c r="G32" s="50">
        <v>0</v>
      </c>
      <c r="H32" s="50">
        <v>1</v>
      </c>
      <c r="I32" s="50">
        <v>0</v>
      </c>
      <c r="J32" s="50">
        <v>1</v>
      </c>
      <c r="K32" s="50">
        <v>3</v>
      </c>
      <c r="L32" s="50">
        <v>1</v>
      </c>
      <c r="M32" s="50">
        <v>5</v>
      </c>
      <c r="N32" s="50">
        <v>0</v>
      </c>
      <c r="O32" s="15">
        <f t="shared" si="0"/>
        <v>26</v>
      </c>
      <c r="P32" s="15">
        <f t="shared" si="1"/>
        <v>31</v>
      </c>
    </row>
    <row r="33" spans="2:20" ht="23.1" customHeight="1" x14ac:dyDescent="0.25">
      <c r="B33" s="23" t="s">
        <v>60</v>
      </c>
      <c r="C33" s="50">
        <v>5</v>
      </c>
      <c r="D33" s="50">
        <v>0</v>
      </c>
      <c r="E33" s="50">
        <v>0</v>
      </c>
      <c r="F33" s="50">
        <v>6</v>
      </c>
      <c r="G33" s="50">
        <v>0</v>
      </c>
      <c r="H33" s="50">
        <v>0</v>
      </c>
      <c r="I33" s="50">
        <v>0</v>
      </c>
      <c r="J33" s="50">
        <v>1</v>
      </c>
      <c r="K33" s="50">
        <v>0</v>
      </c>
      <c r="L33" s="50">
        <v>0</v>
      </c>
      <c r="M33" s="50">
        <v>6</v>
      </c>
      <c r="N33" s="50">
        <v>0</v>
      </c>
      <c r="O33" s="15">
        <f t="shared" si="0"/>
        <v>12</v>
      </c>
      <c r="P33" s="15">
        <f t="shared" si="1"/>
        <v>18</v>
      </c>
    </row>
    <row r="34" spans="2:20" ht="23.1" customHeight="1" x14ac:dyDescent="0.25">
      <c r="B34" s="24" t="s">
        <v>61</v>
      </c>
      <c r="C34" s="50">
        <v>4</v>
      </c>
      <c r="D34" s="50">
        <v>5</v>
      </c>
      <c r="E34" s="50">
        <v>5</v>
      </c>
      <c r="F34" s="50">
        <v>16</v>
      </c>
      <c r="G34" s="50">
        <v>2</v>
      </c>
      <c r="H34" s="50">
        <v>0</v>
      </c>
      <c r="I34" s="50">
        <v>3</v>
      </c>
      <c r="J34" s="50">
        <v>2</v>
      </c>
      <c r="K34" s="50">
        <v>3</v>
      </c>
      <c r="L34" s="50">
        <v>0</v>
      </c>
      <c r="M34" s="50">
        <v>14</v>
      </c>
      <c r="N34" s="50">
        <v>0</v>
      </c>
      <c r="O34" s="15">
        <f t="shared" si="0"/>
        <v>40</v>
      </c>
      <c r="P34" s="15">
        <f t="shared" si="1"/>
        <v>54</v>
      </c>
    </row>
    <row r="35" spans="2:20" ht="23.1" customHeight="1" x14ac:dyDescent="0.25">
      <c r="B35" s="24" t="s">
        <v>62</v>
      </c>
      <c r="C35" s="50">
        <v>2</v>
      </c>
      <c r="D35" s="50">
        <v>2</v>
      </c>
      <c r="E35" s="50">
        <v>0</v>
      </c>
      <c r="F35" s="50">
        <v>10</v>
      </c>
      <c r="G35" s="50">
        <v>0</v>
      </c>
      <c r="H35" s="50">
        <v>0</v>
      </c>
      <c r="I35" s="50">
        <v>0</v>
      </c>
      <c r="J35" s="50">
        <v>1</v>
      </c>
      <c r="K35" s="50">
        <v>2</v>
      </c>
      <c r="L35" s="50">
        <v>1</v>
      </c>
      <c r="M35" s="50">
        <v>7</v>
      </c>
      <c r="N35" s="50">
        <v>1</v>
      </c>
      <c r="O35" s="15">
        <f t="shared" si="0"/>
        <v>19</v>
      </c>
      <c r="P35" s="15">
        <f t="shared" si="1"/>
        <v>26</v>
      </c>
    </row>
    <row r="36" spans="2:20" ht="23.1" customHeight="1" x14ac:dyDescent="0.25">
      <c r="B36" s="24" t="s">
        <v>63</v>
      </c>
      <c r="C36" s="50">
        <v>1</v>
      </c>
      <c r="D36" s="50">
        <v>0</v>
      </c>
      <c r="E36" s="50">
        <v>2</v>
      </c>
      <c r="F36" s="50">
        <v>2</v>
      </c>
      <c r="G36" s="50">
        <v>0</v>
      </c>
      <c r="H36" s="50">
        <v>0</v>
      </c>
      <c r="I36" s="50">
        <v>1</v>
      </c>
      <c r="J36" s="50">
        <v>0</v>
      </c>
      <c r="K36" s="50">
        <v>0</v>
      </c>
      <c r="L36" s="50">
        <v>0</v>
      </c>
      <c r="M36" s="50">
        <v>4</v>
      </c>
      <c r="N36" s="50">
        <v>0</v>
      </c>
      <c r="O36" s="15">
        <f t="shared" si="0"/>
        <v>6</v>
      </c>
      <c r="P36" s="15">
        <f t="shared" si="1"/>
        <v>10</v>
      </c>
    </row>
    <row r="37" spans="2:20" ht="23.1" customHeight="1" x14ac:dyDescent="0.25">
      <c r="B37" s="23" t="s">
        <v>64</v>
      </c>
      <c r="C37" s="50">
        <v>0</v>
      </c>
      <c r="D37" s="50">
        <v>1</v>
      </c>
      <c r="E37" s="50">
        <v>0</v>
      </c>
      <c r="F37" s="50">
        <v>12</v>
      </c>
      <c r="G37" s="50">
        <v>0</v>
      </c>
      <c r="H37" s="50">
        <v>1</v>
      </c>
      <c r="I37" s="50">
        <v>0</v>
      </c>
      <c r="J37" s="50">
        <v>0</v>
      </c>
      <c r="K37" s="50">
        <v>2</v>
      </c>
      <c r="L37" s="50">
        <v>0</v>
      </c>
      <c r="M37" s="50">
        <v>16</v>
      </c>
      <c r="N37" s="50">
        <v>0</v>
      </c>
      <c r="O37" s="15">
        <f t="shared" si="0"/>
        <v>16</v>
      </c>
      <c r="P37" s="15">
        <f t="shared" si="1"/>
        <v>32</v>
      </c>
    </row>
    <row r="38" spans="2:20" ht="23.1" customHeight="1" x14ac:dyDescent="0.25">
      <c r="B38" s="24" t="s">
        <v>65</v>
      </c>
      <c r="C38" s="50">
        <v>1</v>
      </c>
      <c r="D38" s="50">
        <v>3</v>
      </c>
      <c r="E38" s="50">
        <v>1</v>
      </c>
      <c r="F38" s="50">
        <v>6</v>
      </c>
      <c r="G38" s="50">
        <v>0</v>
      </c>
      <c r="H38" s="50">
        <v>1</v>
      </c>
      <c r="I38" s="50">
        <v>0</v>
      </c>
      <c r="J38" s="50">
        <v>0</v>
      </c>
      <c r="K38" s="50">
        <v>4</v>
      </c>
      <c r="L38" s="50">
        <v>0</v>
      </c>
      <c r="M38" s="50">
        <v>3</v>
      </c>
      <c r="N38" s="50">
        <v>0</v>
      </c>
      <c r="O38" s="15">
        <f t="shared" si="0"/>
        <v>16</v>
      </c>
      <c r="P38" s="15">
        <f t="shared" si="1"/>
        <v>19</v>
      </c>
    </row>
    <row r="39" spans="2:20" ht="23.1" customHeight="1" x14ac:dyDescent="0.25">
      <c r="B39" s="24" t="s">
        <v>66</v>
      </c>
      <c r="C39" s="50">
        <v>2</v>
      </c>
      <c r="D39" s="50">
        <v>0</v>
      </c>
      <c r="E39" s="50">
        <v>0</v>
      </c>
      <c r="F39" s="50">
        <v>5</v>
      </c>
      <c r="G39" s="50">
        <v>1</v>
      </c>
      <c r="H39" s="50">
        <v>0</v>
      </c>
      <c r="I39" s="50">
        <v>1</v>
      </c>
      <c r="J39" s="50">
        <v>4</v>
      </c>
      <c r="K39" s="50">
        <v>1</v>
      </c>
      <c r="L39" s="50">
        <v>0</v>
      </c>
      <c r="M39" s="50">
        <v>8</v>
      </c>
      <c r="N39" s="50">
        <v>0</v>
      </c>
      <c r="O39" s="15">
        <f t="shared" si="0"/>
        <v>14</v>
      </c>
      <c r="P39" s="15">
        <f t="shared" si="1"/>
        <v>22</v>
      </c>
    </row>
    <row r="40" spans="2:20" ht="23.1" customHeight="1" x14ac:dyDescent="0.25">
      <c r="B40" s="24" t="s">
        <v>67</v>
      </c>
      <c r="C40" s="50">
        <v>5</v>
      </c>
      <c r="D40" s="50">
        <v>0</v>
      </c>
      <c r="E40" s="50">
        <v>2</v>
      </c>
      <c r="F40" s="50">
        <v>11</v>
      </c>
      <c r="G40" s="50">
        <v>0</v>
      </c>
      <c r="H40" s="50">
        <v>0</v>
      </c>
      <c r="I40" s="50">
        <v>0</v>
      </c>
      <c r="J40" s="50">
        <v>0</v>
      </c>
      <c r="K40" s="50">
        <v>3</v>
      </c>
      <c r="L40" s="50">
        <v>1</v>
      </c>
      <c r="M40" s="50">
        <v>6</v>
      </c>
      <c r="N40" s="50">
        <v>0</v>
      </c>
      <c r="O40" s="15">
        <f t="shared" si="0"/>
        <v>22</v>
      </c>
      <c r="P40" s="15">
        <f t="shared" si="1"/>
        <v>28</v>
      </c>
    </row>
    <row r="41" spans="2:20" ht="23.1" customHeight="1" x14ac:dyDescent="0.25">
      <c r="B41" s="23" t="s">
        <v>68</v>
      </c>
      <c r="C41" s="50">
        <v>0</v>
      </c>
      <c r="D41" s="50">
        <v>1</v>
      </c>
      <c r="E41" s="50">
        <v>0</v>
      </c>
      <c r="F41" s="50">
        <v>9</v>
      </c>
      <c r="G41" s="50">
        <v>0</v>
      </c>
      <c r="H41" s="50">
        <v>0</v>
      </c>
      <c r="I41" s="50">
        <v>0</v>
      </c>
      <c r="J41" s="50">
        <v>1</v>
      </c>
      <c r="K41" s="50">
        <v>0</v>
      </c>
      <c r="L41" s="50">
        <v>0</v>
      </c>
      <c r="M41" s="50">
        <v>4</v>
      </c>
      <c r="N41" s="50">
        <v>0</v>
      </c>
      <c r="O41" s="15">
        <f t="shared" si="0"/>
        <v>11</v>
      </c>
      <c r="P41" s="15">
        <f t="shared" si="1"/>
        <v>15</v>
      </c>
    </row>
    <row r="42" spans="2:20" ht="23.1" customHeight="1" x14ac:dyDescent="0.25">
      <c r="B42" s="24" t="s">
        <v>69</v>
      </c>
      <c r="C42" s="50">
        <v>5</v>
      </c>
      <c r="D42" s="50">
        <v>2</v>
      </c>
      <c r="E42" s="50">
        <v>1</v>
      </c>
      <c r="F42" s="50">
        <v>9</v>
      </c>
      <c r="G42" s="50">
        <v>0</v>
      </c>
      <c r="H42" s="50">
        <v>0</v>
      </c>
      <c r="I42" s="50">
        <v>2</v>
      </c>
      <c r="J42" s="50">
        <v>5</v>
      </c>
      <c r="K42" s="50">
        <v>2</v>
      </c>
      <c r="L42" s="50">
        <v>0</v>
      </c>
      <c r="M42" s="50">
        <v>10</v>
      </c>
      <c r="N42" s="50">
        <v>0</v>
      </c>
      <c r="O42" s="15">
        <f t="shared" si="0"/>
        <v>26</v>
      </c>
      <c r="P42" s="15">
        <f t="shared" si="1"/>
        <v>36</v>
      </c>
    </row>
    <row r="43" spans="2:20" ht="23.1" customHeight="1" x14ac:dyDescent="0.25">
      <c r="B43" s="23" t="s">
        <v>70</v>
      </c>
      <c r="C43" s="50">
        <v>3</v>
      </c>
      <c r="D43" s="50">
        <v>1</v>
      </c>
      <c r="E43" s="50">
        <v>3</v>
      </c>
      <c r="F43" s="50">
        <v>7</v>
      </c>
      <c r="G43" s="50">
        <v>0</v>
      </c>
      <c r="H43" s="50">
        <v>0</v>
      </c>
      <c r="I43" s="50">
        <v>2</v>
      </c>
      <c r="J43" s="50">
        <v>1</v>
      </c>
      <c r="K43" s="50">
        <v>0</v>
      </c>
      <c r="L43" s="50">
        <v>1</v>
      </c>
      <c r="M43" s="50">
        <v>4</v>
      </c>
      <c r="N43" s="50">
        <v>0</v>
      </c>
      <c r="O43" s="15">
        <f t="shared" si="0"/>
        <v>18</v>
      </c>
      <c r="P43" s="15">
        <f t="shared" si="1"/>
        <v>22</v>
      </c>
    </row>
    <row r="44" spans="2:20" ht="23.1" customHeight="1" x14ac:dyDescent="0.25">
      <c r="B44" s="25" t="s">
        <v>71</v>
      </c>
      <c r="C44" s="50">
        <v>2</v>
      </c>
      <c r="D44" s="50">
        <v>0</v>
      </c>
      <c r="E44" s="50">
        <v>2</v>
      </c>
      <c r="F44" s="50">
        <v>7</v>
      </c>
      <c r="G44" s="50">
        <v>0</v>
      </c>
      <c r="H44" s="50">
        <v>1</v>
      </c>
      <c r="I44" s="50">
        <v>0</v>
      </c>
      <c r="J44" s="50">
        <v>5</v>
      </c>
      <c r="K44" s="50">
        <v>1</v>
      </c>
      <c r="L44" s="50">
        <v>0</v>
      </c>
      <c r="M44" s="50">
        <v>10</v>
      </c>
      <c r="N44" s="50">
        <v>0</v>
      </c>
      <c r="O44" s="15">
        <f t="shared" si="0"/>
        <v>18</v>
      </c>
      <c r="P44" s="15">
        <f t="shared" si="1"/>
        <v>28</v>
      </c>
    </row>
    <row r="45" spans="2:20" ht="23.1" customHeight="1" x14ac:dyDescent="0.25">
      <c r="B45" s="23" t="s">
        <v>72</v>
      </c>
      <c r="C45" s="50">
        <v>1</v>
      </c>
      <c r="D45" s="50">
        <v>2</v>
      </c>
      <c r="E45" s="50">
        <v>6</v>
      </c>
      <c r="F45" s="50">
        <v>6</v>
      </c>
      <c r="G45" s="50">
        <v>0</v>
      </c>
      <c r="H45" s="50">
        <v>1</v>
      </c>
      <c r="I45" s="50">
        <v>0</v>
      </c>
      <c r="J45" s="50">
        <v>1</v>
      </c>
      <c r="K45" s="50">
        <v>1</v>
      </c>
      <c r="L45" s="50">
        <v>0</v>
      </c>
      <c r="M45" s="50">
        <v>9</v>
      </c>
      <c r="N45" s="50">
        <v>0</v>
      </c>
      <c r="O45" s="15">
        <f t="shared" si="0"/>
        <v>18</v>
      </c>
      <c r="P45" s="15">
        <f t="shared" si="1"/>
        <v>27</v>
      </c>
    </row>
    <row r="46" spans="2:20" ht="23.1" customHeight="1" x14ac:dyDescent="0.25">
      <c r="B46" s="24" t="s">
        <v>73</v>
      </c>
      <c r="C46" s="50">
        <v>4</v>
      </c>
      <c r="D46" s="50">
        <v>1</v>
      </c>
      <c r="E46" s="50">
        <v>0</v>
      </c>
      <c r="F46" s="50">
        <v>7</v>
      </c>
      <c r="G46" s="50">
        <v>0</v>
      </c>
      <c r="H46" s="50">
        <v>1</v>
      </c>
      <c r="I46" s="50">
        <v>1</v>
      </c>
      <c r="J46" s="50">
        <v>1</v>
      </c>
      <c r="K46" s="50">
        <v>2</v>
      </c>
      <c r="L46" s="50">
        <v>0</v>
      </c>
      <c r="M46" s="50">
        <v>8</v>
      </c>
      <c r="N46" s="50">
        <v>0</v>
      </c>
      <c r="O46" s="15">
        <f t="shared" si="0"/>
        <v>17</v>
      </c>
      <c r="P46" s="15">
        <f t="shared" si="1"/>
        <v>25</v>
      </c>
      <c r="R46" s="8"/>
      <c r="T46"/>
    </row>
    <row r="47" spans="2:20" ht="23.1" customHeight="1" x14ac:dyDescent="0.25">
      <c r="B47" s="24" t="s">
        <v>74</v>
      </c>
      <c r="C47" s="50">
        <v>3</v>
      </c>
      <c r="D47" s="50">
        <v>1</v>
      </c>
      <c r="E47" s="50">
        <v>2</v>
      </c>
      <c r="F47" s="50">
        <v>4</v>
      </c>
      <c r="G47" s="50">
        <v>0</v>
      </c>
      <c r="H47" s="50">
        <v>0</v>
      </c>
      <c r="I47" s="50">
        <v>3</v>
      </c>
      <c r="J47" s="50">
        <v>0</v>
      </c>
      <c r="K47" s="50">
        <v>0</v>
      </c>
      <c r="L47" s="50">
        <v>0</v>
      </c>
      <c r="M47" s="50">
        <v>5</v>
      </c>
      <c r="N47" s="50">
        <v>0</v>
      </c>
      <c r="O47" s="15">
        <f t="shared" si="0"/>
        <v>13</v>
      </c>
      <c r="P47" s="15">
        <f t="shared" si="1"/>
        <v>18</v>
      </c>
      <c r="R47" s="8"/>
      <c r="T47"/>
    </row>
    <row r="48" spans="2:20" ht="23.1" customHeight="1" x14ac:dyDescent="0.25">
      <c r="B48" s="24" t="s">
        <v>75</v>
      </c>
      <c r="C48" s="50">
        <v>3</v>
      </c>
      <c r="D48" s="50">
        <v>2</v>
      </c>
      <c r="E48" s="50">
        <v>4</v>
      </c>
      <c r="F48" s="50">
        <v>9</v>
      </c>
      <c r="G48" s="50">
        <v>0</v>
      </c>
      <c r="H48" s="50">
        <v>1</v>
      </c>
      <c r="I48" s="50">
        <v>1</v>
      </c>
      <c r="J48" s="50">
        <v>3</v>
      </c>
      <c r="K48" s="50">
        <v>1</v>
      </c>
      <c r="L48" s="50">
        <v>0</v>
      </c>
      <c r="M48" s="50">
        <v>11</v>
      </c>
      <c r="N48" s="50">
        <v>0</v>
      </c>
      <c r="O48" s="15">
        <f t="shared" si="0"/>
        <v>24</v>
      </c>
      <c r="P48" s="15">
        <f t="shared" si="1"/>
        <v>35</v>
      </c>
      <c r="R48" s="8"/>
      <c r="T48"/>
    </row>
    <row r="49" spans="2:20" ht="23.1" customHeight="1" x14ac:dyDescent="0.25">
      <c r="B49" s="23" t="s">
        <v>76</v>
      </c>
      <c r="C49" s="50">
        <v>7</v>
      </c>
      <c r="D49" s="50">
        <v>0</v>
      </c>
      <c r="E49" s="50">
        <v>3</v>
      </c>
      <c r="F49" s="50">
        <v>6</v>
      </c>
      <c r="G49" s="50">
        <v>0</v>
      </c>
      <c r="H49" s="50">
        <v>0</v>
      </c>
      <c r="I49" s="50">
        <v>1</v>
      </c>
      <c r="J49" s="50">
        <v>2</v>
      </c>
      <c r="K49" s="50">
        <v>0</v>
      </c>
      <c r="L49" s="50">
        <v>0</v>
      </c>
      <c r="M49" s="50">
        <v>15</v>
      </c>
      <c r="N49" s="50">
        <v>0</v>
      </c>
      <c r="O49" s="15">
        <f t="shared" si="0"/>
        <v>19</v>
      </c>
      <c r="P49" s="15">
        <f t="shared" si="1"/>
        <v>34</v>
      </c>
      <c r="R49" s="8"/>
      <c r="T49"/>
    </row>
    <row r="50" spans="2:20" ht="23.1" customHeight="1" x14ac:dyDescent="0.25">
      <c r="B50" s="24" t="s">
        <v>77</v>
      </c>
      <c r="C50" s="50">
        <v>12</v>
      </c>
      <c r="D50" s="50">
        <v>1</v>
      </c>
      <c r="E50" s="50">
        <v>5</v>
      </c>
      <c r="F50" s="50">
        <v>14</v>
      </c>
      <c r="G50" s="50">
        <v>1</v>
      </c>
      <c r="H50" s="50">
        <v>1</v>
      </c>
      <c r="I50" s="50">
        <v>2</v>
      </c>
      <c r="J50" s="50">
        <v>2</v>
      </c>
      <c r="K50" s="50">
        <v>5</v>
      </c>
      <c r="L50" s="50">
        <v>0</v>
      </c>
      <c r="M50" s="50">
        <v>18</v>
      </c>
      <c r="N50" s="50">
        <v>0</v>
      </c>
      <c r="O50" s="15">
        <f t="shared" si="0"/>
        <v>43</v>
      </c>
      <c r="P50" s="15">
        <f t="shared" si="1"/>
        <v>61</v>
      </c>
      <c r="R50" s="8"/>
      <c r="T50"/>
    </row>
    <row r="51" spans="2:20" ht="23.1" customHeight="1" x14ac:dyDescent="0.25">
      <c r="B51" s="24" t="s">
        <v>78</v>
      </c>
      <c r="C51" s="50">
        <v>3</v>
      </c>
      <c r="D51" s="50">
        <v>3</v>
      </c>
      <c r="E51" s="50">
        <v>1</v>
      </c>
      <c r="F51" s="50">
        <v>7</v>
      </c>
      <c r="G51" s="50">
        <v>0</v>
      </c>
      <c r="H51" s="50">
        <v>0</v>
      </c>
      <c r="I51" s="50">
        <v>1</v>
      </c>
      <c r="J51" s="50">
        <v>0</v>
      </c>
      <c r="K51" s="50">
        <v>0</v>
      </c>
      <c r="L51" s="50">
        <v>0</v>
      </c>
      <c r="M51" s="50">
        <v>10</v>
      </c>
      <c r="N51" s="50">
        <v>0</v>
      </c>
      <c r="O51" s="15">
        <f t="shared" si="0"/>
        <v>15</v>
      </c>
      <c r="P51" s="15">
        <f t="shared" si="1"/>
        <v>25</v>
      </c>
      <c r="R51" s="8"/>
      <c r="T51"/>
    </row>
    <row r="52" spans="2:20" ht="23.1" customHeight="1" x14ac:dyDescent="0.25">
      <c r="B52" s="24" t="s">
        <v>79</v>
      </c>
      <c r="C52" s="50">
        <v>3</v>
      </c>
      <c r="D52" s="50">
        <v>1</v>
      </c>
      <c r="E52" s="50">
        <v>4</v>
      </c>
      <c r="F52" s="50">
        <v>1</v>
      </c>
      <c r="G52" s="50">
        <v>0</v>
      </c>
      <c r="H52" s="50">
        <v>0</v>
      </c>
      <c r="I52" s="50">
        <v>1</v>
      </c>
      <c r="J52" s="50">
        <v>0</v>
      </c>
      <c r="K52" s="50">
        <v>0</v>
      </c>
      <c r="L52" s="50">
        <v>0</v>
      </c>
      <c r="M52" s="50">
        <v>15</v>
      </c>
      <c r="N52" s="50">
        <v>0</v>
      </c>
      <c r="O52" s="15">
        <f t="shared" si="0"/>
        <v>10</v>
      </c>
      <c r="P52" s="15">
        <f t="shared" si="1"/>
        <v>25</v>
      </c>
      <c r="R52" s="8"/>
      <c r="T52"/>
    </row>
    <row r="53" spans="2:20" ht="23.1" customHeight="1" x14ac:dyDescent="0.25">
      <c r="B53" s="23" t="s">
        <v>80</v>
      </c>
      <c r="C53" s="50">
        <v>9</v>
      </c>
      <c r="D53" s="50">
        <v>1</v>
      </c>
      <c r="E53" s="50">
        <v>6</v>
      </c>
      <c r="F53" s="50">
        <v>13</v>
      </c>
      <c r="G53" s="50">
        <v>0</v>
      </c>
      <c r="H53" s="50">
        <v>0</v>
      </c>
      <c r="I53" s="50">
        <v>0</v>
      </c>
      <c r="J53" s="50">
        <v>2</v>
      </c>
      <c r="K53" s="50">
        <v>0</v>
      </c>
      <c r="L53" s="50">
        <v>0</v>
      </c>
      <c r="M53" s="50">
        <v>12</v>
      </c>
      <c r="N53" s="50">
        <v>0</v>
      </c>
      <c r="O53" s="15">
        <f t="shared" si="0"/>
        <v>31</v>
      </c>
      <c r="P53" s="15">
        <f t="shared" si="1"/>
        <v>43</v>
      </c>
      <c r="R53" s="8"/>
      <c r="T53"/>
    </row>
    <row r="54" spans="2:20" ht="23.1" customHeight="1" x14ac:dyDescent="0.25">
      <c r="B54" s="23" t="s">
        <v>81</v>
      </c>
      <c r="C54" s="50">
        <v>5</v>
      </c>
      <c r="D54" s="50">
        <v>1</v>
      </c>
      <c r="E54" s="50">
        <v>4</v>
      </c>
      <c r="F54" s="50">
        <v>4</v>
      </c>
      <c r="G54" s="50">
        <v>2</v>
      </c>
      <c r="H54" s="50">
        <v>0</v>
      </c>
      <c r="I54" s="50">
        <v>0</v>
      </c>
      <c r="J54" s="50">
        <v>0</v>
      </c>
      <c r="K54" s="50">
        <v>3</v>
      </c>
      <c r="L54" s="50">
        <v>0</v>
      </c>
      <c r="M54" s="50">
        <v>7</v>
      </c>
      <c r="N54" s="50">
        <v>0</v>
      </c>
      <c r="O54" s="15">
        <f t="shared" si="0"/>
        <v>19</v>
      </c>
      <c r="P54" s="15">
        <f t="shared" si="1"/>
        <v>26</v>
      </c>
      <c r="R54" s="8"/>
      <c r="T54"/>
    </row>
    <row r="55" spans="2:20" ht="23.1" customHeight="1" x14ac:dyDescent="0.25">
      <c r="B55" s="23" t="s">
        <v>82</v>
      </c>
      <c r="C55" s="50">
        <v>5</v>
      </c>
      <c r="D55" s="50">
        <v>2</v>
      </c>
      <c r="E55" s="50">
        <v>5</v>
      </c>
      <c r="F55" s="50">
        <v>10</v>
      </c>
      <c r="G55" s="50">
        <v>2</v>
      </c>
      <c r="H55" s="50">
        <v>0</v>
      </c>
      <c r="I55" s="50">
        <v>3</v>
      </c>
      <c r="J55" s="50">
        <v>1</v>
      </c>
      <c r="K55" s="50">
        <v>1</v>
      </c>
      <c r="L55" s="50">
        <v>0</v>
      </c>
      <c r="M55" s="50">
        <v>5</v>
      </c>
      <c r="N55" s="50">
        <v>0</v>
      </c>
      <c r="O55" s="15">
        <f t="shared" si="0"/>
        <v>29</v>
      </c>
      <c r="P55" s="15">
        <f t="shared" si="1"/>
        <v>34</v>
      </c>
      <c r="R55" s="8"/>
      <c r="T55"/>
    </row>
    <row r="56" spans="2:20" ht="23.1" customHeight="1" x14ac:dyDescent="0.25">
      <c r="B56" s="23" t="s">
        <v>83</v>
      </c>
      <c r="C56" s="50">
        <v>6</v>
      </c>
      <c r="D56" s="50">
        <v>4</v>
      </c>
      <c r="E56" s="50">
        <v>2</v>
      </c>
      <c r="F56" s="50">
        <v>5</v>
      </c>
      <c r="G56" s="50">
        <v>4</v>
      </c>
      <c r="H56" s="50">
        <v>1</v>
      </c>
      <c r="I56" s="50">
        <v>0</v>
      </c>
      <c r="J56" s="50">
        <v>1</v>
      </c>
      <c r="K56" s="50">
        <v>0</v>
      </c>
      <c r="L56" s="50">
        <v>0</v>
      </c>
      <c r="M56" s="50">
        <v>14</v>
      </c>
      <c r="N56" s="50">
        <v>0</v>
      </c>
      <c r="O56" s="15">
        <f t="shared" si="0"/>
        <v>23</v>
      </c>
      <c r="P56" s="15">
        <f t="shared" si="1"/>
        <v>37</v>
      </c>
      <c r="R56" s="8"/>
      <c r="T56"/>
    </row>
    <row r="57" spans="2:20" ht="23.1" customHeight="1" x14ac:dyDescent="0.25">
      <c r="B57" s="23" t="s">
        <v>84</v>
      </c>
      <c r="C57" s="50">
        <v>9</v>
      </c>
      <c r="D57" s="50">
        <v>1</v>
      </c>
      <c r="E57" s="50">
        <v>3</v>
      </c>
      <c r="F57" s="50">
        <v>8</v>
      </c>
      <c r="G57" s="50">
        <v>5</v>
      </c>
      <c r="H57" s="50">
        <v>0</v>
      </c>
      <c r="I57" s="50">
        <v>0</v>
      </c>
      <c r="J57" s="50">
        <v>0</v>
      </c>
      <c r="K57" s="50">
        <v>1</v>
      </c>
      <c r="L57" s="50">
        <v>0</v>
      </c>
      <c r="M57" s="50">
        <v>11</v>
      </c>
      <c r="N57" s="50">
        <v>0</v>
      </c>
      <c r="O57" s="15">
        <f t="shared" si="0"/>
        <v>27</v>
      </c>
      <c r="P57" s="15">
        <f t="shared" si="1"/>
        <v>38</v>
      </c>
      <c r="R57" s="8"/>
      <c r="T57"/>
    </row>
    <row r="58" spans="2:20" ht="23.1" customHeight="1" x14ac:dyDescent="0.25">
      <c r="B58" s="26" t="s">
        <v>18</v>
      </c>
      <c r="C58" s="16">
        <f t="shared" ref="C58:P58" si="21">SUM(C10:C57)</f>
        <v>143</v>
      </c>
      <c r="D58" s="16">
        <f t="shared" si="21"/>
        <v>53</v>
      </c>
      <c r="E58" s="16">
        <f t="shared" si="21"/>
        <v>91</v>
      </c>
      <c r="F58" s="16">
        <f t="shared" si="21"/>
        <v>359</v>
      </c>
      <c r="G58" s="16">
        <f t="shared" si="21"/>
        <v>21</v>
      </c>
      <c r="H58" s="16">
        <f t="shared" si="21"/>
        <v>13</v>
      </c>
      <c r="I58" s="16">
        <f t="shared" si="21"/>
        <v>35</v>
      </c>
      <c r="J58" s="16">
        <f t="shared" si="21"/>
        <v>57</v>
      </c>
      <c r="K58" s="16">
        <f t="shared" si="21"/>
        <v>48</v>
      </c>
      <c r="L58" s="16">
        <f t="shared" si="21"/>
        <v>4</v>
      </c>
      <c r="M58" s="16">
        <f t="shared" si="21"/>
        <v>414</v>
      </c>
      <c r="N58" s="16">
        <f t="shared" si="21"/>
        <v>4</v>
      </c>
      <c r="O58" s="16">
        <f t="shared" si="21"/>
        <v>828</v>
      </c>
      <c r="P58" s="16">
        <f t="shared" si="21"/>
        <v>1242</v>
      </c>
      <c r="R58" s="8"/>
      <c r="T58"/>
    </row>
    <row r="59" spans="2:20" ht="23.1" customHeight="1" x14ac:dyDescent="0.25">
      <c r="B59" s="26" t="s">
        <v>93</v>
      </c>
      <c r="C59" s="43">
        <f t="shared" ref="C59:N59" si="22">C58/$P$58</f>
        <v>0.11513687600644122</v>
      </c>
      <c r="D59" s="43">
        <f t="shared" si="22"/>
        <v>4.2673107890499197E-2</v>
      </c>
      <c r="E59" s="43">
        <f t="shared" si="22"/>
        <v>7.3268921095008058E-2</v>
      </c>
      <c r="F59" s="43">
        <f t="shared" si="22"/>
        <v>0.2890499194847021</v>
      </c>
      <c r="G59" s="43">
        <f t="shared" si="22"/>
        <v>1.6908212560386472E-2</v>
      </c>
      <c r="H59" s="43">
        <f t="shared" si="22"/>
        <v>1.0466988727858293E-2</v>
      </c>
      <c r="I59" s="43">
        <f t="shared" si="22"/>
        <v>2.8180354267310789E-2</v>
      </c>
      <c r="J59" s="43">
        <f t="shared" si="22"/>
        <v>4.5893719806763288E-2</v>
      </c>
      <c r="K59" s="43">
        <f t="shared" si="22"/>
        <v>3.864734299516908E-2</v>
      </c>
      <c r="L59" s="43">
        <f t="shared" si="22"/>
        <v>3.2206119162640902E-3</v>
      </c>
      <c r="M59" s="43">
        <f t="shared" si="22"/>
        <v>0.33333333333333331</v>
      </c>
      <c r="N59" s="43">
        <f t="shared" si="22"/>
        <v>3.2206119162640902E-3</v>
      </c>
      <c r="R59" s="8"/>
      <c r="T59"/>
    </row>
    <row r="60" spans="2:20" ht="23.1" customHeight="1" x14ac:dyDescent="0.25">
      <c r="B60" s="42" t="s">
        <v>94</v>
      </c>
      <c r="C60" s="44">
        <f>C58/$O$58</f>
        <v>0.17270531400966183</v>
      </c>
      <c r="D60" s="44">
        <f t="shared" ref="D60:N60" si="23">D58/$O$58</f>
        <v>6.4009661835748799E-2</v>
      </c>
      <c r="E60" s="44">
        <f t="shared" si="23"/>
        <v>0.10990338164251208</v>
      </c>
      <c r="F60" s="44">
        <f t="shared" si="23"/>
        <v>0.43357487922705312</v>
      </c>
      <c r="G60" s="44">
        <f t="shared" si="23"/>
        <v>2.5362318840579712E-2</v>
      </c>
      <c r="H60" s="44">
        <f t="shared" si="23"/>
        <v>1.570048309178744E-2</v>
      </c>
      <c r="I60" s="44">
        <f t="shared" si="23"/>
        <v>4.2270531400966184E-2</v>
      </c>
      <c r="J60" s="44">
        <f t="shared" si="23"/>
        <v>6.8840579710144928E-2</v>
      </c>
      <c r="K60" s="44">
        <f t="shared" si="23"/>
        <v>5.7971014492753624E-2</v>
      </c>
      <c r="L60" s="44">
        <f t="shared" si="23"/>
        <v>4.830917874396135E-3</v>
      </c>
      <c r="M60" s="44"/>
      <c r="N60" s="44">
        <f t="shared" si="23"/>
        <v>4.830917874396135E-3</v>
      </c>
      <c r="Q60" s="7"/>
      <c r="R60" s="8"/>
      <c r="T60"/>
    </row>
    <row r="61" spans="2:20" ht="20.100000000000001" customHeight="1" x14ac:dyDescent="0.25">
      <c r="B61" s="3"/>
      <c r="C61" s="18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Q61" s="7"/>
      <c r="R61" s="8"/>
      <c r="T61"/>
    </row>
    <row r="62" spans="2:20" ht="20.100000000000001" customHeight="1" x14ac:dyDescent="0.25">
      <c r="B62" s="3"/>
      <c r="C62" s="18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Q62" s="7"/>
      <c r="R62" s="8"/>
      <c r="T62"/>
    </row>
    <row r="63" spans="2:20" ht="20.100000000000001" customHeight="1" x14ac:dyDescent="0.25">
      <c r="B63" s="3"/>
      <c r="C63" s="18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Q63" s="7"/>
    </row>
    <row r="64" spans="2:20" ht="20.100000000000001" customHeight="1" x14ac:dyDescent="0.25">
      <c r="B64" s="3"/>
      <c r="C64" s="18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Q64" s="7"/>
    </row>
    <row r="65" spans="2:20" s="7" customFormat="1" ht="20.100000000000001" customHeight="1" x14ac:dyDescent="0.25"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/>
      <c r="P65"/>
      <c r="S65" s="8"/>
      <c r="T65" s="8"/>
    </row>
    <row r="66" spans="2:20" s="7" customFormat="1" ht="20.100000000000001" customHeight="1" x14ac:dyDescent="0.25"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/>
      <c r="P66"/>
      <c r="S66" s="8"/>
      <c r="T66" s="8"/>
    </row>
    <row r="67" spans="2:20" s="7" customFormat="1" ht="20.100000000000001" customHeight="1" x14ac:dyDescent="0.25"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/>
      <c r="P67"/>
      <c r="S67" s="8"/>
      <c r="T67" s="8"/>
    </row>
    <row r="68" spans="2:20" s="7" customFormat="1" ht="20.100000000000001" customHeight="1" x14ac:dyDescent="0.25"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/>
      <c r="P68"/>
      <c r="S68" s="8"/>
      <c r="T68" s="8"/>
    </row>
    <row r="69" spans="2:20" s="7" customFormat="1" ht="20.100000000000001" customHeight="1" x14ac:dyDescent="0.25"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/>
      <c r="P69"/>
      <c r="S69" s="8"/>
      <c r="T69" s="8"/>
    </row>
    <row r="70" spans="2:20" s="7" customFormat="1" ht="20.100000000000001" customHeight="1" x14ac:dyDescent="0.25"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/>
      <c r="P70"/>
      <c r="S70" s="8"/>
      <c r="T70" s="8"/>
    </row>
    <row r="71" spans="2:20" s="7" customFormat="1" ht="20.100000000000001" customHeight="1" x14ac:dyDescent="0.25"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/>
      <c r="P71"/>
      <c r="S71" s="8"/>
      <c r="T71" s="8"/>
    </row>
    <row r="72" spans="2:20" s="7" customFormat="1" ht="20.100000000000001" customHeight="1" x14ac:dyDescent="0.25"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/>
      <c r="P72"/>
      <c r="S72" s="8"/>
      <c r="T72" s="8"/>
    </row>
    <row r="73" spans="2:20" s="7" customFormat="1" ht="20.100000000000001" customHeight="1" x14ac:dyDescent="0.25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/>
      <c r="P73"/>
      <c r="S73" s="8"/>
      <c r="T73" s="8"/>
    </row>
    <row r="74" spans="2:20" s="7" customFormat="1" ht="20.100000000000001" customHeight="1" x14ac:dyDescent="0.25"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/>
      <c r="P74"/>
      <c r="S74" s="8"/>
      <c r="T74" s="8"/>
    </row>
    <row r="75" spans="2:20" s="7" customFormat="1" ht="20.100000000000001" customHeight="1" x14ac:dyDescent="0.25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/>
      <c r="P75"/>
      <c r="S75" s="8"/>
      <c r="T75" s="8"/>
    </row>
    <row r="76" spans="2:20" s="7" customFormat="1" ht="20.100000000000001" customHeight="1" x14ac:dyDescent="0.25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/>
      <c r="P76"/>
      <c r="S76" s="8"/>
      <c r="T76" s="8"/>
    </row>
    <row r="77" spans="2:20" s="7" customFormat="1" ht="20.100000000000001" customHeight="1" x14ac:dyDescent="0.25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/>
      <c r="P77"/>
      <c r="Q77"/>
      <c r="S77" s="8"/>
      <c r="T77" s="8"/>
    </row>
    <row r="78" spans="2:20" s="7" customFormat="1" ht="20.100000000000001" customHeight="1" x14ac:dyDescent="0.25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2:20" s="7" customFormat="1" ht="20.100000000000001" customHeight="1" x14ac:dyDescent="0.25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2:20" s="7" customFormat="1" ht="20.100000000000001" customHeight="1" x14ac:dyDescent="0.25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G5:H5"/>
    <mergeCell ref="G6:H6"/>
    <mergeCell ref="R8:AF8"/>
    <mergeCell ref="B1:AE1"/>
    <mergeCell ref="B2:AE2"/>
    <mergeCell ref="C3:G3"/>
    <mergeCell ref="D6:E6"/>
    <mergeCell ref="K6:L6"/>
    <mergeCell ref="K5:L5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AF126"/>
  <sheetViews>
    <sheetView view="pageBreakPreview" zoomScale="70" zoomScaleSheetLayoutView="70" workbookViewId="0">
      <selection activeCell="C3" sqref="C3:G3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60" t="s">
        <v>23</v>
      </c>
      <c r="C1" s="60"/>
      <c r="D1" s="60"/>
      <c r="E1" s="60"/>
      <c r="F1" s="60"/>
      <c r="G1" s="60"/>
      <c r="H1" s="60"/>
      <c r="I1" s="60"/>
      <c r="J1" s="60"/>
      <c r="K1" s="60"/>
      <c r="L1" s="60"/>
      <c r="M1" s="60"/>
      <c r="N1" s="60"/>
      <c r="O1" s="60"/>
      <c r="P1" s="60"/>
      <c r="Q1" s="60"/>
      <c r="R1" s="60"/>
      <c r="S1" s="60"/>
      <c r="T1" s="60"/>
      <c r="U1" s="60"/>
      <c r="V1" s="60"/>
      <c r="W1" s="60"/>
      <c r="X1" s="60"/>
      <c r="Y1" s="60"/>
      <c r="Z1" s="60"/>
      <c r="AA1" s="60"/>
      <c r="AB1" s="60"/>
      <c r="AC1" s="60"/>
      <c r="AD1" s="60"/>
      <c r="AE1" s="60"/>
    </row>
    <row r="2" spans="2:32" ht="20.100000000000001" customHeight="1" x14ac:dyDescent="0.25">
      <c r="B2" s="61" t="s">
        <v>95</v>
      </c>
      <c r="C2" s="61"/>
      <c r="D2" s="61"/>
      <c r="E2" s="61"/>
      <c r="F2" s="61"/>
      <c r="G2" s="61"/>
      <c r="H2" s="61"/>
      <c r="I2" s="61"/>
      <c r="J2" s="61"/>
      <c r="K2" s="61"/>
      <c r="L2" s="61"/>
      <c r="M2" s="61"/>
      <c r="N2" s="61"/>
      <c r="O2" s="61"/>
      <c r="P2" s="61"/>
      <c r="Q2" s="61"/>
      <c r="R2" s="61"/>
      <c r="S2" s="61"/>
      <c r="T2" s="61"/>
      <c r="U2" s="61"/>
      <c r="V2" s="61"/>
      <c r="W2" s="61"/>
      <c r="X2" s="61"/>
      <c r="Y2" s="61"/>
      <c r="Z2" s="61"/>
      <c r="AA2" s="61"/>
      <c r="AB2" s="61"/>
      <c r="AC2" s="61"/>
      <c r="AD2" s="61"/>
      <c r="AE2" s="61"/>
    </row>
    <row r="3" spans="2:32" ht="20.100000000000001" customHeight="1" x14ac:dyDescent="0.25">
      <c r="B3" s="22" t="s">
        <v>96</v>
      </c>
      <c r="C3" s="62" t="s">
        <v>182</v>
      </c>
      <c r="D3" s="62"/>
      <c r="E3" s="62"/>
      <c r="F3" s="62"/>
      <c r="G3" s="62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51" t="str">
        <f>'17.10 Busembatya-Butongole'!D5</f>
        <v>17.10.19</v>
      </c>
      <c r="E5" s="3"/>
      <c r="F5" s="41" t="s">
        <v>1</v>
      </c>
      <c r="G5" s="57" t="str">
        <f>'17.10 Busembatya-Butongole'!G5:H5</f>
        <v>NAMALEMBA</v>
      </c>
      <c r="H5" s="58"/>
      <c r="I5" s="14"/>
      <c r="J5" s="2" t="s">
        <v>5</v>
      </c>
      <c r="K5" s="57" t="s">
        <v>176</v>
      </c>
      <c r="L5" s="58"/>
      <c r="M5" s="10"/>
      <c r="N5" s="10"/>
      <c r="O5" s="3"/>
      <c r="P5" s="3"/>
    </row>
    <row r="6" spans="2:32" ht="23.25" customHeight="1" x14ac:dyDescent="0.25">
      <c r="C6" s="2" t="s">
        <v>4</v>
      </c>
      <c r="D6" s="57" t="s">
        <v>170</v>
      </c>
      <c r="E6" s="58"/>
      <c r="F6" s="2" t="s">
        <v>2</v>
      </c>
      <c r="G6" s="57" t="s">
        <v>171</v>
      </c>
      <c r="H6" s="58"/>
      <c r="J6" s="2" t="s">
        <v>21</v>
      </c>
      <c r="K6" s="57" t="str">
        <f>'17.10 Busembatya-Butongole'!K6:L6</f>
        <v>Norman T</v>
      </c>
      <c r="L6" s="58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9" t="s">
        <v>88</v>
      </c>
      <c r="S8" s="59"/>
      <c r="T8" s="59"/>
      <c r="U8" s="59"/>
      <c r="V8" s="59"/>
      <c r="W8" s="59"/>
      <c r="X8" s="59"/>
      <c r="Y8" s="59"/>
      <c r="Z8" s="59"/>
      <c r="AA8" s="59"/>
      <c r="AB8" s="59"/>
      <c r="AC8" s="59"/>
      <c r="AD8" s="59"/>
      <c r="AE8" s="59"/>
      <c r="AF8" s="59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50">
        <v>1</v>
      </c>
      <c r="D10" s="50">
        <v>0</v>
      </c>
      <c r="E10" s="50">
        <v>1</v>
      </c>
      <c r="F10" s="50">
        <v>2</v>
      </c>
      <c r="G10" s="50">
        <v>0</v>
      </c>
      <c r="H10" s="50">
        <v>0</v>
      </c>
      <c r="I10" s="50">
        <v>0</v>
      </c>
      <c r="J10" s="50">
        <v>3</v>
      </c>
      <c r="K10" s="50">
        <v>0</v>
      </c>
      <c r="L10" s="50">
        <v>0</v>
      </c>
      <c r="M10" s="50">
        <v>9</v>
      </c>
      <c r="N10" s="50">
        <v>0</v>
      </c>
      <c r="O10" s="15">
        <f t="shared" ref="O10:O57" si="0">SUM(C10:L10,N10)</f>
        <v>7</v>
      </c>
      <c r="P10" s="15">
        <f t="shared" ref="P10:P57" si="1">SUM(C10:N10)</f>
        <v>16</v>
      </c>
      <c r="R10" s="1" t="s">
        <v>6</v>
      </c>
      <c r="S10" s="17">
        <f t="shared" ref="S10:AF10" si="2">SUM(C10:C13)</f>
        <v>7</v>
      </c>
      <c r="T10" s="17">
        <f t="shared" si="2"/>
        <v>2</v>
      </c>
      <c r="U10" s="17">
        <f t="shared" si="2"/>
        <v>6</v>
      </c>
      <c r="V10" s="17">
        <f t="shared" si="2"/>
        <v>12</v>
      </c>
      <c r="W10" s="17">
        <f t="shared" si="2"/>
        <v>0</v>
      </c>
      <c r="X10" s="17">
        <f t="shared" si="2"/>
        <v>1</v>
      </c>
      <c r="Y10" s="17">
        <f t="shared" si="2"/>
        <v>3</v>
      </c>
      <c r="Z10" s="17">
        <f t="shared" si="2"/>
        <v>9</v>
      </c>
      <c r="AA10" s="17">
        <f t="shared" si="2"/>
        <v>3</v>
      </c>
      <c r="AB10" s="17">
        <f t="shared" si="2"/>
        <v>0</v>
      </c>
      <c r="AC10" s="17">
        <f t="shared" si="2"/>
        <v>41</v>
      </c>
      <c r="AD10" s="17">
        <f t="shared" si="2"/>
        <v>0</v>
      </c>
      <c r="AE10" s="31">
        <f t="shared" si="2"/>
        <v>43</v>
      </c>
      <c r="AF10" s="31">
        <f t="shared" si="2"/>
        <v>84</v>
      </c>
    </row>
    <row r="11" spans="2:32" s="6" customFormat="1" ht="23.1" customHeight="1" x14ac:dyDescent="0.25">
      <c r="B11" s="23" t="s">
        <v>38</v>
      </c>
      <c r="C11" s="50">
        <v>1</v>
      </c>
      <c r="D11" s="50">
        <v>1</v>
      </c>
      <c r="E11" s="50">
        <v>1</v>
      </c>
      <c r="F11" s="50">
        <v>3</v>
      </c>
      <c r="G11" s="50">
        <v>0</v>
      </c>
      <c r="H11" s="50">
        <v>0</v>
      </c>
      <c r="I11" s="50">
        <v>1</v>
      </c>
      <c r="J11" s="50">
        <v>2</v>
      </c>
      <c r="K11" s="50">
        <v>0</v>
      </c>
      <c r="L11" s="50">
        <v>0</v>
      </c>
      <c r="M11" s="50">
        <v>6</v>
      </c>
      <c r="N11" s="50">
        <v>0</v>
      </c>
      <c r="O11" s="15">
        <f t="shared" si="0"/>
        <v>9</v>
      </c>
      <c r="P11" s="15">
        <f t="shared" si="1"/>
        <v>15</v>
      </c>
      <c r="R11" s="1" t="s">
        <v>7</v>
      </c>
      <c r="S11" s="17">
        <f t="shared" ref="S11:AF11" si="3">SUM(C14:C17)</f>
        <v>12</v>
      </c>
      <c r="T11" s="17">
        <f t="shared" si="3"/>
        <v>6</v>
      </c>
      <c r="U11" s="17">
        <f t="shared" si="3"/>
        <v>6</v>
      </c>
      <c r="V11" s="17">
        <f t="shared" si="3"/>
        <v>21</v>
      </c>
      <c r="W11" s="17">
        <f t="shared" si="3"/>
        <v>0</v>
      </c>
      <c r="X11" s="17">
        <f t="shared" si="3"/>
        <v>1</v>
      </c>
      <c r="Y11" s="17">
        <f t="shared" si="3"/>
        <v>3</v>
      </c>
      <c r="Z11" s="17">
        <f t="shared" si="3"/>
        <v>7</v>
      </c>
      <c r="AA11" s="17">
        <f t="shared" si="3"/>
        <v>4</v>
      </c>
      <c r="AB11" s="17">
        <f t="shared" si="3"/>
        <v>0</v>
      </c>
      <c r="AC11" s="17">
        <f t="shared" si="3"/>
        <v>46</v>
      </c>
      <c r="AD11" s="17">
        <f t="shared" si="3"/>
        <v>0</v>
      </c>
      <c r="AE11" s="31">
        <f t="shared" si="3"/>
        <v>60</v>
      </c>
      <c r="AF11" s="31">
        <f t="shared" si="3"/>
        <v>106</v>
      </c>
    </row>
    <row r="12" spans="2:32" ht="23.1" customHeight="1" x14ac:dyDescent="0.25">
      <c r="B12" s="23" t="s">
        <v>39</v>
      </c>
      <c r="C12" s="50">
        <v>2</v>
      </c>
      <c r="D12" s="50">
        <v>0</v>
      </c>
      <c r="E12" s="50">
        <v>3</v>
      </c>
      <c r="F12" s="50">
        <v>4</v>
      </c>
      <c r="G12" s="50">
        <v>0</v>
      </c>
      <c r="H12" s="50">
        <v>1</v>
      </c>
      <c r="I12" s="50">
        <v>1</v>
      </c>
      <c r="J12" s="50">
        <v>2</v>
      </c>
      <c r="K12" s="50">
        <v>2</v>
      </c>
      <c r="L12" s="50">
        <v>0</v>
      </c>
      <c r="M12" s="50">
        <v>12</v>
      </c>
      <c r="N12" s="50">
        <v>0</v>
      </c>
      <c r="O12" s="15">
        <f t="shared" si="0"/>
        <v>15</v>
      </c>
      <c r="P12" s="15">
        <f t="shared" si="1"/>
        <v>27</v>
      </c>
      <c r="R12" s="1" t="s">
        <v>8</v>
      </c>
      <c r="S12" s="17">
        <f t="shared" ref="S12:AF12" si="4">SUM(C18:C21)</f>
        <v>11</v>
      </c>
      <c r="T12" s="17">
        <f t="shared" si="4"/>
        <v>5</v>
      </c>
      <c r="U12" s="17">
        <f t="shared" si="4"/>
        <v>12</v>
      </c>
      <c r="V12" s="17">
        <f t="shared" si="4"/>
        <v>28</v>
      </c>
      <c r="W12" s="17">
        <f t="shared" si="4"/>
        <v>0</v>
      </c>
      <c r="X12" s="17">
        <f t="shared" si="4"/>
        <v>1</v>
      </c>
      <c r="Y12" s="17">
        <f t="shared" si="4"/>
        <v>6</v>
      </c>
      <c r="Z12" s="17">
        <f t="shared" si="4"/>
        <v>4</v>
      </c>
      <c r="AA12" s="17">
        <f t="shared" si="4"/>
        <v>7</v>
      </c>
      <c r="AB12" s="17">
        <f t="shared" si="4"/>
        <v>1</v>
      </c>
      <c r="AC12" s="17">
        <f t="shared" si="4"/>
        <v>49</v>
      </c>
      <c r="AD12" s="17">
        <f t="shared" si="4"/>
        <v>0</v>
      </c>
      <c r="AE12" s="31">
        <f t="shared" si="4"/>
        <v>75</v>
      </c>
      <c r="AF12" s="31">
        <f t="shared" si="4"/>
        <v>124</v>
      </c>
    </row>
    <row r="13" spans="2:32" ht="23.1" customHeight="1" x14ac:dyDescent="0.25">
      <c r="B13" s="23" t="s">
        <v>40</v>
      </c>
      <c r="C13" s="50">
        <v>3</v>
      </c>
      <c r="D13" s="50">
        <v>1</v>
      </c>
      <c r="E13" s="50">
        <v>1</v>
      </c>
      <c r="F13" s="50">
        <v>3</v>
      </c>
      <c r="G13" s="50">
        <v>0</v>
      </c>
      <c r="H13" s="50">
        <v>0</v>
      </c>
      <c r="I13" s="50">
        <v>1</v>
      </c>
      <c r="J13" s="50">
        <v>2</v>
      </c>
      <c r="K13" s="50">
        <v>1</v>
      </c>
      <c r="L13" s="50">
        <v>0</v>
      </c>
      <c r="M13" s="50">
        <v>14</v>
      </c>
      <c r="N13" s="50">
        <v>0</v>
      </c>
      <c r="O13" s="15">
        <f t="shared" si="0"/>
        <v>12</v>
      </c>
      <c r="P13" s="15">
        <f t="shared" si="1"/>
        <v>26</v>
      </c>
      <c r="R13" s="1" t="s">
        <v>9</v>
      </c>
      <c r="S13" s="17">
        <f t="shared" ref="S13:AF13" si="5">SUM(C22:C25)</f>
        <v>9</v>
      </c>
      <c r="T13" s="17">
        <f t="shared" si="5"/>
        <v>4</v>
      </c>
      <c r="U13" s="17">
        <f t="shared" si="5"/>
        <v>11</v>
      </c>
      <c r="V13" s="17">
        <f t="shared" si="5"/>
        <v>28</v>
      </c>
      <c r="W13" s="17">
        <f t="shared" si="5"/>
        <v>1</v>
      </c>
      <c r="X13" s="17">
        <f t="shared" si="5"/>
        <v>1</v>
      </c>
      <c r="Y13" s="17">
        <f t="shared" si="5"/>
        <v>1</v>
      </c>
      <c r="Z13" s="17">
        <f t="shared" si="5"/>
        <v>4</v>
      </c>
      <c r="AA13" s="17">
        <f t="shared" si="5"/>
        <v>0</v>
      </c>
      <c r="AB13" s="17">
        <f t="shared" si="5"/>
        <v>1</v>
      </c>
      <c r="AC13" s="17">
        <f t="shared" si="5"/>
        <v>55</v>
      </c>
      <c r="AD13" s="17">
        <f t="shared" si="5"/>
        <v>1</v>
      </c>
      <c r="AE13" s="31">
        <f t="shared" si="5"/>
        <v>61</v>
      </c>
      <c r="AF13" s="31">
        <f t="shared" si="5"/>
        <v>116</v>
      </c>
    </row>
    <row r="14" spans="2:32" ht="23.1" customHeight="1" x14ac:dyDescent="0.25">
      <c r="B14" s="23" t="s">
        <v>41</v>
      </c>
      <c r="C14" s="50">
        <v>2</v>
      </c>
      <c r="D14" s="50">
        <v>1</v>
      </c>
      <c r="E14" s="50">
        <v>2</v>
      </c>
      <c r="F14" s="50">
        <v>3</v>
      </c>
      <c r="G14" s="50">
        <v>0</v>
      </c>
      <c r="H14" s="50">
        <v>1</v>
      </c>
      <c r="I14" s="50">
        <v>1</v>
      </c>
      <c r="J14" s="50">
        <v>1</v>
      </c>
      <c r="K14" s="50">
        <v>1</v>
      </c>
      <c r="L14" s="50">
        <v>0</v>
      </c>
      <c r="M14" s="50">
        <v>14</v>
      </c>
      <c r="N14" s="50">
        <v>0</v>
      </c>
      <c r="O14" s="15">
        <f t="shared" si="0"/>
        <v>12</v>
      </c>
      <c r="P14" s="15">
        <f t="shared" si="1"/>
        <v>26</v>
      </c>
      <c r="R14" s="1" t="s">
        <v>10</v>
      </c>
      <c r="S14" s="17">
        <f t="shared" ref="S14:AF14" si="6">SUM(C26:C29)</f>
        <v>14</v>
      </c>
      <c r="T14" s="17">
        <f t="shared" si="6"/>
        <v>7</v>
      </c>
      <c r="U14" s="17">
        <f t="shared" si="6"/>
        <v>10</v>
      </c>
      <c r="V14" s="17">
        <f t="shared" si="6"/>
        <v>39</v>
      </c>
      <c r="W14" s="17">
        <f t="shared" si="6"/>
        <v>2</v>
      </c>
      <c r="X14" s="17">
        <f t="shared" si="6"/>
        <v>1</v>
      </c>
      <c r="Y14" s="17">
        <f t="shared" si="6"/>
        <v>7</v>
      </c>
      <c r="Z14" s="17">
        <f t="shared" si="6"/>
        <v>4</v>
      </c>
      <c r="AA14" s="17">
        <f t="shared" si="6"/>
        <v>1</v>
      </c>
      <c r="AB14" s="17">
        <f t="shared" si="6"/>
        <v>1</v>
      </c>
      <c r="AC14" s="17">
        <f t="shared" si="6"/>
        <v>74</v>
      </c>
      <c r="AD14" s="17">
        <f t="shared" si="6"/>
        <v>2</v>
      </c>
      <c r="AE14" s="31">
        <f t="shared" si="6"/>
        <v>88</v>
      </c>
      <c r="AF14" s="31">
        <f t="shared" si="6"/>
        <v>162</v>
      </c>
    </row>
    <row r="15" spans="2:32" ht="23.1" customHeight="1" x14ac:dyDescent="0.25">
      <c r="B15" s="23" t="s">
        <v>42</v>
      </c>
      <c r="C15" s="50">
        <v>2</v>
      </c>
      <c r="D15" s="50">
        <v>2</v>
      </c>
      <c r="E15" s="50">
        <v>1</v>
      </c>
      <c r="F15" s="50">
        <v>9</v>
      </c>
      <c r="G15" s="50">
        <v>0</v>
      </c>
      <c r="H15" s="50">
        <v>0</v>
      </c>
      <c r="I15" s="50">
        <v>0</v>
      </c>
      <c r="J15" s="50">
        <v>3</v>
      </c>
      <c r="K15" s="50">
        <v>0</v>
      </c>
      <c r="L15" s="50">
        <v>0</v>
      </c>
      <c r="M15" s="50">
        <v>15</v>
      </c>
      <c r="N15" s="50">
        <v>0</v>
      </c>
      <c r="O15" s="15">
        <f t="shared" si="0"/>
        <v>17</v>
      </c>
      <c r="P15" s="15">
        <f t="shared" si="1"/>
        <v>32</v>
      </c>
      <c r="R15" s="1" t="s">
        <v>11</v>
      </c>
      <c r="S15" s="17">
        <f t="shared" ref="S15:AF15" si="7">SUM(C30:C33)</f>
        <v>21</v>
      </c>
      <c r="T15" s="17">
        <f t="shared" si="7"/>
        <v>12</v>
      </c>
      <c r="U15" s="17">
        <f t="shared" si="7"/>
        <v>9</v>
      </c>
      <c r="V15" s="17">
        <f t="shared" si="7"/>
        <v>39</v>
      </c>
      <c r="W15" s="17">
        <f t="shared" si="7"/>
        <v>5</v>
      </c>
      <c r="X15" s="17">
        <f t="shared" si="7"/>
        <v>0</v>
      </c>
      <c r="Y15" s="17">
        <f t="shared" si="7"/>
        <v>7</v>
      </c>
      <c r="Z15" s="17">
        <f t="shared" si="7"/>
        <v>9</v>
      </c>
      <c r="AA15" s="17">
        <f t="shared" si="7"/>
        <v>4</v>
      </c>
      <c r="AB15" s="17">
        <f t="shared" si="7"/>
        <v>1</v>
      </c>
      <c r="AC15" s="17">
        <f t="shared" si="7"/>
        <v>73</v>
      </c>
      <c r="AD15" s="17">
        <f t="shared" si="7"/>
        <v>0</v>
      </c>
      <c r="AE15" s="31">
        <f t="shared" si="7"/>
        <v>107</v>
      </c>
      <c r="AF15" s="31">
        <f t="shared" si="7"/>
        <v>180</v>
      </c>
    </row>
    <row r="16" spans="2:32" ht="23.1" customHeight="1" x14ac:dyDescent="0.25">
      <c r="B16" s="23" t="s">
        <v>43</v>
      </c>
      <c r="C16" s="50">
        <v>5</v>
      </c>
      <c r="D16" s="50">
        <v>2</v>
      </c>
      <c r="E16" s="50">
        <v>3</v>
      </c>
      <c r="F16" s="50">
        <v>3</v>
      </c>
      <c r="G16" s="50">
        <v>0</v>
      </c>
      <c r="H16" s="50">
        <v>0</v>
      </c>
      <c r="I16" s="50">
        <v>0</v>
      </c>
      <c r="J16" s="50">
        <v>1</v>
      </c>
      <c r="K16" s="50">
        <v>2</v>
      </c>
      <c r="L16" s="50">
        <v>0</v>
      </c>
      <c r="M16" s="50">
        <v>10</v>
      </c>
      <c r="N16" s="50">
        <v>0</v>
      </c>
      <c r="O16" s="15">
        <f t="shared" si="0"/>
        <v>16</v>
      </c>
      <c r="P16" s="15">
        <f t="shared" si="1"/>
        <v>26</v>
      </c>
      <c r="R16" s="1" t="s">
        <v>12</v>
      </c>
      <c r="S16" s="17">
        <f t="shared" ref="S16:AF16" si="8">SUM(C34:C37)</f>
        <v>24</v>
      </c>
      <c r="T16" s="17">
        <f t="shared" si="8"/>
        <v>8</v>
      </c>
      <c r="U16" s="17">
        <f t="shared" si="8"/>
        <v>10</v>
      </c>
      <c r="V16" s="17">
        <f t="shared" si="8"/>
        <v>45</v>
      </c>
      <c r="W16" s="17">
        <f t="shared" si="8"/>
        <v>8</v>
      </c>
      <c r="X16" s="17">
        <f t="shared" si="8"/>
        <v>2</v>
      </c>
      <c r="Y16" s="17">
        <f t="shared" si="8"/>
        <v>4</v>
      </c>
      <c r="Z16" s="17">
        <f t="shared" si="8"/>
        <v>5</v>
      </c>
      <c r="AA16" s="17">
        <f t="shared" si="8"/>
        <v>4</v>
      </c>
      <c r="AB16" s="17">
        <f t="shared" si="8"/>
        <v>1</v>
      </c>
      <c r="AC16" s="17">
        <f t="shared" si="8"/>
        <v>68</v>
      </c>
      <c r="AD16" s="17">
        <f t="shared" si="8"/>
        <v>1</v>
      </c>
      <c r="AE16" s="31">
        <f t="shared" si="8"/>
        <v>112</v>
      </c>
      <c r="AF16" s="31">
        <f t="shared" si="8"/>
        <v>180</v>
      </c>
    </row>
    <row r="17" spans="2:32" ht="23.1" customHeight="1" x14ac:dyDescent="0.25">
      <c r="B17" s="23" t="s">
        <v>44</v>
      </c>
      <c r="C17" s="50">
        <v>3</v>
      </c>
      <c r="D17" s="50">
        <v>1</v>
      </c>
      <c r="E17" s="50">
        <v>0</v>
      </c>
      <c r="F17" s="50">
        <v>6</v>
      </c>
      <c r="G17" s="50">
        <v>0</v>
      </c>
      <c r="H17" s="50">
        <v>0</v>
      </c>
      <c r="I17" s="50">
        <v>2</v>
      </c>
      <c r="J17" s="50">
        <v>2</v>
      </c>
      <c r="K17" s="50">
        <v>1</v>
      </c>
      <c r="L17" s="50">
        <v>0</v>
      </c>
      <c r="M17" s="50">
        <v>7</v>
      </c>
      <c r="N17" s="50">
        <v>0</v>
      </c>
      <c r="O17" s="15">
        <f t="shared" si="0"/>
        <v>15</v>
      </c>
      <c r="P17" s="15">
        <f t="shared" si="1"/>
        <v>22</v>
      </c>
      <c r="R17" s="1" t="s">
        <v>13</v>
      </c>
      <c r="S17" s="17">
        <f t="shared" ref="S17:AF17" si="9">SUM(C38:C41)</f>
        <v>20</v>
      </c>
      <c r="T17" s="17">
        <f t="shared" si="9"/>
        <v>9</v>
      </c>
      <c r="U17" s="17">
        <f t="shared" si="9"/>
        <v>9</v>
      </c>
      <c r="V17" s="17">
        <f t="shared" si="9"/>
        <v>43</v>
      </c>
      <c r="W17" s="17">
        <f t="shared" si="9"/>
        <v>9</v>
      </c>
      <c r="X17" s="17">
        <f t="shared" si="9"/>
        <v>1</v>
      </c>
      <c r="Y17" s="17">
        <f t="shared" si="9"/>
        <v>4</v>
      </c>
      <c r="Z17" s="17">
        <f t="shared" si="9"/>
        <v>6</v>
      </c>
      <c r="AA17" s="17">
        <f t="shared" si="9"/>
        <v>4</v>
      </c>
      <c r="AB17" s="17">
        <f t="shared" si="9"/>
        <v>2</v>
      </c>
      <c r="AC17" s="17">
        <f t="shared" si="9"/>
        <v>53</v>
      </c>
      <c r="AD17" s="17">
        <f t="shared" si="9"/>
        <v>0</v>
      </c>
      <c r="AE17" s="31">
        <f t="shared" si="9"/>
        <v>107</v>
      </c>
      <c r="AF17" s="31">
        <f t="shared" si="9"/>
        <v>160</v>
      </c>
    </row>
    <row r="18" spans="2:32" ht="23.1" customHeight="1" x14ac:dyDescent="0.25">
      <c r="B18" s="23" t="s">
        <v>45</v>
      </c>
      <c r="C18" s="50">
        <v>2</v>
      </c>
      <c r="D18" s="50">
        <v>2</v>
      </c>
      <c r="E18" s="50">
        <v>1</v>
      </c>
      <c r="F18" s="50">
        <v>6</v>
      </c>
      <c r="G18" s="50">
        <v>0</v>
      </c>
      <c r="H18" s="50">
        <v>0</v>
      </c>
      <c r="I18" s="50">
        <v>2</v>
      </c>
      <c r="J18" s="50">
        <v>0</v>
      </c>
      <c r="K18" s="50">
        <v>4</v>
      </c>
      <c r="L18" s="50">
        <v>1</v>
      </c>
      <c r="M18" s="50">
        <v>15</v>
      </c>
      <c r="N18" s="50">
        <v>0</v>
      </c>
      <c r="O18" s="15">
        <f t="shared" si="0"/>
        <v>18</v>
      </c>
      <c r="P18" s="15">
        <f t="shared" si="1"/>
        <v>33</v>
      </c>
      <c r="R18" s="1" t="s">
        <v>14</v>
      </c>
      <c r="S18" s="17">
        <f t="shared" ref="S18:AF18" si="10">SUM(C42:C45)</f>
        <v>19</v>
      </c>
      <c r="T18" s="17">
        <f t="shared" si="10"/>
        <v>3</v>
      </c>
      <c r="U18" s="17">
        <f t="shared" si="10"/>
        <v>11</v>
      </c>
      <c r="V18" s="17">
        <f t="shared" si="10"/>
        <v>43</v>
      </c>
      <c r="W18" s="17">
        <f t="shared" si="10"/>
        <v>5</v>
      </c>
      <c r="X18" s="17">
        <f t="shared" si="10"/>
        <v>0</v>
      </c>
      <c r="Y18" s="17">
        <f t="shared" si="10"/>
        <v>2</v>
      </c>
      <c r="Z18" s="17">
        <f t="shared" si="10"/>
        <v>3</v>
      </c>
      <c r="AA18" s="17">
        <f t="shared" si="10"/>
        <v>6</v>
      </c>
      <c r="AB18" s="17">
        <f t="shared" si="10"/>
        <v>0</v>
      </c>
      <c r="AC18" s="17">
        <f t="shared" si="10"/>
        <v>39</v>
      </c>
      <c r="AD18" s="17">
        <f t="shared" si="10"/>
        <v>0</v>
      </c>
      <c r="AE18" s="31">
        <f t="shared" si="10"/>
        <v>92</v>
      </c>
      <c r="AF18" s="31">
        <f t="shared" si="10"/>
        <v>131</v>
      </c>
    </row>
    <row r="19" spans="2:32" ht="23.1" customHeight="1" x14ac:dyDescent="0.25">
      <c r="B19" s="23" t="s">
        <v>46</v>
      </c>
      <c r="C19" s="50">
        <v>3</v>
      </c>
      <c r="D19" s="50">
        <v>1</v>
      </c>
      <c r="E19" s="50">
        <v>2</v>
      </c>
      <c r="F19" s="50">
        <v>6</v>
      </c>
      <c r="G19" s="50">
        <v>0</v>
      </c>
      <c r="H19" s="50">
        <v>0</v>
      </c>
      <c r="I19" s="50">
        <v>3</v>
      </c>
      <c r="J19" s="50">
        <v>2</v>
      </c>
      <c r="K19" s="50">
        <v>1</v>
      </c>
      <c r="L19" s="50">
        <v>0</v>
      </c>
      <c r="M19" s="50">
        <v>9</v>
      </c>
      <c r="N19" s="50">
        <v>0</v>
      </c>
      <c r="O19" s="15">
        <f t="shared" si="0"/>
        <v>18</v>
      </c>
      <c r="P19" s="15">
        <f t="shared" si="1"/>
        <v>27</v>
      </c>
      <c r="R19" s="1" t="s">
        <v>15</v>
      </c>
      <c r="S19" s="17">
        <f t="shared" ref="S19:AF19" si="11">SUM(C46:C49)</f>
        <v>19</v>
      </c>
      <c r="T19" s="17">
        <f t="shared" si="11"/>
        <v>7</v>
      </c>
      <c r="U19" s="17">
        <f t="shared" si="11"/>
        <v>12</v>
      </c>
      <c r="V19" s="17">
        <f t="shared" si="11"/>
        <v>37</v>
      </c>
      <c r="W19" s="17">
        <f t="shared" si="11"/>
        <v>2</v>
      </c>
      <c r="X19" s="17">
        <f t="shared" si="11"/>
        <v>3</v>
      </c>
      <c r="Y19" s="17">
        <f t="shared" si="11"/>
        <v>7</v>
      </c>
      <c r="Z19" s="17">
        <f t="shared" si="11"/>
        <v>7</v>
      </c>
      <c r="AA19" s="17">
        <f t="shared" si="11"/>
        <v>4</v>
      </c>
      <c r="AB19" s="17">
        <f t="shared" si="11"/>
        <v>0</v>
      </c>
      <c r="AC19" s="17">
        <f t="shared" si="11"/>
        <v>49</v>
      </c>
      <c r="AD19" s="17">
        <f t="shared" si="11"/>
        <v>0</v>
      </c>
      <c r="AE19" s="31">
        <f t="shared" si="11"/>
        <v>98</v>
      </c>
      <c r="AF19" s="31">
        <f t="shared" si="11"/>
        <v>147</v>
      </c>
    </row>
    <row r="20" spans="2:32" ht="23.1" customHeight="1" x14ac:dyDescent="0.25">
      <c r="B20" s="23" t="s">
        <v>47</v>
      </c>
      <c r="C20" s="50">
        <v>5</v>
      </c>
      <c r="D20" s="50">
        <v>1</v>
      </c>
      <c r="E20" s="50">
        <v>6</v>
      </c>
      <c r="F20" s="50">
        <v>8</v>
      </c>
      <c r="G20" s="50">
        <v>0</v>
      </c>
      <c r="H20" s="50">
        <v>1</v>
      </c>
      <c r="I20" s="50">
        <v>1</v>
      </c>
      <c r="J20" s="50">
        <v>1</v>
      </c>
      <c r="K20" s="50">
        <v>2</v>
      </c>
      <c r="L20" s="50">
        <v>0</v>
      </c>
      <c r="M20" s="50">
        <v>14</v>
      </c>
      <c r="N20" s="50">
        <v>0</v>
      </c>
      <c r="O20" s="15">
        <f t="shared" si="0"/>
        <v>25</v>
      </c>
      <c r="P20" s="15">
        <f t="shared" si="1"/>
        <v>39</v>
      </c>
      <c r="R20" s="1" t="s">
        <v>16</v>
      </c>
      <c r="S20" s="17">
        <f t="shared" ref="S20:AF20" si="12">SUM(C50:C53)</f>
        <v>11</v>
      </c>
      <c r="T20" s="17">
        <f t="shared" si="12"/>
        <v>12</v>
      </c>
      <c r="U20" s="17">
        <f t="shared" si="12"/>
        <v>18</v>
      </c>
      <c r="V20" s="17">
        <f t="shared" si="12"/>
        <v>33</v>
      </c>
      <c r="W20" s="17">
        <f t="shared" si="12"/>
        <v>0</v>
      </c>
      <c r="X20" s="17">
        <f t="shared" si="12"/>
        <v>2</v>
      </c>
      <c r="Y20" s="17">
        <f t="shared" si="12"/>
        <v>5</v>
      </c>
      <c r="Z20" s="17">
        <f t="shared" si="12"/>
        <v>8</v>
      </c>
      <c r="AA20" s="17">
        <f t="shared" si="12"/>
        <v>4</v>
      </c>
      <c r="AB20" s="17">
        <f t="shared" si="12"/>
        <v>1</v>
      </c>
      <c r="AC20" s="17">
        <f t="shared" si="12"/>
        <v>60</v>
      </c>
      <c r="AD20" s="17">
        <f t="shared" si="12"/>
        <v>0</v>
      </c>
      <c r="AE20" s="31">
        <f t="shared" si="12"/>
        <v>94</v>
      </c>
      <c r="AF20" s="31">
        <f t="shared" si="12"/>
        <v>154</v>
      </c>
    </row>
    <row r="21" spans="2:32" ht="23.1" customHeight="1" x14ac:dyDescent="0.25">
      <c r="B21" s="23" t="s">
        <v>48</v>
      </c>
      <c r="C21" s="50">
        <v>1</v>
      </c>
      <c r="D21" s="50">
        <v>1</v>
      </c>
      <c r="E21" s="50">
        <v>3</v>
      </c>
      <c r="F21" s="50">
        <v>8</v>
      </c>
      <c r="G21" s="50">
        <v>0</v>
      </c>
      <c r="H21" s="50">
        <v>0</v>
      </c>
      <c r="I21" s="50">
        <v>0</v>
      </c>
      <c r="J21" s="50">
        <v>1</v>
      </c>
      <c r="K21" s="50">
        <v>0</v>
      </c>
      <c r="L21" s="50">
        <v>0</v>
      </c>
      <c r="M21" s="50">
        <v>11</v>
      </c>
      <c r="N21" s="50">
        <v>0</v>
      </c>
      <c r="O21" s="15">
        <f t="shared" si="0"/>
        <v>14</v>
      </c>
      <c r="P21" s="15">
        <f t="shared" si="1"/>
        <v>25</v>
      </c>
      <c r="R21" s="36" t="s">
        <v>20</v>
      </c>
      <c r="S21" s="34">
        <f t="shared" ref="S21:AF21" si="13">SUM(C54:C57)</f>
        <v>8</v>
      </c>
      <c r="T21" s="17">
        <f t="shared" si="13"/>
        <v>6</v>
      </c>
      <c r="U21" s="17">
        <f t="shared" si="13"/>
        <v>5</v>
      </c>
      <c r="V21" s="17">
        <f t="shared" si="13"/>
        <v>29</v>
      </c>
      <c r="W21" s="17">
        <f t="shared" si="13"/>
        <v>0</v>
      </c>
      <c r="X21" s="17">
        <f t="shared" si="13"/>
        <v>1</v>
      </c>
      <c r="Y21" s="17">
        <f t="shared" si="13"/>
        <v>4</v>
      </c>
      <c r="Z21" s="17">
        <f t="shared" si="13"/>
        <v>9</v>
      </c>
      <c r="AA21" s="17">
        <f t="shared" si="13"/>
        <v>1</v>
      </c>
      <c r="AB21" s="17">
        <f t="shared" si="13"/>
        <v>2</v>
      </c>
      <c r="AC21" s="17">
        <f t="shared" si="13"/>
        <v>69</v>
      </c>
      <c r="AD21" s="17">
        <f t="shared" si="13"/>
        <v>0</v>
      </c>
      <c r="AE21" s="31">
        <f t="shared" si="13"/>
        <v>65</v>
      </c>
      <c r="AF21" s="31">
        <f t="shared" si="13"/>
        <v>134</v>
      </c>
    </row>
    <row r="22" spans="2:32" ht="23.1" customHeight="1" x14ac:dyDescent="0.25">
      <c r="B22" s="23" t="s">
        <v>49</v>
      </c>
      <c r="C22" s="50">
        <v>2</v>
      </c>
      <c r="D22" s="50">
        <v>0</v>
      </c>
      <c r="E22" s="50">
        <v>4</v>
      </c>
      <c r="F22" s="50">
        <v>4</v>
      </c>
      <c r="G22" s="50">
        <v>0</v>
      </c>
      <c r="H22" s="50">
        <v>0</v>
      </c>
      <c r="I22" s="50">
        <v>0</v>
      </c>
      <c r="J22" s="50">
        <v>2</v>
      </c>
      <c r="K22" s="50">
        <v>0</v>
      </c>
      <c r="L22" s="50">
        <v>0</v>
      </c>
      <c r="M22" s="50">
        <v>8</v>
      </c>
      <c r="N22" s="50">
        <v>0</v>
      </c>
      <c r="O22" s="15">
        <f t="shared" si="0"/>
        <v>12</v>
      </c>
      <c r="P22" s="15">
        <f t="shared" si="1"/>
        <v>20</v>
      </c>
      <c r="R22" s="38" t="s">
        <v>90</v>
      </c>
      <c r="S22" s="39">
        <f>MAX(S10:S12)</f>
        <v>12</v>
      </c>
      <c r="T22" s="39">
        <f t="shared" ref="T22:AF22" si="14">MAX(T10:T12)</f>
        <v>6</v>
      </c>
      <c r="U22" s="39">
        <f t="shared" si="14"/>
        <v>12</v>
      </c>
      <c r="V22" s="39">
        <f t="shared" si="14"/>
        <v>28</v>
      </c>
      <c r="W22" s="39">
        <f t="shared" si="14"/>
        <v>0</v>
      </c>
      <c r="X22" s="39">
        <f t="shared" si="14"/>
        <v>1</v>
      </c>
      <c r="Y22" s="39">
        <f t="shared" si="14"/>
        <v>6</v>
      </c>
      <c r="Z22" s="39">
        <f t="shared" si="14"/>
        <v>9</v>
      </c>
      <c r="AA22" s="39">
        <f t="shared" si="14"/>
        <v>7</v>
      </c>
      <c r="AB22" s="39">
        <f t="shared" si="14"/>
        <v>1</v>
      </c>
      <c r="AC22" s="39">
        <f t="shared" si="14"/>
        <v>49</v>
      </c>
      <c r="AD22" s="39">
        <f t="shared" si="14"/>
        <v>0</v>
      </c>
      <c r="AE22" s="40">
        <f t="shared" si="14"/>
        <v>75</v>
      </c>
      <c r="AF22" s="40">
        <f t="shared" si="14"/>
        <v>124</v>
      </c>
    </row>
    <row r="23" spans="2:32" ht="23.1" customHeight="1" x14ac:dyDescent="0.25">
      <c r="B23" s="23" t="s">
        <v>50</v>
      </c>
      <c r="C23" s="50">
        <v>1</v>
      </c>
      <c r="D23" s="50">
        <v>0</v>
      </c>
      <c r="E23" s="50">
        <v>4</v>
      </c>
      <c r="F23" s="50">
        <v>6</v>
      </c>
      <c r="G23" s="50">
        <v>1</v>
      </c>
      <c r="H23" s="50">
        <v>0</v>
      </c>
      <c r="I23" s="50">
        <v>0</v>
      </c>
      <c r="J23" s="50">
        <v>1</v>
      </c>
      <c r="K23" s="50">
        <v>0</v>
      </c>
      <c r="L23" s="50">
        <v>0</v>
      </c>
      <c r="M23" s="50">
        <v>16</v>
      </c>
      <c r="N23" s="50">
        <v>0</v>
      </c>
      <c r="O23" s="15">
        <f t="shared" si="0"/>
        <v>13</v>
      </c>
      <c r="P23" s="15">
        <f t="shared" si="1"/>
        <v>29</v>
      </c>
      <c r="R23" s="38" t="s">
        <v>91</v>
      </c>
      <c r="S23" s="39">
        <f>MAX(S13:S18)</f>
        <v>24</v>
      </c>
      <c r="T23" s="39">
        <f t="shared" ref="T23:AF23" si="15">MAX(T13:T18)</f>
        <v>12</v>
      </c>
      <c r="U23" s="39">
        <f t="shared" si="15"/>
        <v>11</v>
      </c>
      <c r="V23" s="39">
        <f t="shared" si="15"/>
        <v>45</v>
      </c>
      <c r="W23" s="39">
        <f t="shared" si="15"/>
        <v>9</v>
      </c>
      <c r="X23" s="39">
        <f t="shared" si="15"/>
        <v>2</v>
      </c>
      <c r="Y23" s="39">
        <f t="shared" si="15"/>
        <v>7</v>
      </c>
      <c r="Z23" s="39">
        <f t="shared" si="15"/>
        <v>9</v>
      </c>
      <c r="AA23" s="39">
        <f t="shared" si="15"/>
        <v>6</v>
      </c>
      <c r="AB23" s="39">
        <f t="shared" si="15"/>
        <v>2</v>
      </c>
      <c r="AC23" s="39">
        <f t="shared" si="15"/>
        <v>74</v>
      </c>
      <c r="AD23" s="39">
        <f t="shared" si="15"/>
        <v>2</v>
      </c>
      <c r="AE23" s="40">
        <f t="shared" si="15"/>
        <v>112</v>
      </c>
      <c r="AF23" s="40">
        <f t="shared" si="15"/>
        <v>180</v>
      </c>
    </row>
    <row r="24" spans="2:32" ht="23.1" customHeight="1" x14ac:dyDescent="0.25">
      <c r="B24" s="23" t="s">
        <v>51</v>
      </c>
      <c r="C24" s="50">
        <v>3</v>
      </c>
      <c r="D24" s="50">
        <v>1</v>
      </c>
      <c r="E24" s="50">
        <v>2</v>
      </c>
      <c r="F24" s="50">
        <v>9</v>
      </c>
      <c r="G24" s="50">
        <v>0</v>
      </c>
      <c r="H24" s="50">
        <v>0</v>
      </c>
      <c r="I24" s="50">
        <v>1</v>
      </c>
      <c r="J24" s="50">
        <v>0</v>
      </c>
      <c r="K24" s="50">
        <v>0</v>
      </c>
      <c r="L24" s="50">
        <v>0</v>
      </c>
      <c r="M24" s="50">
        <v>14</v>
      </c>
      <c r="N24" s="50">
        <v>1</v>
      </c>
      <c r="O24" s="15">
        <f t="shared" si="0"/>
        <v>17</v>
      </c>
      <c r="P24" s="15">
        <f t="shared" si="1"/>
        <v>31</v>
      </c>
      <c r="R24" s="38" t="s">
        <v>92</v>
      </c>
      <c r="S24" s="39">
        <f>MAX(S19:S21)</f>
        <v>19</v>
      </c>
      <c r="T24" s="39">
        <f t="shared" ref="T24:AF24" si="16">MAX(T19:T21)</f>
        <v>12</v>
      </c>
      <c r="U24" s="39">
        <f t="shared" si="16"/>
        <v>18</v>
      </c>
      <c r="V24" s="39">
        <f t="shared" si="16"/>
        <v>37</v>
      </c>
      <c r="W24" s="39">
        <f t="shared" si="16"/>
        <v>2</v>
      </c>
      <c r="X24" s="39">
        <f t="shared" si="16"/>
        <v>3</v>
      </c>
      <c r="Y24" s="39">
        <f t="shared" si="16"/>
        <v>7</v>
      </c>
      <c r="Z24" s="39">
        <f t="shared" si="16"/>
        <v>9</v>
      </c>
      <c r="AA24" s="39">
        <f t="shared" si="16"/>
        <v>4</v>
      </c>
      <c r="AB24" s="39">
        <f t="shared" si="16"/>
        <v>2</v>
      </c>
      <c r="AC24" s="39">
        <f t="shared" si="16"/>
        <v>69</v>
      </c>
      <c r="AD24" s="39">
        <f t="shared" si="16"/>
        <v>0</v>
      </c>
      <c r="AE24" s="40">
        <f t="shared" si="16"/>
        <v>98</v>
      </c>
      <c r="AF24" s="40">
        <f t="shared" si="16"/>
        <v>154</v>
      </c>
    </row>
    <row r="25" spans="2:32" ht="23.1" customHeight="1" x14ac:dyDescent="0.25">
      <c r="B25" s="23" t="s">
        <v>52</v>
      </c>
      <c r="C25" s="50">
        <v>3</v>
      </c>
      <c r="D25" s="50">
        <v>3</v>
      </c>
      <c r="E25" s="50">
        <v>1</v>
      </c>
      <c r="F25" s="50">
        <v>9</v>
      </c>
      <c r="G25" s="50">
        <v>0</v>
      </c>
      <c r="H25" s="50">
        <v>1</v>
      </c>
      <c r="I25" s="50">
        <v>0</v>
      </c>
      <c r="J25" s="50">
        <v>1</v>
      </c>
      <c r="K25" s="50">
        <v>0</v>
      </c>
      <c r="L25" s="50">
        <v>1</v>
      </c>
      <c r="M25" s="50">
        <v>17</v>
      </c>
      <c r="N25" s="50">
        <v>0</v>
      </c>
      <c r="O25" s="15">
        <f t="shared" si="0"/>
        <v>19</v>
      </c>
      <c r="P25" s="15">
        <f t="shared" si="1"/>
        <v>36</v>
      </c>
      <c r="R25" s="37" t="s">
        <v>85</v>
      </c>
      <c r="S25" s="35">
        <f t="shared" ref="S25:AF25" si="17">SUM(S10:S12)</f>
        <v>30</v>
      </c>
      <c r="T25" s="16">
        <f t="shared" si="17"/>
        <v>13</v>
      </c>
      <c r="U25" s="16">
        <f t="shared" si="17"/>
        <v>24</v>
      </c>
      <c r="V25" s="16">
        <f t="shared" si="17"/>
        <v>61</v>
      </c>
      <c r="W25" s="16">
        <f t="shared" si="17"/>
        <v>0</v>
      </c>
      <c r="X25" s="16">
        <f t="shared" si="17"/>
        <v>3</v>
      </c>
      <c r="Y25" s="16">
        <f t="shared" si="17"/>
        <v>12</v>
      </c>
      <c r="Z25" s="16">
        <f t="shared" si="17"/>
        <v>20</v>
      </c>
      <c r="AA25" s="16">
        <f t="shared" si="17"/>
        <v>14</v>
      </c>
      <c r="AB25" s="16">
        <f t="shared" si="17"/>
        <v>1</v>
      </c>
      <c r="AC25" s="16">
        <f t="shared" si="17"/>
        <v>136</v>
      </c>
      <c r="AD25" s="16">
        <f t="shared" si="17"/>
        <v>0</v>
      </c>
      <c r="AE25" s="32">
        <f t="shared" si="17"/>
        <v>178</v>
      </c>
      <c r="AF25" s="32">
        <f t="shared" si="17"/>
        <v>314</v>
      </c>
    </row>
    <row r="26" spans="2:32" ht="23.1" customHeight="1" x14ac:dyDescent="0.25">
      <c r="B26" s="23" t="s">
        <v>53</v>
      </c>
      <c r="C26" s="50">
        <v>2</v>
      </c>
      <c r="D26" s="50">
        <v>3</v>
      </c>
      <c r="E26" s="50">
        <v>1</v>
      </c>
      <c r="F26" s="50">
        <v>11</v>
      </c>
      <c r="G26" s="50">
        <v>0</v>
      </c>
      <c r="H26" s="50">
        <v>0</v>
      </c>
      <c r="I26" s="50">
        <v>1</v>
      </c>
      <c r="J26" s="50">
        <v>0</v>
      </c>
      <c r="K26" s="50">
        <v>0</v>
      </c>
      <c r="L26" s="50">
        <v>1</v>
      </c>
      <c r="M26" s="50">
        <v>17</v>
      </c>
      <c r="N26" s="50">
        <v>0</v>
      </c>
      <c r="O26" s="15">
        <f t="shared" si="0"/>
        <v>19</v>
      </c>
      <c r="P26" s="15">
        <f t="shared" si="1"/>
        <v>36</v>
      </c>
      <c r="R26" s="28" t="s">
        <v>86</v>
      </c>
      <c r="S26" s="16">
        <f t="shared" ref="S26:AF26" si="18">SUM(S13:S18)</f>
        <v>107</v>
      </c>
      <c r="T26" s="16">
        <f t="shared" si="18"/>
        <v>43</v>
      </c>
      <c r="U26" s="16">
        <f t="shared" si="18"/>
        <v>60</v>
      </c>
      <c r="V26" s="16">
        <f t="shared" si="18"/>
        <v>237</v>
      </c>
      <c r="W26" s="16">
        <f t="shared" si="18"/>
        <v>30</v>
      </c>
      <c r="X26" s="16">
        <f t="shared" si="18"/>
        <v>5</v>
      </c>
      <c r="Y26" s="16">
        <f t="shared" si="18"/>
        <v>25</v>
      </c>
      <c r="Z26" s="16">
        <f t="shared" si="18"/>
        <v>31</v>
      </c>
      <c r="AA26" s="16">
        <f t="shared" si="18"/>
        <v>19</v>
      </c>
      <c r="AB26" s="16">
        <f t="shared" si="18"/>
        <v>6</v>
      </c>
      <c r="AC26" s="16">
        <f t="shared" si="18"/>
        <v>362</v>
      </c>
      <c r="AD26" s="16">
        <f t="shared" si="18"/>
        <v>4</v>
      </c>
      <c r="AE26" s="32">
        <f t="shared" si="18"/>
        <v>567</v>
      </c>
      <c r="AF26" s="32">
        <f t="shared" si="18"/>
        <v>929</v>
      </c>
    </row>
    <row r="27" spans="2:32" ht="23.1" customHeight="1" x14ac:dyDescent="0.25">
      <c r="B27" s="23" t="s">
        <v>54</v>
      </c>
      <c r="C27" s="50">
        <v>4</v>
      </c>
      <c r="D27" s="50">
        <v>2</v>
      </c>
      <c r="E27" s="50">
        <v>2</v>
      </c>
      <c r="F27" s="50">
        <v>12</v>
      </c>
      <c r="G27" s="50">
        <v>0</v>
      </c>
      <c r="H27" s="50">
        <v>0</v>
      </c>
      <c r="I27" s="50">
        <v>2</v>
      </c>
      <c r="J27" s="50">
        <v>2</v>
      </c>
      <c r="K27" s="50">
        <v>0</v>
      </c>
      <c r="L27" s="50">
        <v>0</v>
      </c>
      <c r="M27" s="50">
        <v>23</v>
      </c>
      <c r="N27" s="50">
        <v>0</v>
      </c>
      <c r="O27" s="15">
        <f t="shared" si="0"/>
        <v>24</v>
      </c>
      <c r="P27" s="15">
        <f t="shared" si="1"/>
        <v>47</v>
      </c>
      <c r="R27" s="29" t="s">
        <v>87</v>
      </c>
      <c r="S27" s="16">
        <f t="shared" ref="S27:AF27" si="19">SUM(S19:S21)</f>
        <v>38</v>
      </c>
      <c r="T27" s="16">
        <f t="shared" si="19"/>
        <v>25</v>
      </c>
      <c r="U27" s="16">
        <f t="shared" si="19"/>
        <v>35</v>
      </c>
      <c r="V27" s="16">
        <f t="shared" si="19"/>
        <v>99</v>
      </c>
      <c r="W27" s="16">
        <f t="shared" si="19"/>
        <v>2</v>
      </c>
      <c r="X27" s="16">
        <f t="shared" si="19"/>
        <v>6</v>
      </c>
      <c r="Y27" s="16">
        <f t="shared" si="19"/>
        <v>16</v>
      </c>
      <c r="Z27" s="16">
        <f t="shared" si="19"/>
        <v>24</v>
      </c>
      <c r="AA27" s="16">
        <f t="shared" si="19"/>
        <v>9</v>
      </c>
      <c r="AB27" s="16">
        <f t="shared" si="19"/>
        <v>3</v>
      </c>
      <c r="AC27" s="16">
        <f t="shared" si="19"/>
        <v>178</v>
      </c>
      <c r="AD27" s="16">
        <f t="shared" si="19"/>
        <v>0</v>
      </c>
      <c r="AE27" s="32">
        <f t="shared" si="19"/>
        <v>257</v>
      </c>
      <c r="AF27" s="32">
        <f t="shared" si="19"/>
        <v>435</v>
      </c>
    </row>
    <row r="28" spans="2:32" ht="23.1" customHeight="1" x14ac:dyDescent="0.25">
      <c r="B28" s="23" t="s">
        <v>55</v>
      </c>
      <c r="C28" s="50">
        <v>4</v>
      </c>
      <c r="D28" s="50">
        <v>2</v>
      </c>
      <c r="E28" s="50">
        <v>2</v>
      </c>
      <c r="F28" s="50">
        <v>7</v>
      </c>
      <c r="G28" s="50">
        <v>1</v>
      </c>
      <c r="H28" s="50">
        <v>0</v>
      </c>
      <c r="I28" s="50">
        <v>2</v>
      </c>
      <c r="J28" s="50">
        <v>0</v>
      </c>
      <c r="K28" s="50">
        <v>1</v>
      </c>
      <c r="L28" s="50">
        <v>0</v>
      </c>
      <c r="M28" s="50">
        <v>14</v>
      </c>
      <c r="N28" s="50">
        <v>0</v>
      </c>
      <c r="O28" s="15">
        <f t="shared" si="0"/>
        <v>19</v>
      </c>
      <c r="P28" s="15">
        <f t="shared" si="1"/>
        <v>33</v>
      </c>
      <c r="R28" s="5" t="s">
        <v>17</v>
      </c>
      <c r="S28" s="16">
        <f t="shared" ref="S28:AF28" si="20">SUM(S10:S21)</f>
        <v>175</v>
      </c>
      <c r="T28" s="16">
        <f t="shared" si="20"/>
        <v>81</v>
      </c>
      <c r="U28" s="16">
        <f t="shared" si="20"/>
        <v>119</v>
      </c>
      <c r="V28" s="16">
        <f t="shared" si="20"/>
        <v>397</v>
      </c>
      <c r="W28" s="16">
        <f t="shared" si="20"/>
        <v>32</v>
      </c>
      <c r="X28" s="16">
        <f t="shared" si="20"/>
        <v>14</v>
      </c>
      <c r="Y28" s="16">
        <f t="shared" si="20"/>
        <v>53</v>
      </c>
      <c r="Z28" s="16">
        <f t="shared" si="20"/>
        <v>75</v>
      </c>
      <c r="AA28" s="16">
        <f t="shared" si="20"/>
        <v>42</v>
      </c>
      <c r="AB28" s="16">
        <f t="shared" si="20"/>
        <v>10</v>
      </c>
      <c r="AC28" s="16">
        <f t="shared" si="20"/>
        <v>676</v>
      </c>
      <c r="AD28" s="16">
        <f t="shared" si="20"/>
        <v>4</v>
      </c>
      <c r="AE28" s="32">
        <f t="shared" si="20"/>
        <v>1002</v>
      </c>
      <c r="AF28" s="32">
        <f t="shared" si="20"/>
        <v>1678</v>
      </c>
    </row>
    <row r="29" spans="2:32" ht="23.1" customHeight="1" x14ac:dyDescent="0.25">
      <c r="B29" s="23" t="s">
        <v>56</v>
      </c>
      <c r="C29" s="50">
        <v>4</v>
      </c>
      <c r="D29" s="50">
        <v>0</v>
      </c>
      <c r="E29" s="50">
        <v>5</v>
      </c>
      <c r="F29" s="50">
        <v>9</v>
      </c>
      <c r="G29" s="50">
        <v>1</v>
      </c>
      <c r="H29" s="50">
        <v>1</v>
      </c>
      <c r="I29" s="50">
        <v>2</v>
      </c>
      <c r="J29" s="50">
        <v>2</v>
      </c>
      <c r="K29" s="50">
        <v>0</v>
      </c>
      <c r="L29" s="50">
        <v>0</v>
      </c>
      <c r="M29" s="50">
        <v>20</v>
      </c>
      <c r="N29" s="50">
        <v>2</v>
      </c>
      <c r="O29" s="15">
        <f t="shared" si="0"/>
        <v>26</v>
      </c>
      <c r="P29" s="15">
        <f t="shared" si="1"/>
        <v>46</v>
      </c>
      <c r="R29"/>
      <c r="S29" s="20"/>
      <c r="T29" s="19"/>
    </row>
    <row r="30" spans="2:32" ht="23.1" customHeight="1" x14ac:dyDescent="0.25">
      <c r="B30" s="23" t="s">
        <v>57</v>
      </c>
      <c r="C30" s="50">
        <v>3</v>
      </c>
      <c r="D30" s="50">
        <v>4</v>
      </c>
      <c r="E30" s="50">
        <v>4</v>
      </c>
      <c r="F30" s="50">
        <v>14</v>
      </c>
      <c r="G30" s="50">
        <v>2</v>
      </c>
      <c r="H30" s="50">
        <v>0</v>
      </c>
      <c r="I30" s="50">
        <v>0</v>
      </c>
      <c r="J30" s="50">
        <v>3</v>
      </c>
      <c r="K30" s="50">
        <v>3</v>
      </c>
      <c r="L30" s="50">
        <v>0</v>
      </c>
      <c r="M30" s="50">
        <v>15</v>
      </c>
      <c r="N30" s="50">
        <v>0</v>
      </c>
      <c r="O30" s="15">
        <f t="shared" si="0"/>
        <v>33</v>
      </c>
      <c r="P30" s="15">
        <f t="shared" si="1"/>
        <v>48</v>
      </c>
    </row>
    <row r="31" spans="2:32" ht="23.1" customHeight="1" x14ac:dyDescent="0.25">
      <c r="B31" s="24" t="s">
        <v>58</v>
      </c>
      <c r="C31" s="50">
        <v>8</v>
      </c>
      <c r="D31" s="50">
        <v>3</v>
      </c>
      <c r="E31" s="50">
        <v>2</v>
      </c>
      <c r="F31" s="50">
        <v>6</v>
      </c>
      <c r="G31" s="50">
        <v>1</v>
      </c>
      <c r="H31" s="50">
        <v>0</v>
      </c>
      <c r="I31" s="50">
        <v>0</v>
      </c>
      <c r="J31" s="50">
        <v>3</v>
      </c>
      <c r="K31" s="50">
        <v>1</v>
      </c>
      <c r="L31" s="50">
        <v>0</v>
      </c>
      <c r="M31" s="50">
        <v>16</v>
      </c>
      <c r="N31" s="50">
        <v>0</v>
      </c>
      <c r="O31" s="15">
        <f t="shared" si="0"/>
        <v>24</v>
      </c>
      <c r="P31" s="15">
        <f t="shared" si="1"/>
        <v>40</v>
      </c>
    </row>
    <row r="32" spans="2:32" ht="23.1" customHeight="1" x14ac:dyDescent="0.25">
      <c r="B32" s="24" t="s">
        <v>59</v>
      </c>
      <c r="C32" s="50">
        <v>6</v>
      </c>
      <c r="D32" s="50">
        <v>3</v>
      </c>
      <c r="E32" s="50">
        <v>3</v>
      </c>
      <c r="F32" s="50">
        <v>11</v>
      </c>
      <c r="G32" s="50">
        <v>1</v>
      </c>
      <c r="H32" s="50">
        <v>0</v>
      </c>
      <c r="I32" s="50">
        <v>4</v>
      </c>
      <c r="J32" s="50">
        <v>0</v>
      </c>
      <c r="K32" s="50">
        <v>0</v>
      </c>
      <c r="L32" s="50">
        <v>1</v>
      </c>
      <c r="M32" s="50">
        <v>17</v>
      </c>
      <c r="N32" s="50">
        <v>0</v>
      </c>
      <c r="O32" s="15">
        <f t="shared" si="0"/>
        <v>29</v>
      </c>
      <c r="P32" s="15">
        <f t="shared" si="1"/>
        <v>46</v>
      </c>
    </row>
    <row r="33" spans="2:20" ht="23.1" customHeight="1" x14ac:dyDescent="0.25">
      <c r="B33" s="23" t="s">
        <v>60</v>
      </c>
      <c r="C33" s="50">
        <v>4</v>
      </c>
      <c r="D33" s="50">
        <v>2</v>
      </c>
      <c r="E33" s="50">
        <v>0</v>
      </c>
      <c r="F33" s="50">
        <v>8</v>
      </c>
      <c r="G33" s="50">
        <v>1</v>
      </c>
      <c r="H33" s="50">
        <v>0</v>
      </c>
      <c r="I33" s="50">
        <v>3</v>
      </c>
      <c r="J33" s="50">
        <v>3</v>
      </c>
      <c r="K33" s="50">
        <v>0</v>
      </c>
      <c r="L33" s="50">
        <v>0</v>
      </c>
      <c r="M33" s="50">
        <v>25</v>
      </c>
      <c r="N33" s="50">
        <v>0</v>
      </c>
      <c r="O33" s="15">
        <f t="shared" si="0"/>
        <v>21</v>
      </c>
      <c r="P33" s="15">
        <f t="shared" si="1"/>
        <v>46</v>
      </c>
    </row>
    <row r="34" spans="2:20" ht="23.1" customHeight="1" x14ac:dyDescent="0.25">
      <c r="B34" s="24" t="s">
        <v>61</v>
      </c>
      <c r="C34" s="50">
        <v>1</v>
      </c>
      <c r="D34" s="50">
        <v>1</v>
      </c>
      <c r="E34" s="50">
        <v>2</v>
      </c>
      <c r="F34" s="50">
        <v>10</v>
      </c>
      <c r="G34" s="50">
        <v>2</v>
      </c>
      <c r="H34" s="50">
        <v>0</v>
      </c>
      <c r="I34" s="50">
        <v>1</v>
      </c>
      <c r="J34" s="50">
        <v>0</v>
      </c>
      <c r="K34" s="50">
        <v>0</v>
      </c>
      <c r="L34" s="50">
        <v>0</v>
      </c>
      <c r="M34" s="50">
        <v>19</v>
      </c>
      <c r="N34" s="50">
        <v>0</v>
      </c>
      <c r="O34" s="15">
        <f t="shared" si="0"/>
        <v>17</v>
      </c>
      <c r="P34" s="15">
        <f t="shared" si="1"/>
        <v>36</v>
      </c>
    </row>
    <row r="35" spans="2:20" ht="23.1" customHeight="1" x14ac:dyDescent="0.25">
      <c r="B35" s="24" t="s">
        <v>62</v>
      </c>
      <c r="C35" s="50">
        <v>9</v>
      </c>
      <c r="D35" s="50">
        <v>1</v>
      </c>
      <c r="E35" s="50">
        <v>3</v>
      </c>
      <c r="F35" s="50">
        <v>12</v>
      </c>
      <c r="G35" s="50">
        <v>3</v>
      </c>
      <c r="H35" s="50">
        <v>0</v>
      </c>
      <c r="I35" s="50">
        <v>2</v>
      </c>
      <c r="J35" s="50">
        <v>2</v>
      </c>
      <c r="K35" s="50">
        <v>0</v>
      </c>
      <c r="L35" s="50">
        <v>0</v>
      </c>
      <c r="M35" s="50">
        <v>18</v>
      </c>
      <c r="N35" s="50">
        <v>1</v>
      </c>
      <c r="O35" s="15">
        <f t="shared" si="0"/>
        <v>33</v>
      </c>
      <c r="P35" s="15">
        <f t="shared" si="1"/>
        <v>51</v>
      </c>
    </row>
    <row r="36" spans="2:20" ht="23.1" customHeight="1" x14ac:dyDescent="0.25">
      <c r="B36" s="24" t="s">
        <v>63</v>
      </c>
      <c r="C36" s="50">
        <v>10</v>
      </c>
      <c r="D36" s="50">
        <v>2</v>
      </c>
      <c r="E36" s="50">
        <v>2</v>
      </c>
      <c r="F36" s="50">
        <v>12</v>
      </c>
      <c r="G36" s="50">
        <v>1</v>
      </c>
      <c r="H36" s="50">
        <v>0</v>
      </c>
      <c r="I36" s="50">
        <v>0</v>
      </c>
      <c r="J36" s="50">
        <v>0</v>
      </c>
      <c r="K36" s="50">
        <v>2</v>
      </c>
      <c r="L36" s="50">
        <v>0</v>
      </c>
      <c r="M36" s="50">
        <v>10</v>
      </c>
      <c r="N36" s="50">
        <v>0</v>
      </c>
      <c r="O36" s="15">
        <f t="shared" si="0"/>
        <v>29</v>
      </c>
      <c r="P36" s="15">
        <f t="shared" si="1"/>
        <v>39</v>
      </c>
    </row>
    <row r="37" spans="2:20" ht="23.1" customHeight="1" x14ac:dyDescent="0.25">
      <c r="B37" s="23" t="s">
        <v>64</v>
      </c>
      <c r="C37" s="50">
        <v>4</v>
      </c>
      <c r="D37" s="50">
        <v>4</v>
      </c>
      <c r="E37" s="50">
        <v>3</v>
      </c>
      <c r="F37" s="50">
        <v>11</v>
      </c>
      <c r="G37" s="50">
        <v>2</v>
      </c>
      <c r="H37" s="50">
        <v>2</v>
      </c>
      <c r="I37" s="50">
        <v>1</v>
      </c>
      <c r="J37" s="50">
        <v>3</v>
      </c>
      <c r="K37" s="50">
        <v>2</v>
      </c>
      <c r="L37" s="50">
        <v>1</v>
      </c>
      <c r="M37" s="50">
        <v>21</v>
      </c>
      <c r="N37" s="50">
        <v>0</v>
      </c>
      <c r="O37" s="15">
        <f t="shared" si="0"/>
        <v>33</v>
      </c>
      <c r="P37" s="15">
        <f t="shared" si="1"/>
        <v>54</v>
      </c>
    </row>
    <row r="38" spans="2:20" ht="23.1" customHeight="1" x14ac:dyDescent="0.25">
      <c r="B38" s="24" t="s">
        <v>65</v>
      </c>
      <c r="C38" s="50">
        <v>2</v>
      </c>
      <c r="D38" s="50">
        <v>2</v>
      </c>
      <c r="E38" s="50">
        <v>3</v>
      </c>
      <c r="F38" s="50">
        <v>12</v>
      </c>
      <c r="G38" s="50">
        <v>1</v>
      </c>
      <c r="H38" s="50">
        <v>0</v>
      </c>
      <c r="I38" s="50">
        <v>0</v>
      </c>
      <c r="J38" s="50">
        <v>0</v>
      </c>
      <c r="K38" s="50">
        <v>1</v>
      </c>
      <c r="L38" s="50">
        <v>1</v>
      </c>
      <c r="M38" s="50">
        <v>14</v>
      </c>
      <c r="N38" s="50">
        <v>0</v>
      </c>
      <c r="O38" s="15">
        <f t="shared" si="0"/>
        <v>22</v>
      </c>
      <c r="P38" s="15">
        <f t="shared" si="1"/>
        <v>36</v>
      </c>
    </row>
    <row r="39" spans="2:20" ht="23.1" customHeight="1" x14ac:dyDescent="0.25">
      <c r="B39" s="24" t="s">
        <v>66</v>
      </c>
      <c r="C39" s="50">
        <v>6</v>
      </c>
      <c r="D39" s="50">
        <v>4</v>
      </c>
      <c r="E39" s="50">
        <v>3</v>
      </c>
      <c r="F39" s="50">
        <v>14</v>
      </c>
      <c r="G39" s="50">
        <v>0</v>
      </c>
      <c r="H39" s="50">
        <v>0</v>
      </c>
      <c r="I39" s="50">
        <v>2</v>
      </c>
      <c r="J39" s="50">
        <v>2</v>
      </c>
      <c r="K39" s="50">
        <v>1</v>
      </c>
      <c r="L39" s="50">
        <v>0</v>
      </c>
      <c r="M39" s="50">
        <v>16</v>
      </c>
      <c r="N39" s="50">
        <v>0</v>
      </c>
      <c r="O39" s="15">
        <f t="shared" si="0"/>
        <v>32</v>
      </c>
      <c r="P39" s="15">
        <f t="shared" si="1"/>
        <v>48</v>
      </c>
    </row>
    <row r="40" spans="2:20" ht="23.1" customHeight="1" x14ac:dyDescent="0.25">
      <c r="B40" s="24" t="s">
        <v>67</v>
      </c>
      <c r="C40" s="50">
        <v>5</v>
      </c>
      <c r="D40" s="50">
        <v>1</v>
      </c>
      <c r="E40" s="50">
        <v>1</v>
      </c>
      <c r="F40" s="50">
        <v>10</v>
      </c>
      <c r="G40" s="50">
        <v>2</v>
      </c>
      <c r="H40" s="50">
        <v>0</v>
      </c>
      <c r="I40" s="50">
        <v>1</v>
      </c>
      <c r="J40" s="50">
        <v>4</v>
      </c>
      <c r="K40" s="50">
        <v>1</v>
      </c>
      <c r="L40" s="50">
        <v>0</v>
      </c>
      <c r="M40" s="50">
        <v>16</v>
      </c>
      <c r="N40" s="50">
        <v>0</v>
      </c>
      <c r="O40" s="15">
        <f t="shared" si="0"/>
        <v>25</v>
      </c>
      <c r="P40" s="15">
        <f t="shared" si="1"/>
        <v>41</v>
      </c>
    </row>
    <row r="41" spans="2:20" ht="23.1" customHeight="1" x14ac:dyDescent="0.25">
      <c r="B41" s="23" t="s">
        <v>68</v>
      </c>
      <c r="C41" s="50">
        <v>7</v>
      </c>
      <c r="D41" s="50">
        <v>2</v>
      </c>
      <c r="E41" s="50">
        <v>2</v>
      </c>
      <c r="F41" s="50">
        <v>7</v>
      </c>
      <c r="G41" s="50">
        <v>6</v>
      </c>
      <c r="H41" s="50">
        <v>1</v>
      </c>
      <c r="I41" s="50">
        <v>1</v>
      </c>
      <c r="J41" s="50">
        <v>0</v>
      </c>
      <c r="K41" s="50">
        <v>1</v>
      </c>
      <c r="L41" s="50">
        <v>1</v>
      </c>
      <c r="M41" s="50">
        <v>7</v>
      </c>
      <c r="N41" s="50">
        <v>0</v>
      </c>
      <c r="O41" s="15">
        <f t="shared" si="0"/>
        <v>28</v>
      </c>
      <c r="P41" s="15">
        <f t="shared" si="1"/>
        <v>35</v>
      </c>
    </row>
    <row r="42" spans="2:20" ht="23.1" customHeight="1" x14ac:dyDescent="0.25">
      <c r="B42" s="24" t="s">
        <v>69</v>
      </c>
      <c r="C42" s="50">
        <v>5</v>
      </c>
      <c r="D42" s="50">
        <v>1</v>
      </c>
      <c r="E42" s="50">
        <v>4</v>
      </c>
      <c r="F42" s="50">
        <v>13</v>
      </c>
      <c r="G42" s="50">
        <v>3</v>
      </c>
      <c r="H42" s="50">
        <v>0</v>
      </c>
      <c r="I42" s="50">
        <v>0</v>
      </c>
      <c r="J42" s="50">
        <v>0</v>
      </c>
      <c r="K42" s="50">
        <v>1</v>
      </c>
      <c r="L42" s="50">
        <v>0</v>
      </c>
      <c r="M42" s="50">
        <v>8</v>
      </c>
      <c r="N42" s="50">
        <v>0</v>
      </c>
      <c r="O42" s="15">
        <f t="shared" si="0"/>
        <v>27</v>
      </c>
      <c r="P42" s="15">
        <f t="shared" si="1"/>
        <v>35</v>
      </c>
    </row>
    <row r="43" spans="2:20" ht="23.1" customHeight="1" x14ac:dyDescent="0.25">
      <c r="B43" s="23" t="s">
        <v>70</v>
      </c>
      <c r="C43" s="50">
        <v>4</v>
      </c>
      <c r="D43" s="50">
        <v>0</v>
      </c>
      <c r="E43" s="50">
        <v>1</v>
      </c>
      <c r="F43" s="50">
        <v>9</v>
      </c>
      <c r="G43" s="50">
        <v>0</v>
      </c>
      <c r="H43" s="50">
        <v>0</v>
      </c>
      <c r="I43" s="50">
        <v>0</v>
      </c>
      <c r="J43" s="50">
        <v>0</v>
      </c>
      <c r="K43" s="50">
        <v>3</v>
      </c>
      <c r="L43" s="50">
        <v>0</v>
      </c>
      <c r="M43" s="50">
        <v>8</v>
      </c>
      <c r="N43" s="50">
        <v>0</v>
      </c>
      <c r="O43" s="15">
        <f t="shared" si="0"/>
        <v>17</v>
      </c>
      <c r="P43" s="15">
        <f t="shared" si="1"/>
        <v>25</v>
      </c>
    </row>
    <row r="44" spans="2:20" ht="23.1" customHeight="1" x14ac:dyDescent="0.25">
      <c r="B44" s="25" t="s">
        <v>71</v>
      </c>
      <c r="C44" s="50">
        <v>7</v>
      </c>
      <c r="D44" s="50">
        <v>0</v>
      </c>
      <c r="E44" s="50">
        <v>2</v>
      </c>
      <c r="F44" s="50">
        <v>12</v>
      </c>
      <c r="G44" s="50">
        <v>1</v>
      </c>
      <c r="H44" s="50">
        <v>0</v>
      </c>
      <c r="I44" s="50">
        <v>2</v>
      </c>
      <c r="J44" s="50">
        <v>0</v>
      </c>
      <c r="K44" s="50">
        <v>1</v>
      </c>
      <c r="L44" s="50">
        <v>0</v>
      </c>
      <c r="M44" s="50">
        <v>10</v>
      </c>
      <c r="N44" s="50">
        <v>0</v>
      </c>
      <c r="O44" s="15">
        <f t="shared" si="0"/>
        <v>25</v>
      </c>
      <c r="P44" s="15">
        <f t="shared" si="1"/>
        <v>35</v>
      </c>
    </row>
    <row r="45" spans="2:20" ht="23.1" customHeight="1" x14ac:dyDescent="0.25">
      <c r="B45" s="23" t="s">
        <v>72</v>
      </c>
      <c r="C45" s="50">
        <v>3</v>
      </c>
      <c r="D45" s="50">
        <v>2</v>
      </c>
      <c r="E45" s="50">
        <v>4</v>
      </c>
      <c r="F45" s="50">
        <v>9</v>
      </c>
      <c r="G45" s="50">
        <v>1</v>
      </c>
      <c r="H45" s="50">
        <v>0</v>
      </c>
      <c r="I45" s="50">
        <v>0</v>
      </c>
      <c r="J45" s="50">
        <v>3</v>
      </c>
      <c r="K45" s="50">
        <v>1</v>
      </c>
      <c r="L45" s="50">
        <v>0</v>
      </c>
      <c r="M45" s="50">
        <v>13</v>
      </c>
      <c r="N45" s="50">
        <v>0</v>
      </c>
      <c r="O45" s="15">
        <f t="shared" si="0"/>
        <v>23</v>
      </c>
      <c r="P45" s="15">
        <f t="shared" si="1"/>
        <v>36</v>
      </c>
    </row>
    <row r="46" spans="2:20" ht="23.1" customHeight="1" x14ac:dyDescent="0.25">
      <c r="B46" s="24" t="s">
        <v>73</v>
      </c>
      <c r="C46" s="50">
        <v>7</v>
      </c>
      <c r="D46" s="50">
        <v>3</v>
      </c>
      <c r="E46" s="50">
        <v>4</v>
      </c>
      <c r="F46" s="50">
        <v>16</v>
      </c>
      <c r="G46" s="50">
        <v>0</v>
      </c>
      <c r="H46" s="50">
        <v>1</v>
      </c>
      <c r="I46" s="50">
        <v>4</v>
      </c>
      <c r="J46" s="50">
        <v>3</v>
      </c>
      <c r="K46" s="50">
        <v>0</v>
      </c>
      <c r="L46" s="50">
        <v>0</v>
      </c>
      <c r="M46" s="50">
        <v>15</v>
      </c>
      <c r="N46" s="50">
        <v>0</v>
      </c>
      <c r="O46" s="15">
        <f t="shared" si="0"/>
        <v>38</v>
      </c>
      <c r="P46" s="15">
        <f t="shared" si="1"/>
        <v>53</v>
      </c>
      <c r="R46" s="8"/>
      <c r="T46"/>
    </row>
    <row r="47" spans="2:20" ht="23.1" customHeight="1" x14ac:dyDescent="0.25">
      <c r="B47" s="24" t="s">
        <v>74</v>
      </c>
      <c r="C47" s="50">
        <v>5</v>
      </c>
      <c r="D47" s="50">
        <v>2</v>
      </c>
      <c r="E47" s="50">
        <v>0</v>
      </c>
      <c r="F47" s="50">
        <v>8</v>
      </c>
      <c r="G47" s="50">
        <v>0</v>
      </c>
      <c r="H47" s="50">
        <v>1</v>
      </c>
      <c r="I47" s="50">
        <v>2</v>
      </c>
      <c r="J47" s="50">
        <v>3</v>
      </c>
      <c r="K47" s="50">
        <v>1</v>
      </c>
      <c r="L47" s="50">
        <v>0</v>
      </c>
      <c r="M47" s="50">
        <v>12</v>
      </c>
      <c r="N47" s="50">
        <v>0</v>
      </c>
      <c r="O47" s="15">
        <f t="shared" si="0"/>
        <v>22</v>
      </c>
      <c r="P47" s="15">
        <f t="shared" si="1"/>
        <v>34</v>
      </c>
      <c r="R47" s="8"/>
      <c r="T47"/>
    </row>
    <row r="48" spans="2:20" ht="23.1" customHeight="1" x14ac:dyDescent="0.25">
      <c r="B48" s="24" t="s">
        <v>75</v>
      </c>
      <c r="C48" s="50">
        <v>4</v>
      </c>
      <c r="D48" s="50">
        <v>1</v>
      </c>
      <c r="E48" s="50">
        <v>4</v>
      </c>
      <c r="F48" s="50">
        <v>6</v>
      </c>
      <c r="G48" s="50">
        <v>0</v>
      </c>
      <c r="H48" s="50">
        <v>0</v>
      </c>
      <c r="I48" s="50">
        <v>0</v>
      </c>
      <c r="J48" s="50">
        <v>0</v>
      </c>
      <c r="K48" s="50">
        <v>2</v>
      </c>
      <c r="L48" s="50">
        <v>0</v>
      </c>
      <c r="M48" s="50">
        <v>15</v>
      </c>
      <c r="N48" s="50">
        <v>0</v>
      </c>
      <c r="O48" s="15">
        <f t="shared" si="0"/>
        <v>17</v>
      </c>
      <c r="P48" s="15">
        <f t="shared" si="1"/>
        <v>32</v>
      </c>
      <c r="R48" s="8"/>
      <c r="T48"/>
    </row>
    <row r="49" spans="2:20" ht="23.1" customHeight="1" x14ac:dyDescent="0.25">
      <c r="B49" s="23" t="s">
        <v>76</v>
      </c>
      <c r="C49" s="50">
        <v>3</v>
      </c>
      <c r="D49" s="50">
        <v>1</v>
      </c>
      <c r="E49" s="50">
        <v>4</v>
      </c>
      <c r="F49" s="50">
        <v>7</v>
      </c>
      <c r="G49" s="50">
        <v>2</v>
      </c>
      <c r="H49" s="50">
        <v>1</v>
      </c>
      <c r="I49" s="50">
        <v>1</v>
      </c>
      <c r="J49" s="50">
        <v>1</v>
      </c>
      <c r="K49" s="50">
        <v>1</v>
      </c>
      <c r="L49" s="50">
        <v>0</v>
      </c>
      <c r="M49" s="50">
        <v>7</v>
      </c>
      <c r="N49" s="50">
        <v>0</v>
      </c>
      <c r="O49" s="15">
        <f t="shared" si="0"/>
        <v>21</v>
      </c>
      <c r="P49" s="15">
        <f t="shared" si="1"/>
        <v>28</v>
      </c>
      <c r="R49" s="8"/>
      <c r="T49"/>
    </row>
    <row r="50" spans="2:20" ht="23.1" customHeight="1" x14ac:dyDescent="0.25">
      <c r="B50" s="24" t="s">
        <v>77</v>
      </c>
      <c r="C50" s="50">
        <v>3</v>
      </c>
      <c r="D50" s="50">
        <v>4</v>
      </c>
      <c r="E50" s="50">
        <v>6</v>
      </c>
      <c r="F50" s="50">
        <v>6</v>
      </c>
      <c r="G50" s="50">
        <v>0</v>
      </c>
      <c r="H50" s="50">
        <v>0</v>
      </c>
      <c r="I50" s="50">
        <v>2</v>
      </c>
      <c r="J50" s="50">
        <v>2</v>
      </c>
      <c r="K50" s="50">
        <v>2</v>
      </c>
      <c r="L50" s="50">
        <v>1</v>
      </c>
      <c r="M50" s="50">
        <v>14</v>
      </c>
      <c r="N50" s="50">
        <v>0</v>
      </c>
      <c r="O50" s="15">
        <f t="shared" si="0"/>
        <v>26</v>
      </c>
      <c r="P50" s="15">
        <f t="shared" si="1"/>
        <v>40</v>
      </c>
      <c r="R50" s="8"/>
      <c r="T50"/>
    </row>
    <row r="51" spans="2:20" ht="23.1" customHeight="1" x14ac:dyDescent="0.25">
      <c r="B51" s="24" t="s">
        <v>78</v>
      </c>
      <c r="C51" s="50">
        <v>2</v>
      </c>
      <c r="D51" s="50">
        <v>0</v>
      </c>
      <c r="E51" s="50">
        <v>4</v>
      </c>
      <c r="F51" s="50">
        <v>10</v>
      </c>
      <c r="G51" s="50">
        <v>0</v>
      </c>
      <c r="H51" s="50">
        <v>2</v>
      </c>
      <c r="I51" s="50">
        <v>0</v>
      </c>
      <c r="J51" s="50">
        <v>3</v>
      </c>
      <c r="K51" s="50">
        <v>0</v>
      </c>
      <c r="L51" s="50">
        <v>0</v>
      </c>
      <c r="M51" s="50">
        <v>14</v>
      </c>
      <c r="N51" s="50">
        <v>0</v>
      </c>
      <c r="O51" s="15">
        <f t="shared" si="0"/>
        <v>21</v>
      </c>
      <c r="P51" s="15">
        <f t="shared" si="1"/>
        <v>35</v>
      </c>
      <c r="R51" s="8"/>
      <c r="T51"/>
    </row>
    <row r="52" spans="2:20" ht="23.1" customHeight="1" x14ac:dyDescent="0.25">
      <c r="B52" s="24" t="s">
        <v>79</v>
      </c>
      <c r="C52" s="50">
        <v>5</v>
      </c>
      <c r="D52" s="50">
        <v>5</v>
      </c>
      <c r="E52" s="50">
        <v>5</v>
      </c>
      <c r="F52" s="50">
        <v>11</v>
      </c>
      <c r="G52" s="50">
        <v>0</v>
      </c>
      <c r="H52" s="50">
        <v>0</v>
      </c>
      <c r="I52" s="50">
        <v>2</v>
      </c>
      <c r="J52" s="50">
        <v>2</v>
      </c>
      <c r="K52" s="50">
        <v>1</v>
      </c>
      <c r="L52" s="50">
        <v>0</v>
      </c>
      <c r="M52" s="50">
        <v>15</v>
      </c>
      <c r="N52" s="50">
        <v>0</v>
      </c>
      <c r="O52" s="15">
        <f t="shared" si="0"/>
        <v>31</v>
      </c>
      <c r="P52" s="15">
        <f t="shared" si="1"/>
        <v>46</v>
      </c>
      <c r="R52" s="8"/>
      <c r="T52"/>
    </row>
    <row r="53" spans="2:20" ht="23.1" customHeight="1" x14ac:dyDescent="0.25">
      <c r="B53" s="23" t="s">
        <v>80</v>
      </c>
      <c r="C53" s="50">
        <v>1</v>
      </c>
      <c r="D53" s="50">
        <v>3</v>
      </c>
      <c r="E53" s="50">
        <v>3</v>
      </c>
      <c r="F53" s="50">
        <v>6</v>
      </c>
      <c r="G53" s="50">
        <v>0</v>
      </c>
      <c r="H53" s="50">
        <v>0</v>
      </c>
      <c r="I53" s="50">
        <v>1</v>
      </c>
      <c r="J53" s="50">
        <v>1</v>
      </c>
      <c r="K53" s="50">
        <v>1</v>
      </c>
      <c r="L53" s="50">
        <v>0</v>
      </c>
      <c r="M53" s="50">
        <v>17</v>
      </c>
      <c r="N53" s="50">
        <v>0</v>
      </c>
      <c r="O53" s="15">
        <f t="shared" si="0"/>
        <v>16</v>
      </c>
      <c r="P53" s="15">
        <f t="shared" si="1"/>
        <v>33</v>
      </c>
      <c r="R53" s="8"/>
      <c r="T53"/>
    </row>
    <row r="54" spans="2:20" ht="23.1" customHeight="1" x14ac:dyDescent="0.25">
      <c r="B54" s="23" t="s">
        <v>81</v>
      </c>
      <c r="C54" s="50">
        <v>3</v>
      </c>
      <c r="D54" s="50">
        <v>1</v>
      </c>
      <c r="E54" s="50">
        <v>1</v>
      </c>
      <c r="F54" s="50">
        <v>9</v>
      </c>
      <c r="G54" s="50">
        <v>0</v>
      </c>
      <c r="H54" s="50">
        <v>1</v>
      </c>
      <c r="I54" s="50">
        <v>0</v>
      </c>
      <c r="J54" s="50">
        <v>3</v>
      </c>
      <c r="K54" s="50">
        <v>1</v>
      </c>
      <c r="L54" s="50">
        <v>0</v>
      </c>
      <c r="M54" s="50">
        <v>16</v>
      </c>
      <c r="N54" s="50">
        <v>0</v>
      </c>
      <c r="O54" s="15">
        <f t="shared" si="0"/>
        <v>19</v>
      </c>
      <c r="P54" s="15">
        <f t="shared" si="1"/>
        <v>35</v>
      </c>
      <c r="R54" s="8"/>
      <c r="T54"/>
    </row>
    <row r="55" spans="2:20" ht="23.1" customHeight="1" x14ac:dyDescent="0.25">
      <c r="B55" s="23" t="s">
        <v>82</v>
      </c>
      <c r="C55" s="50">
        <v>2</v>
      </c>
      <c r="D55" s="50">
        <v>1</v>
      </c>
      <c r="E55" s="50">
        <v>1</v>
      </c>
      <c r="F55" s="50">
        <v>5</v>
      </c>
      <c r="G55" s="50">
        <v>0</v>
      </c>
      <c r="H55" s="50">
        <v>0</v>
      </c>
      <c r="I55" s="50">
        <v>1</v>
      </c>
      <c r="J55" s="50">
        <v>2</v>
      </c>
      <c r="K55" s="50">
        <v>0</v>
      </c>
      <c r="L55" s="50">
        <v>0</v>
      </c>
      <c r="M55" s="50">
        <v>11</v>
      </c>
      <c r="N55" s="50">
        <v>0</v>
      </c>
      <c r="O55" s="15">
        <f t="shared" si="0"/>
        <v>12</v>
      </c>
      <c r="P55" s="15">
        <f t="shared" si="1"/>
        <v>23</v>
      </c>
      <c r="R55" s="8"/>
      <c r="T55"/>
    </row>
    <row r="56" spans="2:20" ht="23.1" customHeight="1" x14ac:dyDescent="0.25">
      <c r="B56" s="23" t="s">
        <v>83</v>
      </c>
      <c r="C56" s="50">
        <v>2</v>
      </c>
      <c r="D56" s="50">
        <v>2</v>
      </c>
      <c r="E56" s="50">
        <v>1</v>
      </c>
      <c r="F56" s="50">
        <v>7</v>
      </c>
      <c r="G56" s="50">
        <v>0</v>
      </c>
      <c r="H56" s="50">
        <v>0</v>
      </c>
      <c r="I56" s="50">
        <v>2</v>
      </c>
      <c r="J56" s="50">
        <v>1</v>
      </c>
      <c r="K56" s="50">
        <v>0</v>
      </c>
      <c r="L56" s="50">
        <v>0</v>
      </c>
      <c r="M56" s="50">
        <v>24</v>
      </c>
      <c r="N56" s="50">
        <v>0</v>
      </c>
      <c r="O56" s="15">
        <f t="shared" si="0"/>
        <v>15</v>
      </c>
      <c r="P56" s="15">
        <f t="shared" si="1"/>
        <v>39</v>
      </c>
      <c r="R56" s="8"/>
      <c r="T56"/>
    </row>
    <row r="57" spans="2:20" ht="23.1" customHeight="1" x14ac:dyDescent="0.25">
      <c r="B57" s="23" t="s">
        <v>84</v>
      </c>
      <c r="C57" s="50">
        <v>1</v>
      </c>
      <c r="D57" s="50">
        <v>2</v>
      </c>
      <c r="E57" s="50">
        <v>2</v>
      </c>
      <c r="F57" s="50">
        <v>8</v>
      </c>
      <c r="G57" s="50">
        <v>0</v>
      </c>
      <c r="H57" s="50">
        <v>0</v>
      </c>
      <c r="I57" s="50">
        <v>1</v>
      </c>
      <c r="J57" s="50">
        <v>3</v>
      </c>
      <c r="K57" s="50">
        <v>0</v>
      </c>
      <c r="L57" s="50">
        <v>2</v>
      </c>
      <c r="M57" s="50">
        <v>18</v>
      </c>
      <c r="N57" s="50">
        <v>0</v>
      </c>
      <c r="O57" s="15">
        <f t="shared" si="0"/>
        <v>19</v>
      </c>
      <c r="P57" s="15">
        <f t="shared" si="1"/>
        <v>37</v>
      </c>
      <c r="R57" s="8"/>
      <c r="T57"/>
    </row>
    <row r="58" spans="2:20" ht="23.1" customHeight="1" x14ac:dyDescent="0.25">
      <c r="B58" s="26" t="s">
        <v>18</v>
      </c>
      <c r="C58" s="16">
        <f t="shared" ref="C58:P58" si="21">SUM(C10:C57)</f>
        <v>175</v>
      </c>
      <c r="D58" s="16">
        <f t="shared" si="21"/>
        <v>81</v>
      </c>
      <c r="E58" s="16">
        <f t="shared" si="21"/>
        <v>119</v>
      </c>
      <c r="F58" s="16">
        <f t="shared" si="21"/>
        <v>397</v>
      </c>
      <c r="G58" s="16">
        <f t="shared" si="21"/>
        <v>32</v>
      </c>
      <c r="H58" s="16">
        <f t="shared" si="21"/>
        <v>14</v>
      </c>
      <c r="I58" s="16">
        <f t="shared" si="21"/>
        <v>53</v>
      </c>
      <c r="J58" s="16">
        <f t="shared" si="21"/>
        <v>75</v>
      </c>
      <c r="K58" s="16">
        <f t="shared" si="21"/>
        <v>42</v>
      </c>
      <c r="L58" s="16">
        <f t="shared" si="21"/>
        <v>10</v>
      </c>
      <c r="M58" s="16">
        <f t="shared" si="21"/>
        <v>676</v>
      </c>
      <c r="N58" s="16">
        <f t="shared" si="21"/>
        <v>4</v>
      </c>
      <c r="O58" s="16">
        <f t="shared" si="21"/>
        <v>1002</v>
      </c>
      <c r="P58" s="16">
        <f t="shared" si="21"/>
        <v>1678</v>
      </c>
      <c r="R58" s="8"/>
      <c r="T58"/>
    </row>
    <row r="59" spans="2:20" ht="23.1" customHeight="1" x14ac:dyDescent="0.25">
      <c r="B59" s="26" t="s">
        <v>93</v>
      </c>
      <c r="C59" s="43">
        <f t="shared" ref="C59:N59" si="22">C58/$P$58</f>
        <v>0.10429082240762813</v>
      </c>
      <c r="D59" s="43">
        <f t="shared" si="22"/>
        <v>4.8271752085816445E-2</v>
      </c>
      <c r="E59" s="43">
        <f t="shared" si="22"/>
        <v>7.0917759237187128E-2</v>
      </c>
      <c r="F59" s="43">
        <f t="shared" si="22"/>
        <v>0.23659117997616211</v>
      </c>
      <c r="G59" s="43">
        <f t="shared" si="22"/>
        <v>1.9070321811680571E-2</v>
      </c>
      <c r="H59" s="43">
        <f t="shared" si="22"/>
        <v>8.3432657926102508E-3</v>
      </c>
      <c r="I59" s="43">
        <f t="shared" si="22"/>
        <v>3.1585220500595951E-2</v>
      </c>
      <c r="J59" s="43">
        <f t="shared" si="22"/>
        <v>4.4696066746126341E-2</v>
      </c>
      <c r="K59" s="43">
        <f t="shared" si="22"/>
        <v>2.5029797377830752E-2</v>
      </c>
      <c r="L59" s="43">
        <f t="shared" si="22"/>
        <v>5.9594755661501785E-3</v>
      </c>
      <c r="M59" s="43">
        <f t="shared" si="22"/>
        <v>0.40286054827175211</v>
      </c>
      <c r="N59" s="43">
        <f t="shared" si="22"/>
        <v>2.3837902264600714E-3</v>
      </c>
      <c r="R59" s="8"/>
      <c r="T59"/>
    </row>
    <row r="60" spans="2:20" ht="23.1" customHeight="1" x14ac:dyDescent="0.25">
      <c r="B60" s="42" t="s">
        <v>94</v>
      </c>
      <c r="C60" s="44">
        <f>C58/$O$58</f>
        <v>0.17465069860279442</v>
      </c>
      <c r="D60" s="44">
        <f t="shared" ref="D60:N60" si="23">D58/$O$58</f>
        <v>8.0838323353293412E-2</v>
      </c>
      <c r="E60" s="44">
        <f t="shared" si="23"/>
        <v>0.1187624750499002</v>
      </c>
      <c r="F60" s="44">
        <f t="shared" si="23"/>
        <v>0.3962075848303393</v>
      </c>
      <c r="G60" s="44">
        <f t="shared" si="23"/>
        <v>3.1936127744510975E-2</v>
      </c>
      <c r="H60" s="44">
        <f t="shared" si="23"/>
        <v>1.3972055888223553E-2</v>
      </c>
      <c r="I60" s="44">
        <f t="shared" si="23"/>
        <v>5.289421157684631E-2</v>
      </c>
      <c r="J60" s="44">
        <f t="shared" si="23"/>
        <v>7.4850299401197598E-2</v>
      </c>
      <c r="K60" s="44">
        <f t="shared" si="23"/>
        <v>4.1916167664670656E-2</v>
      </c>
      <c r="L60" s="44">
        <f t="shared" si="23"/>
        <v>9.9800399201596807E-3</v>
      </c>
      <c r="M60" s="44"/>
      <c r="N60" s="44">
        <f t="shared" si="23"/>
        <v>3.9920159680638719E-3</v>
      </c>
      <c r="Q60" s="7"/>
      <c r="R60" s="8"/>
      <c r="T60"/>
    </row>
    <row r="61" spans="2:20" ht="20.100000000000001" customHeight="1" x14ac:dyDescent="0.25">
      <c r="B61" s="3"/>
      <c r="C61" s="18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Q61" s="7"/>
      <c r="R61" s="8"/>
      <c r="T61"/>
    </row>
    <row r="62" spans="2:20" ht="20.100000000000001" customHeight="1" x14ac:dyDescent="0.25">
      <c r="B62" s="3"/>
      <c r="C62" s="18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Q62" s="7"/>
      <c r="R62" s="8"/>
      <c r="T62"/>
    </row>
    <row r="63" spans="2:20" ht="20.100000000000001" customHeight="1" x14ac:dyDescent="0.25">
      <c r="B63" s="3"/>
      <c r="C63" s="18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Q63" s="7"/>
    </row>
    <row r="64" spans="2:20" ht="20.100000000000001" customHeight="1" x14ac:dyDescent="0.25">
      <c r="B64" s="3"/>
      <c r="C64" s="18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Q64" s="7"/>
    </row>
    <row r="65" spans="2:20" s="7" customFormat="1" ht="20.100000000000001" customHeight="1" x14ac:dyDescent="0.25"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/>
      <c r="P65"/>
      <c r="S65" s="8"/>
      <c r="T65" s="8"/>
    </row>
    <row r="66" spans="2:20" s="7" customFormat="1" ht="20.100000000000001" customHeight="1" x14ac:dyDescent="0.25"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/>
      <c r="P66"/>
      <c r="S66" s="8"/>
      <c r="T66" s="8"/>
    </row>
    <row r="67" spans="2:20" s="7" customFormat="1" ht="20.100000000000001" customHeight="1" x14ac:dyDescent="0.25"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/>
      <c r="P67"/>
      <c r="S67" s="8"/>
      <c r="T67" s="8"/>
    </row>
    <row r="68" spans="2:20" s="7" customFormat="1" ht="20.100000000000001" customHeight="1" x14ac:dyDescent="0.25"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/>
      <c r="P68"/>
      <c r="S68" s="8"/>
      <c r="T68" s="8"/>
    </row>
    <row r="69" spans="2:20" s="7" customFormat="1" ht="20.100000000000001" customHeight="1" x14ac:dyDescent="0.25"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/>
      <c r="P69"/>
      <c r="S69" s="8"/>
      <c r="T69" s="8"/>
    </row>
    <row r="70" spans="2:20" s="7" customFormat="1" ht="20.100000000000001" customHeight="1" x14ac:dyDescent="0.25"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/>
      <c r="P70"/>
      <c r="S70" s="8"/>
      <c r="T70" s="8"/>
    </row>
    <row r="71" spans="2:20" s="7" customFormat="1" ht="20.100000000000001" customHeight="1" x14ac:dyDescent="0.25"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/>
      <c r="P71"/>
      <c r="S71" s="8"/>
      <c r="T71" s="8"/>
    </row>
    <row r="72" spans="2:20" s="7" customFormat="1" ht="20.100000000000001" customHeight="1" x14ac:dyDescent="0.25"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/>
      <c r="P72"/>
      <c r="S72" s="8"/>
      <c r="T72" s="8"/>
    </row>
    <row r="73" spans="2:20" s="7" customFormat="1" ht="20.100000000000001" customHeight="1" x14ac:dyDescent="0.25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/>
      <c r="P73"/>
      <c r="S73" s="8"/>
      <c r="T73" s="8"/>
    </row>
    <row r="74" spans="2:20" s="7" customFormat="1" ht="20.100000000000001" customHeight="1" x14ac:dyDescent="0.25"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/>
      <c r="P74"/>
      <c r="S74" s="8"/>
      <c r="T74" s="8"/>
    </row>
    <row r="75" spans="2:20" s="7" customFormat="1" ht="20.100000000000001" customHeight="1" x14ac:dyDescent="0.25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/>
      <c r="P75"/>
      <c r="S75" s="8"/>
      <c r="T75" s="8"/>
    </row>
    <row r="76" spans="2:20" s="7" customFormat="1" ht="20.100000000000001" customHeight="1" x14ac:dyDescent="0.25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/>
      <c r="P76"/>
      <c r="S76" s="8"/>
      <c r="T76" s="8"/>
    </row>
    <row r="77" spans="2:20" s="7" customFormat="1" ht="20.100000000000001" customHeight="1" x14ac:dyDescent="0.25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/>
      <c r="P77"/>
      <c r="Q77"/>
      <c r="S77" s="8"/>
      <c r="T77" s="8"/>
    </row>
    <row r="78" spans="2:20" s="7" customFormat="1" ht="20.100000000000001" customHeight="1" x14ac:dyDescent="0.25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2:20" s="7" customFormat="1" ht="20.100000000000001" customHeight="1" x14ac:dyDescent="0.25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2:20" s="7" customFormat="1" ht="20.100000000000001" customHeight="1" x14ac:dyDescent="0.25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R8:AF8"/>
    <mergeCell ref="D6:E6"/>
    <mergeCell ref="K6:L6"/>
    <mergeCell ref="K5:L5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AF126"/>
  <sheetViews>
    <sheetView view="pageBreakPreview" topLeftCell="C1" zoomScale="50" zoomScaleSheetLayoutView="50" workbookViewId="0">
      <selection activeCell="C3" sqref="C3:G3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60" t="s">
        <v>23</v>
      </c>
      <c r="C1" s="60"/>
      <c r="D1" s="60"/>
      <c r="E1" s="60"/>
      <c r="F1" s="60"/>
      <c r="G1" s="60"/>
      <c r="H1" s="60"/>
      <c r="I1" s="60"/>
      <c r="J1" s="60"/>
      <c r="K1" s="60"/>
      <c r="L1" s="60"/>
      <c r="M1" s="60"/>
      <c r="N1" s="60"/>
      <c r="O1" s="60"/>
      <c r="P1" s="60"/>
      <c r="Q1" s="60"/>
      <c r="R1" s="60"/>
      <c r="S1" s="60"/>
      <c r="T1" s="60"/>
      <c r="U1" s="60"/>
      <c r="V1" s="60"/>
      <c r="W1" s="60"/>
      <c r="X1" s="60"/>
      <c r="Y1" s="60"/>
      <c r="Z1" s="60"/>
      <c r="AA1" s="60"/>
      <c r="AB1" s="60"/>
      <c r="AC1" s="60"/>
      <c r="AD1" s="60"/>
      <c r="AE1" s="60"/>
    </row>
    <row r="2" spans="2:32" ht="20.100000000000001" customHeight="1" x14ac:dyDescent="0.25">
      <c r="B2" s="61" t="s">
        <v>95</v>
      </c>
      <c r="C2" s="61"/>
      <c r="D2" s="61"/>
      <c r="E2" s="61"/>
      <c r="F2" s="61"/>
      <c r="G2" s="61"/>
      <c r="H2" s="61"/>
      <c r="I2" s="61"/>
      <c r="J2" s="61"/>
      <c r="K2" s="61"/>
      <c r="L2" s="61"/>
      <c r="M2" s="61"/>
      <c r="N2" s="61"/>
      <c r="O2" s="61"/>
      <c r="P2" s="61"/>
      <c r="Q2" s="61"/>
      <c r="R2" s="61"/>
      <c r="S2" s="61"/>
      <c r="T2" s="61"/>
      <c r="U2" s="61"/>
      <c r="V2" s="61"/>
      <c r="W2" s="61"/>
      <c r="X2" s="61"/>
      <c r="Y2" s="61"/>
      <c r="Z2" s="61"/>
      <c r="AA2" s="61"/>
      <c r="AB2" s="61"/>
      <c r="AC2" s="61"/>
      <c r="AD2" s="61"/>
      <c r="AE2" s="61"/>
    </row>
    <row r="3" spans="2:32" ht="20.100000000000001" customHeight="1" x14ac:dyDescent="0.25">
      <c r="B3" s="22" t="s">
        <v>96</v>
      </c>
      <c r="C3" s="62" t="str">
        <f>'17.10 Busembatya-Butongole'!C3:G3</f>
        <v>BUSEMBATYA-BUTONGOLE</v>
      </c>
      <c r="D3" s="62"/>
      <c r="E3" s="62"/>
      <c r="F3" s="62"/>
      <c r="G3" s="62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51" t="s">
        <v>169</v>
      </c>
      <c r="E5" s="3"/>
      <c r="F5" s="41" t="s">
        <v>1</v>
      </c>
      <c r="G5" s="57" t="str">
        <f>'17.10 Busembatya-Butongole'!G5:H5</f>
        <v>NAMALEMBA</v>
      </c>
      <c r="H5" s="58"/>
      <c r="I5" s="14"/>
      <c r="J5" s="2" t="s">
        <v>5</v>
      </c>
      <c r="K5" s="57" t="s">
        <v>177</v>
      </c>
      <c r="L5" s="58"/>
      <c r="M5" s="10"/>
      <c r="N5" s="10"/>
      <c r="O5" s="3"/>
      <c r="P5" s="3"/>
    </row>
    <row r="6" spans="2:32" ht="23.25" customHeight="1" x14ac:dyDescent="0.25">
      <c r="C6" s="2" t="s">
        <v>4</v>
      </c>
      <c r="D6" s="57" t="str">
        <f>'17.10 Busembatya-Butongole'!D6:E6</f>
        <v>BUSEMBATYA</v>
      </c>
      <c r="E6" s="58"/>
      <c r="F6" s="2" t="s">
        <v>2</v>
      </c>
      <c r="G6" s="57" t="str">
        <f>'17.10 Busembatya-Butongole'!G6:H6</f>
        <v>BUTONGOLE</v>
      </c>
      <c r="H6" s="58"/>
      <c r="J6" s="2" t="s">
        <v>21</v>
      </c>
      <c r="K6" s="57" t="s">
        <v>177</v>
      </c>
      <c r="L6" s="58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9" t="s">
        <v>88</v>
      </c>
      <c r="S8" s="59"/>
      <c r="T8" s="59"/>
      <c r="U8" s="59"/>
      <c r="V8" s="59"/>
      <c r="W8" s="59"/>
      <c r="X8" s="59"/>
      <c r="Y8" s="59"/>
      <c r="Z8" s="59"/>
      <c r="AA8" s="59"/>
      <c r="AB8" s="59"/>
      <c r="AC8" s="59"/>
      <c r="AD8" s="59"/>
      <c r="AE8" s="59"/>
      <c r="AF8" s="59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50">
        <v>6</v>
      </c>
      <c r="D10" s="50">
        <v>1</v>
      </c>
      <c r="E10" s="50">
        <v>1</v>
      </c>
      <c r="F10" s="50">
        <v>5</v>
      </c>
      <c r="G10" s="50">
        <v>0</v>
      </c>
      <c r="H10" s="50">
        <v>0</v>
      </c>
      <c r="I10" s="50">
        <v>0</v>
      </c>
      <c r="J10" s="50">
        <v>3</v>
      </c>
      <c r="K10" s="50">
        <v>0</v>
      </c>
      <c r="L10" s="50">
        <v>0</v>
      </c>
      <c r="M10" s="50">
        <v>11</v>
      </c>
      <c r="N10" s="50">
        <v>0</v>
      </c>
      <c r="O10" s="15">
        <f t="shared" ref="O10:O57" si="0">SUM(C10:L10,N10)</f>
        <v>16</v>
      </c>
      <c r="P10" s="15">
        <f t="shared" ref="P10:P57" si="1">SUM(C10:N10)</f>
        <v>27</v>
      </c>
      <c r="R10" s="1" t="s">
        <v>6</v>
      </c>
      <c r="S10" s="17">
        <f t="shared" ref="S10:AF10" si="2">SUM(C10:C13)</f>
        <v>10</v>
      </c>
      <c r="T10" s="17">
        <f t="shared" si="2"/>
        <v>4</v>
      </c>
      <c r="U10" s="17">
        <f t="shared" si="2"/>
        <v>6</v>
      </c>
      <c r="V10" s="17">
        <f t="shared" si="2"/>
        <v>22</v>
      </c>
      <c r="W10" s="17">
        <f t="shared" si="2"/>
        <v>0</v>
      </c>
      <c r="X10" s="17">
        <f t="shared" si="2"/>
        <v>1</v>
      </c>
      <c r="Y10" s="17">
        <f t="shared" si="2"/>
        <v>1</v>
      </c>
      <c r="Z10" s="17">
        <f t="shared" si="2"/>
        <v>4</v>
      </c>
      <c r="AA10" s="17">
        <f t="shared" si="2"/>
        <v>3</v>
      </c>
      <c r="AB10" s="17">
        <f t="shared" si="2"/>
        <v>1</v>
      </c>
      <c r="AC10" s="17">
        <f t="shared" si="2"/>
        <v>35</v>
      </c>
      <c r="AD10" s="17">
        <f t="shared" si="2"/>
        <v>0</v>
      </c>
      <c r="AE10" s="31">
        <f t="shared" si="2"/>
        <v>52</v>
      </c>
      <c r="AF10" s="31">
        <f t="shared" si="2"/>
        <v>87</v>
      </c>
    </row>
    <row r="11" spans="2:32" s="6" customFormat="1" ht="23.1" customHeight="1" x14ac:dyDescent="0.25">
      <c r="B11" s="23" t="s">
        <v>38</v>
      </c>
      <c r="C11" s="50">
        <v>3</v>
      </c>
      <c r="D11" s="50">
        <v>2</v>
      </c>
      <c r="E11" s="50">
        <v>0</v>
      </c>
      <c r="F11" s="50">
        <v>8</v>
      </c>
      <c r="G11" s="50">
        <v>0</v>
      </c>
      <c r="H11" s="50">
        <v>0</v>
      </c>
      <c r="I11" s="50">
        <v>0</v>
      </c>
      <c r="J11" s="50">
        <v>1</v>
      </c>
      <c r="K11" s="50">
        <v>2</v>
      </c>
      <c r="L11" s="50">
        <v>0</v>
      </c>
      <c r="M11" s="50">
        <v>9</v>
      </c>
      <c r="N11" s="50">
        <v>0</v>
      </c>
      <c r="O11" s="15">
        <f t="shared" si="0"/>
        <v>16</v>
      </c>
      <c r="P11" s="15">
        <f t="shared" si="1"/>
        <v>25</v>
      </c>
      <c r="R11" s="1" t="s">
        <v>7</v>
      </c>
      <c r="S11" s="17">
        <f t="shared" ref="S11:AF11" si="3">SUM(C14:C17)</f>
        <v>9</v>
      </c>
      <c r="T11" s="17">
        <f t="shared" si="3"/>
        <v>0</v>
      </c>
      <c r="U11" s="17">
        <f t="shared" si="3"/>
        <v>6</v>
      </c>
      <c r="V11" s="17">
        <f t="shared" si="3"/>
        <v>19</v>
      </c>
      <c r="W11" s="17">
        <f t="shared" si="3"/>
        <v>3</v>
      </c>
      <c r="X11" s="17">
        <f t="shared" si="3"/>
        <v>1</v>
      </c>
      <c r="Y11" s="17">
        <f t="shared" si="3"/>
        <v>0</v>
      </c>
      <c r="Z11" s="17">
        <f t="shared" si="3"/>
        <v>1</v>
      </c>
      <c r="AA11" s="17">
        <f t="shared" si="3"/>
        <v>2</v>
      </c>
      <c r="AB11" s="17">
        <f t="shared" si="3"/>
        <v>0</v>
      </c>
      <c r="AC11" s="17">
        <f t="shared" si="3"/>
        <v>39</v>
      </c>
      <c r="AD11" s="17">
        <f t="shared" si="3"/>
        <v>0</v>
      </c>
      <c r="AE11" s="31">
        <f t="shared" si="3"/>
        <v>41</v>
      </c>
      <c r="AF11" s="31">
        <f t="shared" si="3"/>
        <v>80</v>
      </c>
    </row>
    <row r="12" spans="2:32" ht="23.1" customHeight="1" x14ac:dyDescent="0.25">
      <c r="B12" s="23" t="s">
        <v>39</v>
      </c>
      <c r="C12" s="50">
        <v>0</v>
      </c>
      <c r="D12" s="50">
        <v>0</v>
      </c>
      <c r="E12" s="50">
        <v>2</v>
      </c>
      <c r="F12" s="50">
        <v>3</v>
      </c>
      <c r="G12" s="50">
        <v>0</v>
      </c>
      <c r="H12" s="50">
        <v>0</v>
      </c>
      <c r="I12" s="50">
        <v>0</v>
      </c>
      <c r="J12" s="50">
        <v>0</v>
      </c>
      <c r="K12" s="50">
        <v>0</v>
      </c>
      <c r="L12" s="50">
        <v>0</v>
      </c>
      <c r="M12" s="50">
        <v>6</v>
      </c>
      <c r="N12" s="50">
        <v>0</v>
      </c>
      <c r="O12" s="15">
        <f t="shared" si="0"/>
        <v>5</v>
      </c>
      <c r="P12" s="15">
        <f t="shared" si="1"/>
        <v>11</v>
      </c>
      <c r="R12" s="1" t="s">
        <v>8</v>
      </c>
      <c r="S12" s="17">
        <f t="shared" ref="S12:AF12" si="4">SUM(C18:C21)</f>
        <v>13</v>
      </c>
      <c r="T12" s="17">
        <f t="shared" si="4"/>
        <v>4</v>
      </c>
      <c r="U12" s="17">
        <f t="shared" si="4"/>
        <v>4</v>
      </c>
      <c r="V12" s="17">
        <f t="shared" si="4"/>
        <v>31</v>
      </c>
      <c r="W12" s="17">
        <f t="shared" si="4"/>
        <v>1</v>
      </c>
      <c r="X12" s="17">
        <f t="shared" si="4"/>
        <v>2</v>
      </c>
      <c r="Y12" s="17">
        <f t="shared" si="4"/>
        <v>2</v>
      </c>
      <c r="Z12" s="17">
        <f t="shared" si="4"/>
        <v>4</v>
      </c>
      <c r="AA12" s="17">
        <f t="shared" si="4"/>
        <v>2</v>
      </c>
      <c r="AB12" s="17">
        <f t="shared" si="4"/>
        <v>0</v>
      </c>
      <c r="AC12" s="17">
        <f t="shared" si="4"/>
        <v>43</v>
      </c>
      <c r="AD12" s="17">
        <f t="shared" si="4"/>
        <v>0</v>
      </c>
      <c r="AE12" s="31">
        <f t="shared" si="4"/>
        <v>63</v>
      </c>
      <c r="AF12" s="31">
        <f t="shared" si="4"/>
        <v>106</v>
      </c>
    </row>
    <row r="13" spans="2:32" ht="23.1" customHeight="1" x14ac:dyDescent="0.25">
      <c r="B13" s="23" t="s">
        <v>40</v>
      </c>
      <c r="C13" s="50">
        <v>1</v>
      </c>
      <c r="D13" s="50">
        <v>1</v>
      </c>
      <c r="E13" s="50">
        <v>3</v>
      </c>
      <c r="F13" s="50">
        <v>6</v>
      </c>
      <c r="G13" s="50">
        <v>0</v>
      </c>
      <c r="H13" s="50">
        <v>1</v>
      </c>
      <c r="I13" s="50">
        <v>1</v>
      </c>
      <c r="J13" s="50">
        <v>0</v>
      </c>
      <c r="K13" s="50">
        <v>1</v>
      </c>
      <c r="L13" s="50">
        <v>1</v>
      </c>
      <c r="M13" s="50">
        <v>9</v>
      </c>
      <c r="N13" s="50">
        <v>0</v>
      </c>
      <c r="O13" s="15">
        <f t="shared" si="0"/>
        <v>15</v>
      </c>
      <c r="P13" s="15">
        <f t="shared" si="1"/>
        <v>24</v>
      </c>
      <c r="R13" s="1" t="s">
        <v>9</v>
      </c>
      <c r="S13" s="17">
        <f t="shared" ref="S13:AF13" si="5">SUM(C22:C25)</f>
        <v>9</v>
      </c>
      <c r="T13" s="17">
        <f t="shared" si="5"/>
        <v>4</v>
      </c>
      <c r="U13" s="17">
        <f t="shared" si="5"/>
        <v>5</v>
      </c>
      <c r="V13" s="17">
        <f t="shared" si="5"/>
        <v>42</v>
      </c>
      <c r="W13" s="17">
        <f t="shared" si="5"/>
        <v>0</v>
      </c>
      <c r="X13" s="17">
        <f t="shared" si="5"/>
        <v>0</v>
      </c>
      <c r="Y13" s="17">
        <f t="shared" si="5"/>
        <v>4</v>
      </c>
      <c r="Z13" s="17">
        <f t="shared" si="5"/>
        <v>3</v>
      </c>
      <c r="AA13" s="17">
        <f t="shared" si="5"/>
        <v>4</v>
      </c>
      <c r="AB13" s="17">
        <f t="shared" si="5"/>
        <v>2</v>
      </c>
      <c r="AC13" s="17">
        <f t="shared" si="5"/>
        <v>41</v>
      </c>
      <c r="AD13" s="17">
        <f t="shared" si="5"/>
        <v>0</v>
      </c>
      <c r="AE13" s="31">
        <f t="shared" si="5"/>
        <v>73</v>
      </c>
      <c r="AF13" s="31">
        <f t="shared" si="5"/>
        <v>114</v>
      </c>
    </row>
    <row r="14" spans="2:32" ht="23.1" customHeight="1" x14ac:dyDescent="0.25">
      <c r="B14" s="23" t="s">
        <v>41</v>
      </c>
      <c r="C14" s="50">
        <v>3</v>
      </c>
      <c r="D14" s="50">
        <v>0</v>
      </c>
      <c r="E14" s="50">
        <v>2</v>
      </c>
      <c r="F14" s="50">
        <v>5</v>
      </c>
      <c r="G14" s="50">
        <v>0</v>
      </c>
      <c r="H14" s="50">
        <v>1</v>
      </c>
      <c r="I14" s="50">
        <v>0</v>
      </c>
      <c r="J14" s="50">
        <v>0</v>
      </c>
      <c r="K14" s="50">
        <v>1</v>
      </c>
      <c r="L14" s="50">
        <v>0</v>
      </c>
      <c r="M14" s="50">
        <v>4</v>
      </c>
      <c r="N14" s="50">
        <v>0</v>
      </c>
      <c r="O14" s="15">
        <f t="shared" si="0"/>
        <v>12</v>
      </c>
      <c r="P14" s="15">
        <f t="shared" si="1"/>
        <v>16</v>
      </c>
      <c r="R14" s="1" t="s">
        <v>10</v>
      </c>
      <c r="S14" s="17">
        <f t="shared" ref="S14:AF14" si="6">SUM(C26:C29)</f>
        <v>8</v>
      </c>
      <c r="T14" s="17">
        <f t="shared" si="6"/>
        <v>3</v>
      </c>
      <c r="U14" s="17">
        <f t="shared" si="6"/>
        <v>2</v>
      </c>
      <c r="V14" s="17">
        <f t="shared" si="6"/>
        <v>32</v>
      </c>
      <c r="W14" s="17">
        <f t="shared" si="6"/>
        <v>0</v>
      </c>
      <c r="X14" s="17">
        <f t="shared" si="6"/>
        <v>1</v>
      </c>
      <c r="Y14" s="17">
        <f t="shared" si="6"/>
        <v>4</v>
      </c>
      <c r="Z14" s="17">
        <f t="shared" si="6"/>
        <v>2</v>
      </c>
      <c r="AA14" s="17">
        <f t="shared" si="6"/>
        <v>0</v>
      </c>
      <c r="AB14" s="17">
        <f t="shared" si="6"/>
        <v>0</v>
      </c>
      <c r="AC14" s="17">
        <f t="shared" si="6"/>
        <v>43</v>
      </c>
      <c r="AD14" s="17">
        <f t="shared" si="6"/>
        <v>0</v>
      </c>
      <c r="AE14" s="31">
        <f t="shared" si="6"/>
        <v>52</v>
      </c>
      <c r="AF14" s="31">
        <f t="shared" si="6"/>
        <v>95</v>
      </c>
    </row>
    <row r="15" spans="2:32" ht="23.1" customHeight="1" x14ac:dyDescent="0.25">
      <c r="B15" s="23" t="s">
        <v>42</v>
      </c>
      <c r="C15" s="50">
        <v>1</v>
      </c>
      <c r="D15" s="50">
        <v>0</v>
      </c>
      <c r="E15" s="50">
        <v>2</v>
      </c>
      <c r="F15" s="50">
        <v>4</v>
      </c>
      <c r="G15" s="50">
        <v>1</v>
      </c>
      <c r="H15" s="50">
        <v>0</v>
      </c>
      <c r="I15" s="50">
        <v>0</v>
      </c>
      <c r="J15" s="50">
        <v>0</v>
      </c>
      <c r="K15" s="50">
        <v>0</v>
      </c>
      <c r="L15" s="50">
        <v>0</v>
      </c>
      <c r="M15" s="50">
        <v>11</v>
      </c>
      <c r="N15" s="50">
        <v>0</v>
      </c>
      <c r="O15" s="15">
        <f t="shared" si="0"/>
        <v>8</v>
      </c>
      <c r="P15" s="15">
        <f t="shared" si="1"/>
        <v>19</v>
      </c>
      <c r="R15" s="1" t="s">
        <v>11</v>
      </c>
      <c r="S15" s="17">
        <f t="shared" ref="S15:AF15" si="7">SUM(C30:C33)</f>
        <v>18</v>
      </c>
      <c r="T15" s="17">
        <f t="shared" si="7"/>
        <v>3</v>
      </c>
      <c r="U15" s="17">
        <f t="shared" si="7"/>
        <v>5</v>
      </c>
      <c r="V15" s="17">
        <f t="shared" si="7"/>
        <v>27</v>
      </c>
      <c r="W15" s="17">
        <f t="shared" si="7"/>
        <v>1</v>
      </c>
      <c r="X15" s="17">
        <f t="shared" si="7"/>
        <v>2</v>
      </c>
      <c r="Y15" s="17">
        <f t="shared" si="7"/>
        <v>3</v>
      </c>
      <c r="Z15" s="17">
        <f t="shared" si="7"/>
        <v>3</v>
      </c>
      <c r="AA15" s="17">
        <f t="shared" si="7"/>
        <v>6</v>
      </c>
      <c r="AB15" s="17">
        <f t="shared" si="7"/>
        <v>1</v>
      </c>
      <c r="AC15" s="17">
        <f t="shared" si="7"/>
        <v>28</v>
      </c>
      <c r="AD15" s="17">
        <f t="shared" si="7"/>
        <v>0</v>
      </c>
      <c r="AE15" s="31">
        <f t="shared" si="7"/>
        <v>69</v>
      </c>
      <c r="AF15" s="31">
        <f t="shared" si="7"/>
        <v>97</v>
      </c>
    </row>
    <row r="16" spans="2:32" ht="23.1" customHeight="1" x14ac:dyDescent="0.25">
      <c r="B16" s="23" t="s">
        <v>43</v>
      </c>
      <c r="C16" s="50">
        <v>4</v>
      </c>
      <c r="D16" s="50">
        <v>0</v>
      </c>
      <c r="E16" s="50">
        <v>1</v>
      </c>
      <c r="F16" s="50">
        <v>7</v>
      </c>
      <c r="G16" s="50">
        <v>1</v>
      </c>
      <c r="H16" s="50">
        <v>0</v>
      </c>
      <c r="I16" s="50">
        <v>0</v>
      </c>
      <c r="J16" s="50">
        <v>0</v>
      </c>
      <c r="K16" s="50">
        <v>1</v>
      </c>
      <c r="L16" s="50">
        <v>0</v>
      </c>
      <c r="M16" s="50">
        <v>13</v>
      </c>
      <c r="N16" s="50">
        <v>0</v>
      </c>
      <c r="O16" s="15">
        <f t="shared" si="0"/>
        <v>14</v>
      </c>
      <c r="P16" s="15">
        <f t="shared" si="1"/>
        <v>27</v>
      </c>
      <c r="R16" s="1" t="s">
        <v>12</v>
      </c>
      <c r="S16" s="17">
        <f t="shared" ref="S16:AF16" si="8">SUM(C34:C37)</f>
        <v>18</v>
      </c>
      <c r="T16" s="17">
        <f t="shared" si="8"/>
        <v>3</v>
      </c>
      <c r="U16" s="17">
        <f t="shared" si="8"/>
        <v>5</v>
      </c>
      <c r="V16" s="17">
        <f t="shared" si="8"/>
        <v>32</v>
      </c>
      <c r="W16" s="17">
        <f t="shared" si="8"/>
        <v>2</v>
      </c>
      <c r="X16" s="17">
        <f t="shared" si="8"/>
        <v>3</v>
      </c>
      <c r="Y16" s="17">
        <f t="shared" si="8"/>
        <v>2</v>
      </c>
      <c r="Z16" s="17">
        <f t="shared" si="8"/>
        <v>6</v>
      </c>
      <c r="AA16" s="17">
        <f t="shared" si="8"/>
        <v>3</v>
      </c>
      <c r="AB16" s="17">
        <f t="shared" si="8"/>
        <v>0</v>
      </c>
      <c r="AC16" s="17">
        <f t="shared" si="8"/>
        <v>28</v>
      </c>
      <c r="AD16" s="17">
        <f t="shared" si="8"/>
        <v>0</v>
      </c>
      <c r="AE16" s="31">
        <f t="shared" si="8"/>
        <v>74</v>
      </c>
      <c r="AF16" s="31">
        <f t="shared" si="8"/>
        <v>102</v>
      </c>
    </row>
    <row r="17" spans="2:32" ht="23.1" customHeight="1" x14ac:dyDescent="0.25">
      <c r="B17" s="23" t="s">
        <v>44</v>
      </c>
      <c r="C17" s="50">
        <v>1</v>
      </c>
      <c r="D17" s="50">
        <v>0</v>
      </c>
      <c r="E17" s="50">
        <v>1</v>
      </c>
      <c r="F17" s="50">
        <v>3</v>
      </c>
      <c r="G17" s="50">
        <v>1</v>
      </c>
      <c r="H17" s="50">
        <v>0</v>
      </c>
      <c r="I17" s="50">
        <v>0</v>
      </c>
      <c r="J17" s="50">
        <v>1</v>
      </c>
      <c r="K17" s="50">
        <v>0</v>
      </c>
      <c r="L17" s="50">
        <v>0</v>
      </c>
      <c r="M17" s="50">
        <v>11</v>
      </c>
      <c r="N17" s="50">
        <v>0</v>
      </c>
      <c r="O17" s="15">
        <f t="shared" si="0"/>
        <v>7</v>
      </c>
      <c r="P17" s="15">
        <f t="shared" si="1"/>
        <v>18</v>
      </c>
      <c r="R17" s="1" t="s">
        <v>13</v>
      </c>
      <c r="S17" s="17">
        <f t="shared" ref="S17:AF17" si="9">SUM(C38:C41)</f>
        <v>18</v>
      </c>
      <c r="T17" s="17">
        <f t="shared" si="9"/>
        <v>7</v>
      </c>
      <c r="U17" s="17">
        <f t="shared" si="9"/>
        <v>8</v>
      </c>
      <c r="V17" s="17">
        <f t="shared" si="9"/>
        <v>44</v>
      </c>
      <c r="W17" s="17">
        <f t="shared" si="9"/>
        <v>1</v>
      </c>
      <c r="X17" s="17">
        <f t="shared" si="9"/>
        <v>2</v>
      </c>
      <c r="Y17" s="17">
        <f t="shared" si="9"/>
        <v>5</v>
      </c>
      <c r="Z17" s="17">
        <f t="shared" si="9"/>
        <v>3</v>
      </c>
      <c r="AA17" s="17">
        <f t="shared" si="9"/>
        <v>8</v>
      </c>
      <c r="AB17" s="17">
        <f t="shared" si="9"/>
        <v>1</v>
      </c>
      <c r="AC17" s="17">
        <f t="shared" si="9"/>
        <v>49</v>
      </c>
      <c r="AD17" s="17">
        <f t="shared" si="9"/>
        <v>0</v>
      </c>
      <c r="AE17" s="31">
        <f t="shared" si="9"/>
        <v>97</v>
      </c>
      <c r="AF17" s="31">
        <f t="shared" si="9"/>
        <v>146</v>
      </c>
    </row>
    <row r="18" spans="2:32" ht="23.1" customHeight="1" x14ac:dyDescent="0.25">
      <c r="B18" s="23" t="s">
        <v>45</v>
      </c>
      <c r="C18" s="50">
        <v>4</v>
      </c>
      <c r="D18" s="50">
        <v>1</v>
      </c>
      <c r="E18" s="50">
        <v>1</v>
      </c>
      <c r="F18" s="50">
        <v>7</v>
      </c>
      <c r="G18" s="50">
        <v>0</v>
      </c>
      <c r="H18" s="50">
        <v>0</v>
      </c>
      <c r="I18" s="50">
        <v>1</v>
      </c>
      <c r="J18" s="50">
        <v>2</v>
      </c>
      <c r="K18" s="50">
        <v>1</v>
      </c>
      <c r="L18" s="50">
        <v>0</v>
      </c>
      <c r="M18" s="50">
        <v>6</v>
      </c>
      <c r="N18" s="50">
        <v>0</v>
      </c>
      <c r="O18" s="15">
        <f t="shared" si="0"/>
        <v>17</v>
      </c>
      <c r="P18" s="15">
        <f t="shared" si="1"/>
        <v>23</v>
      </c>
      <c r="R18" s="1" t="s">
        <v>14</v>
      </c>
      <c r="S18" s="17">
        <f t="shared" ref="S18:AF18" si="10">SUM(C42:C45)</f>
        <v>17</v>
      </c>
      <c r="T18" s="17">
        <f t="shared" si="10"/>
        <v>12</v>
      </c>
      <c r="U18" s="17">
        <f t="shared" si="10"/>
        <v>6</v>
      </c>
      <c r="V18" s="17">
        <f t="shared" si="10"/>
        <v>27</v>
      </c>
      <c r="W18" s="17">
        <f t="shared" si="10"/>
        <v>1</v>
      </c>
      <c r="X18" s="17">
        <f t="shared" si="10"/>
        <v>4</v>
      </c>
      <c r="Y18" s="17">
        <f t="shared" si="10"/>
        <v>4</v>
      </c>
      <c r="Z18" s="17">
        <f t="shared" si="10"/>
        <v>6</v>
      </c>
      <c r="AA18" s="17">
        <f t="shared" si="10"/>
        <v>5</v>
      </c>
      <c r="AB18" s="17">
        <f t="shared" si="10"/>
        <v>2</v>
      </c>
      <c r="AC18" s="17">
        <f t="shared" si="10"/>
        <v>58</v>
      </c>
      <c r="AD18" s="17">
        <f t="shared" si="10"/>
        <v>0</v>
      </c>
      <c r="AE18" s="31">
        <f t="shared" si="10"/>
        <v>84</v>
      </c>
      <c r="AF18" s="31">
        <f t="shared" si="10"/>
        <v>142</v>
      </c>
    </row>
    <row r="19" spans="2:32" ht="23.1" customHeight="1" x14ac:dyDescent="0.25">
      <c r="B19" s="23" t="s">
        <v>46</v>
      </c>
      <c r="C19" s="50">
        <v>2</v>
      </c>
      <c r="D19" s="50">
        <v>0</v>
      </c>
      <c r="E19" s="50">
        <v>2</v>
      </c>
      <c r="F19" s="50">
        <v>10</v>
      </c>
      <c r="G19" s="50">
        <v>1</v>
      </c>
      <c r="H19" s="50">
        <v>0</v>
      </c>
      <c r="I19" s="50">
        <v>0</v>
      </c>
      <c r="J19" s="50">
        <v>1</v>
      </c>
      <c r="K19" s="50">
        <v>0</v>
      </c>
      <c r="L19" s="50">
        <v>0</v>
      </c>
      <c r="M19" s="50">
        <v>12</v>
      </c>
      <c r="N19" s="50">
        <v>0</v>
      </c>
      <c r="O19" s="15">
        <f t="shared" si="0"/>
        <v>16</v>
      </c>
      <c r="P19" s="15">
        <f t="shared" si="1"/>
        <v>28</v>
      </c>
      <c r="R19" s="1" t="s">
        <v>15</v>
      </c>
      <c r="S19" s="17">
        <f t="shared" ref="S19:AF19" si="11">SUM(C46:C49)</f>
        <v>17</v>
      </c>
      <c r="T19" s="17">
        <f t="shared" si="11"/>
        <v>10</v>
      </c>
      <c r="U19" s="17">
        <f t="shared" si="11"/>
        <v>11</v>
      </c>
      <c r="V19" s="17">
        <f t="shared" si="11"/>
        <v>34</v>
      </c>
      <c r="W19" s="17">
        <f t="shared" si="11"/>
        <v>1</v>
      </c>
      <c r="X19" s="17">
        <f t="shared" si="11"/>
        <v>1</v>
      </c>
      <c r="Y19" s="17">
        <f t="shared" si="11"/>
        <v>3</v>
      </c>
      <c r="Z19" s="17">
        <f t="shared" si="11"/>
        <v>3</v>
      </c>
      <c r="AA19" s="17">
        <f t="shared" si="11"/>
        <v>11</v>
      </c>
      <c r="AB19" s="17">
        <f t="shared" si="11"/>
        <v>1</v>
      </c>
      <c r="AC19" s="17">
        <f t="shared" si="11"/>
        <v>59</v>
      </c>
      <c r="AD19" s="17">
        <f t="shared" si="11"/>
        <v>0</v>
      </c>
      <c r="AE19" s="31">
        <f t="shared" si="11"/>
        <v>92</v>
      </c>
      <c r="AF19" s="31">
        <f t="shared" si="11"/>
        <v>151</v>
      </c>
    </row>
    <row r="20" spans="2:32" ht="23.1" customHeight="1" x14ac:dyDescent="0.25">
      <c r="B20" s="23" t="s">
        <v>47</v>
      </c>
      <c r="C20" s="50">
        <v>5</v>
      </c>
      <c r="D20" s="50">
        <v>1</v>
      </c>
      <c r="E20" s="50">
        <v>0</v>
      </c>
      <c r="F20" s="50">
        <v>6</v>
      </c>
      <c r="G20" s="50">
        <v>0</v>
      </c>
      <c r="H20" s="50">
        <v>1</v>
      </c>
      <c r="I20" s="50">
        <v>1</v>
      </c>
      <c r="J20" s="50">
        <v>0</v>
      </c>
      <c r="K20" s="50">
        <v>1</v>
      </c>
      <c r="L20" s="50">
        <v>0</v>
      </c>
      <c r="M20" s="50">
        <v>13</v>
      </c>
      <c r="N20" s="50">
        <v>0</v>
      </c>
      <c r="O20" s="15">
        <f t="shared" si="0"/>
        <v>15</v>
      </c>
      <c r="P20" s="15">
        <f t="shared" si="1"/>
        <v>28</v>
      </c>
      <c r="R20" s="1" t="s">
        <v>16</v>
      </c>
      <c r="S20" s="17">
        <f t="shared" ref="S20:AF20" si="12">SUM(C50:C53)</f>
        <v>9</v>
      </c>
      <c r="T20" s="17">
        <f t="shared" si="12"/>
        <v>4</v>
      </c>
      <c r="U20" s="17">
        <f t="shared" si="12"/>
        <v>8</v>
      </c>
      <c r="V20" s="17">
        <f t="shared" si="12"/>
        <v>43</v>
      </c>
      <c r="W20" s="17">
        <f t="shared" si="12"/>
        <v>1</v>
      </c>
      <c r="X20" s="17">
        <f t="shared" si="12"/>
        <v>1</v>
      </c>
      <c r="Y20" s="17">
        <f t="shared" si="12"/>
        <v>2</v>
      </c>
      <c r="Z20" s="17">
        <f t="shared" si="12"/>
        <v>4</v>
      </c>
      <c r="AA20" s="17">
        <f t="shared" si="12"/>
        <v>9</v>
      </c>
      <c r="AB20" s="17">
        <f t="shared" si="12"/>
        <v>3</v>
      </c>
      <c r="AC20" s="17">
        <f t="shared" si="12"/>
        <v>65</v>
      </c>
      <c r="AD20" s="17">
        <f t="shared" si="12"/>
        <v>0</v>
      </c>
      <c r="AE20" s="31">
        <f t="shared" si="12"/>
        <v>64</v>
      </c>
      <c r="AF20" s="31">
        <f t="shared" si="12"/>
        <v>149</v>
      </c>
    </row>
    <row r="21" spans="2:32" ht="23.1" customHeight="1" x14ac:dyDescent="0.25">
      <c r="B21" s="23" t="s">
        <v>48</v>
      </c>
      <c r="C21" s="50">
        <v>2</v>
      </c>
      <c r="D21" s="50">
        <v>2</v>
      </c>
      <c r="E21" s="50">
        <v>1</v>
      </c>
      <c r="F21" s="50">
        <v>8</v>
      </c>
      <c r="G21" s="50">
        <v>0</v>
      </c>
      <c r="H21" s="50">
        <v>1</v>
      </c>
      <c r="I21" s="50">
        <v>0</v>
      </c>
      <c r="J21" s="50">
        <v>1</v>
      </c>
      <c r="K21" s="50">
        <v>0</v>
      </c>
      <c r="L21" s="50">
        <v>0</v>
      </c>
      <c r="M21" s="50">
        <v>12</v>
      </c>
      <c r="N21" s="50">
        <v>0</v>
      </c>
      <c r="O21" s="15">
        <f t="shared" si="0"/>
        <v>15</v>
      </c>
      <c r="P21" s="15">
        <f t="shared" si="1"/>
        <v>27</v>
      </c>
      <c r="R21" s="36" t="s">
        <v>20</v>
      </c>
      <c r="S21" s="34">
        <f t="shared" ref="S21:AF21" si="13">SUM(C54:C57)</f>
        <v>31</v>
      </c>
      <c r="T21" s="17">
        <f t="shared" si="13"/>
        <v>12</v>
      </c>
      <c r="U21" s="17">
        <f t="shared" si="13"/>
        <v>24</v>
      </c>
      <c r="V21" s="17">
        <f t="shared" si="13"/>
        <v>43</v>
      </c>
      <c r="W21" s="17">
        <f t="shared" si="13"/>
        <v>1</v>
      </c>
      <c r="X21" s="17">
        <f t="shared" si="13"/>
        <v>3</v>
      </c>
      <c r="Y21" s="17">
        <f t="shared" si="13"/>
        <v>7</v>
      </c>
      <c r="Z21" s="17">
        <f t="shared" si="13"/>
        <v>4</v>
      </c>
      <c r="AA21" s="17">
        <f t="shared" si="13"/>
        <v>6</v>
      </c>
      <c r="AB21" s="17">
        <f t="shared" si="13"/>
        <v>0</v>
      </c>
      <c r="AC21" s="17">
        <f t="shared" si="13"/>
        <v>73</v>
      </c>
      <c r="AD21" s="17">
        <f t="shared" si="13"/>
        <v>0</v>
      </c>
      <c r="AE21" s="31">
        <f t="shared" si="13"/>
        <v>131</v>
      </c>
      <c r="AF21" s="31">
        <f t="shared" si="13"/>
        <v>204</v>
      </c>
    </row>
    <row r="22" spans="2:32" ht="23.1" customHeight="1" x14ac:dyDescent="0.25">
      <c r="B22" s="23" t="s">
        <v>49</v>
      </c>
      <c r="C22" s="50">
        <v>1</v>
      </c>
      <c r="D22" s="50">
        <v>0</v>
      </c>
      <c r="E22" s="50">
        <v>1</v>
      </c>
      <c r="F22" s="50">
        <v>8</v>
      </c>
      <c r="G22" s="50">
        <v>0</v>
      </c>
      <c r="H22" s="50">
        <v>0</v>
      </c>
      <c r="I22" s="50">
        <v>1</v>
      </c>
      <c r="J22" s="50">
        <v>2</v>
      </c>
      <c r="K22" s="50">
        <v>0</v>
      </c>
      <c r="L22" s="50">
        <v>1</v>
      </c>
      <c r="M22" s="50">
        <v>6</v>
      </c>
      <c r="N22" s="50">
        <v>0</v>
      </c>
      <c r="O22" s="15">
        <f t="shared" si="0"/>
        <v>14</v>
      </c>
      <c r="P22" s="15">
        <f t="shared" si="1"/>
        <v>20</v>
      </c>
      <c r="R22" s="38" t="s">
        <v>90</v>
      </c>
      <c r="S22" s="39">
        <f>MAX(S10:S12)</f>
        <v>13</v>
      </c>
      <c r="T22" s="39">
        <f t="shared" ref="T22:AF22" si="14">MAX(T10:T12)</f>
        <v>4</v>
      </c>
      <c r="U22" s="39">
        <f t="shared" si="14"/>
        <v>6</v>
      </c>
      <c r="V22" s="39">
        <f t="shared" si="14"/>
        <v>31</v>
      </c>
      <c r="W22" s="39">
        <f t="shared" si="14"/>
        <v>3</v>
      </c>
      <c r="X22" s="39">
        <f t="shared" si="14"/>
        <v>2</v>
      </c>
      <c r="Y22" s="39">
        <f t="shared" si="14"/>
        <v>2</v>
      </c>
      <c r="Z22" s="39">
        <f t="shared" si="14"/>
        <v>4</v>
      </c>
      <c r="AA22" s="39">
        <f t="shared" si="14"/>
        <v>3</v>
      </c>
      <c r="AB22" s="39">
        <f t="shared" si="14"/>
        <v>1</v>
      </c>
      <c r="AC22" s="39">
        <f t="shared" si="14"/>
        <v>43</v>
      </c>
      <c r="AD22" s="39">
        <f t="shared" si="14"/>
        <v>0</v>
      </c>
      <c r="AE22" s="40">
        <f t="shared" si="14"/>
        <v>63</v>
      </c>
      <c r="AF22" s="40">
        <f t="shared" si="14"/>
        <v>106</v>
      </c>
    </row>
    <row r="23" spans="2:32" ht="23.1" customHeight="1" x14ac:dyDescent="0.25">
      <c r="B23" s="23" t="s">
        <v>50</v>
      </c>
      <c r="C23" s="50">
        <v>3</v>
      </c>
      <c r="D23" s="50">
        <v>2</v>
      </c>
      <c r="E23" s="50">
        <v>1</v>
      </c>
      <c r="F23" s="50">
        <v>11</v>
      </c>
      <c r="G23" s="50">
        <v>0</v>
      </c>
      <c r="H23" s="50">
        <v>0</v>
      </c>
      <c r="I23" s="50">
        <v>0</v>
      </c>
      <c r="J23" s="50">
        <v>1</v>
      </c>
      <c r="K23" s="50">
        <v>1</v>
      </c>
      <c r="L23" s="50">
        <v>0</v>
      </c>
      <c r="M23" s="50">
        <v>9</v>
      </c>
      <c r="N23" s="50">
        <v>0</v>
      </c>
      <c r="O23" s="15">
        <f t="shared" si="0"/>
        <v>19</v>
      </c>
      <c r="P23" s="15">
        <f t="shared" si="1"/>
        <v>28</v>
      </c>
      <c r="R23" s="38" t="s">
        <v>91</v>
      </c>
      <c r="S23" s="39">
        <f>MAX(S13:S18)</f>
        <v>18</v>
      </c>
      <c r="T23" s="39">
        <f t="shared" ref="T23:AF23" si="15">MAX(T13:T18)</f>
        <v>12</v>
      </c>
      <c r="U23" s="39">
        <f t="shared" si="15"/>
        <v>8</v>
      </c>
      <c r="V23" s="39">
        <f t="shared" si="15"/>
        <v>44</v>
      </c>
      <c r="W23" s="39">
        <f t="shared" si="15"/>
        <v>2</v>
      </c>
      <c r="X23" s="39">
        <f t="shared" si="15"/>
        <v>4</v>
      </c>
      <c r="Y23" s="39">
        <f t="shared" si="15"/>
        <v>5</v>
      </c>
      <c r="Z23" s="39">
        <f t="shared" si="15"/>
        <v>6</v>
      </c>
      <c r="AA23" s="39">
        <f t="shared" si="15"/>
        <v>8</v>
      </c>
      <c r="AB23" s="39">
        <f t="shared" si="15"/>
        <v>2</v>
      </c>
      <c r="AC23" s="39">
        <f t="shared" si="15"/>
        <v>58</v>
      </c>
      <c r="AD23" s="39">
        <f t="shared" si="15"/>
        <v>0</v>
      </c>
      <c r="AE23" s="40">
        <f t="shared" si="15"/>
        <v>97</v>
      </c>
      <c r="AF23" s="40">
        <f t="shared" si="15"/>
        <v>146</v>
      </c>
    </row>
    <row r="24" spans="2:32" ht="23.1" customHeight="1" x14ac:dyDescent="0.25">
      <c r="B24" s="23" t="s">
        <v>51</v>
      </c>
      <c r="C24" s="50">
        <v>2</v>
      </c>
      <c r="D24" s="50">
        <v>1</v>
      </c>
      <c r="E24" s="50">
        <v>2</v>
      </c>
      <c r="F24" s="50">
        <v>14</v>
      </c>
      <c r="G24" s="50">
        <v>0</v>
      </c>
      <c r="H24" s="50">
        <v>0</v>
      </c>
      <c r="I24" s="50">
        <v>2</v>
      </c>
      <c r="J24" s="50">
        <v>0</v>
      </c>
      <c r="K24" s="50">
        <v>3</v>
      </c>
      <c r="L24" s="50">
        <v>1</v>
      </c>
      <c r="M24" s="50">
        <v>16</v>
      </c>
      <c r="N24" s="50">
        <v>0</v>
      </c>
      <c r="O24" s="15">
        <f t="shared" si="0"/>
        <v>25</v>
      </c>
      <c r="P24" s="15">
        <f t="shared" si="1"/>
        <v>41</v>
      </c>
      <c r="R24" s="38" t="s">
        <v>92</v>
      </c>
      <c r="S24" s="39">
        <f>MAX(S19:S21)</f>
        <v>31</v>
      </c>
      <c r="T24" s="39">
        <f t="shared" ref="T24:AF24" si="16">MAX(T19:T21)</f>
        <v>12</v>
      </c>
      <c r="U24" s="39">
        <f t="shared" si="16"/>
        <v>24</v>
      </c>
      <c r="V24" s="39">
        <f t="shared" si="16"/>
        <v>43</v>
      </c>
      <c r="W24" s="39">
        <f t="shared" si="16"/>
        <v>1</v>
      </c>
      <c r="X24" s="39">
        <f t="shared" si="16"/>
        <v>3</v>
      </c>
      <c r="Y24" s="39">
        <f t="shared" si="16"/>
        <v>7</v>
      </c>
      <c r="Z24" s="39">
        <f t="shared" si="16"/>
        <v>4</v>
      </c>
      <c r="AA24" s="39">
        <f t="shared" si="16"/>
        <v>11</v>
      </c>
      <c r="AB24" s="39">
        <f t="shared" si="16"/>
        <v>3</v>
      </c>
      <c r="AC24" s="39">
        <f t="shared" si="16"/>
        <v>73</v>
      </c>
      <c r="AD24" s="39">
        <f t="shared" si="16"/>
        <v>0</v>
      </c>
      <c r="AE24" s="40">
        <f t="shared" si="16"/>
        <v>131</v>
      </c>
      <c r="AF24" s="40">
        <f t="shared" si="16"/>
        <v>204</v>
      </c>
    </row>
    <row r="25" spans="2:32" ht="23.1" customHeight="1" x14ac:dyDescent="0.25">
      <c r="B25" s="23" t="s">
        <v>52</v>
      </c>
      <c r="C25" s="50">
        <v>3</v>
      </c>
      <c r="D25" s="50">
        <v>1</v>
      </c>
      <c r="E25" s="50">
        <v>1</v>
      </c>
      <c r="F25" s="50">
        <v>9</v>
      </c>
      <c r="G25" s="50">
        <v>0</v>
      </c>
      <c r="H25" s="50">
        <v>0</v>
      </c>
      <c r="I25" s="50">
        <v>1</v>
      </c>
      <c r="J25" s="50">
        <v>0</v>
      </c>
      <c r="K25" s="50">
        <v>0</v>
      </c>
      <c r="L25" s="50">
        <v>0</v>
      </c>
      <c r="M25" s="50">
        <v>10</v>
      </c>
      <c r="N25" s="50">
        <v>0</v>
      </c>
      <c r="O25" s="15">
        <f t="shared" si="0"/>
        <v>15</v>
      </c>
      <c r="P25" s="15">
        <f t="shared" si="1"/>
        <v>25</v>
      </c>
      <c r="R25" s="37" t="s">
        <v>85</v>
      </c>
      <c r="S25" s="35">
        <f t="shared" ref="S25:AF25" si="17">SUM(S10:S12)</f>
        <v>32</v>
      </c>
      <c r="T25" s="16">
        <f t="shared" si="17"/>
        <v>8</v>
      </c>
      <c r="U25" s="16">
        <f t="shared" si="17"/>
        <v>16</v>
      </c>
      <c r="V25" s="16">
        <f t="shared" si="17"/>
        <v>72</v>
      </c>
      <c r="W25" s="16">
        <f t="shared" si="17"/>
        <v>4</v>
      </c>
      <c r="X25" s="16">
        <f t="shared" si="17"/>
        <v>4</v>
      </c>
      <c r="Y25" s="16">
        <f t="shared" si="17"/>
        <v>3</v>
      </c>
      <c r="Z25" s="16">
        <f t="shared" si="17"/>
        <v>9</v>
      </c>
      <c r="AA25" s="16">
        <f t="shared" si="17"/>
        <v>7</v>
      </c>
      <c r="AB25" s="16">
        <f t="shared" si="17"/>
        <v>1</v>
      </c>
      <c r="AC25" s="16">
        <f t="shared" si="17"/>
        <v>117</v>
      </c>
      <c r="AD25" s="16">
        <f t="shared" si="17"/>
        <v>0</v>
      </c>
      <c r="AE25" s="32">
        <f t="shared" si="17"/>
        <v>156</v>
      </c>
      <c r="AF25" s="32">
        <f t="shared" si="17"/>
        <v>273</v>
      </c>
    </row>
    <row r="26" spans="2:32" ht="23.1" customHeight="1" x14ac:dyDescent="0.25">
      <c r="B26" s="23" t="s">
        <v>53</v>
      </c>
      <c r="C26" s="50">
        <v>3</v>
      </c>
      <c r="D26" s="50">
        <v>1</v>
      </c>
      <c r="E26" s="50">
        <v>1</v>
      </c>
      <c r="F26" s="50">
        <v>13</v>
      </c>
      <c r="G26" s="50">
        <v>0</v>
      </c>
      <c r="H26" s="50">
        <v>1</v>
      </c>
      <c r="I26" s="50">
        <v>1</v>
      </c>
      <c r="J26" s="50">
        <v>0</v>
      </c>
      <c r="K26" s="50">
        <v>0</v>
      </c>
      <c r="L26" s="50">
        <v>0</v>
      </c>
      <c r="M26" s="50">
        <v>10</v>
      </c>
      <c r="N26" s="50">
        <v>0</v>
      </c>
      <c r="O26" s="15">
        <f t="shared" si="0"/>
        <v>20</v>
      </c>
      <c r="P26" s="15">
        <f t="shared" si="1"/>
        <v>30</v>
      </c>
      <c r="R26" s="28" t="s">
        <v>86</v>
      </c>
      <c r="S26" s="16">
        <f t="shared" ref="S26:AF26" si="18">SUM(S13:S18)</f>
        <v>88</v>
      </c>
      <c r="T26" s="16">
        <f t="shared" si="18"/>
        <v>32</v>
      </c>
      <c r="U26" s="16">
        <f t="shared" si="18"/>
        <v>31</v>
      </c>
      <c r="V26" s="16">
        <f t="shared" si="18"/>
        <v>204</v>
      </c>
      <c r="W26" s="16">
        <f t="shared" si="18"/>
        <v>5</v>
      </c>
      <c r="X26" s="16">
        <f t="shared" si="18"/>
        <v>12</v>
      </c>
      <c r="Y26" s="16">
        <f t="shared" si="18"/>
        <v>22</v>
      </c>
      <c r="Z26" s="16">
        <f t="shared" si="18"/>
        <v>23</v>
      </c>
      <c r="AA26" s="16">
        <f t="shared" si="18"/>
        <v>26</v>
      </c>
      <c r="AB26" s="16">
        <f t="shared" si="18"/>
        <v>6</v>
      </c>
      <c r="AC26" s="16">
        <f t="shared" si="18"/>
        <v>247</v>
      </c>
      <c r="AD26" s="16">
        <f t="shared" si="18"/>
        <v>0</v>
      </c>
      <c r="AE26" s="32">
        <f t="shared" si="18"/>
        <v>449</v>
      </c>
      <c r="AF26" s="32">
        <f t="shared" si="18"/>
        <v>696</v>
      </c>
    </row>
    <row r="27" spans="2:32" ht="23.1" customHeight="1" x14ac:dyDescent="0.25">
      <c r="B27" s="23" t="s">
        <v>54</v>
      </c>
      <c r="C27" s="50">
        <v>2</v>
      </c>
      <c r="D27" s="50">
        <v>1</v>
      </c>
      <c r="E27" s="50">
        <v>0</v>
      </c>
      <c r="F27" s="50">
        <v>6</v>
      </c>
      <c r="G27" s="50">
        <v>0</v>
      </c>
      <c r="H27" s="50">
        <v>0</v>
      </c>
      <c r="I27" s="50">
        <v>0</v>
      </c>
      <c r="J27" s="50">
        <v>1</v>
      </c>
      <c r="K27" s="50">
        <v>0</v>
      </c>
      <c r="L27" s="50">
        <v>0</v>
      </c>
      <c r="M27" s="50">
        <v>13</v>
      </c>
      <c r="N27" s="50">
        <v>0</v>
      </c>
      <c r="O27" s="15">
        <f t="shared" si="0"/>
        <v>10</v>
      </c>
      <c r="P27" s="15">
        <f t="shared" si="1"/>
        <v>23</v>
      </c>
      <c r="R27" s="29" t="s">
        <v>87</v>
      </c>
      <c r="S27" s="16">
        <f t="shared" ref="S27:AF27" si="19">SUM(S19:S21)</f>
        <v>57</v>
      </c>
      <c r="T27" s="16">
        <f t="shared" si="19"/>
        <v>26</v>
      </c>
      <c r="U27" s="16">
        <f t="shared" si="19"/>
        <v>43</v>
      </c>
      <c r="V27" s="16">
        <f t="shared" si="19"/>
        <v>120</v>
      </c>
      <c r="W27" s="16">
        <f t="shared" si="19"/>
        <v>3</v>
      </c>
      <c r="X27" s="16">
        <f t="shared" si="19"/>
        <v>5</v>
      </c>
      <c r="Y27" s="16">
        <f t="shared" si="19"/>
        <v>12</v>
      </c>
      <c r="Z27" s="16">
        <f t="shared" si="19"/>
        <v>11</v>
      </c>
      <c r="AA27" s="16">
        <f t="shared" si="19"/>
        <v>26</v>
      </c>
      <c r="AB27" s="16">
        <f t="shared" si="19"/>
        <v>4</v>
      </c>
      <c r="AC27" s="16">
        <f t="shared" si="19"/>
        <v>197</v>
      </c>
      <c r="AD27" s="16">
        <f t="shared" si="19"/>
        <v>0</v>
      </c>
      <c r="AE27" s="32">
        <f t="shared" si="19"/>
        <v>287</v>
      </c>
      <c r="AF27" s="32">
        <f t="shared" si="19"/>
        <v>504</v>
      </c>
    </row>
    <row r="28" spans="2:32" ht="23.1" customHeight="1" x14ac:dyDescent="0.25">
      <c r="B28" s="23" t="s">
        <v>55</v>
      </c>
      <c r="C28" s="50">
        <v>1</v>
      </c>
      <c r="D28" s="50">
        <v>0</v>
      </c>
      <c r="E28" s="50">
        <v>0</v>
      </c>
      <c r="F28" s="50">
        <v>4</v>
      </c>
      <c r="G28" s="50">
        <v>0</v>
      </c>
      <c r="H28" s="50">
        <v>0</v>
      </c>
      <c r="I28" s="50">
        <v>3</v>
      </c>
      <c r="J28" s="50">
        <v>0</v>
      </c>
      <c r="K28" s="50">
        <v>0</v>
      </c>
      <c r="L28" s="50">
        <v>0</v>
      </c>
      <c r="M28" s="50">
        <v>9</v>
      </c>
      <c r="N28" s="50">
        <v>0</v>
      </c>
      <c r="O28" s="15">
        <f t="shared" si="0"/>
        <v>8</v>
      </c>
      <c r="P28" s="15">
        <f t="shared" si="1"/>
        <v>17</v>
      </c>
      <c r="R28" s="5" t="s">
        <v>17</v>
      </c>
      <c r="S28" s="16">
        <f t="shared" ref="S28:AF28" si="20">SUM(S10:S21)</f>
        <v>177</v>
      </c>
      <c r="T28" s="16">
        <f t="shared" si="20"/>
        <v>66</v>
      </c>
      <c r="U28" s="16">
        <f t="shared" si="20"/>
        <v>90</v>
      </c>
      <c r="V28" s="16">
        <f t="shared" si="20"/>
        <v>396</v>
      </c>
      <c r="W28" s="16">
        <f t="shared" si="20"/>
        <v>12</v>
      </c>
      <c r="X28" s="16">
        <f t="shared" si="20"/>
        <v>21</v>
      </c>
      <c r="Y28" s="16">
        <f t="shared" si="20"/>
        <v>37</v>
      </c>
      <c r="Z28" s="16">
        <f t="shared" si="20"/>
        <v>43</v>
      </c>
      <c r="AA28" s="16">
        <f t="shared" si="20"/>
        <v>59</v>
      </c>
      <c r="AB28" s="16">
        <f t="shared" si="20"/>
        <v>11</v>
      </c>
      <c r="AC28" s="16">
        <f t="shared" si="20"/>
        <v>561</v>
      </c>
      <c r="AD28" s="16">
        <f t="shared" si="20"/>
        <v>0</v>
      </c>
      <c r="AE28" s="32">
        <f t="shared" si="20"/>
        <v>892</v>
      </c>
      <c r="AF28" s="32">
        <f t="shared" si="20"/>
        <v>1473</v>
      </c>
    </row>
    <row r="29" spans="2:32" ht="23.1" customHeight="1" x14ac:dyDescent="0.25">
      <c r="B29" s="23" t="s">
        <v>56</v>
      </c>
      <c r="C29" s="50">
        <v>2</v>
      </c>
      <c r="D29" s="50">
        <v>1</v>
      </c>
      <c r="E29" s="50">
        <v>1</v>
      </c>
      <c r="F29" s="50">
        <v>9</v>
      </c>
      <c r="G29" s="50">
        <v>0</v>
      </c>
      <c r="H29" s="50">
        <v>0</v>
      </c>
      <c r="I29" s="50">
        <v>0</v>
      </c>
      <c r="J29" s="50">
        <v>1</v>
      </c>
      <c r="K29" s="50">
        <v>0</v>
      </c>
      <c r="L29" s="50">
        <v>0</v>
      </c>
      <c r="M29" s="50">
        <v>11</v>
      </c>
      <c r="N29" s="50">
        <v>0</v>
      </c>
      <c r="O29" s="15">
        <f t="shared" si="0"/>
        <v>14</v>
      </c>
      <c r="P29" s="15">
        <f t="shared" si="1"/>
        <v>25</v>
      </c>
      <c r="R29"/>
      <c r="S29" s="20"/>
      <c r="T29" s="19"/>
    </row>
    <row r="30" spans="2:32" ht="23.1" customHeight="1" x14ac:dyDescent="0.25">
      <c r="B30" s="23" t="s">
        <v>57</v>
      </c>
      <c r="C30" s="50">
        <v>5</v>
      </c>
      <c r="D30" s="50">
        <v>2</v>
      </c>
      <c r="E30" s="50">
        <v>2</v>
      </c>
      <c r="F30" s="50">
        <v>5</v>
      </c>
      <c r="G30" s="50">
        <v>1</v>
      </c>
      <c r="H30" s="50">
        <v>1</v>
      </c>
      <c r="I30" s="50">
        <v>0</v>
      </c>
      <c r="J30" s="50">
        <v>2</v>
      </c>
      <c r="K30" s="50">
        <v>0</v>
      </c>
      <c r="L30" s="50">
        <v>0</v>
      </c>
      <c r="M30" s="50">
        <v>8</v>
      </c>
      <c r="N30" s="50">
        <v>0</v>
      </c>
      <c r="O30" s="15">
        <f t="shared" si="0"/>
        <v>18</v>
      </c>
      <c r="P30" s="15">
        <f t="shared" si="1"/>
        <v>26</v>
      </c>
    </row>
    <row r="31" spans="2:32" ht="23.1" customHeight="1" x14ac:dyDescent="0.25">
      <c r="B31" s="24" t="s">
        <v>58</v>
      </c>
      <c r="C31" s="50">
        <v>2</v>
      </c>
      <c r="D31" s="50">
        <v>0</v>
      </c>
      <c r="E31" s="50">
        <v>0</v>
      </c>
      <c r="F31" s="50">
        <v>6</v>
      </c>
      <c r="G31" s="50">
        <v>0</v>
      </c>
      <c r="H31" s="50">
        <v>0</v>
      </c>
      <c r="I31" s="50">
        <v>0</v>
      </c>
      <c r="J31" s="50">
        <v>0</v>
      </c>
      <c r="K31" s="50">
        <v>4</v>
      </c>
      <c r="L31" s="50">
        <v>0</v>
      </c>
      <c r="M31" s="50">
        <v>5</v>
      </c>
      <c r="N31" s="50">
        <v>0</v>
      </c>
      <c r="O31" s="15">
        <f t="shared" si="0"/>
        <v>12</v>
      </c>
      <c r="P31" s="15">
        <f t="shared" si="1"/>
        <v>17</v>
      </c>
    </row>
    <row r="32" spans="2:32" ht="23.1" customHeight="1" x14ac:dyDescent="0.25">
      <c r="B32" s="24" t="s">
        <v>59</v>
      </c>
      <c r="C32" s="50">
        <v>4</v>
      </c>
      <c r="D32" s="50">
        <v>1</v>
      </c>
      <c r="E32" s="50">
        <v>3</v>
      </c>
      <c r="F32" s="50">
        <v>12</v>
      </c>
      <c r="G32" s="50">
        <v>0</v>
      </c>
      <c r="H32" s="50">
        <v>0</v>
      </c>
      <c r="I32" s="50">
        <v>0</v>
      </c>
      <c r="J32" s="50">
        <v>1</v>
      </c>
      <c r="K32" s="50">
        <v>0</v>
      </c>
      <c r="L32" s="50">
        <v>0</v>
      </c>
      <c r="M32" s="50">
        <v>6</v>
      </c>
      <c r="N32" s="50">
        <v>0</v>
      </c>
      <c r="O32" s="15">
        <f t="shared" si="0"/>
        <v>21</v>
      </c>
      <c r="P32" s="15">
        <f t="shared" si="1"/>
        <v>27</v>
      </c>
    </row>
    <row r="33" spans="2:20" ht="23.1" customHeight="1" x14ac:dyDescent="0.25">
      <c r="B33" s="23" t="s">
        <v>60</v>
      </c>
      <c r="C33" s="50">
        <v>7</v>
      </c>
      <c r="D33" s="50">
        <v>0</v>
      </c>
      <c r="E33" s="50">
        <v>0</v>
      </c>
      <c r="F33" s="50">
        <v>4</v>
      </c>
      <c r="G33" s="50">
        <v>0</v>
      </c>
      <c r="H33" s="50">
        <v>1</v>
      </c>
      <c r="I33" s="50">
        <v>3</v>
      </c>
      <c r="J33" s="50">
        <v>0</v>
      </c>
      <c r="K33" s="50">
        <v>2</v>
      </c>
      <c r="L33" s="50">
        <v>1</v>
      </c>
      <c r="M33" s="50">
        <v>9</v>
      </c>
      <c r="N33" s="50">
        <v>0</v>
      </c>
      <c r="O33" s="15">
        <f t="shared" si="0"/>
        <v>18</v>
      </c>
      <c r="P33" s="15">
        <f t="shared" si="1"/>
        <v>27</v>
      </c>
    </row>
    <row r="34" spans="2:20" ht="23.1" customHeight="1" x14ac:dyDescent="0.25">
      <c r="B34" s="24" t="s">
        <v>61</v>
      </c>
      <c r="C34" s="50">
        <v>3</v>
      </c>
      <c r="D34" s="50">
        <v>0</v>
      </c>
      <c r="E34" s="50">
        <v>1</v>
      </c>
      <c r="F34" s="50">
        <v>6</v>
      </c>
      <c r="G34" s="50">
        <v>1</v>
      </c>
      <c r="H34" s="50">
        <v>2</v>
      </c>
      <c r="I34" s="50">
        <v>0</v>
      </c>
      <c r="J34" s="50">
        <v>2</v>
      </c>
      <c r="K34" s="50">
        <v>1</v>
      </c>
      <c r="L34" s="50">
        <v>0</v>
      </c>
      <c r="M34" s="50">
        <v>9</v>
      </c>
      <c r="N34" s="50">
        <v>0</v>
      </c>
      <c r="O34" s="15">
        <f t="shared" si="0"/>
        <v>16</v>
      </c>
      <c r="P34" s="15">
        <f t="shared" si="1"/>
        <v>25</v>
      </c>
    </row>
    <row r="35" spans="2:20" ht="23.1" customHeight="1" x14ac:dyDescent="0.25">
      <c r="B35" s="24" t="s">
        <v>62</v>
      </c>
      <c r="C35" s="50">
        <v>7</v>
      </c>
      <c r="D35" s="50">
        <v>1</v>
      </c>
      <c r="E35" s="50">
        <v>0</v>
      </c>
      <c r="F35" s="50">
        <v>8</v>
      </c>
      <c r="G35" s="50">
        <v>1</v>
      </c>
      <c r="H35" s="50">
        <v>0</v>
      </c>
      <c r="I35" s="50">
        <v>1</v>
      </c>
      <c r="J35" s="50">
        <v>2</v>
      </c>
      <c r="K35" s="50">
        <v>0</v>
      </c>
      <c r="L35" s="50">
        <v>0</v>
      </c>
      <c r="M35" s="50">
        <v>6</v>
      </c>
      <c r="N35" s="50">
        <v>0</v>
      </c>
      <c r="O35" s="15">
        <f t="shared" si="0"/>
        <v>20</v>
      </c>
      <c r="P35" s="15">
        <f t="shared" si="1"/>
        <v>26</v>
      </c>
    </row>
    <row r="36" spans="2:20" ht="23.1" customHeight="1" x14ac:dyDescent="0.25">
      <c r="B36" s="24" t="s">
        <v>63</v>
      </c>
      <c r="C36" s="50">
        <v>5</v>
      </c>
      <c r="D36" s="50">
        <v>2</v>
      </c>
      <c r="E36" s="50">
        <v>2</v>
      </c>
      <c r="F36" s="50">
        <v>12</v>
      </c>
      <c r="G36" s="50">
        <v>0</v>
      </c>
      <c r="H36" s="50">
        <v>1</v>
      </c>
      <c r="I36" s="50">
        <v>0</v>
      </c>
      <c r="J36" s="50">
        <v>1</v>
      </c>
      <c r="K36" s="50">
        <v>2</v>
      </c>
      <c r="L36" s="50">
        <v>0</v>
      </c>
      <c r="M36" s="50">
        <v>6</v>
      </c>
      <c r="N36" s="50">
        <v>0</v>
      </c>
      <c r="O36" s="15">
        <f t="shared" si="0"/>
        <v>25</v>
      </c>
      <c r="P36" s="15">
        <f t="shared" si="1"/>
        <v>31</v>
      </c>
    </row>
    <row r="37" spans="2:20" ht="23.1" customHeight="1" x14ac:dyDescent="0.25">
      <c r="B37" s="23" t="s">
        <v>64</v>
      </c>
      <c r="C37" s="50">
        <v>3</v>
      </c>
      <c r="D37" s="50">
        <v>0</v>
      </c>
      <c r="E37" s="50">
        <v>2</v>
      </c>
      <c r="F37" s="50">
        <v>6</v>
      </c>
      <c r="G37" s="50">
        <v>0</v>
      </c>
      <c r="H37" s="50">
        <v>0</v>
      </c>
      <c r="I37" s="50">
        <v>1</v>
      </c>
      <c r="J37" s="50">
        <v>1</v>
      </c>
      <c r="K37" s="50">
        <v>0</v>
      </c>
      <c r="L37" s="50">
        <v>0</v>
      </c>
      <c r="M37" s="50">
        <v>7</v>
      </c>
      <c r="N37" s="50">
        <v>0</v>
      </c>
      <c r="O37" s="15">
        <f t="shared" si="0"/>
        <v>13</v>
      </c>
      <c r="P37" s="15">
        <f t="shared" si="1"/>
        <v>20</v>
      </c>
    </row>
    <row r="38" spans="2:20" ht="23.1" customHeight="1" x14ac:dyDescent="0.25">
      <c r="B38" s="24" t="s">
        <v>65</v>
      </c>
      <c r="C38" s="50">
        <v>3</v>
      </c>
      <c r="D38" s="50">
        <v>1</v>
      </c>
      <c r="E38" s="50">
        <v>3</v>
      </c>
      <c r="F38" s="50">
        <v>6</v>
      </c>
      <c r="G38" s="50">
        <v>0</v>
      </c>
      <c r="H38" s="50">
        <v>1</v>
      </c>
      <c r="I38" s="50">
        <v>0</v>
      </c>
      <c r="J38" s="50">
        <v>1</v>
      </c>
      <c r="K38" s="50">
        <v>4</v>
      </c>
      <c r="L38" s="50">
        <v>1</v>
      </c>
      <c r="M38" s="50">
        <v>9</v>
      </c>
      <c r="N38" s="50">
        <v>0</v>
      </c>
      <c r="O38" s="15">
        <f t="shared" si="0"/>
        <v>20</v>
      </c>
      <c r="P38" s="15">
        <f t="shared" si="1"/>
        <v>29</v>
      </c>
    </row>
    <row r="39" spans="2:20" ht="23.1" customHeight="1" x14ac:dyDescent="0.25">
      <c r="B39" s="24" t="s">
        <v>66</v>
      </c>
      <c r="C39" s="50">
        <v>6</v>
      </c>
      <c r="D39" s="50">
        <v>2</v>
      </c>
      <c r="E39" s="50">
        <v>2</v>
      </c>
      <c r="F39" s="50">
        <v>15</v>
      </c>
      <c r="G39" s="50">
        <v>1</v>
      </c>
      <c r="H39" s="50">
        <v>0</v>
      </c>
      <c r="I39" s="50">
        <v>1</v>
      </c>
      <c r="J39" s="50">
        <v>0</v>
      </c>
      <c r="K39" s="50">
        <v>0</v>
      </c>
      <c r="L39" s="50">
        <v>0</v>
      </c>
      <c r="M39" s="50">
        <v>11</v>
      </c>
      <c r="N39" s="50">
        <v>0</v>
      </c>
      <c r="O39" s="15">
        <f t="shared" si="0"/>
        <v>27</v>
      </c>
      <c r="P39" s="15">
        <f t="shared" si="1"/>
        <v>38</v>
      </c>
    </row>
    <row r="40" spans="2:20" ht="23.1" customHeight="1" x14ac:dyDescent="0.25">
      <c r="B40" s="24" t="s">
        <v>67</v>
      </c>
      <c r="C40" s="50">
        <v>5</v>
      </c>
      <c r="D40" s="50">
        <v>3</v>
      </c>
      <c r="E40" s="50">
        <v>2</v>
      </c>
      <c r="F40" s="50">
        <v>6</v>
      </c>
      <c r="G40" s="50">
        <v>0</v>
      </c>
      <c r="H40" s="50">
        <v>0</v>
      </c>
      <c r="I40" s="50">
        <v>1</v>
      </c>
      <c r="J40" s="50">
        <v>2</v>
      </c>
      <c r="K40" s="50">
        <v>3</v>
      </c>
      <c r="L40" s="50">
        <v>0</v>
      </c>
      <c r="M40" s="50">
        <v>13</v>
      </c>
      <c r="N40" s="50">
        <v>0</v>
      </c>
      <c r="O40" s="15">
        <f t="shared" si="0"/>
        <v>22</v>
      </c>
      <c r="P40" s="15">
        <f t="shared" si="1"/>
        <v>35</v>
      </c>
    </row>
    <row r="41" spans="2:20" ht="23.1" customHeight="1" x14ac:dyDescent="0.25">
      <c r="B41" s="23" t="s">
        <v>68</v>
      </c>
      <c r="C41" s="50">
        <v>4</v>
      </c>
      <c r="D41" s="50">
        <v>1</v>
      </c>
      <c r="E41" s="50">
        <v>1</v>
      </c>
      <c r="F41" s="50">
        <v>17</v>
      </c>
      <c r="G41" s="50">
        <v>0</v>
      </c>
      <c r="H41" s="50">
        <v>1</v>
      </c>
      <c r="I41" s="50">
        <v>3</v>
      </c>
      <c r="J41" s="50">
        <v>0</v>
      </c>
      <c r="K41" s="50">
        <v>1</v>
      </c>
      <c r="L41" s="50">
        <v>0</v>
      </c>
      <c r="M41" s="50">
        <v>16</v>
      </c>
      <c r="N41" s="50">
        <v>0</v>
      </c>
      <c r="O41" s="15">
        <f t="shared" si="0"/>
        <v>28</v>
      </c>
      <c r="P41" s="15">
        <f t="shared" si="1"/>
        <v>44</v>
      </c>
    </row>
    <row r="42" spans="2:20" ht="23.1" customHeight="1" x14ac:dyDescent="0.25">
      <c r="B42" s="24" t="s">
        <v>69</v>
      </c>
      <c r="C42" s="50">
        <v>3</v>
      </c>
      <c r="D42" s="50">
        <v>2</v>
      </c>
      <c r="E42" s="50">
        <v>1</v>
      </c>
      <c r="F42" s="50">
        <v>7</v>
      </c>
      <c r="G42" s="50">
        <v>0</v>
      </c>
      <c r="H42" s="50">
        <v>1</v>
      </c>
      <c r="I42" s="50">
        <v>0</v>
      </c>
      <c r="J42" s="50">
        <v>2</v>
      </c>
      <c r="K42" s="50">
        <v>0</v>
      </c>
      <c r="L42" s="50">
        <v>0</v>
      </c>
      <c r="M42" s="50">
        <v>10</v>
      </c>
      <c r="N42" s="50">
        <v>0</v>
      </c>
      <c r="O42" s="15">
        <f t="shared" si="0"/>
        <v>16</v>
      </c>
      <c r="P42" s="15">
        <f t="shared" si="1"/>
        <v>26</v>
      </c>
    </row>
    <row r="43" spans="2:20" ht="23.1" customHeight="1" x14ac:dyDescent="0.25">
      <c r="B43" s="23" t="s">
        <v>70</v>
      </c>
      <c r="C43" s="50">
        <v>2</v>
      </c>
      <c r="D43" s="50">
        <v>2</v>
      </c>
      <c r="E43" s="50">
        <v>3</v>
      </c>
      <c r="F43" s="50">
        <v>4</v>
      </c>
      <c r="G43" s="50">
        <v>0</v>
      </c>
      <c r="H43" s="50">
        <v>0</v>
      </c>
      <c r="I43" s="50">
        <v>1</v>
      </c>
      <c r="J43" s="50">
        <v>4</v>
      </c>
      <c r="K43" s="50">
        <v>0</v>
      </c>
      <c r="L43" s="50">
        <v>1</v>
      </c>
      <c r="M43" s="50">
        <v>13</v>
      </c>
      <c r="N43" s="50">
        <v>0</v>
      </c>
      <c r="O43" s="15">
        <f t="shared" si="0"/>
        <v>17</v>
      </c>
      <c r="P43" s="15">
        <f t="shared" si="1"/>
        <v>30</v>
      </c>
    </row>
    <row r="44" spans="2:20" ht="23.1" customHeight="1" x14ac:dyDescent="0.25">
      <c r="B44" s="25" t="s">
        <v>71</v>
      </c>
      <c r="C44" s="50">
        <v>6</v>
      </c>
      <c r="D44" s="50">
        <v>3</v>
      </c>
      <c r="E44" s="50">
        <v>1</v>
      </c>
      <c r="F44" s="50">
        <v>7</v>
      </c>
      <c r="G44" s="50">
        <v>1</v>
      </c>
      <c r="H44" s="50">
        <v>0</v>
      </c>
      <c r="I44" s="50">
        <v>1</v>
      </c>
      <c r="J44" s="50">
        <v>0</v>
      </c>
      <c r="K44" s="50">
        <v>1</v>
      </c>
      <c r="L44" s="50">
        <v>1</v>
      </c>
      <c r="M44" s="50">
        <v>16</v>
      </c>
      <c r="N44" s="50">
        <v>0</v>
      </c>
      <c r="O44" s="15">
        <f t="shared" si="0"/>
        <v>21</v>
      </c>
      <c r="P44" s="15">
        <f t="shared" si="1"/>
        <v>37</v>
      </c>
    </row>
    <row r="45" spans="2:20" ht="23.1" customHeight="1" x14ac:dyDescent="0.25">
      <c r="B45" s="23" t="s">
        <v>72</v>
      </c>
      <c r="C45" s="50">
        <v>6</v>
      </c>
      <c r="D45" s="50">
        <v>5</v>
      </c>
      <c r="E45" s="50">
        <v>1</v>
      </c>
      <c r="F45" s="50">
        <v>9</v>
      </c>
      <c r="G45" s="50">
        <v>0</v>
      </c>
      <c r="H45" s="50">
        <v>3</v>
      </c>
      <c r="I45" s="50">
        <v>2</v>
      </c>
      <c r="J45" s="50">
        <v>0</v>
      </c>
      <c r="K45" s="50">
        <v>4</v>
      </c>
      <c r="L45" s="50">
        <v>0</v>
      </c>
      <c r="M45" s="50">
        <v>19</v>
      </c>
      <c r="N45" s="50">
        <v>0</v>
      </c>
      <c r="O45" s="15">
        <f t="shared" si="0"/>
        <v>30</v>
      </c>
      <c r="P45" s="15">
        <f t="shared" si="1"/>
        <v>49</v>
      </c>
    </row>
    <row r="46" spans="2:20" ht="23.1" customHeight="1" x14ac:dyDescent="0.25">
      <c r="B46" s="24" t="s">
        <v>73</v>
      </c>
      <c r="C46" s="50">
        <v>2</v>
      </c>
      <c r="D46" s="50">
        <v>1</v>
      </c>
      <c r="E46" s="50">
        <v>4</v>
      </c>
      <c r="F46" s="50">
        <v>7</v>
      </c>
      <c r="G46" s="50">
        <v>1</v>
      </c>
      <c r="H46" s="50">
        <v>1</v>
      </c>
      <c r="I46" s="50">
        <v>0</v>
      </c>
      <c r="J46" s="50">
        <v>1</v>
      </c>
      <c r="K46" s="50">
        <v>2</v>
      </c>
      <c r="L46" s="50">
        <v>0</v>
      </c>
      <c r="M46" s="50">
        <v>10</v>
      </c>
      <c r="N46" s="50">
        <v>0</v>
      </c>
      <c r="O46" s="15">
        <f t="shared" si="0"/>
        <v>19</v>
      </c>
      <c r="P46" s="15">
        <f t="shared" si="1"/>
        <v>29</v>
      </c>
      <c r="R46" s="8"/>
      <c r="T46"/>
    </row>
    <row r="47" spans="2:20" ht="23.1" customHeight="1" x14ac:dyDescent="0.25">
      <c r="B47" s="24" t="s">
        <v>74</v>
      </c>
      <c r="C47" s="50">
        <v>1</v>
      </c>
      <c r="D47" s="50">
        <v>4</v>
      </c>
      <c r="E47" s="50">
        <v>2</v>
      </c>
      <c r="F47" s="50">
        <v>12</v>
      </c>
      <c r="G47" s="50">
        <v>0</v>
      </c>
      <c r="H47" s="50">
        <v>0</v>
      </c>
      <c r="I47" s="50">
        <v>1</v>
      </c>
      <c r="J47" s="50">
        <v>0</v>
      </c>
      <c r="K47" s="50">
        <v>5</v>
      </c>
      <c r="L47" s="50">
        <v>0</v>
      </c>
      <c r="M47" s="50">
        <v>14</v>
      </c>
      <c r="N47" s="50">
        <v>0</v>
      </c>
      <c r="O47" s="15">
        <f t="shared" si="0"/>
        <v>25</v>
      </c>
      <c r="P47" s="15">
        <f t="shared" si="1"/>
        <v>39</v>
      </c>
      <c r="R47" s="8"/>
      <c r="T47"/>
    </row>
    <row r="48" spans="2:20" ht="23.1" customHeight="1" x14ac:dyDescent="0.25">
      <c r="B48" s="24" t="s">
        <v>75</v>
      </c>
      <c r="C48" s="50">
        <v>8</v>
      </c>
      <c r="D48" s="50">
        <v>5</v>
      </c>
      <c r="E48" s="50">
        <v>1</v>
      </c>
      <c r="F48" s="50">
        <v>8</v>
      </c>
      <c r="G48" s="50">
        <v>0</v>
      </c>
      <c r="H48" s="50">
        <v>0</v>
      </c>
      <c r="I48" s="50">
        <v>1</v>
      </c>
      <c r="J48" s="50">
        <v>0</v>
      </c>
      <c r="K48" s="50">
        <v>4</v>
      </c>
      <c r="L48" s="50">
        <v>1</v>
      </c>
      <c r="M48" s="50">
        <v>16</v>
      </c>
      <c r="N48" s="50">
        <v>0</v>
      </c>
      <c r="O48" s="15">
        <f t="shared" si="0"/>
        <v>28</v>
      </c>
      <c r="P48" s="15">
        <f t="shared" si="1"/>
        <v>44</v>
      </c>
      <c r="R48" s="8"/>
      <c r="T48"/>
    </row>
    <row r="49" spans="2:20" ht="23.1" customHeight="1" x14ac:dyDescent="0.25">
      <c r="B49" s="23" t="s">
        <v>76</v>
      </c>
      <c r="C49" s="50">
        <v>6</v>
      </c>
      <c r="D49" s="50">
        <v>0</v>
      </c>
      <c r="E49" s="50">
        <v>4</v>
      </c>
      <c r="F49" s="50">
        <v>7</v>
      </c>
      <c r="G49" s="50">
        <v>0</v>
      </c>
      <c r="H49" s="50">
        <v>0</v>
      </c>
      <c r="I49" s="50">
        <v>1</v>
      </c>
      <c r="J49" s="50">
        <v>2</v>
      </c>
      <c r="K49" s="50">
        <v>0</v>
      </c>
      <c r="L49" s="50">
        <v>0</v>
      </c>
      <c r="M49" s="50">
        <v>19</v>
      </c>
      <c r="N49" s="50">
        <v>0</v>
      </c>
      <c r="O49" s="15">
        <f t="shared" si="0"/>
        <v>20</v>
      </c>
      <c r="P49" s="15">
        <f t="shared" si="1"/>
        <v>39</v>
      </c>
      <c r="R49" s="8"/>
      <c r="T49"/>
    </row>
    <row r="50" spans="2:20" ht="23.1" customHeight="1" x14ac:dyDescent="0.25">
      <c r="B50" s="24" t="s">
        <v>77</v>
      </c>
      <c r="C50" s="50">
        <v>1</v>
      </c>
      <c r="D50" s="50">
        <v>2</v>
      </c>
      <c r="E50" s="50">
        <v>3</v>
      </c>
      <c r="F50" s="50">
        <v>9</v>
      </c>
      <c r="G50" s="50">
        <v>0</v>
      </c>
      <c r="H50" s="50">
        <v>0</v>
      </c>
      <c r="I50" s="50">
        <v>2</v>
      </c>
      <c r="J50" s="50">
        <v>0</v>
      </c>
      <c r="K50" s="50">
        <v>3</v>
      </c>
      <c r="L50" s="50">
        <v>0</v>
      </c>
      <c r="M50" s="50">
        <v>7</v>
      </c>
      <c r="N50" s="50">
        <v>0</v>
      </c>
      <c r="O50" s="15">
        <f t="shared" si="0"/>
        <v>20</v>
      </c>
      <c r="P50" s="15">
        <f t="shared" si="1"/>
        <v>27</v>
      </c>
      <c r="R50" s="8"/>
      <c r="T50"/>
    </row>
    <row r="51" spans="2:20" ht="23.1" customHeight="1" x14ac:dyDescent="0.25">
      <c r="B51" s="24" t="s">
        <v>78</v>
      </c>
      <c r="C51" s="50">
        <v>1</v>
      </c>
      <c r="D51" s="50">
        <v>2</v>
      </c>
      <c r="E51" s="50">
        <v>0</v>
      </c>
      <c r="F51" s="50">
        <v>12</v>
      </c>
      <c r="G51" s="50">
        <v>1</v>
      </c>
      <c r="H51" s="50">
        <v>1</v>
      </c>
      <c r="I51" s="50">
        <v>0</v>
      </c>
      <c r="J51" s="50">
        <v>2</v>
      </c>
      <c r="K51" s="50">
        <v>1</v>
      </c>
      <c r="L51" s="50">
        <v>0</v>
      </c>
      <c r="M51" s="50">
        <v>17</v>
      </c>
      <c r="N51" s="50">
        <v>0</v>
      </c>
      <c r="O51" s="15">
        <v>0</v>
      </c>
      <c r="P51" s="15">
        <f t="shared" si="1"/>
        <v>37</v>
      </c>
      <c r="R51" s="8"/>
      <c r="T51"/>
    </row>
    <row r="52" spans="2:20" ht="23.1" customHeight="1" x14ac:dyDescent="0.25">
      <c r="B52" s="24" t="s">
        <v>79</v>
      </c>
      <c r="C52" s="50">
        <v>3</v>
      </c>
      <c r="D52" s="50">
        <v>0</v>
      </c>
      <c r="E52" s="50">
        <v>2</v>
      </c>
      <c r="F52" s="50">
        <v>18</v>
      </c>
      <c r="G52" s="50">
        <v>0</v>
      </c>
      <c r="H52" s="50">
        <v>0</v>
      </c>
      <c r="I52" s="50">
        <v>0</v>
      </c>
      <c r="J52" s="50">
        <v>1</v>
      </c>
      <c r="K52" s="50">
        <v>4</v>
      </c>
      <c r="L52" s="50">
        <v>0</v>
      </c>
      <c r="M52" s="50">
        <v>19</v>
      </c>
      <c r="N52" s="50">
        <v>0</v>
      </c>
      <c r="O52" s="15">
        <f t="shared" si="0"/>
        <v>28</v>
      </c>
      <c r="P52" s="15">
        <f t="shared" si="1"/>
        <v>47</v>
      </c>
      <c r="R52" s="8"/>
      <c r="T52"/>
    </row>
    <row r="53" spans="2:20" ht="23.1" customHeight="1" x14ac:dyDescent="0.25">
      <c r="B53" s="23" t="s">
        <v>80</v>
      </c>
      <c r="C53" s="50">
        <v>4</v>
      </c>
      <c r="D53" s="50">
        <v>0</v>
      </c>
      <c r="E53" s="50">
        <v>3</v>
      </c>
      <c r="F53" s="50">
        <v>4</v>
      </c>
      <c r="G53" s="50">
        <v>0</v>
      </c>
      <c r="H53" s="50">
        <v>0</v>
      </c>
      <c r="I53" s="50">
        <v>0</v>
      </c>
      <c r="J53" s="50">
        <v>1</v>
      </c>
      <c r="K53" s="50">
        <v>1</v>
      </c>
      <c r="L53" s="50">
        <v>3</v>
      </c>
      <c r="M53" s="50">
        <v>22</v>
      </c>
      <c r="N53" s="50">
        <v>0</v>
      </c>
      <c r="O53" s="15">
        <f t="shared" si="0"/>
        <v>16</v>
      </c>
      <c r="P53" s="15">
        <f t="shared" si="1"/>
        <v>38</v>
      </c>
      <c r="R53" s="8"/>
      <c r="T53"/>
    </row>
    <row r="54" spans="2:20" ht="23.1" customHeight="1" x14ac:dyDescent="0.25">
      <c r="B54" s="23" t="s">
        <v>81</v>
      </c>
      <c r="C54" s="50">
        <v>4</v>
      </c>
      <c r="D54" s="50">
        <v>2</v>
      </c>
      <c r="E54" s="50">
        <v>4</v>
      </c>
      <c r="F54" s="50">
        <v>11</v>
      </c>
      <c r="G54" s="50">
        <v>1</v>
      </c>
      <c r="H54" s="50">
        <v>0</v>
      </c>
      <c r="I54" s="50">
        <v>3</v>
      </c>
      <c r="J54" s="50">
        <v>2</v>
      </c>
      <c r="K54" s="50">
        <v>1</v>
      </c>
      <c r="L54" s="50">
        <v>0</v>
      </c>
      <c r="M54" s="50">
        <v>17</v>
      </c>
      <c r="N54" s="50">
        <v>0</v>
      </c>
      <c r="O54" s="15">
        <f t="shared" si="0"/>
        <v>28</v>
      </c>
      <c r="P54" s="15">
        <f t="shared" si="1"/>
        <v>45</v>
      </c>
      <c r="R54" s="8"/>
      <c r="T54"/>
    </row>
    <row r="55" spans="2:20" ht="23.1" customHeight="1" x14ac:dyDescent="0.25">
      <c r="B55" s="23" t="s">
        <v>82</v>
      </c>
      <c r="C55" s="50">
        <v>8</v>
      </c>
      <c r="D55" s="50">
        <v>2</v>
      </c>
      <c r="E55" s="50">
        <v>6</v>
      </c>
      <c r="F55" s="50">
        <v>11</v>
      </c>
      <c r="G55" s="50">
        <v>0</v>
      </c>
      <c r="H55" s="50">
        <v>0</v>
      </c>
      <c r="I55" s="50">
        <v>3</v>
      </c>
      <c r="J55" s="50">
        <v>2</v>
      </c>
      <c r="K55" s="50">
        <v>0</v>
      </c>
      <c r="L55" s="50">
        <v>0</v>
      </c>
      <c r="M55" s="50">
        <v>14</v>
      </c>
      <c r="N55" s="50">
        <v>0</v>
      </c>
      <c r="O55" s="15">
        <f t="shared" si="0"/>
        <v>32</v>
      </c>
      <c r="P55" s="15">
        <f t="shared" si="1"/>
        <v>46</v>
      </c>
      <c r="R55" s="8"/>
      <c r="T55"/>
    </row>
    <row r="56" spans="2:20" ht="23.1" customHeight="1" x14ac:dyDescent="0.25">
      <c r="B56" s="23" t="s">
        <v>83</v>
      </c>
      <c r="C56" s="50">
        <v>4</v>
      </c>
      <c r="D56" s="50">
        <v>6</v>
      </c>
      <c r="E56" s="50">
        <v>3</v>
      </c>
      <c r="F56" s="50">
        <v>2</v>
      </c>
      <c r="G56" s="50">
        <v>0</v>
      </c>
      <c r="H56" s="50">
        <v>0</v>
      </c>
      <c r="I56" s="50">
        <v>1</v>
      </c>
      <c r="J56" s="50">
        <v>0</v>
      </c>
      <c r="K56" s="50">
        <v>0</v>
      </c>
      <c r="L56" s="50">
        <v>0</v>
      </c>
      <c r="M56" s="50">
        <v>22</v>
      </c>
      <c r="N56" s="50">
        <v>0</v>
      </c>
      <c r="O56" s="15">
        <f t="shared" si="0"/>
        <v>16</v>
      </c>
      <c r="P56" s="15">
        <f t="shared" si="1"/>
        <v>38</v>
      </c>
      <c r="R56" s="8"/>
      <c r="T56"/>
    </row>
    <row r="57" spans="2:20" ht="23.1" customHeight="1" x14ac:dyDescent="0.25">
      <c r="B57" s="23" t="s">
        <v>84</v>
      </c>
      <c r="C57" s="50">
        <v>15</v>
      </c>
      <c r="D57" s="50">
        <v>2</v>
      </c>
      <c r="E57" s="50">
        <v>11</v>
      </c>
      <c r="F57" s="50">
        <v>19</v>
      </c>
      <c r="G57" s="50">
        <v>0</v>
      </c>
      <c r="H57" s="50">
        <v>3</v>
      </c>
      <c r="I57" s="50">
        <v>0</v>
      </c>
      <c r="J57" s="50">
        <v>0</v>
      </c>
      <c r="K57" s="50">
        <v>5</v>
      </c>
      <c r="L57" s="50">
        <v>0</v>
      </c>
      <c r="M57" s="50">
        <v>20</v>
      </c>
      <c r="N57" s="50">
        <v>0</v>
      </c>
      <c r="O57" s="15">
        <f t="shared" si="0"/>
        <v>55</v>
      </c>
      <c r="P57" s="15">
        <f t="shared" si="1"/>
        <v>75</v>
      </c>
      <c r="R57" s="8"/>
      <c r="T57"/>
    </row>
    <row r="58" spans="2:20" ht="23.1" customHeight="1" x14ac:dyDescent="0.25">
      <c r="B58" s="26" t="s">
        <v>18</v>
      </c>
      <c r="C58" s="16">
        <f t="shared" ref="C58:P58" si="21">SUM(C10:C57)</f>
        <v>177</v>
      </c>
      <c r="D58" s="16">
        <f t="shared" si="21"/>
        <v>66</v>
      </c>
      <c r="E58" s="16">
        <f t="shared" si="21"/>
        <v>90</v>
      </c>
      <c r="F58" s="16">
        <f t="shared" si="21"/>
        <v>396</v>
      </c>
      <c r="G58" s="16">
        <f t="shared" si="21"/>
        <v>12</v>
      </c>
      <c r="H58" s="16">
        <f t="shared" si="21"/>
        <v>21</v>
      </c>
      <c r="I58" s="16">
        <f t="shared" si="21"/>
        <v>37</v>
      </c>
      <c r="J58" s="16">
        <f t="shared" si="21"/>
        <v>43</v>
      </c>
      <c r="K58" s="16">
        <f t="shared" si="21"/>
        <v>59</v>
      </c>
      <c r="L58" s="16">
        <f t="shared" si="21"/>
        <v>11</v>
      </c>
      <c r="M58" s="16">
        <f t="shared" si="21"/>
        <v>561</v>
      </c>
      <c r="N58" s="16">
        <f t="shared" si="21"/>
        <v>0</v>
      </c>
      <c r="O58" s="16">
        <f t="shared" si="21"/>
        <v>892</v>
      </c>
      <c r="P58" s="16">
        <f t="shared" si="21"/>
        <v>1473</v>
      </c>
      <c r="R58" s="8"/>
      <c r="T58"/>
    </row>
    <row r="59" spans="2:20" ht="23.1" customHeight="1" x14ac:dyDescent="0.25">
      <c r="B59" s="26" t="s">
        <v>93</v>
      </c>
      <c r="C59" s="43">
        <f t="shared" ref="C59:N59" si="22">C58/$P$58</f>
        <v>0.12016293279022404</v>
      </c>
      <c r="D59" s="43">
        <f t="shared" si="22"/>
        <v>4.4806517311608958E-2</v>
      </c>
      <c r="E59" s="43">
        <f t="shared" si="22"/>
        <v>6.1099796334012219E-2</v>
      </c>
      <c r="F59" s="43">
        <f t="shared" si="22"/>
        <v>0.26883910386965376</v>
      </c>
      <c r="G59" s="43">
        <f t="shared" si="22"/>
        <v>8.1466395112016286E-3</v>
      </c>
      <c r="H59" s="43">
        <f t="shared" si="22"/>
        <v>1.4256619144602852E-2</v>
      </c>
      <c r="I59" s="43">
        <f t="shared" si="22"/>
        <v>2.5118805159538356E-2</v>
      </c>
      <c r="J59" s="43">
        <f t="shared" si="22"/>
        <v>2.9192124915139173E-2</v>
      </c>
      <c r="K59" s="43">
        <f t="shared" si="22"/>
        <v>4.005431093007468E-2</v>
      </c>
      <c r="L59" s="43">
        <f t="shared" si="22"/>
        <v>7.4677528852681602E-3</v>
      </c>
      <c r="M59" s="43">
        <f t="shared" si="22"/>
        <v>0.38085539714867617</v>
      </c>
      <c r="N59" s="43">
        <f t="shared" si="22"/>
        <v>0</v>
      </c>
      <c r="R59" s="8"/>
      <c r="T59"/>
    </row>
    <row r="60" spans="2:20" ht="23.1" customHeight="1" x14ac:dyDescent="0.25">
      <c r="B60" s="42" t="s">
        <v>94</v>
      </c>
      <c r="C60" s="44">
        <f>C58/$O$58</f>
        <v>0.19843049327354259</v>
      </c>
      <c r="D60" s="44">
        <f t="shared" ref="D60:N60" si="23">D58/$O$58</f>
        <v>7.3991031390134535E-2</v>
      </c>
      <c r="E60" s="44">
        <f t="shared" si="23"/>
        <v>0.10089686098654709</v>
      </c>
      <c r="F60" s="44">
        <f t="shared" si="23"/>
        <v>0.44394618834080718</v>
      </c>
      <c r="G60" s="44">
        <f t="shared" si="23"/>
        <v>1.3452914798206279E-2</v>
      </c>
      <c r="H60" s="44">
        <f t="shared" si="23"/>
        <v>2.3542600896860985E-2</v>
      </c>
      <c r="I60" s="44">
        <f t="shared" si="23"/>
        <v>4.1479820627802692E-2</v>
      </c>
      <c r="J60" s="44">
        <f t="shared" si="23"/>
        <v>4.820627802690583E-2</v>
      </c>
      <c r="K60" s="44">
        <f t="shared" si="23"/>
        <v>6.614349775784753E-2</v>
      </c>
      <c r="L60" s="44">
        <f t="shared" si="23"/>
        <v>1.2331838565022421E-2</v>
      </c>
      <c r="M60" s="44"/>
      <c r="N60" s="44">
        <f t="shared" si="23"/>
        <v>0</v>
      </c>
      <c r="Q60" s="7"/>
      <c r="R60" s="8"/>
      <c r="T60"/>
    </row>
    <row r="61" spans="2:20" ht="20.100000000000001" customHeight="1" x14ac:dyDescent="0.25">
      <c r="B61" s="3"/>
      <c r="C61" s="18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Q61" s="7"/>
      <c r="R61" s="8"/>
      <c r="T61"/>
    </row>
    <row r="62" spans="2:20" ht="20.100000000000001" customHeight="1" x14ac:dyDescent="0.25">
      <c r="B62" s="3"/>
      <c r="C62" s="18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Q62" s="7"/>
      <c r="R62" s="8"/>
      <c r="T62"/>
    </row>
    <row r="63" spans="2:20" ht="20.100000000000001" customHeight="1" x14ac:dyDescent="0.25">
      <c r="B63" s="3"/>
      <c r="C63" s="18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Q63" s="7"/>
    </row>
    <row r="64" spans="2:20" ht="20.100000000000001" customHeight="1" x14ac:dyDescent="0.25">
      <c r="B64" s="3"/>
      <c r="C64" s="18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Q64" s="7"/>
    </row>
    <row r="65" spans="2:20" s="7" customFormat="1" ht="20.100000000000001" customHeight="1" x14ac:dyDescent="0.25"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/>
      <c r="P65"/>
      <c r="S65" s="8"/>
      <c r="T65" s="8"/>
    </row>
    <row r="66" spans="2:20" s="7" customFormat="1" ht="20.100000000000001" customHeight="1" x14ac:dyDescent="0.25"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/>
      <c r="P66"/>
      <c r="S66" s="8"/>
      <c r="T66" s="8"/>
    </row>
    <row r="67" spans="2:20" s="7" customFormat="1" ht="20.100000000000001" customHeight="1" x14ac:dyDescent="0.25"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/>
      <c r="P67"/>
      <c r="S67" s="8"/>
      <c r="T67" s="8"/>
    </row>
    <row r="68" spans="2:20" s="7" customFormat="1" ht="20.100000000000001" customHeight="1" x14ac:dyDescent="0.25"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/>
      <c r="P68"/>
      <c r="S68" s="8"/>
      <c r="T68" s="8"/>
    </row>
    <row r="69" spans="2:20" s="7" customFormat="1" ht="20.100000000000001" customHeight="1" x14ac:dyDescent="0.25"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/>
      <c r="P69"/>
      <c r="S69" s="8"/>
      <c r="T69" s="8"/>
    </row>
    <row r="70" spans="2:20" s="7" customFormat="1" ht="20.100000000000001" customHeight="1" x14ac:dyDescent="0.25"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/>
      <c r="P70"/>
      <c r="S70" s="8"/>
      <c r="T70" s="8"/>
    </row>
    <row r="71" spans="2:20" s="7" customFormat="1" ht="20.100000000000001" customHeight="1" x14ac:dyDescent="0.25"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/>
      <c r="P71"/>
      <c r="S71" s="8"/>
      <c r="T71" s="8"/>
    </row>
    <row r="72" spans="2:20" s="7" customFormat="1" ht="20.100000000000001" customHeight="1" x14ac:dyDescent="0.25"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/>
      <c r="P72"/>
      <c r="S72" s="8"/>
      <c r="T72" s="8"/>
    </row>
    <row r="73" spans="2:20" s="7" customFormat="1" ht="20.100000000000001" customHeight="1" x14ac:dyDescent="0.25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/>
      <c r="P73"/>
      <c r="S73" s="8"/>
      <c r="T73" s="8"/>
    </row>
    <row r="74" spans="2:20" s="7" customFormat="1" ht="20.100000000000001" customHeight="1" x14ac:dyDescent="0.25"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/>
      <c r="P74"/>
      <c r="S74" s="8"/>
      <c r="T74" s="8"/>
    </row>
    <row r="75" spans="2:20" s="7" customFormat="1" ht="20.100000000000001" customHeight="1" x14ac:dyDescent="0.25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/>
      <c r="P75"/>
      <c r="S75" s="8"/>
      <c r="T75" s="8"/>
    </row>
    <row r="76" spans="2:20" s="7" customFormat="1" ht="20.100000000000001" customHeight="1" x14ac:dyDescent="0.25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/>
      <c r="P76"/>
      <c r="S76" s="8"/>
      <c r="T76" s="8"/>
    </row>
    <row r="77" spans="2:20" s="7" customFormat="1" ht="20.100000000000001" customHeight="1" x14ac:dyDescent="0.25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/>
      <c r="P77"/>
      <c r="Q77"/>
      <c r="S77" s="8"/>
      <c r="T77" s="8"/>
    </row>
    <row r="78" spans="2:20" s="7" customFormat="1" ht="20.100000000000001" customHeight="1" x14ac:dyDescent="0.25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2:20" s="7" customFormat="1" ht="20.100000000000001" customHeight="1" x14ac:dyDescent="0.25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2:20" s="7" customFormat="1" ht="20.100000000000001" customHeight="1" x14ac:dyDescent="0.25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AF126"/>
  <sheetViews>
    <sheetView view="pageBreakPreview" zoomScale="90" zoomScaleSheetLayoutView="90" workbookViewId="0">
      <selection activeCell="C3" sqref="C3:G3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60" t="s">
        <v>23</v>
      </c>
      <c r="C1" s="60"/>
      <c r="D1" s="60"/>
      <c r="E1" s="60"/>
      <c r="F1" s="60"/>
      <c r="G1" s="60"/>
      <c r="H1" s="60"/>
      <c r="I1" s="60"/>
      <c r="J1" s="60"/>
      <c r="K1" s="60"/>
      <c r="L1" s="60"/>
      <c r="M1" s="60"/>
      <c r="N1" s="60"/>
      <c r="O1" s="60"/>
      <c r="P1" s="60"/>
      <c r="Q1" s="60"/>
      <c r="R1" s="60"/>
      <c r="S1" s="60"/>
      <c r="T1" s="60"/>
      <c r="U1" s="60"/>
      <c r="V1" s="60"/>
      <c r="W1" s="60"/>
      <c r="X1" s="60"/>
      <c r="Y1" s="60"/>
      <c r="Z1" s="60"/>
      <c r="AA1" s="60"/>
      <c r="AB1" s="60"/>
      <c r="AC1" s="60"/>
      <c r="AD1" s="60"/>
      <c r="AE1" s="60"/>
    </row>
    <row r="2" spans="2:32" ht="20.100000000000001" customHeight="1" x14ac:dyDescent="0.25">
      <c r="B2" s="61" t="s">
        <v>95</v>
      </c>
      <c r="C2" s="61"/>
      <c r="D2" s="61"/>
      <c r="E2" s="61"/>
      <c r="F2" s="61"/>
      <c r="G2" s="61"/>
      <c r="H2" s="61"/>
      <c r="I2" s="61"/>
      <c r="J2" s="61"/>
      <c r="K2" s="61"/>
      <c r="L2" s="61"/>
      <c r="M2" s="61"/>
      <c r="N2" s="61"/>
      <c r="O2" s="61"/>
      <c r="P2" s="61"/>
      <c r="Q2" s="61"/>
      <c r="R2" s="61"/>
      <c r="S2" s="61"/>
      <c r="T2" s="61"/>
      <c r="U2" s="61"/>
      <c r="V2" s="61"/>
      <c r="W2" s="61"/>
      <c r="X2" s="61"/>
      <c r="Y2" s="61"/>
      <c r="Z2" s="61"/>
      <c r="AA2" s="61"/>
      <c r="AB2" s="61"/>
      <c r="AC2" s="61"/>
      <c r="AD2" s="61"/>
      <c r="AE2" s="61"/>
    </row>
    <row r="3" spans="2:32" ht="20.100000000000001" customHeight="1" x14ac:dyDescent="0.25">
      <c r="B3" s="22" t="s">
        <v>96</v>
      </c>
      <c r="C3" s="62" t="str">
        <f>'17.10 Butongole-Busembatya'!C3:G3</f>
        <v>BUTONGOLE-BUSEMBATYA</v>
      </c>
      <c r="D3" s="62"/>
      <c r="E3" s="62"/>
      <c r="F3" s="62"/>
      <c r="G3" s="62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51" t="str">
        <f>'18.10 Busembatya-Butongole'!D5</f>
        <v>18.10.2019</v>
      </c>
      <c r="E5" s="3"/>
      <c r="F5" s="41" t="s">
        <v>1</v>
      </c>
      <c r="G5" s="57" t="str">
        <f>'17.10 Busembatya-Butongole'!G5:H5</f>
        <v>NAMALEMBA</v>
      </c>
      <c r="H5" s="58"/>
      <c r="I5" s="14"/>
      <c r="J5" s="2" t="s">
        <v>5</v>
      </c>
      <c r="K5" s="57" t="str">
        <f>'17.10 Busembatya-Butongole'!K5:L5</f>
        <v>Norman T</v>
      </c>
      <c r="L5" s="58"/>
      <c r="M5" s="10"/>
      <c r="N5" s="10"/>
      <c r="O5" s="3"/>
      <c r="P5" s="3"/>
    </row>
    <row r="6" spans="2:32" ht="23.25" customHeight="1" x14ac:dyDescent="0.25">
      <c r="C6" s="2" t="s">
        <v>4</v>
      </c>
      <c r="D6" s="57" t="s">
        <v>170</v>
      </c>
      <c r="E6" s="58"/>
      <c r="F6" s="2" t="s">
        <v>2</v>
      </c>
      <c r="G6" s="57" t="s">
        <v>171</v>
      </c>
      <c r="H6" s="58"/>
      <c r="J6" s="2" t="s">
        <v>21</v>
      </c>
      <c r="K6" s="57" t="str">
        <f>'17.10 Busembatya-Butongole'!K6:L6</f>
        <v>Norman T</v>
      </c>
      <c r="L6" s="58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9" t="s">
        <v>88</v>
      </c>
      <c r="S8" s="59"/>
      <c r="T8" s="59"/>
      <c r="U8" s="59"/>
      <c r="V8" s="59"/>
      <c r="W8" s="59"/>
      <c r="X8" s="59"/>
      <c r="Y8" s="59"/>
      <c r="Z8" s="59"/>
      <c r="AA8" s="59"/>
      <c r="AB8" s="59"/>
      <c r="AC8" s="59"/>
      <c r="AD8" s="59"/>
      <c r="AE8" s="59"/>
      <c r="AF8" s="59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50">
        <v>5</v>
      </c>
      <c r="D10" s="50">
        <v>2</v>
      </c>
      <c r="E10" s="50">
        <v>3</v>
      </c>
      <c r="F10" s="50">
        <v>2</v>
      </c>
      <c r="G10" s="50">
        <v>0</v>
      </c>
      <c r="H10" s="50">
        <v>0</v>
      </c>
      <c r="I10" s="50">
        <v>0</v>
      </c>
      <c r="J10" s="50">
        <v>1</v>
      </c>
      <c r="K10" s="50">
        <v>0</v>
      </c>
      <c r="L10" s="50">
        <v>0</v>
      </c>
      <c r="M10" s="50">
        <v>8</v>
      </c>
      <c r="N10" s="50">
        <v>0</v>
      </c>
      <c r="O10" s="15">
        <f t="shared" ref="O10:O57" si="0">SUM(C10:L10,N10)</f>
        <v>13</v>
      </c>
      <c r="P10" s="15">
        <f t="shared" ref="P10:P57" si="1">SUM(C10:N10)</f>
        <v>21</v>
      </c>
      <c r="R10" s="1" t="s">
        <v>6</v>
      </c>
      <c r="S10" s="17">
        <f t="shared" ref="S10:AF10" si="2">SUM(C10:C13)</f>
        <v>9</v>
      </c>
      <c r="T10" s="17">
        <f t="shared" si="2"/>
        <v>3</v>
      </c>
      <c r="U10" s="17">
        <f t="shared" si="2"/>
        <v>6</v>
      </c>
      <c r="V10" s="17">
        <f t="shared" si="2"/>
        <v>16</v>
      </c>
      <c r="W10" s="17">
        <f t="shared" si="2"/>
        <v>0</v>
      </c>
      <c r="X10" s="17">
        <f t="shared" si="2"/>
        <v>2</v>
      </c>
      <c r="Y10" s="17">
        <f t="shared" si="2"/>
        <v>4</v>
      </c>
      <c r="Z10" s="17">
        <f t="shared" si="2"/>
        <v>6</v>
      </c>
      <c r="AA10" s="17">
        <f t="shared" si="2"/>
        <v>2</v>
      </c>
      <c r="AB10" s="17">
        <f t="shared" si="2"/>
        <v>2</v>
      </c>
      <c r="AC10" s="17">
        <f t="shared" si="2"/>
        <v>43</v>
      </c>
      <c r="AD10" s="17">
        <f t="shared" si="2"/>
        <v>0</v>
      </c>
      <c r="AE10" s="31">
        <f t="shared" si="2"/>
        <v>50</v>
      </c>
      <c r="AF10" s="31">
        <f t="shared" si="2"/>
        <v>93</v>
      </c>
    </row>
    <row r="11" spans="2:32" s="6" customFormat="1" ht="23.1" customHeight="1" x14ac:dyDescent="0.25">
      <c r="B11" s="23" t="s">
        <v>38</v>
      </c>
      <c r="C11" s="50">
        <v>0</v>
      </c>
      <c r="D11" s="50">
        <v>0</v>
      </c>
      <c r="E11" s="50">
        <v>0</v>
      </c>
      <c r="F11" s="50">
        <v>2</v>
      </c>
      <c r="G11" s="50">
        <v>0</v>
      </c>
      <c r="H11" s="50">
        <v>0</v>
      </c>
      <c r="I11" s="50">
        <v>0</v>
      </c>
      <c r="J11" s="50">
        <v>1</v>
      </c>
      <c r="K11" s="50">
        <v>1</v>
      </c>
      <c r="L11" s="50">
        <v>0</v>
      </c>
      <c r="M11" s="50">
        <v>10</v>
      </c>
      <c r="N11" s="50">
        <v>0</v>
      </c>
      <c r="O11" s="15">
        <f t="shared" si="0"/>
        <v>4</v>
      </c>
      <c r="P11" s="15">
        <f t="shared" si="1"/>
        <v>14</v>
      </c>
      <c r="R11" s="1" t="s">
        <v>7</v>
      </c>
      <c r="S11" s="17">
        <f t="shared" ref="S11:AF11" si="3">SUM(C14:C17)</f>
        <v>12</v>
      </c>
      <c r="T11" s="17">
        <f t="shared" si="3"/>
        <v>6</v>
      </c>
      <c r="U11" s="17">
        <f t="shared" si="3"/>
        <v>8</v>
      </c>
      <c r="V11" s="17">
        <f t="shared" si="3"/>
        <v>21</v>
      </c>
      <c r="W11" s="17">
        <f t="shared" si="3"/>
        <v>0</v>
      </c>
      <c r="X11" s="17">
        <f t="shared" si="3"/>
        <v>0</v>
      </c>
      <c r="Y11" s="17">
        <f t="shared" si="3"/>
        <v>9</v>
      </c>
      <c r="Z11" s="17">
        <f t="shared" si="3"/>
        <v>1</v>
      </c>
      <c r="AA11" s="17">
        <f t="shared" si="3"/>
        <v>7</v>
      </c>
      <c r="AB11" s="17">
        <f t="shared" si="3"/>
        <v>1</v>
      </c>
      <c r="AC11" s="17">
        <f t="shared" si="3"/>
        <v>58</v>
      </c>
      <c r="AD11" s="17">
        <f t="shared" si="3"/>
        <v>0</v>
      </c>
      <c r="AE11" s="31">
        <f t="shared" si="3"/>
        <v>79</v>
      </c>
      <c r="AF11" s="31">
        <f t="shared" si="3"/>
        <v>150</v>
      </c>
    </row>
    <row r="12" spans="2:32" ht="23.1" customHeight="1" x14ac:dyDescent="0.25">
      <c r="B12" s="23" t="s">
        <v>39</v>
      </c>
      <c r="C12" s="50">
        <v>0</v>
      </c>
      <c r="D12" s="50">
        <v>1</v>
      </c>
      <c r="E12" s="50">
        <v>1</v>
      </c>
      <c r="F12" s="50">
        <v>5</v>
      </c>
      <c r="G12" s="50">
        <v>0</v>
      </c>
      <c r="H12" s="50">
        <v>0</v>
      </c>
      <c r="I12" s="50">
        <v>2</v>
      </c>
      <c r="J12" s="50">
        <v>1</v>
      </c>
      <c r="K12" s="50">
        <v>0</v>
      </c>
      <c r="L12" s="50">
        <v>1</v>
      </c>
      <c r="M12" s="50">
        <v>13</v>
      </c>
      <c r="N12" s="50">
        <v>0</v>
      </c>
      <c r="O12" s="15">
        <f t="shared" si="0"/>
        <v>11</v>
      </c>
      <c r="P12" s="15">
        <f t="shared" si="1"/>
        <v>24</v>
      </c>
      <c r="R12" s="1" t="s">
        <v>8</v>
      </c>
      <c r="S12" s="17">
        <f t="shared" ref="S12:AF12" si="4">SUM(C18:C21)</f>
        <v>11</v>
      </c>
      <c r="T12" s="17">
        <f t="shared" si="4"/>
        <v>13</v>
      </c>
      <c r="U12" s="17">
        <f t="shared" si="4"/>
        <v>10</v>
      </c>
      <c r="V12" s="17">
        <f t="shared" si="4"/>
        <v>33</v>
      </c>
      <c r="W12" s="17">
        <f t="shared" si="4"/>
        <v>0</v>
      </c>
      <c r="X12" s="17">
        <f t="shared" si="4"/>
        <v>1</v>
      </c>
      <c r="Y12" s="17">
        <f t="shared" si="4"/>
        <v>4</v>
      </c>
      <c r="Z12" s="17">
        <f t="shared" si="4"/>
        <v>8</v>
      </c>
      <c r="AA12" s="17">
        <f t="shared" si="4"/>
        <v>5</v>
      </c>
      <c r="AB12" s="17">
        <f t="shared" si="4"/>
        <v>2</v>
      </c>
      <c r="AC12" s="17">
        <f t="shared" si="4"/>
        <v>54</v>
      </c>
      <c r="AD12" s="17">
        <f t="shared" si="4"/>
        <v>0</v>
      </c>
      <c r="AE12" s="31">
        <f t="shared" si="4"/>
        <v>87</v>
      </c>
      <c r="AF12" s="31">
        <f t="shared" si="4"/>
        <v>141</v>
      </c>
    </row>
    <row r="13" spans="2:32" ht="23.1" customHeight="1" x14ac:dyDescent="0.25">
      <c r="B13" s="23" t="s">
        <v>40</v>
      </c>
      <c r="C13" s="50">
        <v>4</v>
      </c>
      <c r="D13" s="50">
        <v>0</v>
      </c>
      <c r="E13" s="50">
        <v>2</v>
      </c>
      <c r="F13" s="50">
        <v>7</v>
      </c>
      <c r="G13" s="50">
        <v>0</v>
      </c>
      <c r="H13" s="50">
        <v>2</v>
      </c>
      <c r="I13" s="50">
        <v>2</v>
      </c>
      <c r="J13" s="50">
        <v>3</v>
      </c>
      <c r="K13" s="50">
        <v>1</v>
      </c>
      <c r="L13" s="50">
        <v>1</v>
      </c>
      <c r="M13" s="50">
        <v>12</v>
      </c>
      <c r="N13" s="50">
        <v>0</v>
      </c>
      <c r="O13" s="15">
        <f t="shared" si="0"/>
        <v>22</v>
      </c>
      <c r="P13" s="15">
        <f t="shared" si="1"/>
        <v>34</v>
      </c>
      <c r="R13" s="1" t="s">
        <v>9</v>
      </c>
      <c r="S13" s="17">
        <f t="shared" ref="S13:AF13" si="5">SUM(C22:C25)</f>
        <v>10</v>
      </c>
      <c r="T13" s="17">
        <f t="shared" si="5"/>
        <v>9</v>
      </c>
      <c r="U13" s="17">
        <f t="shared" si="5"/>
        <v>10</v>
      </c>
      <c r="V13" s="17">
        <f t="shared" si="5"/>
        <v>32</v>
      </c>
      <c r="W13" s="17">
        <f t="shared" si="5"/>
        <v>1</v>
      </c>
      <c r="X13" s="17">
        <f t="shared" si="5"/>
        <v>1</v>
      </c>
      <c r="Y13" s="17">
        <f t="shared" si="5"/>
        <v>4</v>
      </c>
      <c r="Z13" s="17">
        <f t="shared" si="5"/>
        <v>9</v>
      </c>
      <c r="AA13" s="17">
        <f t="shared" si="5"/>
        <v>5</v>
      </c>
      <c r="AB13" s="17">
        <f t="shared" si="5"/>
        <v>0</v>
      </c>
      <c r="AC13" s="17">
        <f t="shared" si="5"/>
        <v>50</v>
      </c>
      <c r="AD13" s="17">
        <f t="shared" si="5"/>
        <v>0</v>
      </c>
      <c r="AE13" s="31">
        <f t="shared" si="5"/>
        <v>81</v>
      </c>
      <c r="AF13" s="31">
        <f t="shared" si="5"/>
        <v>131</v>
      </c>
    </row>
    <row r="14" spans="2:32" ht="23.1" customHeight="1" x14ac:dyDescent="0.25">
      <c r="B14" s="23" t="s">
        <v>41</v>
      </c>
      <c r="C14" s="50">
        <v>0</v>
      </c>
      <c r="D14" s="50">
        <v>2</v>
      </c>
      <c r="E14" s="50">
        <v>3</v>
      </c>
      <c r="F14" s="50">
        <v>4</v>
      </c>
      <c r="G14" s="50">
        <v>0</v>
      </c>
      <c r="H14" s="50">
        <v>0</v>
      </c>
      <c r="I14" s="50">
        <v>1</v>
      </c>
      <c r="J14" s="50">
        <v>1</v>
      </c>
      <c r="K14" s="50">
        <v>3</v>
      </c>
      <c r="L14" s="50">
        <v>1</v>
      </c>
      <c r="M14" s="50">
        <v>19</v>
      </c>
      <c r="N14" s="50">
        <v>0</v>
      </c>
      <c r="O14" s="15">
        <f t="shared" si="0"/>
        <v>15</v>
      </c>
      <c r="P14" s="15">
        <f t="shared" si="1"/>
        <v>34</v>
      </c>
      <c r="R14" s="1" t="s">
        <v>10</v>
      </c>
      <c r="S14" s="17">
        <f t="shared" ref="S14:AF14" si="6">SUM(C26:C29)</f>
        <v>18</v>
      </c>
      <c r="T14" s="17">
        <f t="shared" si="6"/>
        <v>13</v>
      </c>
      <c r="U14" s="17">
        <f t="shared" si="6"/>
        <v>6</v>
      </c>
      <c r="V14" s="17">
        <f t="shared" si="6"/>
        <v>31</v>
      </c>
      <c r="W14" s="17">
        <f t="shared" si="6"/>
        <v>1</v>
      </c>
      <c r="X14" s="17">
        <f t="shared" si="6"/>
        <v>1</v>
      </c>
      <c r="Y14" s="17">
        <f t="shared" si="6"/>
        <v>4</v>
      </c>
      <c r="Z14" s="17">
        <f t="shared" si="6"/>
        <v>5</v>
      </c>
      <c r="AA14" s="17">
        <f t="shared" si="6"/>
        <v>2</v>
      </c>
      <c r="AB14" s="17">
        <f t="shared" si="6"/>
        <v>0</v>
      </c>
      <c r="AC14" s="17">
        <f t="shared" si="6"/>
        <v>69</v>
      </c>
      <c r="AD14" s="17">
        <f t="shared" si="6"/>
        <v>0</v>
      </c>
      <c r="AE14" s="31">
        <f t="shared" si="6"/>
        <v>81</v>
      </c>
      <c r="AF14" s="31">
        <f t="shared" si="6"/>
        <v>150</v>
      </c>
    </row>
    <row r="15" spans="2:32" ht="23.1" customHeight="1" x14ac:dyDescent="0.25">
      <c r="B15" s="23" t="s">
        <v>42</v>
      </c>
      <c r="C15" s="50">
        <v>5</v>
      </c>
      <c r="D15" s="50">
        <v>1</v>
      </c>
      <c r="E15" s="50">
        <v>1</v>
      </c>
      <c r="F15" s="50">
        <v>3</v>
      </c>
      <c r="G15" s="50">
        <v>0</v>
      </c>
      <c r="H15" s="50">
        <v>0</v>
      </c>
      <c r="I15" s="50">
        <v>2</v>
      </c>
      <c r="J15" s="50">
        <v>0</v>
      </c>
      <c r="K15" s="50">
        <v>1</v>
      </c>
      <c r="L15" s="50">
        <v>0</v>
      </c>
      <c r="M15" s="50">
        <v>14</v>
      </c>
      <c r="N15" s="50">
        <v>0</v>
      </c>
      <c r="O15" s="15">
        <v>27</v>
      </c>
      <c r="P15" s="15">
        <f>SUM(C15:O15)</f>
        <v>54</v>
      </c>
      <c r="R15" s="1" t="s">
        <v>11</v>
      </c>
      <c r="S15" s="17">
        <f t="shared" ref="S15:AF15" si="7">SUM(C30:C33)</f>
        <v>15</v>
      </c>
      <c r="T15" s="17">
        <f t="shared" si="7"/>
        <v>13</v>
      </c>
      <c r="U15" s="17">
        <f t="shared" si="7"/>
        <v>12</v>
      </c>
      <c r="V15" s="17">
        <f t="shared" si="7"/>
        <v>40</v>
      </c>
      <c r="W15" s="17">
        <f t="shared" si="7"/>
        <v>0</v>
      </c>
      <c r="X15" s="17">
        <f t="shared" si="7"/>
        <v>1</v>
      </c>
      <c r="Y15" s="17">
        <f t="shared" si="7"/>
        <v>6</v>
      </c>
      <c r="Z15" s="17">
        <f t="shared" si="7"/>
        <v>6</v>
      </c>
      <c r="AA15" s="17">
        <f t="shared" si="7"/>
        <v>5</v>
      </c>
      <c r="AB15" s="17">
        <f t="shared" si="7"/>
        <v>0</v>
      </c>
      <c r="AC15" s="17">
        <f t="shared" si="7"/>
        <v>59</v>
      </c>
      <c r="AD15" s="17">
        <f t="shared" si="7"/>
        <v>0</v>
      </c>
      <c r="AE15" s="31">
        <f t="shared" si="7"/>
        <v>98</v>
      </c>
      <c r="AF15" s="31">
        <f t="shared" si="7"/>
        <v>157</v>
      </c>
    </row>
    <row r="16" spans="2:32" ht="23.1" customHeight="1" x14ac:dyDescent="0.25">
      <c r="B16" s="23" t="s">
        <v>43</v>
      </c>
      <c r="C16" s="50">
        <v>3</v>
      </c>
      <c r="D16" s="50">
        <v>3</v>
      </c>
      <c r="E16" s="50">
        <v>3</v>
      </c>
      <c r="F16" s="50">
        <v>5</v>
      </c>
      <c r="G16" s="50">
        <v>0</v>
      </c>
      <c r="H16" s="50">
        <v>0</v>
      </c>
      <c r="I16" s="50">
        <v>4</v>
      </c>
      <c r="J16" s="50">
        <v>0</v>
      </c>
      <c r="K16" s="50">
        <v>2</v>
      </c>
      <c r="L16" s="50">
        <v>0</v>
      </c>
      <c r="M16" s="50">
        <v>13</v>
      </c>
      <c r="N16" s="50">
        <v>0</v>
      </c>
      <c r="O16" s="15">
        <f t="shared" si="0"/>
        <v>20</v>
      </c>
      <c r="P16" s="15">
        <f t="shared" si="1"/>
        <v>33</v>
      </c>
      <c r="R16" s="1" t="s">
        <v>12</v>
      </c>
      <c r="S16" s="17">
        <f t="shared" ref="S16:AF16" si="8">SUM(C34:C37)</f>
        <v>18</v>
      </c>
      <c r="T16" s="17">
        <f t="shared" si="8"/>
        <v>6</v>
      </c>
      <c r="U16" s="17">
        <f t="shared" si="8"/>
        <v>6</v>
      </c>
      <c r="V16" s="17">
        <f t="shared" si="8"/>
        <v>35</v>
      </c>
      <c r="W16" s="17">
        <f t="shared" si="8"/>
        <v>2</v>
      </c>
      <c r="X16" s="17">
        <f t="shared" si="8"/>
        <v>3</v>
      </c>
      <c r="Y16" s="17">
        <f t="shared" si="8"/>
        <v>10</v>
      </c>
      <c r="Z16" s="17">
        <f t="shared" si="8"/>
        <v>8</v>
      </c>
      <c r="AA16" s="17">
        <f t="shared" si="8"/>
        <v>2</v>
      </c>
      <c r="AB16" s="17">
        <f t="shared" si="8"/>
        <v>0</v>
      </c>
      <c r="AC16" s="17">
        <f t="shared" si="8"/>
        <v>53</v>
      </c>
      <c r="AD16" s="17">
        <f t="shared" si="8"/>
        <v>0</v>
      </c>
      <c r="AE16" s="31">
        <f t="shared" si="8"/>
        <v>90</v>
      </c>
      <c r="AF16" s="31">
        <f t="shared" si="8"/>
        <v>143</v>
      </c>
    </row>
    <row r="17" spans="2:32" ht="23.1" customHeight="1" x14ac:dyDescent="0.25">
      <c r="B17" s="23" t="s">
        <v>44</v>
      </c>
      <c r="C17" s="50">
        <v>4</v>
      </c>
      <c r="D17" s="50">
        <v>0</v>
      </c>
      <c r="E17" s="50">
        <v>1</v>
      </c>
      <c r="F17" s="50">
        <v>9</v>
      </c>
      <c r="G17" s="50">
        <v>0</v>
      </c>
      <c r="H17" s="50">
        <v>0</v>
      </c>
      <c r="I17" s="50">
        <v>2</v>
      </c>
      <c r="J17" s="50">
        <v>0</v>
      </c>
      <c r="K17" s="50">
        <v>1</v>
      </c>
      <c r="L17" s="50">
        <v>0</v>
      </c>
      <c r="M17" s="50">
        <v>12</v>
      </c>
      <c r="N17" s="50">
        <v>0</v>
      </c>
      <c r="O17" s="15">
        <f t="shared" si="0"/>
        <v>17</v>
      </c>
      <c r="P17" s="15">
        <f t="shared" si="1"/>
        <v>29</v>
      </c>
      <c r="R17" s="1" t="s">
        <v>13</v>
      </c>
      <c r="S17" s="17">
        <f t="shared" ref="S17:AF17" si="9">SUM(C38:C41)</f>
        <v>14</v>
      </c>
      <c r="T17" s="17">
        <f t="shared" si="9"/>
        <v>5</v>
      </c>
      <c r="U17" s="17">
        <f t="shared" si="9"/>
        <v>11</v>
      </c>
      <c r="V17" s="17">
        <f t="shared" si="9"/>
        <v>45</v>
      </c>
      <c r="W17" s="17">
        <f t="shared" si="9"/>
        <v>0</v>
      </c>
      <c r="X17" s="17">
        <f t="shared" si="9"/>
        <v>0</v>
      </c>
      <c r="Y17" s="17">
        <f t="shared" si="9"/>
        <v>4</v>
      </c>
      <c r="Z17" s="17">
        <f t="shared" si="9"/>
        <v>6</v>
      </c>
      <c r="AA17" s="17">
        <f t="shared" si="9"/>
        <v>8</v>
      </c>
      <c r="AB17" s="17">
        <f t="shared" si="9"/>
        <v>0</v>
      </c>
      <c r="AC17" s="17">
        <f t="shared" si="9"/>
        <v>63</v>
      </c>
      <c r="AD17" s="17">
        <f t="shared" si="9"/>
        <v>0</v>
      </c>
      <c r="AE17" s="31">
        <f t="shared" si="9"/>
        <v>93</v>
      </c>
      <c r="AF17" s="31">
        <f t="shared" si="9"/>
        <v>156</v>
      </c>
    </row>
    <row r="18" spans="2:32" ht="23.1" customHeight="1" x14ac:dyDescent="0.25">
      <c r="B18" s="23" t="s">
        <v>45</v>
      </c>
      <c r="C18" s="50">
        <v>2</v>
      </c>
      <c r="D18" s="50">
        <v>2</v>
      </c>
      <c r="E18" s="50">
        <v>3</v>
      </c>
      <c r="F18" s="50">
        <v>9</v>
      </c>
      <c r="G18" s="50">
        <v>0</v>
      </c>
      <c r="H18" s="50">
        <v>0</v>
      </c>
      <c r="I18" s="50">
        <v>1</v>
      </c>
      <c r="J18" s="50">
        <v>0</v>
      </c>
      <c r="K18" s="50">
        <v>1</v>
      </c>
      <c r="L18" s="50">
        <v>0</v>
      </c>
      <c r="M18" s="50">
        <v>12</v>
      </c>
      <c r="N18" s="50">
        <v>0</v>
      </c>
      <c r="O18" s="15">
        <f t="shared" si="0"/>
        <v>18</v>
      </c>
      <c r="P18" s="15">
        <f t="shared" si="1"/>
        <v>30</v>
      </c>
      <c r="R18" s="1" t="s">
        <v>14</v>
      </c>
      <c r="S18" s="17">
        <f t="shared" ref="S18:AF18" si="10">SUM(C42:C45)</f>
        <v>25</v>
      </c>
      <c r="T18" s="17">
        <f t="shared" si="10"/>
        <v>9</v>
      </c>
      <c r="U18" s="17">
        <f t="shared" si="10"/>
        <v>11</v>
      </c>
      <c r="V18" s="17">
        <f t="shared" si="10"/>
        <v>44</v>
      </c>
      <c r="W18" s="17">
        <f t="shared" si="10"/>
        <v>6</v>
      </c>
      <c r="X18" s="17">
        <f t="shared" si="10"/>
        <v>3</v>
      </c>
      <c r="Y18" s="17">
        <f t="shared" si="10"/>
        <v>5</v>
      </c>
      <c r="Z18" s="17">
        <f t="shared" si="10"/>
        <v>2</v>
      </c>
      <c r="AA18" s="17">
        <f t="shared" si="10"/>
        <v>4</v>
      </c>
      <c r="AB18" s="17">
        <f t="shared" si="10"/>
        <v>0</v>
      </c>
      <c r="AC18" s="17">
        <f t="shared" si="10"/>
        <v>67</v>
      </c>
      <c r="AD18" s="17">
        <f t="shared" si="10"/>
        <v>0</v>
      </c>
      <c r="AE18" s="31">
        <f t="shared" si="10"/>
        <v>109</v>
      </c>
      <c r="AF18" s="31">
        <f t="shared" si="10"/>
        <v>176</v>
      </c>
    </row>
    <row r="19" spans="2:32" ht="23.1" customHeight="1" x14ac:dyDescent="0.25">
      <c r="B19" s="23" t="s">
        <v>46</v>
      </c>
      <c r="C19" s="50">
        <v>6</v>
      </c>
      <c r="D19" s="50">
        <v>4</v>
      </c>
      <c r="E19" s="50">
        <v>2</v>
      </c>
      <c r="F19" s="50">
        <v>6</v>
      </c>
      <c r="G19" s="50">
        <v>0</v>
      </c>
      <c r="H19" s="50">
        <v>0</v>
      </c>
      <c r="I19" s="50">
        <v>1</v>
      </c>
      <c r="J19" s="50">
        <v>1</v>
      </c>
      <c r="K19" s="50">
        <v>1</v>
      </c>
      <c r="L19" s="50">
        <v>2</v>
      </c>
      <c r="M19" s="50">
        <v>12</v>
      </c>
      <c r="N19" s="50">
        <v>0</v>
      </c>
      <c r="O19" s="15">
        <f t="shared" si="0"/>
        <v>23</v>
      </c>
      <c r="P19" s="15">
        <f t="shared" si="1"/>
        <v>35</v>
      </c>
      <c r="R19" s="1" t="s">
        <v>15</v>
      </c>
      <c r="S19" s="17">
        <f t="shared" ref="S19:AF19" si="11">SUM(C46:C49)</f>
        <v>32</v>
      </c>
      <c r="T19" s="17">
        <f t="shared" si="11"/>
        <v>5</v>
      </c>
      <c r="U19" s="17">
        <f t="shared" si="11"/>
        <v>16</v>
      </c>
      <c r="V19" s="17">
        <f t="shared" si="11"/>
        <v>40</v>
      </c>
      <c r="W19" s="17">
        <f t="shared" si="11"/>
        <v>2</v>
      </c>
      <c r="X19" s="17">
        <f t="shared" si="11"/>
        <v>2</v>
      </c>
      <c r="Y19" s="17">
        <f t="shared" si="11"/>
        <v>5</v>
      </c>
      <c r="Z19" s="17">
        <f t="shared" si="11"/>
        <v>7</v>
      </c>
      <c r="AA19" s="17">
        <f t="shared" si="11"/>
        <v>11</v>
      </c>
      <c r="AB19" s="17">
        <f t="shared" si="11"/>
        <v>0</v>
      </c>
      <c r="AC19" s="17">
        <f t="shared" si="11"/>
        <v>70</v>
      </c>
      <c r="AD19" s="17">
        <f t="shared" si="11"/>
        <v>0</v>
      </c>
      <c r="AE19" s="31">
        <f t="shared" si="11"/>
        <v>120</v>
      </c>
      <c r="AF19" s="31">
        <f t="shared" si="11"/>
        <v>190</v>
      </c>
    </row>
    <row r="20" spans="2:32" ht="23.1" customHeight="1" x14ac:dyDescent="0.25">
      <c r="B20" s="23" t="s">
        <v>47</v>
      </c>
      <c r="C20" s="50">
        <v>1</v>
      </c>
      <c r="D20" s="50">
        <v>2</v>
      </c>
      <c r="E20" s="50">
        <v>2</v>
      </c>
      <c r="F20" s="50">
        <v>9</v>
      </c>
      <c r="G20" s="50">
        <v>0</v>
      </c>
      <c r="H20" s="50">
        <v>1</v>
      </c>
      <c r="I20" s="50">
        <v>2</v>
      </c>
      <c r="J20" s="50">
        <v>5</v>
      </c>
      <c r="K20" s="50">
        <v>0</v>
      </c>
      <c r="L20" s="50">
        <v>0</v>
      </c>
      <c r="M20" s="50">
        <v>12</v>
      </c>
      <c r="N20" s="50">
        <v>0</v>
      </c>
      <c r="O20" s="15">
        <f t="shared" si="0"/>
        <v>22</v>
      </c>
      <c r="P20" s="15">
        <f t="shared" si="1"/>
        <v>34</v>
      </c>
      <c r="R20" s="1" t="s">
        <v>16</v>
      </c>
      <c r="S20" s="17">
        <f t="shared" ref="S20:AF20" si="12">SUM(C50:C53)</f>
        <v>20</v>
      </c>
      <c r="T20" s="17">
        <f t="shared" si="12"/>
        <v>18</v>
      </c>
      <c r="U20" s="17">
        <f t="shared" si="12"/>
        <v>11</v>
      </c>
      <c r="V20" s="17">
        <f t="shared" si="12"/>
        <v>41</v>
      </c>
      <c r="W20" s="17">
        <f t="shared" si="12"/>
        <v>0</v>
      </c>
      <c r="X20" s="17">
        <f t="shared" si="12"/>
        <v>2</v>
      </c>
      <c r="Y20" s="17">
        <f t="shared" si="12"/>
        <v>6</v>
      </c>
      <c r="Z20" s="17">
        <f t="shared" si="12"/>
        <v>3</v>
      </c>
      <c r="AA20" s="17">
        <f t="shared" si="12"/>
        <v>6</v>
      </c>
      <c r="AB20" s="17">
        <f t="shared" si="12"/>
        <v>1</v>
      </c>
      <c r="AC20" s="17">
        <f t="shared" si="12"/>
        <v>91</v>
      </c>
      <c r="AD20" s="17">
        <f t="shared" si="12"/>
        <v>0</v>
      </c>
      <c r="AE20" s="31">
        <f t="shared" si="12"/>
        <v>108</v>
      </c>
      <c r="AF20" s="31">
        <f t="shared" si="12"/>
        <v>199</v>
      </c>
    </row>
    <row r="21" spans="2:32" ht="23.1" customHeight="1" x14ac:dyDescent="0.25">
      <c r="B21" s="23" t="s">
        <v>48</v>
      </c>
      <c r="C21" s="50">
        <v>2</v>
      </c>
      <c r="D21" s="50">
        <v>5</v>
      </c>
      <c r="E21" s="50">
        <v>3</v>
      </c>
      <c r="F21" s="50">
        <v>9</v>
      </c>
      <c r="G21" s="50">
        <v>0</v>
      </c>
      <c r="H21" s="50">
        <v>0</v>
      </c>
      <c r="I21" s="50">
        <v>0</v>
      </c>
      <c r="J21" s="50">
        <v>2</v>
      </c>
      <c r="K21" s="50">
        <v>3</v>
      </c>
      <c r="L21" s="50">
        <v>0</v>
      </c>
      <c r="M21" s="50">
        <v>18</v>
      </c>
      <c r="N21" s="50">
        <v>0</v>
      </c>
      <c r="O21" s="15">
        <f t="shared" si="0"/>
        <v>24</v>
      </c>
      <c r="P21" s="15">
        <f t="shared" si="1"/>
        <v>42</v>
      </c>
      <c r="R21" s="36" t="s">
        <v>20</v>
      </c>
      <c r="S21" s="34">
        <f t="shared" ref="S21:AF21" si="13">SUM(C54:C57)</f>
        <v>33</v>
      </c>
      <c r="T21" s="17">
        <f t="shared" si="13"/>
        <v>12</v>
      </c>
      <c r="U21" s="17">
        <f t="shared" si="13"/>
        <v>6</v>
      </c>
      <c r="V21" s="17">
        <f t="shared" si="13"/>
        <v>41</v>
      </c>
      <c r="W21" s="17">
        <f t="shared" si="13"/>
        <v>3</v>
      </c>
      <c r="X21" s="17">
        <f t="shared" si="13"/>
        <v>2</v>
      </c>
      <c r="Y21" s="17">
        <f t="shared" si="13"/>
        <v>7</v>
      </c>
      <c r="Z21" s="17">
        <f t="shared" si="13"/>
        <v>6</v>
      </c>
      <c r="AA21" s="17">
        <f t="shared" si="13"/>
        <v>4</v>
      </c>
      <c r="AB21" s="17">
        <f t="shared" si="13"/>
        <v>0</v>
      </c>
      <c r="AC21" s="17">
        <f t="shared" si="13"/>
        <v>80</v>
      </c>
      <c r="AD21" s="17">
        <f t="shared" si="13"/>
        <v>0</v>
      </c>
      <c r="AE21" s="31">
        <f t="shared" si="13"/>
        <v>114</v>
      </c>
      <c r="AF21" s="31">
        <f t="shared" si="13"/>
        <v>194</v>
      </c>
    </row>
    <row r="22" spans="2:32" ht="23.1" customHeight="1" x14ac:dyDescent="0.25">
      <c r="B22" s="23" t="s">
        <v>49</v>
      </c>
      <c r="C22" s="50">
        <v>0</v>
      </c>
      <c r="D22" s="50">
        <v>1</v>
      </c>
      <c r="E22" s="50">
        <v>2</v>
      </c>
      <c r="F22" s="50">
        <v>7</v>
      </c>
      <c r="G22" s="50">
        <v>0</v>
      </c>
      <c r="H22" s="50">
        <v>0</v>
      </c>
      <c r="I22" s="50">
        <v>1</v>
      </c>
      <c r="J22" s="50">
        <v>3</v>
      </c>
      <c r="K22" s="50">
        <v>2</v>
      </c>
      <c r="L22" s="50">
        <v>0</v>
      </c>
      <c r="M22" s="50">
        <v>14</v>
      </c>
      <c r="N22" s="50">
        <v>0</v>
      </c>
      <c r="O22" s="15">
        <f t="shared" si="0"/>
        <v>16</v>
      </c>
      <c r="P22" s="15">
        <f t="shared" si="1"/>
        <v>30</v>
      </c>
      <c r="R22" s="38" t="s">
        <v>90</v>
      </c>
      <c r="S22" s="39">
        <f>MAX(S10:S12)</f>
        <v>12</v>
      </c>
      <c r="T22" s="39">
        <f t="shared" ref="T22:AF22" si="14">MAX(T10:T12)</f>
        <v>13</v>
      </c>
      <c r="U22" s="39">
        <f t="shared" si="14"/>
        <v>10</v>
      </c>
      <c r="V22" s="39">
        <f t="shared" si="14"/>
        <v>33</v>
      </c>
      <c r="W22" s="39">
        <f t="shared" si="14"/>
        <v>0</v>
      </c>
      <c r="X22" s="39">
        <f t="shared" si="14"/>
        <v>2</v>
      </c>
      <c r="Y22" s="39">
        <f t="shared" si="14"/>
        <v>9</v>
      </c>
      <c r="Z22" s="39">
        <f t="shared" si="14"/>
        <v>8</v>
      </c>
      <c r="AA22" s="39">
        <f t="shared" si="14"/>
        <v>7</v>
      </c>
      <c r="AB22" s="39">
        <f t="shared" si="14"/>
        <v>2</v>
      </c>
      <c r="AC22" s="39">
        <f t="shared" si="14"/>
        <v>58</v>
      </c>
      <c r="AD22" s="39">
        <f t="shared" si="14"/>
        <v>0</v>
      </c>
      <c r="AE22" s="40">
        <f t="shared" si="14"/>
        <v>87</v>
      </c>
      <c r="AF22" s="40">
        <f t="shared" si="14"/>
        <v>150</v>
      </c>
    </row>
    <row r="23" spans="2:32" ht="23.1" customHeight="1" x14ac:dyDescent="0.25">
      <c r="B23" s="23" t="s">
        <v>50</v>
      </c>
      <c r="C23" s="50">
        <v>6</v>
      </c>
      <c r="D23" s="50">
        <v>3</v>
      </c>
      <c r="E23" s="50">
        <v>2</v>
      </c>
      <c r="F23" s="50">
        <v>9</v>
      </c>
      <c r="G23" s="50">
        <v>0</v>
      </c>
      <c r="H23" s="50">
        <v>0</v>
      </c>
      <c r="I23" s="50">
        <v>2</v>
      </c>
      <c r="J23" s="50">
        <v>4</v>
      </c>
      <c r="K23" s="50">
        <v>1</v>
      </c>
      <c r="L23" s="50">
        <v>0</v>
      </c>
      <c r="M23" s="50">
        <v>14</v>
      </c>
      <c r="N23" s="50">
        <v>0</v>
      </c>
      <c r="O23" s="15">
        <f t="shared" si="0"/>
        <v>27</v>
      </c>
      <c r="P23" s="15">
        <f t="shared" si="1"/>
        <v>41</v>
      </c>
      <c r="R23" s="38" t="s">
        <v>91</v>
      </c>
      <c r="S23" s="39">
        <f>MAX(S13:S18)</f>
        <v>25</v>
      </c>
      <c r="T23" s="39">
        <f t="shared" ref="T23:AF23" si="15">MAX(T13:T18)</f>
        <v>13</v>
      </c>
      <c r="U23" s="39">
        <f t="shared" si="15"/>
        <v>12</v>
      </c>
      <c r="V23" s="39">
        <f t="shared" si="15"/>
        <v>45</v>
      </c>
      <c r="W23" s="39">
        <f t="shared" si="15"/>
        <v>6</v>
      </c>
      <c r="X23" s="39">
        <f t="shared" si="15"/>
        <v>3</v>
      </c>
      <c r="Y23" s="39">
        <f t="shared" si="15"/>
        <v>10</v>
      </c>
      <c r="Z23" s="39">
        <f t="shared" si="15"/>
        <v>9</v>
      </c>
      <c r="AA23" s="39">
        <f t="shared" si="15"/>
        <v>8</v>
      </c>
      <c r="AB23" s="39">
        <f t="shared" si="15"/>
        <v>0</v>
      </c>
      <c r="AC23" s="39">
        <f t="shared" si="15"/>
        <v>69</v>
      </c>
      <c r="AD23" s="39">
        <f t="shared" si="15"/>
        <v>0</v>
      </c>
      <c r="AE23" s="40">
        <f t="shared" si="15"/>
        <v>109</v>
      </c>
      <c r="AF23" s="40">
        <f t="shared" si="15"/>
        <v>176</v>
      </c>
    </row>
    <row r="24" spans="2:32" ht="23.1" customHeight="1" x14ac:dyDescent="0.25">
      <c r="B24" s="23" t="s">
        <v>51</v>
      </c>
      <c r="C24" s="50">
        <v>3</v>
      </c>
      <c r="D24" s="50">
        <v>3</v>
      </c>
      <c r="E24" s="50">
        <v>4</v>
      </c>
      <c r="F24" s="50">
        <v>6</v>
      </c>
      <c r="G24" s="50">
        <v>0</v>
      </c>
      <c r="H24" s="50">
        <v>0</v>
      </c>
      <c r="I24" s="50">
        <v>0</v>
      </c>
      <c r="J24" s="50">
        <v>2</v>
      </c>
      <c r="K24" s="50">
        <v>0</v>
      </c>
      <c r="L24" s="50">
        <v>0</v>
      </c>
      <c r="M24" s="50">
        <v>14</v>
      </c>
      <c r="N24" s="50">
        <v>0</v>
      </c>
      <c r="O24" s="15">
        <f t="shared" si="0"/>
        <v>18</v>
      </c>
      <c r="P24" s="15">
        <f t="shared" si="1"/>
        <v>32</v>
      </c>
      <c r="R24" s="38" t="s">
        <v>92</v>
      </c>
      <c r="S24" s="39">
        <f>MAX(S19:S21)</f>
        <v>33</v>
      </c>
      <c r="T24" s="39">
        <f t="shared" ref="T24:AF24" si="16">MAX(T19:T21)</f>
        <v>18</v>
      </c>
      <c r="U24" s="39">
        <f t="shared" si="16"/>
        <v>16</v>
      </c>
      <c r="V24" s="39">
        <f t="shared" si="16"/>
        <v>41</v>
      </c>
      <c r="W24" s="39">
        <f t="shared" si="16"/>
        <v>3</v>
      </c>
      <c r="X24" s="39">
        <f t="shared" si="16"/>
        <v>2</v>
      </c>
      <c r="Y24" s="39">
        <f t="shared" si="16"/>
        <v>7</v>
      </c>
      <c r="Z24" s="39">
        <f t="shared" si="16"/>
        <v>7</v>
      </c>
      <c r="AA24" s="39">
        <f t="shared" si="16"/>
        <v>11</v>
      </c>
      <c r="AB24" s="39">
        <f t="shared" si="16"/>
        <v>1</v>
      </c>
      <c r="AC24" s="39">
        <f t="shared" si="16"/>
        <v>91</v>
      </c>
      <c r="AD24" s="39">
        <f t="shared" si="16"/>
        <v>0</v>
      </c>
      <c r="AE24" s="40">
        <f t="shared" si="16"/>
        <v>120</v>
      </c>
      <c r="AF24" s="40">
        <f t="shared" si="16"/>
        <v>199</v>
      </c>
    </row>
    <row r="25" spans="2:32" ht="23.1" customHeight="1" x14ac:dyDescent="0.25">
      <c r="B25" s="23" t="s">
        <v>52</v>
      </c>
      <c r="C25" s="50">
        <v>1</v>
      </c>
      <c r="D25" s="50">
        <v>2</v>
      </c>
      <c r="E25" s="50">
        <v>2</v>
      </c>
      <c r="F25" s="50">
        <v>10</v>
      </c>
      <c r="G25" s="50">
        <v>1</v>
      </c>
      <c r="H25" s="50">
        <v>1</v>
      </c>
      <c r="I25" s="50">
        <v>1</v>
      </c>
      <c r="J25" s="50">
        <v>0</v>
      </c>
      <c r="K25" s="50">
        <v>2</v>
      </c>
      <c r="L25" s="50">
        <v>0</v>
      </c>
      <c r="M25" s="50">
        <v>8</v>
      </c>
      <c r="N25" s="50">
        <v>0</v>
      </c>
      <c r="O25" s="15">
        <f t="shared" si="0"/>
        <v>20</v>
      </c>
      <c r="P25" s="15">
        <f t="shared" si="1"/>
        <v>28</v>
      </c>
      <c r="R25" s="37" t="s">
        <v>85</v>
      </c>
      <c r="S25" s="35">
        <f t="shared" ref="S25:AF25" si="17">SUM(S10:S12)</f>
        <v>32</v>
      </c>
      <c r="T25" s="16">
        <f t="shared" si="17"/>
        <v>22</v>
      </c>
      <c r="U25" s="16">
        <f t="shared" si="17"/>
        <v>24</v>
      </c>
      <c r="V25" s="16">
        <f t="shared" si="17"/>
        <v>70</v>
      </c>
      <c r="W25" s="16">
        <f t="shared" si="17"/>
        <v>0</v>
      </c>
      <c r="X25" s="16">
        <f t="shared" si="17"/>
        <v>3</v>
      </c>
      <c r="Y25" s="16">
        <f t="shared" si="17"/>
        <v>17</v>
      </c>
      <c r="Z25" s="16">
        <f t="shared" si="17"/>
        <v>15</v>
      </c>
      <c r="AA25" s="16">
        <f t="shared" si="17"/>
        <v>14</v>
      </c>
      <c r="AB25" s="16">
        <f t="shared" si="17"/>
        <v>5</v>
      </c>
      <c r="AC25" s="16">
        <f t="shared" si="17"/>
        <v>155</v>
      </c>
      <c r="AD25" s="16">
        <f t="shared" si="17"/>
        <v>0</v>
      </c>
      <c r="AE25" s="32">
        <f t="shared" si="17"/>
        <v>216</v>
      </c>
      <c r="AF25" s="32">
        <f t="shared" si="17"/>
        <v>384</v>
      </c>
    </row>
    <row r="26" spans="2:32" ht="23.1" customHeight="1" x14ac:dyDescent="0.25">
      <c r="B26" s="23" t="s">
        <v>53</v>
      </c>
      <c r="C26" s="50">
        <v>4</v>
      </c>
      <c r="D26" s="50">
        <v>7</v>
      </c>
      <c r="E26" s="50">
        <v>2</v>
      </c>
      <c r="F26" s="50">
        <v>6</v>
      </c>
      <c r="G26" s="50">
        <v>0</v>
      </c>
      <c r="H26" s="50">
        <v>0</v>
      </c>
      <c r="I26" s="50">
        <v>0</v>
      </c>
      <c r="J26" s="50">
        <v>2</v>
      </c>
      <c r="K26" s="50">
        <v>1</v>
      </c>
      <c r="L26" s="50">
        <v>0</v>
      </c>
      <c r="M26" s="50">
        <v>12</v>
      </c>
      <c r="N26" s="50">
        <v>0</v>
      </c>
      <c r="O26" s="15">
        <f t="shared" si="0"/>
        <v>22</v>
      </c>
      <c r="P26" s="15">
        <f t="shared" si="1"/>
        <v>34</v>
      </c>
      <c r="R26" s="28" t="s">
        <v>86</v>
      </c>
      <c r="S26" s="16">
        <f t="shared" ref="S26:AF26" si="18">SUM(S13:S18)</f>
        <v>100</v>
      </c>
      <c r="T26" s="16">
        <f t="shared" si="18"/>
        <v>55</v>
      </c>
      <c r="U26" s="16">
        <f t="shared" si="18"/>
        <v>56</v>
      </c>
      <c r="V26" s="16">
        <f t="shared" si="18"/>
        <v>227</v>
      </c>
      <c r="W26" s="16">
        <f t="shared" si="18"/>
        <v>10</v>
      </c>
      <c r="X26" s="16">
        <f t="shared" si="18"/>
        <v>9</v>
      </c>
      <c r="Y26" s="16">
        <f t="shared" si="18"/>
        <v>33</v>
      </c>
      <c r="Z26" s="16">
        <f t="shared" si="18"/>
        <v>36</v>
      </c>
      <c r="AA26" s="16">
        <f t="shared" si="18"/>
        <v>26</v>
      </c>
      <c r="AB26" s="16">
        <f t="shared" si="18"/>
        <v>0</v>
      </c>
      <c r="AC26" s="16">
        <f t="shared" si="18"/>
        <v>361</v>
      </c>
      <c r="AD26" s="16">
        <f t="shared" si="18"/>
        <v>0</v>
      </c>
      <c r="AE26" s="32">
        <f t="shared" si="18"/>
        <v>552</v>
      </c>
      <c r="AF26" s="32">
        <f t="shared" si="18"/>
        <v>913</v>
      </c>
    </row>
    <row r="27" spans="2:32" ht="23.1" customHeight="1" x14ac:dyDescent="0.25">
      <c r="B27" s="23" t="s">
        <v>54</v>
      </c>
      <c r="C27" s="50">
        <v>4</v>
      </c>
      <c r="D27" s="50">
        <v>2</v>
      </c>
      <c r="E27" s="50">
        <v>2</v>
      </c>
      <c r="F27" s="50">
        <v>8</v>
      </c>
      <c r="G27" s="50">
        <v>0</v>
      </c>
      <c r="H27" s="50">
        <v>1</v>
      </c>
      <c r="I27" s="50">
        <v>2</v>
      </c>
      <c r="J27" s="50">
        <v>1</v>
      </c>
      <c r="K27" s="50">
        <v>1</v>
      </c>
      <c r="L27" s="50">
        <v>0</v>
      </c>
      <c r="M27" s="50">
        <v>15</v>
      </c>
      <c r="N27" s="50">
        <v>0</v>
      </c>
      <c r="O27" s="15">
        <f t="shared" si="0"/>
        <v>21</v>
      </c>
      <c r="P27" s="15">
        <f t="shared" si="1"/>
        <v>36</v>
      </c>
      <c r="R27" s="29" t="s">
        <v>87</v>
      </c>
      <c r="S27" s="16">
        <f t="shared" ref="S27:AF27" si="19">SUM(S19:S21)</f>
        <v>85</v>
      </c>
      <c r="T27" s="16">
        <f t="shared" si="19"/>
        <v>35</v>
      </c>
      <c r="U27" s="16">
        <f t="shared" si="19"/>
        <v>33</v>
      </c>
      <c r="V27" s="16">
        <f t="shared" si="19"/>
        <v>122</v>
      </c>
      <c r="W27" s="16">
        <f t="shared" si="19"/>
        <v>5</v>
      </c>
      <c r="X27" s="16">
        <f t="shared" si="19"/>
        <v>6</v>
      </c>
      <c r="Y27" s="16">
        <f t="shared" si="19"/>
        <v>18</v>
      </c>
      <c r="Z27" s="16">
        <f t="shared" si="19"/>
        <v>16</v>
      </c>
      <c r="AA27" s="16">
        <f t="shared" si="19"/>
        <v>21</v>
      </c>
      <c r="AB27" s="16">
        <f t="shared" si="19"/>
        <v>1</v>
      </c>
      <c r="AC27" s="16">
        <f t="shared" si="19"/>
        <v>241</v>
      </c>
      <c r="AD27" s="16">
        <f t="shared" si="19"/>
        <v>0</v>
      </c>
      <c r="AE27" s="32">
        <f t="shared" si="19"/>
        <v>342</v>
      </c>
      <c r="AF27" s="32">
        <f t="shared" si="19"/>
        <v>583</v>
      </c>
    </row>
    <row r="28" spans="2:32" ht="23.1" customHeight="1" x14ac:dyDescent="0.25">
      <c r="B28" s="23" t="s">
        <v>55</v>
      </c>
      <c r="C28" s="50">
        <v>7</v>
      </c>
      <c r="D28" s="50">
        <v>0</v>
      </c>
      <c r="E28" s="50">
        <v>0</v>
      </c>
      <c r="F28" s="50">
        <v>6</v>
      </c>
      <c r="G28" s="50">
        <v>0</v>
      </c>
      <c r="H28" s="50">
        <v>0</v>
      </c>
      <c r="I28" s="50">
        <v>2</v>
      </c>
      <c r="J28" s="50">
        <v>2</v>
      </c>
      <c r="K28" s="50">
        <v>0</v>
      </c>
      <c r="L28" s="50">
        <v>0</v>
      </c>
      <c r="M28" s="50">
        <v>14</v>
      </c>
      <c r="N28" s="50">
        <v>0</v>
      </c>
      <c r="O28" s="15">
        <f t="shared" si="0"/>
        <v>17</v>
      </c>
      <c r="P28" s="15">
        <f t="shared" si="1"/>
        <v>31</v>
      </c>
      <c r="R28" s="5" t="s">
        <v>17</v>
      </c>
      <c r="S28" s="16">
        <f t="shared" ref="S28:AF28" si="20">SUM(S10:S21)</f>
        <v>217</v>
      </c>
      <c r="T28" s="16">
        <f t="shared" si="20"/>
        <v>112</v>
      </c>
      <c r="U28" s="16">
        <f t="shared" si="20"/>
        <v>113</v>
      </c>
      <c r="V28" s="16">
        <f t="shared" si="20"/>
        <v>419</v>
      </c>
      <c r="W28" s="16">
        <f t="shared" si="20"/>
        <v>15</v>
      </c>
      <c r="X28" s="16">
        <f t="shared" si="20"/>
        <v>18</v>
      </c>
      <c r="Y28" s="16">
        <f t="shared" si="20"/>
        <v>68</v>
      </c>
      <c r="Z28" s="16">
        <f t="shared" si="20"/>
        <v>67</v>
      </c>
      <c r="AA28" s="16">
        <f t="shared" si="20"/>
        <v>61</v>
      </c>
      <c r="AB28" s="16">
        <f t="shared" si="20"/>
        <v>6</v>
      </c>
      <c r="AC28" s="16">
        <f t="shared" si="20"/>
        <v>757</v>
      </c>
      <c r="AD28" s="16">
        <f t="shared" si="20"/>
        <v>0</v>
      </c>
      <c r="AE28" s="32">
        <f t="shared" si="20"/>
        <v>1110</v>
      </c>
      <c r="AF28" s="32">
        <f t="shared" si="20"/>
        <v>1880</v>
      </c>
    </row>
    <row r="29" spans="2:32" ht="23.1" customHeight="1" x14ac:dyDescent="0.25">
      <c r="B29" s="23" t="s">
        <v>56</v>
      </c>
      <c r="C29" s="50">
        <v>3</v>
      </c>
      <c r="D29" s="50">
        <v>4</v>
      </c>
      <c r="E29" s="50">
        <v>2</v>
      </c>
      <c r="F29" s="50">
        <v>11</v>
      </c>
      <c r="G29" s="50">
        <v>1</v>
      </c>
      <c r="H29" s="50">
        <v>0</v>
      </c>
      <c r="I29" s="50">
        <v>0</v>
      </c>
      <c r="J29" s="50">
        <v>0</v>
      </c>
      <c r="K29" s="50">
        <v>0</v>
      </c>
      <c r="L29" s="50">
        <v>0</v>
      </c>
      <c r="M29" s="50">
        <v>28</v>
      </c>
      <c r="N29" s="50">
        <v>0</v>
      </c>
      <c r="O29" s="15">
        <f t="shared" si="0"/>
        <v>21</v>
      </c>
      <c r="P29" s="15">
        <f t="shared" si="1"/>
        <v>49</v>
      </c>
      <c r="R29"/>
      <c r="S29" s="20"/>
      <c r="T29" s="19"/>
    </row>
    <row r="30" spans="2:32" ht="23.1" customHeight="1" x14ac:dyDescent="0.25">
      <c r="B30" s="23" t="s">
        <v>57</v>
      </c>
      <c r="C30" s="50">
        <v>4</v>
      </c>
      <c r="D30" s="50">
        <v>5</v>
      </c>
      <c r="E30" s="50">
        <v>4</v>
      </c>
      <c r="F30" s="50">
        <v>8</v>
      </c>
      <c r="G30" s="50">
        <v>0</v>
      </c>
      <c r="H30" s="50">
        <v>1</v>
      </c>
      <c r="I30" s="50">
        <v>2</v>
      </c>
      <c r="J30" s="50">
        <v>1</v>
      </c>
      <c r="K30" s="50">
        <v>0</v>
      </c>
      <c r="L30" s="50">
        <v>0</v>
      </c>
      <c r="M30" s="50">
        <v>13</v>
      </c>
      <c r="N30" s="50">
        <v>0</v>
      </c>
      <c r="O30" s="15">
        <f t="shared" si="0"/>
        <v>25</v>
      </c>
      <c r="P30" s="15">
        <f t="shared" si="1"/>
        <v>38</v>
      </c>
    </row>
    <row r="31" spans="2:32" ht="23.1" customHeight="1" x14ac:dyDescent="0.25">
      <c r="B31" s="24" t="s">
        <v>58</v>
      </c>
      <c r="C31" s="50">
        <v>4</v>
      </c>
      <c r="D31" s="50">
        <v>1</v>
      </c>
      <c r="E31" s="50">
        <v>4</v>
      </c>
      <c r="F31" s="50">
        <v>6</v>
      </c>
      <c r="G31" s="50">
        <v>0</v>
      </c>
      <c r="H31" s="50">
        <v>0</v>
      </c>
      <c r="I31" s="50">
        <v>2</v>
      </c>
      <c r="J31" s="50">
        <v>2</v>
      </c>
      <c r="K31" s="50">
        <v>0</v>
      </c>
      <c r="L31" s="50">
        <v>0</v>
      </c>
      <c r="M31" s="50">
        <v>9</v>
      </c>
      <c r="N31" s="50">
        <v>0</v>
      </c>
      <c r="O31" s="15">
        <f t="shared" si="0"/>
        <v>19</v>
      </c>
      <c r="P31" s="15">
        <f t="shared" si="1"/>
        <v>28</v>
      </c>
    </row>
    <row r="32" spans="2:32" ht="23.1" customHeight="1" x14ac:dyDescent="0.25">
      <c r="B32" s="24" t="s">
        <v>59</v>
      </c>
      <c r="C32" s="50">
        <v>5</v>
      </c>
      <c r="D32" s="50">
        <v>3</v>
      </c>
      <c r="E32" s="50">
        <v>3</v>
      </c>
      <c r="F32" s="50">
        <v>16</v>
      </c>
      <c r="G32" s="50">
        <v>0</v>
      </c>
      <c r="H32" s="50">
        <v>0</v>
      </c>
      <c r="I32" s="50">
        <v>1</v>
      </c>
      <c r="J32" s="50">
        <v>2</v>
      </c>
      <c r="K32" s="50">
        <v>3</v>
      </c>
      <c r="L32" s="50">
        <v>0</v>
      </c>
      <c r="M32" s="50">
        <v>17</v>
      </c>
      <c r="N32" s="50">
        <v>0</v>
      </c>
      <c r="O32" s="15">
        <f t="shared" si="0"/>
        <v>33</v>
      </c>
      <c r="P32" s="15">
        <f t="shared" si="1"/>
        <v>50</v>
      </c>
    </row>
    <row r="33" spans="2:20" ht="23.1" customHeight="1" x14ac:dyDescent="0.25">
      <c r="B33" s="23" t="s">
        <v>60</v>
      </c>
      <c r="C33" s="50">
        <v>2</v>
      </c>
      <c r="D33" s="50">
        <v>4</v>
      </c>
      <c r="E33" s="50">
        <v>1</v>
      </c>
      <c r="F33" s="50">
        <v>10</v>
      </c>
      <c r="G33" s="50">
        <v>0</v>
      </c>
      <c r="H33" s="50">
        <v>0</v>
      </c>
      <c r="I33" s="50">
        <v>1</v>
      </c>
      <c r="J33" s="50">
        <v>1</v>
      </c>
      <c r="K33" s="50">
        <v>2</v>
      </c>
      <c r="L33" s="50">
        <v>0</v>
      </c>
      <c r="M33" s="50">
        <v>20</v>
      </c>
      <c r="N33" s="50">
        <v>0</v>
      </c>
      <c r="O33" s="15">
        <f t="shared" si="0"/>
        <v>21</v>
      </c>
      <c r="P33" s="15">
        <f t="shared" si="1"/>
        <v>41</v>
      </c>
    </row>
    <row r="34" spans="2:20" ht="23.1" customHeight="1" x14ac:dyDescent="0.25">
      <c r="B34" s="24" t="s">
        <v>61</v>
      </c>
      <c r="C34" s="50">
        <v>4</v>
      </c>
      <c r="D34" s="50">
        <v>0</v>
      </c>
      <c r="E34" s="50">
        <v>2</v>
      </c>
      <c r="F34" s="50">
        <v>8</v>
      </c>
      <c r="G34" s="50">
        <v>0</v>
      </c>
      <c r="H34" s="50">
        <v>0</v>
      </c>
      <c r="I34" s="50">
        <v>1</v>
      </c>
      <c r="J34" s="50">
        <v>2</v>
      </c>
      <c r="K34" s="50">
        <v>1</v>
      </c>
      <c r="L34" s="50">
        <v>0</v>
      </c>
      <c r="M34" s="50">
        <v>11</v>
      </c>
      <c r="N34" s="50">
        <v>0</v>
      </c>
      <c r="O34" s="15">
        <f t="shared" si="0"/>
        <v>18</v>
      </c>
      <c r="P34" s="15">
        <f t="shared" si="1"/>
        <v>29</v>
      </c>
    </row>
    <row r="35" spans="2:20" ht="23.1" customHeight="1" x14ac:dyDescent="0.25">
      <c r="B35" s="24" t="s">
        <v>62</v>
      </c>
      <c r="C35" s="50">
        <v>4</v>
      </c>
      <c r="D35" s="50">
        <v>2</v>
      </c>
      <c r="E35" s="50">
        <v>1</v>
      </c>
      <c r="F35" s="50">
        <v>8</v>
      </c>
      <c r="G35" s="50">
        <v>0</v>
      </c>
      <c r="H35" s="50">
        <v>0</v>
      </c>
      <c r="I35" s="50">
        <v>3</v>
      </c>
      <c r="J35" s="50">
        <v>3</v>
      </c>
      <c r="K35" s="50">
        <v>0</v>
      </c>
      <c r="L35" s="50">
        <v>0</v>
      </c>
      <c r="M35" s="50">
        <v>13</v>
      </c>
      <c r="N35" s="50">
        <v>0</v>
      </c>
      <c r="O35" s="15">
        <f t="shared" si="0"/>
        <v>21</v>
      </c>
      <c r="P35" s="15">
        <f t="shared" si="1"/>
        <v>34</v>
      </c>
    </row>
    <row r="36" spans="2:20" ht="23.1" customHeight="1" x14ac:dyDescent="0.25">
      <c r="B36" s="24" t="s">
        <v>63</v>
      </c>
      <c r="C36" s="50">
        <v>4</v>
      </c>
      <c r="D36" s="50">
        <v>2</v>
      </c>
      <c r="E36" s="50">
        <v>3</v>
      </c>
      <c r="F36" s="50">
        <v>10</v>
      </c>
      <c r="G36" s="50">
        <v>1</v>
      </c>
      <c r="H36" s="50">
        <v>0</v>
      </c>
      <c r="I36" s="50">
        <v>4</v>
      </c>
      <c r="J36" s="50">
        <v>2</v>
      </c>
      <c r="K36" s="50">
        <v>0</v>
      </c>
      <c r="L36" s="50">
        <v>0</v>
      </c>
      <c r="M36" s="50">
        <v>14</v>
      </c>
      <c r="N36" s="50">
        <v>0</v>
      </c>
      <c r="O36" s="15">
        <f t="shared" si="0"/>
        <v>26</v>
      </c>
      <c r="P36" s="15">
        <f t="shared" si="1"/>
        <v>40</v>
      </c>
    </row>
    <row r="37" spans="2:20" ht="23.1" customHeight="1" x14ac:dyDescent="0.25">
      <c r="B37" s="23" t="s">
        <v>64</v>
      </c>
      <c r="C37" s="50">
        <v>6</v>
      </c>
      <c r="D37" s="50">
        <v>2</v>
      </c>
      <c r="E37" s="50">
        <v>0</v>
      </c>
      <c r="F37" s="50">
        <v>9</v>
      </c>
      <c r="G37" s="50">
        <v>1</v>
      </c>
      <c r="H37" s="50">
        <v>3</v>
      </c>
      <c r="I37" s="50">
        <v>2</v>
      </c>
      <c r="J37" s="50">
        <v>1</v>
      </c>
      <c r="K37" s="50">
        <v>1</v>
      </c>
      <c r="L37" s="50">
        <v>0</v>
      </c>
      <c r="M37" s="50">
        <v>15</v>
      </c>
      <c r="N37" s="50">
        <v>0</v>
      </c>
      <c r="O37" s="15">
        <f t="shared" si="0"/>
        <v>25</v>
      </c>
      <c r="P37" s="15">
        <f t="shared" si="1"/>
        <v>40</v>
      </c>
    </row>
    <row r="38" spans="2:20" ht="23.1" customHeight="1" x14ac:dyDescent="0.25">
      <c r="B38" s="24" t="s">
        <v>65</v>
      </c>
      <c r="C38" s="50">
        <v>3</v>
      </c>
      <c r="D38" s="50">
        <v>0</v>
      </c>
      <c r="E38" s="50">
        <v>4</v>
      </c>
      <c r="F38" s="50">
        <v>10</v>
      </c>
      <c r="G38" s="50">
        <v>0</v>
      </c>
      <c r="H38" s="50">
        <v>0</v>
      </c>
      <c r="I38" s="50">
        <v>2</v>
      </c>
      <c r="J38" s="50">
        <v>0</v>
      </c>
      <c r="K38" s="50">
        <v>2</v>
      </c>
      <c r="L38" s="50">
        <v>0</v>
      </c>
      <c r="M38" s="50">
        <v>13</v>
      </c>
      <c r="N38" s="50">
        <v>0</v>
      </c>
      <c r="O38" s="15">
        <f t="shared" si="0"/>
        <v>21</v>
      </c>
      <c r="P38" s="15">
        <f t="shared" si="1"/>
        <v>34</v>
      </c>
    </row>
    <row r="39" spans="2:20" ht="23.1" customHeight="1" x14ac:dyDescent="0.25">
      <c r="B39" s="24" t="s">
        <v>66</v>
      </c>
      <c r="C39" s="50">
        <v>3</v>
      </c>
      <c r="D39" s="50">
        <v>1</v>
      </c>
      <c r="E39" s="50">
        <v>2</v>
      </c>
      <c r="F39" s="50">
        <v>11</v>
      </c>
      <c r="G39" s="50">
        <v>0</v>
      </c>
      <c r="H39" s="50">
        <v>0</v>
      </c>
      <c r="I39" s="50">
        <v>1</v>
      </c>
      <c r="J39" s="50">
        <v>1</v>
      </c>
      <c r="K39" s="50">
        <v>1</v>
      </c>
      <c r="L39" s="50">
        <v>0</v>
      </c>
      <c r="M39" s="50">
        <v>15</v>
      </c>
      <c r="N39" s="50">
        <v>0</v>
      </c>
      <c r="O39" s="15">
        <f t="shared" si="0"/>
        <v>20</v>
      </c>
      <c r="P39" s="15">
        <f t="shared" si="1"/>
        <v>35</v>
      </c>
    </row>
    <row r="40" spans="2:20" ht="23.1" customHeight="1" x14ac:dyDescent="0.25">
      <c r="B40" s="24" t="s">
        <v>67</v>
      </c>
      <c r="C40" s="50">
        <v>4</v>
      </c>
      <c r="D40" s="50">
        <v>2</v>
      </c>
      <c r="E40" s="50">
        <v>5</v>
      </c>
      <c r="F40" s="50">
        <v>12</v>
      </c>
      <c r="G40" s="50">
        <v>0</v>
      </c>
      <c r="H40" s="50">
        <v>0</v>
      </c>
      <c r="I40" s="50">
        <v>1</v>
      </c>
      <c r="J40" s="50">
        <v>1</v>
      </c>
      <c r="K40" s="50">
        <v>3</v>
      </c>
      <c r="L40" s="50">
        <v>0</v>
      </c>
      <c r="M40" s="50">
        <v>19</v>
      </c>
      <c r="N40" s="50">
        <v>0</v>
      </c>
      <c r="O40" s="15">
        <f t="shared" si="0"/>
        <v>28</v>
      </c>
      <c r="P40" s="15">
        <f t="shared" si="1"/>
        <v>47</v>
      </c>
    </row>
    <row r="41" spans="2:20" ht="23.1" customHeight="1" x14ac:dyDescent="0.25">
      <c r="B41" s="23" t="s">
        <v>68</v>
      </c>
      <c r="C41" s="50">
        <v>4</v>
      </c>
      <c r="D41" s="50">
        <v>2</v>
      </c>
      <c r="E41" s="50">
        <v>0</v>
      </c>
      <c r="F41" s="50">
        <v>12</v>
      </c>
      <c r="G41" s="50">
        <v>0</v>
      </c>
      <c r="H41" s="50">
        <v>0</v>
      </c>
      <c r="I41" s="50">
        <v>0</v>
      </c>
      <c r="J41" s="50">
        <v>4</v>
      </c>
      <c r="K41" s="50">
        <v>2</v>
      </c>
      <c r="L41" s="50">
        <v>0</v>
      </c>
      <c r="M41" s="50">
        <v>16</v>
      </c>
      <c r="N41" s="50">
        <v>0</v>
      </c>
      <c r="O41" s="15">
        <f t="shared" si="0"/>
        <v>24</v>
      </c>
      <c r="P41" s="15">
        <f t="shared" si="1"/>
        <v>40</v>
      </c>
    </row>
    <row r="42" spans="2:20" ht="23.1" customHeight="1" x14ac:dyDescent="0.25">
      <c r="B42" s="24" t="s">
        <v>69</v>
      </c>
      <c r="C42" s="50">
        <v>10</v>
      </c>
      <c r="D42" s="50">
        <v>0</v>
      </c>
      <c r="E42" s="50">
        <v>3</v>
      </c>
      <c r="F42" s="50">
        <v>10</v>
      </c>
      <c r="G42" s="50">
        <v>0</v>
      </c>
      <c r="H42" s="50">
        <v>1</v>
      </c>
      <c r="I42" s="50">
        <v>2</v>
      </c>
      <c r="J42" s="50">
        <v>0</v>
      </c>
      <c r="K42" s="50">
        <v>1</v>
      </c>
      <c r="L42" s="50">
        <v>0</v>
      </c>
      <c r="M42" s="50">
        <v>17</v>
      </c>
      <c r="N42" s="50">
        <v>0</v>
      </c>
      <c r="O42" s="15">
        <f t="shared" si="0"/>
        <v>27</v>
      </c>
      <c r="P42" s="15">
        <f t="shared" si="1"/>
        <v>44</v>
      </c>
    </row>
    <row r="43" spans="2:20" ht="23.1" customHeight="1" x14ac:dyDescent="0.25">
      <c r="B43" s="23" t="s">
        <v>70</v>
      </c>
      <c r="C43" s="50">
        <v>1</v>
      </c>
      <c r="D43" s="50">
        <v>4</v>
      </c>
      <c r="E43" s="50">
        <v>4</v>
      </c>
      <c r="F43" s="50">
        <v>9</v>
      </c>
      <c r="G43" s="50">
        <v>1</v>
      </c>
      <c r="H43" s="50">
        <v>1</v>
      </c>
      <c r="I43" s="50">
        <v>3</v>
      </c>
      <c r="J43" s="50">
        <v>2</v>
      </c>
      <c r="K43" s="50">
        <v>3</v>
      </c>
      <c r="L43" s="50">
        <v>0</v>
      </c>
      <c r="M43" s="50">
        <v>18</v>
      </c>
      <c r="N43" s="50">
        <v>0</v>
      </c>
      <c r="O43" s="15">
        <f t="shared" si="0"/>
        <v>28</v>
      </c>
      <c r="P43" s="15">
        <f t="shared" si="1"/>
        <v>46</v>
      </c>
    </row>
    <row r="44" spans="2:20" ht="23.1" customHeight="1" x14ac:dyDescent="0.25">
      <c r="B44" s="25" t="s">
        <v>71</v>
      </c>
      <c r="C44" s="50">
        <v>3</v>
      </c>
      <c r="D44" s="50">
        <v>3</v>
      </c>
      <c r="E44" s="50">
        <v>1</v>
      </c>
      <c r="F44" s="50">
        <v>14</v>
      </c>
      <c r="G44" s="50">
        <v>0</v>
      </c>
      <c r="H44" s="50">
        <v>1</v>
      </c>
      <c r="I44" s="50">
        <v>0</v>
      </c>
      <c r="J44" s="50">
        <v>0</v>
      </c>
      <c r="K44" s="50">
        <v>0</v>
      </c>
      <c r="L44" s="50">
        <v>0</v>
      </c>
      <c r="M44" s="50">
        <v>19</v>
      </c>
      <c r="N44" s="50">
        <v>0</v>
      </c>
      <c r="O44" s="15">
        <f t="shared" si="0"/>
        <v>22</v>
      </c>
      <c r="P44" s="15">
        <f t="shared" si="1"/>
        <v>41</v>
      </c>
    </row>
    <row r="45" spans="2:20" ht="23.1" customHeight="1" x14ac:dyDescent="0.25">
      <c r="B45" s="23" t="s">
        <v>72</v>
      </c>
      <c r="C45" s="50">
        <v>11</v>
      </c>
      <c r="D45" s="50">
        <v>2</v>
      </c>
      <c r="E45" s="50">
        <v>3</v>
      </c>
      <c r="F45" s="50">
        <v>11</v>
      </c>
      <c r="G45" s="50">
        <v>5</v>
      </c>
      <c r="H45" s="50">
        <v>0</v>
      </c>
      <c r="I45" s="50">
        <v>0</v>
      </c>
      <c r="J45" s="50">
        <v>0</v>
      </c>
      <c r="K45" s="50">
        <v>0</v>
      </c>
      <c r="L45" s="50">
        <v>0</v>
      </c>
      <c r="M45" s="50">
        <v>13</v>
      </c>
      <c r="N45" s="50">
        <v>0</v>
      </c>
      <c r="O45" s="15">
        <f t="shared" si="0"/>
        <v>32</v>
      </c>
      <c r="P45" s="15">
        <f t="shared" si="1"/>
        <v>45</v>
      </c>
    </row>
    <row r="46" spans="2:20" ht="23.1" customHeight="1" x14ac:dyDescent="0.25">
      <c r="B46" s="24" t="s">
        <v>73</v>
      </c>
      <c r="C46" s="50">
        <v>7</v>
      </c>
      <c r="D46" s="50">
        <v>4</v>
      </c>
      <c r="E46" s="50">
        <v>2</v>
      </c>
      <c r="F46" s="50">
        <v>11</v>
      </c>
      <c r="G46" s="50">
        <v>0</v>
      </c>
      <c r="H46" s="50">
        <v>1</v>
      </c>
      <c r="I46" s="50">
        <v>3</v>
      </c>
      <c r="J46" s="50">
        <v>2</v>
      </c>
      <c r="K46" s="50">
        <v>4</v>
      </c>
      <c r="L46" s="50">
        <v>0</v>
      </c>
      <c r="M46" s="50">
        <v>13</v>
      </c>
      <c r="N46" s="50">
        <v>0</v>
      </c>
      <c r="O46" s="15">
        <f t="shared" si="0"/>
        <v>34</v>
      </c>
      <c r="P46" s="15">
        <f t="shared" si="1"/>
        <v>47</v>
      </c>
      <c r="R46" s="8"/>
      <c r="T46"/>
    </row>
    <row r="47" spans="2:20" ht="23.1" customHeight="1" x14ac:dyDescent="0.25">
      <c r="B47" s="24" t="s">
        <v>74</v>
      </c>
      <c r="C47" s="50">
        <v>8</v>
      </c>
      <c r="D47" s="50">
        <v>1</v>
      </c>
      <c r="E47" s="50">
        <v>4</v>
      </c>
      <c r="F47" s="50">
        <v>9</v>
      </c>
      <c r="G47" s="50">
        <v>0</v>
      </c>
      <c r="H47" s="50">
        <v>0</v>
      </c>
      <c r="I47" s="50">
        <v>1</v>
      </c>
      <c r="J47" s="50">
        <v>1</v>
      </c>
      <c r="K47" s="50">
        <v>2</v>
      </c>
      <c r="L47" s="50">
        <v>0</v>
      </c>
      <c r="M47" s="50">
        <v>19</v>
      </c>
      <c r="N47" s="50">
        <v>0</v>
      </c>
      <c r="O47" s="15">
        <f t="shared" si="0"/>
        <v>26</v>
      </c>
      <c r="P47" s="15">
        <f t="shared" si="1"/>
        <v>45</v>
      </c>
      <c r="R47" s="8"/>
      <c r="T47"/>
    </row>
    <row r="48" spans="2:20" ht="23.1" customHeight="1" x14ac:dyDescent="0.25">
      <c r="B48" s="24" t="s">
        <v>75</v>
      </c>
      <c r="C48" s="50">
        <v>10</v>
      </c>
      <c r="D48" s="50">
        <v>0</v>
      </c>
      <c r="E48" s="50">
        <v>2</v>
      </c>
      <c r="F48" s="50">
        <v>10</v>
      </c>
      <c r="G48" s="50">
        <v>1</v>
      </c>
      <c r="H48" s="50">
        <v>1</v>
      </c>
      <c r="I48" s="50">
        <v>1</v>
      </c>
      <c r="J48" s="50">
        <v>3</v>
      </c>
      <c r="K48" s="50">
        <v>0</v>
      </c>
      <c r="L48" s="50">
        <v>0</v>
      </c>
      <c r="M48" s="50">
        <v>19</v>
      </c>
      <c r="N48" s="50">
        <v>0</v>
      </c>
      <c r="O48" s="15">
        <f t="shared" si="0"/>
        <v>28</v>
      </c>
      <c r="P48" s="15">
        <f t="shared" si="1"/>
        <v>47</v>
      </c>
      <c r="R48" s="8"/>
      <c r="T48"/>
    </row>
    <row r="49" spans="2:20" ht="23.1" customHeight="1" x14ac:dyDescent="0.25">
      <c r="B49" s="23" t="s">
        <v>76</v>
      </c>
      <c r="C49" s="50">
        <v>7</v>
      </c>
      <c r="D49" s="50">
        <v>0</v>
      </c>
      <c r="E49" s="50">
        <v>8</v>
      </c>
      <c r="F49" s="50">
        <v>10</v>
      </c>
      <c r="G49" s="50">
        <v>1</v>
      </c>
      <c r="H49" s="50">
        <v>0</v>
      </c>
      <c r="I49" s="50">
        <v>0</v>
      </c>
      <c r="J49" s="50">
        <v>1</v>
      </c>
      <c r="K49" s="50">
        <v>5</v>
      </c>
      <c r="L49" s="50">
        <v>0</v>
      </c>
      <c r="M49" s="50">
        <v>19</v>
      </c>
      <c r="N49" s="50">
        <v>0</v>
      </c>
      <c r="O49" s="15">
        <f t="shared" si="0"/>
        <v>32</v>
      </c>
      <c r="P49" s="15">
        <f t="shared" si="1"/>
        <v>51</v>
      </c>
      <c r="R49" s="8"/>
      <c r="T49"/>
    </row>
    <row r="50" spans="2:20" ht="23.1" customHeight="1" x14ac:dyDescent="0.25">
      <c r="B50" s="24" t="s">
        <v>77</v>
      </c>
      <c r="C50" s="50">
        <v>1</v>
      </c>
      <c r="D50" s="50">
        <v>5</v>
      </c>
      <c r="E50" s="50">
        <v>1</v>
      </c>
      <c r="F50" s="50">
        <v>12</v>
      </c>
      <c r="G50" s="50">
        <v>0</v>
      </c>
      <c r="H50" s="50">
        <v>1</v>
      </c>
      <c r="I50" s="50">
        <v>1</v>
      </c>
      <c r="J50" s="50">
        <v>0</v>
      </c>
      <c r="K50" s="50">
        <v>3</v>
      </c>
      <c r="L50" s="50">
        <v>0</v>
      </c>
      <c r="M50" s="50">
        <v>14</v>
      </c>
      <c r="N50" s="50">
        <v>0</v>
      </c>
      <c r="O50" s="15">
        <f t="shared" si="0"/>
        <v>24</v>
      </c>
      <c r="P50" s="15">
        <f t="shared" si="1"/>
        <v>38</v>
      </c>
      <c r="R50" s="8"/>
      <c r="T50"/>
    </row>
    <row r="51" spans="2:20" ht="23.1" customHeight="1" x14ac:dyDescent="0.25">
      <c r="B51" s="24" t="s">
        <v>78</v>
      </c>
      <c r="C51" s="50">
        <v>6</v>
      </c>
      <c r="D51" s="50">
        <v>6</v>
      </c>
      <c r="E51" s="50">
        <v>1</v>
      </c>
      <c r="F51" s="50">
        <v>9</v>
      </c>
      <c r="G51" s="50">
        <v>0</v>
      </c>
      <c r="H51" s="50">
        <v>0</v>
      </c>
      <c r="I51" s="50">
        <v>0</v>
      </c>
      <c r="J51" s="50">
        <v>1</v>
      </c>
      <c r="K51" s="50">
        <v>1</v>
      </c>
      <c r="L51" s="50">
        <v>0</v>
      </c>
      <c r="M51" s="50">
        <v>24</v>
      </c>
      <c r="N51" s="50">
        <v>0</v>
      </c>
      <c r="O51" s="15">
        <f t="shared" si="0"/>
        <v>24</v>
      </c>
      <c r="P51" s="15">
        <f t="shared" si="1"/>
        <v>48</v>
      </c>
      <c r="R51" s="8"/>
      <c r="T51"/>
    </row>
    <row r="52" spans="2:20" ht="23.1" customHeight="1" x14ac:dyDescent="0.25">
      <c r="B52" s="24" t="s">
        <v>79</v>
      </c>
      <c r="C52" s="50">
        <v>5</v>
      </c>
      <c r="D52" s="50">
        <v>4</v>
      </c>
      <c r="E52" s="50">
        <v>2</v>
      </c>
      <c r="F52" s="50">
        <v>12</v>
      </c>
      <c r="G52" s="50">
        <v>0</v>
      </c>
      <c r="H52" s="50">
        <v>0</v>
      </c>
      <c r="I52" s="50">
        <v>2</v>
      </c>
      <c r="J52" s="50">
        <v>2</v>
      </c>
      <c r="K52" s="50">
        <v>2</v>
      </c>
      <c r="L52" s="50">
        <v>1</v>
      </c>
      <c r="M52" s="50">
        <v>29</v>
      </c>
      <c r="N52" s="50">
        <v>0</v>
      </c>
      <c r="O52" s="15">
        <f t="shared" si="0"/>
        <v>30</v>
      </c>
      <c r="P52" s="15">
        <f t="shared" si="1"/>
        <v>59</v>
      </c>
      <c r="R52" s="8"/>
      <c r="T52"/>
    </row>
    <row r="53" spans="2:20" ht="23.1" customHeight="1" x14ac:dyDescent="0.25">
      <c r="B53" s="23" t="s">
        <v>80</v>
      </c>
      <c r="C53" s="50">
        <v>8</v>
      </c>
      <c r="D53" s="50">
        <v>3</v>
      </c>
      <c r="E53" s="50">
        <v>7</v>
      </c>
      <c r="F53" s="50">
        <v>8</v>
      </c>
      <c r="G53" s="50">
        <v>0</v>
      </c>
      <c r="H53" s="50">
        <v>1</v>
      </c>
      <c r="I53" s="50">
        <v>3</v>
      </c>
      <c r="J53" s="50">
        <v>0</v>
      </c>
      <c r="K53" s="50">
        <v>0</v>
      </c>
      <c r="L53" s="50">
        <v>0</v>
      </c>
      <c r="M53" s="50">
        <v>24</v>
      </c>
      <c r="N53" s="50">
        <v>0</v>
      </c>
      <c r="O53" s="15">
        <f t="shared" si="0"/>
        <v>30</v>
      </c>
      <c r="P53" s="15">
        <f t="shared" si="1"/>
        <v>54</v>
      </c>
      <c r="R53" s="8"/>
      <c r="T53"/>
    </row>
    <row r="54" spans="2:20" ht="23.1" customHeight="1" x14ac:dyDescent="0.25">
      <c r="B54" s="23" t="s">
        <v>81</v>
      </c>
      <c r="C54" s="50">
        <v>7</v>
      </c>
      <c r="D54" s="50">
        <v>6</v>
      </c>
      <c r="E54" s="50">
        <v>3</v>
      </c>
      <c r="F54" s="50">
        <v>14</v>
      </c>
      <c r="G54" s="50">
        <v>0</v>
      </c>
      <c r="H54" s="50">
        <v>0</v>
      </c>
      <c r="I54" s="50">
        <v>3</v>
      </c>
      <c r="J54" s="50">
        <v>2</v>
      </c>
      <c r="K54" s="50">
        <v>1</v>
      </c>
      <c r="L54" s="50">
        <v>0</v>
      </c>
      <c r="M54" s="50">
        <v>18</v>
      </c>
      <c r="N54" s="50">
        <v>0</v>
      </c>
      <c r="O54" s="15">
        <f t="shared" si="0"/>
        <v>36</v>
      </c>
      <c r="P54" s="15">
        <f t="shared" si="1"/>
        <v>54</v>
      </c>
      <c r="R54" s="8"/>
      <c r="T54"/>
    </row>
    <row r="55" spans="2:20" ht="23.1" customHeight="1" x14ac:dyDescent="0.25">
      <c r="B55" s="23" t="s">
        <v>82</v>
      </c>
      <c r="C55" s="50">
        <v>9</v>
      </c>
      <c r="D55" s="50">
        <v>1</v>
      </c>
      <c r="E55" s="50">
        <v>0</v>
      </c>
      <c r="F55" s="50">
        <v>8</v>
      </c>
      <c r="G55" s="50">
        <v>0</v>
      </c>
      <c r="H55" s="50">
        <v>0</v>
      </c>
      <c r="I55" s="50">
        <v>1</v>
      </c>
      <c r="J55" s="50">
        <v>2</v>
      </c>
      <c r="K55" s="50">
        <v>2</v>
      </c>
      <c r="L55" s="50">
        <v>0</v>
      </c>
      <c r="M55" s="50">
        <v>20</v>
      </c>
      <c r="N55" s="50">
        <v>0</v>
      </c>
      <c r="O55" s="15">
        <f t="shared" si="0"/>
        <v>23</v>
      </c>
      <c r="P55" s="15">
        <f t="shared" si="1"/>
        <v>43</v>
      </c>
      <c r="R55" s="8"/>
      <c r="T55"/>
    </row>
    <row r="56" spans="2:20" ht="23.1" customHeight="1" x14ac:dyDescent="0.25">
      <c r="B56" s="23" t="s">
        <v>83</v>
      </c>
      <c r="C56" s="50">
        <v>9</v>
      </c>
      <c r="D56" s="50">
        <v>3</v>
      </c>
      <c r="E56" s="50">
        <v>3</v>
      </c>
      <c r="F56" s="50">
        <v>9</v>
      </c>
      <c r="G56" s="50">
        <v>3</v>
      </c>
      <c r="H56" s="50">
        <v>0</v>
      </c>
      <c r="I56" s="50">
        <v>1</v>
      </c>
      <c r="J56" s="50">
        <v>2</v>
      </c>
      <c r="K56" s="50">
        <v>0</v>
      </c>
      <c r="L56" s="50">
        <v>0</v>
      </c>
      <c r="M56" s="50">
        <v>13</v>
      </c>
      <c r="N56" s="50">
        <v>0</v>
      </c>
      <c r="O56" s="15">
        <f t="shared" si="0"/>
        <v>30</v>
      </c>
      <c r="P56" s="15">
        <f t="shared" si="1"/>
        <v>43</v>
      </c>
      <c r="R56" s="8"/>
      <c r="T56"/>
    </row>
    <row r="57" spans="2:20" ht="23.1" customHeight="1" x14ac:dyDescent="0.25">
      <c r="B57" s="23" t="s">
        <v>84</v>
      </c>
      <c r="C57" s="50">
        <v>8</v>
      </c>
      <c r="D57" s="50">
        <v>2</v>
      </c>
      <c r="E57" s="50">
        <v>0</v>
      </c>
      <c r="F57" s="50">
        <v>10</v>
      </c>
      <c r="G57" s="50">
        <v>0</v>
      </c>
      <c r="H57" s="50">
        <v>2</v>
      </c>
      <c r="I57" s="50">
        <v>2</v>
      </c>
      <c r="J57" s="50">
        <v>0</v>
      </c>
      <c r="K57" s="50">
        <v>1</v>
      </c>
      <c r="L57" s="50">
        <v>0</v>
      </c>
      <c r="M57" s="50">
        <v>29</v>
      </c>
      <c r="N57" s="50">
        <v>0</v>
      </c>
      <c r="O57" s="15">
        <f t="shared" si="0"/>
        <v>25</v>
      </c>
      <c r="P57" s="15">
        <f t="shared" si="1"/>
        <v>54</v>
      </c>
      <c r="R57" s="8"/>
      <c r="T57"/>
    </row>
    <row r="58" spans="2:20" ht="23.1" customHeight="1" x14ac:dyDescent="0.25">
      <c r="B58" s="26" t="s">
        <v>18</v>
      </c>
      <c r="C58" s="16">
        <f t="shared" ref="C58:P58" si="21">SUM(C10:C57)</f>
        <v>217</v>
      </c>
      <c r="D58" s="16">
        <f t="shared" si="21"/>
        <v>112</v>
      </c>
      <c r="E58" s="16">
        <f t="shared" si="21"/>
        <v>113</v>
      </c>
      <c r="F58" s="16">
        <f t="shared" si="21"/>
        <v>419</v>
      </c>
      <c r="G58" s="16">
        <f t="shared" si="21"/>
        <v>15</v>
      </c>
      <c r="H58" s="16">
        <f t="shared" si="21"/>
        <v>18</v>
      </c>
      <c r="I58" s="16">
        <f t="shared" si="21"/>
        <v>68</v>
      </c>
      <c r="J58" s="16">
        <f t="shared" si="21"/>
        <v>67</v>
      </c>
      <c r="K58" s="16">
        <f t="shared" si="21"/>
        <v>61</v>
      </c>
      <c r="L58" s="16">
        <f t="shared" si="21"/>
        <v>6</v>
      </c>
      <c r="M58" s="16">
        <f t="shared" si="21"/>
        <v>757</v>
      </c>
      <c r="N58" s="16">
        <f t="shared" si="21"/>
        <v>0</v>
      </c>
      <c r="O58" s="16">
        <f t="shared" si="21"/>
        <v>1110</v>
      </c>
      <c r="P58" s="16">
        <f t="shared" si="21"/>
        <v>1880</v>
      </c>
      <c r="R58" s="8"/>
      <c r="T58"/>
    </row>
    <row r="59" spans="2:20" ht="23.1" customHeight="1" x14ac:dyDescent="0.25">
      <c r="B59" s="26" t="s">
        <v>93</v>
      </c>
      <c r="C59" s="43">
        <f t="shared" ref="C59:N59" si="22">C58/$P$58</f>
        <v>0.11542553191489362</v>
      </c>
      <c r="D59" s="43">
        <f t="shared" si="22"/>
        <v>5.9574468085106386E-2</v>
      </c>
      <c r="E59" s="43">
        <f t="shared" si="22"/>
        <v>6.0106382978723401E-2</v>
      </c>
      <c r="F59" s="43">
        <f t="shared" si="22"/>
        <v>0.22287234042553192</v>
      </c>
      <c r="G59" s="43">
        <f t="shared" si="22"/>
        <v>7.9787234042553185E-3</v>
      </c>
      <c r="H59" s="43">
        <f t="shared" si="22"/>
        <v>9.5744680851063829E-3</v>
      </c>
      <c r="I59" s="43">
        <f t="shared" si="22"/>
        <v>3.6170212765957444E-2</v>
      </c>
      <c r="J59" s="43">
        <f t="shared" si="22"/>
        <v>3.5638297872340428E-2</v>
      </c>
      <c r="K59" s="43">
        <f t="shared" si="22"/>
        <v>3.2446808510638296E-2</v>
      </c>
      <c r="L59" s="43">
        <f t="shared" si="22"/>
        <v>3.1914893617021275E-3</v>
      </c>
      <c r="M59" s="43">
        <f t="shared" si="22"/>
        <v>0.40265957446808509</v>
      </c>
      <c r="N59" s="43">
        <f t="shared" si="22"/>
        <v>0</v>
      </c>
      <c r="R59" s="8"/>
      <c r="T59"/>
    </row>
    <row r="60" spans="2:20" ht="23.1" customHeight="1" x14ac:dyDescent="0.25">
      <c r="B60" s="42" t="s">
        <v>94</v>
      </c>
      <c r="C60" s="44">
        <f>C58/$O$58</f>
        <v>0.1954954954954955</v>
      </c>
      <c r="D60" s="44">
        <f t="shared" ref="D60:N60" si="23">D58/$O$58</f>
        <v>0.1009009009009009</v>
      </c>
      <c r="E60" s="44">
        <f t="shared" si="23"/>
        <v>0.1018018018018018</v>
      </c>
      <c r="F60" s="44">
        <f t="shared" si="23"/>
        <v>0.37747747747747745</v>
      </c>
      <c r="G60" s="44">
        <f t="shared" si="23"/>
        <v>1.3513513513513514E-2</v>
      </c>
      <c r="H60" s="44">
        <f t="shared" si="23"/>
        <v>1.6216216216216217E-2</v>
      </c>
      <c r="I60" s="44">
        <f t="shared" si="23"/>
        <v>6.126126126126126E-2</v>
      </c>
      <c r="J60" s="44">
        <f t="shared" si="23"/>
        <v>6.0360360360360361E-2</v>
      </c>
      <c r="K60" s="44">
        <f t="shared" si="23"/>
        <v>5.4954954954954956E-2</v>
      </c>
      <c r="L60" s="44">
        <f t="shared" si="23"/>
        <v>5.4054054054054057E-3</v>
      </c>
      <c r="M60" s="44"/>
      <c r="N60" s="44">
        <f t="shared" si="23"/>
        <v>0</v>
      </c>
      <c r="Q60" s="7"/>
      <c r="R60" s="8"/>
      <c r="T60"/>
    </row>
    <row r="61" spans="2:20" ht="20.100000000000001" customHeight="1" x14ac:dyDescent="0.25">
      <c r="B61" s="3"/>
      <c r="C61" s="18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Q61" s="7"/>
      <c r="R61" s="8"/>
      <c r="T61"/>
    </row>
    <row r="62" spans="2:20" ht="20.100000000000001" customHeight="1" x14ac:dyDescent="0.25">
      <c r="B62" s="3"/>
      <c r="C62" s="18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Q62" s="7"/>
      <c r="R62" s="8"/>
      <c r="T62"/>
    </row>
    <row r="63" spans="2:20" ht="20.100000000000001" customHeight="1" x14ac:dyDescent="0.25">
      <c r="B63" s="3"/>
      <c r="C63" s="18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Q63" s="7"/>
    </row>
    <row r="64" spans="2:20" ht="20.100000000000001" customHeight="1" x14ac:dyDescent="0.25">
      <c r="B64" s="3"/>
      <c r="C64" s="18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Q64" s="7"/>
    </row>
    <row r="65" spans="2:20" s="7" customFormat="1" ht="20.100000000000001" customHeight="1" x14ac:dyDescent="0.25"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/>
      <c r="P65"/>
      <c r="S65" s="8"/>
      <c r="T65" s="8"/>
    </row>
    <row r="66" spans="2:20" s="7" customFormat="1" ht="20.100000000000001" customHeight="1" x14ac:dyDescent="0.25"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/>
      <c r="P66"/>
      <c r="S66" s="8"/>
      <c r="T66" s="8"/>
    </row>
    <row r="67" spans="2:20" s="7" customFormat="1" ht="20.100000000000001" customHeight="1" x14ac:dyDescent="0.25"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/>
      <c r="P67"/>
      <c r="S67" s="8"/>
      <c r="T67" s="8"/>
    </row>
    <row r="68" spans="2:20" s="7" customFormat="1" ht="20.100000000000001" customHeight="1" x14ac:dyDescent="0.25"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/>
      <c r="P68"/>
      <c r="S68" s="8"/>
      <c r="T68" s="8"/>
    </row>
    <row r="69" spans="2:20" s="7" customFormat="1" ht="20.100000000000001" customHeight="1" x14ac:dyDescent="0.25"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/>
      <c r="P69"/>
      <c r="S69" s="8"/>
      <c r="T69" s="8"/>
    </row>
    <row r="70" spans="2:20" s="7" customFormat="1" ht="20.100000000000001" customHeight="1" x14ac:dyDescent="0.25"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/>
      <c r="P70"/>
      <c r="S70" s="8"/>
      <c r="T70" s="8"/>
    </row>
    <row r="71" spans="2:20" s="7" customFormat="1" ht="20.100000000000001" customHeight="1" x14ac:dyDescent="0.25"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/>
      <c r="P71"/>
      <c r="S71" s="8"/>
      <c r="T71" s="8"/>
    </row>
    <row r="72" spans="2:20" s="7" customFormat="1" ht="20.100000000000001" customHeight="1" x14ac:dyDescent="0.25"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/>
      <c r="P72"/>
      <c r="S72" s="8"/>
      <c r="T72" s="8"/>
    </row>
    <row r="73" spans="2:20" s="7" customFormat="1" ht="20.100000000000001" customHeight="1" x14ac:dyDescent="0.25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/>
      <c r="P73"/>
      <c r="S73" s="8"/>
      <c r="T73" s="8"/>
    </row>
    <row r="74" spans="2:20" s="7" customFormat="1" ht="20.100000000000001" customHeight="1" x14ac:dyDescent="0.25"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/>
      <c r="P74"/>
      <c r="S74" s="8"/>
      <c r="T74" s="8"/>
    </row>
    <row r="75" spans="2:20" s="7" customFormat="1" ht="20.100000000000001" customHeight="1" x14ac:dyDescent="0.25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/>
      <c r="P75"/>
      <c r="S75" s="8"/>
      <c r="T75" s="8"/>
    </row>
    <row r="76" spans="2:20" s="7" customFormat="1" ht="20.100000000000001" customHeight="1" x14ac:dyDescent="0.25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/>
      <c r="P76"/>
      <c r="S76" s="8"/>
      <c r="T76" s="8"/>
    </row>
    <row r="77" spans="2:20" s="7" customFormat="1" ht="20.100000000000001" customHeight="1" x14ac:dyDescent="0.25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/>
      <c r="P77"/>
      <c r="Q77"/>
      <c r="S77" s="8"/>
      <c r="T77" s="8"/>
    </row>
    <row r="78" spans="2:20" s="7" customFormat="1" ht="20.100000000000001" customHeight="1" x14ac:dyDescent="0.25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2:20" s="7" customFormat="1" ht="20.100000000000001" customHeight="1" x14ac:dyDescent="0.25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2:20" s="7" customFormat="1" ht="20.100000000000001" customHeight="1" x14ac:dyDescent="0.25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2" tint="-0.249977111117893"/>
  </sheetPr>
  <dimension ref="B1:AF174"/>
  <sheetViews>
    <sheetView view="pageBreakPreview" topLeftCell="A55" zoomScale="60" workbookViewId="0">
      <selection activeCell="A37" sqref="A37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710937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60" t="s">
        <v>23</v>
      </c>
      <c r="C1" s="60"/>
      <c r="D1" s="60"/>
      <c r="E1" s="60"/>
      <c r="F1" s="60"/>
      <c r="G1" s="60"/>
      <c r="H1" s="60"/>
      <c r="I1" s="60"/>
      <c r="J1" s="60"/>
      <c r="K1" s="60"/>
      <c r="L1" s="60"/>
      <c r="M1" s="60"/>
      <c r="N1" s="60"/>
      <c r="O1" s="60"/>
      <c r="P1" s="60"/>
      <c r="Q1" s="60"/>
      <c r="R1" s="60"/>
      <c r="S1" s="60"/>
      <c r="T1" s="60"/>
      <c r="U1" s="60"/>
      <c r="V1" s="60"/>
      <c r="W1" s="60"/>
      <c r="X1" s="60"/>
      <c r="Y1" s="60"/>
      <c r="Z1" s="60"/>
      <c r="AA1" s="60"/>
      <c r="AB1" s="60"/>
      <c r="AC1" s="60"/>
      <c r="AD1" s="60"/>
      <c r="AE1" s="60"/>
    </row>
    <row r="2" spans="2:32" ht="20.100000000000001" customHeight="1" x14ac:dyDescent="0.25">
      <c r="B2" s="61" t="s">
        <v>95</v>
      </c>
      <c r="C2" s="61"/>
      <c r="D2" s="61"/>
      <c r="E2" s="61"/>
      <c r="F2" s="61"/>
      <c r="G2" s="61"/>
      <c r="H2" s="61"/>
      <c r="I2" s="61"/>
      <c r="J2" s="61"/>
      <c r="K2" s="61"/>
      <c r="L2" s="61"/>
      <c r="M2" s="61"/>
      <c r="N2" s="61"/>
      <c r="O2" s="61"/>
      <c r="P2" s="61"/>
      <c r="Q2" s="61"/>
      <c r="R2" s="61"/>
      <c r="S2" s="61"/>
      <c r="T2" s="61"/>
      <c r="U2" s="61"/>
      <c r="V2" s="61"/>
      <c r="W2" s="61"/>
      <c r="X2" s="61"/>
      <c r="Y2" s="61"/>
      <c r="Z2" s="61"/>
      <c r="AA2" s="61"/>
      <c r="AB2" s="61"/>
      <c r="AC2" s="61"/>
      <c r="AD2" s="61"/>
      <c r="AE2" s="61"/>
    </row>
    <row r="3" spans="2:32" ht="20.100000000000001" customHeight="1" x14ac:dyDescent="0.25">
      <c r="B3" s="22" t="s">
        <v>96</v>
      </c>
      <c r="C3" s="62" t="str">
        <f>'17.10 Busembatya-Butongole'!C3:G3</f>
        <v>BUSEMBATYA-BUTONGOLE</v>
      </c>
      <c r="D3" s="62"/>
      <c r="E3" s="62"/>
      <c r="F3" s="62"/>
      <c r="G3" s="62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51" t="s">
        <v>172</v>
      </c>
      <c r="E5" s="3"/>
      <c r="F5" s="41" t="s">
        <v>1</v>
      </c>
      <c r="G5" s="57" t="str">
        <f>'19.10 Butongole-Busembatya-24h'!G5:H5</f>
        <v>NAMALEMBA</v>
      </c>
      <c r="H5" s="58"/>
      <c r="I5" s="14"/>
      <c r="J5" s="2" t="s">
        <v>5</v>
      </c>
      <c r="K5" s="57" t="str">
        <f>'19.10 Butongole-Busembatya-24h'!K5:L5</f>
        <v>Atukoi Joshua</v>
      </c>
      <c r="L5" s="58"/>
      <c r="M5" s="10"/>
      <c r="N5" s="10"/>
      <c r="O5" s="3"/>
      <c r="P5" s="3"/>
    </row>
    <row r="6" spans="2:32" ht="23.25" customHeight="1" x14ac:dyDescent="0.25">
      <c r="C6" s="2" t="s">
        <v>4</v>
      </c>
      <c r="D6" s="57" t="s">
        <v>171</v>
      </c>
      <c r="E6" s="58"/>
      <c r="F6" s="2" t="s">
        <v>2</v>
      </c>
      <c r="G6" s="57" t="s">
        <v>170</v>
      </c>
      <c r="H6" s="58"/>
      <c r="J6" s="2" t="s">
        <v>21</v>
      </c>
      <c r="K6" s="57" t="str">
        <f>'19.10 Butongole-Busembatya-24h'!K6:L6</f>
        <v>Turyahabwe Norman</v>
      </c>
      <c r="L6" s="58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9" t="s">
        <v>88</v>
      </c>
      <c r="S8" s="59"/>
      <c r="T8" s="59"/>
      <c r="U8" s="59"/>
      <c r="V8" s="59"/>
      <c r="W8" s="59"/>
      <c r="X8" s="59"/>
      <c r="Y8" s="59"/>
      <c r="Z8" s="59"/>
      <c r="AA8" s="59"/>
      <c r="AB8" s="59"/>
      <c r="AC8" s="59"/>
      <c r="AD8" s="59"/>
      <c r="AE8" s="59"/>
      <c r="AF8" s="59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45" t="s">
        <v>37</v>
      </c>
      <c r="C10" s="50">
        <v>0</v>
      </c>
      <c r="D10" s="50">
        <v>5</v>
      </c>
      <c r="E10" s="50">
        <v>0</v>
      </c>
      <c r="F10" s="50">
        <v>3</v>
      </c>
      <c r="G10" s="50">
        <v>0</v>
      </c>
      <c r="H10" s="50">
        <v>0</v>
      </c>
      <c r="I10" s="50">
        <v>1</v>
      </c>
      <c r="J10" s="50">
        <v>0</v>
      </c>
      <c r="K10" s="50">
        <v>0</v>
      </c>
      <c r="L10" s="50">
        <v>1</v>
      </c>
      <c r="M10" s="50">
        <v>3</v>
      </c>
      <c r="N10" s="50">
        <v>0</v>
      </c>
      <c r="O10" s="15">
        <f t="shared" ref="O10:O73" si="0">SUM(C10:L10,N10)</f>
        <v>10</v>
      </c>
      <c r="P10" s="15">
        <f t="shared" ref="P10:P73" si="1">SUM(C10:N10)</f>
        <v>13</v>
      </c>
      <c r="R10" s="1" t="s">
        <v>6</v>
      </c>
      <c r="S10" s="17">
        <f t="shared" ref="S10:AF10" si="2">SUM(C10:C13)</f>
        <v>5</v>
      </c>
      <c r="T10" s="17">
        <f t="shared" si="2"/>
        <v>6</v>
      </c>
      <c r="U10" s="17">
        <f t="shared" si="2"/>
        <v>1</v>
      </c>
      <c r="V10" s="17">
        <f t="shared" si="2"/>
        <v>20</v>
      </c>
      <c r="W10" s="17">
        <f t="shared" si="2"/>
        <v>1</v>
      </c>
      <c r="X10" s="17">
        <f t="shared" si="2"/>
        <v>1</v>
      </c>
      <c r="Y10" s="17">
        <f t="shared" si="2"/>
        <v>3</v>
      </c>
      <c r="Z10" s="17">
        <f t="shared" si="2"/>
        <v>2</v>
      </c>
      <c r="AA10" s="17">
        <f t="shared" si="2"/>
        <v>1</v>
      </c>
      <c r="AB10" s="17">
        <f t="shared" si="2"/>
        <v>1</v>
      </c>
      <c r="AC10" s="17">
        <f t="shared" si="2"/>
        <v>24</v>
      </c>
      <c r="AD10" s="17">
        <f t="shared" si="2"/>
        <v>0</v>
      </c>
      <c r="AE10" s="31">
        <f t="shared" si="2"/>
        <v>41</v>
      </c>
      <c r="AF10" s="31">
        <f t="shared" si="2"/>
        <v>65</v>
      </c>
    </row>
    <row r="11" spans="2:32" s="6" customFormat="1" ht="23.1" customHeight="1" x14ac:dyDescent="0.25">
      <c r="B11" s="45" t="s">
        <v>38</v>
      </c>
      <c r="C11" s="50">
        <v>2</v>
      </c>
      <c r="D11" s="50">
        <v>0</v>
      </c>
      <c r="E11" s="50">
        <v>0</v>
      </c>
      <c r="F11" s="50">
        <v>3</v>
      </c>
      <c r="G11" s="50">
        <v>0</v>
      </c>
      <c r="H11" s="50">
        <v>1</v>
      </c>
      <c r="I11" s="50">
        <v>1</v>
      </c>
      <c r="J11" s="50">
        <v>2</v>
      </c>
      <c r="K11" s="50">
        <v>1</v>
      </c>
      <c r="L11" s="50">
        <v>0</v>
      </c>
      <c r="M11" s="50">
        <v>13</v>
      </c>
      <c r="N11" s="50">
        <v>0</v>
      </c>
      <c r="O11" s="15">
        <f t="shared" si="0"/>
        <v>10</v>
      </c>
      <c r="P11" s="15">
        <f t="shared" si="1"/>
        <v>23</v>
      </c>
      <c r="R11" s="1" t="s">
        <v>7</v>
      </c>
      <c r="S11" s="17">
        <f t="shared" ref="S11:AF11" si="3">SUM(C14:C17)</f>
        <v>14</v>
      </c>
      <c r="T11" s="17">
        <f t="shared" si="3"/>
        <v>6</v>
      </c>
      <c r="U11" s="17">
        <f t="shared" si="3"/>
        <v>3</v>
      </c>
      <c r="V11" s="17">
        <f t="shared" si="3"/>
        <v>10</v>
      </c>
      <c r="W11" s="17">
        <f t="shared" si="3"/>
        <v>1</v>
      </c>
      <c r="X11" s="17">
        <f t="shared" si="3"/>
        <v>1</v>
      </c>
      <c r="Y11" s="17">
        <f t="shared" si="3"/>
        <v>5</v>
      </c>
      <c r="Z11" s="17">
        <f t="shared" si="3"/>
        <v>2</v>
      </c>
      <c r="AA11" s="17">
        <f t="shared" si="3"/>
        <v>3</v>
      </c>
      <c r="AB11" s="17">
        <f t="shared" si="3"/>
        <v>0</v>
      </c>
      <c r="AC11" s="17">
        <f t="shared" si="3"/>
        <v>37</v>
      </c>
      <c r="AD11" s="17">
        <f t="shared" si="3"/>
        <v>0</v>
      </c>
      <c r="AE11" s="31">
        <f t="shared" si="3"/>
        <v>45</v>
      </c>
      <c r="AF11" s="31">
        <f t="shared" si="3"/>
        <v>82</v>
      </c>
    </row>
    <row r="12" spans="2:32" ht="23.1" customHeight="1" x14ac:dyDescent="0.25">
      <c r="B12" s="45" t="s">
        <v>39</v>
      </c>
      <c r="C12" s="50">
        <v>1</v>
      </c>
      <c r="D12" s="50">
        <v>1</v>
      </c>
      <c r="E12" s="50">
        <v>1</v>
      </c>
      <c r="F12" s="50">
        <v>4</v>
      </c>
      <c r="G12" s="50">
        <v>1</v>
      </c>
      <c r="H12" s="50">
        <v>0</v>
      </c>
      <c r="I12" s="50">
        <v>0</v>
      </c>
      <c r="J12" s="50">
        <v>0</v>
      </c>
      <c r="K12" s="50">
        <v>0</v>
      </c>
      <c r="L12" s="50">
        <v>0</v>
      </c>
      <c r="M12" s="50">
        <v>3</v>
      </c>
      <c r="N12" s="50">
        <v>0</v>
      </c>
      <c r="O12" s="15">
        <f t="shared" si="0"/>
        <v>8</v>
      </c>
      <c r="P12" s="15">
        <f t="shared" si="1"/>
        <v>11</v>
      </c>
      <c r="R12" s="1" t="s">
        <v>8</v>
      </c>
      <c r="S12" s="17">
        <f t="shared" ref="S12:AF12" si="4">SUM(C18:C21)</f>
        <v>10</v>
      </c>
      <c r="T12" s="17">
        <f t="shared" si="4"/>
        <v>2</v>
      </c>
      <c r="U12" s="17">
        <f t="shared" si="4"/>
        <v>8</v>
      </c>
      <c r="V12" s="17">
        <f t="shared" si="4"/>
        <v>45</v>
      </c>
      <c r="W12" s="17">
        <f t="shared" si="4"/>
        <v>1</v>
      </c>
      <c r="X12" s="17">
        <f t="shared" si="4"/>
        <v>1</v>
      </c>
      <c r="Y12" s="17">
        <f t="shared" si="4"/>
        <v>6</v>
      </c>
      <c r="Z12" s="17">
        <f t="shared" si="4"/>
        <v>2</v>
      </c>
      <c r="AA12" s="17">
        <f t="shared" si="4"/>
        <v>4</v>
      </c>
      <c r="AB12" s="17">
        <f t="shared" si="4"/>
        <v>2</v>
      </c>
      <c r="AC12" s="17">
        <f t="shared" si="4"/>
        <v>28</v>
      </c>
      <c r="AD12" s="17">
        <f t="shared" si="4"/>
        <v>0</v>
      </c>
      <c r="AE12" s="31">
        <f t="shared" si="4"/>
        <v>81</v>
      </c>
      <c r="AF12" s="31">
        <f t="shared" si="4"/>
        <v>109</v>
      </c>
    </row>
    <row r="13" spans="2:32" ht="23.1" customHeight="1" x14ac:dyDescent="0.25">
      <c r="B13" s="45" t="s">
        <v>40</v>
      </c>
      <c r="C13" s="50">
        <v>2</v>
      </c>
      <c r="D13" s="50">
        <v>0</v>
      </c>
      <c r="E13" s="50">
        <v>0</v>
      </c>
      <c r="F13" s="50">
        <v>10</v>
      </c>
      <c r="G13" s="50">
        <v>0</v>
      </c>
      <c r="H13" s="50">
        <v>0</v>
      </c>
      <c r="I13" s="50">
        <v>1</v>
      </c>
      <c r="J13" s="50">
        <v>0</v>
      </c>
      <c r="K13" s="50">
        <v>0</v>
      </c>
      <c r="L13" s="50">
        <v>0</v>
      </c>
      <c r="M13" s="50">
        <v>5</v>
      </c>
      <c r="N13" s="50">
        <v>0</v>
      </c>
      <c r="O13" s="15">
        <f t="shared" si="0"/>
        <v>13</v>
      </c>
      <c r="P13" s="15">
        <f t="shared" si="1"/>
        <v>18</v>
      </c>
      <c r="R13" s="1" t="s">
        <v>9</v>
      </c>
      <c r="S13" s="17">
        <f t="shared" ref="S13:AF13" si="5">SUM(C22:C25)</f>
        <v>17</v>
      </c>
      <c r="T13" s="17">
        <f t="shared" si="5"/>
        <v>10</v>
      </c>
      <c r="U13" s="17">
        <f t="shared" si="5"/>
        <v>11</v>
      </c>
      <c r="V13" s="17">
        <f t="shared" si="5"/>
        <v>42</v>
      </c>
      <c r="W13" s="17">
        <f t="shared" si="5"/>
        <v>1</v>
      </c>
      <c r="X13" s="17">
        <f t="shared" si="5"/>
        <v>1</v>
      </c>
      <c r="Y13" s="17">
        <f t="shared" si="5"/>
        <v>4</v>
      </c>
      <c r="Z13" s="17">
        <f t="shared" si="5"/>
        <v>0</v>
      </c>
      <c r="AA13" s="17">
        <f t="shared" si="5"/>
        <v>2</v>
      </c>
      <c r="AB13" s="17">
        <f t="shared" si="5"/>
        <v>0</v>
      </c>
      <c r="AC13" s="17">
        <f t="shared" si="5"/>
        <v>43</v>
      </c>
      <c r="AD13" s="17">
        <f t="shared" si="5"/>
        <v>0</v>
      </c>
      <c r="AE13" s="31">
        <f t="shared" si="5"/>
        <v>88</v>
      </c>
      <c r="AF13" s="31">
        <f t="shared" si="5"/>
        <v>131</v>
      </c>
    </row>
    <row r="14" spans="2:32" ht="23.1" customHeight="1" x14ac:dyDescent="0.25">
      <c r="B14" s="45" t="s">
        <v>41</v>
      </c>
      <c r="C14" s="50">
        <v>1</v>
      </c>
      <c r="D14" s="50">
        <v>3</v>
      </c>
      <c r="E14" s="50">
        <v>1</v>
      </c>
      <c r="F14" s="50">
        <v>6</v>
      </c>
      <c r="G14" s="50">
        <v>0</v>
      </c>
      <c r="H14" s="50">
        <v>0</v>
      </c>
      <c r="I14" s="50">
        <v>1</v>
      </c>
      <c r="J14" s="50">
        <v>2</v>
      </c>
      <c r="K14" s="50">
        <v>0</v>
      </c>
      <c r="L14" s="50">
        <v>0</v>
      </c>
      <c r="M14" s="50">
        <v>9</v>
      </c>
      <c r="N14" s="50">
        <v>0</v>
      </c>
      <c r="O14" s="15">
        <f t="shared" si="0"/>
        <v>14</v>
      </c>
      <c r="P14" s="15">
        <f t="shared" si="1"/>
        <v>23</v>
      </c>
      <c r="R14" s="1" t="s">
        <v>10</v>
      </c>
      <c r="S14" s="17">
        <f t="shared" ref="S14:AF14" si="6">SUM(C26:C29)</f>
        <v>17</v>
      </c>
      <c r="T14" s="17">
        <f t="shared" si="6"/>
        <v>4</v>
      </c>
      <c r="U14" s="17">
        <f t="shared" si="6"/>
        <v>11</v>
      </c>
      <c r="V14" s="17">
        <f t="shared" si="6"/>
        <v>57</v>
      </c>
      <c r="W14" s="17">
        <f t="shared" si="6"/>
        <v>1</v>
      </c>
      <c r="X14" s="17">
        <f t="shared" si="6"/>
        <v>1</v>
      </c>
      <c r="Y14" s="17">
        <f t="shared" si="6"/>
        <v>7</v>
      </c>
      <c r="Z14" s="17">
        <f t="shared" si="6"/>
        <v>9</v>
      </c>
      <c r="AA14" s="17">
        <f t="shared" si="6"/>
        <v>5</v>
      </c>
      <c r="AB14" s="17">
        <f t="shared" si="6"/>
        <v>2</v>
      </c>
      <c r="AC14" s="17">
        <f t="shared" si="6"/>
        <v>51</v>
      </c>
      <c r="AD14" s="17">
        <f t="shared" si="6"/>
        <v>1</v>
      </c>
      <c r="AE14" s="31">
        <f t="shared" si="6"/>
        <v>115</v>
      </c>
      <c r="AF14" s="31">
        <f t="shared" si="6"/>
        <v>166</v>
      </c>
    </row>
    <row r="15" spans="2:32" ht="23.1" customHeight="1" x14ac:dyDescent="0.25">
      <c r="B15" s="45" t="s">
        <v>42</v>
      </c>
      <c r="C15" s="50">
        <v>4</v>
      </c>
      <c r="D15" s="50">
        <v>0</v>
      </c>
      <c r="E15" s="50">
        <v>2</v>
      </c>
      <c r="F15" s="50">
        <v>0</v>
      </c>
      <c r="G15" s="50">
        <v>0</v>
      </c>
      <c r="H15" s="50">
        <v>1</v>
      </c>
      <c r="I15" s="50">
        <v>0</v>
      </c>
      <c r="J15" s="50">
        <v>0</v>
      </c>
      <c r="K15" s="50">
        <v>0</v>
      </c>
      <c r="L15" s="50">
        <v>0</v>
      </c>
      <c r="M15" s="50">
        <v>7</v>
      </c>
      <c r="N15" s="50">
        <v>0</v>
      </c>
      <c r="O15" s="15">
        <f t="shared" si="0"/>
        <v>7</v>
      </c>
      <c r="P15" s="15">
        <f t="shared" si="1"/>
        <v>14</v>
      </c>
      <c r="R15" s="1" t="s">
        <v>11</v>
      </c>
      <c r="S15" s="17">
        <f t="shared" ref="S15:AF15" si="7">SUM(C30:C33)</f>
        <v>20</v>
      </c>
      <c r="T15" s="17">
        <f t="shared" si="7"/>
        <v>9</v>
      </c>
      <c r="U15" s="17">
        <f t="shared" si="7"/>
        <v>6</v>
      </c>
      <c r="V15" s="17">
        <f t="shared" si="7"/>
        <v>43</v>
      </c>
      <c r="W15" s="17">
        <f t="shared" si="7"/>
        <v>2</v>
      </c>
      <c r="X15" s="17">
        <f t="shared" si="7"/>
        <v>3</v>
      </c>
      <c r="Y15" s="17">
        <f t="shared" si="7"/>
        <v>6</v>
      </c>
      <c r="Z15" s="17">
        <f t="shared" si="7"/>
        <v>7</v>
      </c>
      <c r="AA15" s="17">
        <f t="shared" si="7"/>
        <v>4</v>
      </c>
      <c r="AB15" s="17">
        <f t="shared" si="7"/>
        <v>1</v>
      </c>
      <c r="AC15" s="17">
        <f t="shared" si="7"/>
        <v>39</v>
      </c>
      <c r="AD15" s="17">
        <f t="shared" si="7"/>
        <v>0</v>
      </c>
      <c r="AE15" s="31">
        <f t="shared" si="7"/>
        <v>101</v>
      </c>
      <c r="AF15" s="31">
        <f t="shared" si="7"/>
        <v>140</v>
      </c>
    </row>
    <row r="16" spans="2:32" ht="23.1" customHeight="1" x14ac:dyDescent="0.25">
      <c r="B16" s="45" t="s">
        <v>43</v>
      </c>
      <c r="C16" s="50">
        <v>2</v>
      </c>
      <c r="D16" s="50">
        <v>0</v>
      </c>
      <c r="E16" s="50">
        <v>0</v>
      </c>
      <c r="F16" s="50">
        <v>4</v>
      </c>
      <c r="G16" s="50">
        <v>0</v>
      </c>
      <c r="H16" s="50">
        <v>0</v>
      </c>
      <c r="I16" s="50">
        <v>3</v>
      </c>
      <c r="J16" s="50">
        <v>0</v>
      </c>
      <c r="K16" s="50">
        <v>1</v>
      </c>
      <c r="L16" s="50">
        <v>0</v>
      </c>
      <c r="M16" s="50">
        <v>13</v>
      </c>
      <c r="N16" s="50">
        <v>0</v>
      </c>
      <c r="O16" s="15">
        <f t="shared" si="0"/>
        <v>10</v>
      </c>
      <c r="P16" s="15">
        <f t="shared" si="1"/>
        <v>23</v>
      </c>
      <c r="R16" s="1" t="s">
        <v>12</v>
      </c>
      <c r="S16" s="17">
        <f t="shared" ref="S16:AF16" si="8">SUM(C34:C37)</f>
        <v>25</v>
      </c>
      <c r="T16" s="17">
        <f t="shared" si="8"/>
        <v>7</v>
      </c>
      <c r="U16" s="17">
        <f t="shared" si="8"/>
        <v>7</v>
      </c>
      <c r="V16" s="17">
        <f t="shared" si="8"/>
        <v>24</v>
      </c>
      <c r="W16" s="17">
        <f t="shared" si="8"/>
        <v>0</v>
      </c>
      <c r="X16" s="17">
        <f t="shared" si="8"/>
        <v>1</v>
      </c>
      <c r="Y16" s="17">
        <f t="shared" si="8"/>
        <v>1</v>
      </c>
      <c r="Z16" s="17">
        <f t="shared" si="8"/>
        <v>3</v>
      </c>
      <c r="AA16" s="17">
        <f t="shared" si="8"/>
        <v>4</v>
      </c>
      <c r="AB16" s="17">
        <f t="shared" si="8"/>
        <v>5</v>
      </c>
      <c r="AC16" s="17">
        <f t="shared" si="8"/>
        <v>42</v>
      </c>
      <c r="AD16" s="17">
        <f t="shared" si="8"/>
        <v>0</v>
      </c>
      <c r="AE16" s="31">
        <f t="shared" si="8"/>
        <v>77</v>
      </c>
      <c r="AF16" s="31">
        <f t="shared" si="8"/>
        <v>119</v>
      </c>
    </row>
    <row r="17" spans="2:32" ht="23.1" customHeight="1" x14ac:dyDescent="0.25">
      <c r="B17" s="45" t="s">
        <v>44</v>
      </c>
      <c r="C17" s="50">
        <v>7</v>
      </c>
      <c r="D17" s="50">
        <v>3</v>
      </c>
      <c r="E17" s="50">
        <v>0</v>
      </c>
      <c r="F17" s="50">
        <v>0</v>
      </c>
      <c r="G17" s="50">
        <v>1</v>
      </c>
      <c r="H17" s="50">
        <v>0</v>
      </c>
      <c r="I17" s="50">
        <v>1</v>
      </c>
      <c r="J17" s="50">
        <v>0</v>
      </c>
      <c r="K17" s="50">
        <v>2</v>
      </c>
      <c r="L17" s="50">
        <v>0</v>
      </c>
      <c r="M17" s="50">
        <v>8</v>
      </c>
      <c r="N17" s="50">
        <v>0</v>
      </c>
      <c r="O17" s="15">
        <f t="shared" si="0"/>
        <v>14</v>
      </c>
      <c r="P17" s="15">
        <f t="shared" si="1"/>
        <v>22</v>
      </c>
      <c r="R17" s="1" t="s">
        <v>13</v>
      </c>
      <c r="S17" s="17">
        <f t="shared" ref="S17:AF17" si="9">SUM(C38:C41)</f>
        <v>13</v>
      </c>
      <c r="T17" s="17">
        <f t="shared" si="9"/>
        <v>5</v>
      </c>
      <c r="U17" s="17">
        <f t="shared" si="9"/>
        <v>11</v>
      </c>
      <c r="V17" s="17">
        <f t="shared" si="9"/>
        <v>35</v>
      </c>
      <c r="W17" s="17">
        <f t="shared" si="9"/>
        <v>1</v>
      </c>
      <c r="X17" s="17">
        <f t="shared" si="9"/>
        <v>1</v>
      </c>
      <c r="Y17" s="17">
        <f t="shared" si="9"/>
        <v>5</v>
      </c>
      <c r="Z17" s="17">
        <f t="shared" si="9"/>
        <v>5</v>
      </c>
      <c r="AA17" s="17">
        <f t="shared" si="9"/>
        <v>3</v>
      </c>
      <c r="AB17" s="17">
        <f t="shared" si="9"/>
        <v>1</v>
      </c>
      <c r="AC17" s="17">
        <f t="shared" si="9"/>
        <v>45</v>
      </c>
      <c r="AD17" s="17">
        <f t="shared" si="9"/>
        <v>0</v>
      </c>
      <c r="AE17" s="31">
        <f t="shared" si="9"/>
        <v>80</v>
      </c>
      <c r="AF17" s="31">
        <f t="shared" si="9"/>
        <v>125</v>
      </c>
    </row>
    <row r="18" spans="2:32" ht="23.1" customHeight="1" x14ac:dyDescent="0.25">
      <c r="B18" s="45" t="s">
        <v>45</v>
      </c>
      <c r="C18" s="50">
        <v>3</v>
      </c>
      <c r="D18" s="50">
        <v>0</v>
      </c>
      <c r="E18" s="50">
        <v>1</v>
      </c>
      <c r="F18" s="50">
        <v>19</v>
      </c>
      <c r="G18" s="50">
        <v>0</v>
      </c>
      <c r="H18" s="50">
        <v>0</v>
      </c>
      <c r="I18" s="50">
        <v>0</v>
      </c>
      <c r="J18" s="50">
        <v>1</v>
      </c>
      <c r="K18" s="50">
        <v>0</v>
      </c>
      <c r="L18" s="50">
        <v>2</v>
      </c>
      <c r="M18" s="50">
        <v>8</v>
      </c>
      <c r="N18" s="50">
        <v>0</v>
      </c>
      <c r="O18" s="15">
        <f t="shared" si="0"/>
        <v>26</v>
      </c>
      <c r="P18" s="15">
        <f t="shared" si="1"/>
        <v>34</v>
      </c>
      <c r="R18" s="1" t="s">
        <v>14</v>
      </c>
      <c r="S18" s="17">
        <f t="shared" ref="S18:AF18" si="10">SUM(C42:C45)</f>
        <v>17</v>
      </c>
      <c r="T18" s="17">
        <f t="shared" si="10"/>
        <v>3</v>
      </c>
      <c r="U18" s="17">
        <f t="shared" si="10"/>
        <v>8</v>
      </c>
      <c r="V18" s="17">
        <f t="shared" si="10"/>
        <v>33</v>
      </c>
      <c r="W18" s="17">
        <f t="shared" si="10"/>
        <v>0</v>
      </c>
      <c r="X18" s="17">
        <f t="shared" si="10"/>
        <v>2</v>
      </c>
      <c r="Y18" s="17">
        <f t="shared" si="10"/>
        <v>8</v>
      </c>
      <c r="Z18" s="17">
        <f t="shared" si="10"/>
        <v>5</v>
      </c>
      <c r="AA18" s="17">
        <f t="shared" si="10"/>
        <v>0</v>
      </c>
      <c r="AB18" s="17">
        <f t="shared" si="10"/>
        <v>1</v>
      </c>
      <c r="AC18" s="17">
        <f t="shared" si="10"/>
        <v>39</v>
      </c>
      <c r="AD18" s="17">
        <f t="shared" si="10"/>
        <v>1</v>
      </c>
      <c r="AE18" s="31">
        <f t="shared" si="10"/>
        <v>78</v>
      </c>
      <c r="AF18" s="31">
        <f t="shared" si="10"/>
        <v>117</v>
      </c>
    </row>
    <row r="19" spans="2:32" ht="23.1" customHeight="1" x14ac:dyDescent="0.25">
      <c r="B19" s="45" t="s">
        <v>46</v>
      </c>
      <c r="C19" s="50">
        <v>1</v>
      </c>
      <c r="D19" s="50">
        <v>0</v>
      </c>
      <c r="E19" s="50">
        <v>0</v>
      </c>
      <c r="F19" s="50">
        <v>8</v>
      </c>
      <c r="G19" s="50">
        <v>0</v>
      </c>
      <c r="H19" s="50">
        <v>1</v>
      </c>
      <c r="I19" s="50">
        <v>2</v>
      </c>
      <c r="J19" s="50">
        <v>0</v>
      </c>
      <c r="K19" s="50">
        <v>1</v>
      </c>
      <c r="L19" s="50">
        <v>0</v>
      </c>
      <c r="M19" s="50">
        <v>3</v>
      </c>
      <c r="N19" s="50">
        <v>0</v>
      </c>
      <c r="O19" s="15">
        <f t="shared" si="0"/>
        <v>13</v>
      </c>
      <c r="P19" s="15">
        <f t="shared" si="1"/>
        <v>16</v>
      </c>
      <c r="R19" s="1" t="s">
        <v>15</v>
      </c>
      <c r="S19" s="17">
        <f t="shared" ref="S19:AF19" si="11">SUM(C46:C49)</f>
        <v>25</v>
      </c>
      <c r="T19" s="17">
        <f t="shared" si="11"/>
        <v>5</v>
      </c>
      <c r="U19" s="17">
        <f t="shared" si="11"/>
        <v>12</v>
      </c>
      <c r="V19" s="17">
        <f t="shared" si="11"/>
        <v>31</v>
      </c>
      <c r="W19" s="17">
        <f t="shared" si="11"/>
        <v>1</v>
      </c>
      <c r="X19" s="17">
        <f t="shared" si="11"/>
        <v>2</v>
      </c>
      <c r="Y19" s="17">
        <f t="shared" si="11"/>
        <v>4</v>
      </c>
      <c r="Z19" s="17">
        <f t="shared" si="11"/>
        <v>5</v>
      </c>
      <c r="AA19" s="17">
        <f t="shared" si="11"/>
        <v>2</v>
      </c>
      <c r="AB19" s="17">
        <f t="shared" si="11"/>
        <v>3</v>
      </c>
      <c r="AC19" s="17">
        <f t="shared" si="11"/>
        <v>56</v>
      </c>
      <c r="AD19" s="17">
        <f t="shared" si="11"/>
        <v>0</v>
      </c>
      <c r="AE19" s="31">
        <f t="shared" si="11"/>
        <v>90</v>
      </c>
      <c r="AF19" s="31">
        <f t="shared" si="11"/>
        <v>146</v>
      </c>
    </row>
    <row r="20" spans="2:32" ht="23.1" customHeight="1" x14ac:dyDescent="0.25">
      <c r="B20" s="45" t="s">
        <v>47</v>
      </c>
      <c r="C20" s="50">
        <v>3</v>
      </c>
      <c r="D20" s="50">
        <v>2</v>
      </c>
      <c r="E20" s="50">
        <v>1</v>
      </c>
      <c r="F20" s="50">
        <v>12</v>
      </c>
      <c r="G20" s="50">
        <v>0</v>
      </c>
      <c r="H20" s="50">
        <v>0</v>
      </c>
      <c r="I20" s="50">
        <v>2</v>
      </c>
      <c r="J20" s="50">
        <v>0</v>
      </c>
      <c r="K20" s="50">
        <v>3</v>
      </c>
      <c r="L20" s="50">
        <v>0</v>
      </c>
      <c r="M20" s="50">
        <v>9</v>
      </c>
      <c r="N20" s="50">
        <v>0</v>
      </c>
      <c r="O20" s="15">
        <f t="shared" si="0"/>
        <v>23</v>
      </c>
      <c r="P20" s="15">
        <f t="shared" si="1"/>
        <v>32</v>
      </c>
      <c r="R20" s="1" t="s">
        <v>16</v>
      </c>
      <c r="S20" s="17">
        <f t="shared" ref="S20:AF20" si="12">SUM(C50:C53)</f>
        <v>18</v>
      </c>
      <c r="T20" s="17">
        <f t="shared" si="12"/>
        <v>6</v>
      </c>
      <c r="U20" s="17">
        <f t="shared" si="12"/>
        <v>9</v>
      </c>
      <c r="V20" s="17">
        <f t="shared" si="12"/>
        <v>44</v>
      </c>
      <c r="W20" s="17">
        <f t="shared" si="12"/>
        <v>0</v>
      </c>
      <c r="X20" s="17">
        <f t="shared" si="12"/>
        <v>2</v>
      </c>
      <c r="Y20" s="17">
        <f t="shared" si="12"/>
        <v>6</v>
      </c>
      <c r="Z20" s="17">
        <f t="shared" si="12"/>
        <v>3</v>
      </c>
      <c r="AA20" s="17">
        <f t="shared" si="12"/>
        <v>3</v>
      </c>
      <c r="AB20" s="17">
        <f t="shared" si="12"/>
        <v>1</v>
      </c>
      <c r="AC20" s="17">
        <f t="shared" si="12"/>
        <v>22</v>
      </c>
      <c r="AD20" s="17">
        <f t="shared" si="12"/>
        <v>1</v>
      </c>
      <c r="AE20" s="31">
        <f t="shared" si="12"/>
        <v>93</v>
      </c>
      <c r="AF20" s="31">
        <f t="shared" si="12"/>
        <v>115</v>
      </c>
    </row>
    <row r="21" spans="2:32" ht="23.1" customHeight="1" x14ac:dyDescent="0.25">
      <c r="B21" s="45" t="s">
        <v>48</v>
      </c>
      <c r="C21" s="50">
        <v>3</v>
      </c>
      <c r="D21" s="50">
        <v>0</v>
      </c>
      <c r="E21" s="50">
        <v>6</v>
      </c>
      <c r="F21" s="50">
        <v>6</v>
      </c>
      <c r="G21" s="50">
        <v>1</v>
      </c>
      <c r="H21" s="50">
        <v>0</v>
      </c>
      <c r="I21" s="50">
        <v>2</v>
      </c>
      <c r="J21" s="50">
        <v>1</v>
      </c>
      <c r="K21" s="50">
        <v>0</v>
      </c>
      <c r="L21" s="50">
        <v>0</v>
      </c>
      <c r="M21" s="50">
        <v>8</v>
      </c>
      <c r="N21" s="50">
        <v>0</v>
      </c>
      <c r="O21" s="15">
        <f t="shared" si="0"/>
        <v>19</v>
      </c>
      <c r="P21" s="15">
        <f t="shared" si="1"/>
        <v>27</v>
      </c>
      <c r="R21" s="36" t="s">
        <v>20</v>
      </c>
      <c r="S21" s="34">
        <f t="shared" ref="S21:AF21" si="13">SUM(C54:C57)</f>
        <v>27</v>
      </c>
      <c r="T21" s="17">
        <f t="shared" si="13"/>
        <v>12</v>
      </c>
      <c r="U21" s="17">
        <f t="shared" si="13"/>
        <v>15</v>
      </c>
      <c r="V21" s="17">
        <f t="shared" si="13"/>
        <v>34</v>
      </c>
      <c r="W21" s="17">
        <f t="shared" si="13"/>
        <v>0</v>
      </c>
      <c r="X21" s="17">
        <f t="shared" si="13"/>
        <v>0</v>
      </c>
      <c r="Y21" s="17">
        <f t="shared" si="13"/>
        <v>7</v>
      </c>
      <c r="Z21" s="17">
        <f t="shared" si="13"/>
        <v>6</v>
      </c>
      <c r="AA21" s="17">
        <f t="shared" si="13"/>
        <v>6</v>
      </c>
      <c r="AB21" s="17">
        <f t="shared" si="13"/>
        <v>1</v>
      </c>
      <c r="AC21" s="17">
        <f t="shared" si="13"/>
        <v>45</v>
      </c>
      <c r="AD21" s="17">
        <f t="shared" si="13"/>
        <v>0</v>
      </c>
      <c r="AE21" s="31">
        <f t="shared" si="13"/>
        <v>108</v>
      </c>
      <c r="AF21" s="31">
        <f t="shared" si="13"/>
        <v>153</v>
      </c>
    </row>
    <row r="22" spans="2:32" ht="23.1" customHeight="1" x14ac:dyDescent="0.25">
      <c r="B22" s="45" t="s">
        <v>49</v>
      </c>
      <c r="C22" s="50">
        <v>6</v>
      </c>
      <c r="D22" s="50">
        <v>1</v>
      </c>
      <c r="E22" s="50">
        <v>5</v>
      </c>
      <c r="F22" s="50">
        <v>12</v>
      </c>
      <c r="G22" s="50">
        <v>0</v>
      </c>
      <c r="H22" s="50">
        <v>0</v>
      </c>
      <c r="I22" s="50">
        <v>0</v>
      </c>
      <c r="J22" s="50">
        <v>0</v>
      </c>
      <c r="K22" s="50">
        <v>1</v>
      </c>
      <c r="L22" s="50">
        <v>0</v>
      </c>
      <c r="M22" s="50">
        <v>8</v>
      </c>
      <c r="N22" s="50">
        <v>0</v>
      </c>
      <c r="O22" s="15">
        <f t="shared" si="0"/>
        <v>25</v>
      </c>
      <c r="P22" s="15">
        <f t="shared" si="1"/>
        <v>33</v>
      </c>
      <c r="R22" s="36" t="s">
        <v>146</v>
      </c>
      <c r="S22" s="34">
        <f>SUM(C58:C61)</f>
        <v>54</v>
      </c>
      <c r="T22" s="34">
        <f t="shared" ref="T22:AF22" si="14">SUM(D58:D61)</f>
        <v>14</v>
      </c>
      <c r="U22" s="34">
        <f t="shared" si="14"/>
        <v>13</v>
      </c>
      <c r="V22" s="34">
        <f t="shared" si="14"/>
        <v>41</v>
      </c>
      <c r="W22" s="34">
        <f t="shared" si="14"/>
        <v>0</v>
      </c>
      <c r="X22" s="34">
        <f t="shared" si="14"/>
        <v>0</v>
      </c>
      <c r="Y22" s="34">
        <f t="shared" si="14"/>
        <v>20</v>
      </c>
      <c r="Z22" s="34">
        <f t="shared" si="14"/>
        <v>0</v>
      </c>
      <c r="AA22" s="34">
        <f t="shared" si="14"/>
        <v>4</v>
      </c>
      <c r="AB22" s="34">
        <f t="shared" si="14"/>
        <v>0</v>
      </c>
      <c r="AC22" s="34">
        <f t="shared" si="14"/>
        <v>34</v>
      </c>
      <c r="AD22" s="34">
        <f t="shared" si="14"/>
        <v>0</v>
      </c>
      <c r="AE22" s="31">
        <f t="shared" si="14"/>
        <v>146</v>
      </c>
      <c r="AF22" s="31">
        <f t="shared" si="14"/>
        <v>180</v>
      </c>
    </row>
    <row r="23" spans="2:32" ht="23.1" customHeight="1" x14ac:dyDescent="0.25">
      <c r="B23" s="45" t="s">
        <v>50</v>
      </c>
      <c r="C23" s="50">
        <v>4</v>
      </c>
      <c r="D23" s="50">
        <v>5</v>
      </c>
      <c r="E23" s="50">
        <v>1</v>
      </c>
      <c r="F23" s="50">
        <v>10</v>
      </c>
      <c r="G23" s="50">
        <v>0</v>
      </c>
      <c r="H23" s="50">
        <v>0</v>
      </c>
      <c r="I23" s="50">
        <v>2</v>
      </c>
      <c r="J23" s="50">
        <v>0</v>
      </c>
      <c r="K23" s="50">
        <v>0</v>
      </c>
      <c r="L23" s="50">
        <v>0</v>
      </c>
      <c r="M23" s="50">
        <v>16</v>
      </c>
      <c r="N23" s="50">
        <v>0</v>
      </c>
      <c r="O23" s="15">
        <f t="shared" si="0"/>
        <v>22</v>
      </c>
      <c r="P23" s="15">
        <f t="shared" si="1"/>
        <v>38</v>
      </c>
      <c r="R23" s="36" t="s">
        <v>147</v>
      </c>
      <c r="S23" s="34">
        <f>SUM(C62:C65)</f>
        <v>34</v>
      </c>
      <c r="T23" s="34">
        <f t="shared" ref="T23:AF23" si="15">SUM(D62:D65)</f>
        <v>7</v>
      </c>
      <c r="U23" s="34">
        <f t="shared" si="15"/>
        <v>9</v>
      </c>
      <c r="V23" s="34">
        <f t="shared" si="15"/>
        <v>29</v>
      </c>
      <c r="W23" s="34">
        <f t="shared" si="15"/>
        <v>7</v>
      </c>
      <c r="X23" s="34">
        <f t="shared" si="15"/>
        <v>3</v>
      </c>
      <c r="Y23" s="34">
        <f t="shared" si="15"/>
        <v>15</v>
      </c>
      <c r="Z23" s="34">
        <f t="shared" si="15"/>
        <v>0</v>
      </c>
      <c r="AA23" s="34">
        <f t="shared" si="15"/>
        <v>12</v>
      </c>
      <c r="AB23" s="34">
        <f t="shared" si="15"/>
        <v>1</v>
      </c>
      <c r="AC23" s="34">
        <f t="shared" si="15"/>
        <v>16</v>
      </c>
      <c r="AD23" s="34">
        <f t="shared" si="15"/>
        <v>0</v>
      </c>
      <c r="AE23" s="31">
        <f t="shared" si="15"/>
        <v>117</v>
      </c>
      <c r="AF23" s="31">
        <f t="shared" si="15"/>
        <v>133</v>
      </c>
    </row>
    <row r="24" spans="2:32" ht="23.1" customHeight="1" x14ac:dyDescent="0.25">
      <c r="B24" s="45" t="s">
        <v>51</v>
      </c>
      <c r="C24" s="50">
        <v>3</v>
      </c>
      <c r="D24" s="50">
        <v>0</v>
      </c>
      <c r="E24" s="50">
        <v>4</v>
      </c>
      <c r="F24" s="50">
        <v>7</v>
      </c>
      <c r="G24" s="50">
        <v>1</v>
      </c>
      <c r="H24" s="50">
        <v>0</v>
      </c>
      <c r="I24" s="50">
        <v>1</v>
      </c>
      <c r="J24" s="50">
        <v>0</v>
      </c>
      <c r="K24" s="50">
        <v>0</v>
      </c>
      <c r="L24" s="50">
        <v>0</v>
      </c>
      <c r="M24" s="50">
        <v>8</v>
      </c>
      <c r="N24" s="50">
        <v>0</v>
      </c>
      <c r="O24" s="15">
        <f t="shared" si="0"/>
        <v>16</v>
      </c>
      <c r="P24" s="15">
        <f t="shared" si="1"/>
        <v>24</v>
      </c>
      <c r="R24" s="36" t="s">
        <v>148</v>
      </c>
      <c r="S24" s="34">
        <f>SUM(C66:C69)</f>
        <v>19</v>
      </c>
      <c r="T24" s="34">
        <f t="shared" ref="T24:AF24" si="16">SUM(D66:D69)</f>
        <v>3</v>
      </c>
      <c r="U24" s="34">
        <f t="shared" si="16"/>
        <v>6</v>
      </c>
      <c r="V24" s="34">
        <f t="shared" si="16"/>
        <v>17</v>
      </c>
      <c r="W24" s="34">
        <f t="shared" si="16"/>
        <v>2</v>
      </c>
      <c r="X24" s="34">
        <f t="shared" si="16"/>
        <v>0</v>
      </c>
      <c r="Y24" s="34">
        <f t="shared" si="16"/>
        <v>6</v>
      </c>
      <c r="Z24" s="34">
        <f t="shared" si="16"/>
        <v>2</v>
      </c>
      <c r="AA24" s="34">
        <f t="shared" si="16"/>
        <v>11</v>
      </c>
      <c r="AB24" s="34">
        <f t="shared" si="16"/>
        <v>0</v>
      </c>
      <c r="AC24" s="34">
        <f t="shared" si="16"/>
        <v>11</v>
      </c>
      <c r="AD24" s="34">
        <f t="shared" si="16"/>
        <v>0</v>
      </c>
      <c r="AE24" s="31">
        <f t="shared" si="16"/>
        <v>66</v>
      </c>
      <c r="AF24" s="31">
        <f t="shared" si="16"/>
        <v>77</v>
      </c>
    </row>
    <row r="25" spans="2:32" ht="23.1" customHeight="1" x14ac:dyDescent="0.25">
      <c r="B25" s="45" t="s">
        <v>52</v>
      </c>
      <c r="C25" s="50">
        <v>4</v>
      </c>
      <c r="D25" s="50">
        <v>4</v>
      </c>
      <c r="E25" s="50">
        <v>1</v>
      </c>
      <c r="F25" s="50">
        <v>13</v>
      </c>
      <c r="G25" s="50">
        <v>0</v>
      </c>
      <c r="H25" s="50">
        <v>1</v>
      </c>
      <c r="I25" s="50">
        <v>1</v>
      </c>
      <c r="J25" s="50">
        <v>0</v>
      </c>
      <c r="K25" s="50">
        <v>1</v>
      </c>
      <c r="L25" s="50">
        <v>0</v>
      </c>
      <c r="M25" s="50">
        <v>11</v>
      </c>
      <c r="N25" s="50">
        <v>0</v>
      </c>
      <c r="O25" s="15">
        <f t="shared" si="0"/>
        <v>25</v>
      </c>
      <c r="P25" s="15">
        <f t="shared" si="1"/>
        <v>36</v>
      </c>
      <c r="R25" s="36" t="s">
        <v>149</v>
      </c>
      <c r="S25" s="34">
        <f>SUM(C70:C73)</f>
        <v>10</v>
      </c>
      <c r="T25" s="34">
        <f t="shared" ref="T25:AF25" si="17">SUM(D70:D73)</f>
        <v>6</v>
      </c>
      <c r="U25" s="34">
        <f t="shared" si="17"/>
        <v>4</v>
      </c>
      <c r="V25" s="34">
        <f t="shared" si="17"/>
        <v>13</v>
      </c>
      <c r="W25" s="34">
        <f t="shared" si="17"/>
        <v>1</v>
      </c>
      <c r="X25" s="34">
        <f t="shared" si="17"/>
        <v>0</v>
      </c>
      <c r="Y25" s="34">
        <f t="shared" si="17"/>
        <v>4</v>
      </c>
      <c r="Z25" s="34">
        <f t="shared" si="17"/>
        <v>4</v>
      </c>
      <c r="AA25" s="34">
        <f t="shared" si="17"/>
        <v>1</v>
      </c>
      <c r="AB25" s="34">
        <f t="shared" si="17"/>
        <v>0</v>
      </c>
      <c r="AC25" s="34">
        <f t="shared" si="17"/>
        <v>7</v>
      </c>
      <c r="AD25" s="34">
        <f t="shared" si="17"/>
        <v>0</v>
      </c>
      <c r="AE25" s="31">
        <f t="shared" si="17"/>
        <v>43</v>
      </c>
      <c r="AF25" s="31">
        <f t="shared" si="17"/>
        <v>50</v>
      </c>
    </row>
    <row r="26" spans="2:32" ht="23.1" customHeight="1" x14ac:dyDescent="0.25">
      <c r="B26" s="45" t="s">
        <v>53</v>
      </c>
      <c r="C26" s="50">
        <v>2</v>
      </c>
      <c r="D26" s="50">
        <v>0</v>
      </c>
      <c r="E26" s="50">
        <v>4</v>
      </c>
      <c r="F26" s="50">
        <v>18</v>
      </c>
      <c r="G26" s="50">
        <v>0</v>
      </c>
      <c r="H26" s="50">
        <v>0</v>
      </c>
      <c r="I26" s="50">
        <v>0</v>
      </c>
      <c r="J26" s="50">
        <v>1</v>
      </c>
      <c r="K26" s="50">
        <v>2</v>
      </c>
      <c r="L26" s="50">
        <v>0</v>
      </c>
      <c r="M26" s="50">
        <v>13</v>
      </c>
      <c r="N26" s="50">
        <v>0</v>
      </c>
      <c r="O26" s="15">
        <f t="shared" si="0"/>
        <v>27</v>
      </c>
      <c r="P26" s="15">
        <f t="shared" si="1"/>
        <v>40</v>
      </c>
      <c r="R26" s="36" t="s">
        <v>150</v>
      </c>
      <c r="S26" s="34">
        <f>SUM(C74:C77)</f>
        <v>5</v>
      </c>
      <c r="T26" s="34">
        <f t="shared" ref="T26:AF26" si="18">SUM(D74:D77)</f>
        <v>2</v>
      </c>
      <c r="U26" s="34">
        <f t="shared" si="18"/>
        <v>0</v>
      </c>
      <c r="V26" s="34">
        <f t="shared" si="18"/>
        <v>2</v>
      </c>
      <c r="W26" s="34">
        <f t="shared" si="18"/>
        <v>0</v>
      </c>
      <c r="X26" s="34">
        <f t="shared" si="18"/>
        <v>2</v>
      </c>
      <c r="Y26" s="34">
        <f t="shared" si="18"/>
        <v>8</v>
      </c>
      <c r="Z26" s="34">
        <f t="shared" si="18"/>
        <v>0</v>
      </c>
      <c r="AA26" s="34">
        <f t="shared" si="18"/>
        <v>0</v>
      </c>
      <c r="AB26" s="34">
        <f t="shared" si="18"/>
        <v>0</v>
      </c>
      <c r="AC26" s="34">
        <f t="shared" si="18"/>
        <v>1</v>
      </c>
      <c r="AD26" s="34">
        <f t="shared" si="18"/>
        <v>0</v>
      </c>
      <c r="AE26" s="31">
        <f t="shared" si="18"/>
        <v>19</v>
      </c>
      <c r="AF26" s="31">
        <f t="shared" si="18"/>
        <v>20</v>
      </c>
    </row>
    <row r="27" spans="2:32" ht="23.1" customHeight="1" x14ac:dyDescent="0.25">
      <c r="B27" s="45" t="s">
        <v>54</v>
      </c>
      <c r="C27" s="50">
        <v>6</v>
      </c>
      <c r="D27" s="50">
        <v>0</v>
      </c>
      <c r="E27" s="50">
        <v>4</v>
      </c>
      <c r="F27" s="50">
        <v>11</v>
      </c>
      <c r="G27" s="50">
        <v>0</v>
      </c>
      <c r="H27" s="50">
        <v>0</v>
      </c>
      <c r="I27" s="50">
        <v>1</v>
      </c>
      <c r="J27" s="50">
        <v>3</v>
      </c>
      <c r="K27" s="50">
        <v>1</v>
      </c>
      <c r="L27" s="50">
        <v>0</v>
      </c>
      <c r="M27" s="50">
        <v>15</v>
      </c>
      <c r="N27" s="50">
        <v>0</v>
      </c>
      <c r="O27" s="15">
        <f t="shared" si="0"/>
        <v>26</v>
      </c>
      <c r="P27" s="15">
        <f t="shared" si="1"/>
        <v>41</v>
      </c>
      <c r="R27" s="36" t="s">
        <v>151</v>
      </c>
      <c r="S27" s="34">
        <f>SUM(C78:C81)</f>
        <v>4</v>
      </c>
      <c r="T27" s="34">
        <f t="shared" ref="T27:AF27" si="19">SUM(D78:D81)</f>
        <v>1</v>
      </c>
      <c r="U27" s="34">
        <f t="shared" si="19"/>
        <v>0</v>
      </c>
      <c r="V27" s="34">
        <f t="shared" si="19"/>
        <v>1</v>
      </c>
      <c r="W27" s="34">
        <f t="shared" si="19"/>
        <v>0</v>
      </c>
      <c r="X27" s="34">
        <f t="shared" si="19"/>
        <v>3</v>
      </c>
      <c r="Y27" s="34">
        <f t="shared" si="19"/>
        <v>5</v>
      </c>
      <c r="Z27" s="34">
        <f t="shared" si="19"/>
        <v>0</v>
      </c>
      <c r="AA27" s="34">
        <f t="shared" si="19"/>
        <v>0</v>
      </c>
      <c r="AB27" s="34">
        <f t="shared" si="19"/>
        <v>0</v>
      </c>
      <c r="AC27" s="34">
        <f t="shared" si="19"/>
        <v>4</v>
      </c>
      <c r="AD27" s="34">
        <f t="shared" si="19"/>
        <v>0</v>
      </c>
      <c r="AE27" s="31">
        <f t="shared" si="19"/>
        <v>14</v>
      </c>
      <c r="AF27" s="31">
        <f t="shared" si="19"/>
        <v>18</v>
      </c>
    </row>
    <row r="28" spans="2:32" ht="23.1" customHeight="1" x14ac:dyDescent="0.25">
      <c r="B28" s="45" t="s">
        <v>55</v>
      </c>
      <c r="C28" s="50">
        <v>8</v>
      </c>
      <c r="D28" s="50">
        <v>2</v>
      </c>
      <c r="E28" s="50">
        <v>0</v>
      </c>
      <c r="F28" s="50">
        <v>12</v>
      </c>
      <c r="G28" s="50">
        <v>0</v>
      </c>
      <c r="H28" s="50">
        <v>0</v>
      </c>
      <c r="I28" s="50">
        <v>2</v>
      </c>
      <c r="J28" s="50">
        <v>2</v>
      </c>
      <c r="K28" s="50">
        <v>0</v>
      </c>
      <c r="L28" s="50">
        <v>2</v>
      </c>
      <c r="M28" s="50">
        <v>12</v>
      </c>
      <c r="N28" s="50">
        <v>0</v>
      </c>
      <c r="O28" s="15">
        <f t="shared" si="0"/>
        <v>28</v>
      </c>
      <c r="P28" s="15">
        <f t="shared" si="1"/>
        <v>40</v>
      </c>
      <c r="R28" s="36" t="s">
        <v>152</v>
      </c>
      <c r="S28" s="34">
        <f>SUM(C82:C85)</f>
        <v>1</v>
      </c>
      <c r="T28" s="34">
        <f t="shared" ref="T28:AF28" si="20">SUM(D82:D85)</f>
        <v>1</v>
      </c>
      <c r="U28" s="34">
        <f t="shared" si="20"/>
        <v>0</v>
      </c>
      <c r="V28" s="34">
        <f t="shared" si="20"/>
        <v>0</v>
      </c>
      <c r="W28" s="34">
        <f t="shared" si="20"/>
        <v>1</v>
      </c>
      <c r="X28" s="34">
        <f t="shared" si="20"/>
        <v>3</v>
      </c>
      <c r="Y28" s="34">
        <f t="shared" si="20"/>
        <v>3</v>
      </c>
      <c r="Z28" s="34">
        <f t="shared" si="20"/>
        <v>0</v>
      </c>
      <c r="AA28" s="34">
        <f t="shared" si="20"/>
        <v>3</v>
      </c>
      <c r="AB28" s="34">
        <f t="shared" si="20"/>
        <v>0</v>
      </c>
      <c r="AC28" s="34">
        <f t="shared" si="20"/>
        <v>0</v>
      </c>
      <c r="AD28" s="34">
        <f t="shared" si="20"/>
        <v>0</v>
      </c>
      <c r="AE28" s="31">
        <f t="shared" si="20"/>
        <v>12</v>
      </c>
      <c r="AF28" s="31">
        <f t="shared" si="20"/>
        <v>12</v>
      </c>
    </row>
    <row r="29" spans="2:32" ht="23.1" customHeight="1" x14ac:dyDescent="0.25">
      <c r="B29" s="45" t="s">
        <v>56</v>
      </c>
      <c r="C29" s="50">
        <v>1</v>
      </c>
      <c r="D29" s="50">
        <v>2</v>
      </c>
      <c r="E29" s="50">
        <v>3</v>
      </c>
      <c r="F29" s="50">
        <v>16</v>
      </c>
      <c r="G29" s="50">
        <v>1</v>
      </c>
      <c r="H29" s="50">
        <v>1</v>
      </c>
      <c r="I29" s="50">
        <v>4</v>
      </c>
      <c r="J29" s="50">
        <v>3</v>
      </c>
      <c r="K29" s="50">
        <v>2</v>
      </c>
      <c r="L29" s="50">
        <v>0</v>
      </c>
      <c r="M29" s="50">
        <v>11</v>
      </c>
      <c r="N29" s="50">
        <v>1</v>
      </c>
      <c r="O29" s="15">
        <f t="shared" si="0"/>
        <v>34</v>
      </c>
      <c r="P29" s="15">
        <f t="shared" si="1"/>
        <v>45</v>
      </c>
      <c r="R29" s="36" t="s">
        <v>153</v>
      </c>
      <c r="S29" s="34">
        <f>SUM(C86:C89)</f>
        <v>1</v>
      </c>
      <c r="T29" s="34">
        <f t="shared" ref="T29:AF29" si="21">SUM(D86:D89)</f>
        <v>0</v>
      </c>
      <c r="U29" s="34">
        <f t="shared" si="21"/>
        <v>0</v>
      </c>
      <c r="V29" s="34">
        <f t="shared" si="21"/>
        <v>1</v>
      </c>
      <c r="W29" s="34">
        <f t="shared" si="21"/>
        <v>0</v>
      </c>
      <c r="X29" s="34">
        <f t="shared" si="21"/>
        <v>3</v>
      </c>
      <c r="Y29" s="34">
        <f t="shared" si="21"/>
        <v>0</v>
      </c>
      <c r="Z29" s="34">
        <f t="shared" si="21"/>
        <v>0</v>
      </c>
      <c r="AA29" s="34">
        <f t="shared" si="21"/>
        <v>5</v>
      </c>
      <c r="AB29" s="34">
        <f t="shared" si="21"/>
        <v>0</v>
      </c>
      <c r="AC29" s="34">
        <f t="shared" si="21"/>
        <v>0</v>
      </c>
      <c r="AD29" s="34">
        <f t="shared" si="21"/>
        <v>0</v>
      </c>
      <c r="AE29" s="31">
        <f t="shared" si="21"/>
        <v>10</v>
      </c>
      <c r="AF29" s="31">
        <f t="shared" si="21"/>
        <v>10</v>
      </c>
    </row>
    <row r="30" spans="2:32" ht="23.1" customHeight="1" x14ac:dyDescent="0.25">
      <c r="B30" s="45" t="s">
        <v>57</v>
      </c>
      <c r="C30" s="50">
        <v>5</v>
      </c>
      <c r="D30" s="50">
        <v>1</v>
      </c>
      <c r="E30" s="50">
        <v>2</v>
      </c>
      <c r="F30" s="50">
        <v>11</v>
      </c>
      <c r="G30" s="50">
        <v>0</v>
      </c>
      <c r="H30" s="50">
        <v>0</v>
      </c>
      <c r="I30" s="50">
        <v>1</v>
      </c>
      <c r="J30" s="50">
        <v>1</v>
      </c>
      <c r="K30" s="50">
        <v>0</v>
      </c>
      <c r="L30" s="50">
        <v>0</v>
      </c>
      <c r="M30" s="50">
        <v>10</v>
      </c>
      <c r="N30" s="50">
        <v>0</v>
      </c>
      <c r="O30" s="15">
        <f t="shared" si="0"/>
        <v>21</v>
      </c>
      <c r="P30" s="15">
        <f t="shared" si="1"/>
        <v>31</v>
      </c>
      <c r="R30" s="36" t="s">
        <v>154</v>
      </c>
      <c r="S30" s="34">
        <f>SUM(C90:C93)</f>
        <v>2</v>
      </c>
      <c r="T30" s="34">
        <f t="shared" ref="T30:AF30" si="22">SUM(D90:D93)</f>
        <v>0</v>
      </c>
      <c r="U30" s="34">
        <f t="shared" si="22"/>
        <v>0</v>
      </c>
      <c r="V30" s="34">
        <f t="shared" si="22"/>
        <v>0</v>
      </c>
      <c r="W30" s="34">
        <f t="shared" si="22"/>
        <v>0</v>
      </c>
      <c r="X30" s="34">
        <f t="shared" si="22"/>
        <v>2</v>
      </c>
      <c r="Y30" s="34">
        <f t="shared" si="22"/>
        <v>3</v>
      </c>
      <c r="Z30" s="34">
        <f t="shared" si="22"/>
        <v>0</v>
      </c>
      <c r="AA30" s="34">
        <f t="shared" si="22"/>
        <v>2</v>
      </c>
      <c r="AB30" s="34">
        <f t="shared" si="22"/>
        <v>0</v>
      </c>
      <c r="AC30" s="34">
        <f t="shared" si="22"/>
        <v>0</v>
      </c>
      <c r="AD30" s="34">
        <f t="shared" si="22"/>
        <v>0</v>
      </c>
      <c r="AE30" s="31">
        <f t="shared" si="22"/>
        <v>9</v>
      </c>
      <c r="AF30" s="31">
        <f t="shared" si="22"/>
        <v>9</v>
      </c>
    </row>
    <row r="31" spans="2:32" ht="23.1" customHeight="1" x14ac:dyDescent="0.25">
      <c r="B31" s="46" t="s">
        <v>58</v>
      </c>
      <c r="C31" s="50">
        <v>8</v>
      </c>
      <c r="D31" s="50">
        <v>6</v>
      </c>
      <c r="E31" s="50">
        <v>3</v>
      </c>
      <c r="F31" s="50">
        <v>15</v>
      </c>
      <c r="G31" s="50">
        <v>0</v>
      </c>
      <c r="H31" s="50">
        <v>1</v>
      </c>
      <c r="I31" s="50">
        <v>1</v>
      </c>
      <c r="J31" s="50">
        <v>1</v>
      </c>
      <c r="K31" s="50">
        <v>1</v>
      </c>
      <c r="L31" s="50">
        <v>0</v>
      </c>
      <c r="M31" s="50">
        <v>13</v>
      </c>
      <c r="N31" s="50">
        <v>0</v>
      </c>
      <c r="O31" s="15">
        <f t="shared" si="0"/>
        <v>36</v>
      </c>
      <c r="P31" s="15">
        <f t="shared" si="1"/>
        <v>49</v>
      </c>
      <c r="R31" s="36" t="s">
        <v>155</v>
      </c>
      <c r="S31" s="34">
        <f>SUM(C94:C97)</f>
        <v>2</v>
      </c>
      <c r="T31" s="34">
        <f t="shared" ref="T31:AF31" si="23">SUM(D94:D97)</f>
        <v>0</v>
      </c>
      <c r="U31" s="34">
        <f t="shared" si="23"/>
        <v>0</v>
      </c>
      <c r="V31" s="34">
        <f t="shared" si="23"/>
        <v>9</v>
      </c>
      <c r="W31" s="34">
        <f t="shared" si="23"/>
        <v>0</v>
      </c>
      <c r="X31" s="34">
        <f t="shared" si="23"/>
        <v>2</v>
      </c>
      <c r="Y31" s="34">
        <f t="shared" si="23"/>
        <v>2</v>
      </c>
      <c r="Z31" s="34">
        <f t="shared" si="23"/>
        <v>0</v>
      </c>
      <c r="AA31" s="34">
        <f t="shared" si="23"/>
        <v>1</v>
      </c>
      <c r="AB31" s="34">
        <f t="shared" si="23"/>
        <v>0</v>
      </c>
      <c r="AC31" s="34">
        <f t="shared" si="23"/>
        <v>0</v>
      </c>
      <c r="AD31" s="34">
        <f t="shared" si="23"/>
        <v>0</v>
      </c>
      <c r="AE31" s="31">
        <f t="shared" si="23"/>
        <v>16</v>
      </c>
      <c r="AF31" s="31">
        <f t="shared" si="23"/>
        <v>16</v>
      </c>
    </row>
    <row r="32" spans="2:32" ht="23.1" customHeight="1" x14ac:dyDescent="0.25">
      <c r="B32" s="46" t="s">
        <v>59</v>
      </c>
      <c r="C32" s="50">
        <v>3</v>
      </c>
      <c r="D32" s="50">
        <v>0</v>
      </c>
      <c r="E32" s="50">
        <v>0</v>
      </c>
      <c r="F32" s="50">
        <v>4</v>
      </c>
      <c r="G32" s="50">
        <v>0</v>
      </c>
      <c r="H32" s="50">
        <v>2</v>
      </c>
      <c r="I32" s="50">
        <v>0</v>
      </c>
      <c r="J32" s="50">
        <v>2</v>
      </c>
      <c r="K32" s="50">
        <v>3</v>
      </c>
      <c r="L32" s="50">
        <v>0</v>
      </c>
      <c r="M32" s="50">
        <v>10</v>
      </c>
      <c r="N32" s="50">
        <v>0</v>
      </c>
      <c r="O32" s="15">
        <f t="shared" si="0"/>
        <v>14</v>
      </c>
      <c r="P32" s="15">
        <f t="shared" si="1"/>
        <v>24</v>
      </c>
      <c r="R32" s="33" t="s">
        <v>156</v>
      </c>
      <c r="S32" s="34">
        <f>SUM(C98:C101)</f>
        <v>3</v>
      </c>
      <c r="T32" s="34">
        <f t="shared" ref="T32:AF32" si="24">SUM(D98:D101)</f>
        <v>0</v>
      </c>
      <c r="U32" s="34">
        <f t="shared" si="24"/>
        <v>1</v>
      </c>
      <c r="V32" s="34">
        <f t="shared" si="24"/>
        <v>2</v>
      </c>
      <c r="W32" s="34">
        <f t="shared" si="24"/>
        <v>0</v>
      </c>
      <c r="X32" s="34">
        <f t="shared" si="24"/>
        <v>0</v>
      </c>
      <c r="Y32" s="34">
        <f t="shared" si="24"/>
        <v>0</v>
      </c>
      <c r="Z32" s="34">
        <f t="shared" si="24"/>
        <v>0</v>
      </c>
      <c r="AA32" s="34">
        <f t="shared" si="24"/>
        <v>1</v>
      </c>
      <c r="AB32" s="34">
        <f t="shared" si="24"/>
        <v>0</v>
      </c>
      <c r="AC32" s="34">
        <f t="shared" si="24"/>
        <v>1</v>
      </c>
      <c r="AD32" s="34">
        <f t="shared" si="24"/>
        <v>0</v>
      </c>
      <c r="AE32" s="31">
        <f t="shared" si="24"/>
        <v>7</v>
      </c>
      <c r="AF32" s="31">
        <f t="shared" si="24"/>
        <v>8</v>
      </c>
    </row>
    <row r="33" spans="2:32" ht="23.1" customHeight="1" x14ac:dyDescent="0.25">
      <c r="B33" s="45" t="s">
        <v>60</v>
      </c>
      <c r="C33" s="50">
        <v>4</v>
      </c>
      <c r="D33" s="50">
        <v>2</v>
      </c>
      <c r="E33" s="50">
        <v>1</v>
      </c>
      <c r="F33" s="50">
        <v>13</v>
      </c>
      <c r="G33" s="50">
        <v>2</v>
      </c>
      <c r="H33" s="50">
        <v>0</v>
      </c>
      <c r="I33" s="50">
        <v>4</v>
      </c>
      <c r="J33" s="50">
        <v>3</v>
      </c>
      <c r="K33" s="50">
        <v>0</v>
      </c>
      <c r="L33" s="50">
        <v>1</v>
      </c>
      <c r="M33" s="50">
        <v>6</v>
      </c>
      <c r="N33" s="50">
        <v>0</v>
      </c>
      <c r="O33" s="15">
        <f t="shared" si="0"/>
        <v>30</v>
      </c>
      <c r="P33" s="15">
        <f t="shared" si="1"/>
        <v>36</v>
      </c>
      <c r="R33" s="33" t="s">
        <v>157</v>
      </c>
      <c r="S33" s="34">
        <f>SUM(C102:C105)</f>
        <v>9</v>
      </c>
      <c r="T33" s="34">
        <f t="shared" ref="T33:AF33" si="25">SUM(D102:D105)</f>
        <v>4</v>
      </c>
      <c r="U33" s="34">
        <f t="shared" si="25"/>
        <v>4</v>
      </c>
      <c r="V33" s="34">
        <f t="shared" si="25"/>
        <v>10</v>
      </c>
      <c r="W33" s="34">
        <f t="shared" si="25"/>
        <v>0</v>
      </c>
      <c r="X33" s="34">
        <f t="shared" si="25"/>
        <v>2</v>
      </c>
      <c r="Y33" s="34">
        <f t="shared" si="25"/>
        <v>0</v>
      </c>
      <c r="Z33" s="34">
        <f t="shared" si="25"/>
        <v>1</v>
      </c>
      <c r="AA33" s="34">
        <f t="shared" si="25"/>
        <v>1</v>
      </c>
      <c r="AB33" s="34">
        <f t="shared" si="25"/>
        <v>0</v>
      </c>
      <c r="AC33" s="34">
        <f t="shared" si="25"/>
        <v>5</v>
      </c>
      <c r="AD33" s="34">
        <f t="shared" si="25"/>
        <v>0</v>
      </c>
      <c r="AE33" s="31">
        <f t="shared" si="25"/>
        <v>31</v>
      </c>
      <c r="AF33" s="31">
        <f t="shared" si="25"/>
        <v>36</v>
      </c>
    </row>
    <row r="34" spans="2:32" ht="23.1" customHeight="1" x14ac:dyDescent="0.25">
      <c r="B34" s="46" t="s">
        <v>61</v>
      </c>
      <c r="C34" s="50">
        <v>6</v>
      </c>
      <c r="D34" s="50">
        <v>1</v>
      </c>
      <c r="E34" s="50">
        <v>0</v>
      </c>
      <c r="F34" s="50">
        <v>4</v>
      </c>
      <c r="G34" s="50">
        <v>0</v>
      </c>
      <c r="H34" s="50">
        <v>0</v>
      </c>
      <c r="I34" s="50">
        <v>0</v>
      </c>
      <c r="J34" s="50">
        <v>1</v>
      </c>
      <c r="K34" s="50">
        <v>0</v>
      </c>
      <c r="L34" s="50">
        <v>0</v>
      </c>
      <c r="M34" s="50">
        <v>9</v>
      </c>
      <c r="N34" s="50">
        <v>0</v>
      </c>
      <c r="O34" s="15">
        <f t="shared" si="0"/>
        <v>12</v>
      </c>
      <c r="P34" s="15">
        <f t="shared" si="1"/>
        <v>21</v>
      </c>
      <c r="R34" s="38" t="s">
        <v>90</v>
      </c>
      <c r="S34" s="39">
        <f t="shared" ref="S34:AF34" si="26">MAX(S10:S12)</f>
        <v>14</v>
      </c>
      <c r="T34" s="39">
        <f t="shared" si="26"/>
        <v>6</v>
      </c>
      <c r="U34" s="39">
        <f t="shared" si="26"/>
        <v>8</v>
      </c>
      <c r="V34" s="39">
        <f t="shared" si="26"/>
        <v>45</v>
      </c>
      <c r="W34" s="39">
        <f t="shared" si="26"/>
        <v>1</v>
      </c>
      <c r="X34" s="39">
        <f t="shared" si="26"/>
        <v>1</v>
      </c>
      <c r="Y34" s="39">
        <f t="shared" si="26"/>
        <v>6</v>
      </c>
      <c r="Z34" s="39">
        <f t="shared" si="26"/>
        <v>2</v>
      </c>
      <c r="AA34" s="39">
        <f t="shared" si="26"/>
        <v>4</v>
      </c>
      <c r="AB34" s="39">
        <f t="shared" si="26"/>
        <v>2</v>
      </c>
      <c r="AC34" s="39">
        <f t="shared" si="26"/>
        <v>37</v>
      </c>
      <c r="AD34" s="39">
        <f t="shared" si="26"/>
        <v>0</v>
      </c>
      <c r="AE34" s="40">
        <f t="shared" si="26"/>
        <v>81</v>
      </c>
      <c r="AF34" s="40">
        <f t="shared" si="26"/>
        <v>109</v>
      </c>
    </row>
    <row r="35" spans="2:32" ht="23.1" customHeight="1" x14ac:dyDescent="0.25">
      <c r="B35" s="46" t="s">
        <v>62</v>
      </c>
      <c r="C35" s="50">
        <v>9</v>
      </c>
      <c r="D35" s="50">
        <v>1</v>
      </c>
      <c r="E35" s="50">
        <v>1</v>
      </c>
      <c r="F35" s="50">
        <v>9</v>
      </c>
      <c r="G35" s="50">
        <v>0</v>
      </c>
      <c r="H35" s="50">
        <v>0</v>
      </c>
      <c r="I35" s="50">
        <v>1</v>
      </c>
      <c r="J35" s="50">
        <v>1</v>
      </c>
      <c r="K35" s="50">
        <v>2</v>
      </c>
      <c r="L35" s="50">
        <v>0</v>
      </c>
      <c r="M35" s="50">
        <v>16</v>
      </c>
      <c r="N35" s="50">
        <v>0</v>
      </c>
      <c r="O35" s="15">
        <f t="shared" si="0"/>
        <v>24</v>
      </c>
      <c r="P35" s="15">
        <f t="shared" si="1"/>
        <v>40</v>
      </c>
      <c r="R35" s="38" t="s">
        <v>91</v>
      </c>
      <c r="S35" s="39">
        <f t="shared" ref="S35:AF35" si="27">MAX(S13:S18)</f>
        <v>25</v>
      </c>
      <c r="T35" s="39">
        <f t="shared" si="27"/>
        <v>10</v>
      </c>
      <c r="U35" s="39">
        <f t="shared" si="27"/>
        <v>11</v>
      </c>
      <c r="V35" s="39">
        <f t="shared" si="27"/>
        <v>57</v>
      </c>
      <c r="W35" s="39">
        <f t="shared" si="27"/>
        <v>2</v>
      </c>
      <c r="X35" s="39">
        <f t="shared" si="27"/>
        <v>3</v>
      </c>
      <c r="Y35" s="39">
        <f t="shared" si="27"/>
        <v>8</v>
      </c>
      <c r="Z35" s="39">
        <f t="shared" si="27"/>
        <v>9</v>
      </c>
      <c r="AA35" s="39">
        <f t="shared" si="27"/>
        <v>5</v>
      </c>
      <c r="AB35" s="39">
        <f t="shared" si="27"/>
        <v>5</v>
      </c>
      <c r="AC35" s="39">
        <f t="shared" si="27"/>
        <v>51</v>
      </c>
      <c r="AD35" s="39">
        <f t="shared" si="27"/>
        <v>1</v>
      </c>
      <c r="AE35" s="40">
        <f t="shared" si="27"/>
        <v>115</v>
      </c>
      <c r="AF35" s="40">
        <f t="shared" si="27"/>
        <v>166</v>
      </c>
    </row>
    <row r="36" spans="2:32" ht="23.1" customHeight="1" x14ac:dyDescent="0.25">
      <c r="B36" s="46" t="s">
        <v>63</v>
      </c>
      <c r="C36" s="50">
        <v>2</v>
      </c>
      <c r="D36" s="50">
        <v>1</v>
      </c>
      <c r="E36" s="50">
        <v>3</v>
      </c>
      <c r="F36" s="50">
        <v>8</v>
      </c>
      <c r="G36" s="50">
        <v>0</v>
      </c>
      <c r="H36" s="50">
        <v>0</v>
      </c>
      <c r="I36" s="50">
        <v>0</v>
      </c>
      <c r="J36" s="50">
        <v>0</v>
      </c>
      <c r="K36" s="50">
        <v>2</v>
      </c>
      <c r="L36" s="50">
        <v>3</v>
      </c>
      <c r="M36" s="50">
        <v>11</v>
      </c>
      <c r="N36" s="50">
        <v>0</v>
      </c>
      <c r="O36" s="15">
        <f t="shared" si="0"/>
        <v>19</v>
      </c>
      <c r="P36" s="15">
        <f t="shared" si="1"/>
        <v>30</v>
      </c>
      <c r="R36" s="38" t="s">
        <v>92</v>
      </c>
      <c r="S36" s="39">
        <f t="shared" ref="S36:AF36" si="28">MAX(S19:S21)</f>
        <v>27</v>
      </c>
      <c r="T36" s="39">
        <f t="shared" si="28"/>
        <v>12</v>
      </c>
      <c r="U36" s="39">
        <f t="shared" si="28"/>
        <v>15</v>
      </c>
      <c r="V36" s="39">
        <f t="shared" si="28"/>
        <v>44</v>
      </c>
      <c r="W36" s="39">
        <f t="shared" si="28"/>
        <v>1</v>
      </c>
      <c r="X36" s="39">
        <f t="shared" si="28"/>
        <v>2</v>
      </c>
      <c r="Y36" s="39">
        <f t="shared" si="28"/>
        <v>7</v>
      </c>
      <c r="Z36" s="39">
        <f t="shared" si="28"/>
        <v>6</v>
      </c>
      <c r="AA36" s="39">
        <f t="shared" si="28"/>
        <v>6</v>
      </c>
      <c r="AB36" s="39">
        <f t="shared" si="28"/>
        <v>3</v>
      </c>
      <c r="AC36" s="39">
        <f t="shared" si="28"/>
        <v>56</v>
      </c>
      <c r="AD36" s="39">
        <f t="shared" si="28"/>
        <v>1</v>
      </c>
      <c r="AE36" s="40">
        <f t="shared" si="28"/>
        <v>108</v>
      </c>
      <c r="AF36" s="40">
        <f t="shared" si="28"/>
        <v>153</v>
      </c>
    </row>
    <row r="37" spans="2:32" ht="23.1" customHeight="1" x14ac:dyDescent="0.25">
      <c r="B37" s="45" t="s">
        <v>64</v>
      </c>
      <c r="C37" s="50">
        <v>8</v>
      </c>
      <c r="D37" s="50">
        <v>4</v>
      </c>
      <c r="E37" s="50">
        <v>3</v>
      </c>
      <c r="F37" s="50">
        <v>3</v>
      </c>
      <c r="G37" s="50">
        <v>0</v>
      </c>
      <c r="H37" s="50">
        <v>1</v>
      </c>
      <c r="I37" s="50">
        <v>0</v>
      </c>
      <c r="J37" s="50">
        <v>1</v>
      </c>
      <c r="K37" s="50">
        <v>0</v>
      </c>
      <c r="L37" s="50">
        <v>2</v>
      </c>
      <c r="M37" s="50">
        <v>6</v>
      </c>
      <c r="N37" s="50">
        <v>0</v>
      </c>
      <c r="O37" s="15">
        <f t="shared" si="0"/>
        <v>22</v>
      </c>
      <c r="P37" s="15">
        <f t="shared" si="1"/>
        <v>28</v>
      </c>
      <c r="R37" s="37" t="s">
        <v>85</v>
      </c>
      <c r="S37" s="35">
        <f t="shared" ref="S37:AF37" si="29">SUM(S10:S12)</f>
        <v>29</v>
      </c>
      <c r="T37" s="16">
        <f t="shared" si="29"/>
        <v>14</v>
      </c>
      <c r="U37" s="16">
        <f t="shared" si="29"/>
        <v>12</v>
      </c>
      <c r="V37" s="16">
        <f t="shared" si="29"/>
        <v>75</v>
      </c>
      <c r="W37" s="16">
        <f t="shared" si="29"/>
        <v>3</v>
      </c>
      <c r="X37" s="16">
        <f t="shared" si="29"/>
        <v>3</v>
      </c>
      <c r="Y37" s="16">
        <f t="shared" si="29"/>
        <v>14</v>
      </c>
      <c r="Z37" s="16">
        <f t="shared" si="29"/>
        <v>6</v>
      </c>
      <c r="AA37" s="16">
        <f t="shared" si="29"/>
        <v>8</v>
      </c>
      <c r="AB37" s="16">
        <f t="shared" si="29"/>
        <v>3</v>
      </c>
      <c r="AC37" s="16">
        <f t="shared" si="29"/>
        <v>89</v>
      </c>
      <c r="AD37" s="16">
        <f t="shared" si="29"/>
        <v>0</v>
      </c>
      <c r="AE37" s="32">
        <f t="shared" si="29"/>
        <v>167</v>
      </c>
      <c r="AF37" s="32">
        <f t="shared" si="29"/>
        <v>256</v>
      </c>
    </row>
    <row r="38" spans="2:32" ht="23.1" customHeight="1" x14ac:dyDescent="0.25">
      <c r="B38" s="46" t="s">
        <v>65</v>
      </c>
      <c r="C38" s="50">
        <v>1</v>
      </c>
      <c r="D38" s="50">
        <v>2</v>
      </c>
      <c r="E38" s="50">
        <v>4</v>
      </c>
      <c r="F38" s="50">
        <v>11</v>
      </c>
      <c r="G38" s="50">
        <v>0</v>
      </c>
      <c r="H38" s="50">
        <v>0</v>
      </c>
      <c r="I38" s="50">
        <v>1</v>
      </c>
      <c r="J38" s="50">
        <v>0</v>
      </c>
      <c r="K38" s="50">
        <v>1</v>
      </c>
      <c r="L38" s="50">
        <v>0</v>
      </c>
      <c r="M38" s="50">
        <v>11</v>
      </c>
      <c r="N38" s="50">
        <v>0</v>
      </c>
      <c r="O38" s="15">
        <f t="shared" si="0"/>
        <v>20</v>
      </c>
      <c r="P38" s="15">
        <f t="shared" si="1"/>
        <v>31</v>
      </c>
      <c r="R38" s="28" t="s">
        <v>86</v>
      </c>
      <c r="S38" s="16">
        <f t="shared" ref="S38:AF38" si="30">SUM(S13:S18)</f>
        <v>109</v>
      </c>
      <c r="T38" s="16">
        <f t="shared" si="30"/>
        <v>38</v>
      </c>
      <c r="U38" s="16">
        <f t="shared" si="30"/>
        <v>54</v>
      </c>
      <c r="V38" s="16">
        <f t="shared" si="30"/>
        <v>234</v>
      </c>
      <c r="W38" s="16">
        <f t="shared" si="30"/>
        <v>5</v>
      </c>
      <c r="X38" s="16">
        <f t="shared" si="30"/>
        <v>9</v>
      </c>
      <c r="Y38" s="16">
        <f t="shared" si="30"/>
        <v>31</v>
      </c>
      <c r="Z38" s="16">
        <f t="shared" si="30"/>
        <v>29</v>
      </c>
      <c r="AA38" s="16">
        <f t="shared" si="30"/>
        <v>18</v>
      </c>
      <c r="AB38" s="16">
        <f t="shared" si="30"/>
        <v>10</v>
      </c>
      <c r="AC38" s="16">
        <f t="shared" si="30"/>
        <v>259</v>
      </c>
      <c r="AD38" s="16">
        <f t="shared" si="30"/>
        <v>2</v>
      </c>
      <c r="AE38" s="32">
        <f t="shared" si="30"/>
        <v>539</v>
      </c>
      <c r="AF38" s="32">
        <f t="shared" si="30"/>
        <v>798</v>
      </c>
    </row>
    <row r="39" spans="2:32" ht="23.1" customHeight="1" x14ac:dyDescent="0.25">
      <c r="B39" s="46" t="s">
        <v>66</v>
      </c>
      <c r="C39" s="50">
        <v>6</v>
      </c>
      <c r="D39" s="50">
        <v>1</v>
      </c>
      <c r="E39" s="50">
        <v>3</v>
      </c>
      <c r="F39" s="50">
        <v>11</v>
      </c>
      <c r="G39" s="50">
        <v>0</v>
      </c>
      <c r="H39" s="50">
        <v>1</v>
      </c>
      <c r="I39" s="50">
        <v>1</v>
      </c>
      <c r="J39" s="50">
        <v>2</v>
      </c>
      <c r="K39" s="50">
        <v>1</v>
      </c>
      <c r="L39" s="50">
        <v>0</v>
      </c>
      <c r="M39" s="50">
        <v>10</v>
      </c>
      <c r="N39" s="50">
        <v>0</v>
      </c>
      <c r="O39" s="15">
        <f t="shared" si="0"/>
        <v>26</v>
      </c>
      <c r="P39" s="15">
        <f t="shared" si="1"/>
        <v>36</v>
      </c>
      <c r="R39" s="29" t="s">
        <v>87</v>
      </c>
      <c r="S39" s="16">
        <f t="shared" ref="S39:AF39" si="31">SUM(S19:S21)</f>
        <v>70</v>
      </c>
      <c r="T39" s="16">
        <f t="shared" si="31"/>
        <v>23</v>
      </c>
      <c r="U39" s="16">
        <f t="shared" si="31"/>
        <v>36</v>
      </c>
      <c r="V39" s="16">
        <f t="shared" si="31"/>
        <v>109</v>
      </c>
      <c r="W39" s="16">
        <f t="shared" si="31"/>
        <v>1</v>
      </c>
      <c r="X39" s="16">
        <f t="shared" si="31"/>
        <v>4</v>
      </c>
      <c r="Y39" s="16">
        <f t="shared" si="31"/>
        <v>17</v>
      </c>
      <c r="Z39" s="16">
        <f t="shared" si="31"/>
        <v>14</v>
      </c>
      <c r="AA39" s="16">
        <f t="shared" si="31"/>
        <v>11</v>
      </c>
      <c r="AB39" s="16">
        <f t="shared" si="31"/>
        <v>5</v>
      </c>
      <c r="AC39" s="16">
        <f t="shared" si="31"/>
        <v>123</v>
      </c>
      <c r="AD39" s="16">
        <f t="shared" si="31"/>
        <v>1</v>
      </c>
      <c r="AE39" s="32">
        <f t="shared" si="31"/>
        <v>291</v>
      </c>
      <c r="AF39" s="32">
        <f t="shared" si="31"/>
        <v>414</v>
      </c>
    </row>
    <row r="40" spans="2:32" ht="23.1" customHeight="1" x14ac:dyDescent="0.25">
      <c r="B40" s="46" t="s">
        <v>67</v>
      </c>
      <c r="C40" s="50">
        <v>2</v>
      </c>
      <c r="D40" s="50">
        <v>0</v>
      </c>
      <c r="E40" s="50">
        <v>1</v>
      </c>
      <c r="F40" s="50">
        <v>6</v>
      </c>
      <c r="G40" s="50">
        <v>0</v>
      </c>
      <c r="H40" s="50">
        <v>0</v>
      </c>
      <c r="I40" s="50">
        <v>3</v>
      </c>
      <c r="J40" s="50">
        <v>0</v>
      </c>
      <c r="K40" s="50">
        <v>0</v>
      </c>
      <c r="L40" s="50">
        <v>1</v>
      </c>
      <c r="M40" s="50">
        <v>12</v>
      </c>
      <c r="N40" s="50">
        <v>0</v>
      </c>
      <c r="O40" s="15">
        <f t="shared" si="0"/>
        <v>13</v>
      </c>
      <c r="P40" s="15">
        <f t="shared" si="1"/>
        <v>25</v>
      </c>
      <c r="R40" s="5" t="s">
        <v>17</v>
      </c>
      <c r="S40" s="16">
        <f t="shared" ref="S40:AF40" si="32">SUM(S10:S21)</f>
        <v>208</v>
      </c>
      <c r="T40" s="16">
        <f t="shared" si="32"/>
        <v>75</v>
      </c>
      <c r="U40" s="16">
        <f t="shared" si="32"/>
        <v>102</v>
      </c>
      <c r="V40" s="16">
        <f t="shared" si="32"/>
        <v>418</v>
      </c>
      <c r="W40" s="16">
        <f t="shared" si="32"/>
        <v>9</v>
      </c>
      <c r="X40" s="16">
        <f t="shared" si="32"/>
        <v>16</v>
      </c>
      <c r="Y40" s="16">
        <f t="shared" si="32"/>
        <v>62</v>
      </c>
      <c r="Z40" s="16">
        <f t="shared" si="32"/>
        <v>49</v>
      </c>
      <c r="AA40" s="16">
        <f t="shared" si="32"/>
        <v>37</v>
      </c>
      <c r="AB40" s="16">
        <f t="shared" si="32"/>
        <v>18</v>
      </c>
      <c r="AC40" s="16">
        <f t="shared" si="32"/>
        <v>471</v>
      </c>
      <c r="AD40" s="16">
        <f t="shared" si="32"/>
        <v>3</v>
      </c>
      <c r="AE40" s="32">
        <f t="shared" si="32"/>
        <v>997</v>
      </c>
      <c r="AF40" s="32">
        <f t="shared" si="32"/>
        <v>1468</v>
      </c>
    </row>
    <row r="41" spans="2:32" ht="23.1" customHeight="1" x14ac:dyDescent="0.25">
      <c r="B41" s="45" t="s">
        <v>68</v>
      </c>
      <c r="C41" s="50">
        <v>4</v>
      </c>
      <c r="D41" s="50">
        <v>2</v>
      </c>
      <c r="E41" s="50">
        <v>3</v>
      </c>
      <c r="F41" s="50">
        <v>7</v>
      </c>
      <c r="G41" s="50">
        <v>1</v>
      </c>
      <c r="H41" s="50">
        <v>0</v>
      </c>
      <c r="I41" s="50">
        <v>0</v>
      </c>
      <c r="J41" s="50">
        <v>3</v>
      </c>
      <c r="K41" s="50">
        <v>1</v>
      </c>
      <c r="L41" s="50">
        <v>0</v>
      </c>
      <c r="M41" s="50">
        <v>12</v>
      </c>
      <c r="N41" s="50">
        <v>0</v>
      </c>
      <c r="O41" s="15">
        <f t="shared" si="0"/>
        <v>21</v>
      </c>
      <c r="P41" s="15">
        <f t="shared" si="1"/>
        <v>33</v>
      </c>
      <c r="R41" s="5" t="s">
        <v>159</v>
      </c>
      <c r="S41" s="16">
        <f>SUM(S10:S33)</f>
        <v>352</v>
      </c>
      <c r="T41" s="16">
        <f t="shared" ref="T41:AF41" si="33">SUM(T10:T33)</f>
        <v>113</v>
      </c>
      <c r="U41" s="16">
        <f t="shared" si="33"/>
        <v>139</v>
      </c>
      <c r="V41" s="16">
        <f t="shared" si="33"/>
        <v>543</v>
      </c>
      <c r="W41" s="16">
        <f t="shared" si="33"/>
        <v>20</v>
      </c>
      <c r="X41" s="16">
        <f t="shared" si="33"/>
        <v>36</v>
      </c>
      <c r="Y41" s="16">
        <f t="shared" si="33"/>
        <v>128</v>
      </c>
      <c r="Z41" s="16">
        <f t="shared" si="33"/>
        <v>56</v>
      </c>
      <c r="AA41" s="16">
        <f t="shared" si="33"/>
        <v>78</v>
      </c>
      <c r="AB41" s="16">
        <f t="shared" si="33"/>
        <v>19</v>
      </c>
      <c r="AC41" s="16">
        <f t="shared" si="33"/>
        <v>550</v>
      </c>
      <c r="AD41" s="16">
        <f t="shared" si="33"/>
        <v>3</v>
      </c>
      <c r="AE41" s="32">
        <f t="shared" si="33"/>
        <v>1487</v>
      </c>
      <c r="AF41" s="32">
        <f t="shared" si="33"/>
        <v>2037</v>
      </c>
    </row>
    <row r="42" spans="2:32" ht="23.1" customHeight="1" x14ac:dyDescent="0.25">
      <c r="B42" s="46" t="s">
        <v>69</v>
      </c>
      <c r="C42" s="50">
        <v>3</v>
      </c>
      <c r="D42" s="50">
        <v>1</v>
      </c>
      <c r="E42" s="50">
        <v>2</v>
      </c>
      <c r="F42" s="50">
        <v>11</v>
      </c>
      <c r="G42" s="50">
        <v>0</v>
      </c>
      <c r="H42" s="50">
        <v>1</v>
      </c>
      <c r="I42" s="50">
        <v>1</v>
      </c>
      <c r="J42" s="50">
        <v>0</v>
      </c>
      <c r="K42" s="50">
        <v>0</v>
      </c>
      <c r="L42" s="50">
        <v>0</v>
      </c>
      <c r="M42" s="50">
        <v>6</v>
      </c>
      <c r="N42" s="50">
        <v>1</v>
      </c>
      <c r="O42" s="15">
        <f t="shared" si="0"/>
        <v>20</v>
      </c>
      <c r="P42" s="15">
        <f t="shared" si="1"/>
        <v>26</v>
      </c>
      <c r="R42" s="5" t="s">
        <v>160</v>
      </c>
      <c r="S42" s="48">
        <f>S41/S40</f>
        <v>1.6923076923076923</v>
      </c>
      <c r="T42" s="48">
        <f t="shared" ref="T42:AF42" si="34">T41/T40</f>
        <v>1.5066666666666666</v>
      </c>
      <c r="U42" s="48">
        <f t="shared" si="34"/>
        <v>1.3627450980392157</v>
      </c>
      <c r="V42" s="48">
        <f t="shared" si="34"/>
        <v>1.299043062200957</v>
      </c>
      <c r="W42" s="48">
        <f t="shared" si="34"/>
        <v>2.2222222222222223</v>
      </c>
      <c r="X42" s="48">
        <f t="shared" si="34"/>
        <v>2.25</v>
      </c>
      <c r="Y42" s="48">
        <f t="shared" si="34"/>
        <v>2.064516129032258</v>
      </c>
      <c r="Z42" s="48">
        <f t="shared" si="34"/>
        <v>1.1428571428571428</v>
      </c>
      <c r="AA42" s="48">
        <f t="shared" si="34"/>
        <v>2.1081081081081079</v>
      </c>
      <c r="AB42" s="48">
        <f t="shared" si="34"/>
        <v>1.0555555555555556</v>
      </c>
      <c r="AC42" s="48">
        <f t="shared" si="34"/>
        <v>1.167728237791932</v>
      </c>
      <c r="AD42" s="48">
        <f t="shared" si="34"/>
        <v>1</v>
      </c>
      <c r="AE42" s="48">
        <f t="shared" si="34"/>
        <v>1.4914744232698094</v>
      </c>
      <c r="AF42" s="48">
        <f t="shared" si="34"/>
        <v>1.3876021798365124</v>
      </c>
    </row>
    <row r="43" spans="2:32" ht="23.1" customHeight="1" x14ac:dyDescent="0.25">
      <c r="B43" s="45" t="s">
        <v>70</v>
      </c>
      <c r="C43" s="50">
        <v>6</v>
      </c>
      <c r="D43" s="50">
        <v>2</v>
      </c>
      <c r="E43" s="50">
        <v>3</v>
      </c>
      <c r="F43" s="50">
        <v>6</v>
      </c>
      <c r="G43" s="50">
        <v>0</v>
      </c>
      <c r="H43" s="50">
        <v>0</v>
      </c>
      <c r="I43" s="50">
        <v>1</v>
      </c>
      <c r="J43" s="50">
        <v>1</v>
      </c>
      <c r="K43" s="50">
        <v>0</v>
      </c>
      <c r="L43" s="50">
        <v>1</v>
      </c>
      <c r="M43" s="50">
        <v>10</v>
      </c>
      <c r="N43" s="50">
        <v>0</v>
      </c>
      <c r="O43" s="15">
        <f t="shared" si="0"/>
        <v>20</v>
      </c>
      <c r="P43" s="15">
        <f t="shared" si="1"/>
        <v>30</v>
      </c>
    </row>
    <row r="44" spans="2:32" ht="23.1" customHeight="1" x14ac:dyDescent="0.25">
      <c r="B44" s="47" t="s">
        <v>71</v>
      </c>
      <c r="C44" s="50">
        <v>6</v>
      </c>
      <c r="D44" s="50">
        <v>0</v>
      </c>
      <c r="E44" s="50">
        <v>3</v>
      </c>
      <c r="F44" s="50">
        <v>10</v>
      </c>
      <c r="G44" s="50">
        <v>0</v>
      </c>
      <c r="H44" s="50">
        <v>1</v>
      </c>
      <c r="I44" s="50">
        <v>5</v>
      </c>
      <c r="J44" s="50">
        <v>3</v>
      </c>
      <c r="K44" s="50">
        <v>0</v>
      </c>
      <c r="L44" s="50">
        <v>0</v>
      </c>
      <c r="M44" s="50">
        <v>14</v>
      </c>
      <c r="N44" s="50">
        <v>0</v>
      </c>
      <c r="O44" s="15">
        <f t="shared" si="0"/>
        <v>28</v>
      </c>
      <c r="P44" s="15">
        <f t="shared" si="1"/>
        <v>42</v>
      </c>
    </row>
    <row r="45" spans="2:32" ht="23.1" customHeight="1" x14ac:dyDescent="0.25">
      <c r="B45" s="45" t="s">
        <v>72</v>
      </c>
      <c r="C45" s="50">
        <v>2</v>
      </c>
      <c r="D45" s="50">
        <v>0</v>
      </c>
      <c r="E45" s="50">
        <v>0</v>
      </c>
      <c r="F45" s="50">
        <v>6</v>
      </c>
      <c r="G45" s="50">
        <v>0</v>
      </c>
      <c r="H45" s="50">
        <v>0</v>
      </c>
      <c r="I45" s="50">
        <v>1</v>
      </c>
      <c r="J45" s="50">
        <v>1</v>
      </c>
      <c r="K45" s="50">
        <v>0</v>
      </c>
      <c r="L45" s="50">
        <v>0</v>
      </c>
      <c r="M45" s="50">
        <v>9</v>
      </c>
      <c r="N45" s="50">
        <v>0</v>
      </c>
      <c r="O45" s="15">
        <f t="shared" si="0"/>
        <v>10</v>
      </c>
      <c r="P45" s="15">
        <f t="shared" si="1"/>
        <v>19</v>
      </c>
    </row>
    <row r="46" spans="2:32" ht="23.1" customHeight="1" x14ac:dyDescent="0.25">
      <c r="B46" s="46" t="s">
        <v>73</v>
      </c>
      <c r="C46" s="50">
        <v>7</v>
      </c>
      <c r="D46" s="50">
        <v>2</v>
      </c>
      <c r="E46" s="50">
        <v>2</v>
      </c>
      <c r="F46" s="50">
        <v>4</v>
      </c>
      <c r="G46" s="50">
        <v>0</v>
      </c>
      <c r="H46" s="50">
        <v>1</v>
      </c>
      <c r="I46" s="50">
        <v>0</v>
      </c>
      <c r="J46" s="50">
        <v>1</v>
      </c>
      <c r="K46" s="50">
        <v>1</v>
      </c>
      <c r="L46" s="50">
        <v>0</v>
      </c>
      <c r="M46" s="50">
        <v>14</v>
      </c>
      <c r="N46" s="50">
        <v>0</v>
      </c>
      <c r="O46" s="15">
        <f t="shared" si="0"/>
        <v>18</v>
      </c>
      <c r="P46" s="15">
        <f t="shared" si="1"/>
        <v>32</v>
      </c>
      <c r="R46" s="8"/>
      <c r="T46"/>
    </row>
    <row r="47" spans="2:32" ht="23.1" customHeight="1" x14ac:dyDescent="0.25">
      <c r="B47" s="46" t="s">
        <v>74</v>
      </c>
      <c r="C47" s="50">
        <v>3</v>
      </c>
      <c r="D47" s="50">
        <v>1</v>
      </c>
      <c r="E47" s="50">
        <v>4</v>
      </c>
      <c r="F47" s="50">
        <v>8</v>
      </c>
      <c r="G47" s="50">
        <v>0</v>
      </c>
      <c r="H47" s="50">
        <v>0</v>
      </c>
      <c r="I47" s="50">
        <v>2</v>
      </c>
      <c r="J47" s="50">
        <v>1</v>
      </c>
      <c r="K47" s="50">
        <v>0</v>
      </c>
      <c r="L47" s="50">
        <v>0</v>
      </c>
      <c r="M47" s="50">
        <v>11</v>
      </c>
      <c r="N47" s="50">
        <v>0</v>
      </c>
      <c r="O47" s="15">
        <f t="shared" si="0"/>
        <v>19</v>
      </c>
      <c r="P47" s="15">
        <f t="shared" si="1"/>
        <v>30</v>
      </c>
      <c r="R47" s="8"/>
      <c r="T47"/>
    </row>
    <row r="48" spans="2:32" ht="23.1" customHeight="1" x14ac:dyDescent="0.25">
      <c r="B48" s="46" t="s">
        <v>75</v>
      </c>
      <c r="C48" s="50">
        <v>8</v>
      </c>
      <c r="D48" s="50">
        <v>2</v>
      </c>
      <c r="E48" s="50">
        <v>2</v>
      </c>
      <c r="F48" s="50">
        <v>6</v>
      </c>
      <c r="G48" s="50">
        <v>1</v>
      </c>
      <c r="H48" s="50">
        <v>1</v>
      </c>
      <c r="I48" s="50">
        <v>0</v>
      </c>
      <c r="J48" s="50">
        <v>2</v>
      </c>
      <c r="K48" s="50">
        <v>1</v>
      </c>
      <c r="L48" s="50">
        <v>1</v>
      </c>
      <c r="M48" s="50">
        <v>13</v>
      </c>
      <c r="N48" s="50">
        <v>0</v>
      </c>
      <c r="O48" s="15">
        <f t="shared" si="0"/>
        <v>24</v>
      </c>
      <c r="P48" s="15">
        <f t="shared" si="1"/>
        <v>37</v>
      </c>
      <c r="R48" s="8"/>
      <c r="T48"/>
    </row>
    <row r="49" spans="2:20" ht="23.1" customHeight="1" x14ac:dyDescent="0.25">
      <c r="B49" s="45" t="s">
        <v>76</v>
      </c>
      <c r="C49" s="50">
        <v>7</v>
      </c>
      <c r="D49" s="50">
        <v>0</v>
      </c>
      <c r="E49" s="50">
        <v>4</v>
      </c>
      <c r="F49" s="50">
        <v>13</v>
      </c>
      <c r="G49" s="50">
        <v>0</v>
      </c>
      <c r="H49" s="50">
        <v>0</v>
      </c>
      <c r="I49" s="50">
        <v>2</v>
      </c>
      <c r="J49" s="50">
        <v>1</v>
      </c>
      <c r="K49" s="50">
        <v>0</v>
      </c>
      <c r="L49" s="50">
        <v>2</v>
      </c>
      <c r="M49" s="50">
        <v>18</v>
      </c>
      <c r="N49" s="50">
        <v>0</v>
      </c>
      <c r="O49" s="15">
        <f t="shared" si="0"/>
        <v>29</v>
      </c>
      <c r="P49" s="15">
        <f t="shared" si="1"/>
        <v>47</v>
      </c>
      <c r="R49" s="8"/>
      <c r="T49"/>
    </row>
    <row r="50" spans="2:20" ht="23.1" customHeight="1" x14ac:dyDescent="0.25">
      <c r="B50" s="46" t="s">
        <v>77</v>
      </c>
      <c r="C50" s="50">
        <v>5</v>
      </c>
      <c r="D50" s="50">
        <v>1</v>
      </c>
      <c r="E50" s="50">
        <v>4</v>
      </c>
      <c r="F50" s="50">
        <v>10</v>
      </c>
      <c r="G50" s="50">
        <v>0</v>
      </c>
      <c r="H50" s="50">
        <v>1</v>
      </c>
      <c r="I50" s="50">
        <v>1</v>
      </c>
      <c r="J50" s="50">
        <v>1</v>
      </c>
      <c r="K50" s="50">
        <v>3</v>
      </c>
      <c r="L50" s="50">
        <v>0</v>
      </c>
      <c r="M50" s="50">
        <v>5</v>
      </c>
      <c r="N50" s="50">
        <v>1</v>
      </c>
      <c r="O50" s="15">
        <f t="shared" si="0"/>
        <v>27</v>
      </c>
      <c r="P50" s="15">
        <f t="shared" si="1"/>
        <v>32</v>
      </c>
      <c r="R50" s="8"/>
      <c r="T50"/>
    </row>
    <row r="51" spans="2:20" ht="23.1" customHeight="1" x14ac:dyDescent="0.25">
      <c r="B51" s="46" t="s">
        <v>78</v>
      </c>
      <c r="C51" s="50">
        <v>7</v>
      </c>
      <c r="D51" s="50">
        <v>5</v>
      </c>
      <c r="E51" s="50">
        <v>1</v>
      </c>
      <c r="F51" s="50">
        <v>15</v>
      </c>
      <c r="G51" s="50">
        <v>0</v>
      </c>
      <c r="H51" s="50">
        <v>0</v>
      </c>
      <c r="I51" s="50">
        <v>3</v>
      </c>
      <c r="J51" s="50">
        <v>1</v>
      </c>
      <c r="K51" s="50">
        <v>0</v>
      </c>
      <c r="L51" s="50">
        <v>0</v>
      </c>
      <c r="M51" s="50">
        <v>5</v>
      </c>
      <c r="N51" s="50">
        <v>0</v>
      </c>
      <c r="O51" s="15">
        <f t="shared" si="0"/>
        <v>32</v>
      </c>
      <c r="P51" s="15">
        <f t="shared" si="1"/>
        <v>37</v>
      </c>
      <c r="R51" s="8"/>
      <c r="T51"/>
    </row>
    <row r="52" spans="2:20" ht="23.1" customHeight="1" x14ac:dyDescent="0.25">
      <c r="B52" s="46" t="s">
        <v>79</v>
      </c>
      <c r="C52" s="50">
        <v>3</v>
      </c>
      <c r="D52" s="50">
        <v>0</v>
      </c>
      <c r="E52" s="50">
        <v>2</v>
      </c>
      <c r="F52" s="50">
        <v>11</v>
      </c>
      <c r="G52" s="50">
        <v>0</v>
      </c>
      <c r="H52" s="50">
        <v>0</v>
      </c>
      <c r="I52" s="50">
        <v>1</v>
      </c>
      <c r="J52" s="50">
        <v>1</v>
      </c>
      <c r="K52" s="50">
        <v>0</v>
      </c>
      <c r="L52" s="50">
        <v>0</v>
      </c>
      <c r="M52" s="50">
        <v>9</v>
      </c>
      <c r="N52" s="50">
        <v>0</v>
      </c>
      <c r="O52" s="15">
        <f t="shared" si="0"/>
        <v>18</v>
      </c>
      <c r="P52" s="15">
        <f t="shared" si="1"/>
        <v>27</v>
      </c>
      <c r="R52" s="8"/>
      <c r="T52"/>
    </row>
    <row r="53" spans="2:20" ht="23.1" customHeight="1" x14ac:dyDescent="0.25">
      <c r="B53" s="45" t="s">
        <v>80</v>
      </c>
      <c r="C53" s="50">
        <v>3</v>
      </c>
      <c r="D53" s="50">
        <v>0</v>
      </c>
      <c r="E53" s="50">
        <v>2</v>
      </c>
      <c r="F53" s="50">
        <v>8</v>
      </c>
      <c r="G53" s="50">
        <v>0</v>
      </c>
      <c r="H53" s="50">
        <v>1</v>
      </c>
      <c r="I53" s="50">
        <v>1</v>
      </c>
      <c r="J53" s="50">
        <v>0</v>
      </c>
      <c r="K53" s="50">
        <v>0</v>
      </c>
      <c r="L53" s="50">
        <v>1</v>
      </c>
      <c r="M53" s="50">
        <v>3</v>
      </c>
      <c r="N53" s="50">
        <v>0</v>
      </c>
      <c r="O53" s="15">
        <f t="shared" si="0"/>
        <v>16</v>
      </c>
      <c r="P53" s="15">
        <f t="shared" si="1"/>
        <v>19</v>
      </c>
      <c r="R53" s="8"/>
      <c r="T53"/>
    </row>
    <row r="54" spans="2:20" ht="23.1" customHeight="1" x14ac:dyDescent="0.25">
      <c r="B54" s="45" t="s">
        <v>81</v>
      </c>
      <c r="C54" s="50">
        <v>11</v>
      </c>
      <c r="D54" s="50">
        <v>0</v>
      </c>
      <c r="E54" s="50">
        <v>2</v>
      </c>
      <c r="F54" s="50">
        <v>4</v>
      </c>
      <c r="G54" s="50">
        <v>0</v>
      </c>
      <c r="H54" s="50">
        <v>0</v>
      </c>
      <c r="I54" s="50">
        <v>0</v>
      </c>
      <c r="J54" s="50">
        <v>4</v>
      </c>
      <c r="K54" s="50">
        <v>0</v>
      </c>
      <c r="L54" s="50">
        <v>0</v>
      </c>
      <c r="M54" s="50">
        <v>10</v>
      </c>
      <c r="N54" s="50">
        <v>0</v>
      </c>
      <c r="O54" s="15">
        <f t="shared" si="0"/>
        <v>21</v>
      </c>
      <c r="P54" s="15">
        <f t="shared" si="1"/>
        <v>31</v>
      </c>
      <c r="R54" s="8"/>
      <c r="T54"/>
    </row>
    <row r="55" spans="2:20" ht="23.1" customHeight="1" x14ac:dyDescent="0.25">
      <c r="B55" s="45" t="s">
        <v>82</v>
      </c>
      <c r="C55" s="50">
        <v>4</v>
      </c>
      <c r="D55" s="50">
        <v>4</v>
      </c>
      <c r="E55" s="50">
        <v>4</v>
      </c>
      <c r="F55" s="50">
        <v>9</v>
      </c>
      <c r="G55" s="50">
        <v>0</v>
      </c>
      <c r="H55" s="50">
        <v>0</v>
      </c>
      <c r="I55" s="50">
        <v>0</v>
      </c>
      <c r="J55" s="50">
        <v>1</v>
      </c>
      <c r="K55" s="50">
        <v>3</v>
      </c>
      <c r="L55" s="50">
        <v>1</v>
      </c>
      <c r="M55" s="50">
        <v>9</v>
      </c>
      <c r="N55" s="50">
        <v>0</v>
      </c>
      <c r="O55" s="15">
        <f t="shared" si="0"/>
        <v>26</v>
      </c>
      <c r="P55" s="15">
        <f t="shared" si="1"/>
        <v>35</v>
      </c>
      <c r="R55" s="8"/>
      <c r="T55"/>
    </row>
    <row r="56" spans="2:20" ht="23.1" customHeight="1" x14ac:dyDescent="0.25">
      <c r="B56" s="45" t="s">
        <v>83</v>
      </c>
      <c r="C56" s="50">
        <v>5</v>
      </c>
      <c r="D56" s="50">
        <v>5</v>
      </c>
      <c r="E56" s="50">
        <v>4</v>
      </c>
      <c r="F56" s="50">
        <v>9</v>
      </c>
      <c r="G56" s="50">
        <v>0</v>
      </c>
      <c r="H56" s="50">
        <v>0</v>
      </c>
      <c r="I56" s="50">
        <v>5</v>
      </c>
      <c r="J56" s="50">
        <v>1</v>
      </c>
      <c r="K56" s="50">
        <v>1</v>
      </c>
      <c r="L56" s="50">
        <v>0</v>
      </c>
      <c r="M56" s="50">
        <v>11</v>
      </c>
      <c r="N56" s="50">
        <v>0</v>
      </c>
      <c r="O56" s="15">
        <f t="shared" si="0"/>
        <v>30</v>
      </c>
      <c r="P56" s="15">
        <f t="shared" si="1"/>
        <v>41</v>
      </c>
      <c r="R56" s="8"/>
      <c r="T56"/>
    </row>
    <row r="57" spans="2:20" ht="23.1" customHeight="1" x14ac:dyDescent="0.25">
      <c r="B57" s="45" t="s">
        <v>84</v>
      </c>
      <c r="C57" s="50">
        <v>7</v>
      </c>
      <c r="D57" s="50">
        <v>3</v>
      </c>
      <c r="E57" s="50">
        <v>5</v>
      </c>
      <c r="F57" s="50">
        <v>12</v>
      </c>
      <c r="G57" s="50">
        <v>0</v>
      </c>
      <c r="H57" s="50">
        <v>0</v>
      </c>
      <c r="I57" s="50">
        <v>2</v>
      </c>
      <c r="J57" s="50">
        <v>0</v>
      </c>
      <c r="K57" s="50">
        <v>2</v>
      </c>
      <c r="L57" s="50">
        <v>0</v>
      </c>
      <c r="M57" s="50">
        <v>15</v>
      </c>
      <c r="N57" s="50">
        <v>0</v>
      </c>
      <c r="O57" s="15">
        <f t="shared" si="0"/>
        <v>31</v>
      </c>
      <c r="P57" s="15">
        <f t="shared" si="1"/>
        <v>46</v>
      </c>
      <c r="R57" s="8"/>
      <c r="T57"/>
    </row>
    <row r="58" spans="2:20" ht="23.1" customHeight="1" x14ac:dyDescent="0.25">
      <c r="B58" s="45" t="s">
        <v>99</v>
      </c>
      <c r="C58" s="50">
        <v>11</v>
      </c>
      <c r="D58" s="50">
        <v>5</v>
      </c>
      <c r="E58" s="50">
        <v>5</v>
      </c>
      <c r="F58" s="50">
        <v>17</v>
      </c>
      <c r="G58" s="50">
        <v>0</v>
      </c>
      <c r="H58" s="50">
        <v>0</v>
      </c>
      <c r="I58" s="50">
        <v>9</v>
      </c>
      <c r="J58" s="50">
        <v>0</v>
      </c>
      <c r="K58" s="50">
        <v>2</v>
      </c>
      <c r="L58" s="50">
        <v>0</v>
      </c>
      <c r="M58" s="50">
        <v>13</v>
      </c>
      <c r="N58" s="50">
        <v>0</v>
      </c>
      <c r="O58" s="15">
        <f t="shared" si="0"/>
        <v>49</v>
      </c>
      <c r="P58" s="15">
        <f t="shared" si="1"/>
        <v>62</v>
      </c>
      <c r="R58" s="8"/>
      <c r="T58"/>
    </row>
    <row r="59" spans="2:20" ht="23.1" customHeight="1" x14ac:dyDescent="0.25">
      <c r="B59" s="45" t="s">
        <v>100</v>
      </c>
      <c r="C59" s="50">
        <v>14</v>
      </c>
      <c r="D59" s="50">
        <v>5</v>
      </c>
      <c r="E59" s="50">
        <v>2</v>
      </c>
      <c r="F59" s="50">
        <v>9</v>
      </c>
      <c r="G59" s="50">
        <v>0</v>
      </c>
      <c r="H59" s="50">
        <v>0</v>
      </c>
      <c r="I59" s="50">
        <v>0</v>
      </c>
      <c r="J59" s="50">
        <v>0</v>
      </c>
      <c r="K59" s="50">
        <v>0</v>
      </c>
      <c r="L59" s="50">
        <v>0</v>
      </c>
      <c r="M59" s="50">
        <v>9</v>
      </c>
      <c r="N59" s="50">
        <v>0</v>
      </c>
      <c r="O59" s="15">
        <f t="shared" si="0"/>
        <v>30</v>
      </c>
      <c r="P59" s="15">
        <f t="shared" si="1"/>
        <v>39</v>
      </c>
      <c r="R59" s="8"/>
      <c r="T59"/>
    </row>
    <row r="60" spans="2:20" ht="23.1" customHeight="1" x14ac:dyDescent="0.25">
      <c r="B60" s="45" t="s">
        <v>101</v>
      </c>
      <c r="C60" s="50">
        <v>15</v>
      </c>
      <c r="D60" s="50">
        <v>0</v>
      </c>
      <c r="E60" s="50">
        <v>4</v>
      </c>
      <c r="F60" s="50">
        <v>9</v>
      </c>
      <c r="G60" s="50">
        <v>0</v>
      </c>
      <c r="H60" s="50">
        <v>0</v>
      </c>
      <c r="I60" s="50">
        <v>6</v>
      </c>
      <c r="J60" s="50">
        <v>0</v>
      </c>
      <c r="K60" s="50">
        <v>2</v>
      </c>
      <c r="L60" s="50">
        <v>0</v>
      </c>
      <c r="M60" s="50">
        <v>9</v>
      </c>
      <c r="N60" s="50">
        <v>0</v>
      </c>
      <c r="O60" s="15">
        <f t="shared" si="0"/>
        <v>36</v>
      </c>
      <c r="P60" s="15">
        <f t="shared" si="1"/>
        <v>45</v>
      </c>
      <c r="R60" s="8"/>
      <c r="T60"/>
    </row>
    <row r="61" spans="2:20" ht="23.1" customHeight="1" x14ac:dyDescent="0.25">
      <c r="B61" s="45" t="s">
        <v>102</v>
      </c>
      <c r="C61" s="50">
        <v>14</v>
      </c>
      <c r="D61" s="50">
        <v>4</v>
      </c>
      <c r="E61" s="50">
        <v>2</v>
      </c>
      <c r="F61" s="50">
        <v>6</v>
      </c>
      <c r="G61" s="50">
        <v>0</v>
      </c>
      <c r="H61" s="50">
        <v>0</v>
      </c>
      <c r="I61" s="50">
        <v>5</v>
      </c>
      <c r="J61" s="50">
        <v>0</v>
      </c>
      <c r="K61" s="50">
        <v>0</v>
      </c>
      <c r="L61" s="50">
        <v>0</v>
      </c>
      <c r="M61" s="50">
        <v>3</v>
      </c>
      <c r="N61" s="50">
        <v>0</v>
      </c>
      <c r="O61" s="15">
        <f t="shared" si="0"/>
        <v>31</v>
      </c>
      <c r="P61" s="15">
        <f t="shared" si="1"/>
        <v>34</v>
      </c>
      <c r="R61" s="8"/>
      <c r="T61"/>
    </row>
    <row r="62" spans="2:20" ht="23.1" customHeight="1" x14ac:dyDescent="0.25">
      <c r="B62" s="45" t="s">
        <v>107</v>
      </c>
      <c r="C62" s="50">
        <v>20</v>
      </c>
      <c r="D62" s="50">
        <v>2</v>
      </c>
      <c r="E62" s="50">
        <v>4</v>
      </c>
      <c r="F62" s="50">
        <v>5</v>
      </c>
      <c r="G62" s="50">
        <v>3</v>
      </c>
      <c r="H62" s="50">
        <v>0</v>
      </c>
      <c r="I62" s="50">
        <v>4</v>
      </c>
      <c r="J62" s="50">
        <v>0</v>
      </c>
      <c r="K62" s="50">
        <v>0</v>
      </c>
      <c r="L62" s="50">
        <v>0</v>
      </c>
      <c r="M62" s="50">
        <v>3</v>
      </c>
      <c r="N62" s="50">
        <v>0</v>
      </c>
      <c r="O62" s="15">
        <f t="shared" si="0"/>
        <v>38</v>
      </c>
      <c r="P62" s="15">
        <f t="shared" si="1"/>
        <v>41</v>
      </c>
      <c r="R62" s="8"/>
      <c r="T62"/>
    </row>
    <row r="63" spans="2:20" ht="23.1" customHeight="1" x14ac:dyDescent="0.25">
      <c r="B63" s="45" t="s">
        <v>108</v>
      </c>
      <c r="C63" s="50">
        <v>4</v>
      </c>
      <c r="D63" s="50">
        <v>5</v>
      </c>
      <c r="E63" s="50">
        <v>2</v>
      </c>
      <c r="F63" s="50">
        <v>9</v>
      </c>
      <c r="G63" s="50">
        <v>2</v>
      </c>
      <c r="H63" s="50">
        <v>3</v>
      </c>
      <c r="I63" s="50">
        <v>9</v>
      </c>
      <c r="J63" s="50">
        <v>0</v>
      </c>
      <c r="K63" s="50">
        <v>5</v>
      </c>
      <c r="L63" s="50">
        <v>0</v>
      </c>
      <c r="M63" s="50">
        <v>3</v>
      </c>
      <c r="N63" s="50">
        <v>0</v>
      </c>
      <c r="O63" s="15">
        <f t="shared" si="0"/>
        <v>39</v>
      </c>
      <c r="P63" s="15">
        <f t="shared" si="1"/>
        <v>42</v>
      </c>
      <c r="R63" s="8"/>
      <c r="T63"/>
    </row>
    <row r="64" spans="2:20" ht="23.1" customHeight="1" x14ac:dyDescent="0.25">
      <c r="B64" s="45" t="s">
        <v>109</v>
      </c>
      <c r="C64" s="50">
        <v>7</v>
      </c>
      <c r="D64" s="50">
        <v>0</v>
      </c>
      <c r="E64" s="50">
        <v>2</v>
      </c>
      <c r="F64" s="50">
        <v>13</v>
      </c>
      <c r="G64" s="50">
        <v>1</v>
      </c>
      <c r="H64" s="50">
        <v>0</v>
      </c>
      <c r="I64" s="50">
        <v>1</v>
      </c>
      <c r="J64" s="50">
        <v>0</v>
      </c>
      <c r="K64" s="50">
        <v>2</v>
      </c>
      <c r="L64" s="50">
        <v>1</v>
      </c>
      <c r="M64" s="50">
        <v>7</v>
      </c>
      <c r="N64" s="50">
        <v>0</v>
      </c>
      <c r="O64" s="15">
        <f t="shared" si="0"/>
        <v>27</v>
      </c>
      <c r="P64" s="15">
        <f t="shared" si="1"/>
        <v>34</v>
      </c>
      <c r="R64" s="8"/>
      <c r="T64"/>
    </row>
    <row r="65" spans="2:20" ht="23.1" customHeight="1" x14ac:dyDescent="0.25">
      <c r="B65" s="45" t="s">
        <v>158</v>
      </c>
      <c r="C65" s="50">
        <v>3</v>
      </c>
      <c r="D65" s="50">
        <v>0</v>
      </c>
      <c r="E65" s="50">
        <v>1</v>
      </c>
      <c r="F65" s="50">
        <v>2</v>
      </c>
      <c r="G65" s="50">
        <v>1</v>
      </c>
      <c r="H65" s="50">
        <v>0</v>
      </c>
      <c r="I65" s="50">
        <v>1</v>
      </c>
      <c r="J65" s="50">
        <v>0</v>
      </c>
      <c r="K65" s="50">
        <v>5</v>
      </c>
      <c r="L65" s="50">
        <v>0</v>
      </c>
      <c r="M65" s="50">
        <v>3</v>
      </c>
      <c r="N65" s="50">
        <v>0</v>
      </c>
      <c r="O65" s="15">
        <f t="shared" si="0"/>
        <v>13</v>
      </c>
      <c r="P65" s="15">
        <f t="shared" si="1"/>
        <v>16</v>
      </c>
      <c r="R65" s="8"/>
      <c r="T65"/>
    </row>
    <row r="66" spans="2:20" ht="23.1" customHeight="1" x14ac:dyDescent="0.25">
      <c r="B66" s="45" t="s">
        <v>103</v>
      </c>
      <c r="C66" s="50">
        <v>5</v>
      </c>
      <c r="D66" s="50">
        <v>1</v>
      </c>
      <c r="E66" s="50">
        <v>3</v>
      </c>
      <c r="F66" s="50">
        <v>7</v>
      </c>
      <c r="G66" s="50">
        <v>1</v>
      </c>
      <c r="H66" s="50">
        <v>0</v>
      </c>
      <c r="I66" s="50">
        <v>2</v>
      </c>
      <c r="J66" s="50">
        <v>0</v>
      </c>
      <c r="K66" s="50">
        <v>8</v>
      </c>
      <c r="L66" s="50">
        <v>0</v>
      </c>
      <c r="M66" s="50">
        <v>4</v>
      </c>
      <c r="N66" s="50">
        <v>0</v>
      </c>
      <c r="O66" s="15">
        <f t="shared" si="0"/>
        <v>27</v>
      </c>
      <c r="P66" s="15">
        <f t="shared" si="1"/>
        <v>31</v>
      </c>
      <c r="R66" s="8"/>
      <c r="T66"/>
    </row>
    <row r="67" spans="2:20" ht="23.1" customHeight="1" x14ac:dyDescent="0.25">
      <c r="B67" s="45" t="s">
        <v>104</v>
      </c>
      <c r="C67" s="50">
        <v>6</v>
      </c>
      <c r="D67" s="50">
        <v>1</v>
      </c>
      <c r="E67" s="50">
        <v>2</v>
      </c>
      <c r="F67" s="50">
        <v>4</v>
      </c>
      <c r="G67" s="50">
        <v>0</v>
      </c>
      <c r="H67" s="50">
        <v>0</v>
      </c>
      <c r="I67" s="50">
        <v>0</v>
      </c>
      <c r="J67" s="50">
        <v>0</v>
      </c>
      <c r="K67" s="50">
        <v>0</v>
      </c>
      <c r="L67" s="50">
        <v>0</v>
      </c>
      <c r="M67" s="50">
        <v>4</v>
      </c>
      <c r="N67" s="50">
        <v>0</v>
      </c>
      <c r="O67" s="15">
        <f t="shared" si="0"/>
        <v>13</v>
      </c>
      <c r="P67" s="15">
        <f t="shared" si="1"/>
        <v>17</v>
      </c>
      <c r="R67" s="8"/>
      <c r="T67"/>
    </row>
    <row r="68" spans="2:20" ht="23.1" customHeight="1" x14ac:dyDescent="0.25">
      <c r="B68" s="45" t="s">
        <v>105</v>
      </c>
      <c r="C68" s="50">
        <v>6</v>
      </c>
      <c r="D68" s="50">
        <v>1</v>
      </c>
      <c r="E68" s="50">
        <v>1</v>
      </c>
      <c r="F68" s="50">
        <v>3</v>
      </c>
      <c r="G68" s="50">
        <v>1</v>
      </c>
      <c r="H68" s="50">
        <v>0</v>
      </c>
      <c r="I68" s="50">
        <v>1</v>
      </c>
      <c r="J68" s="50">
        <v>0</v>
      </c>
      <c r="K68" s="50">
        <v>1</v>
      </c>
      <c r="L68" s="50">
        <v>0</v>
      </c>
      <c r="M68" s="50">
        <v>1</v>
      </c>
      <c r="N68" s="50">
        <v>0</v>
      </c>
      <c r="O68" s="15">
        <f t="shared" si="0"/>
        <v>14</v>
      </c>
      <c r="P68" s="15">
        <f t="shared" si="1"/>
        <v>15</v>
      </c>
      <c r="R68" s="8"/>
      <c r="T68"/>
    </row>
    <row r="69" spans="2:20" ht="23.1" customHeight="1" x14ac:dyDescent="0.25">
      <c r="B69" s="45" t="s">
        <v>106</v>
      </c>
      <c r="C69" s="50">
        <v>2</v>
      </c>
      <c r="D69" s="50">
        <v>0</v>
      </c>
      <c r="E69" s="50">
        <v>0</v>
      </c>
      <c r="F69" s="50">
        <v>3</v>
      </c>
      <c r="G69" s="50">
        <v>0</v>
      </c>
      <c r="H69" s="50">
        <v>0</v>
      </c>
      <c r="I69" s="50">
        <v>3</v>
      </c>
      <c r="J69" s="50">
        <v>2</v>
      </c>
      <c r="K69" s="50">
        <v>2</v>
      </c>
      <c r="L69" s="50">
        <v>0</v>
      </c>
      <c r="M69" s="50">
        <v>2</v>
      </c>
      <c r="N69" s="50">
        <v>0</v>
      </c>
      <c r="O69" s="15">
        <f t="shared" si="0"/>
        <v>12</v>
      </c>
      <c r="P69" s="15">
        <f t="shared" si="1"/>
        <v>14</v>
      </c>
      <c r="R69" s="8"/>
      <c r="T69"/>
    </row>
    <row r="70" spans="2:20" ht="23.1" customHeight="1" x14ac:dyDescent="0.25">
      <c r="B70" s="45" t="s">
        <v>110</v>
      </c>
      <c r="C70" s="50">
        <v>6</v>
      </c>
      <c r="D70" s="50">
        <v>1</v>
      </c>
      <c r="E70" s="50">
        <v>1</v>
      </c>
      <c r="F70" s="50">
        <v>4</v>
      </c>
      <c r="G70" s="50">
        <v>0</v>
      </c>
      <c r="H70" s="50">
        <v>0</v>
      </c>
      <c r="I70" s="50">
        <v>0</v>
      </c>
      <c r="J70" s="50">
        <v>1</v>
      </c>
      <c r="K70" s="50">
        <v>0</v>
      </c>
      <c r="L70" s="50">
        <v>0</v>
      </c>
      <c r="M70" s="50">
        <v>0</v>
      </c>
      <c r="N70" s="50">
        <v>0</v>
      </c>
      <c r="O70" s="15">
        <f t="shared" si="0"/>
        <v>13</v>
      </c>
      <c r="P70" s="15">
        <f t="shared" si="1"/>
        <v>13</v>
      </c>
      <c r="R70" s="8"/>
      <c r="T70"/>
    </row>
    <row r="71" spans="2:20" ht="23.1" customHeight="1" x14ac:dyDescent="0.25">
      <c r="B71" s="45" t="s">
        <v>111</v>
      </c>
      <c r="C71" s="50">
        <v>2</v>
      </c>
      <c r="D71" s="50">
        <v>3</v>
      </c>
      <c r="E71" s="50">
        <v>1</v>
      </c>
      <c r="F71" s="50">
        <v>2</v>
      </c>
      <c r="G71" s="50">
        <v>0</v>
      </c>
      <c r="H71" s="50">
        <v>0</v>
      </c>
      <c r="I71" s="50">
        <v>2</v>
      </c>
      <c r="J71" s="50">
        <v>3</v>
      </c>
      <c r="K71" s="50">
        <v>1</v>
      </c>
      <c r="L71" s="50">
        <v>0</v>
      </c>
      <c r="M71" s="50">
        <v>3</v>
      </c>
      <c r="N71" s="50">
        <v>0</v>
      </c>
      <c r="O71" s="15">
        <f t="shared" si="0"/>
        <v>14</v>
      </c>
      <c r="P71" s="15">
        <f t="shared" si="1"/>
        <v>17</v>
      </c>
      <c r="R71" s="8"/>
      <c r="T71"/>
    </row>
    <row r="72" spans="2:20" ht="23.1" customHeight="1" x14ac:dyDescent="0.25">
      <c r="B72" s="45" t="s">
        <v>112</v>
      </c>
      <c r="C72" s="50">
        <v>1</v>
      </c>
      <c r="D72" s="50">
        <v>2</v>
      </c>
      <c r="E72" s="50">
        <v>0</v>
      </c>
      <c r="F72" s="50">
        <v>5</v>
      </c>
      <c r="G72" s="50">
        <v>0</v>
      </c>
      <c r="H72" s="50">
        <v>0</v>
      </c>
      <c r="I72" s="50">
        <v>0</v>
      </c>
      <c r="J72" s="50">
        <v>0</v>
      </c>
      <c r="K72" s="50">
        <v>0</v>
      </c>
      <c r="L72" s="50">
        <v>0</v>
      </c>
      <c r="M72" s="50">
        <v>2</v>
      </c>
      <c r="N72" s="50">
        <v>0</v>
      </c>
      <c r="O72" s="15">
        <f t="shared" si="0"/>
        <v>8</v>
      </c>
      <c r="P72" s="15">
        <f t="shared" si="1"/>
        <v>10</v>
      </c>
      <c r="R72" s="8"/>
      <c r="T72"/>
    </row>
    <row r="73" spans="2:20" ht="23.1" customHeight="1" x14ac:dyDescent="0.25">
      <c r="B73" s="45" t="s">
        <v>113</v>
      </c>
      <c r="C73" s="50">
        <v>1</v>
      </c>
      <c r="D73" s="50">
        <v>0</v>
      </c>
      <c r="E73" s="50">
        <v>2</v>
      </c>
      <c r="F73" s="50">
        <v>2</v>
      </c>
      <c r="G73" s="50">
        <v>1</v>
      </c>
      <c r="H73" s="50">
        <v>0</v>
      </c>
      <c r="I73" s="50">
        <v>2</v>
      </c>
      <c r="J73" s="50">
        <v>0</v>
      </c>
      <c r="K73" s="50">
        <v>0</v>
      </c>
      <c r="L73" s="50">
        <v>0</v>
      </c>
      <c r="M73" s="50">
        <v>2</v>
      </c>
      <c r="N73" s="50">
        <v>0</v>
      </c>
      <c r="O73" s="15">
        <f t="shared" si="0"/>
        <v>8</v>
      </c>
      <c r="P73" s="15">
        <f t="shared" si="1"/>
        <v>10</v>
      </c>
      <c r="R73" s="8"/>
      <c r="T73"/>
    </row>
    <row r="74" spans="2:20" ht="23.1" customHeight="1" x14ac:dyDescent="0.25">
      <c r="B74" s="45" t="s">
        <v>114</v>
      </c>
      <c r="C74" s="50">
        <v>2</v>
      </c>
      <c r="D74" s="50">
        <v>0</v>
      </c>
      <c r="E74" s="50">
        <v>0</v>
      </c>
      <c r="F74" s="50">
        <v>1</v>
      </c>
      <c r="G74" s="50">
        <v>0</v>
      </c>
      <c r="H74" s="50">
        <v>1</v>
      </c>
      <c r="I74" s="50">
        <v>5</v>
      </c>
      <c r="J74" s="50">
        <v>0</v>
      </c>
      <c r="K74" s="50">
        <v>0</v>
      </c>
      <c r="L74" s="50">
        <v>0</v>
      </c>
      <c r="M74" s="50">
        <v>0</v>
      </c>
      <c r="N74" s="50">
        <v>0</v>
      </c>
      <c r="O74" s="15">
        <f t="shared" ref="O74:O105" si="35">SUM(C74:L74,N74)</f>
        <v>9</v>
      </c>
      <c r="P74" s="15">
        <f t="shared" ref="P74:P105" si="36">SUM(C74:N74)</f>
        <v>9</v>
      </c>
      <c r="R74" s="8"/>
      <c r="T74"/>
    </row>
    <row r="75" spans="2:20" ht="23.1" customHeight="1" x14ac:dyDescent="0.25">
      <c r="B75" s="45" t="s">
        <v>115</v>
      </c>
      <c r="C75" s="50">
        <v>1</v>
      </c>
      <c r="D75" s="50">
        <v>1</v>
      </c>
      <c r="E75" s="50">
        <v>0</v>
      </c>
      <c r="F75" s="50">
        <v>0</v>
      </c>
      <c r="G75" s="50">
        <v>0</v>
      </c>
      <c r="H75" s="50">
        <v>1</v>
      </c>
      <c r="I75" s="50">
        <v>2</v>
      </c>
      <c r="J75" s="50">
        <v>0</v>
      </c>
      <c r="K75" s="50">
        <v>0</v>
      </c>
      <c r="L75" s="50">
        <v>0</v>
      </c>
      <c r="M75" s="50">
        <v>0</v>
      </c>
      <c r="N75" s="50">
        <v>0</v>
      </c>
      <c r="O75" s="15">
        <f t="shared" si="35"/>
        <v>5</v>
      </c>
      <c r="P75" s="15">
        <f t="shared" si="36"/>
        <v>5</v>
      </c>
      <c r="R75" s="8"/>
      <c r="T75"/>
    </row>
    <row r="76" spans="2:20" ht="23.1" customHeight="1" x14ac:dyDescent="0.25">
      <c r="B76" s="45" t="s">
        <v>116</v>
      </c>
      <c r="C76" s="50">
        <v>1</v>
      </c>
      <c r="D76" s="50">
        <v>0</v>
      </c>
      <c r="E76" s="50">
        <v>0</v>
      </c>
      <c r="F76" s="50">
        <v>1</v>
      </c>
      <c r="G76" s="50">
        <v>0</v>
      </c>
      <c r="H76" s="50">
        <v>0</v>
      </c>
      <c r="I76" s="50">
        <v>0</v>
      </c>
      <c r="J76" s="50">
        <v>0</v>
      </c>
      <c r="K76" s="50">
        <v>0</v>
      </c>
      <c r="L76" s="50">
        <v>0</v>
      </c>
      <c r="M76" s="50">
        <v>0</v>
      </c>
      <c r="N76" s="50">
        <v>0</v>
      </c>
      <c r="O76" s="15">
        <f t="shared" si="35"/>
        <v>2</v>
      </c>
      <c r="P76" s="15">
        <f t="shared" si="36"/>
        <v>2</v>
      </c>
      <c r="R76" s="8"/>
      <c r="T76"/>
    </row>
    <row r="77" spans="2:20" ht="23.1" customHeight="1" x14ac:dyDescent="0.25">
      <c r="B77" s="45" t="s">
        <v>117</v>
      </c>
      <c r="C77" s="50">
        <v>1</v>
      </c>
      <c r="D77" s="50">
        <v>1</v>
      </c>
      <c r="E77" s="50">
        <v>0</v>
      </c>
      <c r="F77" s="50">
        <v>0</v>
      </c>
      <c r="G77" s="50">
        <v>0</v>
      </c>
      <c r="H77" s="50">
        <v>0</v>
      </c>
      <c r="I77" s="50">
        <v>1</v>
      </c>
      <c r="J77" s="50">
        <v>0</v>
      </c>
      <c r="K77" s="50">
        <v>0</v>
      </c>
      <c r="L77" s="50">
        <v>0</v>
      </c>
      <c r="M77" s="50">
        <v>1</v>
      </c>
      <c r="N77" s="50">
        <v>0</v>
      </c>
      <c r="O77" s="15">
        <f t="shared" si="35"/>
        <v>3</v>
      </c>
      <c r="P77" s="15">
        <f t="shared" si="36"/>
        <v>4</v>
      </c>
      <c r="R77" s="8"/>
      <c r="T77"/>
    </row>
    <row r="78" spans="2:20" ht="23.1" customHeight="1" x14ac:dyDescent="0.25">
      <c r="B78" s="46" t="s">
        <v>118</v>
      </c>
      <c r="C78" s="50">
        <v>2</v>
      </c>
      <c r="D78" s="50">
        <v>1</v>
      </c>
      <c r="E78" s="50">
        <v>0</v>
      </c>
      <c r="F78" s="50">
        <v>0</v>
      </c>
      <c r="G78" s="50">
        <v>0</v>
      </c>
      <c r="H78" s="50">
        <v>1</v>
      </c>
      <c r="I78" s="50">
        <v>1</v>
      </c>
      <c r="J78" s="50">
        <v>0</v>
      </c>
      <c r="K78" s="50">
        <v>0</v>
      </c>
      <c r="L78" s="50">
        <v>0</v>
      </c>
      <c r="M78" s="50">
        <v>2</v>
      </c>
      <c r="N78" s="50">
        <v>0</v>
      </c>
      <c r="O78" s="15">
        <f t="shared" si="35"/>
        <v>5</v>
      </c>
      <c r="P78" s="15">
        <f t="shared" si="36"/>
        <v>7</v>
      </c>
      <c r="R78" s="8"/>
      <c r="T78"/>
    </row>
    <row r="79" spans="2:20" ht="23.1" customHeight="1" x14ac:dyDescent="0.25">
      <c r="B79" s="45" t="s">
        <v>119</v>
      </c>
      <c r="C79" s="50">
        <v>1</v>
      </c>
      <c r="D79" s="50">
        <v>0</v>
      </c>
      <c r="E79" s="50">
        <v>0</v>
      </c>
      <c r="F79" s="50">
        <v>0</v>
      </c>
      <c r="G79" s="50">
        <v>0</v>
      </c>
      <c r="H79" s="50">
        <v>1</v>
      </c>
      <c r="I79" s="50">
        <v>2</v>
      </c>
      <c r="J79" s="50">
        <v>0</v>
      </c>
      <c r="K79" s="50">
        <v>0</v>
      </c>
      <c r="L79" s="50">
        <v>0</v>
      </c>
      <c r="M79" s="50">
        <v>1</v>
      </c>
      <c r="N79" s="50">
        <v>0</v>
      </c>
      <c r="O79" s="15">
        <f t="shared" si="35"/>
        <v>4</v>
      </c>
      <c r="P79" s="15">
        <f t="shared" si="36"/>
        <v>5</v>
      </c>
      <c r="R79" s="8"/>
      <c r="T79"/>
    </row>
    <row r="80" spans="2:20" ht="23.1" customHeight="1" x14ac:dyDescent="0.25">
      <c r="B80" s="47" t="s">
        <v>120</v>
      </c>
      <c r="C80" s="50">
        <v>0</v>
      </c>
      <c r="D80" s="50">
        <v>0</v>
      </c>
      <c r="E80" s="50">
        <v>0</v>
      </c>
      <c r="F80" s="50">
        <v>0</v>
      </c>
      <c r="G80" s="50">
        <v>0</v>
      </c>
      <c r="H80" s="50">
        <v>0</v>
      </c>
      <c r="I80" s="50">
        <v>1</v>
      </c>
      <c r="J80" s="50">
        <v>0</v>
      </c>
      <c r="K80" s="50">
        <v>0</v>
      </c>
      <c r="L80" s="50">
        <v>0</v>
      </c>
      <c r="M80" s="50">
        <v>1</v>
      </c>
      <c r="N80" s="50">
        <v>0</v>
      </c>
      <c r="O80" s="15">
        <f t="shared" si="35"/>
        <v>1</v>
      </c>
      <c r="P80" s="15">
        <f t="shared" si="36"/>
        <v>2</v>
      </c>
      <c r="R80" s="8"/>
      <c r="T80"/>
    </row>
    <row r="81" spans="2:20" ht="23.1" customHeight="1" x14ac:dyDescent="0.25">
      <c r="B81" s="45" t="s">
        <v>121</v>
      </c>
      <c r="C81" s="50">
        <v>1</v>
      </c>
      <c r="D81" s="50">
        <v>0</v>
      </c>
      <c r="E81" s="50">
        <v>0</v>
      </c>
      <c r="F81" s="50">
        <v>1</v>
      </c>
      <c r="G81" s="50">
        <v>0</v>
      </c>
      <c r="H81" s="50">
        <v>1</v>
      </c>
      <c r="I81" s="50">
        <v>1</v>
      </c>
      <c r="J81" s="50">
        <v>0</v>
      </c>
      <c r="K81" s="50">
        <v>0</v>
      </c>
      <c r="L81" s="50">
        <v>0</v>
      </c>
      <c r="M81" s="50">
        <v>0</v>
      </c>
      <c r="N81" s="50">
        <v>0</v>
      </c>
      <c r="O81" s="15">
        <f t="shared" si="35"/>
        <v>4</v>
      </c>
      <c r="P81" s="15">
        <f t="shared" si="36"/>
        <v>4</v>
      </c>
      <c r="R81" s="8"/>
      <c r="T81"/>
    </row>
    <row r="82" spans="2:20" ht="23.1" customHeight="1" x14ac:dyDescent="0.25">
      <c r="B82" s="46" t="s">
        <v>122</v>
      </c>
      <c r="C82" s="50">
        <v>0</v>
      </c>
      <c r="D82" s="50">
        <v>0</v>
      </c>
      <c r="E82" s="50">
        <v>0</v>
      </c>
      <c r="F82" s="50">
        <v>0</v>
      </c>
      <c r="G82" s="50">
        <v>0</v>
      </c>
      <c r="H82" s="50">
        <v>0</v>
      </c>
      <c r="I82" s="50">
        <v>3</v>
      </c>
      <c r="J82" s="50">
        <v>0</v>
      </c>
      <c r="K82" s="50">
        <v>1</v>
      </c>
      <c r="L82" s="50">
        <v>0</v>
      </c>
      <c r="M82" s="50">
        <v>0</v>
      </c>
      <c r="N82" s="50">
        <v>0</v>
      </c>
      <c r="O82" s="15">
        <f t="shared" si="35"/>
        <v>4</v>
      </c>
      <c r="P82" s="15">
        <f t="shared" si="36"/>
        <v>4</v>
      </c>
      <c r="R82" s="8"/>
      <c r="T82"/>
    </row>
    <row r="83" spans="2:20" ht="23.1" customHeight="1" x14ac:dyDescent="0.25">
      <c r="B83" s="45" t="s">
        <v>123</v>
      </c>
      <c r="C83" s="50">
        <v>1</v>
      </c>
      <c r="D83" s="50">
        <v>0</v>
      </c>
      <c r="E83" s="50">
        <v>0</v>
      </c>
      <c r="F83" s="50">
        <v>0</v>
      </c>
      <c r="G83" s="50">
        <v>0</v>
      </c>
      <c r="H83" s="50">
        <v>1</v>
      </c>
      <c r="I83" s="50">
        <v>0</v>
      </c>
      <c r="J83" s="50">
        <v>0</v>
      </c>
      <c r="K83" s="50">
        <v>1</v>
      </c>
      <c r="L83" s="50">
        <v>0</v>
      </c>
      <c r="M83" s="50">
        <v>0</v>
      </c>
      <c r="N83" s="50">
        <v>0</v>
      </c>
      <c r="O83" s="15">
        <f t="shared" si="35"/>
        <v>3</v>
      </c>
      <c r="P83" s="15">
        <f t="shared" si="36"/>
        <v>3</v>
      </c>
      <c r="R83" s="8"/>
      <c r="T83"/>
    </row>
    <row r="84" spans="2:20" ht="23.1" customHeight="1" x14ac:dyDescent="0.25">
      <c r="B84" s="47" t="s">
        <v>124</v>
      </c>
      <c r="C84" s="50">
        <v>0</v>
      </c>
      <c r="D84" s="50">
        <v>1</v>
      </c>
      <c r="E84" s="50">
        <v>0</v>
      </c>
      <c r="F84" s="50">
        <v>0</v>
      </c>
      <c r="G84" s="50">
        <v>1</v>
      </c>
      <c r="H84" s="50">
        <v>2</v>
      </c>
      <c r="I84" s="50">
        <v>0</v>
      </c>
      <c r="J84" s="50">
        <v>0</v>
      </c>
      <c r="K84" s="50">
        <v>0</v>
      </c>
      <c r="L84" s="50">
        <v>0</v>
      </c>
      <c r="M84" s="50">
        <v>0</v>
      </c>
      <c r="N84" s="50">
        <v>0</v>
      </c>
      <c r="O84" s="15">
        <f t="shared" si="35"/>
        <v>4</v>
      </c>
      <c r="P84" s="15">
        <f t="shared" si="36"/>
        <v>4</v>
      </c>
      <c r="R84" s="8"/>
      <c r="T84"/>
    </row>
    <row r="85" spans="2:20" ht="23.1" customHeight="1" x14ac:dyDescent="0.25">
      <c r="B85" s="45" t="s">
        <v>125</v>
      </c>
      <c r="C85" s="50">
        <v>0</v>
      </c>
      <c r="D85" s="50">
        <v>0</v>
      </c>
      <c r="E85" s="50">
        <v>0</v>
      </c>
      <c r="F85" s="50">
        <v>0</v>
      </c>
      <c r="G85" s="50">
        <v>0</v>
      </c>
      <c r="H85" s="50">
        <v>0</v>
      </c>
      <c r="I85" s="50">
        <v>0</v>
      </c>
      <c r="J85" s="50">
        <v>0</v>
      </c>
      <c r="K85" s="50">
        <v>1</v>
      </c>
      <c r="L85" s="50">
        <v>0</v>
      </c>
      <c r="M85" s="50">
        <v>0</v>
      </c>
      <c r="N85" s="50">
        <v>0</v>
      </c>
      <c r="O85" s="15">
        <f t="shared" si="35"/>
        <v>1</v>
      </c>
      <c r="P85" s="15">
        <f t="shared" si="36"/>
        <v>1</v>
      </c>
      <c r="R85" s="8"/>
      <c r="T85"/>
    </row>
    <row r="86" spans="2:20" ht="23.1" customHeight="1" x14ac:dyDescent="0.25">
      <c r="B86" s="46" t="s">
        <v>126</v>
      </c>
      <c r="C86" s="50">
        <v>0</v>
      </c>
      <c r="D86" s="50">
        <v>0</v>
      </c>
      <c r="E86" s="50">
        <v>0</v>
      </c>
      <c r="F86" s="50">
        <v>0</v>
      </c>
      <c r="G86" s="50">
        <v>0</v>
      </c>
      <c r="H86" s="50">
        <v>0</v>
      </c>
      <c r="I86" s="50">
        <v>0</v>
      </c>
      <c r="J86" s="50">
        <v>0</v>
      </c>
      <c r="K86" s="50">
        <v>1</v>
      </c>
      <c r="L86" s="50">
        <v>0</v>
      </c>
      <c r="M86" s="50">
        <v>0</v>
      </c>
      <c r="N86" s="50">
        <v>0</v>
      </c>
      <c r="O86" s="15">
        <f t="shared" si="35"/>
        <v>1</v>
      </c>
      <c r="P86" s="15">
        <f t="shared" si="36"/>
        <v>1</v>
      </c>
      <c r="R86" s="8"/>
      <c r="T86"/>
    </row>
    <row r="87" spans="2:20" ht="23.1" customHeight="1" x14ac:dyDescent="0.25">
      <c r="B87" s="45" t="s">
        <v>127</v>
      </c>
      <c r="C87" s="50">
        <v>1</v>
      </c>
      <c r="D87" s="50">
        <v>0</v>
      </c>
      <c r="E87" s="50">
        <v>0</v>
      </c>
      <c r="F87" s="50">
        <v>0</v>
      </c>
      <c r="G87" s="50">
        <v>0</v>
      </c>
      <c r="H87" s="50">
        <v>1</v>
      </c>
      <c r="I87" s="50">
        <v>0</v>
      </c>
      <c r="J87" s="50">
        <v>0</v>
      </c>
      <c r="K87" s="50">
        <v>2</v>
      </c>
      <c r="L87" s="50">
        <v>0</v>
      </c>
      <c r="M87" s="50">
        <v>0</v>
      </c>
      <c r="N87" s="50">
        <v>0</v>
      </c>
      <c r="O87" s="15">
        <f t="shared" si="35"/>
        <v>4</v>
      </c>
      <c r="P87" s="15">
        <f t="shared" si="36"/>
        <v>4</v>
      </c>
      <c r="R87" s="8"/>
      <c r="T87"/>
    </row>
    <row r="88" spans="2:20" ht="23.1" customHeight="1" x14ac:dyDescent="0.25">
      <c r="B88" s="47" t="s">
        <v>128</v>
      </c>
      <c r="C88" s="50">
        <v>0</v>
      </c>
      <c r="D88" s="50">
        <v>0</v>
      </c>
      <c r="E88" s="50">
        <v>0</v>
      </c>
      <c r="F88" s="50">
        <v>0</v>
      </c>
      <c r="G88" s="50">
        <v>0</v>
      </c>
      <c r="H88" s="50">
        <v>2</v>
      </c>
      <c r="I88" s="50">
        <v>0</v>
      </c>
      <c r="J88" s="50">
        <v>0</v>
      </c>
      <c r="K88" s="50">
        <v>1</v>
      </c>
      <c r="L88" s="50">
        <v>0</v>
      </c>
      <c r="M88" s="50">
        <v>0</v>
      </c>
      <c r="N88" s="50">
        <v>0</v>
      </c>
      <c r="O88" s="15">
        <f t="shared" si="35"/>
        <v>3</v>
      </c>
      <c r="P88" s="15">
        <f t="shared" si="36"/>
        <v>3</v>
      </c>
      <c r="R88" s="8"/>
      <c r="T88"/>
    </row>
    <row r="89" spans="2:20" ht="23.1" customHeight="1" x14ac:dyDescent="0.25">
      <c r="B89" s="45" t="s">
        <v>129</v>
      </c>
      <c r="C89" s="50">
        <v>0</v>
      </c>
      <c r="D89" s="50">
        <v>0</v>
      </c>
      <c r="E89" s="50">
        <v>0</v>
      </c>
      <c r="F89" s="50">
        <v>1</v>
      </c>
      <c r="G89" s="50">
        <v>0</v>
      </c>
      <c r="H89" s="50">
        <v>0</v>
      </c>
      <c r="I89" s="50">
        <v>0</v>
      </c>
      <c r="J89" s="50">
        <v>0</v>
      </c>
      <c r="K89" s="50">
        <v>1</v>
      </c>
      <c r="L89" s="50">
        <v>0</v>
      </c>
      <c r="M89" s="50">
        <v>0</v>
      </c>
      <c r="N89" s="50">
        <v>0</v>
      </c>
      <c r="O89" s="15">
        <f t="shared" si="35"/>
        <v>2</v>
      </c>
      <c r="P89" s="15">
        <f t="shared" si="36"/>
        <v>2</v>
      </c>
      <c r="R89" s="8"/>
      <c r="T89"/>
    </row>
    <row r="90" spans="2:20" ht="23.1" customHeight="1" x14ac:dyDescent="0.25">
      <c r="B90" s="46" t="s">
        <v>130</v>
      </c>
      <c r="C90" s="50">
        <v>2</v>
      </c>
      <c r="D90" s="50">
        <v>0</v>
      </c>
      <c r="E90" s="50">
        <v>0</v>
      </c>
      <c r="F90" s="50">
        <v>0</v>
      </c>
      <c r="G90" s="50">
        <v>0</v>
      </c>
      <c r="H90" s="50">
        <v>0</v>
      </c>
      <c r="I90" s="50">
        <v>2</v>
      </c>
      <c r="J90" s="50">
        <v>0</v>
      </c>
      <c r="K90" s="50">
        <v>0</v>
      </c>
      <c r="L90" s="50">
        <v>0</v>
      </c>
      <c r="M90" s="50">
        <v>0</v>
      </c>
      <c r="N90" s="50">
        <v>0</v>
      </c>
      <c r="O90" s="15">
        <f t="shared" si="35"/>
        <v>4</v>
      </c>
      <c r="P90" s="15">
        <f t="shared" si="36"/>
        <v>4</v>
      </c>
      <c r="R90" s="8"/>
      <c r="T90"/>
    </row>
    <row r="91" spans="2:20" ht="23.1" customHeight="1" x14ac:dyDescent="0.25">
      <c r="B91" s="45" t="s">
        <v>131</v>
      </c>
      <c r="C91" s="50">
        <v>0</v>
      </c>
      <c r="D91" s="50">
        <v>0</v>
      </c>
      <c r="E91" s="50">
        <v>0</v>
      </c>
      <c r="F91" s="50">
        <v>0</v>
      </c>
      <c r="G91" s="50">
        <v>0</v>
      </c>
      <c r="H91" s="50">
        <v>1</v>
      </c>
      <c r="I91" s="50">
        <v>1</v>
      </c>
      <c r="J91" s="50">
        <v>0</v>
      </c>
      <c r="K91" s="50">
        <v>0</v>
      </c>
      <c r="L91" s="50">
        <v>0</v>
      </c>
      <c r="M91" s="50">
        <v>0</v>
      </c>
      <c r="N91" s="50">
        <v>0</v>
      </c>
      <c r="O91" s="15">
        <f t="shared" si="35"/>
        <v>2</v>
      </c>
      <c r="P91" s="15">
        <f t="shared" si="36"/>
        <v>2</v>
      </c>
      <c r="R91" s="8"/>
      <c r="T91"/>
    </row>
    <row r="92" spans="2:20" ht="23.1" customHeight="1" x14ac:dyDescent="0.25">
      <c r="B92" s="47" t="s">
        <v>132</v>
      </c>
      <c r="C92" s="50">
        <v>0</v>
      </c>
      <c r="D92" s="50">
        <v>0</v>
      </c>
      <c r="E92" s="50">
        <v>0</v>
      </c>
      <c r="F92" s="50">
        <v>0</v>
      </c>
      <c r="G92" s="50">
        <v>0</v>
      </c>
      <c r="H92" s="50">
        <v>1</v>
      </c>
      <c r="I92" s="50">
        <v>0</v>
      </c>
      <c r="J92" s="50">
        <v>0</v>
      </c>
      <c r="K92" s="50">
        <v>1</v>
      </c>
      <c r="L92" s="50">
        <v>0</v>
      </c>
      <c r="M92" s="50">
        <v>0</v>
      </c>
      <c r="N92" s="50">
        <v>0</v>
      </c>
      <c r="O92" s="15">
        <f t="shared" si="35"/>
        <v>2</v>
      </c>
      <c r="P92" s="15">
        <f t="shared" si="36"/>
        <v>2</v>
      </c>
      <c r="R92" s="8"/>
      <c r="T92"/>
    </row>
    <row r="93" spans="2:20" ht="23.1" customHeight="1" x14ac:dyDescent="0.25">
      <c r="B93" s="45" t="s">
        <v>133</v>
      </c>
      <c r="C93" s="50">
        <v>0</v>
      </c>
      <c r="D93" s="50">
        <v>0</v>
      </c>
      <c r="E93" s="50">
        <v>0</v>
      </c>
      <c r="F93" s="50">
        <v>0</v>
      </c>
      <c r="G93" s="50">
        <v>0</v>
      </c>
      <c r="H93" s="50">
        <v>0</v>
      </c>
      <c r="I93" s="50">
        <v>0</v>
      </c>
      <c r="J93" s="50">
        <v>0</v>
      </c>
      <c r="K93" s="50">
        <v>1</v>
      </c>
      <c r="L93" s="50">
        <v>0</v>
      </c>
      <c r="M93" s="50">
        <v>0</v>
      </c>
      <c r="N93" s="50">
        <v>0</v>
      </c>
      <c r="O93" s="15">
        <f t="shared" si="35"/>
        <v>1</v>
      </c>
      <c r="P93" s="15">
        <f t="shared" si="36"/>
        <v>1</v>
      </c>
      <c r="R93" s="8"/>
      <c r="T93"/>
    </row>
    <row r="94" spans="2:20" ht="23.1" customHeight="1" x14ac:dyDescent="0.25">
      <c r="B94" s="46" t="s">
        <v>134</v>
      </c>
      <c r="C94" s="50">
        <v>0</v>
      </c>
      <c r="D94" s="50">
        <v>0</v>
      </c>
      <c r="E94" s="50">
        <v>0</v>
      </c>
      <c r="F94" s="50">
        <v>1</v>
      </c>
      <c r="G94" s="50">
        <v>0</v>
      </c>
      <c r="H94" s="50">
        <v>1</v>
      </c>
      <c r="I94" s="50">
        <v>0</v>
      </c>
      <c r="J94" s="50">
        <v>0</v>
      </c>
      <c r="K94" s="50">
        <v>1</v>
      </c>
      <c r="L94" s="50">
        <v>0</v>
      </c>
      <c r="M94" s="50">
        <v>0</v>
      </c>
      <c r="N94" s="50">
        <v>0</v>
      </c>
      <c r="O94" s="15">
        <f t="shared" si="35"/>
        <v>3</v>
      </c>
      <c r="P94" s="15">
        <f t="shared" si="36"/>
        <v>3</v>
      </c>
      <c r="R94" s="8"/>
      <c r="T94"/>
    </row>
    <row r="95" spans="2:20" ht="23.1" customHeight="1" x14ac:dyDescent="0.25">
      <c r="B95" s="45" t="s">
        <v>135</v>
      </c>
      <c r="C95" s="50">
        <v>1</v>
      </c>
      <c r="D95" s="50">
        <v>0</v>
      </c>
      <c r="E95" s="50">
        <v>0</v>
      </c>
      <c r="F95" s="50">
        <v>1</v>
      </c>
      <c r="G95" s="50">
        <v>0</v>
      </c>
      <c r="H95" s="50">
        <v>0</v>
      </c>
      <c r="I95" s="50">
        <v>2</v>
      </c>
      <c r="J95" s="50">
        <v>0</v>
      </c>
      <c r="K95" s="50">
        <v>0</v>
      </c>
      <c r="L95" s="50">
        <v>0</v>
      </c>
      <c r="M95" s="50">
        <v>0</v>
      </c>
      <c r="N95" s="50">
        <v>0</v>
      </c>
      <c r="O95" s="15">
        <f t="shared" si="35"/>
        <v>4</v>
      </c>
      <c r="P95" s="15">
        <f t="shared" si="36"/>
        <v>4</v>
      </c>
      <c r="R95" s="8"/>
      <c r="T95"/>
    </row>
    <row r="96" spans="2:20" ht="23.1" customHeight="1" x14ac:dyDescent="0.25">
      <c r="B96" s="47" t="s">
        <v>136</v>
      </c>
      <c r="C96" s="50">
        <v>0</v>
      </c>
      <c r="D96" s="50">
        <v>0</v>
      </c>
      <c r="E96" s="50">
        <v>0</v>
      </c>
      <c r="F96" s="50">
        <v>5</v>
      </c>
      <c r="G96" s="50">
        <v>0</v>
      </c>
      <c r="H96" s="50">
        <v>1</v>
      </c>
      <c r="I96" s="50">
        <v>0</v>
      </c>
      <c r="J96" s="50">
        <v>0</v>
      </c>
      <c r="K96" s="50">
        <v>0</v>
      </c>
      <c r="L96" s="50">
        <v>0</v>
      </c>
      <c r="M96" s="50">
        <v>0</v>
      </c>
      <c r="N96" s="50">
        <v>0</v>
      </c>
      <c r="O96" s="15">
        <f t="shared" si="35"/>
        <v>6</v>
      </c>
      <c r="P96" s="15">
        <f t="shared" si="36"/>
        <v>6</v>
      </c>
      <c r="R96" s="8"/>
      <c r="T96"/>
    </row>
    <row r="97" spans="2:20" ht="23.1" customHeight="1" x14ac:dyDescent="0.25">
      <c r="B97" s="45" t="s">
        <v>137</v>
      </c>
      <c r="C97" s="50">
        <v>1</v>
      </c>
      <c r="D97" s="50">
        <v>0</v>
      </c>
      <c r="E97" s="50">
        <v>0</v>
      </c>
      <c r="F97" s="50">
        <v>2</v>
      </c>
      <c r="G97" s="50">
        <v>0</v>
      </c>
      <c r="H97" s="50">
        <v>0</v>
      </c>
      <c r="I97" s="50">
        <v>0</v>
      </c>
      <c r="J97" s="50">
        <v>0</v>
      </c>
      <c r="K97" s="50">
        <v>0</v>
      </c>
      <c r="L97" s="50">
        <v>0</v>
      </c>
      <c r="M97" s="50">
        <v>0</v>
      </c>
      <c r="N97" s="50">
        <v>0</v>
      </c>
      <c r="O97" s="15">
        <f t="shared" si="35"/>
        <v>3</v>
      </c>
      <c r="P97" s="15">
        <f t="shared" si="36"/>
        <v>3</v>
      </c>
      <c r="R97" s="8"/>
      <c r="T97"/>
    </row>
    <row r="98" spans="2:20" ht="23.1" customHeight="1" x14ac:dyDescent="0.25">
      <c r="B98" s="46" t="s">
        <v>138</v>
      </c>
      <c r="C98" s="50">
        <v>2</v>
      </c>
      <c r="D98" s="50">
        <v>0</v>
      </c>
      <c r="E98" s="50">
        <v>0</v>
      </c>
      <c r="F98" s="50">
        <v>2</v>
      </c>
      <c r="G98" s="50">
        <v>0</v>
      </c>
      <c r="H98" s="50">
        <v>0</v>
      </c>
      <c r="I98" s="50">
        <v>0</v>
      </c>
      <c r="J98" s="50">
        <v>0</v>
      </c>
      <c r="K98" s="50">
        <v>0</v>
      </c>
      <c r="L98" s="50">
        <v>0</v>
      </c>
      <c r="M98" s="50">
        <v>0</v>
      </c>
      <c r="N98" s="50">
        <v>0</v>
      </c>
      <c r="O98" s="15">
        <f t="shared" si="35"/>
        <v>4</v>
      </c>
      <c r="P98" s="15">
        <f t="shared" si="36"/>
        <v>4</v>
      </c>
      <c r="R98" s="8"/>
      <c r="T98"/>
    </row>
    <row r="99" spans="2:20" ht="23.1" customHeight="1" x14ac:dyDescent="0.25">
      <c r="B99" s="45" t="s">
        <v>139</v>
      </c>
      <c r="C99" s="50">
        <v>0</v>
      </c>
      <c r="D99" s="50">
        <v>0</v>
      </c>
      <c r="E99" s="50">
        <v>0</v>
      </c>
      <c r="F99" s="50">
        <v>0</v>
      </c>
      <c r="G99" s="50">
        <v>0</v>
      </c>
      <c r="H99" s="50">
        <v>0</v>
      </c>
      <c r="I99" s="50">
        <v>0</v>
      </c>
      <c r="J99" s="50">
        <v>0</v>
      </c>
      <c r="K99" s="50">
        <v>0</v>
      </c>
      <c r="L99" s="50">
        <v>0</v>
      </c>
      <c r="M99" s="50">
        <v>0</v>
      </c>
      <c r="N99" s="50">
        <v>0</v>
      </c>
      <c r="O99" s="15">
        <f t="shared" si="35"/>
        <v>0</v>
      </c>
      <c r="P99" s="15">
        <f t="shared" si="36"/>
        <v>0</v>
      </c>
      <c r="R99" s="8"/>
      <c r="T99"/>
    </row>
    <row r="100" spans="2:20" ht="23.1" customHeight="1" x14ac:dyDescent="0.25">
      <c r="B100" s="47" t="s">
        <v>140</v>
      </c>
      <c r="C100" s="50">
        <v>0</v>
      </c>
      <c r="D100" s="50">
        <v>0</v>
      </c>
      <c r="E100" s="50">
        <v>1</v>
      </c>
      <c r="F100" s="50">
        <v>0</v>
      </c>
      <c r="G100" s="50">
        <v>0</v>
      </c>
      <c r="H100" s="50">
        <v>0</v>
      </c>
      <c r="I100" s="50">
        <v>0</v>
      </c>
      <c r="J100" s="50">
        <v>0</v>
      </c>
      <c r="K100" s="50">
        <v>0</v>
      </c>
      <c r="L100" s="50">
        <v>0</v>
      </c>
      <c r="M100" s="50">
        <v>0</v>
      </c>
      <c r="N100" s="50">
        <v>0</v>
      </c>
      <c r="O100" s="15">
        <f t="shared" si="35"/>
        <v>1</v>
      </c>
      <c r="P100" s="15">
        <f t="shared" si="36"/>
        <v>1</v>
      </c>
      <c r="R100" s="8"/>
      <c r="T100"/>
    </row>
    <row r="101" spans="2:20" ht="23.1" customHeight="1" x14ac:dyDescent="0.25">
      <c r="B101" s="45" t="s">
        <v>141</v>
      </c>
      <c r="C101" s="50">
        <v>1</v>
      </c>
      <c r="D101" s="50">
        <v>0</v>
      </c>
      <c r="E101" s="50">
        <v>0</v>
      </c>
      <c r="F101" s="50">
        <v>0</v>
      </c>
      <c r="G101" s="50">
        <v>0</v>
      </c>
      <c r="H101" s="50">
        <v>0</v>
      </c>
      <c r="I101" s="50">
        <v>0</v>
      </c>
      <c r="J101" s="50">
        <v>0</v>
      </c>
      <c r="K101" s="50">
        <v>1</v>
      </c>
      <c r="L101" s="50">
        <v>0</v>
      </c>
      <c r="M101" s="50">
        <v>1</v>
      </c>
      <c r="N101" s="50">
        <v>0</v>
      </c>
      <c r="O101" s="15">
        <f t="shared" si="35"/>
        <v>2</v>
      </c>
      <c r="P101" s="15">
        <f t="shared" si="36"/>
        <v>3</v>
      </c>
      <c r="R101" s="8"/>
      <c r="T101"/>
    </row>
    <row r="102" spans="2:20" ht="23.1" customHeight="1" x14ac:dyDescent="0.25">
      <c r="B102" s="46" t="s">
        <v>142</v>
      </c>
      <c r="C102" s="50">
        <v>1</v>
      </c>
      <c r="D102" s="50">
        <v>1</v>
      </c>
      <c r="E102" s="50">
        <v>4</v>
      </c>
      <c r="F102" s="50">
        <v>0</v>
      </c>
      <c r="G102" s="50">
        <v>0</v>
      </c>
      <c r="H102" s="50">
        <v>1</v>
      </c>
      <c r="I102" s="50">
        <v>0</v>
      </c>
      <c r="J102" s="50">
        <v>1</v>
      </c>
      <c r="K102" s="50">
        <v>0</v>
      </c>
      <c r="L102" s="50">
        <v>0</v>
      </c>
      <c r="M102" s="50">
        <v>0</v>
      </c>
      <c r="N102" s="50">
        <v>0</v>
      </c>
      <c r="O102" s="15">
        <f t="shared" si="35"/>
        <v>8</v>
      </c>
      <c r="P102" s="15">
        <f t="shared" si="36"/>
        <v>8</v>
      </c>
      <c r="R102" s="8"/>
      <c r="T102"/>
    </row>
    <row r="103" spans="2:20" ht="23.1" customHeight="1" x14ac:dyDescent="0.25">
      <c r="B103" s="45" t="s">
        <v>143</v>
      </c>
      <c r="C103" s="50">
        <v>2</v>
      </c>
      <c r="D103" s="50">
        <v>1</v>
      </c>
      <c r="E103" s="50">
        <v>0</v>
      </c>
      <c r="F103" s="50">
        <v>2</v>
      </c>
      <c r="G103" s="50">
        <v>0</v>
      </c>
      <c r="H103" s="50">
        <v>1</v>
      </c>
      <c r="I103" s="50">
        <v>0</v>
      </c>
      <c r="J103" s="50">
        <v>0</v>
      </c>
      <c r="K103" s="50">
        <v>1</v>
      </c>
      <c r="L103" s="50">
        <v>0</v>
      </c>
      <c r="M103" s="50">
        <v>0</v>
      </c>
      <c r="N103" s="50">
        <v>0</v>
      </c>
      <c r="O103" s="15">
        <f t="shared" si="35"/>
        <v>7</v>
      </c>
      <c r="P103" s="15">
        <f t="shared" si="36"/>
        <v>7</v>
      </c>
      <c r="R103" s="8"/>
      <c r="T103"/>
    </row>
    <row r="104" spans="2:20" ht="23.1" customHeight="1" x14ac:dyDescent="0.25">
      <c r="B104" s="47" t="s">
        <v>144</v>
      </c>
      <c r="C104" s="50">
        <v>3</v>
      </c>
      <c r="D104" s="50">
        <v>1</v>
      </c>
      <c r="E104" s="50">
        <v>0</v>
      </c>
      <c r="F104" s="50">
        <v>4</v>
      </c>
      <c r="G104" s="50">
        <v>0</v>
      </c>
      <c r="H104" s="50">
        <v>0</v>
      </c>
      <c r="I104" s="50">
        <v>0</v>
      </c>
      <c r="J104" s="50">
        <v>0</v>
      </c>
      <c r="K104" s="50">
        <v>0</v>
      </c>
      <c r="L104" s="50">
        <v>0</v>
      </c>
      <c r="M104" s="50">
        <v>3</v>
      </c>
      <c r="N104" s="50">
        <v>0</v>
      </c>
      <c r="O104" s="15">
        <f t="shared" si="35"/>
        <v>8</v>
      </c>
      <c r="P104" s="15">
        <f t="shared" si="36"/>
        <v>11</v>
      </c>
      <c r="R104" s="8"/>
      <c r="T104"/>
    </row>
    <row r="105" spans="2:20" ht="23.1" customHeight="1" x14ac:dyDescent="0.25">
      <c r="B105" s="45" t="s">
        <v>145</v>
      </c>
      <c r="C105" s="50">
        <v>3</v>
      </c>
      <c r="D105" s="50">
        <v>1</v>
      </c>
      <c r="E105" s="50">
        <v>0</v>
      </c>
      <c r="F105" s="50">
        <v>4</v>
      </c>
      <c r="G105" s="50">
        <v>0</v>
      </c>
      <c r="H105" s="50">
        <v>0</v>
      </c>
      <c r="I105" s="50">
        <v>0</v>
      </c>
      <c r="J105" s="50">
        <v>0</v>
      </c>
      <c r="K105" s="50">
        <v>0</v>
      </c>
      <c r="L105" s="50">
        <v>0</v>
      </c>
      <c r="M105" s="50">
        <v>2</v>
      </c>
      <c r="N105" s="50">
        <v>0</v>
      </c>
      <c r="O105" s="15">
        <f t="shared" si="35"/>
        <v>8</v>
      </c>
      <c r="P105" s="15">
        <f t="shared" si="36"/>
        <v>10</v>
      </c>
      <c r="R105" s="8"/>
      <c r="T105"/>
    </row>
    <row r="106" spans="2:20" ht="23.1" customHeight="1" x14ac:dyDescent="0.25">
      <c r="B106" s="26" t="s">
        <v>18</v>
      </c>
      <c r="C106" s="16">
        <f>SUM(C10:C105)</f>
        <v>352</v>
      </c>
      <c r="D106" s="16">
        <f t="shared" ref="D106:P106" si="37">SUM(D10:D105)</f>
        <v>113</v>
      </c>
      <c r="E106" s="16">
        <f t="shared" si="37"/>
        <v>139</v>
      </c>
      <c r="F106" s="16">
        <f t="shared" si="37"/>
        <v>543</v>
      </c>
      <c r="G106" s="16">
        <f t="shared" si="37"/>
        <v>20</v>
      </c>
      <c r="H106" s="16">
        <f t="shared" si="37"/>
        <v>36</v>
      </c>
      <c r="I106" s="16">
        <f t="shared" si="37"/>
        <v>128</v>
      </c>
      <c r="J106" s="16">
        <f t="shared" si="37"/>
        <v>56</v>
      </c>
      <c r="K106" s="16">
        <f t="shared" si="37"/>
        <v>78</v>
      </c>
      <c r="L106" s="16">
        <f t="shared" si="37"/>
        <v>19</v>
      </c>
      <c r="M106" s="16">
        <f t="shared" si="37"/>
        <v>550</v>
      </c>
      <c r="N106" s="16">
        <f t="shared" si="37"/>
        <v>3</v>
      </c>
      <c r="O106" s="16">
        <f t="shared" si="37"/>
        <v>1487</v>
      </c>
      <c r="P106" s="16">
        <f t="shared" si="37"/>
        <v>2037</v>
      </c>
      <c r="R106" s="8"/>
      <c r="T106"/>
    </row>
    <row r="107" spans="2:20" ht="23.1" customHeight="1" x14ac:dyDescent="0.25">
      <c r="B107" s="26" t="s">
        <v>93</v>
      </c>
      <c r="C107" s="43">
        <f t="shared" ref="C107:N107" si="38">C106/$P$106</f>
        <v>0.17280314187530682</v>
      </c>
      <c r="D107" s="43">
        <f t="shared" si="38"/>
        <v>5.5473735886107017E-2</v>
      </c>
      <c r="E107" s="43">
        <f t="shared" si="38"/>
        <v>6.823760432007854E-2</v>
      </c>
      <c r="F107" s="43">
        <f t="shared" si="38"/>
        <v>0.26656848306332842</v>
      </c>
      <c r="G107" s="43">
        <f t="shared" si="38"/>
        <v>9.8183603338242512E-3</v>
      </c>
      <c r="H107" s="43">
        <f t="shared" si="38"/>
        <v>1.7673048600883652E-2</v>
      </c>
      <c r="I107" s="43">
        <f t="shared" si="38"/>
        <v>6.2837506136475207E-2</v>
      </c>
      <c r="J107" s="43">
        <f t="shared" si="38"/>
        <v>2.7491408934707903E-2</v>
      </c>
      <c r="K107" s="43">
        <f t="shared" si="38"/>
        <v>3.8291605301914583E-2</v>
      </c>
      <c r="L107" s="43">
        <f t="shared" si="38"/>
        <v>9.3274423171330386E-3</v>
      </c>
      <c r="M107" s="43">
        <f t="shared" si="38"/>
        <v>0.2700049091801669</v>
      </c>
      <c r="N107" s="43">
        <f t="shared" si="38"/>
        <v>1.4727540500736377E-3</v>
      </c>
      <c r="R107" s="8"/>
      <c r="T107"/>
    </row>
    <row r="108" spans="2:20" ht="23.1" customHeight="1" x14ac:dyDescent="0.25">
      <c r="B108" s="42" t="s">
        <v>94</v>
      </c>
      <c r="C108" s="44">
        <f>C106/$O$106</f>
        <v>0.2367182246133154</v>
      </c>
      <c r="D108" s="44">
        <f t="shared" ref="D108:N108" si="39">D106/$O$106</f>
        <v>7.5991930060524543E-2</v>
      </c>
      <c r="E108" s="44">
        <f t="shared" si="39"/>
        <v>9.3476798924008064E-2</v>
      </c>
      <c r="F108" s="44">
        <f t="shared" si="39"/>
        <v>0.36516476126429054</v>
      </c>
      <c r="G108" s="44">
        <f t="shared" si="39"/>
        <v>1.3449899125756557E-2</v>
      </c>
      <c r="H108" s="44">
        <f t="shared" si="39"/>
        <v>2.4209818426361801E-2</v>
      </c>
      <c r="I108" s="44">
        <f t="shared" si="39"/>
        <v>8.6079354404841962E-2</v>
      </c>
      <c r="J108" s="44">
        <f t="shared" si="39"/>
        <v>3.765971755211836E-2</v>
      </c>
      <c r="K108" s="44">
        <f t="shared" si="39"/>
        <v>5.2454606590450571E-2</v>
      </c>
      <c r="L108" s="44">
        <f t="shared" si="39"/>
        <v>1.2777404169468728E-2</v>
      </c>
      <c r="M108" s="44"/>
      <c r="N108" s="44">
        <f t="shared" si="39"/>
        <v>2.0174848688634837E-3</v>
      </c>
      <c r="Q108" s="7"/>
      <c r="R108" s="8"/>
      <c r="T108"/>
    </row>
    <row r="109" spans="2:20" ht="23.1" customHeight="1" x14ac:dyDescent="0.25">
      <c r="B109" s="3"/>
      <c r="C109" s="18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Q109" s="7"/>
      <c r="R109" s="8"/>
      <c r="T109"/>
    </row>
    <row r="110" spans="2:20" ht="23.1" customHeight="1" x14ac:dyDescent="0.25">
      <c r="B110" s="3"/>
      <c r="C110" s="18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Q110" s="7"/>
      <c r="R110" s="8"/>
      <c r="T110"/>
    </row>
    <row r="111" spans="2:20" ht="23.1" customHeight="1" x14ac:dyDescent="0.25">
      <c r="B111" s="3"/>
      <c r="C111" s="18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Q111" s="7"/>
    </row>
    <row r="112" spans="2:20" ht="23.1" customHeight="1" x14ac:dyDescent="0.25">
      <c r="B112" s="3"/>
      <c r="C112" s="18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Q112" s="7"/>
    </row>
    <row r="113" spans="2:20" s="7" customFormat="1" ht="23.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/>
      <c r="P113"/>
      <c r="S113" s="8"/>
      <c r="T113" s="8"/>
    </row>
    <row r="114" spans="2:20" s="7" customFormat="1" ht="23.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/>
      <c r="P114"/>
      <c r="S114" s="8"/>
      <c r="T114" s="8"/>
    </row>
    <row r="115" spans="2:20" s="7" customFormat="1" ht="23.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/>
      <c r="P115"/>
      <c r="S115" s="8"/>
      <c r="T115" s="8"/>
    </row>
    <row r="116" spans="2:20" s="7" customFormat="1" ht="23.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/>
      <c r="P116"/>
      <c r="S116" s="8"/>
      <c r="T116" s="8"/>
    </row>
    <row r="117" spans="2:20" s="7" customFormat="1" ht="23.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/>
      <c r="P117"/>
      <c r="S117" s="8"/>
      <c r="T117" s="8"/>
    </row>
    <row r="118" spans="2:20" s="7" customFormat="1" ht="23.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/>
      <c r="P118"/>
      <c r="S118" s="8"/>
      <c r="T118" s="8"/>
    </row>
    <row r="119" spans="2:20" s="7" customFormat="1" ht="23.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/>
      <c r="P119"/>
      <c r="S119" s="8"/>
      <c r="T119" s="8"/>
    </row>
    <row r="120" spans="2:20" s="7" customFormat="1" ht="23.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/>
      <c r="P120"/>
      <c r="S120" s="8"/>
      <c r="T120" s="8"/>
    </row>
    <row r="121" spans="2:20" s="7" customFormat="1" ht="23.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/>
      <c r="P121"/>
      <c r="S121" s="8"/>
      <c r="T121" s="8"/>
    </row>
    <row r="122" spans="2:20" s="7" customFormat="1" ht="23.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/>
      <c r="P122"/>
      <c r="S122" s="8"/>
      <c r="T122" s="8"/>
    </row>
    <row r="123" spans="2:20" s="7" customFormat="1" ht="23.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/>
      <c r="P123"/>
      <c r="S123" s="8"/>
      <c r="T123" s="8"/>
    </row>
    <row r="124" spans="2:20" s="7" customFormat="1" ht="23.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/>
      <c r="P124"/>
      <c r="S124" s="8"/>
      <c r="T124" s="8"/>
    </row>
    <row r="125" spans="2:20" s="7" customFormat="1" ht="23.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/>
      <c r="P125"/>
      <c r="Q125"/>
      <c r="S125" s="8"/>
      <c r="T125" s="8"/>
    </row>
    <row r="126" spans="2:20" s="7" customFormat="1" ht="23.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/>
      <c r="P126"/>
      <c r="Q126"/>
      <c r="S126" s="8"/>
      <c r="T126" s="8"/>
    </row>
    <row r="127" spans="2:20" s="7" customFormat="1" ht="23.1" customHeight="1" x14ac:dyDescent="0.25"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/>
      <c r="P127"/>
      <c r="Q127"/>
      <c r="S127" s="8"/>
      <c r="T127" s="8"/>
    </row>
    <row r="128" spans="2:20" s="7" customFormat="1" ht="23.1" customHeight="1" x14ac:dyDescent="0.25"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/>
      <c r="P128"/>
      <c r="Q128"/>
      <c r="S128" s="8"/>
      <c r="T128" s="8"/>
    </row>
    <row r="129" spans="2:14" ht="23.1" customHeight="1" x14ac:dyDescent="0.25"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</row>
    <row r="130" spans="2:14" ht="23.1" customHeight="1" x14ac:dyDescent="0.25"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</row>
    <row r="131" spans="2:14" ht="23.1" customHeight="1" x14ac:dyDescent="0.25"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</row>
    <row r="132" spans="2:14" ht="23.1" customHeight="1" x14ac:dyDescent="0.25"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</row>
    <row r="133" spans="2:14" ht="23.1" customHeight="1" x14ac:dyDescent="0.25"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</row>
    <row r="134" spans="2:14" ht="23.1" customHeight="1" x14ac:dyDescent="0.25"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</row>
    <row r="135" spans="2:14" ht="23.1" customHeight="1" x14ac:dyDescent="0.25"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</row>
    <row r="136" spans="2:14" ht="23.1" customHeight="1" x14ac:dyDescent="0.25"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</row>
    <row r="137" spans="2:14" ht="23.1" customHeight="1" x14ac:dyDescent="0.25"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</row>
    <row r="138" spans="2:14" ht="23.1" customHeight="1" x14ac:dyDescent="0.25"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</row>
    <row r="139" spans="2:14" ht="23.1" customHeight="1" x14ac:dyDescent="0.25"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</row>
    <row r="140" spans="2:14" ht="23.1" customHeight="1" x14ac:dyDescent="0.25"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</row>
    <row r="141" spans="2:14" ht="23.1" customHeight="1" x14ac:dyDescent="0.25"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</row>
    <row r="142" spans="2:14" ht="23.1" customHeight="1" x14ac:dyDescent="0.25"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</row>
    <row r="143" spans="2:14" ht="23.1" customHeight="1" x14ac:dyDescent="0.25"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</row>
    <row r="144" spans="2:14" ht="23.1" customHeight="1" x14ac:dyDescent="0.25"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</row>
    <row r="145" spans="2:14" ht="23.1" customHeight="1" x14ac:dyDescent="0.25"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</row>
    <row r="146" spans="2:14" ht="23.1" customHeight="1" x14ac:dyDescent="0.25"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</row>
    <row r="147" spans="2:14" ht="23.1" customHeight="1" x14ac:dyDescent="0.25"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</row>
    <row r="148" spans="2:14" ht="23.1" customHeight="1" x14ac:dyDescent="0.25"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</row>
    <row r="149" spans="2:14" ht="23.1" customHeight="1" x14ac:dyDescent="0.25"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</row>
    <row r="150" spans="2:14" ht="23.1" customHeight="1" x14ac:dyDescent="0.25"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</row>
    <row r="151" spans="2:14" ht="23.1" customHeight="1" x14ac:dyDescent="0.25"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</row>
    <row r="152" spans="2:14" ht="23.1" customHeight="1" x14ac:dyDescent="0.25"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</row>
    <row r="153" spans="2:14" ht="23.1" customHeight="1" x14ac:dyDescent="0.25"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</row>
    <row r="154" spans="2:14" ht="23.1" customHeight="1" x14ac:dyDescent="0.25"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</row>
    <row r="155" spans="2:14" ht="23.1" customHeight="1" x14ac:dyDescent="0.25"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</row>
    <row r="156" spans="2:14" ht="23.1" customHeight="1" x14ac:dyDescent="0.25"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</row>
    <row r="157" spans="2:14" ht="23.1" customHeight="1" x14ac:dyDescent="0.25"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</row>
    <row r="158" spans="2:14" ht="23.1" customHeight="1" x14ac:dyDescent="0.25"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</row>
    <row r="159" spans="2:14" ht="23.1" customHeight="1" x14ac:dyDescent="0.25"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</row>
    <row r="160" spans="2:14" ht="23.1" customHeight="1" x14ac:dyDescent="0.25"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</row>
    <row r="161" spans="2:14" ht="23.1" customHeight="1" x14ac:dyDescent="0.25"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</row>
    <row r="162" spans="2:14" ht="23.1" customHeight="1" x14ac:dyDescent="0.25"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</row>
    <row r="163" spans="2:14" ht="23.1" customHeight="1" x14ac:dyDescent="0.25"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</row>
    <row r="164" spans="2:14" ht="23.1" customHeight="1" x14ac:dyDescent="0.25"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</row>
    <row r="165" spans="2:14" ht="23.1" customHeight="1" x14ac:dyDescent="0.25"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</row>
    <row r="166" spans="2:14" ht="23.1" customHeight="1" x14ac:dyDescent="0.25"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</row>
    <row r="167" spans="2:14" ht="23.1" customHeight="1" x14ac:dyDescent="0.25"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</row>
    <row r="168" spans="2:14" ht="23.1" customHeight="1" x14ac:dyDescent="0.25"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</row>
    <row r="169" spans="2:14" ht="23.1" customHeight="1" x14ac:dyDescent="0.25"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</row>
    <row r="170" spans="2:14" ht="23.1" customHeight="1" x14ac:dyDescent="0.25"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</row>
    <row r="171" spans="2:14" ht="23.1" customHeight="1" x14ac:dyDescent="0.25"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</row>
    <row r="172" spans="2:14" ht="23.1" customHeight="1" x14ac:dyDescent="0.25"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</row>
    <row r="173" spans="2:14" ht="23.1" customHeight="1" x14ac:dyDescent="0.25"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</row>
    <row r="174" spans="2:14" ht="23.1" customHeight="1" x14ac:dyDescent="0.25"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2" tint="-0.249977111117893"/>
  </sheetPr>
  <dimension ref="B1:AF174"/>
  <sheetViews>
    <sheetView view="pageBreakPreview" topLeftCell="A46" zoomScale="80" zoomScaleSheetLayoutView="80" workbookViewId="0">
      <selection activeCell="C3" sqref="C3:G3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710937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60" t="s">
        <v>23</v>
      </c>
      <c r="C1" s="60"/>
      <c r="D1" s="60"/>
      <c r="E1" s="60"/>
      <c r="F1" s="60"/>
      <c r="G1" s="60"/>
      <c r="H1" s="60"/>
      <c r="I1" s="60"/>
      <c r="J1" s="60"/>
      <c r="K1" s="60"/>
      <c r="L1" s="60"/>
      <c r="M1" s="60"/>
      <c r="N1" s="60"/>
      <c r="O1" s="60"/>
      <c r="P1" s="60"/>
      <c r="Q1" s="60"/>
      <c r="R1" s="60"/>
      <c r="S1" s="60"/>
      <c r="T1" s="60"/>
      <c r="U1" s="60"/>
      <c r="V1" s="60"/>
      <c r="W1" s="60"/>
      <c r="X1" s="60"/>
      <c r="Y1" s="60"/>
      <c r="Z1" s="60"/>
      <c r="AA1" s="60"/>
      <c r="AB1" s="60"/>
      <c r="AC1" s="60"/>
      <c r="AD1" s="60"/>
      <c r="AE1" s="60"/>
    </row>
    <row r="2" spans="2:32" ht="20.100000000000001" customHeight="1" x14ac:dyDescent="0.25">
      <c r="B2" s="61" t="s">
        <v>95</v>
      </c>
      <c r="C2" s="61"/>
      <c r="D2" s="61"/>
      <c r="E2" s="61"/>
      <c r="F2" s="61"/>
      <c r="G2" s="61"/>
      <c r="H2" s="61"/>
      <c r="I2" s="61"/>
      <c r="J2" s="61"/>
      <c r="K2" s="61"/>
      <c r="L2" s="61"/>
      <c r="M2" s="61"/>
      <c r="N2" s="61"/>
      <c r="O2" s="61"/>
      <c r="P2" s="61"/>
      <c r="Q2" s="61"/>
      <c r="R2" s="61"/>
      <c r="S2" s="61"/>
      <c r="T2" s="61"/>
      <c r="U2" s="61"/>
      <c r="V2" s="61"/>
      <c r="W2" s="61"/>
      <c r="X2" s="61"/>
      <c r="Y2" s="61"/>
      <c r="Z2" s="61"/>
      <c r="AA2" s="61"/>
      <c r="AB2" s="61"/>
      <c r="AC2" s="61"/>
      <c r="AD2" s="61"/>
      <c r="AE2" s="61"/>
    </row>
    <row r="3" spans="2:32" ht="20.100000000000001" customHeight="1" x14ac:dyDescent="0.25">
      <c r="B3" s="22" t="s">
        <v>96</v>
      </c>
      <c r="C3" s="62" t="s">
        <v>183</v>
      </c>
      <c r="D3" s="62"/>
      <c r="E3" s="62"/>
      <c r="F3" s="62"/>
      <c r="G3" s="62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51" t="s">
        <v>162</v>
      </c>
      <c r="E5" s="3"/>
      <c r="F5" s="41" t="s">
        <v>1</v>
      </c>
      <c r="G5" s="57" t="str">
        <f>'22.10 Butongole-Busembatya'!G5:H5</f>
        <v>NAMALEMBA</v>
      </c>
      <c r="H5" s="58"/>
      <c r="I5" s="14"/>
      <c r="J5" s="2" t="s">
        <v>5</v>
      </c>
      <c r="K5" s="57" t="str">
        <f>'22.10 Butongole-Busembatya'!K5:L5</f>
        <v>Atukoi Joshua</v>
      </c>
      <c r="L5" s="58"/>
      <c r="M5" s="10"/>
      <c r="N5" s="10"/>
      <c r="O5" s="3"/>
      <c r="P5" s="3"/>
    </row>
    <row r="6" spans="2:32" ht="23.25" customHeight="1" x14ac:dyDescent="0.25">
      <c r="C6" s="2" t="s">
        <v>4</v>
      </c>
      <c r="D6" s="57" t="s">
        <v>170</v>
      </c>
      <c r="E6" s="58"/>
      <c r="F6" s="2" t="s">
        <v>2</v>
      </c>
      <c r="G6" s="57" t="s">
        <v>171</v>
      </c>
      <c r="H6" s="58"/>
      <c r="J6" s="2" t="s">
        <v>21</v>
      </c>
      <c r="K6" s="57" t="str">
        <f>'22.10 Butongole-Busembatya'!K6:L6</f>
        <v>Turyahabwe Norman</v>
      </c>
      <c r="L6" s="58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9" t="s">
        <v>88</v>
      </c>
      <c r="S8" s="59"/>
      <c r="T8" s="59"/>
      <c r="U8" s="59"/>
      <c r="V8" s="59"/>
      <c r="W8" s="59"/>
      <c r="X8" s="59"/>
      <c r="Y8" s="59"/>
      <c r="Z8" s="59"/>
      <c r="AA8" s="59"/>
      <c r="AB8" s="59"/>
      <c r="AC8" s="59"/>
      <c r="AD8" s="59"/>
      <c r="AE8" s="59"/>
      <c r="AF8" s="59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45" t="s">
        <v>37</v>
      </c>
      <c r="C10" s="50">
        <v>2</v>
      </c>
      <c r="D10" s="50">
        <v>2</v>
      </c>
      <c r="E10" s="50">
        <v>2</v>
      </c>
      <c r="F10" s="50">
        <v>3</v>
      </c>
      <c r="G10" s="50">
        <v>0</v>
      </c>
      <c r="H10" s="50">
        <v>0</v>
      </c>
      <c r="I10" s="50">
        <v>0</v>
      </c>
      <c r="J10" s="50">
        <v>0</v>
      </c>
      <c r="K10" s="50">
        <v>2</v>
      </c>
      <c r="L10" s="50">
        <v>0</v>
      </c>
      <c r="M10" s="50">
        <v>1</v>
      </c>
      <c r="N10" s="50">
        <v>0</v>
      </c>
      <c r="O10" s="15">
        <f t="shared" ref="O10:O57" si="0">SUM(C10:L10,N10)</f>
        <v>11</v>
      </c>
      <c r="P10" s="15">
        <f t="shared" ref="P10:P57" si="1">SUM(C10:N10)</f>
        <v>12</v>
      </c>
      <c r="R10" s="1" t="s">
        <v>6</v>
      </c>
      <c r="S10" s="17">
        <f t="shared" ref="S10:AF10" si="2">SUM(C10:C13)</f>
        <v>18</v>
      </c>
      <c r="T10" s="17">
        <f t="shared" si="2"/>
        <v>6</v>
      </c>
      <c r="U10" s="17">
        <f t="shared" si="2"/>
        <v>8</v>
      </c>
      <c r="V10" s="17">
        <f t="shared" si="2"/>
        <v>15</v>
      </c>
      <c r="W10" s="17">
        <f t="shared" si="2"/>
        <v>0</v>
      </c>
      <c r="X10" s="17">
        <f t="shared" si="2"/>
        <v>3</v>
      </c>
      <c r="Y10" s="17">
        <f t="shared" si="2"/>
        <v>1</v>
      </c>
      <c r="Z10" s="17">
        <f t="shared" si="2"/>
        <v>4</v>
      </c>
      <c r="AA10" s="17">
        <f t="shared" si="2"/>
        <v>7</v>
      </c>
      <c r="AB10" s="17">
        <f t="shared" si="2"/>
        <v>0</v>
      </c>
      <c r="AC10" s="17">
        <f t="shared" si="2"/>
        <v>31</v>
      </c>
      <c r="AD10" s="17">
        <f t="shared" si="2"/>
        <v>0</v>
      </c>
      <c r="AE10" s="31">
        <f t="shared" si="2"/>
        <v>62</v>
      </c>
      <c r="AF10" s="31">
        <f t="shared" si="2"/>
        <v>93</v>
      </c>
    </row>
    <row r="11" spans="2:32" s="6" customFormat="1" ht="23.1" customHeight="1" x14ac:dyDescent="0.25">
      <c r="B11" s="45" t="s">
        <v>38</v>
      </c>
      <c r="C11" s="50">
        <v>7</v>
      </c>
      <c r="D11" s="50">
        <v>0</v>
      </c>
      <c r="E11" s="50">
        <v>1</v>
      </c>
      <c r="F11" s="50">
        <v>4</v>
      </c>
      <c r="G11" s="50">
        <v>0</v>
      </c>
      <c r="H11" s="50">
        <v>1</v>
      </c>
      <c r="I11" s="50">
        <v>1</v>
      </c>
      <c r="J11" s="50">
        <v>2</v>
      </c>
      <c r="K11" s="50">
        <v>3</v>
      </c>
      <c r="L11" s="50">
        <v>0</v>
      </c>
      <c r="M11" s="50">
        <v>5</v>
      </c>
      <c r="N11" s="50">
        <v>0</v>
      </c>
      <c r="O11" s="15">
        <f t="shared" si="0"/>
        <v>19</v>
      </c>
      <c r="P11" s="15">
        <f t="shared" si="1"/>
        <v>24</v>
      </c>
      <c r="R11" s="1" t="s">
        <v>7</v>
      </c>
      <c r="S11" s="17">
        <f t="shared" ref="S11:AF11" si="3">SUM(C14:C17)</f>
        <v>21</v>
      </c>
      <c r="T11" s="17">
        <f t="shared" si="3"/>
        <v>18</v>
      </c>
      <c r="U11" s="17">
        <f t="shared" si="3"/>
        <v>16</v>
      </c>
      <c r="V11" s="17">
        <f t="shared" si="3"/>
        <v>27</v>
      </c>
      <c r="W11" s="17">
        <f t="shared" si="3"/>
        <v>0</v>
      </c>
      <c r="X11" s="17">
        <f t="shared" si="3"/>
        <v>0</v>
      </c>
      <c r="Y11" s="17">
        <f t="shared" si="3"/>
        <v>3</v>
      </c>
      <c r="Z11" s="17">
        <f t="shared" si="3"/>
        <v>9</v>
      </c>
      <c r="AA11" s="17">
        <f t="shared" si="3"/>
        <v>6</v>
      </c>
      <c r="AB11" s="17">
        <f t="shared" si="3"/>
        <v>0</v>
      </c>
      <c r="AC11" s="17">
        <f t="shared" si="3"/>
        <v>44</v>
      </c>
      <c r="AD11" s="17">
        <f t="shared" si="3"/>
        <v>0</v>
      </c>
      <c r="AE11" s="31">
        <f t="shared" si="3"/>
        <v>100</v>
      </c>
      <c r="AF11" s="31">
        <f t="shared" si="3"/>
        <v>144</v>
      </c>
    </row>
    <row r="12" spans="2:32" ht="23.1" customHeight="1" x14ac:dyDescent="0.25">
      <c r="B12" s="45" t="s">
        <v>39</v>
      </c>
      <c r="C12" s="50">
        <v>2</v>
      </c>
      <c r="D12" s="50">
        <v>2</v>
      </c>
      <c r="E12" s="50">
        <v>5</v>
      </c>
      <c r="F12" s="50">
        <v>5</v>
      </c>
      <c r="G12" s="50">
        <v>0</v>
      </c>
      <c r="H12" s="50">
        <v>0</v>
      </c>
      <c r="I12" s="50">
        <v>0</v>
      </c>
      <c r="J12" s="50">
        <v>1</v>
      </c>
      <c r="K12" s="50">
        <v>1</v>
      </c>
      <c r="L12" s="50">
        <v>0</v>
      </c>
      <c r="M12" s="50">
        <v>14</v>
      </c>
      <c r="N12" s="50">
        <v>0</v>
      </c>
      <c r="O12" s="15">
        <f t="shared" si="0"/>
        <v>16</v>
      </c>
      <c r="P12" s="15">
        <f t="shared" si="1"/>
        <v>30</v>
      </c>
      <c r="R12" s="1" t="s">
        <v>8</v>
      </c>
      <c r="S12" s="17">
        <f t="shared" ref="S12:AF12" si="4">SUM(C18:C21)</f>
        <v>27</v>
      </c>
      <c r="T12" s="17">
        <f t="shared" si="4"/>
        <v>19</v>
      </c>
      <c r="U12" s="17">
        <f t="shared" si="4"/>
        <v>8</v>
      </c>
      <c r="V12" s="17">
        <f t="shared" si="4"/>
        <v>41</v>
      </c>
      <c r="W12" s="17">
        <f t="shared" si="4"/>
        <v>2</v>
      </c>
      <c r="X12" s="17">
        <f t="shared" si="4"/>
        <v>1</v>
      </c>
      <c r="Y12" s="17">
        <f t="shared" si="4"/>
        <v>5</v>
      </c>
      <c r="Z12" s="17">
        <f t="shared" si="4"/>
        <v>5</v>
      </c>
      <c r="AA12" s="17">
        <f t="shared" si="4"/>
        <v>7</v>
      </c>
      <c r="AB12" s="17">
        <f t="shared" si="4"/>
        <v>0</v>
      </c>
      <c r="AC12" s="17">
        <f t="shared" si="4"/>
        <v>55</v>
      </c>
      <c r="AD12" s="17">
        <f t="shared" si="4"/>
        <v>0</v>
      </c>
      <c r="AE12" s="31">
        <f t="shared" si="4"/>
        <v>115</v>
      </c>
      <c r="AF12" s="31">
        <f t="shared" si="4"/>
        <v>170</v>
      </c>
    </row>
    <row r="13" spans="2:32" ht="23.1" customHeight="1" x14ac:dyDescent="0.25">
      <c r="B13" s="45" t="s">
        <v>40</v>
      </c>
      <c r="C13" s="50">
        <v>7</v>
      </c>
      <c r="D13" s="50">
        <v>2</v>
      </c>
      <c r="E13" s="50">
        <v>0</v>
      </c>
      <c r="F13" s="50">
        <v>3</v>
      </c>
      <c r="G13" s="50">
        <v>0</v>
      </c>
      <c r="H13" s="50">
        <v>2</v>
      </c>
      <c r="I13" s="50">
        <v>0</v>
      </c>
      <c r="J13" s="50">
        <v>1</v>
      </c>
      <c r="K13" s="50">
        <v>1</v>
      </c>
      <c r="L13" s="50">
        <v>0</v>
      </c>
      <c r="M13" s="50">
        <v>11</v>
      </c>
      <c r="N13" s="50">
        <v>0</v>
      </c>
      <c r="O13" s="15">
        <f t="shared" si="0"/>
        <v>16</v>
      </c>
      <c r="P13" s="15">
        <f t="shared" si="1"/>
        <v>27</v>
      </c>
      <c r="R13" s="1" t="s">
        <v>9</v>
      </c>
      <c r="S13" s="17">
        <f t="shared" ref="S13:AF13" si="5">SUM(C22:C25)</f>
        <v>25</v>
      </c>
      <c r="T13" s="17">
        <f t="shared" si="5"/>
        <v>7</v>
      </c>
      <c r="U13" s="17">
        <f t="shared" si="5"/>
        <v>13</v>
      </c>
      <c r="V13" s="17">
        <f t="shared" si="5"/>
        <v>38</v>
      </c>
      <c r="W13" s="17">
        <f t="shared" si="5"/>
        <v>2</v>
      </c>
      <c r="X13" s="17">
        <f t="shared" si="5"/>
        <v>1</v>
      </c>
      <c r="Y13" s="17">
        <f t="shared" si="5"/>
        <v>4</v>
      </c>
      <c r="Z13" s="17">
        <f t="shared" si="5"/>
        <v>3</v>
      </c>
      <c r="AA13" s="17">
        <f t="shared" si="5"/>
        <v>2</v>
      </c>
      <c r="AB13" s="17">
        <f t="shared" si="5"/>
        <v>0</v>
      </c>
      <c r="AC13" s="17">
        <f t="shared" si="5"/>
        <v>53</v>
      </c>
      <c r="AD13" s="17">
        <f t="shared" si="5"/>
        <v>2</v>
      </c>
      <c r="AE13" s="31">
        <f t="shared" si="5"/>
        <v>97</v>
      </c>
      <c r="AF13" s="31">
        <f t="shared" si="5"/>
        <v>150</v>
      </c>
    </row>
    <row r="14" spans="2:32" ht="23.1" customHeight="1" x14ac:dyDescent="0.25">
      <c r="B14" s="45" t="s">
        <v>41</v>
      </c>
      <c r="C14" s="50">
        <v>4</v>
      </c>
      <c r="D14" s="50">
        <v>4</v>
      </c>
      <c r="E14" s="50">
        <v>2</v>
      </c>
      <c r="F14" s="50">
        <v>7</v>
      </c>
      <c r="G14" s="50">
        <v>0</v>
      </c>
      <c r="H14" s="50">
        <v>0</v>
      </c>
      <c r="I14" s="50">
        <v>1</v>
      </c>
      <c r="J14" s="50">
        <v>1</v>
      </c>
      <c r="K14" s="50">
        <v>3</v>
      </c>
      <c r="L14" s="50">
        <v>0</v>
      </c>
      <c r="M14" s="50">
        <v>15</v>
      </c>
      <c r="N14" s="50">
        <v>0</v>
      </c>
      <c r="O14" s="15">
        <f t="shared" si="0"/>
        <v>22</v>
      </c>
      <c r="P14" s="15">
        <f t="shared" si="1"/>
        <v>37</v>
      </c>
      <c r="R14" s="1" t="s">
        <v>10</v>
      </c>
      <c r="S14" s="17">
        <f t="shared" ref="S14:AF14" si="6">SUM(C26:C29)</f>
        <v>31</v>
      </c>
      <c r="T14" s="17">
        <f t="shared" si="6"/>
        <v>7</v>
      </c>
      <c r="U14" s="17">
        <f t="shared" si="6"/>
        <v>6</v>
      </c>
      <c r="V14" s="17">
        <f t="shared" si="6"/>
        <v>50</v>
      </c>
      <c r="W14" s="17">
        <f t="shared" si="6"/>
        <v>3</v>
      </c>
      <c r="X14" s="17">
        <f t="shared" si="6"/>
        <v>1</v>
      </c>
      <c r="Y14" s="17">
        <f t="shared" si="6"/>
        <v>4</v>
      </c>
      <c r="Z14" s="17">
        <f t="shared" si="6"/>
        <v>6</v>
      </c>
      <c r="AA14" s="17">
        <f t="shared" si="6"/>
        <v>3</v>
      </c>
      <c r="AB14" s="17">
        <f t="shared" si="6"/>
        <v>0</v>
      </c>
      <c r="AC14" s="17">
        <f t="shared" si="6"/>
        <v>53</v>
      </c>
      <c r="AD14" s="17">
        <f t="shared" si="6"/>
        <v>0</v>
      </c>
      <c r="AE14" s="31">
        <f t="shared" si="6"/>
        <v>111</v>
      </c>
      <c r="AF14" s="31">
        <f t="shared" si="6"/>
        <v>164</v>
      </c>
    </row>
    <row r="15" spans="2:32" ht="23.1" customHeight="1" x14ac:dyDescent="0.25">
      <c r="B15" s="45" t="s">
        <v>42</v>
      </c>
      <c r="C15" s="50">
        <v>2</v>
      </c>
      <c r="D15" s="50">
        <v>7</v>
      </c>
      <c r="E15" s="50">
        <v>3</v>
      </c>
      <c r="F15" s="50">
        <v>4</v>
      </c>
      <c r="G15" s="50">
        <v>0</v>
      </c>
      <c r="H15" s="50">
        <v>0</v>
      </c>
      <c r="I15" s="50">
        <v>0</v>
      </c>
      <c r="J15" s="50">
        <v>4</v>
      </c>
      <c r="K15" s="50">
        <v>2</v>
      </c>
      <c r="L15" s="50">
        <v>0</v>
      </c>
      <c r="M15" s="50">
        <v>10</v>
      </c>
      <c r="N15" s="50">
        <v>0</v>
      </c>
      <c r="O15" s="15">
        <f t="shared" si="0"/>
        <v>22</v>
      </c>
      <c r="P15" s="15">
        <f t="shared" si="1"/>
        <v>32</v>
      </c>
      <c r="R15" s="1" t="s">
        <v>11</v>
      </c>
      <c r="S15" s="17">
        <f t="shared" ref="S15:AF15" si="7">SUM(C30:C33)</f>
        <v>50</v>
      </c>
      <c r="T15" s="17">
        <f t="shared" si="7"/>
        <v>12</v>
      </c>
      <c r="U15" s="17">
        <f t="shared" si="7"/>
        <v>6</v>
      </c>
      <c r="V15" s="17">
        <f t="shared" si="7"/>
        <v>46</v>
      </c>
      <c r="W15" s="17">
        <f t="shared" si="7"/>
        <v>1</v>
      </c>
      <c r="X15" s="17">
        <f t="shared" si="7"/>
        <v>1</v>
      </c>
      <c r="Y15" s="17">
        <f t="shared" si="7"/>
        <v>6</v>
      </c>
      <c r="Z15" s="17">
        <f t="shared" si="7"/>
        <v>4</v>
      </c>
      <c r="AA15" s="17">
        <f t="shared" si="7"/>
        <v>2</v>
      </c>
      <c r="AB15" s="17">
        <f t="shared" si="7"/>
        <v>0</v>
      </c>
      <c r="AC15" s="17">
        <f t="shared" si="7"/>
        <v>54</v>
      </c>
      <c r="AD15" s="17">
        <f t="shared" si="7"/>
        <v>0</v>
      </c>
      <c r="AE15" s="31">
        <f t="shared" si="7"/>
        <v>128</v>
      </c>
      <c r="AF15" s="31">
        <f t="shared" si="7"/>
        <v>182</v>
      </c>
    </row>
    <row r="16" spans="2:32" ht="23.1" customHeight="1" x14ac:dyDescent="0.25">
      <c r="B16" s="45" t="s">
        <v>43</v>
      </c>
      <c r="C16" s="50">
        <v>10</v>
      </c>
      <c r="D16" s="50">
        <v>4</v>
      </c>
      <c r="E16" s="50">
        <v>5</v>
      </c>
      <c r="F16" s="50">
        <v>8</v>
      </c>
      <c r="G16" s="50">
        <v>0</v>
      </c>
      <c r="H16" s="50">
        <v>0</v>
      </c>
      <c r="I16" s="50">
        <v>1</v>
      </c>
      <c r="J16" s="50">
        <v>4</v>
      </c>
      <c r="K16" s="50">
        <v>0</v>
      </c>
      <c r="L16" s="50">
        <v>0</v>
      </c>
      <c r="M16" s="50">
        <v>12</v>
      </c>
      <c r="N16" s="50">
        <v>0</v>
      </c>
      <c r="O16" s="15">
        <f t="shared" si="0"/>
        <v>32</v>
      </c>
      <c r="P16" s="15">
        <f t="shared" si="1"/>
        <v>44</v>
      </c>
      <c r="R16" s="1" t="s">
        <v>12</v>
      </c>
      <c r="S16" s="17">
        <f t="shared" ref="S16:AF16" si="8">SUM(C34:C37)</f>
        <v>36</v>
      </c>
      <c r="T16" s="17">
        <f t="shared" si="8"/>
        <v>10</v>
      </c>
      <c r="U16" s="17">
        <f t="shared" si="8"/>
        <v>13</v>
      </c>
      <c r="V16" s="17">
        <f t="shared" si="8"/>
        <v>39</v>
      </c>
      <c r="W16" s="17">
        <f t="shared" si="8"/>
        <v>0</v>
      </c>
      <c r="X16" s="17">
        <f t="shared" si="8"/>
        <v>0</v>
      </c>
      <c r="Y16" s="17">
        <f t="shared" si="8"/>
        <v>4</v>
      </c>
      <c r="Z16" s="17">
        <f t="shared" si="8"/>
        <v>4</v>
      </c>
      <c r="AA16" s="17">
        <f t="shared" si="8"/>
        <v>4</v>
      </c>
      <c r="AB16" s="17">
        <f t="shared" si="8"/>
        <v>0</v>
      </c>
      <c r="AC16" s="17">
        <f t="shared" si="8"/>
        <v>48</v>
      </c>
      <c r="AD16" s="17">
        <f t="shared" si="8"/>
        <v>0</v>
      </c>
      <c r="AE16" s="31">
        <f t="shared" si="8"/>
        <v>110</v>
      </c>
      <c r="AF16" s="31">
        <f t="shared" si="8"/>
        <v>158</v>
      </c>
    </row>
    <row r="17" spans="2:32" ht="23.1" customHeight="1" x14ac:dyDescent="0.25">
      <c r="B17" s="45" t="s">
        <v>44</v>
      </c>
      <c r="C17" s="50">
        <v>5</v>
      </c>
      <c r="D17" s="50">
        <v>3</v>
      </c>
      <c r="E17" s="50">
        <v>6</v>
      </c>
      <c r="F17" s="50">
        <v>8</v>
      </c>
      <c r="G17" s="50">
        <v>0</v>
      </c>
      <c r="H17" s="50">
        <v>0</v>
      </c>
      <c r="I17" s="50">
        <v>1</v>
      </c>
      <c r="J17" s="50">
        <v>0</v>
      </c>
      <c r="K17" s="50">
        <v>1</v>
      </c>
      <c r="L17" s="50">
        <v>0</v>
      </c>
      <c r="M17" s="50">
        <v>7</v>
      </c>
      <c r="N17" s="50">
        <v>0</v>
      </c>
      <c r="O17" s="15">
        <f t="shared" si="0"/>
        <v>24</v>
      </c>
      <c r="P17" s="15">
        <f t="shared" si="1"/>
        <v>31</v>
      </c>
      <c r="R17" s="1" t="s">
        <v>13</v>
      </c>
      <c r="S17" s="17">
        <f t="shared" ref="S17:AF17" si="9">SUM(C38:C41)</f>
        <v>19</v>
      </c>
      <c r="T17" s="17">
        <f t="shared" si="9"/>
        <v>7</v>
      </c>
      <c r="U17" s="17">
        <f t="shared" si="9"/>
        <v>9</v>
      </c>
      <c r="V17" s="17">
        <f t="shared" si="9"/>
        <v>41</v>
      </c>
      <c r="W17" s="17">
        <f t="shared" si="9"/>
        <v>1</v>
      </c>
      <c r="X17" s="17">
        <f t="shared" si="9"/>
        <v>2</v>
      </c>
      <c r="Y17" s="17">
        <f t="shared" si="9"/>
        <v>2</v>
      </c>
      <c r="Z17" s="17">
        <f t="shared" si="9"/>
        <v>5</v>
      </c>
      <c r="AA17" s="17">
        <f t="shared" si="9"/>
        <v>2</v>
      </c>
      <c r="AB17" s="17">
        <f t="shared" si="9"/>
        <v>2</v>
      </c>
      <c r="AC17" s="17">
        <f t="shared" si="9"/>
        <v>60</v>
      </c>
      <c r="AD17" s="17">
        <f t="shared" si="9"/>
        <v>0</v>
      </c>
      <c r="AE17" s="31">
        <f t="shared" si="9"/>
        <v>90</v>
      </c>
      <c r="AF17" s="31">
        <f t="shared" si="9"/>
        <v>150</v>
      </c>
    </row>
    <row r="18" spans="2:32" ht="23.1" customHeight="1" x14ac:dyDescent="0.25">
      <c r="B18" s="45" t="s">
        <v>45</v>
      </c>
      <c r="C18" s="50">
        <v>5</v>
      </c>
      <c r="D18" s="50">
        <v>7</v>
      </c>
      <c r="E18" s="50">
        <v>1</v>
      </c>
      <c r="F18" s="50">
        <v>12</v>
      </c>
      <c r="G18" s="50">
        <v>0</v>
      </c>
      <c r="H18" s="50">
        <v>1</v>
      </c>
      <c r="I18" s="50">
        <v>2</v>
      </c>
      <c r="J18" s="50">
        <v>2</v>
      </c>
      <c r="K18" s="50">
        <v>2</v>
      </c>
      <c r="L18" s="50">
        <v>0</v>
      </c>
      <c r="M18" s="50">
        <v>15</v>
      </c>
      <c r="N18" s="50">
        <v>0</v>
      </c>
      <c r="O18" s="15">
        <f t="shared" si="0"/>
        <v>32</v>
      </c>
      <c r="P18" s="15">
        <f t="shared" si="1"/>
        <v>47</v>
      </c>
      <c r="R18" s="1" t="s">
        <v>14</v>
      </c>
      <c r="S18" s="17">
        <f t="shared" ref="S18:AF18" si="10">SUM(C42:C45)</f>
        <v>39</v>
      </c>
      <c r="T18" s="17">
        <f t="shared" si="10"/>
        <v>5</v>
      </c>
      <c r="U18" s="17">
        <f t="shared" si="10"/>
        <v>4</v>
      </c>
      <c r="V18" s="17">
        <f t="shared" si="10"/>
        <v>46</v>
      </c>
      <c r="W18" s="17">
        <f t="shared" si="10"/>
        <v>2</v>
      </c>
      <c r="X18" s="17">
        <f t="shared" si="10"/>
        <v>3</v>
      </c>
      <c r="Y18" s="17">
        <f t="shared" si="10"/>
        <v>6</v>
      </c>
      <c r="Z18" s="17">
        <f t="shared" si="10"/>
        <v>3</v>
      </c>
      <c r="AA18" s="17">
        <f t="shared" si="10"/>
        <v>2</v>
      </c>
      <c r="AB18" s="17">
        <f t="shared" si="10"/>
        <v>0</v>
      </c>
      <c r="AC18" s="17">
        <f t="shared" si="10"/>
        <v>55</v>
      </c>
      <c r="AD18" s="17">
        <f t="shared" si="10"/>
        <v>0</v>
      </c>
      <c r="AE18" s="31">
        <f t="shared" si="10"/>
        <v>110</v>
      </c>
      <c r="AF18" s="31">
        <f t="shared" si="10"/>
        <v>165</v>
      </c>
    </row>
    <row r="19" spans="2:32" ht="23.1" customHeight="1" x14ac:dyDescent="0.25">
      <c r="B19" s="45" t="s">
        <v>46</v>
      </c>
      <c r="C19" s="50">
        <v>12</v>
      </c>
      <c r="D19" s="50">
        <v>2</v>
      </c>
      <c r="E19" s="50">
        <v>3</v>
      </c>
      <c r="F19" s="50">
        <v>16</v>
      </c>
      <c r="G19" s="50">
        <v>0</v>
      </c>
      <c r="H19" s="50">
        <v>0</v>
      </c>
      <c r="I19" s="50">
        <v>0</v>
      </c>
      <c r="J19" s="50">
        <v>1</v>
      </c>
      <c r="K19" s="50">
        <v>3</v>
      </c>
      <c r="L19" s="50">
        <v>0</v>
      </c>
      <c r="M19" s="50">
        <v>16</v>
      </c>
      <c r="N19" s="50">
        <v>0</v>
      </c>
      <c r="O19" s="15">
        <f t="shared" si="0"/>
        <v>37</v>
      </c>
      <c r="P19" s="15">
        <f t="shared" si="1"/>
        <v>53</v>
      </c>
      <c r="R19" s="1" t="s">
        <v>15</v>
      </c>
      <c r="S19" s="17">
        <f t="shared" ref="S19:AF19" si="11">SUM(C46:C49)</f>
        <v>13</v>
      </c>
      <c r="T19" s="17">
        <f t="shared" si="11"/>
        <v>5</v>
      </c>
      <c r="U19" s="17">
        <f t="shared" si="11"/>
        <v>5</v>
      </c>
      <c r="V19" s="17">
        <f t="shared" si="11"/>
        <v>40</v>
      </c>
      <c r="W19" s="17">
        <f t="shared" si="11"/>
        <v>0</v>
      </c>
      <c r="X19" s="17">
        <f t="shared" si="11"/>
        <v>0</v>
      </c>
      <c r="Y19" s="17">
        <f t="shared" si="11"/>
        <v>2</v>
      </c>
      <c r="Z19" s="17">
        <f t="shared" si="11"/>
        <v>3</v>
      </c>
      <c r="AA19" s="17">
        <f t="shared" si="11"/>
        <v>4</v>
      </c>
      <c r="AB19" s="17">
        <f t="shared" si="11"/>
        <v>0</v>
      </c>
      <c r="AC19" s="17">
        <f t="shared" si="11"/>
        <v>40</v>
      </c>
      <c r="AD19" s="17">
        <f t="shared" si="11"/>
        <v>0</v>
      </c>
      <c r="AE19" s="31">
        <f t="shared" si="11"/>
        <v>72</v>
      </c>
      <c r="AF19" s="31">
        <f t="shared" si="11"/>
        <v>112</v>
      </c>
    </row>
    <row r="20" spans="2:32" ht="23.1" customHeight="1" x14ac:dyDescent="0.25">
      <c r="B20" s="45" t="s">
        <v>47</v>
      </c>
      <c r="C20" s="50">
        <v>4</v>
      </c>
      <c r="D20" s="50">
        <v>5</v>
      </c>
      <c r="E20" s="50">
        <v>1</v>
      </c>
      <c r="F20" s="50">
        <v>6</v>
      </c>
      <c r="G20" s="50">
        <v>2</v>
      </c>
      <c r="H20" s="50">
        <v>0</v>
      </c>
      <c r="I20" s="50">
        <v>2</v>
      </c>
      <c r="J20" s="50">
        <v>1</v>
      </c>
      <c r="K20" s="50">
        <v>1</v>
      </c>
      <c r="L20" s="50">
        <v>0</v>
      </c>
      <c r="M20" s="50">
        <v>11</v>
      </c>
      <c r="N20" s="50">
        <v>0</v>
      </c>
      <c r="O20" s="15">
        <f t="shared" si="0"/>
        <v>22</v>
      </c>
      <c r="P20" s="15">
        <f t="shared" si="1"/>
        <v>33</v>
      </c>
      <c r="R20" s="1" t="s">
        <v>16</v>
      </c>
      <c r="S20" s="17">
        <f t="shared" ref="S20:AF20" si="12">SUM(C50:C53)</f>
        <v>28</v>
      </c>
      <c r="T20" s="17">
        <f t="shared" si="12"/>
        <v>11</v>
      </c>
      <c r="U20" s="17">
        <f t="shared" si="12"/>
        <v>3</v>
      </c>
      <c r="V20" s="17">
        <f t="shared" si="12"/>
        <v>45</v>
      </c>
      <c r="W20" s="17">
        <f t="shared" si="12"/>
        <v>0</v>
      </c>
      <c r="X20" s="17">
        <f t="shared" si="12"/>
        <v>1</v>
      </c>
      <c r="Y20" s="17">
        <f t="shared" si="12"/>
        <v>3</v>
      </c>
      <c r="Z20" s="17">
        <f t="shared" si="12"/>
        <v>8</v>
      </c>
      <c r="AA20" s="17">
        <f t="shared" si="12"/>
        <v>1</v>
      </c>
      <c r="AB20" s="17">
        <f t="shared" si="12"/>
        <v>0</v>
      </c>
      <c r="AC20" s="17">
        <f t="shared" si="12"/>
        <v>74</v>
      </c>
      <c r="AD20" s="17">
        <f t="shared" si="12"/>
        <v>0</v>
      </c>
      <c r="AE20" s="31">
        <f t="shared" si="12"/>
        <v>100</v>
      </c>
      <c r="AF20" s="31">
        <f t="shared" si="12"/>
        <v>174</v>
      </c>
    </row>
    <row r="21" spans="2:32" ht="23.1" customHeight="1" x14ac:dyDescent="0.25">
      <c r="B21" s="45" t="s">
        <v>48</v>
      </c>
      <c r="C21" s="50">
        <v>6</v>
      </c>
      <c r="D21" s="50">
        <v>5</v>
      </c>
      <c r="E21" s="50">
        <v>3</v>
      </c>
      <c r="F21" s="50">
        <v>7</v>
      </c>
      <c r="G21" s="50">
        <v>0</v>
      </c>
      <c r="H21" s="50">
        <v>0</v>
      </c>
      <c r="I21" s="50">
        <v>1</v>
      </c>
      <c r="J21" s="50">
        <v>1</v>
      </c>
      <c r="K21" s="50">
        <v>1</v>
      </c>
      <c r="L21" s="50">
        <v>0</v>
      </c>
      <c r="M21" s="50">
        <v>13</v>
      </c>
      <c r="N21" s="50">
        <v>0</v>
      </c>
      <c r="O21" s="15">
        <f t="shared" si="0"/>
        <v>24</v>
      </c>
      <c r="P21" s="15">
        <f t="shared" si="1"/>
        <v>37</v>
      </c>
      <c r="R21" s="36" t="s">
        <v>20</v>
      </c>
      <c r="S21" s="34">
        <f t="shared" ref="S21:AF21" si="13">SUM(C54:C57)</f>
        <v>31</v>
      </c>
      <c r="T21" s="17">
        <f t="shared" si="13"/>
        <v>3</v>
      </c>
      <c r="U21" s="17">
        <f t="shared" si="13"/>
        <v>5</v>
      </c>
      <c r="V21" s="17">
        <f t="shared" si="13"/>
        <v>40</v>
      </c>
      <c r="W21" s="17">
        <f t="shared" si="13"/>
        <v>1</v>
      </c>
      <c r="X21" s="17">
        <f t="shared" si="13"/>
        <v>2</v>
      </c>
      <c r="Y21" s="17">
        <f t="shared" si="13"/>
        <v>3</v>
      </c>
      <c r="Z21" s="17">
        <f t="shared" si="13"/>
        <v>4</v>
      </c>
      <c r="AA21" s="17">
        <f t="shared" si="13"/>
        <v>3</v>
      </c>
      <c r="AB21" s="17">
        <f t="shared" si="13"/>
        <v>0</v>
      </c>
      <c r="AC21" s="17">
        <f t="shared" si="13"/>
        <v>63</v>
      </c>
      <c r="AD21" s="17">
        <f t="shared" si="13"/>
        <v>0</v>
      </c>
      <c r="AE21" s="31">
        <f t="shared" si="13"/>
        <v>92</v>
      </c>
      <c r="AF21" s="31">
        <f t="shared" si="13"/>
        <v>155</v>
      </c>
    </row>
    <row r="22" spans="2:32" ht="23.1" customHeight="1" x14ac:dyDescent="0.25">
      <c r="B22" s="45" t="s">
        <v>49</v>
      </c>
      <c r="C22" s="50">
        <v>9</v>
      </c>
      <c r="D22" s="50">
        <v>2</v>
      </c>
      <c r="E22" s="50">
        <v>3</v>
      </c>
      <c r="F22" s="50">
        <v>11</v>
      </c>
      <c r="G22" s="50">
        <v>1</v>
      </c>
      <c r="H22" s="50">
        <v>1</v>
      </c>
      <c r="I22" s="50">
        <v>2</v>
      </c>
      <c r="J22" s="50">
        <v>0</v>
      </c>
      <c r="K22" s="50">
        <v>2</v>
      </c>
      <c r="L22" s="50">
        <v>0</v>
      </c>
      <c r="M22" s="50">
        <v>12</v>
      </c>
      <c r="N22" s="50">
        <v>0</v>
      </c>
      <c r="O22" s="15">
        <f t="shared" si="0"/>
        <v>31</v>
      </c>
      <c r="P22" s="15">
        <f t="shared" si="1"/>
        <v>43</v>
      </c>
      <c r="R22" s="36" t="s">
        <v>146</v>
      </c>
      <c r="S22" s="34">
        <f>SUM(C58:C61)</f>
        <v>19</v>
      </c>
      <c r="T22" s="34">
        <f t="shared" ref="T22:AF22" si="14">SUM(D58:D61)</f>
        <v>6</v>
      </c>
      <c r="U22" s="34">
        <f t="shared" si="14"/>
        <v>6</v>
      </c>
      <c r="V22" s="34">
        <f t="shared" si="14"/>
        <v>31</v>
      </c>
      <c r="W22" s="34">
        <f t="shared" si="14"/>
        <v>2</v>
      </c>
      <c r="X22" s="34">
        <f t="shared" si="14"/>
        <v>2</v>
      </c>
      <c r="Y22" s="34">
        <f t="shared" si="14"/>
        <v>10</v>
      </c>
      <c r="Z22" s="34">
        <f t="shared" si="14"/>
        <v>0</v>
      </c>
      <c r="AA22" s="34">
        <f t="shared" si="14"/>
        <v>3</v>
      </c>
      <c r="AB22" s="34">
        <f t="shared" si="14"/>
        <v>1</v>
      </c>
      <c r="AC22" s="34">
        <f t="shared" si="14"/>
        <v>44</v>
      </c>
      <c r="AD22" s="34">
        <f t="shared" si="14"/>
        <v>0</v>
      </c>
      <c r="AE22" s="31">
        <f t="shared" si="14"/>
        <v>80</v>
      </c>
      <c r="AF22" s="31">
        <f t="shared" si="14"/>
        <v>124</v>
      </c>
    </row>
    <row r="23" spans="2:32" ht="23.1" customHeight="1" x14ac:dyDescent="0.25">
      <c r="B23" s="45" t="s">
        <v>50</v>
      </c>
      <c r="C23" s="50">
        <v>2</v>
      </c>
      <c r="D23" s="50">
        <v>2</v>
      </c>
      <c r="E23" s="50">
        <v>1</v>
      </c>
      <c r="F23" s="50">
        <v>8</v>
      </c>
      <c r="G23" s="50">
        <v>1</v>
      </c>
      <c r="H23" s="50">
        <v>0</v>
      </c>
      <c r="I23" s="50">
        <v>0</v>
      </c>
      <c r="J23" s="50">
        <v>2</v>
      </c>
      <c r="K23" s="50">
        <v>0</v>
      </c>
      <c r="L23" s="50">
        <v>0</v>
      </c>
      <c r="M23" s="50">
        <v>9</v>
      </c>
      <c r="N23" s="50">
        <v>2</v>
      </c>
      <c r="O23" s="15">
        <f t="shared" si="0"/>
        <v>18</v>
      </c>
      <c r="P23" s="15">
        <f t="shared" si="1"/>
        <v>27</v>
      </c>
      <c r="R23" s="36" t="s">
        <v>147</v>
      </c>
      <c r="S23" s="34">
        <f>SUM(C62:C65)</f>
        <v>9</v>
      </c>
      <c r="T23" s="34">
        <f t="shared" ref="T23:AF23" si="15">SUM(D62:D65)</f>
        <v>3</v>
      </c>
      <c r="U23" s="34">
        <f t="shared" si="15"/>
        <v>4</v>
      </c>
      <c r="V23" s="34">
        <f t="shared" si="15"/>
        <v>27</v>
      </c>
      <c r="W23" s="34">
        <f t="shared" si="15"/>
        <v>1</v>
      </c>
      <c r="X23" s="34">
        <f t="shared" si="15"/>
        <v>0</v>
      </c>
      <c r="Y23" s="34">
        <f t="shared" si="15"/>
        <v>8</v>
      </c>
      <c r="Z23" s="34">
        <f t="shared" si="15"/>
        <v>0</v>
      </c>
      <c r="AA23" s="34">
        <f t="shared" si="15"/>
        <v>3</v>
      </c>
      <c r="AB23" s="34">
        <f t="shared" si="15"/>
        <v>0</v>
      </c>
      <c r="AC23" s="34">
        <f t="shared" si="15"/>
        <v>19</v>
      </c>
      <c r="AD23" s="34">
        <f t="shared" si="15"/>
        <v>0</v>
      </c>
      <c r="AE23" s="31">
        <f t="shared" si="15"/>
        <v>55</v>
      </c>
      <c r="AF23" s="31">
        <f t="shared" si="15"/>
        <v>74</v>
      </c>
    </row>
    <row r="24" spans="2:32" ht="23.1" customHeight="1" x14ac:dyDescent="0.25">
      <c r="B24" s="45" t="s">
        <v>51</v>
      </c>
      <c r="C24" s="50">
        <v>5</v>
      </c>
      <c r="D24" s="50">
        <v>3</v>
      </c>
      <c r="E24" s="50">
        <v>5</v>
      </c>
      <c r="F24" s="50">
        <v>8</v>
      </c>
      <c r="G24" s="50">
        <v>0</v>
      </c>
      <c r="H24" s="50">
        <v>0</v>
      </c>
      <c r="I24" s="50">
        <v>2</v>
      </c>
      <c r="J24" s="50">
        <v>0</v>
      </c>
      <c r="K24" s="50">
        <v>0</v>
      </c>
      <c r="L24" s="50">
        <v>0</v>
      </c>
      <c r="M24" s="50">
        <v>9</v>
      </c>
      <c r="N24" s="50">
        <v>0</v>
      </c>
      <c r="O24" s="15">
        <f t="shared" si="0"/>
        <v>23</v>
      </c>
      <c r="P24" s="15">
        <f t="shared" si="1"/>
        <v>32</v>
      </c>
      <c r="R24" s="36" t="s">
        <v>148</v>
      </c>
      <c r="S24" s="34">
        <f>SUM(C66:C69)</f>
        <v>8</v>
      </c>
      <c r="T24" s="34">
        <f t="shared" ref="T24:AF24" si="16">SUM(D66:D69)</f>
        <v>4</v>
      </c>
      <c r="U24" s="34">
        <f t="shared" si="16"/>
        <v>9</v>
      </c>
      <c r="V24" s="34">
        <f t="shared" si="16"/>
        <v>25</v>
      </c>
      <c r="W24" s="34">
        <f t="shared" si="16"/>
        <v>0</v>
      </c>
      <c r="X24" s="34">
        <f t="shared" si="16"/>
        <v>4</v>
      </c>
      <c r="Y24" s="34">
        <f t="shared" si="16"/>
        <v>16</v>
      </c>
      <c r="Z24" s="34">
        <f t="shared" si="16"/>
        <v>0</v>
      </c>
      <c r="AA24" s="34">
        <f t="shared" si="16"/>
        <v>0</v>
      </c>
      <c r="AB24" s="34">
        <f t="shared" si="16"/>
        <v>1</v>
      </c>
      <c r="AC24" s="34">
        <f t="shared" si="16"/>
        <v>24</v>
      </c>
      <c r="AD24" s="34">
        <f t="shared" si="16"/>
        <v>0</v>
      </c>
      <c r="AE24" s="31">
        <f t="shared" si="16"/>
        <v>67</v>
      </c>
      <c r="AF24" s="31">
        <f t="shared" si="16"/>
        <v>91</v>
      </c>
    </row>
    <row r="25" spans="2:32" ht="23.1" customHeight="1" x14ac:dyDescent="0.25">
      <c r="B25" s="45" t="s">
        <v>52</v>
      </c>
      <c r="C25" s="50">
        <v>9</v>
      </c>
      <c r="D25" s="50">
        <v>0</v>
      </c>
      <c r="E25" s="50">
        <v>4</v>
      </c>
      <c r="F25" s="50">
        <v>11</v>
      </c>
      <c r="G25" s="50">
        <v>0</v>
      </c>
      <c r="H25" s="50">
        <v>0</v>
      </c>
      <c r="I25" s="50">
        <v>0</v>
      </c>
      <c r="J25" s="50">
        <v>1</v>
      </c>
      <c r="K25" s="50">
        <v>0</v>
      </c>
      <c r="L25" s="50">
        <v>0</v>
      </c>
      <c r="M25" s="50">
        <v>23</v>
      </c>
      <c r="N25" s="50">
        <v>0</v>
      </c>
      <c r="O25" s="15">
        <f t="shared" si="0"/>
        <v>25</v>
      </c>
      <c r="P25" s="15">
        <f t="shared" si="1"/>
        <v>48</v>
      </c>
      <c r="R25" s="36" t="s">
        <v>149</v>
      </c>
      <c r="S25" s="34">
        <f>SUM(C70:C73)</f>
        <v>8</v>
      </c>
      <c r="T25" s="34">
        <f t="shared" ref="T25:AF25" si="17">SUM(D70:D73)</f>
        <v>2</v>
      </c>
      <c r="U25" s="34">
        <f t="shared" si="17"/>
        <v>6</v>
      </c>
      <c r="V25" s="34">
        <f t="shared" si="17"/>
        <v>10</v>
      </c>
      <c r="W25" s="34">
        <f t="shared" si="17"/>
        <v>2</v>
      </c>
      <c r="X25" s="34">
        <f t="shared" si="17"/>
        <v>0</v>
      </c>
      <c r="Y25" s="34">
        <f t="shared" si="17"/>
        <v>9</v>
      </c>
      <c r="Z25" s="34">
        <f t="shared" si="17"/>
        <v>0</v>
      </c>
      <c r="AA25" s="34">
        <f t="shared" si="17"/>
        <v>0</v>
      </c>
      <c r="AB25" s="34">
        <f t="shared" si="17"/>
        <v>1</v>
      </c>
      <c r="AC25" s="34">
        <f t="shared" si="17"/>
        <v>6</v>
      </c>
      <c r="AD25" s="34">
        <f t="shared" si="17"/>
        <v>0</v>
      </c>
      <c r="AE25" s="31">
        <f t="shared" si="17"/>
        <v>38</v>
      </c>
      <c r="AF25" s="31">
        <f t="shared" si="17"/>
        <v>44</v>
      </c>
    </row>
    <row r="26" spans="2:32" ht="23.1" customHeight="1" x14ac:dyDescent="0.25">
      <c r="B26" s="45" t="s">
        <v>53</v>
      </c>
      <c r="C26" s="50">
        <v>4</v>
      </c>
      <c r="D26" s="50">
        <v>2</v>
      </c>
      <c r="E26" s="50">
        <v>2</v>
      </c>
      <c r="F26" s="50">
        <v>11</v>
      </c>
      <c r="G26" s="50">
        <v>0</v>
      </c>
      <c r="H26" s="50">
        <v>0</v>
      </c>
      <c r="I26" s="50">
        <v>2</v>
      </c>
      <c r="J26" s="50">
        <v>2</v>
      </c>
      <c r="K26" s="50">
        <v>1</v>
      </c>
      <c r="L26" s="50">
        <v>0</v>
      </c>
      <c r="M26" s="50">
        <v>17</v>
      </c>
      <c r="N26" s="50">
        <v>0</v>
      </c>
      <c r="O26" s="15">
        <f t="shared" si="0"/>
        <v>24</v>
      </c>
      <c r="P26" s="15">
        <f t="shared" si="1"/>
        <v>41</v>
      </c>
      <c r="R26" s="36" t="s">
        <v>150</v>
      </c>
      <c r="S26" s="34">
        <f>SUM(C74:C77)</f>
        <v>14</v>
      </c>
      <c r="T26" s="34">
        <f t="shared" ref="T26:AF26" si="18">SUM(D74:D77)</f>
        <v>1</v>
      </c>
      <c r="U26" s="34">
        <f t="shared" si="18"/>
        <v>2</v>
      </c>
      <c r="V26" s="34">
        <f t="shared" si="18"/>
        <v>11</v>
      </c>
      <c r="W26" s="34">
        <f t="shared" si="18"/>
        <v>3</v>
      </c>
      <c r="X26" s="34">
        <f t="shared" si="18"/>
        <v>2</v>
      </c>
      <c r="Y26" s="34">
        <f t="shared" si="18"/>
        <v>12</v>
      </c>
      <c r="Z26" s="34">
        <f t="shared" si="18"/>
        <v>0</v>
      </c>
      <c r="AA26" s="34">
        <f t="shared" si="18"/>
        <v>4</v>
      </c>
      <c r="AB26" s="34">
        <f t="shared" si="18"/>
        <v>1</v>
      </c>
      <c r="AC26" s="34">
        <f t="shared" si="18"/>
        <v>1</v>
      </c>
      <c r="AD26" s="34">
        <f t="shared" si="18"/>
        <v>0</v>
      </c>
      <c r="AE26" s="31">
        <f t="shared" si="18"/>
        <v>50</v>
      </c>
      <c r="AF26" s="31">
        <f t="shared" si="18"/>
        <v>51</v>
      </c>
    </row>
    <row r="27" spans="2:32" ht="23.1" customHeight="1" x14ac:dyDescent="0.25">
      <c r="B27" s="45" t="s">
        <v>54</v>
      </c>
      <c r="C27" s="50">
        <v>8</v>
      </c>
      <c r="D27" s="50">
        <v>3</v>
      </c>
      <c r="E27" s="50">
        <v>1</v>
      </c>
      <c r="F27" s="50">
        <v>13</v>
      </c>
      <c r="G27" s="50">
        <v>2</v>
      </c>
      <c r="H27" s="50">
        <v>0</v>
      </c>
      <c r="I27" s="50">
        <v>1</v>
      </c>
      <c r="J27" s="50">
        <v>2</v>
      </c>
      <c r="K27" s="50">
        <v>2</v>
      </c>
      <c r="L27" s="50">
        <v>0</v>
      </c>
      <c r="M27" s="50">
        <v>11</v>
      </c>
      <c r="N27" s="50">
        <v>0</v>
      </c>
      <c r="O27" s="15">
        <f t="shared" si="0"/>
        <v>32</v>
      </c>
      <c r="P27" s="15">
        <f t="shared" si="1"/>
        <v>43</v>
      </c>
      <c r="R27" s="36" t="s">
        <v>151</v>
      </c>
      <c r="S27" s="34">
        <f>SUM(C78:C81)</f>
        <v>6</v>
      </c>
      <c r="T27" s="34">
        <f t="shared" ref="T27:AF27" si="19">SUM(D78:D81)</f>
        <v>0</v>
      </c>
      <c r="U27" s="34">
        <f t="shared" si="19"/>
        <v>0</v>
      </c>
      <c r="V27" s="34">
        <f t="shared" si="19"/>
        <v>7</v>
      </c>
      <c r="W27" s="34">
        <f t="shared" si="19"/>
        <v>1</v>
      </c>
      <c r="X27" s="34">
        <f t="shared" si="19"/>
        <v>1</v>
      </c>
      <c r="Y27" s="34">
        <f t="shared" si="19"/>
        <v>4</v>
      </c>
      <c r="Z27" s="34">
        <f t="shared" si="19"/>
        <v>0</v>
      </c>
      <c r="AA27" s="34">
        <f t="shared" si="19"/>
        <v>1</v>
      </c>
      <c r="AB27" s="34">
        <f t="shared" si="19"/>
        <v>0</v>
      </c>
      <c r="AC27" s="34">
        <f t="shared" si="19"/>
        <v>1</v>
      </c>
      <c r="AD27" s="34">
        <f t="shared" si="19"/>
        <v>0</v>
      </c>
      <c r="AE27" s="31">
        <f t="shared" si="19"/>
        <v>20</v>
      </c>
      <c r="AF27" s="31">
        <f t="shared" si="19"/>
        <v>21</v>
      </c>
    </row>
    <row r="28" spans="2:32" ht="23.1" customHeight="1" x14ac:dyDescent="0.25">
      <c r="B28" s="45" t="s">
        <v>55</v>
      </c>
      <c r="C28" s="50">
        <v>10</v>
      </c>
      <c r="D28" s="50">
        <v>2</v>
      </c>
      <c r="E28" s="50">
        <v>3</v>
      </c>
      <c r="F28" s="50">
        <v>12</v>
      </c>
      <c r="G28" s="50">
        <v>0</v>
      </c>
      <c r="H28" s="50">
        <v>0</v>
      </c>
      <c r="I28" s="50">
        <v>1</v>
      </c>
      <c r="J28" s="50">
        <v>1</v>
      </c>
      <c r="K28" s="50">
        <v>0</v>
      </c>
      <c r="L28" s="50">
        <v>0</v>
      </c>
      <c r="M28" s="50">
        <v>11</v>
      </c>
      <c r="N28" s="50">
        <v>0</v>
      </c>
      <c r="O28" s="15">
        <f t="shared" si="0"/>
        <v>29</v>
      </c>
      <c r="P28" s="15">
        <f t="shared" si="1"/>
        <v>40</v>
      </c>
      <c r="R28" s="36" t="s">
        <v>152</v>
      </c>
      <c r="S28" s="34">
        <f>SUM(C82:C85)</f>
        <v>2</v>
      </c>
      <c r="T28" s="34">
        <f t="shared" ref="T28:AF28" si="20">SUM(D82:D85)</f>
        <v>1</v>
      </c>
      <c r="U28" s="34">
        <f t="shared" si="20"/>
        <v>0</v>
      </c>
      <c r="V28" s="34">
        <f t="shared" si="20"/>
        <v>2</v>
      </c>
      <c r="W28" s="34">
        <f t="shared" si="20"/>
        <v>0</v>
      </c>
      <c r="X28" s="34">
        <f t="shared" si="20"/>
        <v>1</v>
      </c>
      <c r="Y28" s="34">
        <f t="shared" si="20"/>
        <v>3</v>
      </c>
      <c r="Z28" s="34">
        <f t="shared" si="20"/>
        <v>0</v>
      </c>
      <c r="AA28" s="34">
        <f t="shared" si="20"/>
        <v>1</v>
      </c>
      <c r="AB28" s="34">
        <f t="shared" si="20"/>
        <v>0</v>
      </c>
      <c r="AC28" s="34">
        <f t="shared" si="20"/>
        <v>1</v>
      </c>
      <c r="AD28" s="34">
        <f t="shared" si="20"/>
        <v>0</v>
      </c>
      <c r="AE28" s="31">
        <f t="shared" si="20"/>
        <v>10</v>
      </c>
      <c r="AF28" s="31">
        <f t="shared" si="20"/>
        <v>11</v>
      </c>
    </row>
    <row r="29" spans="2:32" ht="23.1" customHeight="1" x14ac:dyDescent="0.25">
      <c r="B29" s="45" t="s">
        <v>56</v>
      </c>
      <c r="C29" s="50">
        <v>9</v>
      </c>
      <c r="D29" s="50">
        <v>0</v>
      </c>
      <c r="E29" s="50">
        <v>0</v>
      </c>
      <c r="F29" s="50">
        <v>14</v>
      </c>
      <c r="G29" s="50">
        <v>1</v>
      </c>
      <c r="H29" s="50">
        <v>1</v>
      </c>
      <c r="I29" s="50">
        <v>0</v>
      </c>
      <c r="J29" s="50">
        <v>1</v>
      </c>
      <c r="K29" s="50">
        <v>0</v>
      </c>
      <c r="L29" s="50">
        <v>0</v>
      </c>
      <c r="M29" s="50">
        <v>14</v>
      </c>
      <c r="N29" s="50">
        <v>0</v>
      </c>
      <c r="O29" s="15">
        <f t="shared" si="0"/>
        <v>26</v>
      </c>
      <c r="P29" s="15">
        <f t="shared" si="1"/>
        <v>40</v>
      </c>
      <c r="R29" s="36" t="s">
        <v>153</v>
      </c>
      <c r="S29" s="34">
        <f>SUM(C86:C89)</f>
        <v>2</v>
      </c>
      <c r="T29" s="34">
        <f t="shared" ref="T29:AF29" si="21">SUM(D86:D89)</f>
        <v>0</v>
      </c>
      <c r="U29" s="34">
        <f t="shared" si="21"/>
        <v>1</v>
      </c>
      <c r="V29" s="34">
        <f t="shared" si="21"/>
        <v>4</v>
      </c>
      <c r="W29" s="34">
        <f t="shared" si="21"/>
        <v>0</v>
      </c>
      <c r="X29" s="34">
        <f t="shared" si="21"/>
        <v>3</v>
      </c>
      <c r="Y29" s="34">
        <f t="shared" si="21"/>
        <v>2</v>
      </c>
      <c r="Z29" s="34">
        <f t="shared" si="21"/>
        <v>0</v>
      </c>
      <c r="AA29" s="34">
        <f t="shared" si="21"/>
        <v>0</v>
      </c>
      <c r="AB29" s="34">
        <f t="shared" si="21"/>
        <v>0</v>
      </c>
      <c r="AC29" s="34">
        <f t="shared" si="21"/>
        <v>1</v>
      </c>
      <c r="AD29" s="34">
        <f t="shared" si="21"/>
        <v>0</v>
      </c>
      <c r="AE29" s="31">
        <f t="shared" si="21"/>
        <v>12</v>
      </c>
      <c r="AF29" s="31">
        <f t="shared" si="21"/>
        <v>13</v>
      </c>
    </row>
    <row r="30" spans="2:32" ht="23.1" customHeight="1" x14ac:dyDescent="0.25">
      <c r="B30" s="45" t="s">
        <v>57</v>
      </c>
      <c r="C30" s="50">
        <v>12</v>
      </c>
      <c r="D30" s="50">
        <v>4</v>
      </c>
      <c r="E30" s="50">
        <v>2</v>
      </c>
      <c r="F30" s="50">
        <v>12</v>
      </c>
      <c r="G30" s="50">
        <v>0</v>
      </c>
      <c r="H30" s="50">
        <v>0</v>
      </c>
      <c r="I30" s="50">
        <v>3</v>
      </c>
      <c r="J30" s="50">
        <v>0</v>
      </c>
      <c r="K30" s="50">
        <v>1</v>
      </c>
      <c r="L30" s="50">
        <v>0</v>
      </c>
      <c r="M30" s="50">
        <v>6</v>
      </c>
      <c r="N30" s="50">
        <v>0</v>
      </c>
      <c r="O30" s="15">
        <f t="shared" si="0"/>
        <v>34</v>
      </c>
      <c r="P30" s="15">
        <f t="shared" si="1"/>
        <v>40</v>
      </c>
      <c r="R30" s="36" t="s">
        <v>154</v>
      </c>
      <c r="S30" s="34">
        <f>SUM(C90:C93)</f>
        <v>1</v>
      </c>
      <c r="T30" s="34">
        <f t="shared" ref="T30:AF30" si="22">SUM(D90:D93)</f>
        <v>1</v>
      </c>
      <c r="U30" s="34">
        <f t="shared" si="22"/>
        <v>0</v>
      </c>
      <c r="V30" s="34">
        <f t="shared" si="22"/>
        <v>2</v>
      </c>
      <c r="W30" s="34">
        <f t="shared" si="22"/>
        <v>0</v>
      </c>
      <c r="X30" s="34">
        <f t="shared" si="22"/>
        <v>1</v>
      </c>
      <c r="Y30" s="34">
        <f t="shared" si="22"/>
        <v>5</v>
      </c>
      <c r="Z30" s="34">
        <f t="shared" si="22"/>
        <v>0</v>
      </c>
      <c r="AA30" s="34">
        <f t="shared" si="22"/>
        <v>2</v>
      </c>
      <c r="AB30" s="34">
        <f t="shared" si="22"/>
        <v>2</v>
      </c>
      <c r="AC30" s="34">
        <f t="shared" si="22"/>
        <v>0</v>
      </c>
      <c r="AD30" s="34">
        <f t="shared" si="22"/>
        <v>0</v>
      </c>
      <c r="AE30" s="31">
        <f t="shared" si="22"/>
        <v>14</v>
      </c>
      <c r="AF30" s="31">
        <f t="shared" si="22"/>
        <v>14</v>
      </c>
    </row>
    <row r="31" spans="2:32" ht="23.1" customHeight="1" x14ac:dyDescent="0.25">
      <c r="B31" s="46" t="s">
        <v>58</v>
      </c>
      <c r="C31" s="50">
        <v>9</v>
      </c>
      <c r="D31" s="50">
        <v>2</v>
      </c>
      <c r="E31" s="50">
        <v>1</v>
      </c>
      <c r="F31" s="50">
        <v>10</v>
      </c>
      <c r="G31" s="50">
        <v>0</v>
      </c>
      <c r="H31" s="50">
        <v>0</v>
      </c>
      <c r="I31" s="50">
        <v>3</v>
      </c>
      <c r="J31" s="50">
        <v>1</v>
      </c>
      <c r="K31" s="50">
        <v>0</v>
      </c>
      <c r="L31" s="50">
        <v>0</v>
      </c>
      <c r="M31" s="50">
        <v>19</v>
      </c>
      <c r="N31" s="50">
        <v>0</v>
      </c>
      <c r="O31" s="15">
        <f t="shared" si="0"/>
        <v>26</v>
      </c>
      <c r="P31" s="15">
        <f t="shared" si="1"/>
        <v>45</v>
      </c>
      <c r="R31" s="36" t="s">
        <v>155</v>
      </c>
      <c r="S31" s="34">
        <f>SUM(C94:C97)</f>
        <v>1</v>
      </c>
      <c r="T31" s="34">
        <f t="shared" ref="T31:AF31" si="23">SUM(D94:D97)</f>
        <v>0</v>
      </c>
      <c r="U31" s="34">
        <f t="shared" si="23"/>
        <v>0</v>
      </c>
      <c r="V31" s="34">
        <f t="shared" si="23"/>
        <v>1</v>
      </c>
      <c r="W31" s="34">
        <f t="shared" si="23"/>
        <v>0</v>
      </c>
      <c r="X31" s="34">
        <f t="shared" si="23"/>
        <v>2</v>
      </c>
      <c r="Y31" s="34">
        <f t="shared" si="23"/>
        <v>10</v>
      </c>
      <c r="Z31" s="34">
        <f t="shared" si="23"/>
        <v>0</v>
      </c>
      <c r="AA31" s="34">
        <f t="shared" si="23"/>
        <v>1</v>
      </c>
      <c r="AB31" s="34">
        <f t="shared" si="23"/>
        <v>0</v>
      </c>
      <c r="AC31" s="34">
        <f t="shared" si="23"/>
        <v>0</v>
      </c>
      <c r="AD31" s="34">
        <f t="shared" si="23"/>
        <v>0</v>
      </c>
      <c r="AE31" s="31">
        <f t="shared" si="23"/>
        <v>15</v>
      </c>
      <c r="AF31" s="31">
        <f t="shared" si="23"/>
        <v>15</v>
      </c>
    </row>
    <row r="32" spans="2:32" ht="23.1" customHeight="1" x14ac:dyDescent="0.25">
      <c r="B32" s="46" t="s">
        <v>59</v>
      </c>
      <c r="C32" s="50">
        <v>16</v>
      </c>
      <c r="D32" s="50">
        <v>2</v>
      </c>
      <c r="E32" s="50">
        <v>2</v>
      </c>
      <c r="F32" s="50">
        <v>9</v>
      </c>
      <c r="G32" s="50">
        <v>0</v>
      </c>
      <c r="H32" s="50">
        <v>0</v>
      </c>
      <c r="I32" s="50">
        <v>0</v>
      </c>
      <c r="J32" s="50">
        <v>2</v>
      </c>
      <c r="K32" s="50">
        <v>0</v>
      </c>
      <c r="L32" s="50">
        <v>0</v>
      </c>
      <c r="M32" s="50">
        <v>11</v>
      </c>
      <c r="N32" s="50">
        <v>0</v>
      </c>
      <c r="O32" s="15">
        <f t="shared" si="0"/>
        <v>31</v>
      </c>
      <c r="P32" s="15">
        <f t="shared" si="1"/>
        <v>42</v>
      </c>
      <c r="R32" s="33" t="s">
        <v>156</v>
      </c>
      <c r="S32" s="34">
        <f>SUM(C98:C101)</f>
        <v>1</v>
      </c>
      <c r="T32" s="34">
        <f t="shared" ref="T32:AF32" si="24">SUM(D98:D101)</f>
        <v>1</v>
      </c>
      <c r="U32" s="34">
        <f t="shared" si="24"/>
        <v>1</v>
      </c>
      <c r="V32" s="34">
        <f t="shared" si="24"/>
        <v>2</v>
      </c>
      <c r="W32" s="34">
        <f t="shared" si="24"/>
        <v>0</v>
      </c>
      <c r="X32" s="34">
        <f t="shared" si="24"/>
        <v>2</v>
      </c>
      <c r="Y32" s="34">
        <f t="shared" si="24"/>
        <v>4</v>
      </c>
      <c r="Z32" s="34">
        <f t="shared" si="24"/>
        <v>0</v>
      </c>
      <c r="AA32" s="34">
        <f t="shared" si="24"/>
        <v>1</v>
      </c>
      <c r="AB32" s="34">
        <f t="shared" si="24"/>
        <v>2</v>
      </c>
      <c r="AC32" s="34">
        <f t="shared" si="24"/>
        <v>1</v>
      </c>
      <c r="AD32" s="34">
        <f t="shared" si="24"/>
        <v>0</v>
      </c>
      <c r="AE32" s="31">
        <f t="shared" si="24"/>
        <v>14</v>
      </c>
      <c r="AF32" s="31">
        <f t="shared" si="24"/>
        <v>15</v>
      </c>
    </row>
    <row r="33" spans="2:32" ht="23.1" customHeight="1" x14ac:dyDescent="0.25">
      <c r="B33" s="45" t="s">
        <v>60</v>
      </c>
      <c r="C33" s="50">
        <v>13</v>
      </c>
      <c r="D33" s="50">
        <v>4</v>
      </c>
      <c r="E33" s="50">
        <v>1</v>
      </c>
      <c r="F33" s="50">
        <v>15</v>
      </c>
      <c r="G33" s="50">
        <v>1</v>
      </c>
      <c r="H33" s="50">
        <v>1</v>
      </c>
      <c r="I33" s="50">
        <v>0</v>
      </c>
      <c r="J33" s="50">
        <v>1</v>
      </c>
      <c r="K33" s="50">
        <v>1</v>
      </c>
      <c r="L33" s="50">
        <v>0</v>
      </c>
      <c r="M33" s="50">
        <v>18</v>
      </c>
      <c r="N33" s="50">
        <v>0</v>
      </c>
      <c r="O33" s="15">
        <f t="shared" si="0"/>
        <v>37</v>
      </c>
      <c r="P33" s="15">
        <f t="shared" si="1"/>
        <v>55</v>
      </c>
      <c r="R33" s="33" t="s">
        <v>157</v>
      </c>
      <c r="S33" s="34">
        <f>SUM(C102:C105)</f>
        <v>6</v>
      </c>
      <c r="T33" s="34">
        <f t="shared" ref="T33:AF33" si="25">SUM(D102:D105)</f>
        <v>1</v>
      </c>
      <c r="U33" s="34">
        <f t="shared" si="25"/>
        <v>3</v>
      </c>
      <c r="V33" s="34">
        <f t="shared" si="25"/>
        <v>8</v>
      </c>
      <c r="W33" s="34">
        <f t="shared" si="25"/>
        <v>0</v>
      </c>
      <c r="X33" s="34">
        <f t="shared" si="25"/>
        <v>0</v>
      </c>
      <c r="Y33" s="34">
        <f t="shared" si="25"/>
        <v>5</v>
      </c>
      <c r="Z33" s="34">
        <f t="shared" si="25"/>
        <v>0</v>
      </c>
      <c r="AA33" s="34">
        <f t="shared" si="25"/>
        <v>0</v>
      </c>
      <c r="AB33" s="34">
        <f t="shared" si="25"/>
        <v>3</v>
      </c>
      <c r="AC33" s="34">
        <f t="shared" si="25"/>
        <v>9</v>
      </c>
      <c r="AD33" s="34">
        <f t="shared" si="25"/>
        <v>0</v>
      </c>
      <c r="AE33" s="31">
        <f t="shared" si="25"/>
        <v>26</v>
      </c>
      <c r="AF33" s="31">
        <f t="shared" si="25"/>
        <v>35</v>
      </c>
    </row>
    <row r="34" spans="2:32" ht="23.1" customHeight="1" x14ac:dyDescent="0.25">
      <c r="B34" s="46" t="s">
        <v>61</v>
      </c>
      <c r="C34" s="50">
        <v>8</v>
      </c>
      <c r="D34" s="50">
        <v>1</v>
      </c>
      <c r="E34" s="50">
        <v>5</v>
      </c>
      <c r="F34" s="50">
        <v>10</v>
      </c>
      <c r="G34" s="50">
        <v>0</v>
      </c>
      <c r="H34" s="50">
        <v>0</v>
      </c>
      <c r="I34" s="50">
        <v>1</v>
      </c>
      <c r="J34" s="50">
        <v>1</v>
      </c>
      <c r="K34" s="50">
        <v>0</v>
      </c>
      <c r="L34" s="50">
        <v>0</v>
      </c>
      <c r="M34" s="50">
        <v>7</v>
      </c>
      <c r="N34" s="50">
        <v>0</v>
      </c>
      <c r="O34" s="15">
        <f t="shared" si="0"/>
        <v>26</v>
      </c>
      <c r="P34" s="15">
        <f t="shared" si="1"/>
        <v>33</v>
      </c>
      <c r="R34" s="38" t="s">
        <v>90</v>
      </c>
      <c r="S34" s="39">
        <f t="shared" ref="S34:AF34" si="26">MAX(S10:S12)</f>
        <v>27</v>
      </c>
      <c r="T34" s="39">
        <f t="shared" si="26"/>
        <v>19</v>
      </c>
      <c r="U34" s="39">
        <f t="shared" si="26"/>
        <v>16</v>
      </c>
      <c r="V34" s="39">
        <f t="shared" si="26"/>
        <v>41</v>
      </c>
      <c r="W34" s="39">
        <f t="shared" si="26"/>
        <v>2</v>
      </c>
      <c r="X34" s="39">
        <f t="shared" si="26"/>
        <v>3</v>
      </c>
      <c r="Y34" s="39">
        <f t="shared" si="26"/>
        <v>5</v>
      </c>
      <c r="Z34" s="39">
        <f t="shared" si="26"/>
        <v>9</v>
      </c>
      <c r="AA34" s="39">
        <f t="shared" si="26"/>
        <v>7</v>
      </c>
      <c r="AB34" s="39">
        <f t="shared" si="26"/>
        <v>0</v>
      </c>
      <c r="AC34" s="39">
        <f t="shared" si="26"/>
        <v>55</v>
      </c>
      <c r="AD34" s="39">
        <f t="shared" si="26"/>
        <v>0</v>
      </c>
      <c r="AE34" s="40">
        <f t="shared" si="26"/>
        <v>115</v>
      </c>
      <c r="AF34" s="40">
        <f t="shared" si="26"/>
        <v>170</v>
      </c>
    </row>
    <row r="35" spans="2:32" ht="23.1" customHeight="1" x14ac:dyDescent="0.25">
      <c r="B35" s="46" t="s">
        <v>62</v>
      </c>
      <c r="C35" s="50">
        <v>8</v>
      </c>
      <c r="D35" s="50">
        <v>4</v>
      </c>
      <c r="E35" s="50">
        <v>4</v>
      </c>
      <c r="F35" s="50">
        <v>12</v>
      </c>
      <c r="G35" s="50">
        <v>0</v>
      </c>
      <c r="H35" s="50">
        <v>0</v>
      </c>
      <c r="I35" s="50">
        <v>1</v>
      </c>
      <c r="J35" s="50">
        <v>0</v>
      </c>
      <c r="K35" s="50">
        <v>1</v>
      </c>
      <c r="L35" s="50">
        <v>0</v>
      </c>
      <c r="M35" s="50">
        <v>10</v>
      </c>
      <c r="N35" s="50">
        <v>0</v>
      </c>
      <c r="O35" s="15">
        <f t="shared" si="0"/>
        <v>30</v>
      </c>
      <c r="P35" s="15">
        <f t="shared" si="1"/>
        <v>40</v>
      </c>
      <c r="R35" s="38" t="s">
        <v>91</v>
      </c>
      <c r="S35" s="39">
        <f t="shared" ref="S35:AF35" si="27">MAX(S13:S18)</f>
        <v>50</v>
      </c>
      <c r="T35" s="39">
        <f t="shared" si="27"/>
        <v>12</v>
      </c>
      <c r="U35" s="39">
        <f t="shared" si="27"/>
        <v>13</v>
      </c>
      <c r="V35" s="39">
        <f t="shared" si="27"/>
        <v>50</v>
      </c>
      <c r="W35" s="39">
        <f t="shared" si="27"/>
        <v>3</v>
      </c>
      <c r="X35" s="39">
        <f t="shared" si="27"/>
        <v>3</v>
      </c>
      <c r="Y35" s="39">
        <f t="shared" si="27"/>
        <v>6</v>
      </c>
      <c r="Z35" s="39">
        <f t="shared" si="27"/>
        <v>6</v>
      </c>
      <c r="AA35" s="39">
        <f t="shared" si="27"/>
        <v>4</v>
      </c>
      <c r="AB35" s="39">
        <f t="shared" si="27"/>
        <v>2</v>
      </c>
      <c r="AC35" s="39">
        <f t="shared" si="27"/>
        <v>60</v>
      </c>
      <c r="AD35" s="39">
        <f t="shared" si="27"/>
        <v>2</v>
      </c>
      <c r="AE35" s="40">
        <f t="shared" si="27"/>
        <v>128</v>
      </c>
      <c r="AF35" s="40">
        <f t="shared" si="27"/>
        <v>182</v>
      </c>
    </row>
    <row r="36" spans="2:32" ht="23.1" customHeight="1" x14ac:dyDescent="0.25">
      <c r="B36" s="46" t="s">
        <v>63</v>
      </c>
      <c r="C36" s="50">
        <v>10</v>
      </c>
      <c r="D36" s="50">
        <v>3</v>
      </c>
      <c r="E36" s="50">
        <v>2</v>
      </c>
      <c r="F36" s="50">
        <v>9</v>
      </c>
      <c r="G36" s="50">
        <v>0</v>
      </c>
      <c r="H36" s="50">
        <v>0</v>
      </c>
      <c r="I36" s="50">
        <v>1</v>
      </c>
      <c r="J36" s="50">
        <v>2</v>
      </c>
      <c r="K36" s="50">
        <v>3</v>
      </c>
      <c r="L36" s="50">
        <v>0</v>
      </c>
      <c r="M36" s="50">
        <v>10</v>
      </c>
      <c r="N36" s="50">
        <v>0</v>
      </c>
      <c r="O36" s="15">
        <f t="shared" si="0"/>
        <v>30</v>
      </c>
      <c r="P36" s="15">
        <f t="shared" si="1"/>
        <v>40</v>
      </c>
      <c r="R36" s="38" t="s">
        <v>92</v>
      </c>
      <c r="S36" s="39">
        <f t="shared" ref="S36:AF36" si="28">MAX(S19:S21)</f>
        <v>31</v>
      </c>
      <c r="T36" s="39">
        <f t="shared" si="28"/>
        <v>11</v>
      </c>
      <c r="U36" s="39">
        <f t="shared" si="28"/>
        <v>5</v>
      </c>
      <c r="V36" s="39">
        <f t="shared" si="28"/>
        <v>45</v>
      </c>
      <c r="W36" s="39">
        <f t="shared" si="28"/>
        <v>1</v>
      </c>
      <c r="X36" s="39">
        <f t="shared" si="28"/>
        <v>2</v>
      </c>
      <c r="Y36" s="39">
        <f t="shared" si="28"/>
        <v>3</v>
      </c>
      <c r="Z36" s="39">
        <f t="shared" si="28"/>
        <v>8</v>
      </c>
      <c r="AA36" s="39">
        <f t="shared" si="28"/>
        <v>4</v>
      </c>
      <c r="AB36" s="39">
        <f t="shared" si="28"/>
        <v>0</v>
      </c>
      <c r="AC36" s="39">
        <f t="shared" si="28"/>
        <v>74</v>
      </c>
      <c r="AD36" s="39">
        <f t="shared" si="28"/>
        <v>0</v>
      </c>
      <c r="AE36" s="40">
        <f t="shared" si="28"/>
        <v>100</v>
      </c>
      <c r="AF36" s="40">
        <f t="shared" si="28"/>
        <v>174</v>
      </c>
    </row>
    <row r="37" spans="2:32" ht="23.1" customHeight="1" x14ac:dyDescent="0.25">
      <c r="B37" s="45" t="s">
        <v>64</v>
      </c>
      <c r="C37" s="50">
        <v>10</v>
      </c>
      <c r="D37" s="50">
        <v>2</v>
      </c>
      <c r="E37" s="50">
        <v>2</v>
      </c>
      <c r="F37" s="50">
        <v>8</v>
      </c>
      <c r="G37" s="50">
        <v>0</v>
      </c>
      <c r="H37" s="50">
        <v>0</v>
      </c>
      <c r="I37" s="50">
        <v>1</v>
      </c>
      <c r="J37" s="50">
        <v>1</v>
      </c>
      <c r="K37" s="50">
        <v>0</v>
      </c>
      <c r="L37" s="50">
        <v>0</v>
      </c>
      <c r="M37" s="50">
        <v>21</v>
      </c>
      <c r="N37" s="50">
        <v>0</v>
      </c>
      <c r="O37" s="15">
        <f t="shared" si="0"/>
        <v>24</v>
      </c>
      <c r="P37" s="15">
        <f t="shared" si="1"/>
        <v>45</v>
      </c>
      <c r="R37" s="37" t="s">
        <v>85</v>
      </c>
      <c r="S37" s="35">
        <f t="shared" ref="S37:AF37" si="29">SUM(S10:S12)</f>
        <v>66</v>
      </c>
      <c r="T37" s="16">
        <f t="shared" si="29"/>
        <v>43</v>
      </c>
      <c r="U37" s="16">
        <f t="shared" si="29"/>
        <v>32</v>
      </c>
      <c r="V37" s="16">
        <f t="shared" si="29"/>
        <v>83</v>
      </c>
      <c r="W37" s="16">
        <f t="shared" si="29"/>
        <v>2</v>
      </c>
      <c r="X37" s="16">
        <f t="shared" si="29"/>
        <v>4</v>
      </c>
      <c r="Y37" s="16">
        <f t="shared" si="29"/>
        <v>9</v>
      </c>
      <c r="Z37" s="16">
        <f t="shared" si="29"/>
        <v>18</v>
      </c>
      <c r="AA37" s="16">
        <f t="shared" si="29"/>
        <v>20</v>
      </c>
      <c r="AB37" s="16">
        <f t="shared" si="29"/>
        <v>0</v>
      </c>
      <c r="AC37" s="16">
        <f t="shared" si="29"/>
        <v>130</v>
      </c>
      <c r="AD37" s="16">
        <f t="shared" si="29"/>
        <v>0</v>
      </c>
      <c r="AE37" s="32">
        <f t="shared" si="29"/>
        <v>277</v>
      </c>
      <c r="AF37" s="32">
        <f t="shared" si="29"/>
        <v>407</v>
      </c>
    </row>
    <row r="38" spans="2:32" ht="23.1" customHeight="1" x14ac:dyDescent="0.25">
      <c r="B38" s="46" t="s">
        <v>65</v>
      </c>
      <c r="C38" s="50">
        <v>0</v>
      </c>
      <c r="D38" s="50">
        <v>1</v>
      </c>
      <c r="E38" s="50">
        <v>2</v>
      </c>
      <c r="F38" s="50">
        <v>12</v>
      </c>
      <c r="G38" s="50">
        <v>1</v>
      </c>
      <c r="H38" s="50">
        <v>0</v>
      </c>
      <c r="I38" s="50">
        <v>0</v>
      </c>
      <c r="J38" s="50">
        <v>0</v>
      </c>
      <c r="K38" s="50">
        <v>1</v>
      </c>
      <c r="L38" s="50">
        <v>0</v>
      </c>
      <c r="M38" s="50">
        <v>24</v>
      </c>
      <c r="N38" s="50">
        <v>0</v>
      </c>
      <c r="O38" s="15">
        <f t="shared" si="0"/>
        <v>17</v>
      </c>
      <c r="P38" s="15">
        <f t="shared" si="1"/>
        <v>41</v>
      </c>
      <c r="R38" s="28" t="s">
        <v>86</v>
      </c>
      <c r="S38" s="16">
        <f t="shared" ref="S38:AF38" si="30">SUM(S13:S18)</f>
        <v>200</v>
      </c>
      <c r="T38" s="16">
        <f t="shared" si="30"/>
        <v>48</v>
      </c>
      <c r="U38" s="16">
        <f t="shared" si="30"/>
        <v>51</v>
      </c>
      <c r="V38" s="16">
        <f t="shared" si="30"/>
        <v>260</v>
      </c>
      <c r="W38" s="16">
        <f t="shared" si="30"/>
        <v>9</v>
      </c>
      <c r="X38" s="16">
        <f t="shared" si="30"/>
        <v>8</v>
      </c>
      <c r="Y38" s="16">
        <f t="shared" si="30"/>
        <v>26</v>
      </c>
      <c r="Z38" s="16">
        <f t="shared" si="30"/>
        <v>25</v>
      </c>
      <c r="AA38" s="16">
        <f t="shared" si="30"/>
        <v>15</v>
      </c>
      <c r="AB38" s="16">
        <f t="shared" si="30"/>
        <v>2</v>
      </c>
      <c r="AC38" s="16">
        <f t="shared" si="30"/>
        <v>323</v>
      </c>
      <c r="AD38" s="16">
        <f t="shared" si="30"/>
        <v>2</v>
      </c>
      <c r="AE38" s="32">
        <f t="shared" si="30"/>
        <v>646</v>
      </c>
      <c r="AF38" s="32">
        <f t="shared" si="30"/>
        <v>969</v>
      </c>
    </row>
    <row r="39" spans="2:32" ht="23.1" customHeight="1" x14ac:dyDescent="0.25">
      <c r="B39" s="46" t="s">
        <v>66</v>
      </c>
      <c r="C39" s="50">
        <v>8</v>
      </c>
      <c r="D39" s="50">
        <v>3</v>
      </c>
      <c r="E39" s="50">
        <v>5</v>
      </c>
      <c r="F39" s="50">
        <v>10</v>
      </c>
      <c r="G39" s="50">
        <v>0</v>
      </c>
      <c r="H39" s="50">
        <v>1</v>
      </c>
      <c r="I39" s="50">
        <v>2</v>
      </c>
      <c r="J39" s="50">
        <v>2</v>
      </c>
      <c r="K39" s="50">
        <v>1</v>
      </c>
      <c r="L39" s="50">
        <v>0</v>
      </c>
      <c r="M39" s="50">
        <v>11</v>
      </c>
      <c r="N39" s="50">
        <v>0</v>
      </c>
      <c r="O39" s="15">
        <f t="shared" si="0"/>
        <v>32</v>
      </c>
      <c r="P39" s="15">
        <f t="shared" si="1"/>
        <v>43</v>
      </c>
      <c r="R39" s="29" t="s">
        <v>87</v>
      </c>
      <c r="S39" s="16">
        <f t="shared" ref="S39:AF39" si="31">SUM(S19:S21)</f>
        <v>72</v>
      </c>
      <c r="T39" s="16">
        <f t="shared" si="31"/>
        <v>19</v>
      </c>
      <c r="U39" s="16">
        <f t="shared" si="31"/>
        <v>13</v>
      </c>
      <c r="V39" s="16">
        <f t="shared" si="31"/>
        <v>125</v>
      </c>
      <c r="W39" s="16">
        <f t="shared" si="31"/>
        <v>1</v>
      </c>
      <c r="X39" s="16">
        <f t="shared" si="31"/>
        <v>3</v>
      </c>
      <c r="Y39" s="16">
        <f t="shared" si="31"/>
        <v>8</v>
      </c>
      <c r="Z39" s="16">
        <f t="shared" si="31"/>
        <v>15</v>
      </c>
      <c r="AA39" s="16">
        <f t="shared" si="31"/>
        <v>8</v>
      </c>
      <c r="AB39" s="16">
        <f t="shared" si="31"/>
        <v>0</v>
      </c>
      <c r="AC39" s="16">
        <f t="shared" si="31"/>
        <v>177</v>
      </c>
      <c r="AD39" s="16">
        <f t="shared" si="31"/>
        <v>0</v>
      </c>
      <c r="AE39" s="32">
        <f t="shared" si="31"/>
        <v>264</v>
      </c>
      <c r="AF39" s="32">
        <f t="shared" si="31"/>
        <v>441</v>
      </c>
    </row>
    <row r="40" spans="2:32" ht="23.1" customHeight="1" x14ac:dyDescent="0.25">
      <c r="B40" s="46" t="s">
        <v>67</v>
      </c>
      <c r="C40" s="50">
        <v>5</v>
      </c>
      <c r="D40" s="50">
        <v>3</v>
      </c>
      <c r="E40" s="50">
        <v>1</v>
      </c>
      <c r="F40" s="50">
        <v>13</v>
      </c>
      <c r="G40" s="50">
        <v>0</v>
      </c>
      <c r="H40" s="50">
        <v>0</v>
      </c>
      <c r="I40" s="50">
        <v>0</v>
      </c>
      <c r="J40" s="50">
        <v>3</v>
      </c>
      <c r="K40" s="50">
        <v>0</v>
      </c>
      <c r="L40" s="50">
        <v>0</v>
      </c>
      <c r="M40" s="50">
        <v>13</v>
      </c>
      <c r="N40" s="50">
        <v>0</v>
      </c>
      <c r="O40" s="15">
        <f t="shared" si="0"/>
        <v>25</v>
      </c>
      <c r="P40" s="15">
        <f t="shared" si="1"/>
        <v>38</v>
      </c>
      <c r="R40" s="5" t="s">
        <v>17</v>
      </c>
      <c r="S40" s="16">
        <f t="shared" ref="S40:AF40" si="32">SUM(S10:S21)</f>
        <v>338</v>
      </c>
      <c r="T40" s="16">
        <f t="shared" si="32"/>
        <v>110</v>
      </c>
      <c r="U40" s="16">
        <f t="shared" si="32"/>
        <v>96</v>
      </c>
      <c r="V40" s="16">
        <f t="shared" si="32"/>
        <v>468</v>
      </c>
      <c r="W40" s="16">
        <f t="shared" si="32"/>
        <v>12</v>
      </c>
      <c r="X40" s="16">
        <f t="shared" si="32"/>
        <v>15</v>
      </c>
      <c r="Y40" s="16">
        <f t="shared" si="32"/>
        <v>43</v>
      </c>
      <c r="Z40" s="16">
        <f t="shared" si="32"/>
        <v>58</v>
      </c>
      <c r="AA40" s="16">
        <f t="shared" si="32"/>
        <v>43</v>
      </c>
      <c r="AB40" s="16">
        <f t="shared" si="32"/>
        <v>2</v>
      </c>
      <c r="AC40" s="16">
        <f t="shared" si="32"/>
        <v>630</v>
      </c>
      <c r="AD40" s="16">
        <f t="shared" si="32"/>
        <v>2</v>
      </c>
      <c r="AE40" s="32">
        <f t="shared" si="32"/>
        <v>1187</v>
      </c>
      <c r="AF40" s="32">
        <f t="shared" si="32"/>
        <v>1817</v>
      </c>
    </row>
    <row r="41" spans="2:32" ht="23.1" customHeight="1" x14ac:dyDescent="0.25">
      <c r="B41" s="45" t="s">
        <v>68</v>
      </c>
      <c r="C41" s="50">
        <v>6</v>
      </c>
      <c r="D41" s="50">
        <v>0</v>
      </c>
      <c r="E41" s="50">
        <v>1</v>
      </c>
      <c r="F41" s="50">
        <v>6</v>
      </c>
      <c r="G41" s="50">
        <v>0</v>
      </c>
      <c r="H41" s="50">
        <v>1</v>
      </c>
      <c r="I41" s="50">
        <v>0</v>
      </c>
      <c r="J41" s="50">
        <v>0</v>
      </c>
      <c r="K41" s="50">
        <v>0</v>
      </c>
      <c r="L41" s="50">
        <v>2</v>
      </c>
      <c r="M41" s="50">
        <v>12</v>
      </c>
      <c r="N41" s="50">
        <v>0</v>
      </c>
      <c r="O41" s="15">
        <f t="shared" si="0"/>
        <v>16</v>
      </c>
      <c r="P41" s="15">
        <f t="shared" si="1"/>
        <v>28</v>
      </c>
      <c r="R41" s="5" t="s">
        <v>159</v>
      </c>
      <c r="S41" s="16">
        <f>SUM(S10:S33)</f>
        <v>415</v>
      </c>
      <c r="T41" s="16">
        <f t="shared" ref="T41:AF41" si="33">SUM(T10:T33)</f>
        <v>130</v>
      </c>
      <c r="U41" s="16">
        <f t="shared" si="33"/>
        <v>128</v>
      </c>
      <c r="V41" s="16">
        <f t="shared" si="33"/>
        <v>598</v>
      </c>
      <c r="W41" s="16">
        <f t="shared" si="33"/>
        <v>21</v>
      </c>
      <c r="X41" s="16">
        <f t="shared" si="33"/>
        <v>33</v>
      </c>
      <c r="Y41" s="16">
        <f t="shared" si="33"/>
        <v>131</v>
      </c>
      <c r="Z41" s="16">
        <f t="shared" si="33"/>
        <v>58</v>
      </c>
      <c r="AA41" s="16">
        <f t="shared" si="33"/>
        <v>59</v>
      </c>
      <c r="AB41" s="16">
        <f t="shared" si="33"/>
        <v>13</v>
      </c>
      <c r="AC41" s="16">
        <f t="shared" si="33"/>
        <v>737</v>
      </c>
      <c r="AD41" s="16">
        <f t="shared" si="33"/>
        <v>2</v>
      </c>
      <c r="AE41" s="32">
        <f t="shared" si="33"/>
        <v>1588</v>
      </c>
      <c r="AF41" s="32">
        <f t="shared" si="33"/>
        <v>2325</v>
      </c>
    </row>
    <row r="42" spans="2:32" ht="23.1" customHeight="1" x14ac:dyDescent="0.25">
      <c r="B42" s="46" t="s">
        <v>69</v>
      </c>
      <c r="C42" s="50">
        <v>18</v>
      </c>
      <c r="D42" s="50">
        <v>0</v>
      </c>
      <c r="E42" s="50">
        <v>2</v>
      </c>
      <c r="F42" s="50">
        <v>17</v>
      </c>
      <c r="G42" s="50">
        <v>0</v>
      </c>
      <c r="H42" s="50">
        <v>0</v>
      </c>
      <c r="I42" s="50">
        <v>0</v>
      </c>
      <c r="J42" s="50">
        <v>2</v>
      </c>
      <c r="K42" s="50">
        <v>0</v>
      </c>
      <c r="L42" s="50">
        <v>0</v>
      </c>
      <c r="M42" s="50">
        <v>12</v>
      </c>
      <c r="N42" s="50">
        <v>0</v>
      </c>
      <c r="O42" s="15">
        <f t="shared" si="0"/>
        <v>39</v>
      </c>
      <c r="P42" s="15">
        <f t="shared" si="1"/>
        <v>51</v>
      </c>
      <c r="R42" s="5" t="s">
        <v>160</v>
      </c>
      <c r="S42" s="48">
        <f>S41/S40</f>
        <v>1.2278106508875739</v>
      </c>
      <c r="T42" s="48">
        <f t="shared" ref="T42:AF42" si="34">T41/T40</f>
        <v>1.1818181818181819</v>
      </c>
      <c r="U42" s="48">
        <f t="shared" si="34"/>
        <v>1.3333333333333333</v>
      </c>
      <c r="V42" s="48">
        <f t="shared" si="34"/>
        <v>1.2777777777777777</v>
      </c>
      <c r="W42" s="48">
        <f t="shared" si="34"/>
        <v>1.75</v>
      </c>
      <c r="X42" s="48">
        <f t="shared" si="34"/>
        <v>2.2000000000000002</v>
      </c>
      <c r="Y42" s="48">
        <f t="shared" si="34"/>
        <v>3.0465116279069768</v>
      </c>
      <c r="Z42" s="48">
        <f t="shared" si="34"/>
        <v>1</v>
      </c>
      <c r="AA42" s="48">
        <f t="shared" si="34"/>
        <v>1.3720930232558139</v>
      </c>
      <c r="AB42" s="48">
        <f t="shared" si="34"/>
        <v>6.5</v>
      </c>
      <c r="AC42" s="48">
        <f t="shared" si="34"/>
        <v>1.1698412698412699</v>
      </c>
      <c r="AD42" s="48">
        <f t="shared" si="34"/>
        <v>1</v>
      </c>
      <c r="AE42" s="48">
        <f t="shared" si="34"/>
        <v>1.3378264532434709</v>
      </c>
      <c r="AF42" s="48">
        <f t="shared" si="34"/>
        <v>1.2795817281232802</v>
      </c>
    </row>
    <row r="43" spans="2:32" ht="23.1" customHeight="1" x14ac:dyDescent="0.25">
      <c r="B43" s="45" t="s">
        <v>70</v>
      </c>
      <c r="C43" s="50">
        <v>12</v>
      </c>
      <c r="D43" s="50">
        <v>1</v>
      </c>
      <c r="E43" s="50">
        <v>1</v>
      </c>
      <c r="F43" s="50">
        <v>11</v>
      </c>
      <c r="G43" s="50">
        <v>2</v>
      </c>
      <c r="H43" s="50">
        <v>2</v>
      </c>
      <c r="I43" s="50">
        <v>3</v>
      </c>
      <c r="J43" s="50">
        <v>0</v>
      </c>
      <c r="K43" s="50">
        <v>1</v>
      </c>
      <c r="L43" s="50">
        <v>0</v>
      </c>
      <c r="M43" s="50">
        <v>12</v>
      </c>
      <c r="N43" s="50">
        <v>0</v>
      </c>
      <c r="O43" s="15">
        <f t="shared" si="0"/>
        <v>33</v>
      </c>
      <c r="P43" s="15">
        <f t="shared" si="1"/>
        <v>45</v>
      </c>
    </row>
    <row r="44" spans="2:32" ht="23.1" customHeight="1" x14ac:dyDescent="0.25">
      <c r="B44" s="47" t="s">
        <v>71</v>
      </c>
      <c r="C44" s="50">
        <v>4</v>
      </c>
      <c r="D44" s="50">
        <v>1</v>
      </c>
      <c r="E44" s="50">
        <v>1</v>
      </c>
      <c r="F44" s="50">
        <v>11</v>
      </c>
      <c r="G44" s="50">
        <v>0</v>
      </c>
      <c r="H44" s="50">
        <v>0</v>
      </c>
      <c r="I44" s="50">
        <v>2</v>
      </c>
      <c r="J44" s="50">
        <v>0</v>
      </c>
      <c r="K44" s="50">
        <v>0</v>
      </c>
      <c r="L44" s="50">
        <v>0</v>
      </c>
      <c r="M44" s="50">
        <v>14</v>
      </c>
      <c r="N44" s="50">
        <v>0</v>
      </c>
      <c r="O44" s="15">
        <f t="shared" si="0"/>
        <v>19</v>
      </c>
      <c r="P44" s="15">
        <f t="shared" si="1"/>
        <v>33</v>
      </c>
    </row>
    <row r="45" spans="2:32" ht="23.1" customHeight="1" x14ac:dyDescent="0.25">
      <c r="B45" s="45" t="s">
        <v>72</v>
      </c>
      <c r="C45" s="50">
        <v>5</v>
      </c>
      <c r="D45" s="50">
        <v>3</v>
      </c>
      <c r="E45" s="50">
        <v>0</v>
      </c>
      <c r="F45" s="50">
        <v>7</v>
      </c>
      <c r="G45" s="50">
        <v>0</v>
      </c>
      <c r="H45" s="50">
        <v>1</v>
      </c>
      <c r="I45" s="50">
        <v>1</v>
      </c>
      <c r="J45" s="50">
        <v>1</v>
      </c>
      <c r="K45" s="50">
        <v>1</v>
      </c>
      <c r="L45" s="50">
        <v>0</v>
      </c>
      <c r="M45" s="50">
        <v>17</v>
      </c>
      <c r="N45" s="50">
        <v>0</v>
      </c>
      <c r="O45" s="15">
        <f t="shared" si="0"/>
        <v>19</v>
      </c>
      <c r="P45" s="15">
        <f t="shared" si="1"/>
        <v>36</v>
      </c>
    </row>
    <row r="46" spans="2:32" ht="23.1" customHeight="1" x14ac:dyDescent="0.25">
      <c r="B46" s="46" t="s">
        <v>73</v>
      </c>
      <c r="C46" s="50">
        <v>2</v>
      </c>
      <c r="D46" s="50">
        <v>0</v>
      </c>
      <c r="E46" s="50">
        <v>4</v>
      </c>
      <c r="F46" s="50">
        <v>3</v>
      </c>
      <c r="G46" s="50">
        <v>0</v>
      </c>
      <c r="H46" s="50">
        <v>0</v>
      </c>
      <c r="I46" s="50">
        <v>0</v>
      </c>
      <c r="J46" s="50">
        <v>0</v>
      </c>
      <c r="K46" s="50">
        <v>1</v>
      </c>
      <c r="L46" s="50">
        <v>0</v>
      </c>
      <c r="M46" s="50">
        <v>12</v>
      </c>
      <c r="N46" s="50">
        <v>0</v>
      </c>
      <c r="O46" s="15">
        <f t="shared" si="0"/>
        <v>10</v>
      </c>
      <c r="P46" s="15">
        <f t="shared" si="1"/>
        <v>22</v>
      </c>
      <c r="R46" s="8"/>
      <c r="T46"/>
    </row>
    <row r="47" spans="2:32" ht="23.1" customHeight="1" x14ac:dyDescent="0.25">
      <c r="B47" s="46" t="s">
        <v>74</v>
      </c>
      <c r="C47" s="50">
        <v>3</v>
      </c>
      <c r="D47" s="50">
        <v>2</v>
      </c>
      <c r="E47" s="50">
        <v>0</v>
      </c>
      <c r="F47" s="50">
        <v>7</v>
      </c>
      <c r="G47" s="50">
        <v>0</v>
      </c>
      <c r="H47" s="50">
        <v>0</v>
      </c>
      <c r="I47" s="50">
        <v>0</v>
      </c>
      <c r="J47" s="50">
        <v>0</v>
      </c>
      <c r="K47" s="50">
        <v>1</v>
      </c>
      <c r="L47" s="50">
        <v>0</v>
      </c>
      <c r="M47" s="50">
        <v>7</v>
      </c>
      <c r="N47" s="50">
        <v>0</v>
      </c>
      <c r="O47" s="15">
        <f t="shared" si="0"/>
        <v>13</v>
      </c>
      <c r="P47" s="15">
        <f t="shared" si="1"/>
        <v>20</v>
      </c>
      <c r="R47" s="8"/>
      <c r="T47"/>
    </row>
    <row r="48" spans="2:32" ht="23.1" customHeight="1" x14ac:dyDescent="0.25">
      <c r="B48" s="46" t="s">
        <v>75</v>
      </c>
      <c r="C48" s="50">
        <v>4</v>
      </c>
      <c r="D48" s="50">
        <v>2</v>
      </c>
      <c r="E48" s="50">
        <v>0</v>
      </c>
      <c r="F48" s="50">
        <v>19</v>
      </c>
      <c r="G48" s="50">
        <v>0</v>
      </c>
      <c r="H48" s="50">
        <v>0</v>
      </c>
      <c r="I48" s="50">
        <v>1</v>
      </c>
      <c r="J48" s="50">
        <v>3</v>
      </c>
      <c r="K48" s="50">
        <v>2</v>
      </c>
      <c r="L48" s="50">
        <v>0</v>
      </c>
      <c r="M48" s="50">
        <v>10</v>
      </c>
      <c r="N48" s="50">
        <v>0</v>
      </c>
      <c r="O48" s="15">
        <f t="shared" si="0"/>
        <v>31</v>
      </c>
      <c r="P48" s="15">
        <f t="shared" si="1"/>
        <v>41</v>
      </c>
      <c r="R48" s="8"/>
      <c r="T48"/>
    </row>
    <row r="49" spans="2:20" ht="23.1" customHeight="1" x14ac:dyDescent="0.25">
      <c r="B49" s="45" t="s">
        <v>76</v>
      </c>
      <c r="C49" s="50">
        <v>4</v>
      </c>
      <c r="D49" s="50">
        <v>1</v>
      </c>
      <c r="E49" s="50">
        <v>1</v>
      </c>
      <c r="F49" s="50">
        <v>11</v>
      </c>
      <c r="G49" s="50">
        <v>0</v>
      </c>
      <c r="H49" s="50">
        <v>0</v>
      </c>
      <c r="I49" s="50">
        <v>1</v>
      </c>
      <c r="J49" s="50">
        <v>0</v>
      </c>
      <c r="K49" s="50">
        <v>0</v>
      </c>
      <c r="L49" s="50">
        <v>0</v>
      </c>
      <c r="M49" s="50">
        <v>11</v>
      </c>
      <c r="N49" s="50">
        <v>0</v>
      </c>
      <c r="O49" s="15">
        <f t="shared" si="0"/>
        <v>18</v>
      </c>
      <c r="P49" s="15">
        <f t="shared" si="1"/>
        <v>29</v>
      </c>
      <c r="R49" s="8"/>
      <c r="T49"/>
    </row>
    <row r="50" spans="2:20" ht="23.1" customHeight="1" x14ac:dyDescent="0.25">
      <c r="B50" s="46" t="s">
        <v>77</v>
      </c>
      <c r="C50" s="50">
        <v>8</v>
      </c>
      <c r="D50" s="50">
        <v>6</v>
      </c>
      <c r="E50" s="50">
        <v>0</v>
      </c>
      <c r="F50" s="50">
        <v>12</v>
      </c>
      <c r="G50" s="50">
        <v>0</v>
      </c>
      <c r="H50" s="50">
        <v>0</v>
      </c>
      <c r="I50" s="50">
        <v>2</v>
      </c>
      <c r="J50" s="50">
        <v>1</v>
      </c>
      <c r="K50" s="50">
        <v>0</v>
      </c>
      <c r="L50" s="50">
        <v>0</v>
      </c>
      <c r="M50" s="50">
        <v>19</v>
      </c>
      <c r="N50" s="50">
        <v>0</v>
      </c>
      <c r="O50" s="15">
        <f t="shared" si="0"/>
        <v>29</v>
      </c>
      <c r="P50" s="15">
        <f t="shared" si="1"/>
        <v>48</v>
      </c>
      <c r="R50" s="8"/>
      <c r="T50"/>
    </row>
    <row r="51" spans="2:20" ht="23.1" customHeight="1" x14ac:dyDescent="0.25">
      <c r="B51" s="46" t="s">
        <v>78</v>
      </c>
      <c r="C51" s="50">
        <v>4</v>
      </c>
      <c r="D51" s="50">
        <v>2</v>
      </c>
      <c r="E51" s="50">
        <v>1</v>
      </c>
      <c r="F51" s="50">
        <v>13</v>
      </c>
      <c r="G51" s="50">
        <v>0</v>
      </c>
      <c r="H51" s="50">
        <v>0</v>
      </c>
      <c r="I51" s="50">
        <v>0</v>
      </c>
      <c r="J51" s="50">
        <v>2</v>
      </c>
      <c r="K51" s="50">
        <v>1</v>
      </c>
      <c r="L51" s="50">
        <v>0</v>
      </c>
      <c r="M51" s="50">
        <v>12</v>
      </c>
      <c r="N51" s="50">
        <v>0</v>
      </c>
      <c r="O51" s="15">
        <f t="shared" si="0"/>
        <v>23</v>
      </c>
      <c r="P51" s="15">
        <f t="shared" si="1"/>
        <v>35</v>
      </c>
      <c r="R51" s="8"/>
      <c r="T51"/>
    </row>
    <row r="52" spans="2:20" ht="23.1" customHeight="1" x14ac:dyDescent="0.25">
      <c r="B52" s="46" t="s">
        <v>79</v>
      </c>
      <c r="C52" s="50">
        <v>8</v>
      </c>
      <c r="D52" s="50">
        <v>1</v>
      </c>
      <c r="E52" s="50">
        <v>1</v>
      </c>
      <c r="F52" s="50">
        <v>9</v>
      </c>
      <c r="G52" s="50">
        <v>0</v>
      </c>
      <c r="H52" s="50">
        <v>1</v>
      </c>
      <c r="I52" s="50">
        <v>0</v>
      </c>
      <c r="J52" s="50">
        <v>3</v>
      </c>
      <c r="K52" s="50">
        <v>0</v>
      </c>
      <c r="L52" s="50">
        <v>0</v>
      </c>
      <c r="M52" s="50">
        <v>21</v>
      </c>
      <c r="N52" s="50">
        <v>0</v>
      </c>
      <c r="O52" s="15">
        <f t="shared" si="0"/>
        <v>23</v>
      </c>
      <c r="P52" s="15">
        <f t="shared" si="1"/>
        <v>44</v>
      </c>
      <c r="R52" s="8"/>
      <c r="T52"/>
    </row>
    <row r="53" spans="2:20" ht="23.1" customHeight="1" x14ac:dyDescent="0.25">
      <c r="B53" s="45" t="s">
        <v>80</v>
      </c>
      <c r="C53" s="50">
        <v>8</v>
      </c>
      <c r="D53" s="50">
        <v>2</v>
      </c>
      <c r="E53" s="50">
        <v>1</v>
      </c>
      <c r="F53" s="50">
        <v>11</v>
      </c>
      <c r="G53" s="50">
        <v>0</v>
      </c>
      <c r="H53" s="50">
        <v>0</v>
      </c>
      <c r="I53" s="50">
        <v>1</v>
      </c>
      <c r="J53" s="50">
        <v>2</v>
      </c>
      <c r="K53" s="50">
        <v>0</v>
      </c>
      <c r="L53" s="50">
        <v>0</v>
      </c>
      <c r="M53" s="50">
        <v>22</v>
      </c>
      <c r="N53" s="50">
        <v>0</v>
      </c>
      <c r="O53" s="15">
        <f t="shared" si="0"/>
        <v>25</v>
      </c>
      <c r="P53" s="15">
        <f t="shared" si="1"/>
        <v>47</v>
      </c>
      <c r="R53" s="8"/>
      <c r="T53"/>
    </row>
    <row r="54" spans="2:20" ht="23.1" customHeight="1" x14ac:dyDescent="0.25">
      <c r="B54" s="45" t="s">
        <v>81</v>
      </c>
      <c r="C54" s="50">
        <v>6</v>
      </c>
      <c r="D54" s="50">
        <v>0</v>
      </c>
      <c r="E54" s="50">
        <v>1</v>
      </c>
      <c r="F54" s="50">
        <v>3</v>
      </c>
      <c r="G54" s="50">
        <v>0</v>
      </c>
      <c r="H54" s="50">
        <v>0</v>
      </c>
      <c r="I54" s="50">
        <v>1</v>
      </c>
      <c r="J54" s="50">
        <v>2</v>
      </c>
      <c r="K54" s="50">
        <v>0</v>
      </c>
      <c r="L54" s="50">
        <v>0</v>
      </c>
      <c r="M54" s="50">
        <v>19</v>
      </c>
      <c r="N54" s="50">
        <v>0</v>
      </c>
      <c r="O54" s="15">
        <f t="shared" si="0"/>
        <v>13</v>
      </c>
      <c r="P54" s="15">
        <f t="shared" si="1"/>
        <v>32</v>
      </c>
      <c r="R54" s="8"/>
      <c r="T54"/>
    </row>
    <row r="55" spans="2:20" ht="23.1" customHeight="1" x14ac:dyDescent="0.25">
      <c r="B55" s="45" t="s">
        <v>82</v>
      </c>
      <c r="C55" s="50">
        <v>10</v>
      </c>
      <c r="D55" s="50">
        <v>1</v>
      </c>
      <c r="E55" s="50">
        <v>4</v>
      </c>
      <c r="F55" s="50">
        <v>19</v>
      </c>
      <c r="G55" s="50">
        <v>1</v>
      </c>
      <c r="H55" s="50">
        <v>0</v>
      </c>
      <c r="I55" s="50">
        <v>0</v>
      </c>
      <c r="J55" s="50">
        <v>1</v>
      </c>
      <c r="K55" s="50">
        <v>1</v>
      </c>
      <c r="L55" s="50">
        <v>0</v>
      </c>
      <c r="M55" s="50">
        <v>10</v>
      </c>
      <c r="N55" s="50">
        <v>0</v>
      </c>
      <c r="O55" s="15">
        <f t="shared" si="0"/>
        <v>37</v>
      </c>
      <c r="P55" s="15">
        <f t="shared" si="1"/>
        <v>47</v>
      </c>
      <c r="R55" s="8"/>
      <c r="T55"/>
    </row>
    <row r="56" spans="2:20" ht="23.1" customHeight="1" x14ac:dyDescent="0.25">
      <c r="B56" s="45" t="s">
        <v>83</v>
      </c>
      <c r="C56" s="50">
        <v>4</v>
      </c>
      <c r="D56" s="50">
        <v>1</v>
      </c>
      <c r="E56" s="50">
        <v>0</v>
      </c>
      <c r="F56" s="50">
        <v>12</v>
      </c>
      <c r="G56" s="50">
        <v>0</v>
      </c>
      <c r="H56" s="50">
        <v>1</v>
      </c>
      <c r="I56" s="50">
        <v>1</v>
      </c>
      <c r="J56" s="50">
        <v>1</v>
      </c>
      <c r="K56" s="50">
        <v>1</v>
      </c>
      <c r="L56" s="50">
        <v>0</v>
      </c>
      <c r="M56" s="50">
        <v>22</v>
      </c>
      <c r="N56" s="50">
        <v>0</v>
      </c>
      <c r="O56" s="15">
        <f t="shared" si="0"/>
        <v>21</v>
      </c>
      <c r="P56" s="15">
        <f t="shared" si="1"/>
        <v>43</v>
      </c>
      <c r="R56" s="8"/>
      <c r="T56"/>
    </row>
    <row r="57" spans="2:20" ht="23.1" customHeight="1" x14ac:dyDescent="0.25">
      <c r="B57" s="45" t="s">
        <v>84</v>
      </c>
      <c r="C57" s="50">
        <v>11</v>
      </c>
      <c r="D57" s="50">
        <v>1</v>
      </c>
      <c r="E57" s="50">
        <v>0</v>
      </c>
      <c r="F57" s="50">
        <v>6</v>
      </c>
      <c r="G57" s="50">
        <v>0</v>
      </c>
      <c r="H57" s="50">
        <v>1</v>
      </c>
      <c r="I57" s="50">
        <v>1</v>
      </c>
      <c r="J57" s="50">
        <v>0</v>
      </c>
      <c r="K57" s="50">
        <v>1</v>
      </c>
      <c r="L57" s="50">
        <v>0</v>
      </c>
      <c r="M57" s="50">
        <v>12</v>
      </c>
      <c r="N57" s="50">
        <v>0</v>
      </c>
      <c r="O57" s="15">
        <f t="shared" si="0"/>
        <v>21</v>
      </c>
      <c r="P57" s="15">
        <f t="shared" si="1"/>
        <v>33</v>
      </c>
      <c r="R57" s="8"/>
      <c r="T57"/>
    </row>
    <row r="58" spans="2:20" ht="23.1" customHeight="1" x14ac:dyDescent="0.25">
      <c r="B58" s="45" t="s">
        <v>99</v>
      </c>
      <c r="C58" s="50">
        <v>4</v>
      </c>
      <c r="D58" s="50">
        <v>0</v>
      </c>
      <c r="E58" s="50">
        <v>1</v>
      </c>
      <c r="F58" s="50">
        <v>7</v>
      </c>
      <c r="G58" s="50">
        <v>0</v>
      </c>
      <c r="H58" s="50">
        <v>1</v>
      </c>
      <c r="I58" s="50">
        <v>2</v>
      </c>
      <c r="J58" s="50">
        <v>0</v>
      </c>
      <c r="K58" s="50">
        <v>0</v>
      </c>
      <c r="L58" s="50">
        <v>0</v>
      </c>
      <c r="M58" s="50">
        <v>8</v>
      </c>
      <c r="N58" s="50">
        <v>0</v>
      </c>
      <c r="O58" s="15">
        <f t="shared" ref="O58:O105" si="35">SUM(C58:L58,N58)</f>
        <v>15</v>
      </c>
      <c r="P58" s="15">
        <f t="shared" ref="P58:P105" si="36">SUM(C58:N58)</f>
        <v>23</v>
      </c>
      <c r="R58" s="8"/>
      <c r="T58"/>
    </row>
    <row r="59" spans="2:20" ht="23.1" customHeight="1" x14ac:dyDescent="0.25">
      <c r="B59" s="45" t="s">
        <v>100</v>
      </c>
      <c r="C59" s="50">
        <v>5</v>
      </c>
      <c r="D59" s="50">
        <v>0</v>
      </c>
      <c r="E59" s="50">
        <v>2</v>
      </c>
      <c r="F59" s="50">
        <v>10</v>
      </c>
      <c r="G59" s="50">
        <v>1</v>
      </c>
      <c r="H59" s="50">
        <v>0</v>
      </c>
      <c r="I59" s="50">
        <v>4</v>
      </c>
      <c r="J59" s="50">
        <v>0</v>
      </c>
      <c r="K59" s="50">
        <v>0</v>
      </c>
      <c r="L59" s="50">
        <v>0</v>
      </c>
      <c r="M59" s="50">
        <v>12</v>
      </c>
      <c r="N59" s="50">
        <v>0</v>
      </c>
      <c r="O59" s="15">
        <f t="shared" si="35"/>
        <v>22</v>
      </c>
      <c r="P59" s="15">
        <f t="shared" si="36"/>
        <v>34</v>
      </c>
      <c r="R59" s="8"/>
      <c r="T59"/>
    </row>
    <row r="60" spans="2:20" ht="23.1" customHeight="1" x14ac:dyDescent="0.25">
      <c r="B60" s="45" t="s">
        <v>101</v>
      </c>
      <c r="C60" s="50">
        <v>5</v>
      </c>
      <c r="D60" s="50">
        <v>3</v>
      </c>
      <c r="E60" s="50">
        <v>2</v>
      </c>
      <c r="F60" s="50">
        <v>6</v>
      </c>
      <c r="G60" s="50">
        <v>1</v>
      </c>
      <c r="H60" s="50">
        <v>0</v>
      </c>
      <c r="I60" s="50">
        <v>3</v>
      </c>
      <c r="J60" s="50">
        <v>0</v>
      </c>
      <c r="K60" s="50">
        <v>3</v>
      </c>
      <c r="L60" s="50">
        <v>1</v>
      </c>
      <c r="M60" s="50">
        <v>8</v>
      </c>
      <c r="N60" s="50">
        <v>0</v>
      </c>
      <c r="O60" s="15">
        <f t="shared" si="35"/>
        <v>24</v>
      </c>
      <c r="P60" s="15">
        <f t="shared" si="36"/>
        <v>32</v>
      </c>
      <c r="R60" s="8"/>
      <c r="T60"/>
    </row>
    <row r="61" spans="2:20" ht="23.1" customHeight="1" x14ac:dyDescent="0.25">
      <c r="B61" s="45" t="s">
        <v>102</v>
      </c>
      <c r="C61" s="50">
        <v>5</v>
      </c>
      <c r="D61" s="50">
        <v>3</v>
      </c>
      <c r="E61" s="50">
        <v>1</v>
      </c>
      <c r="F61" s="50">
        <v>8</v>
      </c>
      <c r="G61" s="50">
        <v>0</v>
      </c>
      <c r="H61" s="50">
        <v>1</v>
      </c>
      <c r="I61" s="50">
        <v>1</v>
      </c>
      <c r="J61" s="50">
        <v>0</v>
      </c>
      <c r="K61" s="50">
        <v>0</v>
      </c>
      <c r="L61" s="50">
        <v>0</v>
      </c>
      <c r="M61" s="50">
        <v>16</v>
      </c>
      <c r="N61" s="50">
        <v>0</v>
      </c>
      <c r="O61" s="15">
        <f t="shared" si="35"/>
        <v>19</v>
      </c>
      <c r="P61" s="15">
        <f t="shared" si="36"/>
        <v>35</v>
      </c>
      <c r="R61" s="8"/>
      <c r="T61"/>
    </row>
    <row r="62" spans="2:20" ht="23.1" customHeight="1" x14ac:dyDescent="0.25">
      <c r="B62" s="45" t="s">
        <v>107</v>
      </c>
      <c r="C62" s="50">
        <v>2</v>
      </c>
      <c r="D62" s="50">
        <v>1</v>
      </c>
      <c r="E62" s="50">
        <v>1</v>
      </c>
      <c r="F62" s="50">
        <v>10</v>
      </c>
      <c r="G62" s="50">
        <v>0</v>
      </c>
      <c r="H62" s="50">
        <v>0</v>
      </c>
      <c r="I62" s="50">
        <v>1</v>
      </c>
      <c r="J62" s="50">
        <v>0</v>
      </c>
      <c r="K62" s="50">
        <v>2</v>
      </c>
      <c r="L62" s="50">
        <v>0</v>
      </c>
      <c r="M62" s="50">
        <v>5</v>
      </c>
      <c r="N62" s="50">
        <v>0</v>
      </c>
      <c r="O62" s="15">
        <f t="shared" si="35"/>
        <v>17</v>
      </c>
      <c r="P62" s="15">
        <f t="shared" si="36"/>
        <v>22</v>
      </c>
      <c r="R62" s="8"/>
      <c r="T62"/>
    </row>
    <row r="63" spans="2:20" ht="23.1" customHeight="1" x14ac:dyDescent="0.25">
      <c r="B63" s="45" t="s">
        <v>108</v>
      </c>
      <c r="C63" s="50">
        <v>3</v>
      </c>
      <c r="D63" s="50">
        <v>0</v>
      </c>
      <c r="E63" s="50">
        <v>0</v>
      </c>
      <c r="F63" s="50">
        <v>7</v>
      </c>
      <c r="G63" s="50">
        <v>0</v>
      </c>
      <c r="H63" s="50">
        <v>0</v>
      </c>
      <c r="I63" s="50">
        <v>2</v>
      </c>
      <c r="J63" s="50">
        <v>0</v>
      </c>
      <c r="K63" s="50">
        <v>1</v>
      </c>
      <c r="L63" s="50">
        <v>0</v>
      </c>
      <c r="M63" s="50">
        <v>5</v>
      </c>
      <c r="N63" s="50">
        <v>0</v>
      </c>
      <c r="O63" s="15">
        <f t="shared" si="35"/>
        <v>13</v>
      </c>
      <c r="P63" s="15">
        <f t="shared" si="36"/>
        <v>18</v>
      </c>
      <c r="R63" s="8"/>
      <c r="T63"/>
    </row>
    <row r="64" spans="2:20" ht="23.1" customHeight="1" x14ac:dyDescent="0.25">
      <c r="B64" s="45" t="s">
        <v>109</v>
      </c>
      <c r="C64" s="50">
        <v>2</v>
      </c>
      <c r="D64" s="50">
        <v>1</v>
      </c>
      <c r="E64" s="50">
        <v>1</v>
      </c>
      <c r="F64" s="50">
        <v>5</v>
      </c>
      <c r="G64" s="50">
        <v>0</v>
      </c>
      <c r="H64" s="50">
        <v>0</v>
      </c>
      <c r="I64" s="50">
        <v>3</v>
      </c>
      <c r="J64" s="50">
        <v>0</v>
      </c>
      <c r="K64" s="50">
        <v>0</v>
      </c>
      <c r="L64" s="50">
        <v>0</v>
      </c>
      <c r="M64" s="50">
        <v>4</v>
      </c>
      <c r="N64" s="50">
        <v>0</v>
      </c>
      <c r="O64" s="15">
        <f t="shared" si="35"/>
        <v>12</v>
      </c>
      <c r="P64" s="15">
        <f t="shared" si="36"/>
        <v>16</v>
      </c>
      <c r="R64" s="8"/>
      <c r="T64"/>
    </row>
    <row r="65" spans="2:20" ht="23.1" customHeight="1" x14ac:dyDescent="0.25">
      <c r="B65" s="45" t="s">
        <v>158</v>
      </c>
      <c r="C65" s="50">
        <v>2</v>
      </c>
      <c r="D65" s="50">
        <v>1</v>
      </c>
      <c r="E65" s="50">
        <v>2</v>
      </c>
      <c r="F65" s="50">
        <v>5</v>
      </c>
      <c r="G65" s="50">
        <v>1</v>
      </c>
      <c r="H65" s="50">
        <v>0</v>
      </c>
      <c r="I65" s="50">
        <v>2</v>
      </c>
      <c r="J65" s="50">
        <v>0</v>
      </c>
      <c r="K65" s="50">
        <v>0</v>
      </c>
      <c r="L65" s="50">
        <v>0</v>
      </c>
      <c r="M65" s="50">
        <v>5</v>
      </c>
      <c r="N65" s="50">
        <v>0</v>
      </c>
      <c r="O65" s="15">
        <f t="shared" si="35"/>
        <v>13</v>
      </c>
      <c r="P65" s="15">
        <f t="shared" si="36"/>
        <v>18</v>
      </c>
      <c r="R65" s="8"/>
      <c r="T65"/>
    </row>
    <row r="66" spans="2:20" ht="23.1" customHeight="1" x14ac:dyDescent="0.25">
      <c r="B66" s="45" t="s">
        <v>103</v>
      </c>
      <c r="C66" s="50">
        <v>3</v>
      </c>
      <c r="D66" s="50">
        <v>2</v>
      </c>
      <c r="E66" s="50">
        <v>2</v>
      </c>
      <c r="F66" s="50">
        <v>6</v>
      </c>
      <c r="G66" s="50">
        <v>0</v>
      </c>
      <c r="H66" s="50">
        <v>1</v>
      </c>
      <c r="I66" s="50">
        <v>8</v>
      </c>
      <c r="J66" s="50">
        <v>0</v>
      </c>
      <c r="K66" s="50">
        <v>0</v>
      </c>
      <c r="L66" s="50">
        <v>0</v>
      </c>
      <c r="M66" s="50">
        <v>15</v>
      </c>
      <c r="N66" s="50">
        <v>0</v>
      </c>
      <c r="O66" s="15">
        <f t="shared" si="35"/>
        <v>22</v>
      </c>
      <c r="P66" s="15">
        <f t="shared" si="36"/>
        <v>37</v>
      </c>
      <c r="R66" s="8"/>
      <c r="T66"/>
    </row>
    <row r="67" spans="2:20" ht="23.1" customHeight="1" x14ac:dyDescent="0.25">
      <c r="B67" s="45" t="s">
        <v>104</v>
      </c>
      <c r="C67" s="50">
        <v>1</v>
      </c>
      <c r="D67" s="50">
        <v>0</v>
      </c>
      <c r="E67" s="50">
        <v>3</v>
      </c>
      <c r="F67" s="50">
        <v>8</v>
      </c>
      <c r="G67" s="50">
        <v>0</v>
      </c>
      <c r="H67" s="50">
        <v>1</v>
      </c>
      <c r="I67" s="50">
        <v>4</v>
      </c>
      <c r="J67" s="50">
        <v>0</v>
      </c>
      <c r="K67" s="50">
        <v>0</v>
      </c>
      <c r="L67" s="50">
        <v>1</v>
      </c>
      <c r="M67" s="50">
        <v>5</v>
      </c>
      <c r="N67" s="50">
        <v>0</v>
      </c>
      <c r="O67" s="15">
        <f t="shared" si="35"/>
        <v>18</v>
      </c>
      <c r="P67" s="15">
        <f t="shared" si="36"/>
        <v>23</v>
      </c>
      <c r="R67" s="8"/>
      <c r="T67"/>
    </row>
    <row r="68" spans="2:20" ht="23.1" customHeight="1" x14ac:dyDescent="0.25">
      <c r="B68" s="45" t="s">
        <v>105</v>
      </c>
      <c r="C68" s="50">
        <v>1</v>
      </c>
      <c r="D68" s="50">
        <v>0</v>
      </c>
      <c r="E68" s="50">
        <v>3</v>
      </c>
      <c r="F68" s="50">
        <v>4</v>
      </c>
      <c r="G68" s="50">
        <v>0</v>
      </c>
      <c r="H68" s="50">
        <v>1</v>
      </c>
      <c r="I68" s="50">
        <v>3</v>
      </c>
      <c r="J68" s="50">
        <v>0</v>
      </c>
      <c r="K68" s="50">
        <v>0</v>
      </c>
      <c r="L68" s="50">
        <v>0</v>
      </c>
      <c r="M68" s="50">
        <v>2</v>
      </c>
      <c r="N68" s="50">
        <v>0</v>
      </c>
      <c r="O68" s="15">
        <f t="shared" si="35"/>
        <v>12</v>
      </c>
      <c r="P68" s="15">
        <f t="shared" si="36"/>
        <v>14</v>
      </c>
      <c r="R68" s="8"/>
      <c r="T68"/>
    </row>
    <row r="69" spans="2:20" ht="23.1" customHeight="1" x14ac:dyDescent="0.25">
      <c r="B69" s="45" t="s">
        <v>106</v>
      </c>
      <c r="C69" s="50">
        <v>3</v>
      </c>
      <c r="D69" s="50">
        <v>2</v>
      </c>
      <c r="E69" s="50">
        <v>1</v>
      </c>
      <c r="F69" s="50">
        <v>7</v>
      </c>
      <c r="G69" s="50">
        <v>0</v>
      </c>
      <c r="H69" s="50">
        <v>1</v>
      </c>
      <c r="I69" s="50">
        <v>1</v>
      </c>
      <c r="J69" s="50">
        <v>0</v>
      </c>
      <c r="K69" s="50">
        <v>0</v>
      </c>
      <c r="L69" s="50">
        <v>0</v>
      </c>
      <c r="M69" s="50">
        <v>2</v>
      </c>
      <c r="N69" s="50">
        <v>0</v>
      </c>
      <c r="O69" s="15">
        <f t="shared" si="35"/>
        <v>15</v>
      </c>
      <c r="P69" s="15">
        <f t="shared" si="36"/>
        <v>17</v>
      </c>
      <c r="R69" s="8"/>
      <c r="T69"/>
    </row>
    <row r="70" spans="2:20" ht="23.1" customHeight="1" x14ac:dyDescent="0.25">
      <c r="B70" s="45" t="s">
        <v>110</v>
      </c>
      <c r="C70" s="50">
        <v>0</v>
      </c>
      <c r="D70" s="50">
        <v>0</v>
      </c>
      <c r="E70" s="50">
        <v>2</v>
      </c>
      <c r="F70" s="50">
        <v>2</v>
      </c>
      <c r="G70" s="50">
        <v>0</v>
      </c>
      <c r="H70" s="50">
        <v>0</v>
      </c>
      <c r="I70" s="50">
        <v>2</v>
      </c>
      <c r="J70" s="50">
        <v>0</v>
      </c>
      <c r="K70" s="50">
        <v>0</v>
      </c>
      <c r="L70" s="50">
        <v>0</v>
      </c>
      <c r="M70" s="50">
        <v>2</v>
      </c>
      <c r="N70" s="50">
        <v>0</v>
      </c>
      <c r="O70" s="15">
        <f t="shared" si="35"/>
        <v>6</v>
      </c>
      <c r="P70" s="15">
        <f t="shared" si="36"/>
        <v>8</v>
      </c>
      <c r="R70" s="8"/>
      <c r="T70"/>
    </row>
    <row r="71" spans="2:20" ht="23.1" customHeight="1" x14ac:dyDescent="0.25">
      <c r="B71" s="45" t="s">
        <v>111</v>
      </c>
      <c r="C71" s="50">
        <v>2</v>
      </c>
      <c r="D71" s="50">
        <v>0</v>
      </c>
      <c r="E71" s="50">
        <v>3</v>
      </c>
      <c r="F71" s="50">
        <v>3</v>
      </c>
      <c r="G71" s="50">
        <v>0</v>
      </c>
      <c r="H71" s="50">
        <v>0</v>
      </c>
      <c r="I71" s="50">
        <v>3</v>
      </c>
      <c r="J71" s="50">
        <v>0</v>
      </c>
      <c r="K71" s="50">
        <v>0</v>
      </c>
      <c r="L71" s="50">
        <v>0</v>
      </c>
      <c r="M71" s="50">
        <v>2</v>
      </c>
      <c r="N71" s="50">
        <v>0</v>
      </c>
      <c r="O71" s="15">
        <f t="shared" si="35"/>
        <v>11</v>
      </c>
      <c r="P71" s="15">
        <f t="shared" si="36"/>
        <v>13</v>
      </c>
      <c r="R71" s="8"/>
      <c r="T71"/>
    </row>
    <row r="72" spans="2:20" ht="23.1" customHeight="1" x14ac:dyDescent="0.25">
      <c r="B72" s="45" t="s">
        <v>112</v>
      </c>
      <c r="C72" s="50">
        <v>2</v>
      </c>
      <c r="D72" s="50">
        <v>1</v>
      </c>
      <c r="E72" s="50">
        <v>1</v>
      </c>
      <c r="F72" s="50">
        <v>1</v>
      </c>
      <c r="G72" s="50">
        <v>1</v>
      </c>
      <c r="H72" s="50">
        <v>0</v>
      </c>
      <c r="I72" s="50">
        <v>4</v>
      </c>
      <c r="J72" s="50">
        <v>0</v>
      </c>
      <c r="K72" s="50">
        <v>0</v>
      </c>
      <c r="L72" s="50">
        <v>0</v>
      </c>
      <c r="M72" s="50">
        <v>1</v>
      </c>
      <c r="N72" s="50">
        <v>0</v>
      </c>
      <c r="O72" s="15">
        <f t="shared" si="35"/>
        <v>10</v>
      </c>
      <c r="P72" s="15">
        <f t="shared" si="36"/>
        <v>11</v>
      </c>
      <c r="R72" s="8"/>
      <c r="T72"/>
    </row>
    <row r="73" spans="2:20" ht="23.1" customHeight="1" x14ac:dyDescent="0.25">
      <c r="B73" s="45" t="s">
        <v>113</v>
      </c>
      <c r="C73" s="50">
        <v>4</v>
      </c>
      <c r="D73" s="50">
        <v>1</v>
      </c>
      <c r="E73" s="50">
        <v>0</v>
      </c>
      <c r="F73" s="50">
        <v>4</v>
      </c>
      <c r="G73" s="50">
        <v>1</v>
      </c>
      <c r="H73" s="50">
        <v>0</v>
      </c>
      <c r="I73" s="50">
        <v>0</v>
      </c>
      <c r="J73" s="50">
        <v>0</v>
      </c>
      <c r="K73" s="50">
        <v>0</v>
      </c>
      <c r="L73" s="50">
        <v>1</v>
      </c>
      <c r="M73" s="50">
        <v>1</v>
      </c>
      <c r="N73" s="50">
        <v>0</v>
      </c>
      <c r="O73" s="15">
        <f t="shared" si="35"/>
        <v>11</v>
      </c>
      <c r="P73" s="15">
        <f t="shared" si="36"/>
        <v>12</v>
      </c>
      <c r="R73" s="8"/>
      <c r="T73"/>
    </row>
    <row r="74" spans="2:20" ht="23.1" customHeight="1" x14ac:dyDescent="0.25">
      <c r="B74" s="45" t="s">
        <v>114</v>
      </c>
      <c r="C74" s="50">
        <v>4</v>
      </c>
      <c r="D74" s="50">
        <v>1</v>
      </c>
      <c r="E74" s="50">
        <v>0</v>
      </c>
      <c r="F74" s="50">
        <v>2</v>
      </c>
      <c r="G74" s="50">
        <v>2</v>
      </c>
      <c r="H74" s="50">
        <v>1</v>
      </c>
      <c r="I74" s="50">
        <v>5</v>
      </c>
      <c r="J74" s="50">
        <v>0</v>
      </c>
      <c r="K74" s="50">
        <v>1</v>
      </c>
      <c r="L74" s="50">
        <v>1</v>
      </c>
      <c r="M74" s="50">
        <v>1</v>
      </c>
      <c r="N74" s="50">
        <v>0</v>
      </c>
      <c r="O74" s="15">
        <f t="shared" si="35"/>
        <v>17</v>
      </c>
      <c r="P74" s="15">
        <f t="shared" si="36"/>
        <v>18</v>
      </c>
      <c r="R74" s="8"/>
      <c r="T74"/>
    </row>
    <row r="75" spans="2:20" ht="23.1" customHeight="1" x14ac:dyDescent="0.25">
      <c r="B75" s="45" t="s">
        <v>115</v>
      </c>
      <c r="C75" s="50">
        <v>5</v>
      </c>
      <c r="D75" s="50">
        <v>0</v>
      </c>
      <c r="E75" s="50">
        <v>1</v>
      </c>
      <c r="F75" s="50">
        <v>5</v>
      </c>
      <c r="G75" s="50">
        <v>1</v>
      </c>
      <c r="H75" s="50">
        <v>0</v>
      </c>
      <c r="I75" s="50">
        <v>4</v>
      </c>
      <c r="J75" s="50">
        <v>0</v>
      </c>
      <c r="K75" s="50">
        <v>0</v>
      </c>
      <c r="L75" s="50">
        <v>0</v>
      </c>
      <c r="M75" s="50">
        <v>0</v>
      </c>
      <c r="N75" s="50">
        <v>0</v>
      </c>
      <c r="O75" s="15">
        <f t="shared" si="35"/>
        <v>16</v>
      </c>
      <c r="P75" s="15">
        <f t="shared" si="36"/>
        <v>16</v>
      </c>
      <c r="R75" s="8"/>
      <c r="T75"/>
    </row>
    <row r="76" spans="2:20" ht="23.1" customHeight="1" x14ac:dyDescent="0.25">
      <c r="B76" s="45" t="s">
        <v>116</v>
      </c>
      <c r="C76" s="50">
        <v>2</v>
      </c>
      <c r="D76" s="50">
        <v>0</v>
      </c>
      <c r="E76" s="50">
        <v>0</v>
      </c>
      <c r="F76" s="50">
        <v>3</v>
      </c>
      <c r="G76" s="50">
        <v>0</v>
      </c>
      <c r="H76" s="50">
        <v>0</v>
      </c>
      <c r="I76" s="50">
        <v>2</v>
      </c>
      <c r="J76" s="50">
        <v>0</v>
      </c>
      <c r="K76" s="50">
        <v>2</v>
      </c>
      <c r="L76" s="50">
        <v>0</v>
      </c>
      <c r="M76" s="50">
        <v>0</v>
      </c>
      <c r="N76" s="50">
        <v>0</v>
      </c>
      <c r="O76" s="15">
        <f t="shared" si="35"/>
        <v>9</v>
      </c>
      <c r="P76" s="15">
        <f t="shared" si="36"/>
        <v>9</v>
      </c>
      <c r="R76" s="8"/>
      <c r="T76"/>
    </row>
    <row r="77" spans="2:20" ht="23.1" customHeight="1" x14ac:dyDescent="0.25">
      <c r="B77" s="45" t="s">
        <v>117</v>
      </c>
      <c r="C77" s="50">
        <v>3</v>
      </c>
      <c r="D77" s="50">
        <v>0</v>
      </c>
      <c r="E77" s="50">
        <v>1</v>
      </c>
      <c r="F77" s="50">
        <v>1</v>
      </c>
      <c r="G77" s="50">
        <v>0</v>
      </c>
      <c r="H77" s="50">
        <v>1</v>
      </c>
      <c r="I77" s="50">
        <v>1</v>
      </c>
      <c r="J77" s="50">
        <v>0</v>
      </c>
      <c r="K77" s="50">
        <v>1</v>
      </c>
      <c r="L77" s="50">
        <v>0</v>
      </c>
      <c r="M77" s="50">
        <v>0</v>
      </c>
      <c r="N77" s="50">
        <v>0</v>
      </c>
      <c r="O77" s="15">
        <f t="shared" si="35"/>
        <v>8</v>
      </c>
      <c r="P77" s="15">
        <f t="shared" si="36"/>
        <v>8</v>
      </c>
      <c r="R77" s="8"/>
      <c r="T77"/>
    </row>
    <row r="78" spans="2:20" ht="23.1" customHeight="1" x14ac:dyDescent="0.25">
      <c r="B78" s="46" t="s">
        <v>118</v>
      </c>
      <c r="C78" s="50">
        <v>3</v>
      </c>
      <c r="D78" s="50">
        <v>0</v>
      </c>
      <c r="E78" s="50">
        <v>0</v>
      </c>
      <c r="F78" s="50">
        <v>2</v>
      </c>
      <c r="G78" s="50">
        <v>0</v>
      </c>
      <c r="H78" s="50">
        <v>0</v>
      </c>
      <c r="I78" s="50">
        <v>3</v>
      </c>
      <c r="J78" s="50">
        <v>0</v>
      </c>
      <c r="K78" s="50">
        <v>0</v>
      </c>
      <c r="L78" s="50">
        <v>0</v>
      </c>
      <c r="M78" s="50">
        <v>0</v>
      </c>
      <c r="N78" s="50">
        <v>0</v>
      </c>
      <c r="O78" s="15">
        <f t="shared" si="35"/>
        <v>8</v>
      </c>
      <c r="P78" s="15">
        <f t="shared" si="36"/>
        <v>8</v>
      </c>
      <c r="R78" s="8"/>
      <c r="T78"/>
    </row>
    <row r="79" spans="2:20" ht="23.1" customHeight="1" x14ac:dyDescent="0.25">
      <c r="B79" s="45" t="s">
        <v>119</v>
      </c>
      <c r="C79" s="50">
        <v>2</v>
      </c>
      <c r="D79" s="50">
        <v>0</v>
      </c>
      <c r="E79" s="50">
        <v>0</v>
      </c>
      <c r="F79" s="50">
        <v>2</v>
      </c>
      <c r="G79" s="50">
        <v>1</v>
      </c>
      <c r="H79" s="50">
        <v>0</v>
      </c>
      <c r="I79" s="50">
        <v>0</v>
      </c>
      <c r="J79" s="50">
        <v>0</v>
      </c>
      <c r="K79" s="50">
        <v>1</v>
      </c>
      <c r="L79" s="50">
        <v>0</v>
      </c>
      <c r="M79" s="50">
        <v>1</v>
      </c>
      <c r="N79" s="50">
        <v>0</v>
      </c>
      <c r="O79" s="15">
        <f t="shared" si="35"/>
        <v>6</v>
      </c>
      <c r="P79" s="15">
        <f t="shared" si="36"/>
        <v>7</v>
      </c>
      <c r="R79" s="8"/>
      <c r="T79"/>
    </row>
    <row r="80" spans="2:20" ht="23.1" customHeight="1" x14ac:dyDescent="0.25">
      <c r="B80" s="47" t="s">
        <v>120</v>
      </c>
      <c r="C80" s="50">
        <v>0</v>
      </c>
      <c r="D80" s="50">
        <v>0</v>
      </c>
      <c r="E80" s="50">
        <v>0</v>
      </c>
      <c r="F80" s="50">
        <v>3</v>
      </c>
      <c r="G80" s="50">
        <v>0</v>
      </c>
      <c r="H80" s="50">
        <v>0</v>
      </c>
      <c r="I80" s="50">
        <v>0</v>
      </c>
      <c r="J80" s="50">
        <v>0</v>
      </c>
      <c r="K80" s="50">
        <v>0</v>
      </c>
      <c r="L80" s="50">
        <v>0</v>
      </c>
      <c r="M80" s="50">
        <v>0</v>
      </c>
      <c r="N80" s="50">
        <v>0</v>
      </c>
      <c r="O80" s="15">
        <f t="shared" si="35"/>
        <v>3</v>
      </c>
      <c r="P80" s="15">
        <f t="shared" si="36"/>
        <v>3</v>
      </c>
      <c r="R80" s="8"/>
      <c r="T80"/>
    </row>
    <row r="81" spans="2:20" ht="23.1" customHeight="1" x14ac:dyDescent="0.25">
      <c r="B81" s="45" t="s">
        <v>121</v>
      </c>
      <c r="C81" s="50">
        <v>1</v>
      </c>
      <c r="D81" s="50">
        <v>0</v>
      </c>
      <c r="E81" s="50">
        <v>0</v>
      </c>
      <c r="F81" s="50">
        <v>0</v>
      </c>
      <c r="G81" s="50">
        <v>0</v>
      </c>
      <c r="H81" s="50">
        <v>1</v>
      </c>
      <c r="I81" s="50">
        <v>1</v>
      </c>
      <c r="J81" s="50">
        <v>0</v>
      </c>
      <c r="K81" s="50">
        <v>0</v>
      </c>
      <c r="L81" s="50">
        <v>0</v>
      </c>
      <c r="M81" s="50">
        <v>0</v>
      </c>
      <c r="N81" s="50">
        <v>0</v>
      </c>
      <c r="O81" s="15">
        <f t="shared" si="35"/>
        <v>3</v>
      </c>
      <c r="P81" s="15">
        <f t="shared" si="36"/>
        <v>3</v>
      </c>
      <c r="R81" s="8"/>
      <c r="T81"/>
    </row>
    <row r="82" spans="2:20" ht="23.1" customHeight="1" x14ac:dyDescent="0.25">
      <c r="B82" s="46" t="s">
        <v>122</v>
      </c>
      <c r="C82" s="50">
        <v>2</v>
      </c>
      <c r="D82" s="50">
        <v>0</v>
      </c>
      <c r="E82" s="50">
        <v>0</v>
      </c>
      <c r="F82" s="50">
        <v>1</v>
      </c>
      <c r="G82" s="50">
        <v>0</v>
      </c>
      <c r="H82" s="50">
        <v>0</v>
      </c>
      <c r="I82" s="50">
        <v>2</v>
      </c>
      <c r="J82" s="50">
        <v>0</v>
      </c>
      <c r="K82" s="50">
        <v>0</v>
      </c>
      <c r="L82" s="50">
        <v>0</v>
      </c>
      <c r="M82" s="50">
        <v>0</v>
      </c>
      <c r="N82" s="50">
        <v>0</v>
      </c>
      <c r="O82" s="15">
        <f t="shared" si="35"/>
        <v>5</v>
      </c>
      <c r="P82" s="15">
        <f t="shared" si="36"/>
        <v>5</v>
      </c>
      <c r="R82" s="8"/>
      <c r="T82"/>
    </row>
    <row r="83" spans="2:20" ht="23.1" customHeight="1" x14ac:dyDescent="0.25">
      <c r="B83" s="45" t="s">
        <v>123</v>
      </c>
      <c r="C83" s="50">
        <v>0</v>
      </c>
      <c r="D83" s="50">
        <v>0</v>
      </c>
      <c r="E83" s="50">
        <v>0</v>
      </c>
      <c r="F83" s="50">
        <v>0</v>
      </c>
      <c r="G83" s="50">
        <v>0</v>
      </c>
      <c r="H83" s="50">
        <v>1</v>
      </c>
      <c r="I83" s="50">
        <v>1</v>
      </c>
      <c r="J83" s="50">
        <v>0</v>
      </c>
      <c r="K83" s="50">
        <v>0</v>
      </c>
      <c r="L83" s="50">
        <v>0</v>
      </c>
      <c r="M83" s="50">
        <v>1</v>
      </c>
      <c r="N83" s="50">
        <v>0</v>
      </c>
      <c r="O83" s="15">
        <f t="shared" si="35"/>
        <v>2</v>
      </c>
      <c r="P83" s="15">
        <f t="shared" si="36"/>
        <v>3</v>
      </c>
      <c r="R83" s="8"/>
      <c r="T83"/>
    </row>
    <row r="84" spans="2:20" ht="23.1" customHeight="1" x14ac:dyDescent="0.25">
      <c r="B84" s="47" t="s">
        <v>124</v>
      </c>
      <c r="C84" s="50">
        <v>0</v>
      </c>
      <c r="D84" s="50">
        <v>1</v>
      </c>
      <c r="E84" s="50">
        <v>0</v>
      </c>
      <c r="F84" s="50">
        <v>1</v>
      </c>
      <c r="G84" s="50">
        <v>0</v>
      </c>
      <c r="H84" s="50">
        <v>0</v>
      </c>
      <c r="I84" s="50">
        <v>0</v>
      </c>
      <c r="J84" s="50">
        <v>0</v>
      </c>
      <c r="K84" s="50">
        <v>1</v>
      </c>
      <c r="L84" s="50">
        <v>0</v>
      </c>
      <c r="M84" s="50">
        <v>0</v>
      </c>
      <c r="N84" s="50">
        <v>0</v>
      </c>
      <c r="O84" s="15">
        <f t="shared" si="35"/>
        <v>3</v>
      </c>
      <c r="P84" s="15">
        <f t="shared" si="36"/>
        <v>3</v>
      </c>
      <c r="R84" s="8"/>
      <c r="T84"/>
    </row>
    <row r="85" spans="2:20" ht="23.1" customHeight="1" x14ac:dyDescent="0.25">
      <c r="B85" s="45" t="s">
        <v>125</v>
      </c>
      <c r="C85" s="50">
        <v>0</v>
      </c>
      <c r="D85" s="50">
        <v>0</v>
      </c>
      <c r="E85" s="50">
        <v>0</v>
      </c>
      <c r="F85" s="50">
        <v>0</v>
      </c>
      <c r="G85" s="50">
        <v>0</v>
      </c>
      <c r="H85" s="50">
        <v>0</v>
      </c>
      <c r="I85" s="50">
        <v>0</v>
      </c>
      <c r="J85" s="50">
        <v>0</v>
      </c>
      <c r="K85" s="50">
        <v>0</v>
      </c>
      <c r="L85" s="50">
        <v>0</v>
      </c>
      <c r="M85" s="50">
        <v>0</v>
      </c>
      <c r="N85" s="50">
        <v>0</v>
      </c>
      <c r="O85" s="15">
        <f t="shared" si="35"/>
        <v>0</v>
      </c>
      <c r="P85" s="15">
        <f t="shared" si="36"/>
        <v>0</v>
      </c>
      <c r="R85" s="8"/>
      <c r="T85"/>
    </row>
    <row r="86" spans="2:20" ht="23.1" customHeight="1" x14ac:dyDescent="0.25">
      <c r="B86" s="46" t="s">
        <v>126</v>
      </c>
      <c r="C86" s="50">
        <v>0</v>
      </c>
      <c r="D86" s="50">
        <v>0</v>
      </c>
      <c r="E86" s="50">
        <v>1</v>
      </c>
      <c r="F86" s="50">
        <v>1</v>
      </c>
      <c r="G86" s="50">
        <v>0</v>
      </c>
      <c r="H86" s="50">
        <v>1</v>
      </c>
      <c r="I86" s="50">
        <v>0</v>
      </c>
      <c r="J86" s="50">
        <v>0</v>
      </c>
      <c r="K86" s="50">
        <v>0</v>
      </c>
      <c r="L86" s="50">
        <v>0</v>
      </c>
      <c r="M86" s="50">
        <v>1</v>
      </c>
      <c r="N86" s="50">
        <v>0</v>
      </c>
      <c r="O86" s="15">
        <f t="shared" si="35"/>
        <v>3</v>
      </c>
      <c r="P86" s="15">
        <f t="shared" si="36"/>
        <v>4</v>
      </c>
      <c r="R86" s="8"/>
      <c r="T86"/>
    </row>
    <row r="87" spans="2:20" ht="23.1" customHeight="1" x14ac:dyDescent="0.25">
      <c r="B87" s="45" t="s">
        <v>127</v>
      </c>
      <c r="C87" s="50">
        <v>2</v>
      </c>
      <c r="D87" s="50">
        <v>0</v>
      </c>
      <c r="E87" s="50">
        <v>0</v>
      </c>
      <c r="F87" s="50">
        <v>0</v>
      </c>
      <c r="G87" s="50">
        <v>0</v>
      </c>
      <c r="H87" s="50">
        <v>0</v>
      </c>
      <c r="I87" s="50">
        <v>0</v>
      </c>
      <c r="J87" s="50">
        <v>0</v>
      </c>
      <c r="K87" s="50">
        <v>0</v>
      </c>
      <c r="L87" s="50">
        <v>0</v>
      </c>
      <c r="M87" s="50">
        <v>0</v>
      </c>
      <c r="N87" s="50">
        <v>0</v>
      </c>
      <c r="O87" s="15">
        <f t="shared" si="35"/>
        <v>2</v>
      </c>
      <c r="P87" s="15">
        <f t="shared" si="36"/>
        <v>2</v>
      </c>
      <c r="R87" s="8"/>
      <c r="T87"/>
    </row>
    <row r="88" spans="2:20" ht="23.1" customHeight="1" x14ac:dyDescent="0.25">
      <c r="B88" s="47" t="s">
        <v>128</v>
      </c>
      <c r="C88" s="50">
        <v>0</v>
      </c>
      <c r="D88" s="50">
        <v>0</v>
      </c>
      <c r="E88" s="50">
        <v>0</v>
      </c>
      <c r="F88" s="50">
        <v>1</v>
      </c>
      <c r="G88" s="50">
        <v>0</v>
      </c>
      <c r="H88" s="50">
        <v>0</v>
      </c>
      <c r="I88" s="50">
        <v>1</v>
      </c>
      <c r="J88" s="50">
        <v>0</v>
      </c>
      <c r="K88" s="50">
        <v>0</v>
      </c>
      <c r="L88" s="50">
        <v>0</v>
      </c>
      <c r="M88" s="50">
        <v>0</v>
      </c>
      <c r="N88" s="50">
        <v>0</v>
      </c>
      <c r="O88" s="15">
        <f t="shared" si="35"/>
        <v>2</v>
      </c>
      <c r="P88" s="15">
        <f t="shared" si="36"/>
        <v>2</v>
      </c>
      <c r="R88" s="8"/>
      <c r="T88"/>
    </row>
    <row r="89" spans="2:20" ht="23.1" customHeight="1" x14ac:dyDescent="0.25">
      <c r="B89" s="45" t="s">
        <v>129</v>
      </c>
      <c r="C89" s="50">
        <v>0</v>
      </c>
      <c r="D89" s="50">
        <v>0</v>
      </c>
      <c r="E89" s="50">
        <v>0</v>
      </c>
      <c r="F89" s="50">
        <v>2</v>
      </c>
      <c r="G89" s="50">
        <v>0</v>
      </c>
      <c r="H89" s="50">
        <v>2</v>
      </c>
      <c r="I89" s="50">
        <v>1</v>
      </c>
      <c r="J89" s="50">
        <v>0</v>
      </c>
      <c r="K89" s="50">
        <v>0</v>
      </c>
      <c r="L89" s="50">
        <v>0</v>
      </c>
      <c r="M89" s="50">
        <v>0</v>
      </c>
      <c r="N89" s="50">
        <v>0</v>
      </c>
      <c r="O89" s="15">
        <f t="shared" si="35"/>
        <v>5</v>
      </c>
      <c r="P89" s="15">
        <f t="shared" si="36"/>
        <v>5</v>
      </c>
      <c r="R89" s="8"/>
      <c r="T89"/>
    </row>
    <row r="90" spans="2:20" ht="23.1" customHeight="1" x14ac:dyDescent="0.25">
      <c r="B90" s="46" t="s">
        <v>130</v>
      </c>
      <c r="C90" s="50">
        <v>0</v>
      </c>
      <c r="D90" s="50">
        <v>0</v>
      </c>
      <c r="E90" s="50">
        <v>0</v>
      </c>
      <c r="F90" s="50">
        <v>1</v>
      </c>
      <c r="G90" s="50">
        <v>0</v>
      </c>
      <c r="H90" s="50">
        <v>0</v>
      </c>
      <c r="I90" s="50">
        <v>0</v>
      </c>
      <c r="J90" s="50">
        <v>0</v>
      </c>
      <c r="K90" s="50">
        <v>2</v>
      </c>
      <c r="L90" s="50">
        <v>1</v>
      </c>
      <c r="M90" s="50">
        <v>0</v>
      </c>
      <c r="N90" s="50">
        <v>0</v>
      </c>
      <c r="O90" s="15">
        <f t="shared" si="35"/>
        <v>4</v>
      </c>
      <c r="P90" s="15">
        <f t="shared" si="36"/>
        <v>4</v>
      </c>
      <c r="R90" s="8"/>
      <c r="T90"/>
    </row>
    <row r="91" spans="2:20" ht="23.1" customHeight="1" x14ac:dyDescent="0.25">
      <c r="B91" s="45" t="s">
        <v>131</v>
      </c>
      <c r="C91" s="50">
        <v>0</v>
      </c>
      <c r="D91" s="50">
        <v>0</v>
      </c>
      <c r="E91" s="50">
        <v>0</v>
      </c>
      <c r="F91" s="50">
        <v>0</v>
      </c>
      <c r="G91" s="50">
        <v>0</v>
      </c>
      <c r="H91" s="50">
        <v>0</v>
      </c>
      <c r="I91" s="50">
        <v>1</v>
      </c>
      <c r="J91" s="50">
        <v>0</v>
      </c>
      <c r="K91" s="50">
        <v>0</v>
      </c>
      <c r="L91" s="50">
        <v>1</v>
      </c>
      <c r="M91" s="50">
        <v>0</v>
      </c>
      <c r="N91" s="50">
        <v>0</v>
      </c>
      <c r="O91" s="15">
        <f t="shared" si="35"/>
        <v>2</v>
      </c>
      <c r="P91" s="15">
        <f t="shared" si="36"/>
        <v>2</v>
      </c>
      <c r="R91" s="8"/>
      <c r="T91"/>
    </row>
    <row r="92" spans="2:20" ht="23.1" customHeight="1" x14ac:dyDescent="0.25">
      <c r="B92" s="47" t="s">
        <v>132</v>
      </c>
      <c r="C92" s="50">
        <v>0</v>
      </c>
      <c r="D92" s="50">
        <v>1</v>
      </c>
      <c r="E92" s="50">
        <v>0</v>
      </c>
      <c r="F92" s="50">
        <v>0</v>
      </c>
      <c r="G92" s="50">
        <v>0</v>
      </c>
      <c r="H92" s="50">
        <v>0</v>
      </c>
      <c r="I92" s="50">
        <v>3</v>
      </c>
      <c r="J92" s="50">
        <v>0</v>
      </c>
      <c r="K92" s="50">
        <v>0</v>
      </c>
      <c r="L92" s="50">
        <v>0</v>
      </c>
      <c r="M92" s="50">
        <v>0</v>
      </c>
      <c r="N92" s="50">
        <v>0</v>
      </c>
      <c r="O92" s="15">
        <f t="shared" si="35"/>
        <v>4</v>
      </c>
      <c r="P92" s="15">
        <f t="shared" si="36"/>
        <v>4</v>
      </c>
      <c r="R92" s="8"/>
      <c r="T92"/>
    </row>
    <row r="93" spans="2:20" ht="23.1" customHeight="1" x14ac:dyDescent="0.25">
      <c r="B93" s="45" t="s">
        <v>133</v>
      </c>
      <c r="C93" s="50">
        <v>1</v>
      </c>
      <c r="D93" s="50">
        <v>0</v>
      </c>
      <c r="E93" s="50">
        <v>0</v>
      </c>
      <c r="F93" s="50">
        <v>1</v>
      </c>
      <c r="G93" s="50">
        <v>0</v>
      </c>
      <c r="H93" s="50">
        <v>1</v>
      </c>
      <c r="I93" s="50">
        <v>1</v>
      </c>
      <c r="J93" s="50">
        <v>0</v>
      </c>
      <c r="K93" s="50">
        <v>0</v>
      </c>
      <c r="L93" s="50">
        <v>0</v>
      </c>
      <c r="M93" s="50">
        <v>0</v>
      </c>
      <c r="N93" s="50">
        <v>0</v>
      </c>
      <c r="O93" s="15">
        <f t="shared" si="35"/>
        <v>4</v>
      </c>
      <c r="P93" s="15">
        <f t="shared" si="36"/>
        <v>4</v>
      </c>
      <c r="R93" s="8"/>
      <c r="T93"/>
    </row>
    <row r="94" spans="2:20" ht="23.1" customHeight="1" x14ac:dyDescent="0.25">
      <c r="B94" s="46" t="s">
        <v>134</v>
      </c>
      <c r="C94" s="50">
        <v>0</v>
      </c>
      <c r="D94" s="50">
        <v>0</v>
      </c>
      <c r="E94" s="50">
        <v>0</v>
      </c>
      <c r="F94" s="50">
        <v>1</v>
      </c>
      <c r="G94" s="50">
        <v>0</v>
      </c>
      <c r="H94" s="50">
        <v>2</v>
      </c>
      <c r="I94" s="50">
        <v>4</v>
      </c>
      <c r="J94" s="50">
        <v>0</v>
      </c>
      <c r="K94" s="50">
        <v>0</v>
      </c>
      <c r="L94" s="50">
        <v>0</v>
      </c>
      <c r="M94" s="50">
        <v>0</v>
      </c>
      <c r="N94" s="50">
        <v>0</v>
      </c>
      <c r="O94" s="15">
        <f t="shared" si="35"/>
        <v>7</v>
      </c>
      <c r="P94" s="15">
        <f t="shared" si="36"/>
        <v>7</v>
      </c>
      <c r="R94" s="8"/>
      <c r="T94"/>
    </row>
    <row r="95" spans="2:20" ht="23.1" customHeight="1" x14ac:dyDescent="0.25">
      <c r="B95" s="45" t="s">
        <v>135</v>
      </c>
      <c r="C95" s="50">
        <v>1</v>
      </c>
      <c r="D95" s="50">
        <v>0</v>
      </c>
      <c r="E95" s="50">
        <v>0</v>
      </c>
      <c r="F95" s="50">
        <v>0</v>
      </c>
      <c r="G95" s="50">
        <v>0</v>
      </c>
      <c r="H95" s="50">
        <v>0</v>
      </c>
      <c r="I95" s="50">
        <v>4</v>
      </c>
      <c r="J95" s="50">
        <v>0</v>
      </c>
      <c r="K95" s="50">
        <v>0</v>
      </c>
      <c r="L95" s="50">
        <v>0</v>
      </c>
      <c r="M95" s="50">
        <v>0</v>
      </c>
      <c r="N95" s="50">
        <v>0</v>
      </c>
      <c r="O95" s="15">
        <f t="shared" si="35"/>
        <v>5</v>
      </c>
      <c r="P95" s="15">
        <f t="shared" si="36"/>
        <v>5</v>
      </c>
      <c r="R95" s="8"/>
      <c r="T95"/>
    </row>
    <row r="96" spans="2:20" ht="23.1" customHeight="1" x14ac:dyDescent="0.25">
      <c r="B96" s="47" t="s">
        <v>136</v>
      </c>
      <c r="C96" s="50">
        <v>0</v>
      </c>
      <c r="D96" s="50">
        <v>0</v>
      </c>
      <c r="E96" s="50">
        <v>0</v>
      </c>
      <c r="F96" s="50">
        <v>0</v>
      </c>
      <c r="G96" s="50">
        <v>0</v>
      </c>
      <c r="H96" s="50">
        <v>0</v>
      </c>
      <c r="I96" s="50">
        <v>2</v>
      </c>
      <c r="J96" s="50">
        <v>0</v>
      </c>
      <c r="K96" s="50">
        <v>1</v>
      </c>
      <c r="L96" s="50">
        <v>0</v>
      </c>
      <c r="M96" s="50">
        <v>0</v>
      </c>
      <c r="N96" s="50">
        <v>0</v>
      </c>
      <c r="O96" s="15">
        <f t="shared" si="35"/>
        <v>3</v>
      </c>
      <c r="P96" s="15">
        <f t="shared" si="36"/>
        <v>3</v>
      </c>
      <c r="R96" s="8"/>
      <c r="T96"/>
    </row>
    <row r="97" spans="2:20" ht="23.1" customHeight="1" x14ac:dyDescent="0.25">
      <c r="B97" s="45" t="s">
        <v>137</v>
      </c>
      <c r="C97" s="50">
        <v>0</v>
      </c>
      <c r="D97" s="50">
        <v>0</v>
      </c>
      <c r="E97" s="50">
        <v>0</v>
      </c>
      <c r="F97" s="50">
        <v>0</v>
      </c>
      <c r="G97" s="50">
        <v>0</v>
      </c>
      <c r="H97" s="50">
        <v>0</v>
      </c>
      <c r="I97" s="50">
        <v>0</v>
      </c>
      <c r="J97" s="50">
        <v>0</v>
      </c>
      <c r="K97" s="50">
        <v>0</v>
      </c>
      <c r="L97" s="50">
        <v>0</v>
      </c>
      <c r="M97" s="50">
        <v>0</v>
      </c>
      <c r="N97" s="50">
        <v>0</v>
      </c>
      <c r="O97" s="15">
        <f t="shared" si="35"/>
        <v>0</v>
      </c>
      <c r="P97" s="15">
        <f t="shared" si="36"/>
        <v>0</v>
      </c>
      <c r="R97" s="8"/>
      <c r="T97"/>
    </row>
    <row r="98" spans="2:20" ht="23.1" customHeight="1" x14ac:dyDescent="0.25">
      <c r="B98" s="46" t="s">
        <v>138</v>
      </c>
      <c r="C98" s="50">
        <v>1</v>
      </c>
      <c r="D98" s="50">
        <v>0</v>
      </c>
      <c r="E98" s="50">
        <v>1</v>
      </c>
      <c r="F98" s="50">
        <v>1</v>
      </c>
      <c r="G98" s="50">
        <v>0</v>
      </c>
      <c r="H98" s="50">
        <v>1</v>
      </c>
      <c r="I98" s="50">
        <v>0</v>
      </c>
      <c r="J98" s="50">
        <v>0</v>
      </c>
      <c r="K98" s="50">
        <v>0</v>
      </c>
      <c r="L98" s="50">
        <v>1</v>
      </c>
      <c r="M98" s="50">
        <v>0</v>
      </c>
      <c r="N98" s="50">
        <v>0</v>
      </c>
      <c r="O98" s="15">
        <f t="shared" si="35"/>
        <v>5</v>
      </c>
      <c r="P98" s="15">
        <f t="shared" si="36"/>
        <v>5</v>
      </c>
      <c r="R98" s="8"/>
      <c r="T98"/>
    </row>
    <row r="99" spans="2:20" ht="23.1" customHeight="1" x14ac:dyDescent="0.25">
      <c r="B99" s="45" t="s">
        <v>139</v>
      </c>
      <c r="C99" s="50">
        <v>0</v>
      </c>
      <c r="D99" s="50">
        <v>0</v>
      </c>
      <c r="E99" s="50">
        <v>0</v>
      </c>
      <c r="F99" s="50">
        <v>0</v>
      </c>
      <c r="G99" s="50">
        <v>0</v>
      </c>
      <c r="H99" s="50">
        <v>1</v>
      </c>
      <c r="I99" s="50">
        <v>2</v>
      </c>
      <c r="J99" s="50">
        <v>0</v>
      </c>
      <c r="K99" s="50">
        <v>1</v>
      </c>
      <c r="L99" s="50">
        <v>0</v>
      </c>
      <c r="M99" s="50">
        <v>0</v>
      </c>
      <c r="N99" s="50">
        <v>0</v>
      </c>
      <c r="O99" s="15">
        <f t="shared" si="35"/>
        <v>4</v>
      </c>
      <c r="P99" s="15">
        <f t="shared" si="36"/>
        <v>4</v>
      </c>
      <c r="R99" s="8"/>
      <c r="T99"/>
    </row>
    <row r="100" spans="2:20" ht="23.1" customHeight="1" x14ac:dyDescent="0.25">
      <c r="B100" s="47" t="s">
        <v>140</v>
      </c>
      <c r="C100" s="50">
        <v>0</v>
      </c>
      <c r="D100" s="50">
        <v>1</v>
      </c>
      <c r="E100" s="50">
        <v>0</v>
      </c>
      <c r="F100" s="50">
        <v>0</v>
      </c>
      <c r="G100" s="50">
        <v>0</v>
      </c>
      <c r="H100" s="50">
        <v>0</v>
      </c>
      <c r="I100" s="50">
        <v>1</v>
      </c>
      <c r="J100" s="50">
        <v>0</v>
      </c>
      <c r="K100" s="50">
        <v>0</v>
      </c>
      <c r="L100" s="50">
        <v>1</v>
      </c>
      <c r="M100" s="50">
        <v>1</v>
      </c>
      <c r="N100" s="50">
        <v>0</v>
      </c>
      <c r="O100" s="15">
        <f t="shared" si="35"/>
        <v>3</v>
      </c>
      <c r="P100" s="15">
        <f t="shared" si="36"/>
        <v>4</v>
      </c>
      <c r="R100" s="8"/>
      <c r="T100"/>
    </row>
    <row r="101" spans="2:20" ht="23.1" customHeight="1" x14ac:dyDescent="0.25">
      <c r="B101" s="45" t="s">
        <v>141</v>
      </c>
      <c r="C101" s="50">
        <v>0</v>
      </c>
      <c r="D101" s="50">
        <v>0</v>
      </c>
      <c r="E101" s="50">
        <v>0</v>
      </c>
      <c r="F101" s="50">
        <v>1</v>
      </c>
      <c r="G101" s="50">
        <v>0</v>
      </c>
      <c r="H101" s="50">
        <v>0</v>
      </c>
      <c r="I101" s="50">
        <v>1</v>
      </c>
      <c r="J101" s="50">
        <v>0</v>
      </c>
      <c r="K101" s="50">
        <v>0</v>
      </c>
      <c r="L101" s="50">
        <v>0</v>
      </c>
      <c r="M101" s="50">
        <v>0</v>
      </c>
      <c r="N101" s="50">
        <v>0</v>
      </c>
      <c r="O101" s="15">
        <f t="shared" si="35"/>
        <v>2</v>
      </c>
      <c r="P101" s="15">
        <f t="shared" si="36"/>
        <v>2</v>
      </c>
      <c r="R101" s="8"/>
      <c r="T101"/>
    </row>
    <row r="102" spans="2:20" ht="23.1" customHeight="1" x14ac:dyDescent="0.25">
      <c r="B102" s="46" t="s">
        <v>142</v>
      </c>
      <c r="C102" s="50">
        <v>2</v>
      </c>
      <c r="D102" s="50">
        <v>1</v>
      </c>
      <c r="E102" s="50">
        <v>0</v>
      </c>
      <c r="F102" s="50">
        <v>1</v>
      </c>
      <c r="G102" s="50">
        <v>0</v>
      </c>
      <c r="H102" s="50">
        <v>0</v>
      </c>
      <c r="I102" s="50">
        <v>0</v>
      </c>
      <c r="J102" s="50">
        <v>0</v>
      </c>
      <c r="K102" s="50">
        <v>0</v>
      </c>
      <c r="L102" s="50">
        <v>1</v>
      </c>
      <c r="M102" s="50">
        <v>1</v>
      </c>
      <c r="N102" s="50">
        <v>0</v>
      </c>
      <c r="O102" s="15">
        <f t="shared" si="35"/>
        <v>5</v>
      </c>
      <c r="P102" s="15">
        <f t="shared" si="36"/>
        <v>6</v>
      </c>
      <c r="R102" s="8"/>
      <c r="T102"/>
    </row>
    <row r="103" spans="2:20" ht="23.1" customHeight="1" x14ac:dyDescent="0.25">
      <c r="B103" s="45" t="s">
        <v>143</v>
      </c>
      <c r="C103" s="50">
        <v>1</v>
      </c>
      <c r="D103" s="50">
        <v>0</v>
      </c>
      <c r="E103" s="50">
        <v>1</v>
      </c>
      <c r="F103" s="50">
        <v>3</v>
      </c>
      <c r="G103" s="50">
        <v>0</v>
      </c>
      <c r="H103" s="50">
        <v>0</v>
      </c>
      <c r="I103" s="50">
        <v>4</v>
      </c>
      <c r="J103" s="50">
        <v>0</v>
      </c>
      <c r="K103" s="50">
        <v>0</v>
      </c>
      <c r="L103" s="50">
        <v>1</v>
      </c>
      <c r="M103" s="50">
        <v>1</v>
      </c>
      <c r="N103" s="50">
        <v>0</v>
      </c>
      <c r="O103" s="15">
        <f t="shared" si="35"/>
        <v>10</v>
      </c>
      <c r="P103" s="15">
        <f t="shared" si="36"/>
        <v>11</v>
      </c>
      <c r="R103" s="8"/>
      <c r="T103"/>
    </row>
    <row r="104" spans="2:20" ht="23.1" customHeight="1" x14ac:dyDescent="0.25">
      <c r="B104" s="47" t="s">
        <v>144</v>
      </c>
      <c r="C104" s="50">
        <v>0</v>
      </c>
      <c r="D104" s="50">
        <v>0</v>
      </c>
      <c r="E104" s="50">
        <v>0</v>
      </c>
      <c r="F104" s="50">
        <v>1</v>
      </c>
      <c r="G104" s="50">
        <v>0</v>
      </c>
      <c r="H104" s="50">
        <v>0</v>
      </c>
      <c r="I104" s="50">
        <v>1</v>
      </c>
      <c r="J104" s="50">
        <v>0</v>
      </c>
      <c r="K104" s="50">
        <v>0</v>
      </c>
      <c r="L104" s="50">
        <v>1</v>
      </c>
      <c r="M104" s="50">
        <v>4</v>
      </c>
      <c r="N104" s="50">
        <v>0</v>
      </c>
      <c r="O104" s="15">
        <f t="shared" si="35"/>
        <v>3</v>
      </c>
      <c r="P104" s="15">
        <f t="shared" si="36"/>
        <v>7</v>
      </c>
      <c r="R104" s="8"/>
      <c r="T104"/>
    </row>
    <row r="105" spans="2:20" ht="23.1" customHeight="1" x14ac:dyDescent="0.25">
      <c r="B105" s="45" t="s">
        <v>145</v>
      </c>
      <c r="C105" s="50">
        <v>3</v>
      </c>
      <c r="D105" s="50">
        <v>0</v>
      </c>
      <c r="E105" s="50">
        <v>2</v>
      </c>
      <c r="F105" s="50">
        <v>3</v>
      </c>
      <c r="G105" s="50">
        <v>0</v>
      </c>
      <c r="H105" s="50">
        <v>0</v>
      </c>
      <c r="I105" s="50">
        <v>0</v>
      </c>
      <c r="J105" s="50">
        <v>0</v>
      </c>
      <c r="K105" s="50">
        <v>0</v>
      </c>
      <c r="L105" s="50">
        <v>0</v>
      </c>
      <c r="M105" s="50">
        <v>3</v>
      </c>
      <c r="N105" s="50">
        <v>0</v>
      </c>
      <c r="O105" s="15">
        <f t="shared" si="35"/>
        <v>8</v>
      </c>
      <c r="P105" s="15">
        <f t="shared" si="36"/>
        <v>11</v>
      </c>
      <c r="R105" s="8"/>
      <c r="T105"/>
    </row>
    <row r="106" spans="2:20" ht="23.1" customHeight="1" x14ac:dyDescent="0.25">
      <c r="B106" s="26" t="s">
        <v>18</v>
      </c>
      <c r="C106" s="16">
        <f>SUM(C10:C105)</f>
        <v>415</v>
      </c>
      <c r="D106" s="16">
        <f t="shared" ref="D106:P106" si="37">SUM(D10:D105)</f>
        <v>130</v>
      </c>
      <c r="E106" s="16">
        <f t="shared" si="37"/>
        <v>128</v>
      </c>
      <c r="F106" s="16">
        <f t="shared" si="37"/>
        <v>598</v>
      </c>
      <c r="G106" s="16">
        <f t="shared" si="37"/>
        <v>21</v>
      </c>
      <c r="H106" s="16">
        <f t="shared" si="37"/>
        <v>33</v>
      </c>
      <c r="I106" s="16">
        <f t="shared" si="37"/>
        <v>131</v>
      </c>
      <c r="J106" s="16">
        <f t="shared" si="37"/>
        <v>58</v>
      </c>
      <c r="K106" s="16">
        <f t="shared" si="37"/>
        <v>59</v>
      </c>
      <c r="L106" s="16">
        <f t="shared" si="37"/>
        <v>13</v>
      </c>
      <c r="M106" s="16">
        <f t="shared" si="37"/>
        <v>737</v>
      </c>
      <c r="N106" s="16">
        <f t="shared" si="37"/>
        <v>2</v>
      </c>
      <c r="O106" s="16">
        <f t="shared" si="37"/>
        <v>1588</v>
      </c>
      <c r="P106" s="16">
        <f t="shared" si="37"/>
        <v>2325</v>
      </c>
      <c r="R106" s="8"/>
      <c r="T106"/>
    </row>
    <row r="107" spans="2:20" ht="23.1" customHeight="1" x14ac:dyDescent="0.25">
      <c r="B107" s="26" t="s">
        <v>93</v>
      </c>
      <c r="C107" s="43">
        <f t="shared" ref="C107:N107" si="38">C106/$P$106</f>
        <v>0.17849462365591398</v>
      </c>
      <c r="D107" s="43">
        <f t="shared" si="38"/>
        <v>5.5913978494623658E-2</v>
      </c>
      <c r="E107" s="43">
        <f t="shared" si="38"/>
        <v>5.5053763440860215E-2</v>
      </c>
      <c r="F107" s="43">
        <f t="shared" si="38"/>
        <v>0.25720430107526882</v>
      </c>
      <c r="G107" s="43">
        <f t="shared" si="38"/>
        <v>9.0322580645161299E-3</v>
      </c>
      <c r="H107" s="43">
        <f t="shared" si="38"/>
        <v>1.4193548387096775E-2</v>
      </c>
      <c r="I107" s="43">
        <f t="shared" si="38"/>
        <v>5.6344086021505375E-2</v>
      </c>
      <c r="J107" s="43">
        <f t="shared" si="38"/>
        <v>2.4946236559139787E-2</v>
      </c>
      <c r="K107" s="43">
        <f t="shared" si="38"/>
        <v>2.5376344086021504E-2</v>
      </c>
      <c r="L107" s="43">
        <f t="shared" si="38"/>
        <v>5.5913978494623656E-3</v>
      </c>
      <c r="M107" s="43">
        <f t="shared" si="38"/>
        <v>0.31698924731182798</v>
      </c>
      <c r="N107" s="43">
        <f t="shared" si="38"/>
        <v>8.6021505376344086E-4</v>
      </c>
      <c r="R107" s="8"/>
      <c r="T107"/>
    </row>
    <row r="108" spans="2:20" ht="23.1" customHeight="1" x14ac:dyDescent="0.25">
      <c r="B108" s="42" t="s">
        <v>94</v>
      </c>
      <c r="C108" s="44">
        <f>C106/$O$106</f>
        <v>0.26133501259445846</v>
      </c>
      <c r="D108" s="44">
        <f t="shared" ref="D108:N108" si="39">D106/$O$106</f>
        <v>8.1863979848866494E-2</v>
      </c>
      <c r="E108" s="44">
        <f t="shared" si="39"/>
        <v>8.0604534005037781E-2</v>
      </c>
      <c r="F108" s="44">
        <f t="shared" si="39"/>
        <v>0.37657430730478592</v>
      </c>
      <c r="G108" s="44">
        <f t="shared" si="39"/>
        <v>1.3224181360201511E-2</v>
      </c>
      <c r="H108" s="44">
        <f t="shared" si="39"/>
        <v>2.0780856423173802E-2</v>
      </c>
      <c r="I108" s="44">
        <f t="shared" si="39"/>
        <v>8.2493702770780858E-2</v>
      </c>
      <c r="J108" s="44">
        <f t="shared" si="39"/>
        <v>3.6523929471032744E-2</v>
      </c>
      <c r="K108" s="44">
        <f t="shared" si="39"/>
        <v>3.7153652392947101E-2</v>
      </c>
      <c r="L108" s="44">
        <f t="shared" si="39"/>
        <v>8.1863979848866494E-3</v>
      </c>
      <c r="M108" s="44"/>
      <c r="N108" s="44">
        <f t="shared" si="39"/>
        <v>1.2594458438287153E-3</v>
      </c>
      <c r="Q108" s="7"/>
      <c r="R108" s="8"/>
      <c r="T108"/>
    </row>
    <row r="109" spans="2:20" ht="23.1" customHeight="1" x14ac:dyDescent="0.25">
      <c r="B109" s="3"/>
      <c r="C109" s="18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Q109" s="7"/>
      <c r="R109" s="8"/>
      <c r="T109"/>
    </row>
    <row r="110" spans="2:20" ht="23.1" customHeight="1" x14ac:dyDescent="0.25">
      <c r="B110" s="3"/>
      <c r="C110" s="18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Q110" s="7"/>
      <c r="R110" s="8"/>
      <c r="T110"/>
    </row>
    <row r="111" spans="2:20" ht="23.1" customHeight="1" x14ac:dyDescent="0.25">
      <c r="B111" s="3"/>
      <c r="C111" s="18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Q111" s="7"/>
    </row>
    <row r="112" spans="2:20" ht="23.1" customHeight="1" x14ac:dyDescent="0.25">
      <c r="B112" s="3"/>
      <c r="C112" s="18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Q112" s="7"/>
    </row>
    <row r="113" spans="2:20" s="7" customFormat="1" ht="23.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/>
      <c r="P113"/>
      <c r="S113" s="8"/>
      <c r="T113" s="8"/>
    </row>
    <row r="114" spans="2:20" s="7" customFormat="1" ht="23.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/>
      <c r="P114"/>
      <c r="S114" s="8"/>
      <c r="T114" s="8"/>
    </row>
    <row r="115" spans="2:20" s="7" customFormat="1" ht="23.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/>
      <c r="P115"/>
      <c r="S115" s="8"/>
      <c r="T115" s="8"/>
    </row>
    <row r="116" spans="2:20" s="7" customFormat="1" ht="23.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/>
      <c r="P116"/>
      <c r="S116" s="8"/>
      <c r="T116" s="8"/>
    </row>
    <row r="117" spans="2:20" s="7" customFormat="1" ht="23.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/>
      <c r="P117"/>
      <c r="S117" s="8"/>
      <c r="T117" s="8"/>
    </row>
    <row r="118" spans="2:20" s="7" customFormat="1" ht="23.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/>
      <c r="P118"/>
      <c r="S118" s="8"/>
      <c r="T118" s="8"/>
    </row>
    <row r="119" spans="2:20" s="7" customFormat="1" ht="23.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/>
      <c r="P119"/>
      <c r="S119" s="8"/>
      <c r="T119" s="8"/>
    </row>
    <row r="120" spans="2:20" s="7" customFormat="1" ht="23.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/>
      <c r="P120"/>
      <c r="S120" s="8"/>
      <c r="T120" s="8"/>
    </row>
    <row r="121" spans="2:20" s="7" customFormat="1" ht="23.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/>
      <c r="P121"/>
      <c r="S121" s="8"/>
      <c r="T121" s="8"/>
    </row>
    <row r="122" spans="2:20" s="7" customFormat="1" ht="23.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/>
      <c r="P122"/>
      <c r="S122" s="8"/>
      <c r="T122" s="8"/>
    </row>
    <row r="123" spans="2:20" s="7" customFormat="1" ht="23.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/>
      <c r="P123"/>
      <c r="S123" s="8"/>
      <c r="T123" s="8"/>
    </row>
    <row r="124" spans="2:20" s="7" customFormat="1" ht="23.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/>
      <c r="P124"/>
      <c r="S124" s="8"/>
      <c r="T124" s="8"/>
    </row>
    <row r="125" spans="2:20" s="7" customFormat="1" ht="23.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/>
      <c r="P125"/>
      <c r="Q125"/>
      <c r="S125" s="8"/>
      <c r="T125" s="8"/>
    </row>
    <row r="126" spans="2:20" s="7" customFormat="1" ht="23.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/>
      <c r="P126"/>
      <c r="Q126"/>
      <c r="S126" s="8"/>
      <c r="T126" s="8"/>
    </row>
    <row r="127" spans="2:20" s="7" customFormat="1" ht="23.1" customHeight="1" x14ac:dyDescent="0.25"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/>
      <c r="P127"/>
      <c r="Q127"/>
      <c r="S127" s="8"/>
      <c r="T127" s="8"/>
    </row>
    <row r="128" spans="2:20" s="7" customFormat="1" ht="23.1" customHeight="1" x14ac:dyDescent="0.25"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/>
      <c r="P128"/>
      <c r="Q128"/>
      <c r="S128" s="8"/>
      <c r="T128" s="8"/>
    </row>
    <row r="129" spans="2:14" ht="23.1" customHeight="1" x14ac:dyDescent="0.25"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</row>
    <row r="130" spans="2:14" ht="23.1" customHeight="1" x14ac:dyDescent="0.25"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</row>
    <row r="131" spans="2:14" ht="23.1" customHeight="1" x14ac:dyDescent="0.25"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</row>
    <row r="132" spans="2:14" ht="23.1" customHeight="1" x14ac:dyDescent="0.25"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</row>
    <row r="133" spans="2:14" ht="23.1" customHeight="1" x14ac:dyDescent="0.25"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</row>
    <row r="134" spans="2:14" ht="23.1" customHeight="1" x14ac:dyDescent="0.25"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</row>
    <row r="135" spans="2:14" ht="23.1" customHeight="1" x14ac:dyDescent="0.25"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</row>
    <row r="136" spans="2:14" ht="23.1" customHeight="1" x14ac:dyDescent="0.25"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</row>
    <row r="137" spans="2:14" ht="23.1" customHeight="1" x14ac:dyDescent="0.25"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</row>
    <row r="138" spans="2:14" ht="23.1" customHeight="1" x14ac:dyDescent="0.25"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</row>
    <row r="139" spans="2:14" ht="23.1" customHeight="1" x14ac:dyDescent="0.25"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</row>
    <row r="140" spans="2:14" ht="23.1" customHeight="1" x14ac:dyDescent="0.25"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</row>
    <row r="141" spans="2:14" ht="23.1" customHeight="1" x14ac:dyDescent="0.25"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</row>
    <row r="142" spans="2:14" ht="23.1" customHeight="1" x14ac:dyDescent="0.25"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</row>
    <row r="143" spans="2:14" ht="23.1" customHeight="1" x14ac:dyDescent="0.25"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</row>
    <row r="144" spans="2:14" ht="23.1" customHeight="1" x14ac:dyDescent="0.25"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</row>
    <row r="145" spans="2:14" ht="23.1" customHeight="1" x14ac:dyDescent="0.25"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</row>
    <row r="146" spans="2:14" ht="23.1" customHeight="1" x14ac:dyDescent="0.25"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</row>
    <row r="147" spans="2:14" ht="23.1" customHeight="1" x14ac:dyDescent="0.25"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</row>
    <row r="148" spans="2:14" ht="23.1" customHeight="1" x14ac:dyDescent="0.25"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</row>
    <row r="149" spans="2:14" ht="23.1" customHeight="1" x14ac:dyDescent="0.25"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</row>
    <row r="150" spans="2:14" ht="23.1" customHeight="1" x14ac:dyDescent="0.25"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</row>
    <row r="151" spans="2:14" ht="23.1" customHeight="1" x14ac:dyDescent="0.25"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</row>
    <row r="152" spans="2:14" ht="23.1" customHeight="1" x14ac:dyDescent="0.25"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</row>
    <row r="153" spans="2:14" ht="23.1" customHeight="1" x14ac:dyDescent="0.25"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</row>
    <row r="154" spans="2:14" ht="23.1" customHeight="1" x14ac:dyDescent="0.25"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</row>
    <row r="155" spans="2:14" ht="23.1" customHeight="1" x14ac:dyDescent="0.25"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</row>
    <row r="156" spans="2:14" ht="23.1" customHeight="1" x14ac:dyDescent="0.25"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</row>
    <row r="157" spans="2:14" ht="23.1" customHeight="1" x14ac:dyDescent="0.25"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</row>
    <row r="158" spans="2:14" ht="23.1" customHeight="1" x14ac:dyDescent="0.25"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</row>
    <row r="159" spans="2:14" ht="23.1" customHeight="1" x14ac:dyDescent="0.25"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</row>
    <row r="160" spans="2:14" ht="23.1" customHeight="1" x14ac:dyDescent="0.25"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</row>
    <row r="161" spans="2:14" ht="23.1" customHeight="1" x14ac:dyDescent="0.25"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</row>
    <row r="162" spans="2:14" ht="23.1" customHeight="1" x14ac:dyDescent="0.25"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</row>
    <row r="163" spans="2:14" ht="23.1" customHeight="1" x14ac:dyDescent="0.25"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</row>
    <row r="164" spans="2:14" ht="23.1" customHeight="1" x14ac:dyDescent="0.25"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</row>
    <row r="165" spans="2:14" ht="23.1" customHeight="1" x14ac:dyDescent="0.25"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</row>
    <row r="166" spans="2:14" ht="23.1" customHeight="1" x14ac:dyDescent="0.25"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</row>
    <row r="167" spans="2:14" ht="23.1" customHeight="1" x14ac:dyDescent="0.25"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</row>
    <row r="168" spans="2:14" ht="23.1" customHeight="1" x14ac:dyDescent="0.25"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</row>
    <row r="169" spans="2:14" ht="23.1" customHeight="1" x14ac:dyDescent="0.25"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</row>
    <row r="170" spans="2:14" ht="23.1" customHeight="1" x14ac:dyDescent="0.25"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</row>
    <row r="171" spans="2:14" ht="23.1" customHeight="1" x14ac:dyDescent="0.25"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</row>
    <row r="172" spans="2:14" ht="23.1" customHeight="1" x14ac:dyDescent="0.25"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</row>
    <row r="173" spans="2:14" ht="23.1" customHeight="1" x14ac:dyDescent="0.25"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</row>
    <row r="174" spans="2:14" ht="23.1" customHeight="1" x14ac:dyDescent="0.25"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honeticPr fontId="14" type="noConversion"/>
  <pageMargins left="0" right="0" top="0" bottom="0" header="0.15748031496063" footer="0.118110236220472"/>
  <pageSetup paperSize="9" scale="40" orientation="landscape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AF126"/>
  <sheetViews>
    <sheetView view="pageBreakPreview" zoomScale="80" zoomScaleSheetLayoutView="80" workbookViewId="0">
      <selection activeCell="C3" sqref="C3:G3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60" t="s">
        <v>23</v>
      </c>
      <c r="C1" s="60"/>
      <c r="D1" s="60"/>
      <c r="E1" s="60"/>
      <c r="F1" s="60"/>
      <c r="G1" s="60"/>
      <c r="H1" s="60"/>
      <c r="I1" s="60"/>
      <c r="J1" s="60"/>
      <c r="K1" s="60"/>
      <c r="L1" s="60"/>
      <c r="M1" s="60"/>
      <c r="N1" s="60"/>
      <c r="O1" s="60"/>
      <c r="P1" s="60"/>
      <c r="Q1" s="60"/>
      <c r="R1" s="60"/>
      <c r="S1" s="60"/>
      <c r="T1" s="60"/>
      <c r="U1" s="60"/>
      <c r="V1" s="60"/>
      <c r="W1" s="60"/>
      <c r="X1" s="60"/>
      <c r="Y1" s="60"/>
      <c r="Z1" s="60"/>
      <c r="AA1" s="60"/>
      <c r="AB1" s="60"/>
      <c r="AC1" s="60"/>
      <c r="AD1" s="60"/>
      <c r="AE1" s="60"/>
    </row>
    <row r="2" spans="2:32" ht="20.100000000000001" customHeight="1" x14ac:dyDescent="0.25">
      <c r="B2" s="61" t="s">
        <v>95</v>
      </c>
      <c r="C2" s="61"/>
      <c r="D2" s="61"/>
      <c r="E2" s="61"/>
      <c r="F2" s="61"/>
      <c r="G2" s="61"/>
      <c r="H2" s="61"/>
      <c r="I2" s="61"/>
      <c r="J2" s="61"/>
      <c r="K2" s="61"/>
      <c r="L2" s="61"/>
      <c r="M2" s="61"/>
      <c r="N2" s="61"/>
      <c r="O2" s="61"/>
      <c r="P2" s="61"/>
      <c r="Q2" s="61"/>
      <c r="R2" s="61"/>
      <c r="S2" s="61"/>
      <c r="T2" s="61"/>
      <c r="U2" s="61"/>
      <c r="V2" s="61"/>
      <c r="W2" s="61"/>
      <c r="X2" s="61"/>
      <c r="Y2" s="61"/>
      <c r="Z2" s="61"/>
      <c r="AA2" s="61"/>
      <c r="AB2" s="61"/>
      <c r="AC2" s="61"/>
      <c r="AD2" s="61"/>
      <c r="AE2" s="61"/>
    </row>
    <row r="3" spans="2:32" ht="20.100000000000001" customHeight="1" x14ac:dyDescent="0.25">
      <c r="B3" s="22" t="s">
        <v>96</v>
      </c>
      <c r="C3" s="62" t="str">
        <f>'17.10 Busembatya-Butongole'!C3:G3</f>
        <v>BUSEMBATYA-BUTONGOLE</v>
      </c>
      <c r="D3" s="62"/>
      <c r="E3" s="62"/>
      <c r="F3" s="62"/>
      <c r="G3" s="62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51" t="s">
        <v>174</v>
      </c>
      <c r="E5" s="3"/>
      <c r="F5" s="41" t="s">
        <v>1</v>
      </c>
      <c r="G5" s="57" t="str">
        <f>'17.10 Busembatya-Butongole'!G5:H5</f>
        <v>NAMALEMBA</v>
      </c>
      <c r="H5" s="58"/>
      <c r="I5" s="14"/>
      <c r="J5" s="2" t="s">
        <v>5</v>
      </c>
      <c r="K5" s="57" t="s">
        <v>177</v>
      </c>
      <c r="L5" s="58"/>
      <c r="M5" s="10"/>
      <c r="N5" s="10"/>
      <c r="O5" s="3"/>
      <c r="P5" s="3"/>
    </row>
    <row r="6" spans="2:32" ht="23.25" customHeight="1" x14ac:dyDescent="0.25">
      <c r="C6" s="2" t="s">
        <v>4</v>
      </c>
      <c r="D6" s="57" t="str">
        <f>'17.10 Busembatya-Butongole'!D6:E6</f>
        <v>BUSEMBATYA</v>
      </c>
      <c r="E6" s="58"/>
      <c r="F6" s="2" t="s">
        <v>2</v>
      </c>
      <c r="G6" s="57" t="str">
        <f>'17.10 Busembatya-Butongole'!G6:H6</f>
        <v>BUTONGOLE</v>
      </c>
      <c r="H6" s="58"/>
      <c r="J6" s="2" t="s">
        <v>21</v>
      </c>
      <c r="K6" s="57" t="s">
        <v>177</v>
      </c>
      <c r="L6" s="58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9" t="s">
        <v>88</v>
      </c>
      <c r="S8" s="59"/>
      <c r="T8" s="59"/>
      <c r="U8" s="59"/>
      <c r="V8" s="59"/>
      <c r="W8" s="59"/>
      <c r="X8" s="59"/>
      <c r="Y8" s="59"/>
      <c r="Z8" s="59"/>
      <c r="AA8" s="59"/>
      <c r="AB8" s="59"/>
      <c r="AC8" s="59"/>
      <c r="AD8" s="59"/>
      <c r="AE8" s="59"/>
      <c r="AF8" s="59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50">
        <v>3</v>
      </c>
      <c r="D10" s="50">
        <v>0</v>
      </c>
      <c r="E10" s="50">
        <v>0</v>
      </c>
      <c r="F10" s="50">
        <v>3</v>
      </c>
      <c r="G10" s="50">
        <v>0</v>
      </c>
      <c r="H10" s="50">
        <v>0</v>
      </c>
      <c r="I10" s="50">
        <v>0</v>
      </c>
      <c r="J10" s="50">
        <v>1</v>
      </c>
      <c r="K10" s="50">
        <v>1</v>
      </c>
      <c r="L10" s="50">
        <v>2</v>
      </c>
      <c r="M10" s="50">
        <v>8</v>
      </c>
      <c r="N10" s="50">
        <v>0</v>
      </c>
      <c r="O10" s="15">
        <f t="shared" ref="O10:O57" si="0">SUM(C10:L10,N10)</f>
        <v>10</v>
      </c>
      <c r="P10" s="15">
        <f t="shared" ref="P10:P57" si="1">SUM(C10:N10)</f>
        <v>18</v>
      </c>
      <c r="R10" s="1" t="s">
        <v>6</v>
      </c>
      <c r="S10" s="17">
        <f t="shared" ref="S10:AF10" si="2">SUM(C10:C13)</f>
        <v>13</v>
      </c>
      <c r="T10" s="17">
        <f t="shared" si="2"/>
        <v>1</v>
      </c>
      <c r="U10" s="17">
        <f t="shared" si="2"/>
        <v>4</v>
      </c>
      <c r="V10" s="17">
        <f t="shared" si="2"/>
        <v>14</v>
      </c>
      <c r="W10" s="17">
        <f t="shared" si="2"/>
        <v>3</v>
      </c>
      <c r="X10" s="17">
        <f t="shared" si="2"/>
        <v>0</v>
      </c>
      <c r="Y10" s="17">
        <f t="shared" si="2"/>
        <v>0</v>
      </c>
      <c r="Z10" s="17">
        <f t="shared" si="2"/>
        <v>1</v>
      </c>
      <c r="AA10" s="17">
        <f t="shared" si="2"/>
        <v>5</v>
      </c>
      <c r="AB10" s="17">
        <f t="shared" si="2"/>
        <v>3</v>
      </c>
      <c r="AC10" s="17">
        <f t="shared" si="2"/>
        <v>33</v>
      </c>
      <c r="AD10" s="17">
        <f t="shared" si="2"/>
        <v>0</v>
      </c>
      <c r="AE10" s="31">
        <f t="shared" si="2"/>
        <v>44</v>
      </c>
      <c r="AF10" s="31">
        <f t="shared" si="2"/>
        <v>77</v>
      </c>
    </row>
    <row r="11" spans="2:32" s="6" customFormat="1" ht="23.1" customHeight="1" x14ac:dyDescent="0.25">
      <c r="B11" s="23" t="s">
        <v>38</v>
      </c>
      <c r="C11" s="50">
        <v>5</v>
      </c>
      <c r="D11" s="50">
        <v>1</v>
      </c>
      <c r="E11" s="50">
        <v>1</v>
      </c>
      <c r="F11" s="50">
        <v>4</v>
      </c>
      <c r="G11" s="50">
        <v>0</v>
      </c>
      <c r="H11" s="50">
        <v>0</v>
      </c>
      <c r="I11" s="50">
        <v>0</v>
      </c>
      <c r="J11" s="50">
        <v>0</v>
      </c>
      <c r="K11" s="50">
        <v>3</v>
      </c>
      <c r="L11" s="50">
        <v>0</v>
      </c>
      <c r="M11" s="50">
        <v>10</v>
      </c>
      <c r="N11" s="50">
        <v>0</v>
      </c>
      <c r="O11" s="15">
        <f>SUM(C11:L11,N11)</f>
        <v>14</v>
      </c>
      <c r="P11" s="15">
        <f t="shared" si="1"/>
        <v>24</v>
      </c>
      <c r="R11" s="1" t="s">
        <v>7</v>
      </c>
      <c r="S11" s="17">
        <f t="shared" ref="S11:AF11" si="3">SUM(C14:C17)</f>
        <v>12</v>
      </c>
      <c r="T11" s="17">
        <f t="shared" si="3"/>
        <v>8</v>
      </c>
      <c r="U11" s="17">
        <f t="shared" si="3"/>
        <v>4</v>
      </c>
      <c r="V11" s="17">
        <f t="shared" si="3"/>
        <v>33</v>
      </c>
      <c r="W11" s="17">
        <f t="shared" si="3"/>
        <v>2</v>
      </c>
      <c r="X11" s="17">
        <f t="shared" si="3"/>
        <v>0</v>
      </c>
      <c r="Y11" s="17">
        <f t="shared" si="3"/>
        <v>2</v>
      </c>
      <c r="Z11" s="17">
        <f t="shared" si="3"/>
        <v>8</v>
      </c>
      <c r="AA11" s="17">
        <f t="shared" si="3"/>
        <v>2</v>
      </c>
      <c r="AB11" s="17">
        <f t="shared" si="3"/>
        <v>1</v>
      </c>
      <c r="AC11" s="17">
        <f t="shared" si="3"/>
        <v>37</v>
      </c>
      <c r="AD11" s="17">
        <f t="shared" si="3"/>
        <v>0</v>
      </c>
      <c r="AE11" s="31">
        <f t="shared" si="3"/>
        <v>72</v>
      </c>
      <c r="AF11" s="31">
        <f t="shared" si="3"/>
        <v>109</v>
      </c>
    </row>
    <row r="12" spans="2:32" ht="23.1" customHeight="1" x14ac:dyDescent="0.25">
      <c r="B12" s="23" t="s">
        <v>39</v>
      </c>
      <c r="C12" s="50">
        <v>2</v>
      </c>
      <c r="D12" s="50">
        <v>0</v>
      </c>
      <c r="E12" s="50">
        <v>1</v>
      </c>
      <c r="F12" s="50">
        <v>4</v>
      </c>
      <c r="G12" s="50">
        <v>1</v>
      </c>
      <c r="H12" s="50">
        <v>0</v>
      </c>
      <c r="I12" s="50">
        <v>0</v>
      </c>
      <c r="J12" s="50">
        <v>0</v>
      </c>
      <c r="K12" s="50">
        <v>0</v>
      </c>
      <c r="L12" s="50">
        <v>1</v>
      </c>
      <c r="M12" s="50">
        <v>12</v>
      </c>
      <c r="N12" s="50">
        <v>0</v>
      </c>
      <c r="O12" s="15">
        <f t="shared" si="0"/>
        <v>9</v>
      </c>
      <c r="P12" s="15">
        <f t="shared" si="1"/>
        <v>21</v>
      </c>
      <c r="R12" s="1" t="s">
        <v>8</v>
      </c>
      <c r="S12" s="17">
        <f t="shared" ref="S12:AF12" si="4">SUM(C18:C21)</f>
        <v>12</v>
      </c>
      <c r="T12" s="17">
        <f t="shared" si="4"/>
        <v>0</v>
      </c>
      <c r="U12" s="17">
        <f t="shared" si="4"/>
        <v>2</v>
      </c>
      <c r="V12" s="17">
        <f t="shared" si="4"/>
        <v>35</v>
      </c>
      <c r="W12" s="17">
        <f t="shared" si="4"/>
        <v>0</v>
      </c>
      <c r="X12" s="17">
        <f t="shared" si="4"/>
        <v>0</v>
      </c>
      <c r="Y12" s="17">
        <f t="shared" si="4"/>
        <v>2</v>
      </c>
      <c r="Z12" s="17">
        <f t="shared" si="4"/>
        <v>5</v>
      </c>
      <c r="AA12" s="17">
        <f t="shared" si="4"/>
        <v>2</v>
      </c>
      <c r="AB12" s="17">
        <f t="shared" si="4"/>
        <v>0</v>
      </c>
      <c r="AC12" s="17">
        <f t="shared" si="4"/>
        <v>34</v>
      </c>
      <c r="AD12" s="17">
        <f t="shared" si="4"/>
        <v>0</v>
      </c>
      <c r="AE12" s="31">
        <f t="shared" si="4"/>
        <v>58</v>
      </c>
      <c r="AF12" s="31">
        <f t="shared" si="4"/>
        <v>92</v>
      </c>
    </row>
    <row r="13" spans="2:32" ht="23.1" customHeight="1" x14ac:dyDescent="0.25">
      <c r="B13" s="23" t="s">
        <v>40</v>
      </c>
      <c r="C13" s="50">
        <v>3</v>
      </c>
      <c r="D13" s="50">
        <v>0</v>
      </c>
      <c r="E13" s="50">
        <v>2</v>
      </c>
      <c r="F13" s="50">
        <v>3</v>
      </c>
      <c r="G13" s="50">
        <v>2</v>
      </c>
      <c r="H13" s="50">
        <v>0</v>
      </c>
      <c r="I13" s="50">
        <v>0</v>
      </c>
      <c r="J13" s="50">
        <v>0</v>
      </c>
      <c r="K13" s="50">
        <v>1</v>
      </c>
      <c r="L13" s="50">
        <v>0</v>
      </c>
      <c r="M13" s="50">
        <v>3</v>
      </c>
      <c r="N13" s="50">
        <v>0</v>
      </c>
      <c r="O13" s="15">
        <f t="shared" si="0"/>
        <v>11</v>
      </c>
      <c r="P13" s="15">
        <f t="shared" si="1"/>
        <v>14</v>
      </c>
      <c r="R13" s="1" t="s">
        <v>9</v>
      </c>
      <c r="S13" s="17">
        <f t="shared" ref="S13:AF13" si="5">SUM(C22:C25)</f>
        <v>9</v>
      </c>
      <c r="T13" s="17">
        <f t="shared" si="5"/>
        <v>6</v>
      </c>
      <c r="U13" s="17">
        <f t="shared" si="5"/>
        <v>10</v>
      </c>
      <c r="V13" s="17">
        <f t="shared" si="5"/>
        <v>28</v>
      </c>
      <c r="W13" s="17">
        <f t="shared" si="5"/>
        <v>0</v>
      </c>
      <c r="X13" s="17">
        <f t="shared" si="5"/>
        <v>1</v>
      </c>
      <c r="Y13" s="17">
        <f t="shared" si="5"/>
        <v>1</v>
      </c>
      <c r="Z13" s="17">
        <f t="shared" si="5"/>
        <v>1</v>
      </c>
      <c r="AA13" s="17">
        <f t="shared" si="5"/>
        <v>0</v>
      </c>
      <c r="AB13" s="17">
        <f t="shared" si="5"/>
        <v>3</v>
      </c>
      <c r="AC13" s="17">
        <f t="shared" si="5"/>
        <v>42</v>
      </c>
      <c r="AD13" s="17">
        <f t="shared" si="5"/>
        <v>0</v>
      </c>
      <c r="AE13" s="31">
        <f t="shared" si="5"/>
        <v>59</v>
      </c>
      <c r="AF13" s="31">
        <f t="shared" si="5"/>
        <v>101</v>
      </c>
    </row>
    <row r="14" spans="2:32" ht="23.1" customHeight="1" x14ac:dyDescent="0.25">
      <c r="B14" s="23" t="s">
        <v>41</v>
      </c>
      <c r="C14" s="50">
        <v>1</v>
      </c>
      <c r="D14" s="50">
        <v>2</v>
      </c>
      <c r="E14" s="50">
        <v>0</v>
      </c>
      <c r="F14" s="50">
        <v>9</v>
      </c>
      <c r="G14" s="50">
        <v>1</v>
      </c>
      <c r="H14" s="50">
        <v>0</v>
      </c>
      <c r="I14" s="50">
        <v>0</v>
      </c>
      <c r="J14" s="50">
        <v>2</v>
      </c>
      <c r="K14" s="50">
        <v>0</v>
      </c>
      <c r="L14" s="50">
        <v>0</v>
      </c>
      <c r="M14" s="50">
        <v>10</v>
      </c>
      <c r="N14" s="50">
        <v>0</v>
      </c>
      <c r="O14" s="15">
        <f t="shared" si="0"/>
        <v>15</v>
      </c>
      <c r="P14" s="15">
        <f t="shared" si="1"/>
        <v>25</v>
      </c>
      <c r="R14" s="1" t="s">
        <v>10</v>
      </c>
      <c r="S14" s="17">
        <f t="shared" ref="S14:AF14" si="6">SUM(C26:C29)</f>
        <v>25</v>
      </c>
      <c r="T14" s="17">
        <f t="shared" si="6"/>
        <v>6</v>
      </c>
      <c r="U14" s="17">
        <f t="shared" si="6"/>
        <v>10</v>
      </c>
      <c r="V14" s="17">
        <f t="shared" si="6"/>
        <v>41</v>
      </c>
      <c r="W14" s="17">
        <f t="shared" si="6"/>
        <v>1</v>
      </c>
      <c r="X14" s="17">
        <f t="shared" si="6"/>
        <v>1</v>
      </c>
      <c r="Y14" s="17">
        <f t="shared" si="6"/>
        <v>2</v>
      </c>
      <c r="Z14" s="17">
        <f t="shared" si="6"/>
        <v>3</v>
      </c>
      <c r="AA14" s="17">
        <f t="shared" si="6"/>
        <v>1</v>
      </c>
      <c r="AB14" s="17">
        <f t="shared" si="6"/>
        <v>0</v>
      </c>
      <c r="AC14" s="17">
        <f t="shared" si="6"/>
        <v>23</v>
      </c>
      <c r="AD14" s="17">
        <f t="shared" si="6"/>
        <v>0</v>
      </c>
      <c r="AE14" s="31">
        <f t="shared" si="6"/>
        <v>90</v>
      </c>
      <c r="AF14" s="31">
        <f t="shared" si="6"/>
        <v>113</v>
      </c>
    </row>
    <row r="15" spans="2:32" ht="23.1" customHeight="1" x14ac:dyDescent="0.25">
      <c r="B15" s="23" t="s">
        <v>42</v>
      </c>
      <c r="C15" s="50">
        <v>3</v>
      </c>
      <c r="D15" s="50">
        <v>3</v>
      </c>
      <c r="E15" s="50">
        <v>1</v>
      </c>
      <c r="F15" s="50">
        <v>7</v>
      </c>
      <c r="G15" s="50">
        <v>1</v>
      </c>
      <c r="H15" s="50">
        <v>0</v>
      </c>
      <c r="I15" s="50">
        <v>0</v>
      </c>
      <c r="J15" s="50">
        <v>1</v>
      </c>
      <c r="K15" s="50">
        <v>1</v>
      </c>
      <c r="L15" s="50">
        <v>0</v>
      </c>
      <c r="M15" s="50">
        <v>12</v>
      </c>
      <c r="N15" s="50">
        <v>0</v>
      </c>
      <c r="O15" s="15">
        <f t="shared" si="0"/>
        <v>17</v>
      </c>
      <c r="P15" s="15">
        <f t="shared" si="1"/>
        <v>29</v>
      </c>
      <c r="R15" s="1" t="s">
        <v>11</v>
      </c>
      <c r="S15" s="17">
        <f t="shared" ref="S15:AF15" si="7">SUM(C30:C33)</f>
        <v>23</v>
      </c>
      <c r="T15" s="17">
        <f t="shared" si="7"/>
        <v>5</v>
      </c>
      <c r="U15" s="17">
        <f t="shared" si="7"/>
        <v>3</v>
      </c>
      <c r="V15" s="17">
        <f t="shared" si="7"/>
        <v>30</v>
      </c>
      <c r="W15" s="17">
        <f t="shared" si="7"/>
        <v>3</v>
      </c>
      <c r="X15" s="17">
        <f t="shared" si="7"/>
        <v>4</v>
      </c>
      <c r="Y15" s="17">
        <f t="shared" si="7"/>
        <v>8</v>
      </c>
      <c r="Z15" s="17">
        <f t="shared" si="7"/>
        <v>2</v>
      </c>
      <c r="AA15" s="17">
        <f t="shared" si="7"/>
        <v>5</v>
      </c>
      <c r="AB15" s="17">
        <f t="shared" si="7"/>
        <v>0</v>
      </c>
      <c r="AC15" s="17">
        <f t="shared" si="7"/>
        <v>15</v>
      </c>
      <c r="AD15" s="17">
        <f t="shared" si="7"/>
        <v>0</v>
      </c>
      <c r="AE15" s="31">
        <f t="shared" si="7"/>
        <v>83</v>
      </c>
      <c r="AF15" s="31">
        <f t="shared" si="7"/>
        <v>98</v>
      </c>
    </row>
    <row r="16" spans="2:32" ht="23.1" customHeight="1" x14ac:dyDescent="0.25">
      <c r="B16" s="23" t="s">
        <v>43</v>
      </c>
      <c r="C16" s="50">
        <v>2</v>
      </c>
      <c r="D16" s="50">
        <v>1</v>
      </c>
      <c r="E16" s="50">
        <v>1</v>
      </c>
      <c r="F16" s="50">
        <v>11</v>
      </c>
      <c r="G16" s="50">
        <v>0</v>
      </c>
      <c r="H16" s="50">
        <v>0</v>
      </c>
      <c r="I16" s="50">
        <v>0</v>
      </c>
      <c r="J16" s="50">
        <v>0</v>
      </c>
      <c r="K16" s="50">
        <v>1</v>
      </c>
      <c r="L16" s="50">
        <v>1</v>
      </c>
      <c r="M16" s="50">
        <v>7</v>
      </c>
      <c r="N16" s="50">
        <v>0</v>
      </c>
      <c r="O16" s="15">
        <f t="shared" si="0"/>
        <v>17</v>
      </c>
      <c r="P16" s="15">
        <f t="shared" si="1"/>
        <v>24</v>
      </c>
      <c r="R16" s="1" t="s">
        <v>12</v>
      </c>
      <c r="S16" s="17">
        <f t="shared" ref="S16:AF16" si="8">SUM(C34:C37)</f>
        <v>24</v>
      </c>
      <c r="T16" s="17">
        <f t="shared" si="8"/>
        <v>20</v>
      </c>
      <c r="U16" s="17">
        <f t="shared" si="8"/>
        <v>16</v>
      </c>
      <c r="V16" s="17">
        <f t="shared" si="8"/>
        <v>35</v>
      </c>
      <c r="W16" s="17">
        <f t="shared" si="8"/>
        <v>0</v>
      </c>
      <c r="X16" s="17">
        <f t="shared" si="8"/>
        <v>1</v>
      </c>
      <c r="Y16" s="17">
        <f t="shared" si="8"/>
        <v>6</v>
      </c>
      <c r="Z16" s="17">
        <f t="shared" si="8"/>
        <v>1</v>
      </c>
      <c r="AA16" s="17">
        <f t="shared" si="8"/>
        <v>2</v>
      </c>
      <c r="AB16" s="17">
        <f t="shared" si="8"/>
        <v>0</v>
      </c>
      <c r="AC16" s="17">
        <f t="shared" si="8"/>
        <v>37</v>
      </c>
      <c r="AD16" s="17">
        <f t="shared" si="8"/>
        <v>1</v>
      </c>
      <c r="AE16" s="31">
        <f t="shared" si="8"/>
        <v>106</v>
      </c>
      <c r="AF16" s="31">
        <f t="shared" si="8"/>
        <v>143</v>
      </c>
    </row>
    <row r="17" spans="2:32" ht="23.1" customHeight="1" x14ac:dyDescent="0.25">
      <c r="B17" s="23" t="s">
        <v>44</v>
      </c>
      <c r="C17" s="50">
        <v>6</v>
      </c>
      <c r="D17" s="50">
        <v>2</v>
      </c>
      <c r="E17" s="50">
        <v>2</v>
      </c>
      <c r="F17" s="50">
        <v>6</v>
      </c>
      <c r="G17" s="50">
        <v>0</v>
      </c>
      <c r="H17" s="50">
        <v>0</v>
      </c>
      <c r="I17" s="50">
        <v>2</v>
      </c>
      <c r="J17" s="50">
        <v>5</v>
      </c>
      <c r="K17" s="50">
        <v>0</v>
      </c>
      <c r="L17" s="50">
        <v>0</v>
      </c>
      <c r="M17" s="50">
        <v>8</v>
      </c>
      <c r="N17" s="50">
        <v>0</v>
      </c>
      <c r="O17" s="15">
        <f t="shared" si="0"/>
        <v>23</v>
      </c>
      <c r="P17" s="15">
        <f t="shared" si="1"/>
        <v>31</v>
      </c>
      <c r="R17" s="1" t="s">
        <v>13</v>
      </c>
      <c r="S17" s="17">
        <f t="shared" ref="S17:AF17" si="9">SUM(C38:C41)</f>
        <v>27</v>
      </c>
      <c r="T17" s="17">
        <f t="shared" si="9"/>
        <v>14</v>
      </c>
      <c r="U17" s="17">
        <f t="shared" si="9"/>
        <v>14</v>
      </c>
      <c r="V17" s="17">
        <f t="shared" si="9"/>
        <v>38</v>
      </c>
      <c r="W17" s="17">
        <f t="shared" si="9"/>
        <v>0</v>
      </c>
      <c r="X17" s="17">
        <f t="shared" si="9"/>
        <v>3</v>
      </c>
      <c r="Y17" s="17">
        <f t="shared" si="9"/>
        <v>5</v>
      </c>
      <c r="Z17" s="17">
        <f t="shared" si="9"/>
        <v>1</v>
      </c>
      <c r="AA17" s="17">
        <f t="shared" si="9"/>
        <v>2</v>
      </c>
      <c r="AB17" s="17">
        <f t="shared" si="9"/>
        <v>0</v>
      </c>
      <c r="AC17" s="17">
        <f t="shared" si="9"/>
        <v>53</v>
      </c>
      <c r="AD17" s="17">
        <f t="shared" si="9"/>
        <v>0</v>
      </c>
      <c r="AE17" s="31">
        <f t="shared" si="9"/>
        <v>104</v>
      </c>
      <c r="AF17" s="31">
        <f t="shared" si="9"/>
        <v>157</v>
      </c>
    </row>
    <row r="18" spans="2:32" ht="23.1" customHeight="1" x14ac:dyDescent="0.25">
      <c r="B18" s="23" t="s">
        <v>45</v>
      </c>
      <c r="C18" s="50">
        <v>3</v>
      </c>
      <c r="D18" s="50">
        <v>0</v>
      </c>
      <c r="E18" s="50">
        <v>0</v>
      </c>
      <c r="F18" s="50">
        <v>11</v>
      </c>
      <c r="G18" s="50">
        <v>0</v>
      </c>
      <c r="H18" s="50">
        <v>0</v>
      </c>
      <c r="I18" s="50">
        <v>1</v>
      </c>
      <c r="J18" s="50">
        <v>2</v>
      </c>
      <c r="K18" s="50">
        <v>1</v>
      </c>
      <c r="L18" s="50">
        <v>0</v>
      </c>
      <c r="M18" s="50">
        <v>4</v>
      </c>
      <c r="N18" s="50">
        <v>0</v>
      </c>
      <c r="O18" s="15">
        <f t="shared" si="0"/>
        <v>18</v>
      </c>
      <c r="P18" s="15">
        <f t="shared" si="1"/>
        <v>22</v>
      </c>
      <c r="R18" s="1" t="s">
        <v>14</v>
      </c>
      <c r="S18" s="17">
        <f t="shared" ref="S18:AF18" si="10">SUM(C42:C45)</f>
        <v>25</v>
      </c>
      <c r="T18" s="17">
        <f t="shared" si="10"/>
        <v>8</v>
      </c>
      <c r="U18" s="17">
        <f t="shared" si="10"/>
        <v>7</v>
      </c>
      <c r="V18" s="17">
        <f t="shared" si="10"/>
        <v>42</v>
      </c>
      <c r="W18" s="17">
        <f t="shared" si="10"/>
        <v>0</v>
      </c>
      <c r="X18" s="17">
        <f t="shared" si="10"/>
        <v>2</v>
      </c>
      <c r="Y18" s="17">
        <f t="shared" si="10"/>
        <v>1</v>
      </c>
      <c r="Z18" s="17">
        <f t="shared" si="10"/>
        <v>5</v>
      </c>
      <c r="AA18" s="17">
        <f t="shared" si="10"/>
        <v>2</v>
      </c>
      <c r="AB18" s="17">
        <f t="shared" si="10"/>
        <v>2</v>
      </c>
      <c r="AC18" s="17">
        <f t="shared" si="10"/>
        <v>41</v>
      </c>
      <c r="AD18" s="17">
        <f t="shared" si="10"/>
        <v>1</v>
      </c>
      <c r="AE18" s="31">
        <f t="shared" si="10"/>
        <v>95</v>
      </c>
      <c r="AF18" s="31">
        <f t="shared" si="10"/>
        <v>136</v>
      </c>
    </row>
    <row r="19" spans="2:32" ht="23.1" customHeight="1" x14ac:dyDescent="0.25">
      <c r="B19" s="23" t="s">
        <v>46</v>
      </c>
      <c r="C19" s="50">
        <v>2</v>
      </c>
      <c r="D19" s="50">
        <v>0</v>
      </c>
      <c r="E19" s="50">
        <v>1</v>
      </c>
      <c r="F19" s="50">
        <v>13</v>
      </c>
      <c r="G19" s="50">
        <v>0</v>
      </c>
      <c r="H19" s="50">
        <v>0</v>
      </c>
      <c r="I19" s="50">
        <v>0</v>
      </c>
      <c r="J19" s="50">
        <v>1</v>
      </c>
      <c r="K19" s="50">
        <v>0</v>
      </c>
      <c r="L19" s="50">
        <v>0</v>
      </c>
      <c r="M19" s="50">
        <v>11</v>
      </c>
      <c r="N19" s="50">
        <v>0</v>
      </c>
      <c r="O19" s="15">
        <f t="shared" si="0"/>
        <v>17</v>
      </c>
      <c r="P19" s="15">
        <f t="shared" si="1"/>
        <v>28</v>
      </c>
      <c r="R19" s="1" t="s">
        <v>15</v>
      </c>
      <c r="S19" s="17">
        <f t="shared" ref="S19:AF19" si="11">SUM(C46:C49)</f>
        <v>25</v>
      </c>
      <c r="T19" s="17">
        <f t="shared" si="11"/>
        <v>11</v>
      </c>
      <c r="U19" s="17">
        <f t="shared" si="11"/>
        <v>15</v>
      </c>
      <c r="V19" s="17">
        <f t="shared" si="11"/>
        <v>52</v>
      </c>
      <c r="W19" s="17">
        <f t="shared" si="11"/>
        <v>0</v>
      </c>
      <c r="X19" s="17">
        <f t="shared" si="11"/>
        <v>2</v>
      </c>
      <c r="Y19" s="17">
        <f t="shared" si="11"/>
        <v>6</v>
      </c>
      <c r="Z19" s="17">
        <f t="shared" si="11"/>
        <v>7</v>
      </c>
      <c r="AA19" s="17">
        <f t="shared" si="11"/>
        <v>7</v>
      </c>
      <c r="AB19" s="17">
        <f t="shared" si="11"/>
        <v>2</v>
      </c>
      <c r="AC19" s="17">
        <f t="shared" si="11"/>
        <v>29</v>
      </c>
      <c r="AD19" s="17">
        <f t="shared" si="11"/>
        <v>1</v>
      </c>
      <c r="AE19" s="31">
        <f t="shared" si="11"/>
        <v>128</v>
      </c>
      <c r="AF19" s="31">
        <f t="shared" si="11"/>
        <v>157</v>
      </c>
    </row>
    <row r="20" spans="2:32" ht="23.1" customHeight="1" x14ac:dyDescent="0.25">
      <c r="B20" s="23" t="s">
        <v>47</v>
      </c>
      <c r="C20" s="50">
        <v>2</v>
      </c>
      <c r="D20" s="50">
        <v>0</v>
      </c>
      <c r="E20" s="50">
        <v>0</v>
      </c>
      <c r="F20" s="50">
        <v>7</v>
      </c>
      <c r="G20" s="50">
        <v>0</v>
      </c>
      <c r="H20" s="50">
        <v>0</v>
      </c>
      <c r="I20" s="50">
        <v>1</v>
      </c>
      <c r="J20" s="50">
        <v>1</v>
      </c>
      <c r="K20" s="50">
        <v>0</v>
      </c>
      <c r="L20" s="50">
        <v>0</v>
      </c>
      <c r="M20" s="50">
        <v>9</v>
      </c>
      <c r="N20" s="50">
        <v>0</v>
      </c>
      <c r="O20" s="15">
        <f t="shared" si="0"/>
        <v>11</v>
      </c>
      <c r="P20" s="15">
        <f t="shared" si="1"/>
        <v>20</v>
      </c>
      <c r="R20" s="1" t="s">
        <v>16</v>
      </c>
      <c r="S20" s="17">
        <f t="shared" ref="S20:AF20" si="12">SUM(C50:C53)</f>
        <v>45</v>
      </c>
      <c r="T20" s="17">
        <f t="shared" si="12"/>
        <v>7</v>
      </c>
      <c r="U20" s="17">
        <f t="shared" si="12"/>
        <v>11</v>
      </c>
      <c r="V20" s="17">
        <f t="shared" si="12"/>
        <v>67</v>
      </c>
      <c r="W20" s="17">
        <f t="shared" si="12"/>
        <v>2</v>
      </c>
      <c r="X20" s="17">
        <f t="shared" si="12"/>
        <v>0</v>
      </c>
      <c r="Y20" s="17">
        <f t="shared" si="12"/>
        <v>5</v>
      </c>
      <c r="Z20" s="17">
        <f t="shared" si="12"/>
        <v>14</v>
      </c>
      <c r="AA20" s="17">
        <f t="shared" si="12"/>
        <v>0</v>
      </c>
      <c r="AB20" s="17">
        <f t="shared" si="12"/>
        <v>2</v>
      </c>
      <c r="AC20" s="17">
        <f t="shared" si="12"/>
        <v>42</v>
      </c>
      <c r="AD20" s="17">
        <f t="shared" si="12"/>
        <v>0</v>
      </c>
      <c r="AE20" s="31">
        <f t="shared" si="12"/>
        <v>153</v>
      </c>
      <c r="AF20" s="31">
        <f t="shared" si="12"/>
        <v>195</v>
      </c>
    </row>
    <row r="21" spans="2:32" ht="23.1" customHeight="1" x14ac:dyDescent="0.25">
      <c r="B21" s="23" t="s">
        <v>48</v>
      </c>
      <c r="C21" s="50">
        <v>5</v>
      </c>
      <c r="D21" s="50">
        <v>0</v>
      </c>
      <c r="E21" s="50">
        <v>1</v>
      </c>
      <c r="F21" s="50">
        <v>4</v>
      </c>
      <c r="G21" s="50">
        <v>0</v>
      </c>
      <c r="H21" s="50">
        <v>0</v>
      </c>
      <c r="I21" s="50">
        <v>0</v>
      </c>
      <c r="J21" s="50">
        <v>1</v>
      </c>
      <c r="K21" s="50">
        <v>1</v>
      </c>
      <c r="L21" s="50">
        <v>0</v>
      </c>
      <c r="M21" s="50">
        <v>10</v>
      </c>
      <c r="N21" s="50">
        <v>0</v>
      </c>
      <c r="O21" s="15">
        <f t="shared" si="0"/>
        <v>12</v>
      </c>
      <c r="P21" s="15">
        <f t="shared" si="1"/>
        <v>22</v>
      </c>
      <c r="R21" s="36" t="s">
        <v>20</v>
      </c>
      <c r="S21" s="34">
        <f t="shared" ref="S21:AF21" si="13">SUM(C54:C57)</f>
        <v>25</v>
      </c>
      <c r="T21" s="17">
        <f t="shared" si="13"/>
        <v>7</v>
      </c>
      <c r="U21" s="17">
        <f t="shared" si="13"/>
        <v>12</v>
      </c>
      <c r="V21" s="17">
        <f t="shared" si="13"/>
        <v>53</v>
      </c>
      <c r="W21" s="17">
        <f t="shared" si="13"/>
        <v>2</v>
      </c>
      <c r="X21" s="17">
        <f t="shared" si="13"/>
        <v>3</v>
      </c>
      <c r="Y21" s="17">
        <f t="shared" si="13"/>
        <v>7</v>
      </c>
      <c r="Z21" s="17">
        <f t="shared" si="13"/>
        <v>5</v>
      </c>
      <c r="AA21" s="17">
        <f t="shared" si="13"/>
        <v>4</v>
      </c>
      <c r="AB21" s="17">
        <f t="shared" si="13"/>
        <v>0</v>
      </c>
      <c r="AC21" s="17">
        <f t="shared" si="13"/>
        <v>41</v>
      </c>
      <c r="AD21" s="17">
        <f t="shared" si="13"/>
        <v>0</v>
      </c>
      <c r="AE21" s="31">
        <f t="shared" si="13"/>
        <v>118</v>
      </c>
      <c r="AF21" s="31">
        <f t="shared" si="13"/>
        <v>159</v>
      </c>
    </row>
    <row r="22" spans="2:32" ht="23.1" customHeight="1" x14ac:dyDescent="0.25">
      <c r="B22" s="23" t="s">
        <v>49</v>
      </c>
      <c r="C22" s="50">
        <v>2</v>
      </c>
      <c r="D22" s="50">
        <v>1</v>
      </c>
      <c r="E22" s="50">
        <v>1</v>
      </c>
      <c r="F22" s="50">
        <v>9</v>
      </c>
      <c r="G22" s="50">
        <v>0</v>
      </c>
      <c r="H22" s="50">
        <v>1</v>
      </c>
      <c r="I22" s="50">
        <v>0</v>
      </c>
      <c r="J22" s="50">
        <v>1</v>
      </c>
      <c r="K22" s="50">
        <v>0</v>
      </c>
      <c r="L22" s="50">
        <v>0</v>
      </c>
      <c r="M22" s="50">
        <v>12</v>
      </c>
      <c r="N22" s="50">
        <v>0</v>
      </c>
      <c r="O22" s="15">
        <f t="shared" si="0"/>
        <v>15</v>
      </c>
      <c r="P22" s="15">
        <f t="shared" si="1"/>
        <v>27</v>
      </c>
      <c r="R22" s="38" t="s">
        <v>90</v>
      </c>
      <c r="S22" s="39">
        <f>MAX(S10:S12)</f>
        <v>13</v>
      </c>
      <c r="T22" s="39">
        <f t="shared" ref="T22:AF22" si="14">MAX(T10:T12)</f>
        <v>8</v>
      </c>
      <c r="U22" s="39">
        <f t="shared" si="14"/>
        <v>4</v>
      </c>
      <c r="V22" s="39">
        <f t="shared" si="14"/>
        <v>35</v>
      </c>
      <c r="W22" s="39">
        <f t="shared" si="14"/>
        <v>3</v>
      </c>
      <c r="X22" s="39">
        <f t="shared" si="14"/>
        <v>0</v>
      </c>
      <c r="Y22" s="39">
        <f t="shared" si="14"/>
        <v>2</v>
      </c>
      <c r="Z22" s="39">
        <f t="shared" si="14"/>
        <v>8</v>
      </c>
      <c r="AA22" s="39">
        <f t="shared" si="14"/>
        <v>5</v>
      </c>
      <c r="AB22" s="39">
        <f t="shared" si="14"/>
        <v>3</v>
      </c>
      <c r="AC22" s="39">
        <f t="shared" si="14"/>
        <v>37</v>
      </c>
      <c r="AD22" s="39">
        <f t="shared" si="14"/>
        <v>0</v>
      </c>
      <c r="AE22" s="40">
        <f t="shared" si="14"/>
        <v>72</v>
      </c>
      <c r="AF22" s="40">
        <f t="shared" si="14"/>
        <v>109</v>
      </c>
    </row>
    <row r="23" spans="2:32" ht="23.1" customHeight="1" x14ac:dyDescent="0.25">
      <c r="B23" s="23" t="s">
        <v>50</v>
      </c>
      <c r="C23" s="50">
        <v>1</v>
      </c>
      <c r="D23" s="50">
        <v>0</v>
      </c>
      <c r="E23" s="50">
        <v>1</v>
      </c>
      <c r="F23" s="50">
        <v>6</v>
      </c>
      <c r="G23" s="50">
        <v>0</v>
      </c>
      <c r="H23" s="50">
        <v>0</v>
      </c>
      <c r="I23" s="50">
        <v>0</v>
      </c>
      <c r="J23" s="50">
        <v>0</v>
      </c>
      <c r="K23" s="50">
        <v>0</v>
      </c>
      <c r="L23" s="50">
        <v>1</v>
      </c>
      <c r="M23" s="50">
        <v>16</v>
      </c>
      <c r="N23" s="50">
        <v>0</v>
      </c>
      <c r="O23" s="15">
        <f t="shared" si="0"/>
        <v>9</v>
      </c>
      <c r="P23" s="15">
        <f t="shared" si="1"/>
        <v>25</v>
      </c>
      <c r="R23" s="38" t="s">
        <v>91</v>
      </c>
      <c r="S23" s="39">
        <f>MAX(S13:S18)</f>
        <v>27</v>
      </c>
      <c r="T23" s="39">
        <f t="shared" ref="T23:AF23" si="15">MAX(T13:T18)</f>
        <v>20</v>
      </c>
      <c r="U23" s="39">
        <f t="shared" si="15"/>
        <v>16</v>
      </c>
      <c r="V23" s="39">
        <f t="shared" si="15"/>
        <v>42</v>
      </c>
      <c r="W23" s="39">
        <f t="shared" si="15"/>
        <v>3</v>
      </c>
      <c r="X23" s="39">
        <f t="shared" si="15"/>
        <v>4</v>
      </c>
      <c r="Y23" s="39">
        <f t="shared" si="15"/>
        <v>8</v>
      </c>
      <c r="Z23" s="39">
        <f t="shared" si="15"/>
        <v>5</v>
      </c>
      <c r="AA23" s="39">
        <f t="shared" si="15"/>
        <v>5</v>
      </c>
      <c r="AB23" s="39">
        <f t="shared" si="15"/>
        <v>3</v>
      </c>
      <c r="AC23" s="39">
        <f t="shared" si="15"/>
        <v>53</v>
      </c>
      <c r="AD23" s="39">
        <f t="shared" si="15"/>
        <v>1</v>
      </c>
      <c r="AE23" s="40">
        <f t="shared" si="15"/>
        <v>106</v>
      </c>
      <c r="AF23" s="40">
        <f t="shared" si="15"/>
        <v>157</v>
      </c>
    </row>
    <row r="24" spans="2:32" ht="23.1" customHeight="1" x14ac:dyDescent="0.25">
      <c r="B24" s="23" t="s">
        <v>51</v>
      </c>
      <c r="C24" s="50">
        <v>4</v>
      </c>
      <c r="D24" s="50">
        <v>4</v>
      </c>
      <c r="E24" s="50">
        <v>2</v>
      </c>
      <c r="F24" s="50">
        <v>10</v>
      </c>
      <c r="G24" s="50">
        <v>0</v>
      </c>
      <c r="H24" s="50">
        <v>0</v>
      </c>
      <c r="I24" s="50">
        <v>0</v>
      </c>
      <c r="J24" s="50">
        <v>0</v>
      </c>
      <c r="K24" s="50">
        <v>0</v>
      </c>
      <c r="L24" s="50">
        <v>0</v>
      </c>
      <c r="M24" s="50">
        <v>7</v>
      </c>
      <c r="N24" s="50">
        <v>0</v>
      </c>
      <c r="O24" s="15">
        <f t="shared" si="0"/>
        <v>20</v>
      </c>
      <c r="P24" s="15">
        <f t="shared" si="1"/>
        <v>27</v>
      </c>
      <c r="R24" s="38" t="s">
        <v>92</v>
      </c>
      <c r="S24" s="39">
        <f>MAX(S19:S21)</f>
        <v>45</v>
      </c>
      <c r="T24" s="39">
        <f t="shared" ref="T24:AF24" si="16">MAX(T19:T21)</f>
        <v>11</v>
      </c>
      <c r="U24" s="39">
        <f t="shared" si="16"/>
        <v>15</v>
      </c>
      <c r="V24" s="39">
        <f t="shared" si="16"/>
        <v>67</v>
      </c>
      <c r="W24" s="39">
        <f t="shared" si="16"/>
        <v>2</v>
      </c>
      <c r="X24" s="39">
        <f t="shared" si="16"/>
        <v>3</v>
      </c>
      <c r="Y24" s="39">
        <f t="shared" si="16"/>
        <v>7</v>
      </c>
      <c r="Z24" s="39">
        <f t="shared" si="16"/>
        <v>14</v>
      </c>
      <c r="AA24" s="39">
        <f t="shared" si="16"/>
        <v>7</v>
      </c>
      <c r="AB24" s="39">
        <f t="shared" si="16"/>
        <v>2</v>
      </c>
      <c r="AC24" s="39">
        <f t="shared" si="16"/>
        <v>42</v>
      </c>
      <c r="AD24" s="39">
        <f t="shared" si="16"/>
        <v>1</v>
      </c>
      <c r="AE24" s="40">
        <f t="shared" si="16"/>
        <v>153</v>
      </c>
      <c r="AF24" s="40">
        <f t="shared" si="16"/>
        <v>195</v>
      </c>
    </row>
    <row r="25" spans="2:32" ht="23.1" customHeight="1" x14ac:dyDescent="0.25">
      <c r="B25" s="23" t="s">
        <v>52</v>
      </c>
      <c r="C25" s="50">
        <v>2</v>
      </c>
      <c r="D25" s="50">
        <v>1</v>
      </c>
      <c r="E25" s="50">
        <v>6</v>
      </c>
      <c r="F25" s="50">
        <v>3</v>
      </c>
      <c r="G25" s="50">
        <v>0</v>
      </c>
      <c r="H25" s="50">
        <v>0</v>
      </c>
      <c r="I25" s="50">
        <v>1</v>
      </c>
      <c r="J25" s="50">
        <v>0</v>
      </c>
      <c r="K25" s="50">
        <v>0</v>
      </c>
      <c r="L25" s="50">
        <v>2</v>
      </c>
      <c r="M25" s="50">
        <v>7</v>
      </c>
      <c r="N25" s="50">
        <v>0</v>
      </c>
      <c r="O25" s="15">
        <f t="shared" si="0"/>
        <v>15</v>
      </c>
      <c r="P25" s="15">
        <f t="shared" si="1"/>
        <v>22</v>
      </c>
      <c r="R25" s="37" t="s">
        <v>85</v>
      </c>
      <c r="S25" s="35">
        <f t="shared" ref="S25:AF25" si="17">SUM(S10:S12)</f>
        <v>37</v>
      </c>
      <c r="T25" s="16">
        <f t="shared" si="17"/>
        <v>9</v>
      </c>
      <c r="U25" s="16">
        <f t="shared" si="17"/>
        <v>10</v>
      </c>
      <c r="V25" s="16">
        <f t="shared" si="17"/>
        <v>82</v>
      </c>
      <c r="W25" s="16">
        <f t="shared" si="17"/>
        <v>5</v>
      </c>
      <c r="X25" s="16">
        <f t="shared" si="17"/>
        <v>0</v>
      </c>
      <c r="Y25" s="16">
        <f t="shared" si="17"/>
        <v>4</v>
      </c>
      <c r="Z25" s="16">
        <f t="shared" si="17"/>
        <v>14</v>
      </c>
      <c r="AA25" s="16">
        <f t="shared" si="17"/>
        <v>9</v>
      </c>
      <c r="AB25" s="16">
        <f t="shared" si="17"/>
        <v>4</v>
      </c>
      <c r="AC25" s="16">
        <f t="shared" si="17"/>
        <v>104</v>
      </c>
      <c r="AD25" s="16">
        <f t="shared" si="17"/>
        <v>0</v>
      </c>
      <c r="AE25" s="32">
        <f t="shared" si="17"/>
        <v>174</v>
      </c>
      <c r="AF25" s="32">
        <f t="shared" si="17"/>
        <v>278</v>
      </c>
    </row>
    <row r="26" spans="2:32" ht="23.1" customHeight="1" x14ac:dyDescent="0.25">
      <c r="B26" s="23" t="s">
        <v>53</v>
      </c>
      <c r="C26" s="50">
        <v>4</v>
      </c>
      <c r="D26" s="50">
        <v>0</v>
      </c>
      <c r="E26" s="50">
        <v>0</v>
      </c>
      <c r="F26" s="50">
        <v>8</v>
      </c>
      <c r="G26" s="50">
        <v>0</v>
      </c>
      <c r="H26" s="50">
        <v>0</v>
      </c>
      <c r="I26" s="50">
        <v>2</v>
      </c>
      <c r="J26" s="50">
        <v>0</v>
      </c>
      <c r="K26" s="50">
        <v>0</v>
      </c>
      <c r="L26" s="50">
        <v>0</v>
      </c>
      <c r="M26" s="50">
        <v>6</v>
      </c>
      <c r="N26" s="50">
        <v>0</v>
      </c>
      <c r="O26" s="15">
        <f t="shared" si="0"/>
        <v>14</v>
      </c>
      <c r="P26" s="15">
        <f t="shared" si="1"/>
        <v>20</v>
      </c>
      <c r="R26" s="28" t="s">
        <v>86</v>
      </c>
      <c r="S26" s="16">
        <f t="shared" ref="S26:AF26" si="18">SUM(S13:S18)</f>
        <v>133</v>
      </c>
      <c r="T26" s="16">
        <f t="shared" si="18"/>
        <v>59</v>
      </c>
      <c r="U26" s="16">
        <f t="shared" si="18"/>
        <v>60</v>
      </c>
      <c r="V26" s="16">
        <f t="shared" si="18"/>
        <v>214</v>
      </c>
      <c r="W26" s="16">
        <f t="shared" si="18"/>
        <v>4</v>
      </c>
      <c r="X26" s="16">
        <f t="shared" si="18"/>
        <v>12</v>
      </c>
      <c r="Y26" s="16">
        <f t="shared" si="18"/>
        <v>23</v>
      </c>
      <c r="Z26" s="16">
        <f t="shared" si="18"/>
        <v>13</v>
      </c>
      <c r="AA26" s="16">
        <f t="shared" si="18"/>
        <v>12</v>
      </c>
      <c r="AB26" s="16">
        <f t="shared" si="18"/>
        <v>5</v>
      </c>
      <c r="AC26" s="16">
        <f t="shared" si="18"/>
        <v>211</v>
      </c>
      <c r="AD26" s="16">
        <f t="shared" si="18"/>
        <v>2</v>
      </c>
      <c r="AE26" s="32">
        <f t="shared" si="18"/>
        <v>537</v>
      </c>
      <c r="AF26" s="32">
        <f t="shared" si="18"/>
        <v>748</v>
      </c>
    </row>
    <row r="27" spans="2:32" ht="23.1" customHeight="1" x14ac:dyDescent="0.25">
      <c r="B27" s="23" t="s">
        <v>54</v>
      </c>
      <c r="C27" s="50">
        <v>7</v>
      </c>
      <c r="D27" s="50">
        <v>4</v>
      </c>
      <c r="E27" s="50">
        <v>4</v>
      </c>
      <c r="F27" s="50">
        <v>9</v>
      </c>
      <c r="G27" s="50">
        <v>0</v>
      </c>
      <c r="H27" s="50">
        <v>0</v>
      </c>
      <c r="I27" s="50">
        <v>0</v>
      </c>
      <c r="J27" s="50">
        <v>0</v>
      </c>
      <c r="K27" s="50">
        <v>1</v>
      </c>
      <c r="L27" s="50">
        <v>0</v>
      </c>
      <c r="M27" s="50">
        <v>5</v>
      </c>
      <c r="N27" s="50">
        <v>0</v>
      </c>
      <c r="O27" s="15">
        <f t="shared" si="0"/>
        <v>25</v>
      </c>
      <c r="P27" s="15">
        <f t="shared" si="1"/>
        <v>30</v>
      </c>
      <c r="R27" s="29" t="s">
        <v>87</v>
      </c>
      <c r="S27" s="16">
        <f t="shared" ref="S27:AF27" si="19">SUM(S19:S21)</f>
        <v>95</v>
      </c>
      <c r="T27" s="16">
        <f t="shared" si="19"/>
        <v>25</v>
      </c>
      <c r="U27" s="16">
        <f t="shared" si="19"/>
        <v>38</v>
      </c>
      <c r="V27" s="16">
        <f t="shared" si="19"/>
        <v>172</v>
      </c>
      <c r="W27" s="16">
        <f t="shared" si="19"/>
        <v>4</v>
      </c>
      <c r="X27" s="16">
        <f t="shared" si="19"/>
        <v>5</v>
      </c>
      <c r="Y27" s="16">
        <f t="shared" si="19"/>
        <v>18</v>
      </c>
      <c r="Z27" s="16">
        <f t="shared" si="19"/>
        <v>26</v>
      </c>
      <c r="AA27" s="16">
        <f t="shared" si="19"/>
        <v>11</v>
      </c>
      <c r="AB27" s="16">
        <f t="shared" si="19"/>
        <v>4</v>
      </c>
      <c r="AC27" s="16">
        <f t="shared" si="19"/>
        <v>112</v>
      </c>
      <c r="AD27" s="16">
        <f t="shared" si="19"/>
        <v>1</v>
      </c>
      <c r="AE27" s="32">
        <f t="shared" si="19"/>
        <v>399</v>
      </c>
      <c r="AF27" s="32">
        <f t="shared" si="19"/>
        <v>511</v>
      </c>
    </row>
    <row r="28" spans="2:32" ht="23.1" customHeight="1" x14ac:dyDescent="0.25">
      <c r="B28" s="23" t="s">
        <v>55</v>
      </c>
      <c r="C28" s="50">
        <v>6</v>
      </c>
      <c r="D28" s="50">
        <v>1</v>
      </c>
      <c r="E28" s="50">
        <v>2</v>
      </c>
      <c r="F28" s="50">
        <v>14</v>
      </c>
      <c r="G28" s="50">
        <v>0</v>
      </c>
      <c r="H28" s="50">
        <v>0</v>
      </c>
      <c r="I28" s="50">
        <v>0</v>
      </c>
      <c r="J28" s="50">
        <v>2</v>
      </c>
      <c r="K28" s="50">
        <v>0</v>
      </c>
      <c r="L28" s="50">
        <v>0</v>
      </c>
      <c r="M28" s="50">
        <v>7</v>
      </c>
      <c r="N28" s="50">
        <v>0</v>
      </c>
      <c r="O28" s="15">
        <f t="shared" si="0"/>
        <v>25</v>
      </c>
      <c r="P28" s="15">
        <f t="shared" si="1"/>
        <v>32</v>
      </c>
      <c r="R28" s="5" t="s">
        <v>17</v>
      </c>
      <c r="S28" s="16">
        <f t="shared" ref="S28:AF28" si="20">SUM(S10:S21)</f>
        <v>265</v>
      </c>
      <c r="T28" s="16">
        <f t="shared" si="20"/>
        <v>93</v>
      </c>
      <c r="U28" s="16">
        <f t="shared" si="20"/>
        <v>108</v>
      </c>
      <c r="V28" s="16">
        <f t="shared" si="20"/>
        <v>468</v>
      </c>
      <c r="W28" s="16">
        <f t="shared" si="20"/>
        <v>13</v>
      </c>
      <c r="X28" s="16">
        <f t="shared" si="20"/>
        <v>17</v>
      </c>
      <c r="Y28" s="16">
        <f t="shared" si="20"/>
        <v>45</v>
      </c>
      <c r="Z28" s="16">
        <f t="shared" si="20"/>
        <v>53</v>
      </c>
      <c r="AA28" s="16">
        <f t="shared" si="20"/>
        <v>32</v>
      </c>
      <c r="AB28" s="16">
        <f t="shared" si="20"/>
        <v>13</v>
      </c>
      <c r="AC28" s="16">
        <f t="shared" si="20"/>
        <v>427</v>
      </c>
      <c r="AD28" s="16">
        <f t="shared" si="20"/>
        <v>3</v>
      </c>
      <c r="AE28" s="32">
        <f t="shared" si="20"/>
        <v>1110</v>
      </c>
      <c r="AF28" s="32">
        <f t="shared" si="20"/>
        <v>1537</v>
      </c>
    </row>
    <row r="29" spans="2:32" ht="23.1" customHeight="1" x14ac:dyDescent="0.25">
      <c r="B29" s="23" t="s">
        <v>56</v>
      </c>
      <c r="C29" s="50">
        <v>8</v>
      </c>
      <c r="D29" s="50">
        <v>1</v>
      </c>
      <c r="E29" s="50">
        <v>4</v>
      </c>
      <c r="F29" s="50">
        <v>10</v>
      </c>
      <c r="G29" s="50">
        <v>1</v>
      </c>
      <c r="H29" s="50">
        <v>1</v>
      </c>
      <c r="I29" s="50">
        <v>0</v>
      </c>
      <c r="J29" s="50">
        <v>1</v>
      </c>
      <c r="K29" s="50">
        <v>0</v>
      </c>
      <c r="L29" s="50">
        <v>0</v>
      </c>
      <c r="M29" s="50">
        <v>5</v>
      </c>
      <c r="N29" s="50">
        <v>0</v>
      </c>
      <c r="O29" s="15">
        <f t="shared" si="0"/>
        <v>26</v>
      </c>
      <c r="P29" s="15">
        <f t="shared" si="1"/>
        <v>31</v>
      </c>
      <c r="R29"/>
      <c r="S29" s="20"/>
      <c r="T29" s="19"/>
    </row>
    <row r="30" spans="2:32" ht="23.1" customHeight="1" x14ac:dyDescent="0.25">
      <c r="B30" s="23" t="s">
        <v>57</v>
      </c>
      <c r="C30" s="50">
        <v>7</v>
      </c>
      <c r="D30" s="50">
        <v>1</v>
      </c>
      <c r="E30" s="50">
        <v>0</v>
      </c>
      <c r="F30" s="50">
        <v>6</v>
      </c>
      <c r="G30" s="50">
        <v>0</v>
      </c>
      <c r="H30" s="50">
        <v>2</v>
      </c>
      <c r="I30" s="50">
        <v>4</v>
      </c>
      <c r="J30" s="50">
        <v>2</v>
      </c>
      <c r="K30" s="50">
        <v>1</v>
      </c>
      <c r="L30" s="50">
        <v>0</v>
      </c>
      <c r="M30" s="50">
        <v>5</v>
      </c>
      <c r="N30" s="50">
        <v>0</v>
      </c>
      <c r="O30" s="15">
        <f t="shared" si="0"/>
        <v>23</v>
      </c>
      <c r="P30" s="15">
        <f t="shared" si="1"/>
        <v>28</v>
      </c>
    </row>
    <row r="31" spans="2:32" ht="23.1" customHeight="1" x14ac:dyDescent="0.25">
      <c r="B31" s="24" t="s">
        <v>58</v>
      </c>
      <c r="C31" s="50">
        <v>3</v>
      </c>
      <c r="D31" s="50">
        <v>0</v>
      </c>
      <c r="E31" s="50">
        <v>0</v>
      </c>
      <c r="F31" s="50">
        <v>10</v>
      </c>
      <c r="G31" s="50">
        <v>1</v>
      </c>
      <c r="H31" s="50">
        <v>0</v>
      </c>
      <c r="I31" s="50">
        <v>0</v>
      </c>
      <c r="J31" s="50">
        <v>0</v>
      </c>
      <c r="K31" s="50">
        <v>0</v>
      </c>
      <c r="L31" s="50">
        <v>0</v>
      </c>
      <c r="M31" s="50">
        <v>2</v>
      </c>
      <c r="N31" s="50">
        <v>0</v>
      </c>
      <c r="O31" s="15">
        <f t="shared" si="0"/>
        <v>14</v>
      </c>
      <c r="P31" s="15">
        <f t="shared" si="1"/>
        <v>16</v>
      </c>
    </row>
    <row r="32" spans="2:32" ht="23.1" customHeight="1" x14ac:dyDescent="0.25">
      <c r="B32" s="24" t="s">
        <v>59</v>
      </c>
      <c r="C32" s="50">
        <v>4</v>
      </c>
      <c r="D32" s="50">
        <v>0</v>
      </c>
      <c r="E32" s="50">
        <v>0</v>
      </c>
      <c r="F32" s="50">
        <v>3</v>
      </c>
      <c r="G32" s="50">
        <v>1</v>
      </c>
      <c r="H32" s="50">
        <v>1</v>
      </c>
      <c r="I32" s="50">
        <v>1</v>
      </c>
      <c r="J32" s="50">
        <v>0</v>
      </c>
      <c r="K32" s="50">
        <v>1</v>
      </c>
      <c r="L32" s="50">
        <v>0</v>
      </c>
      <c r="M32" s="50">
        <v>7</v>
      </c>
      <c r="N32" s="50">
        <v>0</v>
      </c>
      <c r="O32" s="15">
        <f t="shared" si="0"/>
        <v>11</v>
      </c>
      <c r="P32" s="15">
        <f t="shared" si="1"/>
        <v>18</v>
      </c>
    </row>
    <row r="33" spans="2:20" ht="23.1" customHeight="1" x14ac:dyDescent="0.25">
      <c r="B33" s="23" t="s">
        <v>60</v>
      </c>
      <c r="C33" s="50">
        <v>9</v>
      </c>
      <c r="D33" s="50">
        <v>4</v>
      </c>
      <c r="E33" s="50">
        <v>3</v>
      </c>
      <c r="F33" s="50">
        <v>11</v>
      </c>
      <c r="G33" s="50">
        <v>1</v>
      </c>
      <c r="H33" s="50">
        <v>1</v>
      </c>
      <c r="I33" s="50">
        <v>3</v>
      </c>
      <c r="J33" s="50">
        <v>0</v>
      </c>
      <c r="K33" s="50">
        <v>3</v>
      </c>
      <c r="L33" s="50">
        <v>0</v>
      </c>
      <c r="M33" s="50">
        <v>1</v>
      </c>
      <c r="N33" s="50">
        <v>0</v>
      </c>
      <c r="O33" s="15">
        <f t="shared" si="0"/>
        <v>35</v>
      </c>
      <c r="P33" s="15">
        <f t="shared" si="1"/>
        <v>36</v>
      </c>
    </row>
    <row r="34" spans="2:20" ht="23.1" customHeight="1" x14ac:dyDescent="0.25">
      <c r="B34" s="24" t="s">
        <v>61</v>
      </c>
      <c r="C34" s="50">
        <v>1</v>
      </c>
      <c r="D34" s="50">
        <v>3</v>
      </c>
      <c r="E34" s="50">
        <v>4</v>
      </c>
      <c r="F34" s="50">
        <v>10</v>
      </c>
      <c r="G34" s="50">
        <v>0</v>
      </c>
      <c r="H34" s="50">
        <v>0</v>
      </c>
      <c r="I34" s="50">
        <v>1</v>
      </c>
      <c r="J34" s="50">
        <v>0</v>
      </c>
      <c r="K34" s="50">
        <v>0</v>
      </c>
      <c r="L34" s="50">
        <v>0</v>
      </c>
      <c r="M34" s="50">
        <v>10</v>
      </c>
      <c r="N34" s="50">
        <v>0</v>
      </c>
      <c r="O34" s="15">
        <f t="shared" si="0"/>
        <v>19</v>
      </c>
      <c r="P34" s="15">
        <f t="shared" si="1"/>
        <v>29</v>
      </c>
    </row>
    <row r="35" spans="2:20" ht="23.1" customHeight="1" x14ac:dyDescent="0.25">
      <c r="B35" s="24" t="s">
        <v>62</v>
      </c>
      <c r="C35" s="50">
        <v>2</v>
      </c>
      <c r="D35" s="50">
        <v>7</v>
      </c>
      <c r="E35" s="50">
        <v>2</v>
      </c>
      <c r="F35" s="50">
        <v>7</v>
      </c>
      <c r="G35" s="50">
        <v>0</v>
      </c>
      <c r="H35" s="50">
        <v>1</v>
      </c>
      <c r="I35" s="50">
        <v>1</v>
      </c>
      <c r="J35" s="50">
        <v>0</v>
      </c>
      <c r="K35" s="50">
        <v>0</v>
      </c>
      <c r="L35" s="50">
        <v>0</v>
      </c>
      <c r="M35" s="50">
        <v>10</v>
      </c>
      <c r="N35" s="50">
        <v>1</v>
      </c>
      <c r="O35" s="15">
        <f t="shared" si="0"/>
        <v>21</v>
      </c>
      <c r="P35" s="15">
        <f t="shared" si="1"/>
        <v>31</v>
      </c>
    </row>
    <row r="36" spans="2:20" ht="23.1" customHeight="1" x14ac:dyDescent="0.25">
      <c r="B36" s="24" t="s">
        <v>63</v>
      </c>
      <c r="C36" s="50">
        <v>15</v>
      </c>
      <c r="D36" s="50">
        <v>4</v>
      </c>
      <c r="E36" s="50">
        <v>2</v>
      </c>
      <c r="F36" s="50">
        <v>9</v>
      </c>
      <c r="G36" s="50">
        <v>0</v>
      </c>
      <c r="H36" s="50">
        <v>0</v>
      </c>
      <c r="I36" s="50">
        <v>0</v>
      </c>
      <c r="J36" s="50">
        <v>0</v>
      </c>
      <c r="K36" s="50">
        <v>2</v>
      </c>
      <c r="L36" s="50">
        <v>0</v>
      </c>
      <c r="M36" s="50">
        <v>11</v>
      </c>
      <c r="N36" s="50">
        <v>0</v>
      </c>
      <c r="O36" s="15">
        <f t="shared" si="0"/>
        <v>32</v>
      </c>
      <c r="P36" s="15">
        <f t="shared" si="1"/>
        <v>43</v>
      </c>
    </row>
    <row r="37" spans="2:20" ht="23.1" customHeight="1" x14ac:dyDescent="0.25">
      <c r="B37" s="23" t="s">
        <v>64</v>
      </c>
      <c r="C37" s="50">
        <v>6</v>
      </c>
      <c r="D37" s="50">
        <v>6</v>
      </c>
      <c r="E37" s="50">
        <v>8</v>
      </c>
      <c r="F37" s="50">
        <v>9</v>
      </c>
      <c r="G37" s="50">
        <v>0</v>
      </c>
      <c r="H37" s="50">
        <v>0</v>
      </c>
      <c r="I37" s="50">
        <v>4</v>
      </c>
      <c r="J37" s="50">
        <v>1</v>
      </c>
      <c r="K37" s="50">
        <v>0</v>
      </c>
      <c r="L37" s="50">
        <v>0</v>
      </c>
      <c r="M37" s="50">
        <v>6</v>
      </c>
      <c r="N37" s="50">
        <v>0</v>
      </c>
      <c r="O37" s="15">
        <f t="shared" si="0"/>
        <v>34</v>
      </c>
      <c r="P37" s="15">
        <f t="shared" si="1"/>
        <v>40</v>
      </c>
    </row>
    <row r="38" spans="2:20" ht="23.1" customHeight="1" x14ac:dyDescent="0.25">
      <c r="B38" s="24" t="s">
        <v>65</v>
      </c>
      <c r="C38" s="50">
        <v>9</v>
      </c>
      <c r="D38" s="50">
        <v>4</v>
      </c>
      <c r="E38" s="50">
        <v>3</v>
      </c>
      <c r="F38" s="50">
        <v>9</v>
      </c>
      <c r="G38" s="50">
        <v>0</v>
      </c>
      <c r="H38" s="50">
        <v>2</v>
      </c>
      <c r="I38" s="50">
        <v>2</v>
      </c>
      <c r="J38" s="50">
        <v>0</v>
      </c>
      <c r="K38" s="50">
        <v>1</v>
      </c>
      <c r="L38" s="50">
        <v>0</v>
      </c>
      <c r="M38" s="50">
        <v>15</v>
      </c>
      <c r="N38" s="50">
        <v>0</v>
      </c>
      <c r="O38" s="15">
        <f t="shared" si="0"/>
        <v>30</v>
      </c>
      <c r="P38" s="15">
        <f t="shared" si="1"/>
        <v>45</v>
      </c>
    </row>
    <row r="39" spans="2:20" ht="23.1" customHeight="1" x14ac:dyDescent="0.25">
      <c r="B39" s="24" t="s">
        <v>66</v>
      </c>
      <c r="C39" s="50">
        <v>3</v>
      </c>
      <c r="D39" s="50">
        <v>3</v>
      </c>
      <c r="E39" s="50">
        <v>2</v>
      </c>
      <c r="F39" s="50">
        <v>9</v>
      </c>
      <c r="G39" s="50">
        <v>0</v>
      </c>
      <c r="H39" s="50">
        <v>1</v>
      </c>
      <c r="I39" s="50">
        <v>2</v>
      </c>
      <c r="J39" s="50">
        <v>0</v>
      </c>
      <c r="K39" s="50">
        <v>0</v>
      </c>
      <c r="L39" s="50">
        <v>0</v>
      </c>
      <c r="M39" s="50">
        <v>13</v>
      </c>
      <c r="N39" s="50">
        <v>0</v>
      </c>
      <c r="O39" s="15">
        <f t="shared" si="0"/>
        <v>20</v>
      </c>
      <c r="P39" s="15">
        <f t="shared" si="1"/>
        <v>33</v>
      </c>
    </row>
    <row r="40" spans="2:20" ht="23.1" customHeight="1" x14ac:dyDescent="0.25">
      <c r="B40" s="24" t="s">
        <v>67</v>
      </c>
      <c r="C40" s="50">
        <v>8</v>
      </c>
      <c r="D40" s="50">
        <v>6</v>
      </c>
      <c r="E40" s="50">
        <v>3</v>
      </c>
      <c r="F40" s="50">
        <v>6</v>
      </c>
      <c r="G40" s="50">
        <v>0</v>
      </c>
      <c r="H40" s="50">
        <v>0</v>
      </c>
      <c r="I40" s="50">
        <v>1</v>
      </c>
      <c r="J40" s="50">
        <v>1</v>
      </c>
      <c r="K40" s="50">
        <v>1</v>
      </c>
      <c r="L40" s="50">
        <v>0</v>
      </c>
      <c r="M40" s="50">
        <v>18</v>
      </c>
      <c r="N40" s="50">
        <v>0</v>
      </c>
      <c r="O40" s="15">
        <f t="shared" si="0"/>
        <v>26</v>
      </c>
      <c r="P40" s="15">
        <f t="shared" si="1"/>
        <v>44</v>
      </c>
    </row>
    <row r="41" spans="2:20" ht="23.1" customHeight="1" x14ac:dyDescent="0.25">
      <c r="B41" s="23" t="s">
        <v>68</v>
      </c>
      <c r="C41" s="50">
        <v>7</v>
      </c>
      <c r="D41" s="50">
        <v>1</v>
      </c>
      <c r="E41" s="50">
        <v>6</v>
      </c>
      <c r="F41" s="50">
        <v>14</v>
      </c>
      <c r="G41" s="50">
        <v>0</v>
      </c>
      <c r="H41" s="50">
        <v>0</v>
      </c>
      <c r="I41" s="50">
        <v>0</v>
      </c>
      <c r="J41" s="50">
        <v>0</v>
      </c>
      <c r="K41" s="50">
        <v>0</v>
      </c>
      <c r="L41" s="50">
        <v>0</v>
      </c>
      <c r="M41" s="50">
        <v>7</v>
      </c>
      <c r="N41" s="50">
        <v>0</v>
      </c>
      <c r="O41" s="15">
        <f t="shared" si="0"/>
        <v>28</v>
      </c>
      <c r="P41" s="15">
        <f t="shared" si="1"/>
        <v>35</v>
      </c>
    </row>
    <row r="42" spans="2:20" ht="23.1" customHeight="1" x14ac:dyDescent="0.25">
      <c r="B42" s="24" t="s">
        <v>69</v>
      </c>
      <c r="C42" s="50">
        <v>11</v>
      </c>
      <c r="D42" s="50">
        <v>2</v>
      </c>
      <c r="E42" s="50">
        <v>4</v>
      </c>
      <c r="F42" s="50">
        <v>7</v>
      </c>
      <c r="G42" s="50">
        <v>0</v>
      </c>
      <c r="H42" s="50">
        <v>1</v>
      </c>
      <c r="I42" s="50">
        <v>0</v>
      </c>
      <c r="J42" s="50">
        <v>0</v>
      </c>
      <c r="K42" s="50">
        <v>0</v>
      </c>
      <c r="L42" s="50">
        <v>0</v>
      </c>
      <c r="M42" s="50">
        <v>12</v>
      </c>
      <c r="N42" s="50">
        <v>0</v>
      </c>
      <c r="O42" s="15">
        <f t="shared" si="0"/>
        <v>25</v>
      </c>
      <c r="P42" s="15">
        <f t="shared" si="1"/>
        <v>37</v>
      </c>
    </row>
    <row r="43" spans="2:20" ht="23.1" customHeight="1" x14ac:dyDescent="0.25">
      <c r="B43" s="23" t="s">
        <v>70</v>
      </c>
      <c r="C43" s="50">
        <v>0</v>
      </c>
      <c r="D43" s="50">
        <v>0</v>
      </c>
      <c r="E43" s="50">
        <v>1</v>
      </c>
      <c r="F43" s="50">
        <v>12</v>
      </c>
      <c r="G43" s="50">
        <v>0</v>
      </c>
      <c r="H43" s="50">
        <v>0</v>
      </c>
      <c r="I43" s="50">
        <v>1</v>
      </c>
      <c r="J43" s="50">
        <v>0</v>
      </c>
      <c r="K43" s="50">
        <v>1</v>
      </c>
      <c r="L43" s="50">
        <v>2</v>
      </c>
      <c r="M43" s="50">
        <v>7</v>
      </c>
      <c r="N43" s="50">
        <v>1</v>
      </c>
      <c r="O43" s="15">
        <f t="shared" si="0"/>
        <v>18</v>
      </c>
      <c r="P43" s="15">
        <f t="shared" si="1"/>
        <v>25</v>
      </c>
    </row>
    <row r="44" spans="2:20" ht="23.1" customHeight="1" x14ac:dyDescent="0.25">
      <c r="B44" s="25" t="s">
        <v>71</v>
      </c>
      <c r="C44" s="50">
        <v>6</v>
      </c>
      <c r="D44" s="50">
        <v>3</v>
      </c>
      <c r="E44" s="50">
        <v>2</v>
      </c>
      <c r="F44" s="50">
        <v>9</v>
      </c>
      <c r="G44" s="50">
        <v>0</v>
      </c>
      <c r="H44" s="50">
        <v>0</v>
      </c>
      <c r="I44" s="50">
        <v>0</v>
      </c>
      <c r="J44" s="50">
        <v>3</v>
      </c>
      <c r="K44" s="50">
        <v>0</v>
      </c>
      <c r="L44" s="50">
        <v>0</v>
      </c>
      <c r="M44" s="50">
        <v>11</v>
      </c>
      <c r="N44" s="50">
        <v>0</v>
      </c>
      <c r="O44" s="15">
        <f t="shared" si="0"/>
        <v>23</v>
      </c>
      <c r="P44" s="15">
        <f t="shared" si="1"/>
        <v>34</v>
      </c>
    </row>
    <row r="45" spans="2:20" ht="23.1" customHeight="1" x14ac:dyDescent="0.25">
      <c r="B45" s="23" t="s">
        <v>72</v>
      </c>
      <c r="C45" s="50">
        <v>8</v>
      </c>
      <c r="D45" s="50">
        <v>3</v>
      </c>
      <c r="E45" s="50">
        <v>0</v>
      </c>
      <c r="F45" s="50">
        <v>14</v>
      </c>
      <c r="G45" s="50">
        <v>0</v>
      </c>
      <c r="H45" s="50">
        <v>1</v>
      </c>
      <c r="I45" s="50">
        <v>0</v>
      </c>
      <c r="J45" s="50">
        <v>2</v>
      </c>
      <c r="K45" s="50">
        <v>1</v>
      </c>
      <c r="L45" s="50">
        <v>0</v>
      </c>
      <c r="M45" s="50">
        <v>11</v>
      </c>
      <c r="N45" s="50">
        <v>0</v>
      </c>
      <c r="O45" s="15">
        <f t="shared" si="0"/>
        <v>29</v>
      </c>
      <c r="P45" s="15">
        <f t="shared" si="1"/>
        <v>40</v>
      </c>
    </row>
    <row r="46" spans="2:20" ht="23.1" customHeight="1" x14ac:dyDescent="0.25">
      <c r="B46" s="24" t="s">
        <v>73</v>
      </c>
      <c r="C46" s="50">
        <v>4</v>
      </c>
      <c r="D46" s="50">
        <v>4</v>
      </c>
      <c r="E46" s="50">
        <v>3</v>
      </c>
      <c r="F46" s="50">
        <v>16</v>
      </c>
      <c r="G46" s="50">
        <v>0</v>
      </c>
      <c r="H46" s="50">
        <v>0</v>
      </c>
      <c r="I46" s="50">
        <v>2</v>
      </c>
      <c r="J46" s="50">
        <v>1</v>
      </c>
      <c r="K46" s="50">
        <v>0</v>
      </c>
      <c r="L46" s="50">
        <v>0</v>
      </c>
      <c r="M46" s="50">
        <v>3</v>
      </c>
      <c r="N46" s="50">
        <v>0</v>
      </c>
      <c r="O46" s="15">
        <f t="shared" si="0"/>
        <v>30</v>
      </c>
      <c r="P46" s="15">
        <f t="shared" si="1"/>
        <v>33</v>
      </c>
      <c r="R46" s="8"/>
      <c r="T46"/>
    </row>
    <row r="47" spans="2:20" ht="23.1" customHeight="1" x14ac:dyDescent="0.25">
      <c r="B47" s="24" t="s">
        <v>74</v>
      </c>
      <c r="C47" s="50">
        <v>10</v>
      </c>
      <c r="D47" s="50">
        <v>4</v>
      </c>
      <c r="E47" s="50">
        <v>2</v>
      </c>
      <c r="F47" s="50">
        <v>9</v>
      </c>
      <c r="G47" s="50">
        <v>0</v>
      </c>
      <c r="H47" s="50">
        <v>0</v>
      </c>
      <c r="I47" s="50">
        <v>3</v>
      </c>
      <c r="J47" s="50">
        <v>1</v>
      </c>
      <c r="K47" s="50">
        <v>1</v>
      </c>
      <c r="L47" s="50">
        <v>1</v>
      </c>
      <c r="M47" s="50">
        <v>2</v>
      </c>
      <c r="N47" s="50">
        <v>1</v>
      </c>
      <c r="O47" s="15">
        <f t="shared" si="0"/>
        <v>32</v>
      </c>
      <c r="P47" s="15">
        <f t="shared" si="1"/>
        <v>34</v>
      </c>
      <c r="R47" s="8"/>
      <c r="T47"/>
    </row>
    <row r="48" spans="2:20" ht="23.1" customHeight="1" x14ac:dyDescent="0.25">
      <c r="B48" s="24" t="s">
        <v>75</v>
      </c>
      <c r="C48" s="50">
        <v>5</v>
      </c>
      <c r="D48" s="50">
        <v>2</v>
      </c>
      <c r="E48" s="50">
        <v>4</v>
      </c>
      <c r="F48" s="50">
        <v>12</v>
      </c>
      <c r="G48" s="50">
        <v>0</v>
      </c>
      <c r="H48" s="50">
        <v>2</v>
      </c>
      <c r="I48" s="50">
        <v>1</v>
      </c>
      <c r="J48" s="50">
        <v>4</v>
      </c>
      <c r="K48" s="50">
        <v>3</v>
      </c>
      <c r="L48" s="50">
        <v>0</v>
      </c>
      <c r="M48" s="50">
        <v>20</v>
      </c>
      <c r="N48" s="50">
        <v>0</v>
      </c>
      <c r="O48" s="15">
        <f t="shared" si="0"/>
        <v>33</v>
      </c>
      <c r="P48" s="15">
        <f t="shared" si="1"/>
        <v>53</v>
      </c>
      <c r="R48" s="8"/>
      <c r="T48"/>
    </row>
    <row r="49" spans="2:20" ht="23.1" customHeight="1" x14ac:dyDescent="0.25">
      <c r="B49" s="23" t="s">
        <v>76</v>
      </c>
      <c r="C49" s="50">
        <v>6</v>
      </c>
      <c r="D49" s="50">
        <v>1</v>
      </c>
      <c r="E49" s="50">
        <v>6</v>
      </c>
      <c r="F49" s="50">
        <v>15</v>
      </c>
      <c r="G49" s="50">
        <v>0</v>
      </c>
      <c r="H49" s="50">
        <v>0</v>
      </c>
      <c r="I49" s="50">
        <v>0</v>
      </c>
      <c r="J49" s="50">
        <v>1</v>
      </c>
      <c r="K49" s="50">
        <v>3</v>
      </c>
      <c r="L49" s="50">
        <v>1</v>
      </c>
      <c r="M49" s="50">
        <v>4</v>
      </c>
      <c r="N49" s="50">
        <v>0</v>
      </c>
      <c r="O49" s="15">
        <f t="shared" si="0"/>
        <v>33</v>
      </c>
      <c r="P49" s="15">
        <f t="shared" si="1"/>
        <v>37</v>
      </c>
      <c r="R49" s="8"/>
      <c r="T49"/>
    </row>
    <row r="50" spans="2:20" ht="23.1" customHeight="1" x14ac:dyDescent="0.25">
      <c r="B50" s="24" t="s">
        <v>77</v>
      </c>
      <c r="C50" s="50">
        <v>12</v>
      </c>
      <c r="D50" s="50">
        <v>1</v>
      </c>
      <c r="E50" s="50">
        <v>6</v>
      </c>
      <c r="F50" s="50">
        <v>10</v>
      </c>
      <c r="G50" s="50">
        <v>0</v>
      </c>
      <c r="H50" s="50">
        <v>0</v>
      </c>
      <c r="I50" s="50">
        <v>2</v>
      </c>
      <c r="J50" s="50">
        <v>7</v>
      </c>
      <c r="K50" s="50">
        <v>0</v>
      </c>
      <c r="L50" s="50">
        <v>1</v>
      </c>
      <c r="M50" s="50">
        <v>4</v>
      </c>
      <c r="N50" s="50">
        <v>0</v>
      </c>
      <c r="O50" s="15">
        <f t="shared" si="0"/>
        <v>39</v>
      </c>
      <c r="P50" s="15">
        <f t="shared" si="1"/>
        <v>43</v>
      </c>
      <c r="R50" s="8"/>
      <c r="T50"/>
    </row>
    <row r="51" spans="2:20" ht="23.1" customHeight="1" x14ac:dyDescent="0.25">
      <c r="B51" s="24" t="s">
        <v>78</v>
      </c>
      <c r="C51" s="50">
        <v>14</v>
      </c>
      <c r="D51" s="50">
        <v>5</v>
      </c>
      <c r="E51" s="50">
        <v>0</v>
      </c>
      <c r="F51" s="50">
        <v>22</v>
      </c>
      <c r="G51" s="50">
        <v>2</v>
      </c>
      <c r="H51" s="50">
        <v>0</v>
      </c>
      <c r="I51" s="50">
        <v>1</v>
      </c>
      <c r="J51" s="50">
        <v>5</v>
      </c>
      <c r="K51" s="50">
        <v>0</v>
      </c>
      <c r="L51" s="50">
        <v>0</v>
      </c>
      <c r="M51" s="50">
        <v>22</v>
      </c>
      <c r="N51" s="50">
        <v>0</v>
      </c>
      <c r="O51" s="15">
        <f t="shared" si="0"/>
        <v>49</v>
      </c>
      <c r="P51" s="15">
        <f t="shared" si="1"/>
        <v>71</v>
      </c>
      <c r="R51" s="8"/>
      <c r="T51"/>
    </row>
    <row r="52" spans="2:20" ht="23.1" customHeight="1" x14ac:dyDescent="0.25">
      <c r="B52" s="24" t="s">
        <v>79</v>
      </c>
      <c r="C52" s="50">
        <v>3</v>
      </c>
      <c r="D52" s="50">
        <v>1</v>
      </c>
      <c r="E52" s="50">
        <v>2</v>
      </c>
      <c r="F52" s="50">
        <v>10</v>
      </c>
      <c r="G52" s="50">
        <v>0</v>
      </c>
      <c r="H52" s="50">
        <v>0</v>
      </c>
      <c r="I52" s="50">
        <v>1</v>
      </c>
      <c r="J52" s="50">
        <v>0</v>
      </c>
      <c r="K52" s="50">
        <v>0</v>
      </c>
      <c r="L52" s="50">
        <v>0</v>
      </c>
      <c r="M52" s="50">
        <v>10</v>
      </c>
      <c r="N52" s="50">
        <v>0</v>
      </c>
      <c r="O52" s="15">
        <f t="shared" si="0"/>
        <v>17</v>
      </c>
      <c r="P52" s="15">
        <f t="shared" si="1"/>
        <v>27</v>
      </c>
      <c r="R52" s="8"/>
      <c r="T52"/>
    </row>
    <row r="53" spans="2:20" ht="23.1" customHeight="1" x14ac:dyDescent="0.25">
      <c r="B53" s="23" t="s">
        <v>80</v>
      </c>
      <c r="C53" s="50">
        <v>16</v>
      </c>
      <c r="D53" s="50">
        <v>0</v>
      </c>
      <c r="E53" s="50">
        <v>3</v>
      </c>
      <c r="F53" s="50">
        <v>25</v>
      </c>
      <c r="G53" s="50">
        <v>0</v>
      </c>
      <c r="H53" s="50">
        <v>0</v>
      </c>
      <c r="I53" s="50">
        <v>1</v>
      </c>
      <c r="J53" s="50">
        <v>2</v>
      </c>
      <c r="K53" s="50">
        <v>0</v>
      </c>
      <c r="L53" s="50">
        <v>1</v>
      </c>
      <c r="M53" s="50">
        <v>6</v>
      </c>
      <c r="N53" s="50">
        <v>0</v>
      </c>
      <c r="O53" s="15">
        <f t="shared" si="0"/>
        <v>48</v>
      </c>
      <c r="P53" s="15">
        <f t="shared" si="1"/>
        <v>54</v>
      </c>
      <c r="R53" s="8"/>
      <c r="T53"/>
    </row>
    <row r="54" spans="2:20" ht="23.1" customHeight="1" x14ac:dyDescent="0.25">
      <c r="B54" s="23" t="s">
        <v>81</v>
      </c>
      <c r="C54" s="50">
        <v>6</v>
      </c>
      <c r="D54" s="50">
        <v>3</v>
      </c>
      <c r="E54" s="50">
        <v>3</v>
      </c>
      <c r="F54" s="50">
        <v>9</v>
      </c>
      <c r="G54" s="50">
        <v>0</v>
      </c>
      <c r="H54" s="50">
        <v>1</v>
      </c>
      <c r="I54" s="50">
        <v>2</v>
      </c>
      <c r="J54" s="50">
        <v>3</v>
      </c>
      <c r="K54" s="50">
        <v>0</v>
      </c>
      <c r="L54" s="50">
        <v>0</v>
      </c>
      <c r="M54" s="50">
        <v>8</v>
      </c>
      <c r="N54" s="50">
        <v>0</v>
      </c>
      <c r="O54" s="15">
        <f t="shared" si="0"/>
        <v>27</v>
      </c>
      <c r="P54" s="15">
        <f t="shared" si="1"/>
        <v>35</v>
      </c>
      <c r="R54" s="8"/>
      <c r="T54"/>
    </row>
    <row r="55" spans="2:20" ht="23.1" customHeight="1" x14ac:dyDescent="0.25">
      <c r="B55" s="23" t="s">
        <v>82</v>
      </c>
      <c r="C55" s="50">
        <v>7</v>
      </c>
      <c r="D55" s="50">
        <v>3</v>
      </c>
      <c r="E55" s="50">
        <v>3</v>
      </c>
      <c r="F55" s="50">
        <v>9</v>
      </c>
      <c r="G55" s="50">
        <v>1</v>
      </c>
      <c r="H55" s="50">
        <v>0</v>
      </c>
      <c r="I55" s="50">
        <v>3</v>
      </c>
      <c r="J55" s="50">
        <v>2</v>
      </c>
      <c r="K55" s="50">
        <v>1</v>
      </c>
      <c r="L55" s="50">
        <v>0</v>
      </c>
      <c r="M55" s="50">
        <v>9</v>
      </c>
      <c r="N55" s="50">
        <v>0</v>
      </c>
      <c r="O55" s="15">
        <f t="shared" si="0"/>
        <v>29</v>
      </c>
      <c r="P55" s="15">
        <f t="shared" si="1"/>
        <v>38</v>
      </c>
      <c r="R55" s="8"/>
      <c r="T55"/>
    </row>
    <row r="56" spans="2:20" ht="23.1" customHeight="1" x14ac:dyDescent="0.25">
      <c r="B56" s="23" t="s">
        <v>83</v>
      </c>
      <c r="C56" s="50">
        <v>6</v>
      </c>
      <c r="D56" s="50">
        <v>0</v>
      </c>
      <c r="E56" s="50">
        <v>4</v>
      </c>
      <c r="F56" s="50">
        <v>11</v>
      </c>
      <c r="G56" s="50">
        <v>0</v>
      </c>
      <c r="H56" s="50">
        <v>2</v>
      </c>
      <c r="I56" s="50">
        <v>1</v>
      </c>
      <c r="J56" s="50">
        <v>0</v>
      </c>
      <c r="K56" s="50">
        <v>3</v>
      </c>
      <c r="L56" s="50">
        <v>0</v>
      </c>
      <c r="M56" s="50">
        <v>10</v>
      </c>
      <c r="N56" s="50">
        <v>0</v>
      </c>
      <c r="O56" s="15">
        <f t="shared" si="0"/>
        <v>27</v>
      </c>
      <c r="P56" s="15">
        <f t="shared" si="1"/>
        <v>37</v>
      </c>
      <c r="R56" s="8"/>
      <c r="T56"/>
    </row>
    <row r="57" spans="2:20" ht="23.1" customHeight="1" x14ac:dyDescent="0.25">
      <c r="B57" s="23" t="s">
        <v>84</v>
      </c>
      <c r="C57" s="50">
        <v>6</v>
      </c>
      <c r="D57" s="50">
        <v>1</v>
      </c>
      <c r="E57" s="50">
        <v>2</v>
      </c>
      <c r="F57" s="50">
        <v>24</v>
      </c>
      <c r="G57" s="50">
        <v>1</v>
      </c>
      <c r="H57" s="50">
        <v>0</v>
      </c>
      <c r="I57" s="50">
        <v>1</v>
      </c>
      <c r="J57" s="50">
        <v>0</v>
      </c>
      <c r="K57" s="50">
        <v>0</v>
      </c>
      <c r="L57" s="50">
        <v>0</v>
      </c>
      <c r="M57" s="50">
        <v>14</v>
      </c>
      <c r="N57" s="50">
        <v>0</v>
      </c>
      <c r="O57" s="15">
        <f t="shared" si="0"/>
        <v>35</v>
      </c>
      <c r="P57" s="15">
        <f t="shared" si="1"/>
        <v>49</v>
      </c>
      <c r="R57" s="8"/>
      <c r="T57"/>
    </row>
    <row r="58" spans="2:20" ht="23.1" customHeight="1" x14ac:dyDescent="0.25">
      <c r="B58" s="26" t="s">
        <v>173</v>
      </c>
      <c r="C58" s="16">
        <f t="shared" ref="C58:P58" si="21">SUM(C10:C57)</f>
        <v>265</v>
      </c>
      <c r="D58" s="16">
        <f t="shared" si="21"/>
        <v>93</v>
      </c>
      <c r="E58" s="16">
        <f t="shared" si="21"/>
        <v>108</v>
      </c>
      <c r="F58" s="16">
        <f t="shared" si="21"/>
        <v>468</v>
      </c>
      <c r="G58" s="16">
        <f t="shared" si="21"/>
        <v>13</v>
      </c>
      <c r="H58" s="16">
        <f t="shared" si="21"/>
        <v>17</v>
      </c>
      <c r="I58" s="16">
        <f t="shared" si="21"/>
        <v>45</v>
      </c>
      <c r="J58" s="16">
        <f t="shared" si="21"/>
        <v>53</v>
      </c>
      <c r="K58" s="16">
        <f t="shared" si="21"/>
        <v>32</v>
      </c>
      <c r="L58" s="16">
        <f t="shared" si="21"/>
        <v>13</v>
      </c>
      <c r="M58" s="16">
        <f t="shared" si="21"/>
        <v>427</v>
      </c>
      <c r="N58" s="16">
        <f t="shared" si="21"/>
        <v>3</v>
      </c>
      <c r="O58" s="16">
        <f t="shared" si="21"/>
        <v>1110</v>
      </c>
      <c r="P58" s="16">
        <f t="shared" si="21"/>
        <v>1537</v>
      </c>
      <c r="R58" s="8"/>
      <c r="T58"/>
    </row>
    <row r="59" spans="2:20" ht="23.1" customHeight="1" x14ac:dyDescent="0.25">
      <c r="B59" s="26" t="s">
        <v>93</v>
      </c>
      <c r="C59" s="43">
        <f t="shared" ref="C59:N59" si="22">C58/$P$58</f>
        <v>0.17241379310344829</v>
      </c>
      <c r="D59" s="43">
        <f t="shared" si="22"/>
        <v>6.0507482108002601E-2</v>
      </c>
      <c r="E59" s="43">
        <f t="shared" si="22"/>
        <v>7.0266753415744954E-2</v>
      </c>
      <c r="F59" s="43">
        <f t="shared" si="22"/>
        <v>0.30448926480156147</v>
      </c>
      <c r="G59" s="43">
        <f t="shared" si="22"/>
        <v>8.4580351333767081E-3</v>
      </c>
      <c r="H59" s="43">
        <f t="shared" si="22"/>
        <v>1.1060507482108002E-2</v>
      </c>
      <c r="I59" s="43">
        <f t="shared" si="22"/>
        <v>2.9277813923227064E-2</v>
      </c>
      <c r="J59" s="43">
        <f t="shared" si="22"/>
        <v>3.4482758620689655E-2</v>
      </c>
      <c r="K59" s="43">
        <f t="shared" si="22"/>
        <v>2.0819778789850359E-2</v>
      </c>
      <c r="L59" s="43">
        <f t="shared" si="22"/>
        <v>8.4580351333767081E-3</v>
      </c>
      <c r="M59" s="43">
        <f t="shared" si="22"/>
        <v>0.27781392322706572</v>
      </c>
      <c r="N59" s="43">
        <f t="shared" si="22"/>
        <v>1.9518542615484711E-3</v>
      </c>
      <c r="R59" s="8"/>
      <c r="T59"/>
    </row>
    <row r="60" spans="2:20" ht="23.1" customHeight="1" x14ac:dyDescent="0.25">
      <c r="B60" s="42" t="s">
        <v>94</v>
      </c>
      <c r="C60" s="44">
        <f>C58/$O$58</f>
        <v>0.23873873873873874</v>
      </c>
      <c r="D60" s="44">
        <f t="shared" ref="D60:N60" si="23">D58/$O$58</f>
        <v>8.3783783783783788E-2</v>
      </c>
      <c r="E60" s="44">
        <f t="shared" si="23"/>
        <v>9.7297297297297303E-2</v>
      </c>
      <c r="F60" s="44">
        <f t="shared" si="23"/>
        <v>0.42162162162162165</v>
      </c>
      <c r="G60" s="44">
        <f t="shared" si="23"/>
        <v>1.1711711711711712E-2</v>
      </c>
      <c r="H60" s="44">
        <f t="shared" si="23"/>
        <v>1.5315315315315315E-2</v>
      </c>
      <c r="I60" s="44">
        <f t="shared" si="23"/>
        <v>4.0540540540540543E-2</v>
      </c>
      <c r="J60" s="44">
        <f t="shared" si="23"/>
        <v>4.7747747747747746E-2</v>
      </c>
      <c r="K60" s="44">
        <f t="shared" si="23"/>
        <v>2.8828828828828829E-2</v>
      </c>
      <c r="L60" s="44">
        <f t="shared" si="23"/>
        <v>1.1711711711711712E-2</v>
      </c>
      <c r="M60" s="44"/>
      <c r="N60" s="44">
        <f t="shared" si="23"/>
        <v>2.7027027027027029E-3</v>
      </c>
      <c r="Q60" s="7"/>
      <c r="R60" s="8"/>
      <c r="T60"/>
    </row>
    <row r="61" spans="2:20" ht="20.100000000000001" customHeight="1" x14ac:dyDescent="0.25">
      <c r="B61" s="3"/>
      <c r="C61" s="18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Q61" s="7"/>
      <c r="R61" s="8"/>
      <c r="T61"/>
    </row>
    <row r="62" spans="2:20" ht="20.100000000000001" customHeight="1" x14ac:dyDescent="0.25">
      <c r="B62" s="3"/>
      <c r="C62" s="18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Q62" s="7"/>
      <c r="R62" s="8"/>
      <c r="T62"/>
    </row>
    <row r="63" spans="2:20" ht="20.100000000000001" customHeight="1" x14ac:dyDescent="0.25">
      <c r="B63" s="3"/>
      <c r="C63" s="18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Q63" s="7"/>
    </row>
    <row r="64" spans="2:20" ht="20.100000000000001" customHeight="1" x14ac:dyDescent="0.25">
      <c r="B64" s="3"/>
      <c r="C64" s="18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Q64" s="7"/>
    </row>
    <row r="65" spans="2:20" s="7" customFormat="1" ht="20.100000000000001" customHeight="1" x14ac:dyDescent="0.25"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/>
      <c r="P65"/>
      <c r="S65" s="8"/>
      <c r="T65" s="8"/>
    </row>
    <row r="66" spans="2:20" s="7" customFormat="1" ht="20.100000000000001" customHeight="1" x14ac:dyDescent="0.25"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/>
      <c r="P66"/>
      <c r="S66" s="8"/>
      <c r="T66" s="8"/>
    </row>
    <row r="67" spans="2:20" s="7" customFormat="1" ht="20.100000000000001" customHeight="1" x14ac:dyDescent="0.25"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/>
      <c r="P67"/>
      <c r="S67" s="8"/>
      <c r="T67" s="8"/>
    </row>
    <row r="68" spans="2:20" s="7" customFormat="1" ht="20.100000000000001" customHeight="1" x14ac:dyDescent="0.25"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/>
      <c r="P68"/>
      <c r="S68" s="8"/>
      <c r="T68" s="8"/>
    </row>
    <row r="69" spans="2:20" s="7" customFormat="1" ht="20.100000000000001" customHeight="1" x14ac:dyDescent="0.25"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/>
      <c r="P69"/>
      <c r="S69" s="8"/>
      <c r="T69" s="8"/>
    </row>
    <row r="70" spans="2:20" s="7" customFormat="1" ht="20.100000000000001" customHeight="1" x14ac:dyDescent="0.25"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/>
      <c r="P70"/>
      <c r="S70" s="8"/>
      <c r="T70" s="8"/>
    </row>
    <row r="71" spans="2:20" s="7" customFormat="1" ht="20.100000000000001" customHeight="1" x14ac:dyDescent="0.25"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/>
      <c r="P71"/>
      <c r="S71" s="8"/>
      <c r="T71" s="8"/>
    </row>
    <row r="72" spans="2:20" s="7" customFormat="1" ht="20.100000000000001" customHeight="1" x14ac:dyDescent="0.25"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/>
      <c r="P72"/>
      <c r="S72" s="8"/>
      <c r="T72" s="8"/>
    </row>
    <row r="73" spans="2:20" s="7" customFormat="1" ht="20.100000000000001" customHeight="1" x14ac:dyDescent="0.25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/>
      <c r="P73"/>
      <c r="S73" s="8"/>
      <c r="T73" s="8"/>
    </row>
    <row r="74" spans="2:20" s="7" customFormat="1" ht="20.100000000000001" customHeight="1" x14ac:dyDescent="0.25"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/>
      <c r="P74"/>
      <c r="S74" s="8"/>
      <c r="T74" s="8"/>
    </row>
    <row r="75" spans="2:20" s="7" customFormat="1" ht="20.100000000000001" customHeight="1" x14ac:dyDescent="0.25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/>
      <c r="P75"/>
      <c r="S75" s="8"/>
      <c r="T75" s="8"/>
    </row>
    <row r="76" spans="2:20" s="7" customFormat="1" ht="20.100000000000001" customHeight="1" x14ac:dyDescent="0.25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/>
      <c r="P76"/>
      <c r="S76" s="8"/>
      <c r="T76" s="8"/>
    </row>
    <row r="77" spans="2:20" s="7" customFormat="1" ht="20.100000000000001" customHeight="1" x14ac:dyDescent="0.25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/>
      <c r="P77"/>
      <c r="Q77"/>
      <c r="S77" s="8"/>
      <c r="T77" s="8"/>
    </row>
    <row r="78" spans="2:20" s="7" customFormat="1" ht="20.100000000000001" customHeight="1" x14ac:dyDescent="0.25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2:20" s="7" customFormat="1" ht="20.100000000000001" customHeight="1" x14ac:dyDescent="0.25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2:20" s="7" customFormat="1" ht="20.100000000000001" customHeight="1" x14ac:dyDescent="0.25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AF126"/>
  <sheetViews>
    <sheetView view="pageBreakPreview" zoomScale="80" zoomScaleSheetLayoutView="80" workbookViewId="0">
      <selection activeCell="C3" sqref="C3:G3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60" t="s">
        <v>23</v>
      </c>
      <c r="C1" s="60"/>
      <c r="D1" s="60"/>
      <c r="E1" s="60"/>
      <c r="F1" s="60"/>
      <c r="G1" s="60"/>
      <c r="H1" s="60"/>
      <c r="I1" s="60"/>
      <c r="J1" s="60"/>
      <c r="K1" s="60"/>
      <c r="L1" s="60"/>
      <c r="M1" s="60"/>
      <c r="N1" s="60"/>
      <c r="O1" s="60"/>
      <c r="P1" s="60"/>
      <c r="Q1" s="60"/>
      <c r="R1" s="60"/>
      <c r="S1" s="60"/>
      <c r="T1" s="60"/>
      <c r="U1" s="60"/>
      <c r="V1" s="60"/>
      <c r="W1" s="60"/>
      <c r="X1" s="60"/>
      <c r="Y1" s="60"/>
      <c r="Z1" s="60"/>
      <c r="AA1" s="60"/>
      <c r="AB1" s="60"/>
      <c r="AC1" s="60"/>
      <c r="AD1" s="60"/>
      <c r="AE1" s="60"/>
    </row>
    <row r="2" spans="2:32" ht="20.100000000000001" customHeight="1" x14ac:dyDescent="0.25">
      <c r="B2" s="61" t="s">
        <v>95</v>
      </c>
      <c r="C2" s="61"/>
      <c r="D2" s="61"/>
      <c r="E2" s="61"/>
      <c r="F2" s="61"/>
      <c r="G2" s="61"/>
      <c r="H2" s="61"/>
      <c r="I2" s="61"/>
      <c r="J2" s="61"/>
      <c r="K2" s="61"/>
      <c r="L2" s="61"/>
      <c r="M2" s="61"/>
      <c r="N2" s="61"/>
      <c r="O2" s="61"/>
      <c r="P2" s="61"/>
      <c r="Q2" s="61"/>
      <c r="R2" s="61"/>
      <c r="S2" s="61"/>
      <c r="T2" s="61"/>
      <c r="U2" s="61"/>
      <c r="V2" s="61"/>
      <c r="W2" s="61"/>
      <c r="X2" s="61"/>
      <c r="Y2" s="61"/>
      <c r="Z2" s="61"/>
      <c r="AA2" s="61"/>
      <c r="AB2" s="61"/>
      <c r="AC2" s="61"/>
      <c r="AD2" s="61"/>
      <c r="AE2" s="61"/>
    </row>
    <row r="3" spans="2:32" ht="20.100000000000001" customHeight="1" x14ac:dyDescent="0.25">
      <c r="B3" s="22" t="s">
        <v>96</v>
      </c>
      <c r="C3" s="62" t="str">
        <f>'17.10 Butongole-Busembatya'!C3:G3</f>
        <v>BUTONGOLE-BUSEMBATYA</v>
      </c>
      <c r="D3" s="62"/>
      <c r="E3" s="62"/>
      <c r="F3" s="62"/>
      <c r="G3" s="62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51" t="str">
        <f>'20.10 Busembatya-Butongole'!D5</f>
        <v>20.10.2019</v>
      </c>
      <c r="E5" s="3"/>
      <c r="F5" s="41" t="s">
        <v>1</v>
      </c>
      <c r="G5" s="57" t="str">
        <f>'17.10 Busembatya-Butongole'!G5:H5</f>
        <v>NAMALEMBA</v>
      </c>
      <c r="H5" s="58"/>
      <c r="I5" s="14"/>
      <c r="J5" s="2" t="s">
        <v>5</v>
      </c>
      <c r="K5" s="57" t="s">
        <v>176</v>
      </c>
      <c r="L5" s="58"/>
      <c r="M5" s="10"/>
      <c r="N5" s="10"/>
      <c r="O5" s="3"/>
      <c r="P5" s="3"/>
    </row>
    <row r="6" spans="2:32" ht="23.25" customHeight="1" x14ac:dyDescent="0.25">
      <c r="C6" s="2" t="s">
        <v>4</v>
      </c>
      <c r="D6" s="57" t="s">
        <v>170</v>
      </c>
      <c r="E6" s="58"/>
      <c r="F6" s="2" t="s">
        <v>2</v>
      </c>
      <c r="G6" s="57" t="s">
        <v>171</v>
      </c>
      <c r="H6" s="58"/>
      <c r="J6" s="2" t="s">
        <v>21</v>
      </c>
      <c r="K6" s="57" t="s">
        <v>180</v>
      </c>
      <c r="L6" s="58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9" t="s">
        <v>88</v>
      </c>
      <c r="S8" s="59"/>
      <c r="T8" s="59"/>
      <c r="U8" s="59"/>
      <c r="V8" s="59"/>
      <c r="W8" s="59"/>
      <c r="X8" s="59"/>
      <c r="Y8" s="59"/>
      <c r="Z8" s="59"/>
      <c r="AA8" s="59"/>
      <c r="AB8" s="59"/>
      <c r="AC8" s="59"/>
      <c r="AD8" s="59"/>
      <c r="AE8" s="59"/>
      <c r="AF8" s="59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50">
        <v>2</v>
      </c>
      <c r="D10" s="50">
        <v>2</v>
      </c>
      <c r="E10" s="50">
        <v>0</v>
      </c>
      <c r="F10" s="50">
        <v>1</v>
      </c>
      <c r="G10" s="50">
        <v>0</v>
      </c>
      <c r="H10" s="50">
        <v>0</v>
      </c>
      <c r="I10" s="50">
        <v>1</v>
      </c>
      <c r="J10" s="50">
        <v>1</v>
      </c>
      <c r="K10" s="50">
        <v>0</v>
      </c>
      <c r="L10" s="50">
        <v>0</v>
      </c>
      <c r="M10" s="50">
        <v>6</v>
      </c>
      <c r="N10" s="50">
        <v>0</v>
      </c>
      <c r="O10" s="15">
        <f t="shared" ref="O10:O57" si="0">SUM(C10:L10,N10)</f>
        <v>7</v>
      </c>
      <c r="P10" s="15">
        <f t="shared" ref="P10:P57" si="1">SUM(C10:N10)</f>
        <v>13</v>
      </c>
      <c r="R10" s="1" t="s">
        <v>6</v>
      </c>
      <c r="S10" s="17">
        <f t="shared" ref="S10:AF10" si="2">SUM(C10:C13)</f>
        <v>12</v>
      </c>
      <c r="T10" s="17">
        <f t="shared" si="2"/>
        <v>7</v>
      </c>
      <c r="U10" s="17">
        <f t="shared" si="2"/>
        <v>1</v>
      </c>
      <c r="V10" s="17">
        <f t="shared" si="2"/>
        <v>13</v>
      </c>
      <c r="W10" s="17">
        <f t="shared" si="2"/>
        <v>0</v>
      </c>
      <c r="X10" s="17">
        <f t="shared" si="2"/>
        <v>2</v>
      </c>
      <c r="Y10" s="17">
        <f t="shared" si="2"/>
        <v>3</v>
      </c>
      <c r="Z10" s="17">
        <f t="shared" si="2"/>
        <v>4</v>
      </c>
      <c r="AA10" s="17">
        <f t="shared" si="2"/>
        <v>3</v>
      </c>
      <c r="AB10" s="17">
        <f t="shared" si="2"/>
        <v>0</v>
      </c>
      <c r="AC10" s="17">
        <f t="shared" si="2"/>
        <v>33</v>
      </c>
      <c r="AD10" s="17">
        <f t="shared" si="2"/>
        <v>0</v>
      </c>
      <c r="AE10" s="31">
        <f t="shared" si="2"/>
        <v>45</v>
      </c>
      <c r="AF10" s="31">
        <f t="shared" si="2"/>
        <v>78</v>
      </c>
    </row>
    <row r="11" spans="2:32" s="6" customFormat="1" ht="23.1" customHeight="1" x14ac:dyDescent="0.25">
      <c r="B11" s="23" t="s">
        <v>38</v>
      </c>
      <c r="C11" s="50">
        <v>2</v>
      </c>
      <c r="D11" s="50">
        <v>2</v>
      </c>
      <c r="E11" s="50">
        <v>0</v>
      </c>
      <c r="F11" s="50">
        <v>4</v>
      </c>
      <c r="G11" s="50">
        <v>0</v>
      </c>
      <c r="H11" s="50">
        <v>0</v>
      </c>
      <c r="I11" s="50">
        <v>1</v>
      </c>
      <c r="J11" s="50">
        <v>0</v>
      </c>
      <c r="K11" s="50">
        <v>1</v>
      </c>
      <c r="L11" s="50">
        <v>0</v>
      </c>
      <c r="M11" s="50">
        <v>7</v>
      </c>
      <c r="N11" s="50">
        <v>0</v>
      </c>
      <c r="O11" s="15">
        <f t="shared" si="0"/>
        <v>10</v>
      </c>
      <c r="P11" s="15">
        <f t="shared" si="1"/>
        <v>17</v>
      </c>
      <c r="R11" s="1" t="s">
        <v>7</v>
      </c>
      <c r="S11" s="17">
        <f t="shared" ref="S11:AF11" si="3">SUM(C14:C17)</f>
        <v>8</v>
      </c>
      <c r="T11" s="17">
        <f t="shared" si="3"/>
        <v>4</v>
      </c>
      <c r="U11" s="17">
        <f t="shared" si="3"/>
        <v>8</v>
      </c>
      <c r="V11" s="17">
        <f t="shared" si="3"/>
        <v>21</v>
      </c>
      <c r="W11" s="17">
        <f t="shared" si="3"/>
        <v>0</v>
      </c>
      <c r="X11" s="17">
        <f t="shared" si="3"/>
        <v>0</v>
      </c>
      <c r="Y11" s="17">
        <f t="shared" si="3"/>
        <v>3</v>
      </c>
      <c r="Z11" s="17">
        <f t="shared" si="3"/>
        <v>2</v>
      </c>
      <c r="AA11" s="17">
        <f t="shared" si="3"/>
        <v>3</v>
      </c>
      <c r="AB11" s="17">
        <f t="shared" si="3"/>
        <v>0</v>
      </c>
      <c r="AC11" s="17">
        <f t="shared" si="3"/>
        <v>45</v>
      </c>
      <c r="AD11" s="17">
        <f t="shared" si="3"/>
        <v>0</v>
      </c>
      <c r="AE11" s="31">
        <f t="shared" si="3"/>
        <v>49</v>
      </c>
      <c r="AF11" s="31">
        <f t="shared" si="3"/>
        <v>94</v>
      </c>
    </row>
    <row r="12" spans="2:32" ht="23.1" customHeight="1" x14ac:dyDescent="0.25">
      <c r="B12" s="23" t="s">
        <v>39</v>
      </c>
      <c r="C12" s="50">
        <v>4</v>
      </c>
      <c r="D12" s="50">
        <v>0</v>
      </c>
      <c r="E12" s="50">
        <v>1</v>
      </c>
      <c r="F12" s="50">
        <v>4</v>
      </c>
      <c r="G12" s="50">
        <v>0</v>
      </c>
      <c r="H12" s="50">
        <v>0</v>
      </c>
      <c r="I12" s="50">
        <v>0</v>
      </c>
      <c r="J12" s="50">
        <v>2</v>
      </c>
      <c r="K12" s="50">
        <v>1</v>
      </c>
      <c r="L12" s="50">
        <v>0</v>
      </c>
      <c r="M12" s="50">
        <v>6</v>
      </c>
      <c r="N12" s="50">
        <v>0</v>
      </c>
      <c r="O12" s="15">
        <f t="shared" si="0"/>
        <v>12</v>
      </c>
      <c r="P12" s="15">
        <f t="shared" si="1"/>
        <v>18</v>
      </c>
      <c r="R12" s="1" t="s">
        <v>8</v>
      </c>
      <c r="S12" s="17">
        <f t="shared" ref="S12:AF12" si="4">SUM(C18:C21)</f>
        <v>12</v>
      </c>
      <c r="T12" s="17">
        <f t="shared" si="4"/>
        <v>2</v>
      </c>
      <c r="U12" s="17">
        <f t="shared" si="4"/>
        <v>0</v>
      </c>
      <c r="V12" s="17">
        <f t="shared" si="4"/>
        <v>32</v>
      </c>
      <c r="W12" s="17">
        <f t="shared" si="4"/>
        <v>0</v>
      </c>
      <c r="X12" s="17">
        <f t="shared" si="4"/>
        <v>1</v>
      </c>
      <c r="Y12" s="17">
        <f t="shared" si="4"/>
        <v>3</v>
      </c>
      <c r="Z12" s="17">
        <f t="shared" si="4"/>
        <v>9</v>
      </c>
      <c r="AA12" s="17">
        <f t="shared" si="4"/>
        <v>2</v>
      </c>
      <c r="AB12" s="17">
        <f t="shared" si="4"/>
        <v>0</v>
      </c>
      <c r="AC12" s="17">
        <f t="shared" si="4"/>
        <v>56</v>
      </c>
      <c r="AD12" s="17">
        <f t="shared" si="4"/>
        <v>0</v>
      </c>
      <c r="AE12" s="31">
        <f t="shared" si="4"/>
        <v>61</v>
      </c>
      <c r="AF12" s="31">
        <f t="shared" si="4"/>
        <v>117</v>
      </c>
    </row>
    <row r="13" spans="2:32" ht="23.1" customHeight="1" x14ac:dyDescent="0.25">
      <c r="B13" s="23" t="s">
        <v>40</v>
      </c>
      <c r="C13" s="50">
        <v>4</v>
      </c>
      <c r="D13" s="50">
        <v>3</v>
      </c>
      <c r="E13" s="50">
        <v>0</v>
      </c>
      <c r="F13" s="50">
        <v>4</v>
      </c>
      <c r="G13" s="50">
        <v>0</v>
      </c>
      <c r="H13" s="50">
        <v>2</v>
      </c>
      <c r="I13" s="50">
        <v>1</v>
      </c>
      <c r="J13" s="50">
        <v>1</v>
      </c>
      <c r="K13" s="50">
        <v>1</v>
      </c>
      <c r="L13" s="50">
        <v>0</v>
      </c>
      <c r="M13" s="50">
        <v>14</v>
      </c>
      <c r="N13" s="50">
        <v>0</v>
      </c>
      <c r="O13" s="15">
        <f t="shared" si="0"/>
        <v>16</v>
      </c>
      <c r="P13" s="15">
        <f t="shared" si="1"/>
        <v>30</v>
      </c>
      <c r="R13" s="1" t="s">
        <v>9</v>
      </c>
      <c r="S13" s="17">
        <f t="shared" ref="S13:AF13" si="5">SUM(C22:C25)</f>
        <v>20</v>
      </c>
      <c r="T13" s="17">
        <f t="shared" si="5"/>
        <v>10</v>
      </c>
      <c r="U13" s="17">
        <f t="shared" si="5"/>
        <v>4</v>
      </c>
      <c r="V13" s="17">
        <f t="shared" si="5"/>
        <v>44</v>
      </c>
      <c r="W13" s="17">
        <f t="shared" si="5"/>
        <v>1</v>
      </c>
      <c r="X13" s="17">
        <f t="shared" si="5"/>
        <v>0</v>
      </c>
      <c r="Y13" s="17">
        <f t="shared" si="5"/>
        <v>4</v>
      </c>
      <c r="Z13" s="17">
        <f t="shared" si="5"/>
        <v>4</v>
      </c>
      <c r="AA13" s="17">
        <f t="shared" si="5"/>
        <v>4</v>
      </c>
      <c r="AB13" s="17">
        <f t="shared" si="5"/>
        <v>0</v>
      </c>
      <c r="AC13" s="17">
        <f t="shared" si="5"/>
        <v>45</v>
      </c>
      <c r="AD13" s="17">
        <f t="shared" si="5"/>
        <v>0</v>
      </c>
      <c r="AE13" s="31">
        <f t="shared" si="5"/>
        <v>91</v>
      </c>
      <c r="AF13" s="31">
        <f t="shared" si="5"/>
        <v>136</v>
      </c>
    </row>
    <row r="14" spans="2:32" ht="23.1" customHeight="1" x14ac:dyDescent="0.25">
      <c r="B14" s="23" t="s">
        <v>41</v>
      </c>
      <c r="C14" s="50">
        <v>2</v>
      </c>
      <c r="D14" s="50">
        <v>2</v>
      </c>
      <c r="E14" s="50">
        <v>1</v>
      </c>
      <c r="F14" s="50">
        <v>1</v>
      </c>
      <c r="G14" s="50">
        <v>0</v>
      </c>
      <c r="H14" s="50">
        <v>0</v>
      </c>
      <c r="I14" s="50">
        <v>2</v>
      </c>
      <c r="J14" s="50">
        <v>1</v>
      </c>
      <c r="K14" s="50">
        <v>0</v>
      </c>
      <c r="L14" s="50">
        <v>0</v>
      </c>
      <c r="M14" s="50">
        <v>12</v>
      </c>
      <c r="N14" s="50">
        <v>0</v>
      </c>
      <c r="O14" s="15">
        <f t="shared" si="0"/>
        <v>9</v>
      </c>
      <c r="P14" s="15">
        <f t="shared" si="1"/>
        <v>21</v>
      </c>
      <c r="R14" s="1" t="s">
        <v>10</v>
      </c>
      <c r="S14" s="17">
        <f t="shared" ref="S14:AF14" si="6">SUM(C26:C29)</f>
        <v>25</v>
      </c>
      <c r="T14" s="17">
        <f t="shared" si="6"/>
        <v>8</v>
      </c>
      <c r="U14" s="17">
        <f t="shared" si="6"/>
        <v>7</v>
      </c>
      <c r="V14" s="17">
        <f t="shared" si="6"/>
        <v>42</v>
      </c>
      <c r="W14" s="17">
        <f t="shared" si="6"/>
        <v>1</v>
      </c>
      <c r="X14" s="17">
        <f t="shared" si="6"/>
        <v>2</v>
      </c>
      <c r="Y14" s="17">
        <f t="shared" si="6"/>
        <v>3</v>
      </c>
      <c r="Z14" s="17">
        <f t="shared" si="6"/>
        <v>3</v>
      </c>
      <c r="AA14" s="17">
        <f t="shared" si="6"/>
        <v>5</v>
      </c>
      <c r="AB14" s="17">
        <f t="shared" si="6"/>
        <v>0</v>
      </c>
      <c r="AC14" s="17">
        <f t="shared" si="6"/>
        <v>50</v>
      </c>
      <c r="AD14" s="17">
        <f t="shared" si="6"/>
        <v>0</v>
      </c>
      <c r="AE14" s="31">
        <f t="shared" si="6"/>
        <v>96</v>
      </c>
      <c r="AF14" s="31">
        <f t="shared" si="6"/>
        <v>146</v>
      </c>
    </row>
    <row r="15" spans="2:32" ht="23.1" customHeight="1" x14ac:dyDescent="0.25">
      <c r="B15" s="23" t="s">
        <v>42</v>
      </c>
      <c r="C15" s="50">
        <v>1</v>
      </c>
      <c r="D15" s="50">
        <v>2</v>
      </c>
      <c r="E15" s="50">
        <v>2</v>
      </c>
      <c r="F15" s="50">
        <v>7</v>
      </c>
      <c r="G15" s="50">
        <v>0</v>
      </c>
      <c r="H15" s="50">
        <v>0</v>
      </c>
      <c r="I15" s="50">
        <v>0</v>
      </c>
      <c r="J15" s="50">
        <v>0</v>
      </c>
      <c r="K15" s="50">
        <v>1</v>
      </c>
      <c r="L15" s="50">
        <v>0</v>
      </c>
      <c r="M15" s="50">
        <v>10</v>
      </c>
      <c r="N15" s="50">
        <v>0</v>
      </c>
      <c r="O15" s="15">
        <f t="shared" si="0"/>
        <v>13</v>
      </c>
      <c r="P15" s="15">
        <f t="shared" si="1"/>
        <v>23</v>
      </c>
      <c r="R15" s="1" t="s">
        <v>11</v>
      </c>
      <c r="S15" s="17">
        <f t="shared" ref="S15:AF15" si="7">SUM(C30:C33)</f>
        <v>27</v>
      </c>
      <c r="T15" s="17">
        <f t="shared" si="7"/>
        <v>10</v>
      </c>
      <c r="U15" s="17">
        <f t="shared" si="7"/>
        <v>7</v>
      </c>
      <c r="V15" s="17">
        <f t="shared" si="7"/>
        <v>54</v>
      </c>
      <c r="W15" s="17">
        <f t="shared" si="7"/>
        <v>2</v>
      </c>
      <c r="X15" s="17">
        <f t="shared" si="7"/>
        <v>2</v>
      </c>
      <c r="Y15" s="17">
        <f t="shared" si="7"/>
        <v>1</v>
      </c>
      <c r="Z15" s="17">
        <f t="shared" si="7"/>
        <v>2</v>
      </c>
      <c r="AA15" s="17">
        <f t="shared" si="7"/>
        <v>2</v>
      </c>
      <c r="AB15" s="17">
        <f t="shared" si="7"/>
        <v>0</v>
      </c>
      <c r="AC15" s="17">
        <f t="shared" si="7"/>
        <v>68</v>
      </c>
      <c r="AD15" s="17">
        <f t="shared" si="7"/>
        <v>0</v>
      </c>
      <c r="AE15" s="31">
        <f t="shared" si="7"/>
        <v>107</v>
      </c>
      <c r="AF15" s="31">
        <f t="shared" si="7"/>
        <v>175</v>
      </c>
    </row>
    <row r="16" spans="2:32" ht="23.1" customHeight="1" x14ac:dyDescent="0.25">
      <c r="B16" s="23" t="s">
        <v>43</v>
      </c>
      <c r="C16" s="50">
        <v>4</v>
      </c>
      <c r="D16" s="50">
        <v>0</v>
      </c>
      <c r="E16" s="50">
        <v>3</v>
      </c>
      <c r="F16" s="50">
        <v>7</v>
      </c>
      <c r="G16" s="50">
        <v>0</v>
      </c>
      <c r="H16" s="50">
        <v>0</v>
      </c>
      <c r="I16" s="50">
        <v>1</v>
      </c>
      <c r="J16" s="50">
        <v>1</v>
      </c>
      <c r="K16" s="50">
        <v>2</v>
      </c>
      <c r="L16" s="50">
        <v>0</v>
      </c>
      <c r="M16" s="50">
        <v>13</v>
      </c>
      <c r="N16" s="50">
        <v>0</v>
      </c>
      <c r="O16" s="15">
        <f t="shared" si="0"/>
        <v>18</v>
      </c>
      <c r="P16" s="15">
        <f t="shared" si="1"/>
        <v>31</v>
      </c>
      <c r="R16" s="1" t="s">
        <v>12</v>
      </c>
      <c r="S16" s="17">
        <f t="shared" ref="S16:AF16" si="8">SUM(C34:C37)</f>
        <v>14</v>
      </c>
      <c r="T16" s="17">
        <f t="shared" si="8"/>
        <v>3</v>
      </c>
      <c r="U16" s="17">
        <f t="shared" si="8"/>
        <v>12</v>
      </c>
      <c r="V16" s="17">
        <f t="shared" si="8"/>
        <v>41</v>
      </c>
      <c r="W16" s="17">
        <f t="shared" si="8"/>
        <v>1</v>
      </c>
      <c r="X16" s="17">
        <f t="shared" si="8"/>
        <v>1</v>
      </c>
      <c r="Y16" s="17">
        <f t="shared" si="8"/>
        <v>5</v>
      </c>
      <c r="Z16" s="17">
        <f t="shared" si="8"/>
        <v>5</v>
      </c>
      <c r="AA16" s="17">
        <f t="shared" si="8"/>
        <v>1</v>
      </c>
      <c r="AB16" s="17">
        <f t="shared" si="8"/>
        <v>0</v>
      </c>
      <c r="AC16" s="17">
        <f t="shared" si="8"/>
        <v>72</v>
      </c>
      <c r="AD16" s="17">
        <f t="shared" si="8"/>
        <v>0</v>
      </c>
      <c r="AE16" s="31">
        <f t="shared" si="8"/>
        <v>83</v>
      </c>
      <c r="AF16" s="31">
        <f t="shared" si="8"/>
        <v>155</v>
      </c>
    </row>
    <row r="17" spans="2:32" ht="23.1" customHeight="1" x14ac:dyDescent="0.25">
      <c r="B17" s="23" t="s">
        <v>44</v>
      </c>
      <c r="C17" s="50">
        <v>1</v>
      </c>
      <c r="D17" s="50">
        <v>0</v>
      </c>
      <c r="E17" s="50">
        <v>2</v>
      </c>
      <c r="F17" s="50">
        <v>6</v>
      </c>
      <c r="G17" s="50">
        <v>0</v>
      </c>
      <c r="H17" s="50">
        <v>0</v>
      </c>
      <c r="I17" s="50">
        <v>0</v>
      </c>
      <c r="J17" s="50">
        <v>0</v>
      </c>
      <c r="K17" s="50">
        <v>0</v>
      </c>
      <c r="L17" s="50">
        <v>0</v>
      </c>
      <c r="M17" s="50">
        <v>10</v>
      </c>
      <c r="N17" s="50">
        <v>0</v>
      </c>
      <c r="O17" s="15">
        <f t="shared" si="0"/>
        <v>9</v>
      </c>
      <c r="P17" s="15">
        <f t="shared" si="1"/>
        <v>19</v>
      </c>
      <c r="R17" s="1" t="s">
        <v>13</v>
      </c>
      <c r="S17" s="17">
        <f t="shared" ref="S17:AF17" si="9">SUM(C38:C41)</f>
        <v>21</v>
      </c>
      <c r="T17" s="17">
        <f t="shared" si="9"/>
        <v>8</v>
      </c>
      <c r="U17" s="17">
        <f t="shared" si="9"/>
        <v>7</v>
      </c>
      <c r="V17" s="17">
        <f t="shared" si="9"/>
        <v>48</v>
      </c>
      <c r="W17" s="17">
        <f t="shared" si="9"/>
        <v>0</v>
      </c>
      <c r="X17" s="17">
        <f t="shared" si="9"/>
        <v>2</v>
      </c>
      <c r="Y17" s="17">
        <f t="shared" si="9"/>
        <v>4</v>
      </c>
      <c r="Z17" s="17">
        <f t="shared" si="9"/>
        <v>3</v>
      </c>
      <c r="AA17" s="17">
        <f t="shared" si="9"/>
        <v>0</v>
      </c>
      <c r="AB17" s="17">
        <f t="shared" si="9"/>
        <v>0</v>
      </c>
      <c r="AC17" s="17">
        <f t="shared" si="9"/>
        <v>68</v>
      </c>
      <c r="AD17" s="17">
        <f t="shared" si="9"/>
        <v>0</v>
      </c>
      <c r="AE17" s="31">
        <f t="shared" si="9"/>
        <v>93</v>
      </c>
      <c r="AF17" s="31">
        <f t="shared" si="9"/>
        <v>161</v>
      </c>
    </row>
    <row r="18" spans="2:32" ht="23.1" customHeight="1" x14ac:dyDescent="0.25">
      <c r="B18" s="23" t="s">
        <v>45</v>
      </c>
      <c r="C18" s="50">
        <v>5</v>
      </c>
      <c r="D18" s="50">
        <v>0</v>
      </c>
      <c r="E18" s="50">
        <v>0</v>
      </c>
      <c r="F18" s="50">
        <v>9</v>
      </c>
      <c r="G18" s="50">
        <v>0</v>
      </c>
      <c r="H18" s="50">
        <v>0</v>
      </c>
      <c r="I18" s="50">
        <v>2</v>
      </c>
      <c r="J18" s="50">
        <v>3</v>
      </c>
      <c r="K18" s="50">
        <v>1</v>
      </c>
      <c r="L18" s="50">
        <v>0</v>
      </c>
      <c r="M18" s="50">
        <v>17</v>
      </c>
      <c r="N18" s="50">
        <v>0</v>
      </c>
      <c r="O18" s="15">
        <f t="shared" si="0"/>
        <v>20</v>
      </c>
      <c r="P18" s="15">
        <f t="shared" si="1"/>
        <v>37</v>
      </c>
      <c r="R18" s="1" t="s">
        <v>14</v>
      </c>
      <c r="S18" s="17">
        <f t="shared" ref="S18:AF18" si="10">SUM(C42:C45)</f>
        <v>21</v>
      </c>
      <c r="T18" s="17">
        <f t="shared" si="10"/>
        <v>4</v>
      </c>
      <c r="U18" s="17">
        <f t="shared" si="10"/>
        <v>3</v>
      </c>
      <c r="V18" s="17">
        <f t="shared" si="10"/>
        <v>52</v>
      </c>
      <c r="W18" s="17">
        <f t="shared" si="10"/>
        <v>0</v>
      </c>
      <c r="X18" s="17">
        <f t="shared" si="10"/>
        <v>2</v>
      </c>
      <c r="Y18" s="17">
        <f t="shared" si="10"/>
        <v>2</v>
      </c>
      <c r="Z18" s="17">
        <f t="shared" si="10"/>
        <v>2</v>
      </c>
      <c r="AA18" s="17">
        <f t="shared" si="10"/>
        <v>7</v>
      </c>
      <c r="AB18" s="17">
        <f t="shared" si="10"/>
        <v>0</v>
      </c>
      <c r="AC18" s="17">
        <f t="shared" si="10"/>
        <v>67</v>
      </c>
      <c r="AD18" s="17">
        <f t="shared" si="10"/>
        <v>0</v>
      </c>
      <c r="AE18" s="31">
        <f t="shared" si="10"/>
        <v>93</v>
      </c>
      <c r="AF18" s="31">
        <f t="shared" si="10"/>
        <v>160</v>
      </c>
    </row>
    <row r="19" spans="2:32" ht="23.1" customHeight="1" x14ac:dyDescent="0.25">
      <c r="B19" s="23" t="s">
        <v>46</v>
      </c>
      <c r="C19" s="50">
        <v>3</v>
      </c>
      <c r="D19" s="50">
        <v>2</v>
      </c>
      <c r="E19" s="50">
        <v>0</v>
      </c>
      <c r="F19" s="50">
        <v>9</v>
      </c>
      <c r="G19" s="50">
        <v>0</v>
      </c>
      <c r="H19" s="50">
        <v>1</v>
      </c>
      <c r="I19" s="50">
        <v>0</v>
      </c>
      <c r="J19" s="50">
        <v>1</v>
      </c>
      <c r="K19" s="50">
        <v>0</v>
      </c>
      <c r="L19" s="50">
        <v>0</v>
      </c>
      <c r="M19" s="50">
        <v>10</v>
      </c>
      <c r="N19" s="50">
        <v>0</v>
      </c>
      <c r="O19" s="15">
        <f t="shared" si="0"/>
        <v>16</v>
      </c>
      <c r="P19" s="15">
        <f t="shared" si="1"/>
        <v>26</v>
      </c>
      <c r="R19" s="1" t="s">
        <v>15</v>
      </c>
      <c r="S19" s="17">
        <f t="shared" ref="S19:AF19" si="11">SUM(C46:C49)</f>
        <v>19</v>
      </c>
      <c r="T19" s="17">
        <f t="shared" si="11"/>
        <v>9</v>
      </c>
      <c r="U19" s="17">
        <f t="shared" si="11"/>
        <v>9</v>
      </c>
      <c r="V19" s="17">
        <f t="shared" si="11"/>
        <v>48</v>
      </c>
      <c r="W19" s="17">
        <f t="shared" si="11"/>
        <v>1</v>
      </c>
      <c r="X19" s="17">
        <f t="shared" si="11"/>
        <v>2</v>
      </c>
      <c r="Y19" s="17">
        <f t="shared" si="11"/>
        <v>1</v>
      </c>
      <c r="Z19" s="17">
        <f t="shared" si="11"/>
        <v>5</v>
      </c>
      <c r="AA19" s="17">
        <f t="shared" si="11"/>
        <v>2</v>
      </c>
      <c r="AB19" s="17">
        <f t="shared" si="11"/>
        <v>0</v>
      </c>
      <c r="AC19" s="17">
        <f t="shared" si="11"/>
        <v>21</v>
      </c>
      <c r="AD19" s="17">
        <f t="shared" si="11"/>
        <v>0</v>
      </c>
      <c r="AE19" s="31">
        <f t="shared" si="11"/>
        <v>96</v>
      </c>
      <c r="AF19" s="31">
        <f t="shared" si="11"/>
        <v>117</v>
      </c>
    </row>
    <row r="20" spans="2:32" ht="23.1" customHeight="1" x14ac:dyDescent="0.25">
      <c r="B20" s="23" t="s">
        <v>47</v>
      </c>
      <c r="C20" s="50">
        <v>3</v>
      </c>
      <c r="D20" s="50">
        <v>0</v>
      </c>
      <c r="E20" s="50">
        <v>0</v>
      </c>
      <c r="F20" s="50">
        <v>5</v>
      </c>
      <c r="G20" s="50">
        <v>0</v>
      </c>
      <c r="H20" s="50">
        <v>0</v>
      </c>
      <c r="I20" s="50">
        <v>0</v>
      </c>
      <c r="J20" s="50">
        <v>3</v>
      </c>
      <c r="K20" s="50">
        <v>0</v>
      </c>
      <c r="L20" s="50">
        <v>0</v>
      </c>
      <c r="M20" s="50">
        <v>14</v>
      </c>
      <c r="N20" s="50">
        <v>0</v>
      </c>
      <c r="O20" s="15">
        <f t="shared" si="0"/>
        <v>11</v>
      </c>
      <c r="P20" s="15">
        <f t="shared" si="1"/>
        <v>25</v>
      </c>
      <c r="R20" s="1" t="s">
        <v>16</v>
      </c>
      <c r="S20" s="17">
        <f t="shared" ref="S20:AF20" si="12">SUM(C50:C53)</f>
        <v>23</v>
      </c>
      <c r="T20" s="17">
        <f t="shared" si="12"/>
        <v>10</v>
      </c>
      <c r="U20" s="17">
        <f t="shared" si="12"/>
        <v>2</v>
      </c>
      <c r="V20" s="17">
        <f t="shared" si="12"/>
        <v>51</v>
      </c>
      <c r="W20" s="17">
        <f t="shared" si="12"/>
        <v>0</v>
      </c>
      <c r="X20" s="17">
        <f t="shared" si="12"/>
        <v>1</v>
      </c>
      <c r="Y20" s="17">
        <f t="shared" si="12"/>
        <v>12</v>
      </c>
      <c r="Z20" s="17">
        <f t="shared" si="12"/>
        <v>4</v>
      </c>
      <c r="AA20" s="17">
        <f t="shared" si="12"/>
        <v>2</v>
      </c>
      <c r="AB20" s="17">
        <f t="shared" si="12"/>
        <v>0</v>
      </c>
      <c r="AC20" s="17">
        <f t="shared" si="12"/>
        <v>50</v>
      </c>
      <c r="AD20" s="17">
        <f t="shared" si="12"/>
        <v>0</v>
      </c>
      <c r="AE20" s="31">
        <f t="shared" si="12"/>
        <v>105</v>
      </c>
      <c r="AF20" s="31">
        <f t="shared" si="12"/>
        <v>155</v>
      </c>
    </row>
    <row r="21" spans="2:32" ht="23.1" customHeight="1" x14ac:dyDescent="0.25">
      <c r="B21" s="23" t="s">
        <v>48</v>
      </c>
      <c r="C21" s="50">
        <v>1</v>
      </c>
      <c r="D21" s="50">
        <v>0</v>
      </c>
      <c r="E21" s="50">
        <v>0</v>
      </c>
      <c r="F21" s="50">
        <v>9</v>
      </c>
      <c r="G21" s="50">
        <v>0</v>
      </c>
      <c r="H21" s="50">
        <v>0</v>
      </c>
      <c r="I21" s="50">
        <v>1</v>
      </c>
      <c r="J21" s="50">
        <v>2</v>
      </c>
      <c r="K21" s="50">
        <v>1</v>
      </c>
      <c r="L21" s="50">
        <v>0</v>
      </c>
      <c r="M21" s="50">
        <v>15</v>
      </c>
      <c r="N21" s="50">
        <v>0</v>
      </c>
      <c r="O21" s="15">
        <f t="shared" si="0"/>
        <v>14</v>
      </c>
      <c r="P21" s="15">
        <f t="shared" si="1"/>
        <v>29</v>
      </c>
      <c r="R21" s="36" t="s">
        <v>20</v>
      </c>
      <c r="S21" s="34">
        <f t="shared" ref="S21:AF21" si="13">SUM(C54:C57)</f>
        <v>22</v>
      </c>
      <c r="T21" s="17">
        <f t="shared" si="13"/>
        <v>12</v>
      </c>
      <c r="U21" s="17">
        <f t="shared" si="13"/>
        <v>14</v>
      </c>
      <c r="V21" s="17">
        <f t="shared" si="13"/>
        <v>35</v>
      </c>
      <c r="W21" s="17">
        <f t="shared" si="13"/>
        <v>5</v>
      </c>
      <c r="X21" s="17">
        <f t="shared" si="13"/>
        <v>3</v>
      </c>
      <c r="Y21" s="17">
        <f t="shared" si="13"/>
        <v>2</v>
      </c>
      <c r="Z21" s="17">
        <f t="shared" si="13"/>
        <v>2</v>
      </c>
      <c r="AA21" s="17">
        <f t="shared" si="13"/>
        <v>0</v>
      </c>
      <c r="AB21" s="17">
        <f t="shared" si="13"/>
        <v>0</v>
      </c>
      <c r="AC21" s="17">
        <f t="shared" si="13"/>
        <v>55</v>
      </c>
      <c r="AD21" s="17">
        <f t="shared" si="13"/>
        <v>0</v>
      </c>
      <c r="AE21" s="31">
        <f t="shared" si="13"/>
        <v>95</v>
      </c>
      <c r="AF21" s="31">
        <f t="shared" si="13"/>
        <v>150</v>
      </c>
    </row>
    <row r="22" spans="2:32" ht="23.1" customHeight="1" x14ac:dyDescent="0.25">
      <c r="B22" s="23" t="s">
        <v>49</v>
      </c>
      <c r="C22" s="50">
        <v>4</v>
      </c>
      <c r="D22" s="50">
        <v>1</v>
      </c>
      <c r="E22" s="50">
        <v>0</v>
      </c>
      <c r="F22" s="50">
        <v>12</v>
      </c>
      <c r="G22" s="50">
        <v>0</v>
      </c>
      <c r="H22" s="50">
        <v>0</v>
      </c>
      <c r="I22" s="50">
        <v>2</v>
      </c>
      <c r="J22" s="50">
        <v>1</v>
      </c>
      <c r="K22" s="50">
        <v>0</v>
      </c>
      <c r="L22" s="50">
        <v>0</v>
      </c>
      <c r="M22" s="50">
        <v>9</v>
      </c>
      <c r="N22" s="50">
        <v>0</v>
      </c>
      <c r="O22" s="15">
        <f t="shared" si="0"/>
        <v>20</v>
      </c>
      <c r="P22" s="15">
        <f t="shared" si="1"/>
        <v>29</v>
      </c>
      <c r="R22" s="38" t="s">
        <v>90</v>
      </c>
      <c r="S22" s="39">
        <f>MAX(S10:S12)</f>
        <v>12</v>
      </c>
      <c r="T22" s="39">
        <f t="shared" ref="T22:AF22" si="14">MAX(T10:T12)</f>
        <v>7</v>
      </c>
      <c r="U22" s="39">
        <f t="shared" si="14"/>
        <v>8</v>
      </c>
      <c r="V22" s="39">
        <f t="shared" si="14"/>
        <v>32</v>
      </c>
      <c r="W22" s="39">
        <f t="shared" si="14"/>
        <v>0</v>
      </c>
      <c r="X22" s="39">
        <f t="shared" si="14"/>
        <v>2</v>
      </c>
      <c r="Y22" s="39">
        <f t="shared" si="14"/>
        <v>3</v>
      </c>
      <c r="Z22" s="39">
        <f t="shared" si="14"/>
        <v>9</v>
      </c>
      <c r="AA22" s="39">
        <f t="shared" si="14"/>
        <v>3</v>
      </c>
      <c r="AB22" s="39">
        <f t="shared" si="14"/>
        <v>0</v>
      </c>
      <c r="AC22" s="39">
        <f t="shared" si="14"/>
        <v>56</v>
      </c>
      <c r="AD22" s="39">
        <f t="shared" si="14"/>
        <v>0</v>
      </c>
      <c r="AE22" s="40">
        <f t="shared" si="14"/>
        <v>61</v>
      </c>
      <c r="AF22" s="40">
        <f t="shared" si="14"/>
        <v>117</v>
      </c>
    </row>
    <row r="23" spans="2:32" ht="23.1" customHeight="1" x14ac:dyDescent="0.25">
      <c r="B23" s="23" t="s">
        <v>50</v>
      </c>
      <c r="C23" s="50">
        <v>5</v>
      </c>
      <c r="D23" s="50">
        <v>5</v>
      </c>
      <c r="E23" s="50">
        <v>0</v>
      </c>
      <c r="F23" s="50">
        <v>6</v>
      </c>
      <c r="G23" s="50">
        <v>0</v>
      </c>
      <c r="H23" s="50">
        <v>0</v>
      </c>
      <c r="I23" s="50">
        <v>1</v>
      </c>
      <c r="J23" s="50">
        <v>1</v>
      </c>
      <c r="K23" s="50">
        <v>2</v>
      </c>
      <c r="L23" s="50">
        <v>0</v>
      </c>
      <c r="M23" s="50">
        <v>9</v>
      </c>
      <c r="N23" s="50">
        <v>0</v>
      </c>
      <c r="O23" s="15">
        <f t="shared" si="0"/>
        <v>20</v>
      </c>
      <c r="P23" s="15">
        <f t="shared" si="1"/>
        <v>29</v>
      </c>
      <c r="R23" s="38" t="s">
        <v>91</v>
      </c>
      <c r="S23" s="39">
        <f>MAX(S13:S18)</f>
        <v>27</v>
      </c>
      <c r="T23" s="39">
        <f t="shared" ref="T23:AF23" si="15">MAX(T13:T18)</f>
        <v>10</v>
      </c>
      <c r="U23" s="39">
        <f t="shared" si="15"/>
        <v>12</v>
      </c>
      <c r="V23" s="39">
        <f t="shared" si="15"/>
        <v>54</v>
      </c>
      <c r="W23" s="39">
        <f t="shared" si="15"/>
        <v>2</v>
      </c>
      <c r="X23" s="39">
        <f t="shared" si="15"/>
        <v>2</v>
      </c>
      <c r="Y23" s="39">
        <f t="shared" si="15"/>
        <v>5</v>
      </c>
      <c r="Z23" s="39">
        <f t="shared" si="15"/>
        <v>5</v>
      </c>
      <c r="AA23" s="39">
        <f t="shared" si="15"/>
        <v>7</v>
      </c>
      <c r="AB23" s="39">
        <f t="shared" si="15"/>
        <v>0</v>
      </c>
      <c r="AC23" s="39">
        <f t="shared" si="15"/>
        <v>72</v>
      </c>
      <c r="AD23" s="39">
        <f t="shared" si="15"/>
        <v>0</v>
      </c>
      <c r="AE23" s="40">
        <f t="shared" si="15"/>
        <v>107</v>
      </c>
      <c r="AF23" s="40">
        <f t="shared" si="15"/>
        <v>175</v>
      </c>
    </row>
    <row r="24" spans="2:32" ht="23.1" customHeight="1" x14ac:dyDescent="0.25">
      <c r="B24" s="23" t="s">
        <v>51</v>
      </c>
      <c r="C24" s="50">
        <v>6</v>
      </c>
      <c r="D24" s="50">
        <v>2</v>
      </c>
      <c r="E24" s="50">
        <v>1</v>
      </c>
      <c r="F24" s="50">
        <v>14</v>
      </c>
      <c r="G24" s="50">
        <v>0</v>
      </c>
      <c r="H24" s="50">
        <v>0</v>
      </c>
      <c r="I24" s="50">
        <v>0</v>
      </c>
      <c r="J24" s="50">
        <v>0</v>
      </c>
      <c r="K24" s="50">
        <v>1</v>
      </c>
      <c r="L24" s="50">
        <v>0</v>
      </c>
      <c r="M24" s="50">
        <v>15</v>
      </c>
      <c r="N24" s="50">
        <v>0</v>
      </c>
      <c r="O24" s="15">
        <f t="shared" si="0"/>
        <v>24</v>
      </c>
      <c r="P24" s="15">
        <f t="shared" si="1"/>
        <v>39</v>
      </c>
      <c r="R24" s="38" t="s">
        <v>92</v>
      </c>
      <c r="S24" s="39">
        <f>MAX(S19:S21)</f>
        <v>23</v>
      </c>
      <c r="T24" s="39">
        <f t="shared" ref="T24:AF24" si="16">MAX(T19:T21)</f>
        <v>12</v>
      </c>
      <c r="U24" s="39">
        <f t="shared" si="16"/>
        <v>14</v>
      </c>
      <c r="V24" s="39">
        <f t="shared" si="16"/>
        <v>51</v>
      </c>
      <c r="W24" s="39">
        <f t="shared" si="16"/>
        <v>5</v>
      </c>
      <c r="X24" s="39">
        <f t="shared" si="16"/>
        <v>3</v>
      </c>
      <c r="Y24" s="39">
        <f t="shared" si="16"/>
        <v>12</v>
      </c>
      <c r="Z24" s="39">
        <f t="shared" si="16"/>
        <v>5</v>
      </c>
      <c r="AA24" s="39">
        <f t="shared" si="16"/>
        <v>2</v>
      </c>
      <c r="AB24" s="39">
        <f t="shared" si="16"/>
        <v>0</v>
      </c>
      <c r="AC24" s="39">
        <f t="shared" si="16"/>
        <v>55</v>
      </c>
      <c r="AD24" s="39">
        <f t="shared" si="16"/>
        <v>0</v>
      </c>
      <c r="AE24" s="40">
        <f t="shared" si="16"/>
        <v>105</v>
      </c>
      <c r="AF24" s="40">
        <f t="shared" si="16"/>
        <v>155</v>
      </c>
    </row>
    <row r="25" spans="2:32" ht="23.1" customHeight="1" x14ac:dyDescent="0.25">
      <c r="B25" s="23" t="s">
        <v>52</v>
      </c>
      <c r="C25" s="50">
        <v>5</v>
      </c>
      <c r="D25" s="50">
        <v>2</v>
      </c>
      <c r="E25" s="50">
        <v>3</v>
      </c>
      <c r="F25" s="50">
        <v>12</v>
      </c>
      <c r="G25" s="50">
        <v>1</v>
      </c>
      <c r="H25" s="50">
        <v>0</v>
      </c>
      <c r="I25" s="50">
        <v>1</v>
      </c>
      <c r="J25" s="50">
        <v>2</v>
      </c>
      <c r="K25" s="50">
        <v>1</v>
      </c>
      <c r="L25" s="50">
        <v>0</v>
      </c>
      <c r="M25" s="50">
        <v>12</v>
      </c>
      <c r="N25" s="50">
        <v>0</v>
      </c>
      <c r="O25" s="15">
        <f t="shared" si="0"/>
        <v>27</v>
      </c>
      <c r="P25" s="15">
        <f t="shared" si="1"/>
        <v>39</v>
      </c>
      <c r="R25" s="37" t="s">
        <v>85</v>
      </c>
      <c r="S25" s="35">
        <f t="shared" ref="S25:AF25" si="17">SUM(S10:S12)</f>
        <v>32</v>
      </c>
      <c r="T25" s="16">
        <f t="shared" si="17"/>
        <v>13</v>
      </c>
      <c r="U25" s="16">
        <f t="shared" si="17"/>
        <v>9</v>
      </c>
      <c r="V25" s="16">
        <f t="shared" si="17"/>
        <v>66</v>
      </c>
      <c r="W25" s="16">
        <f t="shared" si="17"/>
        <v>0</v>
      </c>
      <c r="X25" s="16">
        <f t="shared" si="17"/>
        <v>3</v>
      </c>
      <c r="Y25" s="16">
        <f t="shared" si="17"/>
        <v>9</v>
      </c>
      <c r="Z25" s="16">
        <f t="shared" si="17"/>
        <v>15</v>
      </c>
      <c r="AA25" s="16">
        <f t="shared" si="17"/>
        <v>8</v>
      </c>
      <c r="AB25" s="16">
        <f t="shared" si="17"/>
        <v>0</v>
      </c>
      <c r="AC25" s="16">
        <f t="shared" si="17"/>
        <v>134</v>
      </c>
      <c r="AD25" s="16">
        <f t="shared" si="17"/>
        <v>0</v>
      </c>
      <c r="AE25" s="32">
        <f t="shared" si="17"/>
        <v>155</v>
      </c>
      <c r="AF25" s="32">
        <f t="shared" si="17"/>
        <v>289</v>
      </c>
    </row>
    <row r="26" spans="2:32" ht="23.1" customHeight="1" x14ac:dyDescent="0.25">
      <c r="B26" s="23" t="s">
        <v>53</v>
      </c>
      <c r="C26" s="50">
        <v>5</v>
      </c>
      <c r="D26" s="50">
        <v>0</v>
      </c>
      <c r="E26" s="50">
        <v>1</v>
      </c>
      <c r="F26" s="50">
        <v>6</v>
      </c>
      <c r="G26" s="50">
        <v>0</v>
      </c>
      <c r="H26" s="50">
        <v>1</v>
      </c>
      <c r="I26" s="50">
        <v>1</v>
      </c>
      <c r="J26" s="50">
        <v>0</v>
      </c>
      <c r="K26" s="50">
        <v>0</v>
      </c>
      <c r="L26" s="50">
        <v>0</v>
      </c>
      <c r="M26" s="50">
        <v>8</v>
      </c>
      <c r="N26" s="50">
        <v>0</v>
      </c>
      <c r="O26" s="15">
        <f t="shared" si="0"/>
        <v>14</v>
      </c>
      <c r="P26" s="15">
        <f t="shared" si="1"/>
        <v>22</v>
      </c>
      <c r="R26" s="28" t="s">
        <v>86</v>
      </c>
      <c r="S26" s="16">
        <f t="shared" ref="S26:AF26" si="18">SUM(S13:S18)</f>
        <v>128</v>
      </c>
      <c r="T26" s="16">
        <f t="shared" si="18"/>
        <v>43</v>
      </c>
      <c r="U26" s="16">
        <f t="shared" si="18"/>
        <v>40</v>
      </c>
      <c r="V26" s="16">
        <f t="shared" si="18"/>
        <v>281</v>
      </c>
      <c r="W26" s="16">
        <f t="shared" si="18"/>
        <v>5</v>
      </c>
      <c r="X26" s="16">
        <f t="shared" si="18"/>
        <v>9</v>
      </c>
      <c r="Y26" s="16">
        <f t="shared" si="18"/>
        <v>19</v>
      </c>
      <c r="Z26" s="16">
        <f t="shared" si="18"/>
        <v>19</v>
      </c>
      <c r="AA26" s="16">
        <f t="shared" si="18"/>
        <v>19</v>
      </c>
      <c r="AB26" s="16">
        <f t="shared" si="18"/>
        <v>0</v>
      </c>
      <c r="AC26" s="16">
        <f t="shared" si="18"/>
        <v>370</v>
      </c>
      <c r="AD26" s="16">
        <f t="shared" si="18"/>
        <v>0</v>
      </c>
      <c r="AE26" s="32">
        <f t="shared" si="18"/>
        <v>563</v>
      </c>
      <c r="AF26" s="32">
        <f t="shared" si="18"/>
        <v>933</v>
      </c>
    </row>
    <row r="27" spans="2:32" ht="23.1" customHeight="1" x14ac:dyDescent="0.25">
      <c r="B27" s="23" t="s">
        <v>54</v>
      </c>
      <c r="C27" s="50">
        <v>10</v>
      </c>
      <c r="D27" s="50">
        <v>2</v>
      </c>
      <c r="E27" s="50">
        <v>2</v>
      </c>
      <c r="F27" s="50">
        <v>18</v>
      </c>
      <c r="G27" s="50">
        <v>0</v>
      </c>
      <c r="H27" s="50">
        <v>1</v>
      </c>
      <c r="I27" s="50">
        <v>2</v>
      </c>
      <c r="J27" s="50">
        <v>0</v>
      </c>
      <c r="K27" s="50">
        <v>2</v>
      </c>
      <c r="L27" s="50">
        <v>0</v>
      </c>
      <c r="M27" s="50">
        <v>13</v>
      </c>
      <c r="N27" s="50">
        <v>0</v>
      </c>
      <c r="O27" s="15">
        <f t="shared" si="0"/>
        <v>37</v>
      </c>
      <c r="P27" s="15">
        <f t="shared" si="1"/>
        <v>50</v>
      </c>
      <c r="R27" s="29" t="s">
        <v>87</v>
      </c>
      <c r="S27" s="16">
        <f t="shared" ref="S27:AF27" si="19">SUM(S19:S21)</f>
        <v>64</v>
      </c>
      <c r="T27" s="16">
        <f t="shared" si="19"/>
        <v>31</v>
      </c>
      <c r="U27" s="16">
        <f t="shared" si="19"/>
        <v>25</v>
      </c>
      <c r="V27" s="16">
        <f t="shared" si="19"/>
        <v>134</v>
      </c>
      <c r="W27" s="16">
        <f t="shared" si="19"/>
        <v>6</v>
      </c>
      <c r="X27" s="16">
        <f t="shared" si="19"/>
        <v>6</v>
      </c>
      <c r="Y27" s="16">
        <f t="shared" si="19"/>
        <v>15</v>
      </c>
      <c r="Z27" s="16">
        <f t="shared" si="19"/>
        <v>11</v>
      </c>
      <c r="AA27" s="16">
        <f t="shared" si="19"/>
        <v>4</v>
      </c>
      <c r="AB27" s="16">
        <f t="shared" si="19"/>
        <v>0</v>
      </c>
      <c r="AC27" s="16">
        <f t="shared" si="19"/>
        <v>126</v>
      </c>
      <c r="AD27" s="16">
        <f t="shared" si="19"/>
        <v>0</v>
      </c>
      <c r="AE27" s="32">
        <f t="shared" si="19"/>
        <v>296</v>
      </c>
      <c r="AF27" s="32">
        <f t="shared" si="19"/>
        <v>422</v>
      </c>
    </row>
    <row r="28" spans="2:32" ht="23.1" customHeight="1" x14ac:dyDescent="0.25">
      <c r="B28" s="23" t="s">
        <v>55</v>
      </c>
      <c r="C28" s="50">
        <v>2</v>
      </c>
      <c r="D28" s="50">
        <v>4</v>
      </c>
      <c r="E28" s="50">
        <v>1</v>
      </c>
      <c r="F28" s="50">
        <v>11</v>
      </c>
      <c r="G28" s="50">
        <v>1</v>
      </c>
      <c r="H28" s="50">
        <v>0</v>
      </c>
      <c r="I28" s="50">
        <v>0</v>
      </c>
      <c r="J28" s="50">
        <v>2</v>
      </c>
      <c r="K28" s="50">
        <v>3</v>
      </c>
      <c r="L28" s="50">
        <v>0</v>
      </c>
      <c r="M28" s="50">
        <v>15</v>
      </c>
      <c r="N28" s="50">
        <v>0</v>
      </c>
      <c r="O28" s="15">
        <f t="shared" si="0"/>
        <v>24</v>
      </c>
      <c r="P28" s="15">
        <f t="shared" si="1"/>
        <v>39</v>
      </c>
      <c r="R28" s="5" t="s">
        <v>17</v>
      </c>
      <c r="S28" s="16">
        <f t="shared" ref="S28:AF28" si="20">SUM(S10:S21)</f>
        <v>224</v>
      </c>
      <c r="T28" s="16">
        <f t="shared" si="20"/>
        <v>87</v>
      </c>
      <c r="U28" s="16">
        <f t="shared" si="20"/>
        <v>74</v>
      </c>
      <c r="V28" s="16">
        <f t="shared" si="20"/>
        <v>481</v>
      </c>
      <c r="W28" s="16">
        <f t="shared" si="20"/>
        <v>11</v>
      </c>
      <c r="X28" s="16">
        <f t="shared" si="20"/>
        <v>18</v>
      </c>
      <c r="Y28" s="16">
        <f t="shared" si="20"/>
        <v>43</v>
      </c>
      <c r="Z28" s="16">
        <f t="shared" si="20"/>
        <v>45</v>
      </c>
      <c r="AA28" s="16">
        <f t="shared" si="20"/>
        <v>31</v>
      </c>
      <c r="AB28" s="16">
        <f t="shared" si="20"/>
        <v>0</v>
      </c>
      <c r="AC28" s="16">
        <f t="shared" si="20"/>
        <v>630</v>
      </c>
      <c r="AD28" s="16">
        <f t="shared" si="20"/>
        <v>0</v>
      </c>
      <c r="AE28" s="32">
        <f t="shared" si="20"/>
        <v>1014</v>
      </c>
      <c r="AF28" s="32">
        <f t="shared" si="20"/>
        <v>1644</v>
      </c>
    </row>
    <row r="29" spans="2:32" ht="23.1" customHeight="1" x14ac:dyDescent="0.25">
      <c r="B29" s="23" t="s">
        <v>56</v>
      </c>
      <c r="C29" s="50">
        <v>8</v>
      </c>
      <c r="D29" s="50">
        <v>2</v>
      </c>
      <c r="E29" s="50">
        <v>3</v>
      </c>
      <c r="F29" s="50">
        <v>7</v>
      </c>
      <c r="G29" s="50">
        <v>0</v>
      </c>
      <c r="H29" s="50">
        <v>0</v>
      </c>
      <c r="I29" s="50">
        <v>0</v>
      </c>
      <c r="J29" s="50">
        <v>1</v>
      </c>
      <c r="K29" s="50">
        <v>0</v>
      </c>
      <c r="L29" s="50">
        <v>0</v>
      </c>
      <c r="M29" s="50">
        <v>14</v>
      </c>
      <c r="N29" s="50">
        <v>0</v>
      </c>
      <c r="O29" s="15">
        <f t="shared" si="0"/>
        <v>21</v>
      </c>
      <c r="P29" s="15">
        <f t="shared" si="1"/>
        <v>35</v>
      </c>
      <c r="R29"/>
      <c r="S29" s="20"/>
      <c r="T29" s="19"/>
    </row>
    <row r="30" spans="2:32" ht="23.1" customHeight="1" x14ac:dyDescent="0.25">
      <c r="B30" s="23" t="s">
        <v>57</v>
      </c>
      <c r="C30" s="50">
        <v>9</v>
      </c>
      <c r="D30" s="50">
        <v>4</v>
      </c>
      <c r="E30" s="50">
        <v>3</v>
      </c>
      <c r="F30" s="50">
        <v>17</v>
      </c>
      <c r="G30" s="50">
        <v>0</v>
      </c>
      <c r="H30" s="50">
        <v>1</v>
      </c>
      <c r="I30" s="50">
        <v>1</v>
      </c>
      <c r="J30" s="50">
        <v>0</v>
      </c>
      <c r="K30" s="50">
        <v>0</v>
      </c>
      <c r="L30" s="50">
        <v>0</v>
      </c>
      <c r="M30" s="50">
        <v>21</v>
      </c>
      <c r="N30" s="50">
        <v>0</v>
      </c>
      <c r="O30" s="15">
        <f t="shared" si="0"/>
        <v>35</v>
      </c>
      <c r="P30" s="15">
        <f t="shared" si="1"/>
        <v>56</v>
      </c>
    </row>
    <row r="31" spans="2:32" ht="23.1" customHeight="1" x14ac:dyDescent="0.25">
      <c r="B31" s="24" t="s">
        <v>58</v>
      </c>
      <c r="C31" s="50">
        <v>7</v>
      </c>
      <c r="D31" s="50">
        <v>2</v>
      </c>
      <c r="E31" s="50">
        <v>3</v>
      </c>
      <c r="F31" s="50">
        <v>11</v>
      </c>
      <c r="G31" s="50">
        <v>0</v>
      </c>
      <c r="H31" s="50">
        <v>0</v>
      </c>
      <c r="I31" s="50">
        <v>0</v>
      </c>
      <c r="J31" s="50">
        <v>1</v>
      </c>
      <c r="K31" s="50">
        <v>0</v>
      </c>
      <c r="L31" s="50">
        <v>0</v>
      </c>
      <c r="M31" s="50">
        <v>11</v>
      </c>
      <c r="N31" s="50">
        <v>0</v>
      </c>
      <c r="O31" s="15">
        <f t="shared" si="0"/>
        <v>24</v>
      </c>
      <c r="P31" s="15">
        <f t="shared" si="1"/>
        <v>35</v>
      </c>
    </row>
    <row r="32" spans="2:32" ht="23.1" customHeight="1" x14ac:dyDescent="0.25">
      <c r="B32" s="24" t="s">
        <v>59</v>
      </c>
      <c r="C32" s="50">
        <v>8</v>
      </c>
      <c r="D32" s="50">
        <v>2</v>
      </c>
      <c r="E32" s="50">
        <v>0</v>
      </c>
      <c r="F32" s="50">
        <v>13</v>
      </c>
      <c r="G32" s="50">
        <v>0</v>
      </c>
      <c r="H32" s="50">
        <v>1</v>
      </c>
      <c r="I32" s="50">
        <v>0</v>
      </c>
      <c r="J32" s="50">
        <v>0</v>
      </c>
      <c r="K32" s="50">
        <v>2</v>
      </c>
      <c r="L32" s="50">
        <v>0</v>
      </c>
      <c r="M32" s="50">
        <v>20</v>
      </c>
      <c r="N32" s="50">
        <v>0</v>
      </c>
      <c r="O32" s="15">
        <f t="shared" si="0"/>
        <v>26</v>
      </c>
      <c r="P32" s="15">
        <f t="shared" si="1"/>
        <v>46</v>
      </c>
    </row>
    <row r="33" spans="2:20" ht="23.1" customHeight="1" x14ac:dyDescent="0.25">
      <c r="B33" s="23" t="s">
        <v>60</v>
      </c>
      <c r="C33" s="50">
        <v>3</v>
      </c>
      <c r="D33" s="50">
        <v>2</v>
      </c>
      <c r="E33" s="50">
        <v>1</v>
      </c>
      <c r="F33" s="50">
        <v>13</v>
      </c>
      <c r="G33" s="50">
        <v>2</v>
      </c>
      <c r="H33" s="50">
        <v>0</v>
      </c>
      <c r="I33" s="50">
        <v>0</v>
      </c>
      <c r="J33" s="50">
        <v>1</v>
      </c>
      <c r="K33" s="50">
        <v>0</v>
      </c>
      <c r="L33" s="50">
        <v>0</v>
      </c>
      <c r="M33" s="50">
        <v>16</v>
      </c>
      <c r="N33" s="50">
        <v>0</v>
      </c>
      <c r="O33" s="15">
        <f t="shared" si="0"/>
        <v>22</v>
      </c>
      <c r="P33" s="15">
        <f t="shared" si="1"/>
        <v>38</v>
      </c>
    </row>
    <row r="34" spans="2:20" ht="23.1" customHeight="1" x14ac:dyDescent="0.25">
      <c r="B34" s="24" t="s">
        <v>61</v>
      </c>
      <c r="C34" s="50">
        <v>5</v>
      </c>
      <c r="D34" s="50">
        <v>2</v>
      </c>
      <c r="E34" s="50">
        <v>3</v>
      </c>
      <c r="F34" s="50">
        <v>8</v>
      </c>
      <c r="G34" s="50">
        <v>0</v>
      </c>
      <c r="H34" s="50">
        <v>0</v>
      </c>
      <c r="I34" s="50">
        <v>1</v>
      </c>
      <c r="J34" s="50">
        <v>2</v>
      </c>
      <c r="K34" s="50">
        <v>1</v>
      </c>
      <c r="L34" s="50">
        <v>0</v>
      </c>
      <c r="M34" s="50">
        <v>21</v>
      </c>
      <c r="N34" s="50">
        <v>0</v>
      </c>
      <c r="O34" s="15">
        <f t="shared" si="0"/>
        <v>22</v>
      </c>
      <c r="P34" s="15">
        <f t="shared" si="1"/>
        <v>43</v>
      </c>
    </row>
    <row r="35" spans="2:20" ht="23.1" customHeight="1" x14ac:dyDescent="0.25">
      <c r="B35" s="24" t="s">
        <v>62</v>
      </c>
      <c r="C35" s="50">
        <v>2</v>
      </c>
      <c r="D35" s="50">
        <v>1</v>
      </c>
      <c r="E35" s="50">
        <v>7</v>
      </c>
      <c r="F35" s="50">
        <v>8</v>
      </c>
      <c r="G35" s="50">
        <v>1</v>
      </c>
      <c r="H35" s="50">
        <v>0</v>
      </c>
      <c r="I35" s="50">
        <v>2</v>
      </c>
      <c r="J35" s="50">
        <v>2</v>
      </c>
      <c r="K35" s="50">
        <v>0</v>
      </c>
      <c r="L35" s="50">
        <v>0</v>
      </c>
      <c r="M35" s="50">
        <v>11</v>
      </c>
      <c r="N35" s="50">
        <v>0</v>
      </c>
      <c r="O35" s="15">
        <f t="shared" si="0"/>
        <v>23</v>
      </c>
      <c r="P35" s="15">
        <f t="shared" si="1"/>
        <v>34</v>
      </c>
    </row>
    <row r="36" spans="2:20" ht="23.1" customHeight="1" x14ac:dyDescent="0.25">
      <c r="B36" s="24" t="s">
        <v>63</v>
      </c>
      <c r="C36" s="50">
        <v>4</v>
      </c>
      <c r="D36" s="50">
        <v>0</v>
      </c>
      <c r="E36" s="50">
        <v>1</v>
      </c>
      <c r="F36" s="50">
        <v>11</v>
      </c>
      <c r="G36" s="50">
        <v>0</v>
      </c>
      <c r="H36" s="50">
        <v>1</v>
      </c>
      <c r="I36" s="50">
        <v>2</v>
      </c>
      <c r="J36" s="50">
        <v>1</v>
      </c>
      <c r="K36" s="50">
        <v>0</v>
      </c>
      <c r="L36" s="50">
        <v>0</v>
      </c>
      <c r="M36" s="50">
        <v>22</v>
      </c>
      <c r="N36" s="50">
        <v>0</v>
      </c>
      <c r="O36" s="15">
        <f t="shared" si="0"/>
        <v>20</v>
      </c>
      <c r="P36" s="15">
        <f t="shared" si="1"/>
        <v>42</v>
      </c>
    </row>
    <row r="37" spans="2:20" ht="23.1" customHeight="1" x14ac:dyDescent="0.25">
      <c r="B37" s="23" t="s">
        <v>64</v>
      </c>
      <c r="C37" s="50">
        <v>3</v>
      </c>
      <c r="D37" s="50">
        <v>0</v>
      </c>
      <c r="E37" s="50">
        <v>1</v>
      </c>
      <c r="F37" s="50">
        <v>14</v>
      </c>
      <c r="G37" s="50">
        <v>0</v>
      </c>
      <c r="H37" s="50">
        <v>0</v>
      </c>
      <c r="I37" s="50">
        <v>0</v>
      </c>
      <c r="J37" s="50">
        <v>0</v>
      </c>
      <c r="K37" s="50">
        <v>0</v>
      </c>
      <c r="L37" s="50">
        <v>0</v>
      </c>
      <c r="M37" s="50">
        <v>18</v>
      </c>
      <c r="N37" s="50">
        <v>0</v>
      </c>
      <c r="O37" s="15">
        <f t="shared" si="0"/>
        <v>18</v>
      </c>
      <c r="P37" s="15">
        <f t="shared" si="1"/>
        <v>36</v>
      </c>
    </row>
    <row r="38" spans="2:20" ht="23.1" customHeight="1" x14ac:dyDescent="0.25">
      <c r="B38" s="24" t="s">
        <v>65</v>
      </c>
      <c r="C38" s="50">
        <v>5</v>
      </c>
      <c r="D38" s="50">
        <v>3</v>
      </c>
      <c r="E38" s="50">
        <v>2</v>
      </c>
      <c r="F38" s="50">
        <v>14</v>
      </c>
      <c r="G38" s="50">
        <v>0</v>
      </c>
      <c r="H38" s="50">
        <v>0</v>
      </c>
      <c r="I38" s="50">
        <v>0</v>
      </c>
      <c r="J38" s="50">
        <v>0</v>
      </c>
      <c r="K38" s="50">
        <v>0</v>
      </c>
      <c r="L38" s="50">
        <v>0</v>
      </c>
      <c r="M38" s="50">
        <v>14</v>
      </c>
      <c r="N38" s="50">
        <v>0</v>
      </c>
      <c r="O38" s="15">
        <f t="shared" si="0"/>
        <v>24</v>
      </c>
      <c r="P38" s="15">
        <f t="shared" si="1"/>
        <v>38</v>
      </c>
    </row>
    <row r="39" spans="2:20" ht="23.1" customHeight="1" x14ac:dyDescent="0.25">
      <c r="B39" s="24" t="s">
        <v>66</v>
      </c>
      <c r="C39" s="50">
        <v>5</v>
      </c>
      <c r="D39" s="50">
        <v>2</v>
      </c>
      <c r="E39" s="50">
        <v>2</v>
      </c>
      <c r="F39" s="50">
        <v>9</v>
      </c>
      <c r="G39" s="50">
        <v>0</v>
      </c>
      <c r="H39" s="50">
        <v>1</v>
      </c>
      <c r="I39" s="50">
        <v>0</v>
      </c>
      <c r="J39" s="50">
        <v>2</v>
      </c>
      <c r="K39" s="50">
        <v>0</v>
      </c>
      <c r="L39" s="50">
        <v>0</v>
      </c>
      <c r="M39" s="50">
        <v>20</v>
      </c>
      <c r="N39" s="50">
        <v>0</v>
      </c>
      <c r="O39" s="15">
        <f t="shared" si="0"/>
        <v>21</v>
      </c>
      <c r="P39" s="15">
        <f t="shared" si="1"/>
        <v>41</v>
      </c>
    </row>
    <row r="40" spans="2:20" ht="23.1" customHeight="1" x14ac:dyDescent="0.25">
      <c r="B40" s="24" t="s">
        <v>67</v>
      </c>
      <c r="C40" s="50">
        <v>3</v>
      </c>
      <c r="D40" s="50">
        <v>2</v>
      </c>
      <c r="E40" s="50">
        <v>2</v>
      </c>
      <c r="F40" s="50">
        <v>14</v>
      </c>
      <c r="G40" s="50">
        <v>0</v>
      </c>
      <c r="H40" s="50">
        <v>1</v>
      </c>
      <c r="I40" s="50">
        <v>3</v>
      </c>
      <c r="J40" s="50">
        <v>1</v>
      </c>
      <c r="K40" s="50">
        <v>0</v>
      </c>
      <c r="L40" s="50">
        <v>0</v>
      </c>
      <c r="M40" s="50">
        <v>16</v>
      </c>
      <c r="N40" s="50">
        <v>0</v>
      </c>
      <c r="O40" s="15">
        <f t="shared" si="0"/>
        <v>26</v>
      </c>
      <c r="P40" s="15">
        <f t="shared" si="1"/>
        <v>42</v>
      </c>
    </row>
    <row r="41" spans="2:20" ht="23.1" customHeight="1" x14ac:dyDescent="0.25">
      <c r="B41" s="23" t="s">
        <v>68</v>
      </c>
      <c r="C41" s="50">
        <v>8</v>
      </c>
      <c r="D41" s="50">
        <v>1</v>
      </c>
      <c r="E41" s="50">
        <v>1</v>
      </c>
      <c r="F41" s="50">
        <v>11</v>
      </c>
      <c r="G41" s="50">
        <v>0</v>
      </c>
      <c r="H41" s="50">
        <v>0</v>
      </c>
      <c r="I41" s="50">
        <v>1</v>
      </c>
      <c r="J41" s="50">
        <v>0</v>
      </c>
      <c r="K41" s="50">
        <v>0</v>
      </c>
      <c r="L41" s="50">
        <v>0</v>
      </c>
      <c r="M41" s="50">
        <v>18</v>
      </c>
      <c r="N41" s="50">
        <v>0</v>
      </c>
      <c r="O41" s="15">
        <f t="shared" si="0"/>
        <v>22</v>
      </c>
      <c r="P41" s="15">
        <f t="shared" si="1"/>
        <v>40</v>
      </c>
    </row>
    <row r="42" spans="2:20" ht="23.1" customHeight="1" x14ac:dyDescent="0.25">
      <c r="B42" s="24" t="s">
        <v>69</v>
      </c>
      <c r="C42" s="50">
        <v>8</v>
      </c>
      <c r="D42" s="50">
        <v>1</v>
      </c>
      <c r="E42" s="50">
        <v>1</v>
      </c>
      <c r="F42" s="50">
        <v>11</v>
      </c>
      <c r="G42" s="50">
        <v>0</v>
      </c>
      <c r="H42" s="50">
        <v>0</v>
      </c>
      <c r="I42" s="50">
        <v>1</v>
      </c>
      <c r="J42" s="50">
        <v>1</v>
      </c>
      <c r="K42" s="50">
        <v>2</v>
      </c>
      <c r="L42" s="50">
        <v>0</v>
      </c>
      <c r="M42" s="50">
        <v>20</v>
      </c>
      <c r="N42" s="50">
        <v>0</v>
      </c>
      <c r="O42" s="15">
        <f t="shared" si="0"/>
        <v>25</v>
      </c>
      <c r="P42" s="15">
        <f t="shared" si="1"/>
        <v>45</v>
      </c>
    </row>
    <row r="43" spans="2:20" ht="23.1" customHeight="1" x14ac:dyDescent="0.25">
      <c r="B43" s="23" t="s">
        <v>70</v>
      </c>
      <c r="C43" s="50">
        <v>2</v>
      </c>
      <c r="D43" s="50">
        <v>1</v>
      </c>
      <c r="E43" s="50">
        <v>0</v>
      </c>
      <c r="F43" s="50">
        <v>12</v>
      </c>
      <c r="G43" s="50">
        <v>0</v>
      </c>
      <c r="H43" s="50">
        <v>0</v>
      </c>
      <c r="I43" s="50">
        <v>0</v>
      </c>
      <c r="J43" s="50">
        <v>0</v>
      </c>
      <c r="K43" s="50">
        <v>2</v>
      </c>
      <c r="L43" s="50">
        <v>0</v>
      </c>
      <c r="M43" s="50">
        <v>12</v>
      </c>
      <c r="N43" s="50">
        <v>0</v>
      </c>
      <c r="O43" s="15">
        <f t="shared" si="0"/>
        <v>17</v>
      </c>
      <c r="P43" s="15">
        <f t="shared" si="1"/>
        <v>29</v>
      </c>
    </row>
    <row r="44" spans="2:20" ht="23.1" customHeight="1" x14ac:dyDescent="0.25">
      <c r="B44" s="25" t="s">
        <v>71</v>
      </c>
      <c r="C44" s="50">
        <v>4</v>
      </c>
      <c r="D44" s="50">
        <v>1</v>
      </c>
      <c r="E44" s="50">
        <v>1</v>
      </c>
      <c r="F44" s="50">
        <v>12</v>
      </c>
      <c r="G44" s="50">
        <v>0</v>
      </c>
      <c r="H44" s="50">
        <v>1</v>
      </c>
      <c r="I44" s="50">
        <v>1</v>
      </c>
      <c r="J44" s="50">
        <v>1</v>
      </c>
      <c r="K44" s="50">
        <v>2</v>
      </c>
      <c r="L44" s="50">
        <v>0</v>
      </c>
      <c r="M44" s="50">
        <v>24</v>
      </c>
      <c r="N44" s="50">
        <v>0</v>
      </c>
      <c r="O44" s="15">
        <f t="shared" si="0"/>
        <v>23</v>
      </c>
      <c r="P44" s="15">
        <f t="shared" si="1"/>
        <v>47</v>
      </c>
    </row>
    <row r="45" spans="2:20" ht="23.1" customHeight="1" x14ac:dyDescent="0.25">
      <c r="B45" s="23" t="s">
        <v>72</v>
      </c>
      <c r="C45" s="50">
        <v>7</v>
      </c>
      <c r="D45" s="50">
        <v>1</v>
      </c>
      <c r="E45" s="50">
        <v>1</v>
      </c>
      <c r="F45" s="50">
        <v>17</v>
      </c>
      <c r="G45" s="50">
        <v>0</v>
      </c>
      <c r="H45" s="50">
        <v>1</v>
      </c>
      <c r="I45" s="50">
        <v>0</v>
      </c>
      <c r="J45" s="50">
        <v>0</v>
      </c>
      <c r="K45" s="50">
        <v>1</v>
      </c>
      <c r="L45" s="50">
        <v>0</v>
      </c>
      <c r="M45" s="50">
        <v>11</v>
      </c>
      <c r="N45" s="50">
        <v>0</v>
      </c>
      <c r="O45" s="15">
        <f t="shared" si="0"/>
        <v>28</v>
      </c>
      <c r="P45" s="15">
        <f t="shared" si="1"/>
        <v>39</v>
      </c>
    </row>
    <row r="46" spans="2:20" ht="23.1" customHeight="1" x14ac:dyDescent="0.25">
      <c r="B46" s="24" t="s">
        <v>73</v>
      </c>
      <c r="C46" s="50">
        <v>3</v>
      </c>
      <c r="D46" s="50">
        <v>2</v>
      </c>
      <c r="E46" s="50">
        <v>1</v>
      </c>
      <c r="F46" s="50">
        <v>11</v>
      </c>
      <c r="G46" s="50">
        <v>0</v>
      </c>
      <c r="H46" s="50">
        <v>1</v>
      </c>
      <c r="I46" s="50">
        <v>0</v>
      </c>
      <c r="J46" s="50">
        <v>2</v>
      </c>
      <c r="K46" s="50">
        <v>1</v>
      </c>
      <c r="L46" s="50">
        <v>0</v>
      </c>
      <c r="M46" s="50">
        <v>3</v>
      </c>
      <c r="N46" s="50">
        <v>0</v>
      </c>
      <c r="O46" s="15">
        <f t="shared" si="0"/>
        <v>21</v>
      </c>
      <c r="P46" s="15">
        <f t="shared" si="1"/>
        <v>24</v>
      </c>
      <c r="R46" s="8"/>
      <c r="T46"/>
    </row>
    <row r="47" spans="2:20" ht="23.1" customHeight="1" x14ac:dyDescent="0.25">
      <c r="B47" s="24" t="s">
        <v>74</v>
      </c>
      <c r="C47" s="50">
        <v>6</v>
      </c>
      <c r="D47" s="50">
        <v>3</v>
      </c>
      <c r="E47" s="50">
        <v>3</v>
      </c>
      <c r="F47" s="50">
        <v>8</v>
      </c>
      <c r="G47" s="50">
        <v>0</v>
      </c>
      <c r="H47" s="50">
        <v>0</v>
      </c>
      <c r="I47" s="50">
        <v>0</v>
      </c>
      <c r="J47" s="50">
        <v>0</v>
      </c>
      <c r="K47" s="50">
        <v>0</v>
      </c>
      <c r="L47" s="50">
        <v>0</v>
      </c>
      <c r="M47" s="50">
        <v>2</v>
      </c>
      <c r="N47" s="50">
        <v>0</v>
      </c>
      <c r="O47" s="15">
        <f t="shared" si="0"/>
        <v>20</v>
      </c>
      <c r="P47" s="15">
        <f t="shared" si="1"/>
        <v>22</v>
      </c>
      <c r="R47" s="8"/>
      <c r="T47"/>
    </row>
    <row r="48" spans="2:20" ht="23.1" customHeight="1" x14ac:dyDescent="0.25">
      <c r="B48" s="24" t="s">
        <v>75</v>
      </c>
      <c r="C48" s="50">
        <v>4</v>
      </c>
      <c r="D48" s="50">
        <v>3</v>
      </c>
      <c r="E48" s="50">
        <v>1</v>
      </c>
      <c r="F48" s="50">
        <v>16</v>
      </c>
      <c r="G48" s="50">
        <v>0</v>
      </c>
      <c r="H48" s="50">
        <v>0</v>
      </c>
      <c r="I48" s="50">
        <v>1</v>
      </c>
      <c r="J48" s="50">
        <v>2</v>
      </c>
      <c r="K48" s="50">
        <v>1</v>
      </c>
      <c r="L48" s="50">
        <v>0</v>
      </c>
      <c r="M48" s="50">
        <v>7</v>
      </c>
      <c r="N48" s="50">
        <v>0</v>
      </c>
      <c r="O48" s="15">
        <f t="shared" si="0"/>
        <v>28</v>
      </c>
      <c r="P48" s="15">
        <f t="shared" si="1"/>
        <v>35</v>
      </c>
      <c r="R48" s="8"/>
      <c r="T48"/>
    </row>
    <row r="49" spans="2:20" ht="23.1" customHeight="1" x14ac:dyDescent="0.25">
      <c r="B49" s="23" t="s">
        <v>76</v>
      </c>
      <c r="C49" s="50">
        <v>6</v>
      </c>
      <c r="D49" s="50">
        <v>1</v>
      </c>
      <c r="E49" s="50">
        <v>4</v>
      </c>
      <c r="F49" s="50">
        <v>13</v>
      </c>
      <c r="G49" s="50">
        <v>1</v>
      </c>
      <c r="H49" s="50">
        <v>1</v>
      </c>
      <c r="I49" s="50">
        <v>0</v>
      </c>
      <c r="J49" s="50">
        <v>1</v>
      </c>
      <c r="K49" s="50">
        <v>0</v>
      </c>
      <c r="L49" s="50">
        <v>0</v>
      </c>
      <c r="M49" s="50">
        <v>9</v>
      </c>
      <c r="N49" s="50">
        <v>0</v>
      </c>
      <c r="O49" s="15">
        <f t="shared" si="0"/>
        <v>27</v>
      </c>
      <c r="P49" s="15">
        <f t="shared" si="1"/>
        <v>36</v>
      </c>
      <c r="R49" s="8"/>
      <c r="T49"/>
    </row>
    <row r="50" spans="2:20" ht="23.1" customHeight="1" x14ac:dyDescent="0.25">
      <c r="B50" s="24" t="s">
        <v>77</v>
      </c>
      <c r="C50" s="50">
        <v>4</v>
      </c>
      <c r="D50" s="50">
        <v>3</v>
      </c>
      <c r="E50" s="50">
        <v>0</v>
      </c>
      <c r="F50" s="50">
        <v>11</v>
      </c>
      <c r="G50" s="50">
        <v>0</v>
      </c>
      <c r="H50" s="50">
        <v>0</v>
      </c>
      <c r="I50" s="50">
        <v>3</v>
      </c>
      <c r="J50" s="50">
        <v>0</v>
      </c>
      <c r="K50" s="50">
        <v>0</v>
      </c>
      <c r="L50" s="50">
        <v>0</v>
      </c>
      <c r="M50" s="50">
        <v>1</v>
      </c>
      <c r="N50" s="50">
        <v>0</v>
      </c>
      <c r="O50" s="15">
        <f t="shared" si="0"/>
        <v>21</v>
      </c>
      <c r="P50" s="15">
        <f t="shared" si="1"/>
        <v>22</v>
      </c>
      <c r="R50" s="8"/>
      <c r="T50"/>
    </row>
    <row r="51" spans="2:20" ht="23.1" customHeight="1" x14ac:dyDescent="0.25">
      <c r="B51" s="24" t="s">
        <v>78</v>
      </c>
      <c r="C51" s="50">
        <v>5</v>
      </c>
      <c r="D51" s="50">
        <v>4</v>
      </c>
      <c r="E51" s="50">
        <v>1</v>
      </c>
      <c r="F51" s="50">
        <v>13</v>
      </c>
      <c r="G51" s="50">
        <v>0</v>
      </c>
      <c r="H51" s="50">
        <v>1</v>
      </c>
      <c r="I51" s="50">
        <v>2</v>
      </c>
      <c r="J51" s="50">
        <v>2</v>
      </c>
      <c r="K51" s="50">
        <v>1</v>
      </c>
      <c r="L51" s="50">
        <v>0</v>
      </c>
      <c r="M51" s="50">
        <v>13</v>
      </c>
      <c r="N51" s="50">
        <v>0</v>
      </c>
      <c r="O51" s="15">
        <f t="shared" si="0"/>
        <v>29</v>
      </c>
      <c r="P51" s="15">
        <f t="shared" si="1"/>
        <v>42</v>
      </c>
      <c r="R51" s="8"/>
      <c r="T51"/>
    </row>
    <row r="52" spans="2:20" ht="23.1" customHeight="1" x14ac:dyDescent="0.25">
      <c r="B52" s="24" t="s">
        <v>79</v>
      </c>
      <c r="C52" s="50">
        <v>7</v>
      </c>
      <c r="D52" s="50">
        <v>2</v>
      </c>
      <c r="E52" s="50">
        <v>1</v>
      </c>
      <c r="F52" s="50">
        <v>14</v>
      </c>
      <c r="G52" s="50">
        <v>0</v>
      </c>
      <c r="H52" s="50">
        <v>0</v>
      </c>
      <c r="I52" s="50">
        <v>2</v>
      </c>
      <c r="J52" s="50">
        <v>2</v>
      </c>
      <c r="K52" s="50">
        <v>0</v>
      </c>
      <c r="L52" s="50">
        <v>0</v>
      </c>
      <c r="M52" s="50">
        <v>30</v>
      </c>
      <c r="N52" s="50">
        <v>0</v>
      </c>
      <c r="O52" s="15">
        <f t="shared" si="0"/>
        <v>28</v>
      </c>
      <c r="P52" s="15">
        <f t="shared" si="1"/>
        <v>58</v>
      </c>
      <c r="R52" s="8"/>
      <c r="T52"/>
    </row>
    <row r="53" spans="2:20" ht="23.1" customHeight="1" x14ac:dyDescent="0.25">
      <c r="B53" s="23" t="s">
        <v>80</v>
      </c>
      <c r="C53" s="50">
        <v>7</v>
      </c>
      <c r="D53" s="50">
        <v>1</v>
      </c>
      <c r="E53" s="50">
        <v>0</v>
      </c>
      <c r="F53" s="50">
        <v>13</v>
      </c>
      <c r="G53" s="50">
        <v>0</v>
      </c>
      <c r="H53" s="50">
        <v>0</v>
      </c>
      <c r="I53" s="50">
        <v>5</v>
      </c>
      <c r="J53" s="50">
        <v>0</v>
      </c>
      <c r="K53" s="50">
        <v>1</v>
      </c>
      <c r="L53" s="50">
        <v>0</v>
      </c>
      <c r="M53" s="50">
        <v>6</v>
      </c>
      <c r="N53" s="50">
        <v>0</v>
      </c>
      <c r="O53" s="15">
        <f t="shared" si="0"/>
        <v>27</v>
      </c>
      <c r="P53" s="15">
        <f t="shared" si="1"/>
        <v>33</v>
      </c>
      <c r="R53" s="8"/>
      <c r="T53"/>
    </row>
    <row r="54" spans="2:20" ht="23.1" customHeight="1" x14ac:dyDescent="0.25">
      <c r="B54" s="23" t="s">
        <v>81</v>
      </c>
      <c r="C54" s="50">
        <v>3</v>
      </c>
      <c r="D54" s="50">
        <v>3</v>
      </c>
      <c r="E54" s="50">
        <v>2</v>
      </c>
      <c r="F54" s="50">
        <v>6</v>
      </c>
      <c r="G54" s="50">
        <v>2</v>
      </c>
      <c r="H54" s="50">
        <v>2</v>
      </c>
      <c r="I54" s="50">
        <v>0</v>
      </c>
      <c r="J54" s="50">
        <v>0</v>
      </c>
      <c r="K54" s="50">
        <v>0</v>
      </c>
      <c r="L54" s="50">
        <v>0</v>
      </c>
      <c r="M54" s="50">
        <v>13</v>
      </c>
      <c r="N54" s="50">
        <v>0</v>
      </c>
      <c r="O54" s="15">
        <f t="shared" si="0"/>
        <v>18</v>
      </c>
      <c r="P54" s="15">
        <f t="shared" si="1"/>
        <v>31</v>
      </c>
      <c r="R54" s="8"/>
      <c r="T54"/>
    </row>
    <row r="55" spans="2:20" ht="23.1" customHeight="1" x14ac:dyDescent="0.25">
      <c r="B55" s="23" t="s">
        <v>82</v>
      </c>
      <c r="C55" s="50">
        <v>5</v>
      </c>
      <c r="D55" s="50">
        <v>3</v>
      </c>
      <c r="E55" s="50">
        <v>5</v>
      </c>
      <c r="F55" s="50">
        <v>11</v>
      </c>
      <c r="G55" s="50">
        <v>0</v>
      </c>
      <c r="H55" s="50">
        <v>0</v>
      </c>
      <c r="I55" s="50">
        <v>0</v>
      </c>
      <c r="J55" s="50">
        <v>1</v>
      </c>
      <c r="K55" s="50">
        <v>0</v>
      </c>
      <c r="L55" s="50">
        <v>0</v>
      </c>
      <c r="M55" s="50">
        <v>14</v>
      </c>
      <c r="N55" s="50">
        <v>0</v>
      </c>
      <c r="O55" s="15">
        <f t="shared" si="0"/>
        <v>25</v>
      </c>
      <c r="P55" s="15">
        <f t="shared" si="1"/>
        <v>39</v>
      </c>
      <c r="R55" s="8"/>
      <c r="T55"/>
    </row>
    <row r="56" spans="2:20" ht="23.1" customHeight="1" x14ac:dyDescent="0.25">
      <c r="B56" s="23" t="s">
        <v>83</v>
      </c>
      <c r="C56" s="50">
        <v>6</v>
      </c>
      <c r="D56" s="50">
        <v>3</v>
      </c>
      <c r="E56" s="50">
        <v>5</v>
      </c>
      <c r="F56" s="50">
        <v>9</v>
      </c>
      <c r="G56" s="50">
        <v>3</v>
      </c>
      <c r="H56" s="50">
        <v>0</v>
      </c>
      <c r="I56" s="50">
        <v>1</v>
      </c>
      <c r="J56" s="50">
        <v>0</v>
      </c>
      <c r="K56" s="50">
        <v>0</v>
      </c>
      <c r="L56" s="50">
        <v>0</v>
      </c>
      <c r="M56" s="50">
        <v>17</v>
      </c>
      <c r="N56" s="50">
        <v>0</v>
      </c>
      <c r="O56" s="15">
        <f t="shared" si="0"/>
        <v>27</v>
      </c>
      <c r="P56" s="15">
        <f t="shared" si="1"/>
        <v>44</v>
      </c>
      <c r="R56" s="8"/>
      <c r="T56"/>
    </row>
    <row r="57" spans="2:20" ht="23.1" customHeight="1" x14ac:dyDescent="0.25">
      <c r="B57" s="23" t="s">
        <v>84</v>
      </c>
      <c r="C57" s="50">
        <v>8</v>
      </c>
      <c r="D57" s="50">
        <v>3</v>
      </c>
      <c r="E57" s="50">
        <v>2</v>
      </c>
      <c r="F57" s="50">
        <v>9</v>
      </c>
      <c r="G57" s="50">
        <v>0</v>
      </c>
      <c r="H57" s="50">
        <v>1</v>
      </c>
      <c r="I57" s="50">
        <v>1</v>
      </c>
      <c r="J57" s="50">
        <v>1</v>
      </c>
      <c r="K57" s="50">
        <v>0</v>
      </c>
      <c r="L57" s="50">
        <v>0</v>
      </c>
      <c r="M57" s="50">
        <v>11</v>
      </c>
      <c r="N57" s="50">
        <v>0</v>
      </c>
      <c r="O57" s="15">
        <f t="shared" si="0"/>
        <v>25</v>
      </c>
      <c r="P57" s="15">
        <f t="shared" si="1"/>
        <v>36</v>
      </c>
      <c r="R57" s="8"/>
      <c r="T57"/>
    </row>
    <row r="58" spans="2:20" ht="23.1" customHeight="1" x14ac:dyDescent="0.25">
      <c r="B58" s="26" t="s">
        <v>18</v>
      </c>
      <c r="C58" s="16">
        <f t="shared" ref="C58:P58" si="21">SUM(C10:C57)</f>
        <v>224</v>
      </c>
      <c r="D58" s="16">
        <f t="shared" si="21"/>
        <v>87</v>
      </c>
      <c r="E58" s="16">
        <f t="shared" si="21"/>
        <v>74</v>
      </c>
      <c r="F58" s="16">
        <f t="shared" si="21"/>
        <v>481</v>
      </c>
      <c r="G58" s="16">
        <f t="shared" si="21"/>
        <v>11</v>
      </c>
      <c r="H58" s="16">
        <f t="shared" si="21"/>
        <v>18</v>
      </c>
      <c r="I58" s="16">
        <f t="shared" si="21"/>
        <v>43</v>
      </c>
      <c r="J58" s="16">
        <f t="shared" si="21"/>
        <v>45</v>
      </c>
      <c r="K58" s="16">
        <f t="shared" si="21"/>
        <v>31</v>
      </c>
      <c r="L58" s="16">
        <f t="shared" si="21"/>
        <v>0</v>
      </c>
      <c r="M58" s="16">
        <f t="shared" si="21"/>
        <v>630</v>
      </c>
      <c r="N58" s="16">
        <f t="shared" si="21"/>
        <v>0</v>
      </c>
      <c r="O58" s="16">
        <f t="shared" si="21"/>
        <v>1014</v>
      </c>
      <c r="P58" s="16">
        <f t="shared" si="21"/>
        <v>1644</v>
      </c>
      <c r="R58" s="8"/>
      <c r="T58"/>
    </row>
    <row r="59" spans="2:20" ht="23.1" customHeight="1" x14ac:dyDescent="0.25">
      <c r="B59" s="26" t="s">
        <v>93</v>
      </c>
      <c r="C59" s="43">
        <f t="shared" ref="C59:N59" si="22">C58/$P$58</f>
        <v>0.13625304136253041</v>
      </c>
      <c r="D59" s="43">
        <f t="shared" si="22"/>
        <v>5.2919708029197078E-2</v>
      </c>
      <c r="E59" s="43">
        <f t="shared" si="22"/>
        <v>4.5012165450121655E-2</v>
      </c>
      <c r="F59" s="43">
        <f t="shared" si="22"/>
        <v>0.29257907542579076</v>
      </c>
      <c r="G59" s="43">
        <f t="shared" si="22"/>
        <v>6.6909975669099753E-3</v>
      </c>
      <c r="H59" s="43">
        <f t="shared" si="22"/>
        <v>1.0948905109489052E-2</v>
      </c>
      <c r="I59" s="43">
        <f t="shared" si="22"/>
        <v>2.6155717761557177E-2</v>
      </c>
      <c r="J59" s="43">
        <f t="shared" si="22"/>
        <v>2.7372262773722629E-2</v>
      </c>
      <c r="K59" s="43">
        <f t="shared" si="22"/>
        <v>1.8856447688564478E-2</v>
      </c>
      <c r="L59" s="43">
        <f t="shared" si="22"/>
        <v>0</v>
      </c>
      <c r="M59" s="43">
        <f t="shared" si="22"/>
        <v>0.38321167883211676</v>
      </c>
      <c r="N59" s="43">
        <f t="shared" si="22"/>
        <v>0</v>
      </c>
      <c r="R59" s="8"/>
      <c r="T59"/>
    </row>
    <row r="60" spans="2:20" ht="23.1" customHeight="1" x14ac:dyDescent="0.25">
      <c r="B60" s="42" t="s">
        <v>94</v>
      </c>
      <c r="C60" s="44">
        <f>C58/$O$58</f>
        <v>0.22090729783037474</v>
      </c>
      <c r="D60" s="44">
        <f t="shared" ref="D60:N60" si="23">D58/$O$58</f>
        <v>8.5798816568047331E-2</v>
      </c>
      <c r="E60" s="44">
        <f t="shared" si="23"/>
        <v>7.2978303747534515E-2</v>
      </c>
      <c r="F60" s="44">
        <f t="shared" si="23"/>
        <v>0.47435897435897434</v>
      </c>
      <c r="G60" s="44">
        <f t="shared" si="23"/>
        <v>1.0848126232741617E-2</v>
      </c>
      <c r="H60" s="44">
        <f t="shared" si="23"/>
        <v>1.7751479289940829E-2</v>
      </c>
      <c r="I60" s="44">
        <f t="shared" si="23"/>
        <v>4.2406311637080869E-2</v>
      </c>
      <c r="J60" s="44">
        <f t="shared" si="23"/>
        <v>4.4378698224852069E-2</v>
      </c>
      <c r="K60" s="44">
        <f t="shared" si="23"/>
        <v>3.0571992110453649E-2</v>
      </c>
      <c r="L60" s="44">
        <f t="shared" si="23"/>
        <v>0</v>
      </c>
      <c r="M60" s="44"/>
      <c r="N60" s="44">
        <f t="shared" si="23"/>
        <v>0</v>
      </c>
      <c r="Q60" s="7"/>
      <c r="R60" s="8"/>
      <c r="T60"/>
    </row>
    <row r="61" spans="2:20" ht="20.100000000000001" customHeight="1" x14ac:dyDescent="0.25">
      <c r="B61" s="3"/>
      <c r="C61" s="18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Q61" s="7"/>
      <c r="R61" s="8"/>
      <c r="T61"/>
    </row>
    <row r="62" spans="2:20" ht="20.100000000000001" customHeight="1" x14ac:dyDescent="0.25">
      <c r="B62" s="3"/>
      <c r="C62" s="18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Q62" s="7"/>
      <c r="R62" s="8"/>
      <c r="T62"/>
    </row>
    <row r="63" spans="2:20" ht="20.100000000000001" customHeight="1" x14ac:dyDescent="0.25">
      <c r="B63" s="3"/>
      <c r="C63" s="18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Q63" s="7"/>
    </row>
    <row r="64" spans="2:20" ht="20.100000000000001" customHeight="1" x14ac:dyDescent="0.25">
      <c r="B64" s="3"/>
      <c r="C64" s="18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Q64" s="7"/>
    </row>
    <row r="65" spans="2:20" s="7" customFormat="1" ht="20.100000000000001" customHeight="1" x14ac:dyDescent="0.25"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/>
      <c r="P65"/>
      <c r="S65" s="8"/>
      <c r="T65" s="8"/>
    </row>
    <row r="66" spans="2:20" s="7" customFormat="1" ht="20.100000000000001" customHeight="1" x14ac:dyDescent="0.25"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/>
      <c r="P66"/>
      <c r="S66" s="8"/>
      <c r="T66" s="8"/>
    </row>
    <row r="67" spans="2:20" s="7" customFormat="1" ht="20.100000000000001" customHeight="1" x14ac:dyDescent="0.25"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/>
      <c r="P67"/>
      <c r="S67" s="8"/>
      <c r="T67" s="8"/>
    </row>
    <row r="68" spans="2:20" s="7" customFormat="1" ht="20.100000000000001" customHeight="1" x14ac:dyDescent="0.25"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/>
      <c r="P68"/>
      <c r="S68" s="8"/>
      <c r="T68" s="8"/>
    </row>
    <row r="69" spans="2:20" s="7" customFormat="1" ht="20.100000000000001" customHeight="1" x14ac:dyDescent="0.25"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/>
      <c r="P69"/>
      <c r="S69" s="8"/>
      <c r="T69" s="8"/>
    </row>
    <row r="70" spans="2:20" s="7" customFormat="1" ht="20.100000000000001" customHeight="1" x14ac:dyDescent="0.25"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/>
      <c r="P70"/>
      <c r="S70" s="8"/>
      <c r="T70" s="8"/>
    </row>
    <row r="71" spans="2:20" s="7" customFormat="1" ht="20.100000000000001" customHeight="1" x14ac:dyDescent="0.25"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/>
      <c r="P71"/>
      <c r="S71" s="8"/>
      <c r="T71" s="8"/>
    </row>
    <row r="72" spans="2:20" s="7" customFormat="1" ht="20.100000000000001" customHeight="1" x14ac:dyDescent="0.25"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/>
      <c r="P72"/>
      <c r="S72" s="8"/>
      <c r="T72" s="8"/>
    </row>
    <row r="73" spans="2:20" s="7" customFormat="1" ht="20.100000000000001" customHeight="1" x14ac:dyDescent="0.25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/>
      <c r="P73"/>
      <c r="S73" s="8"/>
      <c r="T73" s="8"/>
    </row>
    <row r="74" spans="2:20" s="7" customFormat="1" ht="20.100000000000001" customHeight="1" x14ac:dyDescent="0.25"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/>
      <c r="P74"/>
      <c r="S74" s="8"/>
      <c r="T74" s="8"/>
    </row>
    <row r="75" spans="2:20" s="7" customFormat="1" ht="20.100000000000001" customHeight="1" x14ac:dyDescent="0.25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/>
      <c r="P75"/>
      <c r="S75" s="8"/>
      <c r="T75" s="8"/>
    </row>
    <row r="76" spans="2:20" s="7" customFormat="1" ht="20.100000000000001" customHeight="1" x14ac:dyDescent="0.25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/>
      <c r="P76"/>
      <c r="S76" s="8"/>
      <c r="T76" s="8"/>
    </row>
    <row r="77" spans="2:20" s="7" customFormat="1" ht="20.100000000000001" customHeight="1" x14ac:dyDescent="0.25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/>
      <c r="P77"/>
      <c r="Q77"/>
      <c r="S77" s="8"/>
      <c r="T77" s="8"/>
    </row>
    <row r="78" spans="2:20" s="7" customFormat="1" ht="20.100000000000001" customHeight="1" x14ac:dyDescent="0.25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2:20" s="7" customFormat="1" ht="20.100000000000001" customHeight="1" x14ac:dyDescent="0.25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2:20" s="7" customFormat="1" ht="20.100000000000001" customHeight="1" x14ac:dyDescent="0.25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2" tint="-0.249977111117893"/>
  </sheetPr>
  <dimension ref="B1:AF174"/>
  <sheetViews>
    <sheetView view="pageBreakPreview" topLeftCell="A37" zoomScale="50" zoomScaleSheetLayoutView="50" workbookViewId="0">
      <selection activeCell="C3" sqref="C3:G3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710937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60" t="s">
        <v>23</v>
      </c>
      <c r="C1" s="60"/>
      <c r="D1" s="60"/>
      <c r="E1" s="60"/>
      <c r="F1" s="60"/>
      <c r="G1" s="60"/>
      <c r="H1" s="60"/>
      <c r="I1" s="60"/>
      <c r="J1" s="60"/>
      <c r="K1" s="60"/>
      <c r="L1" s="60"/>
      <c r="M1" s="60"/>
      <c r="N1" s="60"/>
      <c r="O1" s="60"/>
      <c r="P1" s="60"/>
      <c r="Q1" s="60"/>
      <c r="R1" s="60"/>
      <c r="S1" s="60"/>
      <c r="T1" s="60"/>
      <c r="U1" s="60"/>
      <c r="V1" s="60"/>
      <c r="W1" s="60"/>
      <c r="X1" s="60"/>
      <c r="Y1" s="60"/>
      <c r="Z1" s="60"/>
      <c r="AA1" s="60"/>
      <c r="AB1" s="60"/>
      <c r="AC1" s="60"/>
      <c r="AD1" s="60"/>
      <c r="AE1" s="60"/>
    </row>
    <row r="2" spans="2:32" ht="20.100000000000001" customHeight="1" x14ac:dyDescent="0.25">
      <c r="B2" s="61" t="s">
        <v>95</v>
      </c>
      <c r="C2" s="61"/>
      <c r="D2" s="61"/>
      <c r="E2" s="61"/>
      <c r="F2" s="61"/>
      <c r="G2" s="61"/>
      <c r="H2" s="61"/>
      <c r="I2" s="61"/>
      <c r="J2" s="61"/>
      <c r="K2" s="61"/>
      <c r="L2" s="61"/>
      <c r="M2" s="61"/>
      <c r="N2" s="61"/>
      <c r="O2" s="61"/>
      <c r="P2" s="61"/>
      <c r="Q2" s="61"/>
      <c r="R2" s="61"/>
      <c r="S2" s="61"/>
      <c r="T2" s="61"/>
      <c r="U2" s="61"/>
      <c r="V2" s="61"/>
      <c r="W2" s="61"/>
      <c r="X2" s="61"/>
      <c r="Y2" s="61"/>
      <c r="Z2" s="61"/>
      <c r="AA2" s="61"/>
      <c r="AB2" s="61"/>
      <c r="AC2" s="61"/>
      <c r="AD2" s="61"/>
      <c r="AE2" s="61"/>
    </row>
    <row r="3" spans="2:32" ht="20.100000000000001" customHeight="1" x14ac:dyDescent="0.25">
      <c r="B3" s="22" t="s">
        <v>96</v>
      </c>
      <c r="C3" s="62" t="str">
        <f>'17.10 Busembatya-Butongole'!C3:G3</f>
        <v>BUSEMBATYA-BUTONGOLE</v>
      </c>
      <c r="D3" s="62"/>
      <c r="E3" s="62"/>
      <c r="F3" s="62"/>
      <c r="G3" s="62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51" t="s">
        <v>175</v>
      </c>
      <c r="E5" s="3"/>
      <c r="F5" s="41" t="s">
        <v>1</v>
      </c>
      <c r="G5" s="57" t="str">
        <f>'19.10 Busembatya-Butongole 24h'!G5:H5</f>
        <v>NAMALEMBA</v>
      </c>
      <c r="H5" s="58"/>
      <c r="I5" s="14"/>
      <c r="J5" s="2" t="s">
        <v>5</v>
      </c>
      <c r="K5" s="57" t="str">
        <f>'19.10 Busembatya-Butongole 24h'!K5:L5</f>
        <v>Atukoi Joshua</v>
      </c>
      <c r="L5" s="58"/>
      <c r="M5" s="10"/>
      <c r="N5" s="10"/>
      <c r="O5" s="3"/>
      <c r="P5" s="3"/>
    </row>
    <row r="6" spans="2:32" ht="23.25" customHeight="1" x14ac:dyDescent="0.25">
      <c r="C6" s="2" t="s">
        <v>4</v>
      </c>
      <c r="D6" s="57" t="str">
        <f>'17.10 Busembatya-Butongole'!D6:E6</f>
        <v>BUSEMBATYA</v>
      </c>
      <c r="E6" s="58"/>
      <c r="F6" s="2" t="s">
        <v>2</v>
      </c>
      <c r="G6" s="57" t="str">
        <f>'17.10 Busembatya-Butongole'!G6:H6</f>
        <v>BUTONGOLE</v>
      </c>
      <c r="H6" s="58"/>
      <c r="J6" s="2" t="s">
        <v>21</v>
      </c>
      <c r="K6" s="57" t="str">
        <f>'19.10 Busembatya-Butongole 24h'!K6:L6</f>
        <v>Turyahabwe Norman</v>
      </c>
      <c r="L6" s="58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9" t="s">
        <v>88</v>
      </c>
      <c r="S8" s="59"/>
      <c r="T8" s="59"/>
      <c r="U8" s="59"/>
      <c r="V8" s="59"/>
      <c r="W8" s="59"/>
      <c r="X8" s="59"/>
      <c r="Y8" s="59"/>
      <c r="Z8" s="59"/>
      <c r="AA8" s="59"/>
      <c r="AB8" s="59"/>
      <c r="AC8" s="59"/>
      <c r="AD8" s="59"/>
      <c r="AE8" s="59"/>
      <c r="AF8" s="59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45" t="s">
        <v>37</v>
      </c>
      <c r="C10" s="50">
        <v>1</v>
      </c>
      <c r="D10" s="50">
        <v>0</v>
      </c>
      <c r="E10" s="50">
        <v>1</v>
      </c>
      <c r="F10" s="50">
        <v>6</v>
      </c>
      <c r="G10" s="50">
        <v>0</v>
      </c>
      <c r="H10" s="50">
        <v>0</v>
      </c>
      <c r="I10" s="50">
        <v>4</v>
      </c>
      <c r="J10" s="50">
        <v>0</v>
      </c>
      <c r="K10" s="50">
        <v>1</v>
      </c>
      <c r="L10" s="50">
        <v>0</v>
      </c>
      <c r="M10" s="50">
        <v>4</v>
      </c>
      <c r="N10" s="50">
        <v>0</v>
      </c>
      <c r="O10" s="15">
        <f t="shared" ref="O10:O73" si="0">SUM(C10:L10,N10)</f>
        <v>13</v>
      </c>
      <c r="P10" s="15">
        <f t="shared" ref="P10:P73" si="1">SUM(C10:N10)</f>
        <v>17</v>
      </c>
      <c r="R10" s="1" t="s">
        <v>6</v>
      </c>
      <c r="S10" s="17">
        <f t="shared" ref="S10:AF10" si="2">SUM(C10:C13)</f>
        <v>11</v>
      </c>
      <c r="T10" s="17">
        <f t="shared" si="2"/>
        <v>2</v>
      </c>
      <c r="U10" s="17">
        <f t="shared" si="2"/>
        <v>7</v>
      </c>
      <c r="V10" s="17">
        <f t="shared" si="2"/>
        <v>27</v>
      </c>
      <c r="W10" s="17">
        <f t="shared" si="2"/>
        <v>0</v>
      </c>
      <c r="X10" s="17">
        <f t="shared" si="2"/>
        <v>0</v>
      </c>
      <c r="Y10" s="17">
        <f t="shared" si="2"/>
        <v>7</v>
      </c>
      <c r="Z10" s="17">
        <f t="shared" si="2"/>
        <v>4</v>
      </c>
      <c r="AA10" s="17">
        <f t="shared" si="2"/>
        <v>2</v>
      </c>
      <c r="AB10" s="17">
        <f t="shared" si="2"/>
        <v>2</v>
      </c>
      <c r="AC10" s="17">
        <f t="shared" si="2"/>
        <v>23</v>
      </c>
      <c r="AD10" s="17">
        <f t="shared" si="2"/>
        <v>0</v>
      </c>
      <c r="AE10" s="31">
        <f t="shared" si="2"/>
        <v>62</v>
      </c>
      <c r="AF10" s="31">
        <f t="shared" si="2"/>
        <v>85</v>
      </c>
    </row>
    <row r="11" spans="2:32" s="6" customFormat="1" ht="23.1" customHeight="1" x14ac:dyDescent="0.25">
      <c r="B11" s="45" t="s">
        <v>38</v>
      </c>
      <c r="C11" s="50">
        <v>3</v>
      </c>
      <c r="D11" s="50">
        <v>0</v>
      </c>
      <c r="E11" s="50">
        <v>2</v>
      </c>
      <c r="F11" s="50">
        <v>0</v>
      </c>
      <c r="G11" s="50">
        <v>0</v>
      </c>
      <c r="H11" s="50">
        <v>0</v>
      </c>
      <c r="I11" s="50">
        <v>1</v>
      </c>
      <c r="J11" s="50">
        <v>1</v>
      </c>
      <c r="K11" s="50">
        <v>0</v>
      </c>
      <c r="L11" s="50">
        <v>0</v>
      </c>
      <c r="M11" s="50">
        <v>6</v>
      </c>
      <c r="N11" s="50">
        <v>0</v>
      </c>
      <c r="O11" s="15">
        <f t="shared" si="0"/>
        <v>7</v>
      </c>
      <c r="P11" s="15">
        <f t="shared" si="1"/>
        <v>13</v>
      </c>
      <c r="R11" s="1" t="s">
        <v>7</v>
      </c>
      <c r="S11" s="17">
        <f t="shared" ref="S11:AF11" si="3">SUM(C14:C17)</f>
        <v>3</v>
      </c>
      <c r="T11" s="17">
        <f t="shared" si="3"/>
        <v>3</v>
      </c>
      <c r="U11" s="17">
        <f t="shared" si="3"/>
        <v>7</v>
      </c>
      <c r="V11" s="17">
        <f t="shared" si="3"/>
        <v>26</v>
      </c>
      <c r="W11" s="17">
        <f t="shared" si="3"/>
        <v>3</v>
      </c>
      <c r="X11" s="17">
        <f t="shared" si="3"/>
        <v>0</v>
      </c>
      <c r="Y11" s="17">
        <f t="shared" si="3"/>
        <v>1</v>
      </c>
      <c r="Z11" s="17">
        <f t="shared" si="3"/>
        <v>6</v>
      </c>
      <c r="AA11" s="17">
        <f t="shared" si="3"/>
        <v>2</v>
      </c>
      <c r="AB11" s="17">
        <f t="shared" si="3"/>
        <v>8</v>
      </c>
      <c r="AC11" s="17">
        <f t="shared" si="3"/>
        <v>20</v>
      </c>
      <c r="AD11" s="17">
        <f t="shared" si="3"/>
        <v>1</v>
      </c>
      <c r="AE11" s="31">
        <f t="shared" si="3"/>
        <v>60</v>
      </c>
      <c r="AF11" s="31">
        <f t="shared" si="3"/>
        <v>80</v>
      </c>
    </row>
    <row r="12" spans="2:32" ht="23.1" customHeight="1" x14ac:dyDescent="0.25">
      <c r="B12" s="45" t="s">
        <v>39</v>
      </c>
      <c r="C12" s="50">
        <v>4</v>
      </c>
      <c r="D12" s="50">
        <v>1</v>
      </c>
      <c r="E12" s="50">
        <v>2</v>
      </c>
      <c r="F12" s="50">
        <v>10</v>
      </c>
      <c r="G12" s="50">
        <v>0</v>
      </c>
      <c r="H12" s="50">
        <v>0</v>
      </c>
      <c r="I12" s="50">
        <v>0</v>
      </c>
      <c r="J12" s="50">
        <v>0</v>
      </c>
      <c r="K12" s="50">
        <v>0</v>
      </c>
      <c r="L12" s="50">
        <v>2</v>
      </c>
      <c r="M12" s="50">
        <v>7</v>
      </c>
      <c r="N12" s="50">
        <v>0</v>
      </c>
      <c r="O12" s="15">
        <f t="shared" si="0"/>
        <v>19</v>
      </c>
      <c r="P12" s="15">
        <f t="shared" si="1"/>
        <v>26</v>
      </c>
      <c r="R12" s="1" t="s">
        <v>8</v>
      </c>
      <c r="S12" s="17">
        <f t="shared" ref="S12:AF12" si="4">SUM(C18:C21)</f>
        <v>6</v>
      </c>
      <c r="T12" s="17">
        <f t="shared" si="4"/>
        <v>2</v>
      </c>
      <c r="U12" s="17">
        <f t="shared" si="4"/>
        <v>6</v>
      </c>
      <c r="V12" s="17">
        <f t="shared" si="4"/>
        <v>26</v>
      </c>
      <c r="W12" s="17">
        <f t="shared" si="4"/>
        <v>1</v>
      </c>
      <c r="X12" s="17">
        <f t="shared" si="4"/>
        <v>2</v>
      </c>
      <c r="Y12" s="17">
        <f t="shared" si="4"/>
        <v>2</v>
      </c>
      <c r="Z12" s="17">
        <f t="shared" si="4"/>
        <v>1</v>
      </c>
      <c r="AA12" s="17">
        <f t="shared" si="4"/>
        <v>1</v>
      </c>
      <c r="AB12" s="17">
        <f t="shared" si="4"/>
        <v>4</v>
      </c>
      <c r="AC12" s="17">
        <f t="shared" si="4"/>
        <v>21</v>
      </c>
      <c r="AD12" s="17">
        <f t="shared" si="4"/>
        <v>0</v>
      </c>
      <c r="AE12" s="31">
        <f t="shared" si="4"/>
        <v>51</v>
      </c>
      <c r="AF12" s="31">
        <f t="shared" si="4"/>
        <v>72</v>
      </c>
    </row>
    <row r="13" spans="2:32" ht="23.1" customHeight="1" x14ac:dyDescent="0.25">
      <c r="B13" s="45" t="s">
        <v>40</v>
      </c>
      <c r="C13" s="50">
        <v>3</v>
      </c>
      <c r="D13" s="50">
        <v>1</v>
      </c>
      <c r="E13" s="50">
        <v>2</v>
      </c>
      <c r="F13" s="50">
        <v>11</v>
      </c>
      <c r="G13" s="50">
        <v>0</v>
      </c>
      <c r="H13" s="50">
        <v>0</v>
      </c>
      <c r="I13" s="50">
        <v>2</v>
      </c>
      <c r="J13" s="50">
        <v>3</v>
      </c>
      <c r="K13" s="50">
        <v>1</v>
      </c>
      <c r="L13" s="50">
        <v>0</v>
      </c>
      <c r="M13" s="50">
        <v>6</v>
      </c>
      <c r="N13" s="50">
        <v>0</v>
      </c>
      <c r="O13" s="15">
        <f t="shared" si="0"/>
        <v>23</v>
      </c>
      <c r="P13" s="15">
        <f t="shared" si="1"/>
        <v>29</v>
      </c>
      <c r="R13" s="1" t="s">
        <v>9</v>
      </c>
      <c r="S13" s="17">
        <f t="shared" ref="S13:AF13" si="5">SUM(C22:C25)</f>
        <v>6</v>
      </c>
      <c r="T13" s="17">
        <f t="shared" si="5"/>
        <v>2</v>
      </c>
      <c r="U13" s="17">
        <f t="shared" si="5"/>
        <v>2</v>
      </c>
      <c r="V13" s="17">
        <f t="shared" si="5"/>
        <v>28</v>
      </c>
      <c r="W13" s="17">
        <f t="shared" si="5"/>
        <v>0</v>
      </c>
      <c r="X13" s="17">
        <f t="shared" si="5"/>
        <v>2</v>
      </c>
      <c r="Y13" s="17">
        <f t="shared" si="5"/>
        <v>1</v>
      </c>
      <c r="Z13" s="17">
        <f t="shared" si="5"/>
        <v>5</v>
      </c>
      <c r="AA13" s="17">
        <f t="shared" si="5"/>
        <v>1</v>
      </c>
      <c r="AB13" s="17">
        <f t="shared" si="5"/>
        <v>0</v>
      </c>
      <c r="AC13" s="17">
        <f t="shared" si="5"/>
        <v>23</v>
      </c>
      <c r="AD13" s="17">
        <f t="shared" si="5"/>
        <v>0</v>
      </c>
      <c r="AE13" s="31">
        <f t="shared" si="5"/>
        <v>47</v>
      </c>
      <c r="AF13" s="31">
        <f t="shared" si="5"/>
        <v>70</v>
      </c>
    </row>
    <row r="14" spans="2:32" ht="23.1" customHeight="1" x14ac:dyDescent="0.25">
      <c r="B14" s="45" t="s">
        <v>41</v>
      </c>
      <c r="C14" s="50">
        <v>1</v>
      </c>
      <c r="D14" s="50">
        <v>1</v>
      </c>
      <c r="E14" s="50">
        <v>3</v>
      </c>
      <c r="F14" s="50">
        <v>3</v>
      </c>
      <c r="G14" s="50">
        <v>1</v>
      </c>
      <c r="H14" s="50">
        <v>0</v>
      </c>
      <c r="I14" s="50">
        <v>0</v>
      </c>
      <c r="J14" s="50">
        <v>1</v>
      </c>
      <c r="K14" s="50">
        <v>1</v>
      </c>
      <c r="L14" s="50">
        <v>5</v>
      </c>
      <c r="M14" s="50">
        <v>2</v>
      </c>
      <c r="N14" s="50">
        <v>1</v>
      </c>
      <c r="O14" s="15">
        <f t="shared" si="0"/>
        <v>17</v>
      </c>
      <c r="P14" s="15">
        <f t="shared" si="1"/>
        <v>19</v>
      </c>
      <c r="R14" s="1" t="s">
        <v>10</v>
      </c>
      <c r="S14" s="17">
        <f t="shared" ref="S14:AF14" si="6">SUM(C26:C29)</f>
        <v>10</v>
      </c>
      <c r="T14" s="17">
        <f t="shared" si="6"/>
        <v>2</v>
      </c>
      <c r="U14" s="17">
        <f t="shared" si="6"/>
        <v>4</v>
      </c>
      <c r="V14" s="17">
        <f t="shared" si="6"/>
        <v>40</v>
      </c>
      <c r="W14" s="17">
        <f t="shared" si="6"/>
        <v>0</v>
      </c>
      <c r="X14" s="17">
        <f t="shared" si="6"/>
        <v>0</v>
      </c>
      <c r="Y14" s="17">
        <f t="shared" si="6"/>
        <v>2</v>
      </c>
      <c r="Z14" s="17">
        <f t="shared" si="6"/>
        <v>4</v>
      </c>
      <c r="AA14" s="17">
        <f t="shared" si="6"/>
        <v>4</v>
      </c>
      <c r="AB14" s="17">
        <f t="shared" si="6"/>
        <v>1</v>
      </c>
      <c r="AC14" s="17">
        <f t="shared" si="6"/>
        <v>26</v>
      </c>
      <c r="AD14" s="17">
        <f t="shared" si="6"/>
        <v>0</v>
      </c>
      <c r="AE14" s="31">
        <f t="shared" si="6"/>
        <v>67</v>
      </c>
      <c r="AF14" s="31">
        <f t="shared" si="6"/>
        <v>93</v>
      </c>
    </row>
    <row r="15" spans="2:32" ht="23.1" customHeight="1" x14ac:dyDescent="0.25">
      <c r="B15" s="45" t="s">
        <v>42</v>
      </c>
      <c r="C15" s="50">
        <v>1</v>
      </c>
      <c r="D15" s="50">
        <v>1</v>
      </c>
      <c r="E15" s="50">
        <v>1</v>
      </c>
      <c r="F15" s="50">
        <v>7</v>
      </c>
      <c r="G15" s="50">
        <v>1</v>
      </c>
      <c r="H15" s="50">
        <v>0</v>
      </c>
      <c r="I15" s="50">
        <v>0</v>
      </c>
      <c r="J15" s="50">
        <v>2</v>
      </c>
      <c r="K15" s="50">
        <v>0</v>
      </c>
      <c r="L15" s="50">
        <v>1</v>
      </c>
      <c r="M15" s="50">
        <v>5</v>
      </c>
      <c r="N15" s="50">
        <v>0</v>
      </c>
      <c r="O15" s="15">
        <f t="shared" si="0"/>
        <v>14</v>
      </c>
      <c r="P15" s="15">
        <f t="shared" si="1"/>
        <v>19</v>
      </c>
      <c r="R15" s="1" t="s">
        <v>11</v>
      </c>
      <c r="S15" s="17">
        <f t="shared" ref="S15:AF15" si="7">SUM(C30:C33)</f>
        <v>4</v>
      </c>
      <c r="T15" s="17">
        <f t="shared" si="7"/>
        <v>7</v>
      </c>
      <c r="U15" s="17">
        <f t="shared" si="7"/>
        <v>4</v>
      </c>
      <c r="V15" s="17">
        <f t="shared" si="7"/>
        <v>34</v>
      </c>
      <c r="W15" s="17">
        <f t="shared" si="7"/>
        <v>0</v>
      </c>
      <c r="X15" s="17">
        <f t="shared" si="7"/>
        <v>0</v>
      </c>
      <c r="Y15" s="17">
        <f t="shared" si="7"/>
        <v>4</v>
      </c>
      <c r="Z15" s="17">
        <f t="shared" si="7"/>
        <v>10</v>
      </c>
      <c r="AA15" s="17">
        <f t="shared" si="7"/>
        <v>2</v>
      </c>
      <c r="AB15" s="17">
        <f t="shared" si="7"/>
        <v>4</v>
      </c>
      <c r="AC15" s="17">
        <f t="shared" si="7"/>
        <v>40</v>
      </c>
      <c r="AD15" s="17">
        <f t="shared" si="7"/>
        <v>0</v>
      </c>
      <c r="AE15" s="31">
        <f t="shared" si="7"/>
        <v>69</v>
      </c>
      <c r="AF15" s="31">
        <f t="shared" si="7"/>
        <v>109</v>
      </c>
    </row>
    <row r="16" spans="2:32" ht="23.1" customHeight="1" x14ac:dyDescent="0.25">
      <c r="B16" s="45" t="s">
        <v>43</v>
      </c>
      <c r="C16" s="50">
        <v>1</v>
      </c>
      <c r="D16" s="50">
        <v>0</v>
      </c>
      <c r="E16" s="50">
        <v>3</v>
      </c>
      <c r="F16" s="50">
        <v>8</v>
      </c>
      <c r="G16" s="50">
        <v>1</v>
      </c>
      <c r="H16" s="50">
        <v>0</v>
      </c>
      <c r="I16" s="50">
        <v>1</v>
      </c>
      <c r="J16" s="50">
        <v>2</v>
      </c>
      <c r="K16" s="50">
        <v>0</v>
      </c>
      <c r="L16" s="50">
        <v>1</v>
      </c>
      <c r="M16" s="50">
        <v>7</v>
      </c>
      <c r="N16" s="50">
        <v>0</v>
      </c>
      <c r="O16" s="15">
        <f t="shared" si="0"/>
        <v>17</v>
      </c>
      <c r="P16" s="15">
        <f t="shared" si="1"/>
        <v>24</v>
      </c>
      <c r="R16" s="1" t="s">
        <v>12</v>
      </c>
      <c r="S16" s="17">
        <f t="shared" ref="S16:AF16" si="8">SUM(C34:C37)</f>
        <v>13</v>
      </c>
      <c r="T16" s="17">
        <f t="shared" si="8"/>
        <v>5</v>
      </c>
      <c r="U16" s="17">
        <f t="shared" si="8"/>
        <v>10</v>
      </c>
      <c r="V16" s="17">
        <f t="shared" si="8"/>
        <v>49</v>
      </c>
      <c r="W16" s="17">
        <f t="shared" si="8"/>
        <v>2</v>
      </c>
      <c r="X16" s="17">
        <f t="shared" si="8"/>
        <v>4</v>
      </c>
      <c r="Y16" s="17">
        <f t="shared" si="8"/>
        <v>3</v>
      </c>
      <c r="Z16" s="17">
        <f t="shared" si="8"/>
        <v>6</v>
      </c>
      <c r="AA16" s="17">
        <f t="shared" si="8"/>
        <v>1</v>
      </c>
      <c r="AB16" s="17">
        <f t="shared" si="8"/>
        <v>1</v>
      </c>
      <c r="AC16" s="17">
        <f t="shared" si="8"/>
        <v>43</v>
      </c>
      <c r="AD16" s="17">
        <f t="shared" si="8"/>
        <v>1</v>
      </c>
      <c r="AE16" s="31">
        <f t="shared" si="8"/>
        <v>95</v>
      </c>
      <c r="AF16" s="31">
        <f t="shared" si="8"/>
        <v>138</v>
      </c>
    </row>
    <row r="17" spans="2:32" ht="23.1" customHeight="1" x14ac:dyDescent="0.25">
      <c r="B17" s="45" t="s">
        <v>44</v>
      </c>
      <c r="C17" s="50">
        <v>0</v>
      </c>
      <c r="D17" s="50">
        <v>1</v>
      </c>
      <c r="E17" s="50">
        <v>0</v>
      </c>
      <c r="F17" s="50">
        <v>8</v>
      </c>
      <c r="G17" s="50">
        <v>0</v>
      </c>
      <c r="H17" s="50">
        <v>0</v>
      </c>
      <c r="I17" s="50">
        <v>0</v>
      </c>
      <c r="J17" s="50">
        <v>1</v>
      </c>
      <c r="K17" s="50">
        <v>1</v>
      </c>
      <c r="L17" s="50">
        <v>1</v>
      </c>
      <c r="M17" s="50">
        <v>6</v>
      </c>
      <c r="N17" s="50">
        <v>0</v>
      </c>
      <c r="O17" s="15">
        <f t="shared" si="0"/>
        <v>12</v>
      </c>
      <c r="P17" s="15">
        <f t="shared" si="1"/>
        <v>18</v>
      </c>
      <c r="R17" s="1" t="s">
        <v>13</v>
      </c>
      <c r="S17" s="17">
        <f t="shared" ref="S17:AF17" si="9">SUM(C38:C41)</f>
        <v>8</v>
      </c>
      <c r="T17" s="17">
        <f t="shared" si="9"/>
        <v>5</v>
      </c>
      <c r="U17" s="17">
        <f t="shared" si="9"/>
        <v>10</v>
      </c>
      <c r="V17" s="17">
        <f t="shared" si="9"/>
        <v>32</v>
      </c>
      <c r="W17" s="17">
        <f t="shared" si="9"/>
        <v>0</v>
      </c>
      <c r="X17" s="17">
        <f t="shared" si="9"/>
        <v>1</v>
      </c>
      <c r="Y17" s="17">
        <f t="shared" si="9"/>
        <v>3</v>
      </c>
      <c r="Z17" s="17">
        <f t="shared" si="9"/>
        <v>3</v>
      </c>
      <c r="AA17" s="17">
        <f t="shared" si="9"/>
        <v>4</v>
      </c>
      <c r="AB17" s="17">
        <f t="shared" si="9"/>
        <v>1</v>
      </c>
      <c r="AC17" s="17">
        <f t="shared" si="9"/>
        <v>36</v>
      </c>
      <c r="AD17" s="17">
        <f t="shared" si="9"/>
        <v>0</v>
      </c>
      <c r="AE17" s="31">
        <f t="shared" si="9"/>
        <v>67</v>
      </c>
      <c r="AF17" s="31">
        <f t="shared" si="9"/>
        <v>103</v>
      </c>
    </row>
    <row r="18" spans="2:32" ht="23.1" customHeight="1" x14ac:dyDescent="0.25">
      <c r="B18" s="45" t="s">
        <v>45</v>
      </c>
      <c r="C18" s="50">
        <v>0</v>
      </c>
      <c r="D18" s="50">
        <v>0</v>
      </c>
      <c r="E18" s="50">
        <v>1</v>
      </c>
      <c r="F18" s="50">
        <v>5</v>
      </c>
      <c r="G18" s="50">
        <v>0</v>
      </c>
      <c r="H18" s="50">
        <v>0</v>
      </c>
      <c r="I18" s="50">
        <v>1</v>
      </c>
      <c r="J18" s="50">
        <v>0</v>
      </c>
      <c r="K18" s="50">
        <v>0</v>
      </c>
      <c r="L18" s="50">
        <v>1</v>
      </c>
      <c r="M18" s="50">
        <v>4</v>
      </c>
      <c r="N18" s="50">
        <v>0</v>
      </c>
      <c r="O18" s="15">
        <f t="shared" si="0"/>
        <v>8</v>
      </c>
      <c r="P18" s="15">
        <f t="shared" si="1"/>
        <v>12</v>
      </c>
      <c r="R18" s="1" t="s">
        <v>14</v>
      </c>
      <c r="S18" s="17">
        <f t="shared" ref="S18:AF18" si="10">SUM(C42:C45)</f>
        <v>7</v>
      </c>
      <c r="T18" s="17">
        <f t="shared" si="10"/>
        <v>4</v>
      </c>
      <c r="U18" s="17">
        <f t="shared" si="10"/>
        <v>5</v>
      </c>
      <c r="V18" s="17">
        <f t="shared" si="10"/>
        <v>29</v>
      </c>
      <c r="W18" s="17">
        <f t="shared" si="10"/>
        <v>0</v>
      </c>
      <c r="X18" s="17">
        <f t="shared" si="10"/>
        <v>5</v>
      </c>
      <c r="Y18" s="17">
        <f t="shared" si="10"/>
        <v>4</v>
      </c>
      <c r="Z18" s="17">
        <f t="shared" si="10"/>
        <v>7</v>
      </c>
      <c r="AA18" s="17">
        <f t="shared" si="10"/>
        <v>1</v>
      </c>
      <c r="AB18" s="17">
        <f t="shared" si="10"/>
        <v>0</v>
      </c>
      <c r="AC18" s="17">
        <f t="shared" si="10"/>
        <v>23</v>
      </c>
      <c r="AD18" s="17">
        <f t="shared" si="10"/>
        <v>1</v>
      </c>
      <c r="AE18" s="31">
        <f t="shared" si="10"/>
        <v>63</v>
      </c>
      <c r="AF18" s="31">
        <f t="shared" si="10"/>
        <v>86</v>
      </c>
    </row>
    <row r="19" spans="2:32" ht="23.1" customHeight="1" x14ac:dyDescent="0.25">
      <c r="B19" s="45" t="s">
        <v>46</v>
      </c>
      <c r="C19" s="50">
        <v>1</v>
      </c>
      <c r="D19" s="50">
        <v>0</v>
      </c>
      <c r="E19" s="50">
        <v>0</v>
      </c>
      <c r="F19" s="50">
        <v>6</v>
      </c>
      <c r="G19" s="50">
        <v>0</v>
      </c>
      <c r="H19" s="50">
        <v>1</v>
      </c>
      <c r="I19" s="50">
        <v>1</v>
      </c>
      <c r="J19" s="50">
        <v>0</v>
      </c>
      <c r="K19" s="50">
        <v>1</v>
      </c>
      <c r="L19" s="50">
        <v>1</v>
      </c>
      <c r="M19" s="50">
        <v>5</v>
      </c>
      <c r="N19" s="50">
        <v>0</v>
      </c>
      <c r="O19" s="15">
        <f t="shared" si="0"/>
        <v>11</v>
      </c>
      <c r="P19" s="15">
        <f t="shared" si="1"/>
        <v>16</v>
      </c>
      <c r="R19" s="1" t="s">
        <v>15</v>
      </c>
      <c r="S19" s="17">
        <f t="shared" ref="S19:AF19" si="11">SUM(C46:C49)</f>
        <v>13</v>
      </c>
      <c r="T19" s="17">
        <f t="shared" si="11"/>
        <v>6</v>
      </c>
      <c r="U19" s="17">
        <f t="shared" si="11"/>
        <v>11</v>
      </c>
      <c r="V19" s="17">
        <f t="shared" si="11"/>
        <v>38</v>
      </c>
      <c r="W19" s="17">
        <f t="shared" si="11"/>
        <v>0</v>
      </c>
      <c r="X19" s="17">
        <f t="shared" si="11"/>
        <v>1</v>
      </c>
      <c r="Y19" s="17">
        <f t="shared" si="11"/>
        <v>2</v>
      </c>
      <c r="Z19" s="17">
        <f t="shared" si="11"/>
        <v>10</v>
      </c>
      <c r="AA19" s="17">
        <f t="shared" si="11"/>
        <v>4</v>
      </c>
      <c r="AB19" s="17">
        <f t="shared" si="11"/>
        <v>0</v>
      </c>
      <c r="AC19" s="17">
        <f t="shared" si="11"/>
        <v>33</v>
      </c>
      <c r="AD19" s="17">
        <f t="shared" si="11"/>
        <v>0</v>
      </c>
      <c r="AE19" s="31">
        <f t="shared" si="11"/>
        <v>85</v>
      </c>
      <c r="AF19" s="31">
        <f t="shared" si="11"/>
        <v>118</v>
      </c>
    </row>
    <row r="20" spans="2:32" ht="23.1" customHeight="1" x14ac:dyDescent="0.25">
      <c r="B20" s="45" t="s">
        <v>47</v>
      </c>
      <c r="C20" s="50">
        <v>1</v>
      </c>
      <c r="D20" s="50">
        <v>1</v>
      </c>
      <c r="E20" s="50">
        <v>1</v>
      </c>
      <c r="F20" s="50">
        <v>11</v>
      </c>
      <c r="G20" s="50">
        <v>0</v>
      </c>
      <c r="H20" s="50">
        <v>1</v>
      </c>
      <c r="I20" s="50">
        <v>0</v>
      </c>
      <c r="J20" s="50">
        <v>0</v>
      </c>
      <c r="K20" s="50">
        <v>0</v>
      </c>
      <c r="L20" s="53">
        <v>1</v>
      </c>
      <c r="M20" s="50">
        <v>4</v>
      </c>
      <c r="N20" s="50">
        <v>0</v>
      </c>
      <c r="O20" s="15">
        <f t="shared" si="0"/>
        <v>16</v>
      </c>
      <c r="P20" s="15">
        <f t="shared" si="1"/>
        <v>20</v>
      </c>
      <c r="R20" s="1" t="s">
        <v>16</v>
      </c>
      <c r="S20" s="17">
        <f t="shared" ref="S20:AF20" si="12">SUM(C50:C53)</f>
        <v>24</v>
      </c>
      <c r="T20" s="17">
        <f t="shared" si="12"/>
        <v>5</v>
      </c>
      <c r="U20" s="17">
        <f t="shared" si="12"/>
        <v>19</v>
      </c>
      <c r="V20" s="17">
        <f t="shared" si="12"/>
        <v>46</v>
      </c>
      <c r="W20" s="17">
        <f t="shared" si="12"/>
        <v>4</v>
      </c>
      <c r="X20" s="17">
        <f t="shared" si="12"/>
        <v>1</v>
      </c>
      <c r="Y20" s="17">
        <f t="shared" si="12"/>
        <v>3</v>
      </c>
      <c r="Z20" s="17">
        <f t="shared" si="12"/>
        <v>5</v>
      </c>
      <c r="AA20" s="17">
        <f t="shared" si="12"/>
        <v>1</v>
      </c>
      <c r="AB20" s="17">
        <f t="shared" si="12"/>
        <v>1</v>
      </c>
      <c r="AC20" s="17">
        <f t="shared" si="12"/>
        <v>60</v>
      </c>
      <c r="AD20" s="17">
        <f t="shared" si="12"/>
        <v>0</v>
      </c>
      <c r="AE20" s="31">
        <f t="shared" si="12"/>
        <v>109</v>
      </c>
      <c r="AF20" s="31">
        <f t="shared" si="12"/>
        <v>169</v>
      </c>
    </row>
    <row r="21" spans="2:32" ht="23.1" customHeight="1" x14ac:dyDescent="0.25">
      <c r="B21" s="45" t="s">
        <v>48</v>
      </c>
      <c r="C21" s="50">
        <v>4</v>
      </c>
      <c r="D21" s="50">
        <v>1</v>
      </c>
      <c r="E21" s="50">
        <v>4</v>
      </c>
      <c r="F21" s="50">
        <v>4</v>
      </c>
      <c r="G21" s="50">
        <v>1</v>
      </c>
      <c r="H21" s="50">
        <v>0</v>
      </c>
      <c r="I21" s="50">
        <v>0</v>
      </c>
      <c r="J21" s="50">
        <v>1</v>
      </c>
      <c r="K21" s="50">
        <v>0</v>
      </c>
      <c r="L21" s="50">
        <v>1</v>
      </c>
      <c r="M21" s="50">
        <v>8</v>
      </c>
      <c r="N21" s="50">
        <v>0</v>
      </c>
      <c r="O21" s="15">
        <f t="shared" si="0"/>
        <v>16</v>
      </c>
      <c r="P21" s="15">
        <f t="shared" si="1"/>
        <v>24</v>
      </c>
      <c r="R21" s="36" t="s">
        <v>20</v>
      </c>
      <c r="S21" s="34">
        <f t="shared" ref="S21:AF21" si="13">SUM(C54:C57)</f>
        <v>10</v>
      </c>
      <c r="T21" s="17">
        <f t="shared" si="13"/>
        <v>4</v>
      </c>
      <c r="U21" s="17">
        <f t="shared" si="13"/>
        <v>15</v>
      </c>
      <c r="V21" s="17">
        <f t="shared" si="13"/>
        <v>37</v>
      </c>
      <c r="W21" s="17">
        <f t="shared" si="13"/>
        <v>2</v>
      </c>
      <c r="X21" s="17">
        <f t="shared" si="13"/>
        <v>3</v>
      </c>
      <c r="Y21" s="17">
        <f t="shared" si="13"/>
        <v>0</v>
      </c>
      <c r="Z21" s="17">
        <f t="shared" si="13"/>
        <v>8</v>
      </c>
      <c r="AA21" s="17">
        <f t="shared" si="13"/>
        <v>3</v>
      </c>
      <c r="AB21" s="17">
        <f t="shared" si="13"/>
        <v>0</v>
      </c>
      <c r="AC21" s="17">
        <f t="shared" si="13"/>
        <v>47</v>
      </c>
      <c r="AD21" s="17">
        <f t="shared" si="13"/>
        <v>0</v>
      </c>
      <c r="AE21" s="31">
        <f t="shared" si="13"/>
        <v>82</v>
      </c>
      <c r="AF21" s="31">
        <f t="shared" si="13"/>
        <v>129</v>
      </c>
    </row>
    <row r="22" spans="2:32" ht="23.1" customHeight="1" x14ac:dyDescent="0.25">
      <c r="B22" s="45" t="s">
        <v>49</v>
      </c>
      <c r="C22" s="50">
        <v>1</v>
      </c>
      <c r="D22" s="50">
        <v>1</v>
      </c>
      <c r="E22" s="50">
        <v>0</v>
      </c>
      <c r="F22" s="50">
        <v>9</v>
      </c>
      <c r="G22" s="50">
        <v>0</v>
      </c>
      <c r="H22" s="50">
        <v>0</v>
      </c>
      <c r="I22" s="50">
        <v>1</v>
      </c>
      <c r="J22" s="50">
        <v>0</v>
      </c>
      <c r="K22" s="50">
        <v>0</v>
      </c>
      <c r="L22" s="50">
        <v>0</v>
      </c>
      <c r="M22" s="50">
        <v>4</v>
      </c>
      <c r="N22" s="50">
        <v>0</v>
      </c>
      <c r="O22" s="15">
        <f t="shared" si="0"/>
        <v>12</v>
      </c>
      <c r="P22" s="15">
        <f t="shared" si="1"/>
        <v>16</v>
      </c>
      <c r="R22" s="36" t="s">
        <v>146</v>
      </c>
      <c r="S22" s="34">
        <f>SUM(C58:C61)</f>
        <v>19</v>
      </c>
      <c r="T22" s="34">
        <f t="shared" ref="T22:AF22" si="14">SUM(D58:D61)</f>
        <v>8</v>
      </c>
      <c r="U22" s="34">
        <f t="shared" si="14"/>
        <v>7</v>
      </c>
      <c r="V22" s="34">
        <f t="shared" si="14"/>
        <v>30</v>
      </c>
      <c r="W22" s="34">
        <f t="shared" si="14"/>
        <v>3</v>
      </c>
      <c r="X22" s="34">
        <f t="shared" si="14"/>
        <v>0</v>
      </c>
      <c r="Y22" s="34">
        <f t="shared" si="14"/>
        <v>18</v>
      </c>
      <c r="Z22" s="34">
        <f t="shared" si="14"/>
        <v>0</v>
      </c>
      <c r="AA22" s="34">
        <f t="shared" si="14"/>
        <v>3</v>
      </c>
      <c r="AB22" s="34">
        <f t="shared" si="14"/>
        <v>1</v>
      </c>
      <c r="AC22" s="34">
        <f t="shared" si="14"/>
        <v>53</v>
      </c>
      <c r="AD22" s="34">
        <f t="shared" si="14"/>
        <v>0</v>
      </c>
      <c r="AE22" s="31">
        <f t="shared" si="14"/>
        <v>89</v>
      </c>
      <c r="AF22" s="31">
        <f t="shared" si="14"/>
        <v>142</v>
      </c>
    </row>
    <row r="23" spans="2:32" ht="23.1" customHeight="1" x14ac:dyDescent="0.25">
      <c r="B23" s="45" t="s">
        <v>50</v>
      </c>
      <c r="C23" s="50">
        <v>3</v>
      </c>
      <c r="D23" s="50">
        <v>1</v>
      </c>
      <c r="E23" s="50">
        <v>0</v>
      </c>
      <c r="F23" s="50">
        <v>5</v>
      </c>
      <c r="G23" s="50">
        <v>0</v>
      </c>
      <c r="H23" s="50">
        <v>0</v>
      </c>
      <c r="I23" s="50">
        <v>0</v>
      </c>
      <c r="J23" s="50">
        <v>2</v>
      </c>
      <c r="K23" s="50">
        <v>0</v>
      </c>
      <c r="L23" s="50">
        <v>0</v>
      </c>
      <c r="M23" s="50">
        <v>7</v>
      </c>
      <c r="N23" s="50">
        <v>0</v>
      </c>
      <c r="O23" s="15">
        <f t="shared" si="0"/>
        <v>11</v>
      </c>
      <c r="P23" s="15">
        <f t="shared" si="1"/>
        <v>18</v>
      </c>
      <c r="R23" s="36" t="s">
        <v>147</v>
      </c>
      <c r="S23" s="34">
        <f>SUM(C62:C65)</f>
        <v>24</v>
      </c>
      <c r="T23" s="34">
        <f t="shared" ref="T23:AF23" si="15">SUM(D62:D65)</f>
        <v>4</v>
      </c>
      <c r="U23" s="34">
        <f t="shared" si="15"/>
        <v>5</v>
      </c>
      <c r="V23" s="34">
        <f t="shared" si="15"/>
        <v>15</v>
      </c>
      <c r="W23" s="34">
        <f t="shared" si="15"/>
        <v>0</v>
      </c>
      <c r="X23" s="34">
        <f t="shared" si="15"/>
        <v>1</v>
      </c>
      <c r="Y23" s="34">
        <f t="shared" si="15"/>
        <v>11</v>
      </c>
      <c r="Z23" s="34">
        <f t="shared" si="15"/>
        <v>0</v>
      </c>
      <c r="AA23" s="34">
        <f t="shared" si="15"/>
        <v>5</v>
      </c>
      <c r="AB23" s="34">
        <f t="shared" si="15"/>
        <v>0</v>
      </c>
      <c r="AC23" s="34">
        <f t="shared" si="15"/>
        <v>24</v>
      </c>
      <c r="AD23" s="34">
        <f t="shared" si="15"/>
        <v>0</v>
      </c>
      <c r="AE23" s="31">
        <f t="shared" si="15"/>
        <v>65</v>
      </c>
      <c r="AF23" s="31">
        <f t="shared" si="15"/>
        <v>89</v>
      </c>
    </row>
    <row r="24" spans="2:32" ht="23.1" customHeight="1" x14ac:dyDescent="0.25">
      <c r="B24" s="45" t="s">
        <v>51</v>
      </c>
      <c r="C24" s="50">
        <v>1</v>
      </c>
      <c r="D24" s="50">
        <v>0</v>
      </c>
      <c r="E24" s="50">
        <v>0</v>
      </c>
      <c r="F24" s="50">
        <v>7</v>
      </c>
      <c r="G24" s="50">
        <v>0</v>
      </c>
      <c r="H24" s="50">
        <v>0</v>
      </c>
      <c r="I24" s="50">
        <v>0</v>
      </c>
      <c r="J24" s="50">
        <v>2</v>
      </c>
      <c r="K24" s="50">
        <v>0</v>
      </c>
      <c r="L24" s="50">
        <v>0</v>
      </c>
      <c r="M24" s="50">
        <v>5</v>
      </c>
      <c r="N24" s="50">
        <v>0</v>
      </c>
      <c r="O24" s="15">
        <f t="shared" si="0"/>
        <v>10</v>
      </c>
      <c r="P24" s="15">
        <f t="shared" si="1"/>
        <v>15</v>
      </c>
      <c r="R24" s="36" t="s">
        <v>148</v>
      </c>
      <c r="S24" s="34">
        <f>SUM(C66:C69)</f>
        <v>2</v>
      </c>
      <c r="T24" s="34">
        <f t="shared" ref="T24:AF24" si="16">SUM(D66:D69)</f>
        <v>4</v>
      </c>
      <c r="U24" s="34">
        <f t="shared" si="16"/>
        <v>1</v>
      </c>
      <c r="V24" s="34">
        <f t="shared" si="16"/>
        <v>9</v>
      </c>
      <c r="W24" s="34">
        <f t="shared" si="16"/>
        <v>0</v>
      </c>
      <c r="X24" s="34">
        <f t="shared" si="16"/>
        <v>1</v>
      </c>
      <c r="Y24" s="34">
        <f t="shared" si="16"/>
        <v>12</v>
      </c>
      <c r="Z24" s="34">
        <f t="shared" si="16"/>
        <v>0</v>
      </c>
      <c r="AA24" s="34">
        <f t="shared" si="16"/>
        <v>3</v>
      </c>
      <c r="AB24" s="34">
        <f t="shared" si="16"/>
        <v>0</v>
      </c>
      <c r="AC24" s="34">
        <f t="shared" si="16"/>
        <v>10</v>
      </c>
      <c r="AD24" s="34">
        <f t="shared" si="16"/>
        <v>0</v>
      </c>
      <c r="AE24" s="31">
        <f t="shared" si="16"/>
        <v>32</v>
      </c>
      <c r="AF24" s="31">
        <f t="shared" si="16"/>
        <v>42</v>
      </c>
    </row>
    <row r="25" spans="2:32" ht="23.1" customHeight="1" x14ac:dyDescent="0.25">
      <c r="B25" s="45" t="s">
        <v>52</v>
      </c>
      <c r="C25" s="50">
        <v>1</v>
      </c>
      <c r="D25" s="50">
        <v>0</v>
      </c>
      <c r="E25" s="50">
        <v>2</v>
      </c>
      <c r="F25" s="50">
        <v>7</v>
      </c>
      <c r="G25" s="50">
        <v>0</v>
      </c>
      <c r="H25" s="50">
        <v>2</v>
      </c>
      <c r="I25" s="50">
        <v>0</v>
      </c>
      <c r="J25" s="50">
        <v>1</v>
      </c>
      <c r="K25" s="50">
        <v>1</v>
      </c>
      <c r="L25" s="50">
        <v>0</v>
      </c>
      <c r="M25" s="50">
        <v>7</v>
      </c>
      <c r="N25" s="50">
        <v>0</v>
      </c>
      <c r="O25" s="15">
        <f t="shared" si="0"/>
        <v>14</v>
      </c>
      <c r="P25" s="15">
        <f t="shared" si="1"/>
        <v>21</v>
      </c>
      <c r="R25" s="36" t="s">
        <v>149</v>
      </c>
      <c r="S25" s="34">
        <f>SUM(C70:C73)</f>
        <v>3</v>
      </c>
      <c r="T25" s="34">
        <f t="shared" ref="T25:AF25" si="17">SUM(D70:D73)</f>
        <v>1</v>
      </c>
      <c r="U25" s="34">
        <f t="shared" si="17"/>
        <v>0</v>
      </c>
      <c r="V25" s="34">
        <f t="shared" si="17"/>
        <v>3</v>
      </c>
      <c r="W25" s="34">
        <f t="shared" si="17"/>
        <v>0</v>
      </c>
      <c r="X25" s="34">
        <f t="shared" si="17"/>
        <v>0</v>
      </c>
      <c r="Y25" s="34">
        <f t="shared" si="17"/>
        <v>14</v>
      </c>
      <c r="Z25" s="34">
        <f t="shared" si="17"/>
        <v>0</v>
      </c>
      <c r="AA25" s="34">
        <f t="shared" si="17"/>
        <v>5</v>
      </c>
      <c r="AB25" s="34">
        <f t="shared" si="17"/>
        <v>0</v>
      </c>
      <c r="AC25" s="34">
        <f t="shared" si="17"/>
        <v>3</v>
      </c>
      <c r="AD25" s="34">
        <f t="shared" si="17"/>
        <v>0</v>
      </c>
      <c r="AE25" s="31">
        <f t="shared" si="17"/>
        <v>26</v>
      </c>
      <c r="AF25" s="31">
        <f t="shared" si="17"/>
        <v>29</v>
      </c>
    </row>
    <row r="26" spans="2:32" ht="23.1" customHeight="1" x14ac:dyDescent="0.25">
      <c r="B26" s="45" t="s">
        <v>53</v>
      </c>
      <c r="C26" s="50">
        <v>1</v>
      </c>
      <c r="D26" s="50">
        <v>0</v>
      </c>
      <c r="E26" s="50">
        <v>2</v>
      </c>
      <c r="F26" s="50">
        <v>10</v>
      </c>
      <c r="G26" s="50">
        <v>0</v>
      </c>
      <c r="H26" s="50">
        <v>0</v>
      </c>
      <c r="I26" s="50">
        <v>1</v>
      </c>
      <c r="J26" s="50">
        <v>2</v>
      </c>
      <c r="K26" s="50">
        <v>0</v>
      </c>
      <c r="L26" s="50">
        <v>0</v>
      </c>
      <c r="M26" s="50">
        <v>6</v>
      </c>
      <c r="N26" s="50">
        <v>0</v>
      </c>
      <c r="O26" s="15">
        <f t="shared" si="0"/>
        <v>16</v>
      </c>
      <c r="P26" s="15">
        <f t="shared" si="1"/>
        <v>22</v>
      </c>
      <c r="R26" s="36" t="s">
        <v>150</v>
      </c>
      <c r="S26" s="34">
        <f>SUM(C74:C77)</f>
        <v>2</v>
      </c>
      <c r="T26" s="34">
        <f t="shared" ref="T26:AF26" si="18">SUM(D74:D77)</f>
        <v>1</v>
      </c>
      <c r="U26" s="34">
        <f t="shared" si="18"/>
        <v>2</v>
      </c>
      <c r="V26" s="34">
        <f t="shared" si="18"/>
        <v>2</v>
      </c>
      <c r="W26" s="34">
        <f t="shared" si="18"/>
        <v>2</v>
      </c>
      <c r="X26" s="34">
        <f t="shared" si="18"/>
        <v>2</v>
      </c>
      <c r="Y26" s="34">
        <f t="shared" si="18"/>
        <v>1</v>
      </c>
      <c r="Z26" s="34">
        <f t="shared" si="18"/>
        <v>0</v>
      </c>
      <c r="AA26" s="34">
        <f t="shared" si="18"/>
        <v>1</v>
      </c>
      <c r="AB26" s="34">
        <f t="shared" si="18"/>
        <v>0</v>
      </c>
      <c r="AC26" s="34">
        <f t="shared" si="18"/>
        <v>0</v>
      </c>
      <c r="AD26" s="34">
        <f t="shared" si="18"/>
        <v>0</v>
      </c>
      <c r="AE26" s="31">
        <f t="shared" si="18"/>
        <v>13</v>
      </c>
      <c r="AF26" s="31">
        <f t="shared" si="18"/>
        <v>13</v>
      </c>
    </row>
    <row r="27" spans="2:32" ht="23.1" customHeight="1" x14ac:dyDescent="0.25">
      <c r="B27" s="45" t="s">
        <v>54</v>
      </c>
      <c r="C27" s="50">
        <v>2</v>
      </c>
      <c r="D27" s="50">
        <v>0</v>
      </c>
      <c r="E27" s="50">
        <v>0</v>
      </c>
      <c r="F27" s="50">
        <v>6</v>
      </c>
      <c r="G27" s="50">
        <v>0</v>
      </c>
      <c r="H27" s="50">
        <v>0</v>
      </c>
      <c r="I27" s="50">
        <v>0</v>
      </c>
      <c r="J27" s="50">
        <v>0</v>
      </c>
      <c r="K27" s="50">
        <v>0</v>
      </c>
      <c r="L27" s="50">
        <v>0</v>
      </c>
      <c r="M27" s="50">
        <v>5</v>
      </c>
      <c r="N27" s="50">
        <v>0</v>
      </c>
      <c r="O27" s="15">
        <f t="shared" si="0"/>
        <v>8</v>
      </c>
      <c r="P27" s="15">
        <f t="shared" si="1"/>
        <v>13</v>
      </c>
      <c r="R27" s="36" t="s">
        <v>151</v>
      </c>
      <c r="S27" s="34">
        <f>SUM(C78:C81)</f>
        <v>1</v>
      </c>
      <c r="T27" s="34">
        <f t="shared" ref="T27:AF27" si="19">SUM(D78:D81)</f>
        <v>1</v>
      </c>
      <c r="U27" s="34">
        <f t="shared" si="19"/>
        <v>2</v>
      </c>
      <c r="V27" s="34">
        <f t="shared" si="19"/>
        <v>1</v>
      </c>
      <c r="W27" s="34">
        <f t="shared" si="19"/>
        <v>1</v>
      </c>
      <c r="X27" s="34">
        <f t="shared" si="19"/>
        <v>6</v>
      </c>
      <c r="Y27" s="34">
        <f t="shared" si="19"/>
        <v>5</v>
      </c>
      <c r="Z27" s="34">
        <f t="shared" si="19"/>
        <v>0</v>
      </c>
      <c r="AA27" s="34">
        <f t="shared" si="19"/>
        <v>1</v>
      </c>
      <c r="AB27" s="34">
        <f t="shared" si="19"/>
        <v>1</v>
      </c>
      <c r="AC27" s="34">
        <f t="shared" si="19"/>
        <v>1</v>
      </c>
      <c r="AD27" s="34">
        <f t="shared" si="19"/>
        <v>0</v>
      </c>
      <c r="AE27" s="31">
        <f t="shared" si="19"/>
        <v>19</v>
      </c>
      <c r="AF27" s="31">
        <f t="shared" si="19"/>
        <v>20</v>
      </c>
    </row>
    <row r="28" spans="2:32" ht="23.1" customHeight="1" x14ac:dyDescent="0.25">
      <c r="B28" s="45" t="s">
        <v>55</v>
      </c>
      <c r="C28" s="50">
        <v>5</v>
      </c>
      <c r="D28" s="50">
        <v>1</v>
      </c>
      <c r="E28" s="50">
        <v>0</v>
      </c>
      <c r="F28" s="50">
        <v>11</v>
      </c>
      <c r="G28" s="50">
        <v>0</v>
      </c>
      <c r="H28" s="50">
        <v>0</v>
      </c>
      <c r="I28" s="50">
        <v>0</v>
      </c>
      <c r="J28" s="50">
        <v>1</v>
      </c>
      <c r="K28" s="50">
        <v>1</v>
      </c>
      <c r="L28" s="50">
        <v>1</v>
      </c>
      <c r="M28" s="50">
        <v>8</v>
      </c>
      <c r="N28" s="50">
        <v>0</v>
      </c>
      <c r="O28" s="15">
        <f t="shared" si="0"/>
        <v>20</v>
      </c>
      <c r="P28" s="15">
        <f t="shared" si="1"/>
        <v>28</v>
      </c>
      <c r="R28" s="36" t="s">
        <v>152</v>
      </c>
      <c r="S28" s="34">
        <f>SUM(C82:C85)</f>
        <v>0</v>
      </c>
      <c r="T28" s="34">
        <f t="shared" ref="T28:AF28" si="20">SUM(D82:D85)</f>
        <v>0</v>
      </c>
      <c r="U28" s="34">
        <f t="shared" si="20"/>
        <v>0</v>
      </c>
      <c r="V28" s="34">
        <f t="shared" si="20"/>
        <v>0</v>
      </c>
      <c r="W28" s="34">
        <f t="shared" si="20"/>
        <v>0</v>
      </c>
      <c r="X28" s="34">
        <f t="shared" si="20"/>
        <v>1</v>
      </c>
      <c r="Y28" s="34">
        <f t="shared" si="20"/>
        <v>2</v>
      </c>
      <c r="Z28" s="34">
        <f t="shared" si="20"/>
        <v>0</v>
      </c>
      <c r="AA28" s="34">
        <f t="shared" si="20"/>
        <v>4</v>
      </c>
      <c r="AB28" s="34">
        <f t="shared" si="20"/>
        <v>0</v>
      </c>
      <c r="AC28" s="34">
        <f t="shared" si="20"/>
        <v>0</v>
      </c>
      <c r="AD28" s="34">
        <f t="shared" si="20"/>
        <v>0</v>
      </c>
      <c r="AE28" s="31">
        <f t="shared" si="20"/>
        <v>7</v>
      </c>
      <c r="AF28" s="31">
        <f t="shared" si="20"/>
        <v>7</v>
      </c>
    </row>
    <row r="29" spans="2:32" ht="23.1" customHeight="1" x14ac:dyDescent="0.25">
      <c r="B29" s="45" t="s">
        <v>56</v>
      </c>
      <c r="C29" s="50">
        <v>2</v>
      </c>
      <c r="D29" s="50">
        <v>1</v>
      </c>
      <c r="E29" s="50">
        <v>2</v>
      </c>
      <c r="F29" s="50">
        <v>13</v>
      </c>
      <c r="G29" s="50">
        <v>0</v>
      </c>
      <c r="H29" s="50">
        <v>0</v>
      </c>
      <c r="I29" s="50">
        <v>1</v>
      </c>
      <c r="J29" s="50">
        <v>1</v>
      </c>
      <c r="K29" s="50">
        <v>3</v>
      </c>
      <c r="L29" s="50">
        <v>0</v>
      </c>
      <c r="M29" s="50">
        <v>7</v>
      </c>
      <c r="N29" s="50">
        <v>0</v>
      </c>
      <c r="O29" s="15">
        <f t="shared" si="0"/>
        <v>23</v>
      </c>
      <c r="P29" s="15">
        <f t="shared" si="1"/>
        <v>30</v>
      </c>
      <c r="R29" s="36" t="s">
        <v>153</v>
      </c>
      <c r="S29" s="34">
        <f>SUM(C86:C89)</f>
        <v>0</v>
      </c>
      <c r="T29" s="34">
        <f t="shared" ref="T29:AF29" si="21">SUM(D86:D89)</f>
        <v>0</v>
      </c>
      <c r="U29" s="34">
        <f t="shared" si="21"/>
        <v>0</v>
      </c>
      <c r="V29" s="34">
        <f t="shared" si="21"/>
        <v>4</v>
      </c>
      <c r="W29" s="34">
        <f t="shared" si="21"/>
        <v>0</v>
      </c>
      <c r="X29" s="34">
        <f t="shared" si="21"/>
        <v>4</v>
      </c>
      <c r="Y29" s="34">
        <f t="shared" si="21"/>
        <v>2</v>
      </c>
      <c r="Z29" s="34">
        <f t="shared" si="21"/>
        <v>0</v>
      </c>
      <c r="AA29" s="34">
        <f t="shared" si="21"/>
        <v>2</v>
      </c>
      <c r="AB29" s="34">
        <f t="shared" si="21"/>
        <v>0</v>
      </c>
      <c r="AC29" s="34">
        <f t="shared" si="21"/>
        <v>0</v>
      </c>
      <c r="AD29" s="34">
        <f t="shared" si="21"/>
        <v>0</v>
      </c>
      <c r="AE29" s="31">
        <f t="shared" si="21"/>
        <v>12</v>
      </c>
      <c r="AF29" s="31">
        <f t="shared" si="21"/>
        <v>12</v>
      </c>
    </row>
    <row r="30" spans="2:32" ht="23.1" customHeight="1" x14ac:dyDescent="0.25">
      <c r="B30" s="45" t="s">
        <v>57</v>
      </c>
      <c r="C30" s="50">
        <v>2</v>
      </c>
      <c r="D30" s="50">
        <v>2</v>
      </c>
      <c r="E30" s="50">
        <v>3</v>
      </c>
      <c r="F30" s="50">
        <v>11</v>
      </c>
      <c r="G30" s="50">
        <v>0</v>
      </c>
      <c r="H30" s="50">
        <v>0</v>
      </c>
      <c r="I30" s="50">
        <v>1</v>
      </c>
      <c r="J30" s="50">
        <v>3</v>
      </c>
      <c r="K30" s="50">
        <v>1</v>
      </c>
      <c r="L30" s="50">
        <v>1</v>
      </c>
      <c r="M30" s="50">
        <v>11</v>
      </c>
      <c r="N30" s="50">
        <v>0</v>
      </c>
      <c r="O30" s="15">
        <f t="shared" si="0"/>
        <v>24</v>
      </c>
      <c r="P30" s="15">
        <f t="shared" si="1"/>
        <v>35</v>
      </c>
      <c r="R30" s="36" t="s">
        <v>154</v>
      </c>
      <c r="S30" s="34">
        <f>SUM(C90:C93)</f>
        <v>2</v>
      </c>
      <c r="T30" s="34">
        <f t="shared" ref="T30:AF30" si="22">SUM(D90:D93)</f>
        <v>0</v>
      </c>
      <c r="U30" s="34">
        <f t="shared" si="22"/>
        <v>0</v>
      </c>
      <c r="V30" s="34">
        <f t="shared" si="22"/>
        <v>3</v>
      </c>
      <c r="W30" s="34">
        <f t="shared" si="22"/>
        <v>0</v>
      </c>
      <c r="X30" s="34">
        <f t="shared" si="22"/>
        <v>1</v>
      </c>
      <c r="Y30" s="34">
        <f t="shared" si="22"/>
        <v>0</v>
      </c>
      <c r="Z30" s="34">
        <f t="shared" si="22"/>
        <v>0</v>
      </c>
      <c r="AA30" s="34">
        <f t="shared" si="22"/>
        <v>2</v>
      </c>
      <c r="AB30" s="34">
        <f t="shared" si="22"/>
        <v>1</v>
      </c>
      <c r="AC30" s="34">
        <f t="shared" si="22"/>
        <v>1</v>
      </c>
      <c r="AD30" s="34">
        <f t="shared" si="22"/>
        <v>0</v>
      </c>
      <c r="AE30" s="31">
        <f t="shared" si="22"/>
        <v>9</v>
      </c>
      <c r="AF30" s="31">
        <f t="shared" si="22"/>
        <v>10</v>
      </c>
    </row>
    <row r="31" spans="2:32" ht="23.1" customHeight="1" x14ac:dyDescent="0.25">
      <c r="B31" s="46" t="s">
        <v>58</v>
      </c>
      <c r="C31" s="50">
        <v>1</v>
      </c>
      <c r="D31" s="50">
        <v>1</v>
      </c>
      <c r="E31" s="50">
        <v>0</v>
      </c>
      <c r="F31" s="50">
        <v>6</v>
      </c>
      <c r="G31" s="50">
        <v>0</v>
      </c>
      <c r="H31" s="50">
        <v>0</v>
      </c>
      <c r="I31" s="50">
        <v>1</v>
      </c>
      <c r="J31" s="50">
        <v>3</v>
      </c>
      <c r="K31" s="50">
        <v>0</v>
      </c>
      <c r="L31" s="50">
        <v>2</v>
      </c>
      <c r="M31" s="50">
        <v>6</v>
      </c>
      <c r="N31" s="50">
        <v>0</v>
      </c>
      <c r="O31" s="15">
        <f t="shared" si="0"/>
        <v>14</v>
      </c>
      <c r="P31" s="15">
        <f t="shared" si="1"/>
        <v>20</v>
      </c>
      <c r="R31" s="36" t="s">
        <v>155</v>
      </c>
      <c r="S31" s="34">
        <f>SUM(C94:C97)</f>
        <v>2</v>
      </c>
      <c r="T31" s="34">
        <f t="shared" ref="T31:AF31" si="23">SUM(D94:D97)</f>
        <v>2</v>
      </c>
      <c r="U31" s="34">
        <f t="shared" si="23"/>
        <v>1</v>
      </c>
      <c r="V31" s="34">
        <f t="shared" si="23"/>
        <v>3</v>
      </c>
      <c r="W31" s="34">
        <f t="shared" si="23"/>
        <v>0</v>
      </c>
      <c r="X31" s="34">
        <f t="shared" si="23"/>
        <v>1</v>
      </c>
      <c r="Y31" s="34">
        <f t="shared" si="23"/>
        <v>0</v>
      </c>
      <c r="Z31" s="34">
        <f t="shared" si="23"/>
        <v>0</v>
      </c>
      <c r="AA31" s="34">
        <f t="shared" si="23"/>
        <v>4</v>
      </c>
      <c r="AB31" s="34">
        <f t="shared" si="23"/>
        <v>0</v>
      </c>
      <c r="AC31" s="34">
        <f t="shared" si="23"/>
        <v>2</v>
      </c>
      <c r="AD31" s="34">
        <f t="shared" si="23"/>
        <v>0</v>
      </c>
      <c r="AE31" s="31">
        <f t="shared" si="23"/>
        <v>13</v>
      </c>
      <c r="AF31" s="31">
        <f t="shared" si="23"/>
        <v>15</v>
      </c>
    </row>
    <row r="32" spans="2:32" ht="23.1" customHeight="1" x14ac:dyDescent="0.25">
      <c r="B32" s="46" t="s">
        <v>59</v>
      </c>
      <c r="C32" s="50">
        <v>0</v>
      </c>
      <c r="D32" s="50">
        <v>1</v>
      </c>
      <c r="E32" s="50">
        <v>1</v>
      </c>
      <c r="F32" s="50">
        <v>12</v>
      </c>
      <c r="G32" s="50">
        <v>0</v>
      </c>
      <c r="H32" s="50">
        <v>0</v>
      </c>
      <c r="I32" s="50">
        <v>0</v>
      </c>
      <c r="J32" s="50">
        <v>4</v>
      </c>
      <c r="K32" s="50">
        <v>0</v>
      </c>
      <c r="L32" s="50">
        <v>1</v>
      </c>
      <c r="M32" s="50">
        <v>12</v>
      </c>
      <c r="N32" s="50">
        <v>0</v>
      </c>
      <c r="O32" s="15">
        <f t="shared" si="0"/>
        <v>19</v>
      </c>
      <c r="P32" s="15">
        <f t="shared" si="1"/>
        <v>31</v>
      </c>
      <c r="R32" s="33" t="s">
        <v>156</v>
      </c>
      <c r="S32" s="34">
        <f>SUM(C98:C101)</f>
        <v>7</v>
      </c>
      <c r="T32" s="34">
        <f t="shared" ref="T32:AF32" si="24">SUM(D98:D101)</f>
        <v>4</v>
      </c>
      <c r="U32" s="34">
        <f t="shared" si="24"/>
        <v>1</v>
      </c>
      <c r="V32" s="34">
        <f t="shared" si="24"/>
        <v>7</v>
      </c>
      <c r="W32" s="34">
        <f t="shared" si="24"/>
        <v>0</v>
      </c>
      <c r="X32" s="34">
        <f t="shared" si="24"/>
        <v>1</v>
      </c>
      <c r="Y32" s="34">
        <f t="shared" si="24"/>
        <v>0</v>
      </c>
      <c r="Z32" s="34">
        <f t="shared" si="24"/>
        <v>0</v>
      </c>
      <c r="AA32" s="34">
        <f t="shared" si="24"/>
        <v>2</v>
      </c>
      <c r="AB32" s="34">
        <f t="shared" si="24"/>
        <v>0</v>
      </c>
      <c r="AC32" s="34">
        <f t="shared" si="24"/>
        <v>3</v>
      </c>
      <c r="AD32" s="34">
        <f t="shared" si="24"/>
        <v>0</v>
      </c>
      <c r="AE32" s="31">
        <f t="shared" si="24"/>
        <v>22</v>
      </c>
      <c r="AF32" s="31">
        <f t="shared" si="24"/>
        <v>25</v>
      </c>
    </row>
    <row r="33" spans="2:32" ht="23.1" customHeight="1" x14ac:dyDescent="0.25">
      <c r="B33" s="45" t="s">
        <v>60</v>
      </c>
      <c r="C33" s="50">
        <v>1</v>
      </c>
      <c r="D33" s="50">
        <v>3</v>
      </c>
      <c r="E33" s="50">
        <v>0</v>
      </c>
      <c r="F33" s="50">
        <v>5</v>
      </c>
      <c r="G33" s="50">
        <v>0</v>
      </c>
      <c r="H33" s="50">
        <v>0</v>
      </c>
      <c r="I33" s="50">
        <v>2</v>
      </c>
      <c r="J33" s="50">
        <v>0</v>
      </c>
      <c r="K33" s="50">
        <v>1</v>
      </c>
      <c r="L33" s="50">
        <v>0</v>
      </c>
      <c r="M33" s="50">
        <v>11</v>
      </c>
      <c r="N33" s="50">
        <v>0</v>
      </c>
      <c r="O33" s="15">
        <f t="shared" si="0"/>
        <v>12</v>
      </c>
      <c r="P33" s="15">
        <f t="shared" si="1"/>
        <v>23</v>
      </c>
      <c r="R33" s="33" t="s">
        <v>157</v>
      </c>
      <c r="S33" s="34">
        <f>SUM(C102:C105)</f>
        <v>5</v>
      </c>
      <c r="T33" s="34">
        <f t="shared" ref="T33:AF33" si="25">SUM(D102:D105)</f>
        <v>2</v>
      </c>
      <c r="U33" s="34">
        <f t="shared" si="25"/>
        <v>4</v>
      </c>
      <c r="V33" s="34">
        <f t="shared" si="25"/>
        <v>21</v>
      </c>
      <c r="W33" s="34">
        <f t="shared" si="25"/>
        <v>0</v>
      </c>
      <c r="X33" s="34">
        <f t="shared" si="25"/>
        <v>0</v>
      </c>
      <c r="Y33" s="34">
        <f t="shared" si="25"/>
        <v>1</v>
      </c>
      <c r="Z33" s="34">
        <f t="shared" si="25"/>
        <v>0</v>
      </c>
      <c r="AA33" s="34">
        <f t="shared" si="25"/>
        <v>7</v>
      </c>
      <c r="AB33" s="34">
        <f t="shared" si="25"/>
        <v>0</v>
      </c>
      <c r="AC33" s="34">
        <f t="shared" si="25"/>
        <v>31</v>
      </c>
      <c r="AD33" s="34">
        <f t="shared" si="25"/>
        <v>0</v>
      </c>
      <c r="AE33" s="31">
        <f t="shared" si="25"/>
        <v>40</v>
      </c>
      <c r="AF33" s="31">
        <f t="shared" si="25"/>
        <v>71</v>
      </c>
    </row>
    <row r="34" spans="2:32" ht="23.1" customHeight="1" x14ac:dyDescent="0.25">
      <c r="B34" s="46" t="s">
        <v>61</v>
      </c>
      <c r="C34" s="50">
        <v>2</v>
      </c>
      <c r="D34" s="50">
        <v>2</v>
      </c>
      <c r="E34" s="50">
        <v>1</v>
      </c>
      <c r="F34" s="50">
        <v>13</v>
      </c>
      <c r="G34" s="50">
        <v>2</v>
      </c>
      <c r="H34" s="50">
        <v>2</v>
      </c>
      <c r="I34" s="50">
        <v>1</v>
      </c>
      <c r="J34" s="50">
        <v>0</v>
      </c>
      <c r="K34" s="50">
        <v>0</v>
      </c>
      <c r="L34" s="50">
        <v>0</v>
      </c>
      <c r="M34" s="50">
        <v>10</v>
      </c>
      <c r="N34" s="50">
        <v>0</v>
      </c>
      <c r="O34" s="15">
        <f t="shared" si="0"/>
        <v>23</v>
      </c>
      <c r="P34" s="15">
        <f t="shared" si="1"/>
        <v>33</v>
      </c>
      <c r="R34" s="38" t="s">
        <v>90</v>
      </c>
      <c r="S34" s="39">
        <f t="shared" ref="S34:AF34" si="26">MAX(S10:S12)</f>
        <v>11</v>
      </c>
      <c r="T34" s="39">
        <f t="shared" si="26"/>
        <v>3</v>
      </c>
      <c r="U34" s="39">
        <f t="shared" si="26"/>
        <v>7</v>
      </c>
      <c r="V34" s="39">
        <f t="shared" si="26"/>
        <v>27</v>
      </c>
      <c r="W34" s="39">
        <f t="shared" si="26"/>
        <v>3</v>
      </c>
      <c r="X34" s="39">
        <f t="shared" si="26"/>
        <v>2</v>
      </c>
      <c r="Y34" s="39">
        <f t="shared" si="26"/>
        <v>7</v>
      </c>
      <c r="Z34" s="39">
        <f t="shared" si="26"/>
        <v>6</v>
      </c>
      <c r="AA34" s="39">
        <f t="shared" si="26"/>
        <v>2</v>
      </c>
      <c r="AB34" s="39">
        <f t="shared" si="26"/>
        <v>8</v>
      </c>
      <c r="AC34" s="39">
        <f t="shared" si="26"/>
        <v>23</v>
      </c>
      <c r="AD34" s="39">
        <f t="shared" si="26"/>
        <v>1</v>
      </c>
      <c r="AE34" s="40">
        <f t="shared" si="26"/>
        <v>62</v>
      </c>
      <c r="AF34" s="40">
        <f t="shared" si="26"/>
        <v>85</v>
      </c>
    </row>
    <row r="35" spans="2:32" ht="23.1" customHeight="1" x14ac:dyDescent="0.25">
      <c r="B35" s="46" t="s">
        <v>62</v>
      </c>
      <c r="C35" s="50">
        <v>4</v>
      </c>
      <c r="D35" s="50">
        <v>0</v>
      </c>
      <c r="E35" s="50">
        <v>2</v>
      </c>
      <c r="F35" s="50">
        <v>8</v>
      </c>
      <c r="G35" s="50">
        <v>0</v>
      </c>
      <c r="H35" s="50">
        <v>0</v>
      </c>
      <c r="I35" s="50">
        <v>0</v>
      </c>
      <c r="J35" s="50">
        <v>0</v>
      </c>
      <c r="K35" s="50">
        <v>0</v>
      </c>
      <c r="L35" s="50">
        <v>0</v>
      </c>
      <c r="M35" s="50">
        <v>17</v>
      </c>
      <c r="N35" s="50">
        <v>0</v>
      </c>
      <c r="O35" s="15">
        <f t="shared" si="0"/>
        <v>14</v>
      </c>
      <c r="P35" s="15">
        <f t="shared" si="1"/>
        <v>31</v>
      </c>
      <c r="R35" s="38" t="s">
        <v>91</v>
      </c>
      <c r="S35" s="39">
        <f t="shared" ref="S35:AF35" si="27">MAX(S13:S18)</f>
        <v>13</v>
      </c>
      <c r="T35" s="39">
        <f t="shared" si="27"/>
        <v>7</v>
      </c>
      <c r="U35" s="39">
        <f t="shared" si="27"/>
        <v>10</v>
      </c>
      <c r="V35" s="39">
        <f t="shared" si="27"/>
        <v>49</v>
      </c>
      <c r="W35" s="39">
        <f t="shared" si="27"/>
        <v>2</v>
      </c>
      <c r="X35" s="39">
        <f t="shared" si="27"/>
        <v>5</v>
      </c>
      <c r="Y35" s="39">
        <f t="shared" si="27"/>
        <v>4</v>
      </c>
      <c r="Z35" s="39">
        <f t="shared" si="27"/>
        <v>10</v>
      </c>
      <c r="AA35" s="39">
        <f t="shared" si="27"/>
        <v>4</v>
      </c>
      <c r="AB35" s="39">
        <f t="shared" si="27"/>
        <v>4</v>
      </c>
      <c r="AC35" s="39">
        <f t="shared" si="27"/>
        <v>43</v>
      </c>
      <c r="AD35" s="39">
        <f t="shared" si="27"/>
        <v>1</v>
      </c>
      <c r="AE35" s="40">
        <f t="shared" si="27"/>
        <v>95</v>
      </c>
      <c r="AF35" s="40">
        <f t="shared" si="27"/>
        <v>138</v>
      </c>
    </row>
    <row r="36" spans="2:32" ht="23.1" customHeight="1" x14ac:dyDescent="0.25">
      <c r="B36" s="46" t="s">
        <v>63</v>
      </c>
      <c r="C36" s="50">
        <v>5</v>
      </c>
      <c r="D36" s="50">
        <v>1</v>
      </c>
      <c r="E36" s="50">
        <v>5</v>
      </c>
      <c r="F36" s="50">
        <v>19</v>
      </c>
      <c r="G36" s="50">
        <v>0</v>
      </c>
      <c r="H36" s="50">
        <v>2</v>
      </c>
      <c r="I36" s="50">
        <v>1</v>
      </c>
      <c r="J36" s="50">
        <v>3</v>
      </c>
      <c r="K36" s="50">
        <v>1</v>
      </c>
      <c r="L36" s="50">
        <v>1</v>
      </c>
      <c r="M36" s="50">
        <v>8</v>
      </c>
      <c r="N36" s="50">
        <v>1</v>
      </c>
      <c r="O36" s="15">
        <f t="shared" si="0"/>
        <v>39</v>
      </c>
      <c r="P36" s="15">
        <f t="shared" si="1"/>
        <v>47</v>
      </c>
      <c r="R36" s="38" t="s">
        <v>92</v>
      </c>
      <c r="S36" s="39">
        <f t="shared" ref="S36:AF36" si="28">MAX(S19:S21)</f>
        <v>24</v>
      </c>
      <c r="T36" s="39">
        <f t="shared" si="28"/>
        <v>6</v>
      </c>
      <c r="U36" s="39">
        <f t="shared" si="28"/>
        <v>19</v>
      </c>
      <c r="V36" s="39">
        <f t="shared" si="28"/>
        <v>46</v>
      </c>
      <c r="W36" s="39">
        <f t="shared" si="28"/>
        <v>4</v>
      </c>
      <c r="X36" s="39">
        <f t="shared" si="28"/>
        <v>3</v>
      </c>
      <c r="Y36" s="39">
        <f t="shared" si="28"/>
        <v>3</v>
      </c>
      <c r="Z36" s="39">
        <f t="shared" si="28"/>
        <v>10</v>
      </c>
      <c r="AA36" s="39">
        <f t="shared" si="28"/>
        <v>4</v>
      </c>
      <c r="AB36" s="39">
        <f t="shared" si="28"/>
        <v>1</v>
      </c>
      <c r="AC36" s="39">
        <f t="shared" si="28"/>
        <v>60</v>
      </c>
      <c r="AD36" s="39">
        <f t="shared" si="28"/>
        <v>0</v>
      </c>
      <c r="AE36" s="40">
        <f t="shared" si="28"/>
        <v>109</v>
      </c>
      <c r="AF36" s="40">
        <f t="shared" si="28"/>
        <v>169</v>
      </c>
    </row>
    <row r="37" spans="2:32" ht="23.1" customHeight="1" x14ac:dyDescent="0.25">
      <c r="B37" s="45" t="s">
        <v>64</v>
      </c>
      <c r="C37" s="50">
        <v>2</v>
      </c>
      <c r="D37" s="50">
        <v>2</v>
      </c>
      <c r="E37" s="50">
        <v>2</v>
      </c>
      <c r="F37" s="50">
        <v>9</v>
      </c>
      <c r="G37" s="50">
        <v>0</v>
      </c>
      <c r="H37" s="50">
        <v>0</v>
      </c>
      <c r="I37" s="50">
        <v>1</v>
      </c>
      <c r="J37" s="50">
        <v>3</v>
      </c>
      <c r="K37" s="50">
        <v>0</v>
      </c>
      <c r="L37" s="50">
        <v>0</v>
      </c>
      <c r="M37" s="50">
        <v>8</v>
      </c>
      <c r="N37" s="50">
        <v>0</v>
      </c>
      <c r="O37" s="15">
        <f t="shared" si="0"/>
        <v>19</v>
      </c>
      <c r="P37" s="15">
        <f t="shared" si="1"/>
        <v>27</v>
      </c>
      <c r="R37" s="37" t="s">
        <v>85</v>
      </c>
      <c r="S37" s="35">
        <f t="shared" ref="S37:AF37" si="29">SUM(S10:S12)</f>
        <v>20</v>
      </c>
      <c r="T37" s="16">
        <f t="shared" si="29"/>
        <v>7</v>
      </c>
      <c r="U37" s="16">
        <f t="shared" si="29"/>
        <v>20</v>
      </c>
      <c r="V37" s="16">
        <f t="shared" si="29"/>
        <v>79</v>
      </c>
      <c r="W37" s="16">
        <f t="shared" si="29"/>
        <v>4</v>
      </c>
      <c r="X37" s="16">
        <f t="shared" si="29"/>
        <v>2</v>
      </c>
      <c r="Y37" s="16">
        <f t="shared" si="29"/>
        <v>10</v>
      </c>
      <c r="Z37" s="16">
        <f t="shared" si="29"/>
        <v>11</v>
      </c>
      <c r="AA37" s="16">
        <f t="shared" si="29"/>
        <v>5</v>
      </c>
      <c r="AB37" s="16">
        <f t="shared" si="29"/>
        <v>14</v>
      </c>
      <c r="AC37" s="16">
        <f t="shared" si="29"/>
        <v>64</v>
      </c>
      <c r="AD37" s="16">
        <f t="shared" si="29"/>
        <v>1</v>
      </c>
      <c r="AE37" s="32">
        <f t="shared" si="29"/>
        <v>173</v>
      </c>
      <c r="AF37" s="32">
        <f t="shared" si="29"/>
        <v>237</v>
      </c>
    </row>
    <row r="38" spans="2:32" ht="23.1" customHeight="1" x14ac:dyDescent="0.25">
      <c r="B38" s="46" t="s">
        <v>65</v>
      </c>
      <c r="C38" s="50">
        <v>5</v>
      </c>
      <c r="D38" s="50">
        <v>1</v>
      </c>
      <c r="E38" s="50">
        <v>1</v>
      </c>
      <c r="F38" s="50">
        <v>9</v>
      </c>
      <c r="G38" s="50">
        <v>0</v>
      </c>
      <c r="H38" s="50">
        <v>1</v>
      </c>
      <c r="I38" s="50">
        <v>1</v>
      </c>
      <c r="J38" s="50">
        <v>3</v>
      </c>
      <c r="K38" s="50">
        <v>1</v>
      </c>
      <c r="L38" s="50">
        <v>0</v>
      </c>
      <c r="M38" s="50">
        <v>11</v>
      </c>
      <c r="N38" s="50">
        <v>0</v>
      </c>
      <c r="O38" s="15">
        <f t="shared" si="0"/>
        <v>22</v>
      </c>
      <c r="P38" s="15">
        <f t="shared" si="1"/>
        <v>33</v>
      </c>
      <c r="R38" s="28" t="s">
        <v>86</v>
      </c>
      <c r="S38" s="16">
        <f t="shared" ref="S38:AF38" si="30">SUM(S13:S18)</f>
        <v>48</v>
      </c>
      <c r="T38" s="16">
        <f t="shared" si="30"/>
        <v>25</v>
      </c>
      <c r="U38" s="16">
        <f t="shared" si="30"/>
        <v>35</v>
      </c>
      <c r="V38" s="16">
        <f t="shared" si="30"/>
        <v>212</v>
      </c>
      <c r="W38" s="16">
        <f t="shared" si="30"/>
        <v>2</v>
      </c>
      <c r="X38" s="16">
        <f t="shared" si="30"/>
        <v>12</v>
      </c>
      <c r="Y38" s="16">
        <f t="shared" si="30"/>
        <v>17</v>
      </c>
      <c r="Z38" s="16">
        <f t="shared" si="30"/>
        <v>35</v>
      </c>
      <c r="AA38" s="16">
        <f t="shared" si="30"/>
        <v>13</v>
      </c>
      <c r="AB38" s="16">
        <f t="shared" si="30"/>
        <v>7</v>
      </c>
      <c r="AC38" s="16">
        <f t="shared" si="30"/>
        <v>191</v>
      </c>
      <c r="AD38" s="16">
        <f t="shared" si="30"/>
        <v>2</v>
      </c>
      <c r="AE38" s="32">
        <f t="shared" si="30"/>
        <v>408</v>
      </c>
      <c r="AF38" s="32">
        <f t="shared" si="30"/>
        <v>599</v>
      </c>
    </row>
    <row r="39" spans="2:32" ht="23.1" customHeight="1" x14ac:dyDescent="0.25">
      <c r="B39" s="46" t="s">
        <v>66</v>
      </c>
      <c r="C39" s="50">
        <v>2</v>
      </c>
      <c r="D39" s="50">
        <v>1</v>
      </c>
      <c r="E39" s="50">
        <v>4</v>
      </c>
      <c r="F39" s="50">
        <v>7</v>
      </c>
      <c r="G39" s="50">
        <v>0</v>
      </c>
      <c r="H39" s="50">
        <v>0</v>
      </c>
      <c r="I39" s="50">
        <v>0</v>
      </c>
      <c r="J39" s="50">
        <v>0</v>
      </c>
      <c r="K39" s="50">
        <v>2</v>
      </c>
      <c r="L39" s="50">
        <v>1</v>
      </c>
      <c r="M39" s="50">
        <v>10</v>
      </c>
      <c r="N39" s="50">
        <v>0</v>
      </c>
      <c r="O39" s="15">
        <f t="shared" si="0"/>
        <v>17</v>
      </c>
      <c r="P39" s="15">
        <f t="shared" si="1"/>
        <v>27</v>
      </c>
      <c r="R39" s="29" t="s">
        <v>87</v>
      </c>
      <c r="S39" s="16">
        <f t="shared" ref="S39:AF39" si="31">SUM(S19:S21)</f>
        <v>47</v>
      </c>
      <c r="T39" s="16">
        <f t="shared" si="31"/>
        <v>15</v>
      </c>
      <c r="U39" s="16">
        <f t="shared" si="31"/>
        <v>45</v>
      </c>
      <c r="V39" s="16">
        <f t="shared" si="31"/>
        <v>121</v>
      </c>
      <c r="W39" s="16">
        <f t="shared" si="31"/>
        <v>6</v>
      </c>
      <c r="X39" s="16">
        <f t="shared" si="31"/>
        <v>5</v>
      </c>
      <c r="Y39" s="16">
        <f t="shared" si="31"/>
        <v>5</v>
      </c>
      <c r="Z39" s="16">
        <f t="shared" si="31"/>
        <v>23</v>
      </c>
      <c r="AA39" s="16">
        <f t="shared" si="31"/>
        <v>8</v>
      </c>
      <c r="AB39" s="16">
        <f t="shared" si="31"/>
        <v>1</v>
      </c>
      <c r="AC39" s="16">
        <f t="shared" si="31"/>
        <v>140</v>
      </c>
      <c r="AD39" s="16">
        <f t="shared" si="31"/>
        <v>0</v>
      </c>
      <c r="AE39" s="32">
        <f t="shared" si="31"/>
        <v>276</v>
      </c>
      <c r="AF39" s="32">
        <f t="shared" si="31"/>
        <v>416</v>
      </c>
    </row>
    <row r="40" spans="2:32" ht="23.1" customHeight="1" x14ac:dyDescent="0.25">
      <c r="B40" s="46" t="s">
        <v>67</v>
      </c>
      <c r="C40" s="50">
        <v>1</v>
      </c>
      <c r="D40" s="50">
        <v>1</v>
      </c>
      <c r="E40" s="50">
        <v>2</v>
      </c>
      <c r="F40" s="50">
        <v>8</v>
      </c>
      <c r="G40" s="50">
        <v>0</v>
      </c>
      <c r="H40" s="50">
        <v>0</v>
      </c>
      <c r="I40" s="50">
        <v>1</v>
      </c>
      <c r="J40" s="50">
        <v>0</v>
      </c>
      <c r="K40" s="50">
        <v>0</v>
      </c>
      <c r="L40" s="50">
        <v>0</v>
      </c>
      <c r="M40" s="50">
        <v>4</v>
      </c>
      <c r="N40" s="50">
        <v>0</v>
      </c>
      <c r="O40" s="15">
        <f t="shared" si="0"/>
        <v>13</v>
      </c>
      <c r="P40" s="15">
        <f t="shared" si="1"/>
        <v>17</v>
      </c>
      <c r="R40" s="5" t="s">
        <v>17</v>
      </c>
      <c r="S40" s="16">
        <f t="shared" ref="S40:AF40" si="32">SUM(S10:S21)</f>
        <v>115</v>
      </c>
      <c r="T40" s="16">
        <f t="shared" si="32"/>
        <v>47</v>
      </c>
      <c r="U40" s="16">
        <f t="shared" si="32"/>
        <v>100</v>
      </c>
      <c r="V40" s="16">
        <f t="shared" si="32"/>
        <v>412</v>
      </c>
      <c r="W40" s="16">
        <f t="shared" si="32"/>
        <v>12</v>
      </c>
      <c r="X40" s="16">
        <f t="shared" si="32"/>
        <v>19</v>
      </c>
      <c r="Y40" s="16">
        <f t="shared" si="32"/>
        <v>32</v>
      </c>
      <c r="Z40" s="16">
        <f t="shared" si="32"/>
        <v>69</v>
      </c>
      <c r="AA40" s="16">
        <f t="shared" si="32"/>
        <v>26</v>
      </c>
      <c r="AB40" s="16">
        <f t="shared" si="32"/>
        <v>22</v>
      </c>
      <c r="AC40" s="16">
        <f t="shared" si="32"/>
        <v>395</v>
      </c>
      <c r="AD40" s="16">
        <f t="shared" si="32"/>
        <v>3</v>
      </c>
      <c r="AE40" s="32">
        <f t="shared" si="32"/>
        <v>857</v>
      </c>
      <c r="AF40" s="32">
        <f t="shared" si="32"/>
        <v>1252</v>
      </c>
    </row>
    <row r="41" spans="2:32" ht="23.1" customHeight="1" x14ac:dyDescent="0.25">
      <c r="B41" s="45" t="s">
        <v>68</v>
      </c>
      <c r="C41" s="50">
        <v>0</v>
      </c>
      <c r="D41" s="50">
        <v>2</v>
      </c>
      <c r="E41" s="50">
        <v>3</v>
      </c>
      <c r="F41" s="50">
        <v>8</v>
      </c>
      <c r="G41" s="50">
        <v>0</v>
      </c>
      <c r="H41" s="50">
        <v>0</v>
      </c>
      <c r="I41" s="50">
        <v>1</v>
      </c>
      <c r="J41" s="50">
        <v>0</v>
      </c>
      <c r="K41" s="50">
        <v>1</v>
      </c>
      <c r="L41" s="50">
        <v>0</v>
      </c>
      <c r="M41" s="50">
        <v>11</v>
      </c>
      <c r="N41" s="50">
        <v>0</v>
      </c>
      <c r="O41" s="15">
        <f t="shared" si="0"/>
        <v>15</v>
      </c>
      <c r="P41" s="15">
        <f t="shared" si="1"/>
        <v>26</v>
      </c>
      <c r="R41" s="5" t="s">
        <v>159</v>
      </c>
      <c r="S41" s="16">
        <f>SUM(S10:S33)</f>
        <v>182</v>
      </c>
      <c r="T41" s="16">
        <f t="shared" ref="T41:AF41" si="33">SUM(T10:T33)</f>
        <v>74</v>
      </c>
      <c r="U41" s="16">
        <f t="shared" si="33"/>
        <v>123</v>
      </c>
      <c r="V41" s="16">
        <f t="shared" si="33"/>
        <v>510</v>
      </c>
      <c r="W41" s="16">
        <f t="shared" si="33"/>
        <v>18</v>
      </c>
      <c r="X41" s="16">
        <f t="shared" si="33"/>
        <v>37</v>
      </c>
      <c r="Y41" s="16">
        <f t="shared" si="33"/>
        <v>98</v>
      </c>
      <c r="Z41" s="16">
        <f t="shared" si="33"/>
        <v>69</v>
      </c>
      <c r="AA41" s="16">
        <f t="shared" si="33"/>
        <v>65</v>
      </c>
      <c r="AB41" s="16">
        <f t="shared" si="33"/>
        <v>25</v>
      </c>
      <c r="AC41" s="16">
        <f t="shared" si="33"/>
        <v>523</v>
      </c>
      <c r="AD41" s="16">
        <f t="shared" si="33"/>
        <v>3</v>
      </c>
      <c r="AE41" s="32">
        <f t="shared" si="33"/>
        <v>1204</v>
      </c>
      <c r="AF41" s="32">
        <f t="shared" si="33"/>
        <v>1727</v>
      </c>
    </row>
    <row r="42" spans="2:32" ht="23.1" customHeight="1" x14ac:dyDescent="0.25">
      <c r="B42" s="46" t="s">
        <v>69</v>
      </c>
      <c r="C42" s="50">
        <v>2</v>
      </c>
      <c r="D42" s="50">
        <v>3</v>
      </c>
      <c r="E42" s="50">
        <v>0</v>
      </c>
      <c r="F42" s="50">
        <v>11</v>
      </c>
      <c r="G42" s="50">
        <v>0</v>
      </c>
      <c r="H42" s="50">
        <v>0</v>
      </c>
      <c r="I42" s="50">
        <v>2</v>
      </c>
      <c r="J42" s="50">
        <v>1</v>
      </c>
      <c r="K42" s="50">
        <v>1</v>
      </c>
      <c r="L42" s="50">
        <v>0</v>
      </c>
      <c r="M42" s="50">
        <v>9</v>
      </c>
      <c r="N42" s="50">
        <v>0</v>
      </c>
      <c r="O42" s="15">
        <f t="shared" si="0"/>
        <v>20</v>
      </c>
      <c r="P42" s="15">
        <f t="shared" si="1"/>
        <v>29</v>
      </c>
      <c r="R42" s="5" t="s">
        <v>160</v>
      </c>
      <c r="S42" s="48">
        <f>S41/S40</f>
        <v>1.5826086956521739</v>
      </c>
      <c r="T42" s="48">
        <f t="shared" ref="T42:AF42" si="34">T41/T40</f>
        <v>1.574468085106383</v>
      </c>
      <c r="U42" s="48">
        <f t="shared" si="34"/>
        <v>1.23</v>
      </c>
      <c r="V42" s="48">
        <f t="shared" si="34"/>
        <v>1.2378640776699028</v>
      </c>
      <c r="W42" s="48">
        <f t="shared" si="34"/>
        <v>1.5</v>
      </c>
      <c r="X42" s="48">
        <f t="shared" si="34"/>
        <v>1.9473684210526316</v>
      </c>
      <c r="Y42" s="48">
        <f t="shared" si="34"/>
        <v>3.0625</v>
      </c>
      <c r="Z42" s="48">
        <f t="shared" si="34"/>
        <v>1</v>
      </c>
      <c r="AA42" s="48">
        <f t="shared" si="34"/>
        <v>2.5</v>
      </c>
      <c r="AB42" s="48">
        <f t="shared" si="34"/>
        <v>1.1363636363636365</v>
      </c>
      <c r="AC42" s="48">
        <f t="shared" si="34"/>
        <v>1.3240506329113924</v>
      </c>
      <c r="AD42" s="48">
        <f t="shared" si="34"/>
        <v>1</v>
      </c>
      <c r="AE42" s="48">
        <f t="shared" si="34"/>
        <v>1.4049008168028005</v>
      </c>
      <c r="AF42" s="48">
        <f t="shared" si="34"/>
        <v>1.3793929712460065</v>
      </c>
    </row>
    <row r="43" spans="2:32" ht="23.1" customHeight="1" x14ac:dyDescent="0.25">
      <c r="B43" s="45" t="s">
        <v>70</v>
      </c>
      <c r="C43" s="50">
        <v>1</v>
      </c>
      <c r="D43" s="50">
        <v>0</v>
      </c>
      <c r="E43" s="50">
        <v>2</v>
      </c>
      <c r="F43" s="50">
        <v>7</v>
      </c>
      <c r="G43" s="50">
        <v>0</v>
      </c>
      <c r="H43" s="50">
        <v>2</v>
      </c>
      <c r="I43" s="50">
        <v>0</v>
      </c>
      <c r="J43" s="50">
        <v>3</v>
      </c>
      <c r="K43" s="50">
        <v>0</v>
      </c>
      <c r="L43" s="50">
        <v>0</v>
      </c>
      <c r="M43" s="50">
        <v>3</v>
      </c>
      <c r="N43" s="50">
        <v>1</v>
      </c>
      <c r="O43" s="15">
        <f t="shared" si="0"/>
        <v>16</v>
      </c>
      <c r="P43" s="15">
        <f t="shared" si="1"/>
        <v>19</v>
      </c>
    </row>
    <row r="44" spans="2:32" ht="23.1" customHeight="1" x14ac:dyDescent="0.25">
      <c r="B44" s="47" t="s">
        <v>71</v>
      </c>
      <c r="C44" s="50">
        <v>3</v>
      </c>
      <c r="D44" s="50">
        <v>0</v>
      </c>
      <c r="E44" s="50">
        <v>1</v>
      </c>
      <c r="F44" s="50">
        <v>6</v>
      </c>
      <c r="G44" s="50">
        <v>0</v>
      </c>
      <c r="H44" s="50">
        <v>2</v>
      </c>
      <c r="I44" s="50">
        <v>0</v>
      </c>
      <c r="J44" s="50">
        <v>1</v>
      </c>
      <c r="K44" s="50">
        <v>0</v>
      </c>
      <c r="L44" s="50">
        <v>0</v>
      </c>
      <c r="M44" s="50">
        <v>7</v>
      </c>
      <c r="N44" s="50">
        <v>0</v>
      </c>
      <c r="O44" s="15">
        <f t="shared" si="0"/>
        <v>13</v>
      </c>
      <c r="P44" s="15">
        <f t="shared" si="1"/>
        <v>20</v>
      </c>
    </row>
    <row r="45" spans="2:32" ht="23.1" customHeight="1" x14ac:dyDescent="0.25">
      <c r="B45" s="45" t="s">
        <v>72</v>
      </c>
      <c r="C45" s="50">
        <v>1</v>
      </c>
      <c r="D45" s="50">
        <v>1</v>
      </c>
      <c r="E45" s="50">
        <v>2</v>
      </c>
      <c r="F45" s="50">
        <v>5</v>
      </c>
      <c r="G45" s="50">
        <v>0</v>
      </c>
      <c r="H45" s="50">
        <v>1</v>
      </c>
      <c r="I45" s="50">
        <v>2</v>
      </c>
      <c r="J45" s="50">
        <v>2</v>
      </c>
      <c r="K45" s="50">
        <v>0</v>
      </c>
      <c r="L45" s="50">
        <v>0</v>
      </c>
      <c r="M45" s="50">
        <v>4</v>
      </c>
      <c r="N45" s="50">
        <v>0</v>
      </c>
      <c r="O45" s="15">
        <f t="shared" si="0"/>
        <v>14</v>
      </c>
      <c r="P45" s="15">
        <f t="shared" si="1"/>
        <v>18</v>
      </c>
    </row>
    <row r="46" spans="2:32" ht="23.1" customHeight="1" x14ac:dyDescent="0.25">
      <c r="B46" s="46" t="s">
        <v>73</v>
      </c>
      <c r="C46" s="50">
        <v>2</v>
      </c>
      <c r="D46" s="50">
        <v>1</v>
      </c>
      <c r="E46" s="50">
        <v>2</v>
      </c>
      <c r="F46" s="50">
        <v>8</v>
      </c>
      <c r="G46" s="50">
        <v>0</v>
      </c>
      <c r="H46" s="50">
        <v>0</v>
      </c>
      <c r="I46" s="50">
        <v>0</v>
      </c>
      <c r="J46" s="50">
        <v>1</v>
      </c>
      <c r="K46" s="50">
        <v>1</v>
      </c>
      <c r="L46" s="50">
        <v>0</v>
      </c>
      <c r="M46" s="50">
        <v>8</v>
      </c>
      <c r="N46" s="50">
        <v>0</v>
      </c>
      <c r="O46" s="15">
        <f t="shared" si="0"/>
        <v>15</v>
      </c>
      <c r="P46" s="15">
        <f t="shared" si="1"/>
        <v>23</v>
      </c>
      <c r="R46" s="8"/>
      <c r="T46"/>
    </row>
    <row r="47" spans="2:32" ht="23.1" customHeight="1" x14ac:dyDescent="0.25">
      <c r="B47" s="46" t="s">
        <v>74</v>
      </c>
      <c r="C47" s="50">
        <v>6</v>
      </c>
      <c r="D47" s="50">
        <v>0</v>
      </c>
      <c r="E47" s="50">
        <v>2</v>
      </c>
      <c r="F47" s="50">
        <v>10</v>
      </c>
      <c r="G47" s="50">
        <v>0</v>
      </c>
      <c r="H47" s="50">
        <v>0</v>
      </c>
      <c r="I47" s="50">
        <v>2</v>
      </c>
      <c r="J47" s="50">
        <v>4</v>
      </c>
      <c r="K47" s="50">
        <v>1</v>
      </c>
      <c r="L47" s="50">
        <v>0</v>
      </c>
      <c r="M47" s="50">
        <v>9</v>
      </c>
      <c r="N47" s="50">
        <v>0</v>
      </c>
      <c r="O47" s="15">
        <f t="shared" si="0"/>
        <v>25</v>
      </c>
      <c r="P47" s="15">
        <f t="shared" si="1"/>
        <v>34</v>
      </c>
      <c r="R47" s="8"/>
      <c r="T47"/>
    </row>
    <row r="48" spans="2:32" ht="23.1" customHeight="1" x14ac:dyDescent="0.25">
      <c r="B48" s="46" t="s">
        <v>75</v>
      </c>
      <c r="C48" s="50">
        <v>2</v>
      </c>
      <c r="D48" s="50">
        <v>1</v>
      </c>
      <c r="E48" s="50">
        <v>1</v>
      </c>
      <c r="F48" s="50">
        <v>11</v>
      </c>
      <c r="G48" s="50">
        <v>0</v>
      </c>
      <c r="H48" s="50">
        <v>1</v>
      </c>
      <c r="I48" s="50">
        <v>0</v>
      </c>
      <c r="J48" s="50">
        <v>2</v>
      </c>
      <c r="K48" s="50">
        <v>1</v>
      </c>
      <c r="L48" s="50">
        <v>0</v>
      </c>
      <c r="M48" s="50">
        <v>6</v>
      </c>
      <c r="N48" s="50">
        <v>0</v>
      </c>
      <c r="O48" s="15">
        <f t="shared" si="0"/>
        <v>19</v>
      </c>
      <c r="P48" s="15">
        <f t="shared" si="1"/>
        <v>25</v>
      </c>
      <c r="R48" s="8"/>
      <c r="T48"/>
    </row>
    <row r="49" spans="2:20" ht="23.1" customHeight="1" x14ac:dyDescent="0.25">
      <c r="B49" s="45" t="s">
        <v>76</v>
      </c>
      <c r="C49" s="50">
        <v>3</v>
      </c>
      <c r="D49" s="50">
        <v>4</v>
      </c>
      <c r="E49" s="50">
        <v>6</v>
      </c>
      <c r="F49" s="50">
        <v>9</v>
      </c>
      <c r="G49" s="50">
        <v>0</v>
      </c>
      <c r="H49" s="50">
        <v>0</v>
      </c>
      <c r="I49" s="50">
        <v>0</v>
      </c>
      <c r="J49" s="50">
        <v>3</v>
      </c>
      <c r="K49" s="50">
        <v>1</v>
      </c>
      <c r="L49" s="50">
        <v>0</v>
      </c>
      <c r="M49" s="50">
        <v>10</v>
      </c>
      <c r="N49" s="50">
        <v>0</v>
      </c>
      <c r="O49" s="15">
        <f t="shared" si="0"/>
        <v>26</v>
      </c>
      <c r="P49" s="15">
        <f t="shared" si="1"/>
        <v>36</v>
      </c>
      <c r="R49" s="8"/>
      <c r="T49"/>
    </row>
    <row r="50" spans="2:20" ht="23.1" customHeight="1" x14ac:dyDescent="0.25">
      <c r="B50" s="46" t="s">
        <v>77</v>
      </c>
      <c r="C50" s="50">
        <v>4</v>
      </c>
      <c r="D50" s="50">
        <v>0</v>
      </c>
      <c r="E50" s="50">
        <v>4</v>
      </c>
      <c r="F50" s="50">
        <v>13</v>
      </c>
      <c r="G50" s="50">
        <v>1</v>
      </c>
      <c r="H50" s="50">
        <v>1</v>
      </c>
      <c r="I50" s="50">
        <v>2</v>
      </c>
      <c r="J50" s="50">
        <v>3</v>
      </c>
      <c r="K50" s="50">
        <v>0</v>
      </c>
      <c r="L50" s="50">
        <v>1</v>
      </c>
      <c r="M50" s="50">
        <v>21</v>
      </c>
      <c r="N50" s="50">
        <v>0</v>
      </c>
      <c r="O50" s="15">
        <f t="shared" si="0"/>
        <v>29</v>
      </c>
      <c r="P50" s="15">
        <f t="shared" si="1"/>
        <v>50</v>
      </c>
      <c r="R50" s="8"/>
      <c r="T50"/>
    </row>
    <row r="51" spans="2:20" ht="23.1" customHeight="1" x14ac:dyDescent="0.25">
      <c r="B51" s="46" t="s">
        <v>78</v>
      </c>
      <c r="C51" s="50">
        <v>5</v>
      </c>
      <c r="D51" s="50">
        <v>3</v>
      </c>
      <c r="E51" s="50">
        <v>6</v>
      </c>
      <c r="F51" s="50">
        <v>10</v>
      </c>
      <c r="G51" s="50">
        <v>1</v>
      </c>
      <c r="H51" s="50">
        <v>0</v>
      </c>
      <c r="I51" s="50">
        <v>0</v>
      </c>
      <c r="J51" s="50">
        <v>2</v>
      </c>
      <c r="K51" s="50">
        <v>0</v>
      </c>
      <c r="L51" s="50">
        <v>0</v>
      </c>
      <c r="M51" s="50">
        <v>14</v>
      </c>
      <c r="N51" s="50">
        <v>0</v>
      </c>
      <c r="O51" s="15">
        <f t="shared" si="0"/>
        <v>27</v>
      </c>
      <c r="P51" s="15">
        <f t="shared" si="1"/>
        <v>41</v>
      </c>
      <c r="R51" s="8"/>
      <c r="T51"/>
    </row>
    <row r="52" spans="2:20" ht="23.1" customHeight="1" x14ac:dyDescent="0.25">
      <c r="B52" s="46" t="s">
        <v>79</v>
      </c>
      <c r="C52" s="50">
        <v>8</v>
      </c>
      <c r="D52" s="50">
        <v>2</v>
      </c>
      <c r="E52" s="50">
        <v>7</v>
      </c>
      <c r="F52" s="50">
        <v>13</v>
      </c>
      <c r="G52" s="50">
        <v>1</v>
      </c>
      <c r="H52" s="50">
        <v>0</v>
      </c>
      <c r="I52" s="50">
        <v>0</v>
      </c>
      <c r="J52" s="50">
        <v>0</v>
      </c>
      <c r="K52" s="50">
        <v>0</v>
      </c>
      <c r="L52" s="50">
        <v>0</v>
      </c>
      <c r="M52" s="50">
        <v>9</v>
      </c>
      <c r="N52" s="50">
        <v>0</v>
      </c>
      <c r="O52" s="15">
        <f t="shared" si="0"/>
        <v>31</v>
      </c>
      <c r="P52" s="15">
        <f t="shared" si="1"/>
        <v>40</v>
      </c>
      <c r="R52" s="8"/>
      <c r="T52"/>
    </row>
    <row r="53" spans="2:20" ht="23.1" customHeight="1" x14ac:dyDescent="0.25">
      <c r="B53" s="45" t="s">
        <v>80</v>
      </c>
      <c r="C53" s="50">
        <v>7</v>
      </c>
      <c r="D53" s="50">
        <v>0</v>
      </c>
      <c r="E53" s="50">
        <v>2</v>
      </c>
      <c r="F53" s="50">
        <v>10</v>
      </c>
      <c r="G53" s="50">
        <v>1</v>
      </c>
      <c r="H53" s="50">
        <v>0</v>
      </c>
      <c r="I53" s="50">
        <v>1</v>
      </c>
      <c r="J53" s="50">
        <v>0</v>
      </c>
      <c r="K53" s="50">
        <v>1</v>
      </c>
      <c r="L53" s="50">
        <v>0</v>
      </c>
      <c r="M53" s="50">
        <v>16</v>
      </c>
      <c r="N53" s="50">
        <v>0</v>
      </c>
      <c r="O53" s="15">
        <f t="shared" si="0"/>
        <v>22</v>
      </c>
      <c r="P53" s="15">
        <f t="shared" si="1"/>
        <v>38</v>
      </c>
      <c r="R53" s="8"/>
      <c r="T53"/>
    </row>
    <row r="54" spans="2:20" ht="23.1" customHeight="1" x14ac:dyDescent="0.25">
      <c r="B54" s="45" t="s">
        <v>81</v>
      </c>
      <c r="C54" s="50">
        <v>4</v>
      </c>
      <c r="D54" s="50">
        <v>2</v>
      </c>
      <c r="E54" s="50">
        <v>5</v>
      </c>
      <c r="F54" s="50">
        <v>13</v>
      </c>
      <c r="G54" s="50">
        <v>1</v>
      </c>
      <c r="H54" s="50">
        <v>1</v>
      </c>
      <c r="I54" s="50">
        <v>0</v>
      </c>
      <c r="J54" s="50">
        <v>2</v>
      </c>
      <c r="K54" s="50">
        <v>1</v>
      </c>
      <c r="L54" s="50">
        <v>0</v>
      </c>
      <c r="M54" s="50">
        <v>16</v>
      </c>
      <c r="N54" s="50">
        <v>0</v>
      </c>
      <c r="O54" s="15">
        <f t="shared" si="0"/>
        <v>29</v>
      </c>
      <c r="P54" s="15">
        <f t="shared" si="1"/>
        <v>45</v>
      </c>
      <c r="R54" s="8"/>
      <c r="T54"/>
    </row>
    <row r="55" spans="2:20" ht="23.1" customHeight="1" x14ac:dyDescent="0.25">
      <c r="B55" s="45" t="s">
        <v>82</v>
      </c>
      <c r="C55" s="50">
        <v>4</v>
      </c>
      <c r="D55" s="50">
        <v>0</v>
      </c>
      <c r="E55" s="50">
        <v>3</v>
      </c>
      <c r="F55" s="50">
        <v>10</v>
      </c>
      <c r="G55" s="50">
        <v>1</v>
      </c>
      <c r="H55" s="50">
        <v>1</v>
      </c>
      <c r="I55" s="50">
        <v>0</v>
      </c>
      <c r="J55" s="50">
        <v>3</v>
      </c>
      <c r="K55" s="50">
        <v>0</v>
      </c>
      <c r="L55" s="50">
        <v>0</v>
      </c>
      <c r="M55" s="50">
        <v>9</v>
      </c>
      <c r="N55" s="50">
        <v>0</v>
      </c>
      <c r="O55" s="15">
        <f t="shared" si="0"/>
        <v>22</v>
      </c>
      <c r="P55" s="15">
        <f t="shared" si="1"/>
        <v>31</v>
      </c>
      <c r="R55" s="8"/>
      <c r="T55"/>
    </row>
    <row r="56" spans="2:20" ht="23.1" customHeight="1" x14ac:dyDescent="0.25">
      <c r="B56" s="45" t="s">
        <v>83</v>
      </c>
      <c r="C56" s="50">
        <v>1</v>
      </c>
      <c r="D56" s="50">
        <v>1</v>
      </c>
      <c r="E56" s="50">
        <v>5</v>
      </c>
      <c r="F56" s="50">
        <v>11</v>
      </c>
      <c r="G56" s="50">
        <v>0</v>
      </c>
      <c r="H56" s="50">
        <v>0</v>
      </c>
      <c r="I56" s="50">
        <v>0</v>
      </c>
      <c r="J56" s="50">
        <v>3</v>
      </c>
      <c r="K56" s="50">
        <v>1</v>
      </c>
      <c r="L56" s="50">
        <v>0</v>
      </c>
      <c r="M56" s="50">
        <v>15</v>
      </c>
      <c r="N56" s="50">
        <v>0</v>
      </c>
      <c r="O56" s="15">
        <f t="shared" si="0"/>
        <v>22</v>
      </c>
      <c r="P56" s="15">
        <f t="shared" si="1"/>
        <v>37</v>
      </c>
      <c r="R56" s="8"/>
      <c r="T56"/>
    </row>
    <row r="57" spans="2:20" ht="23.1" customHeight="1" x14ac:dyDescent="0.25">
      <c r="B57" s="45" t="s">
        <v>84</v>
      </c>
      <c r="C57" s="50">
        <v>1</v>
      </c>
      <c r="D57" s="50">
        <v>1</v>
      </c>
      <c r="E57" s="50">
        <v>2</v>
      </c>
      <c r="F57" s="50">
        <v>3</v>
      </c>
      <c r="G57" s="50">
        <v>0</v>
      </c>
      <c r="H57" s="50">
        <v>1</v>
      </c>
      <c r="I57" s="50">
        <v>0</v>
      </c>
      <c r="J57" s="50">
        <v>0</v>
      </c>
      <c r="K57" s="50">
        <v>1</v>
      </c>
      <c r="L57" s="50">
        <v>0</v>
      </c>
      <c r="M57" s="50">
        <v>7</v>
      </c>
      <c r="N57" s="50">
        <v>0</v>
      </c>
      <c r="O57" s="15">
        <f t="shared" si="0"/>
        <v>9</v>
      </c>
      <c r="P57" s="15">
        <f t="shared" si="1"/>
        <v>16</v>
      </c>
      <c r="R57" s="8"/>
      <c r="T57"/>
    </row>
    <row r="58" spans="2:20" ht="23.1" customHeight="1" x14ac:dyDescent="0.25">
      <c r="B58" s="45" t="s">
        <v>99</v>
      </c>
      <c r="C58" s="50">
        <v>7</v>
      </c>
      <c r="D58" s="50">
        <v>4</v>
      </c>
      <c r="E58" s="50">
        <v>5</v>
      </c>
      <c r="F58" s="50">
        <v>11</v>
      </c>
      <c r="G58" s="50">
        <v>2</v>
      </c>
      <c r="H58" s="50">
        <v>0</v>
      </c>
      <c r="I58" s="50">
        <v>6</v>
      </c>
      <c r="J58" s="50">
        <v>0</v>
      </c>
      <c r="K58" s="50">
        <v>2</v>
      </c>
      <c r="L58" s="50">
        <v>1</v>
      </c>
      <c r="M58" s="50">
        <v>24</v>
      </c>
      <c r="N58" s="50">
        <v>0</v>
      </c>
      <c r="O58" s="15">
        <f t="shared" si="0"/>
        <v>38</v>
      </c>
      <c r="P58" s="15">
        <f t="shared" si="1"/>
        <v>62</v>
      </c>
      <c r="R58" s="8"/>
      <c r="T58"/>
    </row>
    <row r="59" spans="2:20" ht="23.1" customHeight="1" x14ac:dyDescent="0.25">
      <c r="B59" s="45" t="s">
        <v>100</v>
      </c>
      <c r="C59" s="50">
        <v>5</v>
      </c>
      <c r="D59" s="50">
        <v>3</v>
      </c>
      <c r="E59" s="50">
        <v>1</v>
      </c>
      <c r="F59" s="50">
        <v>6</v>
      </c>
      <c r="G59" s="50">
        <v>0</v>
      </c>
      <c r="H59" s="50">
        <v>0</v>
      </c>
      <c r="I59" s="50">
        <v>4</v>
      </c>
      <c r="J59" s="50">
        <v>0</v>
      </c>
      <c r="K59" s="50">
        <v>0</v>
      </c>
      <c r="L59" s="50">
        <v>0</v>
      </c>
      <c r="M59" s="50">
        <v>9</v>
      </c>
      <c r="N59" s="50">
        <v>0</v>
      </c>
      <c r="O59" s="15">
        <f t="shared" si="0"/>
        <v>19</v>
      </c>
      <c r="P59" s="15">
        <f t="shared" si="1"/>
        <v>28</v>
      </c>
      <c r="R59" s="8"/>
      <c r="T59"/>
    </row>
    <row r="60" spans="2:20" ht="23.1" customHeight="1" x14ac:dyDescent="0.25">
      <c r="B60" s="45" t="s">
        <v>101</v>
      </c>
      <c r="C60" s="50">
        <v>2</v>
      </c>
      <c r="D60" s="50">
        <v>0</v>
      </c>
      <c r="E60" s="50">
        <v>0</v>
      </c>
      <c r="F60" s="50">
        <v>3</v>
      </c>
      <c r="G60" s="50">
        <v>0</v>
      </c>
      <c r="H60" s="50">
        <v>0</v>
      </c>
      <c r="I60" s="50">
        <v>4</v>
      </c>
      <c r="J60" s="50">
        <v>0</v>
      </c>
      <c r="K60" s="50">
        <v>0</v>
      </c>
      <c r="L60" s="50">
        <v>0</v>
      </c>
      <c r="M60" s="50">
        <v>9</v>
      </c>
      <c r="N60" s="50">
        <v>0</v>
      </c>
      <c r="O60" s="15">
        <f t="shared" si="0"/>
        <v>9</v>
      </c>
      <c r="P60" s="15">
        <f t="shared" si="1"/>
        <v>18</v>
      </c>
      <c r="R60" s="8"/>
      <c r="T60"/>
    </row>
    <row r="61" spans="2:20" ht="23.1" customHeight="1" x14ac:dyDescent="0.25">
      <c r="B61" s="45" t="s">
        <v>102</v>
      </c>
      <c r="C61" s="50">
        <v>5</v>
      </c>
      <c r="D61" s="50">
        <v>1</v>
      </c>
      <c r="E61" s="50">
        <v>1</v>
      </c>
      <c r="F61" s="50">
        <v>10</v>
      </c>
      <c r="G61" s="50">
        <v>1</v>
      </c>
      <c r="H61" s="50">
        <v>0</v>
      </c>
      <c r="I61" s="50">
        <v>4</v>
      </c>
      <c r="J61" s="50">
        <v>0</v>
      </c>
      <c r="K61" s="50">
        <v>1</v>
      </c>
      <c r="L61" s="50">
        <v>0</v>
      </c>
      <c r="M61" s="50">
        <v>11</v>
      </c>
      <c r="N61" s="50">
        <v>0</v>
      </c>
      <c r="O61" s="15">
        <f t="shared" si="0"/>
        <v>23</v>
      </c>
      <c r="P61" s="15">
        <f t="shared" si="1"/>
        <v>34</v>
      </c>
      <c r="R61" s="8"/>
      <c r="T61"/>
    </row>
    <row r="62" spans="2:20" ht="23.1" customHeight="1" x14ac:dyDescent="0.25">
      <c r="B62" s="45" t="s">
        <v>107</v>
      </c>
      <c r="C62" s="50">
        <v>9</v>
      </c>
      <c r="D62" s="50">
        <v>2</v>
      </c>
      <c r="E62" s="50">
        <v>1</v>
      </c>
      <c r="F62" s="50">
        <v>4</v>
      </c>
      <c r="G62" s="50">
        <v>0</v>
      </c>
      <c r="H62" s="50">
        <v>0</v>
      </c>
      <c r="I62" s="50">
        <v>3</v>
      </c>
      <c r="J62" s="50">
        <v>0</v>
      </c>
      <c r="K62" s="50">
        <v>1</v>
      </c>
      <c r="L62" s="50">
        <v>0</v>
      </c>
      <c r="M62" s="50">
        <v>10</v>
      </c>
      <c r="N62" s="50">
        <v>0</v>
      </c>
      <c r="O62" s="15">
        <f t="shared" si="0"/>
        <v>20</v>
      </c>
      <c r="P62" s="15">
        <f t="shared" si="1"/>
        <v>30</v>
      </c>
      <c r="R62" s="8"/>
      <c r="T62"/>
    </row>
    <row r="63" spans="2:20" ht="23.1" customHeight="1" x14ac:dyDescent="0.25">
      <c r="B63" s="45" t="s">
        <v>108</v>
      </c>
      <c r="C63" s="50">
        <v>4</v>
      </c>
      <c r="D63" s="50">
        <v>2</v>
      </c>
      <c r="E63" s="50">
        <v>2</v>
      </c>
      <c r="F63" s="50">
        <v>5</v>
      </c>
      <c r="G63" s="50">
        <v>0</v>
      </c>
      <c r="H63" s="50">
        <v>1</v>
      </c>
      <c r="I63" s="50">
        <v>4</v>
      </c>
      <c r="J63" s="50">
        <v>0</v>
      </c>
      <c r="K63" s="50">
        <v>2</v>
      </c>
      <c r="L63" s="50">
        <v>0</v>
      </c>
      <c r="M63" s="50">
        <v>10</v>
      </c>
      <c r="N63" s="50">
        <v>0</v>
      </c>
      <c r="O63" s="15">
        <f t="shared" si="0"/>
        <v>20</v>
      </c>
      <c r="P63" s="15">
        <f t="shared" si="1"/>
        <v>30</v>
      </c>
      <c r="R63" s="8"/>
      <c r="T63"/>
    </row>
    <row r="64" spans="2:20" ht="23.1" customHeight="1" x14ac:dyDescent="0.25">
      <c r="B64" s="45" t="s">
        <v>109</v>
      </c>
      <c r="C64" s="50">
        <v>6</v>
      </c>
      <c r="D64" s="50">
        <v>0</v>
      </c>
      <c r="E64" s="50">
        <v>0</v>
      </c>
      <c r="F64" s="50">
        <v>4</v>
      </c>
      <c r="G64" s="50">
        <v>0</v>
      </c>
      <c r="H64" s="50">
        <v>0</v>
      </c>
      <c r="I64" s="50">
        <v>2</v>
      </c>
      <c r="J64" s="50">
        <v>0</v>
      </c>
      <c r="K64" s="50">
        <v>2</v>
      </c>
      <c r="L64" s="50">
        <v>0</v>
      </c>
      <c r="M64" s="50">
        <v>1</v>
      </c>
      <c r="N64" s="50">
        <v>0</v>
      </c>
      <c r="O64" s="15">
        <f t="shared" si="0"/>
        <v>14</v>
      </c>
      <c r="P64" s="15">
        <f t="shared" si="1"/>
        <v>15</v>
      </c>
      <c r="R64" s="8"/>
      <c r="T64"/>
    </row>
    <row r="65" spans="2:20" ht="23.1" customHeight="1" x14ac:dyDescent="0.25">
      <c r="B65" s="45" t="s">
        <v>158</v>
      </c>
      <c r="C65" s="50">
        <v>5</v>
      </c>
      <c r="D65" s="50">
        <v>0</v>
      </c>
      <c r="E65" s="50">
        <v>2</v>
      </c>
      <c r="F65" s="50">
        <v>2</v>
      </c>
      <c r="G65" s="50">
        <v>0</v>
      </c>
      <c r="H65" s="50">
        <v>0</v>
      </c>
      <c r="I65" s="50">
        <v>2</v>
      </c>
      <c r="J65" s="50">
        <v>0</v>
      </c>
      <c r="K65" s="50">
        <v>0</v>
      </c>
      <c r="L65" s="50">
        <v>0</v>
      </c>
      <c r="M65" s="50">
        <v>3</v>
      </c>
      <c r="N65" s="50">
        <v>0</v>
      </c>
      <c r="O65" s="15">
        <f t="shared" si="0"/>
        <v>11</v>
      </c>
      <c r="P65" s="15">
        <f t="shared" si="1"/>
        <v>14</v>
      </c>
      <c r="R65" s="8"/>
      <c r="T65"/>
    </row>
    <row r="66" spans="2:20" ht="23.1" customHeight="1" x14ac:dyDescent="0.25">
      <c r="B66" s="45" t="s">
        <v>103</v>
      </c>
      <c r="C66" s="50">
        <v>1</v>
      </c>
      <c r="D66" s="50">
        <v>2</v>
      </c>
      <c r="E66" s="50">
        <v>1</v>
      </c>
      <c r="F66" s="50">
        <v>6</v>
      </c>
      <c r="G66" s="50">
        <v>0</v>
      </c>
      <c r="H66" s="50">
        <v>0</v>
      </c>
      <c r="I66" s="50">
        <v>7</v>
      </c>
      <c r="J66" s="50">
        <v>0</v>
      </c>
      <c r="K66" s="50">
        <v>1</v>
      </c>
      <c r="L66" s="50">
        <v>0</v>
      </c>
      <c r="M66" s="50">
        <v>7</v>
      </c>
      <c r="N66" s="50">
        <v>0</v>
      </c>
      <c r="O66" s="15">
        <f t="shared" si="0"/>
        <v>18</v>
      </c>
      <c r="P66" s="15">
        <f t="shared" si="1"/>
        <v>25</v>
      </c>
      <c r="R66" s="8"/>
      <c r="T66"/>
    </row>
    <row r="67" spans="2:20" ht="23.1" customHeight="1" x14ac:dyDescent="0.25">
      <c r="B67" s="45" t="s">
        <v>104</v>
      </c>
      <c r="C67" s="50">
        <v>0</v>
      </c>
      <c r="D67" s="50">
        <v>1</v>
      </c>
      <c r="E67" s="50">
        <v>0</v>
      </c>
      <c r="F67" s="50">
        <v>1</v>
      </c>
      <c r="G67" s="50">
        <v>0</v>
      </c>
      <c r="H67" s="50">
        <v>1</v>
      </c>
      <c r="I67" s="50">
        <v>0</v>
      </c>
      <c r="J67" s="50">
        <v>0</v>
      </c>
      <c r="K67" s="50">
        <v>1</v>
      </c>
      <c r="L67" s="50">
        <v>0</v>
      </c>
      <c r="M67" s="50">
        <v>0</v>
      </c>
      <c r="N67" s="50">
        <v>0</v>
      </c>
      <c r="O67" s="15">
        <f t="shared" si="0"/>
        <v>4</v>
      </c>
      <c r="P67" s="15">
        <f t="shared" si="1"/>
        <v>4</v>
      </c>
      <c r="R67" s="8"/>
      <c r="T67"/>
    </row>
    <row r="68" spans="2:20" ht="23.1" customHeight="1" x14ac:dyDescent="0.25">
      <c r="B68" s="45" t="s">
        <v>105</v>
      </c>
      <c r="C68" s="50">
        <v>1</v>
      </c>
      <c r="D68" s="50">
        <v>1</v>
      </c>
      <c r="E68" s="50">
        <v>0</v>
      </c>
      <c r="F68" s="50">
        <v>1</v>
      </c>
      <c r="G68" s="50">
        <v>0</v>
      </c>
      <c r="H68" s="50">
        <v>0</v>
      </c>
      <c r="I68" s="50">
        <v>2</v>
      </c>
      <c r="J68" s="50">
        <v>0</v>
      </c>
      <c r="K68" s="50">
        <v>1</v>
      </c>
      <c r="L68" s="50">
        <v>0</v>
      </c>
      <c r="M68" s="50">
        <v>1</v>
      </c>
      <c r="N68" s="50">
        <v>0</v>
      </c>
      <c r="O68" s="15">
        <f t="shared" si="0"/>
        <v>6</v>
      </c>
      <c r="P68" s="15">
        <f t="shared" si="1"/>
        <v>7</v>
      </c>
      <c r="R68" s="8"/>
      <c r="T68"/>
    </row>
    <row r="69" spans="2:20" ht="23.1" customHeight="1" x14ac:dyDescent="0.25">
      <c r="B69" s="45" t="s">
        <v>106</v>
      </c>
      <c r="C69" s="50">
        <v>0</v>
      </c>
      <c r="D69" s="50">
        <v>0</v>
      </c>
      <c r="E69" s="50">
        <v>0</v>
      </c>
      <c r="F69" s="50">
        <v>1</v>
      </c>
      <c r="G69" s="50">
        <v>0</v>
      </c>
      <c r="H69" s="50">
        <v>0</v>
      </c>
      <c r="I69" s="50">
        <v>3</v>
      </c>
      <c r="J69" s="50">
        <v>0</v>
      </c>
      <c r="K69" s="50">
        <v>0</v>
      </c>
      <c r="L69" s="50">
        <v>0</v>
      </c>
      <c r="M69" s="50">
        <v>2</v>
      </c>
      <c r="N69" s="50">
        <v>0</v>
      </c>
      <c r="O69" s="15">
        <f t="shared" si="0"/>
        <v>4</v>
      </c>
      <c r="P69" s="15">
        <f t="shared" si="1"/>
        <v>6</v>
      </c>
      <c r="R69" s="8"/>
      <c r="T69"/>
    </row>
    <row r="70" spans="2:20" ht="23.1" customHeight="1" x14ac:dyDescent="0.25">
      <c r="B70" s="45" t="s">
        <v>110</v>
      </c>
      <c r="C70" s="50">
        <v>1</v>
      </c>
      <c r="D70" s="50">
        <v>1</v>
      </c>
      <c r="E70" s="50">
        <v>0</v>
      </c>
      <c r="F70" s="50">
        <v>0</v>
      </c>
      <c r="G70" s="50">
        <v>0</v>
      </c>
      <c r="H70" s="50">
        <v>0</v>
      </c>
      <c r="I70" s="50">
        <v>5</v>
      </c>
      <c r="J70" s="50">
        <v>0</v>
      </c>
      <c r="K70" s="50">
        <v>2</v>
      </c>
      <c r="L70" s="50">
        <v>0</v>
      </c>
      <c r="M70" s="50">
        <v>1</v>
      </c>
      <c r="N70" s="50">
        <v>0</v>
      </c>
      <c r="O70" s="15">
        <f t="shared" si="0"/>
        <v>9</v>
      </c>
      <c r="P70" s="15">
        <f t="shared" si="1"/>
        <v>10</v>
      </c>
      <c r="R70" s="8"/>
      <c r="T70"/>
    </row>
    <row r="71" spans="2:20" ht="23.1" customHeight="1" x14ac:dyDescent="0.25">
      <c r="B71" s="45" t="s">
        <v>111</v>
      </c>
      <c r="C71" s="50">
        <v>1</v>
      </c>
      <c r="D71" s="50">
        <v>0</v>
      </c>
      <c r="E71" s="50">
        <v>0</v>
      </c>
      <c r="F71" s="50">
        <v>0</v>
      </c>
      <c r="G71" s="50">
        <v>0</v>
      </c>
      <c r="H71" s="50">
        <v>0</v>
      </c>
      <c r="I71" s="50">
        <v>3</v>
      </c>
      <c r="J71" s="50">
        <v>0</v>
      </c>
      <c r="K71" s="50">
        <v>2</v>
      </c>
      <c r="L71" s="50">
        <v>0</v>
      </c>
      <c r="M71" s="50">
        <v>1</v>
      </c>
      <c r="N71" s="50">
        <v>0</v>
      </c>
      <c r="O71" s="15">
        <f t="shared" si="0"/>
        <v>6</v>
      </c>
      <c r="P71" s="15">
        <f t="shared" si="1"/>
        <v>7</v>
      </c>
      <c r="R71" s="8"/>
      <c r="T71"/>
    </row>
    <row r="72" spans="2:20" ht="23.1" customHeight="1" x14ac:dyDescent="0.25">
      <c r="B72" s="45" t="s">
        <v>112</v>
      </c>
      <c r="C72" s="50">
        <v>1</v>
      </c>
      <c r="D72" s="50">
        <v>0</v>
      </c>
      <c r="E72" s="50">
        <v>0</v>
      </c>
      <c r="F72" s="50">
        <v>2</v>
      </c>
      <c r="G72" s="50">
        <v>0</v>
      </c>
      <c r="H72" s="50">
        <v>0</v>
      </c>
      <c r="I72" s="50">
        <v>2</v>
      </c>
      <c r="J72" s="50">
        <v>0</v>
      </c>
      <c r="K72" s="50">
        <v>0</v>
      </c>
      <c r="L72" s="50">
        <v>0</v>
      </c>
      <c r="M72" s="50">
        <v>1</v>
      </c>
      <c r="N72" s="50">
        <v>0</v>
      </c>
      <c r="O72" s="15">
        <f t="shared" si="0"/>
        <v>5</v>
      </c>
      <c r="P72" s="15">
        <f t="shared" si="1"/>
        <v>6</v>
      </c>
      <c r="R72" s="8"/>
      <c r="T72"/>
    </row>
    <row r="73" spans="2:20" ht="23.1" customHeight="1" x14ac:dyDescent="0.25">
      <c r="B73" s="45" t="s">
        <v>113</v>
      </c>
      <c r="C73" s="50">
        <v>0</v>
      </c>
      <c r="D73" s="50">
        <v>0</v>
      </c>
      <c r="E73" s="50">
        <v>0</v>
      </c>
      <c r="F73" s="50">
        <v>1</v>
      </c>
      <c r="G73" s="50">
        <v>0</v>
      </c>
      <c r="H73" s="50">
        <v>0</v>
      </c>
      <c r="I73" s="50">
        <v>4</v>
      </c>
      <c r="J73" s="50">
        <v>0</v>
      </c>
      <c r="K73" s="50">
        <v>1</v>
      </c>
      <c r="L73" s="50">
        <v>0</v>
      </c>
      <c r="M73" s="50">
        <v>0</v>
      </c>
      <c r="N73" s="50">
        <v>0</v>
      </c>
      <c r="O73" s="15">
        <f t="shared" si="0"/>
        <v>6</v>
      </c>
      <c r="P73" s="15">
        <f t="shared" si="1"/>
        <v>6</v>
      </c>
      <c r="R73" s="8"/>
      <c r="T73"/>
    </row>
    <row r="74" spans="2:20" ht="23.1" customHeight="1" x14ac:dyDescent="0.25">
      <c r="B74" s="45" t="s">
        <v>114</v>
      </c>
      <c r="C74" s="50">
        <v>0</v>
      </c>
      <c r="D74" s="50">
        <v>0</v>
      </c>
      <c r="E74" s="50">
        <v>2</v>
      </c>
      <c r="F74" s="50">
        <v>0</v>
      </c>
      <c r="G74" s="50">
        <v>0</v>
      </c>
      <c r="H74" s="50">
        <v>1</v>
      </c>
      <c r="I74" s="50">
        <v>0</v>
      </c>
      <c r="J74" s="50">
        <v>0</v>
      </c>
      <c r="K74" s="50">
        <v>0</v>
      </c>
      <c r="L74" s="50">
        <v>0</v>
      </c>
      <c r="M74" s="50">
        <v>0</v>
      </c>
      <c r="N74" s="50">
        <v>0</v>
      </c>
      <c r="O74" s="15">
        <f t="shared" ref="O74:O105" si="35">SUM(C74:L74,N74)</f>
        <v>3</v>
      </c>
      <c r="P74" s="15">
        <f t="shared" ref="P74:P105" si="36">SUM(C74:N74)</f>
        <v>3</v>
      </c>
      <c r="R74" s="8"/>
      <c r="T74"/>
    </row>
    <row r="75" spans="2:20" ht="23.1" customHeight="1" x14ac:dyDescent="0.25">
      <c r="B75" s="45" t="s">
        <v>115</v>
      </c>
      <c r="C75" s="50">
        <v>1</v>
      </c>
      <c r="D75" s="50">
        <v>1</v>
      </c>
      <c r="E75" s="50">
        <v>0</v>
      </c>
      <c r="F75" s="50">
        <v>0</v>
      </c>
      <c r="G75" s="50">
        <v>0</v>
      </c>
      <c r="H75" s="50">
        <v>1</v>
      </c>
      <c r="I75" s="50">
        <v>0</v>
      </c>
      <c r="J75" s="50">
        <v>0</v>
      </c>
      <c r="K75" s="50">
        <v>0</v>
      </c>
      <c r="L75" s="50">
        <v>0</v>
      </c>
      <c r="M75" s="50">
        <v>0</v>
      </c>
      <c r="N75" s="50">
        <v>0</v>
      </c>
      <c r="O75" s="15">
        <f t="shared" si="35"/>
        <v>3</v>
      </c>
      <c r="P75" s="15">
        <f t="shared" si="36"/>
        <v>3</v>
      </c>
      <c r="R75" s="8"/>
      <c r="T75"/>
    </row>
    <row r="76" spans="2:20" ht="23.1" customHeight="1" x14ac:dyDescent="0.25">
      <c r="B76" s="45" t="s">
        <v>116</v>
      </c>
      <c r="C76" s="50">
        <v>0</v>
      </c>
      <c r="D76" s="50">
        <v>0</v>
      </c>
      <c r="E76" s="50">
        <v>0</v>
      </c>
      <c r="F76" s="50">
        <v>2</v>
      </c>
      <c r="G76" s="50">
        <v>2</v>
      </c>
      <c r="H76" s="50">
        <v>0</v>
      </c>
      <c r="I76" s="50">
        <v>1</v>
      </c>
      <c r="J76" s="50">
        <v>0</v>
      </c>
      <c r="K76" s="50">
        <v>1</v>
      </c>
      <c r="L76" s="50">
        <v>0</v>
      </c>
      <c r="M76" s="50">
        <v>0</v>
      </c>
      <c r="N76" s="50">
        <v>0</v>
      </c>
      <c r="O76" s="15">
        <f t="shared" si="35"/>
        <v>6</v>
      </c>
      <c r="P76" s="15">
        <f t="shared" si="36"/>
        <v>6</v>
      </c>
      <c r="R76" s="8"/>
      <c r="T76"/>
    </row>
    <row r="77" spans="2:20" ht="23.1" customHeight="1" x14ac:dyDescent="0.25">
      <c r="B77" s="45" t="s">
        <v>117</v>
      </c>
      <c r="C77" s="50">
        <v>1</v>
      </c>
      <c r="D77" s="50">
        <v>0</v>
      </c>
      <c r="E77" s="50">
        <v>0</v>
      </c>
      <c r="F77" s="50">
        <v>0</v>
      </c>
      <c r="G77" s="50">
        <v>0</v>
      </c>
      <c r="H77" s="50">
        <v>0</v>
      </c>
      <c r="I77" s="50">
        <v>0</v>
      </c>
      <c r="J77" s="50">
        <v>0</v>
      </c>
      <c r="K77" s="50">
        <v>0</v>
      </c>
      <c r="L77" s="50">
        <v>0</v>
      </c>
      <c r="M77" s="50">
        <v>0</v>
      </c>
      <c r="N77" s="50">
        <v>0</v>
      </c>
      <c r="O77" s="15">
        <f t="shared" si="35"/>
        <v>1</v>
      </c>
      <c r="P77" s="15">
        <f t="shared" si="36"/>
        <v>1</v>
      </c>
      <c r="R77" s="8"/>
      <c r="T77"/>
    </row>
    <row r="78" spans="2:20" ht="23.1" customHeight="1" x14ac:dyDescent="0.25">
      <c r="B78" s="46" t="s">
        <v>118</v>
      </c>
      <c r="C78" s="50">
        <v>0</v>
      </c>
      <c r="D78" s="50">
        <v>0</v>
      </c>
      <c r="E78" s="50">
        <v>1</v>
      </c>
      <c r="F78" s="50">
        <v>0</v>
      </c>
      <c r="G78" s="50">
        <v>0</v>
      </c>
      <c r="H78" s="50">
        <v>2</v>
      </c>
      <c r="I78" s="50">
        <v>0</v>
      </c>
      <c r="J78" s="50">
        <v>0</v>
      </c>
      <c r="K78" s="50">
        <v>0</v>
      </c>
      <c r="L78" s="50">
        <v>0</v>
      </c>
      <c r="M78" s="50">
        <v>0</v>
      </c>
      <c r="N78" s="50">
        <v>0</v>
      </c>
      <c r="O78" s="15">
        <f t="shared" si="35"/>
        <v>3</v>
      </c>
      <c r="P78" s="15">
        <f t="shared" si="36"/>
        <v>3</v>
      </c>
      <c r="R78" s="8"/>
      <c r="T78"/>
    </row>
    <row r="79" spans="2:20" ht="23.1" customHeight="1" x14ac:dyDescent="0.25">
      <c r="B79" s="45" t="s">
        <v>119</v>
      </c>
      <c r="C79" s="50">
        <v>1</v>
      </c>
      <c r="D79" s="50">
        <v>1</v>
      </c>
      <c r="E79" s="50">
        <v>0</v>
      </c>
      <c r="F79" s="50">
        <v>0</v>
      </c>
      <c r="G79" s="50">
        <v>0</v>
      </c>
      <c r="H79" s="50">
        <v>0</v>
      </c>
      <c r="I79" s="50">
        <v>1</v>
      </c>
      <c r="J79" s="50">
        <v>0</v>
      </c>
      <c r="K79" s="50">
        <v>1</v>
      </c>
      <c r="L79" s="50">
        <v>0</v>
      </c>
      <c r="M79" s="50">
        <v>0</v>
      </c>
      <c r="N79" s="50">
        <v>0</v>
      </c>
      <c r="O79" s="15">
        <f t="shared" si="35"/>
        <v>4</v>
      </c>
      <c r="P79" s="15">
        <f t="shared" si="36"/>
        <v>4</v>
      </c>
      <c r="R79" s="8"/>
      <c r="T79"/>
    </row>
    <row r="80" spans="2:20" ht="23.1" customHeight="1" x14ac:dyDescent="0.25">
      <c r="B80" s="47" t="s">
        <v>120</v>
      </c>
      <c r="C80" s="50">
        <v>0</v>
      </c>
      <c r="D80" s="50">
        <v>0</v>
      </c>
      <c r="E80" s="50">
        <v>1</v>
      </c>
      <c r="F80" s="50">
        <v>0</v>
      </c>
      <c r="G80" s="50">
        <v>0</v>
      </c>
      <c r="H80" s="50">
        <v>4</v>
      </c>
      <c r="I80" s="50">
        <v>0</v>
      </c>
      <c r="J80" s="50">
        <v>0</v>
      </c>
      <c r="K80" s="50">
        <v>0</v>
      </c>
      <c r="L80" s="50">
        <v>1</v>
      </c>
      <c r="M80" s="50">
        <v>0</v>
      </c>
      <c r="N80" s="50">
        <v>0</v>
      </c>
      <c r="O80" s="15">
        <f t="shared" si="35"/>
        <v>6</v>
      </c>
      <c r="P80" s="15">
        <f t="shared" si="36"/>
        <v>6</v>
      </c>
      <c r="R80" s="8"/>
      <c r="T80"/>
    </row>
    <row r="81" spans="2:20" ht="23.1" customHeight="1" x14ac:dyDescent="0.25">
      <c r="B81" s="45" t="s">
        <v>121</v>
      </c>
      <c r="C81" s="50">
        <v>0</v>
      </c>
      <c r="D81" s="50">
        <v>0</v>
      </c>
      <c r="E81" s="50">
        <v>0</v>
      </c>
      <c r="F81" s="50">
        <v>1</v>
      </c>
      <c r="G81" s="50">
        <v>1</v>
      </c>
      <c r="H81" s="50">
        <v>0</v>
      </c>
      <c r="I81" s="50">
        <v>4</v>
      </c>
      <c r="J81" s="50">
        <v>0</v>
      </c>
      <c r="K81" s="50">
        <v>0</v>
      </c>
      <c r="L81" s="50">
        <v>0</v>
      </c>
      <c r="M81" s="50">
        <v>1</v>
      </c>
      <c r="N81" s="50">
        <v>0</v>
      </c>
      <c r="O81" s="15">
        <f t="shared" si="35"/>
        <v>6</v>
      </c>
      <c r="P81" s="15">
        <f t="shared" si="36"/>
        <v>7</v>
      </c>
      <c r="R81" s="8"/>
      <c r="T81"/>
    </row>
    <row r="82" spans="2:20" ht="23.1" customHeight="1" x14ac:dyDescent="0.25">
      <c r="B82" s="46" t="s">
        <v>122</v>
      </c>
      <c r="C82" s="50">
        <v>0</v>
      </c>
      <c r="D82" s="50">
        <v>0</v>
      </c>
      <c r="E82" s="50">
        <v>0</v>
      </c>
      <c r="F82" s="50">
        <v>0</v>
      </c>
      <c r="G82" s="50">
        <v>0</v>
      </c>
      <c r="H82" s="50">
        <v>1</v>
      </c>
      <c r="I82" s="50">
        <v>2</v>
      </c>
      <c r="J82" s="50">
        <v>0</v>
      </c>
      <c r="K82" s="50">
        <v>1</v>
      </c>
      <c r="L82" s="50">
        <v>0</v>
      </c>
      <c r="M82" s="50">
        <v>0</v>
      </c>
      <c r="N82" s="50">
        <v>0</v>
      </c>
      <c r="O82" s="15">
        <f t="shared" si="35"/>
        <v>4</v>
      </c>
      <c r="P82" s="15">
        <f t="shared" si="36"/>
        <v>4</v>
      </c>
      <c r="R82" s="8"/>
      <c r="T82"/>
    </row>
    <row r="83" spans="2:20" ht="23.1" customHeight="1" x14ac:dyDescent="0.25">
      <c r="B83" s="45" t="s">
        <v>123</v>
      </c>
      <c r="C83" s="50">
        <v>0</v>
      </c>
      <c r="D83" s="50">
        <v>0</v>
      </c>
      <c r="E83" s="50">
        <v>0</v>
      </c>
      <c r="F83" s="50">
        <v>0</v>
      </c>
      <c r="G83" s="50">
        <v>0</v>
      </c>
      <c r="H83" s="50">
        <v>0</v>
      </c>
      <c r="I83" s="50">
        <v>0</v>
      </c>
      <c r="J83" s="50">
        <v>0</v>
      </c>
      <c r="K83" s="50">
        <v>2</v>
      </c>
      <c r="L83" s="50">
        <v>0</v>
      </c>
      <c r="M83" s="50">
        <v>0</v>
      </c>
      <c r="N83" s="50">
        <v>0</v>
      </c>
      <c r="O83" s="15">
        <f t="shared" si="35"/>
        <v>2</v>
      </c>
      <c r="P83" s="15">
        <f t="shared" si="36"/>
        <v>2</v>
      </c>
      <c r="R83" s="8"/>
      <c r="T83"/>
    </row>
    <row r="84" spans="2:20" ht="23.1" customHeight="1" x14ac:dyDescent="0.25">
      <c r="B84" s="47" t="s">
        <v>124</v>
      </c>
      <c r="C84" s="50">
        <v>0</v>
      </c>
      <c r="D84" s="50">
        <v>0</v>
      </c>
      <c r="E84" s="50">
        <v>0</v>
      </c>
      <c r="F84" s="50">
        <v>0</v>
      </c>
      <c r="G84" s="50">
        <v>0</v>
      </c>
      <c r="H84" s="50">
        <v>0</v>
      </c>
      <c r="I84" s="50">
        <v>0</v>
      </c>
      <c r="J84" s="50">
        <v>0</v>
      </c>
      <c r="K84" s="50">
        <v>0</v>
      </c>
      <c r="L84" s="50">
        <v>0</v>
      </c>
      <c r="M84" s="50">
        <v>0</v>
      </c>
      <c r="N84" s="50">
        <v>0</v>
      </c>
      <c r="O84" s="15">
        <f t="shared" si="35"/>
        <v>0</v>
      </c>
      <c r="P84" s="15">
        <f t="shared" si="36"/>
        <v>0</v>
      </c>
      <c r="R84" s="8"/>
      <c r="T84"/>
    </row>
    <row r="85" spans="2:20" ht="23.1" customHeight="1" x14ac:dyDescent="0.25">
      <c r="B85" s="45" t="s">
        <v>125</v>
      </c>
      <c r="C85" s="50">
        <v>0</v>
      </c>
      <c r="D85" s="50">
        <v>0</v>
      </c>
      <c r="E85" s="50">
        <v>0</v>
      </c>
      <c r="F85" s="50">
        <v>0</v>
      </c>
      <c r="G85" s="50">
        <v>0</v>
      </c>
      <c r="H85" s="50">
        <v>0</v>
      </c>
      <c r="I85" s="50">
        <v>0</v>
      </c>
      <c r="J85" s="50">
        <v>0</v>
      </c>
      <c r="K85" s="50">
        <v>1</v>
      </c>
      <c r="L85" s="50">
        <v>0</v>
      </c>
      <c r="M85" s="50">
        <v>0</v>
      </c>
      <c r="N85" s="50">
        <v>0</v>
      </c>
      <c r="O85" s="15">
        <f t="shared" si="35"/>
        <v>1</v>
      </c>
      <c r="P85" s="15">
        <f t="shared" si="36"/>
        <v>1</v>
      </c>
      <c r="R85" s="8"/>
      <c r="T85"/>
    </row>
    <row r="86" spans="2:20" ht="23.1" customHeight="1" x14ac:dyDescent="0.25">
      <c r="B86" s="46" t="s">
        <v>126</v>
      </c>
      <c r="C86" s="50">
        <v>0</v>
      </c>
      <c r="D86" s="50">
        <v>0</v>
      </c>
      <c r="E86" s="50">
        <v>0</v>
      </c>
      <c r="F86" s="50">
        <v>0</v>
      </c>
      <c r="G86" s="50">
        <v>0</v>
      </c>
      <c r="H86" s="50">
        <v>2</v>
      </c>
      <c r="I86" s="50">
        <v>0</v>
      </c>
      <c r="J86" s="50">
        <v>0</v>
      </c>
      <c r="K86" s="50">
        <v>0</v>
      </c>
      <c r="L86" s="50">
        <v>0</v>
      </c>
      <c r="M86" s="50">
        <v>0</v>
      </c>
      <c r="N86" s="50">
        <v>0</v>
      </c>
      <c r="O86" s="15">
        <f t="shared" si="35"/>
        <v>2</v>
      </c>
      <c r="P86" s="15">
        <f t="shared" si="36"/>
        <v>2</v>
      </c>
      <c r="R86" s="8"/>
      <c r="T86"/>
    </row>
    <row r="87" spans="2:20" ht="23.1" customHeight="1" x14ac:dyDescent="0.25">
      <c r="B87" s="45" t="s">
        <v>127</v>
      </c>
      <c r="C87" s="50">
        <v>0</v>
      </c>
      <c r="D87" s="50">
        <v>0</v>
      </c>
      <c r="E87" s="50">
        <v>0</v>
      </c>
      <c r="F87" s="50">
        <v>1</v>
      </c>
      <c r="G87" s="50">
        <v>0</v>
      </c>
      <c r="H87" s="50">
        <v>2</v>
      </c>
      <c r="I87" s="50">
        <v>1</v>
      </c>
      <c r="J87" s="50">
        <v>0</v>
      </c>
      <c r="K87" s="50">
        <v>1</v>
      </c>
      <c r="L87" s="50">
        <v>0</v>
      </c>
      <c r="M87" s="50">
        <v>0</v>
      </c>
      <c r="N87" s="50">
        <v>0</v>
      </c>
      <c r="O87" s="15">
        <f t="shared" si="35"/>
        <v>5</v>
      </c>
      <c r="P87" s="15">
        <f t="shared" si="36"/>
        <v>5</v>
      </c>
      <c r="R87" s="8"/>
      <c r="T87"/>
    </row>
    <row r="88" spans="2:20" ht="23.1" customHeight="1" x14ac:dyDescent="0.25">
      <c r="B88" s="47" t="s">
        <v>128</v>
      </c>
      <c r="C88" s="50">
        <v>0</v>
      </c>
      <c r="D88" s="50">
        <v>0</v>
      </c>
      <c r="E88" s="50">
        <v>0</v>
      </c>
      <c r="F88" s="50">
        <v>0</v>
      </c>
      <c r="G88" s="50">
        <v>0</v>
      </c>
      <c r="H88" s="50">
        <v>0</v>
      </c>
      <c r="I88" s="50">
        <v>0</v>
      </c>
      <c r="J88" s="50">
        <v>0</v>
      </c>
      <c r="K88" s="50">
        <v>0</v>
      </c>
      <c r="L88" s="50">
        <v>0</v>
      </c>
      <c r="M88" s="50">
        <v>0</v>
      </c>
      <c r="N88" s="50">
        <v>0</v>
      </c>
      <c r="O88" s="15">
        <f t="shared" si="35"/>
        <v>0</v>
      </c>
      <c r="P88" s="15">
        <f t="shared" si="36"/>
        <v>0</v>
      </c>
      <c r="R88" s="8"/>
      <c r="T88"/>
    </row>
    <row r="89" spans="2:20" ht="23.1" customHeight="1" x14ac:dyDescent="0.25">
      <c r="B89" s="45" t="s">
        <v>129</v>
      </c>
      <c r="C89" s="50">
        <v>0</v>
      </c>
      <c r="D89" s="50">
        <v>0</v>
      </c>
      <c r="E89" s="50">
        <v>0</v>
      </c>
      <c r="F89" s="50">
        <v>3</v>
      </c>
      <c r="G89" s="50">
        <v>0</v>
      </c>
      <c r="H89" s="50">
        <v>0</v>
      </c>
      <c r="I89" s="50">
        <v>1</v>
      </c>
      <c r="J89" s="50">
        <v>0</v>
      </c>
      <c r="K89" s="50">
        <v>1</v>
      </c>
      <c r="L89" s="50">
        <v>0</v>
      </c>
      <c r="M89" s="50">
        <v>0</v>
      </c>
      <c r="N89" s="50">
        <v>0</v>
      </c>
      <c r="O89" s="15">
        <f t="shared" si="35"/>
        <v>5</v>
      </c>
      <c r="P89" s="15">
        <f t="shared" si="36"/>
        <v>5</v>
      </c>
      <c r="R89" s="8"/>
      <c r="T89"/>
    </row>
    <row r="90" spans="2:20" ht="23.1" customHeight="1" x14ac:dyDescent="0.25">
      <c r="B90" s="46" t="s">
        <v>130</v>
      </c>
      <c r="C90" s="50">
        <v>0</v>
      </c>
      <c r="D90" s="50">
        <v>0</v>
      </c>
      <c r="E90" s="50">
        <v>0</v>
      </c>
      <c r="F90" s="50">
        <v>1</v>
      </c>
      <c r="G90" s="50">
        <v>0</v>
      </c>
      <c r="H90" s="50">
        <v>1</v>
      </c>
      <c r="I90" s="50">
        <v>0</v>
      </c>
      <c r="J90" s="50">
        <v>0</v>
      </c>
      <c r="K90" s="50">
        <v>1</v>
      </c>
      <c r="L90" s="50">
        <v>0</v>
      </c>
      <c r="M90" s="50">
        <v>1</v>
      </c>
      <c r="N90" s="50">
        <v>0</v>
      </c>
      <c r="O90" s="15">
        <f t="shared" si="35"/>
        <v>3</v>
      </c>
      <c r="P90" s="15">
        <f t="shared" si="36"/>
        <v>4</v>
      </c>
      <c r="R90" s="8"/>
      <c r="T90"/>
    </row>
    <row r="91" spans="2:20" ht="23.1" customHeight="1" x14ac:dyDescent="0.25">
      <c r="B91" s="45" t="s">
        <v>131</v>
      </c>
      <c r="C91" s="50">
        <v>1</v>
      </c>
      <c r="D91" s="50">
        <v>0</v>
      </c>
      <c r="E91" s="50">
        <v>0</v>
      </c>
      <c r="F91" s="50">
        <v>1</v>
      </c>
      <c r="G91" s="50">
        <v>0</v>
      </c>
      <c r="H91" s="50">
        <v>0</v>
      </c>
      <c r="I91" s="50">
        <v>0</v>
      </c>
      <c r="J91" s="50">
        <v>0</v>
      </c>
      <c r="K91" s="50">
        <v>0</v>
      </c>
      <c r="L91" s="50">
        <v>0</v>
      </c>
      <c r="M91" s="50">
        <v>0</v>
      </c>
      <c r="N91" s="50">
        <v>0</v>
      </c>
      <c r="O91" s="15">
        <f t="shared" si="35"/>
        <v>2</v>
      </c>
      <c r="P91" s="15">
        <f t="shared" si="36"/>
        <v>2</v>
      </c>
      <c r="R91" s="8"/>
      <c r="T91"/>
    </row>
    <row r="92" spans="2:20" ht="23.1" customHeight="1" x14ac:dyDescent="0.25">
      <c r="B92" s="47" t="s">
        <v>132</v>
      </c>
      <c r="C92" s="50">
        <v>0</v>
      </c>
      <c r="D92" s="50">
        <v>0</v>
      </c>
      <c r="E92" s="50">
        <v>0</v>
      </c>
      <c r="F92" s="50">
        <v>1</v>
      </c>
      <c r="G92" s="50">
        <v>0</v>
      </c>
      <c r="H92" s="50">
        <v>0</v>
      </c>
      <c r="I92" s="50">
        <v>0</v>
      </c>
      <c r="J92" s="50">
        <v>0</v>
      </c>
      <c r="K92" s="50">
        <v>1</v>
      </c>
      <c r="L92" s="50">
        <v>1</v>
      </c>
      <c r="M92" s="50">
        <v>0</v>
      </c>
      <c r="N92" s="50">
        <v>0</v>
      </c>
      <c r="O92" s="15">
        <f t="shared" si="35"/>
        <v>3</v>
      </c>
      <c r="P92" s="15">
        <f t="shared" si="36"/>
        <v>3</v>
      </c>
      <c r="R92" s="8"/>
      <c r="T92"/>
    </row>
    <row r="93" spans="2:20" ht="23.1" customHeight="1" x14ac:dyDescent="0.25">
      <c r="B93" s="45" t="s">
        <v>133</v>
      </c>
      <c r="C93" s="50">
        <v>1</v>
      </c>
      <c r="D93" s="50">
        <v>0</v>
      </c>
      <c r="E93" s="50">
        <v>0</v>
      </c>
      <c r="F93" s="50">
        <v>0</v>
      </c>
      <c r="G93" s="50">
        <v>0</v>
      </c>
      <c r="H93" s="50">
        <v>0</v>
      </c>
      <c r="I93" s="50">
        <v>0</v>
      </c>
      <c r="J93" s="50">
        <v>0</v>
      </c>
      <c r="K93" s="50">
        <v>0</v>
      </c>
      <c r="L93" s="50">
        <v>0</v>
      </c>
      <c r="M93" s="50">
        <v>0</v>
      </c>
      <c r="N93" s="50">
        <v>0</v>
      </c>
      <c r="O93" s="15">
        <f t="shared" si="35"/>
        <v>1</v>
      </c>
      <c r="P93" s="15">
        <f t="shared" si="36"/>
        <v>1</v>
      </c>
      <c r="R93" s="8"/>
      <c r="T93"/>
    </row>
    <row r="94" spans="2:20" ht="23.1" customHeight="1" x14ac:dyDescent="0.25">
      <c r="B94" s="46" t="s">
        <v>134</v>
      </c>
      <c r="C94" s="50">
        <v>0</v>
      </c>
      <c r="D94" s="50">
        <v>0</v>
      </c>
      <c r="E94" s="50">
        <v>0</v>
      </c>
      <c r="F94" s="50">
        <v>2</v>
      </c>
      <c r="G94" s="50">
        <v>0</v>
      </c>
      <c r="H94" s="50">
        <v>1</v>
      </c>
      <c r="I94" s="50">
        <v>0</v>
      </c>
      <c r="J94" s="50">
        <v>0</v>
      </c>
      <c r="K94" s="50">
        <v>0</v>
      </c>
      <c r="L94" s="50">
        <v>0</v>
      </c>
      <c r="M94" s="50">
        <v>0</v>
      </c>
      <c r="N94" s="50">
        <v>0</v>
      </c>
      <c r="O94" s="15">
        <f t="shared" si="35"/>
        <v>3</v>
      </c>
      <c r="P94" s="15">
        <f t="shared" si="36"/>
        <v>3</v>
      </c>
      <c r="R94" s="8"/>
      <c r="T94"/>
    </row>
    <row r="95" spans="2:20" ht="23.1" customHeight="1" x14ac:dyDescent="0.25">
      <c r="B95" s="45" t="s">
        <v>135</v>
      </c>
      <c r="C95" s="50">
        <v>0</v>
      </c>
      <c r="D95" s="50">
        <v>0</v>
      </c>
      <c r="E95" s="50">
        <v>1</v>
      </c>
      <c r="F95" s="50">
        <v>0</v>
      </c>
      <c r="G95" s="50">
        <v>0</v>
      </c>
      <c r="H95" s="50">
        <v>0</v>
      </c>
      <c r="I95" s="50">
        <v>0</v>
      </c>
      <c r="J95" s="50">
        <v>0</v>
      </c>
      <c r="K95" s="50">
        <v>1</v>
      </c>
      <c r="L95" s="50">
        <v>0</v>
      </c>
      <c r="M95" s="50">
        <v>1</v>
      </c>
      <c r="N95" s="50">
        <v>0</v>
      </c>
      <c r="O95" s="15">
        <f t="shared" si="35"/>
        <v>2</v>
      </c>
      <c r="P95" s="15">
        <f t="shared" si="36"/>
        <v>3</v>
      </c>
      <c r="R95" s="8"/>
      <c r="T95"/>
    </row>
    <row r="96" spans="2:20" ht="23.1" customHeight="1" x14ac:dyDescent="0.25">
      <c r="B96" s="47" t="s">
        <v>136</v>
      </c>
      <c r="C96" s="50">
        <v>1</v>
      </c>
      <c r="D96" s="50">
        <v>2</v>
      </c>
      <c r="E96" s="50">
        <v>0</v>
      </c>
      <c r="F96" s="50">
        <v>1</v>
      </c>
      <c r="G96" s="50">
        <v>0</v>
      </c>
      <c r="H96" s="50">
        <v>0</v>
      </c>
      <c r="I96" s="50">
        <v>0</v>
      </c>
      <c r="J96" s="50">
        <v>0</v>
      </c>
      <c r="K96" s="50">
        <v>0</v>
      </c>
      <c r="L96" s="50">
        <v>0</v>
      </c>
      <c r="M96" s="50">
        <v>1</v>
      </c>
      <c r="N96" s="50">
        <v>0</v>
      </c>
      <c r="O96" s="15">
        <f t="shared" si="35"/>
        <v>4</v>
      </c>
      <c r="P96" s="15">
        <f t="shared" si="36"/>
        <v>5</v>
      </c>
      <c r="R96" s="8"/>
      <c r="T96"/>
    </row>
    <row r="97" spans="2:20" ht="23.1" customHeight="1" x14ac:dyDescent="0.25">
      <c r="B97" s="45" t="s">
        <v>137</v>
      </c>
      <c r="C97" s="50">
        <v>1</v>
      </c>
      <c r="D97" s="50">
        <v>0</v>
      </c>
      <c r="E97" s="50">
        <v>0</v>
      </c>
      <c r="F97" s="50">
        <v>0</v>
      </c>
      <c r="G97" s="50">
        <v>0</v>
      </c>
      <c r="H97" s="50">
        <v>0</v>
      </c>
      <c r="I97" s="50">
        <v>0</v>
      </c>
      <c r="J97" s="50">
        <v>0</v>
      </c>
      <c r="K97" s="50">
        <v>3</v>
      </c>
      <c r="L97" s="50">
        <v>0</v>
      </c>
      <c r="M97" s="50">
        <v>0</v>
      </c>
      <c r="N97" s="50">
        <v>0</v>
      </c>
      <c r="O97" s="15">
        <f t="shared" si="35"/>
        <v>4</v>
      </c>
      <c r="P97" s="15">
        <f t="shared" si="36"/>
        <v>4</v>
      </c>
      <c r="R97" s="8"/>
      <c r="T97"/>
    </row>
    <row r="98" spans="2:20" ht="23.1" customHeight="1" x14ac:dyDescent="0.25">
      <c r="B98" s="46" t="s">
        <v>138</v>
      </c>
      <c r="C98" s="50">
        <v>2</v>
      </c>
      <c r="D98" s="50">
        <v>1</v>
      </c>
      <c r="E98" s="50">
        <v>1</v>
      </c>
      <c r="F98" s="50">
        <v>4</v>
      </c>
      <c r="G98" s="50">
        <v>0</v>
      </c>
      <c r="H98" s="50">
        <v>0</v>
      </c>
      <c r="I98" s="50">
        <v>0</v>
      </c>
      <c r="J98" s="50">
        <v>0</v>
      </c>
      <c r="K98" s="50">
        <v>0</v>
      </c>
      <c r="L98" s="50">
        <v>0</v>
      </c>
      <c r="M98" s="50">
        <v>0</v>
      </c>
      <c r="N98" s="50">
        <v>0</v>
      </c>
      <c r="O98" s="15">
        <f t="shared" si="35"/>
        <v>8</v>
      </c>
      <c r="P98" s="15">
        <f t="shared" si="36"/>
        <v>8</v>
      </c>
      <c r="R98" s="8"/>
      <c r="T98"/>
    </row>
    <row r="99" spans="2:20" ht="23.1" customHeight="1" x14ac:dyDescent="0.25">
      <c r="B99" s="45" t="s">
        <v>139</v>
      </c>
      <c r="C99" s="50">
        <v>0</v>
      </c>
      <c r="D99" s="50">
        <v>0</v>
      </c>
      <c r="E99" s="50">
        <v>0</v>
      </c>
      <c r="F99" s="50">
        <v>1</v>
      </c>
      <c r="G99" s="50">
        <v>0</v>
      </c>
      <c r="H99" s="50">
        <v>0</v>
      </c>
      <c r="I99" s="50">
        <v>0</v>
      </c>
      <c r="J99" s="50">
        <v>0</v>
      </c>
      <c r="K99" s="50">
        <v>0</v>
      </c>
      <c r="L99" s="50">
        <v>0</v>
      </c>
      <c r="M99" s="50">
        <v>0</v>
      </c>
      <c r="N99" s="50">
        <v>0</v>
      </c>
      <c r="O99" s="15">
        <f t="shared" si="35"/>
        <v>1</v>
      </c>
      <c r="P99" s="15">
        <f t="shared" si="36"/>
        <v>1</v>
      </c>
      <c r="R99" s="8"/>
      <c r="T99"/>
    </row>
    <row r="100" spans="2:20" ht="23.1" customHeight="1" x14ac:dyDescent="0.25">
      <c r="B100" s="47" t="s">
        <v>140</v>
      </c>
      <c r="C100" s="50">
        <v>1</v>
      </c>
      <c r="D100" s="50">
        <v>1</v>
      </c>
      <c r="E100" s="50">
        <v>0</v>
      </c>
      <c r="F100" s="50">
        <v>2</v>
      </c>
      <c r="G100" s="50">
        <v>0</v>
      </c>
      <c r="H100" s="50">
        <v>0</v>
      </c>
      <c r="I100" s="50">
        <v>0</v>
      </c>
      <c r="J100" s="50">
        <v>0</v>
      </c>
      <c r="K100" s="50">
        <v>2</v>
      </c>
      <c r="L100" s="50">
        <v>0</v>
      </c>
      <c r="M100" s="50">
        <v>0</v>
      </c>
      <c r="N100" s="50">
        <v>0</v>
      </c>
      <c r="O100" s="15">
        <f t="shared" si="35"/>
        <v>6</v>
      </c>
      <c r="P100" s="15">
        <f t="shared" si="36"/>
        <v>6</v>
      </c>
      <c r="R100" s="8"/>
      <c r="T100"/>
    </row>
    <row r="101" spans="2:20" ht="23.1" customHeight="1" x14ac:dyDescent="0.25">
      <c r="B101" s="45" t="s">
        <v>141</v>
      </c>
      <c r="C101" s="50">
        <v>4</v>
      </c>
      <c r="D101" s="50">
        <v>2</v>
      </c>
      <c r="E101" s="50">
        <v>0</v>
      </c>
      <c r="F101" s="50">
        <v>0</v>
      </c>
      <c r="G101" s="50">
        <v>0</v>
      </c>
      <c r="H101" s="50">
        <v>1</v>
      </c>
      <c r="I101" s="50">
        <v>0</v>
      </c>
      <c r="J101" s="50">
        <v>0</v>
      </c>
      <c r="K101" s="50">
        <v>0</v>
      </c>
      <c r="L101" s="50">
        <v>0</v>
      </c>
      <c r="M101" s="50">
        <v>3</v>
      </c>
      <c r="N101" s="50">
        <v>0</v>
      </c>
      <c r="O101" s="15">
        <f t="shared" si="35"/>
        <v>7</v>
      </c>
      <c r="P101" s="15">
        <f t="shared" si="36"/>
        <v>10</v>
      </c>
      <c r="R101" s="8"/>
      <c r="T101"/>
    </row>
    <row r="102" spans="2:20" ht="23.1" customHeight="1" x14ac:dyDescent="0.25">
      <c r="B102" s="46" t="s">
        <v>142</v>
      </c>
      <c r="C102" s="50">
        <v>0</v>
      </c>
      <c r="D102" s="50">
        <v>1</v>
      </c>
      <c r="E102" s="50">
        <v>1</v>
      </c>
      <c r="F102" s="50">
        <v>2</v>
      </c>
      <c r="G102" s="50">
        <v>0</v>
      </c>
      <c r="H102" s="50">
        <v>0</v>
      </c>
      <c r="I102" s="50">
        <v>0</v>
      </c>
      <c r="J102" s="50">
        <v>0</v>
      </c>
      <c r="K102" s="50">
        <v>0</v>
      </c>
      <c r="L102" s="50">
        <v>0</v>
      </c>
      <c r="M102" s="50">
        <v>2</v>
      </c>
      <c r="N102" s="50">
        <v>0</v>
      </c>
      <c r="O102" s="15">
        <f t="shared" si="35"/>
        <v>4</v>
      </c>
      <c r="P102" s="15">
        <f t="shared" si="36"/>
        <v>6</v>
      </c>
      <c r="R102" s="8"/>
      <c r="T102"/>
    </row>
    <row r="103" spans="2:20" ht="23.1" customHeight="1" x14ac:dyDescent="0.25">
      <c r="B103" s="45" t="s">
        <v>143</v>
      </c>
      <c r="C103" s="50">
        <v>2</v>
      </c>
      <c r="D103" s="50">
        <v>1</v>
      </c>
      <c r="E103" s="50">
        <v>1</v>
      </c>
      <c r="F103" s="50">
        <v>5</v>
      </c>
      <c r="G103" s="50">
        <v>0</v>
      </c>
      <c r="H103" s="50">
        <v>0</v>
      </c>
      <c r="I103" s="50">
        <v>0</v>
      </c>
      <c r="J103" s="50">
        <v>0</v>
      </c>
      <c r="K103" s="50">
        <v>3</v>
      </c>
      <c r="L103" s="50">
        <v>0</v>
      </c>
      <c r="M103" s="50">
        <v>6</v>
      </c>
      <c r="N103" s="50">
        <v>0</v>
      </c>
      <c r="O103" s="15">
        <f t="shared" si="35"/>
        <v>12</v>
      </c>
      <c r="P103" s="15">
        <f t="shared" si="36"/>
        <v>18</v>
      </c>
      <c r="R103" s="8"/>
      <c r="T103"/>
    </row>
    <row r="104" spans="2:20" ht="23.1" customHeight="1" x14ac:dyDescent="0.25">
      <c r="B104" s="47" t="s">
        <v>144</v>
      </c>
      <c r="C104" s="50">
        <v>3</v>
      </c>
      <c r="D104" s="50">
        <v>0</v>
      </c>
      <c r="E104" s="50">
        <v>0</v>
      </c>
      <c r="F104" s="50">
        <v>2</v>
      </c>
      <c r="G104" s="50">
        <v>0</v>
      </c>
      <c r="H104" s="50">
        <v>0</v>
      </c>
      <c r="I104" s="50">
        <v>0</v>
      </c>
      <c r="J104" s="50">
        <v>0</v>
      </c>
      <c r="K104" s="50">
        <v>0</v>
      </c>
      <c r="L104" s="50">
        <v>0</v>
      </c>
      <c r="M104" s="50">
        <v>5</v>
      </c>
      <c r="N104" s="50">
        <v>0</v>
      </c>
      <c r="O104" s="15">
        <f t="shared" si="35"/>
        <v>5</v>
      </c>
      <c r="P104" s="15">
        <f t="shared" si="36"/>
        <v>10</v>
      </c>
      <c r="R104" s="8"/>
      <c r="T104"/>
    </row>
    <row r="105" spans="2:20" ht="23.1" customHeight="1" x14ac:dyDescent="0.25">
      <c r="B105" s="45" t="s">
        <v>145</v>
      </c>
      <c r="C105" s="50">
        <v>0</v>
      </c>
      <c r="D105" s="50">
        <v>0</v>
      </c>
      <c r="E105" s="50">
        <v>2</v>
      </c>
      <c r="F105" s="50">
        <v>12</v>
      </c>
      <c r="G105" s="50">
        <v>0</v>
      </c>
      <c r="H105" s="50">
        <v>0</v>
      </c>
      <c r="I105" s="50">
        <v>1</v>
      </c>
      <c r="J105" s="50">
        <v>0</v>
      </c>
      <c r="K105" s="50">
        <v>4</v>
      </c>
      <c r="L105" s="50">
        <v>0</v>
      </c>
      <c r="M105" s="50">
        <v>18</v>
      </c>
      <c r="N105" s="50">
        <v>0</v>
      </c>
      <c r="O105" s="15">
        <f t="shared" si="35"/>
        <v>19</v>
      </c>
      <c r="P105" s="15">
        <f t="shared" si="36"/>
        <v>37</v>
      </c>
      <c r="R105" s="8"/>
      <c r="T105"/>
    </row>
    <row r="106" spans="2:20" ht="23.1" customHeight="1" x14ac:dyDescent="0.25">
      <c r="B106" s="26" t="s">
        <v>18</v>
      </c>
      <c r="C106" s="16">
        <f>SUM(C10:C105)</f>
        <v>182</v>
      </c>
      <c r="D106" s="16">
        <f t="shared" ref="D106:P106" si="37">SUM(D10:D105)</f>
        <v>74</v>
      </c>
      <c r="E106" s="16">
        <f t="shared" si="37"/>
        <v>123</v>
      </c>
      <c r="F106" s="16">
        <f t="shared" si="37"/>
        <v>510</v>
      </c>
      <c r="G106" s="16">
        <f t="shared" si="37"/>
        <v>18</v>
      </c>
      <c r="H106" s="16">
        <f t="shared" si="37"/>
        <v>37</v>
      </c>
      <c r="I106" s="16">
        <f t="shared" si="37"/>
        <v>98</v>
      </c>
      <c r="J106" s="16">
        <f t="shared" si="37"/>
        <v>69</v>
      </c>
      <c r="K106" s="16">
        <f t="shared" si="37"/>
        <v>65</v>
      </c>
      <c r="L106" s="16">
        <f t="shared" si="37"/>
        <v>25</v>
      </c>
      <c r="M106" s="16">
        <f t="shared" si="37"/>
        <v>523</v>
      </c>
      <c r="N106" s="16">
        <f t="shared" si="37"/>
        <v>3</v>
      </c>
      <c r="O106" s="16">
        <f t="shared" si="37"/>
        <v>1204</v>
      </c>
      <c r="P106" s="16">
        <f t="shared" si="37"/>
        <v>1727</v>
      </c>
      <c r="R106" s="8"/>
      <c r="T106"/>
    </row>
    <row r="107" spans="2:20" ht="23.1" customHeight="1" x14ac:dyDescent="0.25">
      <c r="B107" s="26" t="s">
        <v>93</v>
      </c>
      <c r="C107" s="43">
        <f t="shared" ref="C107:N107" si="38">C106/$P$106</f>
        <v>0.10538506079907353</v>
      </c>
      <c r="D107" s="43">
        <f t="shared" si="38"/>
        <v>4.2848870874348584E-2</v>
      </c>
      <c r="E107" s="43">
        <f t="shared" si="38"/>
        <v>7.1221771858714533E-2</v>
      </c>
      <c r="F107" s="43">
        <f t="shared" si="38"/>
        <v>0.29530978575564565</v>
      </c>
      <c r="G107" s="43">
        <f t="shared" si="38"/>
        <v>1.0422698320787493E-2</v>
      </c>
      <c r="H107" s="43">
        <f t="shared" si="38"/>
        <v>2.1424435437174292E-2</v>
      </c>
      <c r="I107" s="43">
        <f t="shared" si="38"/>
        <v>5.6745801968731906E-2</v>
      </c>
      <c r="J107" s="43">
        <f t="shared" si="38"/>
        <v>3.9953676896352056E-2</v>
      </c>
      <c r="K107" s="43">
        <f t="shared" si="38"/>
        <v>3.7637521713954833E-2</v>
      </c>
      <c r="L107" s="43">
        <f t="shared" si="38"/>
        <v>1.4475969889982629E-2</v>
      </c>
      <c r="M107" s="43">
        <f t="shared" si="38"/>
        <v>0.30283729009843657</v>
      </c>
      <c r="N107" s="43">
        <f t="shared" si="38"/>
        <v>1.7371163867979154E-3</v>
      </c>
      <c r="R107" s="8"/>
      <c r="T107"/>
    </row>
    <row r="108" spans="2:20" ht="23.1" customHeight="1" x14ac:dyDescent="0.25">
      <c r="B108" s="42" t="s">
        <v>94</v>
      </c>
      <c r="C108" s="44">
        <f>C106/$O$106</f>
        <v>0.15116279069767441</v>
      </c>
      <c r="D108" s="44">
        <f t="shared" ref="D108:N108" si="39">D106/$O$106</f>
        <v>6.1461794019933555E-2</v>
      </c>
      <c r="E108" s="44">
        <f t="shared" si="39"/>
        <v>0.10215946843853821</v>
      </c>
      <c r="F108" s="44">
        <f t="shared" si="39"/>
        <v>0.42358803986710963</v>
      </c>
      <c r="G108" s="44">
        <f t="shared" si="39"/>
        <v>1.4950166112956811E-2</v>
      </c>
      <c r="H108" s="44">
        <f t="shared" si="39"/>
        <v>3.0730897009966777E-2</v>
      </c>
      <c r="I108" s="44">
        <f t="shared" si="39"/>
        <v>8.1395348837209308E-2</v>
      </c>
      <c r="J108" s="44">
        <f t="shared" si="39"/>
        <v>5.7308970099667775E-2</v>
      </c>
      <c r="K108" s="44">
        <f t="shared" si="39"/>
        <v>5.3986710963455149E-2</v>
      </c>
      <c r="L108" s="44">
        <f t="shared" si="39"/>
        <v>2.0764119601328904E-2</v>
      </c>
      <c r="M108" s="44"/>
      <c r="N108" s="44">
        <f t="shared" si="39"/>
        <v>2.4916943521594683E-3</v>
      </c>
      <c r="Q108" s="7"/>
      <c r="R108" s="8"/>
      <c r="T108"/>
    </row>
    <row r="109" spans="2:20" ht="23.1" customHeight="1" x14ac:dyDescent="0.25">
      <c r="B109" s="3"/>
      <c r="C109" s="18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Q109" s="7"/>
      <c r="R109" s="8"/>
      <c r="T109"/>
    </row>
    <row r="110" spans="2:20" ht="23.1" customHeight="1" x14ac:dyDescent="0.25">
      <c r="B110" s="3"/>
      <c r="C110" s="18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Q110" s="7"/>
      <c r="R110" s="8"/>
      <c r="T110"/>
    </row>
    <row r="111" spans="2:20" ht="23.1" customHeight="1" x14ac:dyDescent="0.25">
      <c r="B111" s="3"/>
      <c r="C111" s="18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Q111" s="7"/>
    </row>
    <row r="112" spans="2:20" ht="23.1" customHeight="1" x14ac:dyDescent="0.25">
      <c r="B112" s="3"/>
      <c r="C112" s="18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Q112" s="7"/>
    </row>
    <row r="113" spans="2:20" s="7" customFormat="1" ht="23.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/>
      <c r="P113"/>
      <c r="S113" s="8"/>
      <c r="T113" s="8"/>
    </row>
    <row r="114" spans="2:20" s="7" customFormat="1" ht="23.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/>
      <c r="P114"/>
      <c r="S114" s="8"/>
      <c r="T114" s="8"/>
    </row>
    <row r="115" spans="2:20" s="7" customFormat="1" ht="23.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/>
      <c r="P115"/>
      <c r="S115" s="8"/>
      <c r="T115" s="8"/>
    </row>
    <row r="116" spans="2:20" s="7" customFormat="1" ht="23.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/>
      <c r="P116"/>
      <c r="S116" s="8"/>
      <c r="T116" s="8"/>
    </row>
    <row r="117" spans="2:20" s="7" customFormat="1" ht="23.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/>
      <c r="P117"/>
      <c r="S117" s="8"/>
      <c r="T117" s="8"/>
    </row>
    <row r="118" spans="2:20" s="7" customFormat="1" ht="23.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/>
      <c r="P118"/>
      <c r="S118" s="8"/>
      <c r="T118" s="8"/>
    </row>
    <row r="119" spans="2:20" s="7" customFormat="1" ht="23.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/>
      <c r="P119"/>
      <c r="S119" s="8"/>
      <c r="T119" s="8"/>
    </row>
    <row r="120" spans="2:20" s="7" customFormat="1" ht="23.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/>
      <c r="P120"/>
      <c r="S120" s="8"/>
      <c r="T120" s="8"/>
    </row>
    <row r="121" spans="2:20" s="7" customFormat="1" ht="23.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/>
      <c r="P121"/>
      <c r="S121" s="8"/>
      <c r="T121" s="8"/>
    </row>
    <row r="122" spans="2:20" s="7" customFormat="1" ht="23.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/>
      <c r="P122"/>
      <c r="S122" s="8"/>
      <c r="T122" s="8"/>
    </row>
    <row r="123" spans="2:20" s="7" customFormat="1" ht="23.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/>
      <c r="P123"/>
      <c r="S123" s="8"/>
      <c r="T123" s="8"/>
    </row>
    <row r="124" spans="2:20" s="7" customFormat="1" ht="23.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/>
      <c r="P124"/>
      <c r="S124" s="8"/>
      <c r="T124" s="8"/>
    </row>
    <row r="125" spans="2:20" s="7" customFormat="1" ht="23.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/>
      <c r="P125"/>
      <c r="Q125"/>
      <c r="S125" s="8"/>
      <c r="T125" s="8"/>
    </row>
    <row r="126" spans="2:20" s="7" customFormat="1" ht="23.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/>
      <c r="P126"/>
      <c r="Q126"/>
      <c r="S126" s="8"/>
      <c r="T126" s="8"/>
    </row>
    <row r="127" spans="2:20" s="7" customFormat="1" ht="23.1" customHeight="1" x14ac:dyDescent="0.25"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/>
      <c r="P127"/>
      <c r="Q127"/>
      <c r="S127" s="8"/>
      <c r="T127" s="8"/>
    </row>
    <row r="128" spans="2:20" s="7" customFormat="1" ht="23.1" customHeight="1" x14ac:dyDescent="0.25"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/>
      <c r="P128"/>
      <c r="Q128"/>
      <c r="S128" s="8"/>
      <c r="T128" s="8"/>
    </row>
    <row r="129" spans="2:14" ht="23.1" customHeight="1" x14ac:dyDescent="0.25"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</row>
    <row r="130" spans="2:14" ht="23.1" customHeight="1" x14ac:dyDescent="0.25"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</row>
    <row r="131" spans="2:14" ht="23.1" customHeight="1" x14ac:dyDescent="0.25"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</row>
    <row r="132" spans="2:14" ht="23.1" customHeight="1" x14ac:dyDescent="0.25"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</row>
    <row r="133" spans="2:14" ht="23.1" customHeight="1" x14ac:dyDescent="0.25"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</row>
    <row r="134" spans="2:14" ht="23.1" customHeight="1" x14ac:dyDescent="0.25"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</row>
    <row r="135" spans="2:14" ht="23.1" customHeight="1" x14ac:dyDescent="0.25"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</row>
    <row r="136" spans="2:14" ht="23.1" customHeight="1" x14ac:dyDescent="0.25"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</row>
    <row r="137" spans="2:14" ht="23.1" customHeight="1" x14ac:dyDescent="0.25"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</row>
    <row r="138" spans="2:14" ht="23.1" customHeight="1" x14ac:dyDescent="0.25"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</row>
    <row r="139" spans="2:14" ht="23.1" customHeight="1" x14ac:dyDescent="0.25"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</row>
    <row r="140" spans="2:14" ht="23.1" customHeight="1" x14ac:dyDescent="0.25"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</row>
    <row r="141" spans="2:14" ht="23.1" customHeight="1" x14ac:dyDescent="0.25"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</row>
    <row r="142" spans="2:14" ht="23.1" customHeight="1" x14ac:dyDescent="0.25"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</row>
    <row r="143" spans="2:14" ht="23.1" customHeight="1" x14ac:dyDescent="0.25"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</row>
    <row r="144" spans="2:14" ht="23.1" customHeight="1" x14ac:dyDescent="0.25"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</row>
    <row r="145" spans="2:14" ht="23.1" customHeight="1" x14ac:dyDescent="0.25"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</row>
    <row r="146" spans="2:14" ht="23.1" customHeight="1" x14ac:dyDescent="0.25"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</row>
    <row r="147" spans="2:14" ht="23.1" customHeight="1" x14ac:dyDescent="0.25"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</row>
    <row r="148" spans="2:14" ht="23.1" customHeight="1" x14ac:dyDescent="0.25"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</row>
    <row r="149" spans="2:14" ht="23.1" customHeight="1" x14ac:dyDescent="0.25"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</row>
    <row r="150" spans="2:14" ht="23.1" customHeight="1" x14ac:dyDescent="0.25"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</row>
    <row r="151" spans="2:14" ht="23.1" customHeight="1" x14ac:dyDescent="0.25"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</row>
    <row r="152" spans="2:14" ht="23.1" customHeight="1" x14ac:dyDescent="0.25"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</row>
    <row r="153" spans="2:14" ht="23.1" customHeight="1" x14ac:dyDescent="0.25"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</row>
    <row r="154" spans="2:14" ht="23.1" customHeight="1" x14ac:dyDescent="0.25"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</row>
    <row r="155" spans="2:14" ht="23.1" customHeight="1" x14ac:dyDescent="0.25"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</row>
    <row r="156" spans="2:14" ht="23.1" customHeight="1" x14ac:dyDescent="0.25"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</row>
    <row r="157" spans="2:14" ht="23.1" customHeight="1" x14ac:dyDescent="0.25"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</row>
    <row r="158" spans="2:14" ht="23.1" customHeight="1" x14ac:dyDescent="0.25"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</row>
    <row r="159" spans="2:14" ht="23.1" customHeight="1" x14ac:dyDescent="0.25"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</row>
    <row r="160" spans="2:14" ht="23.1" customHeight="1" x14ac:dyDescent="0.25"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</row>
    <row r="161" spans="2:14" ht="23.1" customHeight="1" x14ac:dyDescent="0.25"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</row>
    <row r="162" spans="2:14" ht="23.1" customHeight="1" x14ac:dyDescent="0.25"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</row>
    <row r="163" spans="2:14" ht="23.1" customHeight="1" x14ac:dyDescent="0.25"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</row>
    <row r="164" spans="2:14" ht="23.1" customHeight="1" x14ac:dyDescent="0.25"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</row>
    <row r="165" spans="2:14" ht="23.1" customHeight="1" x14ac:dyDescent="0.25"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</row>
    <row r="166" spans="2:14" ht="23.1" customHeight="1" x14ac:dyDescent="0.25"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</row>
    <row r="167" spans="2:14" ht="23.1" customHeight="1" x14ac:dyDescent="0.25"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</row>
    <row r="168" spans="2:14" ht="23.1" customHeight="1" x14ac:dyDescent="0.25"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</row>
    <row r="169" spans="2:14" ht="23.1" customHeight="1" x14ac:dyDescent="0.25"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</row>
    <row r="170" spans="2:14" ht="23.1" customHeight="1" x14ac:dyDescent="0.25"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</row>
    <row r="171" spans="2:14" ht="23.1" customHeight="1" x14ac:dyDescent="0.25"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</row>
    <row r="172" spans="2:14" ht="23.1" customHeight="1" x14ac:dyDescent="0.25"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</row>
    <row r="173" spans="2:14" ht="23.1" customHeight="1" x14ac:dyDescent="0.25"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</row>
    <row r="174" spans="2:14" ht="23.1" customHeight="1" x14ac:dyDescent="0.25"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2" tint="-0.249977111117893"/>
  </sheetPr>
  <dimension ref="B1:AF174"/>
  <sheetViews>
    <sheetView view="pageBreakPreview" topLeftCell="A37" zoomScale="50" zoomScaleSheetLayoutView="50" workbookViewId="0">
      <selection activeCell="C3" sqref="C3:G3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710937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60" t="s">
        <v>23</v>
      </c>
      <c r="C1" s="60"/>
      <c r="D1" s="60"/>
      <c r="E1" s="60"/>
      <c r="F1" s="60"/>
      <c r="G1" s="60"/>
      <c r="H1" s="60"/>
      <c r="I1" s="60"/>
      <c r="J1" s="60"/>
      <c r="K1" s="60"/>
      <c r="L1" s="60"/>
      <c r="M1" s="60"/>
      <c r="N1" s="60"/>
      <c r="O1" s="60"/>
      <c r="P1" s="60"/>
      <c r="Q1" s="60"/>
      <c r="R1" s="60"/>
      <c r="S1" s="60"/>
      <c r="T1" s="60"/>
      <c r="U1" s="60"/>
      <c r="V1" s="60"/>
      <c r="W1" s="60"/>
      <c r="X1" s="60"/>
      <c r="Y1" s="60"/>
      <c r="Z1" s="60"/>
      <c r="AA1" s="60"/>
      <c r="AB1" s="60"/>
      <c r="AC1" s="60"/>
      <c r="AD1" s="60"/>
      <c r="AE1" s="60"/>
    </row>
    <row r="2" spans="2:32" ht="20.100000000000001" customHeight="1" x14ac:dyDescent="0.25">
      <c r="B2" s="61" t="s">
        <v>95</v>
      </c>
      <c r="C2" s="61"/>
      <c r="D2" s="61"/>
      <c r="E2" s="61"/>
      <c r="F2" s="61"/>
      <c r="G2" s="61"/>
      <c r="H2" s="61"/>
      <c r="I2" s="61"/>
      <c r="J2" s="61"/>
      <c r="K2" s="61"/>
      <c r="L2" s="61"/>
      <c r="M2" s="61"/>
      <c r="N2" s="61"/>
      <c r="O2" s="61"/>
      <c r="P2" s="61"/>
      <c r="Q2" s="61"/>
      <c r="R2" s="61"/>
      <c r="S2" s="61"/>
      <c r="T2" s="61"/>
      <c r="U2" s="61"/>
      <c r="V2" s="61"/>
      <c r="W2" s="61"/>
      <c r="X2" s="61"/>
      <c r="Y2" s="61"/>
      <c r="Z2" s="61"/>
      <c r="AA2" s="61"/>
      <c r="AB2" s="61"/>
      <c r="AC2" s="61"/>
      <c r="AD2" s="61"/>
      <c r="AE2" s="61"/>
    </row>
    <row r="3" spans="2:32" ht="20.100000000000001" customHeight="1" x14ac:dyDescent="0.25">
      <c r="B3" s="22" t="s">
        <v>96</v>
      </c>
      <c r="C3" s="62" t="s">
        <v>182</v>
      </c>
      <c r="D3" s="62"/>
      <c r="E3" s="62"/>
      <c r="F3" s="62"/>
      <c r="G3" s="62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51" t="str">
        <f>'21.10 Busembatya-Butongole-24h'!D5</f>
        <v>21.10.2019</v>
      </c>
      <c r="E5" s="3"/>
      <c r="F5" s="41" t="s">
        <v>1</v>
      </c>
      <c r="G5" s="57" t="str">
        <f>'21.10 Busembatya-Butongole-24h'!G5:H5</f>
        <v>NAMALEMBA</v>
      </c>
      <c r="H5" s="58"/>
      <c r="I5" s="14"/>
      <c r="J5" s="2" t="s">
        <v>5</v>
      </c>
      <c r="K5" s="57" t="s">
        <v>176</v>
      </c>
      <c r="L5" s="58"/>
      <c r="M5" s="10"/>
      <c r="N5" s="10"/>
      <c r="O5" s="3"/>
      <c r="P5" s="3"/>
    </row>
    <row r="6" spans="2:32" ht="23.25" customHeight="1" x14ac:dyDescent="0.25">
      <c r="C6" s="2" t="s">
        <v>4</v>
      </c>
      <c r="D6" s="57" t="s">
        <v>170</v>
      </c>
      <c r="E6" s="58"/>
      <c r="F6" s="2" t="s">
        <v>2</v>
      </c>
      <c r="G6" s="57" t="s">
        <v>171</v>
      </c>
      <c r="H6" s="58"/>
      <c r="J6" s="2" t="s">
        <v>21</v>
      </c>
      <c r="K6" s="57" t="s">
        <v>177</v>
      </c>
      <c r="L6" s="58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9" t="s">
        <v>88</v>
      </c>
      <c r="S8" s="59"/>
      <c r="T8" s="59"/>
      <c r="U8" s="59"/>
      <c r="V8" s="59"/>
      <c r="W8" s="59"/>
      <c r="X8" s="59"/>
      <c r="Y8" s="59"/>
      <c r="Z8" s="59"/>
      <c r="AA8" s="59"/>
      <c r="AB8" s="59"/>
      <c r="AC8" s="59"/>
      <c r="AD8" s="59"/>
      <c r="AE8" s="59"/>
      <c r="AF8" s="59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45" t="s">
        <v>37</v>
      </c>
      <c r="C10" s="50">
        <v>2</v>
      </c>
      <c r="D10" s="50">
        <v>1</v>
      </c>
      <c r="E10" s="50">
        <v>3</v>
      </c>
      <c r="F10" s="50">
        <v>4</v>
      </c>
      <c r="G10" s="50">
        <v>0</v>
      </c>
      <c r="H10" s="50">
        <v>0</v>
      </c>
      <c r="I10" s="50">
        <v>1</v>
      </c>
      <c r="J10" s="50">
        <v>0</v>
      </c>
      <c r="K10" s="50">
        <v>0</v>
      </c>
      <c r="L10" s="50">
        <v>0</v>
      </c>
      <c r="M10" s="50">
        <v>4</v>
      </c>
      <c r="N10" s="50">
        <v>0</v>
      </c>
      <c r="O10" s="15">
        <f t="shared" ref="O10:O73" si="0">SUM(C10:L10,N10)</f>
        <v>11</v>
      </c>
      <c r="P10" s="15">
        <f t="shared" ref="P10:P73" si="1">SUM(C10:N10)</f>
        <v>15</v>
      </c>
      <c r="R10" s="1" t="s">
        <v>6</v>
      </c>
      <c r="S10" s="17">
        <f t="shared" ref="S10:AF10" si="2">SUM(C10:C13)</f>
        <v>10</v>
      </c>
      <c r="T10" s="17">
        <f t="shared" si="2"/>
        <v>4</v>
      </c>
      <c r="U10" s="17">
        <f t="shared" si="2"/>
        <v>6</v>
      </c>
      <c r="V10" s="17">
        <f t="shared" si="2"/>
        <v>16</v>
      </c>
      <c r="W10" s="17">
        <f t="shared" si="2"/>
        <v>0</v>
      </c>
      <c r="X10" s="17">
        <f t="shared" si="2"/>
        <v>0</v>
      </c>
      <c r="Y10" s="17">
        <f t="shared" si="2"/>
        <v>2</v>
      </c>
      <c r="Z10" s="17">
        <f t="shared" si="2"/>
        <v>2</v>
      </c>
      <c r="AA10" s="17">
        <f t="shared" si="2"/>
        <v>0</v>
      </c>
      <c r="AB10" s="17">
        <f t="shared" si="2"/>
        <v>1</v>
      </c>
      <c r="AC10" s="17">
        <f t="shared" si="2"/>
        <v>24</v>
      </c>
      <c r="AD10" s="17">
        <f t="shared" si="2"/>
        <v>0</v>
      </c>
      <c r="AE10" s="31">
        <f t="shared" si="2"/>
        <v>41</v>
      </c>
      <c r="AF10" s="31">
        <f t="shared" si="2"/>
        <v>65</v>
      </c>
    </row>
    <row r="11" spans="2:32" s="6" customFormat="1" ht="23.1" customHeight="1" x14ac:dyDescent="0.25">
      <c r="B11" s="45" t="s">
        <v>38</v>
      </c>
      <c r="C11" s="50">
        <v>1</v>
      </c>
      <c r="D11" s="50">
        <v>2</v>
      </c>
      <c r="E11" s="50">
        <v>2</v>
      </c>
      <c r="F11" s="50">
        <v>2</v>
      </c>
      <c r="G11" s="50">
        <v>0</v>
      </c>
      <c r="H11" s="50">
        <v>0</v>
      </c>
      <c r="I11" s="50">
        <v>0</v>
      </c>
      <c r="J11" s="50">
        <v>1</v>
      </c>
      <c r="K11" s="50">
        <v>0</v>
      </c>
      <c r="L11" s="50">
        <v>0</v>
      </c>
      <c r="M11" s="50">
        <v>5</v>
      </c>
      <c r="N11" s="50">
        <v>0</v>
      </c>
      <c r="O11" s="15">
        <f t="shared" si="0"/>
        <v>8</v>
      </c>
      <c r="P11" s="15">
        <f t="shared" si="1"/>
        <v>13</v>
      </c>
      <c r="R11" s="1" t="s">
        <v>7</v>
      </c>
      <c r="S11" s="17">
        <f t="shared" ref="S11:AF11" si="3">SUM(C14:C17)</f>
        <v>12</v>
      </c>
      <c r="T11" s="17">
        <f t="shared" si="3"/>
        <v>7</v>
      </c>
      <c r="U11" s="17">
        <f t="shared" si="3"/>
        <v>13</v>
      </c>
      <c r="V11" s="17">
        <f t="shared" si="3"/>
        <v>24</v>
      </c>
      <c r="W11" s="17">
        <f t="shared" si="3"/>
        <v>0</v>
      </c>
      <c r="X11" s="17">
        <f t="shared" si="3"/>
        <v>1</v>
      </c>
      <c r="Y11" s="17">
        <f t="shared" si="3"/>
        <v>5</v>
      </c>
      <c r="Z11" s="17">
        <f t="shared" si="3"/>
        <v>7</v>
      </c>
      <c r="AA11" s="17">
        <f t="shared" si="3"/>
        <v>0</v>
      </c>
      <c r="AB11" s="17">
        <f t="shared" si="3"/>
        <v>0</v>
      </c>
      <c r="AC11" s="17">
        <f t="shared" si="3"/>
        <v>30</v>
      </c>
      <c r="AD11" s="17">
        <f t="shared" si="3"/>
        <v>0</v>
      </c>
      <c r="AE11" s="31">
        <f t="shared" si="3"/>
        <v>69</v>
      </c>
      <c r="AF11" s="31">
        <f t="shared" si="3"/>
        <v>99</v>
      </c>
    </row>
    <row r="12" spans="2:32" ht="23.1" customHeight="1" x14ac:dyDescent="0.25">
      <c r="B12" s="45" t="s">
        <v>39</v>
      </c>
      <c r="C12" s="50">
        <v>4</v>
      </c>
      <c r="D12" s="50">
        <v>1</v>
      </c>
      <c r="E12" s="50">
        <v>0</v>
      </c>
      <c r="F12" s="50">
        <v>6</v>
      </c>
      <c r="G12" s="50">
        <v>0</v>
      </c>
      <c r="H12" s="50">
        <v>0</v>
      </c>
      <c r="I12" s="50">
        <v>0</v>
      </c>
      <c r="J12" s="50">
        <v>0</v>
      </c>
      <c r="K12" s="50">
        <v>0</v>
      </c>
      <c r="L12" s="50">
        <v>1</v>
      </c>
      <c r="M12" s="50">
        <v>7</v>
      </c>
      <c r="N12" s="50">
        <v>0</v>
      </c>
      <c r="O12" s="15">
        <f t="shared" si="0"/>
        <v>12</v>
      </c>
      <c r="P12" s="15">
        <f t="shared" si="1"/>
        <v>19</v>
      </c>
      <c r="R12" s="1" t="s">
        <v>8</v>
      </c>
      <c r="S12" s="17">
        <f t="shared" ref="S12:AF12" si="4">SUM(C18:C21)</f>
        <v>13</v>
      </c>
      <c r="T12" s="17">
        <f t="shared" si="4"/>
        <v>6</v>
      </c>
      <c r="U12" s="17">
        <f t="shared" si="4"/>
        <v>17</v>
      </c>
      <c r="V12" s="17">
        <f t="shared" si="4"/>
        <v>30</v>
      </c>
      <c r="W12" s="17">
        <f t="shared" si="4"/>
        <v>0</v>
      </c>
      <c r="X12" s="17">
        <f t="shared" si="4"/>
        <v>2</v>
      </c>
      <c r="Y12" s="17">
        <f t="shared" si="4"/>
        <v>3</v>
      </c>
      <c r="Z12" s="17">
        <f t="shared" si="4"/>
        <v>3</v>
      </c>
      <c r="AA12" s="17">
        <f t="shared" si="4"/>
        <v>2</v>
      </c>
      <c r="AB12" s="17">
        <f t="shared" si="4"/>
        <v>2</v>
      </c>
      <c r="AC12" s="17">
        <f t="shared" si="4"/>
        <v>22</v>
      </c>
      <c r="AD12" s="17">
        <f t="shared" si="4"/>
        <v>0</v>
      </c>
      <c r="AE12" s="31">
        <f t="shared" si="4"/>
        <v>78</v>
      </c>
      <c r="AF12" s="31">
        <f t="shared" si="4"/>
        <v>100</v>
      </c>
    </row>
    <row r="13" spans="2:32" ht="23.1" customHeight="1" x14ac:dyDescent="0.25">
      <c r="B13" s="45" t="s">
        <v>40</v>
      </c>
      <c r="C13" s="50">
        <v>3</v>
      </c>
      <c r="D13" s="50">
        <v>0</v>
      </c>
      <c r="E13" s="50">
        <v>1</v>
      </c>
      <c r="F13" s="50">
        <v>4</v>
      </c>
      <c r="G13" s="50">
        <v>0</v>
      </c>
      <c r="H13" s="50">
        <v>0</v>
      </c>
      <c r="I13" s="50">
        <v>1</v>
      </c>
      <c r="J13" s="50">
        <v>1</v>
      </c>
      <c r="K13" s="50">
        <v>0</v>
      </c>
      <c r="L13" s="50">
        <v>0</v>
      </c>
      <c r="M13" s="50">
        <v>8</v>
      </c>
      <c r="N13" s="50">
        <v>0</v>
      </c>
      <c r="O13" s="15">
        <f t="shared" si="0"/>
        <v>10</v>
      </c>
      <c r="P13" s="15">
        <f t="shared" si="1"/>
        <v>18</v>
      </c>
      <c r="R13" s="1" t="s">
        <v>9</v>
      </c>
      <c r="S13" s="17">
        <f t="shared" ref="S13:AF13" si="5">SUM(C22:C25)</f>
        <v>15</v>
      </c>
      <c r="T13" s="17">
        <f t="shared" si="5"/>
        <v>8</v>
      </c>
      <c r="U13" s="17">
        <f t="shared" si="5"/>
        <v>9</v>
      </c>
      <c r="V13" s="17">
        <f t="shared" si="5"/>
        <v>39</v>
      </c>
      <c r="W13" s="17">
        <f t="shared" si="5"/>
        <v>0</v>
      </c>
      <c r="X13" s="17">
        <f t="shared" si="5"/>
        <v>0</v>
      </c>
      <c r="Y13" s="17">
        <f t="shared" si="5"/>
        <v>4</v>
      </c>
      <c r="Z13" s="17">
        <f t="shared" si="5"/>
        <v>7</v>
      </c>
      <c r="AA13" s="17">
        <f t="shared" si="5"/>
        <v>1</v>
      </c>
      <c r="AB13" s="17">
        <f t="shared" si="5"/>
        <v>4</v>
      </c>
      <c r="AC13" s="17">
        <f t="shared" si="5"/>
        <v>37</v>
      </c>
      <c r="AD13" s="17">
        <f t="shared" si="5"/>
        <v>0</v>
      </c>
      <c r="AE13" s="31">
        <f t="shared" si="5"/>
        <v>87</v>
      </c>
      <c r="AF13" s="31">
        <f t="shared" si="5"/>
        <v>124</v>
      </c>
    </row>
    <row r="14" spans="2:32" ht="23.1" customHeight="1" x14ac:dyDescent="0.25">
      <c r="B14" s="45" t="s">
        <v>41</v>
      </c>
      <c r="C14" s="50">
        <v>3</v>
      </c>
      <c r="D14" s="50">
        <v>0</v>
      </c>
      <c r="E14" s="50">
        <v>3</v>
      </c>
      <c r="F14" s="50">
        <v>6</v>
      </c>
      <c r="G14" s="50">
        <v>0</v>
      </c>
      <c r="H14" s="50">
        <v>0</v>
      </c>
      <c r="I14" s="50">
        <v>0</v>
      </c>
      <c r="J14" s="50">
        <v>1</v>
      </c>
      <c r="K14" s="50">
        <v>0</v>
      </c>
      <c r="L14" s="50">
        <v>0</v>
      </c>
      <c r="M14" s="50">
        <v>8</v>
      </c>
      <c r="N14" s="50">
        <v>0</v>
      </c>
      <c r="O14" s="15">
        <f t="shared" si="0"/>
        <v>13</v>
      </c>
      <c r="P14" s="15">
        <f t="shared" si="1"/>
        <v>21</v>
      </c>
      <c r="R14" s="1" t="s">
        <v>10</v>
      </c>
      <c r="S14" s="17">
        <f t="shared" ref="S14:AF14" si="6">SUM(C26:C29)</f>
        <v>16</v>
      </c>
      <c r="T14" s="17">
        <f t="shared" si="6"/>
        <v>14</v>
      </c>
      <c r="U14" s="17">
        <f t="shared" si="6"/>
        <v>9</v>
      </c>
      <c r="V14" s="17">
        <f t="shared" si="6"/>
        <v>27</v>
      </c>
      <c r="W14" s="17">
        <f t="shared" si="6"/>
        <v>1</v>
      </c>
      <c r="X14" s="17">
        <f t="shared" si="6"/>
        <v>1</v>
      </c>
      <c r="Y14" s="17">
        <f t="shared" si="6"/>
        <v>4</v>
      </c>
      <c r="Z14" s="17">
        <f t="shared" si="6"/>
        <v>5</v>
      </c>
      <c r="AA14" s="17">
        <f t="shared" si="6"/>
        <v>4</v>
      </c>
      <c r="AB14" s="17">
        <f t="shared" si="6"/>
        <v>6</v>
      </c>
      <c r="AC14" s="17">
        <f t="shared" si="6"/>
        <v>38</v>
      </c>
      <c r="AD14" s="17">
        <f t="shared" si="6"/>
        <v>3</v>
      </c>
      <c r="AE14" s="31">
        <f t="shared" si="6"/>
        <v>90</v>
      </c>
      <c r="AF14" s="31">
        <f t="shared" si="6"/>
        <v>128</v>
      </c>
    </row>
    <row r="15" spans="2:32" ht="23.1" customHeight="1" x14ac:dyDescent="0.25">
      <c r="B15" s="45" t="s">
        <v>42</v>
      </c>
      <c r="C15" s="50">
        <v>1</v>
      </c>
      <c r="D15" s="50">
        <v>1</v>
      </c>
      <c r="E15" s="50">
        <v>4</v>
      </c>
      <c r="F15" s="50">
        <v>4</v>
      </c>
      <c r="G15" s="50">
        <v>0</v>
      </c>
      <c r="H15" s="50">
        <v>0</v>
      </c>
      <c r="I15" s="50">
        <v>3</v>
      </c>
      <c r="J15" s="50">
        <v>1</v>
      </c>
      <c r="K15" s="50">
        <v>0</v>
      </c>
      <c r="L15" s="50">
        <v>0</v>
      </c>
      <c r="M15" s="50">
        <v>8</v>
      </c>
      <c r="N15" s="50">
        <v>0</v>
      </c>
      <c r="O15" s="15">
        <f t="shared" si="0"/>
        <v>14</v>
      </c>
      <c r="P15" s="15">
        <f t="shared" si="1"/>
        <v>22</v>
      </c>
      <c r="R15" s="1" t="s">
        <v>11</v>
      </c>
      <c r="S15" s="17">
        <f t="shared" ref="S15:AF15" si="7">SUM(C30:C33)</f>
        <v>20</v>
      </c>
      <c r="T15" s="17">
        <f t="shared" si="7"/>
        <v>7</v>
      </c>
      <c r="U15" s="17">
        <f t="shared" si="7"/>
        <v>9</v>
      </c>
      <c r="V15" s="17">
        <f t="shared" si="7"/>
        <v>47</v>
      </c>
      <c r="W15" s="17">
        <f t="shared" si="7"/>
        <v>3</v>
      </c>
      <c r="X15" s="17">
        <f t="shared" si="7"/>
        <v>2</v>
      </c>
      <c r="Y15" s="17">
        <f t="shared" si="7"/>
        <v>2</v>
      </c>
      <c r="Z15" s="17">
        <f t="shared" si="7"/>
        <v>6</v>
      </c>
      <c r="AA15" s="17">
        <f t="shared" si="7"/>
        <v>2</v>
      </c>
      <c r="AB15" s="17">
        <f t="shared" si="7"/>
        <v>2</v>
      </c>
      <c r="AC15" s="17">
        <f t="shared" si="7"/>
        <v>65</v>
      </c>
      <c r="AD15" s="17">
        <f t="shared" si="7"/>
        <v>0</v>
      </c>
      <c r="AE15" s="31">
        <f t="shared" si="7"/>
        <v>100</v>
      </c>
      <c r="AF15" s="31">
        <f t="shared" si="7"/>
        <v>165</v>
      </c>
    </row>
    <row r="16" spans="2:32" ht="23.1" customHeight="1" x14ac:dyDescent="0.25">
      <c r="B16" s="45" t="s">
        <v>43</v>
      </c>
      <c r="C16" s="50">
        <v>6</v>
      </c>
      <c r="D16" s="50">
        <v>4</v>
      </c>
      <c r="E16" s="50">
        <v>3</v>
      </c>
      <c r="F16" s="50">
        <v>7</v>
      </c>
      <c r="G16" s="50">
        <v>0</v>
      </c>
      <c r="H16" s="50">
        <v>0</v>
      </c>
      <c r="I16" s="50">
        <v>1</v>
      </c>
      <c r="J16" s="50">
        <v>5</v>
      </c>
      <c r="K16" s="50">
        <v>0</v>
      </c>
      <c r="L16" s="50">
        <v>0</v>
      </c>
      <c r="M16" s="50">
        <v>10</v>
      </c>
      <c r="N16" s="50">
        <v>0</v>
      </c>
      <c r="O16" s="15">
        <f t="shared" si="0"/>
        <v>26</v>
      </c>
      <c r="P16" s="15">
        <f t="shared" si="1"/>
        <v>36</v>
      </c>
      <c r="R16" s="1" t="s">
        <v>12</v>
      </c>
      <c r="S16" s="17">
        <f t="shared" ref="S16:AF16" si="8">SUM(C34:C37)</f>
        <v>13</v>
      </c>
      <c r="T16" s="17">
        <f t="shared" si="8"/>
        <v>7</v>
      </c>
      <c r="U16" s="17">
        <f t="shared" si="8"/>
        <v>13</v>
      </c>
      <c r="V16" s="17">
        <f t="shared" si="8"/>
        <v>36</v>
      </c>
      <c r="W16" s="17">
        <f t="shared" si="8"/>
        <v>24</v>
      </c>
      <c r="X16" s="17">
        <f t="shared" si="8"/>
        <v>1</v>
      </c>
      <c r="Y16" s="17">
        <f t="shared" si="8"/>
        <v>11</v>
      </c>
      <c r="Z16" s="17">
        <f t="shared" si="8"/>
        <v>3</v>
      </c>
      <c r="AA16" s="17">
        <f t="shared" si="8"/>
        <v>3</v>
      </c>
      <c r="AB16" s="17">
        <f t="shared" si="8"/>
        <v>0</v>
      </c>
      <c r="AC16" s="17">
        <f t="shared" si="8"/>
        <v>43</v>
      </c>
      <c r="AD16" s="17">
        <f t="shared" si="8"/>
        <v>0</v>
      </c>
      <c r="AE16" s="31">
        <f t="shared" si="8"/>
        <v>111</v>
      </c>
      <c r="AF16" s="31">
        <f t="shared" si="8"/>
        <v>154</v>
      </c>
    </row>
    <row r="17" spans="2:32" ht="23.1" customHeight="1" x14ac:dyDescent="0.25">
      <c r="B17" s="45" t="s">
        <v>44</v>
      </c>
      <c r="C17" s="50">
        <v>2</v>
      </c>
      <c r="D17" s="50">
        <v>2</v>
      </c>
      <c r="E17" s="50">
        <v>3</v>
      </c>
      <c r="F17" s="50">
        <v>7</v>
      </c>
      <c r="G17" s="50">
        <v>0</v>
      </c>
      <c r="H17" s="50">
        <v>1</v>
      </c>
      <c r="I17" s="50">
        <v>1</v>
      </c>
      <c r="J17" s="50">
        <v>0</v>
      </c>
      <c r="K17" s="50">
        <v>0</v>
      </c>
      <c r="L17" s="50">
        <v>0</v>
      </c>
      <c r="M17" s="50">
        <v>4</v>
      </c>
      <c r="N17" s="50">
        <v>0</v>
      </c>
      <c r="O17" s="15">
        <f t="shared" si="0"/>
        <v>16</v>
      </c>
      <c r="P17" s="15">
        <f t="shared" si="1"/>
        <v>20</v>
      </c>
      <c r="R17" s="1" t="s">
        <v>13</v>
      </c>
      <c r="S17" s="17">
        <f t="shared" ref="S17:AF17" si="9">SUM(C38:C41)</f>
        <v>19</v>
      </c>
      <c r="T17" s="17">
        <f t="shared" si="9"/>
        <v>10</v>
      </c>
      <c r="U17" s="17">
        <f t="shared" si="9"/>
        <v>15</v>
      </c>
      <c r="V17" s="17">
        <f t="shared" si="9"/>
        <v>56</v>
      </c>
      <c r="W17" s="17">
        <f t="shared" si="9"/>
        <v>0</v>
      </c>
      <c r="X17" s="17">
        <f t="shared" si="9"/>
        <v>3</v>
      </c>
      <c r="Y17" s="17">
        <f t="shared" si="9"/>
        <v>10</v>
      </c>
      <c r="Z17" s="17">
        <f t="shared" si="9"/>
        <v>6</v>
      </c>
      <c r="AA17" s="17">
        <f t="shared" si="9"/>
        <v>3</v>
      </c>
      <c r="AB17" s="17">
        <f t="shared" si="9"/>
        <v>2</v>
      </c>
      <c r="AC17" s="17">
        <f t="shared" si="9"/>
        <v>49</v>
      </c>
      <c r="AD17" s="17">
        <f t="shared" si="9"/>
        <v>0</v>
      </c>
      <c r="AE17" s="31">
        <f t="shared" si="9"/>
        <v>124</v>
      </c>
      <c r="AF17" s="31">
        <f t="shared" si="9"/>
        <v>173</v>
      </c>
    </row>
    <row r="18" spans="2:32" ht="23.1" customHeight="1" x14ac:dyDescent="0.25">
      <c r="B18" s="45" t="s">
        <v>45</v>
      </c>
      <c r="C18" s="50">
        <v>1</v>
      </c>
      <c r="D18" s="50">
        <v>0</v>
      </c>
      <c r="E18" s="50">
        <v>2</v>
      </c>
      <c r="F18" s="50">
        <v>5</v>
      </c>
      <c r="G18" s="50">
        <v>0</v>
      </c>
      <c r="H18" s="50">
        <v>2</v>
      </c>
      <c r="I18" s="50">
        <v>1</v>
      </c>
      <c r="J18" s="50">
        <v>0</v>
      </c>
      <c r="K18" s="50">
        <v>0</v>
      </c>
      <c r="L18" s="50">
        <v>0</v>
      </c>
      <c r="M18" s="50">
        <v>5</v>
      </c>
      <c r="N18" s="50">
        <v>0</v>
      </c>
      <c r="O18" s="15">
        <f t="shared" si="0"/>
        <v>11</v>
      </c>
      <c r="P18" s="15">
        <f t="shared" si="1"/>
        <v>16</v>
      </c>
      <c r="R18" s="1" t="s">
        <v>14</v>
      </c>
      <c r="S18" s="17">
        <f t="shared" ref="S18:AF18" si="10">SUM(C42:C45)</f>
        <v>16</v>
      </c>
      <c r="T18" s="17">
        <f t="shared" si="10"/>
        <v>10</v>
      </c>
      <c r="U18" s="17">
        <f t="shared" si="10"/>
        <v>14</v>
      </c>
      <c r="V18" s="17">
        <f t="shared" si="10"/>
        <v>38</v>
      </c>
      <c r="W18" s="17">
        <f t="shared" si="10"/>
        <v>3</v>
      </c>
      <c r="X18" s="17">
        <f t="shared" si="10"/>
        <v>0</v>
      </c>
      <c r="Y18" s="17">
        <f t="shared" si="10"/>
        <v>2</v>
      </c>
      <c r="Z18" s="17">
        <f t="shared" si="10"/>
        <v>9</v>
      </c>
      <c r="AA18" s="17">
        <f t="shared" si="10"/>
        <v>1</v>
      </c>
      <c r="AB18" s="17">
        <f t="shared" si="10"/>
        <v>5</v>
      </c>
      <c r="AC18" s="17">
        <f t="shared" si="10"/>
        <v>50</v>
      </c>
      <c r="AD18" s="17">
        <f t="shared" si="10"/>
        <v>0</v>
      </c>
      <c r="AE18" s="31">
        <f t="shared" si="10"/>
        <v>98</v>
      </c>
      <c r="AF18" s="31">
        <f t="shared" si="10"/>
        <v>148</v>
      </c>
    </row>
    <row r="19" spans="2:32" ht="23.1" customHeight="1" x14ac:dyDescent="0.25">
      <c r="B19" s="45" t="s">
        <v>46</v>
      </c>
      <c r="C19" s="50">
        <v>3</v>
      </c>
      <c r="D19" s="50">
        <v>3</v>
      </c>
      <c r="E19" s="50">
        <v>6</v>
      </c>
      <c r="F19" s="50">
        <v>8</v>
      </c>
      <c r="G19" s="50">
        <v>0</v>
      </c>
      <c r="H19" s="50">
        <v>0</v>
      </c>
      <c r="I19" s="50">
        <v>1</v>
      </c>
      <c r="J19" s="50">
        <v>2</v>
      </c>
      <c r="K19" s="50">
        <v>1</v>
      </c>
      <c r="L19" s="50">
        <v>0</v>
      </c>
      <c r="M19" s="50">
        <v>7</v>
      </c>
      <c r="N19" s="50">
        <v>0</v>
      </c>
      <c r="O19" s="15">
        <f t="shared" si="0"/>
        <v>24</v>
      </c>
      <c r="P19" s="15">
        <f t="shared" si="1"/>
        <v>31</v>
      </c>
      <c r="R19" s="1" t="s">
        <v>15</v>
      </c>
      <c r="S19" s="17">
        <f t="shared" ref="S19:AF19" si="11">SUM(C46:C49)</f>
        <v>12</v>
      </c>
      <c r="T19" s="17">
        <f t="shared" si="11"/>
        <v>12</v>
      </c>
      <c r="U19" s="17">
        <f t="shared" si="11"/>
        <v>13</v>
      </c>
      <c r="V19" s="17">
        <f t="shared" si="11"/>
        <v>39</v>
      </c>
      <c r="W19" s="17">
        <f t="shared" si="11"/>
        <v>1</v>
      </c>
      <c r="X19" s="17">
        <f t="shared" si="11"/>
        <v>3</v>
      </c>
      <c r="Y19" s="17">
        <f t="shared" si="11"/>
        <v>3</v>
      </c>
      <c r="Z19" s="17">
        <f t="shared" si="11"/>
        <v>8</v>
      </c>
      <c r="AA19" s="17">
        <f t="shared" si="11"/>
        <v>4</v>
      </c>
      <c r="AB19" s="17">
        <f t="shared" si="11"/>
        <v>7</v>
      </c>
      <c r="AC19" s="17">
        <f t="shared" si="11"/>
        <v>50</v>
      </c>
      <c r="AD19" s="17">
        <f t="shared" si="11"/>
        <v>0</v>
      </c>
      <c r="AE19" s="31">
        <f t="shared" si="11"/>
        <v>102</v>
      </c>
      <c r="AF19" s="31">
        <f t="shared" si="11"/>
        <v>152</v>
      </c>
    </row>
    <row r="20" spans="2:32" ht="23.1" customHeight="1" x14ac:dyDescent="0.25">
      <c r="B20" s="45" t="s">
        <v>47</v>
      </c>
      <c r="C20" s="50">
        <v>6</v>
      </c>
      <c r="D20" s="50">
        <v>1</v>
      </c>
      <c r="E20" s="50">
        <v>5</v>
      </c>
      <c r="F20" s="50">
        <v>7</v>
      </c>
      <c r="G20" s="50">
        <v>0</v>
      </c>
      <c r="H20" s="50">
        <v>0</v>
      </c>
      <c r="I20" s="50">
        <v>1</v>
      </c>
      <c r="J20" s="50">
        <v>1</v>
      </c>
      <c r="K20" s="50">
        <v>0</v>
      </c>
      <c r="L20" s="50">
        <v>0</v>
      </c>
      <c r="M20" s="50">
        <v>8</v>
      </c>
      <c r="N20" s="50">
        <v>0</v>
      </c>
      <c r="O20" s="15">
        <f t="shared" si="0"/>
        <v>21</v>
      </c>
      <c r="P20" s="15">
        <f t="shared" si="1"/>
        <v>29</v>
      </c>
      <c r="R20" s="1" t="s">
        <v>16</v>
      </c>
      <c r="S20" s="17">
        <f t="shared" ref="S20:AF20" si="12">SUM(C50:C53)</f>
        <v>17</v>
      </c>
      <c r="T20" s="17">
        <f t="shared" si="12"/>
        <v>11</v>
      </c>
      <c r="U20" s="17">
        <f t="shared" si="12"/>
        <v>9</v>
      </c>
      <c r="V20" s="17">
        <f t="shared" si="12"/>
        <v>43</v>
      </c>
      <c r="W20" s="17">
        <f t="shared" si="12"/>
        <v>0</v>
      </c>
      <c r="X20" s="17">
        <f t="shared" si="12"/>
        <v>3</v>
      </c>
      <c r="Y20" s="17">
        <f t="shared" si="12"/>
        <v>4</v>
      </c>
      <c r="Z20" s="17">
        <f t="shared" si="12"/>
        <v>9</v>
      </c>
      <c r="AA20" s="17">
        <f t="shared" si="12"/>
        <v>3</v>
      </c>
      <c r="AB20" s="17">
        <f t="shared" si="12"/>
        <v>7</v>
      </c>
      <c r="AC20" s="17">
        <f t="shared" si="12"/>
        <v>76</v>
      </c>
      <c r="AD20" s="17">
        <f t="shared" si="12"/>
        <v>0</v>
      </c>
      <c r="AE20" s="31">
        <f t="shared" si="12"/>
        <v>106</v>
      </c>
      <c r="AF20" s="31">
        <f t="shared" si="12"/>
        <v>182</v>
      </c>
    </row>
    <row r="21" spans="2:32" ht="23.1" customHeight="1" x14ac:dyDescent="0.25">
      <c r="B21" s="45" t="s">
        <v>48</v>
      </c>
      <c r="C21" s="50">
        <v>3</v>
      </c>
      <c r="D21" s="50">
        <v>2</v>
      </c>
      <c r="E21" s="50">
        <v>4</v>
      </c>
      <c r="F21" s="50">
        <v>10</v>
      </c>
      <c r="G21" s="50">
        <v>0</v>
      </c>
      <c r="H21" s="50">
        <v>0</v>
      </c>
      <c r="I21" s="50">
        <v>0</v>
      </c>
      <c r="J21" s="50">
        <v>0</v>
      </c>
      <c r="K21" s="50">
        <v>1</v>
      </c>
      <c r="L21" s="50">
        <v>2</v>
      </c>
      <c r="M21" s="50">
        <v>2</v>
      </c>
      <c r="N21" s="50">
        <v>0</v>
      </c>
      <c r="O21" s="15">
        <f t="shared" si="0"/>
        <v>22</v>
      </c>
      <c r="P21" s="15">
        <f t="shared" si="1"/>
        <v>24</v>
      </c>
      <c r="R21" s="36" t="s">
        <v>20</v>
      </c>
      <c r="S21" s="34">
        <f t="shared" ref="S21:AF21" si="13">SUM(C54:C57)</f>
        <v>23</v>
      </c>
      <c r="T21" s="17">
        <f t="shared" si="13"/>
        <v>5</v>
      </c>
      <c r="U21" s="17">
        <f t="shared" si="13"/>
        <v>12</v>
      </c>
      <c r="V21" s="17">
        <f t="shared" si="13"/>
        <v>40</v>
      </c>
      <c r="W21" s="17">
        <f t="shared" si="13"/>
        <v>0</v>
      </c>
      <c r="X21" s="17">
        <f t="shared" si="13"/>
        <v>1</v>
      </c>
      <c r="Y21" s="17">
        <f t="shared" si="13"/>
        <v>4</v>
      </c>
      <c r="Z21" s="17">
        <f t="shared" si="13"/>
        <v>13</v>
      </c>
      <c r="AA21" s="17">
        <f t="shared" si="13"/>
        <v>3</v>
      </c>
      <c r="AB21" s="17">
        <f t="shared" si="13"/>
        <v>4</v>
      </c>
      <c r="AC21" s="17">
        <f t="shared" si="13"/>
        <v>54</v>
      </c>
      <c r="AD21" s="17">
        <f t="shared" si="13"/>
        <v>0</v>
      </c>
      <c r="AE21" s="31">
        <f t="shared" si="13"/>
        <v>105</v>
      </c>
      <c r="AF21" s="31">
        <f t="shared" si="13"/>
        <v>159</v>
      </c>
    </row>
    <row r="22" spans="2:32" ht="23.1" customHeight="1" x14ac:dyDescent="0.25">
      <c r="B22" s="45" t="s">
        <v>49</v>
      </c>
      <c r="C22" s="50">
        <v>5</v>
      </c>
      <c r="D22" s="50">
        <v>2</v>
      </c>
      <c r="E22" s="50">
        <v>2</v>
      </c>
      <c r="F22" s="50">
        <v>4</v>
      </c>
      <c r="G22" s="50">
        <v>0</v>
      </c>
      <c r="H22" s="50">
        <v>0</v>
      </c>
      <c r="I22" s="50">
        <v>1</v>
      </c>
      <c r="J22" s="50">
        <v>4</v>
      </c>
      <c r="K22" s="50">
        <v>0</v>
      </c>
      <c r="L22" s="50">
        <v>2</v>
      </c>
      <c r="M22" s="50">
        <v>12</v>
      </c>
      <c r="N22" s="50">
        <v>0</v>
      </c>
      <c r="O22" s="15">
        <f t="shared" si="0"/>
        <v>20</v>
      </c>
      <c r="P22" s="15">
        <f t="shared" si="1"/>
        <v>32</v>
      </c>
      <c r="R22" s="36" t="s">
        <v>146</v>
      </c>
      <c r="S22" s="34">
        <f>SUM(C58:C61)</f>
        <v>16</v>
      </c>
      <c r="T22" s="34">
        <f t="shared" ref="T22:AF22" si="14">SUM(D58:D61)</f>
        <v>7</v>
      </c>
      <c r="U22" s="34">
        <f t="shared" si="14"/>
        <v>11</v>
      </c>
      <c r="V22" s="34">
        <f t="shared" si="14"/>
        <v>29</v>
      </c>
      <c r="W22" s="34">
        <f t="shared" si="14"/>
        <v>0</v>
      </c>
      <c r="X22" s="34">
        <f t="shared" si="14"/>
        <v>4</v>
      </c>
      <c r="Y22" s="34">
        <f t="shared" si="14"/>
        <v>15</v>
      </c>
      <c r="Z22" s="34">
        <f t="shared" si="14"/>
        <v>2</v>
      </c>
      <c r="AA22" s="34">
        <f t="shared" si="14"/>
        <v>2</v>
      </c>
      <c r="AB22" s="34">
        <f t="shared" si="14"/>
        <v>1</v>
      </c>
      <c r="AC22" s="34">
        <f t="shared" si="14"/>
        <v>65</v>
      </c>
      <c r="AD22" s="34">
        <f t="shared" si="14"/>
        <v>0</v>
      </c>
      <c r="AE22" s="31">
        <f t="shared" si="14"/>
        <v>87</v>
      </c>
      <c r="AF22" s="31">
        <f t="shared" si="14"/>
        <v>152</v>
      </c>
    </row>
    <row r="23" spans="2:32" ht="23.1" customHeight="1" x14ac:dyDescent="0.25">
      <c r="B23" s="45" t="s">
        <v>50</v>
      </c>
      <c r="C23" s="50">
        <v>3</v>
      </c>
      <c r="D23" s="50">
        <v>0</v>
      </c>
      <c r="E23" s="50">
        <v>3</v>
      </c>
      <c r="F23" s="50">
        <v>12</v>
      </c>
      <c r="G23" s="50">
        <v>0</v>
      </c>
      <c r="H23" s="50">
        <v>0</v>
      </c>
      <c r="I23" s="50">
        <v>2</v>
      </c>
      <c r="J23" s="50">
        <v>2</v>
      </c>
      <c r="K23" s="50">
        <v>0</v>
      </c>
      <c r="L23" s="50">
        <v>0</v>
      </c>
      <c r="M23" s="50">
        <v>5</v>
      </c>
      <c r="N23" s="50">
        <v>0</v>
      </c>
      <c r="O23" s="15">
        <f t="shared" si="0"/>
        <v>22</v>
      </c>
      <c r="P23" s="15">
        <f t="shared" si="1"/>
        <v>27</v>
      </c>
      <c r="R23" s="36" t="s">
        <v>147</v>
      </c>
      <c r="S23" s="34">
        <f>SUM(C62:C65)</f>
        <v>11</v>
      </c>
      <c r="T23" s="34">
        <f t="shared" ref="T23:AF23" si="15">SUM(D62:D65)</f>
        <v>8</v>
      </c>
      <c r="U23" s="34">
        <f t="shared" si="15"/>
        <v>4</v>
      </c>
      <c r="V23" s="34">
        <f t="shared" si="15"/>
        <v>25</v>
      </c>
      <c r="W23" s="34">
        <f t="shared" si="15"/>
        <v>0</v>
      </c>
      <c r="X23" s="34">
        <f t="shared" si="15"/>
        <v>0</v>
      </c>
      <c r="Y23" s="34">
        <f t="shared" si="15"/>
        <v>14</v>
      </c>
      <c r="Z23" s="34">
        <f t="shared" si="15"/>
        <v>1</v>
      </c>
      <c r="AA23" s="34">
        <f t="shared" si="15"/>
        <v>3</v>
      </c>
      <c r="AB23" s="34">
        <f t="shared" si="15"/>
        <v>0</v>
      </c>
      <c r="AC23" s="34">
        <f t="shared" si="15"/>
        <v>20</v>
      </c>
      <c r="AD23" s="34">
        <f t="shared" si="15"/>
        <v>0</v>
      </c>
      <c r="AE23" s="31">
        <f t="shared" si="15"/>
        <v>66</v>
      </c>
      <c r="AF23" s="31">
        <f t="shared" si="15"/>
        <v>86</v>
      </c>
    </row>
    <row r="24" spans="2:32" ht="23.1" customHeight="1" x14ac:dyDescent="0.25">
      <c r="B24" s="45" t="s">
        <v>51</v>
      </c>
      <c r="C24" s="50">
        <v>3</v>
      </c>
      <c r="D24" s="50">
        <v>2</v>
      </c>
      <c r="E24" s="50">
        <v>1</v>
      </c>
      <c r="F24" s="50">
        <v>9</v>
      </c>
      <c r="G24" s="50">
        <v>0</v>
      </c>
      <c r="H24" s="50">
        <v>0</v>
      </c>
      <c r="I24" s="50">
        <v>1</v>
      </c>
      <c r="J24" s="50">
        <v>1</v>
      </c>
      <c r="K24" s="50">
        <v>1</v>
      </c>
      <c r="L24" s="50">
        <v>1</v>
      </c>
      <c r="M24" s="50">
        <v>9</v>
      </c>
      <c r="N24" s="50">
        <v>0</v>
      </c>
      <c r="O24" s="15">
        <f t="shared" si="0"/>
        <v>19</v>
      </c>
      <c r="P24" s="15">
        <f t="shared" si="1"/>
        <v>28</v>
      </c>
      <c r="R24" s="36" t="s">
        <v>148</v>
      </c>
      <c r="S24" s="34">
        <f>SUM(C66:C69)</f>
        <v>9</v>
      </c>
      <c r="T24" s="34">
        <f t="shared" ref="T24:AF24" si="16">SUM(D66:D69)</f>
        <v>1</v>
      </c>
      <c r="U24" s="34">
        <f t="shared" si="16"/>
        <v>5</v>
      </c>
      <c r="V24" s="34">
        <f t="shared" si="16"/>
        <v>12</v>
      </c>
      <c r="W24" s="34">
        <f t="shared" si="16"/>
        <v>0</v>
      </c>
      <c r="X24" s="34">
        <f t="shared" si="16"/>
        <v>2</v>
      </c>
      <c r="Y24" s="34">
        <f t="shared" si="16"/>
        <v>7</v>
      </c>
      <c r="Z24" s="34">
        <f t="shared" si="16"/>
        <v>0</v>
      </c>
      <c r="AA24" s="34">
        <f t="shared" si="16"/>
        <v>2</v>
      </c>
      <c r="AB24" s="34">
        <f t="shared" si="16"/>
        <v>1</v>
      </c>
      <c r="AC24" s="34">
        <f t="shared" si="16"/>
        <v>15</v>
      </c>
      <c r="AD24" s="34">
        <f t="shared" si="16"/>
        <v>0</v>
      </c>
      <c r="AE24" s="31">
        <f t="shared" si="16"/>
        <v>39</v>
      </c>
      <c r="AF24" s="31">
        <f t="shared" si="16"/>
        <v>54</v>
      </c>
    </row>
    <row r="25" spans="2:32" ht="23.1" customHeight="1" x14ac:dyDescent="0.25">
      <c r="B25" s="45" t="s">
        <v>52</v>
      </c>
      <c r="C25" s="50">
        <v>4</v>
      </c>
      <c r="D25" s="50">
        <v>4</v>
      </c>
      <c r="E25" s="50">
        <v>3</v>
      </c>
      <c r="F25" s="50">
        <v>14</v>
      </c>
      <c r="G25" s="50">
        <v>0</v>
      </c>
      <c r="H25" s="50">
        <v>0</v>
      </c>
      <c r="I25" s="50">
        <v>0</v>
      </c>
      <c r="J25" s="50">
        <v>0</v>
      </c>
      <c r="K25" s="50">
        <v>0</v>
      </c>
      <c r="L25" s="50">
        <v>1</v>
      </c>
      <c r="M25" s="50">
        <v>11</v>
      </c>
      <c r="N25" s="50">
        <v>0</v>
      </c>
      <c r="O25" s="15">
        <f t="shared" si="0"/>
        <v>26</v>
      </c>
      <c r="P25" s="15">
        <f t="shared" si="1"/>
        <v>37</v>
      </c>
      <c r="R25" s="36" t="s">
        <v>149</v>
      </c>
      <c r="S25" s="34">
        <f>SUM(C70:C73)</f>
        <v>5</v>
      </c>
      <c r="T25" s="34">
        <f t="shared" ref="T25:AF25" si="17">SUM(D70:D73)</f>
        <v>5</v>
      </c>
      <c r="U25" s="34">
        <f t="shared" si="17"/>
        <v>1</v>
      </c>
      <c r="V25" s="34">
        <f t="shared" si="17"/>
        <v>7</v>
      </c>
      <c r="W25" s="34">
        <f t="shared" si="17"/>
        <v>2</v>
      </c>
      <c r="X25" s="34">
        <f t="shared" si="17"/>
        <v>1</v>
      </c>
      <c r="Y25" s="34">
        <f t="shared" si="17"/>
        <v>11</v>
      </c>
      <c r="Z25" s="34">
        <f t="shared" si="17"/>
        <v>0</v>
      </c>
      <c r="AA25" s="34">
        <f t="shared" si="17"/>
        <v>2</v>
      </c>
      <c r="AB25" s="34">
        <f t="shared" si="17"/>
        <v>1</v>
      </c>
      <c r="AC25" s="34">
        <f t="shared" si="17"/>
        <v>5</v>
      </c>
      <c r="AD25" s="34">
        <f t="shared" si="17"/>
        <v>0</v>
      </c>
      <c r="AE25" s="31">
        <f t="shared" si="17"/>
        <v>35</v>
      </c>
      <c r="AF25" s="31">
        <f t="shared" si="17"/>
        <v>40</v>
      </c>
    </row>
    <row r="26" spans="2:32" ht="23.1" customHeight="1" x14ac:dyDescent="0.25">
      <c r="B26" s="45" t="s">
        <v>53</v>
      </c>
      <c r="C26" s="50">
        <v>5</v>
      </c>
      <c r="D26" s="50">
        <v>2</v>
      </c>
      <c r="E26" s="50">
        <v>2</v>
      </c>
      <c r="F26" s="50">
        <v>9</v>
      </c>
      <c r="G26" s="50">
        <v>0</v>
      </c>
      <c r="H26" s="50">
        <v>1</v>
      </c>
      <c r="I26" s="50">
        <v>2</v>
      </c>
      <c r="J26" s="50">
        <v>1</v>
      </c>
      <c r="K26" s="50">
        <v>0</v>
      </c>
      <c r="L26" s="50">
        <v>1</v>
      </c>
      <c r="M26" s="50">
        <v>12</v>
      </c>
      <c r="N26" s="50">
        <v>2</v>
      </c>
      <c r="O26" s="15">
        <f t="shared" si="0"/>
        <v>25</v>
      </c>
      <c r="P26" s="15">
        <f t="shared" si="1"/>
        <v>37</v>
      </c>
      <c r="R26" s="36" t="s">
        <v>150</v>
      </c>
      <c r="S26" s="34">
        <f>SUM(C74:C77)</f>
        <v>7</v>
      </c>
      <c r="T26" s="34">
        <f t="shared" ref="T26:AF26" si="18">SUM(D74:D77)</f>
        <v>0</v>
      </c>
      <c r="U26" s="34">
        <f t="shared" si="18"/>
        <v>5</v>
      </c>
      <c r="V26" s="34">
        <f t="shared" si="18"/>
        <v>6</v>
      </c>
      <c r="W26" s="34">
        <f t="shared" si="18"/>
        <v>2</v>
      </c>
      <c r="X26" s="34">
        <f t="shared" si="18"/>
        <v>0</v>
      </c>
      <c r="Y26" s="34">
        <f t="shared" si="18"/>
        <v>7</v>
      </c>
      <c r="Z26" s="34">
        <f t="shared" si="18"/>
        <v>0</v>
      </c>
      <c r="AA26" s="34">
        <f t="shared" si="18"/>
        <v>1</v>
      </c>
      <c r="AB26" s="34">
        <f t="shared" si="18"/>
        <v>1</v>
      </c>
      <c r="AC26" s="34">
        <f t="shared" si="18"/>
        <v>0</v>
      </c>
      <c r="AD26" s="34">
        <f t="shared" si="18"/>
        <v>0</v>
      </c>
      <c r="AE26" s="31">
        <f t="shared" si="18"/>
        <v>29</v>
      </c>
      <c r="AF26" s="31">
        <f t="shared" si="18"/>
        <v>29</v>
      </c>
    </row>
    <row r="27" spans="2:32" ht="23.1" customHeight="1" x14ac:dyDescent="0.25">
      <c r="B27" s="45" t="s">
        <v>54</v>
      </c>
      <c r="C27" s="50">
        <v>3</v>
      </c>
      <c r="D27" s="50">
        <v>2</v>
      </c>
      <c r="E27" s="50">
        <v>2</v>
      </c>
      <c r="F27" s="50">
        <v>8</v>
      </c>
      <c r="G27" s="50">
        <v>0</v>
      </c>
      <c r="H27" s="50">
        <v>0</v>
      </c>
      <c r="I27" s="50">
        <v>0</v>
      </c>
      <c r="J27" s="50">
        <v>1</v>
      </c>
      <c r="K27" s="50">
        <v>1</v>
      </c>
      <c r="L27" s="50">
        <v>2</v>
      </c>
      <c r="M27" s="50">
        <v>3</v>
      </c>
      <c r="N27" s="50">
        <v>0</v>
      </c>
      <c r="O27" s="15">
        <f t="shared" si="0"/>
        <v>19</v>
      </c>
      <c r="P27" s="15">
        <f t="shared" si="1"/>
        <v>22</v>
      </c>
      <c r="R27" s="36" t="s">
        <v>151</v>
      </c>
      <c r="S27" s="34">
        <f>SUM(C78:C81)</f>
        <v>3</v>
      </c>
      <c r="T27" s="34">
        <f t="shared" ref="T27:AF27" si="19">SUM(D78:D81)</f>
        <v>1</v>
      </c>
      <c r="U27" s="34">
        <f t="shared" si="19"/>
        <v>1</v>
      </c>
      <c r="V27" s="34">
        <f t="shared" si="19"/>
        <v>3</v>
      </c>
      <c r="W27" s="34">
        <f t="shared" si="19"/>
        <v>1</v>
      </c>
      <c r="X27" s="34">
        <f t="shared" si="19"/>
        <v>1</v>
      </c>
      <c r="Y27" s="34">
        <f t="shared" si="19"/>
        <v>12</v>
      </c>
      <c r="Z27" s="34">
        <f t="shared" si="19"/>
        <v>0</v>
      </c>
      <c r="AA27" s="34">
        <f t="shared" si="19"/>
        <v>1</v>
      </c>
      <c r="AB27" s="34">
        <f t="shared" si="19"/>
        <v>0</v>
      </c>
      <c r="AC27" s="34">
        <f t="shared" si="19"/>
        <v>1</v>
      </c>
      <c r="AD27" s="34">
        <f t="shared" si="19"/>
        <v>0</v>
      </c>
      <c r="AE27" s="31">
        <f t="shared" si="19"/>
        <v>23</v>
      </c>
      <c r="AF27" s="31">
        <f t="shared" si="19"/>
        <v>24</v>
      </c>
    </row>
    <row r="28" spans="2:32" ht="23.1" customHeight="1" x14ac:dyDescent="0.25">
      <c r="B28" s="45" t="s">
        <v>55</v>
      </c>
      <c r="C28" s="50">
        <v>3</v>
      </c>
      <c r="D28" s="50">
        <v>5</v>
      </c>
      <c r="E28" s="50">
        <v>2</v>
      </c>
      <c r="F28" s="50">
        <v>9</v>
      </c>
      <c r="G28" s="50">
        <v>0</v>
      </c>
      <c r="H28" s="50">
        <v>0</v>
      </c>
      <c r="I28" s="50">
        <v>1</v>
      </c>
      <c r="J28" s="50">
        <v>3</v>
      </c>
      <c r="K28" s="50">
        <v>2</v>
      </c>
      <c r="L28" s="50">
        <v>2</v>
      </c>
      <c r="M28" s="50">
        <v>8</v>
      </c>
      <c r="N28" s="50">
        <v>1</v>
      </c>
      <c r="O28" s="15">
        <f t="shared" si="0"/>
        <v>28</v>
      </c>
      <c r="P28" s="15">
        <f t="shared" si="1"/>
        <v>36</v>
      </c>
      <c r="R28" s="36" t="s">
        <v>152</v>
      </c>
      <c r="S28" s="34">
        <f>SUM(C82:C85)</f>
        <v>2</v>
      </c>
      <c r="T28" s="34">
        <f t="shared" ref="T28:AF28" si="20">SUM(D82:D85)</f>
        <v>1</v>
      </c>
      <c r="U28" s="34">
        <f t="shared" si="20"/>
        <v>1</v>
      </c>
      <c r="V28" s="34">
        <f t="shared" si="20"/>
        <v>5</v>
      </c>
      <c r="W28" s="34">
        <f t="shared" si="20"/>
        <v>0</v>
      </c>
      <c r="X28" s="34">
        <f t="shared" si="20"/>
        <v>2</v>
      </c>
      <c r="Y28" s="34">
        <f t="shared" si="20"/>
        <v>3</v>
      </c>
      <c r="Z28" s="34">
        <f t="shared" si="20"/>
        <v>0</v>
      </c>
      <c r="AA28" s="34">
        <f t="shared" si="20"/>
        <v>1</v>
      </c>
      <c r="AB28" s="34">
        <f t="shared" si="20"/>
        <v>0</v>
      </c>
      <c r="AC28" s="34">
        <f t="shared" si="20"/>
        <v>0</v>
      </c>
      <c r="AD28" s="34">
        <f t="shared" si="20"/>
        <v>0</v>
      </c>
      <c r="AE28" s="31">
        <f t="shared" si="20"/>
        <v>15</v>
      </c>
      <c r="AF28" s="31">
        <f t="shared" si="20"/>
        <v>15</v>
      </c>
    </row>
    <row r="29" spans="2:32" ht="23.1" customHeight="1" x14ac:dyDescent="0.25">
      <c r="B29" s="45" t="s">
        <v>56</v>
      </c>
      <c r="C29" s="50">
        <v>5</v>
      </c>
      <c r="D29" s="50">
        <v>5</v>
      </c>
      <c r="E29" s="50">
        <v>3</v>
      </c>
      <c r="F29" s="50">
        <v>1</v>
      </c>
      <c r="G29" s="50">
        <v>1</v>
      </c>
      <c r="H29" s="50">
        <v>0</v>
      </c>
      <c r="I29" s="50">
        <v>1</v>
      </c>
      <c r="J29" s="50">
        <v>0</v>
      </c>
      <c r="K29" s="50">
        <v>1</v>
      </c>
      <c r="L29" s="50">
        <v>1</v>
      </c>
      <c r="M29" s="50">
        <v>15</v>
      </c>
      <c r="N29" s="50">
        <v>0</v>
      </c>
      <c r="O29" s="15">
        <f t="shared" si="0"/>
        <v>18</v>
      </c>
      <c r="P29" s="15">
        <f t="shared" si="1"/>
        <v>33</v>
      </c>
      <c r="R29" s="36" t="s">
        <v>153</v>
      </c>
      <c r="S29" s="34">
        <f>SUM(C86:C89)</f>
        <v>2</v>
      </c>
      <c r="T29" s="34">
        <f t="shared" ref="T29:AF29" si="21">SUM(D86:D89)</f>
        <v>0</v>
      </c>
      <c r="U29" s="34">
        <f t="shared" si="21"/>
        <v>0</v>
      </c>
      <c r="V29" s="34">
        <f t="shared" si="21"/>
        <v>0</v>
      </c>
      <c r="W29" s="34">
        <f t="shared" si="21"/>
        <v>0</v>
      </c>
      <c r="X29" s="34">
        <f t="shared" si="21"/>
        <v>3</v>
      </c>
      <c r="Y29" s="34">
        <f t="shared" si="21"/>
        <v>7</v>
      </c>
      <c r="Z29" s="34">
        <f t="shared" si="21"/>
        <v>0</v>
      </c>
      <c r="AA29" s="34">
        <f t="shared" si="21"/>
        <v>0</v>
      </c>
      <c r="AB29" s="34">
        <f t="shared" si="21"/>
        <v>1</v>
      </c>
      <c r="AC29" s="34">
        <f t="shared" si="21"/>
        <v>3</v>
      </c>
      <c r="AD29" s="34">
        <f t="shared" si="21"/>
        <v>0</v>
      </c>
      <c r="AE29" s="31">
        <f t="shared" si="21"/>
        <v>13</v>
      </c>
      <c r="AF29" s="31">
        <f t="shared" si="21"/>
        <v>16</v>
      </c>
    </row>
    <row r="30" spans="2:32" ht="23.1" customHeight="1" x14ac:dyDescent="0.25">
      <c r="B30" s="45" t="s">
        <v>57</v>
      </c>
      <c r="C30" s="50">
        <v>0</v>
      </c>
      <c r="D30" s="50">
        <v>1</v>
      </c>
      <c r="E30" s="50">
        <v>1</v>
      </c>
      <c r="F30" s="50">
        <v>20</v>
      </c>
      <c r="G30" s="50">
        <v>0</v>
      </c>
      <c r="H30" s="50">
        <v>1</v>
      </c>
      <c r="I30" s="50">
        <v>0</v>
      </c>
      <c r="J30" s="50">
        <v>1</v>
      </c>
      <c r="K30" s="50">
        <v>1</v>
      </c>
      <c r="L30" s="50">
        <v>1</v>
      </c>
      <c r="M30" s="50">
        <v>9</v>
      </c>
      <c r="N30" s="50">
        <v>0</v>
      </c>
      <c r="O30" s="15">
        <f t="shared" si="0"/>
        <v>26</v>
      </c>
      <c r="P30" s="15">
        <f t="shared" si="1"/>
        <v>35</v>
      </c>
      <c r="R30" s="36" t="s">
        <v>154</v>
      </c>
      <c r="S30" s="34">
        <f>SUM(C90:C93)</f>
        <v>1</v>
      </c>
      <c r="T30" s="34">
        <f t="shared" ref="T30:AF30" si="22">SUM(D90:D93)</f>
        <v>1</v>
      </c>
      <c r="U30" s="34">
        <f t="shared" si="22"/>
        <v>1</v>
      </c>
      <c r="V30" s="34">
        <f t="shared" si="22"/>
        <v>1</v>
      </c>
      <c r="W30" s="34">
        <f t="shared" si="22"/>
        <v>0</v>
      </c>
      <c r="X30" s="34">
        <f t="shared" si="22"/>
        <v>4</v>
      </c>
      <c r="Y30" s="34">
        <f t="shared" si="22"/>
        <v>7</v>
      </c>
      <c r="Z30" s="34">
        <f t="shared" si="22"/>
        <v>0</v>
      </c>
      <c r="AA30" s="34">
        <f t="shared" si="22"/>
        <v>3</v>
      </c>
      <c r="AB30" s="34">
        <f t="shared" si="22"/>
        <v>0</v>
      </c>
      <c r="AC30" s="34">
        <f t="shared" si="22"/>
        <v>1</v>
      </c>
      <c r="AD30" s="34">
        <f t="shared" si="22"/>
        <v>0</v>
      </c>
      <c r="AE30" s="31">
        <f t="shared" si="22"/>
        <v>18</v>
      </c>
      <c r="AF30" s="31">
        <f t="shared" si="22"/>
        <v>19</v>
      </c>
    </row>
    <row r="31" spans="2:32" ht="23.1" customHeight="1" x14ac:dyDescent="0.25">
      <c r="B31" s="46" t="s">
        <v>58</v>
      </c>
      <c r="C31" s="50">
        <v>5</v>
      </c>
      <c r="D31" s="50">
        <v>0</v>
      </c>
      <c r="E31" s="50">
        <v>3</v>
      </c>
      <c r="F31" s="50">
        <v>7</v>
      </c>
      <c r="G31" s="50">
        <v>0</v>
      </c>
      <c r="H31" s="50">
        <v>0</v>
      </c>
      <c r="I31" s="50">
        <v>2</v>
      </c>
      <c r="J31" s="50">
        <v>2</v>
      </c>
      <c r="K31" s="50">
        <v>1</v>
      </c>
      <c r="L31" s="50">
        <v>0</v>
      </c>
      <c r="M31" s="50">
        <v>13</v>
      </c>
      <c r="N31" s="50">
        <v>0</v>
      </c>
      <c r="O31" s="15">
        <f t="shared" si="0"/>
        <v>20</v>
      </c>
      <c r="P31" s="15">
        <f t="shared" si="1"/>
        <v>33</v>
      </c>
      <c r="R31" s="36" t="s">
        <v>155</v>
      </c>
      <c r="S31" s="34">
        <f>SUM(C94:C97)</f>
        <v>0</v>
      </c>
      <c r="T31" s="34">
        <f t="shared" ref="T31:AF31" si="23">SUM(D94:D97)</f>
        <v>0</v>
      </c>
      <c r="U31" s="34">
        <f t="shared" si="23"/>
        <v>0</v>
      </c>
      <c r="V31" s="34">
        <f t="shared" si="23"/>
        <v>1</v>
      </c>
      <c r="W31" s="34">
        <f t="shared" si="23"/>
        <v>0</v>
      </c>
      <c r="X31" s="34">
        <f t="shared" si="23"/>
        <v>2</v>
      </c>
      <c r="Y31" s="34">
        <f t="shared" si="23"/>
        <v>3</v>
      </c>
      <c r="Z31" s="34">
        <f t="shared" si="23"/>
        <v>0</v>
      </c>
      <c r="AA31" s="34">
        <f t="shared" si="23"/>
        <v>2</v>
      </c>
      <c r="AB31" s="34">
        <f t="shared" si="23"/>
        <v>0</v>
      </c>
      <c r="AC31" s="34">
        <f t="shared" si="23"/>
        <v>1</v>
      </c>
      <c r="AD31" s="34">
        <f t="shared" si="23"/>
        <v>0</v>
      </c>
      <c r="AE31" s="31">
        <f t="shared" si="23"/>
        <v>8</v>
      </c>
      <c r="AF31" s="31">
        <f t="shared" si="23"/>
        <v>9</v>
      </c>
    </row>
    <row r="32" spans="2:32" ht="23.1" customHeight="1" x14ac:dyDescent="0.25">
      <c r="B32" s="46" t="s">
        <v>59</v>
      </c>
      <c r="C32" s="50">
        <v>6</v>
      </c>
      <c r="D32" s="50">
        <v>3</v>
      </c>
      <c r="E32" s="50">
        <v>2</v>
      </c>
      <c r="F32" s="50">
        <v>12</v>
      </c>
      <c r="G32" s="50">
        <v>1</v>
      </c>
      <c r="H32" s="50">
        <v>0</v>
      </c>
      <c r="I32" s="50">
        <v>0</v>
      </c>
      <c r="J32" s="50">
        <v>1</v>
      </c>
      <c r="K32" s="50">
        <v>0</v>
      </c>
      <c r="L32" s="50">
        <v>1</v>
      </c>
      <c r="M32" s="50">
        <v>27</v>
      </c>
      <c r="N32" s="50">
        <v>0</v>
      </c>
      <c r="O32" s="15">
        <f t="shared" si="0"/>
        <v>26</v>
      </c>
      <c r="P32" s="15">
        <f t="shared" si="1"/>
        <v>53</v>
      </c>
      <c r="R32" s="33" t="s">
        <v>156</v>
      </c>
      <c r="S32" s="34">
        <f>SUM(C98:C101)</f>
        <v>6</v>
      </c>
      <c r="T32" s="34">
        <f t="shared" ref="T32:AF32" si="24">SUM(D98:D101)</f>
        <v>1</v>
      </c>
      <c r="U32" s="34">
        <f t="shared" si="24"/>
        <v>0</v>
      </c>
      <c r="V32" s="34">
        <f t="shared" si="24"/>
        <v>3</v>
      </c>
      <c r="W32" s="34">
        <f t="shared" si="24"/>
        <v>0</v>
      </c>
      <c r="X32" s="34">
        <f t="shared" si="24"/>
        <v>1</v>
      </c>
      <c r="Y32" s="34">
        <f t="shared" si="24"/>
        <v>1</v>
      </c>
      <c r="Z32" s="34">
        <f t="shared" si="24"/>
        <v>0</v>
      </c>
      <c r="AA32" s="34">
        <f t="shared" si="24"/>
        <v>1</v>
      </c>
      <c r="AB32" s="34">
        <f t="shared" si="24"/>
        <v>0</v>
      </c>
      <c r="AC32" s="34">
        <f t="shared" si="24"/>
        <v>3</v>
      </c>
      <c r="AD32" s="34">
        <f t="shared" si="24"/>
        <v>0</v>
      </c>
      <c r="AE32" s="31">
        <f t="shared" si="24"/>
        <v>13</v>
      </c>
      <c r="AF32" s="31">
        <f t="shared" si="24"/>
        <v>16</v>
      </c>
    </row>
    <row r="33" spans="2:32" ht="23.1" customHeight="1" x14ac:dyDescent="0.25">
      <c r="B33" s="45" t="s">
        <v>60</v>
      </c>
      <c r="C33" s="50">
        <v>9</v>
      </c>
      <c r="D33" s="50">
        <v>3</v>
      </c>
      <c r="E33" s="50">
        <v>3</v>
      </c>
      <c r="F33" s="50">
        <v>8</v>
      </c>
      <c r="G33" s="50">
        <v>2</v>
      </c>
      <c r="H33" s="50">
        <v>1</v>
      </c>
      <c r="I33" s="50">
        <v>0</v>
      </c>
      <c r="J33" s="50">
        <v>2</v>
      </c>
      <c r="K33" s="50">
        <v>0</v>
      </c>
      <c r="L33" s="50">
        <v>0</v>
      </c>
      <c r="M33" s="50">
        <v>16</v>
      </c>
      <c r="N33" s="50">
        <v>0</v>
      </c>
      <c r="O33" s="15">
        <f t="shared" si="0"/>
        <v>28</v>
      </c>
      <c r="P33" s="15">
        <f t="shared" si="1"/>
        <v>44</v>
      </c>
      <c r="R33" s="33" t="s">
        <v>157</v>
      </c>
      <c r="S33" s="34">
        <f>SUM(C102:C105)</f>
        <v>9</v>
      </c>
      <c r="T33" s="34">
        <f t="shared" ref="T33:AF33" si="25">SUM(D102:D105)</f>
        <v>2</v>
      </c>
      <c r="U33" s="34">
        <f t="shared" si="25"/>
        <v>4</v>
      </c>
      <c r="V33" s="34">
        <f t="shared" si="25"/>
        <v>10</v>
      </c>
      <c r="W33" s="34">
        <f t="shared" si="25"/>
        <v>0</v>
      </c>
      <c r="X33" s="34">
        <f t="shared" si="25"/>
        <v>1</v>
      </c>
      <c r="Y33" s="34">
        <f t="shared" si="25"/>
        <v>10</v>
      </c>
      <c r="Z33" s="34">
        <f t="shared" si="25"/>
        <v>1</v>
      </c>
      <c r="AA33" s="34">
        <f t="shared" si="25"/>
        <v>3</v>
      </c>
      <c r="AB33" s="34">
        <f t="shared" si="25"/>
        <v>0</v>
      </c>
      <c r="AC33" s="34">
        <f t="shared" si="25"/>
        <v>41</v>
      </c>
      <c r="AD33" s="34">
        <f t="shared" si="25"/>
        <v>0</v>
      </c>
      <c r="AE33" s="31">
        <f t="shared" si="25"/>
        <v>40</v>
      </c>
      <c r="AF33" s="31">
        <f t="shared" si="25"/>
        <v>81</v>
      </c>
    </row>
    <row r="34" spans="2:32" ht="23.1" customHeight="1" x14ac:dyDescent="0.25">
      <c r="B34" s="46" t="s">
        <v>61</v>
      </c>
      <c r="C34" s="50">
        <v>2</v>
      </c>
      <c r="D34" s="50">
        <v>2</v>
      </c>
      <c r="E34" s="50">
        <v>1</v>
      </c>
      <c r="F34" s="50">
        <v>11</v>
      </c>
      <c r="G34" s="50">
        <v>21</v>
      </c>
      <c r="H34" s="50">
        <v>1</v>
      </c>
      <c r="I34" s="50">
        <v>2</v>
      </c>
      <c r="J34" s="50">
        <v>1</v>
      </c>
      <c r="K34" s="50">
        <v>0</v>
      </c>
      <c r="L34" s="50">
        <v>0</v>
      </c>
      <c r="M34" s="50">
        <v>9</v>
      </c>
      <c r="N34" s="50">
        <v>0</v>
      </c>
      <c r="O34" s="15">
        <f t="shared" si="0"/>
        <v>41</v>
      </c>
      <c r="P34" s="15">
        <f t="shared" si="1"/>
        <v>50</v>
      </c>
      <c r="R34" s="38" t="s">
        <v>90</v>
      </c>
      <c r="S34" s="39">
        <f t="shared" ref="S34:AF34" si="26">MAX(S10:S12)</f>
        <v>13</v>
      </c>
      <c r="T34" s="39">
        <f t="shared" si="26"/>
        <v>7</v>
      </c>
      <c r="U34" s="39">
        <f t="shared" si="26"/>
        <v>17</v>
      </c>
      <c r="V34" s="39">
        <f t="shared" si="26"/>
        <v>30</v>
      </c>
      <c r="W34" s="39">
        <f t="shared" si="26"/>
        <v>0</v>
      </c>
      <c r="X34" s="39">
        <f t="shared" si="26"/>
        <v>2</v>
      </c>
      <c r="Y34" s="39">
        <f t="shared" si="26"/>
        <v>5</v>
      </c>
      <c r="Z34" s="39">
        <f t="shared" si="26"/>
        <v>7</v>
      </c>
      <c r="AA34" s="39">
        <f t="shared" si="26"/>
        <v>2</v>
      </c>
      <c r="AB34" s="39">
        <f t="shared" si="26"/>
        <v>2</v>
      </c>
      <c r="AC34" s="39">
        <f t="shared" si="26"/>
        <v>30</v>
      </c>
      <c r="AD34" s="39">
        <f t="shared" si="26"/>
        <v>0</v>
      </c>
      <c r="AE34" s="40">
        <f t="shared" si="26"/>
        <v>78</v>
      </c>
      <c r="AF34" s="40">
        <f t="shared" si="26"/>
        <v>100</v>
      </c>
    </row>
    <row r="35" spans="2:32" ht="23.1" customHeight="1" x14ac:dyDescent="0.25">
      <c r="B35" s="46" t="s">
        <v>62</v>
      </c>
      <c r="C35" s="50">
        <v>3</v>
      </c>
      <c r="D35" s="50">
        <v>4</v>
      </c>
      <c r="E35" s="50">
        <v>2</v>
      </c>
      <c r="F35" s="50">
        <v>4</v>
      </c>
      <c r="G35" s="50">
        <v>0</v>
      </c>
      <c r="H35" s="50">
        <v>0</v>
      </c>
      <c r="I35" s="50">
        <v>0</v>
      </c>
      <c r="J35" s="50">
        <v>0</v>
      </c>
      <c r="K35" s="50">
        <v>2</v>
      </c>
      <c r="L35" s="50">
        <v>0</v>
      </c>
      <c r="M35" s="50">
        <v>18</v>
      </c>
      <c r="N35" s="50">
        <v>0</v>
      </c>
      <c r="O35" s="15">
        <f t="shared" si="0"/>
        <v>15</v>
      </c>
      <c r="P35" s="15">
        <f t="shared" si="1"/>
        <v>33</v>
      </c>
      <c r="R35" s="38" t="s">
        <v>91</v>
      </c>
      <c r="S35" s="39">
        <f t="shared" ref="S35:AF35" si="27">MAX(S13:S18)</f>
        <v>20</v>
      </c>
      <c r="T35" s="39">
        <f t="shared" si="27"/>
        <v>14</v>
      </c>
      <c r="U35" s="39">
        <f t="shared" si="27"/>
        <v>15</v>
      </c>
      <c r="V35" s="39">
        <f t="shared" si="27"/>
        <v>56</v>
      </c>
      <c r="W35" s="39">
        <f t="shared" si="27"/>
        <v>24</v>
      </c>
      <c r="X35" s="39">
        <f t="shared" si="27"/>
        <v>3</v>
      </c>
      <c r="Y35" s="39">
        <f t="shared" si="27"/>
        <v>11</v>
      </c>
      <c r="Z35" s="39">
        <f t="shared" si="27"/>
        <v>9</v>
      </c>
      <c r="AA35" s="39">
        <f t="shared" si="27"/>
        <v>4</v>
      </c>
      <c r="AB35" s="39">
        <f t="shared" si="27"/>
        <v>6</v>
      </c>
      <c r="AC35" s="39">
        <f t="shared" si="27"/>
        <v>65</v>
      </c>
      <c r="AD35" s="39">
        <f t="shared" si="27"/>
        <v>3</v>
      </c>
      <c r="AE35" s="40">
        <f t="shared" si="27"/>
        <v>124</v>
      </c>
      <c r="AF35" s="40">
        <f t="shared" si="27"/>
        <v>173</v>
      </c>
    </row>
    <row r="36" spans="2:32" ht="23.1" customHeight="1" x14ac:dyDescent="0.25">
      <c r="B36" s="46" t="s">
        <v>63</v>
      </c>
      <c r="C36" s="50">
        <v>4</v>
      </c>
      <c r="D36" s="50">
        <v>1</v>
      </c>
      <c r="E36" s="50">
        <v>4</v>
      </c>
      <c r="F36" s="50">
        <v>12</v>
      </c>
      <c r="G36" s="50">
        <v>3</v>
      </c>
      <c r="H36" s="50">
        <v>0</v>
      </c>
      <c r="I36" s="50">
        <v>5</v>
      </c>
      <c r="J36" s="50">
        <v>1</v>
      </c>
      <c r="K36" s="50">
        <v>1</v>
      </c>
      <c r="L36" s="50">
        <v>0</v>
      </c>
      <c r="M36" s="50">
        <v>13</v>
      </c>
      <c r="N36" s="50">
        <v>0</v>
      </c>
      <c r="O36" s="15">
        <f t="shared" si="0"/>
        <v>31</v>
      </c>
      <c r="P36" s="15">
        <f t="shared" si="1"/>
        <v>44</v>
      </c>
      <c r="R36" s="38" t="s">
        <v>92</v>
      </c>
      <c r="S36" s="39">
        <f t="shared" ref="S36:AF36" si="28">MAX(S19:S21)</f>
        <v>23</v>
      </c>
      <c r="T36" s="39">
        <f t="shared" si="28"/>
        <v>12</v>
      </c>
      <c r="U36" s="39">
        <f t="shared" si="28"/>
        <v>13</v>
      </c>
      <c r="V36" s="39">
        <f t="shared" si="28"/>
        <v>43</v>
      </c>
      <c r="W36" s="39">
        <f t="shared" si="28"/>
        <v>1</v>
      </c>
      <c r="X36" s="39">
        <f t="shared" si="28"/>
        <v>3</v>
      </c>
      <c r="Y36" s="39">
        <f t="shared" si="28"/>
        <v>4</v>
      </c>
      <c r="Z36" s="39">
        <f t="shared" si="28"/>
        <v>13</v>
      </c>
      <c r="AA36" s="39">
        <f t="shared" si="28"/>
        <v>4</v>
      </c>
      <c r="AB36" s="39">
        <f t="shared" si="28"/>
        <v>7</v>
      </c>
      <c r="AC36" s="39">
        <f t="shared" si="28"/>
        <v>76</v>
      </c>
      <c r="AD36" s="39">
        <f t="shared" si="28"/>
        <v>0</v>
      </c>
      <c r="AE36" s="40">
        <f t="shared" si="28"/>
        <v>106</v>
      </c>
      <c r="AF36" s="40">
        <f t="shared" si="28"/>
        <v>182</v>
      </c>
    </row>
    <row r="37" spans="2:32" ht="23.1" customHeight="1" x14ac:dyDescent="0.25">
      <c r="B37" s="45" t="s">
        <v>64</v>
      </c>
      <c r="C37" s="50">
        <v>4</v>
      </c>
      <c r="D37" s="50">
        <v>0</v>
      </c>
      <c r="E37" s="50">
        <v>6</v>
      </c>
      <c r="F37" s="50">
        <v>9</v>
      </c>
      <c r="G37" s="50">
        <v>0</v>
      </c>
      <c r="H37" s="50">
        <v>0</v>
      </c>
      <c r="I37" s="50">
        <v>4</v>
      </c>
      <c r="J37" s="50">
        <v>1</v>
      </c>
      <c r="K37" s="50">
        <v>0</v>
      </c>
      <c r="L37" s="50">
        <v>0</v>
      </c>
      <c r="M37" s="50">
        <v>3</v>
      </c>
      <c r="N37" s="50">
        <v>0</v>
      </c>
      <c r="O37" s="15">
        <f t="shared" si="0"/>
        <v>24</v>
      </c>
      <c r="P37" s="15">
        <f t="shared" si="1"/>
        <v>27</v>
      </c>
      <c r="R37" s="37" t="s">
        <v>85</v>
      </c>
      <c r="S37" s="35">
        <f t="shared" ref="S37:AF37" si="29">SUM(S10:S12)</f>
        <v>35</v>
      </c>
      <c r="T37" s="16">
        <f t="shared" si="29"/>
        <v>17</v>
      </c>
      <c r="U37" s="16">
        <f t="shared" si="29"/>
        <v>36</v>
      </c>
      <c r="V37" s="16">
        <f t="shared" si="29"/>
        <v>70</v>
      </c>
      <c r="W37" s="16">
        <f t="shared" si="29"/>
        <v>0</v>
      </c>
      <c r="X37" s="16">
        <f t="shared" si="29"/>
        <v>3</v>
      </c>
      <c r="Y37" s="16">
        <f t="shared" si="29"/>
        <v>10</v>
      </c>
      <c r="Z37" s="16">
        <f t="shared" si="29"/>
        <v>12</v>
      </c>
      <c r="AA37" s="16">
        <f t="shared" si="29"/>
        <v>2</v>
      </c>
      <c r="AB37" s="16">
        <f t="shared" si="29"/>
        <v>3</v>
      </c>
      <c r="AC37" s="16">
        <f t="shared" si="29"/>
        <v>76</v>
      </c>
      <c r="AD37" s="16">
        <f t="shared" si="29"/>
        <v>0</v>
      </c>
      <c r="AE37" s="32">
        <f t="shared" si="29"/>
        <v>188</v>
      </c>
      <c r="AF37" s="32">
        <f t="shared" si="29"/>
        <v>264</v>
      </c>
    </row>
    <row r="38" spans="2:32" ht="23.1" customHeight="1" x14ac:dyDescent="0.25">
      <c r="B38" s="46" t="s">
        <v>65</v>
      </c>
      <c r="C38" s="50">
        <v>3</v>
      </c>
      <c r="D38" s="50">
        <v>0</v>
      </c>
      <c r="E38" s="50">
        <v>6</v>
      </c>
      <c r="F38" s="50">
        <v>14</v>
      </c>
      <c r="G38" s="50">
        <v>0</v>
      </c>
      <c r="H38" s="50">
        <v>0</v>
      </c>
      <c r="I38" s="50">
        <v>3</v>
      </c>
      <c r="J38" s="50">
        <v>1</v>
      </c>
      <c r="K38" s="50">
        <v>0</v>
      </c>
      <c r="L38" s="50">
        <v>0</v>
      </c>
      <c r="M38" s="50">
        <v>8</v>
      </c>
      <c r="N38" s="50">
        <v>0</v>
      </c>
      <c r="O38" s="15">
        <f t="shared" si="0"/>
        <v>27</v>
      </c>
      <c r="P38" s="15">
        <f t="shared" si="1"/>
        <v>35</v>
      </c>
      <c r="R38" s="28" t="s">
        <v>86</v>
      </c>
      <c r="S38" s="16">
        <f t="shared" ref="S38:AF38" si="30">SUM(S13:S18)</f>
        <v>99</v>
      </c>
      <c r="T38" s="16">
        <f t="shared" si="30"/>
        <v>56</v>
      </c>
      <c r="U38" s="16">
        <f t="shared" si="30"/>
        <v>69</v>
      </c>
      <c r="V38" s="16">
        <f t="shared" si="30"/>
        <v>243</v>
      </c>
      <c r="W38" s="16">
        <f t="shared" si="30"/>
        <v>31</v>
      </c>
      <c r="X38" s="16">
        <f t="shared" si="30"/>
        <v>7</v>
      </c>
      <c r="Y38" s="16">
        <f t="shared" si="30"/>
        <v>33</v>
      </c>
      <c r="Z38" s="16">
        <f t="shared" si="30"/>
        <v>36</v>
      </c>
      <c r="AA38" s="16">
        <f t="shared" si="30"/>
        <v>14</v>
      </c>
      <c r="AB38" s="16">
        <f t="shared" si="30"/>
        <v>19</v>
      </c>
      <c r="AC38" s="16">
        <f t="shared" si="30"/>
        <v>282</v>
      </c>
      <c r="AD38" s="16">
        <f t="shared" si="30"/>
        <v>3</v>
      </c>
      <c r="AE38" s="32">
        <f t="shared" si="30"/>
        <v>610</v>
      </c>
      <c r="AF38" s="32">
        <f t="shared" si="30"/>
        <v>892</v>
      </c>
    </row>
    <row r="39" spans="2:32" ht="23.1" customHeight="1" x14ac:dyDescent="0.25">
      <c r="B39" s="46" t="s">
        <v>66</v>
      </c>
      <c r="C39" s="50">
        <v>5</v>
      </c>
      <c r="D39" s="50">
        <v>1</v>
      </c>
      <c r="E39" s="50">
        <v>3</v>
      </c>
      <c r="F39" s="50">
        <v>10</v>
      </c>
      <c r="G39" s="50">
        <v>0</v>
      </c>
      <c r="H39" s="50">
        <v>1</v>
      </c>
      <c r="I39" s="50">
        <v>1</v>
      </c>
      <c r="J39" s="50">
        <v>2</v>
      </c>
      <c r="K39" s="50">
        <v>2</v>
      </c>
      <c r="L39" s="50">
        <v>1</v>
      </c>
      <c r="M39" s="50">
        <v>15</v>
      </c>
      <c r="N39" s="50">
        <v>0</v>
      </c>
      <c r="O39" s="15">
        <f t="shared" si="0"/>
        <v>26</v>
      </c>
      <c r="P39" s="15">
        <f t="shared" si="1"/>
        <v>41</v>
      </c>
      <c r="R39" s="29" t="s">
        <v>87</v>
      </c>
      <c r="S39" s="16">
        <f t="shared" ref="S39:AF39" si="31">SUM(S19:S21)</f>
        <v>52</v>
      </c>
      <c r="T39" s="16">
        <f t="shared" si="31"/>
        <v>28</v>
      </c>
      <c r="U39" s="16">
        <f t="shared" si="31"/>
        <v>34</v>
      </c>
      <c r="V39" s="16">
        <f t="shared" si="31"/>
        <v>122</v>
      </c>
      <c r="W39" s="16">
        <f t="shared" si="31"/>
        <v>1</v>
      </c>
      <c r="X39" s="16">
        <f t="shared" si="31"/>
        <v>7</v>
      </c>
      <c r="Y39" s="16">
        <f t="shared" si="31"/>
        <v>11</v>
      </c>
      <c r="Z39" s="16">
        <f t="shared" si="31"/>
        <v>30</v>
      </c>
      <c r="AA39" s="16">
        <f t="shared" si="31"/>
        <v>10</v>
      </c>
      <c r="AB39" s="16">
        <f t="shared" si="31"/>
        <v>18</v>
      </c>
      <c r="AC39" s="16">
        <f t="shared" si="31"/>
        <v>180</v>
      </c>
      <c r="AD39" s="16">
        <f t="shared" si="31"/>
        <v>0</v>
      </c>
      <c r="AE39" s="32">
        <f t="shared" si="31"/>
        <v>313</v>
      </c>
      <c r="AF39" s="32">
        <f t="shared" si="31"/>
        <v>493</v>
      </c>
    </row>
    <row r="40" spans="2:32" ht="23.1" customHeight="1" x14ac:dyDescent="0.25">
      <c r="B40" s="46" t="s">
        <v>67</v>
      </c>
      <c r="C40" s="50">
        <v>9</v>
      </c>
      <c r="D40" s="50">
        <v>6</v>
      </c>
      <c r="E40" s="50">
        <v>4</v>
      </c>
      <c r="F40" s="50">
        <v>18</v>
      </c>
      <c r="G40" s="50">
        <v>0</v>
      </c>
      <c r="H40" s="50">
        <v>0</v>
      </c>
      <c r="I40" s="50">
        <v>5</v>
      </c>
      <c r="J40" s="50">
        <v>3</v>
      </c>
      <c r="K40" s="50">
        <v>0</v>
      </c>
      <c r="L40" s="50">
        <v>1</v>
      </c>
      <c r="M40" s="50">
        <v>15</v>
      </c>
      <c r="N40" s="50">
        <v>0</v>
      </c>
      <c r="O40" s="15">
        <f t="shared" si="0"/>
        <v>46</v>
      </c>
      <c r="P40" s="15">
        <f t="shared" si="1"/>
        <v>61</v>
      </c>
      <c r="R40" s="5" t="s">
        <v>17</v>
      </c>
      <c r="S40" s="16">
        <f t="shared" ref="S40:AF40" si="32">SUM(S10:S21)</f>
        <v>186</v>
      </c>
      <c r="T40" s="16">
        <f t="shared" si="32"/>
        <v>101</v>
      </c>
      <c r="U40" s="16">
        <f t="shared" si="32"/>
        <v>139</v>
      </c>
      <c r="V40" s="16">
        <f t="shared" si="32"/>
        <v>435</v>
      </c>
      <c r="W40" s="16">
        <f t="shared" si="32"/>
        <v>32</v>
      </c>
      <c r="X40" s="16">
        <f t="shared" si="32"/>
        <v>17</v>
      </c>
      <c r="Y40" s="16">
        <f t="shared" si="32"/>
        <v>54</v>
      </c>
      <c r="Z40" s="16">
        <f t="shared" si="32"/>
        <v>78</v>
      </c>
      <c r="AA40" s="16">
        <f t="shared" si="32"/>
        <v>26</v>
      </c>
      <c r="AB40" s="16">
        <f t="shared" si="32"/>
        <v>40</v>
      </c>
      <c r="AC40" s="16">
        <f t="shared" si="32"/>
        <v>538</v>
      </c>
      <c r="AD40" s="16">
        <f t="shared" si="32"/>
        <v>3</v>
      </c>
      <c r="AE40" s="32">
        <f t="shared" si="32"/>
        <v>1111</v>
      </c>
      <c r="AF40" s="32">
        <f t="shared" si="32"/>
        <v>1649</v>
      </c>
    </row>
    <row r="41" spans="2:32" ht="23.1" customHeight="1" x14ac:dyDescent="0.25">
      <c r="B41" s="45" t="s">
        <v>68</v>
      </c>
      <c r="C41" s="50">
        <v>2</v>
      </c>
      <c r="D41" s="50">
        <v>3</v>
      </c>
      <c r="E41" s="50">
        <v>2</v>
      </c>
      <c r="F41" s="50">
        <v>14</v>
      </c>
      <c r="G41" s="50">
        <v>0</v>
      </c>
      <c r="H41" s="50">
        <v>2</v>
      </c>
      <c r="I41" s="50">
        <v>1</v>
      </c>
      <c r="J41" s="50">
        <v>0</v>
      </c>
      <c r="K41" s="50">
        <v>1</v>
      </c>
      <c r="L41" s="50">
        <v>0</v>
      </c>
      <c r="M41" s="50">
        <v>11</v>
      </c>
      <c r="N41" s="50">
        <v>0</v>
      </c>
      <c r="O41" s="15">
        <f t="shared" si="0"/>
        <v>25</v>
      </c>
      <c r="P41" s="15">
        <f t="shared" si="1"/>
        <v>36</v>
      </c>
      <c r="R41" s="5" t="s">
        <v>159</v>
      </c>
      <c r="S41" s="16">
        <f>SUM(S10:S33)</f>
        <v>257</v>
      </c>
      <c r="T41" s="16">
        <f t="shared" ref="T41:AF41" si="33">SUM(T10:T33)</f>
        <v>128</v>
      </c>
      <c r="U41" s="16">
        <f t="shared" si="33"/>
        <v>172</v>
      </c>
      <c r="V41" s="16">
        <f t="shared" si="33"/>
        <v>537</v>
      </c>
      <c r="W41" s="16">
        <f t="shared" si="33"/>
        <v>37</v>
      </c>
      <c r="X41" s="16">
        <f t="shared" si="33"/>
        <v>38</v>
      </c>
      <c r="Y41" s="16">
        <f t="shared" si="33"/>
        <v>151</v>
      </c>
      <c r="Z41" s="16">
        <f t="shared" si="33"/>
        <v>82</v>
      </c>
      <c r="AA41" s="16">
        <f t="shared" si="33"/>
        <v>47</v>
      </c>
      <c r="AB41" s="16">
        <f t="shared" si="33"/>
        <v>45</v>
      </c>
      <c r="AC41" s="16">
        <f t="shared" si="33"/>
        <v>693</v>
      </c>
      <c r="AD41" s="16">
        <f t="shared" si="33"/>
        <v>3</v>
      </c>
      <c r="AE41" s="32">
        <f t="shared" si="33"/>
        <v>1497</v>
      </c>
      <c r="AF41" s="32">
        <f t="shared" si="33"/>
        <v>2190</v>
      </c>
    </row>
    <row r="42" spans="2:32" ht="23.1" customHeight="1" x14ac:dyDescent="0.25">
      <c r="B42" s="46" t="s">
        <v>69</v>
      </c>
      <c r="C42" s="50">
        <v>3</v>
      </c>
      <c r="D42" s="50">
        <v>1</v>
      </c>
      <c r="E42" s="50">
        <v>2</v>
      </c>
      <c r="F42" s="50">
        <v>5</v>
      </c>
      <c r="G42" s="50">
        <v>0</v>
      </c>
      <c r="H42" s="50">
        <v>0</v>
      </c>
      <c r="I42" s="50">
        <v>0</v>
      </c>
      <c r="J42" s="50">
        <v>2</v>
      </c>
      <c r="K42" s="50">
        <v>0</v>
      </c>
      <c r="L42" s="50">
        <v>1</v>
      </c>
      <c r="M42" s="50">
        <v>15</v>
      </c>
      <c r="N42" s="50">
        <v>0</v>
      </c>
      <c r="O42" s="15">
        <f t="shared" si="0"/>
        <v>14</v>
      </c>
      <c r="P42" s="15">
        <f t="shared" si="1"/>
        <v>29</v>
      </c>
      <c r="R42" s="5" t="s">
        <v>160</v>
      </c>
      <c r="S42" s="48">
        <f>S41/S40</f>
        <v>1.381720430107527</v>
      </c>
      <c r="T42" s="48">
        <f t="shared" ref="T42:AF42" si="34">T41/T40</f>
        <v>1.2673267326732673</v>
      </c>
      <c r="U42" s="48">
        <f t="shared" si="34"/>
        <v>1.2374100719424461</v>
      </c>
      <c r="V42" s="48">
        <f t="shared" si="34"/>
        <v>1.2344827586206897</v>
      </c>
      <c r="W42" s="48">
        <f t="shared" si="34"/>
        <v>1.15625</v>
      </c>
      <c r="X42" s="48">
        <f t="shared" si="34"/>
        <v>2.2352941176470589</v>
      </c>
      <c r="Y42" s="48">
        <f t="shared" si="34"/>
        <v>2.7962962962962963</v>
      </c>
      <c r="Z42" s="48">
        <f t="shared" si="34"/>
        <v>1.0512820512820513</v>
      </c>
      <c r="AA42" s="48">
        <f t="shared" si="34"/>
        <v>1.8076923076923077</v>
      </c>
      <c r="AB42" s="48">
        <f t="shared" si="34"/>
        <v>1.125</v>
      </c>
      <c r="AC42" s="48">
        <f t="shared" si="34"/>
        <v>1.2881040892193309</v>
      </c>
      <c r="AD42" s="48">
        <f t="shared" si="34"/>
        <v>1</v>
      </c>
      <c r="AE42" s="48">
        <f t="shared" si="34"/>
        <v>1.3474347434743474</v>
      </c>
      <c r="AF42" s="48">
        <f t="shared" si="34"/>
        <v>1.3280776228016979</v>
      </c>
    </row>
    <row r="43" spans="2:32" ht="23.1" customHeight="1" x14ac:dyDescent="0.25">
      <c r="B43" s="45" t="s">
        <v>70</v>
      </c>
      <c r="C43" s="50">
        <v>5</v>
      </c>
      <c r="D43" s="50">
        <v>4</v>
      </c>
      <c r="E43" s="50">
        <v>3</v>
      </c>
      <c r="F43" s="50">
        <v>9</v>
      </c>
      <c r="G43" s="50">
        <v>2</v>
      </c>
      <c r="H43" s="50">
        <v>0</v>
      </c>
      <c r="I43" s="50">
        <v>1</v>
      </c>
      <c r="J43" s="50">
        <v>2</v>
      </c>
      <c r="K43" s="50">
        <v>0</v>
      </c>
      <c r="L43" s="50">
        <v>1</v>
      </c>
      <c r="M43" s="50">
        <v>11</v>
      </c>
      <c r="N43" s="50">
        <v>0</v>
      </c>
      <c r="O43" s="15">
        <f t="shared" si="0"/>
        <v>27</v>
      </c>
      <c r="P43" s="15">
        <f t="shared" si="1"/>
        <v>38</v>
      </c>
    </row>
    <row r="44" spans="2:32" ht="23.1" customHeight="1" x14ac:dyDescent="0.25">
      <c r="B44" s="47" t="s">
        <v>71</v>
      </c>
      <c r="C44" s="50">
        <v>6</v>
      </c>
      <c r="D44" s="50">
        <v>3</v>
      </c>
      <c r="E44" s="50">
        <v>6</v>
      </c>
      <c r="F44" s="50">
        <v>13</v>
      </c>
      <c r="G44" s="50">
        <v>0</v>
      </c>
      <c r="H44" s="50">
        <v>0</v>
      </c>
      <c r="I44" s="50">
        <v>0</v>
      </c>
      <c r="J44" s="50">
        <v>3</v>
      </c>
      <c r="K44" s="50">
        <v>0</v>
      </c>
      <c r="L44" s="50">
        <v>2</v>
      </c>
      <c r="M44" s="50">
        <v>13</v>
      </c>
      <c r="N44" s="50">
        <v>0</v>
      </c>
      <c r="O44" s="15">
        <f t="shared" si="0"/>
        <v>33</v>
      </c>
      <c r="P44" s="15">
        <f t="shared" si="1"/>
        <v>46</v>
      </c>
    </row>
    <row r="45" spans="2:32" ht="23.1" customHeight="1" x14ac:dyDescent="0.25">
      <c r="B45" s="45" t="s">
        <v>72</v>
      </c>
      <c r="C45" s="50">
        <v>2</v>
      </c>
      <c r="D45" s="50">
        <v>2</v>
      </c>
      <c r="E45" s="50">
        <v>3</v>
      </c>
      <c r="F45" s="50">
        <v>11</v>
      </c>
      <c r="G45" s="50">
        <v>1</v>
      </c>
      <c r="H45" s="50">
        <v>0</v>
      </c>
      <c r="I45" s="50">
        <v>1</v>
      </c>
      <c r="J45" s="50">
        <v>2</v>
      </c>
      <c r="K45" s="50">
        <v>1</v>
      </c>
      <c r="L45" s="50">
        <v>1</v>
      </c>
      <c r="M45" s="50">
        <v>11</v>
      </c>
      <c r="N45" s="50">
        <v>0</v>
      </c>
      <c r="O45" s="15">
        <f t="shared" si="0"/>
        <v>24</v>
      </c>
      <c r="P45" s="15">
        <f t="shared" si="1"/>
        <v>35</v>
      </c>
    </row>
    <row r="46" spans="2:32" ht="23.1" customHeight="1" x14ac:dyDescent="0.25">
      <c r="B46" s="46" t="s">
        <v>73</v>
      </c>
      <c r="C46" s="49">
        <v>5</v>
      </c>
      <c r="D46" s="50">
        <v>4</v>
      </c>
      <c r="E46" s="50">
        <v>3</v>
      </c>
      <c r="F46" s="50">
        <v>9</v>
      </c>
      <c r="G46" s="50">
        <v>0</v>
      </c>
      <c r="H46" s="50">
        <v>0</v>
      </c>
      <c r="I46" s="50">
        <v>2</v>
      </c>
      <c r="J46" s="50">
        <v>3</v>
      </c>
      <c r="K46" s="50">
        <v>0</v>
      </c>
      <c r="L46" s="50">
        <v>3</v>
      </c>
      <c r="M46" s="50">
        <v>10</v>
      </c>
      <c r="N46" s="50">
        <v>0</v>
      </c>
      <c r="O46" s="15">
        <f t="shared" si="0"/>
        <v>29</v>
      </c>
      <c r="P46" s="15">
        <f t="shared" si="1"/>
        <v>39</v>
      </c>
      <c r="R46" s="8"/>
      <c r="T46"/>
    </row>
    <row r="47" spans="2:32" ht="23.1" customHeight="1" x14ac:dyDescent="0.25">
      <c r="B47" s="46" t="s">
        <v>74</v>
      </c>
      <c r="C47" s="50">
        <v>3</v>
      </c>
      <c r="D47" s="50">
        <v>2</v>
      </c>
      <c r="E47" s="50">
        <v>2</v>
      </c>
      <c r="F47" s="50">
        <v>14</v>
      </c>
      <c r="G47" s="50">
        <v>0</v>
      </c>
      <c r="H47" s="50">
        <v>1</v>
      </c>
      <c r="I47" s="50">
        <v>0</v>
      </c>
      <c r="J47" s="50">
        <v>0</v>
      </c>
      <c r="K47" s="50">
        <v>0</v>
      </c>
      <c r="L47" s="50">
        <v>1</v>
      </c>
      <c r="M47" s="50">
        <v>15</v>
      </c>
      <c r="N47" s="50">
        <v>0</v>
      </c>
      <c r="O47" s="15">
        <f t="shared" si="0"/>
        <v>23</v>
      </c>
      <c r="P47" s="15">
        <f t="shared" si="1"/>
        <v>38</v>
      </c>
      <c r="R47" s="8"/>
      <c r="T47"/>
    </row>
    <row r="48" spans="2:32" ht="23.1" customHeight="1" x14ac:dyDescent="0.25">
      <c r="B48" s="46" t="s">
        <v>75</v>
      </c>
      <c r="C48" s="50">
        <v>2</v>
      </c>
      <c r="D48" s="50">
        <v>3</v>
      </c>
      <c r="E48" s="50">
        <v>3</v>
      </c>
      <c r="F48" s="50">
        <v>8</v>
      </c>
      <c r="G48" s="50">
        <v>0</v>
      </c>
      <c r="H48" s="50">
        <v>1</v>
      </c>
      <c r="I48" s="50">
        <v>0</v>
      </c>
      <c r="J48" s="50">
        <v>3</v>
      </c>
      <c r="K48" s="50">
        <v>0</v>
      </c>
      <c r="L48" s="50">
        <v>2</v>
      </c>
      <c r="M48" s="50">
        <v>16</v>
      </c>
      <c r="N48" s="50">
        <v>0</v>
      </c>
      <c r="O48" s="15">
        <f t="shared" si="0"/>
        <v>22</v>
      </c>
      <c r="P48" s="15">
        <f t="shared" si="1"/>
        <v>38</v>
      </c>
      <c r="R48" s="8"/>
      <c r="T48"/>
    </row>
    <row r="49" spans="2:20" ht="23.1" customHeight="1" x14ac:dyDescent="0.25">
      <c r="B49" s="45" t="s">
        <v>76</v>
      </c>
      <c r="C49" s="50">
        <v>2</v>
      </c>
      <c r="D49" s="50">
        <v>3</v>
      </c>
      <c r="E49" s="50">
        <v>5</v>
      </c>
      <c r="F49" s="50">
        <v>8</v>
      </c>
      <c r="G49" s="50">
        <v>1</v>
      </c>
      <c r="H49" s="50">
        <v>1</v>
      </c>
      <c r="I49" s="50">
        <v>1</v>
      </c>
      <c r="J49" s="50">
        <v>2</v>
      </c>
      <c r="K49" s="50">
        <v>4</v>
      </c>
      <c r="L49" s="50">
        <v>1</v>
      </c>
      <c r="M49" s="50">
        <v>9</v>
      </c>
      <c r="N49" s="50">
        <v>0</v>
      </c>
      <c r="O49" s="15">
        <f t="shared" si="0"/>
        <v>28</v>
      </c>
      <c r="P49" s="15">
        <f t="shared" si="1"/>
        <v>37</v>
      </c>
      <c r="R49" s="8"/>
      <c r="T49"/>
    </row>
    <row r="50" spans="2:20" ht="23.1" customHeight="1" x14ac:dyDescent="0.25">
      <c r="B50" s="46" t="s">
        <v>77</v>
      </c>
      <c r="C50" s="50">
        <v>5</v>
      </c>
      <c r="D50" s="50">
        <v>4</v>
      </c>
      <c r="E50" s="50">
        <v>2</v>
      </c>
      <c r="F50" s="50">
        <v>11</v>
      </c>
      <c r="G50" s="50">
        <v>0</v>
      </c>
      <c r="H50" s="50">
        <v>0</v>
      </c>
      <c r="I50" s="50">
        <v>0</v>
      </c>
      <c r="J50" s="50">
        <v>1</v>
      </c>
      <c r="K50" s="50">
        <v>0</v>
      </c>
      <c r="L50" s="50">
        <v>3</v>
      </c>
      <c r="M50" s="50">
        <v>17</v>
      </c>
      <c r="N50" s="50">
        <v>0</v>
      </c>
      <c r="O50" s="15">
        <f t="shared" si="0"/>
        <v>26</v>
      </c>
      <c r="P50" s="15">
        <f t="shared" si="1"/>
        <v>43</v>
      </c>
      <c r="R50" s="8"/>
      <c r="T50"/>
    </row>
    <row r="51" spans="2:20" ht="23.1" customHeight="1" x14ac:dyDescent="0.25">
      <c r="B51" s="46" t="s">
        <v>78</v>
      </c>
      <c r="C51" s="50">
        <v>3</v>
      </c>
      <c r="D51" s="50">
        <v>2</v>
      </c>
      <c r="E51" s="50">
        <v>3</v>
      </c>
      <c r="F51" s="50">
        <v>18</v>
      </c>
      <c r="G51" s="50">
        <v>0</v>
      </c>
      <c r="H51" s="50">
        <v>0</v>
      </c>
      <c r="I51" s="50">
        <v>0</v>
      </c>
      <c r="J51" s="50">
        <v>3</v>
      </c>
      <c r="K51" s="50">
        <v>1</v>
      </c>
      <c r="L51" s="50">
        <v>2</v>
      </c>
      <c r="M51" s="50">
        <v>19</v>
      </c>
      <c r="N51" s="50">
        <v>0</v>
      </c>
      <c r="O51" s="15">
        <f t="shared" si="0"/>
        <v>32</v>
      </c>
      <c r="P51" s="15">
        <f t="shared" si="1"/>
        <v>51</v>
      </c>
      <c r="R51" s="8"/>
      <c r="T51"/>
    </row>
    <row r="52" spans="2:20" ht="23.1" customHeight="1" x14ac:dyDescent="0.25">
      <c r="B52" s="46" t="s">
        <v>79</v>
      </c>
      <c r="C52" s="50">
        <v>7</v>
      </c>
      <c r="D52" s="50">
        <v>2</v>
      </c>
      <c r="E52" s="50">
        <v>3</v>
      </c>
      <c r="F52" s="50">
        <v>7</v>
      </c>
      <c r="G52" s="50">
        <v>0</v>
      </c>
      <c r="H52" s="50">
        <v>3</v>
      </c>
      <c r="I52" s="50">
        <v>2</v>
      </c>
      <c r="J52" s="50">
        <v>2</v>
      </c>
      <c r="K52" s="50">
        <v>0</v>
      </c>
      <c r="L52" s="50">
        <v>1</v>
      </c>
      <c r="M52" s="50">
        <v>12</v>
      </c>
      <c r="N52" s="50">
        <v>0</v>
      </c>
      <c r="O52" s="15">
        <f t="shared" si="0"/>
        <v>27</v>
      </c>
      <c r="P52" s="15">
        <f t="shared" si="1"/>
        <v>39</v>
      </c>
      <c r="R52" s="8"/>
      <c r="T52"/>
    </row>
    <row r="53" spans="2:20" ht="23.1" customHeight="1" x14ac:dyDescent="0.25">
      <c r="B53" s="45" t="s">
        <v>80</v>
      </c>
      <c r="C53" s="50">
        <v>2</v>
      </c>
      <c r="D53" s="50">
        <v>3</v>
      </c>
      <c r="E53" s="50">
        <v>1</v>
      </c>
      <c r="F53" s="50">
        <v>7</v>
      </c>
      <c r="G53" s="50">
        <v>0</v>
      </c>
      <c r="H53" s="50">
        <v>0</v>
      </c>
      <c r="I53" s="50">
        <v>2</v>
      </c>
      <c r="J53" s="50">
        <v>3</v>
      </c>
      <c r="K53" s="50">
        <v>2</v>
      </c>
      <c r="L53" s="50">
        <v>1</v>
      </c>
      <c r="M53" s="50">
        <v>28</v>
      </c>
      <c r="N53" s="50">
        <v>0</v>
      </c>
      <c r="O53" s="15">
        <f t="shared" si="0"/>
        <v>21</v>
      </c>
      <c r="P53" s="15">
        <f t="shared" si="1"/>
        <v>49</v>
      </c>
      <c r="R53" s="8"/>
      <c r="T53"/>
    </row>
    <row r="54" spans="2:20" ht="23.1" customHeight="1" x14ac:dyDescent="0.25">
      <c r="B54" s="45" t="s">
        <v>81</v>
      </c>
      <c r="C54" s="50">
        <v>7</v>
      </c>
      <c r="D54" s="50">
        <v>1</v>
      </c>
      <c r="E54" s="50">
        <v>3</v>
      </c>
      <c r="F54" s="50">
        <v>13</v>
      </c>
      <c r="G54" s="50">
        <v>0</v>
      </c>
      <c r="H54" s="50">
        <v>1</v>
      </c>
      <c r="I54" s="50">
        <v>2</v>
      </c>
      <c r="J54" s="50">
        <v>7</v>
      </c>
      <c r="K54" s="50">
        <v>1</v>
      </c>
      <c r="L54" s="50">
        <v>3</v>
      </c>
      <c r="M54" s="50">
        <v>10</v>
      </c>
      <c r="N54" s="50">
        <v>0</v>
      </c>
      <c r="O54" s="15">
        <f t="shared" si="0"/>
        <v>38</v>
      </c>
      <c r="P54" s="15">
        <f t="shared" si="1"/>
        <v>48</v>
      </c>
      <c r="R54" s="8"/>
      <c r="T54"/>
    </row>
    <row r="55" spans="2:20" ht="23.1" customHeight="1" x14ac:dyDescent="0.25">
      <c r="B55" s="45" t="s">
        <v>82</v>
      </c>
      <c r="C55" s="50">
        <v>7</v>
      </c>
      <c r="D55" s="50">
        <v>0</v>
      </c>
      <c r="E55" s="50">
        <v>4</v>
      </c>
      <c r="F55" s="50">
        <v>11</v>
      </c>
      <c r="G55" s="50">
        <v>0</v>
      </c>
      <c r="H55" s="50">
        <v>0</v>
      </c>
      <c r="I55" s="50">
        <v>1</v>
      </c>
      <c r="J55" s="50">
        <v>3</v>
      </c>
      <c r="K55" s="50">
        <v>2</v>
      </c>
      <c r="L55" s="50">
        <v>0</v>
      </c>
      <c r="M55" s="50">
        <v>9</v>
      </c>
      <c r="N55" s="50">
        <v>0</v>
      </c>
      <c r="O55" s="15">
        <f t="shared" si="0"/>
        <v>28</v>
      </c>
      <c r="P55" s="15">
        <f t="shared" si="1"/>
        <v>37</v>
      </c>
      <c r="R55" s="8"/>
      <c r="T55"/>
    </row>
    <row r="56" spans="2:20" ht="23.1" customHeight="1" x14ac:dyDescent="0.25">
      <c r="B56" s="45" t="s">
        <v>83</v>
      </c>
      <c r="C56" s="50">
        <v>3</v>
      </c>
      <c r="D56" s="50">
        <v>4</v>
      </c>
      <c r="E56" s="50">
        <v>4</v>
      </c>
      <c r="F56" s="50">
        <v>7</v>
      </c>
      <c r="G56" s="50">
        <v>0</v>
      </c>
      <c r="H56" s="50">
        <v>0</v>
      </c>
      <c r="I56" s="50">
        <v>1</v>
      </c>
      <c r="J56" s="50">
        <v>0</v>
      </c>
      <c r="K56" s="50">
        <v>0</v>
      </c>
      <c r="L56" s="50">
        <v>0</v>
      </c>
      <c r="M56" s="50">
        <v>12</v>
      </c>
      <c r="N56" s="50">
        <v>0</v>
      </c>
      <c r="O56" s="15">
        <f t="shared" si="0"/>
        <v>19</v>
      </c>
      <c r="P56" s="15">
        <f t="shared" si="1"/>
        <v>31</v>
      </c>
      <c r="R56" s="8"/>
      <c r="T56"/>
    </row>
    <row r="57" spans="2:20" ht="23.1" customHeight="1" x14ac:dyDescent="0.25">
      <c r="B57" s="45" t="s">
        <v>84</v>
      </c>
      <c r="C57" s="50">
        <v>6</v>
      </c>
      <c r="D57" s="50">
        <v>0</v>
      </c>
      <c r="E57" s="50">
        <v>1</v>
      </c>
      <c r="F57" s="50">
        <v>9</v>
      </c>
      <c r="G57" s="50">
        <v>0</v>
      </c>
      <c r="H57" s="50">
        <v>0</v>
      </c>
      <c r="I57" s="50">
        <v>0</v>
      </c>
      <c r="J57" s="50">
        <v>3</v>
      </c>
      <c r="K57" s="50">
        <v>0</v>
      </c>
      <c r="L57" s="50">
        <v>1</v>
      </c>
      <c r="M57" s="50">
        <v>23</v>
      </c>
      <c r="N57" s="50">
        <v>0</v>
      </c>
      <c r="O57" s="15">
        <f t="shared" si="0"/>
        <v>20</v>
      </c>
      <c r="P57" s="15">
        <f t="shared" si="1"/>
        <v>43</v>
      </c>
      <c r="R57" s="8"/>
      <c r="T57"/>
    </row>
    <row r="58" spans="2:20" ht="23.1" customHeight="1" x14ac:dyDescent="0.25">
      <c r="B58" s="45" t="s">
        <v>99</v>
      </c>
      <c r="C58" s="50">
        <v>3</v>
      </c>
      <c r="D58" s="50">
        <v>1</v>
      </c>
      <c r="E58" s="50">
        <v>4</v>
      </c>
      <c r="F58" s="50">
        <v>9</v>
      </c>
      <c r="G58" s="50">
        <v>0</v>
      </c>
      <c r="H58" s="50">
        <v>0</v>
      </c>
      <c r="I58" s="50">
        <v>4</v>
      </c>
      <c r="J58" s="50">
        <v>2</v>
      </c>
      <c r="K58" s="50">
        <v>1</v>
      </c>
      <c r="L58" s="50">
        <v>0</v>
      </c>
      <c r="M58" s="50">
        <v>15</v>
      </c>
      <c r="N58" s="50">
        <v>0</v>
      </c>
      <c r="O58" s="15">
        <f t="shared" si="0"/>
        <v>24</v>
      </c>
      <c r="P58" s="15">
        <f t="shared" si="1"/>
        <v>39</v>
      </c>
      <c r="R58" s="8"/>
      <c r="T58"/>
    </row>
    <row r="59" spans="2:20" ht="23.1" customHeight="1" x14ac:dyDescent="0.25">
      <c r="B59" s="45" t="s">
        <v>100</v>
      </c>
      <c r="C59" s="50">
        <v>6</v>
      </c>
      <c r="D59" s="50">
        <v>2</v>
      </c>
      <c r="E59" s="50">
        <v>2</v>
      </c>
      <c r="F59" s="50">
        <v>6</v>
      </c>
      <c r="G59" s="50">
        <v>0</v>
      </c>
      <c r="H59" s="50">
        <v>1</v>
      </c>
      <c r="I59" s="50">
        <v>2</v>
      </c>
      <c r="J59" s="50">
        <v>0</v>
      </c>
      <c r="K59" s="50">
        <v>1</v>
      </c>
      <c r="L59" s="50">
        <v>1</v>
      </c>
      <c r="M59" s="50">
        <v>19</v>
      </c>
      <c r="N59" s="50">
        <v>0</v>
      </c>
      <c r="O59" s="15">
        <f t="shared" si="0"/>
        <v>21</v>
      </c>
      <c r="P59" s="15">
        <f t="shared" si="1"/>
        <v>40</v>
      </c>
      <c r="R59" s="8"/>
      <c r="T59"/>
    </row>
    <row r="60" spans="2:20" ht="23.1" customHeight="1" x14ac:dyDescent="0.25">
      <c r="B60" s="45" t="s">
        <v>101</v>
      </c>
      <c r="C60" s="50">
        <v>2</v>
      </c>
      <c r="D60" s="50">
        <v>2</v>
      </c>
      <c r="E60" s="50">
        <v>2</v>
      </c>
      <c r="F60" s="50">
        <v>3</v>
      </c>
      <c r="G60" s="50">
        <v>0</v>
      </c>
      <c r="H60" s="50">
        <v>1</v>
      </c>
      <c r="I60" s="50">
        <v>4</v>
      </c>
      <c r="J60" s="50">
        <v>0</v>
      </c>
      <c r="K60" s="50">
        <v>0</v>
      </c>
      <c r="L60" s="50">
        <v>0</v>
      </c>
      <c r="M60" s="50">
        <v>14</v>
      </c>
      <c r="N60" s="50">
        <v>0</v>
      </c>
      <c r="O60" s="15">
        <f t="shared" si="0"/>
        <v>14</v>
      </c>
      <c r="P60" s="15">
        <f t="shared" si="1"/>
        <v>28</v>
      </c>
      <c r="R60" s="8"/>
      <c r="T60"/>
    </row>
    <row r="61" spans="2:20" ht="23.1" customHeight="1" x14ac:dyDescent="0.25">
      <c r="B61" s="45" t="s">
        <v>102</v>
      </c>
      <c r="C61" s="50">
        <v>5</v>
      </c>
      <c r="D61" s="50">
        <v>2</v>
      </c>
      <c r="E61" s="50">
        <v>3</v>
      </c>
      <c r="F61" s="50">
        <v>11</v>
      </c>
      <c r="G61" s="50">
        <v>0</v>
      </c>
      <c r="H61" s="50">
        <v>2</v>
      </c>
      <c r="I61" s="50">
        <v>5</v>
      </c>
      <c r="J61" s="50">
        <v>0</v>
      </c>
      <c r="K61" s="50">
        <v>0</v>
      </c>
      <c r="L61" s="50">
        <v>0</v>
      </c>
      <c r="M61" s="50">
        <v>17</v>
      </c>
      <c r="N61" s="50">
        <v>0</v>
      </c>
      <c r="O61" s="15">
        <f t="shared" si="0"/>
        <v>28</v>
      </c>
      <c r="P61" s="15">
        <f t="shared" si="1"/>
        <v>45</v>
      </c>
      <c r="R61" s="8"/>
      <c r="T61"/>
    </row>
    <row r="62" spans="2:20" ht="23.1" customHeight="1" x14ac:dyDescent="0.25">
      <c r="B62" s="45" t="s">
        <v>107</v>
      </c>
      <c r="C62" s="50">
        <v>3</v>
      </c>
      <c r="D62" s="50">
        <v>4</v>
      </c>
      <c r="E62" s="50">
        <v>2</v>
      </c>
      <c r="F62" s="50">
        <v>8</v>
      </c>
      <c r="G62" s="50">
        <v>0</v>
      </c>
      <c r="H62" s="50">
        <v>0</v>
      </c>
      <c r="I62" s="50">
        <v>2</v>
      </c>
      <c r="J62" s="50">
        <v>0</v>
      </c>
      <c r="K62" s="50">
        <v>1</v>
      </c>
      <c r="L62" s="50">
        <v>0</v>
      </c>
      <c r="M62" s="50">
        <v>6</v>
      </c>
      <c r="N62" s="50">
        <v>0</v>
      </c>
      <c r="O62" s="15">
        <f t="shared" si="0"/>
        <v>20</v>
      </c>
      <c r="P62" s="15">
        <f t="shared" si="1"/>
        <v>26</v>
      </c>
      <c r="R62" s="8"/>
      <c r="T62"/>
    </row>
    <row r="63" spans="2:20" ht="23.1" customHeight="1" x14ac:dyDescent="0.25">
      <c r="B63" s="45" t="s">
        <v>108</v>
      </c>
      <c r="C63" s="50">
        <v>2</v>
      </c>
      <c r="D63" s="50">
        <v>1</v>
      </c>
      <c r="E63" s="50">
        <v>1</v>
      </c>
      <c r="F63" s="50">
        <v>6</v>
      </c>
      <c r="G63" s="50">
        <v>0</v>
      </c>
      <c r="H63" s="50">
        <v>0</v>
      </c>
      <c r="I63" s="50">
        <v>6</v>
      </c>
      <c r="J63" s="50">
        <v>0</v>
      </c>
      <c r="K63" s="50">
        <v>0</v>
      </c>
      <c r="L63" s="50">
        <v>0</v>
      </c>
      <c r="M63" s="50">
        <v>3</v>
      </c>
      <c r="N63" s="50">
        <v>0</v>
      </c>
      <c r="O63" s="15">
        <f t="shared" si="0"/>
        <v>16</v>
      </c>
      <c r="P63" s="15">
        <f t="shared" si="1"/>
        <v>19</v>
      </c>
      <c r="R63" s="8"/>
      <c r="T63"/>
    </row>
    <row r="64" spans="2:20" ht="23.1" customHeight="1" x14ac:dyDescent="0.25">
      <c r="B64" s="45" t="s">
        <v>109</v>
      </c>
      <c r="C64" s="50">
        <v>2</v>
      </c>
      <c r="D64" s="50">
        <v>1</v>
      </c>
      <c r="E64" s="50">
        <v>1</v>
      </c>
      <c r="F64" s="50">
        <v>6</v>
      </c>
      <c r="G64" s="50">
        <v>0</v>
      </c>
      <c r="H64" s="50">
        <v>0</v>
      </c>
      <c r="I64" s="50">
        <v>4</v>
      </c>
      <c r="J64" s="50">
        <v>1</v>
      </c>
      <c r="K64" s="50">
        <v>1</v>
      </c>
      <c r="L64" s="50">
        <v>0</v>
      </c>
      <c r="M64" s="50">
        <v>4</v>
      </c>
      <c r="N64" s="50">
        <v>0</v>
      </c>
      <c r="O64" s="15">
        <f t="shared" si="0"/>
        <v>16</v>
      </c>
      <c r="P64" s="15">
        <f t="shared" si="1"/>
        <v>20</v>
      </c>
      <c r="R64" s="8"/>
      <c r="T64"/>
    </row>
    <row r="65" spans="2:20" ht="23.1" customHeight="1" x14ac:dyDescent="0.25">
      <c r="B65" s="45" t="s">
        <v>158</v>
      </c>
      <c r="C65" s="50">
        <v>4</v>
      </c>
      <c r="D65" s="50">
        <v>2</v>
      </c>
      <c r="E65" s="50">
        <v>0</v>
      </c>
      <c r="F65" s="50">
        <v>5</v>
      </c>
      <c r="G65" s="50">
        <v>0</v>
      </c>
      <c r="H65" s="50">
        <v>0</v>
      </c>
      <c r="I65" s="50">
        <v>2</v>
      </c>
      <c r="J65" s="50">
        <v>0</v>
      </c>
      <c r="K65" s="50">
        <v>1</v>
      </c>
      <c r="L65" s="50">
        <v>0</v>
      </c>
      <c r="M65" s="50">
        <v>7</v>
      </c>
      <c r="N65" s="50">
        <v>0</v>
      </c>
      <c r="O65" s="15">
        <f t="shared" si="0"/>
        <v>14</v>
      </c>
      <c r="P65" s="15">
        <f t="shared" si="1"/>
        <v>21</v>
      </c>
      <c r="R65" s="8"/>
      <c r="T65"/>
    </row>
    <row r="66" spans="2:20" ht="23.1" customHeight="1" x14ac:dyDescent="0.25">
      <c r="B66" s="45" t="s">
        <v>103</v>
      </c>
      <c r="C66" s="50">
        <v>4</v>
      </c>
      <c r="D66" s="50">
        <v>1</v>
      </c>
      <c r="E66" s="50">
        <v>0</v>
      </c>
      <c r="F66" s="50">
        <v>5</v>
      </c>
      <c r="G66" s="50">
        <v>0</v>
      </c>
      <c r="H66" s="50">
        <v>0</v>
      </c>
      <c r="I66" s="50">
        <v>2</v>
      </c>
      <c r="J66" s="50">
        <v>0</v>
      </c>
      <c r="K66" s="50">
        <v>0</v>
      </c>
      <c r="L66" s="50">
        <v>0</v>
      </c>
      <c r="M66" s="50">
        <v>5</v>
      </c>
      <c r="N66" s="50">
        <v>0</v>
      </c>
      <c r="O66" s="15">
        <f t="shared" si="0"/>
        <v>12</v>
      </c>
      <c r="P66" s="15">
        <f t="shared" si="1"/>
        <v>17</v>
      </c>
      <c r="R66" s="8"/>
      <c r="T66"/>
    </row>
    <row r="67" spans="2:20" ht="23.1" customHeight="1" x14ac:dyDescent="0.25">
      <c r="B67" s="45" t="s">
        <v>104</v>
      </c>
      <c r="C67" s="50">
        <v>2</v>
      </c>
      <c r="D67" s="50">
        <v>0</v>
      </c>
      <c r="E67" s="50">
        <v>1</v>
      </c>
      <c r="F67" s="50">
        <v>1</v>
      </c>
      <c r="G67" s="50">
        <v>0</v>
      </c>
      <c r="H67" s="50">
        <v>0</v>
      </c>
      <c r="I67" s="50">
        <v>1</v>
      </c>
      <c r="J67" s="50">
        <v>0</v>
      </c>
      <c r="K67" s="50">
        <v>0</v>
      </c>
      <c r="L67" s="50">
        <v>0</v>
      </c>
      <c r="M67" s="50">
        <v>6</v>
      </c>
      <c r="N67" s="50">
        <v>0</v>
      </c>
      <c r="O67" s="15">
        <f t="shared" si="0"/>
        <v>5</v>
      </c>
      <c r="P67" s="15">
        <f t="shared" si="1"/>
        <v>11</v>
      </c>
      <c r="R67" s="8"/>
      <c r="T67"/>
    </row>
    <row r="68" spans="2:20" ht="23.1" customHeight="1" x14ac:dyDescent="0.25">
      <c r="B68" s="45" t="s">
        <v>105</v>
      </c>
      <c r="C68" s="50">
        <v>3</v>
      </c>
      <c r="D68" s="50">
        <v>0</v>
      </c>
      <c r="E68" s="50">
        <v>3</v>
      </c>
      <c r="F68" s="50">
        <v>3</v>
      </c>
      <c r="G68" s="50">
        <v>0</v>
      </c>
      <c r="H68" s="50">
        <v>2</v>
      </c>
      <c r="I68" s="50">
        <v>2</v>
      </c>
      <c r="J68" s="50">
        <v>0</v>
      </c>
      <c r="K68" s="50">
        <v>1</v>
      </c>
      <c r="L68" s="50">
        <v>0</v>
      </c>
      <c r="M68" s="50">
        <v>3</v>
      </c>
      <c r="N68" s="50">
        <v>0</v>
      </c>
      <c r="O68" s="15">
        <f t="shared" si="0"/>
        <v>14</v>
      </c>
      <c r="P68" s="15">
        <f t="shared" si="1"/>
        <v>17</v>
      </c>
      <c r="R68" s="8"/>
      <c r="T68"/>
    </row>
    <row r="69" spans="2:20" ht="23.1" customHeight="1" x14ac:dyDescent="0.25">
      <c r="B69" s="45" t="s">
        <v>106</v>
      </c>
      <c r="C69" s="50">
        <v>0</v>
      </c>
      <c r="D69" s="50">
        <v>0</v>
      </c>
      <c r="E69" s="50">
        <v>1</v>
      </c>
      <c r="F69" s="50">
        <v>3</v>
      </c>
      <c r="G69" s="50">
        <v>0</v>
      </c>
      <c r="H69" s="50">
        <v>0</v>
      </c>
      <c r="I69" s="50">
        <v>2</v>
      </c>
      <c r="J69" s="50">
        <v>0</v>
      </c>
      <c r="K69" s="50">
        <v>1</v>
      </c>
      <c r="L69" s="50">
        <v>1</v>
      </c>
      <c r="M69" s="50">
        <v>1</v>
      </c>
      <c r="N69" s="50">
        <v>0</v>
      </c>
      <c r="O69" s="15">
        <f t="shared" si="0"/>
        <v>8</v>
      </c>
      <c r="P69" s="15">
        <f t="shared" si="1"/>
        <v>9</v>
      </c>
      <c r="R69" s="8"/>
      <c r="T69"/>
    </row>
    <row r="70" spans="2:20" ht="23.1" customHeight="1" x14ac:dyDescent="0.25">
      <c r="B70" s="45" t="s">
        <v>110</v>
      </c>
      <c r="C70" s="50">
        <v>1</v>
      </c>
      <c r="D70" s="50">
        <v>0</v>
      </c>
      <c r="E70" s="50">
        <v>1</v>
      </c>
      <c r="F70" s="50">
        <v>1</v>
      </c>
      <c r="G70" s="50">
        <v>1</v>
      </c>
      <c r="H70" s="50">
        <v>0</v>
      </c>
      <c r="I70" s="50">
        <v>4</v>
      </c>
      <c r="J70" s="50">
        <v>0</v>
      </c>
      <c r="K70" s="50">
        <v>1</v>
      </c>
      <c r="L70" s="50">
        <v>1</v>
      </c>
      <c r="M70" s="50">
        <v>2</v>
      </c>
      <c r="N70" s="50">
        <v>0</v>
      </c>
      <c r="O70" s="15">
        <f t="shared" si="0"/>
        <v>10</v>
      </c>
      <c r="P70" s="15">
        <f t="shared" si="1"/>
        <v>12</v>
      </c>
      <c r="R70" s="8"/>
      <c r="T70"/>
    </row>
    <row r="71" spans="2:20" ht="23.1" customHeight="1" x14ac:dyDescent="0.25">
      <c r="B71" s="45" t="s">
        <v>111</v>
      </c>
      <c r="C71" s="50">
        <v>2</v>
      </c>
      <c r="D71" s="50">
        <v>2</v>
      </c>
      <c r="E71" s="50">
        <v>0</v>
      </c>
      <c r="F71" s="50">
        <v>3</v>
      </c>
      <c r="G71" s="50">
        <v>0</v>
      </c>
      <c r="H71" s="50">
        <v>1</v>
      </c>
      <c r="I71" s="50">
        <v>3</v>
      </c>
      <c r="J71" s="50">
        <v>0</v>
      </c>
      <c r="K71" s="50">
        <v>0</v>
      </c>
      <c r="L71" s="50">
        <v>0</v>
      </c>
      <c r="M71" s="50">
        <v>0</v>
      </c>
      <c r="N71" s="50">
        <v>0</v>
      </c>
      <c r="O71" s="15">
        <f t="shared" si="0"/>
        <v>11</v>
      </c>
      <c r="P71" s="15">
        <f t="shared" si="1"/>
        <v>11</v>
      </c>
      <c r="R71" s="8"/>
      <c r="T71"/>
    </row>
    <row r="72" spans="2:20" ht="23.1" customHeight="1" x14ac:dyDescent="0.25">
      <c r="B72" s="45" t="s">
        <v>112</v>
      </c>
      <c r="C72" s="50">
        <v>0</v>
      </c>
      <c r="D72" s="50">
        <v>1</v>
      </c>
      <c r="E72" s="50">
        <v>0</v>
      </c>
      <c r="F72" s="50">
        <v>3</v>
      </c>
      <c r="G72" s="50">
        <v>0</v>
      </c>
      <c r="H72" s="50">
        <v>0</v>
      </c>
      <c r="I72" s="50">
        <v>3</v>
      </c>
      <c r="J72" s="50">
        <v>0</v>
      </c>
      <c r="K72" s="50">
        <v>0</v>
      </c>
      <c r="L72" s="50">
        <v>0</v>
      </c>
      <c r="M72" s="50">
        <v>2</v>
      </c>
      <c r="N72" s="50">
        <v>0</v>
      </c>
      <c r="O72" s="15">
        <f t="shared" si="0"/>
        <v>7</v>
      </c>
      <c r="P72" s="15">
        <f t="shared" si="1"/>
        <v>9</v>
      </c>
      <c r="R72" s="8"/>
      <c r="T72"/>
    </row>
    <row r="73" spans="2:20" ht="23.1" customHeight="1" x14ac:dyDescent="0.25">
      <c r="B73" s="45" t="s">
        <v>113</v>
      </c>
      <c r="C73" s="50">
        <v>2</v>
      </c>
      <c r="D73" s="50">
        <v>2</v>
      </c>
      <c r="E73" s="50">
        <v>0</v>
      </c>
      <c r="F73" s="50">
        <v>0</v>
      </c>
      <c r="G73" s="50">
        <v>1</v>
      </c>
      <c r="H73" s="50">
        <v>0</v>
      </c>
      <c r="I73" s="50">
        <v>1</v>
      </c>
      <c r="J73" s="50">
        <v>0</v>
      </c>
      <c r="K73" s="50">
        <v>1</v>
      </c>
      <c r="L73" s="50">
        <v>0</v>
      </c>
      <c r="M73" s="50">
        <v>1</v>
      </c>
      <c r="N73" s="50">
        <v>0</v>
      </c>
      <c r="O73" s="15">
        <f t="shared" si="0"/>
        <v>7</v>
      </c>
      <c r="P73" s="15">
        <f t="shared" si="1"/>
        <v>8</v>
      </c>
      <c r="R73" s="8"/>
      <c r="T73"/>
    </row>
    <row r="74" spans="2:20" ht="23.1" customHeight="1" x14ac:dyDescent="0.25">
      <c r="B74" s="45" t="s">
        <v>114</v>
      </c>
      <c r="C74" s="50">
        <v>2</v>
      </c>
      <c r="D74" s="50">
        <v>0</v>
      </c>
      <c r="E74" s="50">
        <v>1</v>
      </c>
      <c r="F74" s="50">
        <v>2</v>
      </c>
      <c r="G74" s="50">
        <v>0</v>
      </c>
      <c r="H74" s="50">
        <v>0</v>
      </c>
      <c r="I74" s="50">
        <v>3</v>
      </c>
      <c r="J74" s="50">
        <v>0</v>
      </c>
      <c r="K74" s="50">
        <v>1</v>
      </c>
      <c r="L74" s="50">
        <v>0</v>
      </c>
      <c r="M74" s="50">
        <v>0</v>
      </c>
      <c r="N74" s="50">
        <v>0</v>
      </c>
      <c r="O74" s="15">
        <f t="shared" ref="O74:O105" si="35">SUM(C74:L74,N74)</f>
        <v>9</v>
      </c>
      <c r="P74" s="15">
        <f t="shared" ref="P74:P105" si="36">SUM(C74:N74)</f>
        <v>9</v>
      </c>
      <c r="R74" s="8"/>
      <c r="T74"/>
    </row>
    <row r="75" spans="2:20" ht="23.1" customHeight="1" x14ac:dyDescent="0.25">
      <c r="B75" s="45" t="s">
        <v>115</v>
      </c>
      <c r="C75" s="50">
        <v>1</v>
      </c>
      <c r="D75" s="50">
        <v>0</v>
      </c>
      <c r="E75" s="50">
        <v>1</v>
      </c>
      <c r="F75" s="50">
        <v>4</v>
      </c>
      <c r="G75" s="50">
        <v>1</v>
      </c>
      <c r="H75" s="50">
        <v>0</v>
      </c>
      <c r="I75" s="50">
        <v>0</v>
      </c>
      <c r="J75" s="50">
        <v>0</v>
      </c>
      <c r="K75" s="50">
        <v>0</v>
      </c>
      <c r="L75" s="50">
        <v>0</v>
      </c>
      <c r="M75" s="50">
        <v>0</v>
      </c>
      <c r="N75" s="50">
        <v>0</v>
      </c>
      <c r="O75" s="15">
        <f t="shared" si="35"/>
        <v>7</v>
      </c>
      <c r="P75" s="15">
        <f t="shared" si="36"/>
        <v>7</v>
      </c>
      <c r="R75" s="8"/>
      <c r="T75"/>
    </row>
    <row r="76" spans="2:20" ht="23.1" customHeight="1" x14ac:dyDescent="0.25">
      <c r="B76" s="45" t="s">
        <v>116</v>
      </c>
      <c r="C76" s="50">
        <v>3</v>
      </c>
      <c r="D76" s="50">
        <v>0</v>
      </c>
      <c r="E76" s="50">
        <v>2</v>
      </c>
      <c r="F76" s="50">
        <v>0</v>
      </c>
      <c r="G76" s="50">
        <v>0</v>
      </c>
      <c r="H76" s="50">
        <v>0</v>
      </c>
      <c r="I76" s="50">
        <v>2</v>
      </c>
      <c r="J76" s="50">
        <v>0</v>
      </c>
      <c r="K76" s="50">
        <v>0</v>
      </c>
      <c r="L76" s="50">
        <v>0</v>
      </c>
      <c r="M76" s="50">
        <v>0</v>
      </c>
      <c r="N76" s="50">
        <v>0</v>
      </c>
      <c r="O76" s="15">
        <f t="shared" si="35"/>
        <v>7</v>
      </c>
      <c r="P76" s="15">
        <f t="shared" si="36"/>
        <v>7</v>
      </c>
      <c r="R76" s="8"/>
      <c r="T76"/>
    </row>
    <row r="77" spans="2:20" ht="23.1" customHeight="1" x14ac:dyDescent="0.25">
      <c r="B77" s="45" t="s">
        <v>117</v>
      </c>
      <c r="C77" s="50">
        <v>1</v>
      </c>
      <c r="D77" s="50">
        <v>0</v>
      </c>
      <c r="E77" s="50">
        <v>1</v>
      </c>
      <c r="F77" s="50">
        <v>0</v>
      </c>
      <c r="G77" s="50">
        <v>1</v>
      </c>
      <c r="H77" s="50">
        <v>0</v>
      </c>
      <c r="I77" s="50">
        <v>2</v>
      </c>
      <c r="J77" s="50">
        <v>0</v>
      </c>
      <c r="K77" s="50">
        <v>0</v>
      </c>
      <c r="L77" s="50">
        <v>1</v>
      </c>
      <c r="M77" s="50">
        <v>0</v>
      </c>
      <c r="N77" s="50">
        <v>0</v>
      </c>
      <c r="O77" s="15">
        <f t="shared" si="35"/>
        <v>6</v>
      </c>
      <c r="P77" s="15">
        <f t="shared" si="36"/>
        <v>6</v>
      </c>
      <c r="R77" s="8"/>
      <c r="T77"/>
    </row>
    <row r="78" spans="2:20" ht="23.1" customHeight="1" x14ac:dyDescent="0.25">
      <c r="B78" s="46" t="s">
        <v>118</v>
      </c>
      <c r="C78" s="50">
        <v>2</v>
      </c>
      <c r="D78" s="50">
        <v>0</v>
      </c>
      <c r="E78" s="50">
        <v>1</v>
      </c>
      <c r="F78" s="50">
        <v>1</v>
      </c>
      <c r="G78" s="50">
        <v>0</v>
      </c>
      <c r="H78" s="50">
        <v>0</v>
      </c>
      <c r="I78" s="50">
        <v>2</v>
      </c>
      <c r="J78" s="50">
        <v>0</v>
      </c>
      <c r="K78" s="50">
        <v>1</v>
      </c>
      <c r="L78" s="50">
        <v>0</v>
      </c>
      <c r="M78" s="50">
        <v>0</v>
      </c>
      <c r="N78" s="50">
        <v>0</v>
      </c>
      <c r="O78" s="15">
        <f t="shared" si="35"/>
        <v>7</v>
      </c>
      <c r="P78" s="15">
        <f t="shared" si="36"/>
        <v>7</v>
      </c>
      <c r="R78" s="8"/>
      <c r="T78"/>
    </row>
    <row r="79" spans="2:20" ht="23.1" customHeight="1" x14ac:dyDescent="0.25">
      <c r="B79" s="45" t="s">
        <v>119</v>
      </c>
      <c r="C79" s="50">
        <v>0</v>
      </c>
      <c r="D79" s="50">
        <v>1</v>
      </c>
      <c r="E79" s="50">
        <v>0</v>
      </c>
      <c r="F79" s="50">
        <v>0</v>
      </c>
      <c r="G79" s="50">
        <v>0</v>
      </c>
      <c r="H79" s="50">
        <v>0</v>
      </c>
      <c r="I79" s="50">
        <v>1</v>
      </c>
      <c r="J79" s="50">
        <v>0</v>
      </c>
      <c r="K79" s="50">
        <v>0</v>
      </c>
      <c r="L79" s="50">
        <v>0</v>
      </c>
      <c r="M79" s="50">
        <v>0</v>
      </c>
      <c r="N79" s="50">
        <v>0</v>
      </c>
      <c r="O79" s="15">
        <f t="shared" si="35"/>
        <v>2</v>
      </c>
      <c r="P79" s="15">
        <f t="shared" si="36"/>
        <v>2</v>
      </c>
      <c r="R79" s="8"/>
      <c r="T79"/>
    </row>
    <row r="80" spans="2:20" ht="23.1" customHeight="1" x14ac:dyDescent="0.25">
      <c r="B80" s="47" t="s">
        <v>120</v>
      </c>
      <c r="C80" s="50">
        <v>0</v>
      </c>
      <c r="D80" s="50">
        <v>0</v>
      </c>
      <c r="E80" s="50">
        <v>0</v>
      </c>
      <c r="F80" s="50">
        <v>1</v>
      </c>
      <c r="G80" s="50">
        <v>0</v>
      </c>
      <c r="H80" s="50">
        <v>1</v>
      </c>
      <c r="I80" s="50">
        <v>6</v>
      </c>
      <c r="J80" s="50">
        <v>0</v>
      </c>
      <c r="K80" s="50">
        <v>0</v>
      </c>
      <c r="L80" s="50">
        <v>0</v>
      </c>
      <c r="M80" s="50">
        <v>0</v>
      </c>
      <c r="N80" s="50">
        <v>0</v>
      </c>
      <c r="O80" s="15">
        <f t="shared" si="35"/>
        <v>8</v>
      </c>
      <c r="P80" s="15">
        <f t="shared" si="36"/>
        <v>8</v>
      </c>
      <c r="R80" s="8"/>
      <c r="T80"/>
    </row>
    <row r="81" spans="2:20" ht="23.1" customHeight="1" x14ac:dyDescent="0.25">
      <c r="B81" s="45" t="s">
        <v>121</v>
      </c>
      <c r="C81" s="50">
        <v>1</v>
      </c>
      <c r="D81" s="50">
        <v>0</v>
      </c>
      <c r="E81" s="50">
        <v>0</v>
      </c>
      <c r="F81" s="50">
        <v>1</v>
      </c>
      <c r="G81" s="50">
        <v>1</v>
      </c>
      <c r="H81" s="50">
        <v>0</v>
      </c>
      <c r="I81" s="50">
        <v>3</v>
      </c>
      <c r="J81" s="50">
        <v>0</v>
      </c>
      <c r="K81" s="50">
        <v>0</v>
      </c>
      <c r="L81" s="50">
        <v>0</v>
      </c>
      <c r="M81" s="50">
        <v>1</v>
      </c>
      <c r="N81" s="50">
        <v>0</v>
      </c>
      <c r="O81" s="15">
        <f t="shared" si="35"/>
        <v>6</v>
      </c>
      <c r="P81" s="15">
        <f t="shared" si="36"/>
        <v>7</v>
      </c>
      <c r="R81" s="8"/>
      <c r="T81"/>
    </row>
    <row r="82" spans="2:20" ht="23.1" customHeight="1" x14ac:dyDescent="0.25">
      <c r="B82" s="46" t="s">
        <v>122</v>
      </c>
      <c r="C82" s="50">
        <v>0</v>
      </c>
      <c r="D82" s="50">
        <v>0</v>
      </c>
      <c r="E82" s="50">
        <v>0</v>
      </c>
      <c r="F82" s="50">
        <v>0</v>
      </c>
      <c r="G82" s="50">
        <v>0</v>
      </c>
      <c r="H82" s="50">
        <v>0</v>
      </c>
      <c r="I82" s="50">
        <v>0</v>
      </c>
      <c r="J82" s="50">
        <v>0</v>
      </c>
      <c r="K82" s="50">
        <v>0</v>
      </c>
      <c r="L82" s="50">
        <v>0</v>
      </c>
      <c r="M82" s="50">
        <v>0</v>
      </c>
      <c r="N82" s="50">
        <v>0</v>
      </c>
      <c r="O82" s="15">
        <f t="shared" si="35"/>
        <v>0</v>
      </c>
      <c r="P82" s="15">
        <f t="shared" si="36"/>
        <v>0</v>
      </c>
      <c r="R82" s="8"/>
      <c r="T82"/>
    </row>
    <row r="83" spans="2:20" ht="23.1" customHeight="1" x14ac:dyDescent="0.25">
      <c r="B83" s="45" t="s">
        <v>123</v>
      </c>
      <c r="C83" s="50">
        <v>1</v>
      </c>
      <c r="D83" s="50">
        <v>1</v>
      </c>
      <c r="E83" s="50">
        <v>1</v>
      </c>
      <c r="F83" s="50">
        <v>0</v>
      </c>
      <c r="G83" s="50">
        <v>0</v>
      </c>
      <c r="H83" s="50">
        <v>2</v>
      </c>
      <c r="I83" s="50">
        <v>1</v>
      </c>
      <c r="J83" s="50">
        <v>0</v>
      </c>
      <c r="K83" s="50">
        <v>1</v>
      </c>
      <c r="L83" s="50">
        <v>0</v>
      </c>
      <c r="M83" s="50">
        <v>0</v>
      </c>
      <c r="N83" s="50">
        <v>0</v>
      </c>
      <c r="O83" s="15">
        <f t="shared" si="35"/>
        <v>7</v>
      </c>
      <c r="P83" s="15">
        <f t="shared" si="36"/>
        <v>7</v>
      </c>
      <c r="R83" s="8"/>
      <c r="T83"/>
    </row>
    <row r="84" spans="2:20" ht="23.1" customHeight="1" x14ac:dyDescent="0.25">
      <c r="B84" s="47" t="s">
        <v>124</v>
      </c>
      <c r="C84" s="50">
        <v>0</v>
      </c>
      <c r="D84" s="50">
        <v>0</v>
      </c>
      <c r="E84" s="50">
        <v>0</v>
      </c>
      <c r="F84" s="50">
        <v>4</v>
      </c>
      <c r="G84" s="50">
        <v>0</v>
      </c>
      <c r="H84" s="50">
        <v>0</v>
      </c>
      <c r="I84" s="50">
        <v>0</v>
      </c>
      <c r="J84" s="50">
        <v>0</v>
      </c>
      <c r="K84" s="50">
        <v>0</v>
      </c>
      <c r="L84" s="50">
        <v>0</v>
      </c>
      <c r="M84" s="50">
        <v>0</v>
      </c>
      <c r="N84" s="50">
        <v>0</v>
      </c>
      <c r="O84" s="15">
        <f t="shared" si="35"/>
        <v>4</v>
      </c>
      <c r="P84" s="15">
        <f t="shared" si="36"/>
        <v>4</v>
      </c>
      <c r="R84" s="8"/>
      <c r="T84"/>
    </row>
    <row r="85" spans="2:20" ht="23.1" customHeight="1" x14ac:dyDescent="0.25">
      <c r="B85" s="45" t="s">
        <v>125</v>
      </c>
      <c r="C85" s="50">
        <v>1</v>
      </c>
      <c r="D85" s="50">
        <v>0</v>
      </c>
      <c r="E85" s="50">
        <v>0</v>
      </c>
      <c r="F85" s="50">
        <v>1</v>
      </c>
      <c r="G85" s="50">
        <v>0</v>
      </c>
      <c r="H85" s="50">
        <v>0</v>
      </c>
      <c r="I85" s="50">
        <v>2</v>
      </c>
      <c r="J85" s="50">
        <v>0</v>
      </c>
      <c r="K85" s="50">
        <v>0</v>
      </c>
      <c r="L85" s="50">
        <v>0</v>
      </c>
      <c r="M85" s="50">
        <v>0</v>
      </c>
      <c r="N85" s="50">
        <v>0</v>
      </c>
      <c r="O85" s="15">
        <f t="shared" si="35"/>
        <v>4</v>
      </c>
      <c r="P85" s="15">
        <f t="shared" si="36"/>
        <v>4</v>
      </c>
      <c r="R85" s="8"/>
      <c r="T85"/>
    </row>
    <row r="86" spans="2:20" ht="23.1" customHeight="1" x14ac:dyDescent="0.25">
      <c r="B86" s="46" t="s">
        <v>126</v>
      </c>
      <c r="C86" s="50">
        <v>0</v>
      </c>
      <c r="D86" s="50">
        <v>0</v>
      </c>
      <c r="E86" s="50">
        <v>0</v>
      </c>
      <c r="F86" s="50">
        <v>0</v>
      </c>
      <c r="G86" s="50">
        <v>0</v>
      </c>
      <c r="H86" s="50">
        <v>0</v>
      </c>
      <c r="I86" s="50">
        <v>3</v>
      </c>
      <c r="J86" s="50">
        <v>0</v>
      </c>
      <c r="K86" s="50">
        <v>0</v>
      </c>
      <c r="L86" s="50">
        <v>0</v>
      </c>
      <c r="M86" s="50">
        <v>0</v>
      </c>
      <c r="N86" s="50">
        <v>0</v>
      </c>
      <c r="O86" s="15">
        <f t="shared" si="35"/>
        <v>3</v>
      </c>
      <c r="P86" s="15">
        <f t="shared" si="36"/>
        <v>3</v>
      </c>
      <c r="R86" s="8"/>
      <c r="T86"/>
    </row>
    <row r="87" spans="2:20" ht="23.1" customHeight="1" x14ac:dyDescent="0.25">
      <c r="B87" s="45" t="s">
        <v>127</v>
      </c>
      <c r="C87" s="50">
        <v>0</v>
      </c>
      <c r="D87" s="50">
        <v>0</v>
      </c>
      <c r="E87" s="50">
        <v>0</v>
      </c>
      <c r="F87" s="50">
        <v>0</v>
      </c>
      <c r="G87" s="50">
        <v>0</v>
      </c>
      <c r="H87" s="50">
        <v>2</v>
      </c>
      <c r="I87" s="50">
        <v>0</v>
      </c>
      <c r="J87" s="50">
        <v>0</v>
      </c>
      <c r="K87" s="50">
        <v>0</v>
      </c>
      <c r="L87" s="50">
        <v>0</v>
      </c>
      <c r="M87" s="50">
        <v>0</v>
      </c>
      <c r="N87" s="50">
        <v>0</v>
      </c>
      <c r="O87" s="15">
        <f t="shared" si="35"/>
        <v>2</v>
      </c>
      <c r="P87" s="15">
        <f t="shared" si="36"/>
        <v>2</v>
      </c>
      <c r="R87" s="8"/>
      <c r="T87"/>
    </row>
    <row r="88" spans="2:20" ht="23.1" customHeight="1" x14ac:dyDescent="0.25">
      <c r="B88" s="47" t="s">
        <v>128</v>
      </c>
      <c r="C88" s="50">
        <v>0</v>
      </c>
      <c r="D88" s="50">
        <v>0</v>
      </c>
      <c r="E88" s="50">
        <v>0</v>
      </c>
      <c r="F88" s="50">
        <v>0</v>
      </c>
      <c r="G88" s="50">
        <v>0</v>
      </c>
      <c r="H88" s="50">
        <v>0</v>
      </c>
      <c r="I88" s="50">
        <v>3</v>
      </c>
      <c r="J88" s="50">
        <v>0</v>
      </c>
      <c r="K88" s="50">
        <v>0</v>
      </c>
      <c r="L88" s="50">
        <v>1</v>
      </c>
      <c r="M88" s="50">
        <v>0</v>
      </c>
      <c r="N88" s="50">
        <v>0</v>
      </c>
      <c r="O88" s="15">
        <f t="shared" si="35"/>
        <v>4</v>
      </c>
      <c r="P88" s="15">
        <f t="shared" si="36"/>
        <v>4</v>
      </c>
      <c r="R88" s="8"/>
      <c r="T88"/>
    </row>
    <row r="89" spans="2:20" ht="23.1" customHeight="1" x14ac:dyDescent="0.25">
      <c r="B89" s="45" t="s">
        <v>129</v>
      </c>
      <c r="C89" s="50">
        <v>2</v>
      </c>
      <c r="D89" s="50">
        <v>0</v>
      </c>
      <c r="E89" s="50">
        <v>0</v>
      </c>
      <c r="F89" s="50">
        <v>0</v>
      </c>
      <c r="G89" s="50">
        <v>0</v>
      </c>
      <c r="H89" s="50">
        <v>1</v>
      </c>
      <c r="I89" s="50">
        <v>1</v>
      </c>
      <c r="J89" s="50">
        <v>0</v>
      </c>
      <c r="K89" s="50">
        <v>0</v>
      </c>
      <c r="L89" s="50">
        <v>0</v>
      </c>
      <c r="M89" s="50">
        <v>3</v>
      </c>
      <c r="N89" s="50">
        <v>0</v>
      </c>
      <c r="O89" s="15">
        <f t="shared" si="35"/>
        <v>4</v>
      </c>
      <c r="P89" s="15">
        <f t="shared" si="36"/>
        <v>7</v>
      </c>
      <c r="R89" s="8"/>
      <c r="T89"/>
    </row>
    <row r="90" spans="2:20" ht="23.1" customHeight="1" x14ac:dyDescent="0.25">
      <c r="B90" s="46" t="s">
        <v>130</v>
      </c>
      <c r="C90" s="50">
        <v>0</v>
      </c>
      <c r="D90" s="50">
        <v>0</v>
      </c>
      <c r="E90" s="50">
        <v>1</v>
      </c>
      <c r="F90" s="50">
        <v>1</v>
      </c>
      <c r="G90" s="50">
        <v>0</v>
      </c>
      <c r="H90" s="50">
        <v>1</v>
      </c>
      <c r="I90" s="50">
        <v>1</v>
      </c>
      <c r="J90" s="50">
        <v>0</v>
      </c>
      <c r="K90" s="50">
        <v>0</v>
      </c>
      <c r="L90" s="50">
        <v>0</v>
      </c>
      <c r="M90" s="50">
        <v>0</v>
      </c>
      <c r="N90" s="50">
        <v>0</v>
      </c>
      <c r="O90" s="15">
        <f t="shared" si="35"/>
        <v>4</v>
      </c>
      <c r="P90" s="15">
        <f t="shared" si="36"/>
        <v>4</v>
      </c>
      <c r="R90" s="8"/>
      <c r="T90"/>
    </row>
    <row r="91" spans="2:20" ht="23.1" customHeight="1" x14ac:dyDescent="0.25">
      <c r="B91" s="45" t="s">
        <v>131</v>
      </c>
      <c r="C91" s="50">
        <v>0</v>
      </c>
      <c r="D91" s="50">
        <v>1</v>
      </c>
      <c r="E91" s="50">
        <v>0</v>
      </c>
      <c r="F91" s="50">
        <v>0</v>
      </c>
      <c r="G91" s="50">
        <v>0</v>
      </c>
      <c r="H91" s="50">
        <v>1</v>
      </c>
      <c r="I91" s="50">
        <v>3</v>
      </c>
      <c r="J91" s="50">
        <v>0</v>
      </c>
      <c r="K91" s="50">
        <v>0</v>
      </c>
      <c r="L91" s="50">
        <v>0</v>
      </c>
      <c r="M91" s="50">
        <v>0</v>
      </c>
      <c r="N91" s="50">
        <v>0</v>
      </c>
      <c r="O91" s="15">
        <f t="shared" si="35"/>
        <v>5</v>
      </c>
      <c r="P91" s="15">
        <f t="shared" si="36"/>
        <v>5</v>
      </c>
      <c r="R91" s="8"/>
      <c r="T91"/>
    </row>
    <row r="92" spans="2:20" ht="23.1" customHeight="1" x14ac:dyDescent="0.25">
      <c r="B92" s="47" t="s">
        <v>132</v>
      </c>
      <c r="C92" s="50">
        <v>0</v>
      </c>
      <c r="D92" s="50">
        <v>0</v>
      </c>
      <c r="E92" s="50">
        <v>0</v>
      </c>
      <c r="F92" s="50">
        <v>0</v>
      </c>
      <c r="G92" s="50">
        <v>0</v>
      </c>
      <c r="H92" s="50">
        <v>2</v>
      </c>
      <c r="I92" s="50">
        <v>2</v>
      </c>
      <c r="J92" s="50">
        <v>0</v>
      </c>
      <c r="K92" s="50">
        <v>1</v>
      </c>
      <c r="L92" s="50">
        <v>0</v>
      </c>
      <c r="M92" s="50">
        <v>1</v>
      </c>
      <c r="N92" s="50">
        <v>0</v>
      </c>
      <c r="O92" s="15">
        <f t="shared" si="35"/>
        <v>5</v>
      </c>
      <c r="P92" s="15">
        <f t="shared" si="36"/>
        <v>6</v>
      </c>
      <c r="R92" s="8"/>
      <c r="T92"/>
    </row>
    <row r="93" spans="2:20" ht="23.1" customHeight="1" x14ac:dyDescent="0.25">
      <c r="B93" s="45" t="s">
        <v>133</v>
      </c>
      <c r="C93" s="50">
        <v>1</v>
      </c>
      <c r="D93" s="50">
        <v>0</v>
      </c>
      <c r="E93" s="50">
        <v>0</v>
      </c>
      <c r="F93" s="50">
        <v>0</v>
      </c>
      <c r="G93" s="50">
        <v>0</v>
      </c>
      <c r="H93" s="50">
        <v>0</v>
      </c>
      <c r="I93" s="50">
        <v>1</v>
      </c>
      <c r="J93" s="50">
        <v>0</v>
      </c>
      <c r="K93" s="50">
        <v>2</v>
      </c>
      <c r="L93" s="50">
        <v>0</v>
      </c>
      <c r="M93" s="50">
        <v>0</v>
      </c>
      <c r="N93" s="50">
        <v>0</v>
      </c>
      <c r="O93" s="15">
        <f t="shared" si="35"/>
        <v>4</v>
      </c>
      <c r="P93" s="15">
        <f t="shared" si="36"/>
        <v>4</v>
      </c>
      <c r="R93" s="8"/>
      <c r="T93"/>
    </row>
    <row r="94" spans="2:20" ht="23.1" customHeight="1" x14ac:dyDescent="0.25">
      <c r="B94" s="46" t="s">
        <v>134</v>
      </c>
      <c r="C94" s="50">
        <v>0</v>
      </c>
      <c r="D94" s="50">
        <v>0</v>
      </c>
      <c r="E94" s="50">
        <v>0</v>
      </c>
      <c r="F94" s="50">
        <v>0</v>
      </c>
      <c r="G94" s="50">
        <v>0</v>
      </c>
      <c r="H94" s="50">
        <v>1</v>
      </c>
      <c r="I94" s="50">
        <v>1</v>
      </c>
      <c r="J94" s="50">
        <v>0</v>
      </c>
      <c r="K94" s="50">
        <v>0</v>
      </c>
      <c r="L94" s="50">
        <v>0</v>
      </c>
      <c r="M94" s="50">
        <v>1</v>
      </c>
      <c r="N94" s="50">
        <v>0</v>
      </c>
      <c r="O94" s="15">
        <f t="shared" si="35"/>
        <v>2</v>
      </c>
      <c r="P94" s="15">
        <f t="shared" si="36"/>
        <v>3</v>
      </c>
      <c r="R94" s="8"/>
      <c r="T94"/>
    </row>
    <row r="95" spans="2:20" ht="23.1" customHeight="1" x14ac:dyDescent="0.25">
      <c r="B95" s="45" t="s">
        <v>135</v>
      </c>
      <c r="C95" s="50">
        <v>0</v>
      </c>
      <c r="D95" s="50">
        <v>0</v>
      </c>
      <c r="E95" s="50">
        <v>0</v>
      </c>
      <c r="F95" s="50">
        <v>0</v>
      </c>
      <c r="G95" s="50">
        <v>0</v>
      </c>
      <c r="H95" s="50">
        <v>0</v>
      </c>
      <c r="I95" s="50">
        <v>0</v>
      </c>
      <c r="J95" s="50">
        <v>0</v>
      </c>
      <c r="K95" s="50">
        <v>1</v>
      </c>
      <c r="L95" s="50">
        <v>0</v>
      </c>
      <c r="M95" s="50">
        <v>0</v>
      </c>
      <c r="N95" s="50">
        <v>0</v>
      </c>
      <c r="O95" s="15">
        <f t="shared" si="35"/>
        <v>1</v>
      </c>
      <c r="P95" s="15">
        <f t="shared" si="36"/>
        <v>1</v>
      </c>
      <c r="R95" s="8"/>
      <c r="T95"/>
    </row>
    <row r="96" spans="2:20" ht="23.1" customHeight="1" x14ac:dyDescent="0.25">
      <c r="B96" s="47" t="s">
        <v>136</v>
      </c>
      <c r="C96" s="50">
        <v>0</v>
      </c>
      <c r="D96" s="50">
        <v>0</v>
      </c>
      <c r="E96" s="50">
        <v>0</v>
      </c>
      <c r="F96" s="50">
        <v>0</v>
      </c>
      <c r="G96" s="50">
        <v>0</v>
      </c>
      <c r="H96" s="50">
        <v>0</v>
      </c>
      <c r="I96" s="50">
        <v>0</v>
      </c>
      <c r="J96" s="50">
        <v>0</v>
      </c>
      <c r="K96" s="50">
        <v>1</v>
      </c>
      <c r="L96" s="50">
        <v>0</v>
      </c>
      <c r="M96" s="50">
        <v>0</v>
      </c>
      <c r="N96" s="50">
        <v>0</v>
      </c>
      <c r="O96" s="15">
        <f t="shared" si="35"/>
        <v>1</v>
      </c>
      <c r="P96" s="15">
        <f t="shared" si="36"/>
        <v>1</v>
      </c>
      <c r="R96" s="8"/>
      <c r="T96"/>
    </row>
    <row r="97" spans="2:20" ht="23.1" customHeight="1" x14ac:dyDescent="0.25">
      <c r="B97" s="45" t="s">
        <v>137</v>
      </c>
      <c r="C97" s="50">
        <v>0</v>
      </c>
      <c r="D97" s="50">
        <v>0</v>
      </c>
      <c r="E97" s="50">
        <v>0</v>
      </c>
      <c r="F97" s="50">
        <v>1</v>
      </c>
      <c r="G97" s="50">
        <v>0</v>
      </c>
      <c r="H97" s="50">
        <v>1</v>
      </c>
      <c r="I97" s="50">
        <v>2</v>
      </c>
      <c r="J97" s="50">
        <v>0</v>
      </c>
      <c r="K97" s="50">
        <v>0</v>
      </c>
      <c r="L97" s="50">
        <v>0</v>
      </c>
      <c r="M97" s="50">
        <v>0</v>
      </c>
      <c r="N97" s="50">
        <v>0</v>
      </c>
      <c r="O97" s="15">
        <f t="shared" si="35"/>
        <v>4</v>
      </c>
      <c r="P97" s="15">
        <f t="shared" si="36"/>
        <v>4</v>
      </c>
      <c r="R97" s="8"/>
      <c r="T97"/>
    </row>
    <row r="98" spans="2:20" ht="23.1" customHeight="1" x14ac:dyDescent="0.25">
      <c r="B98" s="46" t="s">
        <v>138</v>
      </c>
      <c r="C98" s="50">
        <v>2</v>
      </c>
      <c r="D98" s="50">
        <v>0</v>
      </c>
      <c r="E98" s="50">
        <v>0</v>
      </c>
      <c r="F98" s="50">
        <v>0</v>
      </c>
      <c r="G98" s="50">
        <v>0</v>
      </c>
      <c r="H98" s="50">
        <v>1</v>
      </c>
      <c r="I98" s="50">
        <v>0</v>
      </c>
      <c r="J98" s="50">
        <v>0</v>
      </c>
      <c r="K98" s="50">
        <v>1</v>
      </c>
      <c r="L98" s="50">
        <v>0</v>
      </c>
      <c r="M98" s="50">
        <v>0</v>
      </c>
      <c r="N98" s="50">
        <v>0</v>
      </c>
      <c r="O98" s="15">
        <f t="shared" si="35"/>
        <v>4</v>
      </c>
      <c r="P98" s="15">
        <f t="shared" si="36"/>
        <v>4</v>
      </c>
      <c r="R98" s="8"/>
      <c r="T98"/>
    </row>
    <row r="99" spans="2:20" ht="23.1" customHeight="1" x14ac:dyDescent="0.25">
      <c r="B99" s="45" t="s">
        <v>139</v>
      </c>
      <c r="C99" s="50">
        <v>0</v>
      </c>
      <c r="D99" s="50">
        <v>0</v>
      </c>
      <c r="E99" s="50">
        <v>0</v>
      </c>
      <c r="F99" s="50">
        <v>0</v>
      </c>
      <c r="G99" s="50">
        <v>0</v>
      </c>
      <c r="H99" s="50">
        <v>0</v>
      </c>
      <c r="I99" s="50">
        <v>1</v>
      </c>
      <c r="J99" s="50">
        <v>0</v>
      </c>
      <c r="K99" s="50">
        <v>0</v>
      </c>
      <c r="L99" s="50">
        <v>0</v>
      </c>
      <c r="M99" s="50">
        <v>0</v>
      </c>
      <c r="N99" s="50">
        <v>0</v>
      </c>
      <c r="O99" s="15">
        <f t="shared" si="35"/>
        <v>1</v>
      </c>
      <c r="P99" s="15">
        <f t="shared" si="36"/>
        <v>1</v>
      </c>
      <c r="R99" s="8"/>
      <c r="T99"/>
    </row>
    <row r="100" spans="2:20" ht="23.1" customHeight="1" x14ac:dyDescent="0.25">
      <c r="B100" s="47" t="s">
        <v>140</v>
      </c>
      <c r="C100" s="50">
        <v>4</v>
      </c>
      <c r="D100" s="50">
        <v>1</v>
      </c>
      <c r="E100" s="50">
        <v>0</v>
      </c>
      <c r="F100" s="50">
        <v>2</v>
      </c>
      <c r="G100" s="50">
        <v>0</v>
      </c>
      <c r="H100" s="50">
        <v>0</v>
      </c>
      <c r="I100" s="50">
        <v>0</v>
      </c>
      <c r="J100" s="50">
        <v>0</v>
      </c>
      <c r="K100" s="50">
        <v>0</v>
      </c>
      <c r="L100" s="50">
        <v>0</v>
      </c>
      <c r="M100" s="50">
        <v>0</v>
      </c>
      <c r="N100" s="50">
        <v>0</v>
      </c>
      <c r="O100" s="15">
        <f t="shared" si="35"/>
        <v>7</v>
      </c>
      <c r="P100" s="15">
        <f t="shared" si="36"/>
        <v>7</v>
      </c>
      <c r="R100" s="8"/>
      <c r="T100"/>
    </row>
    <row r="101" spans="2:20" ht="23.1" customHeight="1" x14ac:dyDescent="0.25">
      <c r="B101" s="45" t="s">
        <v>141</v>
      </c>
      <c r="C101" s="50">
        <v>0</v>
      </c>
      <c r="D101" s="50">
        <v>0</v>
      </c>
      <c r="E101" s="50">
        <v>0</v>
      </c>
      <c r="F101" s="50">
        <v>1</v>
      </c>
      <c r="G101" s="50">
        <v>0</v>
      </c>
      <c r="H101" s="50">
        <v>0</v>
      </c>
      <c r="I101" s="50">
        <v>0</v>
      </c>
      <c r="J101" s="50">
        <v>0</v>
      </c>
      <c r="K101" s="50">
        <v>0</v>
      </c>
      <c r="L101" s="50">
        <v>0</v>
      </c>
      <c r="M101" s="50">
        <v>3</v>
      </c>
      <c r="N101" s="50">
        <v>0</v>
      </c>
      <c r="O101" s="15">
        <f t="shared" si="35"/>
        <v>1</v>
      </c>
      <c r="P101" s="15">
        <f t="shared" si="36"/>
        <v>4</v>
      </c>
      <c r="R101" s="8"/>
      <c r="T101"/>
    </row>
    <row r="102" spans="2:20" ht="23.1" customHeight="1" x14ac:dyDescent="0.25">
      <c r="B102" s="46" t="s">
        <v>142</v>
      </c>
      <c r="C102" s="50">
        <v>1</v>
      </c>
      <c r="D102" s="50">
        <v>1</v>
      </c>
      <c r="E102" s="50">
        <v>0</v>
      </c>
      <c r="F102" s="50">
        <v>1</v>
      </c>
      <c r="G102" s="50">
        <v>0</v>
      </c>
      <c r="H102" s="50">
        <v>1</v>
      </c>
      <c r="I102" s="50">
        <v>3</v>
      </c>
      <c r="J102" s="50">
        <v>1</v>
      </c>
      <c r="K102" s="50">
        <v>2</v>
      </c>
      <c r="L102" s="50">
        <v>0</v>
      </c>
      <c r="M102" s="50">
        <v>8</v>
      </c>
      <c r="N102" s="50">
        <v>0</v>
      </c>
      <c r="O102" s="15">
        <f t="shared" si="35"/>
        <v>10</v>
      </c>
      <c r="P102" s="15">
        <f t="shared" si="36"/>
        <v>18</v>
      </c>
      <c r="R102" s="8"/>
      <c r="T102"/>
    </row>
    <row r="103" spans="2:20" ht="23.1" customHeight="1" x14ac:dyDescent="0.25">
      <c r="B103" s="45" t="s">
        <v>143</v>
      </c>
      <c r="C103" s="50">
        <v>0</v>
      </c>
      <c r="D103" s="50">
        <v>0</v>
      </c>
      <c r="E103" s="50">
        <v>1</v>
      </c>
      <c r="F103" s="50">
        <v>1</v>
      </c>
      <c r="G103" s="50">
        <v>0</v>
      </c>
      <c r="H103" s="50">
        <v>0</v>
      </c>
      <c r="I103" s="50">
        <v>2</v>
      </c>
      <c r="J103" s="50">
        <v>0</v>
      </c>
      <c r="K103" s="50">
        <v>0</v>
      </c>
      <c r="L103" s="50">
        <v>0</v>
      </c>
      <c r="M103" s="50">
        <v>2</v>
      </c>
      <c r="N103" s="50">
        <v>0</v>
      </c>
      <c r="O103" s="15">
        <f t="shared" si="35"/>
        <v>4</v>
      </c>
      <c r="P103" s="15">
        <f t="shared" si="36"/>
        <v>6</v>
      </c>
      <c r="R103" s="8"/>
      <c r="T103"/>
    </row>
    <row r="104" spans="2:20" ht="23.1" customHeight="1" x14ac:dyDescent="0.25">
      <c r="B104" s="47" t="s">
        <v>144</v>
      </c>
      <c r="C104" s="50">
        <v>3</v>
      </c>
      <c r="D104" s="50">
        <v>1</v>
      </c>
      <c r="E104" s="50">
        <v>1</v>
      </c>
      <c r="F104" s="50">
        <v>4</v>
      </c>
      <c r="G104" s="50">
        <v>0</v>
      </c>
      <c r="H104" s="50">
        <v>0</v>
      </c>
      <c r="I104" s="50">
        <v>3</v>
      </c>
      <c r="J104" s="50">
        <v>0</v>
      </c>
      <c r="K104" s="50">
        <v>1</v>
      </c>
      <c r="L104" s="50">
        <v>0</v>
      </c>
      <c r="M104" s="50">
        <v>8</v>
      </c>
      <c r="N104" s="50">
        <v>0</v>
      </c>
      <c r="O104" s="15">
        <f t="shared" si="35"/>
        <v>13</v>
      </c>
      <c r="P104" s="15">
        <f t="shared" si="36"/>
        <v>21</v>
      </c>
      <c r="R104" s="8"/>
      <c r="T104"/>
    </row>
    <row r="105" spans="2:20" ht="23.1" customHeight="1" x14ac:dyDescent="0.25">
      <c r="B105" s="45" t="s">
        <v>145</v>
      </c>
      <c r="C105" s="50">
        <v>5</v>
      </c>
      <c r="D105" s="50">
        <v>0</v>
      </c>
      <c r="E105" s="50">
        <v>2</v>
      </c>
      <c r="F105" s="50">
        <v>4</v>
      </c>
      <c r="G105" s="50">
        <v>0</v>
      </c>
      <c r="H105" s="50">
        <v>0</v>
      </c>
      <c r="I105" s="50">
        <v>2</v>
      </c>
      <c r="J105" s="50">
        <v>0</v>
      </c>
      <c r="K105" s="50">
        <v>0</v>
      </c>
      <c r="L105" s="50">
        <v>0</v>
      </c>
      <c r="M105" s="50">
        <v>23</v>
      </c>
      <c r="N105" s="50">
        <v>0</v>
      </c>
      <c r="O105" s="15">
        <f t="shared" si="35"/>
        <v>13</v>
      </c>
      <c r="P105" s="15">
        <f t="shared" si="36"/>
        <v>36</v>
      </c>
      <c r="R105" s="8"/>
      <c r="T105"/>
    </row>
    <row r="106" spans="2:20" ht="23.1" customHeight="1" x14ac:dyDescent="0.25">
      <c r="B106" s="26" t="s">
        <v>18</v>
      </c>
      <c r="C106" s="16">
        <f>SUM(C10:C105)</f>
        <v>257</v>
      </c>
      <c r="D106" s="16">
        <f t="shared" ref="D106:P106" si="37">SUM(D10:D105)</f>
        <v>128</v>
      </c>
      <c r="E106" s="16">
        <f t="shared" si="37"/>
        <v>172</v>
      </c>
      <c r="F106" s="16">
        <f t="shared" si="37"/>
        <v>537</v>
      </c>
      <c r="G106" s="16">
        <f t="shared" si="37"/>
        <v>37</v>
      </c>
      <c r="H106" s="16">
        <f t="shared" si="37"/>
        <v>38</v>
      </c>
      <c r="I106" s="16">
        <f t="shared" si="37"/>
        <v>151</v>
      </c>
      <c r="J106" s="16">
        <f t="shared" si="37"/>
        <v>82</v>
      </c>
      <c r="K106" s="16">
        <f t="shared" si="37"/>
        <v>47</v>
      </c>
      <c r="L106" s="16">
        <f t="shared" si="37"/>
        <v>45</v>
      </c>
      <c r="M106" s="16">
        <f t="shared" si="37"/>
        <v>693</v>
      </c>
      <c r="N106" s="16">
        <f t="shared" si="37"/>
        <v>3</v>
      </c>
      <c r="O106" s="16">
        <f t="shared" si="37"/>
        <v>1497</v>
      </c>
      <c r="P106" s="16">
        <f t="shared" si="37"/>
        <v>2190</v>
      </c>
      <c r="R106" s="8"/>
      <c r="T106"/>
    </row>
    <row r="107" spans="2:20" ht="23.1" customHeight="1" x14ac:dyDescent="0.25">
      <c r="B107" s="26" t="s">
        <v>93</v>
      </c>
      <c r="C107" s="43">
        <f t="shared" ref="C107:N107" si="38">C106/$P$106</f>
        <v>0.11735159817351598</v>
      </c>
      <c r="D107" s="43">
        <f t="shared" si="38"/>
        <v>5.8447488584474884E-2</v>
      </c>
      <c r="E107" s="43">
        <f t="shared" si="38"/>
        <v>7.8538812785388129E-2</v>
      </c>
      <c r="F107" s="43">
        <f t="shared" si="38"/>
        <v>0.24520547945205479</v>
      </c>
      <c r="G107" s="43">
        <f t="shared" si="38"/>
        <v>1.6894977168949773E-2</v>
      </c>
      <c r="H107" s="43">
        <f t="shared" si="38"/>
        <v>1.7351598173515982E-2</v>
      </c>
      <c r="I107" s="43">
        <f t="shared" si="38"/>
        <v>6.8949771689497716E-2</v>
      </c>
      <c r="J107" s="43">
        <f t="shared" si="38"/>
        <v>3.744292237442922E-2</v>
      </c>
      <c r="K107" s="43">
        <f t="shared" si="38"/>
        <v>2.1461187214611873E-2</v>
      </c>
      <c r="L107" s="43">
        <f t="shared" si="38"/>
        <v>2.0547945205479451E-2</v>
      </c>
      <c r="M107" s="43">
        <f t="shared" si="38"/>
        <v>0.31643835616438354</v>
      </c>
      <c r="N107" s="43">
        <f t="shared" si="38"/>
        <v>1.3698630136986301E-3</v>
      </c>
      <c r="R107" s="8"/>
      <c r="T107"/>
    </row>
    <row r="108" spans="2:20" ht="23.1" customHeight="1" x14ac:dyDescent="0.25">
      <c r="B108" s="42" t="s">
        <v>94</v>
      </c>
      <c r="C108" s="44">
        <f>C106/$O$106</f>
        <v>0.17167668670674682</v>
      </c>
      <c r="D108" s="44">
        <f t="shared" ref="D108:N108" si="39">D106/$O$106</f>
        <v>8.5504342017368076E-2</v>
      </c>
      <c r="E108" s="44">
        <f t="shared" si="39"/>
        <v>0.11489645958583834</v>
      </c>
      <c r="F108" s="44">
        <f t="shared" si="39"/>
        <v>0.3587174348697395</v>
      </c>
      <c r="G108" s="44">
        <f t="shared" si="39"/>
        <v>2.4716098864395457E-2</v>
      </c>
      <c r="H108" s="44">
        <f t="shared" si="39"/>
        <v>2.5384101536406144E-2</v>
      </c>
      <c r="I108" s="44">
        <f t="shared" si="39"/>
        <v>0.10086840347361389</v>
      </c>
      <c r="J108" s="44">
        <f t="shared" si="39"/>
        <v>5.4776219104876421E-2</v>
      </c>
      <c r="K108" s="44">
        <f t="shared" si="39"/>
        <v>3.1396125584502339E-2</v>
      </c>
      <c r="L108" s="44">
        <f t="shared" si="39"/>
        <v>3.0060120240480961E-2</v>
      </c>
      <c r="M108" s="44"/>
      <c r="N108" s="44">
        <f t="shared" si="39"/>
        <v>2.004008016032064E-3</v>
      </c>
      <c r="Q108" s="7"/>
      <c r="R108" s="8"/>
      <c r="T108"/>
    </row>
    <row r="109" spans="2:20" ht="23.1" customHeight="1" x14ac:dyDescent="0.25">
      <c r="B109" s="3"/>
      <c r="C109" s="18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Q109" s="7"/>
      <c r="R109" s="8"/>
      <c r="T109"/>
    </row>
    <row r="110" spans="2:20" ht="23.1" customHeight="1" x14ac:dyDescent="0.25">
      <c r="B110" s="3"/>
      <c r="C110" s="18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Q110" s="7"/>
      <c r="R110" s="8"/>
      <c r="T110"/>
    </row>
    <row r="111" spans="2:20" ht="23.1" customHeight="1" x14ac:dyDescent="0.25">
      <c r="B111" s="3"/>
      <c r="C111" s="18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Q111" s="7"/>
    </row>
    <row r="112" spans="2:20" ht="23.1" customHeight="1" x14ac:dyDescent="0.25">
      <c r="B112" s="3"/>
      <c r="C112" s="18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Q112" s="7"/>
    </row>
    <row r="113" spans="2:20" s="7" customFormat="1" ht="23.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/>
      <c r="P113"/>
      <c r="S113" s="8"/>
      <c r="T113" s="8"/>
    </row>
    <row r="114" spans="2:20" s="7" customFormat="1" ht="23.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/>
      <c r="P114"/>
      <c r="S114" s="8"/>
      <c r="T114" s="8"/>
    </row>
    <row r="115" spans="2:20" s="7" customFormat="1" ht="23.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/>
      <c r="P115"/>
      <c r="S115" s="8"/>
      <c r="T115" s="8"/>
    </row>
    <row r="116" spans="2:20" s="7" customFormat="1" ht="23.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/>
      <c r="P116"/>
      <c r="S116" s="8"/>
      <c r="T116" s="8"/>
    </row>
    <row r="117" spans="2:20" s="7" customFormat="1" ht="23.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/>
      <c r="P117"/>
      <c r="S117" s="8"/>
      <c r="T117" s="8"/>
    </row>
    <row r="118" spans="2:20" s="7" customFormat="1" ht="23.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/>
      <c r="P118"/>
      <c r="S118" s="8"/>
      <c r="T118" s="8"/>
    </row>
    <row r="119" spans="2:20" s="7" customFormat="1" ht="23.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/>
      <c r="P119"/>
      <c r="S119" s="8"/>
      <c r="T119" s="8"/>
    </row>
    <row r="120" spans="2:20" s="7" customFormat="1" ht="23.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/>
      <c r="P120"/>
      <c r="S120" s="8"/>
      <c r="T120" s="8"/>
    </row>
    <row r="121" spans="2:20" s="7" customFormat="1" ht="23.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/>
      <c r="P121"/>
      <c r="S121" s="8"/>
      <c r="T121" s="8"/>
    </row>
    <row r="122" spans="2:20" s="7" customFormat="1" ht="23.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/>
      <c r="P122"/>
      <c r="S122" s="8"/>
      <c r="T122" s="8"/>
    </row>
    <row r="123" spans="2:20" s="7" customFormat="1" ht="23.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/>
      <c r="P123"/>
      <c r="S123" s="8"/>
      <c r="T123" s="8"/>
    </row>
    <row r="124" spans="2:20" s="7" customFormat="1" ht="23.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/>
      <c r="P124"/>
      <c r="S124" s="8"/>
      <c r="T124" s="8"/>
    </row>
    <row r="125" spans="2:20" s="7" customFormat="1" ht="23.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/>
      <c r="P125"/>
      <c r="Q125"/>
      <c r="S125" s="8"/>
      <c r="T125" s="8"/>
    </row>
    <row r="126" spans="2:20" s="7" customFormat="1" ht="23.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/>
      <c r="P126"/>
      <c r="Q126"/>
      <c r="S126" s="8"/>
      <c r="T126" s="8"/>
    </row>
    <row r="127" spans="2:20" s="7" customFormat="1" ht="23.1" customHeight="1" x14ac:dyDescent="0.25"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/>
      <c r="P127"/>
      <c r="Q127"/>
      <c r="S127" s="8"/>
      <c r="T127" s="8"/>
    </row>
    <row r="128" spans="2:20" s="7" customFormat="1" ht="23.1" customHeight="1" x14ac:dyDescent="0.25"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/>
      <c r="P128"/>
      <c r="Q128"/>
      <c r="S128" s="8"/>
      <c r="T128" s="8"/>
    </row>
    <row r="129" spans="2:14" ht="23.1" customHeight="1" x14ac:dyDescent="0.25"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</row>
    <row r="130" spans="2:14" ht="23.1" customHeight="1" x14ac:dyDescent="0.25"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</row>
    <row r="131" spans="2:14" ht="23.1" customHeight="1" x14ac:dyDescent="0.25"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</row>
    <row r="132" spans="2:14" ht="23.1" customHeight="1" x14ac:dyDescent="0.25"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</row>
    <row r="133" spans="2:14" ht="23.1" customHeight="1" x14ac:dyDescent="0.25"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</row>
    <row r="134" spans="2:14" ht="23.1" customHeight="1" x14ac:dyDescent="0.25"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</row>
    <row r="135" spans="2:14" ht="23.1" customHeight="1" x14ac:dyDescent="0.25"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</row>
    <row r="136" spans="2:14" ht="23.1" customHeight="1" x14ac:dyDescent="0.25"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</row>
    <row r="137" spans="2:14" ht="23.1" customHeight="1" x14ac:dyDescent="0.25"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</row>
    <row r="138" spans="2:14" ht="23.1" customHeight="1" x14ac:dyDescent="0.25"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</row>
    <row r="139" spans="2:14" ht="23.1" customHeight="1" x14ac:dyDescent="0.25"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</row>
    <row r="140" spans="2:14" ht="23.1" customHeight="1" x14ac:dyDescent="0.25"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</row>
    <row r="141" spans="2:14" ht="23.1" customHeight="1" x14ac:dyDescent="0.25"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</row>
    <row r="142" spans="2:14" ht="23.1" customHeight="1" x14ac:dyDescent="0.25"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</row>
    <row r="143" spans="2:14" ht="23.1" customHeight="1" x14ac:dyDescent="0.25"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</row>
    <row r="144" spans="2:14" ht="23.1" customHeight="1" x14ac:dyDescent="0.25"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</row>
    <row r="145" spans="2:14" ht="23.1" customHeight="1" x14ac:dyDescent="0.25"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</row>
    <row r="146" spans="2:14" ht="23.1" customHeight="1" x14ac:dyDescent="0.25"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</row>
    <row r="147" spans="2:14" ht="23.1" customHeight="1" x14ac:dyDescent="0.25"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</row>
    <row r="148" spans="2:14" ht="23.1" customHeight="1" x14ac:dyDescent="0.25"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</row>
    <row r="149" spans="2:14" ht="23.1" customHeight="1" x14ac:dyDescent="0.25"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</row>
    <row r="150" spans="2:14" ht="23.1" customHeight="1" x14ac:dyDescent="0.25"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</row>
    <row r="151" spans="2:14" ht="23.1" customHeight="1" x14ac:dyDescent="0.25"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</row>
    <row r="152" spans="2:14" ht="23.1" customHeight="1" x14ac:dyDescent="0.25"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</row>
    <row r="153" spans="2:14" ht="23.1" customHeight="1" x14ac:dyDescent="0.25"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</row>
    <row r="154" spans="2:14" ht="23.1" customHeight="1" x14ac:dyDescent="0.25"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</row>
    <row r="155" spans="2:14" ht="23.1" customHeight="1" x14ac:dyDescent="0.25"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</row>
    <row r="156" spans="2:14" ht="23.1" customHeight="1" x14ac:dyDescent="0.25"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</row>
    <row r="157" spans="2:14" ht="23.1" customHeight="1" x14ac:dyDescent="0.25"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</row>
    <row r="158" spans="2:14" ht="23.1" customHeight="1" x14ac:dyDescent="0.25"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</row>
    <row r="159" spans="2:14" ht="23.1" customHeight="1" x14ac:dyDescent="0.25"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</row>
    <row r="160" spans="2:14" ht="23.1" customHeight="1" x14ac:dyDescent="0.25"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</row>
    <row r="161" spans="2:14" ht="23.1" customHeight="1" x14ac:dyDescent="0.25"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</row>
    <row r="162" spans="2:14" ht="23.1" customHeight="1" x14ac:dyDescent="0.25"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</row>
    <row r="163" spans="2:14" ht="23.1" customHeight="1" x14ac:dyDescent="0.25"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</row>
    <row r="164" spans="2:14" ht="23.1" customHeight="1" x14ac:dyDescent="0.25"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</row>
    <row r="165" spans="2:14" ht="23.1" customHeight="1" x14ac:dyDescent="0.25"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</row>
    <row r="166" spans="2:14" ht="23.1" customHeight="1" x14ac:dyDescent="0.25"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</row>
    <row r="167" spans="2:14" ht="23.1" customHeight="1" x14ac:dyDescent="0.25"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</row>
    <row r="168" spans="2:14" ht="23.1" customHeight="1" x14ac:dyDescent="0.25"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</row>
    <row r="169" spans="2:14" ht="23.1" customHeight="1" x14ac:dyDescent="0.25"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</row>
    <row r="170" spans="2:14" ht="23.1" customHeight="1" x14ac:dyDescent="0.25"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</row>
    <row r="171" spans="2:14" ht="23.1" customHeight="1" x14ac:dyDescent="0.25"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</row>
    <row r="172" spans="2:14" ht="23.1" customHeight="1" x14ac:dyDescent="0.25"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</row>
    <row r="173" spans="2:14" ht="23.1" customHeight="1" x14ac:dyDescent="0.25"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</row>
    <row r="174" spans="2:14" ht="23.1" customHeight="1" x14ac:dyDescent="0.25"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AF126"/>
  <sheetViews>
    <sheetView view="pageBreakPreview" zoomScale="70" zoomScaleSheetLayoutView="70" workbookViewId="0">
      <selection activeCell="C3" sqref="C3:G3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60" t="s">
        <v>23</v>
      </c>
      <c r="C1" s="60"/>
      <c r="D1" s="60"/>
      <c r="E1" s="60"/>
      <c r="F1" s="60"/>
      <c r="G1" s="60"/>
      <c r="H1" s="60"/>
      <c r="I1" s="60"/>
      <c r="J1" s="60"/>
      <c r="K1" s="60"/>
      <c r="L1" s="60"/>
      <c r="M1" s="60"/>
      <c r="N1" s="60"/>
      <c r="O1" s="60"/>
      <c r="P1" s="60"/>
      <c r="Q1" s="60"/>
      <c r="R1" s="60"/>
      <c r="S1" s="60"/>
      <c r="T1" s="60"/>
      <c r="U1" s="60"/>
      <c r="V1" s="60"/>
      <c r="W1" s="60"/>
      <c r="X1" s="60"/>
      <c r="Y1" s="60"/>
      <c r="Z1" s="60"/>
      <c r="AA1" s="60"/>
      <c r="AB1" s="60"/>
      <c r="AC1" s="60"/>
      <c r="AD1" s="60"/>
      <c r="AE1" s="60"/>
    </row>
    <row r="2" spans="2:32" ht="20.100000000000001" customHeight="1" x14ac:dyDescent="0.25">
      <c r="B2" s="61" t="s">
        <v>95</v>
      </c>
      <c r="C2" s="61"/>
      <c r="D2" s="61"/>
      <c r="E2" s="61"/>
      <c r="F2" s="61"/>
      <c r="G2" s="61"/>
      <c r="H2" s="61"/>
      <c r="I2" s="61"/>
      <c r="J2" s="61"/>
      <c r="K2" s="61"/>
      <c r="L2" s="61"/>
      <c r="M2" s="61"/>
      <c r="N2" s="61"/>
      <c r="O2" s="61"/>
      <c r="P2" s="61"/>
      <c r="Q2" s="61"/>
      <c r="R2" s="61"/>
      <c r="S2" s="61"/>
      <c r="T2" s="61"/>
      <c r="U2" s="61"/>
      <c r="V2" s="61"/>
      <c r="W2" s="61"/>
      <c r="X2" s="61"/>
      <c r="Y2" s="61"/>
      <c r="Z2" s="61"/>
      <c r="AA2" s="61"/>
      <c r="AB2" s="61"/>
      <c r="AC2" s="61"/>
      <c r="AD2" s="61"/>
      <c r="AE2" s="61"/>
    </row>
    <row r="3" spans="2:32" ht="20.100000000000001" customHeight="1" x14ac:dyDescent="0.25">
      <c r="B3" s="22" t="s">
        <v>96</v>
      </c>
      <c r="C3" s="62" t="str">
        <f>'17.10 Busembatya-Butongole'!C3:G3</f>
        <v>BUSEMBATYA-BUTONGOLE</v>
      </c>
      <c r="D3" s="62"/>
      <c r="E3" s="62"/>
      <c r="F3" s="62"/>
      <c r="G3" s="62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51" t="s">
        <v>178</v>
      </c>
      <c r="E5" s="3"/>
      <c r="F5" s="41" t="s">
        <v>1</v>
      </c>
      <c r="G5" s="57" t="str">
        <f>'20.10 Butongole-Busembatya'!G5:H5</f>
        <v>NAMALEMBA</v>
      </c>
      <c r="H5" s="58"/>
      <c r="I5" s="14"/>
      <c r="J5" s="2" t="s">
        <v>5</v>
      </c>
      <c r="K5" s="57" t="s">
        <v>177</v>
      </c>
      <c r="L5" s="58"/>
      <c r="M5" s="10"/>
      <c r="N5" s="10"/>
      <c r="O5" s="3"/>
      <c r="P5" s="3"/>
    </row>
    <row r="6" spans="2:32" ht="23.25" customHeight="1" x14ac:dyDescent="0.25">
      <c r="C6" s="2" t="s">
        <v>4</v>
      </c>
      <c r="D6" s="57" t="str">
        <f>'17.10 Busembatya-Butongole'!D6:E6</f>
        <v>BUSEMBATYA</v>
      </c>
      <c r="E6" s="58"/>
      <c r="F6" s="2" t="s">
        <v>2</v>
      </c>
      <c r="G6" s="57" t="str">
        <f>'17.10 Busembatya-Butongole'!G6:H6</f>
        <v>BUTONGOLE</v>
      </c>
      <c r="H6" s="58"/>
      <c r="J6" s="2" t="s">
        <v>21</v>
      </c>
      <c r="K6" s="57" t="s">
        <v>177</v>
      </c>
      <c r="L6" s="58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9" t="s">
        <v>88</v>
      </c>
      <c r="S8" s="59"/>
      <c r="T8" s="59"/>
      <c r="U8" s="59"/>
      <c r="V8" s="59"/>
      <c r="W8" s="59"/>
      <c r="X8" s="59"/>
      <c r="Y8" s="59"/>
      <c r="Z8" s="59"/>
      <c r="AA8" s="59"/>
      <c r="AB8" s="59"/>
      <c r="AC8" s="59"/>
      <c r="AD8" s="59"/>
      <c r="AE8" s="59"/>
      <c r="AF8" s="59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50">
        <v>4</v>
      </c>
      <c r="D10" s="50">
        <v>2</v>
      </c>
      <c r="E10" s="50">
        <v>1</v>
      </c>
      <c r="F10" s="50">
        <v>5</v>
      </c>
      <c r="G10" s="50">
        <v>0</v>
      </c>
      <c r="H10" s="50">
        <v>1</v>
      </c>
      <c r="I10" s="50">
        <v>1</v>
      </c>
      <c r="J10" s="50">
        <v>0</v>
      </c>
      <c r="K10" s="50">
        <v>0</v>
      </c>
      <c r="L10" s="50">
        <v>1</v>
      </c>
      <c r="M10" s="50">
        <v>11</v>
      </c>
      <c r="N10" s="50">
        <v>0</v>
      </c>
      <c r="O10" s="15">
        <f t="shared" ref="O10:O57" si="0">SUM(C10:L10,N10)</f>
        <v>15</v>
      </c>
      <c r="P10" s="15">
        <f t="shared" ref="P10:P57" si="1">SUM(C10:N10)</f>
        <v>26</v>
      </c>
      <c r="R10" s="1" t="s">
        <v>6</v>
      </c>
      <c r="S10" s="17">
        <f t="shared" ref="S10:AF10" si="2">SUM(C10:C13)</f>
        <v>10</v>
      </c>
      <c r="T10" s="17">
        <f t="shared" si="2"/>
        <v>4</v>
      </c>
      <c r="U10" s="17">
        <f t="shared" si="2"/>
        <v>5</v>
      </c>
      <c r="V10" s="17">
        <f t="shared" si="2"/>
        <v>25</v>
      </c>
      <c r="W10" s="17">
        <f t="shared" si="2"/>
        <v>1</v>
      </c>
      <c r="X10" s="17">
        <f t="shared" si="2"/>
        <v>1</v>
      </c>
      <c r="Y10" s="17">
        <f t="shared" si="2"/>
        <v>5</v>
      </c>
      <c r="Z10" s="17">
        <f t="shared" si="2"/>
        <v>4</v>
      </c>
      <c r="AA10" s="17">
        <f t="shared" si="2"/>
        <v>2</v>
      </c>
      <c r="AB10" s="17">
        <f t="shared" si="2"/>
        <v>2</v>
      </c>
      <c r="AC10" s="17">
        <f t="shared" si="2"/>
        <v>37</v>
      </c>
      <c r="AD10" s="17">
        <f t="shared" si="2"/>
        <v>0</v>
      </c>
      <c r="AE10" s="31">
        <f t="shared" si="2"/>
        <v>59</v>
      </c>
      <c r="AF10" s="31">
        <f t="shared" si="2"/>
        <v>96</v>
      </c>
    </row>
    <row r="11" spans="2:32" s="6" customFormat="1" ht="23.1" customHeight="1" x14ac:dyDescent="0.25">
      <c r="B11" s="23" t="s">
        <v>38</v>
      </c>
      <c r="C11" s="50">
        <v>2</v>
      </c>
      <c r="D11" s="50">
        <v>1</v>
      </c>
      <c r="E11" s="50">
        <v>2</v>
      </c>
      <c r="F11" s="50">
        <v>8</v>
      </c>
      <c r="G11" s="50">
        <v>0</v>
      </c>
      <c r="H11" s="50">
        <v>0</v>
      </c>
      <c r="I11" s="50">
        <v>3</v>
      </c>
      <c r="J11" s="50">
        <v>0</v>
      </c>
      <c r="K11" s="50">
        <v>2</v>
      </c>
      <c r="L11" s="50">
        <v>0</v>
      </c>
      <c r="M11" s="50">
        <v>15</v>
      </c>
      <c r="N11" s="50">
        <v>0</v>
      </c>
      <c r="O11" s="15">
        <f t="shared" si="0"/>
        <v>18</v>
      </c>
      <c r="P11" s="15">
        <f t="shared" si="1"/>
        <v>33</v>
      </c>
      <c r="R11" s="1" t="s">
        <v>7</v>
      </c>
      <c r="S11" s="17">
        <f t="shared" ref="S11:AF11" si="3">SUM(C14:C17)</f>
        <v>7</v>
      </c>
      <c r="T11" s="17">
        <f t="shared" si="3"/>
        <v>5</v>
      </c>
      <c r="U11" s="17">
        <f t="shared" si="3"/>
        <v>9</v>
      </c>
      <c r="V11" s="17">
        <f t="shared" si="3"/>
        <v>29</v>
      </c>
      <c r="W11" s="17">
        <f t="shared" si="3"/>
        <v>3</v>
      </c>
      <c r="X11" s="17">
        <f t="shared" si="3"/>
        <v>0</v>
      </c>
      <c r="Y11" s="17">
        <f t="shared" si="3"/>
        <v>2</v>
      </c>
      <c r="Z11" s="17">
        <f t="shared" si="3"/>
        <v>5</v>
      </c>
      <c r="AA11" s="17">
        <f t="shared" si="3"/>
        <v>0</v>
      </c>
      <c r="AB11" s="17">
        <f t="shared" si="3"/>
        <v>5</v>
      </c>
      <c r="AC11" s="17">
        <f t="shared" si="3"/>
        <v>32</v>
      </c>
      <c r="AD11" s="17">
        <f t="shared" si="3"/>
        <v>0</v>
      </c>
      <c r="AE11" s="31">
        <f t="shared" si="3"/>
        <v>65</v>
      </c>
      <c r="AF11" s="31">
        <f t="shared" si="3"/>
        <v>97</v>
      </c>
    </row>
    <row r="12" spans="2:32" ht="23.1" customHeight="1" x14ac:dyDescent="0.25">
      <c r="B12" s="23" t="s">
        <v>39</v>
      </c>
      <c r="C12" s="50">
        <v>3</v>
      </c>
      <c r="D12" s="50">
        <v>1</v>
      </c>
      <c r="E12" s="50">
        <v>1</v>
      </c>
      <c r="F12" s="50">
        <v>10</v>
      </c>
      <c r="G12" s="50">
        <v>0</v>
      </c>
      <c r="H12" s="50">
        <v>0</v>
      </c>
      <c r="I12" s="50">
        <v>1</v>
      </c>
      <c r="J12" s="50">
        <v>2</v>
      </c>
      <c r="K12" s="50">
        <v>0</v>
      </c>
      <c r="L12" s="50">
        <v>0</v>
      </c>
      <c r="M12" s="50">
        <v>7</v>
      </c>
      <c r="N12" s="50">
        <v>0</v>
      </c>
      <c r="O12" s="15">
        <f t="shared" si="0"/>
        <v>18</v>
      </c>
      <c r="P12" s="15">
        <f t="shared" si="1"/>
        <v>25</v>
      </c>
      <c r="R12" s="1" t="s">
        <v>8</v>
      </c>
      <c r="S12" s="17">
        <f t="shared" ref="S12:AF12" si="4">SUM(C18:C21)</f>
        <v>9</v>
      </c>
      <c r="T12" s="17">
        <f t="shared" si="4"/>
        <v>4</v>
      </c>
      <c r="U12" s="17">
        <f t="shared" si="4"/>
        <v>7</v>
      </c>
      <c r="V12" s="17">
        <f t="shared" si="4"/>
        <v>38</v>
      </c>
      <c r="W12" s="17">
        <f t="shared" si="4"/>
        <v>0</v>
      </c>
      <c r="X12" s="17">
        <f t="shared" si="4"/>
        <v>1</v>
      </c>
      <c r="Y12" s="17">
        <f t="shared" si="4"/>
        <v>5</v>
      </c>
      <c r="Z12" s="17">
        <f t="shared" si="4"/>
        <v>3</v>
      </c>
      <c r="AA12" s="17">
        <f t="shared" si="4"/>
        <v>2</v>
      </c>
      <c r="AB12" s="17">
        <f t="shared" si="4"/>
        <v>4</v>
      </c>
      <c r="AC12" s="17">
        <f t="shared" si="4"/>
        <v>40</v>
      </c>
      <c r="AD12" s="17">
        <f t="shared" si="4"/>
        <v>0</v>
      </c>
      <c r="AE12" s="31">
        <f t="shared" si="4"/>
        <v>73</v>
      </c>
      <c r="AF12" s="31">
        <f t="shared" si="4"/>
        <v>113</v>
      </c>
    </row>
    <row r="13" spans="2:32" ht="23.1" customHeight="1" x14ac:dyDescent="0.25">
      <c r="B13" s="23" t="s">
        <v>40</v>
      </c>
      <c r="C13" s="50">
        <v>1</v>
      </c>
      <c r="D13" s="50">
        <v>0</v>
      </c>
      <c r="E13" s="50">
        <v>1</v>
      </c>
      <c r="F13" s="50">
        <v>2</v>
      </c>
      <c r="G13" s="50">
        <v>1</v>
      </c>
      <c r="H13" s="50">
        <v>0</v>
      </c>
      <c r="I13" s="50">
        <v>0</v>
      </c>
      <c r="J13" s="50">
        <v>2</v>
      </c>
      <c r="K13" s="50">
        <v>0</v>
      </c>
      <c r="L13" s="50">
        <v>1</v>
      </c>
      <c r="M13" s="50">
        <v>4</v>
      </c>
      <c r="N13" s="50">
        <v>0</v>
      </c>
      <c r="O13" s="15">
        <f t="shared" si="0"/>
        <v>8</v>
      </c>
      <c r="P13" s="15">
        <f t="shared" si="1"/>
        <v>12</v>
      </c>
      <c r="R13" s="1" t="s">
        <v>9</v>
      </c>
      <c r="S13" s="17">
        <f t="shared" ref="S13:AF13" si="5">SUM(C22:C25)</f>
        <v>15</v>
      </c>
      <c r="T13" s="17">
        <f t="shared" si="5"/>
        <v>3</v>
      </c>
      <c r="U13" s="17">
        <f t="shared" si="5"/>
        <v>4</v>
      </c>
      <c r="V13" s="17">
        <f t="shared" si="5"/>
        <v>41</v>
      </c>
      <c r="W13" s="17">
        <f t="shared" si="5"/>
        <v>0</v>
      </c>
      <c r="X13" s="17">
        <f t="shared" si="5"/>
        <v>1</v>
      </c>
      <c r="Y13" s="17">
        <f t="shared" si="5"/>
        <v>2</v>
      </c>
      <c r="Z13" s="17">
        <f t="shared" si="5"/>
        <v>0</v>
      </c>
      <c r="AA13" s="17">
        <f t="shared" si="5"/>
        <v>1</v>
      </c>
      <c r="AB13" s="17">
        <f t="shared" si="5"/>
        <v>4</v>
      </c>
      <c r="AC13" s="17">
        <f t="shared" si="5"/>
        <v>41</v>
      </c>
      <c r="AD13" s="17">
        <f t="shared" si="5"/>
        <v>0</v>
      </c>
      <c r="AE13" s="31">
        <f t="shared" si="5"/>
        <v>71</v>
      </c>
      <c r="AF13" s="31">
        <f t="shared" si="5"/>
        <v>112</v>
      </c>
    </row>
    <row r="14" spans="2:32" ht="23.1" customHeight="1" x14ac:dyDescent="0.25">
      <c r="B14" s="23" t="s">
        <v>41</v>
      </c>
      <c r="C14" s="50">
        <v>1</v>
      </c>
      <c r="D14" s="50">
        <v>0</v>
      </c>
      <c r="E14" s="50">
        <v>0</v>
      </c>
      <c r="F14" s="50">
        <v>7</v>
      </c>
      <c r="G14" s="50">
        <v>0</v>
      </c>
      <c r="H14" s="50">
        <v>0</v>
      </c>
      <c r="I14" s="50">
        <v>0</v>
      </c>
      <c r="J14" s="50">
        <v>0</v>
      </c>
      <c r="K14" s="50">
        <v>0</v>
      </c>
      <c r="L14" s="50">
        <v>1</v>
      </c>
      <c r="M14" s="50">
        <v>4</v>
      </c>
      <c r="N14" s="50">
        <v>0</v>
      </c>
      <c r="O14" s="15">
        <f t="shared" si="0"/>
        <v>9</v>
      </c>
      <c r="P14" s="15">
        <f t="shared" si="1"/>
        <v>13</v>
      </c>
      <c r="R14" s="1" t="s">
        <v>10</v>
      </c>
      <c r="S14" s="17">
        <f t="shared" ref="S14:AF14" si="6">SUM(C26:C29)</f>
        <v>12</v>
      </c>
      <c r="T14" s="17">
        <f t="shared" si="6"/>
        <v>4</v>
      </c>
      <c r="U14" s="17">
        <f t="shared" si="6"/>
        <v>6</v>
      </c>
      <c r="V14" s="17">
        <f t="shared" si="6"/>
        <v>35</v>
      </c>
      <c r="W14" s="17">
        <f t="shared" si="6"/>
        <v>1</v>
      </c>
      <c r="X14" s="17">
        <f t="shared" si="6"/>
        <v>1</v>
      </c>
      <c r="Y14" s="17">
        <f t="shared" si="6"/>
        <v>8</v>
      </c>
      <c r="Z14" s="17">
        <f t="shared" si="6"/>
        <v>5</v>
      </c>
      <c r="AA14" s="17">
        <f t="shared" si="6"/>
        <v>1</v>
      </c>
      <c r="AB14" s="17">
        <f t="shared" si="6"/>
        <v>0</v>
      </c>
      <c r="AC14" s="17">
        <f t="shared" si="6"/>
        <v>29</v>
      </c>
      <c r="AD14" s="17">
        <f t="shared" si="6"/>
        <v>0</v>
      </c>
      <c r="AE14" s="31">
        <f t="shared" si="6"/>
        <v>73</v>
      </c>
      <c r="AF14" s="31">
        <f t="shared" si="6"/>
        <v>102</v>
      </c>
    </row>
    <row r="15" spans="2:32" ht="23.1" customHeight="1" x14ac:dyDescent="0.25">
      <c r="B15" s="23" t="s">
        <v>42</v>
      </c>
      <c r="C15" s="50">
        <v>0</v>
      </c>
      <c r="D15" s="50">
        <v>2</v>
      </c>
      <c r="E15" s="50">
        <v>1</v>
      </c>
      <c r="F15" s="50">
        <v>6</v>
      </c>
      <c r="G15" s="50">
        <v>2</v>
      </c>
      <c r="H15" s="50">
        <v>0</v>
      </c>
      <c r="I15" s="50">
        <v>0</v>
      </c>
      <c r="J15" s="50">
        <v>0</v>
      </c>
      <c r="K15" s="50">
        <v>0</v>
      </c>
      <c r="L15" s="50">
        <v>0</v>
      </c>
      <c r="M15" s="50">
        <v>7</v>
      </c>
      <c r="N15" s="50">
        <v>0</v>
      </c>
      <c r="O15" s="15">
        <f t="shared" si="0"/>
        <v>11</v>
      </c>
      <c r="P15" s="15">
        <f t="shared" si="1"/>
        <v>18</v>
      </c>
      <c r="R15" s="1" t="s">
        <v>11</v>
      </c>
      <c r="S15" s="17">
        <f t="shared" ref="S15:AF15" si="7">SUM(C30:C33)</f>
        <v>15</v>
      </c>
      <c r="T15" s="17">
        <f t="shared" si="7"/>
        <v>5</v>
      </c>
      <c r="U15" s="17">
        <f t="shared" si="7"/>
        <v>3</v>
      </c>
      <c r="V15" s="17">
        <f t="shared" si="7"/>
        <v>42</v>
      </c>
      <c r="W15" s="17">
        <f t="shared" si="7"/>
        <v>0</v>
      </c>
      <c r="X15" s="17">
        <f t="shared" si="7"/>
        <v>1</v>
      </c>
      <c r="Y15" s="17">
        <f t="shared" si="7"/>
        <v>4</v>
      </c>
      <c r="Z15" s="17">
        <f t="shared" si="7"/>
        <v>5</v>
      </c>
      <c r="AA15" s="17">
        <f t="shared" si="7"/>
        <v>1</v>
      </c>
      <c r="AB15" s="17">
        <f t="shared" si="7"/>
        <v>6</v>
      </c>
      <c r="AC15" s="17">
        <f t="shared" si="7"/>
        <v>45</v>
      </c>
      <c r="AD15" s="17">
        <f t="shared" si="7"/>
        <v>0</v>
      </c>
      <c r="AE15" s="31">
        <f t="shared" si="7"/>
        <v>82</v>
      </c>
      <c r="AF15" s="31">
        <f t="shared" si="7"/>
        <v>127</v>
      </c>
    </row>
    <row r="16" spans="2:32" ht="23.1" customHeight="1" x14ac:dyDescent="0.25">
      <c r="B16" s="23" t="s">
        <v>43</v>
      </c>
      <c r="C16" s="50">
        <v>3</v>
      </c>
      <c r="D16" s="50">
        <v>2</v>
      </c>
      <c r="E16" s="50">
        <v>6</v>
      </c>
      <c r="F16" s="50">
        <v>8</v>
      </c>
      <c r="G16" s="50">
        <v>1</v>
      </c>
      <c r="H16" s="50">
        <v>0</v>
      </c>
      <c r="I16" s="50">
        <v>0</v>
      </c>
      <c r="J16" s="50">
        <v>4</v>
      </c>
      <c r="K16" s="50">
        <v>0</v>
      </c>
      <c r="L16" s="50">
        <v>1</v>
      </c>
      <c r="M16" s="50">
        <v>13</v>
      </c>
      <c r="N16" s="50">
        <v>0</v>
      </c>
      <c r="O16" s="15">
        <f t="shared" si="0"/>
        <v>25</v>
      </c>
      <c r="P16" s="15">
        <f t="shared" si="1"/>
        <v>38</v>
      </c>
      <c r="R16" s="1" t="s">
        <v>12</v>
      </c>
      <c r="S16" s="17">
        <f t="shared" ref="S16:AF16" si="8">SUM(C34:C37)</f>
        <v>10</v>
      </c>
      <c r="T16" s="17">
        <f t="shared" si="8"/>
        <v>4</v>
      </c>
      <c r="U16" s="17">
        <f t="shared" si="8"/>
        <v>7</v>
      </c>
      <c r="V16" s="17">
        <f t="shared" si="8"/>
        <v>44</v>
      </c>
      <c r="W16" s="17">
        <f t="shared" si="8"/>
        <v>0</v>
      </c>
      <c r="X16" s="17">
        <f t="shared" si="8"/>
        <v>2</v>
      </c>
      <c r="Y16" s="17">
        <f t="shared" si="8"/>
        <v>5</v>
      </c>
      <c r="Z16" s="17">
        <f t="shared" si="8"/>
        <v>5</v>
      </c>
      <c r="AA16" s="17">
        <f t="shared" si="8"/>
        <v>2</v>
      </c>
      <c r="AB16" s="17">
        <f t="shared" si="8"/>
        <v>0</v>
      </c>
      <c r="AC16" s="17">
        <f t="shared" si="8"/>
        <v>32</v>
      </c>
      <c r="AD16" s="17">
        <f t="shared" si="8"/>
        <v>0</v>
      </c>
      <c r="AE16" s="31">
        <f t="shared" si="8"/>
        <v>79</v>
      </c>
      <c r="AF16" s="31">
        <f t="shared" si="8"/>
        <v>111</v>
      </c>
    </row>
    <row r="17" spans="2:32" ht="23.1" customHeight="1" x14ac:dyDescent="0.25">
      <c r="B17" s="23" t="s">
        <v>44</v>
      </c>
      <c r="C17" s="50">
        <v>3</v>
      </c>
      <c r="D17" s="50">
        <v>1</v>
      </c>
      <c r="E17" s="50">
        <v>2</v>
      </c>
      <c r="F17" s="50">
        <v>8</v>
      </c>
      <c r="G17" s="50">
        <v>0</v>
      </c>
      <c r="H17" s="50">
        <v>0</v>
      </c>
      <c r="I17" s="50">
        <v>2</v>
      </c>
      <c r="J17" s="50">
        <v>1</v>
      </c>
      <c r="K17" s="50">
        <v>0</v>
      </c>
      <c r="L17" s="50">
        <v>3</v>
      </c>
      <c r="M17" s="50">
        <v>8</v>
      </c>
      <c r="N17" s="50">
        <v>0</v>
      </c>
      <c r="O17" s="15">
        <f t="shared" si="0"/>
        <v>20</v>
      </c>
      <c r="P17" s="15">
        <f t="shared" si="1"/>
        <v>28</v>
      </c>
      <c r="R17" s="1" t="s">
        <v>13</v>
      </c>
      <c r="S17" s="17">
        <f t="shared" ref="S17:AF17" si="9">SUM(C38:C41)</f>
        <v>19</v>
      </c>
      <c r="T17" s="17">
        <f t="shared" si="9"/>
        <v>6</v>
      </c>
      <c r="U17" s="17">
        <f t="shared" si="9"/>
        <v>4</v>
      </c>
      <c r="V17" s="17">
        <f t="shared" si="9"/>
        <v>28</v>
      </c>
      <c r="W17" s="17">
        <f t="shared" si="9"/>
        <v>0</v>
      </c>
      <c r="X17" s="17">
        <f t="shared" si="9"/>
        <v>3</v>
      </c>
      <c r="Y17" s="17">
        <f t="shared" si="9"/>
        <v>2</v>
      </c>
      <c r="Z17" s="17">
        <f t="shared" si="9"/>
        <v>3</v>
      </c>
      <c r="AA17" s="17">
        <f t="shared" si="9"/>
        <v>3</v>
      </c>
      <c r="AB17" s="17">
        <f t="shared" si="9"/>
        <v>7</v>
      </c>
      <c r="AC17" s="17">
        <f t="shared" si="9"/>
        <v>28</v>
      </c>
      <c r="AD17" s="17">
        <f t="shared" si="9"/>
        <v>2</v>
      </c>
      <c r="AE17" s="31">
        <f t="shared" si="9"/>
        <v>77</v>
      </c>
      <c r="AF17" s="31">
        <f t="shared" si="9"/>
        <v>105</v>
      </c>
    </row>
    <row r="18" spans="2:32" ht="23.1" customHeight="1" x14ac:dyDescent="0.25">
      <c r="B18" s="23" t="s">
        <v>45</v>
      </c>
      <c r="C18" s="50">
        <v>4</v>
      </c>
      <c r="D18" s="50">
        <v>0</v>
      </c>
      <c r="E18" s="50">
        <v>1</v>
      </c>
      <c r="F18" s="50">
        <v>13</v>
      </c>
      <c r="G18" s="50">
        <v>0</v>
      </c>
      <c r="H18" s="50">
        <v>0</v>
      </c>
      <c r="I18" s="50">
        <v>1</v>
      </c>
      <c r="J18" s="50">
        <v>2</v>
      </c>
      <c r="K18" s="50">
        <v>0</v>
      </c>
      <c r="L18" s="50">
        <v>1</v>
      </c>
      <c r="M18" s="50">
        <v>15</v>
      </c>
      <c r="N18" s="50">
        <v>0</v>
      </c>
      <c r="O18" s="15">
        <f t="shared" si="0"/>
        <v>22</v>
      </c>
      <c r="P18" s="15">
        <f t="shared" si="1"/>
        <v>37</v>
      </c>
      <c r="R18" s="1" t="s">
        <v>14</v>
      </c>
      <c r="S18" s="17">
        <f t="shared" ref="S18:AF18" si="10">SUM(C42:C45)</f>
        <v>20</v>
      </c>
      <c r="T18" s="17">
        <f t="shared" si="10"/>
        <v>9</v>
      </c>
      <c r="U18" s="17">
        <f t="shared" si="10"/>
        <v>12</v>
      </c>
      <c r="V18" s="17">
        <f t="shared" si="10"/>
        <v>28</v>
      </c>
      <c r="W18" s="17">
        <f t="shared" si="10"/>
        <v>1</v>
      </c>
      <c r="X18" s="17">
        <f t="shared" si="10"/>
        <v>1</v>
      </c>
      <c r="Y18" s="17">
        <f t="shared" si="10"/>
        <v>9</v>
      </c>
      <c r="Z18" s="17">
        <f t="shared" si="10"/>
        <v>5</v>
      </c>
      <c r="AA18" s="17">
        <f t="shared" si="10"/>
        <v>4</v>
      </c>
      <c r="AB18" s="17">
        <f t="shared" si="10"/>
        <v>1</v>
      </c>
      <c r="AC18" s="17">
        <f t="shared" si="10"/>
        <v>24</v>
      </c>
      <c r="AD18" s="17">
        <f t="shared" si="10"/>
        <v>3</v>
      </c>
      <c r="AE18" s="31">
        <f t="shared" si="10"/>
        <v>93</v>
      </c>
      <c r="AF18" s="31">
        <f t="shared" si="10"/>
        <v>117</v>
      </c>
    </row>
    <row r="19" spans="2:32" ht="23.1" customHeight="1" x14ac:dyDescent="0.25">
      <c r="B19" s="23" t="s">
        <v>46</v>
      </c>
      <c r="C19" s="50">
        <v>1</v>
      </c>
      <c r="D19" s="50">
        <v>1</v>
      </c>
      <c r="E19" s="50">
        <v>0</v>
      </c>
      <c r="F19" s="50">
        <v>7</v>
      </c>
      <c r="G19" s="50">
        <v>0</v>
      </c>
      <c r="H19" s="50">
        <v>1</v>
      </c>
      <c r="I19" s="50">
        <v>0</v>
      </c>
      <c r="J19" s="50">
        <v>0</v>
      </c>
      <c r="K19" s="50">
        <v>0</v>
      </c>
      <c r="L19" s="50">
        <v>2</v>
      </c>
      <c r="M19" s="50">
        <v>13</v>
      </c>
      <c r="N19" s="50">
        <v>0</v>
      </c>
      <c r="O19" s="15">
        <f t="shared" si="0"/>
        <v>12</v>
      </c>
      <c r="P19" s="15">
        <f t="shared" si="1"/>
        <v>25</v>
      </c>
      <c r="R19" s="1" t="s">
        <v>15</v>
      </c>
      <c r="S19" s="17">
        <f t="shared" ref="S19:AF19" si="11">SUM(C46:C49)</f>
        <v>13</v>
      </c>
      <c r="T19" s="17">
        <f t="shared" si="11"/>
        <v>8</v>
      </c>
      <c r="U19" s="17">
        <f t="shared" si="11"/>
        <v>11</v>
      </c>
      <c r="V19" s="17">
        <f t="shared" si="11"/>
        <v>37</v>
      </c>
      <c r="W19" s="17">
        <f t="shared" si="11"/>
        <v>1</v>
      </c>
      <c r="X19" s="17">
        <f t="shared" si="11"/>
        <v>2</v>
      </c>
      <c r="Y19" s="17">
        <f t="shared" si="11"/>
        <v>3</v>
      </c>
      <c r="Z19" s="17">
        <f t="shared" si="11"/>
        <v>4</v>
      </c>
      <c r="AA19" s="17">
        <f t="shared" si="11"/>
        <v>4</v>
      </c>
      <c r="AB19" s="17">
        <f t="shared" si="11"/>
        <v>0</v>
      </c>
      <c r="AC19" s="17">
        <f t="shared" si="11"/>
        <v>18</v>
      </c>
      <c r="AD19" s="17">
        <f t="shared" si="11"/>
        <v>0</v>
      </c>
      <c r="AE19" s="31">
        <f t="shared" si="11"/>
        <v>83</v>
      </c>
      <c r="AF19" s="31">
        <f t="shared" si="11"/>
        <v>101</v>
      </c>
    </row>
    <row r="20" spans="2:32" ht="23.1" customHeight="1" x14ac:dyDescent="0.25">
      <c r="B20" s="23" t="s">
        <v>47</v>
      </c>
      <c r="C20" s="50">
        <v>2</v>
      </c>
      <c r="D20" s="50">
        <v>2</v>
      </c>
      <c r="E20" s="50">
        <v>4</v>
      </c>
      <c r="F20" s="50">
        <v>11</v>
      </c>
      <c r="G20" s="50">
        <v>0</v>
      </c>
      <c r="H20" s="50">
        <v>0</v>
      </c>
      <c r="I20" s="50">
        <v>3</v>
      </c>
      <c r="J20" s="50">
        <v>1</v>
      </c>
      <c r="K20" s="50">
        <v>2</v>
      </c>
      <c r="L20" s="50">
        <v>0</v>
      </c>
      <c r="M20" s="50">
        <v>8</v>
      </c>
      <c r="N20" s="50">
        <v>0</v>
      </c>
      <c r="O20" s="15">
        <f t="shared" si="0"/>
        <v>25</v>
      </c>
      <c r="P20" s="15">
        <f t="shared" si="1"/>
        <v>33</v>
      </c>
      <c r="R20" s="1" t="s">
        <v>16</v>
      </c>
      <c r="S20" s="17">
        <f t="shared" ref="S20:AF20" si="12">SUM(C50:C53)</f>
        <v>22</v>
      </c>
      <c r="T20" s="17">
        <f t="shared" si="12"/>
        <v>10</v>
      </c>
      <c r="U20" s="17">
        <f t="shared" si="12"/>
        <v>13</v>
      </c>
      <c r="V20" s="17">
        <f t="shared" si="12"/>
        <v>46</v>
      </c>
      <c r="W20" s="17">
        <f t="shared" si="12"/>
        <v>1</v>
      </c>
      <c r="X20" s="17">
        <f t="shared" si="12"/>
        <v>0</v>
      </c>
      <c r="Y20" s="17">
        <f t="shared" si="12"/>
        <v>7</v>
      </c>
      <c r="Z20" s="17">
        <f t="shared" si="12"/>
        <v>8</v>
      </c>
      <c r="AA20" s="17">
        <f t="shared" si="12"/>
        <v>4</v>
      </c>
      <c r="AB20" s="17">
        <f t="shared" si="12"/>
        <v>2</v>
      </c>
      <c r="AC20" s="17">
        <f t="shared" si="12"/>
        <v>29</v>
      </c>
      <c r="AD20" s="17">
        <f t="shared" si="12"/>
        <v>2</v>
      </c>
      <c r="AE20" s="31">
        <f t="shared" si="12"/>
        <v>115</v>
      </c>
      <c r="AF20" s="31">
        <f t="shared" si="12"/>
        <v>144</v>
      </c>
    </row>
    <row r="21" spans="2:32" ht="23.1" customHeight="1" x14ac:dyDescent="0.25">
      <c r="B21" s="23" t="s">
        <v>48</v>
      </c>
      <c r="C21" s="50">
        <v>2</v>
      </c>
      <c r="D21" s="50">
        <v>1</v>
      </c>
      <c r="E21" s="50">
        <v>2</v>
      </c>
      <c r="F21" s="50">
        <v>7</v>
      </c>
      <c r="G21" s="50">
        <v>0</v>
      </c>
      <c r="H21" s="50">
        <v>0</v>
      </c>
      <c r="I21" s="50">
        <v>1</v>
      </c>
      <c r="J21" s="50">
        <v>0</v>
      </c>
      <c r="K21" s="50">
        <v>0</v>
      </c>
      <c r="L21" s="50">
        <v>1</v>
      </c>
      <c r="M21" s="50">
        <v>4</v>
      </c>
      <c r="N21" s="50">
        <v>0</v>
      </c>
      <c r="O21" s="15">
        <f t="shared" si="0"/>
        <v>14</v>
      </c>
      <c r="P21" s="15">
        <f t="shared" si="1"/>
        <v>18</v>
      </c>
      <c r="R21" s="36" t="s">
        <v>20</v>
      </c>
      <c r="S21" s="34">
        <f t="shared" ref="S21:AF21" si="13">SUM(C54:C57)</f>
        <v>13</v>
      </c>
      <c r="T21" s="17">
        <f t="shared" si="13"/>
        <v>13</v>
      </c>
      <c r="U21" s="17">
        <f t="shared" si="13"/>
        <v>9</v>
      </c>
      <c r="V21" s="17">
        <f t="shared" si="13"/>
        <v>41</v>
      </c>
      <c r="W21" s="17">
        <f t="shared" si="13"/>
        <v>1</v>
      </c>
      <c r="X21" s="17">
        <f t="shared" si="13"/>
        <v>3</v>
      </c>
      <c r="Y21" s="17">
        <f t="shared" si="13"/>
        <v>5</v>
      </c>
      <c r="Z21" s="17">
        <f t="shared" si="13"/>
        <v>6</v>
      </c>
      <c r="AA21" s="17">
        <f t="shared" si="13"/>
        <v>3</v>
      </c>
      <c r="AB21" s="17">
        <f t="shared" si="13"/>
        <v>0</v>
      </c>
      <c r="AC21" s="17">
        <f t="shared" si="13"/>
        <v>24</v>
      </c>
      <c r="AD21" s="17">
        <f t="shared" si="13"/>
        <v>0</v>
      </c>
      <c r="AE21" s="31">
        <f t="shared" si="13"/>
        <v>94</v>
      </c>
      <c r="AF21" s="31">
        <f t="shared" si="13"/>
        <v>118</v>
      </c>
    </row>
    <row r="22" spans="2:32" ht="23.1" customHeight="1" x14ac:dyDescent="0.25">
      <c r="B22" s="23" t="s">
        <v>49</v>
      </c>
      <c r="C22" s="50">
        <v>5</v>
      </c>
      <c r="D22" s="50">
        <v>0</v>
      </c>
      <c r="E22" s="50">
        <v>0</v>
      </c>
      <c r="F22" s="50">
        <v>9</v>
      </c>
      <c r="G22" s="50">
        <v>0</v>
      </c>
      <c r="H22" s="50">
        <v>0</v>
      </c>
      <c r="I22" s="50">
        <v>0</v>
      </c>
      <c r="J22" s="50">
        <v>0</v>
      </c>
      <c r="K22" s="50">
        <v>1</v>
      </c>
      <c r="L22" s="50">
        <v>1</v>
      </c>
      <c r="M22" s="50">
        <v>11</v>
      </c>
      <c r="N22" s="50">
        <v>0</v>
      </c>
      <c r="O22" s="15">
        <f t="shared" si="0"/>
        <v>16</v>
      </c>
      <c r="P22" s="15">
        <f t="shared" si="1"/>
        <v>27</v>
      </c>
      <c r="R22" s="38" t="s">
        <v>90</v>
      </c>
      <c r="S22" s="39">
        <f>MAX(S10:S12)</f>
        <v>10</v>
      </c>
      <c r="T22" s="39">
        <f t="shared" ref="T22:AF22" si="14">MAX(T10:T12)</f>
        <v>5</v>
      </c>
      <c r="U22" s="39">
        <f t="shared" si="14"/>
        <v>9</v>
      </c>
      <c r="V22" s="39">
        <f t="shared" si="14"/>
        <v>38</v>
      </c>
      <c r="W22" s="39">
        <f t="shared" si="14"/>
        <v>3</v>
      </c>
      <c r="X22" s="39">
        <f t="shared" si="14"/>
        <v>1</v>
      </c>
      <c r="Y22" s="39">
        <f t="shared" si="14"/>
        <v>5</v>
      </c>
      <c r="Z22" s="39">
        <f t="shared" si="14"/>
        <v>5</v>
      </c>
      <c r="AA22" s="39">
        <f t="shared" si="14"/>
        <v>2</v>
      </c>
      <c r="AB22" s="39">
        <f t="shared" si="14"/>
        <v>5</v>
      </c>
      <c r="AC22" s="39">
        <f t="shared" si="14"/>
        <v>40</v>
      </c>
      <c r="AD22" s="39">
        <f t="shared" si="14"/>
        <v>0</v>
      </c>
      <c r="AE22" s="40">
        <f t="shared" si="14"/>
        <v>73</v>
      </c>
      <c r="AF22" s="40">
        <f t="shared" si="14"/>
        <v>113</v>
      </c>
    </row>
    <row r="23" spans="2:32" ht="23.1" customHeight="1" x14ac:dyDescent="0.25">
      <c r="B23" s="23" t="s">
        <v>50</v>
      </c>
      <c r="C23" s="50">
        <v>1</v>
      </c>
      <c r="D23" s="50">
        <v>2</v>
      </c>
      <c r="E23" s="50">
        <v>1</v>
      </c>
      <c r="F23" s="50">
        <v>11</v>
      </c>
      <c r="G23" s="50">
        <v>0</v>
      </c>
      <c r="H23" s="50">
        <v>1</v>
      </c>
      <c r="I23" s="50">
        <v>1</v>
      </c>
      <c r="J23" s="50">
        <v>0</v>
      </c>
      <c r="K23" s="50">
        <v>0</v>
      </c>
      <c r="L23" s="50">
        <v>0</v>
      </c>
      <c r="M23" s="50">
        <v>7</v>
      </c>
      <c r="N23" s="50">
        <v>0</v>
      </c>
      <c r="O23" s="15">
        <f t="shared" si="0"/>
        <v>17</v>
      </c>
      <c r="P23" s="15">
        <f t="shared" si="1"/>
        <v>24</v>
      </c>
      <c r="R23" s="38" t="s">
        <v>91</v>
      </c>
      <c r="S23" s="39">
        <f>MAX(S13:S18)</f>
        <v>20</v>
      </c>
      <c r="T23" s="39">
        <f t="shared" ref="T23:AF23" si="15">MAX(T13:T18)</f>
        <v>9</v>
      </c>
      <c r="U23" s="39">
        <f t="shared" si="15"/>
        <v>12</v>
      </c>
      <c r="V23" s="39">
        <f t="shared" si="15"/>
        <v>44</v>
      </c>
      <c r="W23" s="39">
        <f t="shared" si="15"/>
        <v>1</v>
      </c>
      <c r="X23" s="39">
        <f t="shared" si="15"/>
        <v>3</v>
      </c>
      <c r="Y23" s="39">
        <f t="shared" si="15"/>
        <v>9</v>
      </c>
      <c r="Z23" s="39">
        <f t="shared" si="15"/>
        <v>5</v>
      </c>
      <c r="AA23" s="39">
        <f t="shared" si="15"/>
        <v>4</v>
      </c>
      <c r="AB23" s="39">
        <f t="shared" si="15"/>
        <v>7</v>
      </c>
      <c r="AC23" s="39">
        <f t="shared" si="15"/>
        <v>45</v>
      </c>
      <c r="AD23" s="39">
        <f t="shared" si="15"/>
        <v>3</v>
      </c>
      <c r="AE23" s="40">
        <f t="shared" si="15"/>
        <v>93</v>
      </c>
      <c r="AF23" s="40">
        <f t="shared" si="15"/>
        <v>127</v>
      </c>
    </row>
    <row r="24" spans="2:32" ht="23.1" customHeight="1" x14ac:dyDescent="0.25">
      <c r="B24" s="23" t="s">
        <v>51</v>
      </c>
      <c r="C24" s="50">
        <v>4</v>
      </c>
      <c r="D24" s="50">
        <v>0</v>
      </c>
      <c r="E24" s="50">
        <v>2</v>
      </c>
      <c r="F24" s="50">
        <v>9</v>
      </c>
      <c r="G24" s="50">
        <v>0</v>
      </c>
      <c r="H24" s="50">
        <v>0</v>
      </c>
      <c r="I24" s="50">
        <v>1</v>
      </c>
      <c r="J24" s="50">
        <v>0</v>
      </c>
      <c r="K24" s="50">
        <v>0</v>
      </c>
      <c r="L24" s="50">
        <v>2</v>
      </c>
      <c r="M24" s="50">
        <v>12</v>
      </c>
      <c r="N24" s="50">
        <v>0</v>
      </c>
      <c r="O24" s="15">
        <f t="shared" si="0"/>
        <v>18</v>
      </c>
      <c r="P24" s="15">
        <f t="shared" si="1"/>
        <v>30</v>
      </c>
      <c r="R24" s="38" t="s">
        <v>92</v>
      </c>
      <c r="S24" s="39">
        <f>MAX(S19:S21)</f>
        <v>22</v>
      </c>
      <c r="T24" s="39">
        <f t="shared" ref="T24:AF24" si="16">MAX(T19:T21)</f>
        <v>13</v>
      </c>
      <c r="U24" s="39">
        <f t="shared" si="16"/>
        <v>13</v>
      </c>
      <c r="V24" s="39">
        <f t="shared" si="16"/>
        <v>46</v>
      </c>
      <c r="W24" s="39">
        <f t="shared" si="16"/>
        <v>1</v>
      </c>
      <c r="X24" s="39">
        <f t="shared" si="16"/>
        <v>3</v>
      </c>
      <c r="Y24" s="39">
        <f t="shared" si="16"/>
        <v>7</v>
      </c>
      <c r="Z24" s="39">
        <f t="shared" si="16"/>
        <v>8</v>
      </c>
      <c r="AA24" s="39">
        <f t="shared" si="16"/>
        <v>4</v>
      </c>
      <c r="AB24" s="39">
        <f t="shared" si="16"/>
        <v>2</v>
      </c>
      <c r="AC24" s="39">
        <f t="shared" si="16"/>
        <v>29</v>
      </c>
      <c r="AD24" s="39">
        <f t="shared" si="16"/>
        <v>2</v>
      </c>
      <c r="AE24" s="40">
        <f t="shared" si="16"/>
        <v>115</v>
      </c>
      <c r="AF24" s="40">
        <f t="shared" si="16"/>
        <v>144</v>
      </c>
    </row>
    <row r="25" spans="2:32" ht="23.1" customHeight="1" x14ac:dyDescent="0.25">
      <c r="B25" s="23" t="s">
        <v>52</v>
      </c>
      <c r="C25" s="50">
        <v>5</v>
      </c>
      <c r="D25" s="50">
        <v>1</v>
      </c>
      <c r="E25" s="50">
        <v>1</v>
      </c>
      <c r="F25" s="50">
        <v>12</v>
      </c>
      <c r="G25" s="50">
        <v>0</v>
      </c>
      <c r="H25" s="50">
        <v>0</v>
      </c>
      <c r="I25" s="50">
        <v>0</v>
      </c>
      <c r="J25" s="50">
        <v>0</v>
      </c>
      <c r="K25" s="50">
        <v>0</v>
      </c>
      <c r="L25" s="50">
        <v>1</v>
      </c>
      <c r="M25" s="50">
        <v>11</v>
      </c>
      <c r="N25" s="50">
        <v>0</v>
      </c>
      <c r="O25" s="15">
        <f t="shared" si="0"/>
        <v>20</v>
      </c>
      <c r="P25" s="15">
        <f t="shared" si="1"/>
        <v>31</v>
      </c>
      <c r="R25" s="37" t="s">
        <v>85</v>
      </c>
      <c r="S25" s="35">
        <f t="shared" ref="S25:AF25" si="17">SUM(S10:S12)</f>
        <v>26</v>
      </c>
      <c r="T25" s="16">
        <f t="shared" si="17"/>
        <v>13</v>
      </c>
      <c r="U25" s="16">
        <f t="shared" si="17"/>
        <v>21</v>
      </c>
      <c r="V25" s="16">
        <f t="shared" si="17"/>
        <v>92</v>
      </c>
      <c r="W25" s="16">
        <f t="shared" si="17"/>
        <v>4</v>
      </c>
      <c r="X25" s="16">
        <f t="shared" si="17"/>
        <v>2</v>
      </c>
      <c r="Y25" s="16">
        <f t="shared" si="17"/>
        <v>12</v>
      </c>
      <c r="Z25" s="16">
        <f t="shared" si="17"/>
        <v>12</v>
      </c>
      <c r="AA25" s="16">
        <f t="shared" si="17"/>
        <v>4</v>
      </c>
      <c r="AB25" s="16">
        <f t="shared" si="17"/>
        <v>11</v>
      </c>
      <c r="AC25" s="16">
        <f t="shared" si="17"/>
        <v>109</v>
      </c>
      <c r="AD25" s="16">
        <f t="shared" si="17"/>
        <v>0</v>
      </c>
      <c r="AE25" s="32">
        <f t="shared" si="17"/>
        <v>197</v>
      </c>
      <c r="AF25" s="32">
        <f t="shared" si="17"/>
        <v>306</v>
      </c>
    </row>
    <row r="26" spans="2:32" ht="23.1" customHeight="1" x14ac:dyDescent="0.25">
      <c r="B26" s="23" t="s">
        <v>53</v>
      </c>
      <c r="C26" s="50">
        <v>4</v>
      </c>
      <c r="D26" s="50">
        <v>0</v>
      </c>
      <c r="E26" s="50">
        <v>2</v>
      </c>
      <c r="F26" s="50">
        <v>14</v>
      </c>
      <c r="G26" s="50">
        <v>0</v>
      </c>
      <c r="H26" s="50">
        <v>0</v>
      </c>
      <c r="I26" s="50">
        <v>4</v>
      </c>
      <c r="J26" s="50">
        <v>2</v>
      </c>
      <c r="K26" s="50">
        <v>1</v>
      </c>
      <c r="L26" s="50">
        <v>0</v>
      </c>
      <c r="M26" s="50">
        <v>9</v>
      </c>
      <c r="N26" s="50">
        <v>0</v>
      </c>
      <c r="O26" s="15">
        <f t="shared" si="0"/>
        <v>27</v>
      </c>
      <c r="P26" s="15">
        <f t="shared" si="1"/>
        <v>36</v>
      </c>
      <c r="R26" s="28" t="s">
        <v>86</v>
      </c>
      <c r="S26" s="16">
        <f t="shared" ref="S26:AF26" si="18">SUM(S13:S18)</f>
        <v>91</v>
      </c>
      <c r="T26" s="16">
        <f t="shared" si="18"/>
        <v>31</v>
      </c>
      <c r="U26" s="16">
        <f t="shared" si="18"/>
        <v>36</v>
      </c>
      <c r="V26" s="16">
        <f t="shared" si="18"/>
        <v>218</v>
      </c>
      <c r="W26" s="16">
        <f t="shared" si="18"/>
        <v>2</v>
      </c>
      <c r="X26" s="16">
        <f t="shared" si="18"/>
        <v>9</v>
      </c>
      <c r="Y26" s="16">
        <f t="shared" si="18"/>
        <v>30</v>
      </c>
      <c r="Z26" s="16">
        <f t="shared" si="18"/>
        <v>23</v>
      </c>
      <c r="AA26" s="16">
        <f t="shared" si="18"/>
        <v>12</v>
      </c>
      <c r="AB26" s="16">
        <f t="shared" si="18"/>
        <v>18</v>
      </c>
      <c r="AC26" s="16">
        <f t="shared" si="18"/>
        <v>199</v>
      </c>
      <c r="AD26" s="16">
        <f t="shared" si="18"/>
        <v>5</v>
      </c>
      <c r="AE26" s="32">
        <f t="shared" si="18"/>
        <v>475</v>
      </c>
      <c r="AF26" s="32">
        <f t="shared" si="18"/>
        <v>674</v>
      </c>
    </row>
    <row r="27" spans="2:32" ht="23.1" customHeight="1" x14ac:dyDescent="0.25">
      <c r="B27" s="23" t="s">
        <v>54</v>
      </c>
      <c r="C27" s="50">
        <v>1</v>
      </c>
      <c r="D27" s="50">
        <v>2</v>
      </c>
      <c r="E27" s="50">
        <v>0</v>
      </c>
      <c r="F27" s="50">
        <v>6</v>
      </c>
      <c r="G27" s="50">
        <v>0</v>
      </c>
      <c r="H27" s="50">
        <v>0</v>
      </c>
      <c r="I27" s="50">
        <v>0</v>
      </c>
      <c r="J27" s="50">
        <v>2</v>
      </c>
      <c r="K27" s="50">
        <v>0</v>
      </c>
      <c r="L27" s="50">
        <v>0</v>
      </c>
      <c r="M27" s="50">
        <v>7</v>
      </c>
      <c r="N27" s="50">
        <v>0</v>
      </c>
      <c r="O27" s="15">
        <f t="shared" si="0"/>
        <v>11</v>
      </c>
      <c r="P27" s="15">
        <f t="shared" si="1"/>
        <v>18</v>
      </c>
      <c r="R27" s="29" t="s">
        <v>87</v>
      </c>
      <c r="S27" s="16">
        <f t="shared" ref="S27:AF27" si="19">SUM(S19:S21)</f>
        <v>48</v>
      </c>
      <c r="T27" s="16">
        <f t="shared" si="19"/>
        <v>31</v>
      </c>
      <c r="U27" s="16">
        <f t="shared" si="19"/>
        <v>33</v>
      </c>
      <c r="V27" s="16">
        <f t="shared" si="19"/>
        <v>124</v>
      </c>
      <c r="W27" s="16">
        <f t="shared" si="19"/>
        <v>3</v>
      </c>
      <c r="X27" s="16">
        <f t="shared" si="19"/>
        <v>5</v>
      </c>
      <c r="Y27" s="16">
        <f t="shared" si="19"/>
        <v>15</v>
      </c>
      <c r="Z27" s="16">
        <f t="shared" si="19"/>
        <v>18</v>
      </c>
      <c r="AA27" s="16">
        <f t="shared" si="19"/>
        <v>11</v>
      </c>
      <c r="AB27" s="16">
        <f t="shared" si="19"/>
        <v>2</v>
      </c>
      <c r="AC27" s="16">
        <f t="shared" si="19"/>
        <v>71</v>
      </c>
      <c r="AD27" s="16">
        <f t="shared" si="19"/>
        <v>2</v>
      </c>
      <c r="AE27" s="32">
        <f t="shared" si="19"/>
        <v>292</v>
      </c>
      <c r="AF27" s="32">
        <f t="shared" si="19"/>
        <v>363</v>
      </c>
    </row>
    <row r="28" spans="2:32" ht="23.1" customHeight="1" x14ac:dyDescent="0.25">
      <c r="B28" s="23" t="s">
        <v>55</v>
      </c>
      <c r="C28" s="50">
        <v>2</v>
      </c>
      <c r="D28" s="50">
        <v>0</v>
      </c>
      <c r="E28" s="50">
        <v>1</v>
      </c>
      <c r="F28" s="50">
        <v>12</v>
      </c>
      <c r="G28" s="50">
        <v>0</v>
      </c>
      <c r="H28" s="50">
        <v>1</v>
      </c>
      <c r="I28" s="50">
        <v>2</v>
      </c>
      <c r="J28" s="50">
        <v>1</v>
      </c>
      <c r="K28" s="50">
        <v>0</v>
      </c>
      <c r="L28" s="50">
        <v>0</v>
      </c>
      <c r="M28" s="50">
        <v>6</v>
      </c>
      <c r="N28" s="50">
        <v>0</v>
      </c>
      <c r="O28" s="15">
        <f t="shared" si="0"/>
        <v>19</v>
      </c>
      <c r="P28" s="15">
        <f t="shared" si="1"/>
        <v>25</v>
      </c>
      <c r="R28" s="5" t="s">
        <v>17</v>
      </c>
      <c r="S28" s="16">
        <f t="shared" ref="S28:AF28" si="20">SUM(S10:S21)</f>
        <v>165</v>
      </c>
      <c r="T28" s="16">
        <f t="shared" si="20"/>
        <v>75</v>
      </c>
      <c r="U28" s="16">
        <f t="shared" si="20"/>
        <v>90</v>
      </c>
      <c r="V28" s="16">
        <f t="shared" si="20"/>
        <v>434</v>
      </c>
      <c r="W28" s="16">
        <f t="shared" si="20"/>
        <v>9</v>
      </c>
      <c r="X28" s="16">
        <f t="shared" si="20"/>
        <v>16</v>
      </c>
      <c r="Y28" s="16">
        <f t="shared" si="20"/>
        <v>57</v>
      </c>
      <c r="Z28" s="16">
        <f t="shared" si="20"/>
        <v>53</v>
      </c>
      <c r="AA28" s="16">
        <f t="shared" si="20"/>
        <v>27</v>
      </c>
      <c r="AB28" s="16">
        <f t="shared" si="20"/>
        <v>31</v>
      </c>
      <c r="AC28" s="16">
        <f t="shared" si="20"/>
        <v>379</v>
      </c>
      <c r="AD28" s="16">
        <f t="shared" si="20"/>
        <v>7</v>
      </c>
      <c r="AE28" s="32">
        <f t="shared" si="20"/>
        <v>964</v>
      </c>
      <c r="AF28" s="32">
        <f t="shared" si="20"/>
        <v>1343</v>
      </c>
    </row>
    <row r="29" spans="2:32" ht="23.1" customHeight="1" x14ac:dyDescent="0.25">
      <c r="B29" s="23" t="s">
        <v>56</v>
      </c>
      <c r="C29" s="50">
        <v>5</v>
      </c>
      <c r="D29" s="50">
        <v>2</v>
      </c>
      <c r="E29" s="50">
        <v>3</v>
      </c>
      <c r="F29" s="50">
        <v>3</v>
      </c>
      <c r="G29" s="50">
        <v>1</v>
      </c>
      <c r="H29" s="50">
        <v>0</v>
      </c>
      <c r="I29" s="50">
        <v>2</v>
      </c>
      <c r="J29" s="50">
        <v>0</v>
      </c>
      <c r="K29" s="50">
        <v>0</v>
      </c>
      <c r="L29" s="50">
        <v>0</v>
      </c>
      <c r="M29" s="50">
        <v>7</v>
      </c>
      <c r="N29" s="50">
        <v>0</v>
      </c>
      <c r="O29" s="15">
        <f t="shared" si="0"/>
        <v>16</v>
      </c>
      <c r="P29" s="15">
        <f t="shared" si="1"/>
        <v>23</v>
      </c>
      <c r="R29"/>
      <c r="S29" s="20"/>
      <c r="T29" s="19"/>
    </row>
    <row r="30" spans="2:32" ht="23.1" customHeight="1" x14ac:dyDescent="0.25">
      <c r="B30" s="23" t="s">
        <v>57</v>
      </c>
      <c r="C30" s="50">
        <v>3</v>
      </c>
      <c r="D30" s="50">
        <v>1</v>
      </c>
      <c r="E30" s="50">
        <v>1</v>
      </c>
      <c r="F30" s="50">
        <v>16</v>
      </c>
      <c r="G30" s="50">
        <v>0</v>
      </c>
      <c r="H30" s="50">
        <v>1</v>
      </c>
      <c r="I30" s="50">
        <v>1</v>
      </c>
      <c r="J30" s="50">
        <v>1</v>
      </c>
      <c r="K30" s="50">
        <v>0</v>
      </c>
      <c r="L30" s="50">
        <v>1</v>
      </c>
      <c r="M30" s="50">
        <v>11</v>
      </c>
      <c r="N30" s="50">
        <v>0</v>
      </c>
      <c r="O30" s="15">
        <f t="shared" si="0"/>
        <v>25</v>
      </c>
      <c r="P30" s="15">
        <f t="shared" si="1"/>
        <v>36</v>
      </c>
    </row>
    <row r="31" spans="2:32" ht="23.1" customHeight="1" x14ac:dyDescent="0.25">
      <c r="B31" s="24" t="s">
        <v>58</v>
      </c>
      <c r="C31" s="50">
        <v>4</v>
      </c>
      <c r="D31" s="50">
        <v>1</v>
      </c>
      <c r="E31" s="50">
        <v>0</v>
      </c>
      <c r="F31" s="50">
        <v>5</v>
      </c>
      <c r="G31" s="50">
        <v>0</v>
      </c>
      <c r="H31" s="50">
        <v>0</v>
      </c>
      <c r="I31" s="50">
        <v>1</v>
      </c>
      <c r="J31" s="50">
        <v>2</v>
      </c>
      <c r="K31" s="50">
        <v>0</v>
      </c>
      <c r="L31" s="50">
        <v>1</v>
      </c>
      <c r="M31" s="50">
        <v>17</v>
      </c>
      <c r="N31" s="50">
        <v>0</v>
      </c>
      <c r="O31" s="15">
        <f t="shared" si="0"/>
        <v>14</v>
      </c>
      <c r="P31" s="15">
        <f t="shared" si="1"/>
        <v>31</v>
      </c>
    </row>
    <row r="32" spans="2:32" ht="23.1" customHeight="1" x14ac:dyDescent="0.25">
      <c r="B32" s="24" t="s">
        <v>59</v>
      </c>
      <c r="C32" s="50">
        <v>4</v>
      </c>
      <c r="D32" s="50">
        <v>2</v>
      </c>
      <c r="E32" s="50">
        <v>1</v>
      </c>
      <c r="F32" s="50">
        <v>11</v>
      </c>
      <c r="G32" s="50">
        <v>0</v>
      </c>
      <c r="H32" s="50">
        <v>0</v>
      </c>
      <c r="I32" s="50">
        <v>2</v>
      </c>
      <c r="J32" s="50">
        <v>1</v>
      </c>
      <c r="K32" s="50">
        <v>1</v>
      </c>
      <c r="L32" s="50">
        <v>4</v>
      </c>
      <c r="M32" s="50">
        <v>5</v>
      </c>
      <c r="N32" s="50">
        <v>0</v>
      </c>
      <c r="O32" s="15">
        <f t="shared" si="0"/>
        <v>26</v>
      </c>
      <c r="P32" s="15">
        <f t="shared" si="1"/>
        <v>31</v>
      </c>
    </row>
    <row r="33" spans="2:20" ht="23.1" customHeight="1" x14ac:dyDescent="0.25">
      <c r="B33" s="23" t="s">
        <v>60</v>
      </c>
      <c r="C33" s="50">
        <v>4</v>
      </c>
      <c r="D33" s="50">
        <v>1</v>
      </c>
      <c r="E33" s="50">
        <v>1</v>
      </c>
      <c r="F33" s="50">
        <v>10</v>
      </c>
      <c r="G33" s="50">
        <v>0</v>
      </c>
      <c r="H33" s="50">
        <v>0</v>
      </c>
      <c r="I33" s="50">
        <v>0</v>
      </c>
      <c r="J33" s="50">
        <v>1</v>
      </c>
      <c r="K33" s="50">
        <v>0</v>
      </c>
      <c r="L33" s="50">
        <v>0</v>
      </c>
      <c r="M33" s="50">
        <v>12</v>
      </c>
      <c r="N33" s="50">
        <v>0</v>
      </c>
      <c r="O33" s="15">
        <f t="shared" si="0"/>
        <v>17</v>
      </c>
      <c r="P33" s="15">
        <f t="shared" si="1"/>
        <v>29</v>
      </c>
    </row>
    <row r="34" spans="2:20" ht="23.1" customHeight="1" x14ac:dyDescent="0.25">
      <c r="B34" s="24" t="s">
        <v>61</v>
      </c>
      <c r="C34" s="50">
        <v>2</v>
      </c>
      <c r="D34" s="50">
        <v>0</v>
      </c>
      <c r="E34" s="50">
        <v>3</v>
      </c>
      <c r="F34" s="50">
        <v>6</v>
      </c>
      <c r="G34" s="50">
        <v>0</v>
      </c>
      <c r="H34" s="50">
        <v>0</v>
      </c>
      <c r="I34" s="50">
        <v>1</v>
      </c>
      <c r="J34" s="50">
        <v>1</v>
      </c>
      <c r="K34" s="50">
        <v>0</v>
      </c>
      <c r="L34" s="50">
        <v>0</v>
      </c>
      <c r="M34" s="50">
        <v>9</v>
      </c>
      <c r="N34" s="50">
        <v>0</v>
      </c>
      <c r="O34" s="15">
        <f t="shared" si="0"/>
        <v>13</v>
      </c>
      <c r="P34" s="15">
        <f t="shared" si="1"/>
        <v>22</v>
      </c>
    </row>
    <row r="35" spans="2:20" ht="23.1" customHeight="1" x14ac:dyDescent="0.25">
      <c r="B35" s="24" t="s">
        <v>62</v>
      </c>
      <c r="C35" s="50">
        <v>2</v>
      </c>
      <c r="D35" s="50">
        <v>1</v>
      </c>
      <c r="E35" s="50">
        <v>1</v>
      </c>
      <c r="F35" s="50">
        <v>11</v>
      </c>
      <c r="G35" s="50">
        <v>0</v>
      </c>
      <c r="H35" s="50">
        <v>1</v>
      </c>
      <c r="I35" s="50">
        <v>1</v>
      </c>
      <c r="J35" s="50">
        <v>1</v>
      </c>
      <c r="K35" s="50">
        <v>0</v>
      </c>
      <c r="L35" s="50">
        <v>0</v>
      </c>
      <c r="M35" s="50">
        <v>9</v>
      </c>
      <c r="N35" s="50">
        <v>0</v>
      </c>
      <c r="O35" s="15">
        <f t="shared" si="0"/>
        <v>18</v>
      </c>
      <c r="P35" s="15">
        <f t="shared" si="1"/>
        <v>27</v>
      </c>
    </row>
    <row r="36" spans="2:20" ht="23.1" customHeight="1" x14ac:dyDescent="0.25">
      <c r="B36" s="24" t="s">
        <v>63</v>
      </c>
      <c r="C36" s="50">
        <v>6</v>
      </c>
      <c r="D36" s="50">
        <v>2</v>
      </c>
      <c r="E36" s="50">
        <v>2</v>
      </c>
      <c r="F36" s="50">
        <v>18</v>
      </c>
      <c r="G36" s="50">
        <v>0</v>
      </c>
      <c r="H36" s="50">
        <v>0</v>
      </c>
      <c r="I36" s="50">
        <v>2</v>
      </c>
      <c r="J36" s="50">
        <v>3</v>
      </c>
      <c r="K36" s="50">
        <v>0</v>
      </c>
      <c r="L36" s="50">
        <v>0</v>
      </c>
      <c r="M36" s="50">
        <v>11</v>
      </c>
      <c r="N36" s="50">
        <v>0</v>
      </c>
      <c r="O36" s="15">
        <f t="shared" si="0"/>
        <v>33</v>
      </c>
      <c r="P36" s="15">
        <f t="shared" si="1"/>
        <v>44</v>
      </c>
    </row>
    <row r="37" spans="2:20" ht="23.1" customHeight="1" x14ac:dyDescent="0.25">
      <c r="B37" s="23" t="s">
        <v>64</v>
      </c>
      <c r="C37" s="50">
        <v>0</v>
      </c>
      <c r="D37" s="50">
        <v>1</v>
      </c>
      <c r="E37" s="50">
        <v>1</v>
      </c>
      <c r="F37" s="50">
        <v>9</v>
      </c>
      <c r="G37" s="50">
        <v>0</v>
      </c>
      <c r="H37" s="50">
        <v>1</v>
      </c>
      <c r="I37" s="50">
        <v>1</v>
      </c>
      <c r="J37" s="50">
        <v>0</v>
      </c>
      <c r="K37" s="50">
        <v>2</v>
      </c>
      <c r="L37" s="50">
        <v>0</v>
      </c>
      <c r="M37" s="50">
        <v>3</v>
      </c>
      <c r="N37" s="50">
        <v>0</v>
      </c>
      <c r="O37" s="15">
        <f t="shared" si="0"/>
        <v>15</v>
      </c>
      <c r="P37" s="15">
        <f t="shared" si="1"/>
        <v>18</v>
      </c>
    </row>
    <row r="38" spans="2:20" ht="23.1" customHeight="1" x14ac:dyDescent="0.25">
      <c r="B38" s="24" t="s">
        <v>65</v>
      </c>
      <c r="C38" s="50">
        <v>4</v>
      </c>
      <c r="D38" s="50">
        <v>2</v>
      </c>
      <c r="E38" s="50">
        <v>2</v>
      </c>
      <c r="F38" s="50">
        <v>9</v>
      </c>
      <c r="G38" s="50">
        <v>0</v>
      </c>
      <c r="H38" s="50">
        <v>1</v>
      </c>
      <c r="I38" s="50">
        <v>0</v>
      </c>
      <c r="J38" s="50">
        <v>1</v>
      </c>
      <c r="K38" s="50">
        <v>1</v>
      </c>
      <c r="L38" s="50">
        <v>2</v>
      </c>
      <c r="M38" s="50">
        <v>6</v>
      </c>
      <c r="N38" s="50">
        <v>0</v>
      </c>
      <c r="O38" s="15">
        <f t="shared" si="0"/>
        <v>22</v>
      </c>
      <c r="P38" s="15">
        <f t="shared" si="1"/>
        <v>28</v>
      </c>
    </row>
    <row r="39" spans="2:20" ht="23.1" customHeight="1" x14ac:dyDescent="0.25">
      <c r="B39" s="24" t="s">
        <v>66</v>
      </c>
      <c r="C39" s="50">
        <v>3</v>
      </c>
      <c r="D39" s="50">
        <v>3</v>
      </c>
      <c r="E39" s="50">
        <v>1</v>
      </c>
      <c r="F39" s="50">
        <v>8</v>
      </c>
      <c r="G39" s="50">
        <v>0</v>
      </c>
      <c r="H39" s="50">
        <v>1</v>
      </c>
      <c r="I39" s="50">
        <v>1</v>
      </c>
      <c r="J39" s="50">
        <v>0</v>
      </c>
      <c r="K39" s="50">
        <v>1</v>
      </c>
      <c r="L39" s="50">
        <v>2</v>
      </c>
      <c r="M39" s="50">
        <v>7</v>
      </c>
      <c r="N39" s="50">
        <v>0</v>
      </c>
      <c r="O39" s="15">
        <f t="shared" si="0"/>
        <v>20</v>
      </c>
      <c r="P39" s="15">
        <f t="shared" si="1"/>
        <v>27</v>
      </c>
    </row>
    <row r="40" spans="2:20" ht="23.1" customHeight="1" x14ac:dyDescent="0.25">
      <c r="B40" s="24" t="s">
        <v>67</v>
      </c>
      <c r="C40" s="50">
        <v>5</v>
      </c>
      <c r="D40" s="50">
        <v>0</v>
      </c>
      <c r="E40" s="50">
        <v>1</v>
      </c>
      <c r="F40" s="50">
        <v>6</v>
      </c>
      <c r="G40" s="50">
        <v>0</v>
      </c>
      <c r="H40" s="50">
        <v>1</v>
      </c>
      <c r="I40" s="50">
        <v>0</v>
      </c>
      <c r="J40" s="50">
        <v>0</v>
      </c>
      <c r="K40" s="50">
        <v>1</v>
      </c>
      <c r="L40" s="50">
        <v>1</v>
      </c>
      <c r="M40" s="50">
        <v>4</v>
      </c>
      <c r="N40" s="50">
        <v>0</v>
      </c>
      <c r="O40" s="15">
        <f t="shared" si="0"/>
        <v>15</v>
      </c>
      <c r="P40" s="15">
        <f t="shared" si="1"/>
        <v>19</v>
      </c>
    </row>
    <row r="41" spans="2:20" ht="23.1" customHeight="1" x14ac:dyDescent="0.25">
      <c r="B41" s="23" t="s">
        <v>68</v>
      </c>
      <c r="C41" s="50">
        <v>7</v>
      </c>
      <c r="D41" s="50">
        <v>1</v>
      </c>
      <c r="E41" s="50">
        <v>0</v>
      </c>
      <c r="F41" s="50">
        <v>5</v>
      </c>
      <c r="G41" s="50">
        <v>0</v>
      </c>
      <c r="H41" s="50">
        <v>0</v>
      </c>
      <c r="I41" s="50">
        <v>1</v>
      </c>
      <c r="J41" s="50">
        <v>2</v>
      </c>
      <c r="K41" s="50">
        <v>0</v>
      </c>
      <c r="L41" s="50">
        <v>2</v>
      </c>
      <c r="M41" s="50">
        <v>11</v>
      </c>
      <c r="N41" s="50">
        <v>2</v>
      </c>
      <c r="O41" s="15">
        <f t="shared" si="0"/>
        <v>20</v>
      </c>
      <c r="P41" s="15">
        <f t="shared" si="1"/>
        <v>31</v>
      </c>
    </row>
    <row r="42" spans="2:20" ht="23.1" customHeight="1" x14ac:dyDescent="0.25">
      <c r="B42" s="24" t="s">
        <v>69</v>
      </c>
      <c r="C42" s="50">
        <v>5</v>
      </c>
      <c r="D42" s="50">
        <v>1</v>
      </c>
      <c r="E42" s="50">
        <v>3</v>
      </c>
      <c r="F42" s="50">
        <v>7</v>
      </c>
      <c r="G42" s="50">
        <v>0</v>
      </c>
      <c r="H42" s="50">
        <v>1</v>
      </c>
      <c r="I42" s="50">
        <v>4</v>
      </c>
      <c r="J42" s="50">
        <v>2</v>
      </c>
      <c r="K42" s="50">
        <v>1</v>
      </c>
      <c r="L42" s="50">
        <v>0</v>
      </c>
      <c r="M42" s="50">
        <v>9</v>
      </c>
      <c r="N42" s="50">
        <v>0</v>
      </c>
      <c r="O42" s="15">
        <f t="shared" si="0"/>
        <v>24</v>
      </c>
      <c r="P42" s="15">
        <f t="shared" si="1"/>
        <v>33</v>
      </c>
    </row>
    <row r="43" spans="2:20" ht="23.1" customHeight="1" x14ac:dyDescent="0.25">
      <c r="B43" s="23" t="s">
        <v>70</v>
      </c>
      <c r="C43" s="50">
        <v>7</v>
      </c>
      <c r="D43" s="50">
        <v>0</v>
      </c>
      <c r="E43" s="50">
        <v>2</v>
      </c>
      <c r="F43" s="50">
        <v>8</v>
      </c>
      <c r="G43" s="50">
        <v>0</v>
      </c>
      <c r="H43" s="50">
        <v>0</v>
      </c>
      <c r="I43" s="50">
        <v>1</v>
      </c>
      <c r="J43" s="50">
        <v>0</v>
      </c>
      <c r="K43" s="50">
        <v>1</v>
      </c>
      <c r="L43" s="50">
        <v>1</v>
      </c>
      <c r="M43" s="50">
        <v>8</v>
      </c>
      <c r="N43" s="50">
        <v>0</v>
      </c>
      <c r="O43" s="15">
        <f t="shared" si="0"/>
        <v>20</v>
      </c>
      <c r="P43" s="15">
        <f t="shared" si="1"/>
        <v>28</v>
      </c>
    </row>
    <row r="44" spans="2:20" ht="23.1" customHeight="1" x14ac:dyDescent="0.25">
      <c r="B44" s="25" t="s">
        <v>71</v>
      </c>
      <c r="C44" s="50">
        <v>5</v>
      </c>
      <c r="D44" s="50">
        <v>3</v>
      </c>
      <c r="E44" s="50">
        <v>4</v>
      </c>
      <c r="F44" s="50">
        <v>12</v>
      </c>
      <c r="G44" s="50">
        <v>0</v>
      </c>
      <c r="H44" s="50">
        <v>0</v>
      </c>
      <c r="I44" s="50">
        <v>2</v>
      </c>
      <c r="J44" s="50">
        <v>2</v>
      </c>
      <c r="K44" s="50">
        <v>0</v>
      </c>
      <c r="L44" s="50">
        <v>0</v>
      </c>
      <c r="M44" s="50">
        <v>6</v>
      </c>
      <c r="N44" s="50">
        <v>0</v>
      </c>
      <c r="O44" s="15">
        <f t="shared" si="0"/>
        <v>28</v>
      </c>
      <c r="P44" s="15">
        <f t="shared" si="1"/>
        <v>34</v>
      </c>
    </row>
    <row r="45" spans="2:20" ht="23.1" customHeight="1" x14ac:dyDescent="0.25">
      <c r="B45" s="23" t="s">
        <v>72</v>
      </c>
      <c r="C45" s="50">
        <v>3</v>
      </c>
      <c r="D45" s="50">
        <v>5</v>
      </c>
      <c r="E45" s="50">
        <v>3</v>
      </c>
      <c r="F45" s="50">
        <v>1</v>
      </c>
      <c r="G45" s="50">
        <v>1</v>
      </c>
      <c r="H45" s="50">
        <v>0</v>
      </c>
      <c r="I45" s="50">
        <v>2</v>
      </c>
      <c r="J45" s="50">
        <v>1</v>
      </c>
      <c r="K45" s="50">
        <v>2</v>
      </c>
      <c r="L45" s="50">
        <v>0</v>
      </c>
      <c r="M45" s="50">
        <v>1</v>
      </c>
      <c r="N45" s="50">
        <v>3</v>
      </c>
      <c r="O45" s="15">
        <f t="shared" si="0"/>
        <v>21</v>
      </c>
      <c r="P45" s="15">
        <f t="shared" si="1"/>
        <v>22</v>
      </c>
    </row>
    <row r="46" spans="2:20" ht="23.1" customHeight="1" x14ac:dyDescent="0.25">
      <c r="B46" s="24" t="s">
        <v>73</v>
      </c>
      <c r="C46" s="50">
        <v>4</v>
      </c>
      <c r="D46" s="50">
        <v>1</v>
      </c>
      <c r="E46" s="50">
        <v>2</v>
      </c>
      <c r="F46" s="50">
        <v>5</v>
      </c>
      <c r="G46" s="50">
        <v>1</v>
      </c>
      <c r="H46" s="50">
        <v>1</v>
      </c>
      <c r="I46" s="50">
        <v>1</v>
      </c>
      <c r="J46" s="50">
        <v>0</v>
      </c>
      <c r="K46" s="50">
        <v>2</v>
      </c>
      <c r="L46" s="50">
        <v>0</v>
      </c>
      <c r="M46" s="50">
        <v>2</v>
      </c>
      <c r="N46" s="50">
        <v>0</v>
      </c>
      <c r="O46" s="15">
        <f t="shared" si="0"/>
        <v>17</v>
      </c>
      <c r="P46" s="15">
        <f t="shared" si="1"/>
        <v>19</v>
      </c>
      <c r="R46" s="8"/>
      <c r="T46"/>
    </row>
    <row r="47" spans="2:20" ht="23.1" customHeight="1" x14ac:dyDescent="0.25">
      <c r="B47" s="24" t="s">
        <v>74</v>
      </c>
      <c r="C47" s="50">
        <v>2</v>
      </c>
      <c r="D47" s="50">
        <v>1</v>
      </c>
      <c r="E47" s="50">
        <v>3</v>
      </c>
      <c r="F47" s="50">
        <v>8</v>
      </c>
      <c r="G47" s="50">
        <v>0</v>
      </c>
      <c r="H47" s="50">
        <v>0</v>
      </c>
      <c r="I47" s="50">
        <v>1</v>
      </c>
      <c r="J47" s="50">
        <v>0</v>
      </c>
      <c r="K47" s="50">
        <v>1</v>
      </c>
      <c r="L47" s="50">
        <v>0</v>
      </c>
      <c r="M47" s="50">
        <v>3</v>
      </c>
      <c r="N47" s="50">
        <v>0</v>
      </c>
      <c r="O47" s="15">
        <f t="shared" si="0"/>
        <v>16</v>
      </c>
      <c r="P47" s="15">
        <f t="shared" si="1"/>
        <v>19</v>
      </c>
      <c r="R47" s="8"/>
      <c r="T47"/>
    </row>
    <row r="48" spans="2:20" ht="23.1" customHeight="1" x14ac:dyDescent="0.25">
      <c r="B48" s="24" t="s">
        <v>75</v>
      </c>
      <c r="C48" s="50">
        <v>2</v>
      </c>
      <c r="D48" s="50">
        <v>1</v>
      </c>
      <c r="E48" s="50">
        <v>4</v>
      </c>
      <c r="F48" s="50">
        <v>12</v>
      </c>
      <c r="G48" s="50">
        <v>0</v>
      </c>
      <c r="H48" s="50">
        <v>1</v>
      </c>
      <c r="I48" s="50">
        <v>1</v>
      </c>
      <c r="J48" s="50">
        <v>2</v>
      </c>
      <c r="K48" s="50">
        <v>0</v>
      </c>
      <c r="L48" s="50">
        <v>0</v>
      </c>
      <c r="M48" s="50">
        <v>4</v>
      </c>
      <c r="N48" s="50">
        <v>0</v>
      </c>
      <c r="O48" s="15">
        <f t="shared" si="0"/>
        <v>23</v>
      </c>
      <c r="P48" s="15">
        <f t="shared" si="1"/>
        <v>27</v>
      </c>
      <c r="R48" s="8"/>
      <c r="T48"/>
    </row>
    <row r="49" spans="2:20" ht="23.1" customHeight="1" x14ac:dyDescent="0.25">
      <c r="B49" s="23" t="s">
        <v>76</v>
      </c>
      <c r="C49" s="50">
        <v>5</v>
      </c>
      <c r="D49" s="50">
        <v>5</v>
      </c>
      <c r="E49" s="50">
        <v>2</v>
      </c>
      <c r="F49" s="50">
        <v>12</v>
      </c>
      <c r="G49" s="50">
        <v>0</v>
      </c>
      <c r="H49" s="50">
        <v>0</v>
      </c>
      <c r="I49" s="50">
        <v>0</v>
      </c>
      <c r="J49" s="50">
        <v>2</v>
      </c>
      <c r="K49" s="50">
        <v>1</v>
      </c>
      <c r="L49" s="50">
        <v>0</v>
      </c>
      <c r="M49" s="50">
        <v>9</v>
      </c>
      <c r="N49" s="50">
        <v>0</v>
      </c>
      <c r="O49" s="15">
        <f t="shared" si="0"/>
        <v>27</v>
      </c>
      <c r="P49" s="15">
        <f t="shared" si="1"/>
        <v>36</v>
      </c>
      <c r="R49" s="8"/>
      <c r="T49"/>
    </row>
    <row r="50" spans="2:20" ht="23.1" customHeight="1" x14ac:dyDescent="0.25">
      <c r="B50" s="24" t="s">
        <v>77</v>
      </c>
      <c r="C50" s="50">
        <v>8</v>
      </c>
      <c r="D50" s="50">
        <v>3</v>
      </c>
      <c r="E50" s="50">
        <v>6</v>
      </c>
      <c r="F50" s="50">
        <v>16</v>
      </c>
      <c r="G50" s="50">
        <v>0</v>
      </c>
      <c r="H50" s="50">
        <v>0</v>
      </c>
      <c r="I50" s="50">
        <v>2</v>
      </c>
      <c r="J50" s="50">
        <v>3</v>
      </c>
      <c r="K50" s="50">
        <v>2</v>
      </c>
      <c r="L50" s="50">
        <v>0</v>
      </c>
      <c r="M50" s="50">
        <v>6</v>
      </c>
      <c r="N50" s="50">
        <v>0</v>
      </c>
      <c r="O50" s="15">
        <f t="shared" si="0"/>
        <v>40</v>
      </c>
      <c r="P50" s="15">
        <f t="shared" si="1"/>
        <v>46</v>
      </c>
      <c r="R50" s="8"/>
      <c r="T50"/>
    </row>
    <row r="51" spans="2:20" ht="23.1" customHeight="1" x14ac:dyDescent="0.25">
      <c r="B51" s="24" t="s">
        <v>78</v>
      </c>
      <c r="C51" s="50">
        <v>5</v>
      </c>
      <c r="D51" s="50">
        <v>4</v>
      </c>
      <c r="E51" s="50">
        <v>2</v>
      </c>
      <c r="F51" s="50">
        <v>10</v>
      </c>
      <c r="G51" s="50">
        <v>0</v>
      </c>
      <c r="H51" s="50">
        <v>0</v>
      </c>
      <c r="I51" s="50">
        <v>1</v>
      </c>
      <c r="J51" s="50">
        <v>1</v>
      </c>
      <c r="K51" s="50">
        <v>1</v>
      </c>
      <c r="L51" s="50">
        <v>1</v>
      </c>
      <c r="M51" s="50">
        <v>13</v>
      </c>
      <c r="N51" s="50">
        <v>0</v>
      </c>
      <c r="O51" s="15">
        <f t="shared" si="0"/>
        <v>25</v>
      </c>
      <c r="P51" s="15">
        <f t="shared" si="1"/>
        <v>38</v>
      </c>
      <c r="R51" s="8"/>
      <c r="T51"/>
    </row>
    <row r="52" spans="2:20" ht="23.1" customHeight="1" x14ac:dyDescent="0.25">
      <c r="B52" s="24" t="s">
        <v>79</v>
      </c>
      <c r="C52" s="50">
        <v>3</v>
      </c>
      <c r="D52" s="50">
        <v>0</v>
      </c>
      <c r="E52" s="50">
        <v>5</v>
      </c>
      <c r="F52" s="50">
        <v>9</v>
      </c>
      <c r="G52" s="50">
        <v>1</v>
      </c>
      <c r="H52" s="50">
        <v>0</v>
      </c>
      <c r="I52" s="50">
        <v>3</v>
      </c>
      <c r="J52" s="50">
        <v>2</v>
      </c>
      <c r="K52" s="50">
        <v>1</v>
      </c>
      <c r="L52" s="50">
        <v>1</v>
      </c>
      <c r="M52" s="50">
        <v>4</v>
      </c>
      <c r="N52" s="50">
        <v>1</v>
      </c>
      <c r="O52" s="15">
        <f t="shared" si="0"/>
        <v>26</v>
      </c>
      <c r="P52" s="15">
        <f t="shared" si="1"/>
        <v>30</v>
      </c>
      <c r="R52" s="8"/>
      <c r="T52"/>
    </row>
    <row r="53" spans="2:20" ht="23.1" customHeight="1" x14ac:dyDescent="0.25">
      <c r="B53" s="23" t="s">
        <v>80</v>
      </c>
      <c r="C53" s="50">
        <v>6</v>
      </c>
      <c r="D53" s="50">
        <v>3</v>
      </c>
      <c r="E53" s="50">
        <v>0</v>
      </c>
      <c r="F53" s="50">
        <v>11</v>
      </c>
      <c r="G53" s="50">
        <v>0</v>
      </c>
      <c r="H53" s="50">
        <v>0</v>
      </c>
      <c r="I53" s="50">
        <v>1</v>
      </c>
      <c r="J53" s="50">
        <v>2</v>
      </c>
      <c r="K53" s="50">
        <v>0</v>
      </c>
      <c r="L53" s="50">
        <v>0</v>
      </c>
      <c r="M53" s="50">
        <v>6</v>
      </c>
      <c r="N53" s="50">
        <v>1</v>
      </c>
      <c r="O53" s="15">
        <f t="shared" si="0"/>
        <v>24</v>
      </c>
      <c r="P53" s="15">
        <f t="shared" si="1"/>
        <v>30</v>
      </c>
      <c r="R53" s="8"/>
      <c r="T53"/>
    </row>
    <row r="54" spans="2:20" ht="23.1" customHeight="1" x14ac:dyDescent="0.25">
      <c r="B54" s="23" t="s">
        <v>81</v>
      </c>
      <c r="C54" s="50">
        <v>3</v>
      </c>
      <c r="D54" s="50">
        <v>1</v>
      </c>
      <c r="E54" s="50">
        <v>2</v>
      </c>
      <c r="F54" s="50">
        <v>18</v>
      </c>
      <c r="G54" s="50">
        <v>0</v>
      </c>
      <c r="H54" s="50">
        <v>0</v>
      </c>
      <c r="I54" s="50">
        <v>2</v>
      </c>
      <c r="J54" s="50">
        <v>2</v>
      </c>
      <c r="K54" s="50">
        <v>1</v>
      </c>
      <c r="L54" s="50">
        <v>0</v>
      </c>
      <c r="M54" s="50">
        <v>5</v>
      </c>
      <c r="N54" s="50">
        <v>0</v>
      </c>
      <c r="O54" s="15">
        <f t="shared" si="0"/>
        <v>29</v>
      </c>
      <c r="P54" s="15">
        <f t="shared" si="1"/>
        <v>34</v>
      </c>
      <c r="R54" s="8"/>
      <c r="T54"/>
    </row>
    <row r="55" spans="2:20" ht="23.1" customHeight="1" x14ac:dyDescent="0.25">
      <c r="B55" s="23" t="s">
        <v>82</v>
      </c>
      <c r="C55" s="50">
        <v>5</v>
      </c>
      <c r="D55" s="50">
        <v>7</v>
      </c>
      <c r="E55" s="50">
        <v>3</v>
      </c>
      <c r="F55" s="50">
        <v>5</v>
      </c>
      <c r="G55" s="50">
        <v>0</v>
      </c>
      <c r="H55" s="50">
        <v>2</v>
      </c>
      <c r="I55" s="50">
        <v>1</v>
      </c>
      <c r="J55" s="50">
        <v>2</v>
      </c>
      <c r="K55" s="50">
        <v>0</v>
      </c>
      <c r="L55" s="50">
        <v>0</v>
      </c>
      <c r="M55" s="50">
        <v>3</v>
      </c>
      <c r="N55" s="50">
        <v>0</v>
      </c>
      <c r="O55" s="15">
        <f t="shared" si="0"/>
        <v>25</v>
      </c>
      <c r="P55" s="15">
        <f t="shared" si="1"/>
        <v>28</v>
      </c>
      <c r="R55" s="8"/>
      <c r="T55"/>
    </row>
    <row r="56" spans="2:20" ht="23.1" customHeight="1" x14ac:dyDescent="0.25">
      <c r="B56" s="23" t="s">
        <v>83</v>
      </c>
      <c r="C56" s="50">
        <v>2</v>
      </c>
      <c r="D56" s="50">
        <v>3</v>
      </c>
      <c r="E56" s="50">
        <v>1</v>
      </c>
      <c r="F56" s="50">
        <v>10</v>
      </c>
      <c r="G56" s="50">
        <v>1</v>
      </c>
      <c r="H56" s="50">
        <v>1</v>
      </c>
      <c r="I56" s="50">
        <v>2</v>
      </c>
      <c r="J56" s="50">
        <v>2</v>
      </c>
      <c r="K56" s="50">
        <v>0</v>
      </c>
      <c r="L56" s="50">
        <v>0</v>
      </c>
      <c r="M56" s="50">
        <v>6</v>
      </c>
      <c r="N56" s="50">
        <v>0</v>
      </c>
      <c r="O56" s="15">
        <f t="shared" si="0"/>
        <v>22</v>
      </c>
      <c r="P56" s="15">
        <f t="shared" si="1"/>
        <v>28</v>
      </c>
      <c r="R56" s="8"/>
      <c r="T56"/>
    </row>
    <row r="57" spans="2:20" ht="23.1" customHeight="1" x14ac:dyDescent="0.25">
      <c r="B57" s="23" t="s">
        <v>84</v>
      </c>
      <c r="C57" s="50">
        <v>3</v>
      </c>
      <c r="D57" s="50">
        <v>2</v>
      </c>
      <c r="E57" s="50">
        <v>3</v>
      </c>
      <c r="F57" s="50">
        <v>8</v>
      </c>
      <c r="G57" s="50">
        <v>0</v>
      </c>
      <c r="H57" s="50">
        <v>0</v>
      </c>
      <c r="I57" s="50">
        <v>0</v>
      </c>
      <c r="J57" s="50">
        <v>0</v>
      </c>
      <c r="K57" s="50">
        <v>2</v>
      </c>
      <c r="L57" s="50">
        <v>0</v>
      </c>
      <c r="M57" s="50">
        <v>10</v>
      </c>
      <c r="N57" s="50">
        <v>0</v>
      </c>
      <c r="O57" s="15">
        <f t="shared" si="0"/>
        <v>18</v>
      </c>
      <c r="P57" s="15">
        <f t="shared" si="1"/>
        <v>28</v>
      </c>
      <c r="R57" s="8"/>
      <c r="T57"/>
    </row>
    <row r="58" spans="2:20" ht="23.1" customHeight="1" x14ac:dyDescent="0.25">
      <c r="B58" s="26" t="s">
        <v>18</v>
      </c>
      <c r="C58" s="16">
        <f t="shared" ref="C58:P58" si="21">SUM(C10:C57)</f>
        <v>165</v>
      </c>
      <c r="D58" s="16">
        <f t="shared" si="21"/>
        <v>75</v>
      </c>
      <c r="E58" s="16">
        <f t="shared" si="21"/>
        <v>90</v>
      </c>
      <c r="F58" s="16">
        <f t="shared" si="21"/>
        <v>434</v>
      </c>
      <c r="G58" s="16">
        <f t="shared" si="21"/>
        <v>9</v>
      </c>
      <c r="H58" s="16">
        <f t="shared" si="21"/>
        <v>16</v>
      </c>
      <c r="I58" s="16">
        <f t="shared" si="21"/>
        <v>57</v>
      </c>
      <c r="J58" s="16">
        <f t="shared" si="21"/>
        <v>53</v>
      </c>
      <c r="K58" s="16">
        <f t="shared" si="21"/>
        <v>27</v>
      </c>
      <c r="L58" s="16">
        <f t="shared" si="21"/>
        <v>31</v>
      </c>
      <c r="M58" s="16">
        <f t="shared" si="21"/>
        <v>379</v>
      </c>
      <c r="N58" s="16">
        <f t="shared" si="21"/>
        <v>7</v>
      </c>
      <c r="O58" s="16">
        <f t="shared" si="21"/>
        <v>964</v>
      </c>
      <c r="P58" s="16">
        <f t="shared" si="21"/>
        <v>1343</v>
      </c>
      <c r="R58" s="8"/>
      <c r="T58"/>
    </row>
    <row r="59" spans="2:20" ht="23.1" customHeight="1" x14ac:dyDescent="0.25">
      <c r="B59" s="26" t="s">
        <v>93</v>
      </c>
      <c r="C59" s="43">
        <f t="shared" ref="C59:N59" si="22">C58/$P$58</f>
        <v>0.12285927029039465</v>
      </c>
      <c r="D59" s="43">
        <f t="shared" si="22"/>
        <v>5.5845122859270291E-2</v>
      </c>
      <c r="E59" s="43">
        <f t="shared" si="22"/>
        <v>6.7014147431124355E-2</v>
      </c>
      <c r="F59" s="43">
        <f t="shared" si="22"/>
        <v>0.32315711094564409</v>
      </c>
      <c r="G59" s="43">
        <f t="shared" si="22"/>
        <v>6.7014147431124346E-3</v>
      </c>
      <c r="H59" s="43">
        <f t="shared" si="22"/>
        <v>1.1913626209977662E-2</v>
      </c>
      <c r="I59" s="43">
        <f t="shared" si="22"/>
        <v>4.244229337304542E-2</v>
      </c>
      <c r="J59" s="43">
        <f t="shared" si="22"/>
        <v>3.9463886820551006E-2</v>
      </c>
      <c r="K59" s="43">
        <f t="shared" si="22"/>
        <v>2.0104244229337303E-2</v>
      </c>
      <c r="L59" s="43">
        <f t="shared" si="22"/>
        <v>2.3082650781831721E-2</v>
      </c>
      <c r="M59" s="43">
        <f t="shared" si="22"/>
        <v>0.28220402084884588</v>
      </c>
      <c r="N59" s="43">
        <f t="shared" si="22"/>
        <v>5.2122114668652275E-3</v>
      </c>
      <c r="R59" s="8"/>
      <c r="T59"/>
    </row>
    <row r="60" spans="2:20" ht="23.1" customHeight="1" x14ac:dyDescent="0.25">
      <c r="B60" s="42" t="s">
        <v>94</v>
      </c>
      <c r="C60" s="44">
        <f>C58/$O$58</f>
        <v>0.17116182572614108</v>
      </c>
      <c r="D60" s="44">
        <f t="shared" ref="D60:N60" si="23">D58/$O$58</f>
        <v>7.7800829875518673E-2</v>
      </c>
      <c r="E60" s="44">
        <f t="shared" si="23"/>
        <v>9.3360995850622408E-2</v>
      </c>
      <c r="F60" s="44">
        <f t="shared" si="23"/>
        <v>0.45020746887966806</v>
      </c>
      <c r="G60" s="44">
        <f t="shared" si="23"/>
        <v>9.3360995850622405E-3</v>
      </c>
      <c r="H60" s="44">
        <f t="shared" si="23"/>
        <v>1.6597510373443983E-2</v>
      </c>
      <c r="I60" s="44">
        <f t="shared" si="23"/>
        <v>5.9128630705394189E-2</v>
      </c>
      <c r="J60" s="44">
        <f t="shared" si="23"/>
        <v>5.4979253112033194E-2</v>
      </c>
      <c r="K60" s="44">
        <f t="shared" si="23"/>
        <v>2.8008298755186723E-2</v>
      </c>
      <c r="L60" s="44">
        <f t="shared" si="23"/>
        <v>3.2157676348547715E-2</v>
      </c>
      <c r="M60" s="44"/>
      <c r="N60" s="44">
        <f t="shared" si="23"/>
        <v>7.261410788381743E-3</v>
      </c>
      <c r="Q60" s="7"/>
      <c r="R60" s="8"/>
      <c r="T60"/>
    </row>
    <row r="61" spans="2:20" ht="20.100000000000001" customHeight="1" x14ac:dyDescent="0.25">
      <c r="B61" s="3"/>
      <c r="C61" s="18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Q61" s="7"/>
      <c r="R61" s="8"/>
      <c r="T61"/>
    </row>
    <row r="62" spans="2:20" ht="20.100000000000001" customHeight="1" x14ac:dyDescent="0.25">
      <c r="B62" s="3"/>
      <c r="C62" s="18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Q62" s="7"/>
      <c r="R62" s="8"/>
      <c r="T62"/>
    </row>
    <row r="63" spans="2:20" ht="20.100000000000001" customHeight="1" x14ac:dyDescent="0.25">
      <c r="B63" s="3"/>
      <c r="C63" s="18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Q63" s="7"/>
    </row>
    <row r="64" spans="2:20" ht="20.100000000000001" customHeight="1" x14ac:dyDescent="0.25">
      <c r="B64" s="3"/>
      <c r="C64" s="18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Q64" s="7"/>
    </row>
    <row r="65" spans="2:20" s="7" customFormat="1" ht="20.100000000000001" customHeight="1" x14ac:dyDescent="0.25"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/>
      <c r="P65"/>
      <c r="S65" s="8"/>
      <c r="T65" s="8"/>
    </row>
    <row r="66" spans="2:20" s="7" customFormat="1" ht="20.100000000000001" customHeight="1" x14ac:dyDescent="0.25"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/>
      <c r="P66"/>
      <c r="S66" s="8"/>
      <c r="T66" s="8"/>
    </row>
    <row r="67" spans="2:20" s="7" customFormat="1" ht="20.100000000000001" customHeight="1" x14ac:dyDescent="0.25"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/>
      <c r="P67"/>
      <c r="S67" s="8"/>
      <c r="T67" s="8"/>
    </row>
    <row r="68" spans="2:20" s="7" customFormat="1" ht="20.100000000000001" customHeight="1" x14ac:dyDescent="0.25"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/>
      <c r="P68"/>
      <c r="S68" s="8"/>
      <c r="T68" s="8"/>
    </row>
    <row r="69" spans="2:20" s="7" customFormat="1" ht="20.100000000000001" customHeight="1" x14ac:dyDescent="0.25"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/>
      <c r="P69"/>
      <c r="S69" s="8"/>
      <c r="T69" s="8"/>
    </row>
    <row r="70" spans="2:20" s="7" customFormat="1" ht="20.100000000000001" customHeight="1" x14ac:dyDescent="0.25"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/>
      <c r="P70"/>
      <c r="S70" s="8"/>
      <c r="T70" s="8"/>
    </row>
    <row r="71" spans="2:20" s="7" customFormat="1" ht="20.100000000000001" customHeight="1" x14ac:dyDescent="0.25"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/>
      <c r="P71"/>
      <c r="S71" s="8"/>
      <c r="T71" s="8"/>
    </row>
    <row r="72" spans="2:20" s="7" customFormat="1" ht="20.100000000000001" customHeight="1" x14ac:dyDescent="0.25"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/>
      <c r="P72"/>
      <c r="S72" s="8"/>
      <c r="T72" s="8"/>
    </row>
    <row r="73" spans="2:20" s="7" customFormat="1" ht="20.100000000000001" customHeight="1" x14ac:dyDescent="0.25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/>
      <c r="P73"/>
      <c r="S73" s="8"/>
      <c r="T73" s="8"/>
    </row>
    <row r="74" spans="2:20" s="7" customFormat="1" ht="20.100000000000001" customHeight="1" x14ac:dyDescent="0.25"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/>
      <c r="P74"/>
      <c r="S74" s="8"/>
      <c r="T74" s="8"/>
    </row>
    <row r="75" spans="2:20" s="7" customFormat="1" ht="20.100000000000001" customHeight="1" x14ac:dyDescent="0.25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/>
      <c r="P75"/>
      <c r="S75" s="8"/>
      <c r="T75" s="8"/>
    </row>
    <row r="76" spans="2:20" s="7" customFormat="1" ht="20.100000000000001" customHeight="1" x14ac:dyDescent="0.25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/>
      <c r="P76"/>
      <c r="S76" s="8"/>
      <c r="T76" s="8"/>
    </row>
    <row r="77" spans="2:20" s="7" customFormat="1" ht="20.100000000000001" customHeight="1" x14ac:dyDescent="0.25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/>
      <c r="P77"/>
      <c r="Q77"/>
      <c r="S77" s="8"/>
      <c r="T77" s="8"/>
    </row>
    <row r="78" spans="2:20" s="7" customFormat="1" ht="20.100000000000001" customHeight="1" x14ac:dyDescent="0.25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2:20" s="7" customFormat="1" ht="20.100000000000001" customHeight="1" x14ac:dyDescent="0.25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2:20" s="7" customFormat="1" ht="20.100000000000001" customHeight="1" x14ac:dyDescent="0.25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AF126"/>
  <sheetViews>
    <sheetView view="pageBreakPreview" topLeftCell="C1" zoomScale="80" zoomScaleSheetLayoutView="80" workbookViewId="0">
      <selection activeCell="C3" sqref="C3:G3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60" t="s">
        <v>23</v>
      </c>
      <c r="C1" s="60"/>
      <c r="D1" s="60"/>
      <c r="E1" s="60"/>
      <c r="F1" s="60"/>
      <c r="G1" s="60"/>
      <c r="H1" s="60"/>
      <c r="I1" s="60"/>
      <c r="J1" s="60"/>
      <c r="K1" s="60"/>
      <c r="L1" s="60"/>
      <c r="M1" s="60"/>
      <c r="N1" s="60"/>
      <c r="O1" s="60"/>
      <c r="P1" s="60"/>
      <c r="Q1" s="60"/>
      <c r="R1" s="60"/>
      <c r="S1" s="60"/>
      <c r="T1" s="60"/>
      <c r="U1" s="60"/>
      <c r="V1" s="60"/>
      <c r="W1" s="60"/>
      <c r="X1" s="60"/>
      <c r="Y1" s="60"/>
      <c r="Z1" s="60"/>
      <c r="AA1" s="60"/>
      <c r="AB1" s="60"/>
      <c r="AC1" s="60"/>
      <c r="AD1" s="60"/>
      <c r="AE1" s="60"/>
    </row>
    <row r="2" spans="2:32" ht="20.100000000000001" customHeight="1" x14ac:dyDescent="0.25">
      <c r="B2" s="61" t="s">
        <v>95</v>
      </c>
      <c r="C2" s="61"/>
      <c r="D2" s="61"/>
      <c r="E2" s="61"/>
      <c r="F2" s="61"/>
      <c r="G2" s="61"/>
      <c r="H2" s="61"/>
      <c r="I2" s="61"/>
      <c r="J2" s="61"/>
      <c r="K2" s="61"/>
      <c r="L2" s="61"/>
      <c r="M2" s="61"/>
      <c r="N2" s="61"/>
      <c r="O2" s="61"/>
      <c r="P2" s="61"/>
      <c r="Q2" s="61"/>
      <c r="R2" s="61"/>
      <c r="S2" s="61"/>
      <c r="T2" s="61"/>
      <c r="U2" s="61"/>
      <c r="V2" s="61"/>
      <c r="W2" s="61"/>
      <c r="X2" s="61"/>
      <c r="Y2" s="61"/>
      <c r="Z2" s="61"/>
      <c r="AA2" s="61"/>
      <c r="AB2" s="61"/>
      <c r="AC2" s="61"/>
      <c r="AD2" s="61"/>
      <c r="AE2" s="61"/>
    </row>
    <row r="3" spans="2:32" ht="20.100000000000001" customHeight="1" x14ac:dyDescent="0.25">
      <c r="B3" s="22" t="s">
        <v>96</v>
      </c>
      <c r="C3" s="62" t="str">
        <f>'17.10 Butongole-Busembatya'!C3:G3</f>
        <v>BUTONGOLE-BUSEMBATYA</v>
      </c>
      <c r="D3" s="62"/>
      <c r="E3" s="62"/>
      <c r="F3" s="62"/>
      <c r="G3" s="62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52" t="str">
        <f>'22.10 Busembatya-Butongole'!D5</f>
        <v>22.10.2019</v>
      </c>
      <c r="E5" s="3"/>
      <c r="F5" s="41" t="s">
        <v>1</v>
      </c>
      <c r="G5" s="57" t="str">
        <f>'22.10 Busembatya-Butongole'!G5:H5</f>
        <v>NAMALEMBA</v>
      </c>
      <c r="H5" s="58"/>
      <c r="I5" s="14"/>
      <c r="J5" s="2" t="s">
        <v>5</v>
      </c>
      <c r="K5" s="57" t="s">
        <v>176</v>
      </c>
      <c r="L5" s="58"/>
      <c r="M5" s="10"/>
      <c r="N5" s="10"/>
      <c r="O5" s="3"/>
      <c r="P5" s="3"/>
    </row>
    <row r="6" spans="2:32" ht="23.25" customHeight="1" x14ac:dyDescent="0.25">
      <c r="C6" s="2" t="s">
        <v>4</v>
      </c>
      <c r="D6" s="57" t="s">
        <v>170</v>
      </c>
      <c r="E6" s="58"/>
      <c r="F6" s="2" t="s">
        <v>2</v>
      </c>
      <c r="G6" s="57" t="s">
        <v>171</v>
      </c>
      <c r="H6" s="58"/>
      <c r="J6" s="2" t="s">
        <v>21</v>
      </c>
      <c r="K6" s="57" t="s">
        <v>177</v>
      </c>
      <c r="L6" s="58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9" t="s">
        <v>88</v>
      </c>
      <c r="S8" s="59"/>
      <c r="T8" s="59"/>
      <c r="U8" s="59"/>
      <c r="V8" s="59"/>
      <c r="W8" s="59"/>
      <c r="X8" s="59"/>
      <c r="Y8" s="59"/>
      <c r="Z8" s="59"/>
      <c r="AA8" s="59"/>
      <c r="AB8" s="59"/>
      <c r="AC8" s="59"/>
      <c r="AD8" s="59"/>
      <c r="AE8" s="59"/>
      <c r="AF8" s="59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50">
        <v>5</v>
      </c>
      <c r="D10" s="50">
        <v>2</v>
      </c>
      <c r="E10" s="50">
        <v>4</v>
      </c>
      <c r="F10" s="50">
        <v>2</v>
      </c>
      <c r="G10" s="50">
        <v>0</v>
      </c>
      <c r="H10" s="50">
        <v>1</v>
      </c>
      <c r="I10" s="50">
        <v>3</v>
      </c>
      <c r="J10" s="50">
        <v>0</v>
      </c>
      <c r="K10" s="50">
        <v>2</v>
      </c>
      <c r="L10" s="50">
        <v>1</v>
      </c>
      <c r="M10" s="50">
        <v>12</v>
      </c>
      <c r="N10" s="50">
        <v>0</v>
      </c>
      <c r="O10" s="15">
        <f t="shared" ref="O10:O57" si="0">SUM(C10:L10,N10)</f>
        <v>20</v>
      </c>
      <c r="P10" s="15">
        <f t="shared" ref="P10:P57" si="1">SUM(C10:N10)</f>
        <v>32</v>
      </c>
      <c r="R10" s="1" t="s">
        <v>6</v>
      </c>
      <c r="S10" s="17">
        <f t="shared" ref="S10:AF10" si="2">SUM(C10:C13)</f>
        <v>11</v>
      </c>
      <c r="T10" s="17">
        <f t="shared" si="2"/>
        <v>4</v>
      </c>
      <c r="U10" s="17">
        <f t="shared" si="2"/>
        <v>14</v>
      </c>
      <c r="V10" s="17">
        <f t="shared" si="2"/>
        <v>12</v>
      </c>
      <c r="W10" s="17">
        <f t="shared" si="2"/>
        <v>0</v>
      </c>
      <c r="X10" s="17">
        <f t="shared" si="2"/>
        <v>2</v>
      </c>
      <c r="Y10" s="17">
        <f t="shared" si="2"/>
        <v>9</v>
      </c>
      <c r="Z10" s="17">
        <f t="shared" si="2"/>
        <v>3</v>
      </c>
      <c r="AA10" s="17">
        <f t="shared" si="2"/>
        <v>4</v>
      </c>
      <c r="AB10" s="17">
        <f t="shared" si="2"/>
        <v>3</v>
      </c>
      <c r="AC10" s="17">
        <f t="shared" si="2"/>
        <v>57</v>
      </c>
      <c r="AD10" s="17">
        <f t="shared" si="2"/>
        <v>0</v>
      </c>
      <c r="AE10" s="31">
        <f t="shared" si="2"/>
        <v>62</v>
      </c>
      <c r="AF10" s="31">
        <f t="shared" si="2"/>
        <v>119</v>
      </c>
    </row>
    <row r="11" spans="2:32" s="6" customFormat="1" ht="23.1" customHeight="1" x14ac:dyDescent="0.25">
      <c r="B11" s="23" t="s">
        <v>38</v>
      </c>
      <c r="C11" s="50">
        <v>2</v>
      </c>
      <c r="D11" s="50">
        <v>1</v>
      </c>
      <c r="E11" s="50">
        <v>2</v>
      </c>
      <c r="F11" s="50">
        <v>4</v>
      </c>
      <c r="G11" s="50">
        <v>0</v>
      </c>
      <c r="H11" s="50">
        <v>1</v>
      </c>
      <c r="I11" s="50">
        <v>4</v>
      </c>
      <c r="J11" s="50">
        <v>0</v>
      </c>
      <c r="K11" s="50">
        <v>2</v>
      </c>
      <c r="L11" s="50">
        <v>0</v>
      </c>
      <c r="M11" s="50">
        <v>17</v>
      </c>
      <c r="N11" s="50">
        <v>0</v>
      </c>
      <c r="O11" s="15">
        <f t="shared" si="0"/>
        <v>16</v>
      </c>
      <c r="P11" s="15">
        <f t="shared" si="1"/>
        <v>33</v>
      </c>
      <c r="R11" s="1" t="s">
        <v>7</v>
      </c>
      <c r="S11" s="17">
        <f t="shared" ref="S11:AF11" si="3">SUM(C14:C17)</f>
        <v>17</v>
      </c>
      <c r="T11" s="17">
        <f t="shared" si="3"/>
        <v>14</v>
      </c>
      <c r="U11" s="17">
        <f t="shared" si="3"/>
        <v>10</v>
      </c>
      <c r="V11" s="17">
        <f t="shared" si="3"/>
        <v>30</v>
      </c>
      <c r="W11" s="17">
        <f t="shared" si="3"/>
        <v>1</v>
      </c>
      <c r="X11" s="17">
        <f t="shared" si="3"/>
        <v>1</v>
      </c>
      <c r="Y11" s="17">
        <f t="shared" si="3"/>
        <v>5</v>
      </c>
      <c r="Z11" s="17">
        <f t="shared" si="3"/>
        <v>3</v>
      </c>
      <c r="AA11" s="17">
        <f t="shared" si="3"/>
        <v>4</v>
      </c>
      <c r="AB11" s="17">
        <f t="shared" si="3"/>
        <v>1</v>
      </c>
      <c r="AC11" s="17">
        <f t="shared" si="3"/>
        <v>57</v>
      </c>
      <c r="AD11" s="17">
        <f t="shared" si="3"/>
        <v>0</v>
      </c>
      <c r="AE11" s="31">
        <f t="shared" si="3"/>
        <v>86</v>
      </c>
      <c r="AF11" s="31">
        <f t="shared" si="3"/>
        <v>143</v>
      </c>
    </row>
    <row r="12" spans="2:32" ht="23.1" customHeight="1" x14ac:dyDescent="0.25">
      <c r="B12" s="23" t="s">
        <v>39</v>
      </c>
      <c r="C12" s="50">
        <v>3</v>
      </c>
      <c r="D12" s="50">
        <v>1</v>
      </c>
      <c r="E12" s="50">
        <v>5</v>
      </c>
      <c r="F12" s="50">
        <v>4</v>
      </c>
      <c r="G12" s="50">
        <v>0</v>
      </c>
      <c r="H12" s="50">
        <v>0</v>
      </c>
      <c r="I12" s="50">
        <v>1</v>
      </c>
      <c r="J12" s="50">
        <v>0</v>
      </c>
      <c r="K12" s="50">
        <v>0</v>
      </c>
      <c r="L12" s="50">
        <v>1</v>
      </c>
      <c r="M12" s="50">
        <v>10</v>
      </c>
      <c r="N12" s="50">
        <v>0</v>
      </c>
      <c r="O12" s="15">
        <f t="shared" si="0"/>
        <v>15</v>
      </c>
      <c r="P12" s="15">
        <f t="shared" si="1"/>
        <v>25</v>
      </c>
      <c r="R12" s="1" t="s">
        <v>8</v>
      </c>
      <c r="S12" s="17">
        <f t="shared" ref="S12:AF12" si="4">SUM(C18:C21)</f>
        <v>25</v>
      </c>
      <c r="T12" s="17">
        <f t="shared" si="4"/>
        <v>13</v>
      </c>
      <c r="U12" s="17">
        <f t="shared" si="4"/>
        <v>20</v>
      </c>
      <c r="V12" s="17">
        <f t="shared" si="4"/>
        <v>31</v>
      </c>
      <c r="W12" s="17">
        <f t="shared" si="4"/>
        <v>2</v>
      </c>
      <c r="X12" s="17">
        <f t="shared" si="4"/>
        <v>1</v>
      </c>
      <c r="Y12" s="17">
        <f t="shared" si="4"/>
        <v>3</v>
      </c>
      <c r="Z12" s="17">
        <f t="shared" si="4"/>
        <v>3</v>
      </c>
      <c r="AA12" s="17">
        <f t="shared" si="4"/>
        <v>1</v>
      </c>
      <c r="AB12" s="17">
        <f t="shared" si="4"/>
        <v>6</v>
      </c>
      <c r="AC12" s="17">
        <f t="shared" si="4"/>
        <v>50</v>
      </c>
      <c r="AD12" s="17">
        <f t="shared" si="4"/>
        <v>0</v>
      </c>
      <c r="AE12" s="31">
        <f t="shared" si="4"/>
        <v>105</v>
      </c>
      <c r="AF12" s="31">
        <f t="shared" si="4"/>
        <v>155</v>
      </c>
    </row>
    <row r="13" spans="2:32" ht="23.1" customHeight="1" x14ac:dyDescent="0.25">
      <c r="B13" s="23" t="s">
        <v>40</v>
      </c>
      <c r="C13" s="50">
        <v>1</v>
      </c>
      <c r="D13" s="50">
        <v>0</v>
      </c>
      <c r="E13" s="50">
        <v>3</v>
      </c>
      <c r="F13" s="50">
        <v>2</v>
      </c>
      <c r="G13" s="50">
        <v>0</v>
      </c>
      <c r="H13" s="50">
        <v>0</v>
      </c>
      <c r="I13" s="50">
        <v>1</v>
      </c>
      <c r="J13" s="50">
        <v>3</v>
      </c>
      <c r="K13" s="50">
        <v>0</v>
      </c>
      <c r="L13" s="50">
        <v>1</v>
      </c>
      <c r="M13" s="50">
        <v>18</v>
      </c>
      <c r="N13" s="50">
        <v>0</v>
      </c>
      <c r="O13" s="15">
        <f t="shared" si="0"/>
        <v>11</v>
      </c>
      <c r="P13" s="15">
        <f t="shared" si="1"/>
        <v>29</v>
      </c>
      <c r="R13" s="1" t="s">
        <v>9</v>
      </c>
      <c r="S13" s="17">
        <f t="shared" ref="S13:AF13" si="5">SUM(C22:C25)</f>
        <v>21</v>
      </c>
      <c r="T13" s="17">
        <f t="shared" si="5"/>
        <v>25</v>
      </c>
      <c r="U13" s="17">
        <f t="shared" si="5"/>
        <v>19</v>
      </c>
      <c r="V13" s="17">
        <f t="shared" si="5"/>
        <v>44</v>
      </c>
      <c r="W13" s="17">
        <f t="shared" si="5"/>
        <v>0</v>
      </c>
      <c r="X13" s="17">
        <f t="shared" si="5"/>
        <v>1</v>
      </c>
      <c r="Y13" s="17">
        <f t="shared" si="5"/>
        <v>5</v>
      </c>
      <c r="Z13" s="17">
        <f t="shared" si="5"/>
        <v>11</v>
      </c>
      <c r="AA13" s="17">
        <f t="shared" si="5"/>
        <v>0</v>
      </c>
      <c r="AB13" s="17">
        <f t="shared" si="5"/>
        <v>3</v>
      </c>
      <c r="AC13" s="17">
        <f t="shared" si="5"/>
        <v>55</v>
      </c>
      <c r="AD13" s="17">
        <f t="shared" si="5"/>
        <v>1</v>
      </c>
      <c r="AE13" s="31">
        <f t="shared" si="5"/>
        <v>130</v>
      </c>
      <c r="AF13" s="31">
        <f t="shared" si="5"/>
        <v>185</v>
      </c>
    </row>
    <row r="14" spans="2:32" ht="23.1" customHeight="1" x14ac:dyDescent="0.25">
      <c r="B14" s="23" t="s">
        <v>41</v>
      </c>
      <c r="C14" s="50">
        <v>4</v>
      </c>
      <c r="D14" s="50">
        <v>1</v>
      </c>
      <c r="E14" s="50">
        <v>1</v>
      </c>
      <c r="F14" s="50">
        <v>9</v>
      </c>
      <c r="G14" s="50">
        <v>0</v>
      </c>
      <c r="H14" s="50">
        <v>1</v>
      </c>
      <c r="I14" s="50">
        <v>1</v>
      </c>
      <c r="J14" s="50">
        <v>1</v>
      </c>
      <c r="K14" s="50">
        <v>1</v>
      </c>
      <c r="L14" s="50">
        <v>1</v>
      </c>
      <c r="M14" s="50">
        <v>14</v>
      </c>
      <c r="N14" s="50">
        <v>0</v>
      </c>
      <c r="O14" s="15">
        <f t="shared" si="0"/>
        <v>20</v>
      </c>
      <c r="P14" s="15">
        <f t="shared" si="1"/>
        <v>34</v>
      </c>
      <c r="R14" s="1" t="s">
        <v>10</v>
      </c>
      <c r="S14" s="17">
        <f t="shared" ref="S14:AF14" si="6">SUM(C26:C29)</f>
        <v>25</v>
      </c>
      <c r="T14" s="17">
        <f t="shared" si="6"/>
        <v>13</v>
      </c>
      <c r="U14" s="17">
        <f t="shared" si="6"/>
        <v>19</v>
      </c>
      <c r="V14" s="17">
        <f t="shared" si="6"/>
        <v>35</v>
      </c>
      <c r="W14" s="17">
        <f t="shared" si="6"/>
        <v>4</v>
      </c>
      <c r="X14" s="17">
        <f t="shared" si="6"/>
        <v>1</v>
      </c>
      <c r="Y14" s="17">
        <f t="shared" si="6"/>
        <v>2</v>
      </c>
      <c r="Z14" s="17">
        <f t="shared" si="6"/>
        <v>2</v>
      </c>
      <c r="AA14" s="17">
        <f t="shared" si="6"/>
        <v>2</v>
      </c>
      <c r="AB14" s="17">
        <f t="shared" si="6"/>
        <v>3</v>
      </c>
      <c r="AC14" s="17">
        <f t="shared" si="6"/>
        <v>58</v>
      </c>
      <c r="AD14" s="17">
        <f t="shared" si="6"/>
        <v>0</v>
      </c>
      <c r="AE14" s="31">
        <f t="shared" si="6"/>
        <v>106</v>
      </c>
      <c r="AF14" s="31">
        <f t="shared" si="6"/>
        <v>164</v>
      </c>
    </row>
    <row r="15" spans="2:32" ht="23.1" customHeight="1" x14ac:dyDescent="0.25">
      <c r="B15" s="23" t="s">
        <v>42</v>
      </c>
      <c r="C15" s="50">
        <v>5</v>
      </c>
      <c r="D15" s="50">
        <v>1</v>
      </c>
      <c r="E15" s="50">
        <v>0</v>
      </c>
      <c r="F15" s="50">
        <v>3</v>
      </c>
      <c r="G15" s="50">
        <v>0</v>
      </c>
      <c r="H15" s="50">
        <v>0</v>
      </c>
      <c r="I15" s="50">
        <v>1</v>
      </c>
      <c r="J15" s="50">
        <v>1</v>
      </c>
      <c r="K15" s="50">
        <v>0</v>
      </c>
      <c r="L15" s="50">
        <v>0</v>
      </c>
      <c r="M15" s="50">
        <v>17</v>
      </c>
      <c r="N15" s="50">
        <v>0</v>
      </c>
      <c r="O15" s="15">
        <f t="shared" si="0"/>
        <v>11</v>
      </c>
      <c r="P15" s="15">
        <f t="shared" si="1"/>
        <v>28</v>
      </c>
      <c r="R15" s="1" t="s">
        <v>11</v>
      </c>
      <c r="S15" s="17">
        <f t="shared" ref="S15:AF15" si="7">SUM(C30:C33)</f>
        <v>13</v>
      </c>
      <c r="T15" s="17">
        <f t="shared" si="7"/>
        <v>9</v>
      </c>
      <c r="U15" s="17">
        <f t="shared" si="7"/>
        <v>9</v>
      </c>
      <c r="V15" s="17">
        <f t="shared" si="7"/>
        <v>42</v>
      </c>
      <c r="W15" s="17">
        <f t="shared" si="7"/>
        <v>2</v>
      </c>
      <c r="X15" s="17">
        <f t="shared" si="7"/>
        <v>3</v>
      </c>
      <c r="Y15" s="17">
        <f t="shared" si="7"/>
        <v>5</v>
      </c>
      <c r="Z15" s="17">
        <f t="shared" si="7"/>
        <v>4</v>
      </c>
      <c r="AA15" s="17">
        <f t="shared" si="7"/>
        <v>3</v>
      </c>
      <c r="AB15" s="17">
        <f t="shared" si="7"/>
        <v>6</v>
      </c>
      <c r="AC15" s="17">
        <f t="shared" si="7"/>
        <v>42</v>
      </c>
      <c r="AD15" s="17">
        <f t="shared" si="7"/>
        <v>0</v>
      </c>
      <c r="AE15" s="31">
        <f t="shared" si="7"/>
        <v>96</v>
      </c>
      <c r="AF15" s="31">
        <f t="shared" si="7"/>
        <v>138</v>
      </c>
    </row>
    <row r="16" spans="2:32" ht="23.1" customHeight="1" x14ac:dyDescent="0.25">
      <c r="B16" s="23" t="s">
        <v>43</v>
      </c>
      <c r="C16" s="50">
        <v>6</v>
      </c>
      <c r="D16" s="50">
        <v>5</v>
      </c>
      <c r="E16" s="50">
        <v>6</v>
      </c>
      <c r="F16" s="50">
        <v>8</v>
      </c>
      <c r="G16" s="50">
        <v>0</v>
      </c>
      <c r="H16" s="50">
        <v>0</v>
      </c>
      <c r="I16" s="50">
        <v>2</v>
      </c>
      <c r="J16" s="50">
        <v>1</v>
      </c>
      <c r="K16" s="50">
        <v>1</v>
      </c>
      <c r="L16" s="50">
        <v>0</v>
      </c>
      <c r="M16" s="50">
        <v>17</v>
      </c>
      <c r="N16" s="50">
        <v>0</v>
      </c>
      <c r="O16" s="15">
        <f t="shared" si="0"/>
        <v>29</v>
      </c>
      <c r="P16" s="15">
        <f t="shared" si="1"/>
        <v>46</v>
      </c>
      <c r="R16" s="1" t="s">
        <v>12</v>
      </c>
      <c r="S16" s="17">
        <f t="shared" ref="S16:AF16" si="8">SUM(C34:C37)</f>
        <v>17</v>
      </c>
      <c r="T16" s="17">
        <f t="shared" si="8"/>
        <v>11</v>
      </c>
      <c r="U16" s="17">
        <f t="shared" si="8"/>
        <v>9</v>
      </c>
      <c r="V16" s="17">
        <f t="shared" si="8"/>
        <v>31</v>
      </c>
      <c r="W16" s="17">
        <f t="shared" si="8"/>
        <v>4</v>
      </c>
      <c r="X16" s="17">
        <f t="shared" si="8"/>
        <v>0</v>
      </c>
      <c r="Y16" s="17">
        <f t="shared" si="8"/>
        <v>2</v>
      </c>
      <c r="Z16" s="17">
        <f t="shared" si="8"/>
        <v>1</v>
      </c>
      <c r="AA16" s="17">
        <f t="shared" si="8"/>
        <v>2</v>
      </c>
      <c r="AB16" s="17">
        <f t="shared" si="8"/>
        <v>1</v>
      </c>
      <c r="AC16" s="17">
        <f t="shared" si="8"/>
        <v>35</v>
      </c>
      <c r="AD16" s="17">
        <f t="shared" si="8"/>
        <v>0</v>
      </c>
      <c r="AE16" s="31">
        <f t="shared" si="8"/>
        <v>78</v>
      </c>
      <c r="AF16" s="31">
        <f t="shared" si="8"/>
        <v>113</v>
      </c>
    </row>
    <row r="17" spans="2:32" ht="23.1" customHeight="1" x14ac:dyDescent="0.25">
      <c r="B17" s="23" t="s">
        <v>44</v>
      </c>
      <c r="C17" s="50">
        <v>2</v>
      </c>
      <c r="D17" s="50">
        <v>7</v>
      </c>
      <c r="E17" s="50">
        <v>3</v>
      </c>
      <c r="F17" s="50">
        <v>10</v>
      </c>
      <c r="G17" s="50">
        <v>1</v>
      </c>
      <c r="H17" s="50">
        <v>0</v>
      </c>
      <c r="I17" s="50">
        <v>1</v>
      </c>
      <c r="J17" s="50">
        <v>0</v>
      </c>
      <c r="K17" s="50">
        <v>2</v>
      </c>
      <c r="L17" s="50">
        <v>0</v>
      </c>
      <c r="M17" s="50">
        <v>9</v>
      </c>
      <c r="N17" s="50">
        <v>0</v>
      </c>
      <c r="O17" s="15">
        <f t="shared" si="0"/>
        <v>26</v>
      </c>
      <c r="P17" s="15">
        <f t="shared" si="1"/>
        <v>35</v>
      </c>
      <c r="R17" s="1" t="s">
        <v>13</v>
      </c>
      <c r="S17" s="17">
        <f t="shared" ref="S17:AF17" si="9">SUM(C38:C41)</f>
        <v>11</v>
      </c>
      <c r="T17" s="17">
        <f t="shared" si="9"/>
        <v>1</v>
      </c>
      <c r="U17" s="17">
        <f t="shared" si="9"/>
        <v>4</v>
      </c>
      <c r="V17" s="17">
        <f t="shared" si="9"/>
        <v>34</v>
      </c>
      <c r="W17" s="17">
        <f t="shared" si="9"/>
        <v>1</v>
      </c>
      <c r="X17" s="17">
        <f t="shared" si="9"/>
        <v>1</v>
      </c>
      <c r="Y17" s="17">
        <f t="shared" si="9"/>
        <v>1</v>
      </c>
      <c r="Z17" s="17">
        <f t="shared" si="9"/>
        <v>3</v>
      </c>
      <c r="AA17" s="17">
        <f t="shared" si="9"/>
        <v>0</v>
      </c>
      <c r="AB17" s="17">
        <f t="shared" si="9"/>
        <v>1</v>
      </c>
      <c r="AC17" s="17">
        <f t="shared" si="9"/>
        <v>32</v>
      </c>
      <c r="AD17" s="17">
        <f t="shared" si="9"/>
        <v>0</v>
      </c>
      <c r="AE17" s="31">
        <f t="shared" si="9"/>
        <v>57</v>
      </c>
      <c r="AF17" s="31">
        <f t="shared" si="9"/>
        <v>89</v>
      </c>
    </row>
    <row r="18" spans="2:32" ht="23.1" customHeight="1" x14ac:dyDescent="0.25">
      <c r="B18" s="23" t="s">
        <v>45</v>
      </c>
      <c r="C18" s="50">
        <v>4</v>
      </c>
      <c r="D18" s="50">
        <v>1</v>
      </c>
      <c r="E18" s="50">
        <v>5</v>
      </c>
      <c r="F18" s="50">
        <v>10</v>
      </c>
      <c r="G18" s="50">
        <v>1</v>
      </c>
      <c r="H18" s="50">
        <v>1</v>
      </c>
      <c r="I18" s="50">
        <v>0</v>
      </c>
      <c r="J18" s="50">
        <v>1</v>
      </c>
      <c r="K18" s="50">
        <v>1</v>
      </c>
      <c r="L18" s="50">
        <v>2</v>
      </c>
      <c r="M18" s="50">
        <v>16</v>
      </c>
      <c r="N18" s="50">
        <v>0</v>
      </c>
      <c r="O18" s="15">
        <f t="shared" si="0"/>
        <v>26</v>
      </c>
      <c r="P18" s="15">
        <f t="shared" si="1"/>
        <v>42</v>
      </c>
      <c r="R18" s="1" t="s">
        <v>14</v>
      </c>
      <c r="S18" s="17">
        <f t="shared" ref="S18:AF18" si="10">SUM(C42:C45)</f>
        <v>14</v>
      </c>
      <c r="T18" s="17">
        <f t="shared" si="10"/>
        <v>12</v>
      </c>
      <c r="U18" s="17">
        <f t="shared" si="10"/>
        <v>9</v>
      </c>
      <c r="V18" s="17">
        <f t="shared" si="10"/>
        <v>52</v>
      </c>
      <c r="W18" s="17">
        <f t="shared" si="10"/>
        <v>2</v>
      </c>
      <c r="X18" s="17">
        <f t="shared" si="10"/>
        <v>3</v>
      </c>
      <c r="Y18" s="17">
        <f t="shared" si="10"/>
        <v>5</v>
      </c>
      <c r="Z18" s="17">
        <f t="shared" si="10"/>
        <v>12</v>
      </c>
      <c r="AA18" s="17">
        <f t="shared" si="10"/>
        <v>1</v>
      </c>
      <c r="AB18" s="17">
        <f t="shared" si="10"/>
        <v>7</v>
      </c>
      <c r="AC18" s="17">
        <f t="shared" si="10"/>
        <v>53</v>
      </c>
      <c r="AD18" s="17">
        <f t="shared" si="10"/>
        <v>1</v>
      </c>
      <c r="AE18" s="31">
        <f t="shared" si="10"/>
        <v>118</v>
      </c>
      <c r="AF18" s="31">
        <f t="shared" si="10"/>
        <v>171</v>
      </c>
    </row>
    <row r="19" spans="2:32" ht="23.1" customHeight="1" x14ac:dyDescent="0.25">
      <c r="B19" s="23" t="s">
        <v>46</v>
      </c>
      <c r="C19" s="50">
        <v>9</v>
      </c>
      <c r="D19" s="50">
        <v>5</v>
      </c>
      <c r="E19" s="50">
        <v>1</v>
      </c>
      <c r="F19" s="50">
        <v>8</v>
      </c>
      <c r="G19" s="50">
        <v>1</v>
      </c>
      <c r="H19" s="50">
        <v>0</v>
      </c>
      <c r="I19" s="50">
        <v>1</v>
      </c>
      <c r="J19" s="50">
        <v>2</v>
      </c>
      <c r="K19" s="50">
        <v>0</v>
      </c>
      <c r="L19" s="50">
        <v>1</v>
      </c>
      <c r="M19" s="50">
        <v>13</v>
      </c>
      <c r="N19" s="50">
        <v>0</v>
      </c>
      <c r="O19" s="15">
        <f t="shared" si="0"/>
        <v>28</v>
      </c>
      <c r="P19" s="15">
        <f t="shared" si="1"/>
        <v>41</v>
      </c>
      <c r="R19" s="1" t="s">
        <v>15</v>
      </c>
      <c r="S19" s="17">
        <f t="shared" ref="S19:AF19" si="11">SUM(C46:C49)</f>
        <v>12</v>
      </c>
      <c r="T19" s="17">
        <f t="shared" si="11"/>
        <v>4</v>
      </c>
      <c r="U19" s="17">
        <f t="shared" si="11"/>
        <v>6</v>
      </c>
      <c r="V19" s="17">
        <f t="shared" si="11"/>
        <v>26</v>
      </c>
      <c r="W19" s="17">
        <f t="shared" si="11"/>
        <v>0</v>
      </c>
      <c r="X19" s="17">
        <f t="shared" si="11"/>
        <v>0</v>
      </c>
      <c r="Y19" s="17">
        <f t="shared" si="11"/>
        <v>7</v>
      </c>
      <c r="Z19" s="17">
        <f t="shared" si="11"/>
        <v>5</v>
      </c>
      <c r="AA19" s="17">
        <f t="shared" si="11"/>
        <v>7</v>
      </c>
      <c r="AB19" s="17">
        <f t="shared" si="11"/>
        <v>3</v>
      </c>
      <c r="AC19" s="17">
        <f t="shared" si="11"/>
        <v>38</v>
      </c>
      <c r="AD19" s="17">
        <f t="shared" si="11"/>
        <v>0</v>
      </c>
      <c r="AE19" s="31">
        <f t="shared" si="11"/>
        <v>70</v>
      </c>
      <c r="AF19" s="31">
        <f t="shared" si="11"/>
        <v>108</v>
      </c>
    </row>
    <row r="20" spans="2:32" ht="23.1" customHeight="1" x14ac:dyDescent="0.25">
      <c r="B20" s="23" t="s">
        <v>47</v>
      </c>
      <c r="C20" s="50">
        <v>6</v>
      </c>
      <c r="D20" s="50">
        <v>2</v>
      </c>
      <c r="E20" s="50">
        <v>5</v>
      </c>
      <c r="F20" s="50">
        <v>6</v>
      </c>
      <c r="G20" s="50">
        <v>0</v>
      </c>
      <c r="H20" s="50">
        <v>0</v>
      </c>
      <c r="I20" s="50">
        <v>2</v>
      </c>
      <c r="J20" s="50">
        <v>0</v>
      </c>
      <c r="K20" s="50">
        <v>0</v>
      </c>
      <c r="L20" s="50">
        <v>0</v>
      </c>
      <c r="M20" s="50">
        <v>18</v>
      </c>
      <c r="N20" s="50">
        <v>0</v>
      </c>
      <c r="O20" s="15">
        <f t="shared" si="0"/>
        <v>21</v>
      </c>
      <c r="P20" s="15">
        <f t="shared" si="1"/>
        <v>39</v>
      </c>
      <c r="R20" s="1" t="s">
        <v>16</v>
      </c>
      <c r="S20" s="17">
        <f t="shared" ref="S20:AF20" si="12">SUM(C50:C53)</f>
        <v>9</v>
      </c>
      <c r="T20" s="17">
        <f t="shared" si="12"/>
        <v>7</v>
      </c>
      <c r="U20" s="17">
        <f t="shared" si="12"/>
        <v>12</v>
      </c>
      <c r="V20" s="17">
        <f t="shared" si="12"/>
        <v>35</v>
      </c>
      <c r="W20" s="17">
        <f t="shared" si="12"/>
        <v>1</v>
      </c>
      <c r="X20" s="17">
        <f t="shared" si="12"/>
        <v>1</v>
      </c>
      <c r="Y20" s="17">
        <f t="shared" si="12"/>
        <v>3</v>
      </c>
      <c r="Z20" s="17">
        <f t="shared" si="12"/>
        <v>7</v>
      </c>
      <c r="AA20" s="17">
        <f t="shared" si="12"/>
        <v>4</v>
      </c>
      <c r="AB20" s="17">
        <f t="shared" si="12"/>
        <v>6</v>
      </c>
      <c r="AC20" s="17">
        <f t="shared" si="12"/>
        <v>34</v>
      </c>
      <c r="AD20" s="17">
        <f t="shared" si="12"/>
        <v>0</v>
      </c>
      <c r="AE20" s="31">
        <f t="shared" si="12"/>
        <v>85</v>
      </c>
      <c r="AF20" s="31">
        <f t="shared" si="12"/>
        <v>119</v>
      </c>
    </row>
    <row r="21" spans="2:32" ht="23.1" customHeight="1" x14ac:dyDescent="0.25">
      <c r="B21" s="23" t="s">
        <v>48</v>
      </c>
      <c r="C21" s="50">
        <v>6</v>
      </c>
      <c r="D21" s="50">
        <v>5</v>
      </c>
      <c r="E21" s="50">
        <v>9</v>
      </c>
      <c r="F21" s="50">
        <v>7</v>
      </c>
      <c r="G21" s="50">
        <v>0</v>
      </c>
      <c r="H21" s="50">
        <v>0</v>
      </c>
      <c r="I21" s="50">
        <v>0</v>
      </c>
      <c r="J21" s="50">
        <v>0</v>
      </c>
      <c r="K21" s="50">
        <v>0</v>
      </c>
      <c r="L21" s="50">
        <v>3</v>
      </c>
      <c r="M21" s="50">
        <v>3</v>
      </c>
      <c r="N21" s="50">
        <v>0</v>
      </c>
      <c r="O21" s="15">
        <f t="shared" si="0"/>
        <v>30</v>
      </c>
      <c r="P21" s="15">
        <f t="shared" si="1"/>
        <v>33</v>
      </c>
      <c r="R21" s="36" t="s">
        <v>20</v>
      </c>
      <c r="S21" s="34">
        <f t="shared" ref="S21:AF21" si="13">SUM(C54:C57)</f>
        <v>18</v>
      </c>
      <c r="T21" s="17">
        <f t="shared" si="13"/>
        <v>5</v>
      </c>
      <c r="U21" s="17">
        <f t="shared" si="13"/>
        <v>11</v>
      </c>
      <c r="V21" s="17">
        <f t="shared" si="13"/>
        <v>40</v>
      </c>
      <c r="W21" s="17">
        <f t="shared" si="13"/>
        <v>1</v>
      </c>
      <c r="X21" s="17">
        <f t="shared" si="13"/>
        <v>1</v>
      </c>
      <c r="Y21" s="17">
        <f t="shared" si="13"/>
        <v>5</v>
      </c>
      <c r="Z21" s="17">
        <f t="shared" si="13"/>
        <v>6</v>
      </c>
      <c r="AA21" s="17">
        <f t="shared" si="13"/>
        <v>2</v>
      </c>
      <c r="AB21" s="17">
        <f t="shared" si="13"/>
        <v>2</v>
      </c>
      <c r="AC21" s="17">
        <f t="shared" si="13"/>
        <v>53</v>
      </c>
      <c r="AD21" s="17">
        <f t="shared" si="13"/>
        <v>0</v>
      </c>
      <c r="AE21" s="31">
        <f t="shared" si="13"/>
        <v>91</v>
      </c>
      <c r="AF21" s="31">
        <f t="shared" si="13"/>
        <v>144</v>
      </c>
    </row>
    <row r="22" spans="2:32" ht="23.1" customHeight="1" x14ac:dyDescent="0.25">
      <c r="B22" s="23" t="s">
        <v>49</v>
      </c>
      <c r="C22" s="50">
        <v>4</v>
      </c>
      <c r="D22" s="50">
        <v>6</v>
      </c>
      <c r="E22" s="50">
        <v>4</v>
      </c>
      <c r="F22" s="50">
        <v>8</v>
      </c>
      <c r="G22" s="50">
        <v>0</v>
      </c>
      <c r="H22" s="50">
        <v>1</v>
      </c>
      <c r="I22" s="50">
        <v>1</v>
      </c>
      <c r="J22" s="50">
        <v>4</v>
      </c>
      <c r="K22" s="50">
        <v>0</v>
      </c>
      <c r="L22" s="50">
        <v>0</v>
      </c>
      <c r="M22" s="50">
        <v>18</v>
      </c>
      <c r="N22" s="50">
        <v>0</v>
      </c>
      <c r="O22" s="15">
        <f t="shared" si="0"/>
        <v>28</v>
      </c>
      <c r="P22" s="15">
        <f t="shared" si="1"/>
        <v>46</v>
      </c>
      <c r="R22" s="38" t="s">
        <v>90</v>
      </c>
      <c r="S22" s="39">
        <f>MAX(S10:S12)</f>
        <v>25</v>
      </c>
      <c r="T22" s="39">
        <f t="shared" ref="T22:AF22" si="14">MAX(T10:T12)</f>
        <v>14</v>
      </c>
      <c r="U22" s="39">
        <f t="shared" si="14"/>
        <v>20</v>
      </c>
      <c r="V22" s="39">
        <f t="shared" si="14"/>
        <v>31</v>
      </c>
      <c r="W22" s="39">
        <f t="shared" si="14"/>
        <v>2</v>
      </c>
      <c r="X22" s="39">
        <f t="shared" si="14"/>
        <v>2</v>
      </c>
      <c r="Y22" s="39">
        <f t="shared" si="14"/>
        <v>9</v>
      </c>
      <c r="Z22" s="39">
        <f t="shared" si="14"/>
        <v>3</v>
      </c>
      <c r="AA22" s="39">
        <f t="shared" si="14"/>
        <v>4</v>
      </c>
      <c r="AB22" s="39">
        <f t="shared" si="14"/>
        <v>6</v>
      </c>
      <c r="AC22" s="39">
        <f t="shared" si="14"/>
        <v>57</v>
      </c>
      <c r="AD22" s="39">
        <f t="shared" si="14"/>
        <v>0</v>
      </c>
      <c r="AE22" s="40">
        <f t="shared" si="14"/>
        <v>105</v>
      </c>
      <c r="AF22" s="40">
        <f t="shared" si="14"/>
        <v>155</v>
      </c>
    </row>
    <row r="23" spans="2:32" ht="23.1" customHeight="1" x14ac:dyDescent="0.25">
      <c r="B23" s="23" t="s">
        <v>50</v>
      </c>
      <c r="C23" s="50">
        <v>6</v>
      </c>
      <c r="D23" s="50">
        <v>7</v>
      </c>
      <c r="E23" s="50">
        <v>2</v>
      </c>
      <c r="F23" s="50">
        <v>13</v>
      </c>
      <c r="G23" s="50">
        <v>0</v>
      </c>
      <c r="H23" s="50">
        <v>0</v>
      </c>
      <c r="I23" s="50">
        <v>3</v>
      </c>
      <c r="J23" s="50">
        <v>0</v>
      </c>
      <c r="K23" s="50">
        <v>0</v>
      </c>
      <c r="L23" s="50">
        <v>0</v>
      </c>
      <c r="M23" s="50">
        <v>5</v>
      </c>
      <c r="N23" s="50">
        <v>0</v>
      </c>
      <c r="O23" s="15">
        <f t="shared" si="0"/>
        <v>31</v>
      </c>
      <c r="P23" s="15">
        <f t="shared" si="1"/>
        <v>36</v>
      </c>
      <c r="R23" s="38" t="s">
        <v>91</v>
      </c>
      <c r="S23" s="39">
        <f>MAX(S13:S18)</f>
        <v>25</v>
      </c>
      <c r="T23" s="39">
        <f t="shared" ref="T23:AF23" si="15">MAX(T13:T18)</f>
        <v>25</v>
      </c>
      <c r="U23" s="39">
        <f t="shared" si="15"/>
        <v>19</v>
      </c>
      <c r="V23" s="39">
        <f t="shared" si="15"/>
        <v>52</v>
      </c>
      <c r="W23" s="39">
        <f t="shared" si="15"/>
        <v>4</v>
      </c>
      <c r="X23" s="39">
        <f t="shared" si="15"/>
        <v>3</v>
      </c>
      <c r="Y23" s="39">
        <f t="shared" si="15"/>
        <v>5</v>
      </c>
      <c r="Z23" s="39">
        <f t="shared" si="15"/>
        <v>12</v>
      </c>
      <c r="AA23" s="39">
        <f t="shared" si="15"/>
        <v>3</v>
      </c>
      <c r="AB23" s="39">
        <f t="shared" si="15"/>
        <v>7</v>
      </c>
      <c r="AC23" s="39">
        <f t="shared" si="15"/>
        <v>58</v>
      </c>
      <c r="AD23" s="39">
        <f t="shared" si="15"/>
        <v>1</v>
      </c>
      <c r="AE23" s="40">
        <f t="shared" si="15"/>
        <v>130</v>
      </c>
      <c r="AF23" s="40">
        <f t="shared" si="15"/>
        <v>185</v>
      </c>
    </row>
    <row r="24" spans="2:32" ht="23.1" customHeight="1" x14ac:dyDescent="0.25">
      <c r="B24" s="23" t="s">
        <v>51</v>
      </c>
      <c r="C24" s="50">
        <v>1</v>
      </c>
      <c r="D24" s="50">
        <v>8</v>
      </c>
      <c r="E24" s="50">
        <v>5</v>
      </c>
      <c r="F24" s="50">
        <v>6</v>
      </c>
      <c r="G24" s="50">
        <v>0</v>
      </c>
      <c r="H24" s="50">
        <v>0</v>
      </c>
      <c r="I24" s="50">
        <v>0</v>
      </c>
      <c r="J24" s="50">
        <v>2</v>
      </c>
      <c r="K24" s="50">
        <v>0</v>
      </c>
      <c r="L24" s="50">
        <v>0</v>
      </c>
      <c r="M24" s="50">
        <v>18</v>
      </c>
      <c r="N24" s="50">
        <v>0</v>
      </c>
      <c r="O24" s="15">
        <f t="shared" si="0"/>
        <v>22</v>
      </c>
      <c r="P24" s="15">
        <f t="shared" si="1"/>
        <v>40</v>
      </c>
      <c r="R24" s="38" t="s">
        <v>92</v>
      </c>
      <c r="S24" s="39">
        <f>MAX(S19:S21)</f>
        <v>18</v>
      </c>
      <c r="T24" s="39">
        <f t="shared" ref="T24:AF24" si="16">MAX(T19:T21)</f>
        <v>7</v>
      </c>
      <c r="U24" s="39">
        <f t="shared" si="16"/>
        <v>12</v>
      </c>
      <c r="V24" s="39">
        <f t="shared" si="16"/>
        <v>40</v>
      </c>
      <c r="W24" s="39">
        <f t="shared" si="16"/>
        <v>1</v>
      </c>
      <c r="X24" s="39">
        <f t="shared" si="16"/>
        <v>1</v>
      </c>
      <c r="Y24" s="39">
        <f t="shared" si="16"/>
        <v>7</v>
      </c>
      <c r="Z24" s="39">
        <f t="shared" si="16"/>
        <v>7</v>
      </c>
      <c r="AA24" s="39">
        <f t="shared" si="16"/>
        <v>7</v>
      </c>
      <c r="AB24" s="39">
        <f t="shared" si="16"/>
        <v>6</v>
      </c>
      <c r="AC24" s="39">
        <f t="shared" si="16"/>
        <v>53</v>
      </c>
      <c r="AD24" s="39">
        <f t="shared" si="16"/>
        <v>0</v>
      </c>
      <c r="AE24" s="40">
        <f t="shared" si="16"/>
        <v>91</v>
      </c>
      <c r="AF24" s="40">
        <f t="shared" si="16"/>
        <v>144</v>
      </c>
    </row>
    <row r="25" spans="2:32" ht="23.1" customHeight="1" x14ac:dyDescent="0.25">
      <c r="B25" s="23" t="s">
        <v>52</v>
      </c>
      <c r="C25" s="50">
        <v>10</v>
      </c>
      <c r="D25" s="50">
        <v>4</v>
      </c>
      <c r="E25" s="50">
        <v>8</v>
      </c>
      <c r="F25" s="50">
        <v>17</v>
      </c>
      <c r="G25" s="50">
        <v>0</v>
      </c>
      <c r="H25" s="50">
        <v>0</v>
      </c>
      <c r="I25" s="50">
        <v>1</v>
      </c>
      <c r="J25" s="50">
        <v>5</v>
      </c>
      <c r="K25" s="50">
        <v>0</v>
      </c>
      <c r="L25" s="50">
        <v>3</v>
      </c>
      <c r="M25" s="50">
        <v>14</v>
      </c>
      <c r="N25" s="50">
        <v>1</v>
      </c>
      <c r="O25" s="15">
        <f t="shared" si="0"/>
        <v>49</v>
      </c>
      <c r="P25" s="15">
        <f t="shared" si="1"/>
        <v>63</v>
      </c>
      <c r="R25" s="37" t="s">
        <v>85</v>
      </c>
      <c r="S25" s="35">
        <f t="shared" ref="S25:AF25" si="17">SUM(S10:S12)</f>
        <v>53</v>
      </c>
      <c r="T25" s="16">
        <f t="shared" si="17"/>
        <v>31</v>
      </c>
      <c r="U25" s="16">
        <f t="shared" si="17"/>
        <v>44</v>
      </c>
      <c r="V25" s="16">
        <f t="shared" si="17"/>
        <v>73</v>
      </c>
      <c r="W25" s="16">
        <f t="shared" si="17"/>
        <v>3</v>
      </c>
      <c r="X25" s="16">
        <f t="shared" si="17"/>
        <v>4</v>
      </c>
      <c r="Y25" s="16">
        <f t="shared" si="17"/>
        <v>17</v>
      </c>
      <c r="Z25" s="16">
        <f t="shared" si="17"/>
        <v>9</v>
      </c>
      <c r="AA25" s="16">
        <f t="shared" si="17"/>
        <v>9</v>
      </c>
      <c r="AB25" s="16">
        <f t="shared" si="17"/>
        <v>10</v>
      </c>
      <c r="AC25" s="16">
        <f t="shared" si="17"/>
        <v>164</v>
      </c>
      <c r="AD25" s="16">
        <f t="shared" si="17"/>
        <v>0</v>
      </c>
      <c r="AE25" s="32">
        <f t="shared" si="17"/>
        <v>253</v>
      </c>
      <c r="AF25" s="32">
        <f t="shared" si="17"/>
        <v>417</v>
      </c>
    </row>
    <row r="26" spans="2:32" ht="23.1" customHeight="1" x14ac:dyDescent="0.25">
      <c r="B26" s="23" t="s">
        <v>53</v>
      </c>
      <c r="C26" s="50">
        <v>4</v>
      </c>
      <c r="D26" s="50">
        <v>2</v>
      </c>
      <c r="E26" s="50">
        <v>2</v>
      </c>
      <c r="F26" s="50">
        <v>5</v>
      </c>
      <c r="G26" s="50">
        <v>1</v>
      </c>
      <c r="H26" s="50">
        <v>0</v>
      </c>
      <c r="I26" s="50">
        <v>2</v>
      </c>
      <c r="J26" s="50">
        <v>1</v>
      </c>
      <c r="K26" s="50">
        <v>0</v>
      </c>
      <c r="L26" s="50">
        <v>1</v>
      </c>
      <c r="M26" s="50">
        <v>8</v>
      </c>
      <c r="N26" s="50">
        <v>0</v>
      </c>
      <c r="O26" s="15">
        <f t="shared" si="0"/>
        <v>18</v>
      </c>
      <c r="P26" s="15">
        <f t="shared" si="1"/>
        <v>26</v>
      </c>
      <c r="R26" s="28" t="s">
        <v>86</v>
      </c>
      <c r="S26" s="16">
        <f t="shared" ref="S26:AF26" si="18">SUM(S13:S18)</f>
        <v>101</v>
      </c>
      <c r="T26" s="16">
        <f t="shared" si="18"/>
        <v>71</v>
      </c>
      <c r="U26" s="16">
        <f t="shared" si="18"/>
        <v>69</v>
      </c>
      <c r="V26" s="16">
        <f t="shared" si="18"/>
        <v>238</v>
      </c>
      <c r="W26" s="16">
        <f t="shared" si="18"/>
        <v>13</v>
      </c>
      <c r="X26" s="16">
        <f t="shared" si="18"/>
        <v>9</v>
      </c>
      <c r="Y26" s="16">
        <f t="shared" si="18"/>
        <v>20</v>
      </c>
      <c r="Z26" s="16">
        <f t="shared" si="18"/>
        <v>33</v>
      </c>
      <c r="AA26" s="16">
        <f t="shared" si="18"/>
        <v>8</v>
      </c>
      <c r="AB26" s="16">
        <f t="shared" si="18"/>
        <v>21</v>
      </c>
      <c r="AC26" s="16">
        <f t="shared" si="18"/>
        <v>275</v>
      </c>
      <c r="AD26" s="16">
        <f t="shared" si="18"/>
        <v>2</v>
      </c>
      <c r="AE26" s="32">
        <f t="shared" si="18"/>
        <v>585</v>
      </c>
      <c r="AF26" s="32">
        <f t="shared" si="18"/>
        <v>860</v>
      </c>
    </row>
    <row r="27" spans="2:32" ht="23.1" customHeight="1" x14ac:dyDescent="0.25">
      <c r="B27" s="23" t="s">
        <v>54</v>
      </c>
      <c r="C27" s="50">
        <v>8</v>
      </c>
      <c r="D27" s="50">
        <v>3</v>
      </c>
      <c r="E27" s="50">
        <v>8</v>
      </c>
      <c r="F27" s="50">
        <v>11</v>
      </c>
      <c r="G27" s="50">
        <v>0</v>
      </c>
      <c r="H27" s="50">
        <v>1</v>
      </c>
      <c r="I27" s="50">
        <v>0</v>
      </c>
      <c r="J27" s="50">
        <v>0</v>
      </c>
      <c r="K27" s="50">
        <v>0</v>
      </c>
      <c r="L27" s="50">
        <v>1</v>
      </c>
      <c r="M27" s="50">
        <v>14</v>
      </c>
      <c r="N27" s="50">
        <v>0</v>
      </c>
      <c r="O27" s="15">
        <f t="shared" si="0"/>
        <v>32</v>
      </c>
      <c r="P27" s="15">
        <f t="shared" si="1"/>
        <v>46</v>
      </c>
      <c r="R27" s="29" t="s">
        <v>87</v>
      </c>
      <c r="S27" s="16">
        <f t="shared" ref="S27:AF27" si="19">SUM(S19:S21)</f>
        <v>39</v>
      </c>
      <c r="T27" s="16">
        <f t="shared" si="19"/>
        <v>16</v>
      </c>
      <c r="U27" s="16">
        <f t="shared" si="19"/>
        <v>29</v>
      </c>
      <c r="V27" s="16">
        <f t="shared" si="19"/>
        <v>101</v>
      </c>
      <c r="W27" s="16">
        <f t="shared" si="19"/>
        <v>2</v>
      </c>
      <c r="X27" s="16">
        <f t="shared" si="19"/>
        <v>2</v>
      </c>
      <c r="Y27" s="16">
        <f t="shared" si="19"/>
        <v>15</v>
      </c>
      <c r="Z27" s="16">
        <f t="shared" si="19"/>
        <v>18</v>
      </c>
      <c r="AA27" s="16">
        <f t="shared" si="19"/>
        <v>13</v>
      </c>
      <c r="AB27" s="16">
        <f t="shared" si="19"/>
        <v>11</v>
      </c>
      <c r="AC27" s="16">
        <f t="shared" si="19"/>
        <v>125</v>
      </c>
      <c r="AD27" s="16">
        <f t="shared" si="19"/>
        <v>0</v>
      </c>
      <c r="AE27" s="32">
        <f t="shared" si="19"/>
        <v>246</v>
      </c>
      <c r="AF27" s="32">
        <f t="shared" si="19"/>
        <v>371</v>
      </c>
    </row>
    <row r="28" spans="2:32" ht="23.1" customHeight="1" x14ac:dyDescent="0.25">
      <c r="B28" s="23" t="s">
        <v>55</v>
      </c>
      <c r="C28" s="50">
        <v>8</v>
      </c>
      <c r="D28" s="50">
        <v>3</v>
      </c>
      <c r="E28" s="50">
        <v>7</v>
      </c>
      <c r="F28" s="50">
        <v>8</v>
      </c>
      <c r="G28" s="50">
        <v>2</v>
      </c>
      <c r="H28" s="50">
        <v>0</v>
      </c>
      <c r="I28" s="50">
        <v>0</v>
      </c>
      <c r="J28" s="50">
        <v>0</v>
      </c>
      <c r="K28" s="50">
        <v>1</v>
      </c>
      <c r="L28" s="50">
        <v>1</v>
      </c>
      <c r="M28" s="50">
        <v>15</v>
      </c>
      <c r="N28" s="50">
        <v>0</v>
      </c>
      <c r="O28" s="15">
        <f t="shared" si="0"/>
        <v>30</v>
      </c>
      <c r="P28" s="15">
        <f t="shared" si="1"/>
        <v>45</v>
      </c>
      <c r="R28" s="5" t="s">
        <v>17</v>
      </c>
      <c r="S28" s="16">
        <f t="shared" ref="S28:AF28" si="20">SUM(S10:S21)</f>
        <v>193</v>
      </c>
      <c r="T28" s="16">
        <f t="shared" si="20"/>
        <v>118</v>
      </c>
      <c r="U28" s="16">
        <f t="shared" si="20"/>
        <v>142</v>
      </c>
      <c r="V28" s="16">
        <f t="shared" si="20"/>
        <v>412</v>
      </c>
      <c r="W28" s="16">
        <f t="shared" si="20"/>
        <v>18</v>
      </c>
      <c r="X28" s="16">
        <f t="shared" si="20"/>
        <v>15</v>
      </c>
      <c r="Y28" s="16">
        <f t="shared" si="20"/>
        <v>52</v>
      </c>
      <c r="Z28" s="16">
        <f t="shared" si="20"/>
        <v>60</v>
      </c>
      <c r="AA28" s="16">
        <f t="shared" si="20"/>
        <v>30</v>
      </c>
      <c r="AB28" s="16">
        <f t="shared" si="20"/>
        <v>42</v>
      </c>
      <c r="AC28" s="16">
        <f t="shared" si="20"/>
        <v>564</v>
      </c>
      <c r="AD28" s="16">
        <f t="shared" si="20"/>
        <v>2</v>
      </c>
      <c r="AE28" s="32">
        <f t="shared" si="20"/>
        <v>1084</v>
      </c>
      <c r="AF28" s="32">
        <f t="shared" si="20"/>
        <v>1648</v>
      </c>
    </row>
    <row r="29" spans="2:32" ht="23.1" customHeight="1" x14ac:dyDescent="0.25">
      <c r="B29" s="23" t="s">
        <v>56</v>
      </c>
      <c r="C29" s="50">
        <v>5</v>
      </c>
      <c r="D29" s="50">
        <v>5</v>
      </c>
      <c r="E29" s="50">
        <v>2</v>
      </c>
      <c r="F29" s="50">
        <v>11</v>
      </c>
      <c r="G29" s="50">
        <v>1</v>
      </c>
      <c r="H29" s="50">
        <v>0</v>
      </c>
      <c r="I29" s="50">
        <v>0</v>
      </c>
      <c r="J29" s="50">
        <v>1</v>
      </c>
      <c r="K29" s="50">
        <v>1</v>
      </c>
      <c r="L29" s="50">
        <v>0</v>
      </c>
      <c r="M29" s="50">
        <v>21</v>
      </c>
      <c r="N29" s="50">
        <v>0</v>
      </c>
      <c r="O29" s="15">
        <f t="shared" si="0"/>
        <v>26</v>
      </c>
      <c r="P29" s="15">
        <f t="shared" si="1"/>
        <v>47</v>
      </c>
      <c r="R29"/>
      <c r="S29" s="20"/>
      <c r="T29" s="19"/>
    </row>
    <row r="30" spans="2:32" ht="23.1" customHeight="1" x14ac:dyDescent="0.25">
      <c r="B30" s="23" t="s">
        <v>57</v>
      </c>
      <c r="C30" s="50">
        <v>6</v>
      </c>
      <c r="D30" s="50">
        <v>2</v>
      </c>
      <c r="E30" s="50">
        <v>2</v>
      </c>
      <c r="F30" s="50">
        <v>10</v>
      </c>
      <c r="G30" s="50">
        <v>0</v>
      </c>
      <c r="H30" s="50">
        <v>0</v>
      </c>
      <c r="I30" s="50">
        <v>2</v>
      </c>
      <c r="J30" s="50">
        <v>3</v>
      </c>
      <c r="K30" s="50">
        <v>1</v>
      </c>
      <c r="L30" s="50">
        <v>1</v>
      </c>
      <c r="M30" s="50">
        <v>5</v>
      </c>
      <c r="N30" s="50">
        <v>0</v>
      </c>
      <c r="O30" s="15">
        <f t="shared" si="0"/>
        <v>27</v>
      </c>
      <c r="P30" s="15">
        <f t="shared" si="1"/>
        <v>32</v>
      </c>
    </row>
    <row r="31" spans="2:32" ht="23.1" customHeight="1" x14ac:dyDescent="0.25">
      <c r="B31" s="24" t="s">
        <v>58</v>
      </c>
      <c r="C31" s="50">
        <v>3</v>
      </c>
      <c r="D31" s="50">
        <v>1</v>
      </c>
      <c r="E31" s="50">
        <v>4</v>
      </c>
      <c r="F31" s="50">
        <v>12</v>
      </c>
      <c r="G31" s="50">
        <v>2</v>
      </c>
      <c r="H31" s="50">
        <v>0</v>
      </c>
      <c r="I31" s="50">
        <v>2</v>
      </c>
      <c r="J31" s="50">
        <v>0</v>
      </c>
      <c r="K31" s="50">
        <v>1</v>
      </c>
      <c r="L31" s="50">
        <v>1</v>
      </c>
      <c r="M31" s="50">
        <v>11</v>
      </c>
      <c r="N31" s="50">
        <v>0</v>
      </c>
      <c r="O31" s="15">
        <f t="shared" si="0"/>
        <v>26</v>
      </c>
      <c r="P31" s="15">
        <f t="shared" si="1"/>
        <v>37</v>
      </c>
    </row>
    <row r="32" spans="2:32" ht="23.1" customHeight="1" x14ac:dyDescent="0.25">
      <c r="B32" s="24" t="s">
        <v>59</v>
      </c>
      <c r="C32" s="50">
        <v>0</v>
      </c>
      <c r="D32" s="50">
        <v>3</v>
      </c>
      <c r="E32" s="50">
        <v>0</v>
      </c>
      <c r="F32" s="50">
        <v>11</v>
      </c>
      <c r="G32" s="50">
        <v>0</v>
      </c>
      <c r="H32" s="50">
        <v>1</v>
      </c>
      <c r="I32" s="50">
        <v>1</v>
      </c>
      <c r="J32" s="50">
        <v>0</v>
      </c>
      <c r="K32" s="50">
        <v>1</v>
      </c>
      <c r="L32" s="50">
        <v>1</v>
      </c>
      <c r="M32" s="50">
        <v>12</v>
      </c>
      <c r="N32" s="50">
        <v>0</v>
      </c>
      <c r="O32" s="15">
        <f t="shared" si="0"/>
        <v>18</v>
      </c>
      <c r="P32" s="15">
        <f t="shared" si="1"/>
        <v>30</v>
      </c>
    </row>
    <row r="33" spans="2:20" ht="23.1" customHeight="1" x14ac:dyDescent="0.25">
      <c r="B33" s="23" t="s">
        <v>60</v>
      </c>
      <c r="C33" s="50">
        <v>4</v>
      </c>
      <c r="D33" s="50">
        <v>3</v>
      </c>
      <c r="E33" s="50">
        <v>3</v>
      </c>
      <c r="F33" s="50">
        <v>9</v>
      </c>
      <c r="G33" s="50">
        <v>0</v>
      </c>
      <c r="H33" s="50">
        <v>2</v>
      </c>
      <c r="I33" s="50">
        <v>0</v>
      </c>
      <c r="J33" s="50">
        <v>1</v>
      </c>
      <c r="K33" s="50">
        <v>0</v>
      </c>
      <c r="L33" s="50">
        <v>3</v>
      </c>
      <c r="M33" s="50">
        <v>14</v>
      </c>
      <c r="N33" s="50">
        <v>0</v>
      </c>
      <c r="O33" s="15">
        <f t="shared" si="0"/>
        <v>25</v>
      </c>
      <c r="P33" s="15">
        <f t="shared" si="1"/>
        <v>39</v>
      </c>
    </row>
    <row r="34" spans="2:20" ht="23.1" customHeight="1" x14ac:dyDescent="0.25">
      <c r="B34" s="24" t="s">
        <v>61</v>
      </c>
      <c r="C34" s="50">
        <v>4</v>
      </c>
      <c r="D34" s="50">
        <v>3</v>
      </c>
      <c r="E34" s="50">
        <v>3</v>
      </c>
      <c r="F34" s="50">
        <v>9</v>
      </c>
      <c r="G34" s="50">
        <v>0</v>
      </c>
      <c r="H34" s="50">
        <v>0</v>
      </c>
      <c r="I34" s="50">
        <v>0</v>
      </c>
      <c r="J34" s="50">
        <v>0</v>
      </c>
      <c r="K34" s="50">
        <v>1</v>
      </c>
      <c r="L34" s="50">
        <v>0</v>
      </c>
      <c r="M34" s="50">
        <v>12</v>
      </c>
      <c r="N34" s="50">
        <v>0</v>
      </c>
      <c r="O34" s="15">
        <f t="shared" si="0"/>
        <v>20</v>
      </c>
      <c r="P34" s="15">
        <f t="shared" si="1"/>
        <v>32</v>
      </c>
    </row>
    <row r="35" spans="2:20" ht="23.1" customHeight="1" x14ac:dyDescent="0.25">
      <c r="B35" s="24" t="s">
        <v>62</v>
      </c>
      <c r="C35" s="50">
        <v>5</v>
      </c>
      <c r="D35" s="50">
        <v>1</v>
      </c>
      <c r="E35" s="50">
        <v>4</v>
      </c>
      <c r="F35" s="50">
        <v>14</v>
      </c>
      <c r="G35" s="50">
        <v>1</v>
      </c>
      <c r="H35" s="50">
        <v>0</v>
      </c>
      <c r="I35" s="50">
        <v>2</v>
      </c>
      <c r="J35" s="50">
        <v>1</v>
      </c>
      <c r="K35" s="50">
        <v>1</v>
      </c>
      <c r="L35" s="50">
        <v>0</v>
      </c>
      <c r="M35" s="50">
        <v>11</v>
      </c>
      <c r="N35" s="50">
        <v>0</v>
      </c>
      <c r="O35" s="15">
        <f t="shared" si="0"/>
        <v>29</v>
      </c>
      <c r="P35" s="15">
        <f t="shared" si="1"/>
        <v>40</v>
      </c>
    </row>
    <row r="36" spans="2:20" ht="23.1" customHeight="1" x14ac:dyDescent="0.25">
      <c r="B36" s="24" t="s">
        <v>63</v>
      </c>
      <c r="C36" s="50">
        <v>2</v>
      </c>
      <c r="D36" s="50">
        <v>3</v>
      </c>
      <c r="E36" s="50">
        <v>0</v>
      </c>
      <c r="F36" s="50">
        <v>3</v>
      </c>
      <c r="G36" s="50">
        <v>1</v>
      </c>
      <c r="H36" s="50">
        <v>0</v>
      </c>
      <c r="I36" s="50">
        <v>0</v>
      </c>
      <c r="J36" s="50">
        <v>0</v>
      </c>
      <c r="K36" s="50">
        <v>0</v>
      </c>
      <c r="L36" s="50">
        <v>1</v>
      </c>
      <c r="M36" s="50">
        <v>3</v>
      </c>
      <c r="N36" s="50">
        <v>0</v>
      </c>
      <c r="O36" s="15">
        <f t="shared" si="0"/>
        <v>10</v>
      </c>
      <c r="P36" s="15">
        <f t="shared" si="1"/>
        <v>13</v>
      </c>
    </row>
    <row r="37" spans="2:20" ht="23.1" customHeight="1" x14ac:dyDescent="0.25">
      <c r="B37" s="23" t="s">
        <v>64</v>
      </c>
      <c r="C37" s="50">
        <v>6</v>
      </c>
      <c r="D37" s="50">
        <v>4</v>
      </c>
      <c r="E37" s="50">
        <v>2</v>
      </c>
      <c r="F37" s="50">
        <v>5</v>
      </c>
      <c r="G37" s="50">
        <v>2</v>
      </c>
      <c r="H37" s="50">
        <v>0</v>
      </c>
      <c r="I37" s="50">
        <v>0</v>
      </c>
      <c r="J37" s="50">
        <v>0</v>
      </c>
      <c r="K37" s="50">
        <v>0</v>
      </c>
      <c r="L37" s="50">
        <v>0</v>
      </c>
      <c r="M37" s="50">
        <v>9</v>
      </c>
      <c r="N37" s="50">
        <v>0</v>
      </c>
      <c r="O37" s="15">
        <f t="shared" si="0"/>
        <v>19</v>
      </c>
      <c r="P37" s="15">
        <f t="shared" si="1"/>
        <v>28</v>
      </c>
    </row>
    <row r="38" spans="2:20" ht="23.1" customHeight="1" x14ac:dyDescent="0.25">
      <c r="B38" s="24" t="s">
        <v>65</v>
      </c>
      <c r="C38" s="50">
        <v>3</v>
      </c>
      <c r="D38" s="50">
        <v>0</v>
      </c>
      <c r="E38" s="50">
        <v>1</v>
      </c>
      <c r="F38" s="50">
        <v>12</v>
      </c>
      <c r="G38" s="50">
        <v>0</v>
      </c>
      <c r="H38" s="50">
        <v>1</v>
      </c>
      <c r="I38" s="50">
        <v>1</v>
      </c>
      <c r="J38" s="50">
        <v>0</v>
      </c>
      <c r="K38" s="50">
        <v>0</v>
      </c>
      <c r="L38" s="50">
        <v>1</v>
      </c>
      <c r="M38" s="50">
        <v>10</v>
      </c>
      <c r="N38" s="50">
        <v>0</v>
      </c>
      <c r="O38" s="15">
        <f t="shared" si="0"/>
        <v>19</v>
      </c>
      <c r="P38" s="15">
        <f t="shared" si="1"/>
        <v>29</v>
      </c>
    </row>
    <row r="39" spans="2:20" ht="23.1" customHeight="1" x14ac:dyDescent="0.25">
      <c r="B39" s="24" t="s">
        <v>66</v>
      </c>
      <c r="C39" s="50">
        <v>4</v>
      </c>
      <c r="D39" s="50">
        <v>0</v>
      </c>
      <c r="E39" s="50">
        <v>2</v>
      </c>
      <c r="F39" s="50">
        <v>7</v>
      </c>
      <c r="G39" s="50">
        <v>0</v>
      </c>
      <c r="H39" s="50">
        <v>0</v>
      </c>
      <c r="I39" s="50">
        <v>0</v>
      </c>
      <c r="J39" s="50">
        <v>3</v>
      </c>
      <c r="K39" s="50">
        <v>0</v>
      </c>
      <c r="L39" s="50">
        <v>0</v>
      </c>
      <c r="M39" s="50">
        <v>7</v>
      </c>
      <c r="N39" s="50">
        <v>0</v>
      </c>
      <c r="O39" s="15">
        <f t="shared" si="0"/>
        <v>16</v>
      </c>
      <c r="P39" s="15">
        <f t="shared" si="1"/>
        <v>23</v>
      </c>
    </row>
    <row r="40" spans="2:20" ht="23.1" customHeight="1" x14ac:dyDescent="0.25">
      <c r="B40" s="24" t="s">
        <v>67</v>
      </c>
      <c r="C40" s="50">
        <v>1</v>
      </c>
      <c r="D40" s="50">
        <v>1</v>
      </c>
      <c r="E40" s="50">
        <v>1</v>
      </c>
      <c r="F40" s="50">
        <v>7</v>
      </c>
      <c r="G40" s="50">
        <v>1</v>
      </c>
      <c r="H40" s="50">
        <v>0</v>
      </c>
      <c r="I40" s="50">
        <v>0</v>
      </c>
      <c r="J40" s="50">
        <v>0</v>
      </c>
      <c r="K40" s="50">
        <v>0</v>
      </c>
      <c r="L40" s="50">
        <v>0</v>
      </c>
      <c r="M40" s="50">
        <v>10</v>
      </c>
      <c r="N40" s="50">
        <v>0</v>
      </c>
      <c r="O40" s="15">
        <f t="shared" si="0"/>
        <v>11</v>
      </c>
      <c r="P40" s="15">
        <f t="shared" si="1"/>
        <v>21</v>
      </c>
    </row>
    <row r="41" spans="2:20" ht="23.1" customHeight="1" x14ac:dyDescent="0.25">
      <c r="B41" s="23" t="s">
        <v>68</v>
      </c>
      <c r="C41" s="50">
        <v>3</v>
      </c>
      <c r="D41" s="50">
        <v>0</v>
      </c>
      <c r="E41" s="50">
        <v>0</v>
      </c>
      <c r="F41" s="50">
        <v>8</v>
      </c>
      <c r="G41" s="50">
        <v>0</v>
      </c>
      <c r="H41" s="50">
        <v>0</v>
      </c>
      <c r="I41" s="50">
        <v>0</v>
      </c>
      <c r="J41" s="50">
        <v>0</v>
      </c>
      <c r="K41" s="50">
        <v>0</v>
      </c>
      <c r="L41" s="50">
        <v>0</v>
      </c>
      <c r="M41" s="50">
        <v>5</v>
      </c>
      <c r="N41" s="50">
        <v>0</v>
      </c>
      <c r="O41" s="15">
        <f t="shared" si="0"/>
        <v>11</v>
      </c>
      <c r="P41" s="15">
        <f t="shared" si="1"/>
        <v>16</v>
      </c>
    </row>
    <row r="42" spans="2:20" ht="23.1" customHeight="1" x14ac:dyDescent="0.25">
      <c r="B42" s="24" t="s">
        <v>69</v>
      </c>
      <c r="C42" s="50">
        <v>5</v>
      </c>
      <c r="D42" s="50">
        <v>6</v>
      </c>
      <c r="E42" s="50">
        <v>1</v>
      </c>
      <c r="F42" s="50">
        <v>16</v>
      </c>
      <c r="G42" s="50">
        <v>0</v>
      </c>
      <c r="H42" s="50">
        <v>1</v>
      </c>
      <c r="I42" s="50">
        <v>1</v>
      </c>
      <c r="J42" s="50">
        <v>3</v>
      </c>
      <c r="K42" s="50">
        <v>0</v>
      </c>
      <c r="L42" s="50">
        <v>3</v>
      </c>
      <c r="M42" s="50">
        <v>19</v>
      </c>
      <c r="N42" s="50">
        <v>0</v>
      </c>
      <c r="O42" s="15">
        <f t="shared" si="0"/>
        <v>36</v>
      </c>
      <c r="P42" s="15">
        <f t="shared" si="1"/>
        <v>55</v>
      </c>
    </row>
    <row r="43" spans="2:20" ht="23.1" customHeight="1" x14ac:dyDescent="0.25">
      <c r="B43" s="23" t="s">
        <v>70</v>
      </c>
      <c r="C43" s="50">
        <v>1</v>
      </c>
      <c r="D43" s="50">
        <v>2</v>
      </c>
      <c r="E43" s="50">
        <v>5</v>
      </c>
      <c r="F43" s="50">
        <v>18</v>
      </c>
      <c r="G43" s="50">
        <v>1</v>
      </c>
      <c r="H43" s="50">
        <v>0</v>
      </c>
      <c r="I43" s="50">
        <v>2</v>
      </c>
      <c r="J43" s="50">
        <v>3</v>
      </c>
      <c r="K43" s="50">
        <v>0</v>
      </c>
      <c r="L43" s="50">
        <v>3</v>
      </c>
      <c r="M43" s="50">
        <v>13</v>
      </c>
      <c r="N43" s="50">
        <v>1</v>
      </c>
      <c r="O43" s="15">
        <f t="shared" si="0"/>
        <v>36</v>
      </c>
      <c r="P43" s="15">
        <f t="shared" si="1"/>
        <v>49</v>
      </c>
    </row>
    <row r="44" spans="2:20" ht="23.1" customHeight="1" x14ac:dyDescent="0.25">
      <c r="B44" s="25" t="s">
        <v>71</v>
      </c>
      <c r="C44" s="50">
        <v>4</v>
      </c>
      <c r="D44" s="50">
        <v>3</v>
      </c>
      <c r="E44" s="50">
        <v>1</v>
      </c>
      <c r="F44" s="50">
        <v>9</v>
      </c>
      <c r="G44" s="50">
        <v>0</v>
      </c>
      <c r="H44" s="50">
        <v>1</v>
      </c>
      <c r="I44" s="50">
        <v>2</v>
      </c>
      <c r="J44" s="50">
        <v>3</v>
      </c>
      <c r="K44" s="50">
        <v>0</v>
      </c>
      <c r="L44" s="50">
        <v>0</v>
      </c>
      <c r="M44" s="50">
        <v>10</v>
      </c>
      <c r="N44" s="50">
        <v>0</v>
      </c>
      <c r="O44" s="15">
        <f t="shared" si="0"/>
        <v>23</v>
      </c>
      <c r="P44" s="15">
        <f t="shared" si="1"/>
        <v>33</v>
      </c>
    </row>
    <row r="45" spans="2:20" ht="23.1" customHeight="1" x14ac:dyDescent="0.25">
      <c r="B45" s="23" t="s">
        <v>72</v>
      </c>
      <c r="C45" s="50">
        <v>4</v>
      </c>
      <c r="D45" s="50">
        <v>1</v>
      </c>
      <c r="E45" s="50">
        <v>2</v>
      </c>
      <c r="F45" s="50">
        <v>9</v>
      </c>
      <c r="G45" s="50">
        <v>1</v>
      </c>
      <c r="H45" s="50">
        <v>1</v>
      </c>
      <c r="I45" s="50">
        <v>0</v>
      </c>
      <c r="J45" s="50">
        <v>3</v>
      </c>
      <c r="K45" s="50">
        <v>1</v>
      </c>
      <c r="L45" s="50">
        <v>1</v>
      </c>
      <c r="M45" s="50">
        <v>11</v>
      </c>
      <c r="N45" s="50">
        <v>0</v>
      </c>
      <c r="O45" s="15">
        <f t="shared" si="0"/>
        <v>23</v>
      </c>
      <c r="P45" s="15">
        <f t="shared" si="1"/>
        <v>34</v>
      </c>
    </row>
    <row r="46" spans="2:20" ht="23.1" customHeight="1" x14ac:dyDescent="0.25">
      <c r="B46" s="24" t="s">
        <v>73</v>
      </c>
      <c r="C46" s="50">
        <v>4</v>
      </c>
      <c r="D46" s="50">
        <v>1</v>
      </c>
      <c r="E46" s="50">
        <v>1</v>
      </c>
      <c r="F46" s="50">
        <v>5</v>
      </c>
      <c r="G46" s="50">
        <v>0</v>
      </c>
      <c r="H46" s="50">
        <v>0</v>
      </c>
      <c r="I46" s="50">
        <v>1</v>
      </c>
      <c r="J46" s="50">
        <v>2</v>
      </c>
      <c r="K46" s="50">
        <v>3</v>
      </c>
      <c r="L46" s="50">
        <v>0</v>
      </c>
      <c r="M46" s="50">
        <v>4</v>
      </c>
      <c r="N46" s="50">
        <v>0</v>
      </c>
      <c r="O46" s="15">
        <f t="shared" si="0"/>
        <v>17</v>
      </c>
      <c r="P46" s="15">
        <f t="shared" si="1"/>
        <v>21</v>
      </c>
      <c r="R46" s="8"/>
      <c r="T46"/>
    </row>
    <row r="47" spans="2:20" ht="23.1" customHeight="1" x14ac:dyDescent="0.25">
      <c r="B47" s="24" t="s">
        <v>74</v>
      </c>
      <c r="C47" s="50">
        <v>2</v>
      </c>
      <c r="D47" s="50">
        <v>1</v>
      </c>
      <c r="E47" s="50">
        <v>1</v>
      </c>
      <c r="F47" s="50">
        <v>10</v>
      </c>
      <c r="G47" s="50">
        <v>0</v>
      </c>
      <c r="H47" s="50">
        <v>0</v>
      </c>
      <c r="I47" s="50">
        <v>3</v>
      </c>
      <c r="J47" s="50">
        <v>1</v>
      </c>
      <c r="K47" s="50">
        <v>1</v>
      </c>
      <c r="L47" s="50">
        <v>1</v>
      </c>
      <c r="M47" s="50">
        <v>4</v>
      </c>
      <c r="N47" s="50">
        <v>0</v>
      </c>
      <c r="O47" s="15">
        <f t="shared" si="0"/>
        <v>20</v>
      </c>
      <c r="P47" s="15">
        <f t="shared" si="1"/>
        <v>24</v>
      </c>
      <c r="R47" s="8"/>
      <c r="T47"/>
    </row>
    <row r="48" spans="2:20" ht="23.1" customHeight="1" x14ac:dyDescent="0.25">
      <c r="B48" s="24" t="s">
        <v>75</v>
      </c>
      <c r="C48" s="50">
        <v>4</v>
      </c>
      <c r="D48" s="50">
        <v>1</v>
      </c>
      <c r="E48" s="50">
        <v>3</v>
      </c>
      <c r="F48" s="50">
        <v>4</v>
      </c>
      <c r="G48" s="50">
        <v>0</v>
      </c>
      <c r="H48" s="50">
        <v>0</v>
      </c>
      <c r="I48" s="50">
        <v>2</v>
      </c>
      <c r="J48" s="50">
        <v>1</v>
      </c>
      <c r="K48" s="50">
        <v>2</v>
      </c>
      <c r="L48" s="50">
        <v>0</v>
      </c>
      <c r="M48" s="50">
        <v>13</v>
      </c>
      <c r="N48" s="50">
        <v>0</v>
      </c>
      <c r="O48" s="15">
        <f t="shared" si="0"/>
        <v>17</v>
      </c>
      <c r="P48" s="15">
        <f t="shared" si="1"/>
        <v>30</v>
      </c>
      <c r="R48" s="8"/>
      <c r="T48"/>
    </row>
    <row r="49" spans="2:20" ht="23.1" customHeight="1" x14ac:dyDescent="0.25">
      <c r="B49" s="23" t="s">
        <v>76</v>
      </c>
      <c r="C49" s="50">
        <v>2</v>
      </c>
      <c r="D49" s="50">
        <v>1</v>
      </c>
      <c r="E49" s="50">
        <v>1</v>
      </c>
      <c r="F49" s="50">
        <v>7</v>
      </c>
      <c r="G49" s="50">
        <v>0</v>
      </c>
      <c r="H49" s="50">
        <v>0</v>
      </c>
      <c r="I49" s="50">
        <v>1</v>
      </c>
      <c r="J49" s="50">
        <v>1</v>
      </c>
      <c r="K49" s="50">
        <v>1</v>
      </c>
      <c r="L49" s="50">
        <v>2</v>
      </c>
      <c r="M49" s="50">
        <v>17</v>
      </c>
      <c r="N49" s="50">
        <v>0</v>
      </c>
      <c r="O49" s="15">
        <f t="shared" si="0"/>
        <v>16</v>
      </c>
      <c r="P49" s="15">
        <f t="shared" si="1"/>
        <v>33</v>
      </c>
      <c r="R49" s="8"/>
      <c r="T49"/>
    </row>
    <row r="50" spans="2:20" ht="23.1" customHeight="1" x14ac:dyDescent="0.25">
      <c r="B50" s="24" t="s">
        <v>77</v>
      </c>
      <c r="C50" s="50">
        <v>1</v>
      </c>
      <c r="D50" s="50">
        <v>2</v>
      </c>
      <c r="E50" s="50">
        <v>2</v>
      </c>
      <c r="F50" s="50">
        <v>8</v>
      </c>
      <c r="G50" s="50">
        <v>0</v>
      </c>
      <c r="H50" s="50">
        <v>0</v>
      </c>
      <c r="I50" s="50">
        <v>2</v>
      </c>
      <c r="J50" s="50">
        <v>0</v>
      </c>
      <c r="K50" s="50">
        <v>0</v>
      </c>
      <c r="L50" s="50">
        <v>2</v>
      </c>
      <c r="M50" s="50">
        <v>14</v>
      </c>
      <c r="N50" s="50">
        <v>0</v>
      </c>
      <c r="O50" s="15">
        <f t="shared" si="0"/>
        <v>17</v>
      </c>
      <c r="P50" s="15">
        <f t="shared" si="1"/>
        <v>31</v>
      </c>
      <c r="R50" s="8"/>
      <c r="T50"/>
    </row>
    <row r="51" spans="2:20" ht="23.1" customHeight="1" x14ac:dyDescent="0.25">
      <c r="B51" s="24" t="s">
        <v>78</v>
      </c>
      <c r="C51" s="50">
        <v>2</v>
      </c>
      <c r="D51" s="50">
        <v>2</v>
      </c>
      <c r="E51" s="50">
        <v>3</v>
      </c>
      <c r="F51" s="50">
        <v>9</v>
      </c>
      <c r="G51" s="50">
        <v>1</v>
      </c>
      <c r="H51" s="50">
        <v>1</v>
      </c>
      <c r="I51" s="50">
        <v>0</v>
      </c>
      <c r="J51" s="50">
        <v>4</v>
      </c>
      <c r="K51" s="50">
        <v>1</v>
      </c>
      <c r="L51" s="50">
        <v>1</v>
      </c>
      <c r="M51" s="50">
        <v>17</v>
      </c>
      <c r="N51" s="50">
        <v>0</v>
      </c>
      <c r="O51" s="15">
        <f t="shared" si="0"/>
        <v>24</v>
      </c>
      <c r="P51" s="15">
        <f t="shared" si="1"/>
        <v>41</v>
      </c>
      <c r="R51" s="8"/>
      <c r="T51"/>
    </row>
    <row r="52" spans="2:20" ht="23.1" customHeight="1" x14ac:dyDescent="0.25">
      <c r="B52" s="24" t="s">
        <v>79</v>
      </c>
      <c r="C52" s="50">
        <v>1</v>
      </c>
      <c r="D52" s="50">
        <v>1</v>
      </c>
      <c r="E52" s="50">
        <v>3</v>
      </c>
      <c r="F52" s="50">
        <v>11</v>
      </c>
      <c r="G52" s="50">
        <v>0</v>
      </c>
      <c r="H52" s="50">
        <v>0</v>
      </c>
      <c r="I52" s="50">
        <v>1</v>
      </c>
      <c r="J52" s="50">
        <v>2</v>
      </c>
      <c r="K52" s="50">
        <v>1</v>
      </c>
      <c r="L52" s="50">
        <v>3</v>
      </c>
      <c r="M52" s="50">
        <v>2</v>
      </c>
      <c r="N52" s="50">
        <v>0</v>
      </c>
      <c r="O52" s="15">
        <f t="shared" si="0"/>
        <v>23</v>
      </c>
      <c r="P52" s="15">
        <f t="shared" si="1"/>
        <v>25</v>
      </c>
      <c r="R52" s="8"/>
      <c r="T52"/>
    </row>
    <row r="53" spans="2:20" ht="23.1" customHeight="1" x14ac:dyDescent="0.25">
      <c r="B53" s="23" t="s">
        <v>80</v>
      </c>
      <c r="C53" s="50">
        <v>5</v>
      </c>
      <c r="D53" s="50">
        <v>2</v>
      </c>
      <c r="E53" s="50">
        <v>4</v>
      </c>
      <c r="F53" s="50">
        <v>7</v>
      </c>
      <c r="G53" s="50">
        <v>0</v>
      </c>
      <c r="H53" s="50">
        <v>0</v>
      </c>
      <c r="I53" s="50">
        <v>0</v>
      </c>
      <c r="J53" s="50">
        <v>1</v>
      </c>
      <c r="K53" s="50">
        <v>2</v>
      </c>
      <c r="L53" s="50">
        <v>0</v>
      </c>
      <c r="M53" s="50">
        <v>1</v>
      </c>
      <c r="N53" s="50">
        <v>0</v>
      </c>
      <c r="O53" s="15">
        <f t="shared" si="0"/>
        <v>21</v>
      </c>
      <c r="P53" s="15">
        <f t="shared" si="1"/>
        <v>22</v>
      </c>
      <c r="R53" s="8"/>
      <c r="T53"/>
    </row>
    <row r="54" spans="2:20" ht="23.1" customHeight="1" x14ac:dyDescent="0.25">
      <c r="B54" s="23" t="s">
        <v>81</v>
      </c>
      <c r="C54" s="50">
        <v>6</v>
      </c>
      <c r="D54" s="50">
        <v>0</v>
      </c>
      <c r="E54" s="50">
        <v>3</v>
      </c>
      <c r="F54" s="50">
        <v>11</v>
      </c>
      <c r="G54" s="50">
        <v>1</v>
      </c>
      <c r="H54" s="50">
        <v>0</v>
      </c>
      <c r="I54" s="50">
        <v>1</v>
      </c>
      <c r="J54" s="50">
        <v>2</v>
      </c>
      <c r="K54" s="50">
        <v>1</v>
      </c>
      <c r="L54" s="50">
        <v>0</v>
      </c>
      <c r="M54" s="50">
        <v>5</v>
      </c>
      <c r="N54" s="50">
        <v>0</v>
      </c>
      <c r="O54" s="15">
        <f t="shared" si="0"/>
        <v>25</v>
      </c>
      <c r="P54" s="15">
        <f t="shared" si="1"/>
        <v>30</v>
      </c>
      <c r="R54" s="8"/>
      <c r="T54"/>
    </row>
    <row r="55" spans="2:20" ht="23.1" customHeight="1" x14ac:dyDescent="0.25">
      <c r="B55" s="23" t="s">
        <v>82</v>
      </c>
      <c r="C55" s="50">
        <v>6</v>
      </c>
      <c r="D55" s="50">
        <v>1</v>
      </c>
      <c r="E55" s="50">
        <v>3</v>
      </c>
      <c r="F55" s="50">
        <v>11</v>
      </c>
      <c r="G55" s="50">
        <v>0</v>
      </c>
      <c r="H55" s="50">
        <v>0</v>
      </c>
      <c r="I55" s="50">
        <v>1</v>
      </c>
      <c r="J55" s="50">
        <v>1</v>
      </c>
      <c r="K55" s="50">
        <v>1</v>
      </c>
      <c r="L55" s="50">
        <v>2</v>
      </c>
      <c r="M55" s="50">
        <v>24</v>
      </c>
      <c r="N55" s="50">
        <v>0</v>
      </c>
      <c r="O55" s="15">
        <f t="shared" si="0"/>
        <v>26</v>
      </c>
      <c r="P55" s="15">
        <f t="shared" si="1"/>
        <v>50</v>
      </c>
      <c r="R55" s="8"/>
      <c r="T55"/>
    </row>
    <row r="56" spans="2:20" ht="23.1" customHeight="1" x14ac:dyDescent="0.25">
      <c r="B56" s="23" t="s">
        <v>83</v>
      </c>
      <c r="C56" s="50">
        <v>2</v>
      </c>
      <c r="D56" s="50">
        <v>2</v>
      </c>
      <c r="E56" s="50">
        <v>2</v>
      </c>
      <c r="F56" s="50">
        <v>11</v>
      </c>
      <c r="G56" s="50">
        <v>0</v>
      </c>
      <c r="H56" s="50">
        <v>0</v>
      </c>
      <c r="I56" s="50">
        <v>2</v>
      </c>
      <c r="J56" s="50">
        <v>1</v>
      </c>
      <c r="K56" s="50">
        <v>0</v>
      </c>
      <c r="L56" s="50">
        <v>0</v>
      </c>
      <c r="M56" s="50">
        <v>10</v>
      </c>
      <c r="N56" s="50">
        <v>0</v>
      </c>
      <c r="O56" s="15">
        <f t="shared" si="0"/>
        <v>20</v>
      </c>
      <c r="P56" s="15">
        <f t="shared" si="1"/>
        <v>30</v>
      </c>
      <c r="R56" s="8"/>
      <c r="T56"/>
    </row>
    <row r="57" spans="2:20" ht="23.1" customHeight="1" x14ac:dyDescent="0.25">
      <c r="B57" s="23" t="s">
        <v>84</v>
      </c>
      <c r="C57" s="50">
        <v>4</v>
      </c>
      <c r="D57" s="50">
        <v>2</v>
      </c>
      <c r="E57" s="50">
        <v>3</v>
      </c>
      <c r="F57" s="50">
        <v>7</v>
      </c>
      <c r="G57" s="50">
        <v>0</v>
      </c>
      <c r="H57" s="50">
        <v>1</v>
      </c>
      <c r="I57" s="50">
        <v>1</v>
      </c>
      <c r="J57" s="50">
        <v>2</v>
      </c>
      <c r="K57" s="50">
        <v>0</v>
      </c>
      <c r="L57" s="50">
        <v>0</v>
      </c>
      <c r="M57" s="50">
        <v>14</v>
      </c>
      <c r="N57" s="50">
        <v>0</v>
      </c>
      <c r="O57" s="15">
        <f t="shared" si="0"/>
        <v>20</v>
      </c>
      <c r="P57" s="15">
        <f t="shared" si="1"/>
        <v>34</v>
      </c>
      <c r="R57" s="8"/>
      <c r="T57"/>
    </row>
    <row r="58" spans="2:20" ht="23.1" customHeight="1" x14ac:dyDescent="0.25">
      <c r="B58" s="26" t="s">
        <v>18</v>
      </c>
      <c r="C58" s="16">
        <f t="shared" ref="C58:P58" si="21">SUM(C10:C57)</f>
        <v>193</v>
      </c>
      <c r="D58" s="16">
        <f t="shared" si="21"/>
        <v>118</v>
      </c>
      <c r="E58" s="16">
        <f t="shared" si="21"/>
        <v>142</v>
      </c>
      <c r="F58" s="16">
        <f t="shared" si="21"/>
        <v>412</v>
      </c>
      <c r="G58" s="16">
        <f t="shared" si="21"/>
        <v>18</v>
      </c>
      <c r="H58" s="16">
        <f t="shared" si="21"/>
        <v>15</v>
      </c>
      <c r="I58" s="16">
        <f t="shared" si="21"/>
        <v>52</v>
      </c>
      <c r="J58" s="16">
        <f t="shared" si="21"/>
        <v>60</v>
      </c>
      <c r="K58" s="16">
        <f t="shared" si="21"/>
        <v>30</v>
      </c>
      <c r="L58" s="16">
        <f t="shared" si="21"/>
        <v>42</v>
      </c>
      <c r="M58" s="16">
        <f t="shared" si="21"/>
        <v>564</v>
      </c>
      <c r="N58" s="16">
        <f t="shared" si="21"/>
        <v>2</v>
      </c>
      <c r="O58" s="16">
        <f t="shared" si="21"/>
        <v>1084</v>
      </c>
      <c r="P58" s="16">
        <f t="shared" si="21"/>
        <v>1648</v>
      </c>
      <c r="R58" s="8"/>
      <c r="T58"/>
    </row>
    <row r="59" spans="2:20" ht="23.1" customHeight="1" x14ac:dyDescent="0.25">
      <c r="B59" s="26" t="s">
        <v>93</v>
      </c>
      <c r="C59" s="43">
        <f t="shared" ref="C59:N59" si="22">C58/$P$58</f>
        <v>0.1171116504854369</v>
      </c>
      <c r="D59" s="43">
        <f t="shared" si="22"/>
        <v>7.1601941747572811E-2</v>
      </c>
      <c r="E59" s="43">
        <f t="shared" si="22"/>
        <v>8.6165048543689324E-2</v>
      </c>
      <c r="F59" s="43">
        <f t="shared" si="22"/>
        <v>0.25</v>
      </c>
      <c r="G59" s="43">
        <f t="shared" si="22"/>
        <v>1.0922330097087379E-2</v>
      </c>
      <c r="H59" s="43">
        <f t="shared" si="22"/>
        <v>9.101941747572815E-3</v>
      </c>
      <c r="I59" s="43">
        <f t="shared" si="22"/>
        <v>3.1553398058252427E-2</v>
      </c>
      <c r="J59" s="43">
        <f t="shared" si="22"/>
        <v>3.640776699029126E-2</v>
      </c>
      <c r="K59" s="43">
        <f t="shared" si="22"/>
        <v>1.820388349514563E-2</v>
      </c>
      <c r="L59" s="43">
        <f t="shared" si="22"/>
        <v>2.5485436893203883E-2</v>
      </c>
      <c r="M59" s="43">
        <f t="shared" si="22"/>
        <v>0.34223300970873788</v>
      </c>
      <c r="N59" s="43">
        <f t="shared" si="22"/>
        <v>1.2135922330097086E-3</v>
      </c>
      <c r="R59" s="8"/>
      <c r="T59"/>
    </row>
    <row r="60" spans="2:20" ht="23.1" customHeight="1" x14ac:dyDescent="0.25">
      <c r="B60" s="42" t="s">
        <v>94</v>
      </c>
      <c r="C60" s="44">
        <f>C58/$O$58</f>
        <v>0.17804428044280443</v>
      </c>
      <c r="D60" s="44">
        <f t="shared" ref="D60:N60" si="23">D58/$O$58</f>
        <v>0.10885608856088561</v>
      </c>
      <c r="E60" s="44">
        <f t="shared" si="23"/>
        <v>0.13099630996309963</v>
      </c>
      <c r="F60" s="44">
        <f t="shared" si="23"/>
        <v>0.38007380073800739</v>
      </c>
      <c r="G60" s="44">
        <f t="shared" si="23"/>
        <v>1.6605166051660517E-2</v>
      </c>
      <c r="H60" s="44">
        <f t="shared" si="23"/>
        <v>1.3837638376383764E-2</v>
      </c>
      <c r="I60" s="44">
        <f t="shared" si="23"/>
        <v>4.797047970479705E-2</v>
      </c>
      <c r="J60" s="44">
        <f t="shared" si="23"/>
        <v>5.5350553505535055E-2</v>
      </c>
      <c r="K60" s="44">
        <f t="shared" si="23"/>
        <v>2.7675276752767528E-2</v>
      </c>
      <c r="L60" s="44">
        <f t="shared" si="23"/>
        <v>3.8745387453874541E-2</v>
      </c>
      <c r="M60" s="44"/>
      <c r="N60" s="44">
        <f t="shared" si="23"/>
        <v>1.8450184501845018E-3</v>
      </c>
      <c r="Q60" s="7"/>
      <c r="R60" s="8"/>
      <c r="T60"/>
    </row>
    <row r="61" spans="2:20" ht="20.100000000000001" customHeight="1" x14ac:dyDescent="0.25">
      <c r="B61" s="3"/>
      <c r="C61" s="18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Q61" s="7"/>
      <c r="R61" s="8"/>
      <c r="T61"/>
    </row>
    <row r="62" spans="2:20" ht="20.100000000000001" customHeight="1" x14ac:dyDescent="0.25">
      <c r="B62" s="3"/>
      <c r="C62" s="18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Q62" s="7"/>
      <c r="R62" s="8"/>
      <c r="T62"/>
    </row>
    <row r="63" spans="2:20" ht="20.100000000000001" customHeight="1" x14ac:dyDescent="0.25">
      <c r="B63" s="3"/>
      <c r="C63" s="18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Q63" s="7"/>
    </row>
    <row r="64" spans="2:20" ht="20.100000000000001" customHeight="1" x14ac:dyDescent="0.25">
      <c r="B64" s="3"/>
      <c r="C64" s="18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Q64" s="7"/>
    </row>
    <row r="65" spans="2:20" s="7" customFormat="1" ht="20.100000000000001" customHeight="1" x14ac:dyDescent="0.25"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/>
      <c r="P65"/>
      <c r="S65" s="8"/>
      <c r="T65" s="8"/>
    </row>
    <row r="66" spans="2:20" s="7" customFormat="1" ht="20.100000000000001" customHeight="1" x14ac:dyDescent="0.25"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/>
      <c r="P66"/>
      <c r="S66" s="8"/>
      <c r="T66" s="8"/>
    </row>
    <row r="67" spans="2:20" s="7" customFormat="1" ht="20.100000000000001" customHeight="1" x14ac:dyDescent="0.25"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/>
      <c r="P67"/>
      <c r="S67" s="8"/>
      <c r="T67" s="8"/>
    </row>
    <row r="68" spans="2:20" s="7" customFormat="1" ht="20.100000000000001" customHeight="1" x14ac:dyDescent="0.25"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/>
      <c r="P68"/>
      <c r="S68" s="8"/>
      <c r="T68" s="8"/>
    </row>
    <row r="69" spans="2:20" s="7" customFormat="1" ht="20.100000000000001" customHeight="1" x14ac:dyDescent="0.25"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/>
      <c r="P69"/>
      <c r="S69" s="8"/>
      <c r="T69" s="8"/>
    </row>
    <row r="70" spans="2:20" s="7" customFormat="1" ht="20.100000000000001" customHeight="1" x14ac:dyDescent="0.25"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/>
      <c r="P70"/>
      <c r="S70" s="8"/>
      <c r="T70" s="8"/>
    </row>
    <row r="71" spans="2:20" s="7" customFormat="1" ht="20.100000000000001" customHeight="1" x14ac:dyDescent="0.25"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/>
      <c r="P71"/>
      <c r="S71" s="8"/>
      <c r="T71" s="8"/>
    </row>
    <row r="72" spans="2:20" s="7" customFormat="1" ht="20.100000000000001" customHeight="1" x14ac:dyDescent="0.25"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/>
      <c r="P72"/>
      <c r="S72" s="8"/>
      <c r="T72" s="8"/>
    </row>
    <row r="73" spans="2:20" s="7" customFormat="1" ht="20.100000000000001" customHeight="1" x14ac:dyDescent="0.25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/>
      <c r="P73"/>
      <c r="S73" s="8"/>
      <c r="T73" s="8"/>
    </row>
    <row r="74" spans="2:20" s="7" customFormat="1" ht="20.100000000000001" customHeight="1" x14ac:dyDescent="0.25"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/>
      <c r="P74"/>
      <c r="S74" s="8"/>
      <c r="T74" s="8"/>
    </row>
    <row r="75" spans="2:20" s="7" customFormat="1" ht="20.100000000000001" customHeight="1" x14ac:dyDescent="0.25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/>
      <c r="P75"/>
      <c r="S75" s="8"/>
      <c r="T75" s="8"/>
    </row>
    <row r="76" spans="2:20" s="7" customFormat="1" ht="20.100000000000001" customHeight="1" x14ac:dyDescent="0.25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/>
      <c r="P76"/>
      <c r="S76" s="8"/>
      <c r="T76" s="8"/>
    </row>
    <row r="77" spans="2:20" s="7" customFormat="1" ht="20.100000000000001" customHeight="1" x14ac:dyDescent="0.25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/>
      <c r="P77"/>
      <c r="Q77"/>
      <c r="S77" s="8"/>
      <c r="T77" s="8"/>
    </row>
    <row r="78" spans="2:20" s="7" customFormat="1" ht="20.100000000000001" customHeight="1" x14ac:dyDescent="0.25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2:20" s="7" customFormat="1" ht="20.100000000000001" customHeight="1" x14ac:dyDescent="0.25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2:20" s="7" customFormat="1" ht="20.100000000000001" customHeight="1" x14ac:dyDescent="0.25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AF126"/>
  <sheetViews>
    <sheetView view="pageBreakPreview" zoomScale="70" zoomScaleSheetLayoutView="70" workbookViewId="0">
      <selection activeCell="C3" sqref="C3:G3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60" t="s">
        <v>23</v>
      </c>
      <c r="C1" s="60"/>
      <c r="D1" s="60"/>
      <c r="E1" s="60"/>
      <c r="F1" s="60"/>
      <c r="G1" s="60"/>
      <c r="H1" s="60"/>
      <c r="I1" s="60"/>
      <c r="J1" s="60"/>
      <c r="K1" s="60"/>
      <c r="L1" s="60"/>
      <c r="M1" s="60"/>
      <c r="N1" s="60"/>
      <c r="O1" s="60"/>
      <c r="P1" s="60"/>
      <c r="Q1" s="60"/>
      <c r="R1" s="60"/>
      <c r="S1" s="60"/>
      <c r="T1" s="60"/>
      <c r="U1" s="60"/>
      <c r="V1" s="60"/>
      <c r="W1" s="60"/>
      <c r="X1" s="60"/>
      <c r="Y1" s="60"/>
      <c r="Z1" s="60"/>
      <c r="AA1" s="60"/>
      <c r="AB1" s="60"/>
      <c r="AC1" s="60"/>
      <c r="AD1" s="60"/>
      <c r="AE1" s="60"/>
    </row>
    <row r="2" spans="2:32" ht="20.100000000000001" customHeight="1" x14ac:dyDescent="0.25">
      <c r="B2" s="61" t="s">
        <v>95</v>
      </c>
      <c r="C2" s="61"/>
      <c r="D2" s="61"/>
      <c r="E2" s="61"/>
      <c r="F2" s="61"/>
      <c r="G2" s="61"/>
      <c r="H2" s="61"/>
      <c r="I2" s="61"/>
      <c r="J2" s="61"/>
      <c r="K2" s="61"/>
      <c r="L2" s="61"/>
      <c r="M2" s="61"/>
      <c r="N2" s="61"/>
      <c r="O2" s="61"/>
      <c r="P2" s="61"/>
      <c r="Q2" s="61"/>
      <c r="R2" s="61"/>
      <c r="S2" s="61"/>
      <c r="T2" s="61"/>
      <c r="U2" s="61"/>
      <c r="V2" s="61"/>
      <c r="W2" s="61"/>
      <c r="X2" s="61"/>
      <c r="Y2" s="61"/>
      <c r="Z2" s="61"/>
      <c r="AA2" s="61"/>
      <c r="AB2" s="61"/>
      <c r="AC2" s="61"/>
      <c r="AD2" s="61"/>
      <c r="AE2" s="61"/>
    </row>
    <row r="3" spans="2:32" ht="20.100000000000001" customHeight="1" x14ac:dyDescent="0.25">
      <c r="B3" s="22" t="s">
        <v>96</v>
      </c>
      <c r="C3" s="62" t="str">
        <f>'17.10 Busembatya-Butongole'!C3:G3</f>
        <v>BUSEMBATYA-BUTONGOLE</v>
      </c>
      <c r="D3" s="62"/>
      <c r="E3" s="62"/>
      <c r="F3" s="62"/>
      <c r="G3" s="62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51" t="s">
        <v>179</v>
      </c>
      <c r="E5" s="3"/>
      <c r="F5" s="41" t="s">
        <v>1</v>
      </c>
      <c r="G5" s="57" t="str">
        <f>'21.10 -Butongole-Bsembatya-24h'!G5:H5</f>
        <v>NAMALEMBA</v>
      </c>
      <c r="H5" s="58"/>
      <c r="I5" s="14"/>
      <c r="J5" s="2" t="s">
        <v>5</v>
      </c>
      <c r="K5" s="57" t="s">
        <v>177</v>
      </c>
      <c r="L5" s="58"/>
      <c r="M5" s="10"/>
      <c r="N5" s="10"/>
      <c r="O5" s="3"/>
      <c r="P5" s="3"/>
    </row>
    <row r="6" spans="2:32" ht="23.25" customHeight="1" x14ac:dyDescent="0.25">
      <c r="C6" s="2" t="s">
        <v>4</v>
      </c>
      <c r="D6" s="57" t="str">
        <f>'17.10 Busembatya-Butongole'!D6:E6</f>
        <v>BUSEMBATYA</v>
      </c>
      <c r="E6" s="58"/>
      <c r="F6" s="2" t="s">
        <v>2</v>
      </c>
      <c r="G6" s="57" t="str">
        <f>'17.10 Busembatya-Butongole'!G6:H6</f>
        <v>BUTONGOLE</v>
      </c>
      <c r="H6" s="58"/>
      <c r="J6" s="2" t="s">
        <v>21</v>
      </c>
      <c r="K6" s="57" t="str">
        <f>'21.10 -Butongole-Bsembatya-24h'!K6:L6</f>
        <v>Turyahabwe Norman</v>
      </c>
      <c r="L6" s="58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9" t="s">
        <v>88</v>
      </c>
      <c r="S8" s="59"/>
      <c r="T8" s="59"/>
      <c r="U8" s="59"/>
      <c r="V8" s="59"/>
      <c r="W8" s="59"/>
      <c r="X8" s="59"/>
      <c r="Y8" s="59"/>
      <c r="Z8" s="59"/>
      <c r="AA8" s="59"/>
      <c r="AB8" s="59"/>
      <c r="AC8" s="59"/>
      <c r="AD8" s="59"/>
      <c r="AE8" s="59"/>
      <c r="AF8" s="59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50">
        <v>2</v>
      </c>
      <c r="D10" s="50">
        <v>0</v>
      </c>
      <c r="E10" s="50">
        <v>0</v>
      </c>
      <c r="F10" s="50">
        <v>5</v>
      </c>
      <c r="G10" s="50">
        <v>0</v>
      </c>
      <c r="H10" s="50">
        <v>0</v>
      </c>
      <c r="I10" s="50">
        <v>1</v>
      </c>
      <c r="J10" s="50">
        <v>1</v>
      </c>
      <c r="K10" s="50">
        <v>2</v>
      </c>
      <c r="L10" s="50">
        <v>0</v>
      </c>
      <c r="M10" s="50">
        <v>6</v>
      </c>
      <c r="N10" s="50">
        <v>0</v>
      </c>
      <c r="O10" s="15">
        <f t="shared" ref="O10:O57" si="0">SUM(C10:L10,N10)</f>
        <v>11</v>
      </c>
      <c r="P10" s="15">
        <f t="shared" ref="P10:P57" si="1">SUM(C10:N10)</f>
        <v>17</v>
      </c>
      <c r="R10" s="1" t="s">
        <v>6</v>
      </c>
      <c r="S10" s="17">
        <f t="shared" ref="S10:AF10" si="2">SUM(C10:C13)</f>
        <v>14</v>
      </c>
      <c r="T10" s="17">
        <f t="shared" si="2"/>
        <v>3</v>
      </c>
      <c r="U10" s="17">
        <f t="shared" si="2"/>
        <v>5</v>
      </c>
      <c r="V10" s="17">
        <f t="shared" si="2"/>
        <v>27</v>
      </c>
      <c r="W10" s="17">
        <f t="shared" si="2"/>
        <v>2</v>
      </c>
      <c r="X10" s="17">
        <f t="shared" si="2"/>
        <v>0</v>
      </c>
      <c r="Y10" s="17">
        <f t="shared" si="2"/>
        <v>4</v>
      </c>
      <c r="Z10" s="17">
        <f t="shared" si="2"/>
        <v>2</v>
      </c>
      <c r="AA10" s="17">
        <f t="shared" si="2"/>
        <v>8</v>
      </c>
      <c r="AB10" s="17">
        <f t="shared" si="2"/>
        <v>4</v>
      </c>
      <c r="AC10" s="17">
        <f t="shared" si="2"/>
        <v>41</v>
      </c>
      <c r="AD10" s="17">
        <f t="shared" si="2"/>
        <v>0</v>
      </c>
      <c r="AE10" s="31">
        <f t="shared" si="2"/>
        <v>69</v>
      </c>
      <c r="AF10" s="31">
        <f t="shared" si="2"/>
        <v>110</v>
      </c>
    </row>
    <row r="11" spans="2:32" s="6" customFormat="1" ht="23.1" customHeight="1" x14ac:dyDescent="0.25">
      <c r="B11" s="23" t="s">
        <v>38</v>
      </c>
      <c r="C11" s="50">
        <v>7</v>
      </c>
      <c r="D11" s="50">
        <v>2</v>
      </c>
      <c r="E11" s="50">
        <v>0</v>
      </c>
      <c r="F11" s="50">
        <v>7</v>
      </c>
      <c r="G11" s="50">
        <v>1</v>
      </c>
      <c r="H11" s="50">
        <v>0</v>
      </c>
      <c r="I11" s="50">
        <v>1</v>
      </c>
      <c r="J11" s="50">
        <v>0</v>
      </c>
      <c r="K11" s="50">
        <v>4</v>
      </c>
      <c r="L11" s="50">
        <v>0</v>
      </c>
      <c r="M11" s="50">
        <v>12</v>
      </c>
      <c r="N11" s="50">
        <v>0</v>
      </c>
      <c r="O11" s="15">
        <f t="shared" si="0"/>
        <v>22</v>
      </c>
      <c r="P11" s="15">
        <f t="shared" si="1"/>
        <v>34</v>
      </c>
      <c r="R11" s="1" t="s">
        <v>7</v>
      </c>
      <c r="S11" s="17">
        <f t="shared" ref="S11:AF11" si="3">SUM(C14:C17)</f>
        <v>2</v>
      </c>
      <c r="T11" s="17">
        <f t="shared" si="3"/>
        <v>4</v>
      </c>
      <c r="U11" s="17">
        <f t="shared" si="3"/>
        <v>1</v>
      </c>
      <c r="V11" s="17">
        <f t="shared" si="3"/>
        <v>26</v>
      </c>
      <c r="W11" s="17">
        <f t="shared" si="3"/>
        <v>2</v>
      </c>
      <c r="X11" s="17">
        <f t="shared" si="3"/>
        <v>0</v>
      </c>
      <c r="Y11" s="17">
        <f t="shared" si="3"/>
        <v>4</v>
      </c>
      <c r="Z11" s="17">
        <f t="shared" si="3"/>
        <v>2</v>
      </c>
      <c r="AA11" s="17">
        <f t="shared" si="3"/>
        <v>5</v>
      </c>
      <c r="AB11" s="17">
        <f t="shared" si="3"/>
        <v>6</v>
      </c>
      <c r="AC11" s="17">
        <f t="shared" si="3"/>
        <v>22</v>
      </c>
      <c r="AD11" s="17">
        <f t="shared" si="3"/>
        <v>0</v>
      </c>
      <c r="AE11" s="31">
        <f t="shared" si="3"/>
        <v>52</v>
      </c>
      <c r="AF11" s="31">
        <f t="shared" si="3"/>
        <v>74</v>
      </c>
    </row>
    <row r="12" spans="2:32" ht="23.1" customHeight="1" x14ac:dyDescent="0.25">
      <c r="B12" s="23" t="s">
        <v>39</v>
      </c>
      <c r="C12" s="50">
        <v>2</v>
      </c>
      <c r="D12" s="50">
        <v>0</v>
      </c>
      <c r="E12" s="50">
        <v>3</v>
      </c>
      <c r="F12" s="50">
        <v>9</v>
      </c>
      <c r="G12" s="50">
        <v>0</v>
      </c>
      <c r="H12" s="50">
        <v>0</v>
      </c>
      <c r="I12" s="50">
        <v>0</v>
      </c>
      <c r="J12" s="50">
        <v>0</v>
      </c>
      <c r="K12" s="50">
        <v>2</v>
      </c>
      <c r="L12" s="50">
        <v>3</v>
      </c>
      <c r="M12" s="50">
        <v>10</v>
      </c>
      <c r="N12" s="50">
        <v>0</v>
      </c>
      <c r="O12" s="15">
        <f t="shared" si="0"/>
        <v>19</v>
      </c>
      <c r="P12" s="15">
        <f t="shared" si="1"/>
        <v>29</v>
      </c>
      <c r="R12" s="1" t="s">
        <v>8</v>
      </c>
      <c r="S12" s="17">
        <f t="shared" ref="S12:AF12" si="4">SUM(C18:C21)</f>
        <v>10</v>
      </c>
      <c r="T12" s="17">
        <f t="shared" si="4"/>
        <v>8</v>
      </c>
      <c r="U12" s="17">
        <f t="shared" si="4"/>
        <v>9</v>
      </c>
      <c r="V12" s="17">
        <f t="shared" si="4"/>
        <v>46</v>
      </c>
      <c r="W12" s="17">
        <f t="shared" si="4"/>
        <v>0</v>
      </c>
      <c r="X12" s="17">
        <f t="shared" si="4"/>
        <v>1</v>
      </c>
      <c r="Y12" s="17">
        <f t="shared" si="4"/>
        <v>3</v>
      </c>
      <c r="Z12" s="17">
        <f t="shared" si="4"/>
        <v>2</v>
      </c>
      <c r="AA12" s="17">
        <f t="shared" si="4"/>
        <v>4</v>
      </c>
      <c r="AB12" s="17">
        <f t="shared" si="4"/>
        <v>2</v>
      </c>
      <c r="AC12" s="17">
        <f t="shared" si="4"/>
        <v>46</v>
      </c>
      <c r="AD12" s="17">
        <f t="shared" si="4"/>
        <v>1</v>
      </c>
      <c r="AE12" s="31">
        <f t="shared" si="4"/>
        <v>86</v>
      </c>
      <c r="AF12" s="31">
        <f t="shared" si="4"/>
        <v>132</v>
      </c>
    </row>
    <row r="13" spans="2:32" ht="23.1" customHeight="1" x14ac:dyDescent="0.25">
      <c r="B13" s="23" t="s">
        <v>40</v>
      </c>
      <c r="C13" s="50">
        <v>3</v>
      </c>
      <c r="D13" s="50">
        <v>1</v>
      </c>
      <c r="E13" s="50">
        <v>2</v>
      </c>
      <c r="F13" s="50">
        <v>6</v>
      </c>
      <c r="G13" s="50">
        <v>1</v>
      </c>
      <c r="H13" s="50">
        <v>0</v>
      </c>
      <c r="I13" s="50">
        <v>2</v>
      </c>
      <c r="J13" s="50">
        <v>1</v>
      </c>
      <c r="K13" s="50">
        <v>0</v>
      </c>
      <c r="L13" s="50">
        <v>1</v>
      </c>
      <c r="M13" s="50">
        <v>13</v>
      </c>
      <c r="N13" s="50">
        <v>0</v>
      </c>
      <c r="O13" s="15">
        <f t="shared" si="0"/>
        <v>17</v>
      </c>
      <c r="P13" s="15">
        <f t="shared" si="1"/>
        <v>30</v>
      </c>
      <c r="R13" s="1" t="s">
        <v>9</v>
      </c>
      <c r="S13" s="17">
        <f t="shared" ref="S13:AF13" si="5">SUM(C22:C25)</f>
        <v>16</v>
      </c>
      <c r="T13" s="17">
        <f t="shared" si="5"/>
        <v>7</v>
      </c>
      <c r="U13" s="17">
        <f t="shared" si="5"/>
        <v>5</v>
      </c>
      <c r="V13" s="17">
        <f t="shared" si="5"/>
        <v>32</v>
      </c>
      <c r="W13" s="17">
        <f t="shared" si="5"/>
        <v>0</v>
      </c>
      <c r="X13" s="17">
        <f t="shared" si="5"/>
        <v>1</v>
      </c>
      <c r="Y13" s="17">
        <f t="shared" si="5"/>
        <v>1</v>
      </c>
      <c r="Z13" s="17">
        <f t="shared" si="5"/>
        <v>3</v>
      </c>
      <c r="AA13" s="17">
        <f t="shared" si="5"/>
        <v>0</v>
      </c>
      <c r="AB13" s="17">
        <f t="shared" si="5"/>
        <v>3</v>
      </c>
      <c r="AC13" s="17">
        <f t="shared" si="5"/>
        <v>35</v>
      </c>
      <c r="AD13" s="17">
        <f t="shared" si="5"/>
        <v>0</v>
      </c>
      <c r="AE13" s="31">
        <f t="shared" si="5"/>
        <v>68</v>
      </c>
      <c r="AF13" s="31">
        <f t="shared" si="5"/>
        <v>103</v>
      </c>
    </row>
    <row r="14" spans="2:32" ht="23.1" customHeight="1" x14ac:dyDescent="0.25">
      <c r="B14" s="23" t="s">
        <v>41</v>
      </c>
      <c r="C14" s="50">
        <v>1</v>
      </c>
      <c r="D14" s="50">
        <v>0</v>
      </c>
      <c r="E14" s="50">
        <v>0</v>
      </c>
      <c r="F14" s="50">
        <v>5</v>
      </c>
      <c r="G14" s="50">
        <v>1</v>
      </c>
      <c r="H14" s="50">
        <v>0</v>
      </c>
      <c r="I14" s="50">
        <v>0</v>
      </c>
      <c r="J14" s="50">
        <v>0</v>
      </c>
      <c r="K14" s="50">
        <v>5</v>
      </c>
      <c r="L14" s="50">
        <v>3</v>
      </c>
      <c r="M14" s="50">
        <v>6</v>
      </c>
      <c r="N14" s="50">
        <v>0</v>
      </c>
      <c r="O14" s="15">
        <f t="shared" si="0"/>
        <v>15</v>
      </c>
      <c r="P14" s="15">
        <f t="shared" si="1"/>
        <v>21</v>
      </c>
      <c r="R14" s="1" t="s">
        <v>10</v>
      </c>
      <c r="S14" s="17">
        <f t="shared" ref="S14:AF14" si="6">SUM(C26:C29)</f>
        <v>15</v>
      </c>
      <c r="T14" s="17">
        <f t="shared" si="6"/>
        <v>6</v>
      </c>
      <c r="U14" s="17">
        <f t="shared" si="6"/>
        <v>9</v>
      </c>
      <c r="V14" s="17">
        <f t="shared" si="6"/>
        <v>35</v>
      </c>
      <c r="W14" s="17">
        <f t="shared" si="6"/>
        <v>0</v>
      </c>
      <c r="X14" s="17">
        <f t="shared" si="6"/>
        <v>1</v>
      </c>
      <c r="Y14" s="17">
        <f t="shared" si="6"/>
        <v>2</v>
      </c>
      <c r="Z14" s="17">
        <f t="shared" si="6"/>
        <v>3</v>
      </c>
      <c r="AA14" s="17">
        <f t="shared" si="6"/>
        <v>2</v>
      </c>
      <c r="AB14" s="17">
        <f t="shared" si="6"/>
        <v>0</v>
      </c>
      <c r="AC14" s="17">
        <f t="shared" si="6"/>
        <v>47</v>
      </c>
      <c r="AD14" s="17">
        <f t="shared" si="6"/>
        <v>0</v>
      </c>
      <c r="AE14" s="31">
        <f t="shared" si="6"/>
        <v>73</v>
      </c>
      <c r="AF14" s="31">
        <f t="shared" si="6"/>
        <v>120</v>
      </c>
    </row>
    <row r="15" spans="2:32" ht="23.1" customHeight="1" x14ac:dyDescent="0.25">
      <c r="B15" s="23" t="s">
        <v>42</v>
      </c>
      <c r="C15" s="50">
        <v>0</v>
      </c>
      <c r="D15" s="50">
        <v>1</v>
      </c>
      <c r="E15" s="50">
        <v>0</v>
      </c>
      <c r="F15" s="50">
        <v>6</v>
      </c>
      <c r="G15" s="50">
        <v>1</v>
      </c>
      <c r="H15" s="50">
        <v>0</v>
      </c>
      <c r="I15" s="50">
        <v>0</v>
      </c>
      <c r="J15" s="50">
        <v>0</v>
      </c>
      <c r="K15" s="50">
        <v>0</v>
      </c>
      <c r="L15" s="50">
        <v>1</v>
      </c>
      <c r="M15" s="50">
        <v>5</v>
      </c>
      <c r="N15" s="50">
        <v>0</v>
      </c>
      <c r="O15" s="15">
        <f t="shared" si="0"/>
        <v>9</v>
      </c>
      <c r="P15" s="15">
        <f t="shared" si="1"/>
        <v>14</v>
      </c>
      <c r="R15" s="1" t="s">
        <v>11</v>
      </c>
      <c r="S15" s="17">
        <f t="shared" ref="S15:AF15" si="7">SUM(C30:C33)</f>
        <v>20</v>
      </c>
      <c r="T15" s="17">
        <f t="shared" si="7"/>
        <v>8</v>
      </c>
      <c r="U15" s="17">
        <f t="shared" si="7"/>
        <v>7</v>
      </c>
      <c r="V15" s="17">
        <f t="shared" si="7"/>
        <v>44</v>
      </c>
      <c r="W15" s="17">
        <f t="shared" si="7"/>
        <v>1</v>
      </c>
      <c r="X15" s="17">
        <f t="shared" si="7"/>
        <v>2</v>
      </c>
      <c r="Y15" s="17">
        <f t="shared" si="7"/>
        <v>2</v>
      </c>
      <c r="Z15" s="17">
        <f t="shared" si="7"/>
        <v>2</v>
      </c>
      <c r="AA15" s="17">
        <f t="shared" si="7"/>
        <v>3</v>
      </c>
      <c r="AB15" s="17">
        <f t="shared" si="7"/>
        <v>2</v>
      </c>
      <c r="AC15" s="17">
        <f t="shared" si="7"/>
        <v>33</v>
      </c>
      <c r="AD15" s="17">
        <f t="shared" si="7"/>
        <v>0</v>
      </c>
      <c r="AE15" s="31">
        <f t="shared" si="7"/>
        <v>91</v>
      </c>
      <c r="AF15" s="31">
        <f t="shared" si="7"/>
        <v>124</v>
      </c>
    </row>
    <row r="16" spans="2:32" ht="23.1" customHeight="1" x14ac:dyDescent="0.25">
      <c r="B16" s="23" t="s">
        <v>43</v>
      </c>
      <c r="C16" s="50">
        <v>0</v>
      </c>
      <c r="D16" s="50">
        <v>1</v>
      </c>
      <c r="E16" s="50">
        <v>0</v>
      </c>
      <c r="F16" s="50">
        <v>8</v>
      </c>
      <c r="G16" s="50">
        <v>0</v>
      </c>
      <c r="H16" s="50">
        <v>0</v>
      </c>
      <c r="I16" s="50">
        <v>1</v>
      </c>
      <c r="J16" s="50">
        <v>1</v>
      </c>
      <c r="K16" s="50">
        <v>0</v>
      </c>
      <c r="L16" s="50">
        <v>2</v>
      </c>
      <c r="M16" s="50">
        <v>7</v>
      </c>
      <c r="N16" s="50">
        <v>0</v>
      </c>
      <c r="O16" s="15">
        <f t="shared" si="0"/>
        <v>13</v>
      </c>
      <c r="P16" s="15">
        <f t="shared" si="1"/>
        <v>20</v>
      </c>
      <c r="R16" s="1" t="s">
        <v>12</v>
      </c>
      <c r="S16" s="17">
        <f t="shared" ref="S16:AF16" si="8">SUM(C34:C37)</f>
        <v>8</v>
      </c>
      <c r="T16" s="17">
        <f t="shared" si="8"/>
        <v>8</v>
      </c>
      <c r="U16" s="17">
        <f t="shared" si="8"/>
        <v>7</v>
      </c>
      <c r="V16" s="17">
        <f t="shared" si="8"/>
        <v>33</v>
      </c>
      <c r="W16" s="17">
        <f t="shared" si="8"/>
        <v>0</v>
      </c>
      <c r="X16" s="17">
        <f t="shared" si="8"/>
        <v>3</v>
      </c>
      <c r="Y16" s="17">
        <f t="shared" si="8"/>
        <v>5</v>
      </c>
      <c r="Z16" s="17">
        <f t="shared" si="8"/>
        <v>4</v>
      </c>
      <c r="AA16" s="17">
        <f t="shared" si="8"/>
        <v>0</v>
      </c>
      <c r="AB16" s="17">
        <f t="shared" si="8"/>
        <v>3</v>
      </c>
      <c r="AC16" s="17">
        <f t="shared" si="8"/>
        <v>30</v>
      </c>
      <c r="AD16" s="17">
        <f t="shared" si="8"/>
        <v>0</v>
      </c>
      <c r="AE16" s="31">
        <f t="shared" si="8"/>
        <v>71</v>
      </c>
      <c r="AF16" s="31">
        <f t="shared" si="8"/>
        <v>101</v>
      </c>
    </row>
    <row r="17" spans="2:32" ht="23.1" customHeight="1" x14ac:dyDescent="0.25">
      <c r="B17" s="23" t="s">
        <v>44</v>
      </c>
      <c r="C17" s="50">
        <v>1</v>
      </c>
      <c r="D17" s="50">
        <v>2</v>
      </c>
      <c r="E17" s="50">
        <v>1</v>
      </c>
      <c r="F17" s="50">
        <v>7</v>
      </c>
      <c r="G17" s="50">
        <v>0</v>
      </c>
      <c r="H17" s="50">
        <v>0</v>
      </c>
      <c r="I17" s="50">
        <v>3</v>
      </c>
      <c r="J17" s="50">
        <v>1</v>
      </c>
      <c r="K17" s="50">
        <v>0</v>
      </c>
      <c r="L17" s="50">
        <v>0</v>
      </c>
      <c r="M17" s="50">
        <v>4</v>
      </c>
      <c r="N17" s="50">
        <v>0</v>
      </c>
      <c r="O17" s="15">
        <f t="shared" si="0"/>
        <v>15</v>
      </c>
      <c r="P17" s="15">
        <f t="shared" si="1"/>
        <v>19</v>
      </c>
      <c r="R17" s="1" t="s">
        <v>13</v>
      </c>
      <c r="S17" s="17">
        <f t="shared" ref="S17:AF17" si="9">SUM(C38:C41)</f>
        <v>10</v>
      </c>
      <c r="T17" s="17">
        <f t="shared" si="9"/>
        <v>7</v>
      </c>
      <c r="U17" s="17">
        <f t="shared" si="9"/>
        <v>15</v>
      </c>
      <c r="V17" s="17">
        <f t="shared" si="9"/>
        <v>29</v>
      </c>
      <c r="W17" s="17">
        <f t="shared" si="9"/>
        <v>0</v>
      </c>
      <c r="X17" s="17">
        <f t="shared" si="9"/>
        <v>2</v>
      </c>
      <c r="Y17" s="17">
        <f t="shared" si="9"/>
        <v>6</v>
      </c>
      <c r="Z17" s="17">
        <f t="shared" si="9"/>
        <v>6</v>
      </c>
      <c r="AA17" s="17">
        <f t="shared" si="9"/>
        <v>3</v>
      </c>
      <c r="AB17" s="17">
        <f t="shared" si="9"/>
        <v>6</v>
      </c>
      <c r="AC17" s="17">
        <f t="shared" si="9"/>
        <v>50</v>
      </c>
      <c r="AD17" s="17">
        <f t="shared" si="9"/>
        <v>0</v>
      </c>
      <c r="AE17" s="31">
        <f t="shared" si="9"/>
        <v>84</v>
      </c>
      <c r="AF17" s="31">
        <f t="shared" si="9"/>
        <v>134</v>
      </c>
    </row>
    <row r="18" spans="2:32" ht="23.1" customHeight="1" x14ac:dyDescent="0.25">
      <c r="B18" s="23" t="s">
        <v>45</v>
      </c>
      <c r="C18" s="50">
        <v>0</v>
      </c>
      <c r="D18" s="50">
        <v>1</v>
      </c>
      <c r="E18" s="50">
        <v>2</v>
      </c>
      <c r="F18" s="50">
        <v>9</v>
      </c>
      <c r="G18" s="50">
        <v>0</v>
      </c>
      <c r="H18" s="50">
        <v>0</v>
      </c>
      <c r="I18" s="50">
        <v>0</v>
      </c>
      <c r="J18" s="50">
        <v>1</v>
      </c>
      <c r="K18" s="50">
        <v>2</v>
      </c>
      <c r="L18" s="50">
        <v>0</v>
      </c>
      <c r="M18" s="50">
        <v>10</v>
      </c>
      <c r="N18" s="50">
        <v>1</v>
      </c>
      <c r="O18" s="15">
        <f t="shared" si="0"/>
        <v>16</v>
      </c>
      <c r="P18" s="15">
        <f t="shared" si="1"/>
        <v>26</v>
      </c>
      <c r="R18" s="1" t="s">
        <v>14</v>
      </c>
      <c r="S18" s="17">
        <f t="shared" ref="S18:AF18" si="10">SUM(C42:C45)</f>
        <v>14</v>
      </c>
      <c r="T18" s="17">
        <f t="shared" si="10"/>
        <v>7</v>
      </c>
      <c r="U18" s="17">
        <f t="shared" si="10"/>
        <v>13</v>
      </c>
      <c r="V18" s="17">
        <f t="shared" si="10"/>
        <v>38</v>
      </c>
      <c r="W18" s="17">
        <f t="shared" si="10"/>
        <v>2</v>
      </c>
      <c r="X18" s="17">
        <f t="shared" si="10"/>
        <v>3</v>
      </c>
      <c r="Y18" s="17">
        <f t="shared" si="10"/>
        <v>4</v>
      </c>
      <c r="Z18" s="17">
        <f t="shared" si="10"/>
        <v>11</v>
      </c>
      <c r="AA18" s="17">
        <f t="shared" si="10"/>
        <v>3</v>
      </c>
      <c r="AB18" s="17">
        <f t="shared" si="10"/>
        <v>2</v>
      </c>
      <c r="AC18" s="17">
        <f t="shared" si="10"/>
        <v>34</v>
      </c>
      <c r="AD18" s="17">
        <f t="shared" si="10"/>
        <v>0</v>
      </c>
      <c r="AE18" s="31">
        <f t="shared" si="10"/>
        <v>97</v>
      </c>
      <c r="AF18" s="31">
        <f t="shared" si="10"/>
        <v>131</v>
      </c>
    </row>
    <row r="19" spans="2:32" ht="23.1" customHeight="1" x14ac:dyDescent="0.25">
      <c r="B19" s="23" t="s">
        <v>46</v>
      </c>
      <c r="C19" s="50">
        <v>5</v>
      </c>
      <c r="D19" s="50">
        <v>3</v>
      </c>
      <c r="E19" s="50">
        <v>0</v>
      </c>
      <c r="F19" s="50">
        <v>14</v>
      </c>
      <c r="G19" s="50">
        <v>0</v>
      </c>
      <c r="H19" s="50">
        <v>1</v>
      </c>
      <c r="I19" s="50">
        <v>0</v>
      </c>
      <c r="J19" s="50">
        <v>0</v>
      </c>
      <c r="K19" s="50">
        <v>0</v>
      </c>
      <c r="L19" s="50">
        <v>0</v>
      </c>
      <c r="M19" s="50">
        <v>16</v>
      </c>
      <c r="N19" s="50">
        <v>0</v>
      </c>
      <c r="O19" s="15">
        <f t="shared" si="0"/>
        <v>23</v>
      </c>
      <c r="P19" s="15">
        <f t="shared" si="1"/>
        <v>39</v>
      </c>
      <c r="R19" s="1" t="s">
        <v>15</v>
      </c>
      <c r="S19" s="17">
        <f t="shared" ref="S19:AF19" si="11">SUM(C46:C49)</f>
        <v>17</v>
      </c>
      <c r="T19" s="17">
        <f t="shared" si="11"/>
        <v>13</v>
      </c>
      <c r="U19" s="17">
        <f t="shared" si="11"/>
        <v>12</v>
      </c>
      <c r="V19" s="17">
        <f t="shared" si="11"/>
        <v>30</v>
      </c>
      <c r="W19" s="17">
        <f t="shared" si="11"/>
        <v>3</v>
      </c>
      <c r="X19" s="17">
        <f t="shared" si="11"/>
        <v>3</v>
      </c>
      <c r="Y19" s="17">
        <f t="shared" si="11"/>
        <v>3</v>
      </c>
      <c r="Z19" s="17">
        <f t="shared" si="11"/>
        <v>2</v>
      </c>
      <c r="AA19" s="17">
        <f t="shared" si="11"/>
        <v>2</v>
      </c>
      <c r="AB19" s="17">
        <f t="shared" si="11"/>
        <v>0</v>
      </c>
      <c r="AC19" s="17">
        <f t="shared" si="11"/>
        <v>16</v>
      </c>
      <c r="AD19" s="17">
        <f t="shared" si="11"/>
        <v>0</v>
      </c>
      <c r="AE19" s="31">
        <f t="shared" si="11"/>
        <v>85</v>
      </c>
      <c r="AF19" s="31">
        <f t="shared" si="11"/>
        <v>101</v>
      </c>
    </row>
    <row r="20" spans="2:32" ht="23.1" customHeight="1" x14ac:dyDescent="0.25">
      <c r="B20" s="23" t="s">
        <v>47</v>
      </c>
      <c r="C20" s="50">
        <v>3</v>
      </c>
      <c r="D20" s="50">
        <v>1</v>
      </c>
      <c r="E20" s="50">
        <v>3</v>
      </c>
      <c r="F20" s="50">
        <v>13</v>
      </c>
      <c r="G20" s="50">
        <v>0</v>
      </c>
      <c r="H20" s="50">
        <v>0</v>
      </c>
      <c r="I20" s="50">
        <v>2</v>
      </c>
      <c r="J20" s="50">
        <v>0</v>
      </c>
      <c r="K20" s="50">
        <v>0</v>
      </c>
      <c r="L20" s="50">
        <v>1</v>
      </c>
      <c r="M20" s="50">
        <v>11</v>
      </c>
      <c r="N20" s="50">
        <v>0</v>
      </c>
      <c r="O20" s="15">
        <f t="shared" si="0"/>
        <v>23</v>
      </c>
      <c r="P20" s="15">
        <f t="shared" si="1"/>
        <v>34</v>
      </c>
      <c r="R20" s="1" t="s">
        <v>16</v>
      </c>
      <c r="S20" s="17">
        <f t="shared" ref="S20:AF20" si="12">SUM(C50:C53)</f>
        <v>18</v>
      </c>
      <c r="T20" s="17">
        <f t="shared" si="12"/>
        <v>9</v>
      </c>
      <c r="U20" s="17">
        <f t="shared" si="12"/>
        <v>11</v>
      </c>
      <c r="V20" s="17">
        <f t="shared" si="12"/>
        <v>30</v>
      </c>
      <c r="W20" s="17">
        <f t="shared" si="12"/>
        <v>6</v>
      </c>
      <c r="X20" s="17">
        <f t="shared" si="12"/>
        <v>1</v>
      </c>
      <c r="Y20" s="17">
        <f t="shared" si="12"/>
        <v>6</v>
      </c>
      <c r="Z20" s="17">
        <f t="shared" si="12"/>
        <v>6</v>
      </c>
      <c r="AA20" s="17">
        <f t="shared" si="12"/>
        <v>1</v>
      </c>
      <c r="AB20" s="17">
        <f t="shared" si="12"/>
        <v>2</v>
      </c>
      <c r="AC20" s="17">
        <f t="shared" si="12"/>
        <v>37</v>
      </c>
      <c r="AD20" s="17">
        <f t="shared" si="12"/>
        <v>0</v>
      </c>
      <c r="AE20" s="31">
        <f t="shared" si="12"/>
        <v>90</v>
      </c>
      <c r="AF20" s="31">
        <f t="shared" si="12"/>
        <v>127</v>
      </c>
    </row>
    <row r="21" spans="2:32" ht="23.1" customHeight="1" x14ac:dyDescent="0.25">
      <c r="B21" s="23" t="s">
        <v>48</v>
      </c>
      <c r="C21" s="50">
        <v>2</v>
      </c>
      <c r="D21" s="50">
        <v>3</v>
      </c>
      <c r="E21" s="50">
        <v>4</v>
      </c>
      <c r="F21" s="50">
        <v>10</v>
      </c>
      <c r="G21" s="50">
        <v>0</v>
      </c>
      <c r="H21" s="50">
        <v>0</v>
      </c>
      <c r="I21" s="50">
        <v>1</v>
      </c>
      <c r="J21" s="50">
        <v>1</v>
      </c>
      <c r="K21" s="50">
        <v>2</v>
      </c>
      <c r="L21" s="50">
        <v>1</v>
      </c>
      <c r="M21" s="50">
        <v>9</v>
      </c>
      <c r="N21" s="50">
        <v>0</v>
      </c>
      <c r="O21" s="15">
        <f t="shared" si="0"/>
        <v>24</v>
      </c>
      <c r="P21" s="15">
        <f t="shared" si="1"/>
        <v>33</v>
      </c>
      <c r="R21" s="36" t="s">
        <v>20</v>
      </c>
      <c r="S21" s="34">
        <f t="shared" ref="S21:AF21" si="13">SUM(C54:C57)</f>
        <v>8</v>
      </c>
      <c r="T21" s="17">
        <f t="shared" si="13"/>
        <v>8</v>
      </c>
      <c r="U21" s="17">
        <f t="shared" si="13"/>
        <v>10</v>
      </c>
      <c r="V21" s="17">
        <f t="shared" si="13"/>
        <v>30</v>
      </c>
      <c r="W21" s="17">
        <f t="shared" si="13"/>
        <v>1</v>
      </c>
      <c r="X21" s="17">
        <f t="shared" si="13"/>
        <v>0</v>
      </c>
      <c r="Y21" s="17">
        <f t="shared" si="13"/>
        <v>6</v>
      </c>
      <c r="Z21" s="17">
        <f t="shared" si="13"/>
        <v>8</v>
      </c>
      <c r="AA21" s="17">
        <f t="shared" si="13"/>
        <v>5</v>
      </c>
      <c r="AB21" s="17">
        <f t="shared" si="13"/>
        <v>4</v>
      </c>
      <c r="AC21" s="17">
        <f t="shared" si="13"/>
        <v>32</v>
      </c>
      <c r="AD21" s="17">
        <f t="shared" si="13"/>
        <v>0</v>
      </c>
      <c r="AE21" s="31">
        <f t="shared" si="13"/>
        <v>80</v>
      </c>
      <c r="AF21" s="31">
        <f t="shared" si="13"/>
        <v>112</v>
      </c>
    </row>
    <row r="22" spans="2:32" ht="23.1" customHeight="1" x14ac:dyDescent="0.25">
      <c r="B22" s="23" t="s">
        <v>49</v>
      </c>
      <c r="C22" s="50">
        <v>4</v>
      </c>
      <c r="D22" s="50">
        <v>1</v>
      </c>
      <c r="E22" s="50">
        <v>0</v>
      </c>
      <c r="F22" s="50">
        <v>8</v>
      </c>
      <c r="G22" s="50">
        <v>0</v>
      </c>
      <c r="H22" s="50">
        <v>1</v>
      </c>
      <c r="I22" s="50">
        <v>0</v>
      </c>
      <c r="J22" s="50">
        <v>1</v>
      </c>
      <c r="K22" s="50">
        <v>0</v>
      </c>
      <c r="L22" s="50">
        <v>0</v>
      </c>
      <c r="M22" s="50">
        <v>10</v>
      </c>
      <c r="N22" s="50">
        <v>0</v>
      </c>
      <c r="O22" s="15">
        <f t="shared" si="0"/>
        <v>15</v>
      </c>
      <c r="P22" s="15">
        <f t="shared" si="1"/>
        <v>25</v>
      </c>
      <c r="R22" s="38" t="s">
        <v>90</v>
      </c>
      <c r="S22" s="39">
        <f>MAX(S10:S12)</f>
        <v>14</v>
      </c>
      <c r="T22" s="39">
        <f t="shared" ref="T22:AF22" si="14">MAX(T10:T12)</f>
        <v>8</v>
      </c>
      <c r="U22" s="39">
        <f t="shared" si="14"/>
        <v>9</v>
      </c>
      <c r="V22" s="39">
        <f t="shared" si="14"/>
        <v>46</v>
      </c>
      <c r="W22" s="39">
        <f t="shared" si="14"/>
        <v>2</v>
      </c>
      <c r="X22" s="39">
        <f t="shared" si="14"/>
        <v>1</v>
      </c>
      <c r="Y22" s="39">
        <f t="shared" si="14"/>
        <v>4</v>
      </c>
      <c r="Z22" s="39">
        <f t="shared" si="14"/>
        <v>2</v>
      </c>
      <c r="AA22" s="39">
        <f t="shared" si="14"/>
        <v>8</v>
      </c>
      <c r="AB22" s="39">
        <f t="shared" si="14"/>
        <v>6</v>
      </c>
      <c r="AC22" s="39">
        <f t="shared" si="14"/>
        <v>46</v>
      </c>
      <c r="AD22" s="39">
        <f t="shared" si="14"/>
        <v>1</v>
      </c>
      <c r="AE22" s="40">
        <f t="shared" si="14"/>
        <v>86</v>
      </c>
      <c r="AF22" s="40">
        <f t="shared" si="14"/>
        <v>132</v>
      </c>
    </row>
    <row r="23" spans="2:32" ht="23.1" customHeight="1" x14ac:dyDescent="0.25">
      <c r="B23" s="23" t="s">
        <v>50</v>
      </c>
      <c r="C23" s="50">
        <v>2</v>
      </c>
      <c r="D23" s="50">
        <v>2</v>
      </c>
      <c r="E23" s="50">
        <v>1</v>
      </c>
      <c r="F23" s="50">
        <v>7</v>
      </c>
      <c r="G23" s="50">
        <v>0</v>
      </c>
      <c r="H23" s="50">
        <v>0</v>
      </c>
      <c r="I23" s="50">
        <v>0</v>
      </c>
      <c r="J23" s="50">
        <v>1</v>
      </c>
      <c r="K23" s="50">
        <v>0</v>
      </c>
      <c r="L23" s="50">
        <v>1</v>
      </c>
      <c r="M23" s="50">
        <v>7</v>
      </c>
      <c r="N23" s="50">
        <v>0</v>
      </c>
      <c r="O23" s="15">
        <f t="shared" si="0"/>
        <v>14</v>
      </c>
      <c r="P23" s="15">
        <f t="shared" si="1"/>
        <v>21</v>
      </c>
      <c r="R23" s="38" t="s">
        <v>91</v>
      </c>
      <c r="S23" s="39">
        <f>MAX(S13:S18)</f>
        <v>20</v>
      </c>
      <c r="T23" s="39">
        <f t="shared" ref="T23:AF23" si="15">MAX(T13:T18)</f>
        <v>8</v>
      </c>
      <c r="U23" s="39">
        <f t="shared" si="15"/>
        <v>15</v>
      </c>
      <c r="V23" s="39">
        <f t="shared" si="15"/>
        <v>44</v>
      </c>
      <c r="W23" s="39">
        <f t="shared" si="15"/>
        <v>2</v>
      </c>
      <c r="X23" s="39">
        <f t="shared" si="15"/>
        <v>3</v>
      </c>
      <c r="Y23" s="39">
        <f t="shared" si="15"/>
        <v>6</v>
      </c>
      <c r="Z23" s="39">
        <f t="shared" si="15"/>
        <v>11</v>
      </c>
      <c r="AA23" s="39">
        <f t="shared" si="15"/>
        <v>3</v>
      </c>
      <c r="AB23" s="39">
        <f t="shared" si="15"/>
        <v>6</v>
      </c>
      <c r="AC23" s="39">
        <f t="shared" si="15"/>
        <v>50</v>
      </c>
      <c r="AD23" s="39">
        <f t="shared" si="15"/>
        <v>0</v>
      </c>
      <c r="AE23" s="40">
        <f t="shared" si="15"/>
        <v>97</v>
      </c>
      <c r="AF23" s="40">
        <f t="shared" si="15"/>
        <v>134</v>
      </c>
    </row>
    <row r="24" spans="2:32" ht="23.1" customHeight="1" x14ac:dyDescent="0.25">
      <c r="B24" s="23" t="s">
        <v>51</v>
      </c>
      <c r="C24" s="50">
        <v>4</v>
      </c>
      <c r="D24" s="50">
        <v>1</v>
      </c>
      <c r="E24" s="50">
        <v>3</v>
      </c>
      <c r="F24" s="50">
        <v>5</v>
      </c>
      <c r="G24" s="50">
        <v>0</v>
      </c>
      <c r="H24" s="50">
        <v>0</v>
      </c>
      <c r="I24" s="50">
        <v>1</v>
      </c>
      <c r="J24" s="50">
        <v>0</v>
      </c>
      <c r="K24" s="50">
        <v>0</v>
      </c>
      <c r="L24" s="50">
        <v>0</v>
      </c>
      <c r="M24" s="50">
        <v>8</v>
      </c>
      <c r="N24" s="50">
        <v>0</v>
      </c>
      <c r="O24" s="15">
        <f t="shared" si="0"/>
        <v>14</v>
      </c>
      <c r="P24" s="15">
        <f t="shared" si="1"/>
        <v>22</v>
      </c>
      <c r="R24" s="38" t="s">
        <v>92</v>
      </c>
      <c r="S24" s="39">
        <f>MAX(S19:S21)</f>
        <v>18</v>
      </c>
      <c r="T24" s="39">
        <f t="shared" ref="T24:AF24" si="16">MAX(T19:T21)</f>
        <v>13</v>
      </c>
      <c r="U24" s="39">
        <f t="shared" si="16"/>
        <v>12</v>
      </c>
      <c r="V24" s="39">
        <f t="shared" si="16"/>
        <v>30</v>
      </c>
      <c r="W24" s="39">
        <f t="shared" si="16"/>
        <v>6</v>
      </c>
      <c r="X24" s="39">
        <f t="shared" si="16"/>
        <v>3</v>
      </c>
      <c r="Y24" s="39">
        <f t="shared" si="16"/>
        <v>6</v>
      </c>
      <c r="Z24" s="39">
        <f t="shared" si="16"/>
        <v>8</v>
      </c>
      <c r="AA24" s="39">
        <f t="shared" si="16"/>
        <v>5</v>
      </c>
      <c r="AB24" s="39">
        <f t="shared" si="16"/>
        <v>4</v>
      </c>
      <c r="AC24" s="39">
        <f t="shared" si="16"/>
        <v>37</v>
      </c>
      <c r="AD24" s="39">
        <f t="shared" si="16"/>
        <v>0</v>
      </c>
      <c r="AE24" s="40">
        <f t="shared" si="16"/>
        <v>90</v>
      </c>
      <c r="AF24" s="40">
        <f t="shared" si="16"/>
        <v>127</v>
      </c>
    </row>
    <row r="25" spans="2:32" ht="23.1" customHeight="1" x14ac:dyDescent="0.25">
      <c r="B25" s="23" t="s">
        <v>52</v>
      </c>
      <c r="C25" s="50">
        <v>6</v>
      </c>
      <c r="D25" s="50">
        <v>3</v>
      </c>
      <c r="E25" s="50">
        <v>1</v>
      </c>
      <c r="F25" s="50">
        <v>12</v>
      </c>
      <c r="G25" s="50">
        <v>0</v>
      </c>
      <c r="H25" s="50">
        <v>0</v>
      </c>
      <c r="I25" s="50">
        <v>0</v>
      </c>
      <c r="J25" s="50">
        <v>1</v>
      </c>
      <c r="K25" s="50">
        <v>0</v>
      </c>
      <c r="L25" s="50">
        <v>2</v>
      </c>
      <c r="M25" s="50">
        <v>10</v>
      </c>
      <c r="N25" s="50">
        <v>0</v>
      </c>
      <c r="O25" s="15">
        <f t="shared" si="0"/>
        <v>25</v>
      </c>
      <c r="P25" s="15">
        <f t="shared" si="1"/>
        <v>35</v>
      </c>
      <c r="R25" s="37" t="s">
        <v>85</v>
      </c>
      <c r="S25" s="35">
        <f t="shared" ref="S25:AF25" si="17">SUM(S10:S12)</f>
        <v>26</v>
      </c>
      <c r="T25" s="16">
        <f t="shared" si="17"/>
        <v>15</v>
      </c>
      <c r="U25" s="16">
        <f t="shared" si="17"/>
        <v>15</v>
      </c>
      <c r="V25" s="16">
        <f t="shared" si="17"/>
        <v>99</v>
      </c>
      <c r="W25" s="16">
        <f t="shared" si="17"/>
        <v>4</v>
      </c>
      <c r="X25" s="16">
        <f t="shared" si="17"/>
        <v>1</v>
      </c>
      <c r="Y25" s="16">
        <f t="shared" si="17"/>
        <v>11</v>
      </c>
      <c r="Z25" s="16">
        <f t="shared" si="17"/>
        <v>6</v>
      </c>
      <c r="AA25" s="16">
        <f t="shared" si="17"/>
        <v>17</v>
      </c>
      <c r="AB25" s="16">
        <f t="shared" si="17"/>
        <v>12</v>
      </c>
      <c r="AC25" s="16">
        <f t="shared" si="17"/>
        <v>109</v>
      </c>
      <c r="AD25" s="16">
        <f t="shared" si="17"/>
        <v>1</v>
      </c>
      <c r="AE25" s="32">
        <f t="shared" si="17"/>
        <v>207</v>
      </c>
      <c r="AF25" s="32">
        <f t="shared" si="17"/>
        <v>316</v>
      </c>
    </row>
    <row r="26" spans="2:32" ht="23.1" customHeight="1" x14ac:dyDescent="0.25">
      <c r="B26" s="23" t="s">
        <v>53</v>
      </c>
      <c r="C26" s="50">
        <v>2</v>
      </c>
      <c r="D26" s="50">
        <v>1</v>
      </c>
      <c r="E26" s="50">
        <v>2</v>
      </c>
      <c r="F26" s="50">
        <v>7</v>
      </c>
      <c r="G26" s="50">
        <v>0</v>
      </c>
      <c r="H26" s="50">
        <v>0</v>
      </c>
      <c r="I26" s="50">
        <v>1</v>
      </c>
      <c r="J26" s="50">
        <v>2</v>
      </c>
      <c r="K26" s="50">
        <v>0</v>
      </c>
      <c r="L26" s="50">
        <v>0</v>
      </c>
      <c r="M26" s="50">
        <v>14</v>
      </c>
      <c r="N26" s="50">
        <v>0</v>
      </c>
      <c r="O26" s="15">
        <f t="shared" si="0"/>
        <v>15</v>
      </c>
      <c r="P26" s="15">
        <f t="shared" si="1"/>
        <v>29</v>
      </c>
      <c r="R26" s="28" t="s">
        <v>86</v>
      </c>
      <c r="S26" s="16">
        <f t="shared" ref="S26:AF26" si="18">SUM(S13:S18)</f>
        <v>83</v>
      </c>
      <c r="T26" s="16">
        <f t="shared" si="18"/>
        <v>43</v>
      </c>
      <c r="U26" s="16">
        <f t="shared" si="18"/>
        <v>56</v>
      </c>
      <c r="V26" s="16">
        <f t="shared" si="18"/>
        <v>211</v>
      </c>
      <c r="W26" s="16">
        <f t="shared" si="18"/>
        <v>3</v>
      </c>
      <c r="X26" s="16">
        <f t="shared" si="18"/>
        <v>12</v>
      </c>
      <c r="Y26" s="16">
        <f t="shared" si="18"/>
        <v>20</v>
      </c>
      <c r="Z26" s="16">
        <f t="shared" si="18"/>
        <v>29</v>
      </c>
      <c r="AA26" s="16">
        <f t="shared" si="18"/>
        <v>11</v>
      </c>
      <c r="AB26" s="16">
        <f t="shared" si="18"/>
        <v>16</v>
      </c>
      <c r="AC26" s="16">
        <f t="shared" si="18"/>
        <v>229</v>
      </c>
      <c r="AD26" s="16">
        <f t="shared" si="18"/>
        <v>0</v>
      </c>
      <c r="AE26" s="32">
        <f t="shared" si="18"/>
        <v>484</v>
      </c>
      <c r="AF26" s="32">
        <f t="shared" si="18"/>
        <v>713</v>
      </c>
    </row>
    <row r="27" spans="2:32" ht="23.1" customHeight="1" x14ac:dyDescent="0.25">
      <c r="B27" s="23" t="s">
        <v>54</v>
      </c>
      <c r="C27" s="50">
        <v>5</v>
      </c>
      <c r="D27" s="50">
        <v>2</v>
      </c>
      <c r="E27" s="50">
        <v>1</v>
      </c>
      <c r="F27" s="50">
        <v>11</v>
      </c>
      <c r="G27" s="50">
        <v>0</v>
      </c>
      <c r="H27" s="50">
        <v>1</v>
      </c>
      <c r="I27" s="50">
        <v>0</v>
      </c>
      <c r="J27" s="50">
        <v>0</v>
      </c>
      <c r="K27" s="50">
        <v>0</v>
      </c>
      <c r="L27" s="50">
        <v>0</v>
      </c>
      <c r="M27" s="50">
        <v>9</v>
      </c>
      <c r="N27" s="50">
        <v>0</v>
      </c>
      <c r="O27" s="15">
        <f t="shared" si="0"/>
        <v>20</v>
      </c>
      <c r="P27" s="15">
        <f t="shared" si="1"/>
        <v>29</v>
      </c>
      <c r="R27" s="29" t="s">
        <v>87</v>
      </c>
      <c r="S27" s="16">
        <f t="shared" ref="S27:AF27" si="19">SUM(S19:S21)</f>
        <v>43</v>
      </c>
      <c r="T27" s="16">
        <f t="shared" si="19"/>
        <v>30</v>
      </c>
      <c r="U27" s="16">
        <f t="shared" si="19"/>
        <v>33</v>
      </c>
      <c r="V27" s="16">
        <f t="shared" si="19"/>
        <v>90</v>
      </c>
      <c r="W27" s="16">
        <f t="shared" si="19"/>
        <v>10</v>
      </c>
      <c r="X27" s="16">
        <f t="shared" si="19"/>
        <v>4</v>
      </c>
      <c r="Y27" s="16">
        <f t="shared" si="19"/>
        <v>15</v>
      </c>
      <c r="Z27" s="16">
        <f t="shared" si="19"/>
        <v>16</v>
      </c>
      <c r="AA27" s="16">
        <f t="shared" si="19"/>
        <v>8</v>
      </c>
      <c r="AB27" s="16">
        <f t="shared" si="19"/>
        <v>6</v>
      </c>
      <c r="AC27" s="16">
        <f t="shared" si="19"/>
        <v>85</v>
      </c>
      <c r="AD27" s="16">
        <f t="shared" si="19"/>
        <v>0</v>
      </c>
      <c r="AE27" s="32">
        <f t="shared" si="19"/>
        <v>255</v>
      </c>
      <c r="AF27" s="32">
        <f t="shared" si="19"/>
        <v>340</v>
      </c>
    </row>
    <row r="28" spans="2:32" ht="23.1" customHeight="1" x14ac:dyDescent="0.25">
      <c r="B28" s="23" t="s">
        <v>55</v>
      </c>
      <c r="C28" s="50">
        <v>1</v>
      </c>
      <c r="D28" s="50">
        <v>1</v>
      </c>
      <c r="E28" s="50">
        <v>2</v>
      </c>
      <c r="F28" s="50">
        <v>9</v>
      </c>
      <c r="G28" s="50">
        <v>0</v>
      </c>
      <c r="H28" s="50">
        <v>0</v>
      </c>
      <c r="I28" s="50">
        <v>1</v>
      </c>
      <c r="J28" s="50">
        <v>0</v>
      </c>
      <c r="K28" s="50">
        <v>0</v>
      </c>
      <c r="L28" s="50">
        <v>0</v>
      </c>
      <c r="M28" s="50">
        <v>11</v>
      </c>
      <c r="N28" s="50">
        <v>0</v>
      </c>
      <c r="O28" s="15">
        <f t="shared" si="0"/>
        <v>14</v>
      </c>
      <c r="P28" s="15">
        <f t="shared" si="1"/>
        <v>25</v>
      </c>
      <c r="R28" s="5" t="s">
        <v>17</v>
      </c>
      <c r="S28" s="16">
        <f t="shared" ref="S28:AF28" si="20">SUM(S10:S21)</f>
        <v>152</v>
      </c>
      <c r="T28" s="16">
        <f t="shared" si="20"/>
        <v>88</v>
      </c>
      <c r="U28" s="16">
        <f t="shared" si="20"/>
        <v>104</v>
      </c>
      <c r="V28" s="16">
        <f t="shared" si="20"/>
        <v>400</v>
      </c>
      <c r="W28" s="16">
        <f t="shared" si="20"/>
        <v>17</v>
      </c>
      <c r="X28" s="16">
        <f t="shared" si="20"/>
        <v>17</v>
      </c>
      <c r="Y28" s="16">
        <f t="shared" si="20"/>
        <v>46</v>
      </c>
      <c r="Z28" s="16">
        <f t="shared" si="20"/>
        <v>51</v>
      </c>
      <c r="AA28" s="16">
        <f t="shared" si="20"/>
        <v>36</v>
      </c>
      <c r="AB28" s="16">
        <f t="shared" si="20"/>
        <v>34</v>
      </c>
      <c r="AC28" s="16">
        <f t="shared" si="20"/>
        <v>423</v>
      </c>
      <c r="AD28" s="16">
        <f t="shared" si="20"/>
        <v>1</v>
      </c>
      <c r="AE28" s="32">
        <f t="shared" si="20"/>
        <v>946</v>
      </c>
      <c r="AF28" s="32">
        <f t="shared" si="20"/>
        <v>1369</v>
      </c>
    </row>
    <row r="29" spans="2:32" ht="23.1" customHeight="1" x14ac:dyDescent="0.25">
      <c r="B29" s="23" t="s">
        <v>56</v>
      </c>
      <c r="C29" s="50">
        <v>7</v>
      </c>
      <c r="D29" s="50">
        <v>2</v>
      </c>
      <c r="E29" s="50">
        <v>4</v>
      </c>
      <c r="F29" s="50">
        <v>8</v>
      </c>
      <c r="G29" s="50">
        <v>0</v>
      </c>
      <c r="H29" s="50">
        <v>0</v>
      </c>
      <c r="I29" s="50">
        <v>0</v>
      </c>
      <c r="J29" s="50">
        <v>1</v>
      </c>
      <c r="K29" s="50">
        <v>2</v>
      </c>
      <c r="L29" s="50">
        <v>0</v>
      </c>
      <c r="M29" s="50">
        <v>13</v>
      </c>
      <c r="N29" s="50">
        <v>0</v>
      </c>
      <c r="O29" s="15">
        <f t="shared" si="0"/>
        <v>24</v>
      </c>
      <c r="P29" s="15">
        <f t="shared" si="1"/>
        <v>37</v>
      </c>
      <c r="R29"/>
      <c r="S29" s="20"/>
      <c r="T29" s="19"/>
    </row>
    <row r="30" spans="2:32" ht="23.1" customHeight="1" x14ac:dyDescent="0.25">
      <c r="B30" s="23" t="s">
        <v>57</v>
      </c>
      <c r="C30" s="50">
        <v>6</v>
      </c>
      <c r="D30" s="50">
        <v>4</v>
      </c>
      <c r="E30" s="50">
        <v>1</v>
      </c>
      <c r="F30" s="50">
        <v>14</v>
      </c>
      <c r="G30" s="50">
        <v>0</v>
      </c>
      <c r="H30" s="50">
        <v>0</v>
      </c>
      <c r="I30" s="50">
        <v>0</v>
      </c>
      <c r="J30" s="50">
        <v>0</v>
      </c>
      <c r="K30" s="50">
        <v>2</v>
      </c>
      <c r="L30" s="50">
        <v>1</v>
      </c>
      <c r="M30" s="50">
        <v>8</v>
      </c>
      <c r="N30" s="50">
        <v>0</v>
      </c>
      <c r="O30" s="15">
        <f t="shared" si="0"/>
        <v>28</v>
      </c>
      <c r="P30" s="15">
        <f t="shared" si="1"/>
        <v>36</v>
      </c>
    </row>
    <row r="31" spans="2:32" ht="23.1" customHeight="1" x14ac:dyDescent="0.25">
      <c r="B31" s="24" t="s">
        <v>58</v>
      </c>
      <c r="C31" s="50">
        <v>5</v>
      </c>
      <c r="D31" s="50">
        <v>2</v>
      </c>
      <c r="E31" s="50">
        <v>2</v>
      </c>
      <c r="F31" s="50">
        <v>10</v>
      </c>
      <c r="G31" s="50">
        <v>0</v>
      </c>
      <c r="H31" s="50">
        <v>0</v>
      </c>
      <c r="I31" s="50">
        <v>0</v>
      </c>
      <c r="J31" s="50">
        <v>0</v>
      </c>
      <c r="K31" s="50">
        <v>0</v>
      </c>
      <c r="L31" s="50">
        <v>0</v>
      </c>
      <c r="M31" s="50">
        <v>10</v>
      </c>
      <c r="N31" s="50">
        <v>0</v>
      </c>
      <c r="O31" s="15">
        <f t="shared" si="0"/>
        <v>19</v>
      </c>
      <c r="P31" s="15">
        <f t="shared" si="1"/>
        <v>29</v>
      </c>
    </row>
    <row r="32" spans="2:32" ht="23.1" customHeight="1" x14ac:dyDescent="0.25">
      <c r="B32" s="24" t="s">
        <v>59</v>
      </c>
      <c r="C32" s="50">
        <v>4</v>
      </c>
      <c r="D32" s="50">
        <v>0</v>
      </c>
      <c r="E32" s="50">
        <v>3</v>
      </c>
      <c r="F32" s="50">
        <v>9</v>
      </c>
      <c r="G32" s="50">
        <v>1</v>
      </c>
      <c r="H32" s="50">
        <v>2</v>
      </c>
      <c r="I32" s="50">
        <v>2</v>
      </c>
      <c r="J32" s="50">
        <v>0</v>
      </c>
      <c r="K32" s="50">
        <v>0</v>
      </c>
      <c r="L32" s="50">
        <v>0</v>
      </c>
      <c r="M32" s="50">
        <v>8</v>
      </c>
      <c r="N32" s="50">
        <v>0</v>
      </c>
      <c r="O32" s="15">
        <f t="shared" si="0"/>
        <v>21</v>
      </c>
      <c r="P32" s="15">
        <f t="shared" si="1"/>
        <v>29</v>
      </c>
    </row>
    <row r="33" spans="2:20" ht="23.1" customHeight="1" x14ac:dyDescent="0.25">
      <c r="B33" s="23" t="s">
        <v>60</v>
      </c>
      <c r="C33" s="50">
        <v>5</v>
      </c>
      <c r="D33" s="50">
        <v>2</v>
      </c>
      <c r="E33" s="50">
        <v>1</v>
      </c>
      <c r="F33" s="50">
        <v>11</v>
      </c>
      <c r="G33" s="50">
        <v>0</v>
      </c>
      <c r="H33" s="50">
        <v>0</v>
      </c>
      <c r="I33" s="50">
        <v>0</v>
      </c>
      <c r="J33" s="50">
        <v>2</v>
      </c>
      <c r="K33" s="50">
        <v>1</v>
      </c>
      <c r="L33" s="50">
        <v>1</v>
      </c>
      <c r="M33" s="50">
        <v>7</v>
      </c>
      <c r="N33" s="50">
        <v>0</v>
      </c>
      <c r="O33" s="15">
        <f t="shared" si="0"/>
        <v>23</v>
      </c>
      <c r="P33" s="15">
        <f t="shared" si="1"/>
        <v>30</v>
      </c>
    </row>
    <row r="34" spans="2:20" ht="23.1" customHeight="1" x14ac:dyDescent="0.25">
      <c r="B34" s="24" t="s">
        <v>61</v>
      </c>
      <c r="C34" s="50">
        <v>0</v>
      </c>
      <c r="D34" s="50">
        <v>1</v>
      </c>
      <c r="E34" s="50">
        <v>2</v>
      </c>
      <c r="F34" s="50">
        <v>8</v>
      </c>
      <c r="G34" s="50">
        <v>0</v>
      </c>
      <c r="H34" s="50">
        <v>0</v>
      </c>
      <c r="I34" s="50">
        <v>1</v>
      </c>
      <c r="J34" s="50">
        <v>2</v>
      </c>
      <c r="K34" s="50">
        <v>0</v>
      </c>
      <c r="L34" s="50">
        <v>0</v>
      </c>
      <c r="M34" s="50">
        <v>6</v>
      </c>
      <c r="N34" s="50">
        <v>0</v>
      </c>
      <c r="O34" s="15">
        <f t="shared" si="0"/>
        <v>14</v>
      </c>
      <c r="P34" s="15">
        <f t="shared" si="1"/>
        <v>20</v>
      </c>
    </row>
    <row r="35" spans="2:20" ht="23.1" customHeight="1" x14ac:dyDescent="0.25">
      <c r="B35" s="24" t="s">
        <v>62</v>
      </c>
      <c r="C35" s="50">
        <v>2</v>
      </c>
      <c r="D35" s="50">
        <v>3</v>
      </c>
      <c r="E35" s="50">
        <v>1</v>
      </c>
      <c r="F35" s="50">
        <v>9</v>
      </c>
      <c r="G35" s="50">
        <v>0</v>
      </c>
      <c r="H35" s="50">
        <v>1</v>
      </c>
      <c r="I35" s="50">
        <v>2</v>
      </c>
      <c r="J35" s="50">
        <v>0</v>
      </c>
      <c r="K35" s="50">
        <v>0</v>
      </c>
      <c r="L35" s="50">
        <v>1</v>
      </c>
      <c r="M35" s="50">
        <v>11</v>
      </c>
      <c r="N35" s="50">
        <v>0</v>
      </c>
      <c r="O35" s="15">
        <f t="shared" si="0"/>
        <v>19</v>
      </c>
      <c r="P35" s="15">
        <f t="shared" si="1"/>
        <v>30</v>
      </c>
    </row>
    <row r="36" spans="2:20" ht="23.1" customHeight="1" x14ac:dyDescent="0.25">
      <c r="B36" s="24" t="s">
        <v>63</v>
      </c>
      <c r="C36" s="50">
        <v>1</v>
      </c>
      <c r="D36" s="50">
        <v>1</v>
      </c>
      <c r="E36" s="50">
        <v>2</v>
      </c>
      <c r="F36" s="50">
        <v>5</v>
      </c>
      <c r="G36" s="50">
        <v>0</v>
      </c>
      <c r="H36" s="50">
        <v>1</v>
      </c>
      <c r="I36" s="50">
        <v>1</v>
      </c>
      <c r="J36" s="50">
        <v>0</v>
      </c>
      <c r="K36" s="50">
        <v>0</v>
      </c>
      <c r="L36" s="50">
        <v>0</v>
      </c>
      <c r="M36" s="50">
        <v>6</v>
      </c>
      <c r="N36" s="50">
        <v>0</v>
      </c>
      <c r="O36" s="15">
        <f t="shared" si="0"/>
        <v>11</v>
      </c>
      <c r="P36" s="15">
        <f t="shared" si="1"/>
        <v>17</v>
      </c>
    </row>
    <row r="37" spans="2:20" ht="23.1" customHeight="1" x14ac:dyDescent="0.25">
      <c r="B37" s="23" t="s">
        <v>64</v>
      </c>
      <c r="C37" s="50">
        <v>5</v>
      </c>
      <c r="D37" s="50">
        <v>3</v>
      </c>
      <c r="E37" s="50">
        <v>2</v>
      </c>
      <c r="F37" s="50">
        <v>11</v>
      </c>
      <c r="G37" s="50">
        <v>0</v>
      </c>
      <c r="H37" s="50">
        <v>1</v>
      </c>
      <c r="I37" s="50">
        <v>1</v>
      </c>
      <c r="J37" s="50">
        <v>2</v>
      </c>
      <c r="K37" s="50">
        <v>0</v>
      </c>
      <c r="L37" s="50">
        <v>2</v>
      </c>
      <c r="M37" s="50">
        <v>7</v>
      </c>
      <c r="N37" s="50">
        <v>0</v>
      </c>
      <c r="O37" s="15">
        <f t="shared" si="0"/>
        <v>27</v>
      </c>
      <c r="P37" s="15">
        <f t="shared" si="1"/>
        <v>34</v>
      </c>
    </row>
    <row r="38" spans="2:20" ht="23.1" customHeight="1" x14ac:dyDescent="0.25">
      <c r="B38" s="24" t="s">
        <v>65</v>
      </c>
      <c r="C38" s="50">
        <v>0</v>
      </c>
      <c r="D38" s="50">
        <v>2</v>
      </c>
      <c r="E38" s="50">
        <v>6</v>
      </c>
      <c r="F38" s="50">
        <v>8</v>
      </c>
      <c r="G38" s="50">
        <v>0</v>
      </c>
      <c r="H38" s="50">
        <v>0</v>
      </c>
      <c r="I38" s="50">
        <v>1</v>
      </c>
      <c r="J38" s="50">
        <v>1</v>
      </c>
      <c r="K38" s="50">
        <v>1</v>
      </c>
      <c r="L38" s="50">
        <v>0</v>
      </c>
      <c r="M38" s="50">
        <v>12</v>
      </c>
      <c r="N38" s="50">
        <v>0</v>
      </c>
      <c r="O38" s="15">
        <f t="shared" si="0"/>
        <v>19</v>
      </c>
      <c r="P38" s="15">
        <f t="shared" si="1"/>
        <v>31</v>
      </c>
    </row>
    <row r="39" spans="2:20" ht="23.1" customHeight="1" x14ac:dyDescent="0.25">
      <c r="B39" s="24" t="s">
        <v>66</v>
      </c>
      <c r="C39" s="50">
        <v>7</v>
      </c>
      <c r="D39" s="50">
        <v>2</v>
      </c>
      <c r="E39" s="50">
        <v>3</v>
      </c>
      <c r="F39" s="50">
        <v>10</v>
      </c>
      <c r="G39" s="50">
        <v>0</v>
      </c>
      <c r="H39" s="50">
        <v>1</v>
      </c>
      <c r="I39" s="50">
        <v>3</v>
      </c>
      <c r="J39" s="50">
        <v>2</v>
      </c>
      <c r="K39" s="50">
        <v>1</v>
      </c>
      <c r="L39" s="50">
        <v>4</v>
      </c>
      <c r="M39" s="50">
        <v>15</v>
      </c>
      <c r="N39" s="50">
        <v>0</v>
      </c>
      <c r="O39" s="15">
        <f t="shared" si="0"/>
        <v>33</v>
      </c>
      <c r="P39" s="15">
        <f t="shared" si="1"/>
        <v>48</v>
      </c>
    </row>
    <row r="40" spans="2:20" ht="23.1" customHeight="1" x14ac:dyDescent="0.25">
      <c r="B40" s="24" t="s">
        <v>67</v>
      </c>
      <c r="C40" s="50">
        <v>1</v>
      </c>
      <c r="D40" s="50">
        <v>2</v>
      </c>
      <c r="E40" s="50">
        <v>5</v>
      </c>
      <c r="F40" s="50">
        <v>8</v>
      </c>
      <c r="G40" s="50">
        <v>0</v>
      </c>
      <c r="H40" s="50">
        <v>1</v>
      </c>
      <c r="I40" s="50">
        <v>1</v>
      </c>
      <c r="J40" s="50">
        <v>2</v>
      </c>
      <c r="K40" s="50">
        <v>1</v>
      </c>
      <c r="L40" s="50">
        <v>2</v>
      </c>
      <c r="M40" s="50">
        <v>12</v>
      </c>
      <c r="N40" s="50">
        <v>0</v>
      </c>
      <c r="O40" s="15">
        <f t="shared" si="0"/>
        <v>23</v>
      </c>
      <c r="P40" s="15">
        <f t="shared" si="1"/>
        <v>35</v>
      </c>
    </row>
    <row r="41" spans="2:20" ht="23.1" customHeight="1" x14ac:dyDescent="0.25">
      <c r="B41" s="23" t="s">
        <v>68</v>
      </c>
      <c r="C41" s="50">
        <v>2</v>
      </c>
      <c r="D41" s="50">
        <v>1</v>
      </c>
      <c r="E41" s="50">
        <v>1</v>
      </c>
      <c r="F41" s="50">
        <v>3</v>
      </c>
      <c r="G41" s="50">
        <v>0</v>
      </c>
      <c r="H41" s="50">
        <v>0</v>
      </c>
      <c r="I41" s="50">
        <v>1</v>
      </c>
      <c r="J41" s="50">
        <v>1</v>
      </c>
      <c r="K41" s="50">
        <v>0</v>
      </c>
      <c r="L41" s="50">
        <v>0</v>
      </c>
      <c r="M41" s="50">
        <v>11</v>
      </c>
      <c r="N41" s="50">
        <v>0</v>
      </c>
      <c r="O41" s="15">
        <f t="shared" si="0"/>
        <v>9</v>
      </c>
      <c r="P41" s="15">
        <f t="shared" si="1"/>
        <v>20</v>
      </c>
    </row>
    <row r="42" spans="2:20" ht="23.1" customHeight="1" x14ac:dyDescent="0.25">
      <c r="B42" s="24" t="s">
        <v>69</v>
      </c>
      <c r="C42" s="50">
        <v>1</v>
      </c>
      <c r="D42" s="50">
        <v>1</v>
      </c>
      <c r="E42" s="50">
        <v>2</v>
      </c>
      <c r="F42" s="50">
        <v>4</v>
      </c>
      <c r="G42" s="50">
        <v>0</v>
      </c>
      <c r="H42" s="50">
        <v>1</v>
      </c>
      <c r="I42" s="50">
        <v>1</v>
      </c>
      <c r="J42" s="50">
        <v>1</v>
      </c>
      <c r="K42" s="50">
        <v>1</v>
      </c>
      <c r="L42" s="50">
        <v>1</v>
      </c>
      <c r="M42" s="50">
        <v>7</v>
      </c>
      <c r="N42" s="50">
        <v>0</v>
      </c>
      <c r="O42" s="15">
        <f t="shared" si="0"/>
        <v>13</v>
      </c>
      <c r="P42" s="15">
        <f t="shared" si="1"/>
        <v>20</v>
      </c>
    </row>
    <row r="43" spans="2:20" ht="23.1" customHeight="1" x14ac:dyDescent="0.25">
      <c r="B43" s="23" t="s">
        <v>70</v>
      </c>
      <c r="C43" s="50">
        <v>9</v>
      </c>
      <c r="D43" s="50">
        <v>5</v>
      </c>
      <c r="E43" s="50">
        <v>7</v>
      </c>
      <c r="F43" s="50">
        <v>18</v>
      </c>
      <c r="G43" s="50">
        <v>0</v>
      </c>
      <c r="H43" s="50">
        <v>1</v>
      </c>
      <c r="I43" s="50">
        <v>2</v>
      </c>
      <c r="J43" s="50">
        <v>1</v>
      </c>
      <c r="K43" s="50">
        <v>0</v>
      </c>
      <c r="L43" s="50">
        <v>1</v>
      </c>
      <c r="M43" s="50">
        <v>12</v>
      </c>
      <c r="N43" s="50">
        <v>0</v>
      </c>
      <c r="O43" s="15">
        <f t="shared" si="0"/>
        <v>44</v>
      </c>
      <c r="P43" s="15">
        <f t="shared" si="1"/>
        <v>56</v>
      </c>
    </row>
    <row r="44" spans="2:20" ht="23.1" customHeight="1" x14ac:dyDescent="0.25">
      <c r="B44" s="25" t="s">
        <v>71</v>
      </c>
      <c r="C44" s="50">
        <v>1</v>
      </c>
      <c r="D44" s="50">
        <v>1</v>
      </c>
      <c r="E44" s="50">
        <v>1</v>
      </c>
      <c r="F44" s="50">
        <v>7</v>
      </c>
      <c r="G44" s="50">
        <v>0</v>
      </c>
      <c r="H44" s="50">
        <v>0</v>
      </c>
      <c r="I44" s="50">
        <v>0</v>
      </c>
      <c r="J44" s="50">
        <v>5</v>
      </c>
      <c r="K44" s="50">
        <v>1</v>
      </c>
      <c r="L44" s="50">
        <v>0</v>
      </c>
      <c r="M44" s="50">
        <v>9</v>
      </c>
      <c r="N44" s="50">
        <v>0</v>
      </c>
      <c r="O44" s="15">
        <f t="shared" si="0"/>
        <v>16</v>
      </c>
      <c r="P44" s="15">
        <f t="shared" si="1"/>
        <v>25</v>
      </c>
    </row>
    <row r="45" spans="2:20" ht="23.1" customHeight="1" x14ac:dyDescent="0.25">
      <c r="B45" s="23" t="s">
        <v>72</v>
      </c>
      <c r="C45" s="50">
        <v>3</v>
      </c>
      <c r="D45" s="50">
        <v>0</v>
      </c>
      <c r="E45" s="50">
        <v>3</v>
      </c>
      <c r="F45" s="50">
        <v>9</v>
      </c>
      <c r="G45" s="50">
        <v>2</v>
      </c>
      <c r="H45" s="50">
        <v>1</v>
      </c>
      <c r="I45" s="50">
        <v>1</v>
      </c>
      <c r="J45" s="50">
        <v>4</v>
      </c>
      <c r="K45" s="50">
        <v>1</v>
      </c>
      <c r="L45" s="50">
        <v>0</v>
      </c>
      <c r="M45" s="50">
        <v>6</v>
      </c>
      <c r="N45" s="50">
        <v>0</v>
      </c>
      <c r="O45" s="15">
        <f t="shared" si="0"/>
        <v>24</v>
      </c>
      <c r="P45" s="15">
        <f t="shared" si="1"/>
        <v>30</v>
      </c>
    </row>
    <row r="46" spans="2:20" ht="23.1" customHeight="1" x14ac:dyDescent="0.25">
      <c r="B46" s="24" t="s">
        <v>73</v>
      </c>
      <c r="C46" s="50">
        <v>1</v>
      </c>
      <c r="D46" s="50">
        <v>1</v>
      </c>
      <c r="E46" s="50">
        <v>1</v>
      </c>
      <c r="F46" s="50">
        <v>5</v>
      </c>
      <c r="G46" s="50">
        <v>0</v>
      </c>
      <c r="H46" s="50">
        <v>1</v>
      </c>
      <c r="I46" s="50">
        <v>0</v>
      </c>
      <c r="J46" s="50">
        <v>0</v>
      </c>
      <c r="K46" s="50">
        <v>0</v>
      </c>
      <c r="L46" s="50">
        <v>0</v>
      </c>
      <c r="M46" s="50">
        <v>8</v>
      </c>
      <c r="N46" s="50">
        <v>0</v>
      </c>
      <c r="O46" s="15">
        <f t="shared" si="0"/>
        <v>9</v>
      </c>
      <c r="P46" s="15">
        <f t="shared" si="1"/>
        <v>17</v>
      </c>
      <c r="R46" s="8"/>
      <c r="T46"/>
    </row>
    <row r="47" spans="2:20" ht="23.1" customHeight="1" x14ac:dyDescent="0.25">
      <c r="B47" s="24" t="s">
        <v>74</v>
      </c>
      <c r="C47" s="50">
        <v>5</v>
      </c>
      <c r="D47" s="50">
        <v>6</v>
      </c>
      <c r="E47" s="50">
        <v>5</v>
      </c>
      <c r="F47" s="50">
        <v>11</v>
      </c>
      <c r="G47" s="50">
        <v>0</v>
      </c>
      <c r="H47" s="50">
        <v>1</v>
      </c>
      <c r="I47" s="50">
        <v>2</v>
      </c>
      <c r="J47" s="50">
        <v>0</v>
      </c>
      <c r="K47" s="50">
        <v>0</v>
      </c>
      <c r="L47" s="50">
        <v>0</v>
      </c>
      <c r="M47" s="50">
        <v>3</v>
      </c>
      <c r="N47" s="50">
        <v>0</v>
      </c>
      <c r="O47" s="15">
        <f t="shared" si="0"/>
        <v>30</v>
      </c>
      <c r="P47" s="15">
        <f t="shared" si="1"/>
        <v>33</v>
      </c>
      <c r="R47" s="8"/>
      <c r="T47"/>
    </row>
    <row r="48" spans="2:20" ht="23.1" customHeight="1" x14ac:dyDescent="0.25">
      <c r="B48" s="24" t="s">
        <v>75</v>
      </c>
      <c r="C48" s="50">
        <v>5</v>
      </c>
      <c r="D48" s="50">
        <v>1</v>
      </c>
      <c r="E48" s="50">
        <v>4</v>
      </c>
      <c r="F48" s="50">
        <v>9</v>
      </c>
      <c r="G48" s="50">
        <v>2</v>
      </c>
      <c r="H48" s="50">
        <v>0</v>
      </c>
      <c r="I48" s="50">
        <v>1</v>
      </c>
      <c r="J48" s="50">
        <v>0</v>
      </c>
      <c r="K48" s="50">
        <v>1</v>
      </c>
      <c r="L48" s="50">
        <v>0</v>
      </c>
      <c r="M48" s="50">
        <v>0</v>
      </c>
      <c r="N48" s="50">
        <v>0</v>
      </c>
      <c r="O48" s="15">
        <f t="shared" si="0"/>
        <v>23</v>
      </c>
      <c r="P48" s="15">
        <f t="shared" si="1"/>
        <v>23</v>
      </c>
      <c r="R48" s="8"/>
      <c r="T48"/>
    </row>
    <row r="49" spans="2:20" ht="23.1" customHeight="1" x14ac:dyDescent="0.25">
      <c r="B49" s="23" t="s">
        <v>76</v>
      </c>
      <c r="C49" s="50">
        <v>6</v>
      </c>
      <c r="D49" s="50">
        <v>5</v>
      </c>
      <c r="E49" s="50">
        <v>2</v>
      </c>
      <c r="F49" s="50">
        <v>5</v>
      </c>
      <c r="G49" s="50">
        <v>1</v>
      </c>
      <c r="H49" s="50">
        <v>1</v>
      </c>
      <c r="I49" s="50">
        <v>0</v>
      </c>
      <c r="J49" s="50">
        <v>2</v>
      </c>
      <c r="K49" s="50">
        <v>1</v>
      </c>
      <c r="L49" s="50">
        <v>0</v>
      </c>
      <c r="M49" s="50">
        <v>5</v>
      </c>
      <c r="N49" s="50">
        <v>0</v>
      </c>
      <c r="O49" s="15">
        <f t="shared" si="0"/>
        <v>23</v>
      </c>
      <c r="P49" s="15">
        <f t="shared" si="1"/>
        <v>28</v>
      </c>
      <c r="R49" s="8"/>
      <c r="T49"/>
    </row>
    <row r="50" spans="2:20" ht="23.1" customHeight="1" x14ac:dyDescent="0.25">
      <c r="B50" s="24" t="s">
        <v>77</v>
      </c>
      <c r="C50" s="50">
        <v>5</v>
      </c>
      <c r="D50" s="50">
        <v>3</v>
      </c>
      <c r="E50" s="50">
        <v>3</v>
      </c>
      <c r="F50" s="50">
        <v>6</v>
      </c>
      <c r="G50" s="50">
        <v>1</v>
      </c>
      <c r="H50" s="50">
        <v>0</v>
      </c>
      <c r="I50" s="50">
        <v>1</v>
      </c>
      <c r="J50" s="50">
        <v>0</v>
      </c>
      <c r="K50" s="50">
        <v>0</v>
      </c>
      <c r="L50" s="50">
        <v>2</v>
      </c>
      <c r="M50" s="50">
        <v>4</v>
      </c>
      <c r="N50" s="50">
        <v>0</v>
      </c>
      <c r="O50" s="15">
        <f t="shared" si="0"/>
        <v>21</v>
      </c>
      <c r="P50" s="15">
        <f t="shared" si="1"/>
        <v>25</v>
      </c>
      <c r="R50" s="8"/>
      <c r="T50"/>
    </row>
    <row r="51" spans="2:20" ht="23.1" customHeight="1" x14ac:dyDescent="0.25">
      <c r="B51" s="24" t="s">
        <v>78</v>
      </c>
      <c r="C51" s="50">
        <v>6</v>
      </c>
      <c r="D51" s="50">
        <v>1</v>
      </c>
      <c r="E51" s="50">
        <v>1</v>
      </c>
      <c r="F51" s="50">
        <v>8</v>
      </c>
      <c r="G51" s="50">
        <v>3</v>
      </c>
      <c r="H51" s="50">
        <v>0</v>
      </c>
      <c r="I51" s="50">
        <v>1</v>
      </c>
      <c r="J51" s="50">
        <v>2</v>
      </c>
      <c r="K51" s="50">
        <v>1</v>
      </c>
      <c r="L51" s="50">
        <v>0</v>
      </c>
      <c r="M51" s="50">
        <v>4</v>
      </c>
      <c r="N51" s="50">
        <v>0</v>
      </c>
      <c r="O51" s="15">
        <f t="shared" si="0"/>
        <v>23</v>
      </c>
      <c r="P51" s="15">
        <f t="shared" si="1"/>
        <v>27</v>
      </c>
      <c r="R51" s="8"/>
      <c r="T51"/>
    </row>
    <row r="52" spans="2:20" ht="23.1" customHeight="1" x14ac:dyDescent="0.25">
      <c r="B52" s="24" t="s">
        <v>79</v>
      </c>
      <c r="C52" s="50">
        <v>5</v>
      </c>
      <c r="D52" s="50">
        <v>4</v>
      </c>
      <c r="E52" s="50">
        <v>4</v>
      </c>
      <c r="F52" s="50">
        <v>9</v>
      </c>
      <c r="G52" s="50">
        <v>0</v>
      </c>
      <c r="H52" s="50">
        <v>0</v>
      </c>
      <c r="I52" s="50">
        <v>2</v>
      </c>
      <c r="J52" s="50">
        <v>3</v>
      </c>
      <c r="K52" s="50">
        <v>0</v>
      </c>
      <c r="L52" s="50">
        <v>0</v>
      </c>
      <c r="M52" s="50">
        <v>11</v>
      </c>
      <c r="N52" s="50">
        <v>0</v>
      </c>
      <c r="O52" s="15">
        <f t="shared" si="0"/>
        <v>27</v>
      </c>
      <c r="P52" s="15">
        <f t="shared" si="1"/>
        <v>38</v>
      </c>
      <c r="R52" s="8"/>
      <c r="T52"/>
    </row>
    <row r="53" spans="2:20" ht="23.1" customHeight="1" x14ac:dyDescent="0.25">
      <c r="B53" s="23" t="s">
        <v>80</v>
      </c>
      <c r="C53" s="50">
        <v>2</v>
      </c>
      <c r="D53" s="50">
        <v>1</v>
      </c>
      <c r="E53" s="50">
        <v>3</v>
      </c>
      <c r="F53" s="50">
        <v>7</v>
      </c>
      <c r="G53" s="50">
        <v>2</v>
      </c>
      <c r="H53" s="50">
        <v>1</v>
      </c>
      <c r="I53" s="50">
        <v>2</v>
      </c>
      <c r="J53" s="50">
        <v>1</v>
      </c>
      <c r="K53" s="50">
        <v>0</v>
      </c>
      <c r="L53" s="50">
        <v>0</v>
      </c>
      <c r="M53" s="50">
        <v>18</v>
      </c>
      <c r="N53" s="50">
        <v>0</v>
      </c>
      <c r="O53" s="15">
        <f t="shared" si="0"/>
        <v>19</v>
      </c>
      <c r="P53" s="15">
        <f t="shared" si="1"/>
        <v>37</v>
      </c>
      <c r="R53" s="8"/>
      <c r="T53"/>
    </row>
    <row r="54" spans="2:20" ht="23.1" customHeight="1" x14ac:dyDescent="0.25">
      <c r="B54" s="23" t="s">
        <v>81</v>
      </c>
      <c r="C54" s="50">
        <v>1</v>
      </c>
      <c r="D54" s="50">
        <v>2</v>
      </c>
      <c r="E54" s="50">
        <v>1</v>
      </c>
      <c r="F54" s="50">
        <v>3</v>
      </c>
      <c r="G54" s="50">
        <v>0</v>
      </c>
      <c r="H54" s="50">
        <v>0</v>
      </c>
      <c r="I54" s="50">
        <v>2</v>
      </c>
      <c r="J54" s="50">
        <v>3</v>
      </c>
      <c r="K54" s="50">
        <v>1</v>
      </c>
      <c r="L54" s="50">
        <v>0</v>
      </c>
      <c r="M54" s="50">
        <v>7</v>
      </c>
      <c r="N54" s="50">
        <v>0</v>
      </c>
      <c r="O54" s="15">
        <f t="shared" si="0"/>
        <v>13</v>
      </c>
      <c r="P54" s="15">
        <f t="shared" si="1"/>
        <v>20</v>
      </c>
      <c r="R54" s="8"/>
      <c r="T54"/>
    </row>
    <row r="55" spans="2:20" ht="23.1" customHeight="1" x14ac:dyDescent="0.25">
      <c r="B55" s="23" t="s">
        <v>82</v>
      </c>
      <c r="C55" s="50">
        <v>3</v>
      </c>
      <c r="D55" s="50">
        <v>2</v>
      </c>
      <c r="E55" s="50">
        <v>4</v>
      </c>
      <c r="F55" s="50">
        <v>11</v>
      </c>
      <c r="G55" s="50">
        <v>1</v>
      </c>
      <c r="H55" s="50">
        <v>0</v>
      </c>
      <c r="I55" s="50">
        <v>1</v>
      </c>
      <c r="J55" s="50">
        <v>2</v>
      </c>
      <c r="K55" s="50">
        <v>1</v>
      </c>
      <c r="L55" s="50">
        <v>0</v>
      </c>
      <c r="M55" s="50">
        <v>7</v>
      </c>
      <c r="N55" s="50">
        <v>0</v>
      </c>
      <c r="O55" s="15">
        <f t="shared" si="0"/>
        <v>25</v>
      </c>
      <c r="P55" s="15">
        <f t="shared" si="1"/>
        <v>32</v>
      </c>
      <c r="R55" s="8"/>
      <c r="T55"/>
    </row>
    <row r="56" spans="2:20" ht="23.1" customHeight="1" x14ac:dyDescent="0.25">
      <c r="B56" s="23" t="s">
        <v>83</v>
      </c>
      <c r="C56" s="50">
        <v>2</v>
      </c>
      <c r="D56" s="50">
        <v>3</v>
      </c>
      <c r="E56" s="50">
        <v>3</v>
      </c>
      <c r="F56" s="50">
        <v>7</v>
      </c>
      <c r="G56" s="50">
        <v>0</v>
      </c>
      <c r="H56" s="50">
        <v>0</v>
      </c>
      <c r="I56" s="50">
        <v>1</v>
      </c>
      <c r="J56" s="50">
        <v>2</v>
      </c>
      <c r="K56" s="50">
        <v>0</v>
      </c>
      <c r="L56" s="50">
        <v>3</v>
      </c>
      <c r="M56" s="50">
        <v>6</v>
      </c>
      <c r="N56" s="50">
        <v>0</v>
      </c>
      <c r="O56" s="15">
        <f t="shared" si="0"/>
        <v>21</v>
      </c>
      <c r="P56" s="15">
        <f t="shared" si="1"/>
        <v>27</v>
      </c>
      <c r="R56" s="8"/>
      <c r="T56"/>
    </row>
    <row r="57" spans="2:20" ht="23.1" customHeight="1" x14ac:dyDescent="0.25">
      <c r="B57" s="23" t="s">
        <v>84</v>
      </c>
      <c r="C57" s="50">
        <v>2</v>
      </c>
      <c r="D57" s="50">
        <v>1</v>
      </c>
      <c r="E57" s="50">
        <v>2</v>
      </c>
      <c r="F57" s="50">
        <v>9</v>
      </c>
      <c r="G57" s="50">
        <v>0</v>
      </c>
      <c r="H57" s="50">
        <v>0</v>
      </c>
      <c r="I57" s="50">
        <v>2</v>
      </c>
      <c r="J57" s="50">
        <v>1</v>
      </c>
      <c r="K57" s="50">
        <v>3</v>
      </c>
      <c r="L57" s="50">
        <v>1</v>
      </c>
      <c r="M57" s="50">
        <v>12</v>
      </c>
      <c r="N57" s="50">
        <v>0</v>
      </c>
      <c r="O57" s="15">
        <f t="shared" si="0"/>
        <v>21</v>
      </c>
      <c r="P57" s="15">
        <f t="shared" si="1"/>
        <v>33</v>
      </c>
      <c r="R57" s="8"/>
      <c r="T57"/>
    </row>
    <row r="58" spans="2:20" ht="23.1" customHeight="1" x14ac:dyDescent="0.25">
      <c r="B58" s="26" t="s">
        <v>18</v>
      </c>
      <c r="C58" s="16">
        <f t="shared" ref="C58:P58" si="21">SUM(C10:C57)</f>
        <v>152</v>
      </c>
      <c r="D58" s="16">
        <f t="shared" si="21"/>
        <v>88</v>
      </c>
      <c r="E58" s="16">
        <f t="shared" si="21"/>
        <v>104</v>
      </c>
      <c r="F58" s="16">
        <f t="shared" si="21"/>
        <v>400</v>
      </c>
      <c r="G58" s="16">
        <f t="shared" si="21"/>
        <v>17</v>
      </c>
      <c r="H58" s="16">
        <f t="shared" si="21"/>
        <v>17</v>
      </c>
      <c r="I58" s="16">
        <f t="shared" si="21"/>
        <v>46</v>
      </c>
      <c r="J58" s="16">
        <f t="shared" si="21"/>
        <v>51</v>
      </c>
      <c r="K58" s="16">
        <f t="shared" si="21"/>
        <v>36</v>
      </c>
      <c r="L58" s="16">
        <f t="shared" si="21"/>
        <v>34</v>
      </c>
      <c r="M58" s="16">
        <f t="shared" si="21"/>
        <v>423</v>
      </c>
      <c r="N58" s="16">
        <f t="shared" si="21"/>
        <v>1</v>
      </c>
      <c r="O58" s="16">
        <f t="shared" si="21"/>
        <v>946</v>
      </c>
      <c r="P58" s="16">
        <f t="shared" si="21"/>
        <v>1369</v>
      </c>
      <c r="R58" s="8"/>
      <c r="T58"/>
    </row>
    <row r="59" spans="2:20" ht="23.1" customHeight="1" x14ac:dyDescent="0.25">
      <c r="B59" s="26" t="s">
        <v>93</v>
      </c>
      <c r="C59" s="43">
        <f t="shared" ref="C59:N59" si="22">C58/$P$58</f>
        <v>0.11102994886778671</v>
      </c>
      <c r="D59" s="43">
        <f t="shared" si="22"/>
        <v>6.4280496712929139E-2</v>
      </c>
      <c r="E59" s="43">
        <f t="shared" si="22"/>
        <v>7.5967859751643538E-2</v>
      </c>
      <c r="F59" s="43">
        <f t="shared" si="22"/>
        <v>0.29218407596785972</v>
      </c>
      <c r="G59" s="43">
        <f t="shared" si="22"/>
        <v>1.241782322863404E-2</v>
      </c>
      <c r="H59" s="43">
        <f t="shared" si="22"/>
        <v>1.241782322863404E-2</v>
      </c>
      <c r="I59" s="43">
        <f t="shared" si="22"/>
        <v>3.3601168736303873E-2</v>
      </c>
      <c r="J59" s="43">
        <f t="shared" si="22"/>
        <v>3.7253469685902117E-2</v>
      </c>
      <c r="K59" s="43">
        <f t="shared" si="22"/>
        <v>2.6296566837107377E-2</v>
      </c>
      <c r="L59" s="43">
        <f t="shared" si="22"/>
        <v>2.483564645726808E-2</v>
      </c>
      <c r="M59" s="43">
        <f t="shared" si="22"/>
        <v>0.30898466033601169</v>
      </c>
      <c r="N59" s="43">
        <f t="shared" si="22"/>
        <v>7.3046018991964939E-4</v>
      </c>
      <c r="R59" s="8"/>
      <c r="T59"/>
    </row>
    <row r="60" spans="2:20" ht="23.1" customHeight="1" x14ac:dyDescent="0.25">
      <c r="B60" s="42" t="s">
        <v>94</v>
      </c>
      <c r="C60" s="44">
        <f>C58/$O$58</f>
        <v>0.16067653276955601</v>
      </c>
      <c r="D60" s="44">
        <f t="shared" ref="D60:N60" si="23">D58/$O$58</f>
        <v>9.3023255813953487E-2</v>
      </c>
      <c r="E60" s="44">
        <f t="shared" si="23"/>
        <v>0.10993657505285412</v>
      </c>
      <c r="F60" s="44">
        <f t="shared" si="23"/>
        <v>0.42283298097251587</v>
      </c>
      <c r="G60" s="44">
        <f t="shared" si="23"/>
        <v>1.7970401691331923E-2</v>
      </c>
      <c r="H60" s="44">
        <f t="shared" si="23"/>
        <v>1.7970401691331923E-2</v>
      </c>
      <c r="I60" s="44">
        <f t="shared" si="23"/>
        <v>4.8625792811839326E-2</v>
      </c>
      <c r="J60" s="44">
        <f t="shared" si="23"/>
        <v>5.3911205073995772E-2</v>
      </c>
      <c r="K60" s="44">
        <f t="shared" si="23"/>
        <v>3.8054968287526428E-2</v>
      </c>
      <c r="L60" s="44">
        <f t="shared" si="23"/>
        <v>3.5940803382663845E-2</v>
      </c>
      <c r="M60" s="44"/>
      <c r="N60" s="44">
        <f t="shared" si="23"/>
        <v>1.0570824524312897E-3</v>
      </c>
      <c r="Q60" s="7"/>
      <c r="R60" s="8"/>
      <c r="T60"/>
    </row>
    <row r="61" spans="2:20" ht="20.100000000000001" customHeight="1" x14ac:dyDescent="0.25">
      <c r="B61" s="3"/>
      <c r="C61" s="18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Q61" s="7"/>
      <c r="R61" s="8"/>
      <c r="T61"/>
    </row>
    <row r="62" spans="2:20" ht="20.100000000000001" customHeight="1" x14ac:dyDescent="0.25">
      <c r="B62" s="3"/>
      <c r="C62" s="18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Q62" s="7"/>
      <c r="R62" s="8"/>
      <c r="T62"/>
    </row>
    <row r="63" spans="2:20" ht="20.100000000000001" customHeight="1" x14ac:dyDescent="0.25">
      <c r="B63" s="3"/>
      <c r="C63" s="18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Q63" s="7"/>
    </row>
    <row r="64" spans="2:20" ht="20.100000000000001" customHeight="1" x14ac:dyDescent="0.25">
      <c r="B64" s="3"/>
      <c r="C64" s="18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Q64" s="7"/>
    </row>
    <row r="65" spans="2:20" s="7" customFormat="1" ht="20.100000000000001" customHeight="1" x14ac:dyDescent="0.25"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/>
      <c r="P65"/>
      <c r="S65" s="8"/>
      <c r="T65" s="8"/>
    </row>
    <row r="66" spans="2:20" s="7" customFormat="1" ht="20.100000000000001" customHeight="1" x14ac:dyDescent="0.25"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/>
      <c r="P66"/>
      <c r="S66" s="8"/>
      <c r="T66" s="8"/>
    </row>
    <row r="67" spans="2:20" s="7" customFormat="1" ht="20.100000000000001" customHeight="1" x14ac:dyDescent="0.25"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/>
      <c r="P67"/>
      <c r="S67" s="8"/>
      <c r="T67" s="8"/>
    </row>
    <row r="68" spans="2:20" s="7" customFormat="1" ht="20.100000000000001" customHeight="1" x14ac:dyDescent="0.25"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/>
      <c r="P68"/>
      <c r="S68" s="8"/>
      <c r="T68" s="8"/>
    </row>
    <row r="69" spans="2:20" s="7" customFormat="1" ht="20.100000000000001" customHeight="1" x14ac:dyDescent="0.25"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/>
      <c r="P69"/>
      <c r="S69" s="8"/>
      <c r="T69" s="8"/>
    </row>
    <row r="70" spans="2:20" s="7" customFormat="1" ht="20.100000000000001" customHeight="1" x14ac:dyDescent="0.25"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/>
      <c r="P70"/>
      <c r="S70" s="8"/>
      <c r="T70" s="8"/>
    </row>
    <row r="71" spans="2:20" s="7" customFormat="1" ht="20.100000000000001" customHeight="1" x14ac:dyDescent="0.25"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/>
      <c r="P71"/>
      <c r="S71" s="8"/>
      <c r="T71" s="8"/>
    </row>
    <row r="72" spans="2:20" s="7" customFormat="1" ht="20.100000000000001" customHeight="1" x14ac:dyDescent="0.25"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/>
      <c r="P72"/>
      <c r="S72" s="8"/>
      <c r="T72" s="8"/>
    </row>
    <row r="73" spans="2:20" s="7" customFormat="1" ht="20.100000000000001" customHeight="1" x14ac:dyDescent="0.25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/>
      <c r="P73"/>
      <c r="S73" s="8"/>
      <c r="T73" s="8"/>
    </row>
    <row r="74" spans="2:20" s="7" customFormat="1" ht="20.100000000000001" customHeight="1" x14ac:dyDescent="0.25"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/>
      <c r="P74"/>
      <c r="S74" s="8"/>
      <c r="T74" s="8"/>
    </row>
    <row r="75" spans="2:20" s="7" customFormat="1" ht="20.100000000000001" customHeight="1" x14ac:dyDescent="0.25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/>
      <c r="P75"/>
      <c r="S75" s="8"/>
      <c r="T75" s="8"/>
    </row>
    <row r="76" spans="2:20" s="7" customFormat="1" ht="20.100000000000001" customHeight="1" x14ac:dyDescent="0.25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/>
      <c r="P76"/>
      <c r="S76" s="8"/>
      <c r="T76" s="8"/>
    </row>
    <row r="77" spans="2:20" s="7" customFormat="1" ht="20.100000000000001" customHeight="1" x14ac:dyDescent="0.25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/>
      <c r="P77"/>
      <c r="Q77"/>
      <c r="S77" s="8"/>
      <c r="T77" s="8"/>
    </row>
    <row r="78" spans="2:20" s="7" customFormat="1" ht="20.100000000000001" customHeight="1" x14ac:dyDescent="0.25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2:20" s="7" customFormat="1" ht="20.100000000000001" customHeight="1" x14ac:dyDescent="0.25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2:20" s="7" customFormat="1" ht="20.100000000000001" customHeight="1" x14ac:dyDescent="0.25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AF126"/>
  <sheetViews>
    <sheetView view="pageBreakPreview" topLeftCell="A10" zoomScale="50" zoomScaleSheetLayoutView="50" workbookViewId="0">
      <selection activeCell="C3" sqref="C3:G3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60" t="s">
        <v>23</v>
      </c>
      <c r="C1" s="60"/>
      <c r="D1" s="60"/>
      <c r="E1" s="60"/>
      <c r="F1" s="60"/>
      <c r="G1" s="60"/>
      <c r="H1" s="60"/>
      <c r="I1" s="60"/>
      <c r="J1" s="60"/>
      <c r="K1" s="60"/>
      <c r="L1" s="60"/>
      <c r="M1" s="60"/>
      <c r="N1" s="60"/>
      <c r="O1" s="60"/>
      <c r="P1" s="60"/>
      <c r="Q1" s="60"/>
      <c r="R1" s="60"/>
      <c r="S1" s="60"/>
      <c r="T1" s="60"/>
      <c r="U1" s="60"/>
      <c r="V1" s="60"/>
      <c r="W1" s="60"/>
      <c r="X1" s="60"/>
      <c r="Y1" s="60"/>
      <c r="Z1" s="60"/>
      <c r="AA1" s="60"/>
      <c r="AB1" s="60"/>
      <c r="AC1" s="60"/>
      <c r="AD1" s="60"/>
      <c r="AE1" s="60"/>
    </row>
    <row r="2" spans="2:32" ht="20.100000000000001" customHeight="1" x14ac:dyDescent="0.25">
      <c r="B2" s="61" t="s">
        <v>95</v>
      </c>
      <c r="C2" s="61"/>
      <c r="D2" s="61"/>
      <c r="E2" s="61"/>
      <c r="F2" s="61"/>
      <c r="G2" s="61"/>
      <c r="H2" s="61"/>
      <c r="I2" s="61"/>
      <c r="J2" s="61"/>
      <c r="K2" s="61"/>
      <c r="L2" s="61"/>
      <c r="M2" s="61"/>
      <c r="N2" s="61"/>
      <c r="O2" s="61"/>
      <c r="P2" s="61"/>
      <c r="Q2" s="61"/>
      <c r="R2" s="61"/>
      <c r="S2" s="61"/>
      <c r="T2" s="61"/>
      <c r="U2" s="61"/>
      <c r="V2" s="61"/>
      <c r="W2" s="61"/>
      <c r="X2" s="61"/>
      <c r="Y2" s="61"/>
      <c r="Z2" s="61"/>
      <c r="AA2" s="61"/>
      <c r="AB2" s="61"/>
      <c r="AC2" s="61"/>
      <c r="AD2" s="61"/>
      <c r="AE2" s="61"/>
    </row>
    <row r="3" spans="2:32" ht="20.100000000000001" customHeight="1" x14ac:dyDescent="0.25">
      <c r="B3" s="22" t="s">
        <v>96</v>
      </c>
      <c r="C3" s="62" t="str">
        <f>'17.10 Butongole-Busembatya'!C3:G3</f>
        <v>BUTONGOLE-BUSEMBATYA</v>
      </c>
      <c r="D3" s="62"/>
      <c r="E3" s="62"/>
      <c r="F3" s="62"/>
      <c r="G3" s="62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51" t="str">
        <f>'23.10 Busembtya-Butongole'!D5</f>
        <v>23.10.2019</v>
      </c>
      <c r="E5" s="3"/>
      <c r="F5" s="41" t="s">
        <v>1</v>
      </c>
      <c r="G5" s="57" t="str">
        <f>'23.10 Busembtya-Butongole'!G5:H5</f>
        <v>NAMALEMBA</v>
      </c>
      <c r="H5" s="58"/>
      <c r="I5" s="14"/>
      <c r="J5" s="2" t="s">
        <v>5</v>
      </c>
      <c r="K5" s="57" t="s">
        <v>176</v>
      </c>
      <c r="L5" s="58"/>
      <c r="M5" s="10"/>
      <c r="N5" s="10"/>
      <c r="O5" s="3"/>
      <c r="P5" s="3"/>
    </row>
    <row r="6" spans="2:32" ht="23.25" customHeight="1" x14ac:dyDescent="0.25">
      <c r="C6" s="2" t="s">
        <v>4</v>
      </c>
      <c r="D6" s="57" t="s">
        <v>170</v>
      </c>
      <c r="E6" s="58"/>
      <c r="F6" s="2" t="s">
        <v>2</v>
      </c>
      <c r="G6" s="57" t="s">
        <v>171</v>
      </c>
      <c r="H6" s="58"/>
      <c r="J6" s="2" t="s">
        <v>21</v>
      </c>
      <c r="K6" s="57" t="str">
        <f>'23.10 Busembtya-Butongole'!K6:L6</f>
        <v>Turyahabwe Norman</v>
      </c>
      <c r="L6" s="58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9" t="s">
        <v>88</v>
      </c>
      <c r="S8" s="59"/>
      <c r="T8" s="59"/>
      <c r="U8" s="59"/>
      <c r="V8" s="59"/>
      <c r="W8" s="59"/>
      <c r="X8" s="59"/>
      <c r="Y8" s="59"/>
      <c r="Z8" s="59"/>
      <c r="AA8" s="59"/>
      <c r="AB8" s="59"/>
      <c r="AC8" s="59"/>
      <c r="AD8" s="59"/>
      <c r="AE8" s="59"/>
      <c r="AF8" s="59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50">
        <v>3</v>
      </c>
      <c r="D10" s="50">
        <v>1</v>
      </c>
      <c r="E10" s="50">
        <v>5</v>
      </c>
      <c r="F10" s="50">
        <v>3</v>
      </c>
      <c r="G10" s="50">
        <v>0</v>
      </c>
      <c r="H10" s="50">
        <v>2</v>
      </c>
      <c r="I10" s="50">
        <v>5</v>
      </c>
      <c r="J10" s="50">
        <v>1</v>
      </c>
      <c r="K10" s="50">
        <v>0</v>
      </c>
      <c r="L10" s="50">
        <v>0</v>
      </c>
      <c r="M10" s="50">
        <v>11</v>
      </c>
      <c r="N10" s="50">
        <v>0</v>
      </c>
      <c r="O10" s="15">
        <f t="shared" ref="O10:O57" si="0">SUM(C10:L10,N10)</f>
        <v>20</v>
      </c>
      <c r="P10" s="15">
        <f t="shared" ref="P10:P57" si="1">SUM(C10:N10)</f>
        <v>31</v>
      </c>
      <c r="R10" s="1" t="s">
        <v>6</v>
      </c>
      <c r="S10" s="17">
        <f t="shared" ref="S10:AF10" si="2">SUM(C10:C13)</f>
        <v>9</v>
      </c>
      <c r="T10" s="17">
        <f t="shared" si="2"/>
        <v>6</v>
      </c>
      <c r="U10" s="17">
        <f t="shared" si="2"/>
        <v>16</v>
      </c>
      <c r="V10" s="17">
        <f t="shared" si="2"/>
        <v>14</v>
      </c>
      <c r="W10" s="17">
        <f t="shared" si="2"/>
        <v>1</v>
      </c>
      <c r="X10" s="17">
        <f t="shared" si="2"/>
        <v>2</v>
      </c>
      <c r="Y10" s="17">
        <f t="shared" si="2"/>
        <v>8</v>
      </c>
      <c r="Z10" s="17">
        <f t="shared" si="2"/>
        <v>4</v>
      </c>
      <c r="AA10" s="17">
        <f t="shared" si="2"/>
        <v>1</v>
      </c>
      <c r="AB10" s="17">
        <f t="shared" si="2"/>
        <v>4</v>
      </c>
      <c r="AC10" s="17">
        <f t="shared" si="2"/>
        <v>32</v>
      </c>
      <c r="AD10" s="17">
        <f t="shared" si="2"/>
        <v>0</v>
      </c>
      <c r="AE10" s="31">
        <f t="shared" si="2"/>
        <v>65</v>
      </c>
      <c r="AF10" s="31">
        <f t="shared" si="2"/>
        <v>97</v>
      </c>
    </row>
    <row r="11" spans="2:32" s="6" customFormat="1" ht="23.1" customHeight="1" x14ac:dyDescent="0.25">
      <c r="B11" s="23" t="s">
        <v>38</v>
      </c>
      <c r="C11" s="50">
        <v>2</v>
      </c>
      <c r="D11" s="50">
        <v>2</v>
      </c>
      <c r="E11" s="50">
        <v>1</v>
      </c>
      <c r="F11" s="50">
        <v>2</v>
      </c>
      <c r="G11" s="50">
        <v>0</v>
      </c>
      <c r="H11" s="50">
        <v>0</v>
      </c>
      <c r="I11" s="50">
        <v>1</v>
      </c>
      <c r="J11" s="50">
        <v>2</v>
      </c>
      <c r="K11" s="50">
        <v>1</v>
      </c>
      <c r="L11" s="50">
        <v>0</v>
      </c>
      <c r="M11" s="50">
        <v>3</v>
      </c>
      <c r="N11" s="50">
        <v>0</v>
      </c>
      <c r="O11" s="15">
        <f t="shared" si="0"/>
        <v>11</v>
      </c>
      <c r="P11" s="15">
        <f t="shared" si="1"/>
        <v>14</v>
      </c>
      <c r="R11" s="1" t="s">
        <v>7</v>
      </c>
      <c r="S11" s="17">
        <f t="shared" ref="S11:AF11" si="3">SUM(C14:C17)</f>
        <v>6</v>
      </c>
      <c r="T11" s="17">
        <f t="shared" si="3"/>
        <v>6</v>
      </c>
      <c r="U11" s="17">
        <f t="shared" si="3"/>
        <v>10</v>
      </c>
      <c r="V11" s="17">
        <f t="shared" si="3"/>
        <v>21</v>
      </c>
      <c r="W11" s="17">
        <f t="shared" si="3"/>
        <v>1</v>
      </c>
      <c r="X11" s="17">
        <f t="shared" si="3"/>
        <v>0</v>
      </c>
      <c r="Y11" s="17">
        <f t="shared" si="3"/>
        <v>6</v>
      </c>
      <c r="Z11" s="17">
        <f t="shared" si="3"/>
        <v>5</v>
      </c>
      <c r="AA11" s="17">
        <f t="shared" si="3"/>
        <v>1</v>
      </c>
      <c r="AB11" s="17">
        <f t="shared" si="3"/>
        <v>0</v>
      </c>
      <c r="AC11" s="17">
        <f t="shared" si="3"/>
        <v>27</v>
      </c>
      <c r="AD11" s="17">
        <f t="shared" si="3"/>
        <v>0</v>
      </c>
      <c r="AE11" s="31">
        <f t="shared" si="3"/>
        <v>56</v>
      </c>
      <c r="AF11" s="31">
        <f t="shared" si="3"/>
        <v>83</v>
      </c>
    </row>
    <row r="12" spans="2:32" ht="23.1" customHeight="1" x14ac:dyDescent="0.25">
      <c r="B12" s="23" t="s">
        <v>39</v>
      </c>
      <c r="C12" s="50">
        <v>3</v>
      </c>
      <c r="D12" s="50">
        <v>1</v>
      </c>
      <c r="E12" s="50">
        <v>5</v>
      </c>
      <c r="F12" s="50">
        <v>5</v>
      </c>
      <c r="G12" s="50">
        <v>0</v>
      </c>
      <c r="H12" s="50">
        <v>0</v>
      </c>
      <c r="I12" s="50">
        <v>1</v>
      </c>
      <c r="J12" s="50">
        <v>1</v>
      </c>
      <c r="K12" s="50">
        <v>0</v>
      </c>
      <c r="L12" s="50">
        <v>1</v>
      </c>
      <c r="M12" s="50">
        <v>10</v>
      </c>
      <c r="N12" s="50">
        <v>0</v>
      </c>
      <c r="O12" s="15">
        <f t="shared" si="0"/>
        <v>17</v>
      </c>
      <c r="P12" s="15">
        <f t="shared" si="1"/>
        <v>27</v>
      </c>
      <c r="R12" s="1" t="s">
        <v>8</v>
      </c>
      <c r="S12" s="17">
        <f t="shared" ref="S12:AF12" si="4">SUM(C18:C21)</f>
        <v>12</v>
      </c>
      <c r="T12" s="17">
        <f t="shared" si="4"/>
        <v>10</v>
      </c>
      <c r="U12" s="17">
        <f t="shared" si="4"/>
        <v>16</v>
      </c>
      <c r="V12" s="17">
        <f t="shared" si="4"/>
        <v>29</v>
      </c>
      <c r="W12" s="17">
        <f t="shared" si="4"/>
        <v>0</v>
      </c>
      <c r="X12" s="17">
        <f t="shared" si="4"/>
        <v>1</v>
      </c>
      <c r="Y12" s="17">
        <f t="shared" si="4"/>
        <v>2</v>
      </c>
      <c r="Z12" s="17">
        <f t="shared" si="4"/>
        <v>9</v>
      </c>
      <c r="AA12" s="17">
        <f t="shared" si="4"/>
        <v>3</v>
      </c>
      <c r="AB12" s="17">
        <f t="shared" si="4"/>
        <v>2</v>
      </c>
      <c r="AC12" s="17">
        <f t="shared" si="4"/>
        <v>48</v>
      </c>
      <c r="AD12" s="17">
        <f t="shared" si="4"/>
        <v>0</v>
      </c>
      <c r="AE12" s="31">
        <f t="shared" si="4"/>
        <v>84</v>
      </c>
      <c r="AF12" s="31">
        <f t="shared" si="4"/>
        <v>132</v>
      </c>
    </row>
    <row r="13" spans="2:32" ht="23.1" customHeight="1" x14ac:dyDescent="0.25">
      <c r="B13" s="23" t="s">
        <v>40</v>
      </c>
      <c r="C13" s="50">
        <v>1</v>
      </c>
      <c r="D13" s="50">
        <v>2</v>
      </c>
      <c r="E13" s="50">
        <v>5</v>
      </c>
      <c r="F13" s="50">
        <v>4</v>
      </c>
      <c r="G13" s="50">
        <v>1</v>
      </c>
      <c r="H13" s="50">
        <v>0</v>
      </c>
      <c r="I13" s="50">
        <v>1</v>
      </c>
      <c r="J13" s="50">
        <v>0</v>
      </c>
      <c r="K13" s="50">
        <v>0</v>
      </c>
      <c r="L13" s="50">
        <v>3</v>
      </c>
      <c r="M13" s="50">
        <v>8</v>
      </c>
      <c r="N13" s="50">
        <v>0</v>
      </c>
      <c r="O13" s="15">
        <f t="shared" si="0"/>
        <v>17</v>
      </c>
      <c r="P13" s="15">
        <f t="shared" si="1"/>
        <v>25</v>
      </c>
      <c r="R13" s="1" t="s">
        <v>9</v>
      </c>
      <c r="S13" s="17">
        <f t="shared" ref="S13:AF13" si="5">SUM(C22:C25)</f>
        <v>14</v>
      </c>
      <c r="T13" s="17">
        <f t="shared" si="5"/>
        <v>11</v>
      </c>
      <c r="U13" s="17">
        <f t="shared" si="5"/>
        <v>3</v>
      </c>
      <c r="V13" s="17">
        <f t="shared" si="5"/>
        <v>27</v>
      </c>
      <c r="W13" s="17">
        <f t="shared" si="5"/>
        <v>0</v>
      </c>
      <c r="X13" s="17">
        <f t="shared" si="5"/>
        <v>0</v>
      </c>
      <c r="Y13" s="17">
        <f t="shared" si="5"/>
        <v>5</v>
      </c>
      <c r="Z13" s="17">
        <f t="shared" si="5"/>
        <v>7</v>
      </c>
      <c r="AA13" s="17">
        <f t="shared" si="5"/>
        <v>4</v>
      </c>
      <c r="AB13" s="17">
        <f t="shared" si="5"/>
        <v>5</v>
      </c>
      <c r="AC13" s="17">
        <f t="shared" si="5"/>
        <v>48</v>
      </c>
      <c r="AD13" s="17">
        <f t="shared" si="5"/>
        <v>0</v>
      </c>
      <c r="AE13" s="31">
        <f t="shared" si="5"/>
        <v>76</v>
      </c>
      <c r="AF13" s="31">
        <f t="shared" si="5"/>
        <v>124</v>
      </c>
    </row>
    <row r="14" spans="2:32" ht="23.1" customHeight="1" x14ac:dyDescent="0.25">
      <c r="B14" s="23" t="s">
        <v>41</v>
      </c>
      <c r="C14" s="50">
        <v>0</v>
      </c>
      <c r="D14" s="50">
        <v>0</v>
      </c>
      <c r="E14" s="50">
        <v>2</v>
      </c>
      <c r="F14" s="50">
        <v>3</v>
      </c>
      <c r="G14" s="50">
        <v>0</v>
      </c>
      <c r="H14" s="50">
        <v>0</v>
      </c>
      <c r="I14" s="50">
        <v>1</v>
      </c>
      <c r="J14" s="50">
        <v>0</v>
      </c>
      <c r="K14" s="50">
        <v>0</v>
      </c>
      <c r="L14" s="50">
        <v>0</v>
      </c>
      <c r="M14" s="50">
        <v>12</v>
      </c>
      <c r="N14" s="50">
        <v>0</v>
      </c>
      <c r="O14" s="15">
        <f t="shared" si="0"/>
        <v>6</v>
      </c>
      <c r="P14" s="15">
        <f t="shared" si="1"/>
        <v>18</v>
      </c>
      <c r="R14" s="1" t="s">
        <v>10</v>
      </c>
      <c r="S14" s="17">
        <f t="shared" ref="S14:AF14" si="6">SUM(C26:C29)</f>
        <v>21</v>
      </c>
      <c r="T14" s="17">
        <f t="shared" si="6"/>
        <v>7</v>
      </c>
      <c r="U14" s="17">
        <f t="shared" si="6"/>
        <v>8</v>
      </c>
      <c r="V14" s="17">
        <f t="shared" si="6"/>
        <v>40</v>
      </c>
      <c r="W14" s="17">
        <f t="shared" si="6"/>
        <v>2</v>
      </c>
      <c r="X14" s="17">
        <f t="shared" si="6"/>
        <v>1</v>
      </c>
      <c r="Y14" s="17">
        <f t="shared" si="6"/>
        <v>4</v>
      </c>
      <c r="Z14" s="17">
        <f t="shared" si="6"/>
        <v>6</v>
      </c>
      <c r="AA14" s="17">
        <f t="shared" si="6"/>
        <v>4</v>
      </c>
      <c r="AB14" s="17">
        <f t="shared" si="6"/>
        <v>2</v>
      </c>
      <c r="AC14" s="17">
        <f t="shared" si="6"/>
        <v>59</v>
      </c>
      <c r="AD14" s="17">
        <f t="shared" si="6"/>
        <v>0</v>
      </c>
      <c r="AE14" s="31">
        <f t="shared" si="6"/>
        <v>95</v>
      </c>
      <c r="AF14" s="31">
        <f t="shared" si="6"/>
        <v>154</v>
      </c>
    </row>
    <row r="15" spans="2:32" ht="23.1" customHeight="1" x14ac:dyDescent="0.25">
      <c r="B15" s="23" t="s">
        <v>42</v>
      </c>
      <c r="C15" s="50">
        <v>1</v>
      </c>
      <c r="D15" s="50">
        <v>1</v>
      </c>
      <c r="E15" s="50">
        <v>3</v>
      </c>
      <c r="F15" s="50">
        <v>7</v>
      </c>
      <c r="G15" s="50">
        <v>1</v>
      </c>
      <c r="H15" s="50">
        <v>0</v>
      </c>
      <c r="I15" s="50">
        <v>2</v>
      </c>
      <c r="J15" s="50">
        <v>1</v>
      </c>
      <c r="K15" s="50">
        <v>0</v>
      </c>
      <c r="L15" s="50">
        <v>0</v>
      </c>
      <c r="M15" s="50">
        <v>5</v>
      </c>
      <c r="N15" s="50">
        <v>0</v>
      </c>
      <c r="O15" s="15">
        <f t="shared" si="0"/>
        <v>16</v>
      </c>
      <c r="P15" s="15">
        <f t="shared" si="1"/>
        <v>21</v>
      </c>
      <c r="R15" s="1" t="s">
        <v>11</v>
      </c>
      <c r="S15" s="17">
        <f t="shared" ref="S15:AF15" si="7">SUM(C30:C33)</f>
        <v>19</v>
      </c>
      <c r="T15" s="17">
        <f t="shared" si="7"/>
        <v>5</v>
      </c>
      <c r="U15" s="17">
        <f t="shared" si="7"/>
        <v>9</v>
      </c>
      <c r="V15" s="17">
        <f t="shared" si="7"/>
        <v>35</v>
      </c>
      <c r="W15" s="17">
        <f t="shared" si="7"/>
        <v>1</v>
      </c>
      <c r="X15" s="17">
        <f t="shared" si="7"/>
        <v>2</v>
      </c>
      <c r="Y15" s="17">
        <f t="shared" si="7"/>
        <v>4</v>
      </c>
      <c r="Z15" s="17">
        <f t="shared" si="7"/>
        <v>7</v>
      </c>
      <c r="AA15" s="17">
        <f t="shared" si="7"/>
        <v>1</v>
      </c>
      <c r="AB15" s="17">
        <f t="shared" si="7"/>
        <v>3</v>
      </c>
      <c r="AC15" s="17">
        <f t="shared" si="7"/>
        <v>52</v>
      </c>
      <c r="AD15" s="17">
        <f t="shared" si="7"/>
        <v>0</v>
      </c>
      <c r="AE15" s="31">
        <f t="shared" si="7"/>
        <v>86</v>
      </c>
      <c r="AF15" s="31">
        <f t="shared" si="7"/>
        <v>138</v>
      </c>
    </row>
    <row r="16" spans="2:32" ht="23.1" customHeight="1" x14ac:dyDescent="0.25">
      <c r="B16" s="23" t="s">
        <v>43</v>
      </c>
      <c r="C16" s="50">
        <v>4</v>
      </c>
      <c r="D16" s="50">
        <v>3</v>
      </c>
      <c r="E16" s="50">
        <v>1</v>
      </c>
      <c r="F16" s="50">
        <v>5</v>
      </c>
      <c r="G16" s="50">
        <v>0</v>
      </c>
      <c r="H16" s="50">
        <v>0</v>
      </c>
      <c r="I16" s="50">
        <v>2</v>
      </c>
      <c r="J16" s="50">
        <v>2</v>
      </c>
      <c r="K16" s="50">
        <v>1</v>
      </c>
      <c r="L16" s="50">
        <v>0</v>
      </c>
      <c r="M16" s="50">
        <v>6</v>
      </c>
      <c r="N16" s="50">
        <v>0</v>
      </c>
      <c r="O16" s="15">
        <f t="shared" si="0"/>
        <v>18</v>
      </c>
      <c r="P16" s="15">
        <f t="shared" si="1"/>
        <v>24</v>
      </c>
      <c r="R16" s="1" t="s">
        <v>12</v>
      </c>
      <c r="S16" s="17">
        <f t="shared" ref="S16:AF16" si="8">SUM(C34:C37)</f>
        <v>7</v>
      </c>
      <c r="T16" s="17">
        <f t="shared" si="8"/>
        <v>5</v>
      </c>
      <c r="U16" s="17">
        <f t="shared" si="8"/>
        <v>7</v>
      </c>
      <c r="V16" s="17">
        <f t="shared" si="8"/>
        <v>41</v>
      </c>
      <c r="W16" s="17">
        <f t="shared" si="8"/>
        <v>2</v>
      </c>
      <c r="X16" s="17">
        <f t="shared" si="8"/>
        <v>0</v>
      </c>
      <c r="Y16" s="17">
        <f t="shared" si="8"/>
        <v>7</v>
      </c>
      <c r="Z16" s="17">
        <f t="shared" si="8"/>
        <v>1</v>
      </c>
      <c r="AA16" s="17">
        <f t="shared" si="8"/>
        <v>2</v>
      </c>
      <c r="AB16" s="17">
        <f t="shared" si="8"/>
        <v>0</v>
      </c>
      <c r="AC16" s="17">
        <f t="shared" si="8"/>
        <v>41</v>
      </c>
      <c r="AD16" s="17">
        <f t="shared" si="8"/>
        <v>0</v>
      </c>
      <c r="AE16" s="31">
        <f t="shared" si="8"/>
        <v>72</v>
      </c>
      <c r="AF16" s="31">
        <f t="shared" si="8"/>
        <v>113</v>
      </c>
    </row>
    <row r="17" spans="2:32" ht="23.1" customHeight="1" x14ac:dyDescent="0.25">
      <c r="B17" s="23" t="s">
        <v>44</v>
      </c>
      <c r="C17" s="50">
        <v>1</v>
      </c>
      <c r="D17" s="50">
        <v>2</v>
      </c>
      <c r="E17" s="50">
        <v>4</v>
      </c>
      <c r="F17" s="50">
        <v>6</v>
      </c>
      <c r="G17" s="50">
        <v>0</v>
      </c>
      <c r="H17" s="50">
        <v>0</v>
      </c>
      <c r="I17" s="50">
        <v>1</v>
      </c>
      <c r="J17" s="50">
        <v>2</v>
      </c>
      <c r="K17" s="50">
        <v>0</v>
      </c>
      <c r="L17" s="50">
        <v>0</v>
      </c>
      <c r="M17" s="50">
        <v>4</v>
      </c>
      <c r="N17" s="50">
        <v>0</v>
      </c>
      <c r="O17" s="15">
        <f t="shared" si="0"/>
        <v>16</v>
      </c>
      <c r="P17" s="15">
        <f t="shared" si="1"/>
        <v>20</v>
      </c>
      <c r="R17" s="1" t="s">
        <v>13</v>
      </c>
      <c r="S17" s="17">
        <f t="shared" ref="S17:AF17" si="9">SUM(C38:C41)</f>
        <v>21</v>
      </c>
      <c r="T17" s="17">
        <f t="shared" si="9"/>
        <v>11</v>
      </c>
      <c r="U17" s="17">
        <f t="shared" si="9"/>
        <v>8</v>
      </c>
      <c r="V17" s="17">
        <f t="shared" si="9"/>
        <v>44</v>
      </c>
      <c r="W17" s="17">
        <f t="shared" si="9"/>
        <v>4</v>
      </c>
      <c r="X17" s="17">
        <f t="shared" si="9"/>
        <v>2</v>
      </c>
      <c r="Y17" s="17">
        <f t="shared" si="9"/>
        <v>6</v>
      </c>
      <c r="Z17" s="17">
        <f t="shared" si="9"/>
        <v>8</v>
      </c>
      <c r="AA17" s="17">
        <f t="shared" si="9"/>
        <v>1</v>
      </c>
      <c r="AB17" s="17">
        <f t="shared" si="9"/>
        <v>5</v>
      </c>
      <c r="AC17" s="17">
        <f t="shared" si="9"/>
        <v>54</v>
      </c>
      <c r="AD17" s="17">
        <f t="shared" si="9"/>
        <v>0</v>
      </c>
      <c r="AE17" s="31">
        <f t="shared" si="9"/>
        <v>110</v>
      </c>
      <c r="AF17" s="31">
        <f t="shared" si="9"/>
        <v>164</v>
      </c>
    </row>
    <row r="18" spans="2:32" ht="23.1" customHeight="1" x14ac:dyDescent="0.25">
      <c r="B18" s="23" t="s">
        <v>45</v>
      </c>
      <c r="C18" s="50">
        <v>1</v>
      </c>
      <c r="D18" s="50">
        <v>1</v>
      </c>
      <c r="E18" s="50">
        <v>4</v>
      </c>
      <c r="F18" s="50">
        <v>7</v>
      </c>
      <c r="G18" s="50">
        <v>0</v>
      </c>
      <c r="H18" s="50">
        <v>0</v>
      </c>
      <c r="I18" s="50">
        <v>0</v>
      </c>
      <c r="J18" s="50">
        <v>4</v>
      </c>
      <c r="K18" s="50">
        <v>1</v>
      </c>
      <c r="L18" s="50">
        <v>0</v>
      </c>
      <c r="M18" s="50">
        <v>5</v>
      </c>
      <c r="N18" s="50">
        <v>0</v>
      </c>
      <c r="O18" s="15">
        <f t="shared" si="0"/>
        <v>18</v>
      </c>
      <c r="P18" s="15">
        <f t="shared" si="1"/>
        <v>23</v>
      </c>
      <c r="R18" s="1" t="s">
        <v>14</v>
      </c>
      <c r="S18" s="17">
        <f t="shared" ref="S18:AF18" si="10">SUM(C42:C45)</f>
        <v>11</v>
      </c>
      <c r="T18" s="17">
        <f t="shared" si="10"/>
        <v>11</v>
      </c>
      <c r="U18" s="17">
        <f t="shared" si="10"/>
        <v>12</v>
      </c>
      <c r="V18" s="17">
        <f t="shared" si="10"/>
        <v>44</v>
      </c>
      <c r="W18" s="17">
        <f t="shared" si="10"/>
        <v>1</v>
      </c>
      <c r="X18" s="17">
        <f t="shared" si="10"/>
        <v>2</v>
      </c>
      <c r="Y18" s="17">
        <f t="shared" si="10"/>
        <v>3</v>
      </c>
      <c r="Z18" s="17">
        <f t="shared" si="10"/>
        <v>3</v>
      </c>
      <c r="AA18" s="17">
        <f t="shared" si="10"/>
        <v>2</v>
      </c>
      <c r="AB18" s="17">
        <f t="shared" si="10"/>
        <v>6</v>
      </c>
      <c r="AC18" s="17">
        <f t="shared" si="10"/>
        <v>53</v>
      </c>
      <c r="AD18" s="17">
        <f t="shared" si="10"/>
        <v>0</v>
      </c>
      <c r="AE18" s="31">
        <f t="shared" si="10"/>
        <v>95</v>
      </c>
      <c r="AF18" s="31">
        <f t="shared" si="10"/>
        <v>148</v>
      </c>
    </row>
    <row r="19" spans="2:32" ht="23.1" customHeight="1" x14ac:dyDescent="0.25">
      <c r="B19" s="23" t="s">
        <v>46</v>
      </c>
      <c r="C19" s="50">
        <v>3</v>
      </c>
      <c r="D19" s="50">
        <v>2</v>
      </c>
      <c r="E19" s="50">
        <v>6</v>
      </c>
      <c r="F19" s="50">
        <v>8</v>
      </c>
      <c r="G19" s="50">
        <v>0</v>
      </c>
      <c r="H19" s="50">
        <v>1</v>
      </c>
      <c r="I19" s="50">
        <v>1</v>
      </c>
      <c r="J19" s="50">
        <v>2</v>
      </c>
      <c r="K19" s="50">
        <v>1</v>
      </c>
      <c r="L19" s="50">
        <v>0</v>
      </c>
      <c r="M19" s="50">
        <v>12</v>
      </c>
      <c r="N19" s="50">
        <v>0</v>
      </c>
      <c r="O19" s="15">
        <f t="shared" si="0"/>
        <v>24</v>
      </c>
      <c r="P19" s="15">
        <f t="shared" si="1"/>
        <v>36</v>
      </c>
      <c r="R19" s="1" t="s">
        <v>15</v>
      </c>
      <c r="S19" s="17">
        <f t="shared" ref="S19:AF19" si="11">SUM(C46:C49)</f>
        <v>12</v>
      </c>
      <c r="T19" s="17">
        <f t="shared" si="11"/>
        <v>14</v>
      </c>
      <c r="U19" s="17">
        <f t="shared" si="11"/>
        <v>9</v>
      </c>
      <c r="V19" s="17">
        <f t="shared" si="11"/>
        <v>28</v>
      </c>
      <c r="W19" s="17">
        <f t="shared" si="11"/>
        <v>0</v>
      </c>
      <c r="X19" s="17">
        <f t="shared" si="11"/>
        <v>1</v>
      </c>
      <c r="Y19" s="17">
        <f t="shared" si="11"/>
        <v>3</v>
      </c>
      <c r="Z19" s="17">
        <f t="shared" si="11"/>
        <v>6</v>
      </c>
      <c r="AA19" s="17">
        <f t="shared" si="11"/>
        <v>5</v>
      </c>
      <c r="AB19" s="17">
        <f t="shared" si="11"/>
        <v>3</v>
      </c>
      <c r="AC19" s="17">
        <f t="shared" si="11"/>
        <v>29</v>
      </c>
      <c r="AD19" s="17">
        <f t="shared" si="11"/>
        <v>0</v>
      </c>
      <c r="AE19" s="31">
        <f t="shared" si="11"/>
        <v>81</v>
      </c>
      <c r="AF19" s="31">
        <f t="shared" si="11"/>
        <v>110</v>
      </c>
    </row>
    <row r="20" spans="2:32" ht="23.1" customHeight="1" x14ac:dyDescent="0.25">
      <c r="B20" s="23" t="s">
        <v>47</v>
      </c>
      <c r="C20" s="50">
        <v>4</v>
      </c>
      <c r="D20" s="50">
        <v>4</v>
      </c>
      <c r="E20" s="50">
        <v>2</v>
      </c>
      <c r="F20" s="50">
        <v>5</v>
      </c>
      <c r="G20" s="50">
        <v>0</v>
      </c>
      <c r="H20" s="50">
        <v>0</v>
      </c>
      <c r="I20" s="50">
        <v>1</v>
      </c>
      <c r="J20" s="50">
        <v>3</v>
      </c>
      <c r="K20" s="50">
        <v>1</v>
      </c>
      <c r="L20" s="50">
        <v>1</v>
      </c>
      <c r="M20" s="50">
        <v>15</v>
      </c>
      <c r="N20" s="50">
        <v>0</v>
      </c>
      <c r="O20" s="15">
        <f t="shared" si="0"/>
        <v>21</v>
      </c>
      <c r="P20" s="15">
        <f t="shared" si="1"/>
        <v>36</v>
      </c>
      <c r="R20" s="1" t="s">
        <v>16</v>
      </c>
      <c r="S20" s="17">
        <f t="shared" ref="S20:AF20" si="12">SUM(C50:C53)</f>
        <v>20</v>
      </c>
      <c r="T20" s="17">
        <f t="shared" si="12"/>
        <v>11</v>
      </c>
      <c r="U20" s="17">
        <f t="shared" si="12"/>
        <v>8</v>
      </c>
      <c r="V20" s="17">
        <f t="shared" si="12"/>
        <v>33</v>
      </c>
      <c r="W20" s="17">
        <f t="shared" si="12"/>
        <v>1</v>
      </c>
      <c r="X20" s="17">
        <f t="shared" si="12"/>
        <v>3</v>
      </c>
      <c r="Y20" s="17">
        <f t="shared" si="12"/>
        <v>10</v>
      </c>
      <c r="Z20" s="17">
        <f t="shared" si="12"/>
        <v>8</v>
      </c>
      <c r="AA20" s="17">
        <f t="shared" si="12"/>
        <v>5</v>
      </c>
      <c r="AB20" s="17">
        <f t="shared" si="12"/>
        <v>1</v>
      </c>
      <c r="AC20" s="17">
        <f t="shared" si="12"/>
        <v>46</v>
      </c>
      <c r="AD20" s="17">
        <f t="shared" si="12"/>
        <v>0</v>
      </c>
      <c r="AE20" s="31">
        <f t="shared" si="12"/>
        <v>100</v>
      </c>
      <c r="AF20" s="31">
        <f t="shared" si="12"/>
        <v>146</v>
      </c>
    </row>
    <row r="21" spans="2:32" ht="23.1" customHeight="1" x14ac:dyDescent="0.25">
      <c r="B21" s="23" t="s">
        <v>48</v>
      </c>
      <c r="C21" s="50">
        <v>4</v>
      </c>
      <c r="D21" s="50">
        <v>3</v>
      </c>
      <c r="E21" s="50">
        <v>4</v>
      </c>
      <c r="F21" s="50">
        <v>9</v>
      </c>
      <c r="G21" s="50">
        <v>0</v>
      </c>
      <c r="H21" s="50">
        <v>0</v>
      </c>
      <c r="I21" s="50">
        <v>0</v>
      </c>
      <c r="J21" s="50">
        <v>0</v>
      </c>
      <c r="K21" s="50">
        <v>0</v>
      </c>
      <c r="L21" s="50">
        <v>1</v>
      </c>
      <c r="M21" s="50">
        <v>16</v>
      </c>
      <c r="N21" s="50">
        <v>0</v>
      </c>
      <c r="O21" s="15">
        <f t="shared" si="0"/>
        <v>21</v>
      </c>
      <c r="P21" s="15">
        <f t="shared" si="1"/>
        <v>37</v>
      </c>
      <c r="R21" s="36" t="s">
        <v>20</v>
      </c>
      <c r="S21" s="34">
        <f t="shared" ref="S21:AF21" si="13">SUM(C54:C57)</f>
        <v>13</v>
      </c>
      <c r="T21" s="17">
        <f t="shared" si="13"/>
        <v>6</v>
      </c>
      <c r="U21" s="17">
        <f t="shared" si="13"/>
        <v>14</v>
      </c>
      <c r="V21" s="17">
        <f t="shared" si="13"/>
        <v>32</v>
      </c>
      <c r="W21" s="17">
        <f t="shared" si="13"/>
        <v>0</v>
      </c>
      <c r="X21" s="17">
        <f t="shared" si="13"/>
        <v>2</v>
      </c>
      <c r="Y21" s="17">
        <f t="shared" si="13"/>
        <v>3</v>
      </c>
      <c r="Z21" s="17">
        <f t="shared" si="13"/>
        <v>6</v>
      </c>
      <c r="AA21" s="17">
        <f t="shared" si="13"/>
        <v>2</v>
      </c>
      <c r="AB21" s="17">
        <f t="shared" si="13"/>
        <v>2</v>
      </c>
      <c r="AC21" s="17">
        <f t="shared" si="13"/>
        <v>41</v>
      </c>
      <c r="AD21" s="17">
        <f t="shared" si="13"/>
        <v>0</v>
      </c>
      <c r="AE21" s="31">
        <f t="shared" si="13"/>
        <v>80</v>
      </c>
      <c r="AF21" s="31">
        <f t="shared" si="13"/>
        <v>121</v>
      </c>
    </row>
    <row r="22" spans="2:32" ht="23.1" customHeight="1" x14ac:dyDescent="0.25">
      <c r="B22" s="23" t="s">
        <v>49</v>
      </c>
      <c r="C22" s="50">
        <v>1</v>
      </c>
      <c r="D22" s="50">
        <v>3</v>
      </c>
      <c r="E22" s="50">
        <v>1</v>
      </c>
      <c r="F22" s="50">
        <v>7</v>
      </c>
      <c r="G22" s="50">
        <v>0</v>
      </c>
      <c r="H22" s="50">
        <v>0</v>
      </c>
      <c r="I22" s="50">
        <v>3</v>
      </c>
      <c r="J22" s="50">
        <v>0</v>
      </c>
      <c r="K22" s="50">
        <v>1</v>
      </c>
      <c r="L22" s="50">
        <v>1</v>
      </c>
      <c r="M22" s="50">
        <v>6</v>
      </c>
      <c r="N22" s="50">
        <v>0</v>
      </c>
      <c r="O22" s="15">
        <f t="shared" si="0"/>
        <v>17</v>
      </c>
      <c r="P22" s="15">
        <f t="shared" si="1"/>
        <v>23</v>
      </c>
      <c r="R22" s="38" t="s">
        <v>90</v>
      </c>
      <c r="S22" s="39">
        <f>MAX(S10:S12)</f>
        <v>12</v>
      </c>
      <c r="T22" s="39">
        <f t="shared" ref="T22:AF22" si="14">MAX(T10:T12)</f>
        <v>10</v>
      </c>
      <c r="U22" s="39">
        <f t="shared" si="14"/>
        <v>16</v>
      </c>
      <c r="V22" s="39">
        <f t="shared" si="14"/>
        <v>29</v>
      </c>
      <c r="W22" s="39">
        <f t="shared" si="14"/>
        <v>1</v>
      </c>
      <c r="X22" s="39">
        <f t="shared" si="14"/>
        <v>2</v>
      </c>
      <c r="Y22" s="39">
        <f t="shared" si="14"/>
        <v>8</v>
      </c>
      <c r="Z22" s="39">
        <f t="shared" si="14"/>
        <v>9</v>
      </c>
      <c r="AA22" s="39">
        <f t="shared" si="14"/>
        <v>3</v>
      </c>
      <c r="AB22" s="39">
        <f t="shared" si="14"/>
        <v>4</v>
      </c>
      <c r="AC22" s="39">
        <f t="shared" si="14"/>
        <v>48</v>
      </c>
      <c r="AD22" s="39">
        <f t="shared" si="14"/>
        <v>0</v>
      </c>
      <c r="AE22" s="40">
        <f t="shared" si="14"/>
        <v>84</v>
      </c>
      <c r="AF22" s="40">
        <f t="shared" si="14"/>
        <v>132</v>
      </c>
    </row>
    <row r="23" spans="2:32" ht="23.1" customHeight="1" x14ac:dyDescent="0.25">
      <c r="B23" s="23" t="s">
        <v>50</v>
      </c>
      <c r="C23" s="50">
        <v>1</v>
      </c>
      <c r="D23" s="50">
        <v>3</v>
      </c>
      <c r="E23" s="50">
        <v>1</v>
      </c>
      <c r="F23" s="50">
        <v>6</v>
      </c>
      <c r="G23" s="50">
        <v>0</v>
      </c>
      <c r="H23" s="50">
        <v>0</v>
      </c>
      <c r="I23" s="50">
        <v>0</v>
      </c>
      <c r="J23" s="50">
        <v>2</v>
      </c>
      <c r="K23" s="50">
        <v>0</v>
      </c>
      <c r="L23" s="50">
        <v>0</v>
      </c>
      <c r="M23" s="50">
        <v>12</v>
      </c>
      <c r="N23" s="50">
        <v>0</v>
      </c>
      <c r="O23" s="15">
        <f t="shared" si="0"/>
        <v>13</v>
      </c>
      <c r="P23" s="15">
        <f t="shared" si="1"/>
        <v>25</v>
      </c>
      <c r="R23" s="38" t="s">
        <v>91</v>
      </c>
      <c r="S23" s="39">
        <f>MAX(S13:S18)</f>
        <v>21</v>
      </c>
      <c r="T23" s="39">
        <f t="shared" ref="T23:AF23" si="15">MAX(T13:T18)</f>
        <v>11</v>
      </c>
      <c r="U23" s="39">
        <f t="shared" si="15"/>
        <v>12</v>
      </c>
      <c r="V23" s="39">
        <f t="shared" si="15"/>
        <v>44</v>
      </c>
      <c r="W23" s="39">
        <f t="shared" si="15"/>
        <v>4</v>
      </c>
      <c r="X23" s="39">
        <f t="shared" si="15"/>
        <v>2</v>
      </c>
      <c r="Y23" s="39">
        <f t="shared" si="15"/>
        <v>7</v>
      </c>
      <c r="Z23" s="39">
        <f t="shared" si="15"/>
        <v>8</v>
      </c>
      <c r="AA23" s="39">
        <f t="shared" si="15"/>
        <v>4</v>
      </c>
      <c r="AB23" s="39">
        <f t="shared" si="15"/>
        <v>6</v>
      </c>
      <c r="AC23" s="39">
        <f t="shared" si="15"/>
        <v>59</v>
      </c>
      <c r="AD23" s="39">
        <f t="shared" si="15"/>
        <v>0</v>
      </c>
      <c r="AE23" s="40">
        <f t="shared" si="15"/>
        <v>110</v>
      </c>
      <c r="AF23" s="40">
        <f t="shared" si="15"/>
        <v>164</v>
      </c>
    </row>
    <row r="24" spans="2:32" ht="23.1" customHeight="1" x14ac:dyDescent="0.25">
      <c r="B24" s="23" t="s">
        <v>51</v>
      </c>
      <c r="C24" s="50">
        <v>6</v>
      </c>
      <c r="D24" s="50">
        <v>3</v>
      </c>
      <c r="E24" s="50">
        <v>0</v>
      </c>
      <c r="F24" s="50">
        <v>5</v>
      </c>
      <c r="G24" s="50">
        <v>0</v>
      </c>
      <c r="H24" s="50">
        <v>0</v>
      </c>
      <c r="I24" s="50">
        <v>1</v>
      </c>
      <c r="J24" s="50">
        <v>3</v>
      </c>
      <c r="K24" s="50">
        <v>2</v>
      </c>
      <c r="L24" s="50">
        <v>1</v>
      </c>
      <c r="M24" s="50">
        <v>14</v>
      </c>
      <c r="N24" s="50">
        <v>0</v>
      </c>
      <c r="O24" s="15">
        <f t="shared" si="0"/>
        <v>21</v>
      </c>
      <c r="P24" s="15">
        <f t="shared" si="1"/>
        <v>35</v>
      </c>
      <c r="R24" s="38" t="s">
        <v>92</v>
      </c>
      <c r="S24" s="39">
        <f>MAX(S19:S21)</f>
        <v>20</v>
      </c>
      <c r="T24" s="39">
        <f t="shared" ref="T24:AF24" si="16">MAX(T19:T21)</f>
        <v>14</v>
      </c>
      <c r="U24" s="39">
        <f t="shared" si="16"/>
        <v>14</v>
      </c>
      <c r="V24" s="39">
        <f t="shared" si="16"/>
        <v>33</v>
      </c>
      <c r="W24" s="39">
        <f t="shared" si="16"/>
        <v>1</v>
      </c>
      <c r="X24" s="39">
        <f t="shared" si="16"/>
        <v>3</v>
      </c>
      <c r="Y24" s="39">
        <f t="shared" si="16"/>
        <v>10</v>
      </c>
      <c r="Z24" s="39">
        <f t="shared" si="16"/>
        <v>8</v>
      </c>
      <c r="AA24" s="39">
        <f t="shared" si="16"/>
        <v>5</v>
      </c>
      <c r="AB24" s="39">
        <f t="shared" si="16"/>
        <v>3</v>
      </c>
      <c r="AC24" s="39">
        <f t="shared" si="16"/>
        <v>46</v>
      </c>
      <c r="AD24" s="39">
        <f t="shared" si="16"/>
        <v>0</v>
      </c>
      <c r="AE24" s="40">
        <f t="shared" si="16"/>
        <v>100</v>
      </c>
      <c r="AF24" s="40">
        <f t="shared" si="16"/>
        <v>146</v>
      </c>
    </row>
    <row r="25" spans="2:32" ht="23.1" customHeight="1" x14ac:dyDescent="0.25">
      <c r="B25" s="23" t="s">
        <v>52</v>
      </c>
      <c r="C25" s="50">
        <v>6</v>
      </c>
      <c r="D25" s="50">
        <v>2</v>
      </c>
      <c r="E25" s="50">
        <v>1</v>
      </c>
      <c r="F25" s="50">
        <v>9</v>
      </c>
      <c r="G25" s="50">
        <v>0</v>
      </c>
      <c r="H25" s="50">
        <v>0</v>
      </c>
      <c r="I25" s="50">
        <v>1</v>
      </c>
      <c r="J25" s="50">
        <v>2</v>
      </c>
      <c r="K25" s="50">
        <v>1</v>
      </c>
      <c r="L25" s="50">
        <v>3</v>
      </c>
      <c r="M25" s="50">
        <v>16</v>
      </c>
      <c r="N25" s="50">
        <v>0</v>
      </c>
      <c r="O25" s="15">
        <f t="shared" si="0"/>
        <v>25</v>
      </c>
      <c r="P25" s="15">
        <f t="shared" si="1"/>
        <v>41</v>
      </c>
      <c r="R25" s="37" t="s">
        <v>85</v>
      </c>
      <c r="S25" s="35">
        <f t="shared" ref="S25:AF25" si="17">SUM(S10:S12)</f>
        <v>27</v>
      </c>
      <c r="T25" s="16">
        <f t="shared" si="17"/>
        <v>22</v>
      </c>
      <c r="U25" s="16">
        <f t="shared" si="17"/>
        <v>42</v>
      </c>
      <c r="V25" s="16">
        <f t="shared" si="17"/>
        <v>64</v>
      </c>
      <c r="W25" s="16">
        <f t="shared" si="17"/>
        <v>2</v>
      </c>
      <c r="X25" s="16">
        <f t="shared" si="17"/>
        <v>3</v>
      </c>
      <c r="Y25" s="16">
        <f t="shared" si="17"/>
        <v>16</v>
      </c>
      <c r="Z25" s="16">
        <f t="shared" si="17"/>
        <v>18</v>
      </c>
      <c r="AA25" s="16">
        <f t="shared" si="17"/>
        <v>5</v>
      </c>
      <c r="AB25" s="16">
        <f t="shared" si="17"/>
        <v>6</v>
      </c>
      <c r="AC25" s="16">
        <f t="shared" si="17"/>
        <v>107</v>
      </c>
      <c r="AD25" s="16">
        <f t="shared" si="17"/>
        <v>0</v>
      </c>
      <c r="AE25" s="32">
        <f t="shared" si="17"/>
        <v>205</v>
      </c>
      <c r="AF25" s="32">
        <f t="shared" si="17"/>
        <v>312</v>
      </c>
    </row>
    <row r="26" spans="2:32" ht="23.1" customHeight="1" x14ac:dyDescent="0.25">
      <c r="B26" s="23" t="s">
        <v>53</v>
      </c>
      <c r="C26" s="50">
        <v>8</v>
      </c>
      <c r="D26" s="50">
        <v>3</v>
      </c>
      <c r="E26" s="50">
        <v>4</v>
      </c>
      <c r="F26" s="50">
        <v>10</v>
      </c>
      <c r="G26" s="50">
        <v>1</v>
      </c>
      <c r="H26" s="50">
        <v>1</v>
      </c>
      <c r="I26" s="50">
        <v>2</v>
      </c>
      <c r="J26" s="50">
        <v>2</v>
      </c>
      <c r="K26" s="50">
        <v>2</v>
      </c>
      <c r="L26" s="50">
        <v>2</v>
      </c>
      <c r="M26" s="50">
        <v>11</v>
      </c>
      <c r="N26" s="50">
        <v>0</v>
      </c>
      <c r="O26" s="15">
        <f t="shared" si="0"/>
        <v>35</v>
      </c>
      <c r="P26" s="15">
        <f t="shared" si="1"/>
        <v>46</v>
      </c>
      <c r="R26" s="28" t="s">
        <v>86</v>
      </c>
      <c r="S26" s="16">
        <f t="shared" ref="S26:AF26" si="18">SUM(S13:S18)</f>
        <v>93</v>
      </c>
      <c r="T26" s="16">
        <f t="shared" si="18"/>
        <v>50</v>
      </c>
      <c r="U26" s="16">
        <f t="shared" si="18"/>
        <v>47</v>
      </c>
      <c r="V26" s="16">
        <f t="shared" si="18"/>
        <v>231</v>
      </c>
      <c r="W26" s="16">
        <f t="shared" si="18"/>
        <v>10</v>
      </c>
      <c r="X26" s="16">
        <f t="shared" si="18"/>
        <v>7</v>
      </c>
      <c r="Y26" s="16">
        <f t="shared" si="18"/>
        <v>29</v>
      </c>
      <c r="Z26" s="16">
        <f t="shared" si="18"/>
        <v>32</v>
      </c>
      <c r="AA26" s="16">
        <f t="shared" si="18"/>
        <v>14</v>
      </c>
      <c r="AB26" s="16">
        <f t="shared" si="18"/>
        <v>21</v>
      </c>
      <c r="AC26" s="16">
        <f t="shared" si="18"/>
        <v>307</v>
      </c>
      <c r="AD26" s="16">
        <f t="shared" si="18"/>
        <v>0</v>
      </c>
      <c r="AE26" s="32">
        <f t="shared" si="18"/>
        <v>534</v>
      </c>
      <c r="AF26" s="32">
        <f t="shared" si="18"/>
        <v>841</v>
      </c>
    </row>
    <row r="27" spans="2:32" ht="23.1" customHeight="1" x14ac:dyDescent="0.25">
      <c r="B27" s="23" t="s">
        <v>54</v>
      </c>
      <c r="C27" s="50">
        <v>4</v>
      </c>
      <c r="D27" s="50">
        <v>2</v>
      </c>
      <c r="E27" s="50">
        <v>3</v>
      </c>
      <c r="F27" s="50">
        <v>9</v>
      </c>
      <c r="G27" s="50">
        <v>1</v>
      </c>
      <c r="H27" s="50">
        <v>0</v>
      </c>
      <c r="I27" s="50">
        <v>0</v>
      </c>
      <c r="J27" s="50">
        <v>2</v>
      </c>
      <c r="K27" s="50">
        <v>1</v>
      </c>
      <c r="L27" s="50">
        <v>0</v>
      </c>
      <c r="M27" s="50">
        <v>15</v>
      </c>
      <c r="N27" s="50">
        <v>0</v>
      </c>
      <c r="O27" s="15">
        <f t="shared" si="0"/>
        <v>22</v>
      </c>
      <c r="P27" s="15">
        <f t="shared" si="1"/>
        <v>37</v>
      </c>
      <c r="R27" s="29" t="s">
        <v>87</v>
      </c>
      <c r="S27" s="16">
        <f t="shared" ref="S27:AF27" si="19">SUM(S19:S21)</f>
        <v>45</v>
      </c>
      <c r="T27" s="16">
        <f t="shared" si="19"/>
        <v>31</v>
      </c>
      <c r="U27" s="16">
        <f t="shared" si="19"/>
        <v>31</v>
      </c>
      <c r="V27" s="16">
        <f t="shared" si="19"/>
        <v>93</v>
      </c>
      <c r="W27" s="16">
        <f t="shared" si="19"/>
        <v>1</v>
      </c>
      <c r="X27" s="16">
        <f t="shared" si="19"/>
        <v>6</v>
      </c>
      <c r="Y27" s="16">
        <f t="shared" si="19"/>
        <v>16</v>
      </c>
      <c r="Z27" s="16">
        <f t="shared" si="19"/>
        <v>20</v>
      </c>
      <c r="AA27" s="16">
        <f t="shared" si="19"/>
        <v>12</v>
      </c>
      <c r="AB27" s="16">
        <f t="shared" si="19"/>
        <v>6</v>
      </c>
      <c r="AC27" s="16">
        <f t="shared" si="19"/>
        <v>116</v>
      </c>
      <c r="AD27" s="16">
        <f t="shared" si="19"/>
        <v>0</v>
      </c>
      <c r="AE27" s="32">
        <f t="shared" si="19"/>
        <v>261</v>
      </c>
      <c r="AF27" s="32">
        <f t="shared" si="19"/>
        <v>377</v>
      </c>
    </row>
    <row r="28" spans="2:32" ht="23.1" customHeight="1" x14ac:dyDescent="0.25">
      <c r="B28" s="23" t="s">
        <v>55</v>
      </c>
      <c r="C28" s="50">
        <v>6</v>
      </c>
      <c r="D28" s="50">
        <v>1</v>
      </c>
      <c r="E28" s="50">
        <v>0</v>
      </c>
      <c r="F28" s="50">
        <v>9</v>
      </c>
      <c r="G28" s="50">
        <v>0</v>
      </c>
      <c r="H28" s="50">
        <v>0</v>
      </c>
      <c r="I28" s="50">
        <v>0</v>
      </c>
      <c r="J28" s="50">
        <v>2</v>
      </c>
      <c r="K28" s="50">
        <v>1</v>
      </c>
      <c r="L28" s="50">
        <v>0</v>
      </c>
      <c r="M28" s="50">
        <v>12</v>
      </c>
      <c r="N28" s="50">
        <v>0</v>
      </c>
      <c r="O28" s="15">
        <f t="shared" si="0"/>
        <v>19</v>
      </c>
      <c r="P28" s="15">
        <f t="shared" si="1"/>
        <v>31</v>
      </c>
      <c r="R28" s="5" t="s">
        <v>17</v>
      </c>
      <c r="S28" s="16">
        <f t="shared" ref="S28:AF28" si="20">SUM(S10:S21)</f>
        <v>165</v>
      </c>
      <c r="T28" s="16">
        <f t="shared" si="20"/>
        <v>103</v>
      </c>
      <c r="U28" s="16">
        <f t="shared" si="20"/>
        <v>120</v>
      </c>
      <c r="V28" s="16">
        <f t="shared" si="20"/>
        <v>388</v>
      </c>
      <c r="W28" s="16">
        <f t="shared" si="20"/>
        <v>13</v>
      </c>
      <c r="X28" s="16">
        <f t="shared" si="20"/>
        <v>16</v>
      </c>
      <c r="Y28" s="16">
        <f t="shared" si="20"/>
        <v>61</v>
      </c>
      <c r="Z28" s="16">
        <f t="shared" si="20"/>
        <v>70</v>
      </c>
      <c r="AA28" s="16">
        <f t="shared" si="20"/>
        <v>31</v>
      </c>
      <c r="AB28" s="16">
        <f t="shared" si="20"/>
        <v>33</v>
      </c>
      <c r="AC28" s="16">
        <f t="shared" si="20"/>
        <v>530</v>
      </c>
      <c r="AD28" s="16">
        <f t="shared" si="20"/>
        <v>0</v>
      </c>
      <c r="AE28" s="32">
        <f t="shared" si="20"/>
        <v>1000</v>
      </c>
      <c r="AF28" s="32">
        <f t="shared" si="20"/>
        <v>1530</v>
      </c>
    </row>
    <row r="29" spans="2:32" ht="23.1" customHeight="1" x14ac:dyDescent="0.25">
      <c r="B29" s="23" t="s">
        <v>56</v>
      </c>
      <c r="C29" s="50">
        <v>3</v>
      </c>
      <c r="D29" s="50">
        <v>1</v>
      </c>
      <c r="E29" s="50">
        <v>1</v>
      </c>
      <c r="F29" s="50">
        <v>12</v>
      </c>
      <c r="G29" s="50">
        <v>0</v>
      </c>
      <c r="H29" s="50">
        <v>0</v>
      </c>
      <c r="I29" s="50">
        <v>2</v>
      </c>
      <c r="J29" s="50">
        <v>0</v>
      </c>
      <c r="K29" s="50">
        <v>0</v>
      </c>
      <c r="L29" s="50">
        <v>0</v>
      </c>
      <c r="M29" s="50">
        <v>21</v>
      </c>
      <c r="N29" s="50">
        <v>0</v>
      </c>
      <c r="O29" s="15">
        <f t="shared" si="0"/>
        <v>19</v>
      </c>
      <c r="P29" s="15">
        <f t="shared" si="1"/>
        <v>40</v>
      </c>
      <c r="R29"/>
      <c r="S29" s="20"/>
      <c r="T29" s="19"/>
    </row>
    <row r="30" spans="2:32" ht="23.1" customHeight="1" x14ac:dyDescent="0.25">
      <c r="B30" s="23" t="s">
        <v>57</v>
      </c>
      <c r="C30" s="50">
        <v>6</v>
      </c>
      <c r="D30" s="50">
        <v>2</v>
      </c>
      <c r="E30" s="50">
        <v>2</v>
      </c>
      <c r="F30" s="50">
        <v>7</v>
      </c>
      <c r="G30" s="50">
        <v>0</v>
      </c>
      <c r="H30" s="50">
        <v>0</v>
      </c>
      <c r="I30" s="50">
        <v>1</v>
      </c>
      <c r="J30" s="50">
        <v>1</v>
      </c>
      <c r="K30" s="50">
        <v>0</v>
      </c>
      <c r="L30" s="50">
        <v>0</v>
      </c>
      <c r="M30" s="50">
        <v>16</v>
      </c>
      <c r="N30" s="50">
        <v>0</v>
      </c>
      <c r="O30" s="15">
        <f t="shared" si="0"/>
        <v>19</v>
      </c>
      <c r="P30" s="15">
        <f t="shared" si="1"/>
        <v>35</v>
      </c>
    </row>
    <row r="31" spans="2:32" ht="23.1" customHeight="1" x14ac:dyDescent="0.25">
      <c r="B31" s="24" t="s">
        <v>58</v>
      </c>
      <c r="C31" s="50">
        <v>9</v>
      </c>
      <c r="D31" s="50">
        <v>1</v>
      </c>
      <c r="E31" s="50">
        <v>2</v>
      </c>
      <c r="F31" s="50">
        <v>11</v>
      </c>
      <c r="G31" s="50">
        <v>0</v>
      </c>
      <c r="H31" s="50">
        <v>1</v>
      </c>
      <c r="I31" s="50">
        <v>1</v>
      </c>
      <c r="J31" s="50">
        <v>3</v>
      </c>
      <c r="K31" s="50">
        <v>1</v>
      </c>
      <c r="L31" s="50">
        <v>2</v>
      </c>
      <c r="M31" s="50">
        <v>11</v>
      </c>
      <c r="N31" s="50">
        <v>0</v>
      </c>
      <c r="O31" s="15">
        <f t="shared" si="0"/>
        <v>31</v>
      </c>
      <c r="P31" s="15">
        <f t="shared" si="1"/>
        <v>42</v>
      </c>
    </row>
    <row r="32" spans="2:32" ht="23.1" customHeight="1" x14ac:dyDescent="0.25">
      <c r="B32" s="24" t="s">
        <v>59</v>
      </c>
      <c r="C32" s="50">
        <v>2</v>
      </c>
      <c r="D32" s="50">
        <v>1</v>
      </c>
      <c r="E32" s="50">
        <v>3</v>
      </c>
      <c r="F32" s="50">
        <v>14</v>
      </c>
      <c r="G32" s="50">
        <v>1</v>
      </c>
      <c r="H32" s="50">
        <v>1</v>
      </c>
      <c r="I32" s="50">
        <v>1</v>
      </c>
      <c r="J32" s="50">
        <v>1</v>
      </c>
      <c r="K32" s="50">
        <v>0</v>
      </c>
      <c r="L32" s="50">
        <v>0</v>
      </c>
      <c r="M32" s="50">
        <v>12</v>
      </c>
      <c r="N32" s="50">
        <v>0</v>
      </c>
      <c r="O32" s="15">
        <f t="shared" si="0"/>
        <v>24</v>
      </c>
      <c r="P32" s="15">
        <f t="shared" si="1"/>
        <v>36</v>
      </c>
    </row>
    <row r="33" spans="2:20" ht="23.1" customHeight="1" x14ac:dyDescent="0.25">
      <c r="B33" s="23" t="s">
        <v>60</v>
      </c>
      <c r="C33" s="50">
        <v>2</v>
      </c>
      <c r="D33" s="50">
        <v>1</v>
      </c>
      <c r="E33" s="50">
        <v>2</v>
      </c>
      <c r="F33" s="50">
        <v>3</v>
      </c>
      <c r="G33" s="50">
        <v>0</v>
      </c>
      <c r="H33" s="50">
        <v>0</v>
      </c>
      <c r="I33" s="50">
        <v>1</v>
      </c>
      <c r="J33" s="50">
        <v>2</v>
      </c>
      <c r="K33" s="50">
        <v>0</v>
      </c>
      <c r="L33" s="50">
        <v>1</v>
      </c>
      <c r="M33" s="50">
        <v>13</v>
      </c>
      <c r="N33" s="50">
        <v>0</v>
      </c>
      <c r="O33" s="15">
        <f t="shared" si="0"/>
        <v>12</v>
      </c>
      <c r="P33" s="15">
        <f t="shared" si="1"/>
        <v>25</v>
      </c>
    </row>
    <row r="34" spans="2:20" ht="23.1" customHeight="1" x14ac:dyDescent="0.25">
      <c r="B34" s="24" t="s">
        <v>61</v>
      </c>
      <c r="C34" s="50">
        <v>3</v>
      </c>
      <c r="D34" s="50">
        <v>1</v>
      </c>
      <c r="E34" s="50">
        <v>3</v>
      </c>
      <c r="F34" s="50">
        <v>10</v>
      </c>
      <c r="G34" s="50">
        <v>0</v>
      </c>
      <c r="H34" s="50">
        <v>0</v>
      </c>
      <c r="I34" s="50">
        <v>2</v>
      </c>
      <c r="J34" s="50">
        <v>1</v>
      </c>
      <c r="K34" s="50">
        <v>0</v>
      </c>
      <c r="L34" s="50">
        <v>0</v>
      </c>
      <c r="M34" s="50">
        <v>6</v>
      </c>
      <c r="N34" s="50">
        <v>0</v>
      </c>
      <c r="O34" s="15">
        <f t="shared" si="0"/>
        <v>20</v>
      </c>
      <c r="P34" s="15">
        <f t="shared" si="1"/>
        <v>26</v>
      </c>
    </row>
    <row r="35" spans="2:20" ht="23.1" customHeight="1" x14ac:dyDescent="0.25">
      <c r="B35" s="24" t="s">
        <v>62</v>
      </c>
      <c r="C35" s="50">
        <v>0</v>
      </c>
      <c r="D35" s="50">
        <v>2</v>
      </c>
      <c r="E35" s="50">
        <v>1</v>
      </c>
      <c r="F35" s="50">
        <v>9</v>
      </c>
      <c r="G35" s="50">
        <v>1</v>
      </c>
      <c r="H35" s="50">
        <v>0</v>
      </c>
      <c r="I35" s="50">
        <v>3</v>
      </c>
      <c r="J35" s="50">
        <v>0</v>
      </c>
      <c r="K35" s="50">
        <v>1</v>
      </c>
      <c r="L35" s="50">
        <v>0</v>
      </c>
      <c r="M35" s="50">
        <v>18</v>
      </c>
      <c r="N35" s="50">
        <v>0</v>
      </c>
      <c r="O35" s="15">
        <f t="shared" si="0"/>
        <v>17</v>
      </c>
      <c r="P35" s="15">
        <f t="shared" si="1"/>
        <v>35</v>
      </c>
    </row>
    <row r="36" spans="2:20" ht="23.1" customHeight="1" x14ac:dyDescent="0.25">
      <c r="B36" s="24" t="s">
        <v>63</v>
      </c>
      <c r="C36" s="50">
        <v>0</v>
      </c>
      <c r="D36" s="50">
        <v>1</v>
      </c>
      <c r="E36" s="50">
        <v>1</v>
      </c>
      <c r="F36" s="50">
        <v>16</v>
      </c>
      <c r="G36" s="50">
        <v>0</v>
      </c>
      <c r="H36" s="50">
        <v>0</v>
      </c>
      <c r="I36" s="50">
        <v>1</v>
      </c>
      <c r="J36" s="50">
        <v>0</v>
      </c>
      <c r="K36" s="50">
        <v>1</v>
      </c>
      <c r="L36" s="50">
        <v>0</v>
      </c>
      <c r="M36" s="50">
        <v>8</v>
      </c>
      <c r="N36" s="50">
        <v>0</v>
      </c>
      <c r="O36" s="15">
        <f t="shared" si="0"/>
        <v>20</v>
      </c>
      <c r="P36" s="15">
        <f t="shared" si="1"/>
        <v>28</v>
      </c>
    </row>
    <row r="37" spans="2:20" ht="23.1" customHeight="1" x14ac:dyDescent="0.25">
      <c r="B37" s="23" t="s">
        <v>64</v>
      </c>
      <c r="C37" s="50">
        <v>4</v>
      </c>
      <c r="D37" s="50">
        <v>1</v>
      </c>
      <c r="E37" s="50">
        <v>2</v>
      </c>
      <c r="F37" s="50">
        <v>6</v>
      </c>
      <c r="G37" s="50">
        <v>1</v>
      </c>
      <c r="H37" s="50">
        <v>0</v>
      </c>
      <c r="I37" s="50">
        <v>1</v>
      </c>
      <c r="J37" s="50">
        <v>0</v>
      </c>
      <c r="K37" s="50">
        <v>0</v>
      </c>
      <c r="L37" s="50">
        <v>0</v>
      </c>
      <c r="M37" s="50">
        <v>9</v>
      </c>
      <c r="N37" s="50">
        <v>0</v>
      </c>
      <c r="O37" s="15">
        <f t="shared" si="0"/>
        <v>15</v>
      </c>
      <c r="P37" s="15">
        <f t="shared" si="1"/>
        <v>24</v>
      </c>
    </row>
    <row r="38" spans="2:20" ht="23.1" customHeight="1" x14ac:dyDescent="0.25">
      <c r="B38" s="24" t="s">
        <v>65</v>
      </c>
      <c r="C38" s="50">
        <v>5</v>
      </c>
      <c r="D38" s="50">
        <v>5</v>
      </c>
      <c r="E38" s="50">
        <v>3</v>
      </c>
      <c r="F38" s="50">
        <v>13</v>
      </c>
      <c r="G38" s="50">
        <v>4</v>
      </c>
      <c r="H38" s="50">
        <v>1</v>
      </c>
      <c r="I38" s="50">
        <v>1</v>
      </c>
      <c r="J38" s="50">
        <v>1</v>
      </c>
      <c r="K38" s="50">
        <v>0</v>
      </c>
      <c r="L38" s="50">
        <v>3</v>
      </c>
      <c r="M38" s="50">
        <v>17</v>
      </c>
      <c r="N38" s="50">
        <v>0</v>
      </c>
      <c r="O38" s="15">
        <f t="shared" si="0"/>
        <v>36</v>
      </c>
      <c r="P38" s="15">
        <f t="shared" si="1"/>
        <v>53</v>
      </c>
    </row>
    <row r="39" spans="2:20" ht="23.1" customHeight="1" x14ac:dyDescent="0.25">
      <c r="B39" s="24" t="s">
        <v>66</v>
      </c>
      <c r="C39" s="50">
        <v>6</v>
      </c>
      <c r="D39" s="50">
        <v>1</v>
      </c>
      <c r="E39" s="50">
        <v>1</v>
      </c>
      <c r="F39" s="50">
        <v>6</v>
      </c>
      <c r="G39" s="50">
        <v>0</v>
      </c>
      <c r="H39" s="50">
        <v>0</v>
      </c>
      <c r="I39" s="50">
        <v>2</v>
      </c>
      <c r="J39" s="50">
        <v>2</v>
      </c>
      <c r="K39" s="50">
        <v>1</v>
      </c>
      <c r="L39" s="50">
        <v>0</v>
      </c>
      <c r="M39" s="50">
        <v>8</v>
      </c>
      <c r="N39" s="50">
        <v>0</v>
      </c>
      <c r="O39" s="15">
        <f t="shared" si="0"/>
        <v>19</v>
      </c>
      <c r="P39" s="15">
        <f t="shared" si="1"/>
        <v>27</v>
      </c>
    </row>
    <row r="40" spans="2:20" ht="23.1" customHeight="1" x14ac:dyDescent="0.25">
      <c r="B40" s="24" t="s">
        <v>67</v>
      </c>
      <c r="C40" s="50">
        <v>7</v>
      </c>
      <c r="D40" s="50">
        <v>2</v>
      </c>
      <c r="E40" s="50">
        <v>4</v>
      </c>
      <c r="F40" s="50">
        <v>15</v>
      </c>
      <c r="G40" s="50">
        <v>0</v>
      </c>
      <c r="H40" s="50">
        <v>1</v>
      </c>
      <c r="I40" s="50">
        <v>2</v>
      </c>
      <c r="J40" s="50">
        <v>4</v>
      </c>
      <c r="K40" s="50">
        <v>0</v>
      </c>
      <c r="L40" s="50">
        <v>1</v>
      </c>
      <c r="M40" s="50">
        <v>19</v>
      </c>
      <c r="N40" s="50">
        <v>0</v>
      </c>
      <c r="O40" s="15">
        <f t="shared" si="0"/>
        <v>36</v>
      </c>
      <c r="P40" s="15">
        <f t="shared" si="1"/>
        <v>55</v>
      </c>
    </row>
    <row r="41" spans="2:20" ht="23.1" customHeight="1" x14ac:dyDescent="0.25">
      <c r="B41" s="23" t="s">
        <v>68</v>
      </c>
      <c r="C41" s="50">
        <v>3</v>
      </c>
      <c r="D41" s="50">
        <v>3</v>
      </c>
      <c r="E41" s="50">
        <v>0</v>
      </c>
      <c r="F41" s="50">
        <v>10</v>
      </c>
      <c r="G41" s="50">
        <v>0</v>
      </c>
      <c r="H41" s="50">
        <v>0</v>
      </c>
      <c r="I41" s="50">
        <v>1</v>
      </c>
      <c r="J41" s="50">
        <v>1</v>
      </c>
      <c r="K41" s="50">
        <v>0</v>
      </c>
      <c r="L41" s="50">
        <v>1</v>
      </c>
      <c r="M41" s="50">
        <v>10</v>
      </c>
      <c r="N41" s="50">
        <v>0</v>
      </c>
      <c r="O41" s="15">
        <f t="shared" si="0"/>
        <v>19</v>
      </c>
      <c r="P41" s="15">
        <f t="shared" si="1"/>
        <v>29</v>
      </c>
    </row>
    <row r="42" spans="2:20" ht="23.1" customHeight="1" x14ac:dyDescent="0.25">
      <c r="B42" s="24" t="s">
        <v>69</v>
      </c>
      <c r="C42" s="50">
        <v>4</v>
      </c>
      <c r="D42" s="50">
        <v>4</v>
      </c>
      <c r="E42" s="50">
        <v>8</v>
      </c>
      <c r="F42" s="50">
        <v>16</v>
      </c>
      <c r="G42" s="50">
        <v>0</v>
      </c>
      <c r="H42" s="50">
        <v>0</v>
      </c>
      <c r="I42" s="50">
        <v>0</v>
      </c>
      <c r="J42" s="50">
        <v>1</v>
      </c>
      <c r="K42" s="50">
        <v>1</v>
      </c>
      <c r="L42" s="50">
        <v>1</v>
      </c>
      <c r="M42" s="50">
        <v>18</v>
      </c>
      <c r="N42" s="50">
        <v>0</v>
      </c>
      <c r="O42" s="15">
        <f t="shared" si="0"/>
        <v>35</v>
      </c>
      <c r="P42" s="15">
        <f t="shared" si="1"/>
        <v>53</v>
      </c>
    </row>
    <row r="43" spans="2:20" ht="23.1" customHeight="1" x14ac:dyDescent="0.25">
      <c r="B43" s="23" t="s">
        <v>70</v>
      </c>
      <c r="C43" s="50">
        <v>3</v>
      </c>
      <c r="D43" s="50">
        <v>4</v>
      </c>
      <c r="E43" s="50">
        <v>2</v>
      </c>
      <c r="F43" s="50">
        <v>7</v>
      </c>
      <c r="G43" s="50">
        <v>1</v>
      </c>
      <c r="H43" s="50">
        <v>0</v>
      </c>
      <c r="I43" s="50">
        <v>1</v>
      </c>
      <c r="J43" s="50">
        <v>1</v>
      </c>
      <c r="K43" s="50">
        <v>0</v>
      </c>
      <c r="L43" s="50">
        <v>1</v>
      </c>
      <c r="M43" s="50">
        <v>12</v>
      </c>
      <c r="N43" s="50">
        <v>0</v>
      </c>
      <c r="O43" s="15">
        <f t="shared" si="0"/>
        <v>20</v>
      </c>
      <c r="P43" s="15">
        <f t="shared" si="1"/>
        <v>32</v>
      </c>
    </row>
    <row r="44" spans="2:20" ht="23.1" customHeight="1" x14ac:dyDescent="0.25">
      <c r="B44" s="25" t="s">
        <v>71</v>
      </c>
      <c r="C44" s="50">
        <v>2</v>
      </c>
      <c r="D44" s="50">
        <v>2</v>
      </c>
      <c r="E44" s="50">
        <v>2</v>
      </c>
      <c r="F44" s="50">
        <v>10</v>
      </c>
      <c r="G44" s="50">
        <v>0</v>
      </c>
      <c r="H44" s="50">
        <v>2</v>
      </c>
      <c r="I44" s="50">
        <v>1</v>
      </c>
      <c r="J44" s="50">
        <v>0</v>
      </c>
      <c r="K44" s="50">
        <v>0</v>
      </c>
      <c r="L44" s="50">
        <v>2</v>
      </c>
      <c r="M44" s="50">
        <v>11</v>
      </c>
      <c r="N44" s="50">
        <v>0</v>
      </c>
      <c r="O44" s="15">
        <f t="shared" si="0"/>
        <v>21</v>
      </c>
      <c r="P44" s="15">
        <f t="shared" si="1"/>
        <v>32</v>
      </c>
    </row>
    <row r="45" spans="2:20" ht="23.1" customHeight="1" x14ac:dyDescent="0.25">
      <c r="B45" s="23" t="s">
        <v>72</v>
      </c>
      <c r="C45" s="50">
        <v>2</v>
      </c>
      <c r="D45" s="50">
        <v>1</v>
      </c>
      <c r="E45" s="50">
        <v>0</v>
      </c>
      <c r="F45" s="50">
        <v>11</v>
      </c>
      <c r="G45" s="50">
        <v>0</v>
      </c>
      <c r="H45" s="50">
        <v>0</v>
      </c>
      <c r="I45" s="50">
        <v>1</v>
      </c>
      <c r="J45" s="50">
        <v>1</v>
      </c>
      <c r="K45" s="50">
        <v>1</v>
      </c>
      <c r="L45" s="50">
        <v>2</v>
      </c>
      <c r="M45" s="50">
        <v>12</v>
      </c>
      <c r="N45" s="50">
        <v>0</v>
      </c>
      <c r="O45" s="15">
        <f t="shared" si="0"/>
        <v>19</v>
      </c>
      <c r="P45" s="15">
        <f t="shared" si="1"/>
        <v>31</v>
      </c>
    </row>
    <row r="46" spans="2:20" ht="23.1" customHeight="1" x14ac:dyDescent="0.25">
      <c r="B46" s="24" t="s">
        <v>73</v>
      </c>
      <c r="C46" s="50">
        <v>2</v>
      </c>
      <c r="D46" s="50">
        <v>9</v>
      </c>
      <c r="E46" s="50">
        <v>4</v>
      </c>
      <c r="F46" s="50">
        <v>2</v>
      </c>
      <c r="G46" s="50">
        <v>0</v>
      </c>
      <c r="H46" s="50">
        <v>1</v>
      </c>
      <c r="I46" s="50">
        <v>1</v>
      </c>
      <c r="J46" s="50">
        <v>1</v>
      </c>
      <c r="K46" s="50">
        <v>4</v>
      </c>
      <c r="L46" s="50">
        <v>1</v>
      </c>
      <c r="M46" s="50">
        <v>15</v>
      </c>
      <c r="N46" s="50">
        <v>0</v>
      </c>
      <c r="O46" s="15">
        <f t="shared" si="0"/>
        <v>25</v>
      </c>
      <c r="P46" s="15">
        <f t="shared" si="1"/>
        <v>40</v>
      </c>
      <c r="R46" s="8"/>
      <c r="T46"/>
    </row>
    <row r="47" spans="2:20" ht="23.1" customHeight="1" x14ac:dyDescent="0.25">
      <c r="B47" s="24" t="s">
        <v>74</v>
      </c>
      <c r="C47" s="50">
        <v>1</v>
      </c>
      <c r="D47" s="50">
        <v>2</v>
      </c>
      <c r="E47" s="50">
        <v>1</v>
      </c>
      <c r="F47" s="50">
        <v>4</v>
      </c>
      <c r="G47" s="50">
        <v>0</v>
      </c>
      <c r="H47" s="50">
        <v>0</v>
      </c>
      <c r="I47" s="50">
        <v>1</v>
      </c>
      <c r="J47" s="50">
        <v>2</v>
      </c>
      <c r="K47" s="50">
        <v>0</v>
      </c>
      <c r="L47" s="50">
        <v>1</v>
      </c>
      <c r="M47" s="50">
        <v>0</v>
      </c>
      <c r="N47" s="50">
        <v>0</v>
      </c>
      <c r="O47" s="15">
        <f t="shared" si="0"/>
        <v>12</v>
      </c>
      <c r="P47" s="15">
        <f t="shared" si="1"/>
        <v>12</v>
      </c>
      <c r="R47" s="8"/>
      <c r="T47"/>
    </row>
    <row r="48" spans="2:20" ht="23.1" customHeight="1" x14ac:dyDescent="0.25">
      <c r="B48" s="24" t="s">
        <v>75</v>
      </c>
      <c r="C48" s="50">
        <v>4</v>
      </c>
      <c r="D48" s="50">
        <v>1</v>
      </c>
      <c r="E48" s="50">
        <v>0</v>
      </c>
      <c r="F48" s="50">
        <v>9</v>
      </c>
      <c r="G48" s="50">
        <v>0</v>
      </c>
      <c r="H48" s="50">
        <v>0</v>
      </c>
      <c r="I48" s="50">
        <v>1</v>
      </c>
      <c r="J48" s="50">
        <v>2</v>
      </c>
      <c r="K48" s="50">
        <v>1</v>
      </c>
      <c r="L48" s="50">
        <v>0</v>
      </c>
      <c r="M48" s="50">
        <v>8</v>
      </c>
      <c r="N48" s="50">
        <v>0</v>
      </c>
      <c r="O48" s="15">
        <f t="shared" si="0"/>
        <v>18</v>
      </c>
      <c r="P48" s="15">
        <f t="shared" si="1"/>
        <v>26</v>
      </c>
      <c r="R48" s="8"/>
      <c r="T48"/>
    </row>
    <row r="49" spans="2:20" ht="23.1" customHeight="1" x14ac:dyDescent="0.25">
      <c r="B49" s="23" t="s">
        <v>76</v>
      </c>
      <c r="C49" s="50">
        <v>5</v>
      </c>
      <c r="D49" s="50">
        <v>2</v>
      </c>
      <c r="E49" s="50">
        <v>4</v>
      </c>
      <c r="F49" s="50">
        <v>13</v>
      </c>
      <c r="G49" s="50">
        <v>0</v>
      </c>
      <c r="H49" s="50">
        <v>0</v>
      </c>
      <c r="I49" s="50">
        <v>0</v>
      </c>
      <c r="J49" s="50">
        <v>1</v>
      </c>
      <c r="K49" s="50">
        <v>0</v>
      </c>
      <c r="L49" s="50">
        <v>1</v>
      </c>
      <c r="M49" s="50">
        <v>6</v>
      </c>
      <c r="N49" s="50">
        <v>0</v>
      </c>
      <c r="O49" s="15">
        <f t="shared" si="0"/>
        <v>26</v>
      </c>
      <c r="P49" s="15">
        <f t="shared" si="1"/>
        <v>32</v>
      </c>
      <c r="R49" s="8"/>
      <c r="T49"/>
    </row>
    <row r="50" spans="2:20" ht="23.1" customHeight="1" x14ac:dyDescent="0.25">
      <c r="B50" s="24" t="s">
        <v>77</v>
      </c>
      <c r="C50" s="50">
        <v>0</v>
      </c>
      <c r="D50" s="50">
        <v>3</v>
      </c>
      <c r="E50" s="50">
        <v>2</v>
      </c>
      <c r="F50" s="50">
        <v>6</v>
      </c>
      <c r="G50" s="50">
        <v>0</v>
      </c>
      <c r="H50" s="50">
        <v>2</v>
      </c>
      <c r="I50" s="50">
        <v>2</v>
      </c>
      <c r="J50" s="50">
        <v>2</v>
      </c>
      <c r="K50" s="50">
        <v>3</v>
      </c>
      <c r="L50" s="50">
        <v>1</v>
      </c>
      <c r="M50" s="50">
        <v>11</v>
      </c>
      <c r="N50" s="50">
        <v>0</v>
      </c>
      <c r="O50" s="15">
        <f t="shared" si="0"/>
        <v>21</v>
      </c>
      <c r="P50" s="15">
        <f t="shared" si="1"/>
        <v>32</v>
      </c>
      <c r="R50" s="8"/>
      <c r="T50"/>
    </row>
    <row r="51" spans="2:20" ht="23.1" customHeight="1" x14ac:dyDescent="0.25">
      <c r="B51" s="24" t="s">
        <v>78</v>
      </c>
      <c r="C51" s="50">
        <v>4</v>
      </c>
      <c r="D51" s="50">
        <v>6</v>
      </c>
      <c r="E51" s="50">
        <v>2</v>
      </c>
      <c r="F51" s="50">
        <v>10</v>
      </c>
      <c r="G51" s="50">
        <v>0</v>
      </c>
      <c r="H51" s="50">
        <v>0</v>
      </c>
      <c r="I51" s="50">
        <v>3</v>
      </c>
      <c r="J51" s="50">
        <v>3</v>
      </c>
      <c r="K51" s="50">
        <v>0</v>
      </c>
      <c r="L51" s="50">
        <v>0</v>
      </c>
      <c r="M51" s="50">
        <v>14</v>
      </c>
      <c r="N51" s="50">
        <v>0</v>
      </c>
      <c r="O51" s="15">
        <f t="shared" si="0"/>
        <v>28</v>
      </c>
      <c r="P51" s="15">
        <f t="shared" si="1"/>
        <v>42</v>
      </c>
      <c r="R51" s="8"/>
      <c r="T51"/>
    </row>
    <row r="52" spans="2:20" ht="23.1" customHeight="1" x14ac:dyDescent="0.25">
      <c r="B52" s="24" t="s">
        <v>79</v>
      </c>
      <c r="C52" s="50">
        <v>5</v>
      </c>
      <c r="D52" s="50">
        <v>2</v>
      </c>
      <c r="E52" s="50">
        <v>2</v>
      </c>
      <c r="F52" s="50">
        <v>14</v>
      </c>
      <c r="G52" s="50">
        <v>0</v>
      </c>
      <c r="H52" s="50">
        <v>1</v>
      </c>
      <c r="I52" s="50">
        <v>2</v>
      </c>
      <c r="J52" s="50">
        <v>1</v>
      </c>
      <c r="K52" s="50">
        <v>1</v>
      </c>
      <c r="L52" s="50">
        <v>0</v>
      </c>
      <c r="M52" s="50">
        <v>9</v>
      </c>
      <c r="N52" s="50">
        <v>0</v>
      </c>
      <c r="O52" s="15">
        <f t="shared" si="0"/>
        <v>28</v>
      </c>
      <c r="P52" s="15">
        <f t="shared" si="1"/>
        <v>37</v>
      </c>
      <c r="R52" s="8"/>
      <c r="T52"/>
    </row>
    <row r="53" spans="2:20" ht="23.1" customHeight="1" x14ac:dyDescent="0.25">
      <c r="B53" s="23" t="s">
        <v>80</v>
      </c>
      <c r="C53" s="50">
        <v>11</v>
      </c>
      <c r="D53" s="50">
        <v>0</v>
      </c>
      <c r="E53" s="50">
        <v>2</v>
      </c>
      <c r="F53" s="50">
        <v>3</v>
      </c>
      <c r="G53" s="50">
        <v>1</v>
      </c>
      <c r="H53" s="50">
        <v>0</v>
      </c>
      <c r="I53" s="50">
        <v>3</v>
      </c>
      <c r="J53" s="50">
        <v>2</v>
      </c>
      <c r="K53" s="50">
        <v>1</v>
      </c>
      <c r="L53" s="50">
        <v>0</v>
      </c>
      <c r="M53" s="50">
        <v>12</v>
      </c>
      <c r="N53" s="50">
        <v>0</v>
      </c>
      <c r="O53" s="15">
        <f t="shared" si="0"/>
        <v>23</v>
      </c>
      <c r="P53" s="15">
        <f t="shared" si="1"/>
        <v>35</v>
      </c>
      <c r="R53" s="8"/>
      <c r="T53"/>
    </row>
    <row r="54" spans="2:20" ht="23.1" customHeight="1" x14ac:dyDescent="0.25">
      <c r="B54" s="23" t="s">
        <v>81</v>
      </c>
      <c r="C54" s="50">
        <v>2</v>
      </c>
      <c r="D54" s="50">
        <v>0</v>
      </c>
      <c r="E54" s="50">
        <v>1</v>
      </c>
      <c r="F54" s="50">
        <v>8</v>
      </c>
      <c r="G54" s="50">
        <v>0</v>
      </c>
      <c r="H54" s="50">
        <v>0</v>
      </c>
      <c r="I54" s="50">
        <v>0</v>
      </c>
      <c r="J54" s="50">
        <v>1</v>
      </c>
      <c r="K54" s="50">
        <v>0</v>
      </c>
      <c r="L54" s="50">
        <v>0</v>
      </c>
      <c r="M54" s="50">
        <v>5</v>
      </c>
      <c r="N54" s="50">
        <v>0</v>
      </c>
      <c r="O54" s="15">
        <f t="shared" si="0"/>
        <v>12</v>
      </c>
      <c r="P54" s="15">
        <f t="shared" si="1"/>
        <v>17</v>
      </c>
      <c r="R54" s="8"/>
      <c r="T54"/>
    </row>
    <row r="55" spans="2:20" ht="23.1" customHeight="1" x14ac:dyDescent="0.25">
      <c r="B55" s="23" t="s">
        <v>82</v>
      </c>
      <c r="C55" s="50">
        <v>4</v>
      </c>
      <c r="D55" s="50">
        <v>3</v>
      </c>
      <c r="E55" s="50">
        <v>4</v>
      </c>
      <c r="F55" s="50">
        <v>11</v>
      </c>
      <c r="G55" s="50">
        <v>0</v>
      </c>
      <c r="H55" s="50">
        <v>0</v>
      </c>
      <c r="I55" s="50">
        <v>1</v>
      </c>
      <c r="J55" s="50">
        <v>4</v>
      </c>
      <c r="K55" s="50">
        <v>2</v>
      </c>
      <c r="L55" s="50">
        <v>0</v>
      </c>
      <c r="M55" s="50">
        <v>15</v>
      </c>
      <c r="N55" s="50">
        <v>0</v>
      </c>
      <c r="O55" s="15">
        <f t="shared" si="0"/>
        <v>29</v>
      </c>
      <c r="P55" s="15">
        <f t="shared" si="1"/>
        <v>44</v>
      </c>
      <c r="R55" s="8"/>
      <c r="T55"/>
    </row>
    <row r="56" spans="2:20" ht="23.1" customHeight="1" x14ac:dyDescent="0.25">
      <c r="B56" s="23" t="s">
        <v>83</v>
      </c>
      <c r="C56" s="50">
        <v>4</v>
      </c>
      <c r="D56" s="50">
        <v>2</v>
      </c>
      <c r="E56" s="50">
        <v>3</v>
      </c>
      <c r="F56" s="50">
        <v>6</v>
      </c>
      <c r="G56" s="50">
        <v>0</v>
      </c>
      <c r="H56" s="50">
        <v>2</v>
      </c>
      <c r="I56" s="50">
        <v>1</v>
      </c>
      <c r="J56" s="50">
        <v>0</v>
      </c>
      <c r="K56" s="50">
        <v>0</v>
      </c>
      <c r="L56" s="50">
        <v>0</v>
      </c>
      <c r="M56" s="50">
        <v>11</v>
      </c>
      <c r="N56" s="50">
        <v>0</v>
      </c>
      <c r="O56" s="15">
        <f t="shared" si="0"/>
        <v>18</v>
      </c>
      <c r="P56" s="15">
        <f t="shared" si="1"/>
        <v>29</v>
      </c>
      <c r="R56" s="8"/>
      <c r="T56"/>
    </row>
    <row r="57" spans="2:20" ht="23.1" customHeight="1" x14ac:dyDescent="0.25">
      <c r="B57" s="23" t="s">
        <v>84</v>
      </c>
      <c r="C57" s="50">
        <v>3</v>
      </c>
      <c r="D57" s="50">
        <v>1</v>
      </c>
      <c r="E57" s="50">
        <v>6</v>
      </c>
      <c r="F57" s="50">
        <v>7</v>
      </c>
      <c r="G57" s="50">
        <v>0</v>
      </c>
      <c r="H57" s="50">
        <v>0</v>
      </c>
      <c r="I57" s="50">
        <v>1</v>
      </c>
      <c r="J57" s="50">
        <v>1</v>
      </c>
      <c r="K57" s="50">
        <v>0</v>
      </c>
      <c r="L57" s="50">
        <v>2</v>
      </c>
      <c r="M57" s="50">
        <v>10</v>
      </c>
      <c r="N57" s="50">
        <v>0</v>
      </c>
      <c r="O57" s="15">
        <f t="shared" si="0"/>
        <v>21</v>
      </c>
      <c r="P57" s="15">
        <f t="shared" si="1"/>
        <v>31</v>
      </c>
      <c r="R57" s="8"/>
      <c r="T57"/>
    </row>
    <row r="58" spans="2:20" ht="23.1" customHeight="1" x14ac:dyDescent="0.25">
      <c r="B58" s="26" t="s">
        <v>18</v>
      </c>
      <c r="C58" s="16">
        <f t="shared" ref="C58:P58" si="21">SUM(C10:C57)</f>
        <v>165</v>
      </c>
      <c r="D58" s="16">
        <f t="shared" si="21"/>
        <v>103</v>
      </c>
      <c r="E58" s="16">
        <f t="shared" si="21"/>
        <v>120</v>
      </c>
      <c r="F58" s="16">
        <f t="shared" si="21"/>
        <v>388</v>
      </c>
      <c r="G58" s="16">
        <f t="shared" si="21"/>
        <v>13</v>
      </c>
      <c r="H58" s="16">
        <f t="shared" si="21"/>
        <v>16</v>
      </c>
      <c r="I58" s="16">
        <f t="shared" si="21"/>
        <v>61</v>
      </c>
      <c r="J58" s="16">
        <f t="shared" si="21"/>
        <v>70</v>
      </c>
      <c r="K58" s="16">
        <f t="shared" si="21"/>
        <v>31</v>
      </c>
      <c r="L58" s="16">
        <f t="shared" si="21"/>
        <v>33</v>
      </c>
      <c r="M58" s="16">
        <f t="shared" si="21"/>
        <v>530</v>
      </c>
      <c r="N58" s="16">
        <f t="shared" si="21"/>
        <v>0</v>
      </c>
      <c r="O58" s="16">
        <f t="shared" si="21"/>
        <v>1000</v>
      </c>
      <c r="P58" s="16">
        <f t="shared" si="21"/>
        <v>1530</v>
      </c>
      <c r="R58" s="8"/>
      <c r="T58"/>
    </row>
    <row r="59" spans="2:20" ht="23.1" customHeight="1" x14ac:dyDescent="0.25">
      <c r="B59" s="26" t="s">
        <v>93</v>
      </c>
      <c r="C59" s="43">
        <f t="shared" ref="C59:N59" si="22">C58/$P$58</f>
        <v>0.10784313725490197</v>
      </c>
      <c r="D59" s="43">
        <f t="shared" si="22"/>
        <v>6.7320261437908493E-2</v>
      </c>
      <c r="E59" s="43">
        <f t="shared" si="22"/>
        <v>7.8431372549019607E-2</v>
      </c>
      <c r="F59" s="43">
        <f t="shared" si="22"/>
        <v>0.25359477124183005</v>
      </c>
      <c r="G59" s="43">
        <f t="shared" si="22"/>
        <v>8.4967320261437902E-3</v>
      </c>
      <c r="H59" s="43">
        <f t="shared" si="22"/>
        <v>1.045751633986928E-2</v>
      </c>
      <c r="I59" s="43">
        <f t="shared" si="22"/>
        <v>3.9869281045751631E-2</v>
      </c>
      <c r="J59" s="43">
        <f t="shared" si="22"/>
        <v>4.5751633986928102E-2</v>
      </c>
      <c r="K59" s="43">
        <f t="shared" si="22"/>
        <v>2.0261437908496733E-2</v>
      </c>
      <c r="L59" s="43">
        <f t="shared" si="22"/>
        <v>2.1568627450980392E-2</v>
      </c>
      <c r="M59" s="43">
        <f t="shared" si="22"/>
        <v>0.34640522875816993</v>
      </c>
      <c r="N59" s="43">
        <f t="shared" si="22"/>
        <v>0</v>
      </c>
      <c r="R59" s="8"/>
      <c r="T59"/>
    </row>
    <row r="60" spans="2:20" ht="23.1" customHeight="1" x14ac:dyDescent="0.25">
      <c r="B60" s="42" t="s">
        <v>94</v>
      </c>
      <c r="C60" s="44">
        <f>C58/$O$58</f>
        <v>0.16500000000000001</v>
      </c>
      <c r="D60" s="44">
        <f t="shared" ref="D60:N60" si="23">D58/$O$58</f>
        <v>0.10299999999999999</v>
      </c>
      <c r="E60" s="44">
        <f t="shared" si="23"/>
        <v>0.12</v>
      </c>
      <c r="F60" s="44">
        <f t="shared" si="23"/>
        <v>0.38800000000000001</v>
      </c>
      <c r="G60" s="44">
        <f t="shared" si="23"/>
        <v>1.2999999999999999E-2</v>
      </c>
      <c r="H60" s="44">
        <f t="shared" si="23"/>
        <v>1.6E-2</v>
      </c>
      <c r="I60" s="44">
        <f t="shared" si="23"/>
        <v>6.0999999999999999E-2</v>
      </c>
      <c r="J60" s="44">
        <f t="shared" si="23"/>
        <v>7.0000000000000007E-2</v>
      </c>
      <c r="K60" s="44">
        <f t="shared" si="23"/>
        <v>3.1E-2</v>
      </c>
      <c r="L60" s="44">
        <f t="shared" si="23"/>
        <v>3.3000000000000002E-2</v>
      </c>
      <c r="M60" s="44"/>
      <c r="N60" s="44">
        <f t="shared" si="23"/>
        <v>0</v>
      </c>
      <c r="Q60" s="7"/>
      <c r="R60" s="8"/>
      <c r="T60"/>
    </row>
    <row r="61" spans="2:20" ht="20.100000000000001" customHeight="1" x14ac:dyDescent="0.25">
      <c r="B61" s="3"/>
      <c r="C61" s="18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Q61" s="7"/>
      <c r="R61" s="8"/>
      <c r="T61"/>
    </row>
    <row r="62" spans="2:20" ht="20.100000000000001" customHeight="1" x14ac:dyDescent="0.25">
      <c r="B62" s="3"/>
      <c r="C62" s="18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Q62" s="7"/>
      <c r="R62" s="8"/>
      <c r="T62"/>
    </row>
    <row r="63" spans="2:20" ht="20.100000000000001" customHeight="1" x14ac:dyDescent="0.25">
      <c r="B63" s="3"/>
      <c r="C63" s="18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Q63" s="7"/>
    </row>
    <row r="64" spans="2:20" ht="20.100000000000001" customHeight="1" x14ac:dyDescent="0.25">
      <c r="B64" s="3"/>
      <c r="C64" s="18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Q64" s="7"/>
    </row>
    <row r="65" spans="2:20" s="7" customFormat="1" ht="20.100000000000001" customHeight="1" x14ac:dyDescent="0.25"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/>
      <c r="P65"/>
      <c r="S65" s="8"/>
      <c r="T65" s="8"/>
    </row>
    <row r="66" spans="2:20" s="7" customFormat="1" ht="20.100000000000001" customHeight="1" x14ac:dyDescent="0.25"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/>
      <c r="P66"/>
      <c r="S66" s="8"/>
      <c r="T66" s="8"/>
    </row>
    <row r="67" spans="2:20" s="7" customFormat="1" ht="20.100000000000001" customHeight="1" x14ac:dyDescent="0.25"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/>
      <c r="P67"/>
      <c r="S67" s="8"/>
      <c r="T67" s="8"/>
    </row>
    <row r="68" spans="2:20" s="7" customFormat="1" ht="20.100000000000001" customHeight="1" x14ac:dyDescent="0.25"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/>
      <c r="P68"/>
      <c r="S68" s="8"/>
      <c r="T68" s="8"/>
    </row>
    <row r="69" spans="2:20" s="7" customFormat="1" ht="20.100000000000001" customHeight="1" x14ac:dyDescent="0.25"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/>
      <c r="P69"/>
      <c r="S69" s="8"/>
      <c r="T69" s="8"/>
    </row>
    <row r="70" spans="2:20" s="7" customFormat="1" ht="20.100000000000001" customHeight="1" x14ac:dyDescent="0.25"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/>
      <c r="P70"/>
      <c r="S70" s="8"/>
      <c r="T70" s="8"/>
    </row>
    <row r="71" spans="2:20" s="7" customFormat="1" ht="20.100000000000001" customHeight="1" x14ac:dyDescent="0.25"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/>
      <c r="P71"/>
      <c r="S71" s="8"/>
      <c r="T71" s="8"/>
    </row>
    <row r="72" spans="2:20" s="7" customFormat="1" ht="20.100000000000001" customHeight="1" x14ac:dyDescent="0.25"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/>
      <c r="P72"/>
      <c r="S72" s="8"/>
      <c r="T72" s="8"/>
    </row>
    <row r="73" spans="2:20" s="7" customFormat="1" ht="20.100000000000001" customHeight="1" x14ac:dyDescent="0.25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/>
      <c r="P73"/>
      <c r="S73" s="8"/>
      <c r="T73" s="8"/>
    </row>
    <row r="74" spans="2:20" s="7" customFormat="1" ht="20.100000000000001" customHeight="1" x14ac:dyDescent="0.25"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/>
      <c r="P74"/>
      <c r="S74" s="8"/>
      <c r="T74" s="8"/>
    </row>
    <row r="75" spans="2:20" s="7" customFormat="1" ht="20.100000000000001" customHeight="1" x14ac:dyDescent="0.25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/>
      <c r="P75"/>
      <c r="S75" s="8"/>
      <c r="T75" s="8"/>
    </row>
    <row r="76" spans="2:20" s="7" customFormat="1" ht="20.100000000000001" customHeight="1" x14ac:dyDescent="0.25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/>
      <c r="P76"/>
      <c r="S76" s="8"/>
      <c r="T76" s="8"/>
    </row>
    <row r="77" spans="2:20" s="7" customFormat="1" ht="20.100000000000001" customHeight="1" x14ac:dyDescent="0.25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/>
      <c r="P77"/>
      <c r="Q77"/>
      <c r="S77" s="8"/>
      <c r="T77" s="8"/>
    </row>
    <row r="78" spans="2:20" s="7" customFormat="1" ht="20.100000000000001" customHeight="1" x14ac:dyDescent="0.25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2:20" s="7" customFormat="1" ht="20.100000000000001" customHeight="1" x14ac:dyDescent="0.25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2:20" s="7" customFormat="1" ht="20.100000000000001" customHeight="1" x14ac:dyDescent="0.25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R8:AF8"/>
    <mergeCell ref="D6:E6"/>
    <mergeCell ref="K6:L6"/>
    <mergeCell ref="K5:L5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9" tint="-0.249977111117893"/>
  </sheetPr>
  <dimension ref="B1:AF174"/>
  <sheetViews>
    <sheetView view="pageBreakPreview" zoomScale="60" workbookViewId="0">
      <selection activeCell="T102" sqref="T102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60" t="s">
        <v>23</v>
      </c>
      <c r="C1" s="60"/>
      <c r="D1" s="60"/>
      <c r="E1" s="60"/>
      <c r="F1" s="60"/>
      <c r="G1" s="60"/>
      <c r="H1" s="60"/>
      <c r="I1" s="60"/>
      <c r="J1" s="60"/>
      <c r="K1" s="60"/>
      <c r="L1" s="60"/>
      <c r="M1" s="60"/>
      <c r="N1" s="60"/>
      <c r="O1" s="60"/>
      <c r="P1" s="60"/>
      <c r="Q1" s="60"/>
      <c r="R1" s="60"/>
      <c r="S1" s="60"/>
      <c r="T1" s="60"/>
      <c r="U1" s="60"/>
      <c r="V1" s="60"/>
      <c r="W1" s="60"/>
      <c r="X1" s="60"/>
      <c r="Y1" s="60"/>
      <c r="Z1" s="60"/>
      <c r="AA1" s="60"/>
      <c r="AB1" s="60"/>
      <c r="AC1" s="60"/>
      <c r="AD1" s="60"/>
      <c r="AE1" s="60"/>
    </row>
    <row r="2" spans="2:32" ht="20.100000000000001" customHeight="1" x14ac:dyDescent="0.25">
      <c r="B2" s="61" t="s">
        <v>95</v>
      </c>
      <c r="C2" s="61"/>
      <c r="D2" s="61"/>
      <c r="E2" s="61"/>
      <c r="F2" s="61"/>
      <c r="G2" s="61"/>
      <c r="H2" s="61"/>
      <c r="I2" s="61"/>
      <c r="J2" s="61"/>
      <c r="K2" s="61"/>
      <c r="L2" s="61"/>
      <c r="M2" s="61"/>
      <c r="N2" s="61"/>
      <c r="O2" s="61"/>
      <c r="P2" s="61"/>
      <c r="Q2" s="61"/>
      <c r="R2" s="61"/>
      <c r="S2" s="61"/>
      <c r="T2" s="61"/>
      <c r="U2" s="61"/>
      <c r="V2" s="61"/>
      <c r="W2" s="61"/>
      <c r="X2" s="61"/>
      <c r="Y2" s="61"/>
      <c r="Z2" s="61"/>
      <c r="AA2" s="61"/>
      <c r="AB2" s="61"/>
      <c r="AC2" s="61"/>
      <c r="AD2" s="61"/>
      <c r="AE2" s="61"/>
    </row>
    <row r="3" spans="2:32" ht="20.100000000000001" customHeight="1" x14ac:dyDescent="0.25">
      <c r="B3" s="22" t="s">
        <v>96</v>
      </c>
      <c r="C3" s="63" t="str">
        <f>'23.10 Butongole-Busembatya'!C3:G3</f>
        <v>BUTONGOLE-BUSEMBATYA</v>
      </c>
      <c r="D3" s="63"/>
      <c r="E3" s="63"/>
      <c r="F3" s="63"/>
      <c r="G3" s="63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66" t="s">
        <v>163</v>
      </c>
      <c r="E5" s="67"/>
      <c r="F5" s="41" t="s">
        <v>1</v>
      </c>
      <c r="G5" s="64" t="str">
        <f>'23.10 Busembtya-Butongole'!G5:H5</f>
        <v>NAMALEMBA</v>
      </c>
      <c r="H5" s="65"/>
      <c r="I5" s="14"/>
      <c r="J5" s="2" t="s">
        <v>5</v>
      </c>
      <c r="K5" s="64" t="str">
        <f>'23.10 Busembtya-Butongole'!K5:L5</f>
        <v>Turyahabwe Norman</v>
      </c>
      <c r="L5" s="65"/>
      <c r="M5" s="10"/>
      <c r="N5" s="10"/>
      <c r="O5" s="3"/>
      <c r="P5" s="3"/>
    </row>
    <row r="6" spans="2:32" ht="23.25" customHeight="1" x14ac:dyDescent="0.25">
      <c r="C6" s="2" t="s">
        <v>4</v>
      </c>
      <c r="D6" s="64" t="str">
        <f>'23.10 Busembtya-Butongole'!D6:E6</f>
        <v>BUSEMBATYA</v>
      </c>
      <c r="E6" s="65"/>
      <c r="F6" s="2" t="s">
        <v>2</v>
      </c>
      <c r="G6" s="64" t="str">
        <f>'23.10 Busembtya-Butongole'!G6:H6</f>
        <v>BUTONGOLE</v>
      </c>
      <c r="H6" s="65"/>
      <c r="J6" s="2" t="s">
        <v>21</v>
      </c>
      <c r="K6" s="64" t="str">
        <f>'23.10 Busembtya-Butongole'!K6:L6</f>
        <v>Turyahabwe Norman</v>
      </c>
      <c r="L6" s="65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9" t="s">
        <v>88</v>
      </c>
      <c r="S8" s="59"/>
      <c r="T8" s="59"/>
      <c r="U8" s="59"/>
      <c r="V8" s="59"/>
      <c r="W8" s="59"/>
      <c r="X8" s="59"/>
      <c r="Y8" s="59"/>
      <c r="Z8" s="59"/>
      <c r="AA8" s="59"/>
      <c r="AB8" s="59"/>
      <c r="AC8" s="59"/>
      <c r="AD8" s="59"/>
      <c r="AE8" s="59"/>
      <c r="AF8" s="59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49">
        <f>AVERAGE('17.10 Busembatya-Butongole'!C10,'18.10 Busembatya-Butongole'!C10,'20.10 Busembatya-Butongole'!C10,'22.10 Busembatya-Butongole'!C10,'19.10 Butongole-Busembatya-24h'!C10,'21.10 Busembatya-Butongole-24h'!C10,'23.10 Busembtya-Butongole'!C10)</f>
        <v>3</v>
      </c>
      <c r="D10" s="49">
        <f>AVERAGE('17.10 Busembatya-Butongole'!D10,'18.10 Busembatya-Butongole'!D10,'20.10 Busembatya-Butongole'!D10,'22.10 Busembatya-Butongole'!D10,'19.10 Butongole-Busembatya-24h'!D10,'21.10 Busembatya-Butongole-24h'!D10,'23.10 Busembtya-Butongole'!D10)</f>
        <v>0.7142857142857143</v>
      </c>
      <c r="E10" s="49">
        <f>AVERAGE('17.10 Busembatya-Butongole'!E10,'18.10 Busembatya-Butongole'!E10,'20.10 Busembatya-Butongole'!E10,'22.10 Busembatya-Butongole'!E10,'19.10 Butongole-Busembatya-24h'!E10,'21.10 Busembatya-Butongole-24h'!E10,'23.10 Busembtya-Butongole'!E10)</f>
        <v>1</v>
      </c>
      <c r="F10" s="49">
        <f>AVERAGE('17.10 Busembatya-Butongole'!F10,'18.10 Busembatya-Butongole'!F10,'20.10 Busembatya-Butongole'!F10,'22.10 Busembatya-Butongole'!F10,'19.10 Butongole-Busembatya-24h'!F10,'21.10 Busembatya-Butongole-24h'!F10,'23.10 Busembtya-Butongole'!F10)</f>
        <v>4.4285714285714288</v>
      </c>
      <c r="G10" s="49">
        <f>AVERAGE('17.10 Busembatya-Butongole'!G10,'18.10 Busembatya-Butongole'!G10,'20.10 Busembatya-Butongole'!G10,'22.10 Busembatya-Butongole'!G10,'19.10 Butongole-Busembatya-24h'!G10,'21.10 Busembatya-Butongole-24h'!G10,'23.10 Busembtya-Butongole'!G10)</f>
        <v>0.14285714285714285</v>
      </c>
      <c r="H10" s="49">
        <f>AVERAGE('17.10 Busembatya-Butongole'!H10,'18.10 Busembatya-Butongole'!H10,'20.10 Busembatya-Butongole'!H10,'22.10 Busembatya-Butongole'!H10,'19.10 Butongole-Busembatya-24h'!H10,'21.10 Busembatya-Butongole-24h'!H10,'23.10 Busembtya-Butongole'!H10)</f>
        <v>0.14285714285714285</v>
      </c>
      <c r="I10" s="49">
        <f>AVERAGE('17.10 Busembatya-Butongole'!I10,'18.10 Busembatya-Butongole'!I10,'20.10 Busembatya-Butongole'!I10,'22.10 Busembatya-Butongole'!I10,'19.10 Butongole-Busembatya-24h'!I10,'21.10 Busembatya-Butongole-24h'!I10,'23.10 Busembtya-Butongole'!I10)</f>
        <v>0.8571428571428571</v>
      </c>
      <c r="J10" s="49">
        <f>AVERAGE('17.10 Busembatya-Butongole'!J10,'18.10 Busembatya-Butongole'!J10,'20.10 Busembatya-Butongole'!J10,'22.10 Busembatya-Butongole'!J10,'19.10 Butongole-Busembatya-24h'!J10,'21.10 Busembatya-Butongole-24h'!J10,'23.10 Busembtya-Butongole'!J10)</f>
        <v>0.7142857142857143</v>
      </c>
      <c r="K10" s="49">
        <f>AVERAGE('17.10 Busembatya-Butongole'!K10,'18.10 Busembatya-Butongole'!K10,'20.10 Busembatya-Butongole'!K10,'22.10 Busembatya-Butongole'!K10,'19.10 Butongole-Busembatya-24h'!K10,'21.10 Busembatya-Butongole-24h'!K10,'23.10 Busembtya-Butongole'!K10)</f>
        <v>1.1428571428571428</v>
      </c>
      <c r="L10" s="49">
        <f>AVERAGE('17.10 Busembatya-Butongole'!L10,'18.10 Busembatya-Butongole'!L10,'20.10 Busembatya-Butongole'!L10,'22.10 Busembatya-Butongole'!L10,'19.10 Butongole-Busembatya-24h'!L10,'21.10 Busembatya-Butongole-24h'!L10,'23.10 Busembtya-Butongole'!L10)</f>
        <v>0.42857142857142855</v>
      </c>
      <c r="M10" s="49">
        <f>AVERAGE('17.10 Busembatya-Butongole'!M10,'18.10 Busembatya-Butongole'!M10,'20.10 Busembatya-Butongole'!M10,'22.10 Busembatya-Butongole'!M10,'19.10 Butongole-Busembatya-24h'!M10,'21.10 Busembatya-Butongole-24h'!M10,'23.10 Busembtya-Butongole'!M10)</f>
        <v>7.4285714285714288</v>
      </c>
      <c r="N10" s="49">
        <f>AVERAGE('17.10 Busembatya-Butongole'!N10,'18.10 Busembatya-Butongole'!N10,'20.10 Busembatya-Butongole'!N10,'22.10 Busembatya-Butongole'!N10,'19.10 Butongole-Busembatya-24h'!N10,'21.10 Busembatya-Butongole-24h'!N10,'23.10 Busembtya-Butongole'!N10)</f>
        <v>0.14285714285714285</v>
      </c>
      <c r="O10" s="15">
        <f t="shared" ref="O10:O58" si="0">SUM(C10:L10,N10)</f>
        <v>12.714285714285712</v>
      </c>
      <c r="P10" s="15">
        <f t="shared" ref="P10:P58" si="1">SUM(C10:N10)</f>
        <v>20.142857142857142</v>
      </c>
      <c r="R10" s="1" t="s">
        <v>6</v>
      </c>
      <c r="S10" s="17">
        <f t="shared" ref="S10:AF10" si="2">SUM(C10:C13)</f>
        <v>11.571428571428573</v>
      </c>
      <c r="T10" s="17">
        <f t="shared" si="2"/>
        <v>3</v>
      </c>
      <c r="U10" s="17">
        <f t="shared" si="2"/>
        <v>5.8571428571428568</v>
      </c>
      <c r="V10" s="17">
        <f t="shared" si="2"/>
        <v>22.428571428571431</v>
      </c>
      <c r="W10" s="17">
        <f t="shared" si="2"/>
        <v>1.1428571428571428</v>
      </c>
      <c r="X10" s="17">
        <f t="shared" si="2"/>
        <v>0.8571428571428571</v>
      </c>
      <c r="Y10" s="17">
        <f t="shared" si="2"/>
        <v>2.7142857142857144</v>
      </c>
      <c r="Z10" s="17">
        <f t="shared" si="2"/>
        <v>2.8571428571428568</v>
      </c>
      <c r="AA10" s="17">
        <f t="shared" si="2"/>
        <v>4.1428571428571423</v>
      </c>
      <c r="AB10" s="17">
        <f t="shared" si="2"/>
        <v>1.7142857142857142</v>
      </c>
      <c r="AC10" s="17">
        <f t="shared" si="2"/>
        <v>33.714285714285715</v>
      </c>
      <c r="AD10" s="17">
        <f t="shared" si="2"/>
        <v>0.14285714285714285</v>
      </c>
      <c r="AE10" s="31">
        <f t="shared" si="2"/>
        <v>56.428571428571423</v>
      </c>
      <c r="AF10" s="31">
        <f t="shared" si="2"/>
        <v>90.142857142857139</v>
      </c>
    </row>
    <row r="11" spans="2:32" s="6" customFormat="1" ht="23.1" customHeight="1" x14ac:dyDescent="0.25">
      <c r="B11" s="23" t="s">
        <v>38</v>
      </c>
      <c r="C11" s="49">
        <f>AVERAGE('17.10 Busembatya-Butongole'!C11,'18.10 Busembatya-Butongole'!C11,'20.10 Busembatya-Butongole'!C11,'22.10 Busembatya-Butongole'!C11,'19.10 Butongole-Busembatya-24h'!C11,'21.10 Busembatya-Butongole-24h'!C11,'23.10 Busembtya-Butongole'!C11)</f>
        <v>4</v>
      </c>
      <c r="D11" s="49">
        <f>AVERAGE('17.10 Busembatya-Butongole'!D11,'18.10 Busembatya-Butongole'!D11,'20.10 Busembatya-Butongole'!D11,'22.10 Busembatya-Butongole'!D11,'19.10 Butongole-Busembatya-24h'!D11,'21.10 Busembatya-Butongole-24h'!D11,'23.10 Busembtya-Butongole'!D11)</f>
        <v>0.8571428571428571</v>
      </c>
      <c r="E11" s="49">
        <f>AVERAGE('17.10 Busembatya-Butongole'!E11,'18.10 Busembatya-Butongole'!E11,'20.10 Busembatya-Butongole'!E11,'22.10 Busembatya-Butongole'!E11,'19.10 Butongole-Busembatya-24h'!E11,'21.10 Busembatya-Butongole-24h'!E11,'23.10 Busembtya-Butongole'!E11)</f>
        <v>1.1428571428571428</v>
      </c>
      <c r="F11" s="49">
        <f>AVERAGE('17.10 Busembatya-Butongole'!F11,'18.10 Busembatya-Butongole'!F11,'20.10 Busembatya-Butongole'!F11,'22.10 Busembatya-Butongole'!F11,'19.10 Butongole-Busembatya-24h'!F11,'21.10 Busembatya-Butongole-24h'!F11,'23.10 Busembtya-Butongole'!F11)</f>
        <v>5.4285714285714288</v>
      </c>
      <c r="G11" s="49">
        <f>AVERAGE('17.10 Busembatya-Butongole'!G11,'18.10 Busembatya-Butongole'!G11,'20.10 Busembatya-Butongole'!G11,'22.10 Busembatya-Butongole'!G11,'19.10 Butongole-Busembatya-24h'!G11,'21.10 Busembatya-Butongole-24h'!G11,'23.10 Busembtya-Butongole'!G11)</f>
        <v>0.14285714285714285</v>
      </c>
      <c r="H11" s="49">
        <f>AVERAGE('17.10 Busembatya-Butongole'!H11,'18.10 Busembatya-Butongole'!H11,'20.10 Busembatya-Butongole'!H11,'22.10 Busembatya-Butongole'!H11,'19.10 Butongole-Busembatya-24h'!H11,'21.10 Busembatya-Butongole-24h'!H11,'23.10 Busembtya-Butongole'!H11)</f>
        <v>0.14285714285714285</v>
      </c>
      <c r="I11" s="49">
        <f>AVERAGE('17.10 Busembatya-Butongole'!I11,'18.10 Busembatya-Butongole'!I11,'20.10 Busembatya-Butongole'!I11,'22.10 Busembatya-Butongole'!I11,'19.10 Butongole-Busembatya-24h'!I11,'21.10 Busembatya-Butongole-24h'!I11,'23.10 Busembtya-Butongole'!I11)</f>
        <v>1</v>
      </c>
      <c r="J11" s="49">
        <f>AVERAGE('17.10 Busembatya-Butongole'!J11,'18.10 Busembatya-Butongole'!J11,'20.10 Busembatya-Butongole'!J11,'22.10 Busembatya-Butongole'!J11,'19.10 Butongole-Busembatya-24h'!J11,'21.10 Busembatya-Butongole-24h'!J11,'23.10 Busembtya-Butongole'!J11)</f>
        <v>0.5714285714285714</v>
      </c>
      <c r="K11" s="49">
        <f>AVERAGE('17.10 Busembatya-Butongole'!K11,'18.10 Busembatya-Butongole'!K11,'20.10 Busembatya-Butongole'!K11,'22.10 Busembatya-Butongole'!K11,'19.10 Butongole-Busembatya-24h'!K11,'21.10 Busembatya-Butongole-24h'!K11,'23.10 Busembtya-Butongole'!K11)</f>
        <v>2</v>
      </c>
      <c r="L11" s="49">
        <f>AVERAGE('17.10 Busembatya-Butongole'!L11,'18.10 Busembatya-Butongole'!L11,'20.10 Busembatya-Butongole'!L11,'22.10 Busembatya-Butongole'!L11,'19.10 Butongole-Busembatya-24h'!L11,'21.10 Busembatya-Butongole-24h'!L11,'23.10 Busembtya-Butongole'!L11)</f>
        <v>0</v>
      </c>
      <c r="M11" s="49">
        <f>AVERAGE('17.10 Busembatya-Butongole'!M11,'18.10 Busembatya-Butongole'!M11,'20.10 Busembatya-Butongole'!M11,'22.10 Busembatya-Butongole'!M11,'19.10 Butongole-Busembatya-24h'!M11,'21.10 Busembatya-Butongole-24h'!M11,'23.10 Busembtya-Butongole'!M11)</f>
        <v>9.8571428571428577</v>
      </c>
      <c r="N11" s="49">
        <f>AVERAGE('17.10 Busembatya-Butongole'!N11,'18.10 Busembatya-Butongole'!N11,'20.10 Busembatya-Butongole'!N11,'22.10 Busembatya-Butongole'!N11,'19.10 Butongole-Busembatya-24h'!N11,'21.10 Busembatya-Butongole-24h'!N11,'23.10 Busembtya-Butongole'!N11)</f>
        <v>0</v>
      </c>
      <c r="O11" s="15">
        <f t="shared" si="0"/>
        <v>15.285714285714285</v>
      </c>
      <c r="P11" s="15">
        <f t="shared" si="1"/>
        <v>25.142857142857142</v>
      </c>
      <c r="R11" s="1" t="s">
        <v>7</v>
      </c>
      <c r="S11" s="17">
        <f t="shared" ref="S11:AF11" si="3">SUM(C14:C17)</f>
        <v>8.7142857142857153</v>
      </c>
      <c r="T11" s="17">
        <f t="shared" si="3"/>
        <v>5.5714285714285712</v>
      </c>
      <c r="U11" s="17">
        <f t="shared" si="3"/>
        <v>6.5714285714285712</v>
      </c>
      <c r="V11" s="17">
        <f t="shared" si="3"/>
        <v>26</v>
      </c>
      <c r="W11" s="17">
        <f t="shared" si="3"/>
        <v>1.857142857142857</v>
      </c>
      <c r="X11" s="17">
        <f t="shared" si="3"/>
        <v>0.14285714285714285</v>
      </c>
      <c r="Y11" s="17">
        <f t="shared" si="3"/>
        <v>2.2857142857142856</v>
      </c>
      <c r="Z11" s="17">
        <f t="shared" si="3"/>
        <v>4.8571428571428577</v>
      </c>
      <c r="AA11" s="17">
        <f t="shared" si="3"/>
        <v>2.8571428571428568</v>
      </c>
      <c r="AB11" s="17">
        <f t="shared" si="3"/>
        <v>2.8571428571428577</v>
      </c>
      <c r="AC11" s="17">
        <f t="shared" si="3"/>
        <v>31.000000000000004</v>
      </c>
      <c r="AD11" s="17">
        <f t="shared" si="3"/>
        <v>0.14285714285714285</v>
      </c>
      <c r="AE11" s="31">
        <f t="shared" si="3"/>
        <v>61.857142857142861</v>
      </c>
      <c r="AF11" s="31">
        <f t="shared" si="3"/>
        <v>92.857142857142875</v>
      </c>
    </row>
    <row r="12" spans="2:32" ht="23.1" customHeight="1" x14ac:dyDescent="0.25">
      <c r="B12" s="23" t="s">
        <v>39</v>
      </c>
      <c r="C12" s="49">
        <f>AVERAGE('17.10 Busembatya-Butongole'!C12,'18.10 Busembatya-Butongole'!C12,'20.10 Busembatya-Butongole'!C12,'22.10 Busembatya-Butongole'!C12,'19.10 Butongole-Busembatya-24h'!C12,'21.10 Busembatya-Butongole-24h'!C12,'23.10 Busembtya-Butongole'!C12)</f>
        <v>1.8571428571428572</v>
      </c>
      <c r="D12" s="49">
        <f>AVERAGE('17.10 Busembatya-Butongole'!D12,'18.10 Busembatya-Butongole'!D12,'20.10 Busembatya-Butongole'!D12,'22.10 Busembatya-Butongole'!D12,'19.10 Butongole-Busembatya-24h'!D12,'21.10 Busembatya-Butongole-24h'!D12,'23.10 Busembtya-Butongole'!D12)</f>
        <v>0.5714285714285714</v>
      </c>
      <c r="E12" s="49">
        <f>AVERAGE('17.10 Busembatya-Butongole'!E12,'18.10 Busembatya-Butongole'!E12,'20.10 Busembatya-Butongole'!E12,'22.10 Busembatya-Butongole'!E12,'19.10 Butongole-Busembatya-24h'!E12,'21.10 Busembatya-Butongole-24h'!E12,'23.10 Busembtya-Butongole'!E12)</f>
        <v>2</v>
      </c>
      <c r="F12" s="49">
        <f>AVERAGE('17.10 Busembatya-Butongole'!F12,'18.10 Busembatya-Butongole'!F12,'20.10 Busembatya-Butongole'!F12,'22.10 Busembatya-Butongole'!F12,'19.10 Butongole-Busembatya-24h'!F12,'21.10 Busembatya-Butongole-24h'!F12,'23.10 Busembtya-Butongole'!F12)</f>
        <v>7.7142857142857144</v>
      </c>
      <c r="G12" s="49">
        <f>AVERAGE('17.10 Busembatya-Butongole'!G12,'18.10 Busembatya-Butongole'!G12,'20.10 Busembatya-Butongole'!G12,'22.10 Busembatya-Butongole'!G12,'19.10 Butongole-Busembatya-24h'!G12,'21.10 Busembatya-Butongole-24h'!G12,'23.10 Busembtya-Butongole'!G12)</f>
        <v>0.14285714285714285</v>
      </c>
      <c r="H12" s="49">
        <f>AVERAGE('17.10 Busembatya-Butongole'!H12,'18.10 Busembatya-Butongole'!H12,'20.10 Busembatya-Butongole'!H12,'22.10 Busembatya-Butongole'!H12,'19.10 Butongole-Busembatya-24h'!H12,'21.10 Busembatya-Butongole-24h'!H12,'23.10 Busembtya-Butongole'!H12)</f>
        <v>0.14285714285714285</v>
      </c>
      <c r="I12" s="49">
        <f>AVERAGE('17.10 Busembatya-Butongole'!I12,'18.10 Busembatya-Butongole'!I12,'20.10 Busembatya-Butongole'!I12,'22.10 Busembatya-Butongole'!I12,'19.10 Butongole-Busembatya-24h'!I12,'21.10 Busembatya-Butongole-24h'!I12,'23.10 Busembtya-Butongole'!I12)</f>
        <v>0.14285714285714285</v>
      </c>
      <c r="J12" s="49">
        <f>AVERAGE('17.10 Busembatya-Butongole'!J12,'18.10 Busembatya-Butongole'!J12,'20.10 Busembatya-Butongole'!J12,'22.10 Busembatya-Butongole'!J12,'19.10 Butongole-Busembatya-24h'!J12,'21.10 Busembatya-Butongole-24h'!J12,'23.10 Busembtya-Butongole'!J12)</f>
        <v>0.5714285714285714</v>
      </c>
      <c r="K12" s="49">
        <f>AVERAGE('17.10 Busembatya-Butongole'!K12,'18.10 Busembatya-Butongole'!K12,'20.10 Busembatya-Butongole'!K12,'22.10 Busembatya-Butongole'!K12,'19.10 Butongole-Busembatya-24h'!K12,'21.10 Busembatya-Butongole-24h'!K12,'23.10 Busembtya-Butongole'!K12)</f>
        <v>0.42857142857142855</v>
      </c>
      <c r="L12" s="49">
        <f>AVERAGE('17.10 Busembatya-Butongole'!L12,'18.10 Busembatya-Butongole'!L12,'20.10 Busembatya-Butongole'!L12,'22.10 Busembatya-Butongole'!L12,'19.10 Butongole-Busembatya-24h'!L12,'21.10 Busembatya-Butongole-24h'!L12,'23.10 Busembtya-Butongole'!L12)</f>
        <v>0.8571428571428571</v>
      </c>
      <c r="M12" s="49">
        <f>AVERAGE('17.10 Busembatya-Butongole'!M12,'18.10 Busembatya-Butongole'!M12,'20.10 Busembatya-Butongole'!M12,'22.10 Busembatya-Butongole'!M12,'19.10 Butongole-Busembatya-24h'!M12,'21.10 Busembatya-Butongole-24h'!M12,'23.10 Busembtya-Butongole'!M12)</f>
        <v>9</v>
      </c>
      <c r="N12" s="49">
        <f>AVERAGE('17.10 Busembatya-Butongole'!N12,'18.10 Busembatya-Butongole'!N12,'20.10 Busembatya-Butongole'!N12,'22.10 Busembatya-Butongole'!N12,'19.10 Butongole-Busembatya-24h'!N12,'21.10 Busembatya-Butongole-24h'!N12,'23.10 Busembtya-Butongole'!N12)</f>
        <v>0</v>
      </c>
      <c r="O12" s="15">
        <f t="shared" si="0"/>
        <v>14.428571428571427</v>
      </c>
      <c r="P12" s="15">
        <f t="shared" si="1"/>
        <v>23.428571428571427</v>
      </c>
      <c r="R12" s="1" t="s">
        <v>8</v>
      </c>
      <c r="S12" s="17">
        <f t="shared" ref="S12:AF12" si="4">SUM(C18:C21)</f>
        <v>11.857142857142858</v>
      </c>
      <c r="T12" s="17">
        <f t="shared" si="4"/>
        <v>5.7142857142857144</v>
      </c>
      <c r="U12" s="17">
        <f t="shared" si="4"/>
        <v>6.4285714285714288</v>
      </c>
      <c r="V12" s="17">
        <f t="shared" si="4"/>
        <v>35.142857142857146</v>
      </c>
      <c r="W12" s="17">
        <f t="shared" si="4"/>
        <v>0.5714285714285714</v>
      </c>
      <c r="X12" s="17">
        <f t="shared" si="4"/>
        <v>1.2857142857142856</v>
      </c>
      <c r="Y12" s="17">
        <f t="shared" si="4"/>
        <v>2.9999999999999996</v>
      </c>
      <c r="Z12" s="17">
        <f t="shared" si="4"/>
        <v>3.2857142857142856</v>
      </c>
      <c r="AA12" s="17">
        <f t="shared" si="4"/>
        <v>3</v>
      </c>
      <c r="AB12" s="17">
        <f t="shared" si="4"/>
        <v>1.4285714285714284</v>
      </c>
      <c r="AC12" s="17">
        <f t="shared" si="4"/>
        <v>38</v>
      </c>
      <c r="AD12" s="17">
        <f t="shared" si="4"/>
        <v>0.42857142857142855</v>
      </c>
      <c r="AE12" s="31">
        <f t="shared" si="4"/>
        <v>72.142857142857139</v>
      </c>
      <c r="AF12" s="31">
        <f t="shared" si="4"/>
        <v>110.14285714285714</v>
      </c>
    </row>
    <row r="13" spans="2:32" ht="23.1" customHeight="1" x14ac:dyDescent="0.25">
      <c r="B13" s="23" t="s">
        <v>40</v>
      </c>
      <c r="C13" s="49">
        <f>AVERAGE('17.10 Busembatya-Butongole'!C13,'18.10 Busembatya-Butongole'!C13,'20.10 Busembatya-Butongole'!C13,'22.10 Busembatya-Butongole'!C13,'19.10 Butongole-Busembatya-24h'!C13,'21.10 Busembatya-Butongole-24h'!C13,'23.10 Busembtya-Butongole'!C13)</f>
        <v>2.7142857142857144</v>
      </c>
      <c r="D13" s="49">
        <f>AVERAGE('17.10 Busembatya-Butongole'!D13,'18.10 Busembatya-Butongole'!D13,'20.10 Busembatya-Butongole'!D13,'22.10 Busembatya-Butongole'!D13,'19.10 Butongole-Busembatya-24h'!D13,'21.10 Busembatya-Butongole-24h'!D13,'23.10 Busembtya-Butongole'!D13)</f>
        <v>0.8571428571428571</v>
      </c>
      <c r="E13" s="49">
        <f>AVERAGE('17.10 Busembatya-Butongole'!E13,'18.10 Busembatya-Butongole'!E13,'20.10 Busembatya-Butongole'!E13,'22.10 Busembatya-Butongole'!E13,'19.10 Butongole-Busembatya-24h'!E13,'21.10 Busembatya-Butongole-24h'!E13,'23.10 Busembtya-Butongole'!E13)</f>
        <v>1.7142857142857142</v>
      </c>
      <c r="F13" s="49">
        <f>AVERAGE('17.10 Busembatya-Butongole'!F13,'18.10 Busembatya-Butongole'!F13,'20.10 Busembatya-Butongole'!F13,'22.10 Busembatya-Butongole'!F13,'19.10 Butongole-Busembatya-24h'!F13,'21.10 Busembatya-Butongole-24h'!F13,'23.10 Busembtya-Butongole'!F13)</f>
        <v>4.8571428571428568</v>
      </c>
      <c r="G13" s="49">
        <f>AVERAGE('17.10 Busembatya-Butongole'!G13,'18.10 Busembatya-Butongole'!G13,'20.10 Busembatya-Butongole'!G13,'22.10 Busembatya-Butongole'!G13,'19.10 Butongole-Busembatya-24h'!G13,'21.10 Busembatya-Butongole-24h'!G13,'23.10 Busembtya-Butongole'!G13)</f>
        <v>0.7142857142857143</v>
      </c>
      <c r="H13" s="49">
        <f>AVERAGE('17.10 Busembatya-Butongole'!H13,'18.10 Busembatya-Butongole'!H13,'20.10 Busembatya-Butongole'!H13,'22.10 Busembatya-Butongole'!H13,'19.10 Butongole-Busembatya-24h'!H13,'21.10 Busembatya-Butongole-24h'!H13,'23.10 Busembtya-Butongole'!H13)</f>
        <v>0.42857142857142855</v>
      </c>
      <c r="I13" s="49">
        <f>AVERAGE('17.10 Busembatya-Butongole'!I13,'18.10 Busembatya-Butongole'!I13,'20.10 Busembatya-Butongole'!I13,'22.10 Busembatya-Butongole'!I13,'19.10 Butongole-Busembatya-24h'!I13,'21.10 Busembatya-Butongole-24h'!I13,'23.10 Busembtya-Butongole'!I13)</f>
        <v>0.7142857142857143</v>
      </c>
      <c r="J13" s="49">
        <f>AVERAGE('17.10 Busembatya-Butongole'!J13,'18.10 Busembatya-Butongole'!J13,'20.10 Busembatya-Butongole'!J13,'22.10 Busembatya-Butongole'!J13,'19.10 Butongole-Busembatya-24h'!J13,'21.10 Busembatya-Butongole-24h'!J13,'23.10 Busembtya-Butongole'!J13)</f>
        <v>1</v>
      </c>
      <c r="K13" s="49">
        <f>AVERAGE('17.10 Busembatya-Butongole'!K13,'18.10 Busembatya-Butongole'!K13,'20.10 Busembatya-Butongole'!K13,'22.10 Busembatya-Butongole'!K13,'19.10 Butongole-Busembatya-24h'!K13,'21.10 Busembatya-Butongole-24h'!K13,'23.10 Busembtya-Butongole'!K13)</f>
        <v>0.5714285714285714</v>
      </c>
      <c r="L13" s="49">
        <f>AVERAGE('17.10 Busembatya-Butongole'!L13,'18.10 Busembatya-Butongole'!L13,'20.10 Busembatya-Butongole'!L13,'22.10 Busembatya-Butongole'!L13,'19.10 Butongole-Busembatya-24h'!L13,'21.10 Busembatya-Butongole-24h'!L13,'23.10 Busembtya-Butongole'!L13)</f>
        <v>0.42857142857142855</v>
      </c>
      <c r="M13" s="49">
        <f>AVERAGE('17.10 Busembatya-Butongole'!M13,'18.10 Busembatya-Butongole'!M13,'20.10 Busembatya-Butongole'!M13,'22.10 Busembatya-Butongole'!M13,'19.10 Butongole-Busembatya-24h'!M13,'21.10 Busembatya-Butongole-24h'!M13,'23.10 Busembtya-Butongole'!M13)</f>
        <v>7.4285714285714288</v>
      </c>
      <c r="N13" s="49">
        <f>AVERAGE('17.10 Busembatya-Butongole'!N13,'18.10 Busembatya-Butongole'!N13,'20.10 Busembatya-Butongole'!N13,'22.10 Busembatya-Butongole'!N13,'19.10 Butongole-Busembatya-24h'!N13,'21.10 Busembatya-Butongole-24h'!N13,'23.10 Busembtya-Butongole'!N13)</f>
        <v>0</v>
      </c>
      <c r="O13" s="15">
        <f t="shared" si="0"/>
        <v>13.999999999999998</v>
      </c>
      <c r="P13" s="15">
        <f t="shared" si="1"/>
        <v>21.428571428571427</v>
      </c>
      <c r="R13" s="1" t="s">
        <v>9</v>
      </c>
      <c r="S13" s="17">
        <f t="shared" ref="S13:AF13" si="5">SUM(C22:C25)</f>
        <v>12.857142857142858</v>
      </c>
      <c r="T13" s="17">
        <f t="shared" si="5"/>
        <v>4.5714285714285712</v>
      </c>
      <c r="U13" s="17">
        <f t="shared" si="5"/>
        <v>5.8571428571428577</v>
      </c>
      <c r="V13" s="17">
        <f t="shared" si="5"/>
        <v>34.571428571428569</v>
      </c>
      <c r="W13" s="17">
        <f t="shared" si="5"/>
        <v>0.42857142857142855</v>
      </c>
      <c r="X13" s="17">
        <f t="shared" si="5"/>
        <v>0.8571428571428571</v>
      </c>
      <c r="Y13" s="17">
        <f t="shared" si="5"/>
        <v>2.1428571428571428</v>
      </c>
      <c r="Z13" s="17">
        <f t="shared" si="5"/>
        <v>2.8571428571428568</v>
      </c>
      <c r="AA13" s="17">
        <f t="shared" si="5"/>
        <v>1.7142857142857142</v>
      </c>
      <c r="AB13" s="17">
        <f t="shared" si="5"/>
        <v>1.7142857142857144</v>
      </c>
      <c r="AC13" s="17">
        <f t="shared" si="5"/>
        <v>38</v>
      </c>
      <c r="AD13" s="17">
        <f t="shared" si="5"/>
        <v>0.2857142857142857</v>
      </c>
      <c r="AE13" s="31">
        <f t="shared" si="5"/>
        <v>67.857142857142847</v>
      </c>
      <c r="AF13" s="31">
        <f t="shared" si="5"/>
        <v>105.85714285714285</v>
      </c>
    </row>
    <row r="14" spans="2:32" ht="23.1" customHeight="1" x14ac:dyDescent="0.25">
      <c r="B14" s="23" t="s">
        <v>41</v>
      </c>
      <c r="C14" s="49">
        <f>AVERAGE('17.10 Busembatya-Butongole'!C14,'18.10 Busembatya-Butongole'!C14,'20.10 Busembatya-Butongole'!C14,'22.10 Busembatya-Butongole'!C14,'19.10 Butongole-Busembatya-24h'!C14,'21.10 Busembatya-Butongole-24h'!C14,'23.10 Busembtya-Butongole'!C14)</f>
        <v>1.5714285714285714</v>
      </c>
      <c r="D14" s="49">
        <f>AVERAGE('17.10 Busembatya-Butongole'!D14,'18.10 Busembatya-Butongole'!D14,'20.10 Busembatya-Butongole'!D14,'22.10 Busembatya-Butongole'!D14,'19.10 Butongole-Busembatya-24h'!D14,'21.10 Busembatya-Butongole-24h'!D14,'23.10 Busembtya-Butongole'!D14)</f>
        <v>1</v>
      </c>
      <c r="E14" s="49">
        <f>AVERAGE('17.10 Busembatya-Butongole'!E14,'18.10 Busembatya-Butongole'!E14,'20.10 Busembatya-Butongole'!E14,'22.10 Busembatya-Butongole'!E14,'19.10 Butongole-Busembatya-24h'!E14,'21.10 Busembatya-Butongole-24h'!E14,'23.10 Busembtya-Butongole'!E14)</f>
        <v>1.2857142857142858</v>
      </c>
      <c r="F14" s="49">
        <f>AVERAGE('17.10 Busembatya-Butongole'!F14,'18.10 Busembatya-Butongole'!F14,'20.10 Busembatya-Butongole'!F14,'22.10 Busembatya-Butongole'!F14,'19.10 Butongole-Busembatya-24h'!F14,'21.10 Busembatya-Butongole-24h'!F14,'23.10 Busembtya-Butongole'!F14)</f>
        <v>6.4285714285714288</v>
      </c>
      <c r="G14" s="49">
        <f>AVERAGE('17.10 Busembatya-Butongole'!G14,'18.10 Busembatya-Butongole'!G14,'20.10 Busembatya-Butongole'!G14,'22.10 Busembatya-Butongole'!G14,'19.10 Butongole-Busembatya-24h'!G14,'21.10 Busembatya-Butongole-24h'!G14,'23.10 Busembtya-Butongole'!G14)</f>
        <v>0.42857142857142855</v>
      </c>
      <c r="H14" s="49">
        <f>AVERAGE('17.10 Busembatya-Butongole'!H14,'18.10 Busembatya-Butongole'!H14,'20.10 Busembatya-Butongole'!H14,'22.10 Busembatya-Butongole'!H14,'19.10 Butongole-Busembatya-24h'!H14,'21.10 Busembatya-Butongole-24h'!H14,'23.10 Busembtya-Butongole'!H14)</f>
        <v>0.14285714285714285</v>
      </c>
      <c r="I14" s="49">
        <f>AVERAGE('17.10 Busembatya-Butongole'!I14,'18.10 Busembatya-Butongole'!I14,'20.10 Busembatya-Butongole'!I14,'22.10 Busembatya-Butongole'!I14,'19.10 Butongole-Busembatya-24h'!I14,'21.10 Busembatya-Butongole-24h'!I14,'23.10 Busembtya-Butongole'!I14)</f>
        <v>0.14285714285714285</v>
      </c>
      <c r="J14" s="49">
        <f>AVERAGE('17.10 Busembatya-Butongole'!J14,'18.10 Busembatya-Butongole'!J14,'20.10 Busembatya-Butongole'!J14,'22.10 Busembatya-Butongole'!J14,'19.10 Butongole-Busembatya-24h'!J14,'21.10 Busembatya-Butongole-24h'!J14,'23.10 Busembtya-Butongole'!J14)</f>
        <v>0.7142857142857143</v>
      </c>
      <c r="K14" s="49">
        <f>AVERAGE('17.10 Busembatya-Butongole'!K14,'18.10 Busembatya-Butongole'!K14,'20.10 Busembatya-Butongole'!K14,'22.10 Busembatya-Butongole'!K14,'19.10 Butongole-Busembatya-24h'!K14,'21.10 Busembatya-Butongole-24h'!K14,'23.10 Busembtya-Butongole'!K14)</f>
        <v>1.4285714285714286</v>
      </c>
      <c r="L14" s="49">
        <f>AVERAGE('17.10 Busembatya-Butongole'!L14,'18.10 Busembatya-Butongole'!L14,'20.10 Busembatya-Butongole'!L14,'22.10 Busembatya-Butongole'!L14,'19.10 Butongole-Busembatya-24h'!L14,'21.10 Busembatya-Butongole-24h'!L14,'23.10 Busembtya-Butongole'!L14)</f>
        <v>1.2857142857142858</v>
      </c>
      <c r="M14" s="49">
        <f>AVERAGE('17.10 Busembatya-Butongole'!M14,'18.10 Busembatya-Butongole'!M14,'20.10 Busembatya-Butongole'!M14,'22.10 Busembatya-Butongole'!M14,'19.10 Butongole-Busembatya-24h'!M14,'21.10 Busembatya-Butongole-24h'!M14,'23.10 Busembtya-Butongole'!M14)</f>
        <v>6.1428571428571432</v>
      </c>
      <c r="N14" s="49">
        <f>AVERAGE('17.10 Busembatya-Butongole'!N14,'18.10 Busembatya-Butongole'!N14,'20.10 Busembatya-Butongole'!N14,'22.10 Busembatya-Butongole'!N14,'19.10 Butongole-Busembatya-24h'!N14,'21.10 Busembatya-Butongole-24h'!N14,'23.10 Busembtya-Butongole'!N14)</f>
        <v>0.14285714285714285</v>
      </c>
      <c r="O14" s="15">
        <f t="shared" si="0"/>
        <v>14.571428571428569</v>
      </c>
      <c r="P14" s="15">
        <f t="shared" si="1"/>
        <v>20.714285714285712</v>
      </c>
      <c r="R14" s="1" t="s">
        <v>10</v>
      </c>
      <c r="S14" s="17">
        <f t="shared" ref="S14:AF14" si="6">SUM(C26:C29)</f>
        <v>15.428571428571431</v>
      </c>
      <c r="T14" s="17">
        <f t="shared" si="6"/>
        <v>4.7142857142857144</v>
      </c>
      <c r="U14" s="17">
        <f t="shared" si="6"/>
        <v>6</v>
      </c>
      <c r="V14" s="17">
        <f t="shared" si="6"/>
        <v>37.571428571428569</v>
      </c>
      <c r="W14" s="17">
        <f t="shared" si="6"/>
        <v>0.8571428571428571</v>
      </c>
      <c r="X14" s="17">
        <f t="shared" si="6"/>
        <v>0.71428571428571419</v>
      </c>
      <c r="Y14" s="17">
        <f t="shared" si="6"/>
        <v>3.4285714285714284</v>
      </c>
      <c r="Z14" s="17">
        <f t="shared" si="6"/>
        <v>4.1428571428571423</v>
      </c>
      <c r="AA14" s="17">
        <f t="shared" si="6"/>
        <v>1.5714285714285712</v>
      </c>
      <c r="AB14" s="17">
        <f t="shared" si="6"/>
        <v>0.14285714285714285</v>
      </c>
      <c r="AC14" s="17">
        <f t="shared" si="6"/>
        <v>37.142857142857146</v>
      </c>
      <c r="AD14" s="17">
        <f t="shared" si="6"/>
        <v>0</v>
      </c>
      <c r="AE14" s="31">
        <f t="shared" si="6"/>
        <v>74.571428571428569</v>
      </c>
      <c r="AF14" s="31">
        <f t="shared" si="6"/>
        <v>111.71428571428572</v>
      </c>
    </row>
    <row r="15" spans="2:32" ht="23.1" customHeight="1" x14ac:dyDescent="0.25">
      <c r="B15" s="23" t="s">
        <v>42</v>
      </c>
      <c r="C15" s="49">
        <f>AVERAGE('17.10 Busembatya-Butongole'!C15,'18.10 Busembatya-Butongole'!C15,'20.10 Busembatya-Butongole'!C15,'22.10 Busembatya-Butongole'!C15,'19.10 Butongole-Busembatya-24h'!C15,'21.10 Busembatya-Butongole-24h'!C15,'23.10 Busembtya-Butongole'!C15)</f>
        <v>1</v>
      </c>
      <c r="D15" s="49">
        <f>AVERAGE('17.10 Busembatya-Butongole'!D15,'18.10 Busembatya-Butongole'!D15,'20.10 Busembatya-Butongole'!D15,'22.10 Busembatya-Butongole'!D15,'19.10 Butongole-Busembatya-24h'!D15,'21.10 Busembatya-Butongole-24h'!D15,'23.10 Busembtya-Butongole'!D15)</f>
        <v>2</v>
      </c>
      <c r="E15" s="49">
        <f>AVERAGE('17.10 Busembatya-Butongole'!E15,'18.10 Busembatya-Butongole'!E15,'20.10 Busembatya-Butongole'!E15,'22.10 Busembatya-Butongole'!E15,'19.10 Butongole-Busembatya-24h'!E15,'21.10 Busembatya-Butongole-24h'!E15,'23.10 Busembtya-Butongole'!E15)</f>
        <v>1.1428571428571428</v>
      </c>
      <c r="F15" s="49">
        <f>AVERAGE('17.10 Busembatya-Butongole'!F15,'18.10 Busembatya-Butongole'!F15,'20.10 Busembatya-Butongole'!F15,'22.10 Busembatya-Butongole'!F15,'19.10 Butongole-Busembatya-24h'!F15,'21.10 Busembatya-Butongole-24h'!F15,'23.10 Busembtya-Butongole'!F15)</f>
        <v>5.2857142857142856</v>
      </c>
      <c r="G15" s="49">
        <f>AVERAGE('17.10 Busembatya-Butongole'!G15,'18.10 Busembatya-Butongole'!G15,'20.10 Busembatya-Butongole'!G15,'22.10 Busembatya-Butongole'!G15,'19.10 Butongole-Busembatya-24h'!G15,'21.10 Busembatya-Butongole-24h'!G15,'23.10 Busembtya-Butongole'!G15)</f>
        <v>0.8571428571428571</v>
      </c>
      <c r="H15" s="49">
        <f>AVERAGE('17.10 Busembatya-Butongole'!H15,'18.10 Busembatya-Butongole'!H15,'20.10 Busembatya-Butongole'!H15,'22.10 Busembatya-Butongole'!H15,'19.10 Butongole-Busembatya-24h'!H15,'21.10 Busembatya-Butongole-24h'!H15,'23.10 Busembtya-Butongole'!H15)</f>
        <v>0</v>
      </c>
      <c r="I15" s="49">
        <f>AVERAGE('17.10 Busembatya-Butongole'!I15,'18.10 Busembatya-Butongole'!I15,'20.10 Busembatya-Butongole'!I15,'22.10 Busembatya-Butongole'!I15,'19.10 Butongole-Busembatya-24h'!I15,'21.10 Busembatya-Butongole-24h'!I15,'23.10 Busembtya-Butongole'!I15)</f>
        <v>0.14285714285714285</v>
      </c>
      <c r="J15" s="49">
        <f>AVERAGE('17.10 Busembatya-Butongole'!J15,'18.10 Busembatya-Butongole'!J15,'20.10 Busembatya-Butongole'!J15,'22.10 Busembatya-Butongole'!J15,'19.10 Butongole-Busembatya-24h'!J15,'21.10 Busembatya-Butongole-24h'!J15,'23.10 Busembtya-Butongole'!J15)</f>
        <v>1.1428571428571428</v>
      </c>
      <c r="K15" s="49">
        <f>AVERAGE('17.10 Busembatya-Butongole'!K15,'18.10 Busembatya-Butongole'!K15,'20.10 Busembatya-Butongole'!K15,'22.10 Busembatya-Butongole'!K15,'19.10 Butongole-Busembatya-24h'!K15,'21.10 Busembatya-Butongole-24h'!K15,'23.10 Busembtya-Butongole'!K15)</f>
        <v>0.7142857142857143</v>
      </c>
      <c r="L15" s="49">
        <f>AVERAGE('17.10 Busembatya-Butongole'!L15,'18.10 Busembatya-Butongole'!L15,'20.10 Busembatya-Butongole'!L15,'22.10 Busembatya-Butongole'!L15,'19.10 Butongole-Busembatya-24h'!L15,'21.10 Busembatya-Butongole-24h'!L15,'23.10 Busembtya-Butongole'!L15)</f>
        <v>0.2857142857142857</v>
      </c>
      <c r="M15" s="49">
        <f>AVERAGE('17.10 Busembatya-Butongole'!M15,'18.10 Busembatya-Butongole'!M15,'20.10 Busembatya-Butongole'!M15,'22.10 Busembatya-Butongole'!M15,'19.10 Butongole-Busembatya-24h'!M15,'21.10 Busembatya-Butongole-24h'!M15,'23.10 Busembtya-Butongole'!M15)</f>
        <v>7.7142857142857144</v>
      </c>
      <c r="N15" s="49">
        <f>AVERAGE('17.10 Busembatya-Butongole'!N15,'18.10 Busembatya-Butongole'!N15,'20.10 Busembatya-Butongole'!N15,'22.10 Busembatya-Butongole'!N15,'19.10 Butongole-Busembatya-24h'!N15,'21.10 Busembatya-Butongole-24h'!N15,'23.10 Busembtya-Butongole'!N15)</f>
        <v>0</v>
      </c>
      <c r="O15" s="15">
        <f t="shared" si="0"/>
        <v>12.571428571428569</v>
      </c>
      <c r="P15" s="15">
        <f t="shared" si="1"/>
        <v>20.285714285714285</v>
      </c>
      <c r="R15" s="1" t="s">
        <v>11</v>
      </c>
      <c r="S15" s="17">
        <f t="shared" ref="S15:AF15" si="7">SUM(C30:C33)</f>
        <v>20.428571428571427</v>
      </c>
      <c r="T15" s="17">
        <f t="shared" si="7"/>
        <v>6.4285714285714288</v>
      </c>
      <c r="U15" s="17">
        <f t="shared" si="7"/>
        <v>4.7142857142857144</v>
      </c>
      <c r="V15" s="17">
        <f t="shared" si="7"/>
        <v>36.142857142857139</v>
      </c>
      <c r="W15" s="17">
        <f t="shared" si="7"/>
        <v>0.8571428571428571</v>
      </c>
      <c r="X15" s="17">
        <f t="shared" si="7"/>
        <v>1.7142857142857142</v>
      </c>
      <c r="Y15" s="17">
        <f t="shared" si="7"/>
        <v>4.1428571428571423</v>
      </c>
      <c r="Z15" s="17">
        <f t="shared" si="7"/>
        <v>4.7142857142857144</v>
      </c>
      <c r="AA15" s="17">
        <f t="shared" si="7"/>
        <v>3.2857142857142856</v>
      </c>
      <c r="AB15" s="17">
        <f t="shared" si="7"/>
        <v>2</v>
      </c>
      <c r="AC15" s="17">
        <f t="shared" si="7"/>
        <v>35.285714285714292</v>
      </c>
      <c r="AD15" s="17">
        <f t="shared" si="7"/>
        <v>0</v>
      </c>
      <c r="AE15" s="31">
        <f t="shared" si="7"/>
        <v>84.428571428571431</v>
      </c>
      <c r="AF15" s="31">
        <f t="shared" si="7"/>
        <v>119.71428571428571</v>
      </c>
    </row>
    <row r="16" spans="2:32" ht="23.1" customHeight="1" x14ac:dyDescent="0.25">
      <c r="B16" s="23" t="s">
        <v>43</v>
      </c>
      <c r="C16" s="49">
        <f>AVERAGE('17.10 Busembatya-Butongole'!C16,'18.10 Busembatya-Butongole'!C16,'20.10 Busembatya-Butongole'!C16,'22.10 Busembatya-Butongole'!C16,'19.10 Butongole-Busembatya-24h'!C16,'21.10 Busembatya-Butongole-24h'!C16,'23.10 Busembtya-Butongole'!C16)</f>
        <v>3.4285714285714284</v>
      </c>
      <c r="D16" s="49">
        <f>AVERAGE('17.10 Busembatya-Butongole'!D16,'18.10 Busembatya-Butongole'!D16,'20.10 Busembatya-Butongole'!D16,'22.10 Busembatya-Butongole'!D16,'19.10 Butongole-Busembatya-24h'!D16,'21.10 Busembatya-Butongole-24h'!D16,'23.10 Busembtya-Butongole'!D16)</f>
        <v>1.2857142857142858</v>
      </c>
      <c r="E16" s="49">
        <f>AVERAGE('17.10 Busembatya-Butongole'!E16,'18.10 Busembatya-Butongole'!E16,'20.10 Busembatya-Butongole'!E16,'22.10 Busembatya-Butongole'!E16,'19.10 Butongole-Busembatya-24h'!E16,'21.10 Busembatya-Butongole-24h'!E16,'23.10 Busembtya-Butongole'!E16)</f>
        <v>2.2857142857142856</v>
      </c>
      <c r="F16" s="49">
        <f>AVERAGE('17.10 Busembatya-Butongole'!F16,'18.10 Busembatya-Butongole'!F16,'20.10 Busembatya-Butongole'!F16,'22.10 Busembatya-Butongole'!F16,'19.10 Butongole-Busembatya-24h'!F16,'21.10 Busembatya-Butongole-24h'!F16,'23.10 Busembtya-Butongole'!F16)</f>
        <v>7.7142857142857144</v>
      </c>
      <c r="G16" s="49">
        <f>AVERAGE('17.10 Busembatya-Butongole'!G16,'18.10 Busembatya-Butongole'!G16,'20.10 Busembatya-Butongole'!G16,'22.10 Busembatya-Butongole'!G16,'19.10 Butongole-Busembatya-24h'!G16,'21.10 Busembatya-Butongole-24h'!G16,'23.10 Busembtya-Butongole'!G16)</f>
        <v>0.42857142857142855</v>
      </c>
      <c r="H16" s="49">
        <f>AVERAGE('17.10 Busembatya-Butongole'!H16,'18.10 Busembatya-Butongole'!H16,'20.10 Busembatya-Butongole'!H16,'22.10 Busembatya-Butongole'!H16,'19.10 Butongole-Busembatya-24h'!H16,'21.10 Busembatya-Butongole-24h'!H16,'23.10 Busembtya-Butongole'!H16)</f>
        <v>0</v>
      </c>
      <c r="I16" s="49">
        <f>AVERAGE('17.10 Busembatya-Butongole'!I16,'18.10 Busembatya-Butongole'!I16,'20.10 Busembatya-Butongole'!I16,'22.10 Busembatya-Butongole'!I16,'19.10 Butongole-Busembatya-24h'!I16,'21.10 Busembatya-Butongole-24h'!I16,'23.10 Busembtya-Butongole'!I16)</f>
        <v>0.42857142857142855</v>
      </c>
      <c r="J16" s="49">
        <f>AVERAGE('17.10 Busembatya-Butongole'!J16,'18.10 Busembatya-Butongole'!J16,'20.10 Busembatya-Butongole'!J16,'22.10 Busembatya-Butongole'!J16,'19.10 Butongole-Busembatya-24h'!J16,'21.10 Busembatya-Butongole-24h'!J16,'23.10 Busembtya-Butongole'!J16)</f>
        <v>1.5714285714285714</v>
      </c>
      <c r="K16" s="49">
        <f>AVERAGE('17.10 Busembatya-Butongole'!K16,'18.10 Busembatya-Butongole'!K16,'20.10 Busembatya-Butongole'!K16,'22.10 Busembatya-Butongole'!K16,'19.10 Butongole-Busembatya-24h'!K16,'21.10 Busembatya-Butongole-24h'!K16,'23.10 Busembtya-Butongole'!K16)</f>
        <v>0.42857142857142855</v>
      </c>
      <c r="L16" s="49">
        <f>AVERAGE('17.10 Busembatya-Butongole'!L16,'18.10 Busembatya-Butongole'!L16,'20.10 Busembatya-Butongole'!L16,'22.10 Busembatya-Butongole'!L16,'19.10 Butongole-Busembatya-24h'!L16,'21.10 Busembatya-Butongole-24h'!L16,'23.10 Busembtya-Butongole'!L16)</f>
        <v>0.7142857142857143</v>
      </c>
      <c r="M16" s="49">
        <f>AVERAGE('17.10 Busembatya-Butongole'!M16,'18.10 Busembatya-Butongole'!M16,'20.10 Busembatya-Butongole'!M16,'22.10 Busembatya-Butongole'!M16,'19.10 Butongole-Busembatya-24h'!M16,'21.10 Busembatya-Butongole-24h'!M16,'23.10 Busembtya-Butongole'!M16)</f>
        <v>9.2857142857142865</v>
      </c>
      <c r="N16" s="49">
        <f>AVERAGE('17.10 Busembatya-Butongole'!N16,'18.10 Busembatya-Butongole'!N16,'20.10 Busembatya-Butongole'!N16,'22.10 Busembatya-Butongole'!N16,'19.10 Butongole-Busembatya-24h'!N16,'21.10 Busembatya-Butongole-24h'!N16,'23.10 Busembtya-Butongole'!N16)</f>
        <v>0</v>
      </c>
      <c r="O16" s="15">
        <f t="shared" si="0"/>
        <v>18.285714285714288</v>
      </c>
      <c r="P16" s="15">
        <f t="shared" si="1"/>
        <v>27.571428571428577</v>
      </c>
      <c r="R16" s="1" t="s">
        <v>12</v>
      </c>
      <c r="S16" s="17">
        <f t="shared" ref="S16:AF16" si="8">SUM(C34:C37)</f>
        <v>16.571428571428573</v>
      </c>
      <c r="T16" s="17">
        <f t="shared" si="8"/>
        <v>8.2857142857142847</v>
      </c>
      <c r="U16" s="17">
        <f t="shared" si="8"/>
        <v>9.2857142857142865</v>
      </c>
      <c r="V16" s="17">
        <f t="shared" si="8"/>
        <v>38.857142857142861</v>
      </c>
      <c r="W16" s="17">
        <f t="shared" si="8"/>
        <v>0.85714285714285721</v>
      </c>
      <c r="X16" s="17">
        <f t="shared" si="8"/>
        <v>2</v>
      </c>
      <c r="Y16" s="17">
        <f t="shared" si="8"/>
        <v>4.1428571428571432</v>
      </c>
      <c r="Z16" s="17">
        <f t="shared" si="8"/>
        <v>4.1428571428571423</v>
      </c>
      <c r="AA16" s="17">
        <f t="shared" si="8"/>
        <v>2.7142857142857144</v>
      </c>
      <c r="AB16" s="17">
        <f t="shared" si="8"/>
        <v>0.71428571428571419</v>
      </c>
      <c r="AC16" s="17">
        <f t="shared" si="8"/>
        <v>37</v>
      </c>
      <c r="AD16" s="17">
        <f t="shared" si="8"/>
        <v>0.42857142857142855</v>
      </c>
      <c r="AE16" s="31">
        <f t="shared" si="8"/>
        <v>88</v>
      </c>
      <c r="AF16" s="31">
        <f t="shared" si="8"/>
        <v>125</v>
      </c>
    </row>
    <row r="17" spans="2:32" ht="23.1" customHeight="1" x14ac:dyDescent="0.25">
      <c r="B17" s="23" t="s">
        <v>44</v>
      </c>
      <c r="C17" s="49">
        <f>AVERAGE('17.10 Busembatya-Butongole'!C17,'18.10 Busembatya-Butongole'!C17,'20.10 Busembatya-Butongole'!C17,'22.10 Busembatya-Butongole'!C17,'19.10 Butongole-Busembatya-24h'!C17,'21.10 Busembatya-Butongole-24h'!C17,'23.10 Busembtya-Butongole'!C17)</f>
        <v>2.7142857142857144</v>
      </c>
      <c r="D17" s="49">
        <f>AVERAGE('17.10 Busembatya-Butongole'!D17,'18.10 Busembatya-Butongole'!D17,'20.10 Busembatya-Butongole'!D17,'22.10 Busembatya-Butongole'!D17,'19.10 Butongole-Busembatya-24h'!D17,'21.10 Busembatya-Butongole-24h'!D17,'23.10 Busembtya-Butongole'!D17)</f>
        <v>1.2857142857142858</v>
      </c>
      <c r="E17" s="49">
        <f>AVERAGE('17.10 Busembatya-Butongole'!E17,'18.10 Busembatya-Butongole'!E17,'20.10 Busembatya-Butongole'!E17,'22.10 Busembatya-Butongole'!E17,'19.10 Butongole-Busembatya-24h'!E17,'21.10 Busembatya-Butongole-24h'!E17,'23.10 Busembtya-Butongole'!E17)</f>
        <v>1.8571428571428572</v>
      </c>
      <c r="F17" s="49">
        <f>AVERAGE('17.10 Busembatya-Butongole'!F17,'18.10 Busembatya-Butongole'!F17,'20.10 Busembatya-Butongole'!F17,'22.10 Busembatya-Butongole'!F17,'19.10 Butongole-Busembatya-24h'!F17,'21.10 Busembatya-Butongole-24h'!F17,'23.10 Busembtya-Butongole'!F17)</f>
        <v>6.5714285714285712</v>
      </c>
      <c r="G17" s="49">
        <f>AVERAGE('17.10 Busembatya-Butongole'!G17,'18.10 Busembatya-Butongole'!G17,'20.10 Busembatya-Butongole'!G17,'22.10 Busembatya-Butongole'!G17,'19.10 Butongole-Busembatya-24h'!G17,'21.10 Busembatya-Butongole-24h'!G17,'23.10 Busembtya-Butongole'!G17)</f>
        <v>0.14285714285714285</v>
      </c>
      <c r="H17" s="49">
        <f>AVERAGE('17.10 Busembatya-Butongole'!H17,'18.10 Busembatya-Butongole'!H17,'20.10 Busembatya-Butongole'!H17,'22.10 Busembatya-Butongole'!H17,'19.10 Butongole-Busembatya-24h'!H17,'21.10 Busembatya-Butongole-24h'!H17,'23.10 Busembtya-Butongole'!H17)</f>
        <v>0</v>
      </c>
      <c r="I17" s="49">
        <f>AVERAGE('17.10 Busembatya-Butongole'!I17,'18.10 Busembatya-Butongole'!I17,'20.10 Busembatya-Butongole'!I17,'22.10 Busembatya-Butongole'!I17,'19.10 Butongole-Busembatya-24h'!I17,'21.10 Busembatya-Butongole-24h'!I17,'23.10 Busembtya-Butongole'!I17)</f>
        <v>1.5714285714285714</v>
      </c>
      <c r="J17" s="49">
        <f>AVERAGE('17.10 Busembatya-Butongole'!J17,'18.10 Busembatya-Butongole'!J17,'20.10 Busembatya-Butongole'!J17,'22.10 Busembatya-Butongole'!J17,'19.10 Butongole-Busembatya-24h'!J17,'21.10 Busembatya-Butongole-24h'!J17,'23.10 Busembtya-Butongole'!J17)</f>
        <v>1.4285714285714286</v>
      </c>
      <c r="K17" s="49">
        <f>AVERAGE('17.10 Busembatya-Butongole'!K17,'18.10 Busembatya-Butongole'!K17,'20.10 Busembatya-Butongole'!K17,'22.10 Busembatya-Butongole'!K17,'19.10 Butongole-Busembatya-24h'!K17,'21.10 Busembatya-Butongole-24h'!K17,'23.10 Busembtya-Butongole'!K17)</f>
        <v>0.2857142857142857</v>
      </c>
      <c r="L17" s="49">
        <f>AVERAGE('17.10 Busembatya-Butongole'!L17,'18.10 Busembatya-Butongole'!L17,'20.10 Busembatya-Butongole'!L17,'22.10 Busembatya-Butongole'!L17,'19.10 Butongole-Busembatya-24h'!L17,'21.10 Busembatya-Butongole-24h'!L17,'23.10 Busembtya-Butongole'!L17)</f>
        <v>0.5714285714285714</v>
      </c>
      <c r="M17" s="49">
        <f>AVERAGE('17.10 Busembatya-Butongole'!M17,'18.10 Busembatya-Butongole'!M17,'20.10 Busembatya-Butongole'!M17,'22.10 Busembatya-Butongole'!M17,'19.10 Butongole-Busembatya-24h'!M17,'21.10 Busembatya-Butongole-24h'!M17,'23.10 Busembtya-Butongole'!M17)</f>
        <v>7.8571428571428568</v>
      </c>
      <c r="N17" s="49">
        <f>AVERAGE('17.10 Busembatya-Butongole'!N17,'18.10 Busembatya-Butongole'!N17,'20.10 Busembatya-Butongole'!N17,'22.10 Busembatya-Butongole'!N17,'19.10 Butongole-Busembatya-24h'!N17,'21.10 Busembatya-Butongole-24h'!N17,'23.10 Busembtya-Butongole'!N17)</f>
        <v>0</v>
      </c>
      <c r="O17" s="15">
        <f t="shared" si="0"/>
        <v>16.428571428571431</v>
      </c>
      <c r="P17" s="15">
        <f t="shared" si="1"/>
        <v>24.285714285714288</v>
      </c>
      <c r="R17" s="1" t="s">
        <v>13</v>
      </c>
      <c r="S17" s="17">
        <f t="shared" ref="S17:AF17" si="9">SUM(C38:C41)</f>
        <v>15.571428571428573</v>
      </c>
      <c r="T17" s="17">
        <f t="shared" si="9"/>
        <v>7.1428571428571423</v>
      </c>
      <c r="U17" s="17">
        <f t="shared" si="9"/>
        <v>9</v>
      </c>
      <c r="V17" s="17">
        <f t="shared" si="9"/>
        <v>34.714285714285708</v>
      </c>
      <c r="W17" s="17">
        <f t="shared" si="9"/>
        <v>0.42857142857142855</v>
      </c>
      <c r="X17" s="17">
        <f t="shared" si="9"/>
        <v>1.9999999999999996</v>
      </c>
      <c r="Y17" s="17">
        <f t="shared" si="9"/>
        <v>3.4285714285714284</v>
      </c>
      <c r="Z17" s="17">
        <f t="shared" si="9"/>
        <v>3.7142857142857144</v>
      </c>
      <c r="AA17" s="17">
        <f t="shared" si="9"/>
        <v>4.2857142857142856</v>
      </c>
      <c r="AB17" s="17">
        <f t="shared" si="9"/>
        <v>2.5714285714285712</v>
      </c>
      <c r="AC17" s="17">
        <f t="shared" si="9"/>
        <v>42.428571428571423</v>
      </c>
      <c r="AD17" s="17">
        <f t="shared" si="9"/>
        <v>0.2857142857142857</v>
      </c>
      <c r="AE17" s="31">
        <f t="shared" si="9"/>
        <v>83.142857142857139</v>
      </c>
      <c r="AF17" s="31">
        <f t="shared" si="9"/>
        <v>125.57142857142857</v>
      </c>
    </row>
    <row r="18" spans="2:32" ht="23.1" customHeight="1" x14ac:dyDescent="0.25">
      <c r="B18" s="23" t="s">
        <v>45</v>
      </c>
      <c r="C18" s="49">
        <f>AVERAGE('17.10 Busembatya-Butongole'!C18,'18.10 Busembatya-Butongole'!C18,'20.10 Busembatya-Butongole'!C18,'22.10 Busembatya-Butongole'!C18,'19.10 Butongole-Busembatya-24h'!C18,'21.10 Busembatya-Butongole-24h'!C18,'23.10 Busembtya-Butongole'!C18)</f>
        <v>2.4285714285714284</v>
      </c>
      <c r="D18" s="49">
        <f>AVERAGE('17.10 Busembatya-Butongole'!D18,'18.10 Busembatya-Butongole'!D18,'20.10 Busembatya-Butongole'!D18,'22.10 Busembatya-Butongole'!D18,'19.10 Butongole-Busembatya-24h'!D18,'21.10 Busembatya-Butongole-24h'!D18,'23.10 Busembtya-Butongole'!D18)</f>
        <v>1.2857142857142858</v>
      </c>
      <c r="E18" s="49">
        <f>AVERAGE('17.10 Busembatya-Butongole'!E18,'18.10 Busembatya-Butongole'!E18,'20.10 Busembatya-Butongole'!E18,'22.10 Busembatya-Butongole'!E18,'19.10 Butongole-Busembatya-24h'!E18,'21.10 Busembatya-Butongole-24h'!E18,'23.10 Busembtya-Butongole'!E18)</f>
        <v>1.4285714285714286</v>
      </c>
      <c r="F18" s="49">
        <f>AVERAGE('17.10 Busembatya-Butongole'!F18,'18.10 Busembatya-Butongole'!F18,'20.10 Busembatya-Butongole'!F18,'22.10 Busembatya-Butongole'!F18,'19.10 Butongole-Busembatya-24h'!F18,'21.10 Busembatya-Butongole-24h'!F18,'23.10 Busembtya-Butongole'!F18)</f>
        <v>9</v>
      </c>
      <c r="G18" s="49">
        <f>AVERAGE('17.10 Busembatya-Butongole'!G18,'18.10 Busembatya-Butongole'!G18,'20.10 Busembatya-Butongole'!G18,'22.10 Busembatya-Butongole'!G18,'19.10 Butongole-Busembatya-24h'!G18,'21.10 Busembatya-Butongole-24h'!G18,'23.10 Busembtya-Butongole'!G18)</f>
        <v>0</v>
      </c>
      <c r="H18" s="49">
        <f>AVERAGE('17.10 Busembatya-Butongole'!H18,'18.10 Busembatya-Butongole'!H18,'20.10 Busembatya-Butongole'!H18,'22.10 Busembatya-Butongole'!H18,'19.10 Butongole-Busembatya-24h'!H18,'21.10 Busembatya-Butongole-24h'!H18,'23.10 Busembtya-Butongole'!H18)</f>
        <v>0.14285714285714285</v>
      </c>
      <c r="I18" s="49">
        <f>AVERAGE('17.10 Busembatya-Butongole'!I18,'18.10 Busembatya-Butongole'!I18,'20.10 Busembatya-Butongole'!I18,'22.10 Busembatya-Butongole'!I18,'19.10 Butongole-Busembatya-24h'!I18,'21.10 Busembatya-Butongole-24h'!I18,'23.10 Busembtya-Butongole'!I18)</f>
        <v>0.8571428571428571</v>
      </c>
      <c r="J18" s="49">
        <f>AVERAGE('17.10 Busembatya-Butongole'!J18,'18.10 Busembatya-Butongole'!J18,'20.10 Busembatya-Butongole'!J18,'22.10 Busembatya-Butongole'!J18,'19.10 Butongole-Busembatya-24h'!J18,'21.10 Busembatya-Butongole-24h'!J18,'23.10 Busembtya-Butongole'!J18)</f>
        <v>1.5714285714285714</v>
      </c>
      <c r="K18" s="49">
        <f>AVERAGE('17.10 Busembatya-Butongole'!K18,'18.10 Busembatya-Butongole'!K18,'20.10 Busembatya-Butongole'!K18,'22.10 Busembatya-Butongole'!K18,'19.10 Butongole-Busembatya-24h'!K18,'21.10 Busembatya-Butongole-24h'!K18,'23.10 Busembtya-Butongole'!K18)</f>
        <v>0.8571428571428571</v>
      </c>
      <c r="L18" s="49">
        <f>AVERAGE('17.10 Busembatya-Butongole'!L18,'18.10 Busembatya-Butongole'!L18,'20.10 Busembatya-Butongole'!L18,'22.10 Busembatya-Butongole'!L18,'19.10 Butongole-Busembatya-24h'!L18,'21.10 Busembatya-Butongole-24h'!L18,'23.10 Busembtya-Butongole'!L18)</f>
        <v>0.2857142857142857</v>
      </c>
      <c r="M18" s="49">
        <f>AVERAGE('17.10 Busembatya-Butongole'!M18,'18.10 Busembatya-Butongole'!M18,'20.10 Busembatya-Butongole'!M18,'22.10 Busembatya-Butongole'!M18,'19.10 Butongole-Busembatya-24h'!M18,'21.10 Busembatya-Butongole-24h'!M18,'23.10 Busembtya-Butongole'!M18)</f>
        <v>8.8571428571428577</v>
      </c>
      <c r="N18" s="49">
        <f>AVERAGE('17.10 Busembatya-Butongole'!N18,'18.10 Busembatya-Butongole'!N18,'20.10 Busembatya-Butongole'!N18,'22.10 Busembatya-Butongole'!N18,'19.10 Butongole-Busembatya-24h'!N18,'21.10 Busembatya-Butongole-24h'!N18,'23.10 Busembtya-Butongole'!N18)</f>
        <v>0.14285714285714285</v>
      </c>
      <c r="O18" s="15">
        <f t="shared" si="0"/>
        <v>18</v>
      </c>
      <c r="P18" s="15">
        <f t="shared" si="1"/>
        <v>26.857142857142858</v>
      </c>
      <c r="R18" s="1" t="s">
        <v>14</v>
      </c>
      <c r="S18" s="17">
        <f t="shared" ref="S18:AF18" si="10">SUM(C42:C45)</f>
        <v>19</v>
      </c>
      <c r="T18" s="17">
        <f t="shared" si="10"/>
        <v>7.1428571428571432</v>
      </c>
      <c r="U18" s="17">
        <f t="shared" si="10"/>
        <v>8.4285714285714288</v>
      </c>
      <c r="V18" s="17">
        <f t="shared" si="10"/>
        <v>34.142857142857146</v>
      </c>
      <c r="W18" s="17">
        <f t="shared" si="10"/>
        <v>0.8571428571428571</v>
      </c>
      <c r="X18" s="17">
        <f t="shared" si="10"/>
        <v>2.8571428571428568</v>
      </c>
      <c r="Y18" s="17">
        <f t="shared" si="10"/>
        <v>4.5714285714285712</v>
      </c>
      <c r="Z18" s="17">
        <f t="shared" si="10"/>
        <v>7</v>
      </c>
      <c r="AA18" s="17">
        <f t="shared" si="10"/>
        <v>3</v>
      </c>
      <c r="AB18" s="17">
        <f t="shared" si="10"/>
        <v>1.1428571428571428</v>
      </c>
      <c r="AC18" s="17">
        <f t="shared" si="10"/>
        <v>38.285714285714285</v>
      </c>
      <c r="AD18" s="17">
        <f t="shared" si="10"/>
        <v>0.71428571428571419</v>
      </c>
      <c r="AE18" s="31">
        <f t="shared" si="10"/>
        <v>88.857142857142847</v>
      </c>
      <c r="AF18" s="31">
        <f t="shared" si="10"/>
        <v>127.14285714285712</v>
      </c>
    </row>
    <row r="19" spans="2:32" ht="23.1" customHeight="1" x14ac:dyDescent="0.25">
      <c r="B19" s="23" t="s">
        <v>46</v>
      </c>
      <c r="C19" s="49">
        <f>AVERAGE('17.10 Busembatya-Butongole'!C19,'18.10 Busembatya-Butongole'!C19,'20.10 Busembatya-Butongole'!C19,'22.10 Busembatya-Butongole'!C19,'19.10 Butongole-Busembatya-24h'!C19,'21.10 Busembatya-Butongole-24h'!C19,'23.10 Busembtya-Butongole'!C19)</f>
        <v>3.5714285714285716</v>
      </c>
      <c r="D19" s="49">
        <f>AVERAGE('17.10 Busembatya-Butongole'!D19,'18.10 Busembatya-Butongole'!D19,'20.10 Busembatya-Butongole'!D19,'22.10 Busembatya-Butongole'!D19,'19.10 Butongole-Busembatya-24h'!D19,'21.10 Busembatya-Butongole-24h'!D19,'23.10 Busembtya-Butongole'!D19)</f>
        <v>0.8571428571428571</v>
      </c>
      <c r="E19" s="49">
        <f>AVERAGE('17.10 Busembatya-Butongole'!E19,'18.10 Busembatya-Butongole'!E19,'20.10 Busembatya-Butongole'!E19,'22.10 Busembatya-Butongole'!E19,'19.10 Butongole-Busembatya-24h'!E19,'21.10 Busembatya-Butongole-24h'!E19,'23.10 Busembtya-Butongole'!E19)</f>
        <v>1.2857142857142858</v>
      </c>
      <c r="F19" s="49">
        <f>AVERAGE('17.10 Busembatya-Butongole'!F19,'18.10 Busembatya-Butongole'!F19,'20.10 Busembatya-Butongole'!F19,'22.10 Busembatya-Butongole'!F19,'19.10 Butongole-Busembatya-24h'!F19,'21.10 Busembatya-Butongole-24h'!F19,'23.10 Busembtya-Butongole'!F19)</f>
        <v>10</v>
      </c>
      <c r="G19" s="49">
        <f>AVERAGE('17.10 Busembatya-Butongole'!G19,'18.10 Busembatya-Butongole'!G19,'20.10 Busembatya-Butongole'!G19,'22.10 Busembatya-Butongole'!G19,'19.10 Butongole-Busembatya-24h'!G19,'21.10 Busembatya-Butongole-24h'!G19,'23.10 Busembtya-Butongole'!G19)</f>
        <v>0.14285714285714285</v>
      </c>
      <c r="H19" s="49">
        <f>AVERAGE('17.10 Busembatya-Butongole'!H19,'18.10 Busembatya-Butongole'!H19,'20.10 Busembatya-Butongole'!H19,'22.10 Busembatya-Butongole'!H19,'19.10 Butongole-Busembatya-24h'!H19,'21.10 Busembatya-Butongole-24h'!H19,'23.10 Busembtya-Butongole'!H19)</f>
        <v>0.42857142857142855</v>
      </c>
      <c r="I19" s="49">
        <f>AVERAGE('17.10 Busembatya-Butongole'!I19,'18.10 Busembatya-Butongole'!I19,'20.10 Busembatya-Butongole'!I19,'22.10 Busembatya-Butongole'!I19,'19.10 Butongole-Busembatya-24h'!I19,'21.10 Busembatya-Butongole-24h'!I19,'23.10 Busembtya-Butongole'!I19)</f>
        <v>0.14285714285714285</v>
      </c>
      <c r="J19" s="49">
        <f>AVERAGE('17.10 Busembatya-Butongole'!J19,'18.10 Busembatya-Butongole'!J19,'20.10 Busembatya-Butongole'!J19,'22.10 Busembatya-Butongole'!J19,'19.10 Butongole-Busembatya-24h'!J19,'21.10 Busembatya-Butongole-24h'!J19,'23.10 Busembtya-Butongole'!J19)</f>
        <v>0.42857142857142855</v>
      </c>
      <c r="K19" s="49">
        <f>AVERAGE('17.10 Busembatya-Butongole'!K19,'18.10 Busembatya-Butongole'!K19,'20.10 Busembatya-Butongole'!K19,'22.10 Busembatya-Butongole'!K19,'19.10 Butongole-Busembatya-24h'!K19,'21.10 Busembatya-Butongole-24h'!K19,'23.10 Busembtya-Butongole'!K19)</f>
        <v>0.7142857142857143</v>
      </c>
      <c r="L19" s="49">
        <f>AVERAGE('17.10 Busembatya-Butongole'!L19,'18.10 Busembatya-Butongole'!L19,'20.10 Busembatya-Butongole'!L19,'22.10 Busembatya-Butongole'!L19,'19.10 Butongole-Busembatya-24h'!L19,'21.10 Busembatya-Butongole-24h'!L19,'23.10 Busembtya-Butongole'!L19)</f>
        <v>0.42857142857142855</v>
      </c>
      <c r="M19" s="49">
        <f>AVERAGE('17.10 Busembatya-Butongole'!M19,'18.10 Busembatya-Butongole'!M19,'20.10 Busembatya-Butongole'!M19,'22.10 Busembatya-Butongole'!M19,'19.10 Butongole-Busembatya-24h'!M19,'21.10 Busembatya-Butongole-24h'!M19,'23.10 Busembtya-Butongole'!M19)</f>
        <v>11.142857142857142</v>
      </c>
      <c r="N19" s="49">
        <f>AVERAGE('17.10 Busembatya-Butongole'!N19,'18.10 Busembatya-Butongole'!N19,'20.10 Busembatya-Butongole'!N19,'22.10 Busembatya-Butongole'!N19,'19.10 Butongole-Busembatya-24h'!N19,'21.10 Busembatya-Butongole-24h'!N19,'23.10 Busembtya-Butongole'!N19)</f>
        <v>0</v>
      </c>
      <c r="O19" s="15">
        <f t="shared" si="0"/>
        <v>17.999999999999996</v>
      </c>
      <c r="P19" s="15">
        <f t="shared" si="1"/>
        <v>29.142857142857139</v>
      </c>
      <c r="R19" s="1" t="s">
        <v>15</v>
      </c>
      <c r="S19" s="17">
        <f t="shared" ref="S19:AF19" si="11">SUM(C46:C49)</f>
        <v>16.428571428571427</v>
      </c>
      <c r="T19" s="17">
        <f t="shared" si="11"/>
        <v>8.1428571428571423</v>
      </c>
      <c r="U19" s="17">
        <f t="shared" si="11"/>
        <v>10.571428571428571</v>
      </c>
      <c r="V19" s="17">
        <f t="shared" si="11"/>
        <v>36.714285714285715</v>
      </c>
      <c r="W19" s="17">
        <f t="shared" si="11"/>
        <v>0.71428571428571419</v>
      </c>
      <c r="X19" s="17">
        <f t="shared" si="11"/>
        <v>1.5714285714285712</v>
      </c>
      <c r="Y19" s="17">
        <f t="shared" si="11"/>
        <v>3.5714285714285712</v>
      </c>
      <c r="Z19" s="17">
        <f t="shared" si="11"/>
        <v>5</v>
      </c>
      <c r="AA19" s="17">
        <f t="shared" si="11"/>
        <v>5</v>
      </c>
      <c r="AB19" s="17">
        <f t="shared" si="11"/>
        <v>0.42857142857142855</v>
      </c>
      <c r="AC19" s="17">
        <f t="shared" si="11"/>
        <v>33.428571428571431</v>
      </c>
      <c r="AD19" s="17">
        <f t="shared" si="11"/>
        <v>0.14285714285714285</v>
      </c>
      <c r="AE19" s="31">
        <f t="shared" si="11"/>
        <v>88.285714285714278</v>
      </c>
      <c r="AF19" s="31">
        <f t="shared" si="11"/>
        <v>121.71428571428571</v>
      </c>
    </row>
    <row r="20" spans="2:32" ht="23.1" customHeight="1" x14ac:dyDescent="0.25">
      <c r="B20" s="23" t="s">
        <v>47</v>
      </c>
      <c r="C20" s="49">
        <f>AVERAGE('17.10 Busembatya-Butongole'!C20,'18.10 Busembatya-Butongole'!C20,'20.10 Busembatya-Butongole'!C20,'22.10 Busembatya-Butongole'!C20,'19.10 Butongole-Busembatya-24h'!C20,'21.10 Busembatya-Butongole-24h'!C20,'23.10 Busembtya-Butongole'!C20)</f>
        <v>2.5714285714285716</v>
      </c>
      <c r="D20" s="49">
        <f>AVERAGE('17.10 Busembatya-Butongole'!D20,'18.10 Busembatya-Butongole'!D20,'20.10 Busembatya-Butongole'!D20,'22.10 Busembatya-Butongole'!D20,'19.10 Butongole-Busembatya-24h'!D20,'21.10 Busembatya-Butongole-24h'!D20,'23.10 Busembtya-Butongole'!D20)</f>
        <v>1.8571428571428572</v>
      </c>
      <c r="E20" s="49">
        <f>AVERAGE('17.10 Busembatya-Butongole'!E20,'18.10 Busembatya-Butongole'!E20,'20.10 Busembatya-Butongole'!E20,'22.10 Busembatya-Butongole'!E20,'19.10 Butongole-Busembatya-24h'!E20,'21.10 Busembatya-Butongole-24h'!E20,'23.10 Busembtya-Butongole'!E20)</f>
        <v>1.5714285714285714</v>
      </c>
      <c r="F20" s="49">
        <f>AVERAGE('17.10 Busembatya-Butongole'!F20,'18.10 Busembatya-Butongole'!F20,'20.10 Busembatya-Butongole'!F20,'22.10 Busembatya-Butongole'!F20,'19.10 Butongole-Busembatya-24h'!F20,'21.10 Busembatya-Butongole-24h'!F20,'23.10 Busembtya-Butongole'!F20)</f>
        <v>8.8571428571428577</v>
      </c>
      <c r="G20" s="49">
        <f>AVERAGE('17.10 Busembatya-Butongole'!G20,'18.10 Busembatya-Butongole'!G20,'20.10 Busembatya-Butongole'!G20,'22.10 Busembatya-Butongole'!G20,'19.10 Butongole-Busembatya-24h'!G20,'21.10 Busembatya-Butongole-24h'!G20,'23.10 Busembtya-Butongole'!G20)</f>
        <v>0.2857142857142857</v>
      </c>
      <c r="H20" s="49">
        <f>AVERAGE('17.10 Busembatya-Butongole'!H20,'18.10 Busembatya-Butongole'!H20,'20.10 Busembatya-Butongole'!H20,'22.10 Busembatya-Butongole'!H20,'19.10 Butongole-Busembatya-24h'!H20,'21.10 Busembatya-Butongole-24h'!H20,'23.10 Busembtya-Butongole'!H20)</f>
        <v>0.2857142857142857</v>
      </c>
      <c r="I20" s="49">
        <f>AVERAGE('17.10 Busembatya-Butongole'!I20,'18.10 Busembatya-Butongole'!I20,'20.10 Busembatya-Butongole'!I20,'22.10 Busembatya-Butongole'!I20,'19.10 Butongole-Busembatya-24h'!I20,'21.10 Busembatya-Butongole-24h'!I20,'23.10 Busembtya-Butongole'!I20)</f>
        <v>1.5714285714285714</v>
      </c>
      <c r="J20" s="49">
        <f>AVERAGE('17.10 Busembatya-Butongole'!J20,'18.10 Busembatya-Butongole'!J20,'20.10 Busembatya-Butongole'!J20,'22.10 Busembatya-Butongole'!J20,'19.10 Butongole-Busembatya-24h'!J20,'21.10 Busembatya-Butongole-24h'!J20,'23.10 Busembtya-Butongole'!J20)</f>
        <v>0.42857142857142855</v>
      </c>
      <c r="K20" s="49">
        <f>AVERAGE('17.10 Busembatya-Butongole'!K20,'18.10 Busembatya-Butongole'!K20,'20.10 Busembatya-Butongole'!K20,'22.10 Busembatya-Butongole'!K20,'19.10 Butongole-Busembatya-24h'!K20,'21.10 Busembatya-Butongole-24h'!K20,'23.10 Busembtya-Butongole'!K20)</f>
        <v>0.5714285714285714</v>
      </c>
      <c r="L20" s="49">
        <f>AVERAGE('17.10 Busembatya-Butongole'!L20,'18.10 Busembatya-Butongole'!L20,'20.10 Busembatya-Butongole'!L20,'22.10 Busembatya-Butongole'!L20,'19.10 Butongole-Busembatya-24h'!L20,'21.10 Busembatya-Butongole-24h'!L20,'23.10 Busembtya-Butongole'!L20)</f>
        <v>0.2857142857142857</v>
      </c>
      <c r="M20" s="49">
        <f>AVERAGE('17.10 Busembatya-Butongole'!M20,'18.10 Busembatya-Butongole'!M20,'20.10 Busembatya-Butongole'!M20,'22.10 Busembatya-Butongole'!M20,'19.10 Butongole-Busembatya-24h'!M20,'21.10 Busembatya-Butongole-24h'!M20,'23.10 Busembtya-Butongole'!M20)</f>
        <v>9.1428571428571423</v>
      </c>
      <c r="N20" s="49">
        <f>AVERAGE('17.10 Busembatya-Butongole'!N20,'18.10 Busembatya-Butongole'!N20,'20.10 Busembatya-Butongole'!N20,'22.10 Busembatya-Butongole'!N20,'19.10 Butongole-Busembatya-24h'!N20,'21.10 Busembatya-Butongole-24h'!N20,'23.10 Busembtya-Butongole'!N20)</f>
        <v>0.14285714285714285</v>
      </c>
      <c r="O20" s="15">
        <f t="shared" si="0"/>
        <v>18.428571428571431</v>
      </c>
      <c r="P20" s="15">
        <f t="shared" si="1"/>
        <v>27.571428571428573</v>
      </c>
      <c r="R20" s="1" t="s">
        <v>16</v>
      </c>
      <c r="S20" s="17">
        <f t="shared" ref="S20:AF20" si="12">SUM(C50:C53)</f>
        <v>24.714285714285715</v>
      </c>
      <c r="T20" s="17">
        <f t="shared" si="12"/>
        <v>7.4285714285714279</v>
      </c>
      <c r="U20" s="17">
        <f t="shared" si="12"/>
        <v>11.571428571428571</v>
      </c>
      <c r="V20" s="17">
        <f t="shared" si="12"/>
        <v>44.571428571428569</v>
      </c>
      <c r="W20" s="17">
        <f t="shared" si="12"/>
        <v>2.1428571428571428</v>
      </c>
      <c r="X20" s="17">
        <f t="shared" si="12"/>
        <v>0.71428571428571419</v>
      </c>
      <c r="Y20" s="17">
        <f t="shared" si="12"/>
        <v>4.2857142857142856</v>
      </c>
      <c r="Z20" s="17">
        <f t="shared" si="12"/>
        <v>7</v>
      </c>
      <c r="AA20" s="17">
        <f t="shared" si="12"/>
        <v>3</v>
      </c>
      <c r="AB20" s="17">
        <f t="shared" si="12"/>
        <v>1.4285714285714284</v>
      </c>
      <c r="AC20" s="17">
        <f t="shared" si="12"/>
        <v>51.714285714285715</v>
      </c>
      <c r="AD20" s="17">
        <f t="shared" si="12"/>
        <v>0.2857142857142857</v>
      </c>
      <c r="AE20" s="31">
        <f t="shared" si="12"/>
        <v>107.14285714285714</v>
      </c>
      <c r="AF20" s="31">
        <f t="shared" si="12"/>
        <v>158.85714285714286</v>
      </c>
    </row>
    <row r="21" spans="2:32" ht="23.1" customHeight="1" x14ac:dyDescent="0.25">
      <c r="B21" s="23" t="s">
        <v>48</v>
      </c>
      <c r="C21" s="49">
        <f>AVERAGE('17.10 Busembatya-Butongole'!C21,'18.10 Busembatya-Butongole'!C21,'20.10 Busembatya-Butongole'!C21,'22.10 Busembatya-Butongole'!C21,'19.10 Butongole-Busembatya-24h'!C21,'21.10 Busembatya-Butongole-24h'!C21,'23.10 Busembtya-Butongole'!C21)</f>
        <v>3.2857142857142856</v>
      </c>
      <c r="D21" s="49">
        <f>AVERAGE('17.10 Busembatya-Butongole'!D21,'18.10 Busembatya-Butongole'!D21,'20.10 Busembatya-Butongole'!D21,'22.10 Busembatya-Butongole'!D21,'19.10 Butongole-Busembatya-24h'!D21,'21.10 Busembatya-Butongole-24h'!D21,'23.10 Busembtya-Butongole'!D21)</f>
        <v>1.7142857142857142</v>
      </c>
      <c r="E21" s="49">
        <f>AVERAGE('17.10 Busembatya-Butongole'!E21,'18.10 Busembatya-Butongole'!E21,'20.10 Busembatya-Butongole'!E21,'22.10 Busembatya-Butongole'!E21,'19.10 Butongole-Busembatya-24h'!E21,'21.10 Busembatya-Butongole-24h'!E21,'23.10 Busembtya-Butongole'!E21)</f>
        <v>2.1428571428571428</v>
      </c>
      <c r="F21" s="49">
        <f>AVERAGE('17.10 Busembatya-Butongole'!F21,'18.10 Busembatya-Butongole'!F21,'20.10 Busembatya-Butongole'!F21,'22.10 Busembatya-Butongole'!F21,'19.10 Butongole-Busembatya-24h'!F21,'21.10 Busembatya-Butongole-24h'!F21,'23.10 Busembtya-Butongole'!F21)</f>
        <v>7.2857142857142856</v>
      </c>
      <c r="G21" s="49">
        <f>AVERAGE('17.10 Busembatya-Butongole'!G21,'18.10 Busembatya-Butongole'!G21,'20.10 Busembatya-Butongole'!G21,'22.10 Busembatya-Butongole'!G21,'19.10 Butongole-Busembatya-24h'!G21,'21.10 Busembatya-Butongole-24h'!G21,'23.10 Busembtya-Butongole'!G21)</f>
        <v>0.14285714285714285</v>
      </c>
      <c r="H21" s="49">
        <f>AVERAGE('17.10 Busembatya-Butongole'!H21,'18.10 Busembatya-Butongole'!H21,'20.10 Busembatya-Butongole'!H21,'22.10 Busembatya-Butongole'!H21,'19.10 Butongole-Busembatya-24h'!H21,'21.10 Busembatya-Butongole-24h'!H21,'23.10 Busembtya-Butongole'!H21)</f>
        <v>0.42857142857142855</v>
      </c>
      <c r="I21" s="49">
        <f>AVERAGE('17.10 Busembatya-Butongole'!I21,'18.10 Busembatya-Butongole'!I21,'20.10 Busembatya-Butongole'!I21,'22.10 Busembatya-Butongole'!I21,'19.10 Butongole-Busembatya-24h'!I21,'21.10 Busembatya-Butongole-24h'!I21,'23.10 Busembtya-Butongole'!I21)</f>
        <v>0.42857142857142855</v>
      </c>
      <c r="J21" s="49">
        <f>AVERAGE('17.10 Busembatya-Butongole'!J21,'18.10 Busembatya-Butongole'!J21,'20.10 Busembatya-Butongole'!J21,'22.10 Busembatya-Butongole'!J21,'19.10 Butongole-Busembatya-24h'!J21,'21.10 Busembatya-Butongole-24h'!J21,'23.10 Busembtya-Butongole'!J21)</f>
        <v>0.8571428571428571</v>
      </c>
      <c r="K21" s="49">
        <f>AVERAGE('17.10 Busembatya-Butongole'!K21,'18.10 Busembatya-Butongole'!K21,'20.10 Busembatya-Butongole'!K21,'22.10 Busembatya-Butongole'!K21,'19.10 Butongole-Busembatya-24h'!K21,'21.10 Busembatya-Butongole-24h'!K21,'23.10 Busembtya-Butongole'!K21)</f>
        <v>0.8571428571428571</v>
      </c>
      <c r="L21" s="49">
        <f>AVERAGE('17.10 Busembatya-Butongole'!L21,'18.10 Busembatya-Butongole'!L21,'20.10 Busembatya-Butongole'!L21,'22.10 Busembatya-Butongole'!L21,'19.10 Butongole-Busembatya-24h'!L21,'21.10 Busembatya-Butongole-24h'!L21,'23.10 Busembtya-Butongole'!L21)</f>
        <v>0.42857142857142855</v>
      </c>
      <c r="M21" s="49">
        <f>AVERAGE('17.10 Busembatya-Butongole'!M21,'18.10 Busembatya-Butongole'!M21,'20.10 Busembatya-Butongole'!M21,'22.10 Busembatya-Butongole'!M21,'19.10 Butongole-Busembatya-24h'!M21,'21.10 Busembatya-Butongole-24h'!M21,'23.10 Busembtya-Butongole'!M21)</f>
        <v>8.8571428571428577</v>
      </c>
      <c r="N21" s="49">
        <f>AVERAGE('17.10 Busembatya-Butongole'!N21,'18.10 Busembatya-Butongole'!N21,'20.10 Busembatya-Butongole'!N21,'22.10 Busembatya-Butongole'!N21,'19.10 Butongole-Busembatya-24h'!N21,'21.10 Busembatya-Butongole-24h'!N21,'23.10 Busembtya-Butongole'!N21)</f>
        <v>0.14285714285714285</v>
      </c>
      <c r="O21" s="15">
        <f t="shared" si="0"/>
        <v>17.714285714285712</v>
      </c>
      <c r="P21" s="15">
        <f t="shared" si="1"/>
        <v>26.571428571428569</v>
      </c>
      <c r="R21" s="36" t="s">
        <v>20</v>
      </c>
      <c r="S21" s="34">
        <f t="shared" ref="S21:AF21" si="13">SUM(C54:C57)</f>
        <v>20.428571428571427</v>
      </c>
      <c r="T21" s="17">
        <f t="shared" si="13"/>
        <v>7.8571428571428568</v>
      </c>
      <c r="U21" s="17">
        <f t="shared" si="13"/>
        <v>12.714285714285715</v>
      </c>
      <c r="V21" s="17">
        <f t="shared" si="13"/>
        <v>38.714285714285715</v>
      </c>
      <c r="W21" s="17">
        <f t="shared" si="13"/>
        <v>3</v>
      </c>
      <c r="X21" s="17">
        <f t="shared" si="13"/>
        <v>2.1428571428571428</v>
      </c>
      <c r="Y21" s="17">
        <f t="shared" si="13"/>
        <v>4.4285714285714288</v>
      </c>
      <c r="Z21" s="17">
        <f t="shared" si="13"/>
        <v>5.2857142857142865</v>
      </c>
      <c r="AA21" s="17">
        <f t="shared" si="13"/>
        <v>4.1428571428571423</v>
      </c>
      <c r="AB21" s="17">
        <f t="shared" si="13"/>
        <v>0.5714285714285714</v>
      </c>
      <c r="AC21" s="17">
        <f t="shared" si="13"/>
        <v>45.285714285714285</v>
      </c>
      <c r="AD21" s="17">
        <f t="shared" si="13"/>
        <v>0</v>
      </c>
      <c r="AE21" s="31">
        <f t="shared" si="13"/>
        <v>99.285714285714292</v>
      </c>
      <c r="AF21" s="31">
        <f t="shared" si="13"/>
        <v>144.57142857142856</v>
      </c>
    </row>
    <row r="22" spans="2:32" ht="23.1" customHeight="1" x14ac:dyDescent="0.25">
      <c r="B22" s="23" t="s">
        <v>49</v>
      </c>
      <c r="C22" s="49">
        <f>AVERAGE('17.10 Busembatya-Butongole'!C22,'18.10 Busembatya-Butongole'!C22,'20.10 Busembatya-Butongole'!C22,'22.10 Busembatya-Butongole'!C22,'19.10 Butongole-Busembatya-24h'!C22,'21.10 Busembatya-Butongole-24h'!C22,'23.10 Busembtya-Butongole'!C22)</f>
        <v>3.1428571428571428</v>
      </c>
      <c r="D22" s="49">
        <f>AVERAGE('17.10 Busembatya-Butongole'!D22,'18.10 Busembatya-Butongole'!D22,'20.10 Busembatya-Butongole'!D22,'22.10 Busembatya-Butongole'!D22,'19.10 Butongole-Busembatya-24h'!D22,'21.10 Busembatya-Butongole-24h'!D22,'23.10 Busembtya-Butongole'!D22)</f>
        <v>0.7142857142857143</v>
      </c>
      <c r="E22" s="49">
        <f>AVERAGE('17.10 Busembatya-Butongole'!E22,'18.10 Busembatya-Butongole'!E22,'20.10 Busembatya-Butongole'!E22,'22.10 Busembatya-Butongole'!E22,'19.10 Butongole-Busembatya-24h'!E22,'21.10 Busembatya-Butongole-24h'!E22,'23.10 Busembtya-Butongole'!E22)</f>
        <v>0.8571428571428571</v>
      </c>
      <c r="F22" s="49">
        <f>AVERAGE('17.10 Busembatya-Butongole'!F22,'18.10 Busembatya-Butongole'!F22,'20.10 Busembatya-Butongole'!F22,'22.10 Busembatya-Butongole'!F22,'19.10 Butongole-Busembatya-24h'!F22,'21.10 Busembatya-Butongole-24h'!F22,'23.10 Busembtya-Butongole'!F22)</f>
        <v>8.7142857142857135</v>
      </c>
      <c r="G22" s="49">
        <f>AVERAGE('17.10 Busembatya-Butongole'!G22,'18.10 Busembatya-Butongole'!G22,'20.10 Busembatya-Butongole'!G22,'22.10 Busembatya-Butongole'!G22,'19.10 Butongole-Busembatya-24h'!G22,'21.10 Busembatya-Butongole-24h'!G22,'23.10 Busembtya-Butongole'!G22)</f>
        <v>0.2857142857142857</v>
      </c>
      <c r="H22" s="49">
        <f>AVERAGE('17.10 Busembatya-Butongole'!H22,'18.10 Busembatya-Butongole'!H22,'20.10 Busembatya-Butongole'!H22,'22.10 Busembatya-Butongole'!H22,'19.10 Butongole-Busembatya-24h'!H22,'21.10 Busembatya-Butongole-24h'!H22,'23.10 Busembtya-Butongole'!H22)</f>
        <v>0.42857142857142855</v>
      </c>
      <c r="I22" s="49">
        <f>AVERAGE('17.10 Busembatya-Butongole'!I22,'18.10 Busembatya-Butongole'!I22,'20.10 Busembatya-Butongole'!I22,'22.10 Busembatya-Butongole'!I22,'19.10 Butongole-Busembatya-24h'!I22,'21.10 Busembatya-Butongole-24h'!I22,'23.10 Busembtya-Butongole'!I22)</f>
        <v>0.7142857142857143</v>
      </c>
      <c r="J22" s="49">
        <f>AVERAGE('17.10 Busembatya-Butongole'!J22,'18.10 Busembatya-Butongole'!J22,'20.10 Busembatya-Butongole'!J22,'22.10 Busembatya-Butongole'!J22,'19.10 Butongole-Busembatya-24h'!J22,'21.10 Busembatya-Butongole-24h'!J22,'23.10 Busembtya-Butongole'!J22)</f>
        <v>0.5714285714285714</v>
      </c>
      <c r="K22" s="49">
        <f>AVERAGE('17.10 Busembatya-Butongole'!K22,'18.10 Busembatya-Butongole'!K22,'20.10 Busembatya-Butongole'!K22,'22.10 Busembatya-Butongole'!K22,'19.10 Butongole-Busembatya-24h'!K22,'21.10 Busembatya-Butongole-24h'!K22,'23.10 Busembtya-Butongole'!K22)</f>
        <v>0.42857142857142855</v>
      </c>
      <c r="L22" s="49">
        <f>AVERAGE('17.10 Busembatya-Butongole'!L22,'18.10 Busembatya-Butongole'!L22,'20.10 Busembatya-Butongole'!L22,'22.10 Busembatya-Butongole'!L22,'19.10 Butongole-Busembatya-24h'!L22,'21.10 Busembatya-Butongole-24h'!L22,'23.10 Busembtya-Butongole'!L22)</f>
        <v>0.2857142857142857</v>
      </c>
      <c r="M22" s="49">
        <f>AVERAGE('17.10 Busembatya-Butongole'!M22,'18.10 Busembatya-Butongole'!M22,'20.10 Busembatya-Butongole'!M22,'22.10 Busembatya-Butongole'!M22,'19.10 Butongole-Busembatya-24h'!M22,'21.10 Busembatya-Butongole-24h'!M22,'23.10 Busembtya-Butongole'!M22)</f>
        <v>8.8571428571428577</v>
      </c>
      <c r="N22" s="49">
        <f>AVERAGE('17.10 Busembatya-Butongole'!N22,'18.10 Busembatya-Butongole'!N22,'20.10 Busembatya-Butongole'!N22,'22.10 Busembatya-Butongole'!N22,'19.10 Butongole-Busembatya-24h'!N22,'21.10 Busembatya-Butongole-24h'!N22,'23.10 Busembtya-Butongole'!N22)</f>
        <v>0</v>
      </c>
      <c r="O22" s="15">
        <f t="shared" si="0"/>
        <v>16.142857142857142</v>
      </c>
      <c r="P22" s="15">
        <f t="shared" si="1"/>
        <v>25</v>
      </c>
      <c r="R22" s="1" t="s">
        <v>146</v>
      </c>
      <c r="S22" s="34">
        <f>SUM(C58:C61)</f>
        <v>36.5</v>
      </c>
      <c r="T22" s="34">
        <f t="shared" ref="T22:AF22" si="14">SUM(D58:D61)</f>
        <v>11</v>
      </c>
      <c r="U22" s="34">
        <f t="shared" si="14"/>
        <v>10</v>
      </c>
      <c r="V22" s="34">
        <f t="shared" si="14"/>
        <v>35.5</v>
      </c>
      <c r="W22" s="34">
        <f t="shared" si="14"/>
        <v>1.5</v>
      </c>
      <c r="X22" s="34">
        <f t="shared" si="14"/>
        <v>0</v>
      </c>
      <c r="Y22" s="34">
        <f t="shared" si="14"/>
        <v>19</v>
      </c>
      <c r="Z22" s="34">
        <f t="shared" si="14"/>
        <v>0</v>
      </c>
      <c r="AA22" s="34">
        <f t="shared" si="14"/>
        <v>3.5</v>
      </c>
      <c r="AB22" s="34">
        <f t="shared" si="14"/>
        <v>0.5</v>
      </c>
      <c r="AC22" s="34">
        <f t="shared" si="14"/>
        <v>43.5</v>
      </c>
      <c r="AD22" s="34">
        <f t="shared" si="14"/>
        <v>0</v>
      </c>
      <c r="AE22" s="31">
        <f t="shared" si="14"/>
        <v>117.5</v>
      </c>
      <c r="AF22" s="31">
        <f t="shared" si="14"/>
        <v>161</v>
      </c>
    </row>
    <row r="23" spans="2:32" ht="23.1" customHeight="1" x14ac:dyDescent="0.25">
      <c r="B23" s="23" t="s">
        <v>50</v>
      </c>
      <c r="C23" s="49">
        <f>AVERAGE('17.10 Busembatya-Butongole'!C23,'18.10 Busembatya-Butongole'!C23,'20.10 Busembatya-Butongole'!C23,'22.10 Busembatya-Butongole'!C23,'19.10 Butongole-Busembatya-24h'!C23,'21.10 Busembatya-Butongole-24h'!C23,'23.10 Busembtya-Butongole'!C23)</f>
        <v>2.2857142857142856</v>
      </c>
      <c r="D23" s="49">
        <f>AVERAGE('17.10 Busembatya-Butongole'!D23,'18.10 Busembatya-Butongole'!D23,'20.10 Busembatya-Butongole'!D23,'22.10 Busembatya-Butongole'!D23,'19.10 Butongole-Busembatya-24h'!D23,'21.10 Busembatya-Butongole-24h'!D23,'23.10 Busembtya-Butongole'!D23)</f>
        <v>1.4285714285714286</v>
      </c>
      <c r="E23" s="49">
        <f>AVERAGE('17.10 Busembatya-Butongole'!E23,'18.10 Busembatya-Butongole'!E23,'20.10 Busembatya-Butongole'!E23,'22.10 Busembatya-Butongole'!E23,'19.10 Butongole-Busembatya-24h'!E23,'21.10 Busembatya-Butongole-24h'!E23,'23.10 Busembtya-Butongole'!E23)</f>
        <v>0.8571428571428571</v>
      </c>
      <c r="F23" s="49">
        <f>AVERAGE('17.10 Busembatya-Butongole'!F23,'18.10 Busembatya-Butongole'!F23,'20.10 Busembatya-Butongole'!F23,'22.10 Busembatya-Butongole'!F23,'19.10 Butongole-Busembatya-24h'!F23,'21.10 Busembatya-Butongole-24h'!F23,'23.10 Busembtya-Butongole'!F23)</f>
        <v>8.2857142857142865</v>
      </c>
      <c r="G23" s="49">
        <f>AVERAGE('17.10 Busembatya-Butongole'!G23,'18.10 Busembatya-Butongole'!G23,'20.10 Busembatya-Butongole'!G23,'22.10 Busembatya-Butongole'!G23,'19.10 Butongole-Busembatya-24h'!G23,'21.10 Busembatya-Butongole-24h'!G23,'23.10 Busembtya-Butongole'!G23)</f>
        <v>0.14285714285714285</v>
      </c>
      <c r="H23" s="49">
        <f>AVERAGE('17.10 Busembatya-Butongole'!H23,'18.10 Busembatya-Butongole'!H23,'20.10 Busembatya-Butongole'!H23,'22.10 Busembatya-Butongole'!H23,'19.10 Butongole-Busembatya-24h'!H23,'21.10 Busembatya-Butongole-24h'!H23,'23.10 Busembtya-Butongole'!H23)</f>
        <v>0.14285714285714285</v>
      </c>
      <c r="I23" s="49">
        <f>AVERAGE('17.10 Busembatya-Butongole'!I23,'18.10 Busembatya-Butongole'!I23,'20.10 Busembatya-Butongole'!I23,'22.10 Busembatya-Butongole'!I23,'19.10 Butongole-Busembatya-24h'!I23,'21.10 Busembatya-Butongole-24h'!I23,'23.10 Busembtya-Butongole'!I23)</f>
        <v>0.14285714285714285</v>
      </c>
      <c r="J23" s="49">
        <f>AVERAGE('17.10 Busembatya-Butongole'!J23,'18.10 Busembatya-Butongole'!J23,'20.10 Busembatya-Butongole'!J23,'22.10 Busembatya-Butongole'!J23,'19.10 Butongole-Busembatya-24h'!J23,'21.10 Busembatya-Butongole-24h'!J23,'23.10 Busembtya-Butongole'!J23)</f>
        <v>1.2857142857142858</v>
      </c>
      <c r="K23" s="49">
        <f>AVERAGE('17.10 Busembatya-Butongole'!K23,'18.10 Busembatya-Butongole'!K23,'20.10 Busembatya-Butongole'!K23,'22.10 Busembatya-Butongole'!K23,'19.10 Butongole-Busembatya-24h'!K23,'21.10 Busembatya-Butongole-24h'!K23,'23.10 Busembtya-Butongole'!K23)</f>
        <v>0.42857142857142855</v>
      </c>
      <c r="L23" s="49">
        <f>AVERAGE('17.10 Busembatya-Butongole'!L23,'18.10 Busembatya-Butongole'!L23,'20.10 Busembatya-Butongole'!L23,'22.10 Busembatya-Butongole'!L23,'19.10 Butongole-Busembatya-24h'!L23,'21.10 Busembatya-Butongole-24h'!L23,'23.10 Busembtya-Butongole'!L23)</f>
        <v>0.2857142857142857</v>
      </c>
      <c r="M23" s="49">
        <f>AVERAGE('17.10 Busembatya-Butongole'!M23,'18.10 Busembatya-Butongole'!M23,'20.10 Busembatya-Butongole'!M23,'22.10 Busembatya-Butongole'!M23,'19.10 Butongole-Busembatya-24h'!M23,'21.10 Busembatya-Butongole-24h'!M23,'23.10 Busembtya-Butongole'!M23)</f>
        <v>8.4285714285714288</v>
      </c>
      <c r="N23" s="49">
        <f>AVERAGE('17.10 Busembatya-Butongole'!N23,'18.10 Busembatya-Butongole'!N23,'20.10 Busembatya-Butongole'!N23,'22.10 Busembatya-Butongole'!N23,'19.10 Butongole-Busembatya-24h'!N23,'21.10 Busembatya-Butongole-24h'!N23,'23.10 Busembtya-Butongole'!N23)</f>
        <v>0.2857142857142857</v>
      </c>
      <c r="O23" s="15">
        <f t="shared" si="0"/>
        <v>15.571428571428573</v>
      </c>
      <c r="P23" s="15">
        <f t="shared" si="1"/>
        <v>24</v>
      </c>
      <c r="R23" s="1" t="s">
        <v>147</v>
      </c>
      <c r="S23" s="34">
        <f>SUM(C62:C65)</f>
        <v>29</v>
      </c>
      <c r="T23" s="34">
        <f t="shared" ref="T23:AF23" si="15">SUM(D62:D65)</f>
        <v>5.5</v>
      </c>
      <c r="U23" s="34">
        <f t="shared" si="15"/>
        <v>7</v>
      </c>
      <c r="V23" s="34">
        <f t="shared" si="15"/>
        <v>22</v>
      </c>
      <c r="W23" s="34">
        <f t="shared" si="15"/>
        <v>3.5</v>
      </c>
      <c r="X23" s="34">
        <f t="shared" si="15"/>
        <v>2</v>
      </c>
      <c r="Y23" s="34">
        <f t="shared" si="15"/>
        <v>13</v>
      </c>
      <c r="Z23" s="34">
        <f t="shared" si="15"/>
        <v>0</v>
      </c>
      <c r="AA23" s="34">
        <f t="shared" si="15"/>
        <v>8.5</v>
      </c>
      <c r="AB23" s="34">
        <f t="shared" si="15"/>
        <v>0.5</v>
      </c>
      <c r="AC23" s="34">
        <f t="shared" si="15"/>
        <v>20</v>
      </c>
      <c r="AD23" s="34">
        <f t="shared" si="15"/>
        <v>0</v>
      </c>
      <c r="AE23" s="31">
        <f t="shared" si="15"/>
        <v>91</v>
      </c>
      <c r="AF23" s="31">
        <f t="shared" si="15"/>
        <v>111</v>
      </c>
    </row>
    <row r="24" spans="2:32" ht="23.1" customHeight="1" x14ac:dyDescent="0.25">
      <c r="B24" s="23" t="s">
        <v>51</v>
      </c>
      <c r="C24" s="49">
        <f>AVERAGE('17.10 Busembatya-Butongole'!C24,'18.10 Busembatya-Butongole'!C24,'20.10 Busembatya-Butongole'!C24,'22.10 Busembatya-Butongole'!C24,'19.10 Butongole-Busembatya-24h'!C24,'21.10 Busembatya-Butongole-24h'!C24,'23.10 Busembtya-Butongole'!C24)</f>
        <v>3.1428571428571428</v>
      </c>
      <c r="D24" s="49">
        <f>AVERAGE('17.10 Busembatya-Butongole'!D24,'18.10 Busembatya-Butongole'!D24,'20.10 Busembatya-Butongole'!D24,'22.10 Busembatya-Butongole'!D24,'19.10 Butongole-Busembatya-24h'!D24,'21.10 Busembatya-Butongole-24h'!D24,'23.10 Busembtya-Butongole'!D24)</f>
        <v>1.4285714285714286</v>
      </c>
      <c r="E24" s="49">
        <f>AVERAGE('17.10 Busembatya-Butongole'!E24,'18.10 Busembatya-Butongole'!E24,'20.10 Busembatya-Butongole'!E24,'22.10 Busembatya-Butongole'!E24,'19.10 Butongole-Busembatya-24h'!E24,'21.10 Busembatya-Butongole-24h'!E24,'23.10 Busembtya-Butongole'!E24)</f>
        <v>2</v>
      </c>
      <c r="F24" s="49">
        <f>AVERAGE('17.10 Busembatya-Butongole'!F24,'18.10 Busembatya-Butongole'!F24,'20.10 Busembatya-Butongole'!F24,'22.10 Busembatya-Butongole'!F24,'19.10 Butongole-Busembatya-24h'!F24,'21.10 Busembatya-Butongole-24h'!F24,'23.10 Busembtya-Butongole'!F24)</f>
        <v>8.4285714285714288</v>
      </c>
      <c r="G24" s="49">
        <f>AVERAGE('17.10 Busembatya-Butongole'!G24,'18.10 Busembatya-Butongole'!G24,'20.10 Busembatya-Butongole'!G24,'22.10 Busembatya-Butongole'!G24,'19.10 Butongole-Busembatya-24h'!G24,'21.10 Busembatya-Butongole-24h'!G24,'23.10 Busembtya-Butongole'!G24)</f>
        <v>0</v>
      </c>
      <c r="H24" s="49">
        <f>AVERAGE('17.10 Busembatya-Butongole'!H24,'18.10 Busembatya-Butongole'!H24,'20.10 Busembatya-Butongole'!H24,'22.10 Busembatya-Butongole'!H24,'19.10 Butongole-Busembatya-24h'!H24,'21.10 Busembatya-Butongole-24h'!H24,'23.10 Busembtya-Butongole'!H24)</f>
        <v>0</v>
      </c>
      <c r="I24" s="49">
        <f>AVERAGE('17.10 Busembatya-Butongole'!I24,'18.10 Busembatya-Butongole'!I24,'20.10 Busembatya-Butongole'!I24,'22.10 Busembatya-Butongole'!I24,'19.10 Butongole-Busembatya-24h'!I24,'21.10 Busembatya-Butongole-24h'!I24,'23.10 Busembtya-Butongole'!I24)</f>
        <v>0.8571428571428571</v>
      </c>
      <c r="J24" s="49">
        <f>AVERAGE('17.10 Busembatya-Butongole'!J24,'18.10 Busembatya-Butongole'!J24,'20.10 Busembatya-Butongole'!J24,'22.10 Busembatya-Butongole'!J24,'19.10 Butongole-Busembatya-24h'!J24,'21.10 Busembatya-Butongole-24h'!J24,'23.10 Busembtya-Butongole'!J24)</f>
        <v>0.42857142857142855</v>
      </c>
      <c r="K24" s="49">
        <f>AVERAGE('17.10 Busembatya-Butongole'!K24,'18.10 Busembatya-Butongole'!K24,'20.10 Busembatya-Butongole'!K24,'22.10 Busembatya-Butongole'!K24,'19.10 Butongole-Busembatya-24h'!K24,'21.10 Busembatya-Butongole-24h'!K24,'23.10 Busembtya-Butongole'!K24)</f>
        <v>0.42857142857142855</v>
      </c>
      <c r="L24" s="49">
        <f>AVERAGE('17.10 Busembatya-Butongole'!L24,'18.10 Busembatya-Butongole'!L24,'20.10 Busembatya-Butongole'!L24,'22.10 Busembatya-Butongole'!L24,'19.10 Butongole-Busembatya-24h'!L24,'21.10 Busembatya-Butongole-24h'!L24,'23.10 Busembtya-Butongole'!L24)</f>
        <v>0.42857142857142855</v>
      </c>
      <c r="M24" s="49">
        <f>AVERAGE('17.10 Busembatya-Butongole'!M24,'18.10 Busembatya-Butongole'!M24,'20.10 Busembatya-Butongole'!M24,'22.10 Busembatya-Butongole'!M24,'19.10 Butongole-Busembatya-24h'!M24,'21.10 Busembatya-Butongole-24h'!M24,'23.10 Busembtya-Butongole'!M24)</f>
        <v>9.1428571428571423</v>
      </c>
      <c r="N24" s="49">
        <f>AVERAGE('17.10 Busembatya-Butongole'!N24,'18.10 Busembatya-Butongole'!N24,'20.10 Busembatya-Butongole'!N24,'22.10 Busembatya-Butongole'!N24,'19.10 Butongole-Busembatya-24h'!N24,'21.10 Busembatya-Butongole-24h'!N24,'23.10 Busembtya-Butongole'!N24)</f>
        <v>0</v>
      </c>
      <c r="O24" s="15">
        <f t="shared" si="0"/>
        <v>17.142857142857139</v>
      </c>
      <c r="P24" s="15">
        <f t="shared" si="1"/>
        <v>26.285714285714281</v>
      </c>
      <c r="R24" s="1" t="s">
        <v>148</v>
      </c>
      <c r="S24" s="34">
        <f>SUM(C66:C69)</f>
        <v>10.5</v>
      </c>
      <c r="T24" s="34">
        <f t="shared" ref="T24:AF24" si="16">SUM(D66:D69)</f>
        <v>3.5</v>
      </c>
      <c r="U24" s="34">
        <f t="shared" si="16"/>
        <v>3.5</v>
      </c>
      <c r="V24" s="34">
        <f t="shared" si="16"/>
        <v>13</v>
      </c>
      <c r="W24" s="34">
        <f t="shared" si="16"/>
        <v>1</v>
      </c>
      <c r="X24" s="34">
        <f t="shared" si="16"/>
        <v>0.5</v>
      </c>
      <c r="Y24" s="34">
        <f t="shared" si="16"/>
        <v>9</v>
      </c>
      <c r="Z24" s="34">
        <f t="shared" si="16"/>
        <v>1</v>
      </c>
      <c r="AA24" s="34">
        <f t="shared" si="16"/>
        <v>7</v>
      </c>
      <c r="AB24" s="34">
        <f t="shared" si="16"/>
        <v>0</v>
      </c>
      <c r="AC24" s="34">
        <f t="shared" si="16"/>
        <v>10.5</v>
      </c>
      <c r="AD24" s="34">
        <f t="shared" si="16"/>
        <v>0</v>
      </c>
      <c r="AE24" s="31">
        <f t="shared" si="16"/>
        <v>49</v>
      </c>
      <c r="AF24" s="31">
        <f t="shared" si="16"/>
        <v>59.5</v>
      </c>
    </row>
    <row r="25" spans="2:32" ht="23.1" customHeight="1" x14ac:dyDescent="0.25">
      <c r="B25" s="23" t="s">
        <v>52</v>
      </c>
      <c r="C25" s="49">
        <f>AVERAGE('17.10 Busembatya-Butongole'!C25,'18.10 Busembatya-Butongole'!C25,'20.10 Busembatya-Butongole'!C25,'22.10 Busembatya-Butongole'!C25,'19.10 Butongole-Busembatya-24h'!C25,'21.10 Busembatya-Butongole-24h'!C25,'23.10 Busembtya-Butongole'!C25)</f>
        <v>4.2857142857142856</v>
      </c>
      <c r="D25" s="49">
        <f>AVERAGE('17.10 Busembatya-Butongole'!D25,'18.10 Busembatya-Butongole'!D25,'20.10 Busembatya-Butongole'!D25,'22.10 Busembatya-Butongole'!D25,'19.10 Butongole-Busembatya-24h'!D25,'21.10 Busembatya-Butongole-24h'!D25,'23.10 Busembtya-Butongole'!D25)</f>
        <v>1</v>
      </c>
      <c r="E25" s="49">
        <f>AVERAGE('17.10 Busembatya-Butongole'!E25,'18.10 Busembatya-Butongole'!E25,'20.10 Busembatya-Butongole'!E25,'22.10 Busembatya-Butongole'!E25,'19.10 Butongole-Busembatya-24h'!E25,'21.10 Busembatya-Butongole-24h'!E25,'23.10 Busembtya-Butongole'!E25)</f>
        <v>2.1428571428571428</v>
      </c>
      <c r="F25" s="49">
        <f>AVERAGE('17.10 Busembatya-Butongole'!F25,'18.10 Busembatya-Butongole'!F25,'20.10 Busembatya-Butongole'!F25,'22.10 Busembatya-Butongole'!F25,'19.10 Butongole-Busembatya-24h'!F25,'21.10 Busembatya-Butongole-24h'!F25,'23.10 Busembtya-Butongole'!F25)</f>
        <v>9.1428571428571423</v>
      </c>
      <c r="G25" s="49">
        <f>AVERAGE('17.10 Busembatya-Butongole'!G25,'18.10 Busembatya-Butongole'!G25,'20.10 Busembatya-Butongole'!G25,'22.10 Busembatya-Butongole'!G25,'19.10 Butongole-Busembatya-24h'!G25,'21.10 Busembatya-Butongole-24h'!G25,'23.10 Busembtya-Butongole'!G25)</f>
        <v>0</v>
      </c>
      <c r="H25" s="49">
        <f>AVERAGE('17.10 Busembatya-Butongole'!H25,'18.10 Busembatya-Butongole'!H25,'20.10 Busembatya-Butongole'!H25,'22.10 Busembatya-Butongole'!H25,'19.10 Butongole-Busembatya-24h'!H25,'21.10 Busembatya-Butongole-24h'!H25,'23.10 Busembtya-Butongole'!H25)</f>
        <v>0.2857142857142857</v>
      </c>
      <c r="I25" s="49">
        <f>AVERAGE('17.10 Busembatya-Butongole'!I25,'18.10 Busembatya-Butongole'!I25,'20.10 Busembatya-Butongole'!I25,'22.10 Busembatya-Butongole'!I25,'19.10 Butongole-Busembatya-24h'!I25,'21.10 Busembatya-Butongole-24h'!I25,'23.10 Busembtya-Butongole'!I25)</f>
        <v>0.42857142857142855</v>
      </c>
      <c r="J25" s="49">
        <f>AVERAGE('17.10 Busembatya-Butongole'!J25,'18.10 Busembatya-Butongole'!J25,'20.10 Busembatya-Butongole'!J25,'22.10 Busembatya-Butongole'!J25,'19.10 Butongole-Busembatya-24h'!J25,'21.10 Busembatya-Butongole-24h'!J25,'23.10 Busembtya-Butongole'!J25)</f>
        <v>0.5714285714285714</v>
      </c>
      <c r="K25" s="49">
        <f>AVERAGE('17.10 Busembatya-Butongole'!K25,'18.10 Busembatya-Butongole'!K25,'20.10 Busembatya-Butongole'!K25,'22.10 Busembatya-Butongole'!K25,'19.10 Butongole-Busembatya-24h'!K25,'21.10 Busembatya-Butongole-24h'!K25,'23.10 Busembtya-Butongole'!K25)</f>
        <v>0.42857142857142855</v>
      </c>
      <c r="L25" s="49">
        <f>AVERAGE('17.10 Busembatya-Butongole'!L25,'18.10 Busembatya-Butongole'!L25,'20.10 Busembatya-Butongole'!L25,'22.10 Busembatya-Butongole'!L25,'19.10 Butongole-Busembatya-24h'!L25,'21.10 Busembatya-Butongole-24h'!L25,'23.10 Busembtya-Butongole'!L25)</f>
        <v>0.7142857142857143</v>
      </c>
      <c r="M25" s="49">
        <f>AVERAGE('17.10 Busembatya-Butongole'!M25,'18.10 Busembatya-Butongole'!M25,'20.10 Busembatya-Butongole'!M25,'22.10 Busembatya-Butongole'!M25,'19.10 Butongole-Busembatya-24h'!M25,'21.10 Busembatya-Butongole-24h'!M25,'23.10 Busembtya-Butongole'!M25)</f>
        <v>11.571428571428571</v>
      </c>
      <c r="N25" s="49">
        <f>AVERAGE('17.10 Busembatya-Butongole'!N25,'18.10 Busembatya-Butongole'!N25,'20.10 Busembatya-Butongole'!N25,'22.10 Busembatya-Butongole'!N25,'19.10 Butongole-Busembatya-24h'!N25,'21.10 Busembatya-Butongole-24h'!N25,'23.10 Busembtya-Butongole'!N25)</f>
        <v>0</v>
      </c>
      <c r="O25" s="15">
        <f t="shared" si="0"/>
        <v>18.999999999999996</v>
      </c>
      <c r="P25" s="15">
        <f t="shared" si="1"/>
        <v>30.571428571428569</v>
      </c>
      <c r="R25" s="1" t="s">
        <v>149</v>
      </c>
      <c r="S25" s="34">
        <f>SUM(C70:C73)</f>
        <v>6.5</v>
      </c>
      <c r="T25" s="34">
        <f t="shared" ref="T25:AF25" si="17">SUM(D70:D73)</f>
        <v>3.5</v>
      </c>
      <c r="U25" s="34">
        <f t="shared" si="17"/>
        <v>2</v>
      </c>
      <c r="V25" s="34">
        <f t="shared" si="17"/>
        <v>8</v>
      </c>
      <c r="W25" s="34">
        <f t="shared" si="17"/>
        <v>0.5</v>
      </c>
      <c r="X25" s="34">
        <f t="shared" si="17"/>
        <v>0</v>
      </c>
      <c r="Y25" s="34">
        <f t="shared" si="17"/>
        <v>9</v>
      </c>
      <c r="Z25" s="34">
        <f t="shared" si="17"/>
        <v>2</v>
      </c>
      <c r="AA25" s="34">
        <f t="shared" si="17"/>
        <v>3</v>
      </c>
      <c r="AB25" s="34">
        <f t="shared" si="17"/>
        <v>0</v>
      </c>
      <c r="AC25" s="34">
        <f t="shared" si="17"/>
        <v>5</v>
      </c>
      <c r="AD25" s="34">
        <f t="shared" si="17"/>
        <v>0</v>
      </c>
      <c r="AE25" s="31">
        <f t="shared" si="17"/>
        <v>34.5</v>
      </c>
      <c r="AF25" s="31">
        <f t="shared" si="17"/>
        <v>39.5</v>
      </c>
    </row>
    <row r="26" spans="2:32" ht="23.1" customHeight="1" x14ac:dyDescent="0.25">
      <c r="B26" s="23" t="s">
        <v>53</v>
      </c>
      <c r="C26" s="49">
        <f>AVERAGE('17.10 Busembatya-Butongole'!C26,'18.10 Busembatya-Butongole'!C26,'20.10 Busembatya-Butongole'!C26,'22.10 Busembatya-Butongole'!C26,'19.10 Butongole-Busembatya-24h'!C26,'21.10 Busembatya-Butongole-24h'!C26,'23.10 Busembtya-Butongole'!C26)</f>
        <v>2.7142857142857144</v>
      </c>
      <c r="D26" s="49">
        <f>AVERAGE('17.10 Busembatya-Butongole'!D26,'18.10 Busembatya-Butongole'!D26,'20.10 Busembatya-Butongole'!D26,'22.10 Busembatya-Butongole'!D26,'19.10 Butongole-Busembatya-24h'!D26,'21.10 Busembatya-Butongole-24h'!D26,'23.10 Busembtya-Butongole'!D26)</f>
        <v>0.7142857142857143</v>
      </c>
      <c r="E26" s="49">
        <f>AVERAGE('17.10 Busembatya-Butongole'!E26,'18.10 Busembatya-Butongole'!E26,'20.10 Busembatya-Butongole'!E26,'22.10 Busembatya-Butongole'!E26,'19.10 Butongole-Busembatya-24h'!E26,'21.10 Busembatya-Butongole-24h'!E26,'23.10 Busembtya-Butongole'!E26)</f>
        <v>1.2857142857142858</v>
      </c>
      <c r="F26" s="49">
        <f>AVERAGE('17.10 Busembatya-Butongole'!F26,'18.10 Busembatya-Butongole'!F26,'20.10 Busembatya-Butongole'!F26,'22.10 Busembatya-Butongole'!F26,'19.10 Butongole-Busembatya-24h'!F26,'21.10 Busembatya-Butongole-24h'!F26,'23.10 Busembtya-Butongole'!F26)</f>
        <v>10.142857142857142</v>
      </c>
      <c r="G26" s="49">
        <f>AVERAGE('17.10 Busembatya-Butongole'!G26,'18.10 Busembatya-Butongole'!G26,'20.10 Busembatya-Butongole'!G26,'22.10 Busembatya-Butongole'!G26,'19.10 Butongole-Busembatya-24h'!G26,'21.10 Busembatya-Butongole-24h'!G26,'23.10 Busembtya-Butongole'!G26)</f>
        <v>0</v>
      </c>
      <c r="H26" s="49">
        <f>AVERAGE('17.10 Busembatya-Butongole'!H26,'18.10 Busembatya-Butongole'!H26,'20.10 Busembatya-Butongole'!H26,'22.10 Busembatya-Butongole'!H26,'19.10 Butongole-Busembatya-24h'!H26,'21.10 Busembatya-Butongole-24h'!H26,'23.10 Busembtya-Butongole'!H26)</f>
        <v>0.14285714285714285</v>
      </c>
      <c r="I26" s="49">
        <f>AVERAGE('17.10 Busembatya-Butongole'!I26,'18.10 Busembatya-Butongole'!I26,'20.10 Busembatya-Butongole'!I26,'22.10 Busembatya-Butongole'!I26,'19.10 Butongole-Busembatya-24h'!I26,'21.10 Busembatya-Butongole-24h'!I26,'23.10 Busembtya-Butongole'!I26)</f>
        <v>1.7142857142857142</v>
      </c>
      <c r="J26" s="49">
        <f>AVERAGE('17.10 Busembatya-Butongole'!J26,'18.10 Busembatya-Butongole'!J26,'20.10 Busembatya-Butongole'!J26,'22.10 Busembatya-Butongole'!J26,'19.10 Butongole-Busembatya-24h'!J26,'21.10 Busembatya-Butongole-24h'!J26,'23.10 Busembtya-Butongole'!J26)</f>
        <v>1.1428571428571428</v>
      </c>
      <c r="K26" s="49">
        <f>AVERAGE('17.10 Busembatya-Butongole'!K26,'18.10 Busembatya-Butongole'!K26,'20.10 Busembatya-Butongole'!K26,'22.10 Busembatya-Butongole'!K26,'19.10 Butongole-Busembatya-24h'!K26,'21.10 Busembatya-Butongole-24h'!K26,'23.10 Busembtya-Butongole'!K26)</f>
        <v>0.2857142857142857</v>
      </c>
      <c r="L26" s="49">
        <f>AVERAGE('17.10 Busembatya-Butongole'!L26,'18.10 Busembatya-Butongole'!L26,'20.10 Busembatya-Butongole'!L26,'22.10 Busembatya-Butongole'!L26,'19.10 Butongole-Busembatya-24h'!L26,'21.10 Busembatya-Butongole-24h'!L26,'23.10 Busembtya-Butongole'!L26)</f>
        <v>0</v>
      </c>
      <c r="M26" s="49">
        <f>AVERAGE('17.10 Busembatya-Butongole'!M26,'18.10 Busembatya-Butongole'!M26,'20.10 Busembatya-Butongole'!M26,'22.10 Busembatya-Butongole'!M26,'19.10 Butongole-Busembatya-24h'!M26,'21.10 Busembatya-Butongole-24h'!M26,'23.10 Busembtya-Butongole'!M26)</f>
        <v>9.5714285714285712</v>
      </c>
      <c r="N26" s="49">
        <f>AVERAGE('17.10 Busembatya-Butongole'!N26,'18.10 Busembatya-Butongole'!N26,'20.10 Busembatya-Butongole'!N26,'22.10 Busembatya-Butongole'!N26,'19.10 Butongole-Busembatya-24h'!N26,'21.10 Busembatya-Butongole-24h'!N26,'23.10 Busembtya-Butongole'!N26)</f>
        <v>0</v>
      </c>
      <c r="O26" s="15">
        <f t="shared" si="0"/>
        <v>18.142857142857142</v>
      </c>
      <c r="P26" s="15">
        <f t="shared" si="1"/>
        <v>27.714285714285715</v>
      </c>
      <c r="R26" s="1" t="s">
        <v>150</v>
      </c>
      <c r="S26" s="34">
        <f>SUM(C74:C77)</f>
        <v>3.5</v>
      </c>
      <c r="T26" s="34">
        <f t="shared" ref="T26:AF26" si="18">SUM(D74:D77)</f>
        <v>1.5</v>
      </c>
      <c r="U26" s="34">
        <f t="shared" si="18"/>
        <v>1</v>
      </c>
      <c r="V26" s="34">
        <f t="shared" si="18"/>
        <v>2</v>
      </c>
      <c r="W26" s="34">
        <f t="shared" si="18"/>
        <v>1</v>
      </c>
      <c r="X26" s="34">
        <f t="shared" si="18"/>
        <v>2</v>
      </c>
      <c r="Y26" s="34">
        <f t="shared" si="18"/>
        <v>4.5</v>
      </c>
      <c r="Z26" s="34">
        <f t="shared" si="18"/>
        <v>0</v>
      </c>
      <c r="AA26" s="34">
        <f t="shared" si="18"/>
        <v>0.5</v>
      </c>
      <c r="AB26" s="34">
        <f t="shared" si="18"/>
        <v>0</v>
      </c>
      <c r="AC26" s="34">
        <f t="shared" si="18"/>
        <v>0.5</v>
      </c>
      <c r="AD26" s="34">
        <f t="shared" si="18"/>
        <v>0</v>
      </c>
      <c r="AE26" s="31">
        <f t="shared" si="18"/>
        <v>16</v>
      </c>
      <c r="AF26" s="31">
        <f t="shared" si="18"/>
        <v>16.5</v>
      </c>
    </row>
    <row r="27" spans="2:32" ht="23.1" customHeight="1" x14ac:dyDescent="0.25">
      <c r="B27" s="23" t="s">
        <v>54</v>
      </c>
      <c r="C27" s="49">
        <f>AVERAGE('17.10 Busembatya-Butongole'!C27,'18.10 Busembatya-Butongole'!C27,'20.10 Busembatya-Butongole'!C27,'22.10 Busembatya-Butongole'!C27,'19.10 Butongole-Busembatya-24h'!C27,'21.10 Busembatya-Butongole-24h'!C27,'23.10 Busembtya-Butongole'!C27)</f>
        <v>3.7142857142857144</v>
      </c>
      <c r="D27" s="49">
        <f>AVERAGE('17.10 Busembatya-Butongole'!D27,'18.10 Busembatya-Butongole'!D27,'20.10 Busembatya-Butongole'!D27,'22.10 Busembatya-Butongole'!D27,'19.10 Butongole-Busembatya-24h'!D27,'21.10 Busembatya-Butongole-24h'!D27,'23.10 Busembtya-Butongole'!D27)</f>
        <v>2.1428571428571428</v>
      </c>
      <c r="E27" s="49">
        <f>AVERAGE('17.10 Busembatya-Butongole'!E27,'18.10 Busembatya-Butongole'!E27,'20.10 Busembatya-Butongole'!E27,'22.10 Busembatya-Butongole'!E27,'19.10 Butongole-Busembatya-24h'!E27,'21.10 Busembatya-Butongole-24h'!E27,'23.10 Busembtya-Butongole'!E27)</f>
        <v>1</v>
      </c>
      <c r="F27" s="49">
        <f>AVERAGE('17.10 Busembatya-Butongole'!F27,'18.10 Busembatya-Butongole'!F27,'20.10 Busembatya-Butongole'!F27,'22.10 Busembatya-Butongole'!F27,'19.10 Butongole-Busembatya-24h'!F27,'21.10 Busembatya-Butongole-24h'!F27,'23.10 Busembtya-Butongole'!F27)</f>
        <v>8.2857142857142865</v>
      </c>
      <c r="G27" s="49">
        <f>AVERAGE('17.10 Busembatya-Butongole'!G27,'18.10 Busembatya-Butongole'!G27,'20.10 Busembatya-Butongole'!G27,'22.10 Busembatya-Butongole'!G27,'19.10 Butongole-Busembatya-24h'!G27,'21.10 Busembatya-Butongole-24h'!G27,'23.10 Busembtya-Butongole'!G27)</f>
        <v>0.2857142857142857</v>
      </c>
      <c r="H27" s="49">
        <f>AVERAGE('17.10 Busembatya-Butongole'!H27,'18.10 Busembatya-Butongole'!H27,'20.10 Busembatya-Butongole'!H27,'22.10 Busembatya-Butongole'!H27,'19.10 Butongole-Busembatya-24h'!H27,'21.10 Busembatya-Butongole-24h'!H27,'23.10 Busembtya-Butongole'!H27)</f>
        <v>0.14285714285714285</v>
      </c>
      <c r="I27" s="49">
        <f>AVERAGE('17.10 Busembatya-Butongole'!I27,'18.10 Busembatya-Butongole'!I27,'20.10 Busembatya-Butongole'!I27,'22.10 Busembatya-Butongole'!I27,'19.10 Butongole-Busembatya-24h'!I27,'21.10 Busembatya-Butongole-24h'!I27,'23.10 Busembtya-Butongole'!I27)</f>
        <v>0.14285714285714285</v>
      </c>
      <c r="J27" s="49">
        <f>AVERAGE('17.10 Busembatya-Butongole'!J27,'18.10 Busembatya-Butongole'!J27,'20.10 Busembatya-Butongole'!J27,'22.10 Busembatya-Butongole'!J27,'19.10 Butongole-Busembatya-24h'!J27,'21.10 Busembatya-Butongole-24h'!J27,'23.10 Busembtya-Butongole'!J27)</f>
        <v>0.8571428571428571</v>
      </c>
      <c r="K27" s="49">
        <f>AVERAGE('17.10 Busembatya-Butongole'!K27,'18.10 Busembatya-Butongole'!K27,'20.10 Busembatya-Butongole'!K27,'22.10 Busembatya-Butongole'!K27,'19.10 Butongole-Busembatya-24h'!K27,'21.10 Busembatya-Butongole-24h'!K27,'23.10 Busembtya-Butongole'!K27)</f>
        <v>0.42857142857142855</v>
      </c>
      <c r="L27" s="49">
        <f>AVERAGE('17.10 Busembatya-Butongole'!L27,'18.10 Busembatya-Butongole'!L27,'20.10 Busembatya-Butongole'!L27,'22.10 Busembatya-Butongole'!L27,'19.10 Butongole-Busembatya-24h'!L27,'21.10 Busembatya-Butongole-24h'!L27,'23.10 Busembtya-Butongole'!L27)</f>
        <v>0</v>
      </c>
      <c r="M27" s="49">
        <f>AVERAGE('17.10 Busembatya-Butongole'!M27,'18.10 Busembatya-Butongole'!M27,'20.10 Busembatya-Butongole'!M27,'22.10 Busembatya-Butongole'!M27,'19.10 Butongole-Busembatya-24h'!M27,'21.10 Busembatya-Butongole-24h'!M27,'23.10 Busembtya-Butongole'!M27)</f>
        <v>8.7142857142857135</v>
      </c>
      <c r="N27" s="49">
        <f>AVERAGE('17.10 Busembatya-Butongole'!N27,'18.10 Busembatya-Butongole'!N27,'20.10 Busembatya-Butongole'!N27,'22.10 Busembatya-Butongole'!N27,'19.10 Butongole-Busembatya-24h'!N27,'21.10 Busembatya-Butongole-24h'!N27,'23.10 Busembtya-Butongole'!N27)</f>
        <v>0</v>
      </c>
      <c r="O27" s="15">
        <f t="shared" si="0"/>
        <v>17</v>
      </c>
      <c r="P27" s="15">
        <f t="shared" si="1"/>
        <v>25.714285714285715</v>
      </c>
      <c r="R27" s="1" t="s">
        <v>151</v>
      </c>
      <c r="S27" s="34">
        <f>SUM(C78:C81)</f>
        <v>2.5</v>
      </c>
      <c r="T27" s="34">
        <f t="shared" ref="T27:AF27" si="19">SUM(D78:D81)</f>
        <v>1</v>
      </c>
      <c r="U27" s="34">
        <f t="shared" si="19"/>
        <v>1</v>
      </c>
      <c r="V27" s="34">
        <f t="shared" si="19"/>
        <v>1</v>
      </c>
      <c r="W27" s="34">
        <f t="shared" si="19"/>
        <v>0.5</v>
      </c>
      <c r="X27" s="34">
        <f t="shared" si="19"/>
        <v>4.5</v>
      </c>
      <c r="Y27" s="34">
        <f t="shared" si="19"/>
        <v>5</v>
      </c>
      <c r="Z27" s="34">
        <f t="shared" si="19"/>
        <v>0</v>
      </c>
      <c r="AA27" s="34">
        <f t="shared" si="19"/>
        <v>0.5</v>
      </c>
      <c r="AB27" s="34">
        <f t="shared" si="19"/>
        <v>0.5</v>
      </c>
      <c r="AC27" s="34">
        <f t="shared" si="19"/>
        <v>2.5</v>
      </c>
      <c r="AD27" s="34">
        <f t="shared" si="19"/>
        <v>0</v>
      </c>
      <c r="AE27" s="31">
        <f t="shared" si="19"/>
        <v>16.5</v>
      </c>
      <c r="AF27" s="31">
        <f t="shared" si="19"/>
        <v>19</v>
      </c>
    </row>
    <row r="28" spans="2:32" ht="23.1" customHeight="1" x14ac:dyDescent="0.25">
      <c r="B28" s="23" t="s">
        <v>55</v>
      </c>
      <c r="C28" s="49">
        <f>AVERAGE('17.10 Busembatya-Butongole'!C28,'18.10 Busembatya-Butongole'!C28,'20.10 Busembatya-Butongole'!C28,'22.10 Busembatya-Butongole'!C28,'19.10 Butongole-Busembatya-24h'!C28,'21.10 Busembatya-Butongole-24h'!C28,'23.10 Busembtya-Butongole'!C28)</f>
        <v>4.1428571428571432</v>
      </c>
      <c r="D28" s="49">
        <f>AVERAGE('17.10 Busembatya-Butongole'!D28,'18.10 Busembatya-Butongole'!D28,'20.10 Busembatya-Butongole'!D28,'22.10 Busembatya-Butongole'!D28,'19.10 Butongole-Busembatya-24h'!D28,'21.10 Busembatya-Butongole-24h'!D28,'23.10 Busembtya-Butongole'!D28)</f>
        <v>0.8571428571428571</v>
      </c>
      <c r="E28" s="49">
        <f>AVERAGE('17.10 Busembatya-Butongole'!E28,'18.10 Busembatya-Butongole'!E28,'20.10 Busembatya-Butongole'!E28,'22.10 Busembatya-Butongole'!E28,'19.10 Butongole-Busembatya-24h'!E28,'21.10 Busembatya-Butongole-24h'!E28,'23.10 Busembtya-Butongole'!E28)</f>
        <v>1.2857142857142858</v>
      </c>
      <c r="F28" s="49">
        <f>AVERAGE('17.10 Busembatya-Butongole'!F28,'18.10 Busembatya-Butongole'!F28,'20.10 Busembatya-Butongole'!F28,'22.10 Busembatya-Butongole'!F28,'19.10 Butongole-Busembatya-24h'!F28,'21.10 Busembatya-Butongole-24h'!F28,'23.10 Busembtya-Butongole'!F28)</f>
        <v>10.142857142857142</v>
      </c>
      <c r="G28" s="49">
        <f>AVERAGE('17.10 Busembatya-Butongole'!G28,'18.10 Busembatya-Butongole'!G28,'20.10 Busembatya-Butongole'!G28,'22.10 Busembatya-Butongole'!G28,'19.10 Butongole-Busembatya-24h'!G28,'21.10 Busembatya-Butongole-24h'!G28,'23.10 Busembtya-Butongole'!G28)</f>
        <v>0</v>
      </c>
      <c r="H28" s="49">
        <f>AVERAGE('17.10 Busembatya-Butongole'!H28,'18.10 Busembatya-Butongole'!H28,'20.10 Busembatya-Butongole'!H28,'22.10 Busembatya-Butongole'!H28,'19.10 Butongole-Busembatya-24h'!H28,'21.10 Busembatya-Butongole-24h'!H28,'23.10 Busembtya-Butongole'!H28)</f>
        <v>0.14285714285714285</v>
      </c>
      <c r="I28" s="49">
        <f>AVERAGE('17.10 Busembatya-Butongole'!I28,'18.10 Busembatya-Butongole'!I28,'20.10 Busembatya-Butongole'!I28,'22.10 Busembatya-Butongole'!I28,'19.10 Butongole-Busembatya-24h'!I28,'21.10 Busembatya-Butongole-24h'!I28,'23.10 Busembtya-Butongole'!I28)</f>
        <v>1.1428571428571428</v>
      </c>
      <c r="J28" s="49">
        <f>AVERAGE('17.10 Busembatya-Butongole'!J28,'18.10 Busembatya-Butongole'!J28,'20.10 Busembatya-Butongole'!J28,'22.10 Busembatya-Butongole'!J28,'19.10 Butongole-Busembatya-24h'!J28,'21.10 Busembatya-Butongole-24h'!J28,'23.10 Busembtya-Butongole'!J28)</f>
        <v>1</v>
      </c>
      <c r="K28" s="49">
        <f>AVERAGE('17.10 Busembatya-Butongole'!K28,'18.10 Busembatya-Butongole'!K28,'20.10 Busembatya-Butongole'!K28,'22.10 Busembatya-Butongole'!K28,'19.10 Butongole-Busembatya-24h'!K28,'21.10 Busembatya-Butongole-24h'!K28,'23.10 Busembtya-Butongole'!K28)</f>
        <v>0.14285714285714285</v>
      </c>
      <c r="L28" s="49">
        <f>AVERAGE('17.10 Busembatya-Butongole'!L28,'18.10 Busembatya-Butongole'!L28,'20.10 Busembatya-Butongole'!L28,'22.10 Busembatya-Butongole'!L28,'19.10 Butongole-Busembatya-24h'!L28,'21.10 Busembatya-Butongole-24h'!L28,'23.10 Busembtya-Butongole'!L28)</f>
        <v>0.14285714285714285</v>
      </c>
      <c r="M28" s="49">
        <f>AVERAGE('17.10 Busembatya-Butongole'!M28,'18.10 Busembatya-Butongole'!M28,'20.10 Busembatya-Butongole'!M28,'22.10 Busembatya-Butongole'!M28,'19.10 Butongole-Busembatya-24h'!M28,'21.10 Busembatya-Butongole-24h'!M28,'23.10 Busembtya-Butongole'!M28)</f>
        <v>8.4285714285714288</v>
      </c>
      <c r="N28" s="49">
        <f>AVERAGE('17.10 Busembatya-Butongole'!N28,'18.10 Busembatya-Butongole'!N28,'20.10 Busembatya-Butongole'!N28,'22.10 Busembatya-Butongole'!N28,'19.10 Butongole-Busembatya-24h'!N28,'21.10 Busembatya-Butongole-24h'!N28,'23.10 Busembtya-Butongole'!N28)</f>
        <v>0</v>
      </c>
      <c r="O28" s="15">
        <f t="shared" si="0"/>
        <v>18.999999999999996</v>
      </c>
      <c r="P28" s="15">
        <f t="shared" si="1"/>
        <v>27.428571428571423</v>
      </c>
      <c r="R28" s="1" t="s">
        <v>152</v>
      </c>
      <c r="S28" s="34">
        <f>SUM(C82:C85)</f>
        <v>0.5</v>
      </c>
      <c r="T28" s="34">
        <f t="shared" ref="T28:AF28" si="20">SUM(D82:D85)</f>
        <v>0.5</v>
      </c>
      <c r="U28" s="34">
        <f t="shared" si="20"/>
        <v>0</v>
      </c>
      <c r="V28" s="34">
        <f t="shared" si="20"/>
        <v>0</v>
      </c>
      <c r="W28" s="34">
        <f t="shared" si="20"/>
        <v>0.5</v>
      </c>
      <c r="X28" s="34">
        <f t="shared" si="20"/>
        <v>2</v>
      </c>
      <c r="Y28" s="34">
        <f t="shared" si="20"/>
        <v>2.5</v>
      </c>
      <c r="Z28" s="34">
        <f t="shared" si="20"/>
        <v>0</v>
      </c>
      <c r="AA28" s="34">
        <f t="shared" si="20"/>
        <v>3.5</v>
      </c>
      <c r="AB28" s="34">
        <f t="shared" si="20"/>
        <v>0</v>
      </c>
      <c r="AC28" s="34">
        <f t="shared" si="20"/>
        <v>0</v>
      </c>
      <c r="AD28" s="34">
        <f t="shared" si="20"/>
        <v>0</v>
      </c>
      <c r="AE28" s="31">
        <f t="shared" si="20"/>
        <v>9.5</v>
      </c>
      <c r="AF28" s="31">
        <f t="shared" si="20"/>
        <v>9.5</v>
      </c>
    </row>
    <row r="29" spans="2:32" ht="23.1" customHeight="1" x14ac:dyDescent="0.25">
      <c r="B29" s="23" t="s">
        <v>56</v>
      </c>
      <c r="C29" s="49">
        <f>AVERAGE('17.10 Busembatya-Butongole'!C29,'18.10 Busembatya-Butongole'!C29,'20.10 Busembatya-Butongole'!C29,'22.10 Busembatya-Butongole'!C29,'19.10 Butongole-Busembatya-24h'!C29,'21.10 Busembatya-Butongole-24h'!C29,'23.10 Busembtya-Butongole'!C29)</f>
        <v>4.8571428571428568</v>
      </c>
      <c r="D29" s="49">
        <f>AVERAGE('17.10 Busembatya-Butongole'!D29,'18.10 Busembatya-Butongole'!D29,'20.10 Busembatya-Butongole'!D29,'22.10 Busembatya-Butongole'!D29,'19.10 Butongole-Busembatya-24h'!D29,'21.10 Busembatya-Butongole-24h'!D29,'23.10 Busembtya-Butongole'!D29)</f>
        <v>1</v>
      </c>
      <c r="E29" s="49">
        <f>AVERAGE('17.10 Busembatya-Butongole'!E29,'18.10 Busembatya-Butongole'!E29,'20.10 Busembatya-Butongole'!E29,'22.10 Busembatya-Butongole'!E29,'19.10 Butongole-Busembatya-24h'!E29,'21.10 Busembatya-Butongole-24h'!E29,'23.10 Busembtya-Butongole'!E29)</f>
        <v>2.4285714285714284</v>
      </c>
      <c r="F29" s="49">
        <f>AVERAGE('17.10 Busembatya-Butongole'!F29,'18.10 Busembatya-Butongole'!F29,'20.10 Busembatya-Butongole'!F29,'22.10 Busembatya-Butongole'!F29,'19.10 Butongole-Busembatya-24h'!F29,'21.10 Busembatya-Butongole-24h'!F29,'23.10 Busembtya-Butongole'!F29)</f>
        <v>9</v>
      </c>
      <c r="G29" s="49">
        <f>AVERAGE('17.10 Busembatya-Butongole'!G29,'18.10 Busembatya-Butongole'!G29,'20.10 Busembatya-Butongole'!G29,'22.10 Busembatya-Butongole'!G29,'19.10 Butongole-Busembatya-24h'!G29,'21.10 Busembatya-Butongole-24h'!G29,'23.10 Busembtya-Butongole'!G29)</f>
        <v>0.5714285714285714</v>
      </c>
      <c r="H29" s="49">
        <f>AVERAGE('17.10 Busembatya-Butongole'!H29,'18.10 Busembatya-Butongole'!H29,'20.10 Busembatya-Butongole'!H29,'22.10 Busembatya-Butongole'!H29,'19.10 Butongole-Busembatya-24h'!H29,'21.10 Busembatya-Butongole-24h'!H29,'23.10 Busembtya-Butongole'!H29)</f>
        <v>0.2857142857142857</v>
      </c>
      <c r="I29" s="49">
        <f>AVERAGE('17.10 Busembatya-Butongole'!I29,'18.10 Busembatya-Butongole'!I29,'20.10 Busembatya-Butongole'!I29,'22.10 Busembatya-Butongole'!I29,'19.10 Butongole-Busembatya-24h'!I29,'21.10 Busembatya-Butongole-24h'!I29,'23.10 Busembtya-Butongole'!I29)</f>
        <v>0.42857142857142855</v>
      </c>
      <c r="J29" s="49">
        <f>AVERAGE('17.10 Busembatya-Butongole'!J29,'18.10 Busembatya-Butongole'!J29,'20.10 Busembatya-Butongole'!J29,'22.10 Busembatya-Butongole'!J29,'19.10 Butongole-Busembatya-24h'!J29,'21.10 Busembatya-Butongole-24h'!J29,'23.10 Busembtya-Butongole'!J29)</f>
        <v>1.1428571428571428</v>
      </c>
      <c r="K29" s="49">
        <f>AVERAGE('17.10 Busembatya-Butongole'!K29,'18.10 Busembatya-Butongole'!K29,'20.10 Busembatya-Butongole'!K29,'22.10 Busembatya-Butongole'!K29,'19.10 Butongole-Busembatya-24h'!K29,'21.10 Busembatya-Butongole-24h'!K29,'23.10 Busembtya-Butongole'!K29)</f>
        <v>0.7142857142857143</v>
      </c>
      <c r="L29" s="49">
        <f>AVERAGE('17.10 Busembatya-Butongole'!L29,'18.10 Busembatya-Butongole'!L29,'20.10 Busembatya-Butongole'!L29,'22.10 Busembatya-Butongole'!L29,'19.10 Butongole-Busembatya-24h'!L29,'21.10 Busembatya-Butongole-24h'!L29,'23.10 Busembtya-Butongole'!L29)</f>
        <v>0</v>
      </c>
      <c r="M29" s="49">
        <f>AVERAGE('17.10 Busembatya-Butongole'!M29,'18.10 Busembatya-Butongole'!M29,'20.10 Busembatya-Butongole'!M29,'22.10 Busembatya-Butongole'!M29,'19.10 Butongole-Busembatya-24h'!M29,'21.10 Busembatya-Butongole-24h'!M29,'23.10 Busembtya-Butongole'!M29)</f>
        <v>10.428571428571429</v>
      </c>
      <c r="N29" s="49">
        <f>AVERAGE('17.10 Busembatya-Butongole'!N29,'18.10 Busembatya-Butongole'!N29,'20.10 Busembatya-Butongole'!N29,'22.10 Busembatya-Butongole'!N29,'19.10 Butongole-Busembatya-24h'!N29,'21.10 Busembatya-Butongole-24h'!N29,'23.10 Busembtya-Butongole'!N29)</f>
        <v>0</v>
      </c>
      <c r="O29" s="15">
        <f t="shared" si="0"/>
        <v>20.428571428571427</v>
      </c>
      <c r="P29" s="15">
        <f t="shared" si="1"/>
        <v>30.857142857142854</v>
      </c>
      <c r="R29" s="1" t="s">
        <v>153</v>
      </c>
      <c r="S29" s="34">
        <f>SUM(C86:C89)</f>
        <v>0.5</v>
      </c>
      <c r="T29" s="34">
        <f t="shared" ref="T29:AF29" si="21">SUM(D86:D89)</f>
        <v>0</v>
      </c>
      <c r="U29" s="34">
        <f t="shared" si="21"/>
        <v>0</v>
      </c>
      <c r="V29" s="34">
        <f t="shared" si="21"/>
        <v>2.5</v>
      </c>
      <c r="W29" s="34">
        <f t="shared" si="21"/>
        <v>0</v>
      </c>
      <c r="X29" s="34">
        <f t="shared" si="21"/>
        <v>3.5</v>
      </c>
      <c r="Y29" s="34">
        <f t="shared" si="21"/>
        <v>1</v>
      </c>
      <c r="Z29" s="34">
        <f t="shared" si="21"/>
        <v>0</v>
      </c>
      <c r="AA29" s="34">
        <f t="shared" si="21"/>
        <v>3.5</v>
      </c>
      <c r="AB29" s="34">
        <f t="shared" si="21"/>
        <v>0</v>
      </c>
      <c r="AC29" s="34">
        <f t="shared" si="21"/>
        <v>0</v>
      </c>
      <c r="AD29" s="34">
        <f t="shared" si="21"/>
        <v>0</v>
      </c>
      <c r="AE29" s="31">
        <f t="shared" si="21"/>
        <v>11</v>
      </c>
      <c r="AF29" s="31">
        <f t="shared" si="21"/>
        <v>11</v>
      </c>
    </row>
    <row r="30" spans="2:32" ht="23.1" customHeight="1" x14ac:dyDescent="0.25">
      <c r="B30" s="23" t="s">
        <v>57</v>
      </c>
      <c r="C30" s="49">
        <f>AVERAGE('17.10 Busembatya-Butongole'!C30,'18.10 Busembatya-Butongole'!C30,'20.10 Busembatya-Butongole'!C30,'22.10 Busembatya-Butongole'!C30,'19.10 Butongole-Busembatya-24h'!C30,'21.10 Busembatya-Butongole-24h'!C30,'23.10 Busembtya-Butongole'!C30)</f>
        <v>5.2857142857142856</v>
      </c>
      <c r="D30" s="49">
        <f>AVERAGE('17.10 Busembatya-Butongole'!D30,'18.10 Busembatya-Butongole'!D30,'20.10 Busembatya-Butongole'!D30,'22.10 Busembatya-Butongole'!D30,'19.10 Butongole-Busembatya-24h'!D30,'21.10 Busembatya-Butongole-24h'!D30,'23.10 Busembtya-Butongole'!D30)</f>
        <v>2.1428571428571428</v>
      </c>
      <c r="E30" s="49">
        <f>AVERAGE('17.10 Busembatya-Butongole'!E30,'18.10 Busembatya-Butongole'!E30,'20.10 Busembatya-Butongole'!E30,'22.10 Busembatya-Butongole'!E30,'19.10 Butongole-Busembatya-24h'!E30,'21.10 Busembatya-Butongole-24h'!E30,'23.10 Busembtya-Butongole'!E30)</f>
        <v>1.4285714285714286</v>
      </c>
      <c r="F30" s="49">
        <f>AVERAGE('17.10 Busembatya-Butongole'!F30,'18.10 Busembatya-Butongole'!F30,'20.10 Busembatya-Butongole'!F30,'22.10 Busembatya-Butongole'!F30,'19.10 Butongole-Busembatya-24h'!F30,'21.10 Busembatya-Butongole-24h'!F30,'23.10 Busembtya-Butongole'!F30)</f>
        <v>10.285714285714286</v>
      </c>
      <c r="G30" s="49">
        <f>AVERAGE('17.10 Busembatya-Butongole'!G30,'18.10 Busembatya-Butongole'!G30,'20.10 Busembatya-Butongole'!G30,'22.10 Busembatya-Butongole'!G30,'19.10 Butongole-Busembatya-24h'!G30,'21.10 Busembatya-Butongole-24h'!G30,'23.10 Busembtya-Butongole'!G30)</f>
        <v>0.14285714285714285</v>
      </c>
      <c r="H30" s="49">
        <f>AVERAGE('17.10 Busembatya-Butongole'!H30,'18.10 Busembatya-Butongole'!H30,'20.10 Busembatya-Butongole'!H30,'22.10 Busembatya-Butongole'!H30,'19.10 Butongole-Busembatya-24h'!H30,'21.10 Busembatya-Butongole-24h'!H30,'23.10 Busembtya-Butongole'!H30)</f>
        <v>0.5714285714285714</v>
      </c>
      <c r="I30" s="49">
        <f>AVERAGE('17.10 Busembatya-Butongole'!I30,'18.10 Busembatya-Butongole'!I30,'20.10 Busembatya-Butongole'!I30,'22.10 Busembatya-Butongole'!I30,'19.10 Butongole-Busembatya-24h'!I30,'21.10 Busembatya-Butongole-24h'!I30,'23.10 Busembtya-Butongole'!I30)</f>
        <v>1.4285714285714286</v>
      </c>
      <c r="J30" s="49">
        <f>AVERAGE('17.10 Busembatya-Butongole'!J30,'18.10 Busembatya-Butongole'!J30,'20.10 Busembatya-Butongole'!J30,'22.10 Busembatya-Butongole'!J30,'19.10 Butongole-Busembatya-24h'!J30,'21.10 Busembatya-Butongole-24h'!J30,'23.10 Busembtya-Butongole'!J30)</f>
        <v>1.2857142857142858</v>
      </c>
      <c r="K30" s="49">
        <f>AVERAGE('17.10 Busembatya-Butongole'!K30,'18.10 Busembatya-Butongole'!K30,'20.10 Busembatya-Butongole'!K30,'22.10 Busembatya-Butongole'!K30,'19.10 Butongole-Busembatya-24h'!K30,'21.10 Busembatya-Butongole-24h'!K30,'23.10 Busembtya-Butongole'!K30)</f>
        <v>0.7142857142857143</v>
      </c>
      <c r="L30" s="49">
        <f>AVERAGE('17.10 Busembatya-Butongole'!L30,'18.10 Busembatya-Butongole'!L30,'20.10 Busembatya-Butongole'!L30,'22.10 Busembatya-Butongole'!L30,'19.10 Butongole-Busembatya-24h'!L30,'21.10 Busembatya-Butongole-24h'!L30,'23.10 Busembtya-Butongole'!L30)</f>
        <v>0.42857142857142855</v>
      </c>
      <c r="M30" s="49">
        <f>AVERAGE('17.10 Busembatya-Butongole'!M30,'18.10 Busembatya-Butongole'!M30,'20.10 Busembatya-Butongole'!M30,'22.10 Busembatya-Butongole'!M30,'19.10 Butongole-Busembatya-24h'!M30,'21.10 Busembatya-Butongole-24h'!M30,'23.10 Busembtya-Butongole'!M30)</f>
        <v>8.5714285714285712</v>
      </c>
      <c r="N30" s="49">
        <f>AVERAGE('17.10 Busembatya-Butongole'!N30,'18.10 Busembatya-Butongole'!N30,'20.10 Busembatya-Butongole'!N30,'22.10 Busembatya-Butongole'!N30,'19.10 Butongole-Busembatya-24h'!N30,'21.10 Busembatya-Butongole-24h'!N30,'23.10 Busembtya-Butongole'!N30)</f>
        <v>0</v>
      </c>
      <c r="O30" s="15">
        <f t="shared" si="0"/>
        <v>23.714285714285715</v>
      </c>
      <c r="P30" s="15">
        <f t="shared" si="1"/>
        <v>32.285714285714285</v>
      </c>
      <c r="R30" s="1" t="s">
        <v>154</v>
      </c>
      <c r="S30" s="34">
        <f>SUM(C90:C93)</f>
        <v>2</v>
      </c>
      <c r="T30" s="34">
        <f t="shared" ref="T30:AF30" si="22">SUM(D90:D93)</f>
        <v>0</v>
      </c>
      <c r="U30" s="34">
        <f t="shared" si="22"/>
        <v>0</v>
      </c>
      <c r="V30" s="34">
        <f t="shared" si="22"/>
        <v>1.5</v>
      </c>
      <c r="W30" s="34">
        <f t="shared" si="22"/>
        <v>0</v>
      </c>
      <c r="X30" s="34">
        <f t="shared" si="22"/>
        <v>1.5</v>
      </c>
      <c r="Y30" s="34">
        <f t="shared" si="22"/>
        <v>1.5</v>
      </c>
      <c r="Z30" s="34">
        <f t="shared" si="22"/>
        <v>0</v>
      </c>
      <c r="AA30" s="34">
        <f t="shared" si="22"/>
        <v>2</v>
      </c>
      <c r="AB30" s="34">
        <f t="shared" si="22"/>
        <v>0.5</v>
      </c>
      <c r="AC30" s="34">
        <f t="shared" si="22"/>
        <v>0.5</v>
      </c>
      <c r="AD30" s="34">
        <f t="shared" si="22"/>
        <v>0</v>
      </c>
      <c r="AE30" s="31">
        <f t="shared" si="22"/>
        <v>9</v>
      </c>
      <c r="AF30" s="31">
        <f t="shared" si="22"/>
        <v>9.5</v>
      </c>
    </row>
    <row r="31" spans="2:32" ht="23.1" customHeight="1" x14ac:dyDescent="0.25">
      <c r="B31" s="24" t="s">
        <v>58</v>
      </c>
      <c r="C31" s="49">
        <f>AVERAGE('17.10 Busembatya-Butongole'!C31,'18.10 Busembatya-Butongole'!C31,'20.10 Busembatya-Butongole'!C31,'22.10 Busembatya-Butongole'!C31,'19.10 Butongole-Busembatya-24h'!C31,'21.10 Busembatya-Butongole-24h'!C31,'23.10 Busembtya-Butongole'!C31)</f>
        <v>3.5714285714285716</v>
      </c>
      <c r="D31" s="49">
        <f>AVERAGE('17.10 Busembatya-Butongole'!D31,'18.10 Busembatya-Butongole'!D31,'20.10 Busembatya-Butongole'!D31,'22.10 Busembatya-Butongole'!D31,'19.10 Butongole-Busembatya-24h'!D31,'21.10 Busembatya-Butongole-24h'!D31,'23.10 Busembtya-Butongole'!D31)</f>
        <v>1.1428571428571428</v>
      </c>
      <c r="E31" s="49">
        <f>AVERAGE('17.10 Busembatya-Butongole'!E31,'18.10 Busembatya-Butongole'!E31,'20.10 Busembatya-Butongole'!E31,'22.10 Busembatya-Butongole'!E31,'19.10 Butongole-Busembatya-24h'!E31,'21.10 Busembatya-Butongole-24h'!E31,'23.10 Busembtya-Butongole'!E31)</f>
        <v>0.5714285714285714</v>
      </c>
      <c r="F31" s="49">
        <f>AVERAGE('17.10 Busembatya-Butongole'!F31,'18.10 Busembatya-Butongole'!F31,'20.10 Busembatya-Butongole'!F31,'22.10 Busembatya-Butongole'!F31,'19.10 Butongole-Busembatya-24h'!F31,'21.10 Busembatya-Butongole-24h'!F31,'23.10 Busembtya-Butongole'!F31)</f>
        <v>7.5714285714285712</v>
      </c>
      <c r="G31" s="49">
        <f>AVERAGE('17.10 Busembatya-Butongole'!G31,'18.10 Busembatya-Butongole'!G31,'20.10 Busembatya-Butongole'!G31,'22.10 Busembatya-Butongole'!G31,'19.10 Butongole-Busembatya-24h'!G31,'21.10 Busembatya-Butongole-24h'!G31,'23.10 Busembtya-Butongole'!G31)</f>
        <v>0.14285714285714285</v>
      </c>
      <c r="H31" s="49">
        <f>AVERAGE('17.10 Busembatya-Butongole'!H31,'18.10 Busembatya-Butongole'!H31,'20.10 Busembatya-Butongole'!H31,'22.10 Busembatya-Butongole'!H31,'19.10 Butongole-Busembatya-24h'!H31,'21.10 Busembatya-Butongole-24h'!H31,'23.10 Busembtya-Butongole'!H31)</f>
        <v>0.14285714285714285</v>
      </c>
      <c r="I31" s="49">
        <f>AVERAGE('17.10 Busembatya-Butongole'!I31,'18.10 Busembatya-Butongole'!I31,'20.10 Busembatya-Butongole'!I31,'22.10 Busembatya-Butongole'!I31,'19.10 Butongole-Busembatya-24h'!I31,'21.10 Busembatya-Butongole-24h'!I31,'23.10 Busembtya-Butongole'!I31)</f>
        <v>0.8571428571428571</v>
      </c>
      <c r="J31" s="49">
        <f>AVERAGE('17.10 Busembatya-Butongole'!J31,'18.10 Busembatya-Butongole'!J31,'20.10 Busembatya-Butongole'!J31,'22.10 Busembatya-Butongole'!J31,'19.10 Butongole-Busembatya-24h'!J31,'21.10 Busembatya-Butongole-24h'!J31,'23.10 Busembtya-Butongole'!J31)</f>
        <v>1.4285714285714286</v>
      </c>
      <c r="K31" s="49">
        <f>AVERAGE('17.10 Busembatya-Butongole'!K31,'18.10 Busembatya-Butongole'!K31,'20.10 Busembatya-Butongole'!K31,'22.10 Busembatya-Butongole'!K31,'19.10 Butongole-Busembatya-24h'!K31,'21.10 Busembatya-Butongole-24h'!K31,'23.10 Busembtya-Butongole'!K31)</f>
        <v>0.7142857142857143</v>
      </c>
      <c r="L31" s="49">
        <f>AVERAGE('17.10 Busembatya-Butongole'!L31,'18.10 Busembatya-Butongole'!L31,'20.10 Busembatya-Butongole'!L31,'22.10 Busembatya-Butongole'!L31,'19.10 Butongole-Busembatya-24h'!L31,'21.10 Busembatya-Butongole-24h'!L31,'23.10 Busembtya-Butongole'!L31)</f>
        <v>0.42857142857142855</v>
      </c>
      <c r="M31" s="49">
        <f>AVERAGE('17.10 Busembatya-Butongole'!M31,'18.10 Busembatya-Butongole'!M31,'20.10 Busembatya-Butongole'!M31,'22.10 Busembatya-Butongole'!M31,'19.10 Butongole-Busembatya-24h'!M31,'21.10 Busembatya-Butongole-24h'!M31,'23.10 Busembtya-Butongole'!M31)</f>
        <v>9.8571428571428577</v>
      </c>
      <c r="N31" s="49">
        <f>AVERAGE('17.10 Busembatya-Butongole'!N31,'18.10 Busembatya-Butongole'!N31,'20.10 Busembatya-Butongole'!N31,'22.10 Busembatya-Butongole'!N31,'19.10 Butongole-Busembatya-24h'!N31,'21.10 Busembatya-Butongole-24h'!N31,'23.10 Busembtya-Butongole'!N31)</f>
        <v>0</v>
      </c>
      <c r="O31" s="15">
        <f t="shared" si="0"/>
        <v>16.571428571428569</v>
      </c>
      <c r="P31" s="15">
        <f t="shared" si="1"/>
        <v>26.428571428571427</v>
      </c>
      <c r="R31" s="1" t="s">
        <v>155</v>
      </c>
      <c r="S31" s="34">
        <f>SUM(C94:C97)</f>
        <v>2</v>
      </c>
      <c r="T31" s="34">
        <f t="shared" ref="T31:AF31" si="23">SUM(D94:D97)</f>
        <v>1</v>
      </c>
      <c r="U31" s="34">
        <f t="shared" si="23"/>
        <v>0.5</v>
      </c>
      <c r="V31" s="34">
        <f t="shared" si="23"/>
        <v>6</v>
      </c>
      <c r="W31" s="34">
        <f t="shared" si="23"/>
        <v>0</v>
      </c>
      <c r="X31" s="34">
        <f t="shared" si="23"/>
        <v>1.5</v>
      </c>
      <c r="Y31" s="34">
        <f t="shared" si="23"/>
        <v>1</v>
      </c>
      <c r="Z31" s="34">
        <f t="shared" si="23"/>
        <v>0</v>
      </c>
      <c r="AA31" s="34">
        <f t="shared" si="23"/>
        <v>2.5</v>
      </c>
      <c r="AB31" s="34">
        <f t="shared" si="23"/>
        <v>0</v>
      </c>
      <c r="AC31" s="34">
        <f t="shared" si="23"/>
        <v>1</v>
      </c>
      <c r="AD31" s="34">
        <f t="shared" si="23"/>
        <v>0</v>
      </c>
      <c r="AE31" s="31">
        <f t="shared" si="23"/>
        <v>14.5</v>
      </c>
      <c r="AF31" s="31">
        <f t="shared" si="23"/>
        <v>15.5</v>
      </c>
    </row>
    <row r="32" spans="2:32" ht="23.1" customHeight="1" x14ac:dyDescent="0.25">
      <c r="B32" s="24" t="s">
        <v>59</v>
      </c>
      <c r="C32" s="49">
        <f>AVERAGE('17.10 Busembatya-Butongole'!C32,'18.10 Busembatya-Butongole'!C32,'20.10 Busembatya-Butongole'!C32,'22.10 Busembatya-Butongole'!C32,'19.10 Butongole-Busembatya-24h'!C32,'21.10 Busembatya-Butongole-24h'!C32,'23.10 Busembtya-Butongole'!C32)</f>
        <v>5.2857142857142856</v>
      </c>
      <c r="D32" s="49">
        <f>AVERAGE('17.10 Busembatya-Butongole'!D32,'18.10 Busembatya-Butongole'!D32,'20.10 Busembatya-Butongole'!D32,'22.10 Busembatya-Butongole'!D32,'19.10 Butongole-Busembatya-24h'!D32,'21.10 Busembatya-Butongole-24h'!D32,'23.10 Busembtya-Butongole'!D32)</f>
        <v>1.1428571428571428</v>
      </c>
      <c r="E32" s="49">
        <f>AVERAGE('17.10 Busembatya-Butongole'!E32,'18.10 Busembatya-Butongole'!E32,'20.10 Busembatya-Butongole'!E32,'22.10 Busembatya-Butongole'!E32,'19.10 Butongole-Busembatya-24h'!E32,'21.10 Busembatya-Butongole-24h'!E32,'23.10 Busembtya-Butongole'!E32)</f>
        <v>1.8571428571428572</v>
      </c>
      <c r="F32" s="49">
        <f>AVERAGE('17.10 Busembatya-Butongole'!F32,'18.10 Busembatya-Butongole'!F32,'20.10 Busembatya-Butongole'!F32,'22.10 Busembatya-Butongole'!F32,'19.10 Butongole-Busembatya-24h'!F32,'21.10 Busembatya-Butongole-24h'!F32,'23.10 Busembtya-Butongole'!F32)</f>
        <v>9.4285714285714288</v>
      </c>
      <c r="G32" s="49">
        <f>AVERAGE('17.10 Busembatya-Butongole'!G32,'18.10 Busembatya-Butongole'!G32,'20.10 Busembatya-Butongole'!G32,'22.10 Busembatya-Butongole'!G32,'19.10 Butongole-Busembatya-24h'!G32,'21.10 Busembatya-Butongole-24h'!G32,'23.10 Busembtya-Butongole'!G32)</f>
        <v>0.2857142857142857</v>
      </c>
      <c r="H32" s="49">
        <f>AVERAGE('17.10 Busembatya-Butongole'!H32,'18.10 Busembatya-Butongole'!H32,'20.10 Busembatya-Butongole'!H32,'22.10 Busembatya-Butongole'!H32,'19.10 Butongole-Busembatya-24h'!H32,'21.10 Busembatya-Butongole-24h'!H32,'23.10 Busembtya-Butongole'!H32)</f>
        <v>0.5714285714285714</v>
      </c>
      <c r="I32" s="49">
        <f>AVERAGE('17.10 Busembatya-Butongole'!I32,'18.10 Busembatya-Butongole'!I32,'20.10 Busembatya-Butongole'!I32,'22.10 Busembatya-Butongole'!I32,'19.10 Butongole-Busembatya-24h'!I32,'21.10 Busembatya-Butongole-24h'!I32,'23.10 Busembtya-Butongole'!I32)</f>
        <v>0.7142857142857143</v>
      </c>
      <c r="J32" s="49">
        <f>AVERAGE('17.10 Busembatya-Butongole'!J32,'18.10 Busembatya-Butongole'!J32,'20.10 Busembatya-Butongole'!J32,'22.10 Busembatya-Butongole'!J32,'19.10 Butongole-Busembatya-24h'!J32,'21.10 Busembatya-Butongole-24h'!J32,'23.10 Busembtya-Butongole'!J32)</f>
        <v>1.2857142857142858</v>
      </c>
      <c r="K32" s="49">
        <f>AVERAGE('17.10 Busembatya-Butongole'!K32,'18.10 Busembatya-Butongole'!K32,'20.10 Busembatya-Butongole'!K32,'22.10 Busembatya-Butongole'!K32,'19.10 Butongole-Busembatya-24h'!K32,'21.10 Busembatya-Butongole-24h'!K32,'23.10 Busembtya-Butongole'!K32)</f>
        <v>0.7142857142857143</v>
      </c>
      <c r="L32" s="49">
        <f>AVERAGE('17.10 Busembatya-Butongole'!L32,'18.10 Busembatya-Butongole'!L32,'20.10 Busembatya-Butongole'!L32,'22.10 Busembatya-Butongole'!L32,'19.10 Butongole-Busembatya-24h'!L32,'21.10 Busembatya-Butongole-24h'!L32,'23.10 Busembtya-Butongole'!L32)</f>
        <v>0.8571428571428571</v>
      </c>
      <c r="M32" s="49">
        <f>AVERAGE('17.10 Busembatya-Butongole'!M32,'18.10 Busembatya-Butongole'!M32,'20.10 Busembatya-Butongole'!M32,'22.10 Busembatya-Butongole'!M32,'19.10 Butongole-Busembatya-24h'!M32,'21.10 Busembatya-Butongole-24h'!M32,'23.10 Busembtya-Butongole'!M32)</f>
        <v>7.7142857142857144</v>
      </c>
      <c r="N32" s="49">
        <f>AVERAGE('17.10 Busembatya-Butongole'!N32,'18.10 Busembatya-Butongole'!N32,'20.10 Busembatya-Butongole'!N32,'22.10 Busembatya-Butongole'!N32,'19.10 Butongole-Busembatya-24h'!N32,'21.10 Busembatya-Butongole-24h'!N32,'23.10 Busembtya-Butongole'!N32)</f>
        <v>0</v>
      </c>
      <c r="O32" s="15">
        <f t="shared" si="0"/>
        <v>22.142857142857146</v>
      </c>
      <c r="P32" s="15">
        <f t="shared" si="1"/>
        <v>29.857142857142861</v>
      </c>
      <c r="R32" s="1" t="s">
        <v>156</v>
      </c>
      <c r="S32" s="34">
        <f>SUM(C98:C101)</f>
        <v>5</v>
      </c>
      <c r="T32" s="34">
        <f t="shared" ref="T32:AF32" si="24">SUM(D98:D101)</f>
        <v>2</v>
      </c>
      <c r="U32" s="34">
        <f t="shared" si="24"/>
        <v>1</v>
      </c>
      <c r="V32" s="34">
        <f t="shared" si="24"/>
        <v>4.5</v>
      </c>
      <c r="W32" s="34">
        <f t="shared" si="24"/>
        <v>0</v>
      </c>
      <c r="X32" s="34">
        <f t="shared" si="24"/>
        <v>0.5</v>
      </c>
      <c r="Y32" s="34">
        <f t="shared" si="24"/>
        <v>0</v>
      </c>
      <c r="Z32" s="34">
        <f t="shared" si="24"/>
        <v>0</v>
      </c>
      <c r="AA32" s="34">
        <f t="shared" si="24"/>
        <v>1.5</v>
      </c>
      <c r="AB32" s="34">
        <f t="shared" si="24"/>
        <v>0</v>
      </c>
      <c r="AC32" s="34">
        <f t="shared" si="24"/>
        <v>2</v>
      </c>
      <c r="AD32" s="34">
        <f t="shared" si="24"/>
        <v>0</v>
      </c>
      <c r="AE32" s="31">
        <f t="shared" si="24"/>
        <v>14.5</v>
      </c>
      <c r="AF32" s="31">
        <f t="shared" si="24"/>
        <v>16.5</v>
      </c>
    </row>
    <row r="33" spans="2:32" ht="23.1" customHeight="1" x14ac:dyDescent="0.25">
      <c r="B33" s="23" t="s">
        <v>60</v>
      </c>
      <c r="C33" s="49">
        <f>AVERAGE('17.10 Busembatya-Butongole'!C33,'18.10 Busembatya-Butongole'!C33,'20.10 Busembatya-Butongole'!C33,'22.10 Busembatya-Butongole'!C33,'19.10 Butongole-Busembatya-24h'!C33,'21.10 Busembatya-Butongole-24h'!C33,'23.10 Busembtya-Butongole'!C33)</f>
        <v>6.2857142857142856</v>
      </c>
      <c r="D33" s="49">
        <f>AVERAGE('17.10 Busembatya-Butongole'!D33,'18.10 Busembatya-Butongole'!D33,'20.10 Busembatya-Butongole'!D33,'22.10 Busembatya-Butongole'!D33,'19.10 Butongole-Busembatya-24h'!D33,'21.10 Busembatya-Butongole-24h'!D33,'23.10 Busembtya-Butongole'!D33)</f>
        <v>2</v>
      </c>
      <c r="E33" s="49">
        <f>AVERAGE('17.10 Busembatya-Butongole'!E33,'18.10 Busembatya-Butongole'!E33,'20.10 Busembatya-Butongole'!E33,'22.10 Busembatya-Butongole'!E33,'19.10 Butongole-Busembatya-24h'!E33,'21.10 Busembatya-Butongole-24h'!E33,'23.10 Busembtya-Butongole'!E33)</f>
        <v>0.8571428571428571</v>
      </c>
      <c r="F33" s="49">
        <f>AVERAGE('17.10 Busembatya-Butongole'!F33,'18.10 Busembatya-Butongole'!F33,'20.10 Busembatya-Butongole'!F33,'22.10 Busembatya-Butongole'!F33,'19.10 Butongole-Busembatya-24h'!F33,'21.10 Busembatya-Butongole-24h'!F33,'23.10 Busembtya-Butongole'!F33)</f>
        <v>8.8571428571428577</v>
      </c>
      <c r="G33" s="49">
        <f>AVERAGE('17.10 Busembatya-Butongole'!G33,'18.10 Busembatya-Butongole'!G33,'20.10 Busembatya-Butongole'!G33,'22.10 Busembatya-Butongole'!G33,'19.10 Butongole-Busembatya-24h'!G33,'21.10 Busembatya-Butongole-24h'!G33,'23.10 Busembtya-Butongole'!G33)</f>
        <v>0.2857142857142857</v>
      </c>
      <c r="H33" s="49">
        <f>AVERAGE('17.10 Busembatya-Butongole'!H33,'18.10 Busembatya-Butongole'!H33,'20.10 Busembatya-Butongole'!H33,'22.10 Busembatya-Butongole'!H33,'19.10 Butongole-Busembatya-24h'!H33,'21.10 Busembatya-Butongole-24h'!H33,'23.10 Busembtya-Butongole'!H33)</f>
        <v>0.42857142857142855</v>
      </c>
      <c r="I33" s="49">
        <f>AVERAGE('17.10 Busembatya-Butongole'!I33,'18.10 Busembatya-Butongole'!I33,'20.10 Busembatya-Butongole'!I33,'22.10 Busembatya-Butongole'!I33,'19.10 Butongole-Busembatya-24h'!I33,'21.10 Busembatya-Butongole-24h'!I33,'23.10 Busembtya-Butongole'!I33)</f>
        <v>1.1428571428571428</v>
      </c>
      <c r="J33" s="49">
        <f>AVERAGE('17.10 Busembatya-Butongole'!J33,'18.10 Busembatya-Butongole'!J33,'20.10 Busembatya-Butongole'!J33,'22.10 Busembatya-Butongole'!J33,'19.10 Butongole-Busembatya-24h'!J33,'21.10 Busembatya-Butongole-24h'!J33,'23.10 Busembtya-Butongole'!J33)</f>
        <v>0.7142857142857143</v>
      </c>
      <c r="K33" s="49">
        <f>AVERAGE('17.10 Busembatya-Butongole'!K33,'18.10 Busembatya-Butongole'!K33,'20.10 Busembatya-Butongole'!K33,'22.10 Busembatya-Butongole'!K33,'19.10 Butongole-Busembatya-24h'!K33,'21.10 Busembatya-Butongole-24h'!K33,'23.10 Busembtya-Butongole'!K33)</f>
        <v>1.1428571428571428</v>
      </c>
      <c r="L33" s="49">
        <f>AVERAGE('17.10 Busembatya-Butongole'!L33,'18.10 Busembatya-Butongole'!L33,'20.10 Busembatya-Butongole'!L33,'22.10 Busembatya-Butongole'!L33,'19.10 Butongole-Busembatya-24h'!L33,'21.10 Busembatya-Butongole-24h'!L33,'23.10 Busembtya-Butongole'!L33)</f>
        <v>0.2857142857142857</v>
      </c>
      <c r="M33" s="49">
        <f>AVERAGE('17.10 Busembatya-Butongole'!M33,'18.10 Busembatya-Butongole'!M33,'20.10 Busembatya-Butongole'!M33,'22.10 Busembatya-Butongole'!M33,'19.10 Butongole-Busembatya-24h'!M33,'21.10 Busembatya-Butongole-24h'!M33,'23.10 Busembtya-Butongole'!M33)</f>
        <v>9.1428571428571423</v>
      </c>
      <c r="N33" s="49">
        <f>AVERAGE('17.10 Busembatya-Butongole'!N33,'18.10 Busembatya-Butongole'!N33,'20.10 Busembatya-Butongole'!N33,'22.10 Busembatya-Butongole'!N33,'19.10 Butongole-Busembatya-24h'!N33,'21.10 Busembatya-Butongole-24h'!N33,'23.10 Busembtya-Butongole'!N33)</f>
        <v>0</v>
      </c>
      <c r="O33" s="15">
        <f t="shared" si="0"/>
        <v>21.999999999999996</v>
      </c>
      <c r="P33" s="15">
        <f t="shared" si="1"/>
        <v>31.142857142857139</v>
      </c>
      <c r="R33" s="1" t="s">
        <v>157</v>
      </c>
      <c r="S33" s="34">
        <f>SUM(C102:C105)</f>
        <v>7</v>
      </c>
      <c r="T33" s="34">
        <f t="shared" ref="T33:AF33" si="25">SUM(D102:D105)</f>
        <v>3</v>
      </c>
      <c r="U33" s="34">
        <f t="shared" si="25"/>
        <v>4</v>
      </c>
      <c r="V33" s="34">
        <f t="shared" si="25"/>
        <v>15.5</v>
      </c>
      <c r="W33" s="34">
        <f t="shared" si="25"/>
        <v>0</v>
      </c>
      <c r="X33" s="34">
        <f t="shared" si="25"/>
        <v>1</v>
      </c>
      <c r="Y33" s="34">
        <f t="shared" si="25"/>
        <v>0.5</v>
      </c>
      <c r="Z33" s="34">
        <f t="shared" si="25"/>
        <v>0.5</v>
      </c>
      <c r="AA33" s="34">
        <f t="shared" si="25"/>
        <v>4</v>
      </c>
      <c r="AB33" s="34">
        <f t="shared" si="25"/>
        <v>0</v>
      </c>
      <c r="AC33" s="34">
        <f t="shared" si="25"/>
        <v>18</v>
      </c>
      <c r="AD33" s="34">
        <f t="shared" si="25"/>
        <v>0</v>
      </c>
      <c r="AE33" s="31">
        <f t="shared" si="25"/>
        <v>35.5</v>
      </c>
      <c r="AF33" s="31">
        <f t="shared" si="25"/>
        <v>53.5</v>
      </c>
    </row>
    <row r="34" spans="2:32" ht="23.1" customHeight="1" x14ac:dyDescent="0.25">
      <c r="B34" s="24" t="s">
        <v>61</v>
      </c>
      <c r="C34" s="49">
        <f>AVERAGE('17.10 Busembatya-Butongole'!C34,'18.10 Busembatya-Butongole'!C34,'20.10 Busembatya-Butongole'!C34,'22.10 Busembatya-Butongole'!C34,'19.10 Butongole-Busembatya-24h'!C34,'21.10 Busembatya-Butongole-24h'!C34,'23.10 Busembtya-Butongole'!C34)</f>
        <v>2.8571428571428572</v>
      </c>
      <c r="D34" s="49">
        <f>AVERAGE('17.10 Busembatya-Butongole'!D34,'18.10 Busembatya-Butongole'!D34,'20.10 Busembatya-Butongole'!D34,'22.10 Busembatya-Butongole'!D34,'19.10 Butongole-Busembatya-24h'!D34,'21.10 Busembatya-Butongole-24h'!D34,'23.10 Busembtya-Butongole'!D34)</f>
        <v>1.7142857142857142</v>
      </c>
      <c r="E34" s="49">
        <f>AVERAGE('17.10 Busembatya-Butongole'!E34,'18.10 Busembatya-Butongole'!E34,'20.10 Busembatya-Butongole'!E34,'22.10 Busembatya-Butongole'!E34,'19.10 Butongole-Busembatya-24h'!E34,'21.10 Busembatya-Butongole-24h'!E34,'23.10 Busembtya-Butongole'!E34)</f>
        <v>3</v>
      </c>
      <c r="F34" s="49">
        <f>AVERAGE('17.10 Busembatya-Butongole'!F34,'18.10 Busembatya-Butongole'!F34,'20.10 Busembatya-Butongole'!F34,'22.10 Busembatya-Butongole'!F34,'19.10 Butongole-Busembatya-24h'!F34,'21.10 Busembatya-Butongole-24h'!F34,'23.10 Busembtya-Butongole'!F34)</f>
        <v>9.8571428571428577</v>
      </c>
      <c r="G34" s="49">
        <f>AVERAGE('17.10 Busembatya-Butongole'!G34,'18.10 Busembatya-Butongole'!G34,'20.10 Busembatya-Butongole'!G34,'22.10 Busembatya-Butongole'!G34,'19.10 Butongole-Busembatya-24h'!G34,'21.10 Busembatya-Butongole-24h'!G34,'23.10 Busembtya-Butongole'!G34)</f>
        <v>0.7142857142857143</v>
      </c>
      <c r="H34" s="49">
        <f>AVERAGE('17.10 Busembatya-Butongole'!H34,'18.10 Busembatya-Butongole'!H34,'20.10 Busembatya-Butongole'!H34,'22.10 Busembatya-Butongole'!H34,'19.10 Butongole-Busembatya-24h'!H34,'21.10 Busembatya-Butongole-24h'!H34,'23.10 Busembtya-Butongole'!H34)</f>
        <v>0.5714285714285714</v>
      </c>
      <c r="I34" s="49">
        <f>AVERAGE('17.10 Busembatya-Butongole'!I34,'18.10 Busembatya-Butongole'!I34,'20.10 Busembatya-Butongole'!I34,'22.10 Busembatya-Butongole'!I34,'19.10 Butongole-Busembatya-24h'!I34,'21.10 Busembatya-Butongole-24h'!I34,'23.10 Busembtya-Butongole'!I34)</f>
        <v>1.1428571428571428</v>
      </c>
      <c r="J34" s="49">
        <f>AVERAGE('17.10 Busembatya-Butongole'!J34,'18.10 Busembatya-Butongole'!J34,'20.10 Busembatya-Butongole'!J34,'22.10 Busembatya-Butongole'!J34,'19.10 Butongole-Busembatya-24h'!J34,'21.10 Busembatya-Butongole-24h'!J34,'23.10 Busembtya-Butongole'!J34)</f>
        <v>1.1428571428571428</v>
      </c>
      <c r="K34" s="49">
        <f>AVERAGE('17.10 Busembatya-Butongole'!K34,'18.10 Busembatya-Butongole'!K34,'20.10 Busembatya-Butongole'!K34,'22.10 Busembatya-Butongole'!K34,'19.10 Butongole-Busembatya-24h'!K34,'21.10 Busembatya-Butongole-24h'!K34,'23.10 Busembtya-Butongole'!K34)</f>
        <v>0.5714285714285714</v>
      </c>
      <c r="L34" s="49">
        <f>AVERAGE('17.10 Busembatya-Butongole'!L34,'18.10 Busembatya-Butongole'!L34,'20.10 Busembatya-Butongole'!L34,'22.10 Busembatya-Butongole'!L34,'19.10 Butongole-Busembatya-24h'!L34,'21.10 Busembatya-Butongole-24h'!L34,'23.10 Busembtya-Butongole'!L34)</f>
        <v>0</v>
      </c>
      <c r="M34" s="49">
        <f>AVERAGE('17.10 Busembatya-Butongole'!M34,'18.10 Busembatya-Butongole'!M34,'20.10 Busembatya-Butongole'!M34,'22.10 Busembatya-Butongole'!M34,'19.10 Butongole-Busembatya-24h'!M34,'21.10 Busembatya-Butongole-24h'!M34,'23.10 Busembtya-Butongole'!M34)</f>
        <v>9.2857142857142865</v>
      </c>
      <c r="N34" s="49">
        <f>AVERAGE('17.10 Busembatya-Butongole'!N34,'18.10 Busembatya-Butongole'!N34,'20.10 Busembatya-Butongole'!N34,'22.10 Busembatya-Butongole'!N34,'19.10 Butongole-Busembatya-24h'!N34,'21.10 Busembatya-Butongole-24h'!N34,'23.10 Busembtya-Butongole'!N34)</f>
        <v>0</v>
      </c>
      <c r="O34" s="15">
        <f t="shared" si="0"/>
        <v>21.571428571428577</v>
      </c>
      <c r="P34" s="15">
        <f t="shared" si="1"/>
        <v>30.857142857142861</v>
      </c>
      <c r="R34" s="38" t="s">
        <v>90</v>
      </c>
      <c r="S34" s="39">
        <f t="shared" ref="S34:AF34" si="26">MAX(S10:S12)</f>
        <v>11.857142857142858</v>
      </c>
      <c r="T34" s="39">
        <f t="shared" si="26"/>
        <v>5.7142857142857144</v>
      </c>
      <c r="U34" s="39">
        <f t="shared" si="26"/>
        <v>6.5714285714285712</v>
      </c>
      <c r="V34" s="39">
        <f t="shared" si="26"/>
        <v>35.142857142857146</v>
      </c>
      <c r="W34" s="39">
        <f t="shared" si="26"/>
        <v>1.857142857142857</v>
      </c>
      <c r="X34" s="39">
        <f t="shared" si="26"/>
        <v>1.2857142857142856</v>
      </c>
      <c r="Y34" s="39">
        <f t="shared" si="26"/>
        <v>2.9999999999999996</v>
      </c>
      <c r="Z34" s="39">
        <f t="shared" si="26"/>
        <v>4.8571428571428577</v>
      </c>
      <c r="AA34" s="39">
        <f t="shared" si="26"/>
        <v>4.1428571428571423</v>
      </c>
      <c r="AB34" s="39">
        <f t="shared" si="26"/>
        <v>2.8571428571428577</v>
      </c>
      <c r="AC34" s="39">
        <f t="shared" si="26"/>
        <v>38</v>
      </c>
      <c r="AD34" s="39">
        <f t="shared" si="26"/>
        <v>0.42857142857142855</v>
      </c>
      <c r="AE34" s="40">
        <f t="shared" si="26"/>
        <v>72.142857142857139</v>
      </c>
      <c r="AF34" s="40">
        <f t="shared" si="26"/>
        <v>110.14285714285714</v>
      </c>
    </row>
    <row r="35" spans="2:32" ht="23.1" customHeight="1" x14ac:dyDescent="0.25">
      <c r="B35" s="24" t="s">
        <v>62</v>
      </c>
      <c r="C35" s="49">
        <f>AVERAGE('17.10 Busembatya-Butongole'!C35,'18.10 Busembatya-Butongole'!C35,'20.10 Busembatya-Butongole'!C35,'22.10 Busembatya-Butongole'!C35,'19.10 Butongole-Busembatya-24h'!C35,'21.10 Busembatya-Butongole-24h'!C35,'23.10 Busembtya-Butongole'!C35)</f>
        <v>3.8571428571428572</v>
      </c>
      <c r="D35" s="49">
        <f>AVERAGE('17.10 Busembatya-Butongole'!D35,'18.10 Busembatya-Butongole'!D35,'20.10 Busembatya-Butongole'!D35,'22.10 Busembatya-Butongole'!D35,'19.10 Butongole-Busembatya-24h'!D35,'21.10 Busembatya-Butongole-24h'!D35,'23.10 Busembtya-Butongole'!D35)</f>
        <v>2.5714285714285716</v>
      </c>
      <c r="E35" s="49">
        <f>AVERAGE('17.10 Busembatya-Butongole'!E35,'18.10 Busembatya-Butongole'!E35,'20.10 Busembatya-Butongole'!E35,'22.10 Busembatya-Butongole'!E35,'19.10 Butongole-Busembatya-24h'!E35,'21.10 Busembatya-Butongole-24h'!E35,'23.10 Busembtya-Butongole'!E35)</f>
        <v>1.4285714285714286</v>
      </c>
      <c r="F35" s="49">
        <f>AVERAGE('17.10 Busembatya-Butongole'!F35,'18.10 Busembatya-Butongole'!F35,'20.10 Busembatya-Butongole'!F35,'22.10 Busembatya-Butongole'!F35,'19.10 Butongole-Busembatya-24h'!F35,'21.10 Busembatya-Butongole-24h'!F35,'23.10 Busembtya-Butongole'!F35)</f>
        <v>9.2857142857142865</v>
      </c>
      <c r="G35" s="49">
        <f>AVERAGE('17.10 Busembatya-Butongole'!G35,'18.10 Busembatya-Butongole'!G35,'20.10 Busembatya-Butongole'!G35,'22.10 Busembatya-Butongole'!G35,'19.10 Butongole-Busembatya-24h'!G35,'21.10 Busembatya-Butongole-24h'!G35,'23.10 Busembtya-Butongole'!G35)</f>
        <v>0.14285714285714285</v>
      </c>
      <c r="H35" s="49">
        <f>AVERAGE('17.10 Busembatya-Butongole'!H35,'18.10 Busembatya-Butongole'!H35,'20.10 Busembatya-Butongole'!H35,'22.10 Busembatya-Butongole'!H35,'19.10 Butongole-Busembatya-24h'!H35,'21.10 Busembatya-Butongole-24h'!H35,'23.10 Busembtya-Butongole'!H35)</f>
        <v>0.42857142857142855</v>
      </c>
      <c r="I35" s="49">
        <f>AVERAGE('17.10 Busembatya-Butongole'!I35,'18.10 Busembatya-Butongole'!I35,'20.10 Busembatya-Butongole'!I35,'22.10 Busembatya-Butongole'!I35,'19.10 Butongole-Busembatya-24h'!I35,'21.10 Busembatya-Butongole-24h'!I35,'23.10 Busembtya-Butongole'!I35)</f>
        <v>0.8571428571428571</v>
      </c>
      <c r="J35" s="49">
        <f>AVERAGE('17.10 Busembatya-Butongole'!J35,'18.10 Busembatya-Butongole'!J35,'20.10 Busembatya-Butongole'!J35,'22.10 Busembatya-Butongole'!J35,'19.10 Butongole-Busembatya-24h'!J35,'21.10 Busembatya-Butongole-24h'!J35,'23.10 Busembtya-Butongole'!J35)</f>
        <v>0.5714285714285714</v>
      </c>
      <c r="K35" s="49">
        <f>AVERAGE('17.10 Busembatya-Butongole'!K35,'18.10 Busembatya-Butongole'!K35,'20.10 Busembatya-Butongole'!K35,'22.10 Busembatya-Butongole'!K35,'19.10 Butongole-Busembatya-24h'!K35,'21.10 Busembatya-Butongole-24h'!K35,'23.10 Busembtya-Butongole'!K35)</f>
        <v>0.42857142857142855</v>
      </c>
      <c r="L35" s="49">
        <f>AVERAGE('17.10 Busembatya-Butongole'!L35,'18.10 Busembatya-Butongole'!L35,'20.10 Busembatya-Butongole'!L35,'22.10 Busembatya-Butongole'!L35,'19.10 Butongole-Busembatya-24h'!L35,'21.10 Busembatya-Butongole-24h'!L35,'23.10 Busembtya-Butongole'!L35)</f>
        <v>0.2857142857142857</v>
      </c>
      <c r="M35" s="49">
        <f>AVERAGE('17.10 Busembatya-Butongole'!M35,'18.10 Busembatya-Butongole'!M35,'20.10 Busembatya-Butongole'!M35,'22.10 Busembatya-Butongole'!M35,'19.10 Butongole-Busembatya-24h'!M35,'21.10 Busembatya-Butongole-24h'!M35,'23.10 Busembtya-Butongole'!M35)</f>
        <v>10</v>
      </c>
      <c r="N35" s="49">
        <f>AVERAGE('17.10 Busembatya-Butongole'!N35,'18.10 Busembatya-Butongole'!N35,'20.10 Busembatya-Butongole'!N35,'22.10 Busembatya-Butongole'!N35,'19.10 Butongole-Busembatya-24h'!N35,'21.10 Busembatya-Butongole-24h'!N35,'23.10 Busembtya-Butongole'!N35)</f>
        <v>0.2857142857142857</v>
      </c>
      <c r="O35" s="15">
        <f t="shared" si="0"/>
        <v>20.142857142857142</v>
      </c>
      <c r="P35" s="15">
        <f t="shared" si="1"/>
        <v>30.142857142857142</v>
      </c>
      <c r="R35" s="38" t="s">
        <v>91</v>
      </c>
      <c r="S35" s="39">
        <f t="shared" ref="S35:AF35" si="27">MAX(S13:S18)</f>
        <v>20.428571428571427</v>
      </c>
      <c r="T35" s="39">
        <f t="shared" si="27"/>
        <v>8.2857142857142847</v>
      </c>
      <c r="U35" s="39">
        <f t="shared" si="27"/>
        <v>9.2857142857142865</v>
      </c>
      <c r="V35" s="39">
        <f t="shared" si="27"/>
        <v>38.857142857142861</v>
      </c>
      <c r="W35" s="39">
        <f t="shared" si="27"/>
        <v>0.85714285714285721</v>
      </c>
      <c r="X35" s="39">
        <f t="shared" si="27"/>
        <v>2.8571428571428568</v>
      </c>
      <c r="Y35" s="39">
        <f t="shared" si="27"/>
        <v>4.5714285714285712</v>
      </c>
      <c r="Z35" s="39">
        <f t="shared" si="27"/>
        <v>7</v>
      </c>
      <c r="AA35" s="39">
        <f t="shared" si="27"/>
        <v>4.2857142857142856</v>
      </c>
      <c r="AB35" s="39">
        <f t="shared" si="27"/>
        <v>2.5714285714285712</v>
      </c>
      <c r="AC35" s="39">
        <f t="shared" si="27"/>
        <v>42.428571428571423</v>
      </c>
      <c r="AD35" s="39">
        <f t="shared" si="27"/>
        <v>0.71428571428571419</v>
      </c>
      <c r="AE35" s="40">
        <f t="shared" si="27"/>
        <v>88.857142857142847</v>
      </c>
      <c r="AF35" s="40">
        <f t="shared" si="27"/>
        <v>127.14285714285712</v>
      </c>
    </row>
    <row r="36" spans="2:32" ht="23.1" customHeight="1" x14ac:dyDescent="0.25">
      <c r="B36" s="24" t="s">
        <v>63</v>
      </c>
      <c r="C36" s="49">
        <f>AVERAGE('17.10 Busembatya-Butongole'!C36,'18.10 Busembatya-Butongole'!C36,'20.10 Busembatya-Butongole'!C36,'22.10 Busembatya-Butongole'!C36,'19.10 Butongole-Busembatya-24h'!C36,'21.10 Busembatya-Butongole-24h'!C36,'23.10 Busembtya-Butongole'!C36)</f>
        <v>6.1428571428571432</v>
      </c>
      <c r="D36" s="49">
        <f>AVERAGE('17.10 Busembatya-Butongole'!D36,'18.10 Busembatya-Butongole'!D36,'20.10 Busembatya-Butongole'!D36,'22.10 Busembatya-Butongole'!D36,'19.10 Butongole-Busembatya-24h'!D36,'21.10 Busembatya-Butongole-24h'!D36,'23.10 Busembtya-Butongole'!D36)</f>
        <v>1.8571428571428572</v>
      </c>
      <c r="E36" s="49">
        <f>AVERAGE('17.10 Busembatya-Butongole'!E36,'18.10 Busembatya-Butongole'!E36,'20.10 Busembatya-Butongole'!E36,'22.10 Busembatya-Butongole'!E36,'19.10 Butongole-Busembatya-24h'!E36,'21.10 Busembatya-Butongole-24h'!E36,'23.10 Busembtya-Butongole'!E36)</f>
        <v>2.4285714285714284</v>
      </c>
      <c r="F36" s="49">
        <f>AVERAGE('17.10 Busembatya-Butongole'!F36,'18.10 Busembatya-Butongole'!F36,'20.10 Busembatya-Butongole'!F36,'22.10 Busembatya-Butongole'!F36,'19.10 Butongole-Busembatya-24h'!F36,'21.10 Busembatya-Butongole-24h'!F36,'23.10 Busembtya-Butongole'!F36)</f>
        <v>10.571428571428571</v>
      </c>
      <c r="G36" s="49">
        <f>AVERAGE('17.10 Busembatya-Butongole'!G36,'18.10 Busembatya-Butongole'!G36,'20.10 Busembatya-Butongole'!G36,'22.10 Busembatya-Butongole'!G36,'19.10 Butongole-Busembatya-24h'!G36,'21.10 Busembatya-Butongole-24h'!G36,'23.10 Busembtya-Butongole'!G36)</f>
        <v>0</v>
      </c>
      <c r="H36" s="49">
        <f>AVERAGE('17.10 Busembatya-Butongole'!H36,'18.10 Busembatya-Butongole'!H36,'20.10 Busembatya-Butongole'!H36,'22.10 Busembatya-Butongole'!H36,'19.10 Butongole-Busembatya-24h'!H36,'21.10 Busembatya-Butongole-24h'!H36,'23.10 Busembtya-Butongole'!H36)</f>
        <v>0.5714285714285714</v>
      </c>
      <c r="I36" s="49">
        <f>AVERAGE('17.10 Busembatya-Butongole'!I36,'18.10 Busembatya-Butongole'!I36,'20.10 Busembatya-Butongole'!I36,'22.10 Busembatya-Butongole'!I36,'19.10 Butongole-Busembatya-24h'!I36,'21.10 Busembatya-Butongole-24h'!I36,'23.10 Busembtya-Butongole'!I36)</f>
        <v>0.8571428571428571</v>
      </c>
      <c r="J36" s="49">
        <f>AVERAGE('17.10 Busembatya-Butongole'!J36,'18.10 Busembatya-Butongole'!J36,'20.10 Busembatya-Butongole'!J36,'22.10 Busembatya-Butongole'!J36,'19.10 Butongole-Busembatya-24h'!J36,'21.10 Busembatya-Butongole-24h'!J36,'23.10 Busembtya-Butongole'!J36)</f>
        <v>1.2857142857142858</v>
      </c>
      <c r="K36" s="49">
        <f>AVERAGE('17.10 Busembatya-Butongole'!K36,'18.10 Busembatya-Butongole'!K36,'20.10 Busembatya-Butongole'!K36,'22.10 Busembatya-Butongole'!K36,'19.10 Butongole-Busembatya-24h'!K36,'21.10 Busembatya-Butongole-24h'!K36,'23.10 Busembtya-Butongole'!K36)</f>
        <v>1.1428571428571428</v>
      </c>
      <c r="L36" s="49">
        <f>AVERAGE('17.10 Busembatya-Butongole'!L36,'18.10 Busembatya-Butongole'!L36,'20.10 Busembatya-Butongole'!L36,'22.10 Busembatya-Butongole'!L36,'19.10 Butongole-Busembatya-24h'!L36,'21.10 Busembatya-Butongole-24h'!L36,'23.10 Busembtya-Butongole'!L36)</f>
        <v>0.14285714285714285</v>
      </c>
      <c r="M36" s="49">
        <f>AVERAGE('17.10 Busembatya-Butongole'!M36,'18.10 Busembatya-Butongole'!M36,'20.10 Busembatya-Butongole'!M36,'22.10 Busembatya-Butongole'!M36,'19.10 Butongole-Busembatya-24h'!M36,'21.10 Busembatya-Butongole-24h'!M36,'23.10 Busembtya-Butongole'!M36)</f>
        <v>8</v>
      </c>
      <c r="N36" s="49">
        <f>AVERAGE('17.10 Busembatya-Butongole'!N36,'18.10 Busembatya-Butongole'!N36,'20.10 Busembatya-Butongole'!N36,'22.10 Busembatya-Butongole'!N36,'19.10 Butongole-Busembatya-24h'!N36,'21.10 Busembatya-Butongole-24h'!N36,'23.10 Busembtya-Butongole'!N36)</f>
        <v>0.14285714285714285</v>
      </c>
      <c r="O36" s="15">
        <f t="shared" si="0"/>
        <v>25.142857142857142</v>
      </c>
      <c r="P36" s="15">
        <f t="shared" si="1"/>
        <v>33.142857142857146</v>
      </c>
      <c r="R36" s="38" t="s">
        <v>92</v>
      </c>
      <c r="S36" s="39">
        <f t="shared" ref="S36:AF36" si="28">MAX(S19:S21)</f>
        <v>24.714285714285715</v>
      </c>
      <c r="T36" s="39">
        <f t="shared" si="28"/>
        <v>8.1428571428571423</v>
      </c>
      <c r="U36" s="39">
        <f t="shared" si="28"/>
        <v>12.714285714285715</v>
      </c>
      <c r="V36" s="39">
        <f t="shared" si="28"/>
        <v>44.571428571428569</v>
      </c>
      <c r="W36" s="39">
        <f t="shared" si="28"/>
        <v>3</v>
      </c>
      <c r="X36" s="39">
        <f t="shared" si="28"/>
        <v>2.1428571428571428</v>
      </c>
      <c r="Y36" s="39">
        <f t="shared" si="28"/>
        <v>4.4285714285714288</v>
      </c>
      <c r="Z36" s="39">
        <f t="shared" si="28"/>
        <v>7</v>
      </c>
      <c r="AA36" s="39">
        <f t="shared" si="28"/>
        <v>5</v>
      </c>
      <c r="AB36" s="39">
        <f t="shared" si="28"/>
        <v>1.4285714285714284</v>
      </c>
      <c r="AC36" s="39">
        <f t="shared" si="28"/>
        <v>51.714285714285715</v>
      </c>
      <c r="AD36" s="39">
        <f t="shared" si="28"/>
        <v>0.2857142857142857</v>
      </c>
      <c r="AE36" s="40">
        <f t="shared" si="28"/>
        <v>107.14285714285714</v>
      </c>
      <c r="AF36" s="40">
        <f t="shared" si="28"/>
        <v>158.85714285714286</v>
      </c>
    </row>
    <row r="37" spans="2:32" ht="23.1" customHeight="1" x14ac:dyDescent="0.25">
      <c r="B37" s="23" t="s">
        <v>64</v>
      </c>
      <c r="C37" s="49">
        <f>AVERAGE('17.10 Busembatya-Butongole'!C37,'18.10 Busembatya-Butongole'!C37,'20.10 Busembatya-Butongole'!C37,'22.10 Busembatya-Butongole'!C37,'19.10 Butongole-Busembatya-24h'!C37,'21.10 Busembatya-Butongole-24h'!C37,'23.10 Busembtya-Butongole'!C37)</f>
        <v>3.7142857142857144</v>
      </c>
      <c r="D37" s="49">
        <f>AVERAGE('17.10 Busembatya-Butongole'!D37,'18.10 Busembatya-Butongole'!D37,'20.10 Busembatya-Butongole'!D37,'22.10 Busembatya-Butongole'!D37,'19.10 Butongole-Busembatya-24h'!D37,'21.10 Busembatya-Butongole-24h'!D37,'23.10 Busembtya-Butongole'!D37)</f>
        <v>2.1428571428571428</v>
      </c>
      <c r="E37" s="49">
        <f>AVERAGE('17.10 Busembatya-Butongole'!E37,'18.10 Busembatya-Butongole'!E37,'20.10 Busembatya-Butongole'!E37,'22.10 Busembatya-Butongole'!E37,'19.10 Butongole-Busembatya-24h'!E37,'21.10 Busembatya-Butongole-24h'!E37,'23.10 Busembtya-Butongole'!E37)</f>
        <v>2.4285714285714284</v>
      </c>
      <c r="F37" s="49">
        <f>AVERAGE('17.10 Busembatya-Butongole'!F37,'18.10 Busembatya-Butongole'!F37,'20.10 Busembatya-Butongole'!F37,'22.10 Busembatya-Butongole'!F37,'19.10 Butongole-Busembatya-24h'!F37,'21.10 Busembatya-Butongole-24h'!F37,'23.10 Busembtya-Butongole'!F37)</f>
        <v>9.1428571428571423</v>
      </c>
      <c r="G37" s="49">
        <f>AVERAGE('17.10 Busembatya-Butongole'!G37,'18.10 Busembatya-Butongole'!G37,'20.10 Busembatya-Butongole'!G37,'22.10 Busembatya-Butongole'!G37,'19.10 Butongole-Busembatya-24h'!G37,'21.10 Busembatya-Butongole-24h'!G37,'23.10 Busembtya-Butongole'!G37)</f>
        <v>0</v>
      </c>
      <c r="H37" s="49">
        <f>AVERAGE('17.10 Busembatya-Butongole'!H37,'18.10 Busembatya-Butongole'!H37,'20.10 Busembatya-Butongole'!H37,'22.10 Busembatya-Butongole'!H37,'19.10 Butongole-Busembatya-24h'!H37,'21.10 Busembatya-Butongole-24h'!H37,'23.10 Busembtya-Butongole'!H37)</f>
        <v>0.42857142857142855</v>
      </c>
      <c r="I37" s="49">
        <f>AVERAGE('17.10 Busembatya-Butongole'!I37,'18.10 Busembatya-Butongole'!I37,'20.10 Busembatya-Butongole'!I37,'22.10 Busembatya-Butongole'!I37,'19.10 Butongole-Busembatya-24h'!I37,'21.10 Busembatya-Butongole-24h'!I37,'23.10 Busembtya-Butongole'!I37)</f>
        <v>1.2857142857142858</v>
      </c>
      <c r="J37" s="49">
        <f>AVERAGE('17.10 Busembatya-Butongole'!J37,'18.10 Busembatya-Butongole'!J37,'20.10 Busembatya-Butongole'!J37,'22.10 Busembatya-Butongole'!J37,'19.10 Butongole-Busembatya-24h'!J37,'21.10 Busembatya-Butongole-24h'!J37,'23.10 Busembtya-Butongole'!J37)</f>
        <v>1.1428571428571428</v>
      </c>
      <c r="K37" s="49">
        <f>AVERAGE('17.10 Busembatya-Butongole'!K37,'18.10 Busembatya-Butongole'!K37,'20.10 Busembatya-Butongole'!K37,'22.10 Busembatya-Butongole'!K37,'19.10 Butongole-Busembatya-24h'!K37,'21.10 Busembatya-Butongole-24h'!K37,'23.10 Busembtya-Butongole'!K37)</f>
        <v>0.5714285714285714</v>
      </c>
      <c r="L37" s="49">
        <f>AVERAGE('17.10 Busembatya-Butongole'!L37,'18.10 Busembatya-Butongole'!L37,'20.10 Busembatya-Butongole'!L37,'22.10 Busembatya-Butongole'!L37,'19.10 Butongole-Busembatya-24h'!L37,'21.10 Busembatya-Butongole-24h'!L37,'23.10 Busembtya-Butongole'!L37)</f>
        <v>0.2857142857142857</v>
      </c>
      <c r="M37" s="49">
        <f>AVERAGE('17.10 Busembatya-Butongole'!M37,'18.10 Busembatya-Butongole'!M37,'20.10 Busembatya-Butongole'!M37,'22.10 Busembatya-Butongole'!M37,'19.10 Butongole-Busembatya-24h'!M37,'21.10 Busembatya-Butongole-24h'!M37,'23.10 Busembtya-Butongole'!M37)</f>
        <v>9.7142857142857135</v>
      </c>
      <c r="N37" s="49">
        <f>AVERAGE('17.10 Busembatya-Butongole'!N37,'18.10 Busembatya-Butongole'!N37,'20.10 Busembatya-Butongole'!N37,'22.10 Busembatya-Butongole'!N37,'19.10 Butongole-Busembatya-24h'!N37,'21.10 Busembatya-Butongole-24h'!N37,'23.10 Busembtya-Butongole'!N37)</f>
        <v>0</v>
      </c>
      <c r="O37" s="15">
        <f t="shared" si="0"/>
        <v>21.142857142857142</v>
      </c>
      <c r="P37" s="15">
        <f t="shared" si="1"/>
        <v>30.857142857142854</v>
      </c>
      <c r="R37" s="37" t="s">
        <v>85</v>
      </c>
      <c r="S37" s="35">
        <f t="shared" ref="S37:AF37" si="29">SUM(S10:S12)</f>
        <v>32.142857142857146</v>
      </c>
      <c r="T37" s="16">
        <f t="shared" si="29"/>
        <v>14.285714285714285</v>
      </c>
      <c r="U37" s="16">
        <f t="shared" si="29"/>
        <v>18.857142857142854</v>
      </c>
      <c r="V37" s="16">
        <f t="shared" si="29"/>
        <v>83.571428571428584</v>
      </c>
      <c r="W37" s="16">
        <f t="shared" si="29"/>
        <v>3.5714285714285712</v>
      </c>
      <c r="X37" s="16">
        <f t="shared" si="29"/>
        <v>2.2857142857142856</v>
      </c>
      <c r="Y37" s="16">
        <f t="shared" si="29"/>
        <v>8</v>
      </c>
      <c r="Z37" s="16">
        <f t="shared" si="29"/>
        <v>11</v>
      </c>
      <c r="AA37" s="16">
        <f t="shared" si="29"/>
        <v>10</v>
      </c>
      <c r="AB37" s="16">
        <f t="shared" si="29"/>
        <v>6</v>
      </c>
      <c r="AC37" s="16">
        <f t="shared" si="29"/>
        <v>102.71428571428572</v>
      </c>
      <c r="AD37" s="16">
        <f t="shared" si="29"/>
        <v>0.71428571428571419</v>
      </c>
      <c r="AE37" s="32">
        <f t="shared" si="29"/>
        <v>190.42857142857142</v>
      </c>
      <c r="AF37" s="32">
        <f t="shared" si="29"/>
        <v>293.14285714285711</v>
      </c>
    </row>
    <row r="38" spans="2:32" ht="23.1" customHeight="1" x14ac:dyDescent="0.25">
      <c r="B38" s="24" t="s">
        <v>65</v>
      </c>
      <c r="C38" s="49">
        <f>AVERAGE('17.10 Busembatya-Butongole'!C38,'18.10 Busembatya-Butongole'!C38,'20.10 Busembatya-Butongole'!C38,'22.10 Busembatya-Butongole'!C38,'19.10 Butongole-Busembatya-24h'!C38,'21.10 Busembatya-Butongole-24h'!C38,'23.10 Busembtya-Butongole'!C38)</f>
        <v>3.1428571428571428</v>
      </c>
      <c r="D38" s="49">
        <f>AVERAGE('17.10 Busembatya-Butongole'!D38,'18.10 Busembatya-Butongole'!D38,'20.10 Busembatya-Butongole'!D38,'22.10 Busembatya-Butongole'!D38,'19.10 Butongole-Busembatya-24h'!D38,'21.10 Busembatya-Butongole-24h'!D38,'23.10 Busembtya-Butongole'!D38)</f>
        <v>2</v>
      </c>
      <c r="E38" s="49">
        <f>AVERAGE('17.10 Busembatya-Butongole'!E38,'18.10 Busembatya-Butongole'!E38,'20.10 Busembatya-Butongole'!E38,'22.10 Busembatya-Butongole'!E38,'19.10 Butongole-Busembatya-24h'!E38,'21.10 Busembatya-Butongole-24h'!E38,'23.10 Busembtya-Butongole'!E38)</f>
        <v>2.5714285714285716</v>
      </c>
      <c r="F38" s="49">
        <f>AVERAGE('17.10 Busembatya-Butongole'!F38,'18.10 Busembatya-Butongole'!F38,'20.10 Busembatya-Butongole'!F38,'22.10 Busembatya-Butongole'!F38,'19.10 Butongole-Busembatya-24h'!F38,'21.10 Busembatya-Butongole-24h'!F38,'23.10 Busembtya-Butongole'!F38)</f>
        <v>8.4285714285714288</v>
      </c>
      <c r="G38" s="49">
        <f>AVERAGE('17.10 Busembatya-Butongole'!G38,'18.10 Busembatya-Butongole'!G38,'20.10 Busembatya-Butongole'!G38,'22.10 Busembatya-Butongole'!G38,'19.10 Butongole-Busembatya-24h'!G38,'21.10 Busembatya-Butongole-24h'!G38,'23.10 Busembtya-Butongole'!G38)</f>
        <v>0.14285714285714285</v>
      </c>
      <c r="H38" s="49">
        <f>AVERAGE('17.10 Busembatya-Butongole'!H38,'18.10 Busembatya-Butongole'!H38,'20.10 Busembatya-Butongole'!H38,'22.10 Busembatya-Butongole'!H38,'19.10 Butongole-Busembatya-24h'!H38,'21.10 Busembatya-Butongole-24h'!H38,'23.10 Busembtya-Butongole'!H38)</f>
        <v>0.8571428571428571</v>
      </c>
      <c r="I38" s="49">
        <f>AVERAGE('17.10 Busembatya-Butongole'!I38,'18.10 Busembatya-Butongole'!I38,'20.10 Busembatya-Butongole'!I38,'22.10 Busembatya-Butongole'!I38,'19.10 Butongole-Busembatya-24h'!I38,'21.10 Busembatya-Butongole-24h'!I38,'23.10 Busembtya-Butongole'!I38)</f>
        <v>0.5714285714285714</v>
      </c>
      <c r="J38" s="49">
        <f>AVERAGE('17.10 Busembatya-Butongole'!J38,'18.10 Busembatya-Butongole'!J38,'20.10 Busembatya-Butongole'!J38,'22.10 Busembatya-Butongole'!J38,'19.10 Butongole-Busembatya-24h'!J38,'21.10 Busembatya-Butongole-24h'!J38,'23.10 Busembtya-Butongole'!J38)</f>
        <v>0.8571428571428571</v>
      </c>
      <c r="K38" s="49">
        <f>AVERAGE('17.10 Busembatya-Butongole'!K38,'18.10 Busembatya-Butongole'!K38,'20.10 Busembatya-Butongole'!K38,'22.10 Busembatya-Butongole'!K38,'19.10 Butongole-Busembatya-24h'!K38,'21.10 Busembatya-Butongole-24h'!K38,'23.10 Busembtya-Butongole'!K38)</f>
        <v>1.8571428571428572</v>
      </c>
      <c r="L38" s="49">
        <f>AVERAGE('17.10 Busembatya-Butongole'!L38,'18.10 Busembatya-Butongole'!L38,'20.10 Busembatya-Butongole'!L38,'22.10 Busembatya-Butongole'!L38,'19.10 Butongole-Busembatya-24h'!L38,'21.10 Busembatya-Butongole-24h'!L38,'23.10 Busembtya-Butongole'!L38)</f>
        <v>0.42857142857142855</v>
      </c>
      <c r="M38" s="49">
        <f>AVERAGE('17.10 Busembatya-Butongole'!M38,'18.10 Busembatya-Butongole'!M38,'20.10 Busembatya-Butongole'!M38,'22.10 Busembatya-Butongole'!M38,'19.10 Butongole-Busembatya-24h'!M38,'21.10 Busembatya-Butongole-24h'!M38,'23.10 Busembtya-Butongole'!M38)</f>
        <v>11.428571428571429</v>
      </c>
      <c r="N38" s="49">
        <f>AVERAGE('17.10 Busembatya-Butongole'!N38,'18.10 Busembatya-Butongole'!N38,'20.10 Busembatya-Butongole'!N38,'22.10 Busembatya-Butongole'!N38,'19.10 Butongole-Busembatya-24h'!N38,'21.10 Busembatya-Butongole-24h'!N38,'23.10 Busembtya-Butongole'!N38)</f>
        <v>0</v>
      </c>
      <c r="O38" s="15">
        <f t="shared" si="0"/>
        <v>20.857142857142858</v>
      </c>
      <c r="P38" s="15">
        <f t="shared" si="1"/>
        <v>32.285714285714285</v>
      </c>
      <c r="R38" s="28" t="s">
        <v>86</v>
      </c>
      <c r="S38" s="16">
        <f t="shared" ref="S38:AF38" si="30">SUM(S13:S18)</f>
        <v>99.857142857142861</v>
      </c>
      <c r="T38" s="16">
        <f t="shared" si="30"/>
        <v>38.285714285714285</v>
      </c>
      <c r="U38" s="16">
        <f t="shared" si="30"/>
        <v>43.285714285714292</v>
      </c>
      <c r="V38" s="16">
        <f t="shared" si="30"/>
        <v>215.99999999999997</v>
      </c>
      <c r="W38" s="16">
        <f t="shared" si="30"/>
        <v>4.2857142857142856</v>
      </c>
      <c r="X38" s="16">
        <f t="shared" si="30"/>
        <v>10.142857142857142</v>
      </c>
      <c r="Y38" s="16">
        <f t="shared" si="30"/>
        <v>21.857142857142854</v>
      </c>
      <c r="Z38" s="16">
        <f t="shared" si="30"/>
        <v>26.571428571428569</v>
      </c>
      <c r="AA38" s="16">
        <f t="shared" si="30"/>
        <v>16.571428571428569</v>
      </c>
      <c r="AB38" s="16">
        <f t="shared" si="30"/>
        <v>8.2857142857142847</v>
      </c>
      <c r="AC38" s="16">
        <f t="shared" si="30"/>
        <v>228.14285714285714</v>
      </c>
      <c r="AD38" s="16">
        <f t="shared" si="30"/>
        <v>1.714285714285714</v>
      </c>
      <c r="AE38" s="32">
        <f t="shared" si="30"/>
        <v>486.85714285714283</v>
      </c>
      <c r="AF38" s="32">
        <f t="shared" si="30"/>
        <v>715</v>
      </c>
    </row>
    <row r="39" spans="2:32" ht="23.1" customHeight="1" x14ac:dyDescent="0.25">
      <c r="B39" s="24" t="s">
        <v>66</v>
      </c>
      <c r="C39" s="49">
        <f>AVERAGE('17.10 Busembatya-Butongole'!C39,'18.10 Busembatya-Butongole'!C39,'20.10 Busembatya-Butongole'!C39,'22.10 Busembatya-Butongole'!C39,'19.10 Butongole-Busembatya-24h'!C39,'21.10 Busembatya-Butongole-24h'!C39,'23.10 Busembtya-Butongole'!C39)</f>
        <v>4.4285714285714288</v>
      </c>
      <c r="D39" s="49">
        <f>AVERAGE('17.10 Busembatya-Butongole'!D39,'18.10 Busembatya-Butongole'!D39,'20.10 Busembatya-Butongole'!D39,'22.10 Busembatya-Butongole'!D39,'19.10 Butongole-Busembatya-24h'!D39,'21.10 Busembatya-Butongole-24h'!D39,'23.10 Busembtya-Butongole'!D39)</f>
        <v>2</v>
      </c>
      <c r="E39" s="49">
        <f>AVERAGE('17.10 Busembatya-Butongole'!E39,'18.10 Busembatya-Butongole'!E39,'20.10 Busembatya-Butongole'!E39,'22.10 Busembatya-Butongole'!E39,'19.10 Butongole-Busembatya-24h'!E39,'21.10 Busembatya-Butongole-24h'!E39,'23.10 Busembtya-Butongole'!E39)</f>
        <v>2.4285714285714284</v>
      </c>
      <c r="F39" s="49">
        <f>AVERAGE('17.10 Busembatya-Butongole'!F39,'18.10 Busembatya-Butongole'!F39,'20.10 Busembatya-Butongole'!F39,'22.10 Busembatya-Butongole'!F39,'19.10 Butongole-Busembatya-24h'!F39,'21.10 Busembatya-Butongole-24h'!F39,'23.10 Busembtya-Butongole'!F39)</f>
        <v>9.1428571428571423</v>
      </c>
      <c r="G39" s="49">
        <f>AVERAGE('17.10 Busembatya-Butongole'!G39,'18.10 Busembatya-Butongole'!G39,'20.10 Busembatya-Butongole'!G39,'22.10 Busembatya-Butongole'!G39,'19.10 Butongole-Busembatya-24h'!G39,'21.10 Busembatya-Butongole-24h'!G39,'23.10 Busembtya-Butongole'!G39)</f>
        <v>0.2857142857142857</v>
      </c>
      <c r="H39" s="49">
        <f>AVERAGE('17.10 Busembatya-Butongole'!H39,'18.10 Busembatya-Butongole'!H39,'20.10 Busembatya-Butongole'!H39,'22.10 Busembatya-Butongole'!H39,'19.10 Butongole-Busembatya-24h'!H39,'21.10 Busembatya-Butongole-24h'!H39,'23.10 Busembtya-Butongole'!H39)</f>
        <v>0.5714285714285714</v>
      </c>
      <c r="I39" s="49">
        <f>AVERAGE('17.10 Busembatya-Butongole'!I39,'18.10 Busembatya-Butongole'!I39,'20.10 Busembatya-Butongole'!I39,'22.10 Busembatya-Butongole'!I39,'19.10 Butongole-Busembatya-24h'!I39,'21.10 Busembatya-Butongole-24h'!I39,'23.10 Busembtya-Butongole'!I39)</f>
        <v>1.4285714285714286</v>
      </c>
      <c r="J39" s="49">
        <f>AVERAGE('17.10 Busembatya-Butongole'!J39,'18.10 Busembatya-Butongole'!J39,'20.10 Busembatya-Butongole'!J39,'22.10 Busembatya-Butongole'!J39,'19.10 Butongole-Busembatya-24h'!J39,'21.10 Busembatya-Butongole-24h'!J39,'23.10 Busembtya-Butongole'!J39)</f>
        <v>1.1428571428571428</v>
      </c>
      <c r="K39" s="49">
        <f>AVERAGE('17.10 Busembatya-Butongole'!K39,'18.10 Busembatya-Butongole'!K39,'20.10 Busembatya-Butongole'!K39,'22.10 Busembatya-Butongole'!K39,'19.10 Butongole-Busembatya-24h'!K39,'21.10 Busembatya-Butongole-24h'!K39,'23.10 Busembtya-Butongole'!K39)</f>
        <v>0.8571428571428571</v>
      </c>
      <c r="L39" s="49">
        <f>AVERAGE('17.10 Busembatya-Butongole'!L39,'18.10 Busembatya-Butongole'!L39,'20.10 Busembatya-Butongole'!L39,'22.10 Busembatya-Butongole'!L39,'19.10 Butongole-Busembatya-24h'!L39,'21.10 Busembatya-Butongole-24h'!L39,'23.10 Busembtya-Butongole'!L39)</f>
        <v>1</v>
      </c>
      <c r="M39" s="49">
        <f>AVERAGE('17.10 Busembatya-Butongole'!M39,'18.10 Busembatya-Butongole'!M39,'20.10 Busembatya-Butongole'!M39,'22.10 Busembatya-Butongole'!M39,'19.10 Butongole-Busembatya-24h'!M39,'21.10 Busembatya-Butongole-24h'!M39,'23.10 Busembtya-Butongole'!M39)</f>
        <v>10.714285714285714</v>
      </c>
      <c r="N39" s="49">
        <f>AVERAGE('17.10 Busembatya-Butongole'!N39,'18.10 Busembatya-Butongole'!N39,'20.10 Busembatya-Butongole'!N39,'22.10 Busembatya-Butongole'!N39,'19.10 Butongole-Busembatya-24h'!N39,'21.10 Busembatya-Butongole-24h'!N39,'23.10 Busembtya-Butongole'!N39)</f>
        <v>0</v>
      </c>
      <c r="O39" s="15">
        <f t="shared" si="0"/>
        <v>23.285714285714285</v>
      </c>
      <c r="P39" s="15">
        <f t="shared" si="1"/>
        <v>34</v>
      </c>
      <c r="R39" s="29" t="s">
        <v>87</v>
      </c>
      <c r="S39" s="16">
        <f t="shared" ref="S39:AF39" si="31">SUM(S19:S21)</f>
        <v>61.571428571428569</v>
      </c>
      <c r="T39" s="16">
        <f t="shared" si="31"/>
        <v>23.428571428571427</v>
      </c>
      <c r="U39" s="16">
        <f t="shared" si="31"/>
        <v>34.857142857142861</v>
      </c>
      <c r="V39" s="16">
        <f t="shared" si="31"/>
        <v>120</v>
      </c>
      <c r="W39" s="16">
        <f t="shared" si="31"/>
        <v>5.8571428571428568</v>
      </c>
      <c r="X39" s="16">
        <f t="shared" si="31"/>
        <v>4.4285714285714288</v>
      </c>
      <c r="Y39" s="16">
        <f t="shared" si="31"/>
        <v>12.285714285714285</v>
      </c>
      <c r="Z39" s="16">
        <f t="shared" si="31"/>
        <v>17.285714285714285</v>
      </c>
      <c r="AA39" s="16">
        <f t="shared" si="31"/>
        <v>12.142857142857142</v>
      </c>
      <c r="AB39" s="16">
        <f t="shared" si="31"/>
        <v>2.4285714285714284</v>
      </c>
      <c r="AC39" s="16">
        <f t="shared" si="31"/>
        <v>130.42857142857142</v>
      </c>
      <c r="AD39" s="16">
        <f t="shared" si="31"/>
        <v>0.42857142857142855</v>
      </c>
      <c r="AE39" s="32">
        <f t="shared" si="31"/>
        <v>294.71428571428572</v>
      </c>
      <c r="AF39" s="32">
        <f t="shared" si="31"/>
        <v>425.14285714285711</v>
      </c>
    </row>
    <row r="40" spans="2:32" ht="23.1" customHeight="1" x14ac:dyDescent="0.25">
      <c r="B40" s="24" t="s">
        <v>67</v>
      </c>
      <c r="C40" s="49">
        <f>AVERAGE('17.10 Busembatya-Butongole'!C40,'18.10 Busembatya-Butongole'!C40,'20.10 Busembatya-Butongole'!C40,'22.10 Busembatya-Butongole'!C40,'19.10 Butongole-Busembatya-24h'!C40,'21.10 Busembatya-Butongole-24h'!C40,'23.10 Busembtya-Butongole'!C40)</f>
        <v>4.2857142857142856</v>
      </c>
      <c r="D40" s="49">
        <f>AVERAGE('17.10 Busembatya-Butongole'!D40,'18.10 Busembatya-Butongole'!D40,'20.10 Busembatya-Butongole'!D40,'22.10 Busembatya-Butongole'!D40,'19.10 Butongole-Busembatya-24h'!D40,'21.10 Busembatya-Butongole-24h'!D40,'23.10 Busembtya-Butongole'!D40)</f>
        <v>2.1428571428571428</v>
      </c>
      <c r="E40" s="49">
        <f>AVERAGE('17.10 Busembatya-Butongole'!E40,'18.10 Busembatya-Butongole'!E40,'20.10 Busembatya-Butongole'!E40,'22.10 Busembatya-Butongole'!E40,'19.10 Butongole-Busembatya-24h'!E40,'21.10 Busembatya-Butongole-24h'!E40,'23.10 Busembtya-Butongole'!E40)</f>
        <v>2.2857142857142856</v>
      </c>
      <c r="F40" s="49">
        <f>AVERAGE('17.10 Busembatya-Butongole'!F40,'18.10 Busembatya-Butongole'!F40,'20.10 Busembatya-Butongole'!F40,'22.10 Busembatya-Butongole'!F40,'19.10 Butongole-Busembatya-24h'!F40,'21.10 Busembatya-Butongole-24h'!F40,'23.10 Busembtya-Butongole'!F40)</f>
        <v>8.2857142857142865</v>
      </c>
      <c r="G40" s="49">
        <f>AVERAGE('17.10 Busembatya-Butongole'!G40,'18.10 Busembatya-Butongole'!G40,'20.10 Busembatya-Butongole'!G40,'22.10 Busembatya-Butongole'!G40,'19.10 Butongole-Busembatya-24h'!G40,'21.10 Busembatya-Butongole-24h'!G40,'23.10 Busembtya-Butongole'!G40)</f>
        <v>0</v>
      </c>
      <c r="H40" s="49">
        <f>AVERAGE('17.10 Busembatya-Butongole'!H40,'18.10 Busembatya-Butongole'!H40,'20.10 Busembatya-Butongole'!H40,'22.10 Busembatya-Butongole'!H40,'19.10 Butongole-Busembatya-24h'!H40,'21.10 Busembatya-Butongole-24h'!H40,'23.10 Busembtya-Butongole'!H40)</f>
        <v>0.2857142857142857</v>
      </c>
      <c r="I40" s="49">
        <f>AVERAGE('17.10 Busembatya-Butongole'!I40,'18.10 Busembatya-Butongole'!I40,'20.10 Busembatya-Butongole'!I40,'22.10 Busembatya-Butongole'!I40,'19.10 Butongole-Busembatya-24h'!I40,'21.10 Busembatya-Butongole-24h'!I40,'23.10 Busembtya-Butongole'!I40)</f>
        <v>0.5714285714285714</v>
      </c>
      <c r="J40" s="49">
        <f>AVERAGE('17.10 Busembatya-Butongole'!J40,'18.10 Busembatya-Butongole'!J40,'20.10 Busembatya-Butongole'!J40,'22.10 Busembatya-Butongole'!J40,'19.10 Butongole-Busembatya-24h'!J40,'21.10 Busembatya-Butongole-24h'!J40,'23.10 Busembtya-Butongole'!J40)</f>
        <v>1.1428571428571428</v>
      </c>
      <c r="K40" s="49">
        <f>AVERAGE('17.10 Busembatya-Butongole'!K40,'18.10 Busembatya-Butongole'!K40,'20.10 Busembatya-Butongole'!K40,'22.10 Busembatya-Butongole'!K40,'19.10 Butongole-Busembatya-24h'!K40,'21.10 Busembatya-Butongole-24h'!K40,'23.10 Busembtya-Butongole'!K40)</f>
        <v>1.2857142857142858</v>
      </c>
      <c r="L40" s="49">
        <f>AVERAGE('17.10 Busembatya-Butongole'!L40,'18.10 Busembatya-Butongole'!L40,'20.10 Busembatya-Butongole'!L40,'22.10 Busembatya-Butongole'!L40,'19.10 Butongole-Busembatya-24h'!L40,'21.10 Busembatya-Butongole-24h'!L40,'23.10 Busembtya-Butongole'!L40)</f>
        <v>0.5714285714285714</v>
      </c>
      <c r="M40" s="49">
        <f>AVERAGE('17.10 Busembatya-Butongole'!M40,'18.10 Busembatya-Butongole'!M40,'20.10 Busembatya-Butongole'!M40,'22.10 Busembatya-Butongole'!M40,'19.10 Butongole-Busembatya-24h'!M40,'21.10 Busembatya-Butongole-24h'!M40,'23.10 Busembtya-Butongole'!M40)</f>
        <v>10</v>
      </c>
      <c r="N40" s="49">
        <f>AVERAGE('17.10 Busembatya-Butongole'!N40,'18.10 Busembatya-Butongole'!N40,'20.10 Busembatya-Butongole'!N40,'22.10 Busembatya-Butongole'!N40,'19.10 Butongole-Busembatya-24h'!N40,'21.10 Busembatya-Butongole-24h'!N40,'23.10 Busembtya-Butongole'!N40)</f>
        <v>0</v>
      </c>
      <c r="O40" s="15">
        <f t="shared" si="0"/>
        <v>20.857142857142858</v>
      </c>
      <c r="P40" s="15">
        <f t="shared" si="1"/>
        <v>30.857142857142858</v>
      </c>
      <c r="R40" s="5" t="s">
        <v>17</v>
      </c>
      <c r="S40" s="16">
        <f t="shared" ref="S40:AF40" si="32">SUM(S10:S21)</f>
        <v>193.57142857142856</v>
      </c>
      <c r="T40" s="16">
        <f t="shared" si="32"/>
        <v>76.000000000000014</v>
      </c>
      <c r="U40" s="16">
        <f t="shared" si="32"/>
        <v>97</v>
      </c>
      <c r="V40" s="16">
        <f t="shared" si="32"/>
        <v>419.57142857142861</v>
      </c>
      <c r="W40" s="16">
        <f t="shared" si="32"/>
        <v>13.714285714285714</v>
      </c>
      <c r="X40" s="16">
        <f t="shared" si="32"/>
        <v>16.857142857142854</v>
      </c>
      <c r="Y40" s="16">
        <f t="shared" si="32"/>
        <v>42.142857142857139</v>
      </c>
      <c r="Z40" s="16">
        <f t="shared" si="32"/>
        <v>54.857142857142854</v>
      </c>
      <c r="AA40" s="16">
        <f t="shared" si="32"/>
        <v>38.714285714285708</v>
      </c>
      <c r="AB40" s="16">
        <f t="shared" si="32"/>
        <v>16.714285714285715</v>
      </c>
      <c r="AC40" s="16">
        <f t="shared" si="32"/>
        <v>461.28571428571433</v>
      </c>
      <c r="AD40" s="16">
        <f t="shared" si="32"/>
        <v>2.8571428571428563</v>
      </c>
      <c r="AE40" s="32">
        <f t="shared" si="32"/>
        <v>972.00000000000011</v>
      </c>
      <c r="AF40" s="32">
        <f t="shared" si="32"/>
        <v>1433.2857142857142</v>
      </c>
    </row>
    <row r="41" spans="2:32" ht="23.1" customHeight="1" x14ac:dyDescent="0.25">
      <c r="B41" s="23" t="s">
        <v>68</v>
      </c>
      <c r="C41" s="49">
        <f>AVERAGE('17.10 Busembatya-Butongole'!C41,'18.10 Busembatya-Butongole'!C41,'20.10 Busembatya-Butongole'!C41,'22.10 Busembatya-Butongole'!C41,'19.10 Butongole-Busembatya-24h'!C41,'21.10 Busembatya-Butongole-24h'!C41,'23.10 Busembtya-Butongole'!C41)</f>
        <v>3.7142857142857144</v>
      </c>
      <c r="D41" s="49">
        <f>AVERAGE('17.10 Busembatya-Butongole'!D41,'18.10 Busembatya-Butongole'!D41,'20.10 Busembatya-Butongole'!D41,'22.10 Busembatya-Butongole'!D41,'19.10 Butongole-Busembatya-24h'!D41,'21.10 Busembatya-Butongole-24h'!D41,'23.10 Busembtya-Butongole'!D41)</f>
        <v>1</v>
      </c>
      <c r="E41" s="49">
        <f>AVERAGE('17.10 Busembatya-Butongole'!E41,'18.10 Busembatya-Butongole'!E41,'20.10 Busembatya-Butongole'!E41,'22.10 Busembatya-Butongole'!E41,'19.10 Butongole-Busembatya-24h'!E41,'21.10 Busembatya-Butongole-24h'!E41,'23.10 Busembtya-Butongole'!E41)</f>
        <v>1.7142857142857142</v>
      </c>
      <c r="F41" s="49">
        <f>AVERAGE('17.10 Busembatya-Butongole'!F41,'18.10 Busembatya-Butongole'!F41,'20.10 Busembatya-Butongole'!F41,'22.10 Busembatya-Butongole'!F41,'19.10 Butongole-Busembatya-24h'!F41,'21.10 Busembatya-Butongole-24h'!F41,'23.10 Busembtya-Butongole'!F41)</f>
        <v>8.8571428571428577</v>
      </c>
      <c r="G41" s="49">
        <f>AVERAGE('17.10 Busembatya-Butongole'!G41,'18.10 Busembatya-Butongole'!G41,'20.10 Busembatya-Butongole'!G41,'22.10 Busembatya-Butongole'!G41,'19.10 Butongole-Busembatya-24h'!G41,'21.10 Busembatya-Butongole-24h'!G41,'23.10 Busembtya-Butongole'!G41)</f>
        <v>0</v>
      </c>
      <c r="H41" s="49">
        <f>AVERAGE('17.10 Busembatya-Butongole'!H41,'18.10 Busembatya-Butongole'!H41,'20.10 Busembatya-Butongole'!H41,'22.10 Busembatya-Butongole'!H41,'19.10 Butongole-Busembatya-24h'!H41,'21.10 Busembatya-Butongole-24h'!H41,'23.10 Busembtya-Butongole'!H41)</f>
        <v>0.2857142857142857</v>
      </c>
      <c r="I41" s="49">
        <f>AVERAGE('17.10 Busembatya-Butongole'!I41,'18.10 Busembatya-Butongole'!I41,'20.10 Busembatya-Butongole'!I41,'22.10 Busembatya-Butongole'!I41,'19.10 Butongole-Busembatya-24h'!I41,'21.10 Busembatya-Butongole-24h'!I41,'23.10 Busembtya-Butongole'!I41)</f>
        <v>0.8571428571428571</v>
      </c>
      <c r="J41" s="49">
        <f>AVERAGE('17.10 Busembatya-Butongole'!J41,'18.10 Busembatya-Butongole'!J41,'20.10 Busembatya-Butongole'!J41,'22.10 Busembatya-Butongole'!J41,'19.10 Butongole-Busembatya-24h'!J41,'21.10 Busembatya-Butongole-24h'!J41,'23.10 Busembtya-Butongole'!J41)</f>
        <v>0.5714285714285714</v>
      </c>
      <c r="K41" s="49">
        <f>AVERAGE('17.10 Busembatya-Butongole'!K41,'18.10 Busembatya-Butongole'!K41,'20.10 Busembatya-Butongole'!K41,'22.10 Busembatya-Butongole'!K41,'19.10 Butongole-Busembatya-24h'!K41,'21.10 Busembatya-Butongole-24h'!K41,'23.10 Busembtya-Butongole'!K41)</f>
        <v>0.2857142857142857</v>
      </c>
      <c r="L41" s="49">
        <f>AVERAGE('17.10 Busembatya-Butongole'!L41,'18.10 Busembatya-Butongole'!L41,'20.10 Busembatya-Butongole'!L41,'22.10 Busembatya-Butongole'!L41,'19.10 Butongole-Busembatya-24h'!L41,'21.10 Busembatya-Butongole-24h'!L41,'23.10 Busembtya-Butongole'!L41)</f>
        <v>0.5714285714285714</v>
      </c>
      <c r="M41" s="49">
        <f>AVERAGE('17.10 Busembatya-Butongole'!M41,'18.10 Busembatya-Butongole'!M41,'20.10 Busembatya-Butongole'!M41,'22.10 Busembatya-Butongole'!M41,'19.10 Butongole-Busembatya-24h'!M41,'21.10 Busembatya-Butongole-24h'!M41,'23.10 Busembtya-Butongole'!M41)</f>
        <v>10.285714285714286</v>
      </c>
      <c r="N41" s="49">
        <f>AVERAGE('17.10 Busembatya-Butongole'!N41,'18.10 Busembatya-Butongole'!N41,'20.10 Busembatya-Butongole'!N41,'22.10 Busembatya-Butongole'!N41,'19.10 Butongole-Busembatya-24h'!N41,'21.10 Busembatya-Butongole-24h'!N41,'23.10 Busembtya-Butongole'!N41)</f>
        <v>0.2857142857142857</v>
      </c>
      <c r="O41" s="15">
        <f t="shared" si="0"/>
        <v>18.142857142857146</v>
      </c>
      <c r="P41" s="15">
        <f t="shared" si="1"/>
        <v>28.428571428571431</v>
      </c>
      <c r="R41" s="5" t="s">
        <v>184</v>
      </c>
      <c r="S41" s="16">
        <f>SUM(S10:S33)</f>
        <v>299.07142857142856</v>
      </c>
      <c r="T41" s="16">
        <f t="shared" ref="T41:AD41" si="33">SUM(T10:T33)</f>
        <v>108.50000000000001</v>
      </c>
      <c r="U41" s="16">
        <f t="shared" si="33"/>
        <v>127</v>
      </c>
      <c r="V41" s="16">
        <f t="shared" si="33"/>
        <v>531.07142857142867</v>
      </c>
      <c r="W41" s="16">
        <f t="shared" si="33"/>
        <v>22.214285714285715</v>
      </c>
      <c r="X41" s="16">
        <f t="shared" si="33"/>
        <v>35.857142857142854</v>
      </c>
      <c r="Y41" s="16">
        <f t="shared" si="33"/>
        <v>108.14285714285714</v>
      </c>
      <c r="Z41" s="16">
        <f t="shared" si="33"/>
        <v>58.357142857142854</v>
      </c>
      <c r="AA41" s="16">
        <f t="shared" si="33"/>
        <v>78.714285714285708</v>
      </c>
      <c r="AB41" s="16">
        <f t="shared" si="33"/>
        <v>18.714285714285715</v>
      </c>
      <c r="AC41" s="16">
        <f t="shared" si="33"/>
        <v>564.78571428571433</v>
      </c>
      <c r="AD41" s="16">
        <f t="shared" si="33"/>
        <v>2.8571428571428563</v>
      </c>
      <c r="AE41" s="32">
        <f>SUM(AE10:AE33)</f>
        <v>1390.5</v>
      </c>
      <c r="AF41" s="32">
        <f>SUM(AF10:AF33)</f>
        <v>1955.2857142857142</v>
      </c>
    </row>
    <row r="42" spans="2:32" ht="23.1" customHeight="1" x14ac:dyDescent="0.25">
      <c r="B42" s="24" t="s">
        <v>69</v>
      </c>
      <c r="C42" s="49">
        <f>AVERAGE('17.10 Busembatya-Butongole'!C42,'18.10 Busembatya-Butongole'!C42,'20.10 Busembatya-Butongole'!C42,'22.10 Busembatya-Butongole'!C42,'19.10 Butongole-Busembatya-24h'!C42,'21.10 Busembatya-Butongole-24h'!C42,'23.10 Busembtya-Butongole'!C42)</f>
        <v>6.4285714285714288</v>
      </c>
      <c r="D42" s="49">
        <f>AVERAGE('17.10 Busembatya-Butongole'!D42,'18.10 Busembatya-Butongole'!D42,'20.10 Busembatya-Butongole'!D42,'22.10 Busembatya-Butongole'!D42,'19.10 Butongole-Busembatya-24h'!D42,'21.10 Busembatya-Butongole-24h'!D42,'23.10 Busembtya-Butongole'!D42)</f>
        <v>1.5714285714285714</v>
      </c>
      <c r="E42" s="49">
        <f>AVERAGE('17.10 Busembatya-Butongole'!E42,'18.10 Busembatya-Butongole'!E42,'20.10 Busembatya-Butongole'!E42,'22.10 Busembatya-Butongole'!E42,'19.10 Butongole-Busembatya-24h'!E42,'21.10 Busembatya-Butongole-24h'!E42,'23.10 Busembtya-Butongole'!E42)</f>
        <v>1.8571428571428572</v>
      </c>
      <c r="F42" s="49">
        <f>AVERAGE('17.10 Busembatya-Butongole'!F42,'18.10 Busembatya-Butongole'!F42,'20.10 Busembatya-Butongole'!F42,'22.10 Busembatya-Butongole'!F42,'19.10 Butongole-Busembatya-24h'!F42,'21.10 Busembatya-Butongole-24h'!F42,'23.10 Busembtya-Butongole'!F42)</f>
        <v>8.8571428571428577</v>
      </c>
      <c r="G42" s="49">
        <f>AVERAGE('17.10 Busembatya-Butongole'!G42,'18.10 Busembatya-Butongole'!G42,'20.10 Busembatya-Butongole'!G42,'22.10 Busembatya-Butongole'!G42,'19.10 Butongole-Busembatya-24h'!G42,'21.10 Busembatya-Butongole-24h'!G42,'23.10 Busembtya-Butongole'!G42)</f>
        <v>0</v>
      </c>
      <c r="H42" s="49">
        <f>AVERAGE('17.10 Busembatya-Butongole'!H42,'18.10 Busembatya-Butongole'!H42,'20.10 Busembatya-Butongole'!H42,'22.10 Busembatya-Butongole'!H42,'19.10 Butongole-Busembatya-24h'!H42,'21.10 Busembatya-Butongole-24h'!H42,'23.10 Busembtya-Butongole'!H42)</f>
        <v>0.5714285714285714</v>
      </c>
      <c r="I42" s="49">
        <f>AVERAGE('17.10 Busembatya-Butongole'!I42,'18.10 Busembatya-Butongole'!I42,'20.10 Busembatya-Butongole'!I42,'22.10 Busembatya-Butongole'!I42,'19.10 Butongole-Busembatya-24h'!I42,'21.10 Busembatya-Butongole-24h'!I42,'23.10 Busembtya-Butongole'!I42)</f>
        <v>1.2857142857142858</v>
      </c>
      <c r="J42" s="49">
        <f>AVERAGE('17.10 Busembatya-Butongole'!J42,'18.10 Busembatya-Butongole'!J42,'20.10 Busembatya-Butongole'!J42,'22.10 Busembatya-Butongole'!J42,'19.10 Butongole-Busembatya-24h'!J42,'21.10 Busembatya-Butongole-24h'!J42,'23.10 Busembtya-Butongole'!J42)</f>
        <v>1.8571428571428572</v>
      </c>
      <c r="K42" s="49">
        <f>AVERAGE('17.10 Busembatya-Butongole'!K42,'18.10 Busembatya-Butongole'!K42,'20.10 Busembatya-Butongole'!K42,'22.10 Busembatya-Butongole'!K42,'19.10 Butongole-Busembatya-24h'!K42,'21.10 Busembatya-Butongole-24h'!K42,'23.10 Busembtya-Butongole'!K42)</f>
        <v>0.7142857142857143</v>
      </c>
      <c r="L42" s="49">
        <f>AVERAGE('17.10 Busembatya-Butongole'!L42,'18.10 Busembatya-Butongole'!L42,'20.10 Busembatya-Butongole'!L42,'22.10 Busembatya-Butongole'!L42,'19.10 Butongole-Busembatya-24h'!L42,'21.10 Busembatya-Butongole-24h'!L42,'23.10 Busembtya-Butongole'!L42)</f>
        <v>0.14285714285714285</v>
      </c>
      <c r="M42" s="49">
        <f>AVERAGE('17.10 Busembatya-Butongole'!M42,'18.10 Busembatya-Butongole'!M42,'20.10 Busembatya-Butongole'!M42,'22.10 Busembatya-Butongole'!M42,'19.10 Butongole-Busembatya-24h'!M42,'21.10 Busembatya-Butongole-24h'!M42,'23.10 Busembtya-Butongole'!M42)</f>
        <v>9.8571428571428577</v>
      </c>
      <c r="N42" s="49">
        <f>AVERAGE('17.10 Busembatya-Butongole'!N42,'18.10 Busembatya-Butongole'!N42,'20.10 Busembatya-Butongole'!N42,'22.10 Busembatya-Butongole'!N42,'19.10 Butongole-Busembatya-24h'!N42,'21.10 Busembatya-Butongole-24h'!N42,'23.10 Busembtya-Butongole'!N42)</f>
        <v>0</v>
      </c>
      <c r="O42" s="15">
        <f t="shared" si="0"/>
        <v>23.285714285714288</v>
      </c>
      <c r="P42" s="15">
        <f t="shared" si="1"/>
        <v>33.142857142857146</v>
      </c>
      <c r="R42" s="5" t="s">
        <v>160</v>
      </c>
      <c r="S42" s="48">
        <f>S41/S40</f>
        <v>1.5450184501845019</v>
      </c>
      <c r="T42" s="48">
        <f t="shared" ref="T42:AF42" si="34">T41/T40</f>
        <v>1.4276315789473684</v>
      </c>
      <c r="U42" s="48">
        <f t="shared" si="34"/>
        <v>1.3092783505154639</v>
      </c>
      <c r="V42" s="48">
        <f t="shared" si="34"/>
        <v>1.2657473612529793</v>
      </c>
      <c r="W42" s="48">
        <f t="shared" si="34"/>
        <v>1.6197916666666667</v>
      </c>
      <c r="X42" s="48">
        <f t="shared" si="34"/>
        <v>2.1271186440677967</v>
      </c>
      <c r="Y42" s="48">
        <f t="shared" si="34"/>
        <v>2.5661016949152544</v>
      </c>
      <c r="Z42" s="48">
        <f t="shared" si="34"/>
        <v>1.0638020833333333</v>
      </c>
      <c r="AA42" s="48">
        <f t="shared" si="34"/>
        <v>2.0332103321033212</v>
      </c>
      <c r="AB42" s="48">
        <f t="shared" si="34"/>
        <v>1.1196581196581197</v>
      </c>
      <c r="AC42" s="48">
        <f t="shared" si="34"/>
        <v>1.2243728708578507</v>
      </c>
      <c r="AD42" s="48">
        <f t="shared" si="34"/>
        <v>1</v>
      </c>
      <c r="AE42" s="54">
        <f t="shared" si="34"/>
        <v>1.4305555555555554</v>
      </c>
      <c r="AF42" s="54">
        <f t="shared" si="34"/>
        <v>1.3641981461178112</v>
      </c>
    </row>
    <row r="43" spans="2:32" ht="23.1" customHeight="1" x14ac:dyDescent="0.25">
      <c r="B43" s="23" t="s">
        <v>70</v>
      </c>
      <c r="C43" s="49">
        <f>AVERAGE('17.10 Busembatya-Butongole'!C43,'18.10 Busembatya-Butongole'!C43,'20.10 Busembatya-Butongole'!C43,'22.10 Busembatya-Butongole'!C43,'19.10 Butongole-Busembatya-24h'!C43,'21.10 Busembatya-Butongole-24h'!C43,'23.10 Busembtya-Butongole'!C43)</f>
        <v>4.8571428571428568</v>
      </c>
      <c r="D43" s="49">
        <f>AVERAGE('17.10 Busembatya-Butongole'!D43,'18.10 Busembatya-Butongole'!D43,'20.10 Busembatya-Butongole'!D43,'22.10 Busembatya-Butongole'!D43,'19.10 Butongole-Busembatya-24h'!D43,'21.10 Busembatya-Butongole-24h'!D43,'23.10 Busembtya-Butongole'!D43)</f>
        <v>1.2857142857142858</v>
      </c>
      <c r="E43" s="49">
        <f>AVERAGE('17.10 Busembatya-Butongole'!E43,'18.10 Busembatya-Butongole'!E43,'20.10 Busembatya-Butongole'!E43,'22.10 Busembatya-Butongole'!E43,'19.10 Butongole-Busembatya-24h'!E43,'21.10 Busembatya-Butongole-24h'!E43,'23.10 Busembtya-Butongole'!E43)</f>
        <v>2.7142857142857144</v>
      </c>
      <c r="F43" s="49">
        <f>AVERAGE('17.10 Busembatya-Butongole'!F43,'18.10 Busembatya-Butongole'!F43,'20.10 Busembatya-Butongole'!F43,'22.10 Busembatya-Butongole'!F43,'19.10 Butongole-Busembatya-24h'!F43,'21.10 Busembatya-Butongole-24h'!F43,'23.10 Busembtya-Butongole'!F43)</f>
        <v>9.5714285714285712</v>
      </c>
      <c r="G43" s="49">
        <f>AVERAGE('17.10 Busembatya-Butongole'!G43,'18.10 Busembatya-Butongole'!G43,'20.10 Busembatya-Butongole'!G43,'22.10 Busembatya-Butongole'!G43,'19.10 Butongole-Busembatya-24h'!G43,'21.10 Busembatya-Butongole-24h'!G43,'23.10 Busembtya-Butongole'!G43)</f>
        <v>0.2857142857142857</v>
      </c>
      <c r="H43" s="49">
        <f>AVERAGE('17.10 Busembatya-Butongole'!H43,'18.10 Busembatya-Butongole'!H43,'20.10 Busembatya-Butongole'!H43,'22.10 Busembatya-Butongole'!H43,'19.10 Butongole-Busembatya-24h'!H43,'21.10 Busembatya-Butongole-24h'!H43,'23.10 Busembtya-Butongole'!H43)</f>
        <v>0.7142857142857143</v>
      </c>
      <c r="I43" s="49">
        <f>AVERAGE('17.10 Busembatya-Butongole'!I43,'18.10 Busembatya-Butongole'!I43,'20.10 Busembatya-Butongole'!I43,'22.10 Busembatya-Butongole'!I43,'19.10 Butongole-Busembatya-24h'!I43,'21.10 Busembatya-Butongole-24h'!I43,'23.10 Busembtya-Butongole'!I43)</f>
        <v>1.4285714285714286</v>
      </c>
      <c r="J43" s="49">
        <f>AVERAGE('17.10 Busembatya-Butongole'!J43,'18.10 Busembatya-Butongole'!J43,'20.10 Busembatya-Butongole'!J43,'22.10 Busembatya-Butongole'!J43,'19.10 Butongole-Busembatya-24h'!J43,'21.10 Busembatya-Butongole-24h'!J43,'23.10 Busembtya-Butongole'!J43)</f>
        <v>1.2857142857142858</v>
      </c>
      <c r="K43" s="49">
        <f>AVERAGE('17.10 Busembatya-Butongole'!K43,'18.10 Busembatya-Butongole'!K43,'20.10 Busembatya-Butongole'!K43,'22.10 Busembatya-Butongole'!K43,'19.10 Butongole-Busembatya-24h'!K43,'21.10 Busembatya-Butongole-24h'!K43,'23.10 Busembtya-Butongole'!K43)</f>
        <v>0.42857142857142855</v>
      </c>
      <c r="L43" s="49">
        <f>AVERAGE('17.10 Busembatya-Butongole'!L43,'18.10 Busembatya-Butongole'!L43,'20.10 Busembatya-Butongole'!L43,'22.10 Busembatya-Butongole'!L43,'19.10 Butongole-Busembatya-24h'!L43,'21.10 Busembatya-Butongole-24h'!L43,'23.10 Busembtya-Butongole'!L43)</f>
        <v>0.8571428571428571</v>
      </c>
      <c r="M43" s="49">
        <f>AVERAGE('17.10 Busembatya-Butongole'!M43,'18.10 Busembatya-Butongole'!M43,'20.10 Busembatya-Butongole'!M43,'22.10 Busembatya-Butongole'!M43,'19.10 Butongole-Busembatya-24h'!M43,'21.10 Busembatya-Butongole-24h'!M43,'23.10 Busembtya-Butongole'!M43)</f>
        <v>8.4285714285714288</v>
      </c>
      <c r="N43" s="49">
        <f>AVERAGE('17.10 Busembatya-Butongole'!N43,'18.10 Busembatya-Butongole'!N43,'20.10 Busembatya-Butongole'!N43,'22.10 Busembatya-Butongole'!N43,'19.10 Butongole-Busembatya-24h'!N43,'21.10 Busembatya-Butongole-24h'!N43,'23.10 Busembtya-Butongole'!N43)</f>
        <v>0.2857142857142857</v>
      </c>
      <c r="O43" s="15">
        <f t="shared" si="0"/>
        <v>23.714285714285712</v>
      </c>
      <c r="P43" s="15">
        <f t="shared" si="1"/>
        <v>32.142857142857139</v>
      </c>
    </row>
    <row r="44" spans="2:32" ht="23.1" customHeight="1" x14ac:dyDescent="0.25">
      <c r="B44" s="25" t="s">
        <v>71</v>
      </c>
      <c r="C44" s="49">
        <f>AVERAGE('17.10 Busembatya-Butongole'!C44,'18.10 Busembatya-Butongole'!C44,'20.10 Busembatya-Butongole'!C44,'22.10 Busembatya-Butongole'!C44,'19.10 Butongole-Busembatya-24h'!C44,'21.10 Busembatya-Butongole-24h'!C44,'23.10 Busembtya-Butongole'!C44)</f>
        <v>3.8571428571428572</v>
      </c>
      <c r="D44" s="49">
        <f>AVERAGE('17.10 Busembatya-Butongole'!D44,'18.10 Busembatya-Butongole'!D44,'20.10 Busembatya-Butongole'!D44,'22.10 Busembatya-Butongole'!D44,'19.10 Butongole-Busembatya-24h'!D44,'21.10 Busembatya-Butongole-24h'!D44,'23.10 Busembtya-Butongole'!D44)</f>
        <v>1.5714285714285714</v>
      </c>
      <c r="E44" s="49">
        <f>AVERAGE('17.10 Busembatya-Butongole'!E44,'18.10 Busembatya-Butongole'!E44,'20.10 Busembatya-Butongole'!E44,'22.10 Busembatya-Butongole'!E44,'19.10 Butongole-Busembatya-24h'!E44,'21.10 Busembatya-Butongole-24h'!E44,'23.10 Busembtya-Butongole'!E44)</f>
        <v>1.7142857142857142</v>
      </c>
      <c r="F44" s="49">
        <f>AVERAGE('17.10 Busembatya-Butongole'!F44,'18.10 Busembatya-Butongole'!F44,'20.10 Busembatya-Butongole'!F44,'22.10 Busembatya-Butongole'!F44,'19.10 Butongole-Busembatya-24h'!F44,'21.10 Busembatya-Butongole-24h'!F44,'23.10 Busembtya-Butongole'!F44)</f>
        <v>8.4285714285714288</v>
      </c>
      <c r="G44" s="49">
        <f>AVERAGE('17.10 Busembatya-Butongole'!G44,'18.10 Busembatya-Butongole'!G44,'20.10 Busembatya-Butongole'!G44,'22.10 Busembatya-Butongole'!G44,'19.10 Butongole-Busembatya-24h'!G44,'21.10 Busembatya-Butongole-24h'!G44,'23.10 Busembtya-Butongole'!G44)</f>
        <v>0.14285714285714285</v>
      </c>
      <c r="H44" s="49">
        <f>AVERAGE('17.10 Busembatya-Butongole'!H44,'18.10 Busembatya-Butongole'!H44,'20.10 Busembatya-Butongole'!H44,'22.10 Busembatya-Butongole'!H44,'19.10 Butongole-Busembatya-24h'!H44,'21.10 Busembatya-Butongole-24h'!H44,'23.10 Busembtya-Butongole'!H44)</f>
        <v>0.42857142857142855</v>
      </c>
      <c r="I44" s="49">
        <f>AVERAGE('17.10 Busembatya-Butongole'!I44,'18.10 Busembatya-Butongole'!I44,'20.10 Busembatya-Butongole'!I44,'22.10 Busembatya-Butongole'!I44,'19.10 Butongole-Busembatya-24h'!I44,'21.10 Busembatya-Butongole-24h'!I44,'23.10 Busembtya-Butongole'!I44)</f>
        <v>0.7142857142857143</v>
      </c>
      <c r="J44" s="49">
        <f>AVERAGE('17.10 Busembatya-Butongole'!J44,'18.10 Busembatya-Butongole'!J44,'20.10 Busembatya-Butongole'!J44,'22.10 Busembatya-Butongole'!J44,'19.10 Butongole-Busembatya-24h'!J44,'21.10 Busembatya-Butongole-24h'!J44,'23.10 Busembtya-Butongole'!J44)</f>
        <v>2.2857142857142856</v>
      </c>
      <c r="K44" s="49">
        <f>AVERAGE('17.10 Busembatya-Butongole'!K44,'18.10 Busembatya-Butongole'!K44,'20.10 Busembatya-Butongole'!K44,'22.10 Busembatya-Butongole'!K44,'19.10 Butongole-Busembatya-24h'!K44,'21.10 Busembatya-Butongole-24h'!K44,'23.10 Busembtya-Butongole'!K44)</f>
        <v>0.42857142857142855</v>
      </c>
      <c r="L44" s="49">
        <f>AVERAGE('17.10 Busembatya-Butongole'!L44,'18.10 Busembatya-Butongole'!L44,'20.10 Busembatya-Butongole'!L44,'22.10 Busembatya-Butongole'!L44,'19.10 Butongole-Busembatya-24h'!L44,'21.10 Busembatya-Butongole-24h'!L44,'23.10 Busembtya-Butongole'!L44)</f>
        <v>0.14285714285714285</v>
      </c>
      <c r="M44" s="49">
        <f>AVERAGE('17.10 Busembatya-Butongole'!M44,'18.10 Busembatya-Butongole'!M44,'20.10 Busembatya-Butongole'!M44,'22.10 Busembatya-Butongole'!M44,'19.10 Butongole-Busembatya-24h'!M44,'21.10 Busembatya-Butongole-24h'!M44,'23.10 Busembtya-Butongole'!M44)</f>
        <v>10.428571428571429</v>
      </c>
      <c r="N44" s="49">
        <f>AVERAGE('17.10 Busembatya-Butongole'!N44,'18.10 Busembatya-Butongole'!N44,'20.10 Busembatya-Butongole'!N44,'22.10 Busembatya-Butongole'!N44,'19.10 Butongole-Busembatya-24h'!N44,'21.10 Busembatya-Butongole-24h'!N44,'23.10 Busembtya-Butongole'!N44)</f>
        <v>0</v>
      </c>
      <c r="O44" s="15">
        <f t="shared" si="0"/>
        <v>19.714285714285712</v>
      </c>
      <c r="P44" s="15">
        <f t="shared" si="1"/>
        <v>30.142857142857139</v>
      </c>
    </row>
    <row r="45" spans="2:32" ht="23.1" customHeight="1" x14ac:dyDescent="0.25">
      <c r="B45" s="23" t="s">
        <v>72</v>
      </c>
      <c r="C45" s="49">
        <f>AVERAGE('17.10 Busembatya-Butongole'!C45,'18.10 Busembatya-Butongole'!C45,'20.10 Busembatya-Butongole'!C45,'22.10 Busembatya-Butongole'!C45,'19.10 Butongole-Busembatya-24h'!C45,'21.10 Busembatya-Butongole-24h'!C45,'23.10 Busembtya-Butongole'!C45)</f>
        <v>3.8571428571428572</v>
      </c>
      <c r="D45" s="49">
        <f>AVERAGE('17.10 Busembatya-Butongole'!D45,'18.10 Busembatya-Butongole'!D45,'20.10 Busembatya-Butongole'!D45,'22.10 Busembatya-Butongole'!D45,'19.10 Butongole-Busembatya-24h'!D45,'21.10 Busembatya-Butongole-24h'!D45,'23.10 Busembtya-Butongole'!D45)</f>
        <v>2.7142857142857144</v>
      </c>
      <c r="E45" s="49">
        <f>AVERAGE('17.10 Busembatya-Butongole'!E45,'18.10 Busembatya-Butongole'!E45,'20.10 Busembatya-Butongole'!E45,'22.10 Busembatya-Butongole'!E45,'19.10 Butongole-Busembatya-24h'!E45,'21.10 Busembatya-Butongole-24h'!E45,'23.10 Busembtya-Butongole'!E45)</f>
        <v>2.1428571428571428</v>
      </c>
      <c r="F45" s="49">
        <f>AVERAGE('17.10 Busembatya-Butongole'!F45,'18.10 Busembatya-Butongole'!F45,'20.10 Busembatya-Butongole'!F45,'22.10 Busembatya-Butongole'!F45,'19.10 Butongole-Busembatya-24h'!F45,'21.10 Busembatya-Butongole-24h'!F45,'23.10 Busembtya-Butongole'!F45)</f>
        <v>7.2857142857142856</v>
      </c>
      <c r="G45" s="49">
        <f>AVERAGE('17.10 Busembatya-Butongole'!G45,'18.10 Busembatya-Butongole'!G45,'20.10 Busembatya-Butongole'!G45,'22.10 Busembatya-Butongole'!G45,'19.10 Butongole-Busembatya-24h'!G45,'21.10 Busembatya-Butongole-24h'!G45,'23.10 Busembtya-Butongole'!G45)</f>
        <v>0.42857142857142855</v>
      </c>
      <c r="H45" s="49">
        <f>AVERAGE('17.10 Busembatya-Butongole'!H45,'18.10 Busembatya-Butongole'!H45,'20.10 Busembatya-Butongole'!H45,'22.10 Busembatya-Butongole'!H45,'19.10 Butongole-Busembatya-24h'!H45,'21.10 Busembatya-Butongole-24h'!H45,'23.10 Busembtya-Butongole'!H45)</f>
        <v>1.1428571428571428</v>
      </c>
      <c r="I45" s="49">
        <f>AVERAGE('17.10 Busembatya-Butongole'!I45,'18.10 Busembatya-Butongole'!I45,'20.10 Busembatya-Butongole'!I45,'22.10 Busembatya-Butongole'!I45,'19.10 Butongole-Busembatya-24h'!I45,'21.10 Busembatya-Butongole-24h'!I45,'23.10 Busembtya-Butongole'!I45)</f>
        <v>1.1428571428571428</v>
      </c>
      <c r="J45" s="49">
        <f>AVERAGE('17.10 Busembatya-Butongole'!J45,'18.10 Busembatya-Butongole'!J45,'20.10 Busembatya-Butongole'!J45,'22.10 Busembatya-Butongole'!J45,'19.10 Butongole-Busembatya-24h'!J45,'21.10 Busembatya-Butongole-24h'!J45,'23.10 Busembtya-Butongole'!J45)</f>
        <v>1.5714285714285714</v>
      </c>
      <c r="K45" s="49">
        <f>AVERAGE('17.10 Busembatya-Butongole'!K45,'18.10 Busembatya-Butongole'!K45,'20.10 Busembatya-Butongole'!K45,'22.10 Busembatya-Butongole'!K45,'19.10 Butongole-Busembatya-24h'!K45,'21.10 Busembatya-Butongole-24h'!K45,'23.10 Busembtya-Butongole'!K45)</f>
        <v>1.4285714285714286</v>
      </c>
      <c r="L45" s="49">
        <f>AVERAGE('17.10 Busembatya-Butongole'!L45,'18.10 Busembatya-Butongole'!L45,'20.10 Busembatya-Butongole'!L45,'22.10 Busembatya-Butongole'!L45,'19.10 Butongole-Busembatya-24h'!L45,'21.10 Busembatya-Butongole-24h'!L45,'23.10 Busembtya-Butongole'!L45)</f>
        <v>0</v>
      </c>
      <c r="M45" s="49">
        <f>AVERAGE('17.10 Busembatya-Butongole'!M45,'18.10 Busembatya-Butongole'!M45,'20.10 Busembatya-Butongole'!M45,'22.10 Busembatya-Butongole'!M45,'19.10 Butongole-Busembatya-24h'!M45,'21.10 Busembatya-Butongole-24h'!M45,'23.10 Busembtya-Butongole'!M45)</f>
        <v>9.5714285714285712</v>
      </c>
      <c r="N45" s="49">
        <f>AVERAGE('17.10 Busembatya-Butongole'!N45,'18.10 Busembatya-Butongole'!N45,'20.10 Busembatya-Butongole'!N45,'22.10 Busembatya-Butongole'!N45,'19.10 Butongole-Busembatya-24h'!N45,'21.10 Busembatya-Butongole-24h'!N45,'23.10 Busembtya-Butongole'!N45)</f>
        <v>0.42857142857142855</v>
      </c>
      <c r="O45" s="15">
        <f t="shared" si="0"/>
        <v>22.142857142857139</v>
      </c>
      <c r="P45" s="15">
        <f t="shared" si="1"/>
        <v>31.714285714285712</v>
      </c>
    </row>
    <row r="46" spans="2:32" ht="23.1" customHeight="1" x14ac:dyDescent="0.25">
      <c r="B46" s="24" t="s">
        <v>73</v>
      </c>
      <c r="C46" s="49">
        <f>AVERAGE('17.10 Busembatya-Butongole'!C46,'18.10 Busembatya-Butongole'!C46,'20.10 Busembatya-Butongole'!C46,'22.10 Busembatya-Butongole'!C46,'19.10 Butongole-Busembatya-24h'!C46,'21.10 Busembatya-Butongole-24h'!C46,'23.10 Busembtya-Butongole'!C46)</f>
        <v>2.7142857142857144</v>
      </c>
      <c r="D46" s="49">
        <f>AVERAGE('17.10 Busembatya-Butongole'!D46,'18.10 Busembatya-Butongole'!D46,'20.10 Busembatya-Butongole'!D46,'22.10 Busembatya-Butongole'!D46,'19.10 Butongole-Busembatya-24h'!D46,'21.10 Busembatya-Butongole-24h'!D46,'23.10 Busembtya-Butongole'!D46)</f>
        <v>1.2857142857142858</v>
      </c>
      <c r="E46" s="49">
        <f>AVERAGE('17.10 Busembatya-Butongole'!E46,'18.10 Busembatya-Butongole'!E46,'20.10 Busembatya-Butongole'!E46,'22.10 Busembatya-Butongole'!E46,'19.10 Butongole-Busembatya-24h'!E46,'21.10 Busembatya-Butongole-24h'!E46,'23.10 Busembtya-Butongole'!E46)</f>
        <v>2.2857142857142856</v>
      </c>
      <c r="F46" s="49">
        <f>AVERAGE('17.10 Busembatya-Butongole'!F46,'18.10 Busembatya-Butongole'!F46,'20.10 Busembatya-Butongole'!F46,'22.10 Busembatya-Butongole'!F46,'19.10 Butongole-Busembatya-24h'!F46,'21.10 Busembatya-Butongole-24h'!F46,'23.10 Busembtya-Butongole'!F46)</f>
        <v>7.2857142857142856</v>
      </c>
      <c r="G46" s="49">
        <f>AVERAGE('17.10 Busembatya-Butongole'!G46,'18.10 Busembatya-Butongole'!G46,'20.10 Busembatya-Butongole'!G46,'22.10 Busembatya-Butongole'!G46,'19.10 Butongole-Busembatya-24h'!G46,'21.10 Busembatya-Butongole-24h'!G46,'23.10 Busembtya-Butongole'!G46)</f>
        <v>0.2857142857142857</v>
      </c>
      <c r="H46" s="49">
        <f>AVERAGE('17.10 Busembatya-Butongole'!H46,'18.10 Busembatya-Butongole'!H46,'20.10 Busembatya-Butongole'!H46,'22.10 Busembatya-Butongole'!H46,'19.10 Butongole-Busembatya-24h'!H46,'21.10 Busembatya-Butongole-24h'!H46,'23.10 Busembtya-Butongole'!H46)</f>
        <v>0.5714285714285714</v>
      </c>
      <c r="I46" s="49">
        <f>AVERAGE('17.10 Busembatya-Butongole'!I46,'18.10 Busembatya-Butongole'!I46,'20.10 Busembatya-Butongole'!I46,'22.10 Busembatya-Butongole'!I46,'19.10 Butongole-Busembatya-24h'!I46,'21.10 Busembatya-Butongole-24h'!I46,'23.10 Busembtya-Butongole'!I46)</f>
        <v>0.5714285714285714</v>
      </c>
      <c r="J46" s="49">
        <f>AVERAGE('17.10 Busembatya-Butongole'!J46,'18.10 Busembatya-Butongole'!J46,'20.10 Busembatya-Butongole'!J46,'22.10 Busembatya-Butongole'!J46,'19.10 Butongole-Busembatya-24h'!J46,'21.10 Busembatya-Butongole-24h'!J46,'23.10 Busembtya-Butongole'!J46)</f>
        <v>0.5714285714285714</v>
      </c>
      <c r="K46" s="49">
        <f>AVERAGE('17.10 Busembatya-Butongole'!K46,'18.10 Busembatya-Butongole'!K46,'20.10 Busembatya-Butongole'!K46,'22.10 Busembatya-Butongole'!K46,'19.10 Butongole-Busembatya-24h'!K46,'21.10 Busembatya-Butongole-24h'!K46,'23.10 Busembtya-Butongole'!K46)</f>
        <v>1.1428571428571428</v>
      </c>
      <c r="L46" s="49">
        <f>AVERAGE('17.10 Busembatya-Butongole'!L46,'18.10 Busembatya-Butongole'!L46,'20.10 Busembatya-Butongole'!L46,'22.10 Busembatya-Butongole'!L46,'19.10 Butongole-Busembatya-24h'!L46,'21.10 Busembatya-Butongole-24h'!L46,'23.10 Busembtya-Butongole'!L46)</f>
        <v>0</v>
      </c>
      <c r="M46" s="49">
        <f>AVERAGE('17.10 Busembatya-Butongole'!M46,'18.10 Busembatya-Butongole'!M46,'20.10 Busembatya-Butongole'!M46,'22.10 Busembatya-Butongole'!M46,'19.10 Butongole-Busembatya-24h'!M46,'21.10 Busembatya-Butongole-24h'!M46,'23.10 Busembtya-Butongole'!M46)</f>
        <v>7.2857142857142856</v>
      </c>
      <c r="N46" s="49">
        <f>AVERAGE('17.10 Busembatya-Butongole'!N46,'18.10 Busembatya-Butongole'!N46,'20.10 Busembatya-Butongole'!N46,'22.10 Busembatya-Butongole'!N46,'19.10 Butongole-Busembatya-24h'!N46,'21.10 Busembatya-Butongole-24h'!N46,'23.10 Busembtya-Butongole'!N46)</f>
        <v>0</v>
      </c>
      <c r="O46" s="15">
        <f t="shared" si="0"/>
        <v>16.714285714285715</v>
      </c>
      <c r="P46" s="15">
        <f t="shared" si="1"/>
        <v>24</v>
      </c>
      <c r="R46" s="8"/>
      <c r="T46"/>
    </row>
    <row r="47" spans="2:32" ht="23.1" customHeight="1" x14ac:dyDescent="0.25">
      <c r="B47" s="24" t="s">
        <v>74</v>
      </c>
      <c r="C47" s="49">
        <f>AVERAGE('17.10 Busembatya-Butongole'!C47,'18.10 Busembatya-Butongole'!C47,'20.10 Busembatya-Butongole'!C47,'22.10 Busembatya-Butongole'!C47,'19.10 Butongole-Busembatya-24h'!C47,'21.10 Busembatya-Butongole-24h'!C47,'23.10 Busembtya-Butongole'!C47)</f>
        <v>4.2857142857142856</v>
      </c>
      <c r="D47" s="49">
        <f>AVERAGE('17.10 Busembatya-Butongole'!D47,'18.10 Busembatya-Butongole'!D47,'20.10 Busembatya-Butongole'!D47,'22.10 Busembatya-Butongole'!D47,'19.10 Butongole-Busembatya-24h'!D47,'21.10 Busembatya-Butongole-24h'!D47,'23.10 Busembtya-Butongole'!D47)</f>
        <v>2.5714285714285716</v>
      </c>
      <c r="E47" s="49">
        <f>AVERAGE('17.10 Busembatya-Butongole'!E47,'18.10 Busembatya-Butongole'!E47,'20.10 Busembatya-Butongole'!E47,'22.10 Busembatya-Butongole'!E47,'19.10 Butongole-Busembatya-24h'!E47,'21.10 Busembatya-Butongole-24h'!E47,'23.10 Busembtya-Butongole'!E47)</f>
        <v>2.2857142857142856</v>
      </c>
      <c r="F47" s="49">
        <f>AVERAGE('17.10 Busembatya-Butongole'!F47,'18.10 Busembatya-Butongole'!F47,'20.10 Busembatya-Butongole'!F47,'22.10 Busembatya-Butongole'!F47,'19.10 Butongole-Busembatya-24h'!F47,'21.10 Busembatya-Butongole-24h'!F47,'23.10 Busembtya-Butongole'!F47)</f>
        <v>8.7142857142857135</v>
      </c>
      <c r="G47" s="49">
        <f>AVERAGE('17.10 Busembatya-Butongole'!G47,'18.10 Busembatya-Butongole'!G47,'20.10 Busembatya-Butongole'!G47,'22.10 Busembatya-Butongole'!G47,'19.10 Butongole-Busembatya-24h'!G47,'21.10 Busembatya-Butongole-24h'!G47,'23.10 Busembtya-Butongole'!G47)</f>
        <v>0</v>
      </c>
      <c r="H47" s="49">
        <f>AVERAGE('17.10 Busembatya-Butongole'!H47,'18.10 Busembatya-Butongole'!H47,'20.10 Busembatya-Butongole'!H47,'22.10 Busembatya-Butongole'!H47,'19.10 Butongole-Busembatya-24h'!H47,'21.10 Busembatya-Butongole-24h'!H47,'23.10 Busembtya-Butongole'!H47)</f>
        <v>0.14285714285714285</v>
      </c>
      <c r="I47" s="49">
        <f>AVERAGE('17.10 Busembatya-Butongole'!I47,'18.10 Busembatya-Butongole'!I47,'20.10 Busembatya-Butongole'!I47,'22.10 Busembatya-Butongole'!I47,'19.10 Butongole-Busembatya-24h'!I47,'21.10 Busembatya-Butongole-24h'!I47,'23.10 Busembtya-Butongole'!I47)</f>
        <v>1.7142857142857142</v>
      </c>
      <c r="J47" s="49">
        <f>AVERAGE('17.10 Busembatya-Butongole'!J47,'18.10 Busembatya-Butongole'!J47,'20.10 Busembatya-Butongole'!J47,'22.10 Busembatya-Butongole'!J47,'19.10 Butongole-Busembatya-24h'!J47,'21.10 Busembatya-Butongole-24h'!J47,'23.10 Busembtya-Butongole'!J47)</f>
        <v>0.7142857142857143</v>
      </c>
      <c r="K47" s="49">
        <f>AVERAGE('17.10 Busembatya-Butongole'!K47,'18.10 Busembatya-Butongole'!K47,'20.10 Busembatya-Butongole'!K47,'22.10 Busembatya-Butongole'!K47,'19.10 Butongole-Busembatya-24h'!K47,'21.10 Busembatya-Butongole-24h'!K47,'23.10 Busembtya-Butongole'!K47)</f>
        <v>1.2857142857142858</v>
      </c>
      <c r="L47" s="49">
        <f>AVERAGE('17.10 Busembatya-Butongole'!L47,'18.10 Busembatya-Butongole'!L47,'20.10 Busembatya-Butongole'!L47,'22.10 Busembatya-Butongole'!L47,'19.10 Butongole-Busembatya-24h'!L47,'21.10 Busembatya-Butongole-24h'!L47,'23.10 Busembtya-Butongole'!L47)</f>
        <v>0.14285714285714285</v>
      </c>
      <c r="M47" s="49">
        <f>AVERAGE('17.10 Busembatya-Butongole'!M47,'18.10 Busembatya-Butongole'!M47,'20.10 Busembatya-Butongole'!M47,'22.10 Busembatya-Butongole'!M47,'19.10 Butongole-Busembatya-24h'!M47,'21.10 Busembatya-Butongole-24h'!M47,'23.10 Busembtya-Butongole'!M47)</f>
        <v>6.1428571428571432</v>
      </c>
      <c r="N47" s="49">
        <f>AVERAGE('17.10 Busembatya-Butongole'!N47,'18.10 Busembatya-Butongole'!N47,'20.10 Busembatya-Butongole'!N47,'22.10 Busembatya-Butongole'!N47,'19.10 Butongole-Busembatya-24h'!N47,'21.10 Busembatya-Butongole-24h'!N47,'23.10 Busembtya-Butongole'!N47)</f>
        <v>0.14285714285714285</v>
      </c>
      <c r="O47" s="15">
        <f t="shared" si="0"/>
        <v>21.999999999999996</v>
      </c>
      <c r="P47" s="15">
        <f t="shared" si="1"/>
        <v>28.142857142857139</v>
      </c>
      <c r="R47" s="8"/>
      <c r="T47"/>
    </row>
    <row r="48" spans="2:32" ht="23.1" customHeight="1" x14ac:dyDescent="0.25">
      <c r="B48" s="24" t="s">
        <v>75</v>
      </c>
      <c r="C48" s="49">
        <f>AVERAGE('17.10 Busembatya-Butongole'!C48,'18.10 Busembatya-Butongole'!C48,'20.10 Busembatya-Butongole'!C48,'22.10 Busembatya-Butongole'!C48,'19.10 Butongole-Busembatya-24h'!C48,'21.10 Busembatya-Butongole-24h'!C48,'23.10 Busembtya-Butongole'!C48)</f>
        <v>4.1428571428571432</v>
      </c>
      <c r="D48" s="49">
        <f>AVERAGE('17.10 Busembatya-Butongole'!D48,'18.10 Busembatya-Butongole'!D48,'20.10 Busembatya-Butongole'!D48,'22.10 Busembatya-Butongole'!D48,'19.10 Butongole-Busembatya-24h'!D48,'21.10 Busembatya-Butongole-24h'!D48,'23.10 Busembtya-Butongole'!D48)</f>
        <v>2</v>
      </c>
      <c r="E48" s="49">
        <f>AVERAGE('17.10 Busembatya-Butongole'!E48,'18.10 Busembatya-Butongole'!E48,'20.10 Busembatya-Butongole'!E48,'22.10 Busembatya-Butongole'!E48,'19.10 Butongole-Busembatya-24h'!E48,'21.10 Busembatya-Butongole-24h'!E48,'23.10 Busembtya-Butongole'!E48)</f>
        <v>2.5714285714285716</v>
      </c>
      <c r="F48" s="49">
        <f>AVERAGE('17.10 Busembatya-Butongole'!F48,'18.10 Busembatya-Butongole'!F48,'20.10 Busembatya-Butongole'!F48,'22.10 Busembatya-Butongole'!F48,'19.10 Butongole-Busembatya-24h'!F48,'21.10 Busembatya-Butongole-24h'!F48,'23.10 Busembtya-Butongole'!F48)</f>
        <v>11.428571428571429</v>
      </c>
      <c r="G48" s="49">
        <f>AVERAGE('17.10 Busembatya-Butongole'!G48,'18.10 Busembatya-Butongole'!G48,'20.10 Busembatya-Butongole'!G48,'22.10 Busembatya-Butongole'!G48,'19.10 Butongole-Busembatya-24h'!G48,'21.10 Busembatya-Butongole-24h'!G48,'23.10 Busembtya-Butongole'!G48)</f>
        <v>0.2857142857142857</v>
      </c>
      <c r="H48" s="49">
        <f>AVERAGE('17.10 Busembatya-Butongole'!H48,'18.10 Busembatya-Butongole'!H48,'20.10 Busembatya-Butongole'!H48,'22.10 Busembatya-Butongole'!H48,'19.10 Butongole-Busembatya-24h'!H48,'21.10 Busembatya-Butongole-24h'!H48,'23.10 Busembtya-Butongole'!H48)</f>
        <v>0.7142857142857143</v>
      </c>
      <c r="I48" s="49">
        <f>AVERAGE('17.10 Busembatya-Butongole'!I48,'18.10 Busembatya-Butongole'!I48,'20.10 Busembatya-Butongole'!I48,'22.10 Busembatya-Butongole'!I48,'19.10 Butongole-Busembatya-24h'!I48,'21.10 Busembatya-Butongole-24h'!I48,'23.10 Busembtya-Butongole'!I48)</f>
        <v>0.8571428571428571</v>
      </c>
      <c r="J48" s="49">
        <f>AVERAGE('17.10 Busembatya-Butongole'!J48,'18.10 Busembatya-Butongole'!J48,'20.10 Busembatya-Butongole'!J48,'22.10 Busembatya-Butongole'!J48,'19.10 Butongole-Busembatya-24h'!J48,'21.10 Busembatya-Butongole-24h'!J48,'23.10 Busembtya-Butongole'!J48)</f>
        <v>2</v>
      </c>
      <c r="K48" s="49">
        <f>AVERAGE('17.10 Busembatya-Butongole'!K48,'18.10 Busembatya-Butongole'!K48,'20.10 Busembatya-Butongole'!K48,'22.10 Busembatya-Butongole'!K48,'19.10 Butongole-Busembatya-24h'!K48,'21.10 Busembatya-Butongole-24h'!K48,'23.10 Busembtya-Butongole'!K48)</f>
        <v>1.7142857142857142</v>
      </c>
      <c r="L48" s="49">
        <f>AVERAGE('17.10 Busembatya-Butongole'!L48,'18.10 Busembatya-Butongole'!L48,'20.10 Busembatya-Butongole'!L48,'22.10 Busembatya-Butongole'!L48,'19.10 Butongole-Busembatya-24h'!L48,'21.10 Busembatya-Butongole-24h'!L48,'23.10 Busembtya-Butongole'!L48)</f>
        <v>0.14285714285714285</v>
      </c>
      <c r="M48" s="49">
        <f>AVERAGE('17.10 Busembatya-Butongole'!M48,'18.10 Busembatya-Butongole'!M48,'20.10 Busembatya-Butongole'!M48,'22.10 Busembatya-Butongole'!M48,'19.10 Butongole-Busembatya-24h'!M48,'21.10 Busembatya-Butongole-24h'!M48,'23.10 Busembtya-Butongole'!M48)</f>
        <v>9.5714285714285712</v>
      </c>
      <c r="N48" s="49">
        <f>AVERAGE('17.10 Busembatya-Butongole'!N48,'18.10 Busembatya-Butongole'!N48,'20.10 Busembatya-Butongole'!N48,'22.10 Busembatya-Butongole'!N48,'19.10 Butongole-Busembatya-24h'!N48,'21.10 Busembatya-Butongole-24h'!N48,'23.10 Busembtya-Butongole'!N48)</f>
        <v>0</v>
      </c>
      <c r="O48" s="15">
        <f t="shared" si="0"/>
        <v>25.857142857142861</v>
      </c>
      <c r="P48" s="15">
        <f t="shared" si="1"/>
        <v>35.428571428571431</v>
      </c>
      <c r="R48" s="8"/>
      <c r="T48"/>
    </row>
    <row r="49" spans="2:20" ht="23.1" customHeight="1" x14ac:dyDescent="0.25">
      <c r="B49" s="23" t="s">
        <v>76</v>
      </c>
      <c r="C49" s="49">
        <f>AVERAGE('17.10 Busembatya-Butongole'!C49,'18.10 Busembatya-Butongole'!C49,'20.10 Busembatya-Butongole'!C49,'22.10 Busembatya-Butongole'!C49,'19.10 Butongole-Busembatya-24h'!C49,'21.10 Busembatya-Butongole-24h'!C49,'23.10 Busembtya-Butongole'!C49)</f>
        <v>5.2857142857142856</v>
      </c>
      <c r="D49" s="49">
        <f>AVERAGE('17.10 Busembatya-Butongole'!D49,'18.10 Busembatya-Butongole'!D49,'20.10 Busembatya-Butongole'!D49,'22.10 Busembatya-Butongole'!D49,'19.10 Butongole-Busembatya-24h'!D49,'21.10 Busembatya-Butongole-24h'!D49,'23.10 Busembtya-Butongole'!D49)</f>
        <v>2.2857142857142856</v>
      </c>
      <c r="E49" s="49">
        <f>AVERAGE('17.10 Busembatya-Butongole'!E49,'18.10 Busembatya-Butongole'!E49,'20.10 Busembatya-Butongole'!E49,'22.10 Busembatya-Butongole'!E49,'19.10 Butongole-Busembatya-24h'!E49,'21.10 Busembatya-Butongole-24h'!E49,'23.10 Busembtya-Butongole'!E49)</f>
        <v>3.4285714285714284</v>
      </c>
      <c r="F49" s="49">
        <f>AVERAGE('17.10 Busembatya-Butongole'!F49,'18.10 Busembatya-Butongole'!F49,'20.10 Busembatya-Butongole'!F49,'22.10 Busembatya-Butongole'!F49,'19.10 Butongole-Busembatya-24h'!F49,'21.10 Busembatya-Butongole-24h'!F49,'23.10 Busembtya-Butongole'!F49)</f>
        <v>9.2857142857142865</v>
      </c>
      <c r="G49" s="49">
        <f>AVERAGE('17.10 Busembatya-Butongole'!G49,'18.10 Busembatya-Butongole'!G49,'20.10 Busembatya-Butongole'!G49,'22.10 Busembatya-Butongole'!G49,'19.10 Butongole-Busembatya-24h'!G49,'21.10 Busembatya-Butongole-24h'!G49,'23.10 Busembtya-Butongole'!G49)</f>
        <v>0.14285714285714285</v>
      </c>
      <c r="H49" s="49">
        <f>AVERAGE('17.10 Busembatya-Butongole'!H49,'18.10 Busembatya-Butongole'!H49,'20.10 Busembatya-Butongole'!H49,'22.10 Busembatya-Butongole'!H49,'19.10 Butongole-Busembatya-24h'!H49,'21.10 Busembatya-Butongole-24h'!H49,'23.10 Busembtya-Butongole'!H49)</f>
        <v>0.14285714285714285</v>
      </c>
      <c r="I49" s="49">
        <f>AVERAGE('17.10 Busembatya-Butongole'!I49,'18.10 Busembatya-Butongole'!I49,'20.10 Busembatya-Butongole'!I49,'22.10 Busembatya-Butongole'!I49,'19.10 Butongole-Busembatya-24h'!I49,'21.10 Busembatya-Butongole-24h'!I49,'23.10 Busembtya-Butongole'!I49)</f>
        <v>0.42857142857142855</v>
      </c>
      <c r="J49" s="49">
        <f>AVERAGE('17.10 Busembatya-Butongole'!J49,'18.10 Busembatya-Butongole'!J49,'20.10 Busembatya-Butongole'!J49,'22.10 Busembatya-Butongole'!J49,'19.10 Butongole-Busembatya-24h'!J49,'21.10 Busembatya-Butongole-24h'!J49,'23.10 Busembtya-Butongole'!J49)</f>
        <v>1.7142857142857142</v>
      </c>
      <c r="K49" s="49">
        <f>AVERAGE('17.10 Busembatya-Butongole'!K49,'18.10 Busembatya-Butongole'!K49,'20.10 Busembatya-Butongole'!K49,'22.10 Busembatya-Butongole'!K49,'19.10 Butongole-Busembatya-24h'!K49,'21.10 Busembatya-Butongole-24h'!K49,'23.10 Busembtya-Butongole'!K49)</f>
        <v>0.8571428571428571</v>
      </c>
      <c r="L49" s="49">
        <f>AVERAGE('17.10 Busembatya-Butongole'!L49,'18.10 Busembatya-Butongole'!L49,'20.10 Busembatya-Butongole'!L49,'22.10 Busembatya-Butongole'!L49,'19.10 Butongole-Busembatya-24h'!L49,'21.10 Busembatya-Butongole-24h'!L49,'23.10 Busembtya-Butongole'!L49)</f>
        <v>0.14285714285714285</v>
      </c>
      <c r="M49" s="49">
        <f>AVERAGE('17.10 Busembatya-Butongole'!M49,'18.10 Busembatya-Butongole'!M49,'20.10 Busembatya-Butongole'!M49,'22.10 Busembatya-Butongole'!M49,'19.10 Butongole-Busembatya-24h'!M49,'21.10 Busembatya-Butongole-24h'!M49,'23.10 Busembtya-Butongole'!M49)</f>
        <v>10.428571428571429</v>
      </c>
      <c r="N49" s="49">
        <f>AVERAGE('17.10 Busembatya-Butongole'!N49,'18.10 Busembatya-Butongole'!N49,'20.10 Busembatya-Butongole'!N49,'22.10 Busembatya-Butongole'!N49,'19.10 Butongole-Busembatya-24h'!N49,'21.10 Busembatya-Butongole-24h'!N49,'23.10 Busembtya-Butongole'!N49)</f>
        <v>0</v>
      </c>
      <c r="O49" s="15">
        <f t="shared" si="0"/>
        <v>23.714285714285712</v>
      </c>
      <c r="P49" s="15">
        <f t="shared" si="1"/>
        <v>34.142857142857139</v>
      </c>
      <c r="R49" s="8"/>
      <c r="T49"/>
    </row>
    <row r="50" spans="2:20" ht="23.1" customHeight="1" x14ac:dyDescent="0.25">
      <c r="B50" s="24" t="s">
        <v>77</v>
      </c>
      <c r="C50" s="49">
        <f>AVERAGE('17.10 Busembatya-Butongole'!C50,'18.10 Busembatya-Butongole'!C50,'20.10 Busembatya-Butongole'!C50,'22.10 Busembatya-Butongole'!C50,'19.10 Butongole-Busembatya-24h'!C50,'21.10 Busembatya-Butongole-24h'!C50,'23.10 Busembtya-Butongole'!C50)</f>
        <v>7.1428571428571432</v>
      </c>
      <c r="D50" s="49">
        <f>AVERAGE('17.10 Busembatya-Butongole'!D50,'18.10 Busembatya-Butongole'!D50,'20.10 Busembatya-Butongole'!D50,'22.10 Busembatya-Butongole'!D50,'19.10 Butongole-Busembatya-24h'!D50,'21.10 Busembatya-Butongole-24h'!D50,'23.10 Busembtya-Butongole'!D50)</f>
        <v>2.2857142857142856</v>
      </c>
      <c r="E50" s="49">
        <f>AVERAGE('17.10 Busembatya-Butongole'!E50,'18.10 Busembatya-Butongole'!E50,'20.10 Busembatya-Butongole'!E50,'22.10 Busembatya-Butongole'!E50,'19.10 Butongole-Busembatya-24h'!E50,'21.10 Busembatya-Butongole-24h'!E50,'23.10 Busembtya-Butongole'!E50)</f>
        <v>3.8571428571428572</v>
      </c>
      <c r="F50" s="49">
        <f>AVERAGE('17.10 Busembatya-Butongole'!F50,'18.10 Busembatya-Butongole'!F50,'20.10 Busembatya-Butongole'!F50,'22.10 Busembatya-Butongole'!F50,'19.10 Butongole-Busembatya-24h'!F50,'21.10 Busembatya-Butongole-24h'!F50,'23.10 Busembtya-Butongole'!F50)</f>
        <v>11.428571428571429</v>
      </c>
      <c r="G50" s="49">
        <f>AVERAGE('17.10 Busembatya-Butongole'!G50,'18.10 Busembatya-Butongole'!G50,'20.10 Busembatya-Butongole'!G50,'22.10 Busembatya-Butongole'!G50,'19.10 Butongole-Busembatya-24h'!G50,'21.10 Busembatya-Butongole-24h'!G50,'23.10 Busembtya-Butongole'!G50)</f>
        <v>0.42857142857142855</v>
      </c>
      <c r="H50" s="49">
        <f>AVERAGE('17.10 Busembatya-Butongole'!H50,'18.10 Busembatya-Butongole'!H50,'20.10 Busembatya-Butongole'!H50,'22.10 Busembatya-Butongole'!H50,'19.10 Butongole-Busembatya-24h'!H50,'21.10 Busembatya-Butongole-24h'!H50,'23.10 Busembtya-Butongole'!H50)</f>
        <v>0.2857142857142857</v>
      </c>
      <c r="I50" s="49">
        <f>AVERAGE('17.10 Busembatya-Butongole'!I50,'18.10 Busembatya-Butongole'!I50,'20.10 Busembatya-Butongole'!I50,'22.10 Busembatya-Butongole'!I50,'19.10 Butongole-Busembatya-24h'!I50,'21.10 Busembatya-Butongole-24h'!I50,'23.10 Busembtya-Butongole'!I50)</f>
        <v>1.8571428571428572</v>
      </c>
      <c r="J50" s="49">
        <f>AVERAGE('17.10 Busembatya-Butongole'!J50,'18.10 Busembatya-Butongole'!J50,'20.10 Busembatya-Butongole'!J50,'22.10 Busembatya-Butongole'!J50,'19.10 Butongole-Busembatya-24h'!J50,'21.10 Busembatya-Butongole-24h'!J50,'23.10 Busembtya-Butongole'!J50)</f>
        <v>2.2857142857142856</v>
      </c>
      <c r="K50" s="49">
        <f>AVERAGE('17.10 Busembatya-Butongole'!K50,'18.10 Busembatya-Butongole'!K50,'20.10 Busembatya-Butongole'!K50,'22.10 Busembatya-Butongole'!K50,'19.10 Butongole-Busembatya-24h'!K50,'21.10 Busembatya-Butongole-24h'!K50,'23.10 Busembtya-Butongole'!K50)</f>
        <v>1.4285714285714286</v>
      </c>
      <c r="L50" s="49">
        <f>AVERAGE('17.10 Busembatya-Butongole'!L50,'18.10 Busembatya-Butongole'!L50,'20.10 Busembatya-Butongole'!L50,'22.10 Busembatya-Butongole'!L50,'19.10 Butongole-Busembatya-24h'!L50,'21.10 Busembatya-Butongole-24h'!L50,'23.10 Busembtya-Butongole'!L50)</f>
        <v>0.5714285714285714</v>
      </c>
      <c r="M50" s="49">
        <f>AVERAGE('17.10 Busembatya-Butongole'!M50,'18.10 Busembatya-Butongole'!M50,'20.10 Busembatya-Butongole'!M50,'22.10 Busembatya-Butongole'!M50,'19.10 Butongole-Busembatya-24h'!M50,'21.10 Busembatya-Butongole-24h'!M50,'23.10 Busembtya-Butongole'!M50)</f>
        <v>11.285714285714286</v>
      </c>
      <c r="N50" s="49">
        <f>AVERAGE('17.10 Busembatya-Butongole'!N50,'18.10 Busembatya-Butongole'!N50,'20.10 Busembatya-Butongole'!N50,'22.10 Busembatya-Butongole'!N50,'19.10 Butongole-Busembatya-24h'!N50,'21.10 Busembatya-Butongole-24h'!N50,'23.10 Busembtya-Butongole'!N50)</f>
        <v>0</v>
      </c>
      <c r="O50" s="15">
        <f t="shared" si="0"/>
        <v>31.571428571428569</v>
      </c>
      <c r="P50" s="15">
        <f t="shared" si="1"/>
        <v>42.857142857142854</v>
      </c>
      <c r="R50" s="8"/>
      <c r="T50"/>
    </row>
    <row r="51" spans="2:20" ht="23.1" customHeight="1" x14ac:dyDescent="0.25">
      <c r="B51" s="24" t="s">
        <v>78</v>
      </c>
      <c r="C51" s="49">
        <f>AVERAGE('17.10 Busembatya-Butongole'!C51,'18.10 Busembatya-Butongole'!C51,'20.10 Busembatya-Butongole'!C51,'22.10 Busembatya-Butongole'!C51,'19.10 Butongole-Busembatya-24h'!C51,'21.10 Busembatya-Butongole-24h'!C51,'23.10 Busembtya-Butongole'!C51)</f>
        <v>5.4285714285714288</v>
      </c>
      <c r="D51" s="49">
        <f>AVERAGE('17.10 Busembatya-Butongole'!D51,'18.10 Busembatya-Butongole'!D51,'20.10 Busembatya-Butongole'!D51,'22.10 Busembatya-Butongole'!D51,'19.10 Butongole-Busembatya-24h'!D51,'21.10 Busembatya-Butongole-24h'!D51,'23.10 Busembtya-Butongole'!D51)</f>
        <v>2.8571428571428572</v>
      </c>
      <c r="E51" s="49">
        <f>AVERAGE('17.10 Busembatya-Butongole'!E51,'18.10 Busembatya-Butongole'!E51,'20.10 Busembatya-Butongole'!E51,'22.10 Busembatya-Butongole'!E51,'19.10 Butongole-Busembatya-24h'!E51,'21.10 Busembatya-Butongole-24h'!E51,'23.10 Busembtya-Butongole'!E51)</f>
        <v>1.5714285714285714</v>
      </c>
      <c r="F51" s="49">
        <f>AVERAGE('17.10 Busembatya-Butongole'!F51,'18.10 Busembatya-Butongole'!F51,'20.10 Busembatya-Butongole'!F51,'22.10 Busembatya-Butongole'!F51,'19.10 Butongole-Busembatya-24h'!F51,'21.10 Busembatya-Butongole-24h'!F51,'23.10 Busembtya-Butongole'!F51)</f>
        <v>11.714285714285714</v>
      </c>
      <c r="G51" s="49">
        <f>AVERAGE('17.10 Busembatya-Butongole'!G51,'18.10 Busembatya-Butongole'!G51,'20.10 Busembatya-Butongole'!G51,'22.10 Busembatya-Butongole'!G51,'19.10 Butongole-Busembatya-24h'!G51,'21.10 Busembatya-Butongole-24h'!G51,'23.10 Busembtya-Butongole'!G51)</f>
        <v>1</v>
      </c>
      <c r="H51" s="49">
        <f>AVERAGE('17.10 Busembatya-Butongole'!H51,'18.10 Busembatya-Butongole'!H51,'20.10 Busembatya-Butongole'!H51,'22.10 Busembatya-Butongole'!H51,'19.10 Butongole-Busembatya-24h'!H51,'21.10 Busembatya-Butongole-24h'!H51,'23.10 Busembtya-Butongole'!H51)</f>
        <v>0.14285714285714285</v>
      </c>
      <c r="I51" s="49">
        <f>AVERAGE('17.10 Busembatya-Butongole'!I51,'18.10 Busembatya-Butongole'!I51,'20.10 Busembatya-Butongole'!I51,'22.10 Busembatya-Butongole'!I51,'19.10 Butongole-Busembatya-24h'!I51,'21.10 Busembatya-Butongole-24h'!I51,'23.10 Busembtya-Butongole'!I51)</f>
        <v>0.5714285714285714</v>
      </c>
      <c r="J51" s="49">
        <f>AVERAGE('17.10 Busembatya-Butongole'!J51,'18.10 Busembatya-Butongole'!J51,'20.10 Busembatya-Butongole'!J51,'22.10 Busembatya-Butongole'!J51,'19.10 Butongole-Busembatya-24h'!J51,'21.10 Busembatya-Butongole-24h'!J51,'23.10 Busembtya-Butongole'!J51)</f>
        <v>2</v>
      </c>
      <c r="K51" s="49">
        <f>AVERAGE('17.10 Busembatya-Butongole'!K51,'18.10 Busembatya-Butongole'!K51,'20.10 Busembatya-Butongole'!K51,'22.10 Busembatya-Butongole'!K51,'19.10 Butongole-Busembatya-24h'!K51,'21.10 Busembatya-Butongole-24h'!K51,'23.10 Busembtya-Butongole'!K51)</f>
        <v>0.5714285714285714</v>
      </c>
      <c r="L51" s="49">
        <f>AVERAGE('17.10 Busembatya-Butongole'!L51,'18.10 Busembatya-Butongole'!L51,'20.10 Busembatya-Butongole'!L51,'22.10 Busembatya-Butongole'!L51,'19.10 Butongole-Busembatya-24h'!L51,'21.10 Busembatya-Butongole-24h'!L51,'23.10 Busembtya-Butongole'!L51)</f>
        <v>0.14285714285714285</v>
      </c>
      <c r="M51" s="49">
        <f>AVERAGE('17.10 Busembatya-Butongole'!M51,'18.10 Busembatya-Butongole'!M51,'20.10 Busembatya-Butongole'!M51,'22.10 Busembatya-Butongole'!M51,'19.10 Butongole-Busembatya-24h'!M51,'21.10 Busembatya-Butongole-24h'!M51,'23.10 Busembtya-Butongole'!M51)</f>
        <v>13.142857142857142</v>
      </c>
      <c r="N51" s="49">
        <f>AVERAGE('17.10 Busembatya-Butongole'!N51,'18.10 Busembatya-Butongole'!N51,'20.10 Busembatya-Butongole'!N51,'22.10 Busembatya-Butongole'!N51,'19.10 Butongole-Busembatya-24h'!N51,'21.10 Busembatya-Butongole-24h'!N51,'23.10 Busembtya-Butongole'!N51)</f>
        <v>0</v>
      </c>
      <c r="O51" s="15">
        <f t="shared" si="0"/>
        <v>26</v>
      </c>
      <c r="P51" s="15">
        <f t="shared" si="1"/>
        <v>39.142857142857139</v>
      </c>
      <c r="R51" s="8"/>
      <c r="T51"/>
    </row>
    <row r="52" spans="2:20" ht="23.1" customHeight="1" x14ac:dyDescent="0.25">
      <c r="B52" s="24" t="s">
        <v>79</v>
      </c>
      <c r="C52" s="49">
        <f>AVERAGE('17.10 Busembatya-Butongole'!C52,'18.10 Busembatya-Butongole'!C52,'20.10 Busembatya-Butongole'!C52,'22.10 Busembatya-Butongole'!C52,'19.10 Butongole-Busembatya-24h'!C52,'21.10 Busembatya-Butongole-24h'!C52,'23.10 Busembtya-Butongole'!C52)</f>
        <v>4.7142857142857144</v>
      </c>
      <c r="D52" s="49">
        <f>AVERAGE('17.10 Busembatya-Butongole'!D52,'18.10 Busembatya-Butongole'!D52,'20.10 Busembatya-Butongole'!D52,'22.10 Busembatya-Butongole'!D52,'19.10 Butongole-Busembatya-24h'!D52,'21.10 Busembatya-Butongole-24h'!D52,'23.10 Busembtya-Butongole'!D52)</f>
        <v>1.2857142857142858</v>
      </c>
      <c r="E52" s="49">
        <f>AVERAGE('17.10 Busembatya-Butongole'!E52,'18.10 Busembatya-Butongole'!E52,'20.10 Busembatya-Butongole'!E52,'22.10 Busembatya-Butongole'!E52,'19.10 Butongole-Busembatya-24h'!E52,'21.10 Busembatya-Butongole-24h'!E52,'23.10 Busembtya-Butongole'!E52)</f>
        <v>3.5714285714285716</v>
      </c>
      <c r="F52" s="49">
        <f>AVERAGE('17.10 Busembatya-Butongole'!F52,'18.10 Busembatya-Butongole'!F52,'20.10 Busembatya-Butongole'!F52,'22.10 Busembatya-Butongole'!F52,'19.10 Butongole-Busembatya-24h'!F52,'21.10 Busembatya-Butongole-24h'!F52,'23.10 Busembtya-Butongole'!F52)</f>
        <v>9.8571428571428577</v>
      </c>
      <c r="G52" s="49">
        <f>AVERAGE('17.10 Busembatya-Butongole'!G52,'18.10 Busembatya-Butongole'!G52,'20.10 Busembatya-Butongole'!G52,'22.10 Busembatya-Butongole'!G52,'19.10 Butongole-Busembatya-24h'!G52,'21.10 Busembatya-Butongole-24h'!G52,'23.10 Busembtya-Butongole'!G52)</f>
        <v>0.2857142857142857</v>
      </c>
      <c r="H52" s="49">
        <f>AVERAGE('17.10 Busembatya-Butongole'!H52,'18.10 Busembatya-Butongole'!H52,'20.10 Busembatya-Butongole'!H52,'22.10 Busembatya-Butongole'!H52,'19.10 Butongole-Busembatya-24h'!H52,'21.10 Busembatya-Butongole-24h'!H52,'23.10 Busembtya-Butongole'!H52)</f>
        <v>0.14285714285714285</v>
      </c>
      <c r="I52" s="49">
        <f>AVERAGE('17.10 Busembatya-Butongole'!I52,'18.10 Busembatya-Butongole'!I52,'20.10 Busembatya-Butongole'!I52,'22.10 Busembatya-Butongole'!I52,'19.10 Butongole-Busembatya-24h'!I52,'21.10 Busembatya-Butongole-24h'!I52,'23.10 Busembtya-Butongole'!I52)</f>
        <v>1</v>
      </c>
      <c r="J52" s="49">
        <f>AVERAGE('17.10 Busembatya-Butongole'!J52,'18.10 Busembatya-Butongole'!J52,'20.10 Busembatya-Butongole'!J52,'22.10 Busembatya-Butongole'!J52,'19.10 Butongole-Busembatya-24h'!J52,'21.10 Busembatya-Butongole-24h'!J52,'23.10 Busembtya-Butongole'!J52)</f>
        <v>1.2857142857142858</v>
      </c>
      <c r="K52" s="49">
        <f>AVERAGE('17.10 Busembatya-Butongole'!K52,'18.10 Busembatya-Butongole'!K52,'20.10 Busembatya-Butongole'!K52,'22.10 Busembatya-Butongole'!K52,'19.10 Butongole-Busembatya-24h'!K52,'21.10 Busembatya-Butongole-24h'!K52,'23.10 Busembtya-Butongole'!K52)</f>
        <v>0.7142857142857143</v>
      </c>
      <c r="L52" s="49">
        <f>AVERAGE('17.10 Busembatya-Butongole'!L52,'18.10 Busembatya-Butongole'!L52,'20.10 Busembatya-Butongole'!L52,'22.10 Busembatya-Butongole'!L52,'19.10 Butongole-Busembatya-24h'!L52,'21.10 Busembatya-Butongole-24h'!L52,'23.10 Busembtya-Butongole'!L52)</f>
        <v>0.14285714285714285</v>
      </c>
      <c r="M52" s="49">
        <f>AVERAGE('17.10 Busembatya-Butongole'!M52,'18.10 Busembatya-Butongole'!M52,'20.10 Busembatya-Butongole'!M52,'22.10 Busembatya-Butongole'!M52,'19.10 Butongole-Busembatya-24h'!M52,'21.10 Busembatya-Butongole-24h'!M52,'23.10 Busembtya-Butongole'!M52)</f>
        <v>12.714285714285714</v>
      </c>
      <c r="N52" s="49">
        <f>AVERAGE('17.10 Busembatya-Butongole'!N52,'18.10 Busembatya-Butongole'!N52,'20.10 Busembatya-Butongole'!N52,'22.10 Busembatya-Butongole'!N52,'19.10 Butongole-Busembatya-24h'!N52,'21.10 Busembatya-Butongole-24h'!N52,'23.10 Busembtya-Butongole'!N52)</f>
        <v>0.14285714285714285</v>
      </c>
      <c r="O52" s="15">
        <f t="shared" si="0"/>
        <v>23.142857142857142</v>
      </c>
      <c r="P52" s="15">
        <f t="shared" si="1"/>
        <v>35.857142857142861</v>
      </c>
      <c r="R52" s="8"/>
      <c r="T52"/>
    </row>
    <row r="53" spans="2:20" ht="23.1" customHeight="1" x14ac:dyDescent="0.25">
      <c r="B53" s="23" t="s">
        <v>80</v>
      </c>
      <c r="C53" s="49">
        <f>AVERAGE('17.10 Busembatya-Butongole'!C53,'18.10 Busembatya-Butongole'!C53,'20.10 Busembatya-Butongole'!C53,'22.10 Busembatya-Butongole'!C53,'19.10 Butongole-Busembatya-24h'!C53,'21.10 Busembatya-Butongole-24h'!C53,'23.10 Busembtya-Butongole'!C53)</f>
        <v>7.4285714285714288</v>
      </c>
      <c r="D53" s="49">
        <f>AVERAGE('17.10 Busembatya-Butongole'!D53,'18.10 Busembatya-Butongole'!D53,'20.10 Busembatya-Butongole'!D53,'22.10 Busembatya-Butongole'!D53,'19.10 Butongole-Busembatya-24h'!D53,'21.10 Busembatya-Butongole-24h'!D53,'23.10 Busembtya-Butongole'!D53)</f>
        <v>1</v>
      </c>
      <c r="E53" s="49">
        <f>AVERAGE('17.10 Busembatya-Butongole'!E53,'18.10 Busembatya-Butongole'!E53,'20.10 Busembatya-Butongole'!E53,'22.10 Busembatya-Butongole'!E53,'19.10 Butongole-Busembatya-24h'!E53,'21.10 Busembatya-Butongole-24h'!E53,'23.10 Busembtya-Butongole'!E53)</f>
        <v>2.5714285714285716</v>
      </c>
      <c r="F53" s="49">
        <f>AVERAGE('17.10 Busembatya-Butongole'!F53,'18.10 Busembatya-Butongole'!F53,'20.10 Busembatya-Butongole'!F53,'22.10 Busembatya-Butongole'!F53,'19.10 Butongole-Busembatya-24h'!F53,'21.10 Busembatya-Butongole-24h'!F53,'23.10 Busembtya-Butongole'!F53)</f>
        <v>11.571428571428571</v>
      </c>
      <c r="G53" s="49">
        <f>AVERAGE('17.10 Busembatya-Butongole'!G53,'18.10 Busembatya-Butongole'!G53,'20.10 Busembatya-Butongole'!G53,'22.10 Busembatya-Butongole'!G53,'19.10 Butongole-Busembatya-24h'!G53,'21.10 Busembatya-Butongole-24h'!G53,'23.10 Busembtya-Butongole'!G53)</f>
        <v>0.42857142857142855</v>
      </c>
      <c r="H53" s="49">
        <f>AVERAGE('17.10 Busembatya-Butongole'!H53,'18.10 Busembatya-Butongole'!H53,'20.10 Busembatya-Butongole'!H53,'22.10 Busembatya-Butongole'!H53,'19.10 Butongole-Busembatya-24h'!H53,'21.10 Busembatya-Butongole-24h'!H53,'23.10 Busembtya-Butongole'!H53)</f>
        <v>0.14285714285714285</v>
      </c>
      <c r="I53" s="49">
        <f>AVERAGE('17.10 Busembatya-Butongole'!I53,'18.10 Busembatya-Butongole'!I53,'20.10 Busembatya-Butongole'!I53,'22.10 Busembatya-Butongole'!I53,'19.10 Butongole-Busembatya-24h'!I53,'21.10 Busembatya-Butongole-24h'!I53,'23.10 Busembtya-Butongole'!I53)</f>
        <v>0.8571428571428571</v>
      </c>
      <c r="J53" s="49">
        <f>AVERAGE('17.10 Busembatya-Butongole'!J53,'18.10 Busembatya-Butongole'!J53,'20.10 Busembatya-Butongole'!J53,'22.10 Busembatya-Butongole'!J53,'19.10 Butongole-Busembatya-24h'!J53,'21.10 Busembatya-Butongole-24h'!J53,'23.10 Busembtya-Butongole'!J53)</f>
        <v>1.4285714285714286</v>
      </c>
      <c r="K53" s="49">
        <f>AVERAGE('17.10 Busembatya-Butongole'!K53,'18.10 Busembatya-Butongole'!K53,'20.10 Busembatya-Butongole'!K53,'22.10 Busembatya-Butongole'!K53,'19.10 Butongole-Busembatya-24h'!K53,'21.10 Busembatya-Butongole-24h'!K53,'23.10 Busembtya-Butongole'!K53)</f>
        <v>0.2857142857142857</v>
      </c>
      <c r="L53" s="49">
        <f>AVERAGE('17.10 Busembatya-Butongole'!L53,'18.10 Busembatya-Butongole'!L53,'20.10 Busembatya-Butongole'!L53,'22.10 Busembatya-Butongole'!L53,'19.10 Butongole-Busembatya-24h'!L53,'21.10 Busembatya-Butongole-24h'!L53,'23.10 Busembtya-Butongole'!L53)</f>
        <v>0.5714285714285714</v>
      </c>
      <c r="M53" s="49">
        <f>AVERAGE('17.10 Busembatya-Butongole'!M53,'18.10 Busembatya-Butongole'!M53,'20.10 Busembatya-Butongole'!M53,'22.10 Busembatya-Butongole'!M53,'19.10 Butongole-Busembatya-24h'!M53,'21.10 Busembatya-Butongole-24h'!M53,'23.10 Busembtya-Butongole'!M53)</f>
        <v>14.571428571428571</v>
      </c>
      <c r="N53" s="49">
        <f>AVERAGE('17.10 Busembatya-Butongole'!N53,'18.10 Busembatya-Butongole'!N53,'20.10 Busembatya-Butongole'!N53,'22.10 Busembatya-Butongole'!N53,'19.10 Butongole-Busembatya-24h'!N53,'21.10 Busembatya-Butongole-24h'!N53,'23.10 Busembtya-Butongole'!N53)</f>
        <v>0.14285714285714285</v>
      </c>
      <c r="O53" s="15">
        <f t="shared" si="0"/>
        <v>26.428571428571423</v>
      </c>
      <c r="P53" s="15">
        <f t="shared" si="1"/>
        <v>41</v>
      </c>
      <c r="R53" s="8"/>
      <c r="T53"/>
    </row>
    <row r="54" spans="2:20" ht="23.1" customHeight="1" x14ac:dyDescent="0.25">
      <c r="B54" s="23" t="s">
        <v>81</v>
      </c>
      <c r="C54" s="49">
        <f>AVERAGE('17.10 Busembatya-Butongole'!C54,'18.10 Busembatya-Butongole'!C54,'20.10 Busembatya-Butongole'!C54,'22.10 Busembatya-Butongole'!C54,'19.10 Butongole-Busembatya-24h'!C54,'21.10 Busembatya-Butongole-24h'!C54,'23.10 Busembtya-Butongole'!C54)</f>
        <v>4.1428571428571432</v>
      </c>
      <c r="D54" s="49">
        <f>AVERAGE('17.10 Busembatya-Butongole'!D54,'18.10 Busembatya-Butongole'!D54,'20.10 Busembatya-Butongole'!D54,'22.10 Busembatya-Butongole'!D54,'19.10 Butongole-Busembatya-24h'!D54,'21.10 Busembatya-Butongole-24h'!D54,'23.10 Busembtya-Butongole'!D54)</f>
        <v>1.5714285714285714</v>
      </c>
      <c r="E54" s="49">
        <f>AVERAGE('17.10 Busembatya-Butongole'!E54,'18.10 Busembatya-Butongole'!E54,'20.10 Busembatya-Butongole'!E54,'22.10 Busembatya-Butongole'!E54,'19.10 Butongole-Busembatya-24h'!E54,'21.10 Busembatya-Butongole-24h'!E54,'23.10 Busembtya-Butongole'!E54)</f>
        <v>2.8571428571428572</v>
      </c>
      <c r="F54" s="49">
        <f>AVERAGE('17.10 Busembatya-Butongole'!F54,'18.10 Busembatya-Butongole'!F54,'20.10 Busembatya-Butongole'!F54,'22.10 Busembatya-Butongole'!F54,'19.10 Butongole-Busembatya-24h'!F54,'21.10 Busembatya-Butongole-24h'!F54,'23.10 Busembtya-Butongole'!F54)</f>
        <v>8.7142857142857135</v>
      </c>
      <c r="G54" s="49">
        <f>AVERAGE('17.10 Busembatya-Butongole'!G54,'18.10 Busembatya-Butongole'!G54,'20.10 Busembatya-Butongole'!G54,'22.10 Busembatya-Butongole'!G54,'19.10 Butongole-Busembatya-24h'!G54,'21.10 Busembatya-Butongole-24h'!G54,'23.10 Busembtya-Butongole'!G54)</f>
        <v>0.5714285714285714</v>
      </c>
      <c r="H54" s="49">
        <f>AVERAGE('17.10 Busembatya-Butongole'!H54,'18.10 Busembatya-Butongole'!H54,'20.10 Busembatya-Butongole'!H54,'22.10 Busembatya-Butongole'!H54,'19.10 Butongole-Busembatya-24h'!H54,'21.10 Busembatya-Butongole-24h'!H54,'23.10 Busembtya-Butongole'!H54)</f>
        <v>0.2857142857142857</v>
      </c>
      <c r="I54" s="49">
        <f>AVERAGE('17.10 Busembatya-Butongole'!I54,'18.10 Busembatya-Butongole'!I54,'20.10 Busembatya-Butongole'!I54,'22.10 Busembatya-Butongole'!I54,'19.10 Butongole-Busembatya-24h'!I54,'21.10 Busembatya-Butongole-24h'!I54,'23.10 Busembtya-Butongole'!I54)</f>
        <v>1.4285714285714286</v>
      </c>
      <c r="J54" s="49">
        <f>AVERAGE('17.10 Busembatya-Butongole'!J54,'18.10 Busembatya-Butongole'!J54,'20.10 Busembatya-Butongole'!J54,'22.10 Busembatya-Butongole'!J54,'19.10 Butongole-Busembatya-24h'!J54,'21.10 Busembatya-Butongole-24h'!J54,'23.10 Busembtya-Butongole'!J54)</f>
        <v>2</v>
      </c>
      <c r="K54" s="49">
        <f>AVERAGE('17.10 Busembatya-Butongole'!K54,'18.10 Busembatya-Butongole'!K54,'20.10 Busembatya-Butongole'!K54,'22.10 Busembatya-Butongole'!K54,'19.10 Butongole-Busembatya-24h'!K54,'21.10 Busembatya-Butongole-24h'!K54,'23.10 Busembtya-Butongole'!K54)</f>
        <v>1</v>
      </c>
      <c r="L54" s="49">
        <f>AVERAGE('17.10 Busembatya-Butongole'!L54,'18.10 Busembatya-Butongole'!L54,'20.10 Busembatya-Butongole'!L54,'22.10 Busembatya-Butongole'!L54,'19.10 Butongole-Busembatya-24h'!L54,'21.10 Busembatya-Butongole-24h'!L54,'23.10 Busembtya-Butongole'!L54)</f>
        <v>0</v>
      </c>
      <c r="M54" s="49">
        <f>AVERAGE('17.10 Busembatya-Butongole'!M54,'18.10 Busembatya-Butongole'!M54,'20.10 Busembatya-Butongole'!M54,'22.10 Busembatya-Butongole'!M54,'19.10 Butongole-Busembatya-24h'!M54,'21.10 Busembatya-Butongole-24h'!M54,'23.10 Busembtya-Butongole'!M54)</f>
        <v>11.285714285714286</v>
      </c>
      <c r="N54" s="49">
        <f>AVERAGE('17.10 Busembatya-Butongole'!N54,'18.10 Busembatya-Butongole'!N54,'20.10 Busembatya-Butongole'!N54,'22.10 Busembatya-Butongole'!N54,'19.10 Butongole-Busembatya-24h'!N54,'21.10 Busembatya-Butongole-24h'!N54,'23.10 Busembtya-Butongole'!N54)</f>
        <v>0</v>
      </c>
      <c r="O54" s="15">
        <f t="shared" si="0"/>
        <v>22.571428571428569</v>
      </c>
      <c r="P54" s="15">
        <f t="shared" si="1"/>
        <v>33.857142857142854</v>
      </c>
      <c r="R54" s="8"/>
      <c r="T54"/>
    </row>
    <row r="55" spans="2:20" ht="23.1" customHeight="1" x14ac:dyDescent="0.25">
      <c r="B55" s="23" t="s">
        <v>82</v>
      </c>
      <c r="C55" s="49">
        <f>AVERAGE('17.10 Busembatya-Butongole'!C55,'18.10 Busembatya-Butongole'!C55,'20.10 Busembatya-Butongole'!C55,'22.10 Busembatya-Butongole'!C55,'19.10 Butongole-Busembatya-24h'!C55,'21.10 Busembatya-Butongole-24h'!C55,'23.10 Busembtya-Butongole'!C55)</f>
        <v>6</v>
      </c>
      <c r="D55" s="49">
        <f>AVERAGE('17.10 Busembatya-Butongole'!D55,'18.10 Busembatya-Butongole'!D55,'20.10 Busembatya-Butongole'!D55,'22.10 Busembatya-Butongole'!D55,'19.10 Butongole-Busembatya-24h'!D55,'21.10 Busembatya-Butongole-24h'!D55,'23.10 Busembtya-Butongole'!D55)</f>
        <v>2.4285714285714284</v>
      </c>
      <c r="E55" s="49">
        <f>AVERAGE('17.10 Busembatya-Butongole'!E55,'18.10 Busembatya-Butongole'!E55,'20.10 Busembatya-Butongole'!E55,'22.10 Busembatya-Butongole'!E55,'19.10 Butongole-Busembatya-24h'!E55,'21.10 Busembatya-Butongole-24h'!E55,'23.10 Busembtya-Butongole'!E55)</f>
        <v>4</v>
      </c>
      <c r="F55" s="49">
        <f>AVERAGE('17.10 Busembatya-Butongole'!F55,'18.10 Busembatya-Butongole'!F55,'20.10 Busembatya-Butongole'!F55,'22.10 Busembatya-Butongole'!F55,'19.10 Butongole-Busembatya-24h'!F55,'21.10 Busembatya-Butongole-24h'!F55,'23.10 Busembtya-Butongole'!F55)</f>
        <v>10.714285714285714</v>
      </c>
      <c r="G55" s="49">
        <f>AVERAGE('17.10 Busembatya-Butongole'!G55,'18.10 Busembatya-Butongole'!G55,'20.10 Busembatya-Butongole'!G55,'22.10 Busembatya-Butongole'!G55,'19.10 Butongole-Busembatya-24h'!G55,'21.10 Busembatya-Butongole-24h'!G55,'23.10 Busembtya-Butongole'!G55)</f>
        <v>0.8571428571428571</v>
      </c>
      <c r="H55" s="49">
        <f>AVERAGE('17.10 Busembatya-Butongole'!H55,'18.10 Busembatya-Butongole'!H55,'20.10 Busembatya-Butongole'!H55,'22.10 Busembatya-Butongole'!H55,'19.10 Butongole-Busembatya-24h'!H55,'21.10 Busembatya-Butongole-24h'!H55,'23.10 Busembtya-Butongole'!H55)</f>
        <v>0.42857142857142855</v>
      </c>
      <c r="I55" s="49">
        <f>AVERAGE('17.10 Busembatya-Butongole'!I55,'18.10 Busembatya-Butongole'!I55,'20.10 Busembatya-Butongole'!I55,'22.10 Busembatya-Butongole'!I55,'19.10 Butongole-Busembatya-24h'!I55,'21.10 Busembatya-Butongole-24h'!I55,'23.10 Busembtya-Butongole'!I55)</f>
        <v>1.5714285714285714</v>
      </c>
      <c r="J55" s="49">
        <f>AVERAGE('17.10 Busembatya-Butongole'!J55,'18.10 Busembatya-Butongole'!J55,'20.10 Busembatya-Butongole'!J55,'22.10 Busembatya-Butongole'!J55,'19.10 Butongole-Busembatya-24h'!J55,'21.10 Busembatya-Butongole-24h'!J55,'23.10 Busembtya-Butongole'!J55)</f>
        <v>1.8571428571428572</v>
      </c>
      <c r="K55" s="49">
        <f>AVERAGE('17.10 Busembatya-Butongole'!K55,'18.10 Busembatya-Butongole'!K55,'20.10 Busembatya-Butongole'!K55,'22.10 Busembatya-Butongole'!K55,'19.10 Butongole-Busembatya-24h'!K55,'21.10 Busembatya-Butongole-24h'!K55,'23.10 Busembtya-Butongole'!K55)</f>
        <v>0.5714285714285714</v>
      </c>
      <c r="L55" s="49">
        <f>AVERAGE('17.10 Busembatya-Butongole'!L55,'18.10 Busembatya-Butongole'!L55,'20.10 Busembatya-Butongole'!L55,'22.10 Busembatya-Butongole'!L55,'19.10 Butongole-Busembatya-24h'!L55,'21.10 Busembatya-Butongole-24h'!L55,'23.10 Busembtya-Butongole'!L55)</f>
        <v>0</v>
      </c>
      <c r="M55" s="49">
        <f>AVERAGE('17.10 Busembatya-Butongole'!M55,'18.10 Busembatya-Butongole'!M55,'20.10 Busembatya-Butongole'!M55,'22.10 Busembatya-Butongole'!M55,'19.10 Butongole-Busembatya-24h'!M55,'21.10 Busembatya-Butongole-24h'!M55,'23.10 Busembtya-Butongole'!M55)</f>
        <v>8.1428571428571423</v>
      </c>
      <c r="N55" s="49">
        <f>AVERAGE('17.10 Busembatya-Butongole'!N55,'18.10 Busembatya-Butongole'!N55,'20.10 Busembatya-Butongole'!N55,'22.10 Busembatya-Butongole'!N55,'19.10 Butongole-Busembatya-24h'!N55,'21.10 Busembatya-Butongole-24h'!N55,'23.10 Busembtya-Butongole'!N55)</f>
        <v>0</v>
      </c>
      <c r="O55" s="15">
        <f t="shared" si="0"/>
        <v>28.428571428571431</v>
      </c>
      <c r="P55" s="15">
        <f t="shared" si="1"/>
        <v>36.571428571428569</v>
      </c>
      <c r="R55" s="8"/>
      <c r="T55"/>
    </row>
    <row r="56" spans="2:20" ht="23.1" customHeight="1" x14ac:dyDescent="0.25">
      <c r="B56" s="23" t="s">
        <v>83</v>
      </c>
      <c r="C56" s="49">
        <f>AVERAGE('17.10 Busembatya-Butongole'!C56,'18.10 Busembatya-Butongole'!C56,'20.10 Busembatya-Butongole'!C56,'22.10 Busembatya-Butongole'!C56,'19.10 Butongole-Busembatya-24h'!C56,'21.10 Busembatya-Butongole-24h'!C56,'23.10 Busembtya-Butongole'!C56)</f>
        <v>3.5714285714285716</v>
      </c>
      <c r="D56" s="49">
        <f>AVERAGE('17.10 Busembatya-Butongole'!D56,'18.10 Busembatya-Butongole'!D56,'20.10 Busembatya-Butongole'!D56,'22.10 Busembatya-Butongole'!D56,'19.10 Butongole-Busembatya-24h'!D56,'21.10 Busembatya-Butongole-24h'!D56,'23.10 Busembtya-Butongole'!D56)</f>
        <v>2.5714285714285716</v>
      </c>
      <c r="E56" s="49">
        <f>AVERAGE('17.10 Busembatya-Butongole'!E56,'18.10 Busembatya-Butongole'!E56,'20.10 Busembatya-Butongole'!E56,'22.10 Busembatya-Butongole'!E56,'19.10 Butongole-Busembatya-24h'!E56,'21.10 Busembatya-Butongole-24h'!E56,'23.10 Busembtya-Butongole'!E56)</f>
        <v>2.5714285714285716</v>
      </c>
      <c r="F56" s="49">
        <f>AVERAGE('17.10 Busembatya-Butongole'!F56,'18.10 Busembatya-Butongole'!F56,'20.10 Busembatya-Butongole'!F56,'22.10 Busembatya-Butongole'!F56,'19.10 Butongole-Busembatya-24h'!F56,'21.10 Busembatya-Butongole-24h'!F56,'23.10 Busembtya-Butongole'!F56)</f>
        <v>8.2857142857142865</v>
      </c>
      <c r="G56" s="49">
        <f>AVERAGE('17.10 Busembatya-Butongole'!G56,'18.10 Busembatya-Butongole'!G56,'20.10 Busembatya-Butongole'!G56,'22.10 Busembatya-Butongole'!G56,'19.10 Butongole-Busembatya-24h'!G56,'21.10 Busembatya-Butongole-24h'!G56,'23.10 Busembtya-Butongole'!G56)</f>
        <v>0.7142857142857143</v>
      </c>
      <c r="H56" s="49">
        <f>AVERAGE('17.10 Busembatya-Butongole'!H56,'18.10 Busembatya-Butongole'!H56,'20.10 Busembatya-Butongole'!H56,'22.10 Busembatya-Butongole'!H56,'19.10 Butongole-Busembatya-24h'!H56,'21.10 Busembatya-Butongole-24h'!H56,'23.10 Busembtya-Butongole'!H56)</f>
        <v>0.7142857142857143</v>
      </c>
      <c r="I56" s="49">
        <f>AVERAGE('17.10 Busembatya-Butongole'!I56,'18.10 Busembatya-Butongole'!I56,'20.10 Busembatya-Butongole'!I56,'22.10 Busembatya-Butongole'!I56,'19.10 Butongole-Busembatya-24h'!I56,'21.10 Busembatya-Butongole-24h'!I56,'23.10 Busembtya-Butongole'!I56)</f>
        <v>0.8571428571428571</v>
      </c>
      <c r="J56" s="49">
        <f>AVERAGE('17.10 Busembatya-Butongole'!J56,'18.10 Busembatya-Butongole'!J56,'20.10 Busembatya-Butongole'!J56,'22.10 Busembatya-Butongole'!J56,'19.10 Butongole-Busembatya-24h'!J56,'21.10 Busembatya-Butongole-24h'!J56,'23.10 Busembtya-Butongole'!J56)</f>
        <v>1.2857142857142858</v>
      </c>
      <c r="K56" s="49">
        <f>AVERAGE('17.10 Busembatya-Butongole'!K56,'18.10 Busembatya-Butongole'!K56,'20.10 Busembatya-Butongole'!K56,'22.10 Busembatya-Butongole'!K56,'19.10 Butongole-Busembatya-24h'!K56,'21.10 Busembatya-Butongole-24h'!K56,'23.10 Busembtya-Butongole'!K56)</f>
        <v>0.7142857142857143</v>
      </c>
      <c r="L56" s="49">
        <f>AVERAGE('17.10 Busembatya-Butongole'!L56,'18.10 Busembatya-Butongole'!L56,'20.10 Busembatya-Butongole'!L56,'22.10 Busembatya-Butongole'!L56,'19.10 Butongole-Busembatya-24h'!L56,'21.10 Busembatya-Butongole-24h'!L56,'23.10 Busembtya-Butongole'!L56)</f>
        <v>0.42857142857142855</v>
      </c>
      <c r="M56" s="49">
        <f>AVERAGE('17.10 Busembatya-Butongole'!M56,'18.10 Busembatya-Butongole'!M56,'20.10 Busembatya-Butongole'!M56,'22.10 Busembatya-Butongole'!M56,'19.10 Butongole-Busembatya-24h'!M56,'21.10 Busembatya-Butongole-24h'!M56,'23.10 Busembtya-Butongole'!M56)</f>
        <v>13.571428571428571</v>
      </c>
      <c r="N56" s="49">
        <f>AVERAGE('17.10 Busembatya-Butongole'!N56,'18.10 Busembatya-Butongole'!N56,'20.10 Busembatya-Butongole'!N56,'22.10 Busembatya-Butongole'!N56,'19.10 Butongole-Busembatya-24h'!N56,'21.10 Busembatya-Butongole-24h'!N56,'23.10 Busembtya-Butongole'!N56)</f>
        <v>0</v>
      </c>
      <c r="O56" s="15">
        <f t="shared" si="0"/>
        <v>21.714285714285715</v>
      </c>
      <c r="P56" s="15">
        <f t="shared" si="1"/>
        <v>35.285714285714285</v>
      </c>
      <c r="R56" s="8"/>
      <c r="T56"/>
    </row>
    <row r="57" spans="2:20" ht="23.1" customHeight="1" x14ac:dyDescent="0.25">
      <c r="B57" s="23" t="s">
        <v>84</v>
      </c>
      <c r="C57" s="49">
        <f>AVERAGE('17.10 Busembatya-Butongole'!C57,'18.10 Busembatya-Butongole'!C57,'20.10 Busembatya-Butongole'!C57,'22.10 Busembatya-Butongole'!C57,'19.10 Butongole-Busembatya-24h'!C57,'21.10 Busembatya-Butongole-24h'!C57,'23.10 Busembtya-Butongole'!C57)</f>
        <v>6.7142857142857144</v>
      </c>
      <c r="D57" s="49">
        <f>AVERAGE('17.10 Busembatya-Butongole'!D57,'18.10 Busembatya-Butongole'!D57,'20.10 Busembatya-Butongole'!D57,'22.10 Busembatya-Butongole'!D57,'19.10 Butongole-Busembatya-24h'!D57,'21.10 Busembatya-Butongole-24h'!D57,'23.10 Busembtya-Butongole'!D57)</f>
        <v>1.2857142857142858</v>
      </c>
      <c r="E57" s="49">
        <f>AVERAGE('17.10 Busembatya-Butongole'!E57,'18.10 Busembatya-Butongole'!E57,'20.10 Busembatya-Butongole'!E57,'22.10 Busembatya-Butongole'!E57,'19.10 Butongole-Busembatya-24h'!E57,'21.10 Busembatya-Butongole-24h'!E57,'23.10 Busembtya-Butongole'!E57)</f>
        <v>3.2857142857142856</v>
      </c>
      <c r="F57" s="49">
        <f>AVERAGE('17.10 Busembatya-Butongole'!F57,'18.10 Busembatya-Butongole'!F57,'20.10 Busembatya-Butongole'!F57,'22.10 Busembatya-Butongole'!F57,'19.10 Butongole-Busembatya-24h'!F57,'21.10 Busembatya-Butongole-24h'!F57,'23.10 Busembtya-Butongole'!F57)</f>
        <v>11</v>
      </c>
      <c r="G57" s="49">
        <f>AVERAGE('17.10 Busembatya-Butongole'!G57,'18.10 Busembatya-Butongole'!G57,'20.10 Busembatya-Butongole'!G57,'22.10 Busembatya-Butongole'!G57,'19.10 Butongole-Busembatya-24h'!G57,'21.10 Busembatya-Butongole-24h'!G57,'23.10 Busembtya-Butongole'!G57)</f>
        <v>0.8571428571428571</v>
      </c>
      <c r="H57" s="49">
        <f>AVERAGE('17.10 Busembatya-Butongole'!H57,'18.10 Busembatya-Butongole'!H57,'20.10 Busembatya-Butongole'!H57,'22.10 Busembatya-Butongole'!H57,'19.10 Butongole-Busembatya-24h'!H57,'21.10 Busembatya-Butongole-24h'!H57,'23.10 Busembtya-Butongole'!H57)</f>
        <v>0.7142857142857143</v>
      </c>
      <c r="I57" s="49">
        <f>AVERAGE('17.10 Busembatya-Butongole'!I57,'18.10 Busembatya-Butongole'!I57,'20.10 Busembatya-Butongole'!I57,'22.10 Busembatya-Butongole'!I57,'19.10 Butongole-Busembatya-24h'!I57,'21.10 Busembatya-Butongole-24h'!I57,'23.10 Busembtya-Butongole'!I57)</f>
        <v>0.5714285714285714</v>
      </c>
      <c r="J57" s="49">
        <f>AVERAGE('17.10 Busembatya-Butongole'!J57,'18.10 Busembatya-Butongole'!J57,'20.10 Busembatya-Butongole'!J57,'22.10 Busembatya-Butongole'!J57,'19.10 Butongole-Busembatya-24h'!J57,'21.10 Busembatya-Butongole-24h'!J57,'23.10 Busembtya-Butongole'!J57)</f>
        <v>0.14285714285714285</v>
      </c>
      <c r="K57" s="49">
        <f>AVERAGE('17.10 Busembatya-Butongole'!K57,'18.10 Busembatya-Butongole'!K57,'20.10 Busembatya-Butongole'!K57,'22.10 Busembatya-Butongole'!K57,'19.10 Butongole-Busembatya-24h'!K57,'21.10 Busembatya-Butongole-24h'!K57,'23.10 Busembtya-Butongole'!K57)</f>
        <v>1.8571428571428572</v>
      </c>
      <c r="L57" s="49">
        <f>AVERAGE('17.10 Busembatya-Butongole'!L57,'18.10 Busembatya-Butongole'!L57,'20.10 Busembatya-Butongole'!L57,'22.10 Busembatya-Butongole'!L57,'19.10 Butongole-Busembatya-24h'!L57,'21.10 Busembatya-Butongole-24h'!L57,'23.10 Busembtya-Butongole'!L57)</f>
        <v>0.14285714285714285</v>
      </c>
      <c r="M57" s="49">
        <f>AVERAGE('17.10 Busembatya-Butongole'!M57,'18.10 Busembatya-Butongole'!M57,'20.10 Busembatya-Butongole'!M57,'22.10 Busembatya-Butongole'!M57,'19.10 Butongole-Busembatya-24h'!M57,'21.10 Busembatya-Butongole-24h'!M57,'23.10 Busembtya-Butongole'!M57)</f>
        <v>12.285714285714286</v>
      </c>
      <c r="N57" s="49">
        <f>AVERAGE('17.10 Busembatya-Butongole'!N57,'18.10 Busembatya-Butongole'!N57,'20.10 Busembatya-Butongole'!N57,'22.10 Busembatya-Butongole'!N57,'19.10 Butongole-Busembatya-24h'!N57,'21.10 Busembatya-Butongole-24h'!N57,'23.10 Busembtya-Butongole'!N57)</f>
        <v>0</v>
      </c>
      <c r="O57" s="15">
        <f t="shared" si="0"/>
        <v>26.571428571428573</v>
      </c>
      <c r="P57" s="15">
        <f t="shared" si="1"/>
        <v>38.857142857142861</v>
      </c>
      <c r="R57" s="8"/>
      <c r="T57"/>
    </row>
    <row r="58" spans="2:20" ht="23.1" customHeight="1" x14ac:dyDescent="0.25">
      <c r="B58" s="23" t="s">
        <v>99</v>
      </c>
      <c r="C58" s="49">
        <f>AVERAGE('19.10 Busembatya-Butongole 24h'!C58,'21.10 Busembatya-Butongole-24h'!C58)</f>
        <v>9</v>
      </c>
      <c r="D58" s="49">
        <f>AVERAGE('19.10 Busembatya-Butongole 24h'!D58,'21.10 Busembatya-Butongole-24h'!D58)</f>
        <v>4.5</v>
      </c>
      <c r="E58" s="49">
        <f>AVERAGE('19.10 Busembatya-Butongole 24h'!E58,'21.10 Busembatya-Butongole-24h'!E58)</f>
        <v>5</v>
      </c>
      <c r="F58" s="49">
        <f>AVERAGE('19.10 Busembatya-Butongole 24h'!F58,'21.10 Busembatya-Butongole-24h'!F58)</f>
        <v>14</v>
      </c>
      <c r="G58" s="49">
        <f>AVERAGE('19.10 Busembatya-Butongole 24h'!G58,'21.10 Busembatya-Butongole-24h'!G58)</f>
        <v>1</v>
      </c>
      <c r="H58" s="49">
        <f>AVERAGE('19.10 Busembatya-Butongole 24h'!H58,'21.10 Busembatya-Butongole-24h'!H58)</f>
        <v>0</v>
      </c>
      <c r="I58" s="49">
        <f>AVERAGE('19.10 Busembatya-Butongole 24h'!I58,'21.10 Busembatya-Butongole-24h'!I58)</f>
        <v>7.5</v>
      </c>
      <c r="J58" s="49">
        <f>AVERAGE('19.10 Busembatya-Butongole 24h'!J58,'21.10 Busembatya-Butongole-24h'!J58)</f>
        <v>0</v>
      </c>
      <c r="K58" s="49">
        <f>AVERAGE('19.10 Busembatya-Butongole 24h'!K58,'21.10 Busembatya-Butongole-24h'!K58)</f>
        <v>2</v>
      </c>
      <c r="L58" s="49">
        <f>AVERAGE('19.10 Busembatya-Butongole 24h'!L58,'21.10 Busembatya-Butongole-24h'!L58)</f>
        <v>0.5</v>
      </c>
      <c r="M58" s="49">
        <f>AVERAGE('19.10 Busembatya-Butongole 24h'!M58,'21.10 Busembatya-Butongole-24h'!M58)</f>
        <v>18.5</v>
      </c>
      <c r="N58" s="49">
        <f>AVERAGE('19.10 Busembatya-Butongole 24h'!N58,'21.10 Busembatya-Butongole-24h'!N58)</f>
        <v>0</v>
      </c>
      <c r="O58" s="15">
        <f t="shared" si="0"/>
        <v>43.5</v>
      </c>
      <c r="P58" s="15">
        <f t="shared" si="1"/>
        <v>62</v>
      </c>
      <c r="R58" s="8"/>
      <c r="T58"/>
    </row>
    <row r="59" spans="2:20" ht="23.1" customHeight="1" x14ac:dyDescent="0.25">
      <c r="B59" s="23" t="s">
        <v>100</v>
      </c>
      <c r="C59" s="49">
        <f>AVERAGE('19.10 Busembatya-Butongole 24h'!C59,'21.10 Busembatya-Butongole-24h'!C59)</f>
        <v>9.5</v>
      </c>
      <c r="D59" s="49">
        <f>AVERAGE('19.10 Busembatya-Butongole 24h'!D59,'21.10 Busembatya-Butongole-24h'!D59)</f>
        <v>4</v>
      </c>
      <c r="E59" s="49">
        <f>AVERAGE('19.10 Busembatya-Butongole 24h'!E59,'21.10 Busembatya-Butongole-24h'!E59)</f>
        <v>1.5</v>
      </c>
      <c r="F59" s="49">
        <f>AVERAGE('19.10 Busembatya-Butongole 24h'!F59,'21.10 Busembatya-Butongole-24h'!F59)</f>
        <v>7.5</v>
      </c>
      <c r="G59" s="49">
        <f>AVERAGE('19.10 Busembatya-Butongole 24h'!G59,'21.10 Busembatya-Butongole-24h'!G59)</f>
        <v>0</v>
      </c>
      <c r="H59" s="49">
        <f>AVERAGE('19.10 Busembatya-Butongole 24h'!H59,'21.10 Busembatya-Butongole-24h'!H59)</f>
        <v>0</v>
      </c>
      <c r="I59" s="49">
        <f>AVERAGE('19.10 Busembatya-Butongole 24h'!I59,'21.10 Busembatya-Butongole-24h'!I59)</f>
        <v>2</v>
      </c>
      <c r="J59" s="49">
        <f>AVERAGE('19.10 Busembatya-Butongole 24h'!J59,'21.10 Busembatya-Butongole-24h'!J59)</f>
        <v>0</v>
      </c>
      <c r="K59" s="49">
        <f>AVERAGE('19.10 Busembatya-Butongole 24h'!K59,'21.10 Busembatya-Butongole-24h'!K59)</f>
        <v>0</v>
      </c>
      <c r="L59" s="49">
        <f>AVERAGE('19.10 Busembatya-Butongole 24h'!L59,'21.10 Busembatya-Butongole-24h'!L59)</f>
        <v>0</v>
      </c>
      <c r="M59" s="49">
        <f>AVERAGE('19.10 Busembatya-Butongole 24h'!M59,'21.10 Busembatya-Butongole-24h'!M59)</f>
        <v>9</v>
      </c>
      <c r="N59" s="49">
        <f>AVERAGE('19.10 Busembatya-Butongole 24h'!N59,'21.10 Busembatya-Butongole-24h'!N59)</f>
        <v>0</v>
      </c>
      <c r="O59" s="15">
        <f t="shared" ref="O59:O105" si="35">SUM(C59:L59,N59)</f>
        <v>24.5</v>
      </c>
      <c r="P59" s="15">
        <f t="shared" ref="P59:P105" si="36">SUM(C59:N59)</f>
        <v>33.5</v>
      </c>
      <c r="R59" s="8"/>
      <c r="T59"/>
    </row>
    <row r="60" spans="2:20" ht="23.1" customHeight="1" x14ac:dyDescent="0.25">
      <c r="B60" s="23" t="s">
        <v>101</v>
      </c>
      <c r="C60" s="49">
        <f>AVERAGE('19.10 Busembatya-Butongole 24h'!C60,'21.10 Busembatya-Butongole-24h'!C60)</f>
        <v>8.5</v>
      </c>
      <c r="D60" s="49">
        <f>AVERAGE('19.10 Busembatya-Butongole 24h'!D60,'21.10 Busembatya-Butongole-24h'!D60)</f>
        <v>0</v>
      </c>
      <c r="E60" s="49">
        <f>AVERAGE('19.10 Busembatya-Butongole 24h'!E60,'21.10 Busembatya-Butongole-24h'!E60)</f>
        <v>2</v>
      </c>
      <c r="F60" s="49">
        <f>AVERAGE('19.10 Busembatya-Butongole 24h'!F60,'21.10 Busembatya-Butongole-24h'!F60)</f>
        <v>6</v>
      </c>
      <c r="G60" s="49">
        <f>AVERAGE('19.10 Busembatya-Butongole 24h'!G60,'21.10 Busembatya-Butongole-24h'!G60)</f>
        <v>0</v>
      </c>
      <c r="H60" s="49">
        <f>AVERAGE('19.10 Busembatya-Butongole 24h'!H60,'21.10 Busembatya-Butongole-24h'!H60)</f>
        <v>0</v>
      </c>
      <c r="I60" s="49">
        <f>AVERAGE('19.10 Busembatya-Butongole 24h'!I60,'21.10 Busembatya-Butongole-24h'!I60)</f>
        <v>5</v>
      </c>
      <c r="J60" s="49">
        <f>AVERAGE('19.10 Busembatya-Butongole 24h'!J60,'21.10 Busembatya-Butongole-24h'!J60)</f>
        <v>0</v>
      </c>
      <c r="K60" s="49">
        <f>AVERAGE('19.10 Busembatya-Butongole 24h'!K60,'21.10 Busembatya-Butongole-24h'!K60)</f>
        <v>1</v>
      </c>
      <c r="L60" s="49">
        <f>AVERAGE('19.10 Busembatya-Butongole 24h'!L60,'21.10 Busembatya-Butongole-24h'!L60)</f>
        <v>0</v>
      </c>
      <c r="M60" s="49">
        <f>AVERAGE('19.10 Busembatya-Butongole 24h'!M60,'21.10 Busembatya-Butongole-24h'!M60)</f>
        <v>9</v>
      </c>
      <c r="N60" s="49">
        <f>AVERAGE('19.10 Busembatya-Butongole 24h'!N60,'21.10 Busembatya-Butongole-24h'!N60)</f>
        <v>0</v>
      </c>
      <c r="O60" s="15">
        <f t="shared" si="35"/>
        <v>22.5</v>
      </c>
      <c r="P60" s="15">
        <f t="shared" si="36"/>
        <v>31.5</v>
      </c>
      <c r="R60" s="8"/>
      <c r="T60"/>
    </row>
    <row r="61" spans="2:20" ht="23.1" customHeight="1" x14ac:dyDescent="0.25">
      <c r="B61" s="23" t="s">
        <v>102</v>
      </c>
      <c r="C61" s="49">
        <f>AVERAGE('19.10 Busembatya-Butongole 24h'!C61,'21.10 Busembatya-Butongole-24h'!C61)</f>
        <v>9.5</v>
      </c>
      <c r="D61" s="49">
        <f>AVERAGE('19.10 Busembatya-Butongole 24h'!D61,'21.10 Busembatya-Butongole-24h'!D61)</f>
        <v>2.5</v>
      </c>
      <c r="E61" s="49">
        <f>AVERAGE('19.10 Busembatya-Butongole 24h'!E61,'21.10 Busembatya-Butongole-24h'!E61)</f>
        <v>1.5</v>
      </c>
      <c r="F61" s="49">
        <f>AVERAGE('19.10 Busembatya-Butongole 24h'!F61,'21.10 Busembatya-Butongole-24h'!F61)</f>
        <v>8</v>
      </c>
      <c r="G61" s="49">
        <f>AVERAGE('19.10 Busembatya-Butongole 24h'!G61,'21.10 Busembatya-Butongole-24h'!G61)</f>
        <v>0.5</v>
      </c>
      <c r="H61" s="49">
        <f>AVERAGE('19.10 Busembatya-Butongole 24h'!H61,'21.10 Busembatya-Butongole-24h'!H61)</f>
        <v>0</v>
      </c>
      <c r="I61" s="49">
        <f>AVERAGE('19.10 Busembatya-Butongole 24h'!I61,'21.10 Busembatya-Butongole-24h'!I61)</f>
        <v>4.5</v>
      </c>
      <c r="J61" s="49">
        <f>AVERAGE('19.10 Busembatya-Butongole 24h'!J61,'21.10 Busembatya-Butongole-24h'!J61)</f>
        <v>0</v>
      </c>
      <c r="K61" s="49">
        <f>AVERAGE('19.10 Busembatya-Butongole 24h'!K61,'21.10 Busembatya-Butongole-24h'!K61)</f>
        <v>0.5</v>
      </c>
      <c r="L61" s="49">
        <f>AVERAGE('19.10 Busembatya-Butongole 24h'!L61,'21.10 Busembatya-Butongole-24h'!L61)</f>
        <v>0</v>
      </c>
      <c r="M61" s="49">
        <f>AVERAGE('19.10 Busembatya-Butongole 24h'!M61,'21.10 Busembatya-Butongole-24h'!M61)</f>
        <v>7</v>
      </c>
      <c r="N61" s="49">
        <f>AVERAGE('19.10 Busembatya-Butongole 24h'!N61,'21.10 Busembatya-Butongole-24h'!N61)</f>
        <v>0</v>
      </c>
      <c r="O61" s="15">
        <f t="shared" si="35"/>
        <v>27</v>
      </c>
      <c r="P61" s="15">
        <f t="shared" si="36"/>
        <v>34</v>
      </c>
      <c r="R61" s="8"/>
      <c r="T61"/>
    </row>
    <row r="62" spans="2:20" ht="23.1" customHeight="1" x14ac:dyDescent="0.25">
      <c r="B62" s="23" t="s">
        <v>107</v>
      </c>
      <c r="C62" s="49">
        <f>AVERAGE('19.10 Busembatya-Butongole 24h'!C62,'21.10 Busembatya-Butongole-24h'!C62)</f>
        <v>14.5</v>
      </c>
      <c r="D62" s="49">
        <f>AVERAGE('19.10 Busembatya-Butongole 24h'!D62,'21.10 Busembatya-Butongole-24h'!D62)</f>
        <v>2</v>
      </c>
      <c r="E62" s="49">
        <f>AVERAGE('19.10 Busembatya-Butongole 24h'!E62,'21.10 Busembatya-Butongole-24h'!E62)</f>
        <v>2.5</v>
      </c>
      <c r="F62" s="49">
        <f>AVERAGE('19.10 Busembatya-Butongole 24h'!F62,'21.10 Busembatya-Butongole-24h'!F62)</f>
        <v>4.5</v>
      </c>
      <c r="G62" s="49">
        <f>AVERAGE('19.10 Busembatya-Butongole 24h'!G62,'21.10 Busembatya-Butongole-24h'!G62)</f>
        <v>1.5</v>
      </c>
      <c r="H62" s="49">
        <f>AVERAGE('19.10 Busembatya-Butongole 24h'!H62,'21.10 Busembatya-Butongole-24h'!H62)</f>
        <v>0</v>
      </c>
      <c r="I62" s="49">
        <f>AVERAGE('19.10 Busembatya-Butongole 24h'!I62,'21.10 Busembatya-Butongole-24h'!I62)</f>
        <v>3.5</v>
      </c>
      <c r="J62" s="49">
        <f>AVERAGE('19.10 Busembatya-Butongole 24h'!J62,'21.10 Busembatya-Butongole-24h'!J62)</f>
        <v>0</v>
      </c>
      <c r="K62" s="49">
        <f>AVERAGE('19.10 Busembatya-Butongole 24h'!K62,'21.10 Busembatya-Butongole-24h'!K62)</f>
        <v>0.5</v>
      </c>
      <c r="L62" s="49">
        <f>AVERAGE('19.10 Busembatya-Butongole 24h'!L62,'21.10 Busembatya-Butongole-24h'!L62)</f>
        <v>0</v>
      </c>
      <c r="M62" s="49">
        <f>AVERAGE('19.10 Busembatya-Butongole 24h'!M62,'21.10 Busembatya-Butongole-24h'!M62)</f>
        <v>6.5</v>
      </c>
      <c r="N62" s="49">
        <f>AVERAGE('19.10 Busembatya-Butongole 24h'!N62,'21.10 Busembatya-Butongole-24h'!N62)</f>
        <v>0</v>
      </c>
      <c r="O62" s="15">
        <f t="shared" si="35"/>
        <v>29</v>
      </c>
      <c r="P62" s="15">
        <f t="shared" si="36"/>
        <v>35.5</v>
      </c>
      <c r="R62" s="8"/>
      <c r="T62"/>
    </row>
    <row r="63" spans="2:20" ht="23.1" customHeight="1" x14ac:dyDescent="0.25">
      <c r="B63" s="23" t="s">
        <v>108</v>
      </c>
      <c r="C63" s="49">
        <f>AVERAGE('19.10 Busembatya-Butongole 24h'!C63,'21.10 Busembatya-Butongole-24h'!C63)</f>
        <v>4</v>
      </c>
      <c r="D63" s="49">
        <f>AVERAGE('19.10 Busembatya-Butongole 24h'!D63,'21.10 Busembatya-Butongole-24h'!D63)</f>
        <v>3.5</v>
      </c>
      <c r="E63" s="49">
        <f>AVERAGE('19.10 Busembatya-Butongole 24h'!E63,'21.10 Busembatya-Butongole-24h'!E63)</f>
        <v>2</v>
      </c>
      <c r="F63" s="49">
        <f>AVERAGE('19.10 Busembatya-Butongole 24h'!F63,'21.10 Busembatya-Butongole-24h'!F63)</f>
        <v>7</v>
      </c>
      <c r="G63" s="49">
        <f>AVERAGE('19.10 Busembatya-Butongole 24h'!G63,'21.10 Busembatya-Butongole-24h'!G63)</f>
        <v>1</v>
      </c>
      <c r="H63" s="49">
        <f>AVERAGE('19.10 Busembatya-Butongole 24h'!H63,'21.10 Busembatya-Butongole-24h'!H63)</f>
        <v>2</v>
      </c>
      <c r="I63" s="49">
        <f>AVERAGE('19.10 Busembatya-Butongole 24h'!I63,'21.10 Busembatya-Butongole-24h'!I63)</f>
        <v>6.5</v>
      </c>
      <c r="J63" s="49">
        <f>AVERAGE('19.10 Busembatya-Butongole 24h'!J63,'21.10 Busembatya-Butongole-24h'!J63)</f>
        <v>0</v>
      </c>
      <c r="K63" s="49">
        <f>AVERAGE('19.10 Busembatya-Butongole 24h'!K63,'21.10 Busembatya-Butongole-24h'!K63)</f>
        <v>3.5</v>
      </c>
      <c r="L63" s="49">
        <f>AVERAGE('19.10 Busembatya-Butongole 24h'!L63,'21.10 Busembatya-Butongole-24h'!L63)</f>
        <v>0</v>
      </c>
      <c r="M63" s="49">
        <f>AVERAGE('19.10 Busembatya-Butongole 24h'!M63,'21.10 Busembatya-Butongole-24h'!M63)</f>
        <v>6.5</v>
      </c>
      <c r="N63" s="49">
        <f>AVERAGE('19.10 Busembatya-Butongole 24h'!N63,'21.10 Busembatya-Butongole-24h'!N63)</f>
        <v>0</v>
      </c>
      <c r="O63" s="15">
        <f t="shared" si="35"/>
        <v>29.5</v>
      </c>
      <c r="P63" s="15">
        <f t="shared" si="36"/>
        <v>36</v>
      </c>
      <c r="R63" s="8"/>
      <c r="T63"/>
    </row>
    <row r="64" spans="2:20" ht="23.1" customHeight="1" x14ac:dyDescent="0.25">
      <c r="B64" s="23" t="s">
        <v>109</v>
      </c>
      <c r="C64" s="49">
        <f>AVERAGE('19.10 Busembatya-Butongole 24h'!C64,'21.10 Busembatya-Butongole-24h'!C64)</f>
        <v>6.5</v>
      </c>
      <c r="D64" s="49">
        <f>AVERAGE('19.10 Busembatya-Butongole 24h'!D64,'21.10 Busembatya-Butongole-24h'!D64)</f>
        <v>0</v>
      </c>
      <c r="E64" s="49">
        <f>AVERAGE('19.10 Busembatya-Butongole 24h'!E64,'21.10 Busembatya-Butongole-24h'!E64)</f>
        <v>1</v>
      </c>
      <c r="F64" s="49">
        <f>AVERAGE('19.10 Busembatya-Butongole 24h'!F64,'21.10 Busembatya-Butongole-24h'!F64)</f>
        <v>8.5</v>
      </c>
      <c r="G64" s="49">
        <f>AVERAGE('19.10 Busembatya-Butongole 24h'!G64,'21.10 Busembatya-Butongole-24h'!G64)</f>
        <v>0.5</v>
      </c>
      <c r="H64" s="49">
        <f>AVERAGE('19.10 Busembatya-Butongole 24h'!H64,'21.10 Busembatya-Butongole-24h'!H64)</f>
        <v>0</v>
      </c>
      <c r="I64" s="49">
        <f>AVERAGE('19.10 Busembatya-Butongole 24h'!I64,'21.10 Busembatya-Butongole-24h'!I64)</f>
        <v>1.5</v>
      </c>
      <c r="J64" s="49">
        <f>AVERAGE('19.10 Busembatya-Butongole 24h'!J64,'21.10 Busembatya-Butongole-24h'!J64)</f>
        <v>0</v>
      </c>
      <c r="K64" s="49">
        <f>AVERAGE('19.10 Busembatya-Butongole 24h'!K64,'21.10 Busembatya-Butongole-24h'!K64)</f>
        <v>2</v>
      </c>
      <c r="L64" s="49">
        <f>AVERAGE('19.10 Busembatya-Butongole 24h'!L64,'21.10 Busembatya-Butongole-24h'!L64)</f>
        <v>0.5</v>
      </c>
      <c r="M64" s="49">
        <f>AVERAGE('19.10 Busembatya-Butongole 24h'!M64,'21.10 Busembatya-Butongole-24h'!M64)</f>
        <v>4</v>
      </c>
      <c r="N64" s="49">
        <f>AVERAGE('19.10 Busembatya-Butongole 24h'!N64,'21.10 Busembatya-Butongole-24h'!N64)</f>
        <v>0</v>
      </c>
      <c r="O64" s="15">
        <f t="shared" si="35"/>
        <v>20.5</v>
      </c>
      <c r="P64" s="15">
        <f t="shared" si="36"/>
        <v>24.5</v>
      </c>
      <c r="R64" s="8"/>
      <c r="T64"/>
    </row>
    <row r="65" spans="2:20" ht="23.1" customHeight="1" x14ac:dyDescent="0.25">
      <c r="B65" s="23" t="s">
        <v>158</v>
      </c>
      <c r="C65" s="49">
        <f>AVERAGE('19.10 Busembatya-Butongole 24h'!C65,'21.10 Busembatya-Butongole-24h'!C65)</f>
        <v>4</v>
      </c>
      <c r="D65" s="49">
        <f>AVERAGE('19.10 Busembatya-Butongole 24h'!D65,'21.10 Busembatya-Butongole-24h'!D65)</f>
        <v>0</v>
      </c>
      <c r="E65" s="49">
        <f>AVERAGE('19.10 Busembatya-Butongole 24h'!E65,'21.10 Busembatya-Butongole-24h'!E65)</f>
        <v>1.5</v>
      </c>
      <c r="F65" s="49">
        <f>AVERAGE('19.10 Busembatya-Butongole 24h'!F65,'21.10 Busembatya-Butongole-24h'!F65)</f>
        <v>2</v>
      </c>
      <c r="G65" s="49">
        <f>AVERAGE('19.10 Busembatya-Butongole 24h'!G65,'21.10 Busembatya-Butongole-24h'!G65)</f>
        <v>0.5</v>
      </c>
      <c r="H65" s="49">
        <f>AVERAGE('19.10 Busembatya-Butongole 24h'!H65,'21.10 Busembatya-Butongole-24h'!H65)</f>
        <v>0</v>
      </c>
      <c r="I65" s="49">
        <f>AVERAGE('19.10 Busembatya-Butongole 24h'!I65,'21.10 Busembatya-Butongole-24h'!I65)</f>
        <v>1.5</v>
      </c>
      <c r="J65" s="49">
        <f>AVERAGE('19.10 Busembatya-Butongole 24h'!J65,'21.10 Busembatya-Butongole-24h'!J65)</f>
        <v>0</v>
      </c>
      <c r="K65" s="49">
        <f>AVERAGE('19.10 Busembatya-Butongole 24h'!K65,'21.10 Busembatya-Butongole-24h'!K65)</f>
        <v>2.5</v>
      </c>
      <c r="L65" s="49">
        <f>AVERAGE('19.10 Busembatya-Butongole 24h'!L65,'21.10 Busembatya-Butongole-24h'!L65)</f>
        <v>0</v>
      </c>
      <c r="M65" s="49">
        <f>AVERAGE('19.10 Busembatya-Butongole 24h'!M65,'21.10 Busembatya-Butongole-24h'!M65)</f>
        <v>3</v>
      </c>
      <c r="N65" s="49">
        <f>AVERAGE('19.10 Busembatya-Butongole 24h'!N65,'21.10 Busembatya-Butongole-24h'!N65)</f>
        <v>0</v>
      </c>
      <c r="O65" s="15">
        <f t="shared" si="35"/>
        <v>12</v>
      </c>
      <c r="P65" s="15">
        <f t="shared" si="36"/>
        <v>15</v>
      </c>
      <c r="R65" s="8"/>
      <c r="T65"/>
    </row>
    <row r="66" spans="2:20" ht="23.1" customHeight="1" x14ac:dyDescent="0.25">
      <c r="B66" s="23" t="s">
        <v>103</v>
      </c>
      <c r="C66" s="49">
        <f>AVERAGE('19.10 Busembatya-Butongole 24h'!C66,'21.10 Busembatya-Butongole-24h'!C66)</f>
        <v>3</v>
      </c>
      <c r="D66" s="49">
        <f>AVERAGE('19.10 Busembatya-Butongole 24h'!D66,'21.10 Busembatya-Butongole-24h'!D66)</f>
        <v>1.5</v>
      </c>
      <c r="E66" s="49">
        <f>AVERAGE('19.10 Busembatya-Butongole 24h'!E66,'21.10 Busembatya-Butongole-24h'!E66)</f>
        <v>2</v>
      </c>
      <c r="F66" s="49">
        <f>AVERAGE('19.10 Busembatya-Butongole 24h'!F66,'21.10 Busembatya-Butongole-24h'!F66)</f>
        <v>6.5</v>
      </c>
      <c r="G66" s="49">
        <f>AVERAGE('19.10 Busembatya-Butongole 24h'!G66,'21.10 Busembatya-Butongole-24h'!G66)</f>
        <v>0.5</v>
      </c>
      <c r="H66" s="49">
        <f>AVERAGE('19.10 Busembatya-Butongole 24h'!H66,'21.10 Busembatya-Butongole-24h'!H66)</f>
        <v>0</v>
      </c>
      <c r="I66" s="49">
        <f>AVERAGE('19.10 Busembatya-Butongole 24h'!I66,'21.10 Busembatya-Butongole-24h'!I66)</f>
        <v>4.5</v>
      </c>
      <c r="J66" s="49">
        <f>AVERAGE('19.10 Busembatya-Butongole 24h'!J66,'21.10 Busembatya-Butongole-24h'!J66)</f>
        <v>0</v>
      </c>
      <c r="K66" s="49">
        <f>AVERAGE('19.10 Busembatya-Butongole 24h'!K66,'21.10 Busembatya-Butongole-24h'!K66)</f>
        <v>4.5</v>
      </c>
      <c r="L66" s="49">
        <f>AVERAGE('19.10 Busembatya-Butongole 24h'!L66,'21.10 Busembatya-Butongole-24h'!L66)</f>
        <v>0</v>
      </c>
      <c r="M66" s="49">
        <f>AVERAGE('19.10 Busembatya-Butongole 24h'!M66,'21.10 Busembatya-Butongole-24h'!M66)</f>
        <v>5.5</v>
      </c>
      <c r="N66" s="49">
        <f>AVERAGE('19.10 Busembatya-Butongole 24h'!N66,'21.10 Busembatya-Butongole-24h'!N66)</f>
        <v>0</v>
      </c>
      <c r="O66" s="15">
        <f t="shared" si="35"/>
        <v>22.5</v>
      </c>
      <c r="P66" s="15">
        <f t="shared" si="36"/>
        <v>28</v>
      </c>
      <c r="R66" s="8"/>
      <c r="T66"/>
    </row>
    <row r="67" spans="2:20" ht="23.1" customHeight="1" x14ac:dyDescent="0.25">
      <c r="B67" s="23" t="s">
        <v>104</v>
      </c>
      <c r="C67" s="49">
        <f>AVERAGE('19.10 Busembatya-Butongole 24h'!C67,'21.10 Busembatya-Butongole-24h'!C67)</f>
        <v>3</v>
      </c>
      <c r="D67" s="49">
        <f>AVERAGE('19.10 Busembatya-Butongole 24h'!D67,'21.10 Busembatya-Butongole-24h'!D67)</f>
        <v>1</v>
      </c>
      <c r="E67" s="49">
        <f>AVERAGE('19.10 Busembatya-Butongole 24h'!E67,'21.10 Busembatya-Butongole-24h'!E67)</f>
        <v>1</v>
      </c>
      <c r="F67" s="49">
        <f>AVERAGE('19.10 Busembatya-Butongole 24h'!F67,'21.10 Busembatya-Butongole-24h'!F67)</f>
        <v>2.5</v>
      </c>
      <c r="G67" s="49">
        <f>AVERAGE('19.10 Busembatya-Butongole 24h'!G67,'21.10 Busembatya-Butongole-24h'!G67)</f>
        <v>0</v>
      </c>
      <c r="H67" s="49">
        <f>AVERAGE('19.10 Busembatya-Butongole 24h'!H67,'21.10 Busembatya-Butongole-24h'!H67)</f>
        <v>0.5</v>
      </c>
      <c r="I67" s="49">
        <f>AVERAGE('19.10 Busembatya-Butongole 24h'!I67,'21.10 Busembatya-Butongole-24h'!I67)</f>
        <v>0</v>
      </c>
      <c r="J67" s="49">
        <f>AVERAGE('19.10 Busembatya-Butongole 24h'!J67,'21.10 Busembatya-Butongole-24h'!J67)</f>
        <v>0</v>
      </c>
      <c r="K67" s="49">
        <f>AVERAGE('19.10 Busembatya-Butongole 24h'!K67,'21.10 Busembatya-Butongole-24h'!K67)</f>
        <v>0.5</v>
      </c>
      <c r="L67" s="49">
        <f>AVERAGE('19.10 Busembatya-Butongole 24h'!L67,'21.10 Busembatya-Butongole-24h'!L67)</f>
        <v>0</v>
      </c>
      <c r="M67" s="49">
        <f>AVERAGE('19.10 Busembatya-Butongole 24h'!M67,'21.10 Busembatya-Butongole-24h'!M67)</f>
        <v>2</v>
      </c>
      <c r="N67" s="49">
        <f>AVERAGE('19.10 Busembatya-Butongole 24h'!N67,'21.10 Busembatya-Butongole-24h'!N67)</f>
        <v>0</v>
      </c>
      <c r="O67" s="15">
        <f t="shared" si="35"/>
        <v>8.5</v>
      </c>
      <c r="P67" s="15">
        <f t="shared" si="36"/>
        <v>10.5</v>
      </c>
      <c r="R67" s="8"/>
      <c r="T67"/>
    </row>
    <row r="68" spans="2:20" ht="23.1" customHeight="1" x14ac:dyDescent="0.25">
      <c r="B68" s="23" t="s">
        <v>105</v>
      </c>
      <c r="C68" s="49">
        <f>AVERAGE('19.10 Busembatya-Butongole 24h'!C68,'21.10 Busembatya-Butongole-24h'!C68)</f>
        <v>3.5</v>
      </c>
      <c r="D68" s="49">
        <f>AVERAGE('19.10 Busembatya-Butongole 24h'!D68,'21.10 Busembatya-Butongole-24h'!D68)</f>
        <v>1</v>
      </c>
      <c r="E68" s="49">
        <f>AVERAGE('19.10 Busembatya-Butongole 24h'!E68,'21.10 Busembatya-Butongole-24h'!E68)</f>
        <v>0.5</v>
      </c>
      <c r="F68" s="49">
        <f>AVERAGE('19.10 Busembatya-Butongole 24h'!F68,'21.10 Busembatya-Butongole-24h'!F68)</f>
        <v>2</v>
      </c>
      <c r="G68" s="49">
        <f>AVERAGE('19.10 Busembatya-Butongole 24h'!G68,'21.10 Busembatya-Butongole-24h'!G68)</f>
        <v>0.5</v>
      </c>
      <c r="H68" s="49">
        <f>AVERAGE('19.10 Busembatya-Butongole 24h'!H68,'21.10 Busembatya-Butongole-24h'!H68)</f>
        <v>0</v>
      </c>
      <c r="I68" s="49">
        <f>AVERAGE('19.10 Busembatya-Butongole 24h'!I68,'21.10 Busembatya-Butongole-24h'!I68)</f>
        <v>1.5</v>
      </c>
      <c r="J68" s="49">
        <f>AVERAGE('19.10 Busembatya-Butongole 24h'!J68,'21.10 Busembatya-Butongole-24h'!J68)</f>
        <v>0</v>
      </c>
      <c r="K68" s="49">
        <f>AVERAGE('19.10 Busembatya-Butongole 24h'!K68,'21.10 Busembatya-Butongole-24h'!K68)</f>
        <v>1</v>
      </c>
      <c r="L68" s="49">
        <f>AVERAGE('19.10 Busembatya-Butongole 24h'!L68,'21.10 Busembatya-Butongole-24h'!L68)</f>
        <v>0</v>
      </c>
      <c r="M68" s="49">
        <f>AVERAGE('19.10 Busembatya-Butongole 24h'!M68,'21.10 Busembatya-Butongole-24h'!M68)</f>
        <v>1</v>
      </c>
      <c r="N68" s="49">
        <f>AVERAGE('19.10 Busembatya-Butongole 24h'!N68,'21.10 Busembatya-Butongole-24h'!N68)</f>
        <v>0</v>
      </c>
      <c r="O68" s="15">
        <f t="shared" si="35"/>
        <v>10</v>
      </c>
      <c r="P68" s="15">
        <f t="shared" si="36"/>
        <v>11</v>
      </c>
      <c r="R68" s="8"/>
      <c r="T68"/>
    </row>
    <row r="69" spans="2:20" ht="23.1" customHeight="1" x14ac:dyDescent="0.25">
      <c r="B69" s="23" t="s">
        <v>106</v>
      </c>
      <c r="C69" s="49">
        <f>AVERAGE('19.10 Busembatya-Butongole 24h'!C69,'21.10 Busembatya-Butongole-24h'!C69)</f>
        <v>1</v>
      </c>
      <c r="D69" s="49">
        <f>AVERAGE('19.10 Busembatya-Butongole 24h'!D69,'21.10 Busembatya-Butongole-24h'!D69)</f>
        <v>0</v>
      </c>
      <c r="E69" s="49">
        <f>AVERAGE('19.10 Busembatya-Butongole 24h'!E69,'21.10 Busembatya-Butongole-24h'!E69)</f>
        <v>0</v>
      </c>
      <c r="F69" s="49">
        <f>AVERAGE('19.10 Busembatya-Butongole 24h'!F69,'21.10 Busembatya-Butongole-24h'!F69)</f>
        <v>2</v>
      </c>
      <c r="G69" s="49">
        <f>AVERAGE('19.10 Busembatya-Butongole 24h'!G69,'21.10 Busembatya-Butongole-24h'!G69)</f>
        <v>0</v>
      </c>
      <c r="H69" s="49">
        <f>AVERAGE('19.10 Busembatya-Butongole 24h'!H69,'21.10 Busembatya-Butongole-24h'!H69)</f>
        <v>0</v>
      </c>
      <c r="I69" s="49">
        <f>AVERAGE('19.10 Busembatya-Butongole 24h'!I69,'21.10 Busembatya-Butongole-24h'!I69)</f>
        <v>3</v>
      </c>
      <c r="J69" s="49">
        <f>AVERAGE('19.10 Busembatya-Butongole 24h'!J69,'21.10 Busembatya-Butongole-24h'!J69)</f>
        <v>1</v>
      </c>
      <c r="K69" s="49">
        <f>AVERAGE('19.10 Busembatya-Butongole 24h'!K69,'21.10 Busembatya-Butongole-24h'!K69)</f>
        <v>1</v>
      </c>
      <c r="L69" s="49">
        <f>AVERAGE('19.10 Busembatya-Butongole 24h'!L69,'21.10 Busembatya-Butongole-24h'!L69)</f>
        <v>0</v>
      </c>
      <c r="M69" s="49">
        <f>AVERAGE('19.10 Busembatya-Butongole 24h'!M69,'21.10 Busembatya-Butongole-24h'!M69)</f>
        <v>2</v>
      </c>
      <c r="N69" s="49">
        <f>AVERAGE('19.10 Busembatya-Butongole 24h'!N69,'21.10 Busembatya-Butongole-24h'!N69)</f>
        <v>0</v>
      </c>
      <c r="O69" s="15">
        <f t="shared" si="35"/>
        <v>8</v>
      </c>
      <c r="P69" s="15">
        <f t="shared" si="36"/>
        <v>10</v>
      </c>
      <c r="R69" s="8"/>
      <c r="T69"/>
    </row>
    <row r="70" spans="2:20" ht="23.1" customHeight="1" x14ac:dyDescent="0.25">
      <c r="B70" s="23" t="s">
        <v>110</v>
      </c>
      <c r="C70" s="49">
        <f>AVERAGE('19.10 Busembatya-Butongole 24h'!C70,'21.10 Busembatya-Butongole-24h'!C70)</f>
        <v>3.5</v>
      </c>
      <c r="D70" s="49">
        <f>AVERAGE('19.10 Busembatya-Butongole 24h'!D70,'21.10 Busembatya-Butongole-24h'!D70)</f>
        <v>1</v>
      </c>
      <c r="E70" s="49">
        <f>AVERAGE('19.10 Busembatya-Butongole 24h'!E70,'21.10 Busembatya-Butongole-24h'!E70)</f>
        <v>0.5</v>
      </c>
      <c r="F70" s="49">
        <f>AVERAGE('19.10 Busembatya-Butongole 24h'!F70,'21.10 Busembatya-Butongole-24h'!F70)</f>
        <v>2</v>
      </c>
      <c r="G70" s="49">
        <f>AVERAGE('19.10 Busembatya-Butongole 24h'!G70,'21.10 Busembatya-Butongole-24h'!G70)</f>
        <v>0</v>
      </c>
      <c r="H70" s="49">
        <f>AVERAGE('19.10 Busembatya-Butongole 24h'!H70,'21.10 Busembatya-Butongole-24h'!H70)</f>
        <v>0</v>
      </c>
      <c r="I70" s="49">
        <f>AVERAGE('19.10 Busembatya-Butongole 24h'!I70,'21.10 Busembatya-Butongole-24h'!I70)</f>
        <v>2.5</v>
      </c>
      <c r="J70" s="49">
        <f>AVERAGE('19.10 Busembatya-Butongole 24h'!J70,'21.10 Busembatya-Butongole-24h'!J70)</f>
        <v>0.5</v>
      </c>
      <c r="K70" s="49">
        <f>AVERAGE('19.10 Busembatya-Butongole 24h'!K70,'21.10 Busembatya-Butongole-24h'!K70)</f>
        <v>1</v>
      </c>
      <c r="L70" s="49">
        <f>AVERAGE('19.10 Busembatya-Butongole 24h'!L70,'21.10 Busembatya-Butongole-24h'!L70)</f>
        <v>0</v>
      </c>
      <c r="M70" s="49">
        <f>AVERAGE('19.10 Busembatya-Butongole 24h'!M70,'21.10 Busembatya-Butongole-24h'!M70)</f>
        <v>0.5</v>
      </c>
      <c r="N70" s="49">
        <f>AVERAGE('19.10 Busembatya-Butongole 24h'!N70,'21.10 Busembatya-Butongole-24h'!N70)</f>
        <v>0</v>
      </c>
      <c r="O70" s="15">
        <f t="shared" si="35"/>
        <v>11</v>
      </c>
      <c r="P70" s="15">
        <f t="shared" si="36"/>
        <v>11.5</v>
      </c>
      <c r="R70" s="8"/>
      <c r="T70"/>
    </row>
    <row r="71" spans="2:20" ht="23.1" customHeight="1" x14ac:dyDescent="0.25">
      <c r="B71" s="23" t="s">
        <v>111</v>
      </c>
      <c r="C71" s="49">
        <f>AVERAGE('19.10 Busembatya-Butongole 24h'!C71,'21.10 Busembatya-Butongole-24h'!C71)</f>
        <v>1.5</v>
      </c>
      <c r="D71" s="49">
        <f>AVERAGE('19.10 Busembatya-Butongole 24h'!D71,'21.10 Busembatya-Butongole-24h'!D71)</f>
        <v>1.5</v>
      </c>
      <c r="E71" s="49">
        <f>AVERAGE('19.10 Busembatya-Butongole 24h'!E71,'21.10 Busembatya-Butongole-24h'!E71)</f>
        <v>0.5</v>
      </c>
      <c r="F71" s="49">
        <f>AVERAGE('19.10 Busembatya-Butongole 24h'!F71,'21.10 Busembatya-Butongole-24h'!F71)</f>
        <v>1</v>
      </c>
      <c r="G71" s="49">
        <f>AVERAGE('19.10 Busembatya-Butongole 24h'!G71,'21.10 Busembatya-Butongole-24h'!G71)</f>
        <v>0</v>
      </c>
      <c r="H71" s="49">
        <f>AVERAGE('19.10 Busembatya-Butongole 24h'!H71,'21.10 Busembatya-Butongole-24h'!H71)</f>
        <v>0</v>
      </c>
      <c r="I71" s="49">
        <f>AVERAGE('19.10 Busembatya-Butongole 24h'!I71,'21.10 Busembatya-Butongole-24h'!I71)</f>
        <v>2.5</v>
      </c>
      <c r="J71" s="49">
        <f>AVERAGE('19.10 Busembatya-Butongole 24h'!J71,'21.10 Busembatya-Butongole-24h'!J71)</f>
        <v>1.5</v>
      </c>
      <c r="K71" s="49">
        <f>AVERAGE('19.10 Busembatya-Butongole 24h'!K71,'21.10 Busembatya-Butongole-24h'!K71)</f>
        <v>1.5</v>
      </c>
      <c r="L71" s="49">
        <f>AVERAGE('19.10 Busembatya-Butongole 24h'!L71,'21.10 Busembatya-Butongole-24h'!L71)</f>
        <v>0</v>
      </c>
      <c r="M71" s="49">
        <f>AVERAGE('19.10 Busembatya-Butongole 24h'!M71,'21.10 Busembatya-Butongole-24h'!M71)</f>
        <v>2</v>
      </c>
      <c r="N71" s="49">
        <f>AVERAGE('19.10 Busembatya-Butongole 24h'!N71,'21.10 Busembatya-Butongole-24h'!N71)</f>
        <v>0</v>
      </c>
      <c r="O71" s="15">
        <f t="shared" si="35"/>
        <v>10</v>
      </c>
      <c r="P71" s="15">
        <f t="shared" si="36"/>
        <v>12</v>
      </c>
      <c r="R71" s="8"/>
      <c r="T71"/>
    </row>
    <row r="72" spans="2:20" ht="23.1" customHeight="1" x14ac:dyDescent="0.25">
      <c r="B72" s="23" t="s">
        <v>112</v>
      </c>
      <c r="C72" s="49">
        <f>AVERAGE('19.10 Busembatya-Butongole 24h'!C72,'21.10 Busembatya-Butongole-24h'!C72)</f>
        <v>1</v>
      </c>
      <c r="D72" s="49">
        <f>AVERAGE('19.10 Busembatya-Butongole 24h'!D72,'21.10 Busembatya-Butongole-24h'!D72)</f>
        <v>1</v>
      </c>
      <c r="E72" s="49">
        <f>AVERAGE('19.10 Busembatya-Butongole 24h'!E72,'21.10 Busembatya-Butongole-24h'!E72)</f>
        <v>0</v>
      </c>
      <c r="F72" s="49">
        <f>AVERAGE('19.10 Busembatya-Butongole 24h'!F72,'21.10 Busembatya-Butongole-24h'!F72)</f>
        <v>3.5</v>
      </c>
      <c r="G72" s="49">
        <f>AVERAGE('19.10 Busembatya-Butongole 24h'!G72,'21.10 Busembatya-Butongole-24h'!G72)</f>
        <v>0</v>
      </c>
      <c r="H72" s="49">
        <f>AVERAGE('19.10 Busembatya-Butongole 24h'!H72,'21.10 Busembatya-Butongole-24h'!H72)</f>
        <v>0</v>
      </c>
      <c r="I72" s="49">
        <f>AVERAGE('19.10 Busembatya-Butongole 24h'!I72,'21.10 Busembatya-Butongole-24h'!I72)</f>
        <v>1</v>
      </c>
      <c r="J72" s="49">
        <f>AVERAGE('19.10 Busembatya-Butongole 24h'!J72,'21.10 Busembatya-Butongole-24h'!J72)</f>
        <v>0</v>
      </c>
      <c r="K72" s="49">
        <f>AVERAGE('19.10 Busembatya-Butongole 24h'!K72,'21.10 Busembatya-Butongole-24h'!K72)</f>
        <v>0</v>
      </c>
      <c r="L72" s="49">
        <f>AVERAGE('19.10 Busembatya-Butongole 24h'!L72,'21.10 Busembatya-Butongole-24h'!L72)</f>
        <v>0</v>
      </c>
      <c r="M72" s="49">
        <f>AVERAGE('19.10 Busembatya-Butongole 24h'!M72,'21.10 Busembatya-Butongole-24h'!M72)</f>
        <v>1.5</v>
      </c>
      <c r="N72" s="49">
        <f>AVERAGE('19.10 Busembatya-Butongole 24h'!N72,'21.10 Busembatya-Butongole-24h'!N72)</f>
        <v>0</v>
      </c>
      <c r="O72" s="15">
        <f t="shared" si="35"/>
        <v>6.5</v>
      </c>
      <c r="P72" s="15">
        <f t="shared" si="36"/>
        <v>8</v>
      </c>
      <c r="R72" s="8"/>
      <c r="T72"/>
    </row>
    <row r="73" spans="2:20" ht="23.1" customHeight="1" x14ac:dyDescent="0.25">
      <c r="B73" s="23" t="s">
        <v>113</v>
      </c>
      <c r="C73" s="49">
        <f>AVERAGE('19.10 Busembatya-Butongole 24h'!C73,'21.10 Busembatya-Butongole-24h'!C73)</f>
        <v>0.5</v>
      </c>
      <c r="D73" s="49">
        <f>AVERAGE('19.10 Busembatya-Butongole 24h'!D73,'21.10 Busembatya-Butongole-24h'!D73)</f>
        <v>0</v>
      </c>
      <c r="E73" s="49">
        <f>AVERAGE('19.10 Busembatya-Butongole 24h'!E73,'21.10 Busembatya-Butongole-24h'!E73)</f>
        <v>1</v>
      </c>
      <c r="F73" s="49">
        <f>AVERAGE('19.10 Busembatya-Butongole 24h'!F73,'21.10 Busembatya-Butongole-24h'!F73)</f>
        <v>1.5</v>
      </c>
      <c r="G73" s="49">
        <f>AVERAGE('19.10 Busembatya-Butongole 24h'!G73,'21.10 Busembatya-Butongole-24h'!G73)</f>
        <v>0.5</v>
      </c>
      <c r="H73" s="49">
        <f>AVERAGE('19.10 Busembatya-Butongole 24h'!H73,'21.10 Busembatya-Butongole-24h'!H73)</f>
        <v>0</v>
      </c>
      <c r="I73" s="49">
        <f>AVERAGE('19.10 Busembatya-Butongole 24h'!I73,'21.10 Busembatya-Butongole-24h'!I73)</f>
        <v>3</v>
      </c>
      <c r="J73" s="49">
        <f>AVERAGE('19.10 Busembatya-Butongole 24h'!J73,'21.10 Busembatya-Butongole-24h'!J73)</f>
        <v>0</v>
      </c>
      <c r="K73" s="49">
        <f>AVERAGE('19.10 Busembatya-Butongole 24h'!K73,'21.10 Busembatya-Butongole-24h'!K73)</f>
        <v>0.5</v>
      </c>
      <c r="L73" s="49">
        <f>AVERAGE('19.10 Busembatya-Butongole 24h'!L73,'21.10 Busembatya-Butongole-24h'!L73)</f>
        <v>0</v>
      </c>
      <c r="M73" s="49">
        <f>AVERAGE('19.10 Busembatya-Butongole 24h'!M73,'21.10 Busembatya-Butongole-24h'!M73)</f>
        <v>1</v>
      </c>
      <c r="N73" s="49">
        <f>AVERAGE('19.10 Busembatya-Butongole 24h'!N73,'21.10 Busembatya-Butongole-24h'!N73)</f>
        <v>0</v>
      </c>
      <c r="O73" s="15">
        <f t="shared" si="35"/>
        <v>7</v>
      </c>
      <c r="P73" s="15">
        <f t="shared" si="36"/>
        <v>8</v>
      </c>
      <c r="R73" s="8"/>
      <c r="T73"/>
    </row>
    <row r="74" spans="2:20" ht="23.1" customHeight="1" x14ac:dyDescent="0.25">
      <c r="B74" s="23" t="s">
        <v>114</v>
      </c>
      <c r="C74" s="49">
        <f>AVERAGE('19.10 Busembatya-Butongole 24h'!C74,'21.10 Busembatya-Butongole-24h'!C74)</f>
        <v>1</v>
      </c>
      <c r="D74" s="49">
        <f>AVERAGE('19.10 Busembatya-Butongole 24h'!D74,'21.10 Busembatya-Butongole-24h'!D74)</f>
        <v>0</v>
      </c>
      <c r="E74" s="49">
        <f>AVERAGE('19.10 Busembatya-Butongole 24h'!E74,'21.10 Busembatya-Butongole-24h'!E74)</f>
        <v>1</v>
      </c>
      <c r="F74" s="49">
        <f>AVERAGE('19.10 Busembatya-Butongole 24h'!F74,'21.10 Busembatya-Butongole-24h'!F74)</f>
        <v>0.5</v>
      </c>
      <c r="G74" s="49">
        <f>AVERAGE('19.10 Busembatya-Butongole 24h'!G74,'21.10 Busembatya-Butongole-24h'!G74)</f>
        <v>0</v>
      </c>
      <c r="H74" s="49">
        <f>AVERAGE('19.10 Busembatya-Butongole 24h'!H74,'21.10 Busembatya-Butongole-24h'!H74)</f>
        <v>1</v>
      </c>
      <c r="I74" s="49">
        <f>AVERAGE('19.10 Busembatya-Butongole 24h'!I74,'21.10 Busembatya-Butongole-24h'!I74)</f>
        <v>2.5</v>
      </c>
      <c r="J74" s="49">
        <f>AVERAGE('19.10 Busembatya-Butongole 24h'!J74,'21.10 Busembatya-Butongole-24h'!J74)</f>
        <v>0</v>
      </c>
      <c r="K74" s="49">
        <f>AVERAGE('19.10 Busembatya-Butongole 24h'!K74,'21.10 Busembatya-Butongole-24h'!K74)</f>
        <v>0</v>
      </c>
      <c r="L74" s="49">
        <f>AVERAGE('19.10 Busembatya-Butongole 24h'!L74,'21.10 Busembatya-Butongole-24h'!L74)</f>
        <v>0</v>
      </c>
      <c r="M74" s="49">
        <f>AVERAGE('19.10 Busembatya-Butongole 24h'!M74,'21.10 Busembatya-Butongole-24h'!M74)</f>
        <v>0</v>
      </c>
      <c r="N74" s="49">
        <f>AVERAGE('19.10 Busembatya-Butongole 24h'!N74,'21.10 Busembatya-Butongole-24h'!N74)</f>
        <v>0</v>
      </c>
      <c r="O74" s="15">
        <f t="shared" si="35"/>
        <v>6</v>
      </c>
      <c r="P74" s="15">
        <f t="shared" si="36"/>
        <v>6</v>
      </c>
      <c r="R74" s="8"/>
      <c r="T74"/>
    </row>
    <row r="75" spans="2:20" ht="23.1" customHeight="1" x14ac:dyDescent="0.25">
      <c r="B75" s="23" t="s">
        <v>115</v>
      </c>
      <c r="C75" s="49">
        <f>AVERAGE('19.10 Busembatya-Butongole 24h'!C75,'21.10 Busembatya-Butongole-24h'!C75)</f>
        <v>1</v>
      </c>
      <c r="D75" s="49">
        <f>AVERAGE('19.10 Busembatya-Butongole 24h'!D75,'21.10 Busembatya-Butongole-24h'!D75)</f>
        <v>1</v>
      </c>
      <c r="E75" s="49">
        <f>AVERAGE('19.10 Busembatya-Butongole 24h'!E75,'21.10 Busembatya-Butongole-24h'!E75)</f>
        <v>0</v>
      </c>
      <c r="F75" s="49">
        <f>AVERAGE('19.10 Busembatya-Butongole 24h'!F75,'21.10 Busembatya-Butongole-24h'!F75)</f>
        <v>0</v>
      </c>
      <c r="G75" s="49">
        <f>AVERAGE('19.10 Busembatya-Butongole 24h'!G75,'21.10 Busembatya-Butongole-24h'!G75)</f>
        <v>0</v>
      </c>
      <c r="H75" s="49">
        <f>AVERAGE('19.10 Busembatya-Butongole 24h'!H75,'21.10 Busembatya-Butongole-24h'!H75)</f>
        <v>1</v>
      </c>
      <c r="I75" s="49">
        <f>AVERAGE('19.10 Busembatya-Butongole 24h'!I75,'21.10 Busembatya-Butongole-24h'!I75)</f>
        <v>1</v>
      </c>
      <c r="J75" s="49">
        <f>AVERAGE('19.10 Busembatya-Butongole 24h'!J75,'21.10 Busembatya-Butongole-24h'!J75)</f>
        <v>0</v>
      </c>
      <c r="K75" s="49">
        <f>AVERAGE('19.10 Busembatya-Butongole 24h'!K75,'21.10 Busembatya-Butongole-24h'!K75)</f>
        <v>0</v>
      </c>
      <c r="L75" s="49">
        <f>AVERAGE('19.10 Busembatya-Butongole 24h'!L75,'21.10 Busembatya-Butongole-24h'!L75)</f>
        <v>0</v>
      </c>
      <c r="M75" s="49">
        <f>AVERAGE('19.10 Busembatya-Butongole 24h'!M75,'21.10 Busembatya-Butongole-24h'!M75)</f>
        <v>0</v>
      </c>
      <c r="N75" s="49">
        <f>AVERAGE('19.10 Busembatya-Butongole 24h'!N75,'21.10 Busembatya-Butongole-24h'!N75)</f>
        <v>0</v>
      </c>
      <c r="O75" s="15">
        <f t="shared" si="35"/>
        <v>4</v>
      </c>
      <c r="P75" s="15">
        <f t="shared" si="36"/>
        <v>4</v>
      </c>
      <c r="R75" s="8"/>
      <c r="T75"/>
    </row>
    <row r="76" spans="2:20" ht="23.1" customHeight="1" x14ac:dyDescent="0.25">
      <c r="B76" s="23" t="s">
        <v>116</v>
      </c>
      <c r="C76" s="49">
        <f>AVERAGE('19.10 Busembatya-Butongole 24h'!C76,'21.10 Busembatya-Butongole-24h'!C76)</f>
        <v>0.5</v>
      </c>
      <c r="D76" s="49">
        <f>AVERAGE('19.10 Busembatya-Butongole 24h'!D76,'21.10 Busembatya-Butongole-24h'!D76)</f>
        <v>0</v>
      </c>
      <c r="E76" s="49">
        <f>AVERAGE('19.10 Busembatya-Butongole 24h'!E76,'21.10 Busembatya-Butongole-24h'!E76)</f>
        <v>0</v>
      </c>
      <c r="F76" s="49">
        <f>AVERAGE('19.10 Busembatya-Butongole 24h'!F76,'21.10 Busembatya-Butongole-24h'!F76)</f>
        <v>1.5</v>
      </c>
      <c r="G76" s="49">
        <f>AVERAGE('19.10 Busembatya-Butongole 24h'!G76,'21.10 Busembatya-Butongole-24h'!G76)</f>
        <v>1</v>
      </c>
      <c r="H76" s="49">
        <f>AVERAGE('19.10 Busembatya-Butongole 24h'!H76,'21.10 Busembatya-Butongole-24h'!H76)</f>
        <v>0</v>
      </c>
      <c r="I76" s="49">
        <f>AVERAGE('19.10 Busembatya-Butongole 24h'!I76,'21.10 Busembatya-Butongole-24h'!I76)</f>
        <v>0.5</v>
      </c>
      <c r="J76" s="49">
        <f>AVERAGE('19.10 Busembatya-Butongole 24h'!J76,'21.10 Busembatya-Butongole-24h'!J76)</f>
        <v>0</v>
      </c>
      <c r="K76" s="49">
        <f>AVERAGE('19.10 Busembatya-Butongole 24h'!K76,'21.10 Busembatya-Butongole-24h'!K76)</f>
        <v>0.5</v>
      </c>
      <c r="L76" s="49">
        <f>AVERAGE('19.10 Busembatya-Butongole 24h'!L76,'21.10 Busembatya-Butongole-24h'!L76)</f>
        <v>0</v>
      </c>
      <c r="M76" s="49">
        <f>AVERAGE('19.10 Busembatya-Butongole 24h'!M76,'21.10 Busembatya-Butongole-24h'!M76)</f>
        <v>0</v>
      </c>
      <c r="N76" s="49">
        <f>AVERAGE('19.10 Busembatya-Butongole 24h'!N76,'21.10 Busembatya-Butongole-24h'!N76)</f>
        <v>0</v>
      </c>
      <c r="O76" s="15">
        <f t="shared" si="35"/>
        <v>4</v>
      </c>
      <c r="P76" s="15">
        <f t="shared" si="36"/>
        <v>4</v>
      </c>
      <c r="R76" s="8"/>
      <c r="T76"/>
    </row>
    <row r="77" spans="2:20" ht="23.1" customHeight="1" x14ac:dyDescent="0.25">
      <c r="B77" s="23" t="s">
        <v>117</v>
      </c>
      <c r="C77" s="49">
        <f>AVERAGE('19.10 Busembatya-Butongole 24h'!C77,'21.10 Busembatya-Butongole-24h'!C77)</f>
        <v>1</v>
      </c>
      <c r="D77" s="49">
        <f>AVERAGE('19.10 Busembatya-Butongole 24h'!D77,'21.10 Busembatya-Butongole-24h'!D77)</f>
        <v>0.5</v>
      </c>
      <c r="E77" s="49">
        <f>AVERAGE('19.10 Busembatya-Butongole 24h'!E77,'21.10 Busembatya-Butongole-24h'!E77)</f>
        <v>0</v>
      </c>
      <c r="F77" s="49">
        <f>AVERAGE('19.10 Busembatya-Butongole 24h'!F77,'21.10 Busembatya-Butongole-24h'!F77)</f>
        <v>0</v>
      </c>
      <c r="G77" s="49">
        <f>AVERAGE('19.10 Busembatya-Butongole 24h'!G77,'21.10 Busembatya-Butongole-24h'!G77)</f>
        <v>0</v>
      </c>
      <c r="H77" s="49">
        <f>AVERAGE('19.10 Busembatya-Butongole 24h'!H77,'21.10 Busembatya-Butongole-24h'!H77)</f>
        <v>0</v>
      </c>
      <c r="I77" s="49">
        <f>AVERAGE('19.10 Busembatya-Butongole 24h'!I77,'21.10 Busembatya-Butongole-24h'!I77)</f>
        <v>0.5</v>
      </c>
      <c r="J77" s="49">
        <f>AVERAGE('19.10 Busembatya-Butongole 24h'!J77,'21.10 Busembatya-Butongole-24h'!J77)</f>
        <v>0</v>
      </c>
      <c r="K77" s="49">
        <f>AVERAGE('19.10 Busembatya-Butongole 24h'!K77,'21.10 Busembatya-Butongole-24h'!K77)</f>
        <v>0</v>
      </c>
      <c r="L77" s="49">
        <f>AVERAGE('19.10 Busembatya-Butongole 24h'!L77,'21.10 Busembatya-Butongole-24h'!L77)</f>
        <v>0</v>
      </c>
      <c r="M77" s="49">
        <f>AVERAGE('19.10 Busembatya-Butongole 24h'!M77,'21.10 Busembatya-Butongole-24h'!M77)</f>
        <v>0.5</v>
      </c>
      <c r="N77" s="49">
        <f>AVERAGE('19.10 Busembatya-Butongole 24h'!N77,'21.10 Busembatya-Butongole-24h'!N77)</f>
        <v>0</v>
      </c>
      <c r="O77" s="15">
        <f t="shared" si="35"/>
        <v>2</v>
      </c>
      <c r="P77" s="15">
        <f t="shared" si="36"/>
        <v>2.5</v>
      </c>
      <c r="R77" s="8"/>
      <c r="T77"/>
    </row>
    <row r="78" spans="2:20" ht="23.1" customHeight="1" x14ac:dyDescent="0.25">
      <c r="B78" s="24" t="s">
        <v>118</v>
      </c>
      <c r="C78" s="49">
        <f>AVERAGE('19.10 Busembatya-Butongole 24h'!C78,'21.10 Busembatya-Butongole-24h'!C78)</f>
        <v>1</v>
      </c>
      <c r="D78" s="49">
        <f>AVERAGE('19.10 Busembatya-Butongole 24h'!D78,'21.10 Busembatya-Butongole-24h'!D78)</f>
        <v>0.5</v>
      </c>
      <c r="E78" s="49">
        <f>AVERAGE('19.10 Busembatya-Butongole 24h'!E78,'21.10 Busembatya-Butongole-24h'!E78)</f>
        <v>0.5</v>
      </c>
      <c r="F78" s="49">
        <f>AVERAGE('19.10 Busembatya-Butongole 24h'!F78,'21.10 Busembatya-Butongole-24h'!F78)</f>
        <v>0</v>
      </c>
      <c r="G78" s="49">
        <f>AVERAGE('19.10 Busembatya-Butongole 24h'!G78,'21.10 Busembatya-Butongole-24h'!G78)</f>
        <v>0</v>
      </c>
      <c r="H78" s="49">
        <f>AVERAGE('19.10 Busembatya-Butongole 24h'!H78,'21.10 Busembatya-Butongole-24h'!H78)</f>
        <v>1.5</v>
      </c>
      <c r="I78" s="49">
        <f>AVERAGE('19.10 Busembatya-Butongole 24h'!I78,'21.10 Busembatya-Butongole-24h'!I78)</f>
        <v>0.5</v>
      </c>
      <c r="J78" s="49">
        <f>AVERAGE('19.10 Busembatya-Butongole 24h'!J78,'21.10 Busembatya-Butongole-24h'!J78)</f>
        <v>0</v>
      </c>
      <c r="K78" s="49">
        <f>AVERAGE('19.10 Busembatya-Butongole 24h'!K78,'21.10 Busembatya-Butongole-24h'!K78)</f>
        <v>0</v>
      </c>
      <c r="L78" s="49">
        <f>AVERAGE('19.10 Busembatya-Butongole 24h'!L78,'21.10 Busembatya-Butongole-24h'!L78)</f>
        <v>0</v>
      </c>
      <c r="M78" s="49">
        <f>AVERAGE('19.10 Busembatya-Butongole 24h'!M78,'21.10 Busembatya-Butongole-24h'!M78)</f>
        <v>1</v>
      </c>
      <c r="N78" s="49">
        <f>AVERAGE('19.10 Busembatya-Butongole 24h'!N78,'21.10 Busembatya-Butongole-24h'!N78)</f>
        <v>0</v>
      </c>
      <c r="O78" s="15">
        <f t="shared" si="35"/>
        <v>4</v>
      </c>
      <c r="P78" s="15">
        <f t="shared" si="36"/>
        <v>5</v>
      </c>
      <c r="R78" s="8"/>
      <c r="T78"/>
    </row>
    <row r="79" spans="2:20" ht="23.1" customHeight="1" x14ac:dyDescent="0.25">
      <c r="B79" s="23" t="s">
        <v>119</v>
      </c>
      <c r="C79" s="49">
        <f>AVERAGE('19.10 Busembatya-Butongole 24h'!C79,'21.10 Busembatya-Butongole-24h'!C79)</f>
        <v>1</v>
      </c>
      <c r="D79" s="49">
        <f>AVERAGE('19.10 Busembatya-Butongole 24h'!D79,'21.10 Busembatya-Butongole-24h'!D79)</f>
        <v>0.5</v>
      </c>
      <c r="E79" s="49">
        <f>AVERAGE('19.10 Busembatya-Butongole 24h'!E79,'21.10 Busembatya-Butongole-24h'!E79)</f>
        <v>0</v>
      </c>
      <c r="F79" s="49">
        <f>AVERAGE('19.10 Busembatya-Butongole 24h'!F79,'21.10 Busembatya-Butongole-24h'!F79)</f>
        <v>0</v>
      </c>
      <c r="G79" s="49">
        <f>AVERAGE('19.10 Busembatya-Butongole 24h'!G79,'21.10 Busembatya-Butongole-24h'!G79)</f>
        <v>0</v>
      </c>
      <c r="H79" s="49">
        <f>AVERAGE('19.10 Busembatya-Butongole 24h'!H79,'21.10 Busembatya-Butongole-24h'!H79)</f>
        <v>0.5</v>
      </c>
      <c r="I79" s="49">
        <f>AVERAGE('19.10 Busembatya-Butongole 24h'!I79,'21.10 Busembatya-Butongole-24h'!I79)</f>
        <v>1.5</v>
      </c>
      <c r="J79" s="49">
        <f>AVERAGE('19.10 Busembatya-Butongole 24h'!J79,'21.10 Busembatya-Butongole-24h'!J79)</f>
        <v>0</v>
      </c>
      <c r="K79" s="49">
        <f>AVERAGE('19.10 Busembatya-Butongole 24h'!K79,'21.10 Busembatya-Butongole-24h'!K79)</f>
        <v>0.5</v>
      </c>
      <c r="L79" s="49">
        <f>AVERAGE('19.10 Busembatya-Butongole 24h'!L79,'21.10 Busembatya-Butongole-24h'!L79)</f>
        <v>0</v>
      </c>
      <c r="M79" s="49">
        <f>AVERAGE('19.10 Busembatya-Butongole 24h'!M79,'21.10 Busembatya-Butongole-24h'!M79)</f>
        <v>0.5</v>
      </c>
      <c r="N79" s="49">
        <f>AVERAGE('19.10 Busembatya-Butongole 24h'!N79,'21.10 Busembatya-Butongole-24h'!N79)</f>
        <v>0</v>
      </c>
      <c r="O79" s="15">
        <f t="shared" si="35"/>
        <v>4</v>
      </c>
      <c r="P79" s="15">
        <f t="shared" si="36"/>
        <v>4.5</v>
      </c>
      <c r="R79" s="8"/>
      <c r="T79"/>
    </row>
    <row r="80" spans="2:20" ht="23.1" customHeight="1" x14ac:dyDescent="0.25">
      <c r="B80" s="25" t="s">
        <v>120</v>
      </c>
      <c r="C80" s="49">
        <f>AVERAGE('19.10 Busembatya-Butongole 24h'!C80,'21.10 Busembatya-Butongole-24h'!C80)</f>
        <v>0</v>
      </c>
      <c r="D80" s="49">
        <f>AVERAGE('19.10 Busembatya-Butongole 24h'!D80,'21.10 Busembatya-Butongole-24h'!D80)</f>
        <v>0</v>
      </c>
      <c r="E80" s="49">
        <f>AVERAGE('19.10 Busembatya-Butongole 24h'!E80,'21.10 Busembatya-Butongole-24h'!E80)</f>
        <v>0.5</v>
      </c>
      <c r="F80" s="49">
        <f>AVERAGE('19.10 Busembatya-Butongole 24h'!F80,'21.10 Busembatya-Butongole-24h'!F80)</f>
        <v>0</v>
      </c>
      <c r="G80" s="49">
        <f>AVERAGE('19.10 Busembatya-Butongole 24h'!G80,'21.10 Busembatya-Butongole-24h'!G80)</f>
        <v>0</v>
      </c>
      <c r="H80" s="49">
        <f>AVERAGE('19.10 Busembatya-Butongole 24h'!H80,'21.10 Busembatya-Butongole-24h'!H80)</f>
        <v>2</v>
      </c>
      <c r="I80" s="49">
        <f>AVERAGE('19.10 Busembatya-Butongole 24h'!I80,'21.10 Busembatya-Butongole-24h'!I80)</f>
        <v>0.5</v>
      </c>
      <c r="J80" s="49">
        <f>AVERAGE('19.10 Busembatya-Butongole 24h'!J80,'21.10 Busembatya-Butongole-24h'!J80)</f>
        <v>0</v>
      </c>
      <c r="K80" s="49">
        <f>AVERAGE('19.10 Busembatya-Butongole 24h'!K80,'21.10 Busembatya-Butongole-24h'!K80)</f>
        <v>0</v>
      </c>
      <c r="L80" s="49">
        <f>AVERAGE('19.10 Busembatya-Butongole 24h'!L80,'21.10 Busembatya-Butongole-24h'!L80)</f>
        <v>0.5</v>
      </c>
      <c r="M80" s="49">
        <f>AVERAGE('19.10 Busembatya-Butongole 24h'!M80,'21.10 Busembatya-Butongole-24h'!M80)</f>
        <v>0.5</v>
      </c>
      <c r="N80" s="49">
        <f>AVERAGE('19.10 Busembatya-Butongole 24h'!N80,'21.10 Busembatya-Butongole-24h'!N80)</f>
        <v>0</v>
      </c>
      <c r="O80" s="15">
        <f t="shared" si="35"/>
        <v>3.5</v>
      </c>
      <c r="P80" s="15">
        <f t="shared" si="36"/>
        <v>4</v>
      </c>
      <c r="R80" s="8"/>
      <c r="T80"/>
    </row>
    <row r="81" spans="2:20" ht="23.1" customHeight="1" x14ac:dyDescent="0.25">
      <c r="B81" s="23" t="s">
        <v>121</v>
      </c>
      <c r="C81" s="49">
        <f>AVERAGE('19.10 Busembatya-Butongole 24h'!C81,'21.10 Busembatya-Butongole-24h'!C81)</f>
        <v>0.5</v>
      </c>
      <c r="D81" s="49">
        <f>AVERAGE('19.10 Busembatya-Butongole 24h'!D81,'21.10 Busembatya-Butongole-24h'!D81)</f>
        <v>0</v>
      </c>
      <c r="E81" s="49">
        <f>AVERAGE('19.10 Busembatya-Butongole 24h'!E81,'21.10 Busembatya-Butongole-24h'!E81)</f>
        <v>0</v>
      </c>
      <c r="F81" s="49">
        <f>AVERAGE('19.10 Busembatya-Butongole 24h'!F81,'21.10 Busembatya-Butongole-24h'!F81)</f>
        <v>1</v>
      </c>
      <c r="G81" s="49">
        <f>AVERAGE('19.10 Busembatya-Butongole 24h'!G81,'21.10 Busembatya-Butongole-24h'!G81)</f>
        <v>0.5</v>
      </c>
      <c r="H81" s="49">
        <f>AVERAGE('19.10 Busembatya-Butongole 24h'!H81,'21.10 Busembatya-Butongole-24h'!H81)</f>
        <v>0.5</v>
      </c>
      <c r="I81" s="49">
        <f>AVERAGE('19.10 Busembatya-Butongole 24h'!I81,'21.10 Busembatya-Butongole-24h'!I81)</f>
        <v>2.5</v>
      </c>
      <c r="J81" s="49">
        <f>AVERAGE('19.10 Busembatya-Butongole 24h'!J81,'21.10 Busembatya-Butongole-24h'!J81)</f>
        <v>0</v>
      </c>
      <c r="K81" s="49">
        <f>AVERAGE('19.10 Busembatya-Butongole 24h'!K81,'21.10 Busembatya-Butongole-24h'!K81)</f>
        <v>0</v>
      </c>
      <c r="L81" s="49">
        <f>AVERAGE('19.10 Busembatya-Butongole 24h'!L81,'21.10 Busembatya-Butongole-24h'!L81)</f>
        <v>0</v>
      </c>
      <c r="M81" s="49">
        <f>AVERAGE('19.10 Busembatya-Butongole 24h'!M81,'21.10 Busembatya-Butongole-24h'!M81)</f>
        <v>0.5</v>
      </c>
      <c r="N81" s="49">
        <f>AVERAGE('19.10 Busembatya-Butongole 24h'!N81,'21.10 Busembatya-Butongole-24h'!N81)</f>
        <v>0</v>
      </c>
      <c r="O81" s="15">
        <f t="shared" si="35"/>
        <v>5</v>
      </c>
      <c r="P81" s="15">
        <f t="shared" si="36"/>
        <v>5.5</v>
      </c>
      <c r="R81" s="8"/>
      <c r="T81"/>
    </row>
    <row r="82" spans="2:20" ht="23.1" customHeight="1" x14ac:dyDescent="0.25">
      <c r="B82" s="24" t="s">
        <v>122</v>
      </c>
      <c r="C82" s="49">
        <f>AVERAGE('19.10 Busembatya-Butongole 24h'!C82,'21.10 Busembatya-Butongole-24h'!C82)</f>
        <v>0</v>
      </c>
      <c r="D82" s="49">
        <f>AVERAGE('19.10 Busembatya-Butongole 24h'!D82,'21.10 Busembatya-Butongole-24h'!D82)</f>
        <v>0</v>
      </c>
      <c r="E82" s="49">
        <f>AVERAGE('19.10 Busembatya-Butongole 24h'!E82,'21.10 Busembatya-Butongole-24h'!E82)</f>
        <v>0</v>
      </c>
      <c r="F82" s="49">
        <f>AVERAGE('19.10 Busembatya-Butongole 24h'!F82,'21.10 Busembatya-Butongole-24h'!F82)</f>
        <v>0</v>
      </c>
      <c r="G82" s="49">
        <f>AVERAGE('19.10 Busembatya-Butongole 24h'!G82,'21.10 Busembatya-Butongole-24h'!G82)</f>
        <v>0</v>
      </c>
      <c r="H82" s="49">
        <f>AVERAGE('19.10 Busembatya-Butongole 24h'!H82,'21.10 Busembatya-Butongole-24h'!H82)</f>
        <v>0.5</v>
      </c>
      <c r="I82" s="49">
        <f>AVERAGE('19.10 Busembatya-Butongole 24h'!I82,'21.10 Busembatya-Butongole-24h'!I82)</f>
        <v>2.5</v>
      </c>
      <c r="J82" s="49">
        <f>AVERAGE('19.10 Busembatya-Butongole 24h'!J82,'21.10 Busembatya-Butongole-24h'!J82)</f>
        <v>0</v>
      </c>
      <c r="K82" s="49">
        <f>AVERAGE('19.10 Busembatya-Butongole 24h'!K82,'21.10 Busembatya-Butongole-24h'!K82)</f>
        <v>1</v>
      </c>
      <c r="L82" s="49">
        <f>AVERAGE('19.10 Busembatya-Butongole 24h'!L82,'21.10 Busembatya-Butongole-24h'!L82)</f>
        <v>0</v>
      </c>
      <c r="M82" s="49">
        <f>AVERAGE('19.10 Busembatya-Butongole 24h'!M82,'21.10 Busembatya-Butongole-24h'!M82)</f>
        <v>0</v>
      </c>
      <c r="N82" s="49">
        <f>AVERAGE('19.10 Busembatya-Butongole 24h'!N82,'21.10 Busembatya-Butongole-24h'!N82)</f>
        <v>0</v>
      </c>
      <c r="O82" s="15">
        <f t="shared" si="35"/>
        <v>4</v>
      </c>
      <c r="P82" s="15">
        <f t="shared" si="36"/>
        <v>4</v>
      </c>
      <c r="R82" s="8"/>
      <c r="T82"/>
    </row>
    <row r="83" spans="2:20" ht="23.1" customHeight="1" x14ac:dyDescent="0.25">
      <c r="B83" s="23" t="s">
        <v>123</v>
      </c>
      <c r="C83" s="49">
        <f>AVERAGE('19.10 Busembatya-Butongole 24h'!C83,'21.10 Busembatya-Butongole-24h'!C83)</f>
        <v>0.5</v>
      </c>
      <c r="D83" s="49">
        <f>AVERAGE('19.10 Busembatya-Butongole 24h'!D83,'21.10 Busembatya-Butongole-24h'!D83)</f>
        <v>0</v>
      </c>
      <c r="E83" s="49">
        <f>AVERAGE('19.10 Busembatya-Butongole 24h'!E83,'21.10 Busembatya-Butongole-24h'!E83)</f>
        <v>0</v>
      </c>
      <c r="F83" s="49">
        <f>AVERAGE('19.10 Busembatya-Butongole 24h'!F83,'21.10 Busembatya-Butongole-24h'!F83)</f>
        <v>0</v>
      </c>
      <c r="G83" s="49">
        <f>AVERAGE('19.10 Busembatya-Butongole 24h'!G83,'21.10 Busembatya-Butongole-24h'!G83)</f>
        <v>0</v>
      </c>
      <c r="H83" s="49">
        <f>AVERAGE('19.10 Busembatya-Butongole 24h'!H83,'21.10 Busembatya-Butongole-24h'!H83)</f>
        <v>0.5</v>
      </c>
      <c r="I83" s="49">
        <f>AVERAGE('19.10 Busembatya-Butongole 24h'!I83,'21.10 Busembatya-Butongole-24h'!I83)</f>
        <v>0</v>
      </c>
      <c r="J83" s="49">
        <f>AVERAGE('19.10 Busembatya-Butongole 24h'!J83,'21.10 Busembatya-Butongole-24h'!J83)</f>
        <v>0</v>
      </c>
      <c r="K83" s="49">
        <f>AVERAGE('19.10 Busembatya-Butongole 24h'!K83,'21.10 Busembatya-Butongole-24h'!K83)</f>
        <v>1.5</v>
      </c>
      <c r="L83" s="49">
        <f>AVERAGE('19.10 Busembatya-Butongole 24h'!L83,'21.10 Busembatya-Butongole-24h'!L83)</f>
        <v>0</v>
      </c>
      <c r="M83" s="49">
        <f>AVERAGE('19.10 Busembatya-Butongole 24h'!M83,'21.10 Busembatya-Butongole-24h'!M83)</f>
        <v>0</v>
      </c>
      <c r="N83" s="49">
        <f>AVERAGE('19.10 Busembatya-Butongole 24h'!N83,'21.10 Busembatya-Butongole-24h'!N83)</f>
        <v>0</v>
      </c>
      <c r="O83" s="15">
        <f t="shared" si="35"/>
        <v>2.5</v>
      </c>
      <c r="P83" s="15">
        <f t="shared" si="36"/>
        <v>2.5</v>
      </c>
      <c r="R83" s="8"/>
      <c r="T83"/>
    </row>
    <row r="84" spans="2:20" ht="23.1" customHeight="1" x14ac:dyDescent="0.25">
      <c r="B84" s="25" t="s">
        <v>124</v>
      </c>
      <c r="C84" s="49">
        <f>AVERAGE('19.10 Busembatya-Butongole 24h'!C84,'21.10 Busembatya-Butongole-24h'!C84)</f>
        <v>0</v>
      </c>
      <c r="D84" s="49">
        <f>AVERAGE('19.10 Busembatya-Butongole 24h'!D84,'21.10 Busembatya-Butongole-24h'!D84)</f>
        <v>0.5</v>
      </c>
      <c r="E84" s="49">
        <f>AVERAGE('19.10 Busembatya-Butongole 24h'!E84,'21.10 Busembatya-Butongole-24h'!E84)</f>
        <v>0</v>
      </c>
      <c r="F84" s="49">
        <f>AVERAGE('19.10 Busembatya-Butongole 24h'!F84,'21.10 Busembatya-Butongole-24h'!F84)</f>
        <v>0</v>
      </c>
      <c r="G84" s="49">
        <f>AVERAGE('19.10 Busembatya-Butongole 24h'!G84,'21.10 Busembatya-Butongole-24h'!G84)</f>
        <v>0.5</v>
      </c>
      <c r="H84" s="49">
        <f>AVERAGE('19.10 Busembatya-Butongole 24h'!H84,'21.10 Busembatya-Butongole-24h'!H84)</f>
        <v>1</v>
      </c>
      <c r="I84" s="49">
        <f>AVERAGE('19.10 Busembatya-Butongole 24h'!I84,'21.10 Busembatya-Butongole-24h'!I84)</f>
        <v>0</v>
      </c>
      <c r="J84" s="49">
        <f>AVERAGE('19.10 Busembatya-Butongole 24h'!J84,'21.10 Busembatya-Butongole-24h'!J84)</f>
        <v>0</v>
      </c>
      <c r="K84" s="49">
        <f>AVERAGE('19.10 Busembatya-Butongole 24h'!K84,'21.10 Busembatya-Butongole-24h'!K84)</f>
        <v>0</v>
      </c>
      <c r="L84" s="49">
        <f>AVERAGE('19.10 Busembatya-Butongole 24h'!L84,'21.10 Busembatya-Butongole-24h'!L84)</f>
        <v>0</v>
      </c>
      <c r="M84" s="49">
        <f>AVERAGE('19.10 Busembatya-Butongole 24h'!M84,'21.10 Busembatya-Butongole-24h'!M84)</f>
        <v>0</v>
      </c>
      <c r="N84" s="49">
        <f>AVERAGE('19.10 Busembatya-Butongole 24h'!N84,'21.10 Busembatya-Butongole-24h'!N84)</f>
        <v>0</v>
      </c>
      <c r="O84" s="15">
        <f t="shared" si="35"/>
        <v>2</v>
      </c>
      <c r="P84" s="15">
        <f t="shared" si="36"/>
        <v>2</v>
      </c>
      <c r="R84" s="8"/>
      <c r="T84"/>
    </row>
    <row r="85" spans="2:20" ht="23.1" customHeight="1" x14ac:dyDescent="0.25">
      <c r="B85" s="23" t="s">
        <v>125</v>
      </c>
      <c r="C85" s="49">
        <f>AVERAGE('19.10 Busembatya-Butongole 24h'!C85,'21.10 Busembatya-Butongole-24h'!C85)</f>
        <v>0</v>
      </c>
      <c r="D85" s="49">
        <f>AVERAGE('19.10 Busembatya-Butongole 24h'!D85,'21.10 Busembatya-Butongole-24h'!D85)</f>
        <v>0</v>
      </c>
      <c r="E85" s="49">
        <f>AVERAGE('19.10 Busembatya-Butongole 24h'!E85,'21.10 Busembatya-Butongole-24h'!E85)</f>
        <v>0</v>
      </c>
      <c r="F85" s="49">
        <f>AVERAGE('19.10 Busembatya-Butongole 24h'!F85,'21.10 Busembatya-Butongole-24h'!F85)</f>
        <v>0</v>
      </c>
      <c r="G85" s="49">
        <f>AVERAGE('19.10 Busembatya-Butongole 24h'!G85,'21.10 Busembatya-Butongole-24h'!G85)</f>
        <v>0</v>
      </c>
      <c r="H85" s="49">
        <f>AVERAGE('19.10 Busembatya-Butongole 24h'!H85,'21.10 Busembatya-Butongole-24h'!H85)</f>
        <v>0</v>
      </c>
      <c r="I85" s="49">
        <f>AVERAGE('19.10 Busembatya-Butongole 24h'!I85,'21.10 Busembatya-Butongole-24h'!I85)</f>
        <v>0</v>
      </c>
      <c r="J85" s="49">
        <f>AVERAGE('19.10 Busembatya-Butongole 24h'!J85,'21.10 Busembatya-Butongole-24h'!J85)</f>
        <v>0</v>
      </c>
      <c r="K85" s="49">
        <f>AVERAGE('19.10 Busembatya-Butongole 24h'!K85,'21.10 Busembatya-Butongole-24h'!K85)</f>
        <v>1</v>
      </c>
      <c r="L85" s="49">
        <f>AVERAGE('19.10 Busembatya-Butongole 24h'!L85,'21.10 Busembatya-Butongole-24h'!L85)</f>
        <v>0</v>
      </c>
      <c r="M85" s="49">
        <f>AVERAGE('19.10 Busembatya-Butongole 24h'!M85,'21.10 Busembatya-Butongole-24h'!M85)</f>
        <v>0</v>
      </c>
      <c r="N85" s="49">
        <f>AVERAGE('19.10 Busembatya-Butongole 24h'!N85,'21.10 Busembatya-Butongole-24h'!N85)</f>
        <v>0</v>
      </c>
      <c r="O85" s="15">
        <f t="shared" si="35"/>
        <v>1</v>
      </c>
      <c r="P85" s="15">
        <f t="shared" si="36"/>
        <v>1</v>
      </c>
      <c r="R85" s="8"/>
      <c r="T85"/>
    </row>
    <row r="86" spans="2:20" ht="23.1" customHeight="1" x14ac:dyDescent="0.25">
      <c r="B86" s="24" t="s">
        <v>126</v>
      </c>
      <c r="C86" s="49">
        <f>AVERAGE('19.10 Busembatya-Butongole 24h'!C86,'21.10 Busembatya-Butongole-24h'!C86)</f>
        <v>0</v>
      </c>
      <c r="D86" s="49">
        <f>AVERAGE('19.10 Busembatya-Butongole 24h'!D86,'21.10 Busembatya-Butongole-24h'!D86)</f>
        <v>0</v>
      </c>
      <c r="E86" s="49">
        <f>AVERAGE('19.10 Busembatya-Butongole 24h'!E86,'21.10 Busembatya-Butongole-24h'!E86)</f>
        <v>0</v>
      </c>
      <c r="F86" s="49">
        <f>AVERAGE('19.10 Busembatya-Butongole 24h'!F86,'21.10 Busembatya-Butongole-24h'!F86)</f>
        <v>0</v>
      </c>
      <c r="G86" s="49">
        <f>AVERAGE('19.10 Busembatya-Butongole 24h'!G86,'21.10 Busembatya-Butongole-24h'!G86)</f>
        <v>0</v>
      </c>
      <c r="H86" s="49">
        <f>AVERAGE('19.10 Busembatya-Butongole 24h'!H86,'21.10 Busembatya-Butongole-24h'!H86)</f>
        <v>1</v>
      </c>
      <c r="I86" s="49">
        <f>AVERAGE('19.10 Busembatya-Butongole 24h'!I86,'21.10 Busembatya-Butongole-24h'!I86)</f>
        <v>0</v>
      </c>
      <c r="J86" s="49">
        <f>AVERAGE('19.10 Busembatya-Butongole 24h'!J86,'21.10 Busembatya-Butongole-24h'!J86)</f>
        <v>0</v>
      </c>
      <c r="K86" s="49">
        <f>AVERAGE('19.10 Busembatya-Butongole 24h'!K86,'21.10 Busembatya-Butongole-24h'!K86)</f>
        <v>0.5</v>
      </c>
      <c r="L86" s="49">
        <f>AVERAGE('19.10 Busembatya-Butongole 24h'!L86,'21.10 Busembatya-Butongole-24h'!L86)</f>
        <v>0</v>
      </c>
      <c r="M86" s="49">
        <f>AVERAGE('19.10 Busembatya-Butongole 24h'!M86,'21.10 Busembatya-Butongole-24h'!M86)</f>
        <v>0</v>
      </c>
      <c r="N86" s="49">
        <f>AVERAGE('19.10 Busembatya-Butongole 24h'!N86,'21.10 Busembatya-Butongole-24h'!N86)</f>
        <v>0</v>
      </c>
      <c r="O86" s="15">
        <f t="shared" si="35"/>
        <v>1.5</v>
      </c>
      <c r="P86" s="15">
        <f t="shared" si="36"/>
        <v>1.5</v>
      </c>
      <c r="R86" s="8"/>
      <c r="T86"/>
    </row>
    <row r="87" spans="2:20" ht="23.1" customHeight="1" x14ac:dyDescent="0.25">
      <c r="B87" s="23" t="s">
        <v>127</v>
      </c>
      <c r="C87" s="49">
        <f>AVERAGE('19.10 Busembatya-Butongole 24h'!C87,'21.10 Busembatya-Butongole-24h'!C87)</f>
        <v>0.5</v>
      </c>
      <c r="D87" s="49">
        <f>AVERAGE('19.10 Busembatya-Butongole 24h'!D87,'21.10 Busembatya-Butongole-24h'!D87)</f>
        <v>0</v>
      </c>
      <c r="E87" s="49">
        <f>AVERAGE('19.10 Busembatya-Butongole 24h'!E87,'21.10 Busembatya-Butongole-24h'!E87)</f>
        <v>0</v>
      </c>
      <c r="F87" s="49">
        <f>AVERAGE('19.10 Busembatya-Butongole 24h'!F87,'21.10 Busembatya-Butongole-24h'!F87)</f>
        <v>0.5</v>
      </c>
      <c r="G87" s="49">
        <f>AVERAGE('19.10 Busembatya-Butongole 24h'!G87,'21.10 Busembatya-Butongole-24h'!G87)</f>
        <v>0</v>
      </c>
      <c r="H87" s="49">
        <f>AVERAGE('19.10 Busembatya-Butongole 24h'!H87,'21.10 Busembatya-Butongole-24h'!H87)</f>
        <v>1.5</v>
      </c>
      <c r="I87" s="49">
        <f>AVERAGE('19.10 Busembatya-Butongole 24h'!I87,'21.10 Busembatya-Butongole-24h'!I87)</f>
        <v>0.5</v>
      </c>
      <c r="J87" s="49">
        <f>AVERAGE('19.10 Busembatya-Butongole 24h'!J87,'21.10 Busembatya-Butongole-24h'!J87)</f>
        <v>0</v>
      </c>
      <c r="K87" s="49">
        <f>AVERAGE('19.10 Busembatya-Butongole 24h'!K87,'21.10 Busembatya-Butongole-24h'!K87)</f>
        <v>1.5</v>
      </c>
      <c r="L87" s="49">
        <f>AVERAGE('19.10 Busembatya-Butongole 24h'!L87,'21.10 Busembatya-Butongole-24h'!L87)</f>
        <v>0</v>
      </c>
      <c r="M87" s="49">
        <f>AVERAGE('19.10 Busembatya-Butongole 24h'!M87,'21.10 Busembatya-Butongole-24h'!M87)</f>
        <v>0</v>
      </c>
      <c r="N87" s="49">
        <f>AVERAGE('19.10 Busembatya-Butongole 24h'!N87,'21.10 Busembatya-Butongole-24h'!N87)</f>
        <v>0</v>
      </c>
      <c r="O87" s="15">
        <f t="shared" si="35"/>
        <v>4.5</v>
      </c>
      <c r="P87" s="15">
        <f t="shared" si="36"/>
        <v>4.5</v>
      </c>
      <c r="R87" s="8"/>
      <c r="T87"/>
    </row>
    <row r="88" spans="2:20" ht="23.1" customHeight="1" x14ac:dyDescent="0.25">
      <c r="B88" s="25" t="s">
        <v>128</v>
      </c>
      <c r="C88" s="49">
        <f>AVERAGE('19.10 Busembatya-Butongole 24h'!C88,'21.10 Busembatya-Butongole-24h'!C88)</f>
        <v>0</v>
      </c>
      <c r="D88" s="49">
        <f>AVERAGE('19.10 Busembatya-Butongole 24h'!D88,'21.10 Busembatya-Butongole-24h'!D88)</f>
        <v>0</v>
      </c>
      <c r="E88" s="49">
        <f>AVERAGE('19.10 Busembatya-Butongole 24h'!E88,'21.10 Busembatya-Butongole-24h'!E88)</f>
        <v>0</v>
      </c>
      <c r="F88" s="49">
        <f>AVERAGE('19.10 Busembatya-Butongole 24h'!F88,'21.10 Busembatya-Butongole-24h'!F88)</f>
        <v>0</v>
      </c>
      <c r="G88" s="49">
        <f>AVERAGE('19.10 Busembatya-Butongole 24h'!G88,'21.10 Busembatya-Butongole-24h'!G88)</f>
        <v>0</v>
      </c>
      <c r="H88" s="49">
        <f>AVERAGE('19.10 Busembatya-Butongole 24h'!H88,'21.10 Busembatya-Butongole-24h'!H88)</f>
        <v>1</v>
      </c>
      <c r="I88" s="49">
        <f>AVERAGE('19.10 Busembatya-Butongole 24h'!I88,'21.10 Busembatya-Butongole-24h'!I88)</f>
        <v>0</v>
      </c>
      <c r="J88" s="49">
        <f>AVERAGE('19.10 Busembatya-Butongole 24h'!J88,'21.10 Busembatya-Butongole-24h'!J88)</f>
        <v>0</v>
      </c>
      <c r="K88" s="49">
        <f>AVERAGE('19.10 Busembatya-Butongole 24h'!K88,'21.10 Busembatya-Butongole-24h'!K88)</f>
        <v>0.5</v>
      </c>
      <c r="L88" s="49">
        <f>AVERAGE('19.10 Busembatya-Butongole 24h'!L88,'21.10 Busembatya-Butongole-24h'!L88)</f>
        <v>0</v>
      </c>
      <c r="M88" s="49">
        <f>AVERAGE('19.10 Busembatya-Butongole 24h'!M88,'21.10 Busembatya-Butongole-24h'!M88)</f>
        <v>0</v>
      </c>
      <c r="N88" s="49">
        <f>AVERAGE('19.10 Busembatya-Butongole 24h'!N88,'21.10 Busembatya-Butongole-24h'!N88)</f>
        <v>0</v>
      </c>
      <c r="O88" s="15">
        <f t="shared" si="35"/>
        <v>1.5</v>
      </c>
      <c r="P88" s="15">
        <f t="shared" si="36"/>
        <v>1.5</v>
      </c>
      <c r="R88" s="8"/>
      <c r="T88"/>
    </row>
    <row r="89" spans="2:20" ht="23.1" customHeight="1" x14ac:dyDescent="0.25">
      <c r="B89" s="23" t="s">
        <v>129</v>
      </c>
      <c r="C89" s="49">
        <f>AVERAGE('19.10 Busembatya-Butongole 24h'!C89,'21.10 Busembatya-Butongole-24h'!C89)</f>
        <v>0</v>
      </c>
      <c r="D89" s="49">
        <f>AVERAGE('19.10 Busembatya-Butongole 24h'!D89,'21.10 Busembatya-Butongole-24h'!D89)</f>
        <v>0</v>
      </c>
      <c r="E89" s="49">
        <f>AVERAGE('19.10 Busembatya-Butongole 24h'!E89,'21.10 Busembatya-Butongole-24h'!E89)</f>
        <v>0</v>
      </c>
      <c r="F89" s="49">
        <f>AVERAGE('19.10 Busembatya-Butongole 24h'!F89,'21.10 Busembatya-Butongole-24h'!F89)</f>
        <v>2</v>
      </c>
      <c r="G89" s="49">
        <f>AVERAGE('19.10 Busembatya-Butongole 24h'!G89,'21.10 Busembatya-Butongole-24h'!G89)</f>
        <v>0</v>
      </c>
      <c r="H89" s="49">
        <f>AVERAGE('19.10 Busembatya-Butongole 24h'!H89,'21.10 Busembatya-Butongole-24h'!H89)</f>
        <v>0</v>
      </c>
      <c r="I89" s="49">
        <f>AVERAGE('19.10 Busembatya-Butongole 24h'!I89,'21.10 Busembatya-Butongole-24h'!I89)</f>
        <v>0.5</v>
      </c>
      <c r="J89" s="49">
        <f>AVERAGE('19.10 Busembatya-Butongole 24h'!J89,'21.10 Busembatya-Butongole-24h'!J89)</f>
        <v>0</v>
      </c>
      <c r="K89" s="49">
        <f>AVERAGE('19.10 Busembatya-Butongole 24h'!K89,'21.10 Busembatya-Butongole-24h'!K89)</f>
        <v>1</v>
      </c>
      <c r="L89" s="49">
        <f>AVERAGE('19.10 Busembatya-Butongole 24h'!L89,'21.10 Busembatya-Butongole-24h'!L89)</f>
        <v>0</v>
      </c>
      <c r="M89" s="49">
        <f>AVERAGE('19.10 Busembatya-Butongole 24h'!M89,'21.10 Busembatya-Butongole-24h'!M89)</f>
        <v>0</v>
      </c>
      <c r="N89" s="49">
        <f>AVERAGE('19.10 Busembatya-Butongole 24h'!N89,'21.10 Busembatya-Butongole-24h'!N89)</f>
        <v>0</v>
      </c>
      <c r="O89" s="15">
        <f t="shared" si="35"/>
        <v>3.5</v>
      </c>
      <c r="P89" s="15">
        <f t="shared" si="36"/>
        <v>3.5</v>
      </c>
      <c r="R89" s="8"/>
      <c r="T89"/>
    </row>
    <row r="90" spans="2:20" ht="23.1" customHeight="1" x14ac:dyDescent="0.25">
      <c r="B90" s="24" t="s">
        <v>130</v>
      </c>
      <c r="C90" s="49">
        <f>AVERAGE('19.10 Busembatya-Butongole 24h'!C90,'21.10 Busembatya-Butongole-24h'!C90)</f>
        <v>1</v>
      </c>
      <c r="D90" s="49">
        <f>AVERAGE('19.10 Busembatya-Butongole 24h'!D90,'21.10 Busembatya-Butongole-24h'!D90)</f>
        <v>0</v>
      </c>
      <c r="E90" s="49">
        <f>AVERAGE('19.10 Busembatya-Butongole 24h'!E90,'21.10 Busembatya-Butongole-24h'!E90)</f>
        <v>0</v>
      </c>
      <c r="F90" s="49">
        <f>AVERAGE('19.10 Busembatya-Butongole 24h'!F90,'21.10 Busembatya-Butongole-24h'!F90)</f>
        <v>0.5</v>
      </c>
      <c r="G90" s="49">
        <f>AVERAGE('19.10 Busembatya-Butongole 24h'!G90,'21.10 Busembatya-Butongole-24h'!G90)</f>
        <v>0</v>
      </c>
      <c r="H90" s="49">
        <f>AVERAGE('19.10 Busembatya-Butongole 24h'!H90,'21.10 Busembatya-Butongole-24h'!H90)</f>
        <v>0.5</v>
      </c>
      <c r="I90" s="49">
        <f>AVERAGE('19.10 Busembatya-Butongole 24h'!I90,'21.10 Busembatya-Butongole-24h'!I90)</f>
        <v>1</v>
      </c>
      <c r="J90" s="49">
        <f>AVERAGE('19.10 Busembatya-Butongole 24h'!J90,'21.10 Busembatya-Butongole-24h'!J90)</f>
        <v>0</v>
      </c>
      <c r="K90" s="49">
        <f>AVERAGE('19.10 Busembatya-Butongole 24h'!K90,'21.10 Busembatya-Butongole-24h'!K90)</f>
        <v>0.5</v>
      </c>
      <c r="L90" s="49">
        <f>AVERAGE('19.10 Busembatya-Butongole 24h'!L90,'21.10 Busembatya-Butongole-24h'!L90)</f>
        <v>0</v>
      </c>
      <c r="M90" s="49">
        <f>AVERAGE('19.10 Busembatya-Butongole 24h'!M90,'21.10 Busembatya-Butongole-24h'!M90)</f>
        <v>0.5</v>
      </c>
      <c r="N90" s="49">
        <f>AVERAGE('19.10 Busembatya-Butongole 24h'!N90,'21.10 Busembatya-Butongole-24h'!N90)</f>
        <v>0</v>
      </c>
      <c r="O90" s="15">
        <f t="shared" si="35"/>
        <v>3.5</v>
      </c>
      <c r="P90" s="15">
        <f t="shared" si="36"/>
        <v>4</v>
      </c>
      <c r="R90" s="8"/>
      <c r="T90"/>
    </row>
    <row r="91" spans="2:20" ht="23.1" customHeight="1" x14ac:dyDescent="0.25">
      <c r="B91" s="23" t="s">
        <v>131</v>
      </c>
      <c r="C91" s="49">
        <f>AVERAGE('19.10 Busembatya-Butongole 24h'!C91,'21.10 Busembatya-Butongole-24h'!C91)</f>
        <v>0.5</v>
      </c>
      <c r="D91" s="49">
        <f>AVERAGE('19.10 Busembatya-Butongole 24h'!D91,'21.10 Busembatya-Butongole-24h'!D91)</f>
        <v>0</v>
      </c>
      <c r="E91" s="49">
        <f>AVERAGE('19.10 Busembatya-Butongole 24h'!E91,'21.10 Busembatya-Butongole-24h'!E91)</f>
        <v>0</v>
      </c>
      <c r="F91" s="49">
        <f>AVERAGE('19.10 Busembatya-Butongole 24h'!F91,'21.10 Busembatya-Butongole-24h'!F91)</f>
        <v>0.5</v>
      </c>
      <c r="G91" s="49">
        <f>AVERAGE('19.10 Busembatya-Butongole 24h'!G91,'21.10 Busembatya-Butongole-24h'!G91)</f>
        <v>0</v>
      </c>
      <c r="H91" s="49">
        <f>AVERAGE('19.10 Busembatya-Butongole 24h'!H91,'21.10 Busembatya-Butongole-24h'!H91)</f>
        <v>0.5</v>
      </c>
      <c r="I91" s="49">
        <f>AVERAGE('19.10 Busembatya-Butongole 24h'!I91,'21.10 Busembatya-Butongole-24h'!I91)</f>
        <v>0.5</v>
      </c>
      <c r="J91" s="49">
        <f>AVERAGE('19.10 Busembatya-Butongole 24h'!J91,'21.10 Busembatya-Butongole-24h'!J91)</f>
        <v>0</v>
      </c>
      <c r="K91" s="49">
        <f>AVERAGE('19.10 Busembatya-Butongole 24h'!K91,'21.10 Busembatya-Butongole-24h'!K91)</f>
        <v>0</v>
      </c>
      <c r="L91" s="49">
        <f>AVERAGE('19.10 Busembatya-Butongole 24h'!L91,'21.10 Busembatya-Butongole-24h'!L91)</f>
        <v>0</v>
      </c>
      <c r="M91" s="49">
        <f>AVERAGE('19.10 Busembatya-Butongole 24h'!M91,'21.10 Busembatya-Butongole-24h'!M91)</f>
        <v>0</v>
      </c>
      <c r="N91" s="49">
        <f>AVERAGE('19.10 Busembatya-Butongole 24h'!N91,'21.10 Busembatya-Butongole-24h'!N91)</f>
        <v>0</v>
      </c>
      <c r="O91" s="15">
        <f t="shared" si="35"/>
        <v>2</v>
      </c>
      <c r="P91" s="15">
        <f t="shared" si="36"/>
        <v>2</v>
      </c>
      <c r="R91" s="8"/>
      <c r="T91"/>
    </row>
    <row r="92" spans="2:20" ht="23.1" customHeight="1" x14ac:dyDescent="0.25">
      <c r="B92" s="25" t="s">
        <v>132</v>
      </c>
      <c r="C92" s="49">
        <f>AVERAGE('19.10 Busembatya-Butongole 24h'!C92,'21.10 Busembatya-Butongole-24h'!C92)</f>
        <v>0</v>
      </c>
      <c r="D92" s="49">
        <f>AVERAGE('19.10 Busembatya-Butongole 24h'!D92,'21.10 Busembatya-Butongole-24h'!D92)</f>
        <v>0</v>
      </c>
      <c r="E92" s="49">
        <f>AVERAGE('19.10 Busembatya-Butongole 24h'!E92,'21.10 Busembatya-Butongole-24h'!E92)</f>
        <v>0</v>
      </c>
      <c r="F92" s="49">
        <f>AVERAGE('19.10 Busembatya-Butongole 24h'!F92,'21.10 Busembatya-Butongole-24h'!F92)</f>
        <v>0.5</v>
      </c>
      <c r="G92" s="49">
        <f>AVERAGE('19.10 Busembatya-Butongole 24h'!G92,'21.10 Busembatya-Butongole-24h'!G92)</f>
        <v>0</v>
      </c>
      <c r="H92" s="49">
        <f>AVERAGE('19.10 Busembatya-Butongole 24h'!H92,'21.10 Busembatya-Butongole-24h'!H92)</f>
        <v>0.5</v>
      </c>
      <c r="I92" s="49">
        <f>AVERAGE('19.10 Busembatya-Butongole 24h'!I92,'21.10 Busembatya-Butongole-24h'!I92)</f>
        <v>0</v>
      </c>
      <c r="J92" s="49">
        <f>AVERAGE('19.10 Busembatya-Butongole 24h'!J92,'21.10 Busembatya-Butongole-24h'!J92)</f>
        <v>0</v>
      </c>
      <c r="K92" s="49">
        <f>AVERAGE('19.10 Busembatya-Butongole 24h'!K92,'21.10 Busembatya-Butongole-24h'!K92)</f>
        <v>1</v>
      </c>
      <c r="L92" s="49">
        <f>AVERAGE('19.10 Busembatya-Butongole 24h'!L92,'21.10 Busembatya-Butongole-24h'!L92)</f>
        <v>0.5</v>
      </c>
      <c r="M92" s="49">
        <f>AVERAGE('19.10 Busembatya-Butongole 24h'!M92,'21.10 Busembatya-Butongole-24h'!M92)</f>
        <v>0</v>
      </c>
      <c r="N92" s="49">
        <f>AVERAGE('19.10 Busembatya-Butongole 24h'!N92,'21.10 Busembatya-Butongole-24h'!N92)</f>
        <v>0</v>
      </c>
      <c r="O92" s="15">
        <f t="shared" si="35"/>
        <v>2.5</v>
      </c>
      <c r="P92" s="15">
        <f t="shared" si="36"/>
        <v>2.5</v>
      </c>
      <c r="R92" s="8"/>
      <c r="T92"/>
    </row>
    <row r="93" spans="2:20" ht="23.1" customHeight="1" x14ac:dyDescent="0.25">
      <c r="B93" s="23" t="s">
        <v>133</v>
      </c>
      <c r="C93" s="49">
        <f>AVERAGE('19.10 Busembatya-Butongole 24h'!C93,'21.10 Busembatya-Butongole-24h'!C93)</f>
        <v>0.5</v>
      </c>
      <c r="D93" s="49">
        <f>AVERAGE('19.10 Busembatya-Butongole 24h'!D93,'21.10 Busembatya-Butongole-24h'!D93)</f>
        <v>0</v>
      </c>
      <c r="E93" s="49">
        <f>AVERAGE('19.10 Busembatya-Butongole 24h'!E93,'21.10 Busembatya-Butongole-24h'!E93)</f>
        <v>0</v>
      </c>
      <c r="F93" s="49">
        <f>AVERAGE('19.10 Busembatya-Butongole 24h'!F93,'21.10 Busembatya-Butongole-24h'!F93)</f>
        <v>0</v>
      </c>
      <c r="G93" s="49">
        <f>AVERAGE('19.10 Busembatya-Butongole 24h'!G93,'21.10 Busembatya-Butongole-24h'!G93)</f>
        <v>0</v>
      </c>
      <c r="H93" s="49">
        <f>AVERAGE('19.10 Busembatya-Butongole 24h'!H93,'21.10 Busembatya-Butongole-24h'!H93)</f>
        <v>0</v>
      </c>
      <c r="I93" s="49">
        <f>AVERAGE('19.10 Busembatya-Butongole 24h'!I93,'21.10 Busembatya-Butongole-24h'!I93)</f>
        <v>0</v>
      </c>
      <c r="J93" s="49">
        <f>AVERAGE('19.10 Busembatya-Butongole 24h'!J93,'21.10 Busembatya-Butongole-24h'!J93)</f>
        <v>0</v>
      </c>
      <c r="K93" s="49">
        <f>AVERAGE('19.10 Busembatya-Butongole 24h'!K93,'21.10 Busembatya-Butongole-24h'!K93)</f>
        <v>0.5</v>
      </c>
      <c r="L93" s="49">
        <f>AVERAGE('19.10 Busembatya-Butongole 24h'!L93,'21.10 Busembatya-Butongole-24h'!L93)</f>
        <v>0</v>
      </c>
      <c r="M93" s="49">
        <f>AVERAGE('19.10 Busembatya-Butongole 24h'!M93,'21.10 Busembatya-Butongole-24h'!M93)</f>
        <v>0</v>
      </c>
      <c r="N93" s="49">
        <f>AVERAGE('19.10 Busembatya-Butongole 24h'!N93,'21.10 Busembatya-Butongole-24h'!N93)</f>
        <v>0</v>
      </c>
      <c r="O93" s="15">
        <f t="shared" si="35"/>
        <v>1</v>
      </c>
      <c r="P93" s="15">
        <f t="shared" si="36"/>
        <v>1</v>
      </c>
      <c r="R93" s="8"/>
      <c r="T93"/>
    </row>
    <row r="94" spans="2:20" ht="23.1" customHeight="1" x14ac:dyDescent="0.25">
      <c r="B94" s="24" t="s">
        <v>134</v>
      </c>
      <c r="C94" s="49">
        <f>AVERAGE('19.10 Busembatya-Butongole 24h'!C94,'21.10 Busembatya-Butongole-24h'!C94)</f>
        <v>0</v>
      </c>
      <c r="D94" s="49">
        <f>AVERAGE('19.10 Busembatya-Butongole 24h'!D94,'21.10 Busembatya-Butongole-24h'!D94)</f>
        <v>0</v>
      </c>
      <c r="E94" s="49">
        <f>AVERAGE('19.10 Busembatya-Butongole 24h'!E94,'21.10 Busembatya-Butongole-24h'!E94)</f>
        <v>0</v>
      </c>
      <c r="F94" s="49">
        <f>AVERAGE('19.10 Busembatya-Butongole 24h'!F94,'21.10 Busembatya-Butongole-24h'!F94)</f>
        <v>1.5</v>
      </c>
      <c r="G94" s="49">
        <f>AVERAGE('19.10 Busembatya-Butongole 24h'!G94,'21.10 Busembatya-Butongole-24h'!G94)</f>
        <v>0</v>
      </c>
      <c r="H94" s="49">
        <f>AVERAGE('19.10 Busembatya-Butongole 24h'!H94,'21.10 Busembatya-Butongole-24h'!H94)</f>
        <v>1</v>
      </c>
      <c r="I94" s="49">
        <f>AVERAGE('19.10 Busembatya-Butongole 24h'!I94,'21.10 Busembatya-Butongole-24h'!I94)</f>
        <v>0</v>
      </c>
      <c r="J94" s="49">
        <f>AVERAGE('19.10 Busembatya-Butongole 24h'!J94,'21.10 Busembatya-Butongole-24h'!J94)</f>
        <v>0</v>
      </c>
      <c r="K94" s="49">
        <f>AVERAGE('19.10 Busembatya-Butongole 24h'!K94,'21.10 Busembatya-Butongole-24h'!K94)</f>
        <v>0.5</v>
      </c>
      <c r="L94" s="49">
        <f>AVERAGE('19.10 Busembatya-Butongole 24h'!L94,'21.10 Busembatya-Butongole-24h'!L94)</f>
        <v>0</v>
      </c>
      <c r="M94" s="49">
        <f>AVERAGE('19.10 Busembatya-Butongole 24h'!M94,'21.10 Busembatya-Butongole-24h'!M94)</f>
        <v>0</v>
      </c>
      <c r="N94" s="49">
        <f>AVERAGE('19.10 Busembatya-Butongole 24h'!N94,'21.10 Busembatya-Butongole-24h'!N94)</f>
        <v>0</v>
      </c>
      <c r="O94" s="15">
        <f t="shared" si="35"/>
        <v>3</v>
      </c>
      <c r="P94" s="15">
        <f t="shared" si="36"/>
        <v>3</v>
      </c>
      <c r="R94" s="8"/>
      <c r="T94"/>
    </row>
    <row r="95" spans="2:20" ht="23.1" customHeight="1" x14ac:dyDescent="0.25">
      <c r="B95" s="23" t="s">
        <v>135</v>
      </c>
      <c r="C95" s="49">
        <f>AVERAGE('19.10 Busembatya-Butongole 24h'!C95,'21.10 Busembatya-Butongole-24h'!C95)</f>
        <v>0.5</v>
      </c>
      <c r="D95" s="49">
        <f>AVERAGE('19.10 Busembatya-Butongole 24h'!D95,'21.10 Busembatya-Butongole-24h'!D95)</f>
        <v>0</v>
      </c>
      <c r="E95" s="49">
        <f>AVERAGE('19.10 Busembatya-Butongole 24h'!E95,'21.10 Busembatya-Butongole-24h'!E95)</f>
        <v>0.5</v>
      </c>
      <c r="F95" s="49">
        <f>AVERAGE('19.10 Busembatya-Butongole 24h'!F95,'21.10 Busembatya-Butongole-24h'!F95)</f>
        <v>0.5</v>
      </c>
      <c r="G95" s="49">
        <f>AVERAGE('19.10 Busembatya-Butongole 24h'!G95,'21.10 Busembatya-Butongole-24h'!G95)</f>
        <v>0</v>
      </c>
      <c r="H95" s="49">
        <f>AVERAGE('19.10 Busembatya-Butongole 24h'!H95,'21.10 Busembatya-Butongole-24h'!H95)</f>
        <v>0</v>
      </c>
      <c r="I95" s="49">
        <f>AVERAGE('19.10 Busembatya-Butongole 24h'!I95,'21.10 Busembatya-Butongole-24h'!I95)</f>
        <v>1</v>
      </c>
      <c r="J95" s="49">
        <f>AVERAGE('19.10 Busembatya-Butongole 24h'!J95,'21.10 Busembatya-Butongole-24h'!J95)</f>
        <v>0</v>
      </c>
      <c r="K95" s="49">
        <f>AVERAGE('19.10 Busembatya-Butongole 24h'!K95,'21.10 Busembatya-Butongole-24h'!K95)</f>
        <v>0.5</v>
      </c>
      <c r="L95" s="49">
        <f>AVERAGE('19.10 Busembatya-Butongole 24h'!L95,'21.10 Busembatya-Butongole-24h'!L95)</f>
        <v>0</v>
      </c>
      <c r="M95" s="49">
        <f>AVERAGE('19.10 Busembatya-Butongole 24h'!M95,'21.10 Busembatya-Butongole-24h'!M95)</f>
        <v>0.5</v>
      </c>
      <c r="N95" s="49">
        <f>AVERAGE('19.10 Busembatya-Butongole 24h'!N95,'21.10 Busembatya-Butongole-24h'!N95)</f>
        <v>0</v>
      </c>
      <c r="O95" s="15">
        <f t="shared" si="35"/>
        <v>3</v>
      </c>
      <c r="P95" s="15">
        <f t="shared" si="36"/>
        <v>3.5</v>
      </c>
      <c r="R95" s="8"/>
      <c r="T95"/>
    </row>
    <row r="96" spans="2:20" ht="23.1" customHeight="1" x14ac:dyDescent="0.25">
      <c r="B96" s="25" t="s">
        <v>136</v>
      </c>
      <c r="C96" s="49">
        <f>AVERAGE('19.10 Busembatya-Butongole 24h'!C96,'21.10 Busembatya-Butongole-24h'!C96)</f>
        <v>0.5</v>
      </c>
      <c r="D96" s="49">
        <f>AVERAGE('19.10 Busembatya-Butongole 24h'!D96,'21.10 Busembatya-Butongole-24h'!D96)</f>
        <v>1</v>
      </c>
      <c r="E96" s="49">
        <f>AVERAGE('19.10 Busembatya-Butongole 24h'!E96,'21.10 Busembatya-Butongole-24h'!E96)</f>
        <v>0</v>
      </c>
      <c r="F96" s="49">
        <f>AVERAGE('19.10 Busembatya-Butongole 24h'!F96,'21.10 Busembatya-Butongole-24h'!F96)</f>
        <v>3</v>
      </c>
      <c r="G96" s="49">
        <f>AVERAGE('19.10 Busembatya-Butongole 24h'!G96,'21.10 Busembatya-Butongole-24h'!G96)</f>
        <v>0</v>
      </c>
      <c r="H96" s="49">
        <f>AVERAGE('19.10 Busembatya-Butongole 24h'!H96,'21.10 Busembatya-Butongole-24h'!H96)</f>
        <v>0.5</v>
      </c>
      <c r="I96" s="49">
        <f>AVERAGE('19.10 Busembatya-Butongole 24h'!I96,'21.10 Busembatya-Butongole-24h'!I96)</f>
        <v>0</v>
      </c>
      <c r="J96" s="49">
        <f>AVERAGE('19.10 Busembatya-Butongole 24h'!J96,'21.10 Busembatya-Butongole-24h'!J96)</f>
        <v>0</v>
      </c>
      <c r="K96" s="49">
        <f>AVERAGE('19.10 Busembatya-Butongole 24h'!K96,'21.10 Busembatya-Butongole-24h'!K96)</f>
        <v>0</v>
      </c>
      <c r="L96" s="49">
        <f>AVERAGE('19.10 Busembatya-Butongole 24h'!L96,'21.10 Busembatya-Butongole-24h'!L96)</f>
        <v>0</v>
      </c>
      <c r="M96" s="49">
        <f>AVERAGE('19.10 Busembatya-Butongole 24h'!M96,'21.10 Busembatya-Butongole-24h'!M96)</f>
        <v>0.5</v>
      </c>
      <c r="N96" s="49">
        <f>AVERAGE('19.10 Busembatya-Butongole 24h'!N96,'21.10 Busembatya-Butongole-24h'!N96)</f>
        <v>0</v>
      </c>
      <c r="O96" s="15">
        <f t="shared" si="35"/>
        <v>5</v>
      </c>
      <c r="P96" s="15">
        <f t="shared" si="36"/>
        <v>5.5</v>
      </c>
      <c r="R96" s="8"/>
      <c r="T96"/>
    </row>
    <row r="97" spans="2:20" ht="23.1" customHeight="1" x14ac:dyDescent="0.25">
      <c r="B97" s="23" t="s">
        <v>137</v>
      </c>
      <c r="C97" s="49">
        <f>AVERAGE('19.10 Busembatya-Butongole 24h'!C97,'21.10 Busembatya-Butongole-24h'!C97)</f>
        <v>1</v>
      </c>
      <c r="D97" s="49">
        <f>AVERAGE('19.10 Busembatya-Butongole 24h'!D97,'21.10 Busembatya-Butongole-24h'!D97)</f>
        <v>0</v>
      </c>
      <c r="E97" s="49">
        <f>AVERAGE('19.10 Busembatya-Butongole 24h'!E97,'21.10 Busembatya-Butongole-24h'!E97)</f>
        <v>0</v>
      </c>
      <c r="F97" s="49">
        <f>AVERAGE('19.10 Busembatya-Butongole 24h'!F97,'21.10 Busembatya-Butongole-24h'!F97)</f>
        <v>1</v>
      </c>
      <c r="G97" s="49">
        <f>AVERAGE('19.10 Busembatya-Butongole 24h'!G97,'21.10 Busembatya-Butongole-24h'!G97)</f>
        <v>0</v>
      </c>
      <c r="H97" s="49">
        <f>AVERAGE('19.10 Busembatya-Butongole 24h'!H97,'21.10 Busembatya-Butongole-24h'!H97)</f>
        <v>0</v>
      </c>
      <c r="I97" s="49">
        <f>AVERAGE('19.10 Busembatya-Butongole 24h'!I97,'21.10 Busembatya-Butongole-24h'!I97)</f>
        <v>0</v>
      </c>
      <c r="J97" s="49">
        <f>AVERAGE('19.10 Busembatya-Butongole 24h'!J97,'21.10 Busembatya-Butongole-24h'!J97)</f>
        <v>0</v>
      </c>
      <c r="K97" s="49">
        <f>AVERAGE('19.10 Busembatya-Butongole 24h'!K97,'21.10 Busembatya-Butongole-24h'!K97)</f>
        <v>1.5</v>
      </c>
      <c r="L97" s="49">
        <f>AVERAGE('19.10 Busembatya-Butongole 24h'!L97,'21.10 Busembatya-Butongole-24h'!L97)</f>
        <v>0</v>
      </c>
      <c r="M97" s="49">
        <f>AVERAGE('19.10 Busembatya-Butongole 24h'!M97,'21.10 Busembatya-Butongole-24h'!M97)</f>
        <v>0</v>
      </c>
      <c r="N97" s="49">
        <f>AVERAGE('19.10 Busembatya-Butongole 24h'!N97,'21.10 Busembatya-Butongole-24h'!N97)</f>
        <v>0</v>
      </c>
      <c r="O97" s="15">
        <f t="shared" si="35"/>
        <v>3.5</v>
      </c>
      <c r="P97" s="15">
        <f t="shared" si="36"/>
        <v>3.5</v>
      </c>
      <c r="R97" s="8"/>
      <c r="T97"/>
    </row>
    <row r="98" spans="2:20" ht="23.1" customHeight="1" x14ac:dyDescent="0.25">
      <c r="B98" s="24" t="s">
        <v>138</v>
      </c>
      <c r="C98" s="49">
        <f>AVERAGE('19.10 Busembatya-Butongole 24h'!C98,'21.10 Busembatya-Butongole-24h'!C98)</f>
        <v>2</v>
      </c>
      <c r="D98" s="49">
        <f>AVERAGE('19.10 Busembatya-Butongole 24h'!D98,'21.10 Busembatya-Butongole-24h'!D98)</f>
        <v>0.5</v>
      </c>
      <c r="E98" s="49">
        <f>AVERAGE('19.10 Busembatya-Butongole 24h'!E98,'21.10 Busembatya-Butongole-24h'!E98)</f>
        <v>0.5</v>
      </c>
      <c r="F98" s="49">
        <f>AVERAGE('19.10 Busembatya-Butongole 24h'!F98,'21.10 Busembatya-Butongole-24h'!F98)</f>
        <v>3</v>
      </c>
      <c r="G98" s="49">
        <f>AVERAGE('19.10 Busembatya-Butongole 24h'!G98,'21.10 Busembatya-Butongole-24h'!G98)</f>
        <v>0</v>
      </c>
      <c r="H98" s="49">
        <f>AVERAGE('19.10 Busembatya-Butongole 24h'!H98,'21.10 Busembatya-Butongole-24h'!H98)</f>
        <v>0</v>
      </c>
      <c r="I98" s="49">
        <f>AVERAGE('19.10 Busembatya-Butongole 24h'!I98,'21.10 Busembatya-Butongole-24h'!I98)</f>
        <v>0</v>
      </c>
      <c r="J98" s="49">
        <f>AVERAGE('19.10 Busembatya-Butongole 24h'!J98,'21.10 Busembatya-Butongole-24h'!J98)</f>
        <v>0</v>
      </c>
      <c r="K98" s="49">
        <f>AVERAGE('19.10 Busembatya-Butongole 24h'!K98,'21.10 Busembatya-Butongole-24h'!K98)</f>
        <v>0</v>
      </c>
      <c r="L98" s="49">
        <f>AVERAGE('19.10 Busembatya-Butongole 24h'!L98,'21.10 Busembatya-Butongole-24h'!L98)</f>
        <v>0</v>
      </c>
      <c r="M98" s="49">
        <f>AVERAGE('19.10 Busembatya-Butongole 24h'!M98,'21.10 Busembatya-Butongole-24h'!M98)</f>
        <v>0</v>
      </c>
      <c r="N98" s="49">
        <f>AVERAGE('19.10 Busembatya-Butongole 24h'!N98,'21.10 Busembatya-Butongole-24h'!N98)</f>
        <v>0</v>
      </c>
      <c r="O98" s="15">
        <f t="shared" si="35"/>
        <v>6</v>
      </c>
      <c r="P98" s="15">
        <f t="shared" si="36"/>
        <v>6</v>
      </c>
      <c r="R98" s="8"/>
      <c r="T98"/>
    </row>
    <row r="99" spans="2:20" ht="23.1" customHeight="1" x14ac:dyDescent="0.25">
      <c r="B99" s="23" t="s">
        <v>139</v>
      </c>
      <c r="C99" s="49">
        <f>AVERAGE('19.10 Busembatya-Butongole 24h'!C99,'21.10 Busembatya-Butongole-24h'!C99)</f>
        <v>0</v>
      </c>
      <c r="D99" s="49">
        <f>AVERAGE('19.10 Busembatya-Butongole 24h'!D99,'21.10 Busembatya-Butongole-24h'!D99)</f>
        <v>0</v>
      </c>
      <c r="E99" s="49">
        <f>AVERAGE('19.10 Busembatya-Butongole 24h'!E99,'21.10 Busembatya-Butongole-24h'!E99)</f>
        <v>0</v>
      </c>
      <c r="F99" s="49">
        <f>AVERAGE('19.10 Busembatya-Butongole 24h'!F99,'21.10 Busembatya-Butongole-24h'!F99)</f>
        <v>0.5</v>
      </c>
      <c r="G99" s="49">
        <f>AVERAGE('19.10 Busembatya-Butongole 24h'!G99,'21.10 Busembatya-Butongole-24h'!G99)</f>
        <v>0</v>
      </c>
      <c r="H99" s="49">
        <f>AVERAGE('19.10 Busembatya-Butongole 24h'!H99,'21.10 Busembatya-Butongole-24h'!H99)</f>
        <v>0</v>
      </c>
      <c r="I99" s="49">
        <f>AVERAGE('19.10 Busembatya-Butongole 24h'!I99,'21.10 Busembatya-Butongole-24h'!I99)</f>
        <v>0</v>
      </c>
      <c r="J99" s="49">
        <f>AVERAGE('19.10 Busembatya-Butongole 24h'!J99,'21.10 Busembatya-Butongole-24h'!J99)</f>
        <v>0</v>
      </c>
      <c r="K99" s="49">
        <f>AVERAGE('19.10 Busembatya-Butongole 24h'!K99,'21.10 Busembatya-Butongole-24h'!K99)</f>
        <v>0</v>
      </c>
      <c r="L99" s="49">
        <f>AVERAGE('19.10 Busembatya-Butongole 24h'!L99,'21.10 Busembatya-Butongole-24h'!L99)</f>
        <v>0</v>
      </c>
      <c r="M99" s="49">
        <f>AVERAGE('19.10 Busembatya-Butongole 24h'!M99,'21.10 Busembatya-Butongole-24h'!M99)</f>
        <v>0</v>
      </c>
      <c r="N99" s="49">
        <f>AVERAGE('19.10 Busembatya-Butongole 24h'!N99,'21.10 Busembatya-Butongole-24h'!N99)</f>
        <v>0</v>
      </c>
      <c r="O99" s="15">
        <f t="shared" si="35"/>
        <v>0.5</v>
      </c>
      <c r="P99" s="15">
        <f t="shared" si="36"/>
        <v>0.5</v>
      </c>
      <c r="R99" s="8"/>
      <c r="T99"/>
    </row>
    <row r="100" spans="2:20" ht="23.1" customHeight="1" x14ac:dyDescent="0.25">
      <c r="B100" s="25" t="s">
        <v>140</v>
      </c>
      <c r="C100" s="49">
        <f>AVERAGE('19.10 Busembatya-Butongole 24h'!C100,'21.10 Busembatya-Butongole-24h'!C100)</f>
        <v>0.5</v>
      </c>
      <c r="D100" s="49">
        <f>AVERAGE('19.10 Busembatya-Butongole 24h'!D100,'21.10 Busembatya-Butongole-24h'!D100)</f>
        <v>0.5</v>
      </c>
      <c r="E100" s="49">
        <f>AVERAGE('19.10 Busembatya-Butongole 24h'!E100,'21.10 Busembatya-Butongole-24h'!E100)</f>
        <v>0.5</v>
      </c>
      <c r="F100" s="49">
        <f>AVERAGE('19.10 Busembatya-Butongole 24h'!F100,'21.10 Busembatya-Butongole-24h'!F100)</f>
        <v>1</v>
      </c>
      <c r="G100" s="49">
        <f>AVERAGE('19.10 Busembatya-Butongole 24h'!G100,'21.10 Busembatya-Butongole-24h'!G100)</f>
        <v>0</v>
      </c>
      <c r="H100" s="49">
        <f>AVERAGE('19.10 Busembatya-Butongole 24h'!H100,'21.10 Busembatya-Butongole-24h'!H100)</f>
        <v>0</v>
      </c>
      <c r="I100" s="49">
        <f>AVERAGE('19.10 Busembatya-Butongole 24h'!I100,'21.10 Busembatya-Butongole-24h'!I100)</f>
        <v>0</v>
      </c>
      <c r="J100" s="49">
        <f>AVERAGE('19.10 Busembatya-Butongole 24h'!J100,'21.10 Busembatya-Butongole-24h'!J100)</f>
        <v>0</v>
      </c>
      <c r="K100" s="49">
        <f>AVERAGE('19.10 Busembatya-Butongole 24h'!K100,'21.10 Busembatya-Butongole-24h'!K100)</f>
        <v>1</v>
      </c>
      <c r="L100" s="49">
        <f>AVERAGE('19.10 Busembatya-Butongole 24h'!L100,'21.10 Busembatya-Butongole-24h'!L100)</f>
        <v>0</v>
      </c>
      <c r="M100" s="49">
        <f>AVERAGE('19.10 Busembatya-Butongole 24h'!M100,'21.10 Busembatya-Butongole-24h'!M100)</f>
        <v>0</v>
      </c>
      <c r="N100" s="49">
        <f>AVERAGE('19.10 Busembatya-Butongole 24h'!N100,'21.10 Busembatya-Butongole-24h'!N100)</f>
        <v>0</v>
      </c>
      <c r="O100" s="15">
        <f t="shared" si="35"/>
        <v>3.5</v>
      </c>
      <c r="P100" s="15">
        <f t="shared" si="36"/>
        <v>3.5</v>
      </c>
      <c r="R100" s="8"/>
      <c r="T100"/>
    </row>
    <row r="101" spans="2:20" ht="23.1" customHeight="1" x14ac:dyDescent="0.25">
      <c r="B101" s="23" t="s">
        <v>141</v>
      </c>
      <c r="C101" s="49">
        <f>AVERAGE('19.10 Busembatya-Butongole 24h'!C101,'21.10 Busembatya-Butongole-24h'!C101)</f>
        <v>2.5</v>
      </c>
      <c r="D101" s="49">
        <f>AVERAGE('19.10 Busembatya-Butongole 24h'!D101,'21.10 Busembatya-Butongole-24h'!D101)</f>
        <v>1</v>
      </c>
      <c r="E101" s="49">
        <f>AVERAGE('19.10 Busembatya-Butongole 24h'!E101,'21.10 Busembatya-Butongole-24h'!E101)</f>
        <v>0</v>
      </c>
      <c r="F101" s="49">
        <f>AVERAGE('19.10 Busembatya-Butongole 24h'!F101,'21.10 Busembatya-Butongole-24h'!F101)</f>
        <v>0</v>
      </c>
      <c r="G101" s="49">
        <f>AVERAGE('19.10 Busembatya-Butongole 24h'!G101,'21.10 Busembatya-Butongole-24h'!G101)</f>
        <v>0</v>
      </c>
      <c r="H101" s="49">
        <f>AVERAGE('19.10 Busembatya-Butongole 24h'!H101,'21.10 Busembatya-Butongole-24h'!H101)</f>
        <v>0.5</v>
      </c>
      <c r="I101" s="49">
        <f>AVERAGE('19.10 Busembatya-Butongole 24h'!I101,'21.10 Busembatya-Butongole-24h'!I101)</f>
        <v>0</v>
      </c>
      <c r="J101" s="49">
        <f>AVERAGE('19.10 Busembatya-Butongole 24h'!J101,'21.10 Busembatya-Butongole-24h'!J101)</f>
        <v>0</v>
      </c>
      <c r="K101" s="49">
        <f>AVERAGE('19.10 Busembatya-Butongole 24h'!K101,'21.10 Busembatya-Butongole-24h'!K101)</f>
        <v>0.5</v>
      </c>
      <c r="L101" s="49">
        <f>AVERAGE('19.10 Busembatya-Butongole 24h'!L101,'21.10 Busembatya-Butongole-24h'!L101)</f>
        <v>0</v>
      </c>
      <c r="M101" s="49">
        <f>AVERAGE('19.10 Busembatya-Butongole 24h'!M101,'21.10 Busembatya-Butongole-24h'!M101)</f>
        <v>2</v>
      </c>
      <c r="N101" s="49">
        <f>AVERAGE('19.10 Busembatya-Butongole 24h'!N101,'21.10 Busembatya-Butongole-24h'!N101)</f>
        <v>0</v>
      </c>
      <c r="O101" s="15">
        <f t="shared" si="35"/>
        <v>4.5</v>
      </c>
      <c r="P101" s="15">
        <f t="shared" si="36"/>
        <v>6.5</v>
      </c>
      <c r="R101" s="8"/>
      <c r="T101"/>
    </row>
    <row r="102" spans="2:20" ht="23.1" customHeight="1" x14ac:dyDescent="0.25">
      <c r="B102" s="24" t="s">
        <v>142</v>
      </c>
      <c r="C102" s="49">
        <f>AVERAGE('19.10 Busembatya-Butongole 24h'!C102,'21.10 Busembatya-Butongole-24h'!C102)</f>
        <v>0.5</v>
      </c>
      <c r="D102" s="49">
        <f>AVERAGE('19.10 Busembatya-Butongole 24h'!D102,'21.10 Busembatya-Butongole-24h'!D102)</f>
        <v>1</v>
      </c>
      <c r="E102" s="49">
        <f>AVERAGE('19.10 Busembatya-Butongole 24h'!E102,'21.10 Busembatya-Butongole-24h'!E102)</f>
        <v>2.5</v>
      </c>
      <c r="F102" s="49">
        <f>AVERAGE('19.10 Busembatya-Butongole 24h'!F102,'21.10 Busembatya-Butongole-24h'!F102)</f>
        <v>1</v>
      </c>
      <c r="G102" s="49">
        <f>AVERAGE('19.10 Busembatya-Butongole 24h'!G102,'21.10 Busembatya-Butongole-24h'!G102)</f>
        <v>0</v>
      </c>
      <c r="H102" s="49">
        <f>AVERAGE('19.10 Busembatya-Butongole 24h'!H102,'21.10 Busembatya-Butongole-24h'!H102)</f>
        <v>0.5</v>
      </c>
      <c r="I102" s="49">
        <f>AVERAGE('19.10 Busembatya-Butongole 24h'!I102,'21.10 Busembatya-Butongole-24h'!I102)</f>
        <v>0</v>
      </c>
      <c r="J102" s="49">
        <f>AVERAGE('19.10 Busembatya-Butongole 24h'!J102,'21.10 Busembatya-Butongole-24h'!J102)</f>
        <v>0.5</v>
      </c>
      <c r="K102" s="49">
        <f>AVERAGE('19.10 Busembatya-Butongole 24h'!K102,'21.10 Busembatya-Butongole-24h'!K102)</f>
        <v>0</v>
      </c>
      <c r="L102" s="49">
        <f>AVERAGE('19.10 Busembatya-Butongole 24h'!L102,'21.10 Busembatya-Butongole-24h'!L102)</f>
        <v>0</v>
      </c>
      <c r="M102" s="49">
        <f>AVERAGE('19.10 Busembatya-Butongole 24h'!M102,'21.10 Busembatya-Butongole-24h'!M102)</f>
        <v>1</v>
      </c>
      <c r="N102" s="49">
        <f>AVERAGE('19.10 Busembatya-Butongole 24h'!N102,'21.10 Busembatya-Butongole-24h'!N102)</f>
        <v>0</v>
      </c>
      <c r="O102" s="15">
        <f t="shared" si="35"/>
        <v>6</v>
      </c>
      <c r="P102" s="15">
        <f t="shared" si="36"/>
        <v>7</v>
      </c>
      <c r="R102" s="8"/>
      <c r="T102"/>
    </row>
    <row r="103" spans="2:20" ht="23.1" customHeight="1" x14ac:dyDescent="0.25">
      <c r="B103" s="23" t="s">
        <v>143</v>
      </c>
      <c r="C103" s="49">
        <f>AVERAGE('19.10 Busembatya-Butongole 24h'!C103,'21.10 Busembatya-Butongole-24h'!C103)</f>
        <v>2</v>
      </c>
      <c r="D103" s="49">
        <f>AVERAGE('19.10 Busembatya-Butongole 24h'!D103,'21.10 Busembatya-Butongole-24h'!D103)</f>
        <v>1</v>
      </c>
      <c r="E103" s="49">
        <f>AVERAGE('19.10 Busembatya-Butongole 24h'!E103,'21.10 Busembatya-Butongole-24h'!E103)</f>
        <v>0.5</v>
      </c>
      <c r="F103" s="49">
        <f>AVERAGE('19.10 Busembatya-Butongole 24h'!F103,'21.10 Busembatya-Butongole-24h'!F103)</f>
        <v>3.5</v>
      </c>
      <c r="G103" s="49">
        <f>AVERAGE('19.10 Busembatya-Butongole 24h'!G103,'21.10 Busembatya-Butongole-24h'!G103)</f>
        <v>0</v>
      </c>
      <c r="H103" s="49">
        <f>AVERAGE('19.10 Busembatya-Butongole 24h'!H103,'21.10 Busembatya-Butongole-24h'!H103)</f>
        <v>0.5</v>
      </c>
      <c r="I103" s="49">
        <f>AVERAGE('19.10 Busembatya-Butongole 24h'!I103,'21.10 Busembatya-Butongole-24h'!I103)</f>
        <v>0</v>
      </c>
      <c r="J103" s="49">
        <f>AVERAGE('19.10 Busembatya-Butongole 24h'!J103,'21.10 Busembatya-Butongole-24h'!J103)</f>
        <v>0</v>
      </c>
      <c r="K103" s="49">
        <f>AVERAGE('19.10 Busembatya-Butongole 24h'!K103,'21.10 Busembatya-Butongole-24h'!K103)</f>
        <v>2</v>
      </c>
      <c r="L103" s="49">
        <f>AVERAGE('19.10 Busembatya-Butongole 24h'!L103,'21.10 Busembatya-Butongole-24h'!L103)</f>
        <v>0</v>
      </c>
      <c r="M103" s="49">
        <f>AVERAGE('19.10 Busembatya-Butongole 24h'!M103,'21.10 Busembatya-Butongole-24h'!M103)</f>
        <v>3</v>
      </c>
      <c r="N103" s="49">
        <f>AVERAGE('19.10 Busembatya-Butongole 24h'!N103,'21.10 Busembatya-Butongole-24h'!N103)</f>
        <v>0</v>
      </c>
      <c r="O103" s="15">
        <f t="shared" si="35"/>
        <v>9.5</v>
      </c>
      <c r="P103" s="15">
        <f t="shared" si="36"/>
        <v>12.5</v>
      </c>
      <c r="R103" s="8"/>
      <c r="T103"/>
    </row>
    <row r="104" spans="2:20" ht="23.1" customHeight="1" x14ac:dyDescent="0.25">
      <c r="B104" s="25" t="s">
        <v>144</v>
      </c>
      <c r="C104" s="49">
        <f>AVERAGE('19.10 Busembatya-Butongole 24h'!C104,'21.10 Busembatya-Butongole-24h'!C104)</f>
        <v>3</v>
      </c>
      <c r="D104" s="49">
        <f>AVERAGE('19.10 Busembatya-Butongole 24h'!D104,'21.10 Busembatya-Butongole-24h'!D104)</f>
        <v>0.5</v>
      </c>
      <c r="E104" s="49">
        <f>AVERAGE('19.10 Busembatya-Butongole 24h'!E104,'21.10 Busembatya-Butongole-24h'!E104)</f>
        <v>0</v>
      </c>
      <c r="F104" s="49">
        <f>AVERAGE('19.10 Busembatya-Butongole 24h'!F104,'21.10 Busembatya-Butongole-24h'!F104)</f>
        <v>3</v>
      </c>
      <c r="G104" s="49">
        <f>AVERAGE('19.10 Busembatya-Butongole 24h'!G104,'21.10 Busembatya-Butongole-24h'!G104)</f>
        <v>0</v>
      </c>
      <c r="H104" s="49">
        <f>AVERAGE('19.10 Busembatya-Butongole 24h'!H104,'21.10 Busembatya-Butongole-24h'!H104)</f>
        <v>0</v>
      </c>
      <c r="I104" s="49">
        <f>AVERAGE('19.10 Busembatya-Butongole 24h'!I104,'21.10 Busembatya-Butongole-24h'!I104)</f>
        <v>0</v>
      </c>
      <c r="J104" s="49">
        <f>AVERAGE('19.10 Busembatya-Butongole 24h'!J104,'21.10 Busembatya-Butongole-24h'!J104)</f>
        <v>0</v>
      </c>
      <c r="K104" s="49">
        <f>AVERAGE('19.10 Busembatya-Butongole 24h'!K104,'21.10 Busembatya-Butongole-24h'!K104)</f>
        <v>0</v>
      </c>
      <c r="L104" s="49">
        <f>AVERAGE('19.10 Busembatya-Butongole 24h'!L104,'21.10 Busembatya-Butongole-24h'!L104)</f>
        <v>0</v>
      </c>
      <c r="M104" s="49">
        <f>AVERAGE('19.10 Busembatya-Butongole 24h'!M104,'21.10 Busembatya-Butongole-24h'!M104)</f>
        <v>4</v>
      </c>
      <c r="N104" s="49">
        <f>AVERAGE('19.10 Busembatya-Butongole 24h'!N104,'21.10 Busembatya-Butongole-24h'!N104)</f>
        <v>0</v>
      </c>
      <c r="O104" s="15">
        <f t="shared" si="35"/>
        <v>6.5</v>
      </c>
      <c r="P104" s="15">
        <f t="shared" si="36"/>
        <v>10.5</v>
      </c>
      <c r="R104" s="8"/>
      <c r="T104"/>
    </row>
    <row r="105" spans="2:20" ht="23.1" customHeight="1" x14ac:dyDescent="0.25">
      <c r="B105" s="23" t="s">
        <v>145</v>
      </c>
      <c r="C105" s="49">
        <f>AVERAGE('19.10 Busembatya-Butongole 24h'!C105,'21.10 Busembatya-Butongole-24h'!C105)</f>
        <v>1.5</v>
      </c>
      <c r="D105" s="49">
        <f>AVERAGE('19.10 Busembatya-Butongole 24h'!D105,'21.10 Busembatya-Butongole-24h'!D105)</f>
        <v>0.5</v>
      </c>
      <c r="E105" s="49">
        <f>AVERAGE('19.10 Busembatya-Butongole 24h'!E105,'21.10 Busembatya-Butongole-24h'!E105)</f>
        <v>1</v>
      </c>
      <c r="F105" s="49">
        <f>AVERAGE('19.10 Busembatya-Butongole 24h'!F105,'21.10 Busembatya-Butongole-24h'!F105)</f>
        <v>8</v>
      </c>
      <c r="G105" s="49">
        <f>AVERAGE('19.10 Busembatya-Butongole 24h'!G105,'21.10 Busembatya-Butongole-24h'!G105)</f>
        <v>0</v>
      </c>
      <c r="H105" s="49">
        <f>AVERAGE('19.10 Busembatya-Butongole 24h'!H105,'21.10 Busembatya-Butongole-24h'!H105)</f>
        <v>0</v>
      </c>
      <c r="I105" s="49">
        <f>AVERAGE('19.10 Busembatya-Butongole 24h'!I105,'21.10 Busembatya-Butongole-24h'!I105)</f>
        <v>0.5</v>
      </c>
      <c r="J105" s="49">
        <f>AVERAGE('19.10 Busembatya-Butongole 24h'!J105,'21.10 Busembatya-Butongole-24h'!J105)</f>
        <v>0</v>
      </c>
      <c r="K105" s="49">
        <f>AVERAGE('19.10 Busembatya-Butongole 24h'!K105,'21.10 Busembatya-Butongole-24h'!K105)</f>
        <v>2</v>
      </c>
      <c r="L105" s="49">
        <f>AVERAGE('19.10 Busembatya-Butongole 24h'!L105,'21.10 Busembatya-Butongole-24h'!L105)</f>
        <v>0</v>
      </c>
      <c r="M105" s="49">
        <f>AVERAGE('19.10 Busembatya-Butongole 24h'!M105,'21.10 Busembatya-Butongole-24h'!M105)</f>
        <v>10</v>
      </c>
      <c r="N105" s="49">
        <f>AVERAGE('19.10 Busembatya-Butongole 24h'!N105,'21.10 Busembatya-Butongole-24h'!N105)</f>
        <v>0</v>
      </c>
      <c r="O105" s="15">
        <f t="shared" si="35"/>
        <v>13.5</v>
      </c>
      <c r="P105" s="15">
        <f t="shared" si="36"/>
        <v>23.5</v>
      </c>
      <c r="R105" s="8"/>
      <c r="T105"/>
    </row>
    <row r="106" spans="2:20" ht="23.1" customHeight="1" x14ac:dyDescent="0.25">
      <c r="B106" s="26" t="s">
        <v>18</v>
      </c>
      <c r="C106" s="16">
        <f>SUM(C10:C105)</f>
        <v>299.07142857142856</v>
      </c>
      <c r="D106" s="16">
        <f t="shared" ref="D106:P106" si="37">SUM(D10:D105)</f>
        <v>108.5</v>
      </c>
      <c r="E106" s="16">
        <f t="shared" si="37"/>
        <v>127.00000000000001</v>
      </c>
      <c r="F106" s="16">
        <f t="shared" si="37"/>
        <v>531.07142857142844</v>
      </c>
      <c r="G106" s="16">
        <f t="shared" si="37"/>
        <v>22.214285714285715</v>
      </c>
      <c r="H106" s="16">
        <f t="shared" si="37"/>
        <v>35.857142857142861</v>
      </c>
      <c r="I106" s="16">
        <f t="shared" si="37"/>
        <v>108.14285714285712</v>
      </c>
      <c r="J106" s="16">
        <f t="shared" si="37"/>
        <v>58.357142857142847</v>
      </c>
      <c r="K106" s="16">
        <f t="shared" si="37"/>
        <v>78.714285714285694</v>
      </c>
      <c r="L106" s="16">
        <f t="shared" si="37"/>
        <v>18.714285714285712</v>
      </c>
      <c r="M106" s="16">
        <f t="shared" si="37"/>
        <v>564.78571428571433</v>
      </c>
      <c r="N106" s="16">
        <f t="shared" si="37"/>
        <v>2.8571428571428563</v>
      </c>
      <c r="O106" s="16">
        <f t="shared" si="37"/>
        <v>1390.5</v>
      </c>
      <c r="P106" s="16">
        <f t="shared" si="37"/>
        <v>1955.2857142857142</v>
      </c>
      <c r="R106" s="8"/>
      <c r="T106"/>
    </row>
    <row r="107" spans="2:20" ht="23.1" customHeight="1" x14ac:dyDescent="0.25">
      <c r="B107" s="26" t="s">
        <v>93</v>
      </c>
      <c r="C107" s="43">
        <f t="shared" ref="C107:N107" si="38">C106/$P$106</f>
        <v>0.15295535909987579</v>
      </c>
      <c r="D107" s="43">
        <f t="shared" si="38"/>
        <v>5.5490611529188286E-2</v>
      </c>
      <c r="E107" s="43">
        <f t="shared" si="38"/>
        <v>6.4952144370570619E-2</v>
      </c>
      <c r="F107" s="43">
        <f t="shared" si="38"/>
        <v>0.2716080952728866</v>
      </c>
      <c r="G107" s="43">
        <f t="shared" si="38"/>
        <v>1.136114561262512E-2</v>
      </c>
      <c r="H107" s="43">
        <f t="shared" si="38"/>
        <v>1.8338569445459196E-2</v>
      </c>
      <c r="I107" s="43">
        <f t="shared" si="38"/>
        <v>5.530795645503031E-2</v>
      </c>
      <c r="J107" s="43">
        <f t="shared" si="38"/>
        <v>2.9845839117410677E-2</v>
      </c>
      <c r="K107" s="43">
        <f t="shared" si="38"/>
        <v>4.0257178344414397E-2</v>
      </c>
      <c r="L107" s="43">
        <f t="shared" si="38"/>
        <v>9.5711258858771093E-3</v>
      </c>
      <c r="M107" s="43">
        <f t="shared" si="38"/>
        <v>0.28885073427339814</v>
      </c>
      <c r="N107" s="43">
        <f t="shared" si="38"/>
        <v>1.4612405932636805E-3</v>
      </c>
      <c r="R107" s="8"/>
      <c r="T107"/>
    </row>
    <row r="108" spans="2:20" ht="23.1" customHeight="1" x14ac:dyDescent="0.25">
      <c r="B108" s="42" t="s">
        <v>94</v>
      </c>
      <c r="C108" s="44">
        <f>C106/$O$106</f>
        <v>0.21508193352853547</v>
      </c>
      <c r="D108" s="44">
        <f t="shared" ref="D108:N108" si="39">D106/$O$106</f>
        <v>7.8029485796476089E-2</v>
      </c>
      <c r="E108" s="44">
        <f t="shared" si="39"/>
        <v>9.1334052499101051E-2</v>
      </c>
      <c r="F108" s="44">
        <f t="shared" si="39"/>
        <v>0.38192839163712938</v>
      </c>
      <c r="G108" s="44">
        <f t="shared" si="39"/>
        <v>1.5975753839831512E-2</v>
      </c>
      <c r="H108" s="44">
        <f t="shared" si="39"/>
        <v>2.5787229670724818E-2</v>
      </c>
      <c r="I108" s="44">
        <f t="shared" si="39"/>
        <v>7.7772640879436986E-2</v>
      </c>
      <c r="J108" s="44">
        <f t="shared" si="39"/>
        <v>4.1968459444187589E-2</v>
      </c>
      <c r="K108" s="44">
        <f t="shared" si="39"/>
        <v>5.6608619715415816E-2</v>
      </c>
      <c r="L108" s="44">
        <f t="shared" si="39"/>
        <v>1.3458673652848408E-2</v>
      </c>
      <c r="M108" s="44"/>
      <c r="N108" s="44">
        <f t="shared" si="39"/>
        <v>2.0547593363127339E-3</v>
      </c>
      <c r="Q108" s="7"/>
      <c r="R108" s="8"/>
      <c r="T108"/>
    </row>
    <row r="109" spans="2:20" ht="20.100000000000001" customHeight="1" x14ac:dyDescent="0.25">
      <c r="B109" s="3"/>
      <c r="C109" s="18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Q109" s="7"/>
      <c r="R109" s="8"/>
      <c r="T109"/>
    </row>
    <row r="110" spans="2:20" ht="20.100000000000001" customHeight="1" x14ac:dyDescent="0.25">
      <c r="B110" s="3"/>
      <c r="C110" s="18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Q110" s="7"/>
      <c r="R110" s="8"/>
      <c r="T110"/>
    </row>
    <row r="111" spans="2:20" ht="20.100000000000001" customHeight="1" x14ac:dyDescent="0.25">
      <c r="B111" s="3"/>
      <c r="C111" s="18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Q111" s="7"/>
    </row>
    <row r="112" spans="2:20" ht="20.100000000000001" customHeight="1" x14ac:dyDescent="0.25">
      <c r="B112" s="3"/>
      <c r="C112" s="18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Q112" s="7"/>
    </row>
    <row r="113" spans="2:20" s="7" customFormat="1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/>
      <c r="P113"/>
      <c r="S113" s="8"/>
      <c r="T113" s="8"/>
    </row>
    <row r="114" spans="2:20" s="7" customFormat="1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/>
      <c r="P114"/>
      <c r="S114" s="8"/>
      <c r="T114" s="8"/>
    </row>
    <row r="115" spans="2:20" s="7" customFormat="1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/>
      <c r="P115"/>
      <c r="S115" s="8"/>
      <c r="T115" s="8"/>
    </row>
    <row r="116" spans="2:20" s="7" customFormat="1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/>
      <c r="P116"/>
      <c r="S116" s="8"/>
      <c r="T116" s="8"/>
    </row>
    <row r="117" spans="2:20" s="7" customFormat="1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/>
      <c r="P117"/>
      <c r="S117" s="8"/>
      <c r="T117" s="8"/>
    </row>
    <row r="118" spans="2:20" s="7" customFormat="1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/>
      <c r="P118"/>
      <c r="S118" s="8"/>
      <c r="T118" s="8"/>
    </row>
    <row r="119" spans="2:20" s="7" customFormat="1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/>
      <c r="P119"/>
      <c r="S119" s="8"/>
      <c r="T119" s="8"/>
    </row>
    <row r="120" spans="2:20" s="7" customFormat="1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/>
      <c r="P120"/>
      <c r="S120" s="8"/>
      <c r="T120" s="8"/>
    </row>
    <row r="121" spans="2:20" s="7" customFormat="1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/>
      <c r="P121"/>
      <c r="S121" s="8"/>
      <c r="T121" s="8"/>
    </row>
    <row r="122" spans="2:20" s="7" customFormat="1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/>
      <c r="P122"/>
      <c r="S122" s="8"/>
      <c r="T122" s="8"/>
    </row>
    <row r="123" spans="2:20" s="7" customFormat="1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/>
      <c r="P123"/>
      <c r="S123" s="8"/>
      <c r="T123" s="8"/>
    </row>
    <row r="124" spans="2:20" s="7" customFormat="1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/>
      <c r="P124"/>
      <c r="S124" s="8"/>
      <c r="T124" s="8"/>
    </row>
    <row r="125" spans="2:20" s="7" customFormat="1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/>
      <c r="P125"/>
      <c r="Q125"/>
      <c r="S125" s="8"/>
      <c r="T125" s="8"/>
    </row>
    <row r="126" spans="2:20" s="7" customFormat="1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/>
      <c r="P126"/>
      <c r="Q126"/>
      <c r="S126" s="8"/>
      <c r="T126" s="8"/>
    </row>
    <row r="127" spans="2:20" s="7" customFormat="1" ht="20.100000000000001" customHeight="1" x14ac:dyDescent="0.25"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/>
      <c r="P127"/>
      <c r="Q127"/>
      <c r="S127" s="8"/>
      <c r="T127" s="8"/>
    </row>
    <row r="128" spans="2:20" s="7" customFormat="1" ht="20.100000000000001" customHeight="1" x14ac:dyDescent="0.25"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/>
      <c r="P128"/>
      <c r="Q128"/>
      <c r="S128" s="8"/>
      <c r="T128" s="8"/>
    </row>
    <row r="129" spans="2:14" ht="20.100000000000001" customHeight="1" x14ac:dyDescent="0.25"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</row>
    <row r="130" spans="2:14" ht="20.100000000000001" customHeight="1" x14ac:dyDescent="0.25"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</row>
    <row r="131" spans="2:14" ht="20.100000000000001" customHeight="1" x14ac:dyDescent="0.25"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</row>
    <row r="132" spans="2:14" ht="20.100000000000001" customHeight="1" x14ac:dyDescent="0.25"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</row>
    <row r="133" spans="2:14" ht="20.100000000000001" customHeight="1" x14ac:dyDescent="0.25"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</row>
    <row r="134" spans="2:14" ht="20.100000000000001" customHeight="1" x14ac:dyDescent="0.25"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</row>
    <row r="135" spans="2:14" ht="20.100000000000001" customHeight="1" x14ac:dyDescent="0.25"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</row>
    <row r="136" spans="2:14" ht="20.100000000000001" customHeight="1" x14ac:dyDescent="0.25"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</row>
    <row r="137" spans="2:14" ht="20.100000000000001" customHeight="1" x14ac:dyDescent="0.25"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</row>
    <row r="138" spans="2:14" ht="20.100000000000001" customHeight="1" x14ac:dyDescent="0.25"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</row>
    <row r="139" spans="2:14" ht="20.100000000000001" customHeight="1" x14ac:dyDescent="0.25"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</row>
    <row r="140" spans="2:14" ht="20.100000000000001" customHeight="1" x14ac:dyDescent="0.25"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</row>
    <row r="141" spans="2:14" ht="20.100000000000001" customHeight="1" x14ac:dyDescent="0.25"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</row>
    <row r="142" spans="2:14" ht="20.100000000000001" customHeight="1" x14ac:dyDescent="0.25"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</row>
    <row r="143" spans="2:14" ht="20.100000000000001" customHeight="1" x14ac:dyDescent="0.25"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</row>
    <row r="144" spans="2:14" ht="20.100000000000001" customHeight="1" x14ac:dyDescent="0.25"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</row>
    <row r="145" spans="2:14" ht="20.100000000000001" customHeight="1" x14ac:dyDescent="0.25"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</row>
    <row r="146" spans="2:14" ht="20.100000000000001" customHeight="1" x14ac:dyDescent="0.25"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</row>
    <row r="147" spans="2:14" ht="20.100000000000001" customHeight="1" x14ac:dyDescent="0.25"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</row>
    <row r="148" spans="2:14" ht="20.100000000000001" customHeight="1" x14ac:dyDescent="0.25"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</row>
    <row r="149" spans="2:14" ht="20.100000000000001" customHeight="1" x14ac:dyDescent="0.25"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</row>
    <row r="150" spans="2:14" ht="20.100000000000001" customHeight="1" x14ac:dyDescent="0.25"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</row>
    <row r="151" spans="2:14" ht="20.100000000000001" customHeight="1" x14ac:dyDescent="0.25"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</row>
    <row r="152" spans="2:14" ht="22.5" customHeight="1" x14ac:dyDescent="0.25"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</row>
    <row r="153" spans="2:14" ht="20.100000000000001" customHeight="1" x14ac:dyDescent="0.25"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</row>
    <row r="154" spans="2:14" ht="20.100000000000001" customHeight="1" x14ac:dyDescent="0.25"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</row>
    <row r="155" spans="2:14" ht="20.100000000000001" customHeight="1" x14ac:dyDescent="0.25"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</row>
    <row r="156" spans="2:14" ht="20.100000000000001" customHeight="1" x14ac:dyDescent="0.25"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</row>
    <row r="157" spans="2:14" ht="20.100000000000001" customHeight="1" x14ac:dyDescent="0.25"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</row>
    <row r="158" spans="2:14" ht="20.100000000000001" customHeight="1" x14ac:dyDescent="0.25"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</row>
    <row r="159" spans="2:14" ht="20.100000000000001" customHeight="1" x14ac:dyDescent="0.25"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</row>
    <row r="160" spans="2:14" ht="20.100000000000001" customHeight="1" x14ac:dyDescent="0.25"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</row>
    <row r="161" spans="2:14" ht="20.100000000000001" customHeight="1" x14ac:dyDescent="0.25"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</row>
    <row r="162" spans="2:14" ht="20.100000000000001" customHeight="1" x14ac:dyDescent="0.25"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</row>
    <row r="163" spans="2:14" ht="20.100000000000001" customHeight="1" x14ac:dyDescent="0.25"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</row>
    <row r="164" spans="2:14" ht="20.100000000000001" customHeight="1" x14ac:dyDescent="0.25"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</row>
    <row r="165" spans="2:14" ht="20.100000000000001" customHeight="1" x14ac:dyDescent="0.25"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</row>
    <row r="166" spans="2:14" ht="20.100000000000001" customHeight="1" x14ac:dyDescent="0.25"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</row>
    <row r="167" spans="2:14" ht="20.100000000000001" customHeight="1" x14ac:dyDescent="0.25"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</row>
    <row r="168" spans="2:14" ht="20.100000000000001" customHeight="1" x14ac:dyDescent="0.25"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</row>
    <row r="169" spans="2:14" ht="20.100000000000001" customHeight="1" x14ac:dyDescent="0.25"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</row>
    <row r="170" spans="2:14" ht="20.100000000000001" customHeight="1" x14ac:dyDescent="0.25"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</row>
    <row r="171" spans="2:14" ht="20.100000000000001" customHeight="1" x14ac:dyDescent="0.25"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</row>
    <row r="172" spans="2:14" ht="20.100000000000001" customHeight="1" x14ac:dyDescent="0.25"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</row>
    <row r="173" spans="2:14" ht="20.100000000000001" customHeight="1" x14ac:dyDescent="0.25"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</row>
    <row r="174" spans="2:14" ht="20.100000000000001" customHeight="1" x14ac:dyDescent="0.25"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</row>
  </sheetData>
  <mergeCells count="10">
    <mergeCell ref="R8:AF8"/>
    <mergeCell ref="D6:E6"/>
    <mergeCell ref="K5:L5"/>
    <mergeCell ref="K6:L6"/>
    <mergeCell ref="D5:E5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21" orientation="landscape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9" tint="-0.249977111117893"/>
  </sheetPr>
  <dimension ref="B1:AF174"/>
  <sheetViews>
    <sheetView view="pageBreakPreview" zoomScale="60" workbookViewId="0">
      <selection activeCell="S102" sqref="S102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60" t="s">
        <v>23</v>
      </c>
      <c r="C1" s="60"/>
      <c r="D1" s="60"/>
      <c r="E1" s="60"/>
      <c r="F1" s="60"/>
      <c r="G1" s="60"/>
      <c r="H1" s="60"/>
      <c r="I1" s="60"/>
      <c r="J1" s="60"/>
      <c r="K1" s="60"/>
      <c r="L1" s="60"/>
      <c r="M1" s="60"/>
      <c r="N1" s="60"/>
      <c r="O1" s="60"/>
      <c r="P1" s="60"/>
      <c r="Q1" s="60"/>
      <c r="R1" s="60"/>
      <c r="S1" s="60"/>
      <c r="T1" s="60"/>
      <c r="U1" s="60"/>
      <c r="V1" s="60"/>
      <c r="W1" s="60"/>
      <c r="X1" s="60"/>
      <c r="Y1" s="60"/>
      <c r="Z1" s="60"/>
      <c r="AA1" s="60"/>
      <c r="AB1" s="60"/>
      <c r="AC1" s="60"/>
      <c r="AD1" s="60"/>
      <c r="AE1" s="60"/>
    </row>
    <row r="2" spans="2:32" ht="20.100000000000001" customHeight="1" x14ac:dyDescent="0.25">
      <c r="B2" s="61" t="s">
        <v>95</v>
      </c>
      <c r="C2" s="61"/>
      <c r="D2" s="61"/>
      <c r="E2" s="61"/>
      <c r="F2" s="61"/>
      <c r="G2" s="61"/>
      <c r="H2" s="61"/>
      <c r="I2" s="61"/>
      <c r="J2" s="61"/>
      <c r="K2" s="61"/>
      <c r="L2" s="61"/>
      <c r="M2" s="61"/>
      <c r="N2" s="61"/>
      <c r="O2" s="61"/>
      <c r="P2" s="61"/>
      <c r="Q2" s="61"/>
      <c r="R2" s="61"/>
      <c r="S2" s="61"/>
      <c r="T2" s="61"/>
      <c r="U2" s="61"/>
      <c r="V2" s="61"/>
      <c r="W2" s="61"/>
      <c r="X2" s="61"/>
      <c r="Y2" s="61"/>
      <c r="Z2" s="61"/>
      <c r="AA2" s="61"/>
      <c r="AB2" s="61"/>
      <c r="AC2" s="61"/>
      <c r="AD2" s="61"/>
      <c r="AE2" s="61"/>
    </row>
    <row r="3" spans="2:32" ht="20.100000000000001" customHeight="1" x14ac:dyDescent="0.25">
      <c r="B3" s="22" t="s">
        <v>96</v>
      </c>
      <c r="C3" s="63" t="str">
        <f>'23.10 Butongole-Busembatya'!C3:G3</f>
        <v>BUTONGOLE-BUSEMBATYA</v>
      </c>
      <c r="D3" s="63"/>
      <c r="E3" s="63"/>
      <c r="F3" s="63"/>
      <c r="G3" s="63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66" t="s">
        <v>163</v>
      </c>
      <c r="E5" s="67"/>
      <c r="F5" s="41" t="s">
        <v>1</v>
      </c>
      <c r="G5" s="64" t="str">
        <f>'23.10 Butongole-Busembatya'!G5:H5</f>
        <v>NAMALEMBA</v>
      </c>
      <c r="H5" s="65"/>
      <c r="I5" s="14"/>
      <c r="J5" s="2" t="s">
        <v>5</v>
      </c>
      <c r="K5" s="64" t="str">
        <f>'23.10 Butongole-Busembatya'!K5:L5</f>
        <v>Atukoi Joshua</v>
      </c>
      <c r="L5" s="65"/>
      <c r="M5" s="10"/>
      <c r="N5" s="10"/>
      <c r="O5" s="3"/>
      <c r="P5" s="3"/>
    </row>
    <row r="6" spans="2:32" ht="23.25" customHeight="1" x14ac:dyDescent="0.25">
      <c r="C6" s="2" t="s">
        <v>4</v>
      </c>
      <c r="D6" s="64" t="str">
        <f>'23.10 Butongole-Busembatya'!D6:E6</f>
        <v>Butongole</v>
      </c>
      <c r="E6" s="65"/>
      <c r="F6" s="2" t="s">
        <v>2</v>
      </c>
      <c r="G6" s="64" t="str">
        <f>'23.10 Butongole-Busembatya'!G6:H6</f>
        <v>Busembatya</v>
      </c>
      <c r="H6" s="65"/>
      <c r="J6" s="2" t="s">
        <v>21</v>
      </c>
      <c r="K6" s="64" t="str">
        <f>'23.10 Butongole-Busembatya'!K6:L6</f>
        <v>Turyahabwe Norman</v>
      </c>
      <c r="L6" s="65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9" t="s">
        <v>88</v>
      </c>
      <c r="S8" s="59"/>
      <c r="T8" s="59"/>
      <c r="U8" s="59"/>
      <c r="V8" s="59"/>
      <c r="W8" s="59"/>
      <c r="X8" s="59"/>
      <c r="Y8" s="59"/>
      <c r="Z8" s="59"/>
      <c r="AA8" s="59"/>
      <c r="AB8" s="59"/>
      <c r="AC8" s="59"/>
      <c r="AD8" s="59"/>
      <c r="AE8" s="59"/>
      <c r="AF8" s="59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49">
        <f>AVERAGE('17.10 Butongole-Busembatya'!C10,'18.10 Butongole-Busembatya'!C10,'20.10 Butongole-Busembatya'!C10,'22.10 Butongole-Busembatya'!C10,'19.10 Busembatya-Butongole 24h'!C10,'21.10 -Butongole-Bsembatya-24h'!C10,'23.10 Butongole-Busembatya'!C10)</f>
        <v>2.5714285714285716</v>
      </c>
      <c r="D10" s="49">
        <f>AVERAGE('17.10 Butongole-Busembatya'!D10,'18.10 Butongole-Busembatya'!D10,'20.10 Butongole-Busembatya'!D10,'22.10 Butongole-Busembatya'!D10,'19.10 Busembatya-Butongole 24h'!D10,'21.10 -Butongole-Bsembatya-24h'!D10,'23.10 Butongole-Busembatya'!D10)</f>
        <v>1.8571428571428572</v>
      </c>
      <c r="E10" s="49">
        <f>AVERAGE('17.10 Butongole-Busembatya'!E10,'18.10 Butongole-Busembatya'!E10,'20.10 Butongole-Busembatya'!E10,'22.10 Butongole-Busembatya'!E10,'19.10 Busembatya-Butongole 24h'!E10,'21.10 -Butongole-Bsembatya-24h'!E10,'23.10 Butongole-Busembatya'!E10)</f>
        <v>2.2857142857142856</v>
      </c>
      <c r="F10" s="49">
        <f>AVERAGE('17.10 Butongole-Busembatya'!F10,'18.10 Butongole-Busembatya'!F10,'20.10 Butongole-Busembatya'!F10,'22.10 Butongole-Busembatya'!F10,'19.10 Busembatya-Butongole 24h'!F10,'21.10 -Butongole-Bsembatya-24h'!F10,'23.10 Butongole-Busembatya'!F10)</f>
        <v>2.4285714285714284</v>
      </c>
      <c r="G10" s="49">
        <f>AVERAGE('17.10 Butongole-Busembatya'!G10,'18.10 Butongole-Busembatya'!G10,'20.10 Butongole-Busembatya'!G10,'22.10 Butongole-Busembatya'!G10,'19.10 Busembatya-Butongole 24h'!G10,'21.10 -Butongole-Bsembatya-24h'!G10,'23.10 Butongole-Busembatya'!G10)</f>
        <v>0</v>
      </c>
      <c r="H10" s="49">
        <f>AVERAGE('17.10 Butongole-Busembatya'!H10,'18.10 Butongole-Busembatya'!H10,'20.10 Butongole-Busembatya'!H10,'22.10 Butongole-Busembatya'!H10,'19.10 Busembatya-Butongole 24h'!H10,'21.10 -Butongole-Bsembatya-24h'!H10,'23.10 Butongole-Busembatya'!H10)</f>
        <v>0.42857142857142855</v>
      </c>
      <c r="I10" s="49">
        <f>AVERAGE('17.10 Butongole-Busembatya'!I10,'18.10 Butongole-Busembatya'!I10,'20.10 Butongole-Busembatya'!I10,'22.10 Butongole-Busembatya'!I10,'19.10 Busembatya-Butongole 24h'!I10,'21.10 -Butongole-Bsembatya-24h'!I10,'23.10 Butongole-Busembatya'!I10)</f>
        <v>1.5714285714285714</v>
      </c>
      <c r="J10" s="49">
        <f>AVERAGE('17.10 Butongole-Busembatya'!J10,'18.10 Butongole-Busembatya'!J10,'20.10 Butongole-Busembatya'!J10,'22.10 Butongole-Busembatya'!J10,'19.10 Busembatya-Butongole 24h'!J10,'21.10 -Butongole-Bsembatya-24h'!J10,'23.10 Butongole-Busembatya'!J10)</f>
        <v>0.8571428571428571</v>
      </c>
      <c r="K10" s="49">
        <f>AVERAGE('17.10 Butongole-Busembatya'!K10,'18.10 Butongole-Busembatya'!K10,'20.10 Butongole-Busembatya'!K10,'22.10 Butongole-Busembatya'!K10,'19.10 Busembatya-Butongole 24h'!K10,'21.10 -Butongole-Bsembatya-24h'!K10,'23.10 Butongole-Busembatya'!K10)</f>
        <v>0.2857142857142857</v>
      </c>
      <c r="L10" s="49">
        <f>AVERAGE('17.10 Butongole-Busembatya'!L10,'18.10 Butongole-Busembatya'!L10,'20.10 Butongole-Busembatya'!L10,'22.10 Butongole-Busembatya'!L10,'19.10 Busembatya-Butongole 24h'!L10,'21.10 -Butongole-Bsembatya-24h'!L10,'23.10 Butongole-Busembatya'!L10)</f>
        <v>0.2857142857142857</v>
      </c>
      <c r="M10" s="49">
        <f>AVERAGE('17.10 Butongole-Busembatya'!M10,'18.10 Butongole-Busembatya'!M10,'20.10 Butongole-Busembatya'!M10,'22.10 Butongole-Busembatya'!M10,'19.10 Busembatya-Butongole 24h'!M10,'21.10 -Butongole-Bsembatya-24h'!M10,'23.10 Butongole-Busembatya'!M10)</f>
        <v>7.5714285714285712</v>
      </c>
      <c r="N10" s="49">
        <f>AVERAGE('17.10 Butongole-Busembatya'!N10,'18.10 Butongole-Busembatya'!N10,'20.10 Butongole-Busembatya'!N10,'22.10 Butongole-Busembatya'!N10,'19.10 Busembatya-Butongole 24h'!N10,'21.10 -Butongole-Bsembatya-24h'!N10,'23.10 Butongole-Busembatya'!N10)</f>
        <v>0</v>
      </c>
      <c r="O10" s="15">
        <f t="shared" ref="O10:O73" si="0">SUM(C10:L10,N10)</f>
        <v>12.571428571428573</v>
      </c>
      <c r="P10" s="15">
        <f t="shared" ref="P10:P73" si="1">SUM(C10:N10)</f>
        <v>20.142857142857146</v>
      </c>
      <c r="R10" s="1" t="s">
        <v>6</v>
      </c>
      <c r="S10" s="17">
        <f t="shared" ref="S10:AF10" si="2">SUM(C10:C13)</f>
        <v>9</v>
      </c>
      <c r="T10" s="17">
        <f t="shared" si="2"/>
        <v>4.5714285714285712</v>
      </c>
      <c r="U10" s="17">
        <f t="shared" si="2"/>
        <v>7.1428571428571432</v>
      </c>
      <c r="V10" s="17">
        <f t="shared" si="2"/>
        <v>14.714285714285715</v>
      </c>
      <c r="W10" s="17">
        <f t="shared" si="2"/>
        <v>0.2857142857142857</v>
      </c>
      <c r="X10" s="17">
        <f t="shared" si="2"/>
        <v>1.4285714285714284</v>
      </c>
      <c r="Y10" s="17">
        <f t="shared" si="2"/>
        <v>4.5714285714285712</v>
      </c>
      <c r="Z10" s="17">
        <f t="shared" si="2"/>
        <v>4.2857142857142856</v>
      </c>
      <c r="AA10" s="17">
        <f t="shared" si="2"/>
        <v>2</v>
      </c>
      <c r="AB10" s="17">
        <f t="shared" si="2"/>
        <v>1.5714285714285714</v>
      </c>
      <c r="AC10" s="17">
        <f t="shared" si="2"/>
        <v>36.285714285714285</v>
      </c>
      <c r="AD10" s="17">
        <f t="shared" si="2"/>
        <v>0</v>
      </c>
      <c r="AE10" s="31">
        <f t="shared" si="2"/>
        <v>49.571428571428569</v>
      </c>
      <c r="AF10" s="31">
        <f t="shared" si="2"/>
        <v>85.857142857142861</v>
      </c>
    </row>
    <row r="11" spans="2:32" s="6" customFormat="1" ht="23.1" customHeight="1" x14ac:dyDescent="0.25">
      <c r="B11" s="23" t="s">
        <v>38</v>
      </c>
      <c r="C11" s="49">
        <f>AVERAGE('17.10 Butongole-Busembatya'!C11,'18.10 Butongole-Busembatya'!C11,'20.10 Butongole-Busembatya'!C11,'22.10 Butongole-Busembatya'!C11,'19.10 Busembatya-Butongole 24h'!C11,'21.10 -Butongole-Bsembatya-24h'!C11,'23.10 Butongole-Busembatya'!C11)</f>
        <v>1.4285714285714286</v>
      </c>
      <c r="D11" s="49">
        <f>AVERAGE('17.10 Butongole-Busembatya'!D11,'18.10 Butongole-Busembatya'!D11,'20.10 Butongole-Busembatya'!D11,'22.10 Butongole-Busembatya'!D11,'19.10 Busembatya-Butongole 24h'!D11,'21.10 -Butongole-Bsembatya-24h'!D11,'23.10 Butongole-Busembatya'!D11)</f>
        <v>1.1428571428571428</v>
      </c>
      <c r="E11" s="49">
        <f>AVERAGE('17.10 Butongole-Busembatya'!E11,'18.10 Butongole-Busembatya'!E11,'20.10 Butongole-Busembatya'!E11,'22.10 Butongole-Busembatya'!E11,'19.10 Busembatya-Butongole 24h'!E11,'21.10 -Butongole-Bsembatya-24h'!E11,'23.10 Butongole-Busembatya'!E11)</f>
        <v>0.8571428571428571</v>
      </c>
      <c r="F11" s="49">
        <f>AVERAGE('17.10 Butongole-Busembatya'!F11,'18.10 Butongole-Busembatya'!F11,'20.10 Butongole-Busembatya'!F11,'22.10 Butongole-Busembatya'!F11,'19.10 Busembatya-Butongole 24h'!F11,'21.10 -Butongole-Bsembatya-24h'!F11,'23.10 Butongole-Busembatya'!F11)</f>
        <v>2.8571428571428572</v>
      </c>
      <c r="G11" s="49">
        <f>AVERAGE('17.10 Butongole-Busembatya'!G11,'18.10 Butongole-Busembatya'!G11,'20.10 Butongole-Busembatya'!G11,'22.10 Butongole-Busembatya'!G11,'19.10 Busembatya-Butongole 24h'!G11,'21.10 -Butongole-Bsembatya-24h'!G11,'23.10 Butongole-Busembatya'!G11)</f>
        <v>0</v>
      </c>
      <c r="H11" s="49">
        <f>AVERAGE('17.10 Butongole-Busembatya'!H11,'18.10 Butongole-Busembatya'!H11,'20.10 Butongole-Busembatya'!H11,'22.10 Butongole-Busembatya'!H11,'19.10 Busembatya-Butongole 24h'!H11,'21.10 -Butongole-Bsembatya-24h'!H11,'23.10 Butongole-Busembatya'!H11)</f>
        <v>0.2857142857142857</v>
      </c>
      <c r="I11" s="49">
        <f>AVERAGE('17.10 Butongole-Busembatya'!I11,'18.10 Butongole-Busembatya'!I11,'20.10 Butongole-Busembatya'!I11,'22.10 Butongole-Busembatya'!I11,'19.10 Busembatya-Butongole 24h'!I11,'21.10 -Butongole-Bsembatya-24h'!I11,'23.10 Butongole-Busembatya'!I11)</f>
        <v>1.1428571428571428</v>
      </c>
      <c r="J11" s="49">
        <f>AVERAGE('17.10 Butongole-Busembatya'!J11,'18.10 Butongole-Busembatya'!J11,'20.10 Butongole-Busembatya'!J11,'22.10 Butongole-Busembatya'!J11,'19.10 Busembatya-Butongole 24h'!J11,'21.10 -Butongole-Bsembatya-24h'!J11,'23.10 Butongole-Busembatya'!J11)</f>
        <v>1.1428571428571428</v>
      </c>
      <c r="K11" s="49">
        <f>AVERAGE('17.10 Butongole-Busembatya'!K11,'18.10 Butongole-Busembatya'!K11,'20.10 Butongole-Busembatya'!K11,'22.10 Butongole-Busembatya'!K11,'19.10 Busembatya-Butongole 24h'!K11,'21.10 -Butongole-Bsembatya-24h'!K11,'23.10 Butongole-Busembatya'!K11)</f>
        <v>0.8571428571428571</v>
      </c>
      <c r="L11" s="49">
        <f>AVERAGE('17.10 Butongole-Busembatya'!L11,'18.10 Butongole-Busembatya'!L11,'20.10 Butongole-Busembatya'!L11,'22.10 Butongole-Busembatya'!L11,'19.10 Busembatya-Butongole 24h'!L11,'21.10 -Butongole-Bsembatya-24h'!L11,'23.10 Butongole-Busembatya'!L11)</f>
        <v>0</v>
      </c>
      <c r="M11" s="49">
        <f>AVERAGE('17.10 Butongole-Busembatya'!M11,'18.10 Butongole-Busembatya'!M11,'20.10 Butongole-Busembatya'!M11,'22.10 Butongole-Busembatya'!M11,'19.10 Busembatya-Butongole 24h'!M11,'21.10 -Butongole-Bsembatya-24h'!M11,'23.10 Butongole-Busembatya'!M11)</f>
        <v>8.7142857142857135</v>
      </c>
      <c r="N11" s="49">
        <f>AVERAGE('17.10 Butongole-Busembatya'!N11,'18.10 Butongole-Busembatya'!N11,'20.10 Butongole-Busembatya'!N11,'22.10 Butongole-Busembatya'!N11,'19.10 Busembatya-Butongole 24h'!N11,'21.10 -Butongole-Bsembatya-24h'!N11,'23.10 Butongole-Busembatya'!N11)</f>
        <v>0</v>
      </c>
      <c r="O11" s="15">
        <f t="shared" si="0"/>
        <v>9.7142857142857135</v>
      </c>
      <c r="P11" s="15">
        <f t="shared" si="1"/>
        <v>18.428571428571427</v>
      </c>
      <c r="R11" s="1" t="s">
        <v>7</v>
      </c>
      <c r="S11" s="17">
        <f t="shared" ref="S11:AF11" si="3">SUM(C14:C17)</f>
        <v>11.571428571428573</v>
      </c>
      <c r="T11" s="17">
        <f t="shared" si="3"/>
        <v>7</v>
      </c>
      <c r="U11" s="17">
        <f t="shared" si="3"/>
        <v>8.2857142857142865</v>
      </c>
      <c r="V11" s="17">
        <f t="shared" si="3"/>
        <v>21.142857142857142</v>
      </c>
      <c r="W11" s="17">
        <f t="shared" si="3"/>
        <v>0.42857142857142855</v>
      </c>
      <c r="X11" s="17">
        <f t="shared" si="3"/>
        <v>0.5714285714285714</v>
      </c>
      <c r="Y11" s="17">
        <f t="shared" si="3"/>
        <v>5.1428571428571423</v>
      </c>
      <c r="Z11" s="17">
        <f t="shared" si="3"/>
        <v>3.8571428571428568</v>
      </c>
      <c r="AA11" s="17">
        <f t="shared" si="3"/>
        <v>3.1428571428571428</v>
      </c>
      <c r="AB11" s="17">
        <f t="shared" si="3"/>
        <v>0.2857142857142857</v>
      </c>
      <c r="AC11" s="17">
        <f t="shared" si="3"/>
        <v>42.857142857142861</v>
      </c>
      <c r="AD11" s="17">
        <f t="shared" si="3"/>
        <v>0</v>
      </c>
      <c r="AE11" s="31">
        <f t="shared" si="3"/>
        <v>61.428571428571416</v>
      </c>
      <c r="AF11" s="31">
        <f t="shared" si="3"/>
        <v>104.28571428571428</v>
      </c>
    </row>
    <row r="12" spans="2:32" ht="23.1" customHeight="1" x14ac:dyDescent="0.25">
      <c r="B12" s="23" t="s">
        <v>39</v>
      </c>
      <c r="C12" s="49">
        <f>AVERAGE('17.10 Butongole-Busembatya'!C12,'18.10 Butongole-Busembatya'!C12,'20.10 Butongole-Busembatya'!C12,'22.10 Butongole-Busembatya'!C12,'19.10 Busembatya-Butongole 24h'!C12,'21.10 -Butongole-Bsembatya-24h'!C12,'23.10 Butongole-Busembatya'!C12)</f>
        <v>2.4285714285714284</v>
      </c>
      <c r="D12" s="49">
        <f>AVERAGE('17.10 Butongole-Busembatya'!D12,'18.10 Butongole-Busembatya'!D12,'20.10 Butongole-Busembatya'!D12,'22.10 Butongole-Busembatya'!D12,'19.10 Busembatya-Butongole 24h'!D12,'21.10 -Butongole-Bsembatya-24h'!D12,'23.10 Butongole-Busembatya'!D12)</f>
        <v>0.7142857142857143</v>
      </c>
      <c r="E12" s="49">
        <f>AVERAGE('17.10 Butongole-Busembatya'!E12,'18.10 Butongole-Busembatya'!E12,'20.10 Butongole-Busembatya'!E12,'22.10 Butongole-Busembatya'!E12,'19.10 Busembatya-Butongole 24h'!E12,'21.10 -Butongole-Bsembatya-24h'!E12,'23.10 Butongole-Busembatya'!E12)</f>
        <v>2.2857142857142856</v>
      </c>
      <c r="F12" s="49">
        <f>AVERAGE('17.10 Butongole-Busembatya'!F12,'18.10 Butongole-Busembatya'!F12,'20.10 Butongole-Busembatya'!F12,'22.10 Butongole-Busembatya'!F12,'19.10 Busembatya-Butongole 24h'!F12,'21.10 -Butongole-Bsembatya-24h'!F12,'23.10 Butongole-Busembatya'!F12)</f>
        <v>4.5714285714285712</v>
      </c>
      <c r="G12" s="49">
        <f>AVERAGE('17.10 Butongole-Busembatya'!G12,'18.10 Butongole-Busembatya'!G12,'20.10 Butongole-Busembatya'!G12,'22.10 Butongole-Busembatya'!G12,'19.10 Busembatya-Butongole 24h'!G12,'21.10 -Butongole-Bsembatya-24h'!G12,'23.10 Butongole-Busembatya'!G12)</f>
        <v>0.14285714285714285</v>
      </c>
      <c r="H12" s="49">
        <f>AVERAGE('17.10 Butongole-Busembatya'!H12,'18.10 Butongole-Busembatya'!H12,'20.10 Butongole-Busembatya'!H12,'22.10 Butongole-Busembatya'!H12,'19.10 Busembatya-Butongole 24h'!H12,'21.10 -Butongole-Bsembatya-24h'!H12,'23.10 Butongole-Busembatya'!H12)</f>
        <v>0.14285714285714285</v>
      </c>
      <c r="I12" s="49">
        <f>AVERAGE('17.10 Butongole-Busembatya'!I12,'18.10 Butongole-Busembatya'!I12,'20.10 Butongole-Busembatya'!I12,'22.10 Butongole-Busembatya'!I12,'19.10 Busembatya-Butongole 24h'!I12,'21.10 -Butongole-Bsembatya-24h'!I12,'23.10 Butongole-Busembatya'!I12)</f>
        <v>0.7142857142857143</v>
      </c>
      <c r="J12" s="49">
        <f>AVERAGE('17.10 Butongole-Busembatya'!J12,'18.10 Butongole-Busembatya'!J12,'20.10 Butongole-Busembatya'!J12,'22.10 Butongole-Busembatya'!J12,'19.10 Busembatya-Butongole 24h'!J12,'21.10 -Butongole-Bsembatya-24h'!J12,'23.10 Butongole-Busembatya'!J12)</f>
        <v>0.8571428571428571</v>
      </c>
      <c r="K12" s="49">
        <f>AVERAGE('17.10 Butongole-Busembatya'!K12,'18.10 Butongole-Busembatya'!K12,'20.10 Butongole-Busembatya'!K12,'22.10 Butongole-Busembatya'!K12,'19.10 Busembatya-Butongole 24h'!K12,'21.10 -Butongole-Bsembatya-24h'!K12,'23.10 Butongole-Busembatya'!K12)</f>
        <v>0.42857142857142855</v>
      </c>
      <c r="L12" s="49">
        <f>AVERAGE('17.10 Butongole-Busembatya'!L12,'18.10 Butongole-Busembatya'!L12,'20.10 Butongole-Busembatya'!L12,'22.10 Butongole-Busembatya'!L12,'19.10 Busembatya-Butongole 24h'!L12,'21.10 -Butongole-Bsembatya-24h'!L12,'23.10 Butongole-Busembatya'!L12)</f>
        <v>0.5714285714285714</v>
      </c>
      <c r="M12" s="49">
        <f>AVERAGE('17.10 Butongole-Busembatya'!M12,'18.10 Butongole-Busembatya'!M12,'20.10 Butongole-Busembatya'!M12,'22.10 Butongole-Busembatya'!M12,'19.10 Busembatya-Butongole 24h'!M12,'21.10 -Butongole-Bsembatya-24h'!M12,'23.10 Butongole-Busembatya'!M12)</f>
        <v>8.7142857142857135</v>
      </c>
      <c r="N12" s="49">
        <f>AVERAGE('17.10 Butongole-Busembatya'!N12,'18.10 Butongole-Busembatya'!N12,'20.10 Butongole-Busembatya'!N12,'22.10 Butongole-Busembatya'!N12,'19.10 Busembatya-Butongole 24h'!N12,'21.10 -Butongole-Bsembatya-24h'!N12,'23.10 Butongole-Busembatya'!N12)</f>
        <v>0</v>
      </c>
      <c r="O12" s="15">
        <f t="shared" si="0"/>
        <v>12.857142857142856</v>
      </c>
      <c r="P12" s="15">
        <f t="shared" si="1"/>
        <v>21.571428571428569</v>
      </c>
      <c r="R12" s="1" t="s">
        <v>8</v>
      </c>
      <c r="S12" s="17">
        <f t="shared" ref="S12:AF12" si="4">SUM(C18:C21)</f>
        <v>13.428571428571429</v>
      </c>
      <c r="T12" s="17">
        <f t="shared" si="4"/>
        <v>7.2857142857142856</v>
      </c>
      <c r="U12" s="17">
        <f t="shared" si="4"/>
        <v>11.857142857142858</v>
      </c>
      <c r="V12" s="17">
        <f t="shared" si="4"/>
        <v>32.571428571428569</v>
      </c>
      <c r="W12" s="17">
        <f t="shared" si="4"/>
        <v>0.42857142857142855</v>
      </c>
      <c r="X12" s="17">
        <f t="shared" si="4"/>
        <v>1.1428571428571428</v>
      </c>
      <c r="Y12" s="17">
        <f t="shared" si="4"/>
        <v>3.8571428571428572</v>
      </c>
      <c r="Z12" s="17">
        <f t="shared" si="4"/>
        <v>5.4285714285714279</v>
      </c>
      <c r="AA12" s="17">
        <f t="shared" si="4"/>
        <v>3.4285714285714288</v>
      </c>
      <c r="AB12" s="17">
        <f t="shared" si="4"/>
        <v>2.1428571428571428</v>
      </c>
      <c r="AC12" s="17">
        <f t="shared" si="4"/>
        <v>43.857142857142861</v>
      </c>
      <c r="AD12" s="17">
        <f t="shared" si="4"/>
        <v>0</v>
      </c>
      <c r="AE12" s="31">
        <f t="shared" si="4"/>
        <v>81.571428571428569</v>
      </c>
      <c r="AF12" s="31">
        <f t="shared" si="4"/>
        <v>125.42857142857143</v>
      </c>
    </row>
    <row r="13" spans="2:32" ht="23.1" customHeight="1" x14ac:dyDescent="0.25">
      <c r="B13" s="23" t="s">
        <v>40</v>
      </c>
      <c r="C13" s="49">
        <f>AVERAGE('17.10 Butongole-Busembatya'!C13,'18.10 Butongole-Busembatya'!C13,'20.10 Butongole-Busembatya'!C13,'22.10 Butongole-Busembatya'!C13,'19.10 Busembatya-Butongole 24h'!C13,'21.10 -Butongole-Bsembatya-24h'!C13,'23.10 Butongole-Busembatya'!C13)</f>
        <v>2.5714285714285716</v>
      </c>
      <c r="D13" s="49">
        <f>AVERAGE('17.10 Butongole-Busembatya'!D13,'18.10 Butongole-Busembatya'!D13,'20.10 Butongole-Busembatya'!D13,'22.10 Butongole-Busembatya'!D13,'19.10 Busembatya-Butongole 24h'!D13,'21.10 -Butongole-Bsembatya-24h'!D13,'23.10 Butongole-Busembatya'!D13)</f>
        <v>0.8571428571428571</v>
      </c>
      <c r="E13" s="49">
        <f>AVERAGE('17.10 Butongole-Busembatya'!E13,'18.10 Butongole-Busembatya'!E13,'20.10 Butongole-Busembatya'!E13,'22.10 Butongole-Busembatya'!E13,'19.10 Busembatya-Butongole 24h'!E13,'21.10 -Butongole-Bsembatya-24h'!E13,'23.10 Butongole-Busembatya'!E13)</f>
        <v>1.7142857142857142</v>
      </c>
      <c r="F13" s="49">
        <f>AVERAGE('17.10 Butongole-Busembatya'!F13,'18.10 Butongole-Busembatya'!F13,'20.10 Butongole-Busembatya'!F13,'22.10 Butongole-Busembatya'!F13,'19.10 Busembatya-Butongole 24h'!F13,'21.10 -Butongole-Bsembatya-24h'!F13,'23.10 Butongole-Busembatya'!F13)</f>
        <v>4.8571428571428568</v>
      </c>
      <c r="G13" s="49">
        <f>AVERAGE('17.10 Butongole-Busembatya'!G13,'18.10 Butongole-Busembatya'!G13,'20.10 Butongole-Busembatya'!G13,'22.10 Butongole-Busembatya'!G13,'19.10 Busembatya-Butongole 24h'!G13,'21.10 -Butongole-Bsembatya-24h'!G13,'23.10 Butongole-Busembatya'!G13)</f>
        <v>0.14285714285714285</v>
      </c>
      <c r="H13" s="49">
        <f>AVERAGE('17.10 Butongole-Busembatya'!H13,'18.10 Butongole-Busembatya'!H13,'20.10 Butongole-Busembatya'!H13,'22.10 Butongole-Busembatya'!H13,'19.10 Busembatya-Butongole 24h'!H13,'21.10 -Butongole-Bsembatya-24h'!H13,'23.10 Butongole-Busembatya'!H13)</f>
        <v>0.5714285714285714</v>
      </c>
      <c r="I13" s="49">
        <f>AVERAGE('17.10 Butongole-Busembatya'!I13,'18.10 Butongole-Busembatya'!I13,'20.10 Butongole-Busembatya'!I13,'22.10 Butongole-Busembatya'!I13,'19.10 Busembatya-Butongole 24h'!I13,'21.10 -Butongole-Bsembatya-24h'!I13,'23.10 Butongole-Busembatya'!I13)</f>
        <v>1.1428571428571428</v>
      </c>
      <c r="J13" s="49">
        <f>AVERAGE('17.10 Butongole-Busembatya'!J13,'18.10 Butongole-Busembatya'!J13,'20.10 Butongole-Busembatya'!J13,'22.10 Butongole-Busembatya'!J13,'19.10 Busembatya-Butongole 24h'!J13,'21.10 -Butongole-Bsembatya-24h'!J13,'23.10 Butongole-Busembatya'!J13)</f>
        <v>1.4285714285714286</v>
      </c>
      <c r="K13" s="49">
        <f>AVERAGE('17.10 Butongole-Busembatya'!K13,'18.10 Butongole-Busembatya'!K13,'20.10 Butongole-Busembatya'!K13,'22.10 Butongole-Busembatya'!K13,'19.10 Busembatya-Butongole 24h'!K13,'21.10 -Butongole-Bsembatya-24h'!K13,'23.10 Butongole-Busembatya'!K13)</f>
        <v>0.42857142857142855</v>
      </c>
      <c r="L13" s="49">
        <f>AVERAGE('17.10 Butongole-Busembatya'!L13,'18.10 Butongole-Busembatya'!L13,'20.10 Butongole-Busembatya'!L13,'22.10 Butongole-Busembatya'!L13,'19.10 Busembatya-Butongole 24h'!L13,'21.10 -Butongole-Bsembatya-24h'!L13,'23.10 Butongole-Busembatya'!L13)</f>
        <v>0.7142857142857143</v>
      </c>
      <c r="M13" s="49">
        <f>AVERAGE('17.10 Butongole-Busembatya'!M13,'18.10 Butongole-Busembatya'!M13,'20.10 Butongole-Busembatya'!M13,'22.10 Butongole-Busembatya'!M13,'19.10 Busembatya-Butongole 24h'!M13,'21.10 -Butongole-Bsembatya-24h'!M13,'23.10 Butongole-Busembatya'!M13)</f>
        <v>11.285714285714286</v>
      </c>
      <c r="N13" s="49">
        <f>AVERAGE('17.10 Butongole-Busembatya'!N13,'18.10 Butongole-Busembatya'!N13,'20.10 Butongole-Busembatya'!N13,'22.10 Butongole-Busembatya'!N13,'19.10 Busembatya-Butongole 24h'!N13,'21.10 -Butongole-Bsembatya-24h'!N13,'23.10 Butongole-Busembatya'!N13)</f>
        <v>0</v>
      </c>
      <c r="O13" s="15">
        <f t="shared" si="0"/>
        <v>14.428571428571427</v>
      </c>
      <c r="P13" s="15">
        <f t="shared" si="1"/>
        <v>25.714285714285715</v>
      </c>
      <c r="R13" s="1" t="s">
        <v>9</v>
      </c>
      <c r="S13" s="17">
        <f t="shared" ref="S13:AF13" si="5">SUM(C22:C25)</f>
        <v>15.142857142857142</v>
      </c>
      <c r="T13" s="17">
        <f t="shared" si="5"/>
        <v>11</v>
      </c>
      <c r="U13" s="17">
        <f t="shared" si="5"/>
        <v>9.571428571428573</v>
      </c>
      <c r="V13" s="17">
        <f t="shared" si="5"/>
        <v>36.571428571428569</v>
      </c>
      <c r="W13" s="17">
        <f t="shared" si="5"/>
        <v>0.5714285714285714</v>
      </c>
      <c r="X13" s="17">
        <f t="shared" si="5"/>
        <v>0.5714285714285714</v>
      </c>
      <c r="Y13" s="17">
        <f t="shared" si="5"/>
        <v>3.8571428571428568</v>
      </c>
      <c r="Z13" s="17">
        <f t="shared" si="5"/>
        <v>6</v>
      </c>
      <c r="AA13" s="17">
        <f t="shared" si="5"/>
        <v>2.2857142857142856</v>
      </c>
      <c r="AB13" s="17">
        <f t="shared" si="5"/>
        <v>1.857142857142857</v>
      </c>
      <c r="AC13" s="17">
        <f t="shared" si="5"/>
        <v>47.571428571428577</v>
      </c>
      <c r="AD13" s="17">
        <f t="shared" si="5"/>
        <v>0.2857142857142857</v>
      </c>
      <c r="AE13" s="31">
        <f t="shared" si="5"/>
        <v>87.714285714285694</v>
      </c>
      <c r="AF13" s="31">
        <f t="shared" si="5"/>
        <v>135.28571428571428</v>
      </c>
    </row>
    <row r="14" spans="2:32" ht="23.1" customHeight="1" x14ac:dyDescent="0.25">
      <c r="B14" s="23" t="s">
        <v>41</v>
      </c>
      <c r="C14" s="49">
        <f>AVERAGE('17.10 Butongole-Busembatya'!C14,'18.10 Butongole-Busembatya'!C14,'20.10 Butongole-Busembatya'!C14,'22.10 Butongole-Busembatya'!C14,'19.10 Busembatya-Butongole 24h'!C14,'21.10 -Butongole-Bsembatya-24h'!C14,'23.10 Butongole-Busembatya'!C14)</f>
        <v>1.7142857142857142</v>
      </c>
      <c r="D14" s="49">
        <f>AVERAGE('17.10 Butongole-Busembatya'!D14,'18.10 Butongole-Busembatya'!D14,'20.10 Butongole-Busembatya'!D14,'22.10 Butongole-Busembatya'!D14,'19.10 Busembatya-Butongole 24h'!D14,'21.10 -Butongole-Bsembatya-24h'!D14,'23.10 Butongole-Busembatya'!D14)</f>
        <v>1.2857142857142858</v>
      </c>
      <c r="E14" s="49">
        <f>AVERAGE('17.10 Butongole-Busembatya'!E14,'18.10 Butongole-Busembatya'!E14,'20.10 Butongole-Busembatya'!E14,'22.10 Butongole-Busembatya'!E14,'19.10 Busembatya-Butongole 24h'!E14,'21.10 -Butongole-Bsembatya-24h'!E14,'23.10 Butongole-Busembatya'!E14)</f>
        <v>1.8571428571428572</v>
      </c>
      <c r="F14" s="49">
        <f>AVERAGE('17.10 Butongole-Busembatya'!F14,'18.10 Butongole-Busembatya'!F14,'20.10 Butongole-Busembatya'!F14,'22.10 Butongole-Busembatya'!F14,'19.10 Busembatya-Butongole 24h'!F14,'21.10 -Butongole-Bsembatya-24h'!F14,'23.10 Butongole-Busembatya'!F14)</f>
        <v>4.5714285714285712</v>
      </c>
      <c r="G14" s="49">
        <f>AVERAGE('17.10 Butongole-Busembatya'!G14,'18.10 Butongole-Busembatya'!G14,'20.10 Butongole-Busembatya'!G14,'22.10 Butongole-Busembatya'!G14,'19.10 Busembatya-Butongole 24h'!G14,'21.10 -Butongole-Bsembatya-24h'!G14,'23.10 Butongole-Busembatya'!G14)</f>
        <v>0</v>
      </c>
      <c r="H14" s="49">
        <f>AVERAGE('17.10 Butongole-Busembatya'!H14,'18.10 Butongole-Busembatya'!H14,'20.10 Butongole-Busembatya'!H14,'22.10 Butongole-Busembatya'!H14,'19.10 Busembatya-Butongole 24h'!H14,'21.10 -Butongole-Bsembatya-24h'!H14,'23.10 Butongole-Busembatya'!H14)</f>
        <v>0.2857142857142857</v>
      </c>
      <c r="I14" s="49">
        <f>AVERAGE('17.10 Butongole-Busembatya'!I14,'18.10 Butongole-Busembatya'!I14,'20.10 Butongole-Busembatya'!I14,'22.10 Butongole-Busembatya'!I14,'19.10 Busembatya-Butongole 24h'!I14,'21.10 -Butongole-Bsembatya-24h'!I14,'23.10 Butongole-Busembatya'!I14)</f>
        <v>1</v>
      </c>
      <c r="J14" s="49">
        <f>AVERAGE('17.10 Butongole-Busembatya'!J14,'18.10 Butongole-Busembatya'!J14,'20.10 Butongole-Busembatya'!J14,'22.10 Butongole-Busembatya'!J14,'19.10 Busembatya-Butongole 24h'!J14,'21.10 -Butongole-Bsembatya-24h'!J14,'23.10 Butongole-Busembatya'!J14)</f>
        <v>1</v>
      </c>
      <c r="K14" s="49">
        <f>AVERAGE('17.10 Butongole-Busembatya'!K14,'18.10 Butongole-Busembatya'!K14,'20.10 Butongole-Busembatya'!K14,'22.10 Butongole-Busembatya'!K14,'19.10 Busembatya-Butongole 24h'!K14,'21.10 -Butongole-Bsembatya-24h'!K14,'23.10 Butongole-Busembatya'!K14)</f>
        <v>0.7142857142857143</v>
      </c>
      <c r="L14" s="49">
        <f>AVERAGE('17.10 Butongole-Busembatya'!L14,'18.10 Butongole-Busembatya'!L14,'20.10 Butongole-Busembatya'!L14,'22.10 Butongole-Busembatya'!L14,'19.10 Busembatya-Butongole 24h'!L14,'21.10 -Butongole-Bsembatya-24h'!L14,'23.10 Butongole-Busembatya'!L14)</f>
        <v>0.2857142857142857</v>
      </c>
      <c r="M14" s="49">
        <f>AVERAGE('17.10 Butongole-Busembatya'!M14,'18.10 Butongole-Busembatya'!M14,'20.10 Butongole-Busembatya'!M14,'22.10 Butongole-Busembatya'!M14,'19.10 Busembatya-Butongole 24h'!M14,'21.10 -Butongole-Bsembatya-24h'!M14,'23.10 Butongole-Busembatya'!M14)</f>
        <v>12.571428571428571</v>
      </c>
      <c r="N14" s="49">
        <f>AVERAGE('17.10 Butongole-Busembatya'!N14,'18.10 Butongole-Busembatya'!N14,'20.10 Butongole-Busembatya'!N14,'22.10 Butongole-Busembatya'!N14,'19.10 Busembatya-Butongole 24h'!N14,'21.10 -Butongole-Bsembatya-24h'!N14,'23.10 Butongole-Busembatya'!N14)</f>
        <v>0</v>
      </c>
      <c r="O14" s="15">
        <f t="shared" si="0"/>
        <v>12.714285714285715</v>
      </c>
      <c r="P14" s="15">
        <f t="shared" si="1"/>
        <v>25.285714285714285</v>
      </c>
      <c r="R14" s="1" t="s">
        <v>10</v>
      </c>
      <c r="S14" s="17">
        <f t="shared" ref="S14:AF14" si="6">SUM(C26:C29)</f>
        <v>19.428571428571431</v>
      </c>
      <c r="T14" s="17">
        <f t="shared" si="6"/>
        <v>9.428571428571427</v>
      </c>
      <c r="U14" s="17">
        <f t="shared" si="6"/>
        <v>10</v>
      </c>
      <c r="V14" s="17">
        <f t="shared" si="6"/>
        <v>38.714285714285715</v>
      </c>
      <c r="W14" s="17">
        <f t="shared" si="6"/>
        <v>1.7142857142857144</v>
      </c>
      <c r="X14" s="17">
        <f t="shared" si="6"/>
        <v>1.1428571428571428</v>
      </c>
      <c r="Y14" s="17">
        <f t="shared" si="6"/>
        <v>4.4285714285714288</v>
      </c>
      <c r="Z14" s="17">
        <f t="shared" si="6"/>
        <v>4.8571428571428568</v>
      </c>
      <c r="AA14" s="17">
        <f t="shared" si="6"/>
        <v>3.2857142857142856</v>
      </c>
      <c r="AB14" s="17">
        <f t="shared" si="6"/>
        <v>2</v>
      </c>
      <c r="AC14" s="17">
        <f t="shared" si="6"/>
        <v>57</v>
      </c>
      <c r="AD14" s="17">
        <f t="shared" si="6"/>
        <v>0.8571428571428571</v>
      </c>
      <c r="AE14" s="31">
        <f t="shared" si="6"/>
        <v>95.857142857142847</v>
      </c>
      <c r="AF14" s="31">
        <f t="shared" si="6"/>
        <v>152.85714285714289</v>
      </c>
    </row>
    <row r="15" spans="2:32" ht="23.1" customHeight="1" x14ac:dyDescent="0.25">
      <c r="B15" s="23" t="s">
        <v>42</v>
      </c>
      <c r="C15" s="49">
        <f>AVERAGE('17.10 Butongole-Busembatya'!C15,'18.10 Butongole-Busembatya'!C15,'20.10 Butongole-Busembatya'!C15,'22.10 Butongole-Busembatya'!C15,'19.10 Busembatya-Butongole 24h'!C15,'21.10 -Butongole-Bsembatya-24h'!C15,'23.10 Butongole-Busembatya'!C15)</f>
        <v>2.7142857142857144</v>
      </c>
      <c r="D15" s="49">
        <f>AVERAGE('17.10 Butongole-Busembatya'!D15,'18.10 Butongole-Busembatya'!D15,'20.10 Butongole-Busembatya'!D15,'22.10 Butongole-Busembatya'!D15,'19.10 Busembatya-Butongole 24h'!D15,'21.10 -Butongole-Bsembatya-24h'!D15,'23.10 Butongole-Busembatya'!D15)</f>
        <v>1.1428571428571428</v>
      </c>
      <c r="E15" s="49">
        <f>AVERAGE('17.10 Butongole-Busembatya'!E15,'18.10 Butongole-Busembatya'!E15,'20.10 Butongole-Busembatya'!E15,'22.10 Butongole-Busembatya'!E15,'19.10 Busembatya-Butongole 24h'!E15,'21.10 -Butongole-Bsembatya-24h'!E15,'23.10 Butongole-Busembatya'!E15)</f>
        <v>1.8571428571428572</v>
      </c>
      <c r="F15" s="49">
        <f>AVERAGE('17.10 Butongole-Busembatya'!F15,'18.10 Butongole-Busembatya'!F15,'20.10 Butongole-Busembatya'!F15,'22.10 Butongole-Busembatya'!F15,'19.10 Busembatya-Butongole 24h'!F15,'21.10 -Butongole-Bsembatya-24h'!F15,'23.10 Butongole-Busembatya'!F15)</f>
        <v>4.7142857142857144</v>
      </c>
      <c r="G15" s="49">
        <f>AVERAGE('17.10 Butongole-Busembatya'!G15,'18.10 Butongole-Busembatya'!G15,'20.10 Butongole-Busembatya'!G15,'22.10 Butongole-Busembatya'!G15,'19.10 Busembatya-Butongole 24h'!G15,'21.10 -Butongole-Bsembatya-24h'!G15,'23.10 Butongole-Busembatya'!G15)</f>
        <v>0.14285714285714285</v>
      </c>
      <c r="H15" s="49">
        <f>AVERAGE('17.10 Butongole-Busembatya'!H15,'18.10 Butongole-Busembatya'!H15,'20.10 Butongole-Busembatya'!H15,'22.10 Butongole-Busembatya'!H15,'19.10 Busembatya-Butongole 24h'!H15,'21.10 -Butongole-Bsembatya-24h'!H15,'23.10 Butongole-Busembatya'!H15)</f>
        <v>0.14285714285714285</v>
      </c>
      <c r="I15" s="49">
        <f>AVERAGE('17.10 Butongole-Busembatya'!I15,'18.10 Butongole-Busembatya'!I15,'20.10 Butongole-Busembatya'!I15,'22.10 Butongole-Busembatya'!I15,'19.10 Busembatya-Butongole 24h'!I15,'21.10 -Butongole-Bsembatya-24h'!I15,'23.10 Butongole-Busembatya'!I15)</f>
        <v>1.1428571428571428</v>
      </c>
      <c r="J15" s="49">
        <f>AVERAGE('17.10 Butongole-Busembatya'!J15,'18.10 Butongole-Busembatya'!J15,'20.10 Butongole-Busembatya'!J15,'22.10 Butongole-Busembatya'!J15,'19.10 Busembatya-Butongole 24h'!J15,'21.10 -Butongole-Bsembatya-24h'!J15,'23.10 Butongole-Busembatya'!J15)</f>
        <v>0.8571428571428571</v>
      </c>
      <c r="K15" s="49">
        <f>AVERAGE('17.10 Butongole-Busembatya'!K15,'18.10 Butongole-Busembatya'!K15,'20.10 Butongole-Busembatya'!K15,'22.10 Butongole-Busembatya'!K15,'19.10 Busembatya-Butongole 24h'!K15,'21.10 -Butongole-Bsembatya-24h'!K15,'23.10 Butongole-Busembatya'!K15)</f>
        <v>0.2857142857142857</v>
      </c>
      <c r="L15" s="49">
        <f>AVERAGE('17.10 Butongole-Busembatya'!L15,'18.10 Butongole-Busembatya'!L15,'20.10 Butongole-Busembatya'!L15,'22.10 Butongole-Busembatya'!L15,'19.10 Busembatya-Butongole 24h'!L15,'21.10 -Butongole-Bsembatya-24h'!L15,'23.10 Butongole-Busembatya'!L15)</f>
        <v>0</v>
      </c>
      <c r="M15" s="49">
        <f>AVERAGE('17.10 Butongole-Busembatya'!M15,'18.10 Butongole-Busembatya'!M15,'20.10 Butongole-Busembatya'!M15,'22.10 Butongole-Busembatya'!M15,'19.10 Busembatya-Butongole 24h'!M15,'21.10 -Butongole-Bsembatya-24h'!M15,'23.10 Butongole-Busembatya'!M15)</f>
        <v>10.857142857142858</v>
      </c>
      <c r="N15" s="49">
        <f>AVERAGE('17.10 Butongole-Busembatya'!N15,'18.10 Butongole-Busembatya'!N15,'20.10 Butongole-Busembatya'!N15,'22.10 Butongole-Busembatya'!N15,'19.10 Busembatya-Butongole 24h'!N15,'21.10 -Butongole-Bsembatya-24h'!N15,'23.10 Butongole-Busembatya'!N15)</f>
        <v>0</v>
      </c>
      <c r="O15" s="15">
        <f t="shared" si="0"/>
        <v>13</v>
      </c>
      <c r="P15" s="15">
        <f t="shared" si="1"/>
        <v>23.857142857142858</v>
      </c>
      <c r="R15" s="1" t="s">
        <v>11</v>
      </c>
      <c r="S15" s="17">
        <f t="shared" ref="S15:AF15" si="7">SUM(C30:C33)</f>
        <v>19.285714285714285</v>
      </c>
      <c r="T15" s="17">
        <f t="shared" si="7"/>
        <v>9.2857142857142865</v>
      </c>
      <c r="U15" s="17">
        <f t="shared" si="7"/>
        <v>8.7142857142857135</v>
      </c>
      <c r="V15" s="17">
        <f t="shared" si="7"/>
        <v>42.857142857142861</v>
      </c>
      <c r="W15" s="17">
        <f t="shared" si="7"/>
        <v>2.1428571428571428</v>
      </c>
      <c r="X15" s="17">
        <f t="shared" si="7"/>
        <v>1.857142857142857</v>
      </c>
      <c r="Y15" s="17">
        <f t="shared" si="7"/>
        <v>4.4285714285714288</v>
      </c>
      <c r="Z15" s="17">
        <f t="shared" si="7"/>
        <v>5.8571428571428577</v>
      </c>
      <c r="AA15" s="17">
        <f t="shared" si="7"/>
        <v>3</v>
      </c>
      <c r="AB15" s="17">
        <f t="shared" si="7"/>
        <v>1.8571428571428572</v>
      </c>
      <c r="AC15" s="17">
        <f t="shared" si="7"/>
        <v>56.857142857142854</v>
      </c>
      <c r="AD15" s="17">
        <f t="shared" si="7"/>
        <v>0</v>
      </c>
      <c r="AE15" s="31">
        <f t="shared" si="7"/>
        <v>99.285714285714263</v>
      </c>
      <c r="AF15" s="31">
        <f t="shared" si="7"/>
        <v>156.14285714285714</v>
      </c>
    </row>
    <row r="16" spans="2:32" ht="23.1" customHeight="1" x14ac:dyDescent="0.25">
      <c r="B16" s="23" t="s">
        <v>43</v>
      </c>
      <c r="C16" s="49">
        <f>AVERAGE('17.10 Butongole-Busembatya'!C16,'18.10 Butongole-Busembatya'!C16,'20.10 Butongole-Busembatya'!C16,'22.10 Butongole-Busembatya'!C16,'19.10 Busembatya-Butongole 24h'!C16,'21.10 -Butongole-Bsembatya-24h'!C16,'23.10 Butongole-Busembatya'!C16)</f>
        <v>4.2857142857142856</v>
      </c>
      <c r="D16" s="49">
        <f>AVERAGE('17.10 Butongole-Busembatya'!D16,'18.10 Butongole-Busembatya'!D16,'20.10 Butongole-Busembatya'!D16,'22.10 Butongole-Busembatya'!D16,'19.10 Busembatya-Butongole 24h'!D16,'21.10 -Butongole-Bsembatya-24h'!D16,'23.10 Butongole-Busembatya'!D16)</f>
        <v>2.4285714285714284</v>
      </c>
      <c r="E16" s="49">
        <f>AVERAGE('17.10 Butongole-Busembatya'!E16,'18.10 Butongole-Busembatya'!E16,'20.10 Butongole-Busembatya'!E16,'22.10 Butongole-Busembatya'!E16,'19.10 Busembatya-Butongole 24h'!E16,'21.10 -Butongole-Bsembatya-24h'!E16,'23.10 Butongole-Busembatya'!E16)</f>
        <v>2.7142857142857144</v>
      </c>
      <c r="F16" s="49">
        <f>AVERAGE('17.10 Butongole-Busembatya'!F16,'18.10 Butongole-Busembatya'!F16,'20.10 Butongole-Busembatya'!F16,'22.10 Butongole-Busembatya'!F16,'19.10 Busembatya-Butongole 24h'!F16,'21.10 -Butongole-Bsembatya-24h'!F16,'23.10 Butongole-Busembatya'!F16)</f>
        <v>5.5714285714285712</v>
      </c>
      <c r="G16" s="49">
        <f>AVERAGE('17.10 Butongole-Busembatya'!G16,'18.10 Butongole-Busembatya'!G16,'20.10 Butongole-Busembatya'!G16,'22.10 Butongole-Busembatya'!G16,'19.10 Busembatya-Butongole 24h'!G16,'21.10 -Butongole-Bsembatya-24h'!G16,'23.10 Butongole-Busembatya'!G16)</f>
        <v>0</v>
      </c>
      <c r="H16" s="49">
        <f>AVERAGE('17.10 Butongole-Busembatya'!H16,'18.10 Butongole-Busembatya'!H16,'20.10 Butongole-Busembatya'!H16,'22.10 Butongole-Busembatya'!H16,'19.10 Busembatya-Butongole 24h'!H16,'21.10 -Butongole-Bsembatya-24h'!H16,'23.10 Butongole-Busembatya'!H16)</f>
        <v>0</v>
      </c>
      <c r="I16" s="49">
        <f>AVERAGE('17.10 Butongole-Busembatya'!I16,'18.10 Butongole-Busembatya'!I16,'20.10 Butongole-Busembatya'!I16,'22.10 Butongole-Busembatya'!I16,'19.10 Busembatya-Butongole 24h'!I16,'21.10 -Butongole-Bsembatya-24h'!I16,'23.10 Butongole-Busembatya'!I16)</f>
        <v>1.8571428571428572</v>
      </c>
      <c r="J16" s="49">
        <f>AVERAGE('17.10 Butongole-Busembatya'!J16,'18.10 Butongole-Busembatya'!J16,'20.10 Butongole-Busembatya'!J16,'22.10 Butongole-Busembatya'!J16,'19.10 Busembatya-Butongole 24h'!J16,'21.10 -Butongole-Bsembatya-24h'!J16,'23.10 Butongole-Busembatya'!J16)</f>
        <v>1.4285714285714286</v>
      </c>
      <c r="K16" s="49">
        <f>AVERAGE('17.10 Butongole-Busembatya'!K16,'18.10 Butongole-Busembatya'!K16,'20.10 Butongole-Busembatya'!K16,'22.10 Butongole-Busembatya'!K16,'19.10 Busembatya-Butongole 24h'!K16,'21.10 -Butongole-Bsembatya-24h'!K16,'23.10 Butongole-Busembatya'!K16)</f>
        <v>1.2857142857142858</v>
      </c>
      <c r="L16" s="49">
        <f>AVERAGE('17.10 Butongole-Busembatya'!L16,'18.10 Butongole-Busembatya'!L16,'20.10 Butongole-Busembatya'!L16,'22.10 Butongole-Busembatya'!L16,'19.10 Busembatya-Butongole 24h'!L16,'21.10 -Butongole-Bsembatya-24h'!L16,'23.10 Butongole-Busembatya'!L16)</f>
        <v>0</v>
      </c>
      <c r="M16" s="49">
        <f>AVERAGE('17.10 Butongole-Busembatya'!M16,'18.10 Butongole-Busembatya'!M16,'20.10 Butongole-Busembatya'!M16,'22.10 Butongole-Busembatya'!M16,'19.10 Busembatya-Butongole 24h'!M16,'21.10 -Butongole-Bsembatya-24h'!M16,'23.10 Butongole-Busembatya'!M16)</f>
        <v>11.714285714285714</v>
      </c>
      <c r="N16" s="49">
        <f>AVERAGE('17.10 Butongole-Busembatya'!N16,'18.10 Butongole-Busembatya'!N16,'20.10 Butongole-Busembatya'!N16,'22.10 Butongole-Busembatya'!N16,'19.10 Busembatya-Butongole 24h'!N16,'21.10 -Butongole-Bsembatya-24h'!N16,'23.10 Butongole-Busembatya'!N16)</f>
        <v>0</v>
      </c>
      <c r="O16" s="15">
        <f t="shared" si="0"/>
        <v>19.571428571428566</v>
      </c>
      <c r="P16" s="15">
        <f t="shared" si="1"/>
        <v>31.285714285714278</v>
      </c>
      <c r="R16" s="1" t="s">
        <v>12</v>
      </c>
      <c r="S16" s="17">
        <f t="shared" ref="S16:AF16" si="8">SUM(C34:C37)</f>
        <v>16.857142857142858</v>
      </c>
      <c r="T16" s="17">
        <f t="shared" si="8"/>
        <v>6.7142857142857135</v>
      </c>
      <c r="U16" s="17">
        <f t="shared" si="8"/>
        <v>9.1428571428571423</v>
      </c>
      <c r="V16" s="17">
        <f t="shared" si="8"/>
        <v>36.142857142857139</v>
      </c>
      <c r="W16" s="17">
        <f t="shared" si="8"/>
        <v>5.8571428571428559</v>
      </c>
      <c r="X16" s="17">
        <f t="shared" si="8"/>
        <v>1.1428571428571428</v>
      </c>
      <c r="Y16" s="17">
        <f t="shared" si="8"/>
        <v>5.7142857142857135</v>
      </c>
      <c r="Z16" s="17">
        <f t="shared" si="8"/>
        <v>3.714285714285714</v>
      </c>
      <c r="AA16" s="17">
        <f t="shared" si="8"/>
        <v>2.5714285714285712</v>
      </c>
      <c r="AB16" s="17">
        <f t="shared" si="8"/>
        <v>1</v>
      </c>
      <c r="AC16" s="17">
        <f t="shared" si="8"/>
        <v>50.571428571428569</v>
      </c>
      <c r="AD16" s="17">
        <f t="shared" si="8"/>
        <v>0.14285714285714285</v>
      </c>
      <c r="AE16" s="31">
        <f t="shared" si="8"/>
        <v>89</v>
      </c>
      <c r="AF16" s="31">
        <f t="shared" si="8"/>
        <v>139.57142857142858</v>
      </c>
    </row>
    <row r="17" spans="2:32" ht="23.1" customHeight="1" x14ac:dyDescent="0.25">
      <c r="B17" s="23" t="s">
        <v>44</v>
      </c>
      <c r="C17" s="49">
        <f>AVERAGE('17.10 Butongole-Busembatya'!C17,'18.10 Butongole-Busembatya'!C17,'20.10 Butongole-Busembatya'!C17,'22.10 Butongole-Busembatya'!C17,'19.10 Busembatya-Butongole 24h'!C17,'21.10 -Butongole-Bsembatya-24h'!C17,'23.10 Butongole-Busembatya'!C17)</f>
        <v>2.8571428571428572</v>
      </c>
      <c r="D17" s="49">
        <f>AVERAGE('17.10 Butongole-Busembatya'!D17,'18.10 Butongole-Busembatya'!D17,'20.10 Butongole-Busembatya'!D17,'22.10 Butongole-Busembatya'!D17,'19.10 Busembatya-Butongole 24h'!D17,'21.10 -Butongole-Bsembatya-24h'!D17,'23.10 Butongole-Busembatya'!D17)</f>
        <v>2.1428571428571428</v>
      </c>
      <c r="E17" s="49">
        <f>AVERAGE('17.10 Butongole-Busembatya'!E17,'18.10 Butongole-Busembatya'!E17,'20.10 Butongole-Busembatya'!E17,'22.10 Butongole-Busembatya'!E17,'19.10 Busembatya-Butongole 24h'!E17,'21.10 -Butongole-Bsembatya-24h'!E17,'23.10 Butongole-Busembatya'!E17)</f>
        <v>1.8571428571428572</v>
      </c>
      <c r="F17" s="49">
        <f>AVERAGE('17.10 Butongole-Busembatya'!F17,'18.10 Butongole-Busembatya'!F17,'20.10 Butongole-Busembatya'!F17,'22.10 Butongole-Busembatya'!F17,'19.10 Busembatya-Butongole 24h'!F17,'21.10 -Butongole-Bsembatya-24h'!F17,'23.10 Butongole-Busembatya'!F17)</f>
        <v>6.2857142857142856</v>
      </c>
      <c r="G17" s="49">
        <f>AVERAGE('17.10 Butongole-Busembatya'!G17,'18.10 Butongole-Busembatya'!G17,'20.10 Butongole-Busembatya'!G17,'22.10 Butongole-Busembatya'!G17,'19.10 Busembatya-Butongole 24h'!G17,'21.10 -Butongole-Bsembatya-24h'!G17,'23.10 Butongole-Busembatya'!G17)</f>
        <v>0.2857142857142857</v>
      </c>
      <c r="H17" s="49">
        <f>AVERAGE('17.10 Butongole-Busembatya'!H17,'18.10 Butongole-Busembatya'!H17,'20.10 Butongole-Busembatya'!H17,'22.10 Butongole-Busembatya'!H17,'19.10 Busembatya-Butongole 24h'!H17,'21.10 -Butongole-Bsembatya-24h'!H17,'23.10 Butongole-Busembatya'!H17)</f>
        <v>0.14285714285714285</v>
      </c>
      <c r="I17" s="49">
        <f>AVERAGE('17.10 Butongole-Busembatya'!I17,'18.10 Butongole-Busembatya'!I17,'20.10 Butongole-Busembatya'!I17,'22.10 Butongole-Busembatya'!I17,'19.10 Busembatya-Butongole 24h'!I17,'21.10 -Butongole-Bsembatya-24h'!I17,'23.10 Butongole-Busembatya'!I17)</f>
        <v>1.1428571428571428</v>
      </c>
      <c r="J17" s="49">
        <f>AVERAGE('17.10 Butongole-Busembatya'!J17,'18.10 Butongole-Busembatya'!J17,'20.10 Butongole-Busembatya'!J17,'22.10 Butongole-Busembatya'!J17,'19.10 Busembatya-Butongole 24h'!J17,'21.10 -Butongole-Bsembatya-24h'!J17,'23.10 Butongole-Busembatya'!J17)</f>
        <v>0.5714285714285714</v>
      </c>
      <c r="K17" s="49">
        <f>AVERAGE('17.10 Butongole-Busembatya'!K17,'18.10 Butongole-Busembatya'!K17,'20.10 Butongole-Busembatya'!K17,'22.10 Butongole-Busembatya'!K17,'19.10 Busembatya-Butongole 24h'!K17,'21.10 -Butongole-Bsembatya-24h'!K17,'23.10 Butongole-Busembatya'!K17)</f>
        <v>0.8571428571428571</v>
      </c>
      <c r="L17" s="49">
        <f>AVERAGE('17.10 Butongole-Busembatya'!L17,'18.10 Butongole-Busembatya'!L17,'20.10 Butongole-Busembatya'!L17,'22.10 Butongole-Busembatya'!L17,'19.10 Busembatya-Butongole 24h'!L17,'21.10 -Butongole-Bsembatya-24h'!L17,'23.10 Butongole-Busembatya'!L17)</f>
        <v>0</v>
      </c>
      <c r="M17" s="49">
        <f>AVERAGE('17.10 Butongole-Busembatya'!M17,'18.10 Butongole-Busembatya'!M17,'20.10 Butongole-Busembatya'!M17,'22.10 Butongole-Busembatya'!M17,'19.10 Busembatya-Butongole 24h'!M17,'21.10 -Butongole-Bsembatya-24h'!M17,'23.10 Butongole-Busembatya'!M17)</f>
        <v>7.7142857142857144</v>
      </c>
      <c r="N17" s="49">
        <f>AVERAGE('17.10 Butongole-Busembatya'!N17,'18.10 Butongole-Busembatya'!N17,'20.10 Butongole-Busembatya'!N17,'22.10 Butongole-Busembatya'!N17,'19.10 Busembatya-Butongole 24h'!N17,'21.10 -Butongole-Bsembatya-24h'!N17,'23.10 Butongole-Busembatya'!N17)</f>
        <v>0</v>
      </c>
      <c r="O17" s="15">
        <f t="shared" si="0"/>
        <v>16.142857142857142</v>
      </c>
      <c r="P17" s="15">
        <f t="shared" si="1"/>
        <v>23.857142857142858</v>
      </c>
      <c r="R17" s="1" t="s">
        <v>13</v>
      </c>
      <c r="S17" s="17">
        <f t="shared" ref="S17:AF17" si="9">SUM(C38:C41)</f>
        <v>17</v>
      </c>
      <c r="T17" s="17">
        <f t="shared" si="9"/>
        <v>7</v>
      </c>
      <c r="U17" s="17">
        <f t="shared" si="9"/>
        <v>9.2857142857142847</v>
      </c>
      <c r="V17" s="17">
        <f t="shared" si="9"/>
        <v>43.571428571428569</v>
      </c>
      <c r="W17" s="17">
        <f t="shared" si="9"/>
        <v>2.1428571428571428</v>
      </c>
      <c r="X17" s="17">
        <f t="shared" si="9"/>
        <v>1.4285714285714284</v>
      </c>
      <c r="Y17" s="17">
        <f t="shared" si="9"/>
        <v>4.8571428571428568</v>
      </c>
      <c r="Z17" s="17">
        <f t="shared" si="9"/>
        <v>5.2857142857142847</v>
      </c>
      <c r="AA17" s="17">
        <f t="shared" si="9"/>
        <v>2.714285714285714</v>
      </c>
      <c r="AB17" s="17">
        <f t="shared" si="9"/>
        <v>1.5714285714285716</v>
      </c>
      <c r="AC17" s="17">
        <f t="shared" si="9"/>
        <v>52</v>
      </c>
      <c r="AD17" s="17">
        <f t="shared" si="9"/>
        <v>0</v>
      </c>
      <c r="AE17" s="31">
        <f t="shared" si="9"/>
        <v>94.857142857142861</v>
      </c>
      <c r="AF17" s="31">
        <f t="shared" si="9"/>
        <v>146.85714285714289</v>
      </c>
    </row>
    <row r="18" spans="2:32" ht="23.1" customHeight="1" x14ac:dyDescent="0.25">
      <c r="B18" s="23" t="s">
        <v>45</v>
      </c>
      <c r="C18" s="49">
        <f>AVERAGE('17.10 Butongole-Busembatya'!C18,'18.10 Butongole-Busembatya'!C18,'20.10 Butongole-Busembatya'!C18,'22.10 Butongole-Busembatya'!C18,'19.10 Busembatya-Butongole 24h'!C18,'21.10 -Butongole-Bsembatya-24h'!C18,'23.10 Butongole-Busembatya'!C18)</f>
        <v>2.5714285714285716</v>
      </c>
      <c r="D18" s="49">
        <f>AVERAGE('17.10 Butongole-Busembatya'!D18,'18.10 Butongole-Busembatya'!D18,'20.10 Butongole-Busembatya'!D18,'22.10 Butongole-Busembatya'!D18,'19.10 Busembatya-Butongole 24h'!D18,'21.10 -Butongole-Bsembatya-24h'!D18,'23.10 Butongole-Busembatya'!D18)</f>
        <v>0.8571428571428571</v>
      </c>
      <c r="E18" s="49">
        <f>AVERAGE('17.10 Butongole-Busembatya'!E18,'18.10 Butongole-Busembatya'!E18,'20.10 Butongole-Busembatya'!E18,'22.10 Butongole-Busembatya'!E18,'19.10 Busembatya-Butongole 24h'!E18,'21.10 -Butongole-Bsembatya-24h'!E18,'23.10 Butongole-Busembatya'!E18)</f>
        <v>2.2857142857142856</v>
      </c>
      <c r="F18" s="49">
        <f>AVERAGE('17.10 Butongole-Busembatya'!F18,'18.10 Butongole-Busembatya'!F18,'20.10 Butongole-Busembatya'!F18,'22.10 Butongole-Busembatya'!F18,'19.10 Busembatya-Butongole 24h'!F18,'21.10 -Butongole-Bsembatya-24h'!F18,'23.10 Butongole-Busembatya'!F18)</f>
        <v>9.2857142857142865</v>
      </c>
      <c r="G18" s="49">
        <f>AVERAGE('17.10 Butongole-Busembatya'!G18,'18.10 Butongole-Busembatya'!G18,'20.10 Butongole-Busembatya'!G18,'22.10 Butongole-Busembatya'!G18,'19.10 Busembatya-Butongole 24h'!G18,'21.10 -Butongole-Bsembatya-24h'!G18,'23.10 Butongole-Busembatya'!G18)</f>
        <v>0.14285714285714285</v>
      </c>
      <c r="H18" s="49">
        <f>AVERAGE('17.10 Butongole-Busembatya'!H18,'18.10 Butongole-Busembatya'!H18,'20.10 Butongole-Busembatya'!H18,'22.10 Butongole-Busembatya'!H18,'19.10 Busembatya-Butongole 24h'!H18,'21.10 -Butongole-Bsembatya-24h'!H18,'23.10 Butongole-Busembatya'!H18)</f>
        <v>0.42857142857142855</v>
      </c>
      <c r="I18" s="49">
        <f>AVERAGE('17.10 Butongole-Busembatya'!I18,'18.10 Butongole-Busembatya'!I18,'20.10 Butongole-Busembatya'!I18,'22.10 Butongole-Busembatya'!I18,'19.10 Busembatya-Butongole 24h'!I18,'21.10 -Butongole-Bsembatya-24h'!I18,'23.10 Butongole-Busembatya'!I18)</f>
        <v>0.8571428571428571</v>
      </c>
      <c r="J18" s="49">
        <f>AVERAGE('17.10 Butongole-Busembatya'!J18,'18.10 Butongole-Busembatya'!J18,'20.10 Butongole-Busembatya'!J18,'22.10 Butongole-Busembatya'!J18,'19.10 Busembatya-Butongole 24h'!J18,'21.10 -Butongole-Bsembatya-24h'!J18,'23.10 Butongole-Busembatya'!J18)</f>
        <v>1.2857142857142858</v>
      </c>
      <c r="K18" s="49">
        <f>AVERAGE('17.10 Butongole-Busembatya'!K18,'18.10 Butongole-Busembatya'!K18,'20.10 Butongole-Busembatya'!K18,'22.10 Butongole-Busembatya'!K18,'19.10 Busembatya-Butongole 24h'!K18,'21.10 -Butongole-Bsembatya-24h'!K18,'23.10 Butongole-Busembatya'!K18)</f>
        <v>1.1428571428571428</v>
      </c>
      <c r="L18" s="49">
        <f>AVERAGE('17.10 Butongole-Busembatya'!L18,'18.10 Butongole-Busembatya'!L18,'20.10 Butongole-Busembatya'!L18,'22.10 Butongole-Busembatya'!L18,'19.10 Busembatya-Butongole 24h'!L18,'21.10 -Butongole-Bsembatya-24h'!L18,'23.10 Butongole-Busembatya'!L18)</f>
        <v>0.7142857142857143</v>
      </c>
      <c r="M18" s="49">
        <f>AVERAGE('17.10 Butongole-Busembatya'!M18,'18.10 Butongole-Busembatya'!M18,'20.10 Butongole-Busembatya'!M18,'22.10 Butongole-Busembatya'!M18,'19.10 Busembatya-Butongole 24h'!M18,'21.10 -Butongole-Bsembatya-24h'!M18,'23.10 Butongole-Busembatya'!M18)</f>
        <v>11.142857142857142</v>
      </c>
      <c r="N18" s="49">
        <f>AVERAGE('17.10 Butongole-Busembatya'!N18,'18.10 Butongole-Busembatya'!N18,'20.10 Butongole-Busembatya'!N18,'22.10 Butongole-Busembatya'!N18,'19.10 Busembatya-Butongole 24h'!N18,'21.10 -Butongole-Bsembatya-24h'!N18,'23.10 Butongole-Busembatya'!N18)</f>
        <v>0</v>
      </c>
      <c r="O18" s="15">
        <f t="shared" si="0"/>
        <v>19.571428571428569</v>
      </c>
      <c r="P18" s="15">
        <f t="shared" si="1"/>
        <v>30.714285714285712</v>
      </c>
      <c r="R18" s="1" t="s">
        <v>14</v>
      </c>
      <c r="S18" s="17">
        <f t="shared" ref="S18:AF18" si="10">SUM(C42:C45)</f>
        <v>17.571428571428569</v>
      </c>
      <c r="T18" s="17">
        <f t="shared" si="10"/>
        <v>7.4285714285714288</v>
      </c>
      <c r="U18" s="17">
        <f t="shared" si="10"/>
        <v>9.7142857142857135</v>
      </c>
      <c r="V18" s="17">
        <f t="shared" si="10"/>
        <v>43.714285714285715</v>
      </c>
      <c r="W18" s="17">
        <f t="shared" si="10"/>
        <v>2.4285714285714284</v>
      </c>
      <c r="X18" s="17">
        <f t="shared" si="10"/>
        <v>1.714285714285714</v>
      </c>
      <c r="Y18" s="17">
        <f t="shared" si="10"/>
        <v>3.8571428571428572</v>
      </c>
      <c r="Z18" s="17">
        <f t="shared" si="10"/>
        <v>5.1428571428571432</v>
      </c>
      <c r="AA18" s="17">
        <f t="shared" si="10"/>
        <v>3</v>
      </c>
      <c r="AB18" s="17">
        <f t="shared" si="10"/>
        <v>2.7142857142857144</v>
      </c>
      <c r="AC18" s="17">
        <f t="shared" si="10"/>
        <v>52.571428571428577</v>
      </c>
      <c r="AD18" s="17">
        <f t="shared" si="10"/>
        <v>0.2857142857142857</v>
      </c>
      <c r="AE18" s="31">
        <f t="shared" si="10"/>
        <v>97.571428571428569</v>
      </c>
      <c r="AF18" s="31">
        <f t="shared" si="10"/>
        <v>150.14285714285717</v>
      </c>
    </row>
    <row r="19" spans="2:32" ht="23.1" customHeight="1" x14ac:dyDescent="0.25">
      <c r="B19" s="23" t="s">
        <v>46</v>
      </c>
      <c r="C19" s="49">
        <f>AVERAGE('17.10 Butongole-Busembatya'!C19,'18.10 Butongole-Busembatya'!C19,'20.10 Butongole-Busembatya'!C19,'22.10 Butongole-Busembatya'!C19,'19.10 Busembatya-Butongole 24h'!C19,'21.10 -Butongole-Bsembatya-24h'!C19,'23.10 Butongole-Busembatya'!C19)</f>
        <v>4</v>
      </c>
      <c r="D19" s="49">
        <f>AVERAGE('17.10 Butongole-Busembatya'!D19,'18.10 Butongole-Busembatya'!D19,'20.10 Butongole-Busembatya'!D19,'22.10 Butongole-Busembatya'!D19,'19.10 Busembatya-Butongole 24h'!D19,'21.10 -Butongole-Bsembatya-24h'!D19,'23.10 Butongole-Busembatya'!D19)</f>
        <v>2.4285714285714284</v>
      </c>
      <c r="E19" s="49">
        <f>AVERAGE('17.10 Butongole-Busembatya'!E19,'18.10 Butongole-Busembatya'!E19,'20.10 Butongole-Busembatya'!E19,'22.10 Butongole-Busembatya'!E19,'19.10 Busembatya-Butongole 24h'!E19,'21.10 -Butongole-Bsembatya-24h'!E19,'23.10 Butongole-Busembatya'!E19)</f>
        <v>2.4285714285714284</v>
      </c>
      <c r="F19" s="49">
        <f>AVERAGE('17.10 Butongole-Busembatya'!F19,'18.10 Butongole-Busembatya'!F19,'20.10 Butongole-Busembatya'!F19,'22.10 Butongole-Busembatya'!F19,'19.10 Busembatya-Butongole 24h'!F19,'21.10 -Butongole-Bsembatya-24h'!F19,'23.10 Butongole-Busembatya'!F19)</f>
        <v>7.5714285714285712</v>
      </c>
      <c r="G19" s="49">
        <f>AVERAGE('17.10 Butongole-Busembatya'!G19,'18.10 Butongole-Busembatya'!G19,'20.10 Butongole-Busembatya'!G19,'22.10 Butongole-Busembatya'!G19,'19.10 Busembatya-Butongole 24h'!G19,'21.10 -Butongole-Bsembatya-24h'!G19,'23.10 Butongole-Busembatya'!G19)</f>
        <v>0.14285714285714285</v>
      </c>
      <c r="H19" s="49">
        <f>AVERAGE('17.10 Butongole-Busembatya'!H19,'18.10 Butongole-Busembatya'!H19,'20.10 Butongole-Busembatya'!H19,'22.10 Butongole-Busembatya'!H19,'19.10 Busembatya-Butongole 24h'!H19,'21.10 -Butongole-Bsembatya-24h'!H19,'23.10 Butongole-Busembatya'!H19)</f>
        <v>0.42857142857142855</v>
      </c>
      <c r="I19" s="49">
        <f>AVERAGE('17.10 Butongole-Busembatya'!I19,'18.10 Butongole-Busembatya'!I19,'20.10 Butongole-Busembatya'!I19,'22.10 Butongole-Busembatya'!I19,'19.10 Busembatya-Butongole 24h'!I19,'21.10 -Butongole-Bsembatya-24h'!I19,'23.10 Butongole-Busembatya'!I19)</f>
        <v>1.2857142857142858</v>
      </c>
      <c r="J19" s="49">
        <f>AVERAGE('17.10 Butongole-Busembatya'!J19,'18.10 Butongole-Busembatya'!J19,'20.10 Butongole-Busembatya'!J19,'22.10 Butongole-Busembatya'!J19,'19.10 Busembatya-Butongole 24h'!J19,'21.10 -Butongole-Bsembatya-24h'!J19,'23.10 Butongole-Busembatya'!J19)</f>
        <v>1.4285714285714286</v>
      </c>
      <c r="K19" s="49">
        <f>AVERAGE('17.10 Butongole-Busembatya'!K19,'18.10 Butongole-Busembatya'!K19,'20.10 Butongole-Busembatya'!K19,'22.10 Butongole-Busembatya'!K19,'19.10 Busembatya-Butongole 24h'!K19,'21.10 -Butongole-Bsembatya-24h'!K19,'23.10 Butongole-Busembatya'!K19)</f>
        <v>0.7142857142857143</v>
      </c>
      <c r="L19" s="49">
        <f>AVERAGE('17.10 Butongole-Busembatya'!L19,'18.10 Butongole-Busembatya'!L19,'20.10 Butongole-Busembatya'!L19,'22.10 Butongole-Busembatya'!L19,'19.10 Busembatya-Butongole 24h'!L19,'21.10 -Butongole-Bsembatya-24h'!L19,'23.10 Butongole-Busembatya'!L19)</f>
        <v>0.42857142857142855</v>
      </c>
      <c r="M19" s="49">
        <f>AVERAGE('17.10 Butongole-Busembatya'!M19,'18.10 Butongole-Busembatya'!M19,'20.10 Butongole-Busembatya'!M19,'22.10 Butongole-Busembatya'!M19,'19.10 Busembatya-Butongole 24h'!M19,'21.10 -Butongole-Bsembatya-24h'!M19,'23.10 Butongole-Busembatya'!M19)</f>
        <v>9.4285714285714288</v>
      </c>
      <c r="N19" s="49">
        <f>AVERAGE('17.10 Butongole-Busembatya'!N19,'18.10 Butongole-Busembatya'!N19,'20.10 Butongole-Busembatya'!N19,'22.10 Butongole-Busembatya'!N19,'19.10 Busembatya-Butongole 24h'!N19,'21.10 -Butongole-Bsembatya-24h'!N19,'23.10 Butongole-Busembatya'!N19)</f>
        <v>0</v>
      </c>
      <c r="O19" s="15">
        <f t="shared" si="0"/>
        <v>20.857142857142854</v>
      </c>
      <c r="P19" s="15">
        <f t="shared" si="1"/>
        <v>30.285714285714285</v>
      </c>
      <c r="R19" s="1" t="s">
        <v>15</v>
      </c>
      <c r="S19" s="17">
        <f t="shared" ref="S19:AF19" si="11">SUM(C46:C49)</f>
        <v>18.714285714285715</v>
      </c>
      <c r="T19" s="17">
        <f t="shared" si="11"/>
        <v>8</v>
      </c>
      <c r="U19" s="17">
        <f t="shared" si="11"/>
        <v>11</v>
      </c>
      <c r="V19" s="17">
        <f t="shared" si="11"/>
        <v>35.571428571428569</v>
      </c>
      <c r="W19" s="17">
        <f t="shared" si="11"/>
        <v>1</v>
      </c>
      <c r="X19" s="17">
        <f t="shared" si="11"/>
        <v>1.8571428571428572</v>
      </c>
      <c r="Y19" s="17">
        <f t="shared" si="11"/>
        <v>4.2857142857142856</v>
      </c>
      <c r="Z19" s="17">
        <f t="shared" si="11"/>
        <v>6.1428571428571423</v>
      </c>
      <c r="AA19" s="17">
        <f t="shared" si="11"/>
        <v>5</v>
      </c>
      <c r="AB19" s="17">
        <f t="shared" si="11"/>
        <v>2.2857142857142856</v>
      </c>
      <c r="AC19" s="17">
        <f t="shared" si="11"/>
        <v>44.714285714285708</v>
      </c>
      <c r="AD19" s="17">
        <f t="shared" si="11"/>
        <v>0</v>
      </c>
      <c r="AE19" s="31">
        <f t="shared" si="11"/>
        <v>93.857142857142847</v>
      </c>
      <c r="AF19" s="31">
        <f t="shared" si="11"/>
        <v>138.57142857142858</v>
      </c>
    </row>
    <row r="20" spans="2:32" ht="23.1" customHeight="1" x14ac:dyDescent="0.25">
      <c r="B20" s="23" t="s">
        <v>47</v>
      </c>
      <c r="C20" s="49">
        <f>AVERAGE('17.10 Butongole-Busembatya'!C20,'18.10 Butongole-Busembatya'!C20,'20.10 Butongole-Busembatya'!C20,'22.10 Butongole-Busembatya'!C20,'19.10 Busembatya-Butongole 24h'!C20,'21.10 -Butongole-Bsembatya-24h'!C20,'23.10 Butongole-Busembatya'!C20)</f>
        <v>4</v>
      </c>
      <c r="D20" s="49">
        <f>AVERAGE('17.10 Butongole-Busembatya'!D20,'18.10 Butongole-Busembatya'!D20,'20.10 Butongole-Busembatya'!D20,'22.10 Butongole-Busembatya'!D20,'19.10 Busembatya-Butongole 24h'!D20,'21.10 -Butongole-Bsembatya-24h'!D20,'23.10 Butongole-Busembatya'!D20)</f>
        <v>1.7142857142857142</v>
      </c>
      <c r="E20" s="49">
        <f>AVERAGE('17.10 Butongole-Busembatya'!E20,'18.10 Butongole-Busembatya'!E20,'20.10 Butongole-Busembatya'!E20,'22.10 Butongole-Busembatya'!E20,'19.10 Busembatya-Butongole 24h'!E20,'21.10 -Butongole-Bsembatya-24h'!E20,'23.10 Butongole-Busembatya'!E20)</f>
        <v>3</v>
      </c>
      <c r="F20" s="49">
        <f>AVERAGE('17.10 Butongole-Busembatya'!F20,'18.10 Butongole-Busembatya'!F20,'20.10 Butongole-Busembatya'!F20,'22.10 Butongole-Busembatya'!F20,'19.10 Busembatya-Butongole 24h'!F20,'21.10 -Butongole-Bsembatya-24h'!F20,'23.10 Butongole-Busembatya'!F20)</f>
        <v>7.4285714285714288</v>
      </c>
      <c r="G20" s="49">
        <f>AVERAGE('17.10 Butongole-Busembatya'!G20,'18.10 Butongole-Busembatya'!G20,'20.10 Butongole-Busembatya'!G20,'22.10 Butongole-Busembatya'!G20,'19.10 Busembatya-Butongole 24h'!G20,'21.10 -Butongole-Bsembatya-24h'!G20,'23.10 Butongole-Busembatya'!G20)</f>
        <v>0</v>
      </c>
      <c r="H20" s="49">
        <f>AVERAGE('17.10 Butongole-Busembatya'!H20,'18.10 Butongole-Busembatya'!H20,'20.10 Butongole-Busembatya'!H20,'22.10 Butongole-Busembatya'!H20,'19.10 Busembatya-Butongole 24h'!H20,'21.10 -Butongole-Bsembatya-24h'!H20,'23.10 Butongole-Busembatya'!H20)</f>
        <v>0.2857142857142857</v>
      </c>
      <c r="I20" s="49">
        <f>AVERAGE('17.10 Butongole-Busembatya'!I20,'18.10 Butongole-Busembatya'!I20,'20.10 Butongole-Busembatya'!I20,'22.10 Butongole-Busembatya'!I20,'19.10 Busembatya-Butongole 24h'!I20,'21.10 -Butongole-Bsembatya-24h'!I20,'23.10 Butongole-Busembatya'!I20)</f>
        <v>1.2857142857142858</v>
      </c>
      <c r="J20" s="49">
        <f>AVERAGE('17.10 Butongole-Busembatya'!J20,'18.10 Butongole-Busembatya'!J20,'20.10 Butongole-Busembatya'!J20,'22.10 Butongole-Busembatya'!J20,'19.10 Busembatya-Butongole 24h'!J20,'21.10 -Butongole-Bsembatya-24h'!J20,'23.10 Butongole-Busembatya'!J20)</f>
        <v>1.8571428571428572</v>
      </c>
      <c r="K20" s="49">
        <f>AVERAGE('17.10 Butongole-Busembatya'!K20,'18.10 Butongole-Busembatya'!K20,'20.10 Butongole-Busembatya'!K20,'22.10 Butongole-Busembatya'!K20,'19.10 Busembatya-Butongole 24h'!K20,'21.10 -Butongole-Bsembatya-24h'!K20,'23.10 Butongole-Busembatya'!K20)</f>
        <v>0.8571428571428571</v>
      </c>
      <c r="L20" s="49">
        <f>AVERAGE('17.10 Butongole-Busembatya'!L20,'18.10 Butongole-Busembatya'!L20,'20.10 Butongole-Busembatya'!L20,'22.10 Butongole-Busembatya'!L20,'19.10 Busembatya-Butongole 24h'!L20,'21.10 -Butongole-Bsembatya-24h'!L20,'23.10 Butongole-Busembatya'!L20)</f>
        <v>0.14285714285714285</v>
      </c>
      <c r="M20" s="49">
        <f>AVERAGE('17.10 Butongole-Busembatya'!M20,'18.10 Butongole-Busembatya'!M20,'20.10 Butongole-Busembatya'!M20,'22.10 Butongole-Busembatya'!M20,'19.10 Busembatya-Butongole 24h'!M20,'21.10 -Butongole-Bsembatya-24h'!M20,'23.10 Butongole-Busembatya'!M20)</f>
        <v>12.857142857142858</v>
      </c>
      <c r="N20" s="49">
        <f>AVERAGE('17.10 Butongole-Busembatya'!N20,'18.10 Butongole-Busembatya'!N20,'20.10 Butongole-Busembatya'!N20,'22.10 Butongole-Busembatya'!N20,'19.10 Busembatya-Butongole 24h'!N20,'21.10 -Butongole-Bsembatya-24h'!N20,'23.10 Butongole-Busembatya'!N20)</f>
        <v>0</v>
      </c>
      <c r="O20" s="15">
        <f t="shared" si="0"/>
        <v>20.571428571428573</v>
      </c>
      <c r="P20" s="15">
        <f t="shared" si="1"/>
        <v>33.428571428571431</v>
      </c>
      <c r="R20" s="1" t="s">
        <v>16</v>
      </c>
      <c r="S20" s="17">
        <f t="shared" ref="S20:AF20" si="12">SUM(C50:C53)</f>
        <v>16.857142857142858</v>
      </c>
      <c r="T20" s="17">
        <f t="shared" si="12"/>
        <v>10.714285714285714</v>
      </c>
      <c r="U20" s="17">
        <f t="shared" si="12"/>
        <v>9.8571428571428577</v>
      </c>
      <c r="V20" s="17">
        <f t="shared" si="12"/>
        <v>40</v>
      </c>
      <c r="W20" s="17">
        <f t="shared" si="12"/>
        <v>0.2857142857142857</v>
      </c>
      <c r="X20" s="17">
        <f t="shared" si="12"/>
        <v>2</v>
      </c>
      <c r="Y20" s="17">
        <f t="shared" si="12"/>
        <v>6.5714285714285712</v>
      </c>
      <c r="Z20" s="17">
        <f t="shared" si="12"/>
        <v>6</v>
      </c>
      <c r="AA20" s="17">
        <f t="shared" si="12"/>
        <v>3.8571428571428572</v>
      </c>
      <c r="AB20" s="17">
        <f t="shared" si="12"/>
        <v>2.4285714285714284</v>
      </c>
      <c r="AC20" s="17">
        <f t="shared" si="12"/>
        <v>54.142857142857139</v>
      </c>
      <c r="AD20" s="17">
        <f t="shared" si="12"/>
        <v>0.14285714285714285</v>
      </c>
      <c r="AE20" s="31">
        <f t="shared" si="12"/>
        <v>98.714285714285722</v>
      </c>
      <c r="AF20" s="31">
        <f t="shared" si="12"/>
        <v>152.85714285714286</v>
      </c>
    </row>
    <row r="21" spans="2:32" ht="23.1" customHeight="1" x14ac:dyDescent="0.25">
      <c r="B21" s="23" t="s">
        <v>48</v>
      </c>
      <c r="C21" s="49">
        <f>AVERAGE('17.10 Butongole-Busembatya'!C21,'18.10 Butongole-Busembatya'!C21,'20.10 Butongole-Busembatya'!C21,'22.10 Butongole-Busembatya'!C21,'19.10 Busembatya-Butongole 24h'!C21,'21.10 -Butongole-Bsembatya-24h'!C21,'23.10 Butongole-Busembatya'!C21)</f>
        <v>2.8571428571428572</v>
      </c>
      <c r="D21" s="49">
        <f>AVERAGE('17.10 Butongole-Busembatya'!D21,'18.10 Butongole-Busembatya'!D21,'20.10 Butongole-Busembatya'!D21,'22.10 Butongole-Busembatya'!D21,'19.10 Busembatya-Butongole 24h'!D21,'21.10 -Butongole-Bsembatya-24h'!D21,'23.10 Butongole-Busembatya'!D21)</f>
        <v>2.2857142857142856</v>
      </c>
      <c r="E21" s="49">
        <f>AVERAGE('17.10 Butongole-Busembatya'!E21,'18.10 Butongole-Busembatya'!E21,'20.10 Butongole-Busembatya'!E21,'22.10 Butongole-Busembatya'!E21,'19.10 Busembatya-Butongole 24h'!E21,'21.10 -Butongole-Bsembatya-24h'!E21,'23.10 Butongole-Busembatya'!E21)</f>
        <v>4.1428571428571432</v>
      </c>
      <c r="F21" s="49">
        <f>AVERAGE('17.10 Butongole-Busembatya'!F21,'18.10 Butongole-Busembatya'!F21,'20.10 Butongole-Busembatya'!F21,'22.10 Butongole-Busembatya'!F21,'19.10 Busembatya-Butongole 24h'!F21,'21.10 -Butongole-Bsembatya-24h'!F21,'23.10 Butongole-Busembatya'!F21)</f>
        <v>8.2857142857142865</v>
      </c>
      <c r="G21" s="49">
        <f>AVERAGE('17.10 Butongole-Busembatya'!G21,'18.10 Butongole-Busembatya'!G21,'20.10 Butongole-Busembatya'!G21,'22.10 Butongole-Busembatya'!G21,'19.10 Busembatya-Butongole 24h'!G21,'21.10 -Butongole-Bsembatya-24h'!G21,'23.10 Butongole-Busembatya'!G21)</f>
        <v>0.14285714285714285</v>
      </c>
      <c r="H21" s="49">
        <f>AVERAGE('17.10 Butongole-Busembatya'!H21,'18.10 Butongole-Busembatya'!H21,'20.10 Butongole-Busembatya'!H21,'22.10 Butongole-Busembatya'!H21,'19.10 Busembatya-Butongole 24h'!H21,'21.10 -Butongole-Bsembatya-24h'!H21,'23.10 Butongole-Busembatya'!H21)</f>
        <v>0</v>
      </c>
      <c r="I21" s="49">
        <f>AVERAGE('17.10 Butongole-Busembatya'!I21,'18.10 Butongole-Busembatya'!I21,'20.10 Butongole-Busembatya'!I21,'22.10 Butongole-Busembatya'!I21,'19.10 Busembatya-Butongole 24h'!I21,'21.10 -Butongole-Bsembatya-24h'!I21,'23.10 Butongole-Busembatya'!I21)</f>
        <v>0.42857142857142855</v>
      </c>
      <c r="J21" s="49">
        <f>AVERAGE('17.10 Butongole-Busembatya'!J21,'18.10 Butongole-Busembatya'!J21,'20.10 Butongole-Busembatya'!J21,'22.10 Butongole-Busembatya'!J21,'19.10 Busembatya-Butongole 24h'!J21,'21.10 -Butongole-Bsembatya-24h'!J21,'23.10 Butongole-Busembatya'!J21)</f>
        <v>0.8571428571428571</v>
      </c>
      <c r="K21" s="49">
        <f>AVERAGE('17.10 Butongole-Busembatya'!K21,'18.10 Butongole-Busembatya'!K21,'20.10 Butongole-Busembatya'!K21,'22.10 Butongole-Busembatya'!K21,'19.10 Busembatya-Butongole 24h'!K21,'21.10 -Butongole-Bsembatya-24h'!K21,'23.10 Butongole-Busembatya'!K21)</f>
        <v>0.7142857142857143</v>
      </c>
      <c r="L21" s="49">
        <f>AVERAGE('17.10 Butongole-Busembatya'!L21,'18.10 Butongole-Busembatya'!L21,'20.10 Butongole-Busembatya'!L21,'22.10 Butongole-Busembatya'!L21,'19.10 Busembatya-Butongole 24h'!L21,'21.10 -Butongole-Bsembatya-24h'!L21,'23.10 Butongole-Busembatya'!L21)</f>
        <v>0.8571428571428571</v>
      </c>
      <c r="M21" s="49">
        <f>AVERAGE('17.10 Butongole-Busembatya'!M21,'18.10 Butongole-Busembatya'!M21,'20.10 Butongole-Busembatya'!M21,'22.10 Butongole-Busembatya'!M21,'19.10 Busembatya-Butongole 24h'!M21,'21.10 -Butongole-Bsembatya-24h'!M21,'23.10 Butongole-Busembatya'!M21)</f>
        <v>10.428571428571429</v>
      </c>
      <c r="N21" s="49">
        <f>AVERAGE('17.10 Butongole-Busembatya'!N21,'18.10 Butongole-Busembatya'!N21,'20.10 Butongole-Busembatya'!N21,'22.10 Butongole-Busembatya'!N21,'19.10 Busembatya-Butongole 24h'!N21,'21.10 -Butongole-Bsembatya-24h'!N21,'23.10 Butongole-Busembatya'!N21)</f>
        <v>0</v>
      </c>
      <c r="O21" s="15">
        <f t="shared" si="0"/>
        <v>20.571428571428569</v>
      </c>
      <c r="P21" s="15">
        <f t="shared" si="1"/>
        <v>31</v>
      </c>
      <c r="R21" s="36" t="s">
        <v>20</v>
      </c>
      <c r="S21" s="34">
        <f t="shared" ref="S21:AF21" si="13">SUM(C54:C57)</f>
        <v>20.571428571428573</v>
      </c>
      <c r="T21" s="17">
        <f t="shared" si="13"/>
        <v>8.2857142857142865</v>
      </c>
      <c r="U21" s="17">
        <f t="shared" si="13"/>
        <v>11</v>
      </c>
      <c r="V21" s="17">
        <f t="shared" si="13"/>
        <v>35.857142857142861</v>
      </c>
      <c r="W21" s="17">
        <f t="shared" si="13"/>
        <v>1.2857142857142856</v>
      </c>
      <c r="X21" s="17">
        <f t="shared" si="13"/>
        <v>1.4285714285714284</v>
      </c>
      <c r="Y21" s="17">
        <f t="shared" si="13"/>
        <v>4.5714285714285712</v>
      </c>
      <c r="Z21" s="17">
        <f t="shared" si="13"/>
        <v>6.8571428571428577</v>
      </c>
      <c r="AA21" s="17">
        <f t="shared" si="13"/>
        <v>2.5714285714285712</v>
      </c>
      <c r="AB21" s="17">
        <f t="shared" si="13"/>
        <v>1.5714285714285714</v>
      </c>
      <c r="AC21" s="17">
        <f t="shared" si="13"/>
        <v>56.714285714285708</v>
      </c>
      <c r="AD21" s="17">
        <f t="shared" si="13"/>
        <v>0</v>
      </c>
      <c r="AE21" s="31">
        <f t="shared" si="13"/>
        <v>94</v>
      </c>
      <c r="AF21" s="31">
        <f t="shared" si="13"/>
        <v>150.71428571428569</v>
      </c>
    </row>
    <row r="22" spans="2:32" ht="23.1" customHeight="1" x14ac:dyDescent="0.25">
      <c r="B22" s="23" t="s">
        <v>49</v>
      </c>
      <c r="C22" s="49">
        <f>AVERAGE('17.10 Butongole-Busembatya'!C22,'18.10 Butongole-Busembatya'!C22,'20.10 Butongole-Busembatya'!C22,'22.10 Butongole-Busembatya'!C22,'19.10 Busembatya-Butongole 24h'!C22,'21.10 -Butongole-Bsembatya-24h'!C22,'23.10 Butongole-Busembatya'!C22)</f>
        <v>3.1428571428571428</v>
      </c>
      <c r="D22" s="49">
        <f>AVERAGE('17.10 Butongole-Busembatya'!D22,'18.10 Butongole-Busembatya'!D22,'20.10 Butongole-Busembatya'!D22,'22.10 Butongole-Busembatya'!D22,'19.10 Busembatya-Butongole 24h'!D22,'21.10 -Butongole-Bsembatya-24h'!D22,'23.10 Butongole-Busembatya'!D22)</f>
        <v>2</v>
      </c>
      <c r="E22" s="49">
        <f>AVERAGE('17.10 Butongole-Busembatya'!E22,'18.10 Butongole-Busembatya'!E22,'20.10 Butongole-Busembatya'!E22,'22.10 Butongole-Busembatya'!E22,'19.10 Busembatya-Butongole 24h'!E22,'21.10 -Butongole-Bsembatya-24h'!E22,'23.10 Butongole-Busembatya'!E22)</f>
        <v>2.5714285714285716</v>
      </c>
      <c r="F22" s="49">
        <f>AVERAGE('17.10 Butongole-Busembatya'!F22,'18.10 Butongole-Busembatya'!F22,'20.10 Butongole-Busembatya'!F22,'22.10 Butongole-Busembatya'!F22,'19.10 Busembatya-Butongole 24h'!F22,'21.10 -Butongole-Bsembatya-24h'!F22,'23.10 Butongole-Busembatya'!F22)</f>
        <v>7.7142857142857144</v>
      </c>
      <c r="G22" s="49">
        <f>AVERAGE('17.10 Butongole-Busembatya'!G22,'18.10 Butongole-Busembatya'!G22,'20.10 Butongole-Busembatya'!G22,'22.10 Butongole-Busembatya'!G22,'19.10 Busembatya-Butongole 24h'!G22,'21.10 -Butongole-Bsembatya-24h'!G22,'23.10 Butongole-Busembatya'!G22)</f>
        <v>0</v>
      </c>
      <c r="H22" s="49">
        <f>AVERAGE('17.10 Butongole-Busembatya'!H22,'18.10 Butongole-Busembatya'!H22,'20.10 Butongole-Busembatya'!H22,'22.10 Butongole-Busembatya'!H22,'19.10 Busembatya-Butongole 24h'!H22,'21.10 -Butongole-Bsembatya-24h'!H22,'23.10 Butongole-Busembatya'!H22)</f>
        <v>0.14285714285714285</v>
      </c>
      <c r="I22" s="49">
        <f>AVERAGE('17.10 Butongole-Busembatya'!I22,'18.10 Butongole-Busembatya'!I22,'20.10 Butongole-Busembatya'!I22,'22.10 Butongole-Busembatya'!I22,'19.10 Busembatya-Butongole 24h'!I22,'21.10 -Butongole-Bsembatya-24h'!I22,'23.10 Butongole-Busembatya'!I22)</f>
        <v>1.1428571428571428</v>
      </c>
      <c r="J22" s="49">
        <f>AVERAGE('17.10 Butongole-Busembatya'!J22,'18.10 Butongole-Busembatya'!J22,'20.10 Butongole-Busembatya'!J22,'22.10 Butongole-Busembatya'!J22,'19.10 Busembatya-Butongole 24h'!J22,'21.10 -Butongole-Bsembatya-24h'!J22,'23.10 Butongole-Busembatya'!J22)</f>
        <v>2</v>
      </c>
      <c r="K22" s="49">
        <f>AVERAGE('17.10 Butongole-Busembatya'!K22,'18.10 Butongole-Busembatya'!K22,'20.10 Butongole-Busembatya'!K22,'22.10 Butongole-Busembatya'!K22,'19.10 Busembatya-Butongole 24h'!K22,'21.10 -Butongole-Bsembatya-24h'!K22,'23.10 Butongole-Busembatya'!K22)</f>
        <v>0.5714285714285714</v>
      </c>
      <c r="L22" s="49">
        <f>AVERAGE('17.10 Butongole-Busembatya'!L22,'18.10 Butongole-Busembatya'!L22,'20.10 Butongole-Busembatya'!L22,'22.10 Butongole-Busembatya'!L22,'19.10 Busembatya-Butongole 24h'!L22,'21.10 -Butongole-Bsembatya-24h'!L22,'23.10 Butongole-Busembatya'!L22)</f>
        <v>0.42857142857142855</v>
      </c>
      <c r="M22" s="49">
        <f>AVERAGE('17.10 Butongole-Busembatya'!M22,'18.10 Butongole-Busembatya'!M22,'20.10 Butongole-Busembatya'!M22,'22.10 Butongole-Busembatya'!M22,'19.10 Busembatya-Butongole 24h'!M22,'21.10 -Butongole-Bsembatya-24h'!M22,'23.10 Butongole-Busembatya'!M22)</f>
        <v>10.714285714285714</v>
      </c>
      <c r="N22" s="49">
        <f>AVERAGE('17.10 Butongole-Busembatya'!N22,'18.10 Butongole-Busembatya'!N22,'20.10 Butongole-Busembatya'!N22,'22.10 Butongole-Busembatya'!N22,'19.10 Busembatya-Butongole 24h'!N22,'21.10 -Butongole-Bsembatya-24h'!N22,'23.10 Butongole-Busembatya'!N22)</f>
        <v>0</v>
      </c>
      <c r="O22" s="15">
        <f t="shared" si="0"/>
        <v>19.714285714285712</v>
      </c>
      <c r="P22" s="15">
        <f t="shared" si="1"/>
        <v>30.428571428571423</v>
      </c>
      <c r="R22" s="1" t="s">
        <v>146</v>
      </c>
      <c r="S22" s="34">
        <f>SUM(C58:C61)</f>
        <v>17.5</v>
      </c>
      <c r="T22" s="34">
        <f t="shared" ref="T22:AF22" si="14">SUM(D58:D61)</f>
        <v>6.5</v>
      </c>
      <c r="U22" s="34">
        <f t="shared" si="14"/>
        <v>8.5</v>
      </c>
      <c r="V22" s="34">
        <f t="shared" si="14"/>
        <v>30</v>
      </c>
      <c r="W22" s="34">
        <f t="shared" si="14"/>
        <v>1</v>
      </c>
      <c r="X22" s="34">
        <f t="shared" si="14"/>
        <v>3</v>
      </c>
      <c r="Y22" s="34">
        <f t="shared" si="14"/>
        <v>12.5</v>
      </c>
      <c r="Z22" s="34">
        <f t="shared" si="14"/>
        <v>1</v>
      </c>
      <c r="AA22" s="34">
        <f t="shared" si="14"/>
        <v>2.5</v>
      </c>
      <c r="AB22" s="34">
        <f t="shared" si="14"/>
        <v>1</v>
      </c>
      <c r="AC22" s="34">
        <f t="shared" si="14"/>
        <v>54.5</v>
      </c>
      <c r="AD22" s="34">
        <f t="shared" si="14"/>
        <v>0</v>
      </c>
      <c r="AE22" s="31">
        <f t="shared" si="14"/>
        <v>83.5</v>
      </c>
      <c r="AF22" s="31">
        <f t="shared" si="14"/>
        <v>138</v>
      </c>
    </row>
    <row r="23" spans="2:32" ht="23.1" customHeight="1" x14ac:dyDescent="0.25">
      <c r="B23" s="23" t="s">
        <v>50</v>
      </c>
      <c r="C23" s="49">
        <f>AVERAGE('17.10 Butongole-Busembatya'!C23,'18.10 Butongole-Busembatya'!C23,'20.10 Butongole-Busembatya'!C23,'22.10 Butongole-Busembatya'!C23,'19.10 Busembatya-Butongole 24h'!C23,'21.10 -Butongole-Bsembatya-24h'!C23,'23.10 Butongole-Busembatya'!C23)</f>
        <v>3.7142857142857144</v>
      </c>
      <c r="D23" s="49">
        <f>AVERAGE('17.10 Butongole-Busembatya'!D23,'18.10 Butongole-Busembatya'!D23,'20.10 Butongole-Busembatya'!D23,'22.10 Butongole-Busembatya'!D23,'19.10 Busembatya-Butongole 24h'!D23,'21.10 -Butongole-Bsembatya-24h'!D23,'23.10 Butongole-Busembatya'!D23)</f>
        <v>3.2857142857142856</v>
      </c>
      <c r="E23" s="49">
        <f>AVERAGE('17.10 Butongole-Busembatya'!E23,'18.10 Butongole-Busembatya'!E23,'20.10 Butongole-Busembatya'!E23,'22.10 Butongole-Busembatya'!E23,'19.10 Busembatya-Butongole 24h'!E23,'21.10 -Butongole-Bsembatya-24h'!E23,'23.10 Butongole-Busembatya'!E23)</f>
        <v>1.8571428571428572</v>
      </c>
      <c r="F23" s="49">
        <f>AVERAGE('17.10 Butongole-Busembatya'!F23,'18.10 Butongole-Busembatya'!F23,'20.10 Butongole-Busembatya'!F23,'22.10 Butongole-Busembatya'!F23,'19.10 Busembatya-Butongole 24h'!F23,'21.10 -Butongole-Bsembatya-24h'!F23,'23.10 Butongole-Busembatya'!F23)</f>
        <v>8.8571428571428577</v>
      </c>
      <c r="G23" s="49">
        <f>AVERAGE('17.10 Butongole-Busembatya'!G23,'18.10 Butongole-Busembatya'!G23,'20.10 Butongole-Busembatya'!G23,'22.10 Butongole-Busembatya'!G23,'19.10 Busembatya-Butongole 24h'!G23,'21.10 -Butongole-Bsembatya-24h'!G23,'23.10 Butongole-Busembatya'!G23)</f>
        <v>0.14285714285714285</v>
      </c>
      <c r="H23" s="49">
        <f>AVERAGE('17.10 Butongole-Busembatya'!H23,'18.10 Butongole-Busembatya'!H23,'20.10 Butongole-Busembatya'!H23,'22.10 Butongole-Busembatya'!H23,'19.10 Busembatya-Butongole 24h'!H23,'21.10 -Butongole-Bsembatya-24h'!H23,'23.10 Butongole-Busembatya'!H23)</f>
        <v>0</v>
      </c>
      <c r="I23" s="49">
        <f>AVERAGE('17.10 Butongole-Busembatya'!I23,'18.10 Butongole-Busembatya'!I23,'20.10 Butongole-Busembatya'!I23,'22.10 Butongole-Busembatya'!I23,'19.10 Busembatya-Butongole 24h'!I23,'21.10 -Butongole-Bsembatya-24h'!I23,'23.10 Butongole-Busembatya'!I23)</f>
        <v>1.4285714285714286</v>
      </c>
      <c r="J23" s="49">
        <f>AVERAGE('17.10 Butongole-Busembatya'!J23,'18.10 Butongole-Busembatya'!J23,'20.10 Butongole-Busembatya'!J23,'22.10 Butongole-Busembatya'!J23,'19.10 Busembatya-Butongole 24h'!J23,'21.10 -Butongole-Bsembatya-24h'!J23,'23.10 Butongole-Busembatya'!J23)</f>
        <v>1.4285714285714286</v>
      </c>
      <c r="K23" s="49">
        <f>AVERAGE('17.10 Butongole-Busembatya'!K23,'18.10 Butongole-Busembatya'!K23,'20.10 Butongole-Busembatya'!K23,'22.10 Butongole-Busembatya'!K23,'19.10 Busembatya-Butongole 24h'!K23,'21.10 -Butongole-Bsembatya-24h'!K23,'23.10 Butongole-Busembatya'!K23)</f>
        <v>0.42857142857142855</v>
      </c>
      <c r="L23" s="49">
        <f>AVERAGE('17.10 Butongole-Busembatya'!L23,'18.10 Butongole-Busembatya'!L23,'20.10 Butongole-Busembatya'!L23,'22.10 Butongole-Busembatya'!L23,'19.10 Busembatya-Butongole 24h'!L23,'21.10 -Butongole-Bsembatya-24h'!L23,'23.10 Butongole-Busembatya'!L23)</f>
        <v>0</v>
      </c>
      <c r="M23" s="49">
        <f>AVERAGE('17.10 Butongole-Busembatya'!M23,'18.10 Butongole-Busembatya'!M23,'20.10 Butongole-Busembatya'!M23,'22.10 Butongole-Busembatya'!M23,'19.10 Busembatya-Butongole 24h'!M23,'21.10 -Butongole-Bsembatya-24h'!M23,'23.10 Butongole-Busembatya'!M23)</f>
        <v>11</v>
      </c>
      <c r="N23" s="49">
        <f>AVERAGE('17.10 Butongole-Busembatya'!N23,'18.10 Butongole-Busembatya'!N23,'20.10 Butongole-Busembatya'!N23,'22.10 Butongole-Busembatya'!N23,'19.10 Busembatya-Butongole 24h'!N23,'21.10 -Butongole-Bsembatya-24h'!N23,'23.10 Butongole-Busembatya'!N23)</f>
        <v>0</v>
      </c>
      <c r="O23" s="15">
        <f t="shared" si="0"/>
        <v>21.142857142857139</v>
      </c>
      <c r="P23" s="15">
        <f t="shared" si="1"/>
        <v>32.142857142857139</v>
      </c>
      <c r="R23" s="1" t="s">
        <v>147</v>
      </c>
      <c r="S23" s="34">
        <f>SUM(C62:C65)</f>
        <v>10</v>
      </c>
      <c r="T23" s="34">
        <f t="shared" ref="T23:AF23" si="15">SUM(D62:D65)</f>
        <v>5.5</v>
      </c>
      <c r="U23" s="34">
        <f t="shared" si="15"/>
        <v>4</v>
      </c>
      <c r="V23" s="34">
        <f t="shared" si="15"/>
        <v>26</v>
      </c>
      <c r="W23" s="34">
        <f t="shared" si="15"/>
        <v>0.5</v>
      </c>
      <c r="X23" s="34">
        <f t="shared" si="15"/>
        <v>0</v>
      </c>
      <c r="Y23" s="34">
        <f t="shared" si="15"/>
        <v>11</v>
      </c>
      <c r="Z23" s="34">
        <f t="shared" si="15"/>
        <v>0.5</v>
      </c>
      <c r="AA23" s="34">
        <f t="shared" si="15"/>
        <v>3</v>
      </c>
      <c r="AB23" s="34">
        <f t="shared" si="15"/>
        <v>0</v>
      </c>
      <c r="AC23" s="34">
        <f t="shared" si="15"/>
        <v>19.5</v>
      </c>
      <c r="AD23" s="34">
        <f t="shared" si="15"/>
        <v>0</v>
      </c>
      <c r="AE23" s="31">
        <f t="shared" si="15"/>
        <v>60.5</v>
      </c>
      <c r="AF23" s="31">
        <f t="shared" si="15"/>
        <v>80</v>
      </c>
    </row>
    <row r="24" spans="2:32" ht="23.1" customHeight="1" x14ac:dyDescent="0.25">
      <c r="B24" s="23" t="s">
        <v>51</v>
      </c>
      <c r="C24" s="49">
        <f>AVERAGE('17.10 Butongole-Busembatya'!C24,'18.10 Butongole-Busembatya'!C24,'20.10 Butongole-Busembatya'!C24,'22.10 Butongole-Busembatya'!C24,'19.10 Busembatya-Butongole 24h'!C24,'21.10 -Butongole-Bsembatya-24h'!C24,'23.10 Butongole-Busembatya'!C24)</f>
        <v>3.5714285714285716</v>
      </c>
      <c r="D24" s="49">
        <f>AVERAGE('17.10 Butongole-Busembatya'!D24,'18.10 Butongole-Busembatya'!D24,'20.10 Butongole-Busembatya'!D24,'22.10 Butongole-Busembatya'!D24,'19.10 Busembatya-Butongole 24h'!D24,'21.10 -Butongole-Bsembatya-24h'!D24,'23.10 Butongole-Busembatya'!D24)</f>
        <v>2.7142857142857144</v>
      </c>
      <c r="E24" s="49">
        <f>AVERAGE('17.10 Butongole-Busembatya'!E24,'18.10 Butongole-Busembatya'!E24,'20.10 Butongole-Busembatya'!E24,'22.10 Butongole-Busembatya'!E24,'19.10 Busembatya-Butongole 24h'!E24,'21.10 -Butongole-Bsembatya-24h'!E24,'23.10 Butongole-Busembatya'!E24)</f>
        <v>2.4285714285714284</v>
      </c>
      <c r="F24" s="49">
        <f>AVERAGE('17.10 Butongole-Busembatya'!F24,'18.10 Butongole-Busembatya'!F24,'20.10 Butongole-Busembatya'!F24,'22.10 Butongole-Busembatya'!F24,'19.10 Busembatya-Butongole 24h'!F24,'21.10 -Butongole-Bsembatya-24h'!F24,'23.10 Butongole-Busembatya'!F24)</f>
        <v>8</v>
      </c>
      <c r="G24" s="49">
        <f>AVERAGE('17.10 Butongole-Busembatya'!G24,'18.10 Butongole-Busembatya'!G24,'20.10 Butongole-Busembatya'!G24,'22.10 Butongole-Busembatya'!G24,'19.10 Busembatya-Butongole 24h'!G24,'21.10 -Butongole-Bsembatya-24h'!G24,'23.10 Butongole-Busembatya'!G24)</f>
        <v>0.14285714285714285</v>
      </c>
      <c r="H24" s="49">
        <f>AVERAGE('17.10 Butongole-Busembatya'!H24,'18.10 Butongole-Busembatya'!H24,'20.10 Butongole-Busembatya'!H24,'22.10 Butongole-Busembatya'!H24,'19.10 Busembatya-Butongole 24h'!H24,'21.10 -Butongole-Bsembatya-24h'!H24,'23.10 Butongole-Busembatya'!H24)</f>
        <v>0</v>
      </c>
      <c r="I24" s="49">
        <f>AVERAGE('17.10 Butongole-Busembatya'!I24,'18.10 Butongole-Busembatya'!I24,'20.10 Butongole-Busembatya'!I24,'22.10 Butongole-Busembatya'!I24,'19.10 Busembatya-Butongole 24h'!I24,'21.10 -Butongole-Bsembatya-24h'!I24,'23.10 Butongole-Busembatya'!I24)</f>
        <v>0.5714285714285714</v>
      </c>
      <c r="J24" s="49">
        <f>AVERAGE('17.10 Butongole-Busembatya'!J24,'18.10 Butongole-Busembatya'!J24,'20.10 Butongole-Busembatya'!J24,'22.10 Butongole-Busembatya'!J24,'19.10 Busembatya-Butongole 24h'!J24,'21.10 -Butongole-Bsembatya-24h'!J24,'23.10 Butongole-Busembatya'!J24)</f>
        <v>1.1428571428571428</v>
      </c>
      <c r="K24" s="49">
        <f>AVERAGE('17.10 Butongole-Busembatya'!K24,'18.10 Butongole-Busembatya'!K24,'20.10 Butongole-Busembatya'!K24,'22.10 Butongole-Busembatya'!K24,'19.10 Busembatya-Butongole 24h'!K24,'21.10 -Butongole-Bsembatya-24h'!K24,'23.10 Butongole-Busembatya'!K24)</f>
        <v>0.5714285714285714</v>
      </c>
      <c r="L24" s="49">
        <f>AVERAGE('17.10 Butongole-Busembatya'!L24,'18.10 Butongole-Busembatya'!L24,'20.10 Butongole-Busembatya'!L24,'22.10 Butongole-Busembatya'!L24,'19.10 Busembatya-Butongole 24h'!L24,'21.10 -Butongole-Bsembatya-24h'!L24,'23.10 Butongole-Busembatya'!L24)</f>
        <v>0.2857142857142857</v>
      </c>
      <c r="M24" s="49">
        <f>AVERAGE('17.10 Butongole-Busembatya'!M24,'18.10 Butongole-Busembatya'!M24,'20.10 Butongole-Busembatya'!M24,'22.10 Butongole-Busembatya'!M24,'19.10 Busembatya-Butongole 24h'!M24,'21.10 -Butongole-Bsembatya-24h'!M24,'23.10 Butongole-Busembatya'!M24)</f>
        <v>13.142857142857142</v>
      </c>
      <c r="N24" s="49">
        <f>AVERAGE('17.10 Butongole-Busembatya'!N24,'18.10 Butongole-Busembatya'!N24,'20.10 Butongole-Busembatya'!N24,'22.10 Butongole-Busembatya'!N24,'19.10 Busembatya-Butongole 24h'!N24,'21.10 -Butongole-Bsembatya-24h'!N24,'23.10 Butongole-Busembatya'!N24)</f>
        <v>0.14285714285714285</v>
      </c>
      <c r="O24" s="15">
        <f t="shared" si="0"/>
        <v>19.571428571428573</v>
      </c>
      <c r="P24" s="15">
        <f t="shared" si="1"/>
        <v>32.714285714285715</v>
      </c>
      <c r="R24" s="1" t="s">
        <v>148</v>
      </c>
      <c r="S24" s="34">
        <f>SUM(C66:C69)</f>
        <v>8.5</v>
      </c>
      <c r="T24" s="34">
        <f t="shared" ref="T24:AF24" si="16">SUM(D66:D69)</f>
        <v>2.5</v>
      </c>
      <c r="U24" s="34">
        <f t="shared" si="16"/>
        <v>7</v>
      </c>
      <c r="V24" s="34">
        <f t="shared" si="16"/>
        <v>18.5</v>
      </c>
      <c r="W24" s="34">
        <f t="shared" si="16"/>
        <v>0</v>
      </c>
      <c r="X24" s="34">
        <f t="shared" si="16"/>
        <v>3</v>
      </c>
      <c r="Y24" s="34">
        <f t="shared" si="16"/>
        <v>11.5</v>
      </c>
      <c r="Z24" s="34">
        <f t="shared" si="16"/>
        <v>0</v>
      </c>
      <c r="AA24" s="34">
        <f t="shared" si="16"/>
        <v>1</v>
      </c>
      <c r="AB24" s="34">
        <f t="shared" si="16"/>
        <v>1</v>
      </c>
      <c r="AC24" s="34">
        <f t="shared" si="16"/>
        <v>19.5</v>
      </c>
      <c r="AD24" s="34">
        <f t="shared" si="16"/>
        <v>0</v>
      </c>
      <c r="AE24" s="31">
        <f t="shared" si="16"/>
        <v>53</v>
      </c>
      <c r="AF24" s="31">
        <f t="shared" si="16"/>
        <v>72.5</v>
      </c>
    </row>
    <row r="25" spans="2:32" ht="23.1" customHeight="1" x14ac:dyDescent="0.25">
      <c r="B25" s="23" t="s">
        <v>52</v>
      </c>
      <c r="C25" s="49">
        <f>AVERAGE('17.10 Butongole-Busembatya'!C25,'18.10 Butongole-Busembatya'!C25,'20.10 Butongole-Busembatya'!C25,'22.10 Butongole-Busembatya'!C25,'19.10 Busembatya-Butongole 24h'!C25,'21.10 -Butongole-Bsembatya-24h'!C25,'23.10 Butongole-Busembatya'!C25)</f>
        <v>4.7142857142857144</v>
      </c>
      <c r="D25" s="49">
        <f>AVERAGE('17.10 Butongole-Busembatya'!D25,'18.10 Butongole-Busembatya'!D25,'20.10 Butongole-Busembatya'!D25,'22.10 Butongole-Busembatya'!D25,'19.10 Busembatya-Butongole 24h'!D25,'21.10 -Butongole-Bsembatya-24h'!D25,'23.10 Butongole-Busembatya'!D25)</f>
        <v>3</v>
      </c>
      <c r="E25" s="49">
        <f>AVERAGE('17.10 Butongole-Busembatya'!E25,'18.10 Butongole-Busembatya'!E25,'20.10 Butongole-Busembatya'!E25,'22.10 Butongole-Busembatya'!E25,'19.10 Busembatya-Butongole 24h'!E25,'21.10 -Butongole-Bsembatya-24h'!E25,'23.10 Butongole-Busembatya'!E25)</f>
        <v>2.7142857142857144</v>
      </c>
      <c r="F25" s="49">
        <f>AVERAGE('17.10 Butongole-Busembatya'!F25,'18.10 Butongole-Busembatya'!F25,'20.10 Butongole-Busembatya'!F25,'22.10 Butongole-Busembatya'!F25,'19.10 Busembatya-Butongole 24h'!F25,'21.10 -Butongole-Bsembatya-24h'!F25,'23.10 Butongole-Busembatya'!F25)</f>
        <v>12</v>
      </c>
      <c r="G25" s="49">
        <f>AVERAGE('17.10 Butongole-Busembatya'!G25,'18.10 Butongole-Busembatya'!G25,'20.10 Butongole-Busembatya'!G25,'22.10 Butongole-Busembatya'!G25,'19.10 Busembatya-Butongole 24h'!G25,'21.10 -Butongole-Bsembatya-24h'!G25,'23.10 Butongole-Busembatya'!G25)</f>
        <v>0.2857142857142857</v>
      </c>
      <c r="H25" s="49">
        <f>AVERAGE('17.10 Butongole-Busembatya'!H25,'18.10 Butongole-Busembatya'!H25,'20.10 Butongole-Busembatya'!H25,'22.10 Butongole-Busembatya'!H25,'19.10 Busembatya-Butongole 24h'!H25,'21.10 -Butongole-Bsembatya-24h'!H25,'23.10 Butongole-Busembatya'!H25)</f>
        <v>0.42857142857142855</v>
      </c>
      <c r="I25" s="49">
        <f>AVERAGE('17.10 Butongole-Busembatya'!I25,'18.10 Butongole-Busembatya'!I25,'20.10 Butongole-Busembatya'!I25,'22.10 Butongole-Busembatya'!I25,'19.10 Busembatya-Butongole 24h'!I25,'21.10 -Butongole-Bsembatya-24h'!I25,'23.10 Butongole-Busembatya'!I25)</f>
        <v>0.7142857142857143</v>
      </c>
      <c r="J25" s="49">
        <f>AVERAGE('17.10 Butongole-Busembatya'!J25,'18.10 Butongole-Busembatya'!J25,'20.10 Butongole-Busembatya'!J25,'22.10 Butongole-Busembatya'!J25,'19.10 Busembatya-Butongole 24h'!J25,'21.10 -Butongole-Bsembatya-24h'!J25,'23.10 Butongole-Busembatya'!J25)</f>
        <v>1.4285714285714286</v>
      </c>
      <c r="K25" s="49">
        <f>AVERAGE('17.10 Butongole-Busembatya'!K25,'18.10 Butongole-Busembatya'!K25,'20.10 Butongole-Busembatya'!K25,'22.10 Butongole-Busembatya'!K25,'19.10 Busembatya-Butongole 24h'!K25,'21.10 -Butongole-Bsembatya-24h'!K25,'23.10 Butongole-Busembatya'!K25)</f>
        <v>0.7142857142857143</v>
      </c>
      <c r="L25" s="49">
        <f>AVERAGE('17.10 Butongole-Busembatya'!L25,'18.10 Butongole-Busembatya'!L25,'20.10 Butongole-Busembatya'!L25,'22.10 Butongole-Busembatya'!L25,'19.10 Busembatya-Butongole 24h'!L25,'21.10 -Butongole-Bsembatya-24h'!L25,'23.10 Butongole-Busembatya'!L25)</f>
        <v>1.1428571428571428</v>
      </c>
      <c r="M25" s="49">
        <f>AVERAGE('17.10 Butongole-Busembatya'!M25,'18.10 Butongole-Busembatya'!M25,'20.10 Butongole-Busembatya'!M25,'22.10 Butongole-Busembatya'!M25,'19.10 Busembatya-Butongole 24h'!M25,'21.10 -Butongole-Bsembatya-24h'!M25,'23.10 Butongole-Busembatya'!M25)</f>
        <v>12.714285714285714</v>
      </c>
      <c r="N25" s="49">
        <f>AVERAGE('17.10 Butongole-Busembatya'!N25,'18.10 Butongole-Busembatya'!N25,'20.10 Butongole-Busembatya'!N25,'22.10 Butongole-Busembatya'!N25,'19.10 Busembatya-Butongole 24h'!N25,'21.10 -Butongole-Bsembatya-24h'!N25,'23.10 Butongole-Busembatya'!N25)</f>
        <v>0.14285714285714285</v>
      </c>
      <c r="O25" s="15">
        <f t="shared" si="0"/>
        <v>27.285714285714285</v>
      </c>
      <c r="P25" s="15">
        <f t="shared" si="1"/>
        <v>40</v>
      </c>
      <c r="R25" s="1" t="s">
        <v>149</v>
      </c>
      <c r="S25" s="34">
        <f>SUM(C70:C73)</f>
        <v>6.5</v>
      </c>
      <c r="T25" s="34">
        <f t="shared" ref="T25:AF25" si="17">SUM(D70:D73)</f>
        <v>3.5</v>
      </c>
      <c r="U25" s="34">
        <f t="shared" si="17"/>
        <v>3.5</v>
      </c>
      <c r="V25" s="34">
        <f t="shared" si="17"/>
        <v>8.5</v>
      </c>
      <c r="W25" s="34">
        <f t="shared" si="17"/>
        <v>2</v>
      </c>
      <c r="X25" s="34">
        <f t="shared" si="17"/>
        <v>0.5</v>
      </c>
      <c r="Y25" s="34">
        <f t="shared" si="17"/>
        <v>10</v>
      </c>
      <c r="Z25" s="34">
        <f t="shared" si="17"/>
        <v>0</v>
      </c>
      <c r="AA25" s="34">
        <f t="shared" si="17"/>
        <v>1</v>
      </c>
      <c r="AB25" s="34">
        <f t="shared" si="17"/>
        <v>1</v>
      </c>
      <c r="AC25" s="34">
        <f t="shared" si="17"/>
        <v>5.5</v>
      </c>
      <c r="AD25" s="34">
        <f t="shared" si="17"/>
        <v>0</v>
      </c>
      <c r="AE25" s="31">
        <f t="shared" si="17"/>
        <v>36.5</v>
      </c>
      <c r="AF25" s="31">
        <f t="shared" si="17"/>
        <v>42</v>
      </c>
    </row>
    <row r="26" spans="2:32" ht="23.1" customHeight="1" x14ac:dyDescent="0.25">
      <c r="B26" s="23" t="s">
        <v>53</v>
      </c>
      <c r="C26" s="49">
        <f>AVERAGE('17.10 Butongole-Busembatya'!C26,'18.10 Butongole-Busembatya'!C26,'20.10 Butongole-Busembatya'!C26,'22.10 Butongole-Busembatya'!C26,'19.10 Busembatya-Butongole 24h'!C26,'21.10 -Butongole-Bsembatya-24h'!C26,'23.10 Butongole-Busembatya'!C26)</f>
        <v>4.2857142857142856</v>
      </c>
      <c r="D26" s="49">
        <f>AVERAGE('17.10 Butongole-Busembatya'!D26,'18.10 Butongole-Busembatya'!D26,'20.10 Butongole-Busembatya'!D26,'22.10 Butongole-Busembatya'!D26,'19.10 Busembatya-Butongole 24h'!D26,'21.10 -Butongole-Bsembatya-24h'!D26,'23.10 Butongole-Busembatya'!D26)</f>
        <v>2.4285714285714284</v>
      </c>
      <c r="E26" s="49">
        <f>AVERAGE('17.10 Butongole-Busembatya'!E26,'18.10 Butongole-Busembatya'!E26,'20.10 Butongole-Busembatya'!E26,'22.10 Butongole-Busembatya'!E26,'19.10 Busembatya-Butongole 24h'!E26,'21.10 -Butongole-Bsembatya-24h'!E26,'23.10 Butongole-Busembatya'!E26)</f>
        <v>2.2857142857142856</v>
      </c>
      <c r="F26" s="49">
        <f>AVERAGE('17.10 Butongole-Busembatya'!F26,'18.10 Butongole-Busembatya'!F26,'20.10 Butongole-Busembatya'!F26,'22.10 Butongole-Busembatya'!F26,'19.10 Busembatya-Butongole 24h'!F26,'21.10 -Butongole-Bsembatya-24h'!F26,'23.10 Butongole-Busembatya'!F26)</f>
        <v>9.2857142857142865</v>
      </c>
      <c r="G26" s="49">
        <f>AVERAGE('17.10 Butongole-Busembatya'!G26,'18.10 Butongole-Busembatya'!G26,'20.10 Butongole-Busembatya'!G26,'22.10 Butongole-Busembatya'!G26,'19.10 Busembatya-Butongole 24h'!G26,'21.10 -Butongole-Bsembatya-24h'!G26,'23.10 Butongole-Busembatya'!G26)</f>
        <v>0.2857142857142857</v>
      </c>
      <c r="H26" s="49">
        <f>AVERAGE('17.10 Butongole-Busembatya'!H26,'18.10 Butongole-Busembatya'!H26,'20.10 Butongole-Busembatya'!H26,'22.10 Butongole-Busembatya'!H26,'19.10 Busembatya-Butongole 24h'!H26,'21.10 -Butongole-Bsembatya-24h'!H26,'23.10 Butongole-Busembatya'!H26)</f>
        <v>0.42857142857142855</v>
      </c>
      <c r="I26" s="49">
        <f>AVERAGE('17.10 Butongole-Busembatya'!I26,'18.10 Butongole-Busembatya'!I26,'20.10 Butongole-Busembatya'!I26,'22.10 Butongole-Busembatya'!I26,'19.10 Busembatya-Butongole 24h'!I26,'21.10 -Butongole-Bsembatya-24h'!I26,'23.10 Butongole-Busembatya'!I26)</f>
        <v>1.1428571428571428</v>
      </c>
      <c r="J26" s="49">
        <f>AVERAGE('17.10 Butongole-Busembatya'!J26,'18.10 Butongole-Busembatya'!J26,'20.10 Butongole-Busembatya'!J26,'22.10 Butongole-Busembatya'!J26,'19.10 Busembatya-Butongole 24h'!J26,'21.10 -Butongole-Bsembatya-24h'!J26,'23.10 Butongole-Busembatya'!J26)</f>
        <v>1</v>
      </c>
      <c r="K26" s="49">
        <f>AVERAGE('17.10 Butongole-Busembatya'!K26,'18.10 Butongole-Busembatya'!K26,'20.10 Butongole-Busembatya'!K26,'22.10 Butongole-Busembatya'!K26,'19.10 Busembatya-Butongole 24h'!K26,'21.10 -Butongole-Bsembatya-24h'!K26,'23.10 Butongole-Busembatya'!K26)</f>
        <v>0.7142857142857143</v>
      </c>
      <c r="L26" s="49">
        <f>AVERAGE('17.10 Butongole-Busembatya'!L26,'18.10 Butongole-Busembatya'!L26,'20.10 Butongole-Busembatya'!L26,'22.10 Butongole-Busembatya'!L26,'19.10 Busembatya-Butongole 24h'!L26,'21.10 -Butongole-Bsembatya-24h'!L26,'23.10 Butongole-Busembatya'!L26)</f>
        <v>0.7142857142857143</v>
      </c>
      <c r="M26" s="49">
        <f>AVERAGE('17.10 Butongole-Busembatya'!M26,'18.10 Butongole-Busembatya'!M26,'20.10 Butongole-Busembatya'!M26,'22.10 Butongole-Busembatya'!M26,'19.10 Busembatya-Butongole 24h'!M26,'21.10 -Butongole-Bsembatya-24h'!M26,'23.10 Butongole-Busembatya'!M26)</f>
        <v>11.571428571428571</v>
      </c>
      <c r="N26" s="49">
        <f>AVERAGE('17.10 Butongole-Busembatya'!N26,'18.10 Butongole-Busembatya'!N26,'20.10 Butongole-Busembatya'!N26,'22.10 Butongole-Busembatya'!N26,'19.10 Busembatya-Butongole 24h'!N26,'21.10 -Butongole-Bsembatya-24h'!N26,'23.10 Butongole-Busembatya'!N26)</f>
        <v>0.2857142857142857</v>
      </c>
      <c r="O26" s="15">
        <f t="shared" si="0"/>
        <v>22.857142857142854</v>
      </c>
      <c r="P26" s="15">
        <f t="shared" si="1"/>
        <v>34.428571428571423</v>
      </c>
      <c r="R26" s="1" t="s">
        <v>150</v>
      </c>
      <c r="S26" s="34">
        <f>SUM(C74:C77)</f>
        <v>10.5</v>
      </c>
      <c r="T26" s="34">
        <f t="shared" ref="T26:AF26" si="18">SUM(D74:D77)</f>
        <v>0.5</v>
      </c>
      <c r="U26" s="34">
        <f t="shared" si="18"/>
        <v>3.5</v>
      </c>
      <c r="V26" s="34">
        <f t="shared" si="18"/>
        <v>8.5</v>
      </c>
      <c r="W26" s="34">
        <f t="shared" si="18"/>
        <v>2.5</v>
      </c>
      <c r="X26" s="34">
        <f t="shared" si="18"/>
        <v>1</v>
      </c>
      <c r="Y26" s="34">
        <f t="shared" si="18"/>
        <v>9.5</v>
      </c>
      <c r="Z26" s="34">
        <f t="shared" si="18"/>
        <v>0</v>
      </c>
      <c r="AA26" s="34">
        <f t="shared" si="18"/>
        <v>2.5</v>
      </c>
      <c r="AB26" s="34">
        <f t="shared" si="18"/>
        <v>1</v>
      </c>
      <c r="AC26" s="34">
        <f t="shared" si="18"/>
        <v>0.5</v>
      </c>
      <c r="AD26" s="34">
        <f t="shared" si="18"/>
        <v>0</v>
      </c>
      <c r="AE26" s="31">
        <f t="shared" si="18"/>
        <v>39.5</v>
      </c>
      <c r="AF26" s="31">
        <f t="shared" si="18"/>
        <v>40</v>
      </c>
    </row>
    <row r="27" spans="2:32" ht="23.1" customHeight="1" x14ac:dyDescent="0.25">
      <c r="B27" s="23" t="s">
        <v>54</v>
      </c>
      <c r="C27" s="49">
        <f>AVERAGE('17.10 Butongole-Busembatya'!C27,'18.10 Butongole-Busembatya'!C27,'20.10 Butongole-Busembatya'!C27,'22.10 Butongole-Busembatya'!C27,'19.10 Busembatya-Butongole 24h'!C27,'21.10 -Butongole-Bsembatya-24h'!C27,'23.10 Butongole-Busembatya'!C27)</f>
        <v>5.5714285714285712</v>
      </c>
      <c r="D27" s="49">
        <f>AVERAGE('17.10 Butongole-Busembatya'!D27,'18.10 Butongole-Busembatya'!D27,'20.10 Butongole-Busembatya'!D27,'22.10 Butongole-Busembatya'!D27,'19.10 Busembatya-Butongole 24h'!D27,'21.10 -Butongole-Bsembatya-24h'!D27,'23.10 Butongole-Busembatya'!D27)</f>
        <v>1.8571428571428572</v>
      </c>
      <c r="E27" s="49">
        <f>AVERAGE('17.10 Butongole-Busembatya'!E27,'18.10 Butongole-Busembatya'!E27,'20.10 Butongole-Busembatya'!E27,'22.10 Butongole-Busembatya'!E27,'19.10 Busembatya-Butongole 24h'!E27,'21.10 -Butongole-Bsembatya-24h'!E27,'23.10 Butongole-Busembatya'!E27)</f>
        <v>3.2857142857142856</v>
      </c>
      <c r="F27" s="49">
        <f>AVERAGE('17.10 Butongole-Busembatya'!F27,'18.10 Butongole-Busembatya'!F27,'20.10 Butongole-Busembatya'!F27,'22.10 Butongole-Busembatya'!F27,'19.10 Busembatya-Butongole 24h'!F27,'21.10 -Butongole-Bsembatya-24h'!F27,'23.10 Butongole-Busembatya'!F27)</f>
        <v>11</v>
      </c>
      <c r="G27" s="49">
        <f>AVERAGE('17.10 Butongole-Busembatya'!G27,'18.10 Butongole-Busembatya'!G27,'20.10 Butongole-Busembatya'!G27,'22.10 Butongole-Busembatya'!G27,'19.10 Busembatya-Butongole 24h'!G27,'21.10 -Butongole-Bsembatya-24h'!G27,'23.10 Butongole-Busembatya'!G27)</f>
        <v>0.14285714285714285</v>
      </c>
      <c r="H27" s="49">
        <f>AVERAGE('17.10 Butongole-Busembatya'!H27,'18.10 Butongole-Busembatya'!H27,'20.10 Butongole-Busembatya'!H27,'22.10 Butongole-Busembatya'!H27,'19.10 Busembatya-Butongole 24h'!H27,'21.10 -Butongole-Bsembatya-24h'!H27,'23.10 Butongole-Busembatya'!H27)</f>
        <v>0.42857142857142855</v>
      </c>
      <c r="I27" s="49">
        <f>AVERAGE('17.10 Butongole-Busembatya'!I27,'18.10 Butongole-Busembatya'!I27,'20.10 Butongole-Busembatya'!I27,'22.10 Butongole-Busembatya'!I27,'19.10 Busembatya-Butongole 24h'!I27,'21.10 -Butongole-Bsembatya-24h'!I27,'23.10 Butongole-Busembatya'!I27)</f>
        <v>1</v>
      </c>
      <c r="J27" s="49">
        <f>AVERAGE('17.10 Butongole-Busembatya'!J27,'18.10 Butongole-Busembatya'!J27,'20.10 Butongole-Busembatya'!J27,'22.10 Butongole-Busembatya'!J27,'19.10 Busembatya-Butongole 24h'!J27,'21.10 -Butongole-Bsembatya-24h'!J27,'23.10 Butongole-Busembatya'!J27)</f>
        <v>1.2857142857142858</v>
      </c>
      <c r="K27" s="49">
        <f>AVERAGE('17.10 Butongole-Busembatya'!K27,'18.10 Butongole-Busembatya'!K27,'20.10 Butongole-Busembatya'!K27,'22.10 Butongole-Busembatya'!K27,'19.10 Busembatya-Butongole 24h'!K27,'21.10 -Butongole-Bsembatya-24h'!K27,'23.10 Butongole-Busembatya'!K27)</f>
        <v>0.8571428571428571</v>
      </c>
      <c r="L27" s="49">
        <f>AVERAGE('17.10 Butongole-Busembatya'!L27,'18.10 Butongole-Busembatya'!L27,'20.10 Butongole-Busembatya'!L27,'22.10 Butongole-Busembatya'!L27,'19.10 Busembatya-Butongole 24h'!L27,'21.10 -Butongole-Bsembatya-24h'!L27,'23.10 Butongole-Busembatya'!L27)</f>
        <v>0.42857142857142855</v>
      </c>
      <c r="M27" s="49">
        <f>AVERAGE('17.10 Butongole-Busembatya'!M27,'18.10 Butongole-Busembatya'!M27,'20.10 Butongole-Busembatya'!M27,'22.10 Butongole-Busembatya'!M27,'19.10 Busembatya-Butongole 24h'!M27,'21.10 -Butongole-Bsembatya-24h'!M27,'23.10 Butongole-Busembatya'!M27)</f>
        <v>14</v>
      </c>
      <c r="N27" s="49">
        <f>AVERAGE('17.10 Butongole-Busembatya'!N27,'18.10 Butongole-Busembatya'!N27,'20.10 Butongole-Busembatya'!N27,'22.10 Butongole-Busembatya'!N27,'19.10 Busembatya-Butongole 24h'!N27,'21.10 -Butongole-Bsembatya-24h'!N27,'23.10 Butongole-Busembatya'!N27)</f>
        <v>0</v>
      </c>
      <c r="O27" s="15">
        <f t="shared" si="0"/>
        <v>25.857142857142854</v>
      </c>
      <c r="P27" s="15">
        <f t="shared" si="1"/>
        <v>39.857142857142854</v>
      </c>
      <c r="R27" s="1" t="s">
        <v>151</v>
      </c>
      <c r="S27" s="34">
        <f>SUM(C78:C81)</f>
        <v>4.5</v>
      </c>
      <c r="T27" s="34">
        <f t="shared" ref="T27:AF27" si="19">SUM(D78:D81)</f>
        <v>0.5</v>
      </c>
      <c r="U27" s="34">
        <f t="shared" si="19"/>
        <v>0.5</v>
      </c>
      <c r="V27" s="34">
        <f t="shared" si="19"/>
        <v>5</v>
      </c>
      <c r="W27" s="34">
        <f t="shared" si="19"/>
        <v>1</v>
      </c>
      <c r="X27" s="34">
        <f t="shared" si="19"/>
        <v>1</v>
      </c>
      <c r="Y27" s="34">
        <f t="shared" si="19"/>
        <v>8</v>
      </c>
      <c r="Z27" s="34">
        <f t="shared" si="19"/>
        <v>0</v>
      </c>
      <c r="AA27" s="34">
        <f t="shared" si="19"/>
        <v>1</v>
      </c>
      <c r="AB27" s="34">
        <f t="shared" si="19"/>
        <v>0</v>
      </c>
      <c r="AC27" s="34">
        <f t="shared" si="19"/>
        <v>1</v>
      </c>
      <c r="AD27" s="34">
        <f t="shared" si="19"/>
        <v>0</v>
      </c>
      <c r="AE27" s="31">
        <f t="shared" si="19"/>
        <v>21.5</v>
      </c>
      <c r="AF27" s="31">
        <f t="shared" si="19"/>
        <v>22.5</v>
      </c>
    </row>
    <row r="28" spans="2:32" ht="23.1" customHeight="1" x14ac:dyDescent="0.25">
      <c r="B28" s="23" t="s">
        <v>55</v>
      </c>
      <c r="C28" s="49">
        <f>AVERAGE('17.10 Butongole-Busembatya'!C28,'18.10 Butongole-Busembatya'!C28,'20.10 Butongole-Busembatya'!C28,'22.10 Butongole-Busembatya'!C28,'19.10 Busembatya-Butongole 24h'!C28,'21.10 -Butongole-Bsembatya-24h'!C28,'23.10 Butongole-Busembatya'!C28)</f>
        <v>5.4285714285714288</v>
      </c>
      <c r="D28" s="49">
        <f>AVERAGE('17.10 Butongole-Busembatya'!D28,'18.10 Butongole-Busembatya'!D28,'20.10 Butongole-Busembatya'!D28,'22.10 Butongole-Busembatya'!D28,'19.10 Busembatya-Butongole 24h'!D28,'21.10 -Butongole-Bsembatya-24h'!D28,'23.10 Butongole-Busembatya'!D28)</f>
        <v>2.4285714285714284</v>
      </c>
      <c r="E28" s="49">
        <f>AVERAGE('17.10 Butongole-Busembatya'!E28,'18.10 Butongole-Busembatya'!E28,'20.10 Butongole-Busembatya'!E28,'22.10 Butongole-Busembatya'!E28,'19.10 Busembatya-Butongole 24h'!E28,'21.10 -Butongole-Bsembatya-24h'!E28,'23.10 Butongole-Busembatya'!E28)</f>
        <v>1.7142857142857142</v>
      </c>
      <c r="F28" s="49">
        <f>AVERAGE('17.10 Butongole-Busembatya'!F28,'18.10 Butongole-Busembatya'!F28,'20.10 Butongole-Busembatya'!F28,'22.10 Butongole-Busembatya'!F28,'19.10 Busembatya-Butongole 24h'!F28,'21.10 -Butongole-Bsembatya-24h'!F28,'23.10 Butongole-Busembatya'!F28)</f>
        <v>8.8571428571428577</v>
      </c>
      <c r="G28" s="49">
        <f>AVERAGE('17.10 Butongole-Busembatya'!G28,'18.10 Butongole-Busembatya'!G28,'20.10 Butongole-Busembatya'!G28,'22.10 Butongole-Busembatya'!G28,'19.10 Busembatya-Butongole 24h'!G28,'21.10 -Butongole-Bsembatya-24h'!G28,'23.10 Butongole-Busembatya'!G28)</f>
        <v>0.5714285714285714</v>
      </c>
      <c r="H28" s="49">
        <f>AVERAGE('17.10 Butongole-Busembatya'!H28,'18.10 Butongole-Busembatya'!H28,'20.10 Butongole-Busembatya'!H28,'22.10 Butongole-Busembatya'!H28,'19.10 Busembatya-Butongole 24h'!H28,'21.10 -Butongole-Bsembatya-24h'!H28,'23.10 Butongole-Busembatya'!H28)</f>
        <v>0</v>
      </c>
      <c r="I28" s="49">
        <f>AVERAGE('17.10 Butongole-Busembatya'!I28,'18.10 Butongole-Busembatya'!I28,'20.10 Butongole-Busembatya'!I28,'22.10 Butongole-Busembatya'!I28,'19.10 Busembatya-Butongole 24h'!I28,'21.10 -Butongole-Bsembatya-24h'!I28,'23.10 Butongole-Busembatya'!I28)</f>
        <v>1</v>
      </c>
      <c r="J28" s="49">
        <f>AVERAGE('17.10 Butongole-Busembatya'!J28,'18.10 Butongole-Busembatya'!J28,'20.10 Butongole-Busembatya'!J28,'22.10 Butongole-Busembatya'!J28,'19.10 Busembatya-Butongole 24h'!J28,'21.10 -Butongole-Bsembatya-24h'!J28,'23.10 Butongole-Busembatya'!J28)</f>
        <v>1.5714285714285714</v>
      </c>
      <c r="K28" s="49">
        <f>AVERAGE('17.10 Butongole-Busembatya'!K28,'18.10 Butongole-Busembatya'!K28,'20.10 Butongole-Busembatya'!K28,'22.10 Butongole-Busembatya'!K28,'19.10 Busembatya-Butongole 24h'!K28,'21.10 -Butongole-Bsembatya-24h'!K28,'23.10 Butongole-Busembatya'!K28)</f>
        <v>1.1428571428571428</v>
      </c>
      <c r="L28" s="49">
        <f>AVERAGE('17.10 Butongole-Busembatya'!L28,'18.10 Butongole-Busembatya'!L28,'20.10 Butongole-Busembatya'!L28,'22.10 Butongole-Busembatya'!L28,'19.10 Busembatya-Butongole 24h'!L28,'21.10 -Butongole-Bsembatya-24h'!L28,'23.10 Butongole-Busembatya'!L28)</f>
        <v>0.7142857142857143</v>
      </c>
      <c r="M28" s="49">
        <f>AVERAGE('17.10 Butongole-Busembatya'!M28,'18.10 Butongole-Busembatya'!M28,'20.10 Butongole-Busembatya'!M28,'22.10 Butongole-Busembatya'!M28,'19.10 Busembatya-Butongole 24h'!M28,'21.10 -Butongole-Bsembatya-24h'!M28,'23.10 Butongole-Busembatya'!M28)</f>
        <v>12.857142857142858</v>
      </c>
      <c r="N28" s="49">
        <f>AVERAGE('17.10 Butongole-Busembatya'!N28,'18.10 Butongole-Busembatya'!N28,'20.10 Butongole-Busembatya'!N28,'22.10 Butongole-Busembatya'!N28,'19.10 Busembatya-Butongole 24h'!N28,'21.10 -Butongole-Bsembatya-24h'!N28,'23.10 Butongole-Busembatya'!N28)</f>
        <v>0.14285714285714285</v>
      </c>
      <c r="O28" s="15">
        <f t="shared" si="0"/>
        <v>23.571428571428577</v>
      </c>
      <c r="P28" s="15">
        <f t="shared" si="1"/>
        <v>36.428571428571438</v>
      </c>
      <c r="R28" s="1" t="s">
        <v>152</v>
      </c>
      <c r="S28" s="34">
        <f>SUM(C82:C85)</f>
        <v>2</v>
      </c>
      <c r="T28" s="34">
        <f t="shared" ref="T28:AF28" si="20">SUM(D82:D85)</f>
        <v>1</v>
      </c>
      <c r="U28" s="34">
        <f t="shared" si="20"/>
        <v>0.5</v>
      </c>
      <c r="V28" s="34">
        <f t="shared" si="20"/>
        <v>3.5</v>
      </c>
      <c r="W28" s="34">
        <f t="shared" si="20"/>
        <v>0</v>
      </c>
      <c r="X28" s="34">
        <f t="shared" si="20"/>
        <v>1.5</v>
      </c>
      <c r="Y28" s="34">
        <f t="shared" si="20"/>
        <v>3</v>
      </c>
      <c r="Z28" s="34">
        <f t="shared" si="20"/>
        <v>0</v>
      </c>
      <c r="AA28" s="34">
        <f t="shared" si="20"/>
        <v>1</v>
      </c>
      <c r="AB28" s="34">
        <f t="shared" si="20"/>
        <v>0</v>
      </c>
      <c r="AC28" s="34">
        <f t="shared" si="20"/>
        <v>0.5</v>
      </c>
      <c r="AD28" s="34">
        <f t="shared" si="20"/>
        <v>0</v>
      </c>
      <c r="AE28" s="31">
        <f t="shared" si="20"/>
        <v>12.5</v>
      </c>
      <c r="AF28" s="31">
        <f t="shared" si="20"/>
        <v>13</v>
      </c>
    </row>
    <row r="29" spans="2:32" ht="23.1" customHeight="1" x14ac:dyDescent="0.25">
      <c r="B29" s="23" t="s">
        <v>56</v>
      </c>
      <c r="C29" s="49">
        <f>AVERAGE('17.10 Butongole-Busembatya'!C29,'18.10 Butongole-Busembatya'!C29,'20.10 Butongole-Busembatya'!C29,'22.10 Butongole-Busembatya'!C29,'19.10 Busembatya-Butongole 24h'!C29,'21.10 -Butongole-Bsembatya-24h'!C29,'23.10 Butongole-Busembatya'!C29)</f>
        <v>4.1428571428571432</v>
      </c>
      <c r="D29" s="49">
        <f>AVERAGE('17.10 Butongole-Busembatya'!D29,'18.10 Butongole-Busembatya'!D29,'20.10 Butongole-Busembatya'!D29,'22.10 Butongole-Busembatya'!D29,'19.10 Busembatya-Butongole 24h'!D29,'21.10 -Butongole-Bsembatya-24h'!D29,'23.10 Butongole-Busembatya'!D29)</f>
        <v>2.7142857142857144</v>
      </c>
      <c r="E29" s="49">
        <f>AVERAGE('17.10 Butongole-Busembatya'!E29,'18.10 Butongole-Busembatya'!E29,'20.10 Butongole-Busembatya'!E29,'22.10 Butongole-Busembatya'!E29,'19.10 Busembatya-Butongole 24h'!E29,'21.10 -Butongole-Bsembatya-24h'!E29,'23.10 Butongole-Busembatya'!E29)</f>
        <v>2.7142857142857144</v>
      </c>
      <c r="F29" s="49">
        <f>AVERAGE('17.10 Butongole-Busembatya'!F29,'18.10 Butongole-Busembatya'!F29,'20.10 Butongole-Busembatya'!F29,'22.10 Butongole-Busembatya'!F29,'19.10 Busembatya-Butongole 24h'!F29,'21.10 -Butongole-Bsembatya-24h'!F29,'23.10 Butongole-Busembatya'!F29)</f>
        <v>9.5714285714285712</v>
      </c>
      <c r="G29" s="49">
        <f>AVERAGE('17.10 Butongole-Busembatya'!G29,'18.10 Butongole-Busembatya'!G29,'20.10 Butongole-Busembatya'!G29,'22.10 Butongole-Busembatya'!G29,'19.10 Busembatya-Butongole 24h'!G29,'21.10 -Butongole-Bsembatya-24h'!G29,'23.10 Butongole-Busembatya'!G29)</f>
        <v>0.7142857142857143</v>
      </c>
      <c r="H29" s="49">
        <f>AVERAGE('17.10 Butongole-Busembatya'!H29,'18.10 Butongole-Busembatya'!H29,'20.10 Butongole-Busembatya'!H29,'22.10 Butongole-Busembatya'!H29,'19.10 Busembatya-Butongole 24h'!H29,'21.10 -Butongole-Bsembatya-24h'!H29,'23.10 Butongole-Busembatya'!H29)</f>
        <v>0.2857142857142857</v>
      </c>
      <c r="I29" s="49">
        <f>AVERAGE('17.10 Butongole-Busembatya'!I29,'18.10 Butongole-Busembatya'!I29,'20.10 Butongole-Busembatya'!I29,'22.10 Butongole-Busembatya'!I29,'19.10 Busembatya-Butongole 24h'!I29,'21.10 -Butongole-Bsembatya-24h'!I29,'23.10 Butongole-Busembatya'!I29)</f>
        <v>1.2857142857142858</v>
      </c>
      <c r="J29" s="49">
        <f>AVERAGE('17.10 Butongole-Busembatya'!J29,'18.10 Butongole-Busembatya'!J29,'20.10 Butongole-Busembatya'!J29,'22.10 Butongole-Busembatya'!J29,'19.10 Busembatya-Butongole 24h'!J29,'21.10 -Butongole-Bsembatya-24h'!J29,'23.10 Butongole-Busembatya'!J29)</f>
        <v>1</v>
      </c>
      <c r="K29" s="49">
        <f>AVERAGE('17.10 Butongole-Busembatya'!K29,'18.10 Butongole-Busembatya'!K29,'20.10 Butongole-Busembatya'!K29,'22.10 Butongole-Busembatya'!K29,'19.10 Busembatya-Butongole 24h'!K29,'21.10 -Butongole-Bsembatya-24h'!K29,'23.10 Butongole-Busembatya'!K29)</f>
        <v>0.5714285714285714</v>
      </c>
      <c r="L29" s="49">
        <f>AVERAGE('17.10 Butongole-Busembatya'!L29,'18.10 Butongole-Busembatya'!L29,'20.10 Butongole-Busembatya'!L29,'22.10 Butongole-Busembatya'!L29,'19.10 Busembatya-Butongole 24h'!L29,'21.10 -Butongole-Bsembatya-24h'!L29,'23.10 Butongole-Busembatya'!L29)</f>
        <v>0.14285714285714285</v>
      </c>
      <c r="M29" s="49">
        <f>AVERAGE('17.10 Butongole-Busembatya'!M29,'18.10 Butongole-Busembatya'!M29,'20.10 Butongole-Busembatya'!M29,'22.10 Butongole-Busembatya'!M29,'19.10 Busembatya-Butongole 24h'!M29,'21.10 -Butongole-Bsembatya-24h'!M29,'23.10 Butongole-Busembatya'!M29)</f>
        <v>18.571428571428573</v>
      </c>
      <c r="N29" s="49">
        <f>AVERAGE('17.10 Butongole-Busembatya'!N29,'18.10 Butongole-Busembatya'!N29,'20.10 Butongole-Busembatya'!N29,'22.10 Butongole-Busembatya'!N29,'19.10 Busembatya-Butongole 24h'!N29,'21.10 -Butongole-Bsembatya-24h'!N29,'23.10 Butongole-Busembatya'!N29)</f>
        <v>0.42857142857142855</v>
      </c>
      <c r="O29" s="15">
        <f t="shared" si="0"/>
        <v>23.571428571428573</v>
      </c>
      <c r="P29" s="15">
        <f t="shared" si="1"/>
        <v>42.142857142857153</v>
      </c>
      <c r="R29" s="1" t="s">
        <v>153</v>
      </c>
      <c r="S29" s="34">
        <f>SUM(C86:C89)</f>
        <v>2</v>
      </c>
      <c r="T29" s="34">
        <f t="shared" ref="T29:AF29" si="21">SUM(D86:D89)</f>
        <v>0</v>
      </c>
      <c r="U29" s="34">
        <f t="shared" si="21"/>
        <v>0.5</v>
      </c>
      <c r="V29" s="34">
        <f t="shared" si="21"/>
        <v>2</v>
      </c>
      <c r="W29" s="34">
        <f t="shared" si="21"/>
        <v>0</v>
      </c>
      <c r="X29" s="34">
        <f t="shared" si="21"/>
        <v>3</v>
      </c>
      <c r="Y29" s="34">
        <f t="shared" si="21"/>
        <v>4.5</v>
      </c>
      <c r="Z29" s="34">
        <f t="shared" si="21"/>
        <v>0</v>
      </c>
      <c r="AA29" s="34">
        <f t="shared" si="21"/>
        <v>0</v>
      </c>
      <c r="AB29" s="34">
        <f t="shared" si="21"/>
        <v>0.5</v>
      </c>
      <c r="AC29" s="34">
        <f t="shared" si="21"/>
        <v>2</v>
      </c>
      <c r="AD29" s="34">
        <f t="shared" si="21"/>
        <v>0</v>
      </c>
      <c r="AE29" s="31">
        <f t="shared" si="21"/>
        <v>12.5</v>
      </c>
      <c r="AF29" s="31">
        <f t="shared" si="21"/>
        <v>14.5</v>
      </c>
    </row>
    <row r="30" spans="2:32" ht="23.1" customHeight="1" x14ac:dyDescent="0.25">
      <c r="B30" s="23" t="s">
        <v>57</v>
      </c>
      <c r="C30" s="49">
        <f>AVERAGE('17.10 Butongole-Busembatya'!C30,'18.10 Butongole-Busembatya'!C30,'20.10 Butongole-Busembatya'!C30,'22.10 Butongole-Busembatya'!C30,'19.10 Busembatya-Butongole 24h'!C30,'21.10 -Butongole-Bsembatya-24h'!C30,'23.10 Butongole-Busembatya'!C30)</f>
        <v>4.7142857142857144</v>
      </c>
      <c r="D30" s="49">
        <f>AVERAGE('17.10 Butongole-Busembatya'!D30,'18.10 Butongole-Busembatya'!D30,'20.10 Butongole-Busembatya'!D30,'22.10 Butongole-Busembatya'!D30,'19.10 Busembatya-Butongole 24h'!D30,'21.10 -Butongole-Bsembatya-24h'!D30,'23.10 Butongole-Busembatya'!D30)</f>
        <v>2.7142857142857144</v>
      </c>
      <c r="E30" s="49">
        <f>AVERAGE('17.10 Butongole-Busembatya'!E30,'18.10 Butongole-Busembatya'!E30,'20.10 Butongole-Busembatya'!E30,'22.10 Butongole-Busembatya'!E30,'19.10 Busembatya-Butongole 24h'!E30,'21.10 -Butongole-Bsembatya-24h'!E30,'23.10 Butongole-Busembatya'!E30)</f>
        <v>2.5714285714285716</v>
      </c>
      <c r="F30" s="49">
        <f>AVERAGE('17.10 Butongole-Busembatya'!F30,'18.10 Butongole-Busembatya'!F30,'20.10 Butongole-Busembatya'!F30,'22.10 Butongole-Busembatya'!F30,'19.10 Busembatya-Butongole 24h'!F30,'21.10 -Butongole-Bsembatya-24h'!F30,'23.10 Butongole-Busembatya'!F30)</f>
        <v>12.428571428571429</v>
      </c>
      <c r="G30" s="49">
        <f>AVERAGE('17.10 Butongole-Busembatya'!G30,'18.10 Butongole-Busembatya'!G30,'20.10 Butongole-Busembatya'!G30,'22.10 Butongole-Busembatya'!G30,'19.10 Busembatya-Butongole 24h'!G30,'21.10 -Butongole-Bsembatya-24h'!G30,'23.10 Butongole-Busembatya'!G30)</f>
        <v>0.2857142857142857</v>
      </c>
      <c r="H30" s="49">
        <f>AVERAGE('17.10 Butongole-Busembatya'!H30,'18.10 Butongole-Busembatya'!H30,'20.10 Butongole-Busembatya'!H30,'22.10 Butongole-Busembatya'!H30,'19.10 Busembatya-Butongole 24h'!H30,'21.10 -Butongole-Bsembatya-24h'!H30,'23.10 Butongole-Busembatya'!H30)</f>
        <v>0.42857142857142855</v>
      </c>
      <c r="I30" s="49">
        <f>AVERAGE('17.10 Butongole-Busembatya'!I30,'18.10 Butongole-Busembatya'!I30,'20.10 Butongole-Busembatya'!I30,'22.10 Butongole-Busembatya'!I30,'19.10 Busembatya-Butongole 24h'!I30,'21.10 -Butongole-Bsembatya-24h'!I30,'23.10 Butongole-Busembatya'!I30)</f>
        <v>1</v>
      </c>
      <c r="J30" s="49">
        <f>AVERAGE('17.10 Butongole-Busembatya'!J30,'18.10 Butongole-Busembatya'!J30,'20.10 Butongole-Busembatya'!J30,'22.10 Butongole-Busembatya'!J30,'19.10 Busembatya-Butongole 24h'!J30,'21.10 -Butongole-Bsembatya-24h'!J30,'23.10 Butongole-Busembatya'!J30)</f>
        <v>1.4285714285714286</v>
      </c>
      <c r="K30" s="49">
        <f>AVERAGE('17.10 Butongole-Busembatya'!K30,'18.10 Butongole-Busembatya'!K30,'20.10 Butongole-Busembatya'!K30,'22.10 Butongole-Busembatya'!K30,'19.10 Busembatya-Butongole 24h'!K30,'21.10 -Butongole-Bsembatya-24h'!K30,'23.10 Butongole-Busembatya'!K30)</f>
        <v>0.7142857142857143</v>
      </c>
      <c r="L30" s="49">
        <f>AVERAGE('17.10 Butongole-Busembatya'!L30,'18.10 Butongole-Busembatya'!L30,'20.10 Butongole-Busembatya'!L30,'22.10 Butongole-Busembatya'!L30,'19.10 Busembatya-Butongole 24h'!L30,'21.10 -Butongole-Bsembatya-24h'!L30,'23.10 Butongole-Busembatya'!L30)</f>
        <v>0.2857142857142857</v>
      </c>
      <c r="M30" s="49">
        <f>AVERAGE('17.10 Butongole-Busembatya'!M30,'18.10 Butongole-Busembatya'!M30,'20.10 Butongole-Busembatya'!M30,'22.10 Butongole-Busembatya'!M30,'19.10 Busembatya-Butongole 24h'!M30,'21.10 -Butongole-Bsembatya-24h'!M30,'23.10 Butongole-Busembatya'!M30)</f>
        <v>12.714285714285714</v>
      </c>
      <c r="N30" s="49">
        <f>AVERAGE('17.10 Butongole-Busembatya'!N30,'18.10 Butongole-Busembatya'!N30,'20.10 Butongole-Busembatya'!N30,'22.10 Butongole-Busembatya'!N30,'19.10 Busembatya-Butongole 24h'!N30,'21.10 -Butongole-Bsembatya-24h'!N30,'23.10 Butongole-Busembatya'!N30)</f>
        <v>0</v>
      </c>
      <c r="O30" s="15">
        <f t="shared" si="0"/>
        <v>26.571428571428569</v>
      </c>
      <c r="P30" s="15">
        <f t="shared" si="1"/>
        <v>39.285714285714285</v>
      </c>
      <c r="R30" s="1" t="s">
        <v>154</v>
      </c>
      <c r="S30" s="34">
        <f>SUM(C90:C93)</f>
        <v>1</v>
      </c>
      <c r="T30" s="34">
        <f t="shared" ref="T30:AF30" si="22">SUM(D90:D93)</f>
        <v>1</v>
      </c>
      <c r="U30" s="34">
        <f t="shared" si="22"/>
        <v>0.5</v>
      </c>
      <c r="V30" s="34">
        <f t="shared" si="22"/>
        <v>1.5</v>
      </c>
      <c r="W30" s="34">
        <f t="shared" si="22"/>
        <v>0</v>
      </c>
      <c r="X30" s="34">
        <f t="shared" si="22"/>
        <v>2.5</v>
      </c>
      <c r="Y30" s="34">
        <f t="shared" si="22"/>
        <v>6</v>
      </c>
      <c r="Z30" s="34">
        <f t="shared" si="22"/>
        <v>0</v>
      </c>
      <c r="AA30" s="34">
        <f t="shared" si="22"/>
        <v>2.5</v>
      </c>
      <c r="AB30" s="34">
        <f t="shared" si="22"/>
        <v>1</v>
      </c>
      <c r="AC30" s="34">
        <f t="shared" si="22"/>
        <v>0.5</v>
      </c>
      <c r="AD30" s="34">
        <f t="shared" si="22"/>
        <v>0</v>
      </c>
      <c r="AE30" s="31">
        <f t="shared" si="22"/>
        <v>16</v>
      </c>
      <c r="AF30" s="31">
        <f t="shared" si="22"/>
        <v>16.5</v>
      </c>
    </row>
    <row r="31" spans="2:32" ht="23.1" customHeight="1" x14ac:dyDescent="0.25">
      <c r="B31" s="24" t="s">
        <v>58</v>
      </c>
      <c r="C31" s="49">
        <f>AVERAGE('17.10 Butongole-Busembatya'!C31,'18.10 Butongole-Busembatya'!C31,'20.10 Butongole-Busembatya'!C31,'22.10 Butongole-Busembatya'!C31,'19.10 Busembatya-Butongole 24h'!C31,'21.10 -Butongole-Bsembatya-24h'!C31,'23.10 Butongole-Busembatya'!C31)</f>
        <v>6.2857142857142856</v>
      </c>
      <c r="D31" s="49">
        <f>AVERAGE('17.10 Butongole-Busembatya'!D31,'18.10 Butongole-Busembatya'!D31,'20.10 Butongole-Busembatya'!D31,'22.10 Butongole-Busembatya'!D31,'19.10 Busembatya-Butongole 24h'!D31,'21.10 -Butongole-Bsembatya-24h'!D31,'23.10 Butongole-Busembatya'!D31)</f>
        <v>2</v>
      </c>
      <c r="E31" s="49">
        <f>AVERAGE('17.10 Butongole-Busembatya'!E31,'18.10 Butongole-Busembatya'!E31,'20.10 Butongole-Busembatya'!E31,'22.10 Butongole-Busembatya'!E31,'19.10 Busembatya-Butongole 24h'!E31,'21.10 -Butongole-Bsembatya-24h'!E31,'23.10 Butongole-Busembatya'!E31)</f>
        <v>3</v>
      </c>
      <c r="F31" s="49">
        <f>AVERAGE('17.10 Butongole-Busembatya'!F31,'18.10 Butongole-Busembatya'!F31,'20.10 Butongole-Busembatya'!F31,'22.10 Butongole-Busembatya'!F31,'19.10 Busembatya-Butongole 24h'!F31,'21.10 -Butongole-Bsembatya-24h'!F31,'23.10 Butongole-Busembatya'!F31)</f>
        <v>9.7142857142857135</v>
      </c>
      <c r="G31" s="49">
        <f>AVERAGE('17.10 Butongole-Busembatya'!G31,'18.10 Butongole-Busembatya'!G31,'20.10 Butongole-Busembatya'!G31,'22.10 Butongole-Busembatya'!G31,'19.10 Busembatya-Butongole 24h'!G31,'21.10 -Butongole-Bsembatya-24h'!G31,'23.10 Butongole-Busembatya'!G31)</f>
        <v>0.42857142857142855</v>
      </c>
      <c r="H31" s="49">
        <f>AVERAGE('17.10 Butongole-Busembatya'!H31,'18.10 Butongole-Busembatya'!H31,'20.10 Butongole-Busembatya'!H31,'22.10 Butongole-Busembatya'!H31,'19.10 Busembatya-Butongole 24h'!H31,'21.10 -Butongole-Bsembatya-24h'!H31,'23.10 Butongole-Busembatya'!H31)</f>
        <v>0.2857142857142857</v>
      </c>
      <c r="I31" s="49">
        <f>AVERAGE('17.10 Butongole-Busembatya'!I31,'18.10 Butongole-Busembatya'!I31,'20.10 Butongole-Busembatya'!I31,'22.10 Butongole-Busembatya'!I31,'19.10 Busembatya-Butongole 24h'!I31,'21.10 -Butongole-Bsembatya-24h'!I31,'23.10 Butongole-Busembatya'!I31)</f>
        <v>1.1428571428571428</v>
      </c>
      <c r="J31" s="49">
        <f>AVERAGE('17.10 Butongole-Busembatya'!J31,'18.10 Butongole-Busembatya'!J31,'20.10 Butongole-Busembatya'!J31,'22.10 Butongole-Busembatya'!J31,'19.10 Busembatya-Butongole 24h'!J31,'21.10 -Butongole-Bsembatya-24h'!J31,'23.10 Butongole-Busembatya'!J31)</f>
        <v>1.7142857142857142</v>
      </c>
      <c r="K31" s="49">
        <f>AVERAGE('17.10 Butongole-Busembatya'!K31,'18.10 Butongole-Busembatya'!K31,'20.10 Butongole-Busembatya'!K31,'22.10 Butongole-Busembatya'!K31,'19.10 Busembatya-Butongole 24h'!K31,'21.10 -Butongole-Bsembatya-24h'!K31,'23.10 Butongole-Busembatya'!K31)</f>
        <v>0.7142857142857143</v>
      </c>
      <c r="L31" s="49">
        <f>AVERAGE('17.10 Butongole-Busembatya'!L31,'18.10 Butongole-Busembatya'!L31,'20.10 Butongole-Busembatya'!L31,'22.10 Butongole-Busembatya'!L31,'19.10 Busembatya-Butongole 24h'!L31,'21.10 -Butongole-Bsembatya-24h'!L31,'23.10 Butongole-Busembatya'!L31)</f>
        <v>0.42857142857142855</v>
      </c>
      <c r="M31" s="49">
        <f>AVERAGE('17.10 Butongole-Busembatya'!M31,'18.10 Butongole-Busembatya'!M31,'20.10 Butongole-Busembatya'!M31,'22.10 Butongole-Busembatya'!M31,'19.10 Busembatya-Butongole 24h'!M31,'21.10 -Butongole-Bsembatya-24h'!M31,'23.10 Butongole-Busembatya'!M31)</f>
        <v>12</v>
      </c>
      <c r="N31" s="49">
        <f>AVERAGE('17.10 Butongole-Busembatya'!N31,'18.10 Butongole-Busembatya'!N31,'20.10 Butongole-Busembatya'!N31,'22.10 Butongole-Busembatya'!N31,'19.10 Busembatya-Butongole 24h'!N31,'21.10 -Butongole-Bsembatya-24h'!N31,'23.10 Butongole-Busembatya'!N31)</f>
        <v>0</v>
      </c>
      <c r="O31" s="15">
        <f t="shared" si="0"/>
        <v>25.714285714285712</v>
      </c>
      <c r="P31" s="15">
        <f t="shared" si="1"/>
        <v>37.714285714285708</v>
      </c>
      <c r="R31" s="1" t="s">
        <v>155</v>
      </c>
      <c r="S31" s="34">
        <f>SUM(C94:C97)</f>
        <v>0.5</v>
      </c>
      <c r="T31" s="34">
        <f t="shared" ref="T31:AF31" si="23">SUM(D94:D97)</f>
        <v>0</v>
      </c>
      <c r="U31" s="34">
        <f t="shared" si="23"/>
        <v>0</v>
      </c>
      <c r="V31" s="34">
        <f t="shared" si="23"/>
        <v>1</v>
      </c>
      <c r="W31" s="34">
        <f t="shared" si="23"/>
        <v>0</v>
      </c>
      <c r="X31" s="34">
        <f t="shared" si="23"/>
        <v>2</v>
      </c>
      <c r="Y31" s="34">
        <f t="shared" si="23"/>
        <v>6.5</v>
      </c>
      <c r="Z31" s="34">
        <f t="shared" si="23"/>
        <v>0</v>
      </c>
      <c r="AA31" s="34">
        <f t="shared" si="23"/>
        <v>1.5</v>
      </c>
      <c r="AB31" s="34">
        <f t="shared" si="23"/>
        <v>0</v>
      </c>
      <c r="AC31" s="34">
        <f t="shared" si="23"/>
        <v>0.5</v>
      </c>
      <c r="AD31" s="34">
        <f t="shared" si="23"/>
        <v>0</v>
      </c>
      <c r="AE31" s="31">
        <f t="shared" si="23"/>
        <v>11.5</v>
      </c>
      <c r="AF31" s="31">
        <f t="shared" si="23"/>
        <v>12</v>
      </c>
    </row>
    <row r="32" spans="2:32" ht="23.1" customHeight="1" x14ac:dyDescent="0.25">
      <c r="B32" s="24" t="s">
        <v>59</v>
      </c>
      <c r="C32" s="49">
        <f>AVERAGE('17.10 Butongole-Busembatya'!C32,'18.10 Butongole-Busembatya'!C32,'20.10 Butongole-Busembatya'!C32,'22.10 Butongole-Busembatya'!C32,'19.10 Busembatya-Butongole 24h'!C32,'21.10 -Butongole-Bsembatya-24h'!C32,'23.10 Butongole-Busembatya'!C32)</f>
        <v>4.2857142857142856</v>
      </c>
      <c r="D32" s="49">
        <f>AVERAGE('17.10 Butongole-Busembatya'!D32,'18.10 Butongole-Busembatya'!D32,'20.10 Butongole-Busembatya'!D32,'22.10 Butongole-Busembatya'!D32,'19.10 Busembatya-Butongole 24h'!D32,'21.10 -Butongole-Bsembatya-24h'!D32,'23.10 Butongole-Busembatya'!D32)</f>
        <v>2.1428571428571428</v>
      </c>
      <c r="E32" s="49">
        <f>AVERAGE('17.10 Butongole-Busembatya'!E32,'18.10 Butongole-Busembatya'!E32,'20.10 Butongole-Busembatya'!E32,'22.10 Butongole-Busembatya'!E32,'19.10 Busembatya-Butongole 24h'!E32,'21.10 -Butongole-Bsembatya-24h'!E32,'23.10 Butongole-Busembatya'!E32)</f>
        <v>1.5714285714285714</v>
      </c>
      <c r="F32" s="49">
        <f>AVERAGE('17.10 Butongole-Busembatya'!F32,'18.10 Butongole-Busembatya'!F32,'20.10 Butongole-Busembatya'!F32,'22.10 Butongole-Busembatya'!F32,'19.10 Busembatya-Butongole 24h'!F32,'21.10 -Butongole-Bsembatya-24h'!F32,'23.10 Butongole-Busembatya'!F32)</f>
        <v>11.571428571428571</v>
      </c>
      <c r="G32" s="49">
        <f>AVERAGE('17.10 Butongole-Busembatya'!G32,'18.10 Butongole-Busembatya'!G32,'20.10 Butongole-Busembatya'!G32,'22.10 Butongole-Busembatya'!G32,'19.10 Busembatya-Butongole 24h'!G32,'21.10 -Butongole-Bsembatya-24h'!G32,'23.10 Butongole-Busembatya'!G32)</f>
        <v>0.42857142857142855</v>
      </c>
      <c r="H32" s="49">
        <f>AVERAGE('17.10 Butongole-Busembatya'!H32,'18.10 Butongole-Busembatya'!H32,'20.10 Butongole-Busembatya'!H32,'22.10 Butongole-Busembatya'!H32,'19.10 Busembatya-Butongole 24h'!H32,'21.10 -Butongole-Bsembatya-24h'!H32,'23.10 Butongole-Busembatya'!H32)</f>
        <v>0.7142857142857143</v>
      </c>
      <c r="I32" s="49">
        <f>AVERAGE('17.10 Butongole-Busembatya'!I32,'18.10 Butongole-Busembatya'!I32,'20.10 Butongole-Busembatya'!I32,'22.10 Butongole-Busembatya'!I32,'19.10 Busembatya-Butongole 24h'!I32,'21.10 -Butongole-Bsembatya-24h'!I32,'23.10 Butongole-Busembatya'!I32)</f>
        <v>1</v>
      </c>
      <c r="J32" s="49">
        <f>AVERAGE('17.10 Butongole-Busembatya'!J32,'18.10 Butongole-Busembatya'!J32,'20.10 Butongole-Busembatya'!J32,'22.10 Butongole-Busembatya'!J32,'19.10 Busembatya-Butongole 24h'!J32,'21.10 -Butongole-Bsembatya-24h'!J32,'23.10 Butongole-Busembatya'!J32)</f>
        <v>0.8571428571428571</v>
      </c>
      <c r="K32" s="49">
        <f>AVERAGE('17.10 Butongole-Busembatya'!K32,'18.10 Butongole-Busembatya'!K32,'20.10 Butongole-Busembatya'!K32,'22.10 Butongole-Busembatya'!K32,'19.10 Busembatya-Butongole 24h'!K32,'21.10 -Butongole-Bsembatya-24h'!K32,'23.10 Butongole-Busembatya'!K32)</f>
        <v>1.2857142857142858</v>
      </c>
      <c r="L32" s="49">
        <f>AVERAGE('17.10 Butongole-Busembatya'!L32,'18.10 Butongole-Busembatya'!L32,'20.10 Butongole-Busembatya'!L32,'22.10 Butongole-Busembatya'!L32,'19.10 Busembatya-Butongole 24h'!L32,'21.10 -Butongole-Bsembatya-24h'!L32,'23.10 Butongole-Busembatya'!L32)</f>
        <v>0.42857142857142855</v>
      </c>
      <c r="M32" s="49">
        <f>AVERAGE('17.10 Butongole-Busembatya'!M32,'18.10 Butongole-Busembatya'!M32,'20.10 Butongole-Busembatya'!M32,'22.10 Butongole-Busembatya'!M32,'19.10 Busembatya-Butongole 24h'!M32,'21.10 -Butongole-Bsembatya-24h'!M32,'23.10 Butongole-Busembatya'!M32)</f>
        <v>16.428571428571427</v>
      </c>
      <c r="N32" s="49">
        <f>AVERAGE('17.10 Butongole-Busembatya'!N32,'18.10 Butongole-Busembatya'!N32,'20.10 Butongole-Busembatya'!N32,'22.10 Butongole-Busembatya'!N32,'19.10 Busembatya-Butongole 24h'!N32,'21.10 -Butongole-Bsembatya-24h'!N32,'23.10 Butongole-Busembatya'!N32)</f>
        <v>0</v>
      </c>
      <c r="O32" s="15">
        <f t="shared" si="0"/>
        <v>24.285714285714281</v>
      </c>
      <c r="P32" s="15">
        <f t="shared" si="1"/>
        <v>40.714285714285708</v>
      </c>
      <c r="R32" s="1" t="s">
        <v>156</v>
      </c>
      <c r="S32" s="34">
        <f>SUM(C98:C101)</f>
        <v>3.5</v>
      </c>
      <c r="T32" s="34">
        <f t="shared" ref="T32:AF32" si="24">SUM(D98:D101)</f>
        <v>1</v>
      </c>
      <c r="U32" s="34">
        <f t="shared" si="24"/>
        <v>0.5</v>
      </c>
      <c r="V32" s="34">
        <f t="shared" si="24"/>
        <v>2.5</v>
      </c>
      <c r="W32" s="34">
        <f t="shared" si="24"/>
        <v>0</v>
      </c>
      <c r="X32" s="34">
        <f t="shared" si="24"/>
        <v>1.5</v>
      </c>
      <c r="Y32" s="34">
        <f t="shared" si="24"/>
        <v>2.5</v>
      </c>
      <c r="Z32" s="34">
        <f t="shared" si="24"/>
        <v>0</v>
      </c>
      <c r="AA32" s="34">
        <f t="shared" si="24"/>
        <v>1</v>
      </c>
      <c r="AB32" s="34">
        <f t="shared" si="24"/>
        <v>1</v>
      </c>
      <c r="AC32" s="34">
        <f t="shared" si="24"/>
        <v>2</v>
      </c>
      <c r="AD32" s="34">
        <f t="shared" si="24"/>
        <v>0</v>
      </c>
      <c r="AE32" s="31">
        <f t="shared" si="24"/>
        <v>13.5</v>
      </c>
      <c r="AF32" s="31">
        <f t="shared" si="24"/>
        <v>15.5</v>
      </c>
    </row>
    <row r="33" spans="2:32" ht="23.1" customHeight="1" x14ac:dyDescent="0.25">
      <c r="B33" s="23" t="s">
        <v>60</v>
      </c>
      <c r="C33" s="49">
        <f>AVERAGE('17.10 Butongole-Busembatya'!C33,'18.10 Butongole-Busembatya'!C33,'20.10 Butongole-Busembatya'!C33,'22.10 Butongole-Busembatya'!C33,'19.10 Busembatya-Butongole 24h'!C33,'21.10 -Butongole-Bsembatya-24h'!C33,'23.10 Butongole-Busembatya'!C33)</f>
        <v>4</v>
      </c>
      <c r="D33" s="49">
        <f>AVERAGE('17.10 Butongole-Busembatya'!D33,'18.10 Butongole-Busembatya'!D33,'20.10 Butongole-Busembatya'!D33,'22.10 Butongole-Busembatya'!D33,'19.10 Busembatya-Butongole 24h'!D33,'21.10 -Butongole-Bsembatya-24h'!D33,'23.10 Butongole-Busembatya'!D33)</f>
        <v>2.4285714285714284</v>
      </c>
      <c r="E33" s="49">
        <f>AVERAGE('17.10 Butongole-Busembatya'!E33,'18.10 Butongole-Busembatya'!E33,'20.10 Butongole-Busembatya'!E33,'22.10 Butongole-Busembatya'!E33,'19.10 Busembatya-Butongole 24h'!E33,'21.10 -Butongole-Bsembatya-24h'!E33,'23.10 Butongole-Busembatya'!E33)</f>
        <v>1.5714285714285714</v>
      </c>
      <c r="F33" s="49">
        <f>AVERAGE('17.10 Butongole-Busembatya'!F33,'18.10 Butongole-Busembatya'!F33,'20.10 Butongole-Busembatya'!F33,'22.10 Butongole-Busembatya'!F33,'19.10 Busembatya-Butongole 24h'!F33,'21.10 -Butongole-Bsembatya-24h'!F33,'23.10 Butongole-Busembatya'!F33)</f>
        <v>9.1428571428571423</v>
      </c>
      <c r="G33" s="49">
        <f>AVERAGE('17.10 Butongole-Busembatya'!G33,'18.10 Butongole-Busembatya'!G33,'20.10 Butongole-Busembatya'!G33,'22.10 Butongole-Busembatya'!G33,'19.10 Busembatya-Butongole 24h'!G33,'21.10 -Butongole-Bsembatya-24h'!G33,'23.10 Butongole-Busembatya'!G33)</f>
        <v>1</v>
      </c>
      <c r="H33" s="49">
        <f>AVERAGE('17.10 Butongole-Busembatya'!H33,'18.10 Butongole-Busembatya'!H33,'20.10 Butongole-Busembatya'!H33,'22.10 Butongole-Busembatya'!H33,'19.10 Busembatya-Butongole 24h'!H33,'21.10 -Butongole-Bsembatya-24h'!H33,'23.10 Butongole-Busembatya'!H33)</f>
        <v>0.42857142857142855</v>
      </c>
      <c r="I33" s="49">
        <f>AVERAGE('17.10 Butongole-Busembatya'!I33,'18.10 Butongole-Busembatya'!I33,'20.10 Butongole-Busembatya'!I33,'22.10 Butongole-Busembatya'!I33,'19.10 Busembatya-Butongole 24h'!I33,'21.10 -Butongole-Bsembatya-24h'!I33,'23.10 Butongole-Busembatya'!I33)</f>
        <v>1.2857142857142858</v>
      </c>
      <c r="J33" s="49">
        <f>AVERAGE('17.10 Butongole-Busembatya'!J33,'18.10 Butongole-Busembatya'!J33,'20.10 Butongole-Busembatya'!J33,'22.10 Butongole-Busembatya'!J33,'19.10 Busembatya-Butongole 24h'!J33,'21.10 -Butongole-Bsembatya-24h'!J33,'23.10 Butongole-Busembatya'!J33)</f>
        <v>1.8571428571428572</v>
      </c>
      <c r="K33" s="49">
        <f>AVERAGE('17.10 Butongole-Busembatya'!K33,'18.10 Butongole-Busembatya'!K33,'20.10 Butongole-Busembatya'!K33,'22.10 Butongole-Busembatya'!K33,'19.10 Busembatya-Butongole 24h'!K33,'21.10 -Butongole-Bsembatya-24h'!K33,'23.10 Butongole-Busembatya'!K33)</f>
        <v>0.2857142857142857</v>
      </c>
      <c r="L33" s="49">
        <f>AVERAGE('17.10 Butongole-Busembatya'!L33,'18.10 Butongole-Busembatya'!L33,'20.10 Butongole-Busembatya'!L33,'22.10 Butongole-Busembatya'!L33,'19.10 Busembatya-Butongole 24h'!L33,'21.10 -Butongole-Bsembatya-24h'!L33,'23.10 Butongole-Busembatya'!L33)</f>
        <v>0.7142857142857143</v>
      </c>
      <c r="M33" s="49">
        <f>AVERAGE('17.10 Butongole-Busembatya'!M33,'18.10 Butongole-Busembatya'!M33,'20.10 Butongole-Busembatya'!M33,'22.10 Butongole-Busembatya'!M33,'19.10 Busembatya-Butongole 24h'!M33,'21.10 -Butongole-Bsembatya-24h'!M33,'23.10 Butongole-Busembatya'!M33)</f>
        <v>15.714285714285714</v>
      </c>
      <c r="N33" s="49">
        <f>AVERAGE('17.10 Butongole-Busembatya'!N33,'18.10 Butongole-Busembatya'!N33,'20.10 Butongole-Busembatya'!N33,'22.10 Butongole-Busembatya'!N33,'19.10 Busembatya-Butongole 24h'!N33,'21.10 -Butongole-Bsembatya-24h'!N33,'23.10 Butongole-Busembatya'!N33)</f>
        <v>0</v>
      </c>
      <c r="O33" s="15">
        <f t="shared" si="0"/>
        <v>22.714285714285712</v>
      </c>
      <c r="P33" s="15">
        <f t="shared" si="1"/>
        <v>38.428571428571423</v>
      </c>
      <c r="R33" s="1" t="s">
        <v>157</v>
      </c>
      <c r="S33" s="34">
        <f>SUM(C102:C105)</f>
        <v>7.5</v>
      </c>
      <c r="T33" s="34">
        <f t="shared" ref="T33:AF33" si="25">SUM(D102:D105)</f>
        <v>1.5</v>
      </c>
      <c r="U33" s="34">
        <f t="shared" si="25"/>
        <v>3.5</v>
      </c>
      <c r="V33" s="34">
        <f t="shared" si="25"/>
        <v>9</v>
      </c>
      <c r="W33" s="34">
        <f t="shared" si="25"/>
        <v>0</v>
      </c>
      <c r="X33" s="34">
        <f t="shared" si="25"/>
        <v>0.5</v>
      </c>
      <c r="Y33" s="34">
        <f t="shared" si="25"/>
        <v>7.5</v>
      </c>
      <c r="Z33" s="34">
        <f t="shared" si="25"/>
        <v>0.5</v>
      </c>
      <c r="AA33" s="34">
        <f t="shared" si="25"/>
        <v>1.5</v>
      </c>
      <c r="AB33" s="34">
        <f t="shared" si="25"/>
        <v>1.5</v>
      </c>
      <c r="AC33" s="34">
        <f t="shared" si="25"/>
        <v>25</v>
      </c>
      <c r="AD33" s="34">
        <f t="shared" si="25"/>
        <v>0</v>
      </c>
      <c r="AE33" s="31">
        <f t="shared" si="25"/>
        <v>33</v>
      </c>
      <c r="AF33" s="31">
        <f t="shared" si="25"/>
        <v>58</v>
      </c>
    </row>
    <row r="34" spans="2:32" ht="23.1" customHeight="1" x14ac:dyDescent="0.25">
      <c r="B34" s="24" t="s">
        <v>61</v>
      </c>
      <c r="C34" s="49">
        <f>AVERAGE('17.10 Butongole-Busembatya'!C34,'18.10 Butongole-Busembatya'!C34,'20.10 Butongole-Busembatya'!C34,'22.10 Butongole-Busembatya'!C34,'19.10 Busembatya-Butongole 24h'!C34,'21.10 -Butongole-Bsembatya-24h'!C34,'23.10 Butongole-Busembatya'!C34)</f>
        <v>3.5714285714285716</v>
      </c>
      <c r="D34" s="49">
        <f>AVERAGE('17.10 Butongole-Busembatya'!D34,'18.10 Butongole-Busembatya'!D34,'20.10 Butongole-Busembatya'!D34,'22.10 Butongole-Busembatya'!D34,'19.10 Busembatya-Butongole 24h'!D34,'21.10 -Butongole-Bsembatya-24h'!D34,'23.10 Butongole-Busembatya'!D34)</f>
        <v>1.4285714285714286</v>
      </c>
      <c r="E34" s="49">
        <f>AVERAGE('17.10 Butongole-Busembatya'!E34,'18.10 Butongole-Busembatya'!E34,'20.10 Butongole-Busembatya'!E34,'22.10 Butongole-Busembatya'!E34,'19.10 Busembatya-Butongole 24h'!E34,'21.10 -Butongole-Bsembatya-24h'!E34,'23.10 Butongole-Busembatya'!E34)</f>
        <v>2</v>
      </c>
      <c r="F34" s="49">
        <f>AVERAGE('17.10 Butongole-Busembatya'!F34,'18.10 Butongole-Busembatya'!F34,'20.10 Butongole-Busembatya'!F34,'22.10 Butongole-Busembatya'!F34,'19.10 Busembatya-Butongole 24h'!F34,'21.10 -Butongole-Bsembatya-24h'!F34,'23.10 Butongole-Busembatya'!F34)</f>
        <v>8.5714285714285712</v>
      </c>
      <c r="G34" s="49">
        <f>AVERAGE('17.10 Butongole-Busembatya'!G34,'18.10 Butongole-Busembatya'!G34,'20.10 Butongole-Busembatya'!G34,'22.10 Butongole-Busembatya'!G34,'19.10 Busembatya-Butongole 24h'!G34,'21.10 -Butongole-Bsembatya-24h'!G34,'23.10 Butongole-Busembatya'!G34)</f>
        <v>3.2857142857142856</v>
      </c>
      <c r="H34" s="49">
        <f>AVERAGE('17.10 Butongole-Busembatya'!H34,'18.10 Butongole-Busembatya'!H34,'20.10 Butongole-Busembatya'!H34,'22.10 Butongole-Busembatya'!H34,'19.10 Busembatya-Butongole 24h'!H34,'21.10 -Butongole-Bsembatya-24h'!H34,'23.10 Butongole-Busembatya'!H34)</f>
        <v>0.14285714285714285</v>
      </c>
      <c r="I34" s="49">
        <f>AVERAGE('17.10 Butongole-Busembatya'!I34,'18.10 Butongole-Busembatya'!I34,'20.10 Butongole-Busembatya'!I34,'22.10 Butongole-Busembatya'!I34,'19.10 Busembatya-Butongole 24h'!I34,'21.10 -Butongole-Bsembatya-24h'!I34,'23.10 Butongole-Busembatya'!I34)</f>
        <v>1</v>
      </c>
      <c r="J34" s="49">
        <f>AVERAGE('17.10 Butongole-Busembatya'!J34,'18.10 Butongole-Busembatya'!J34,'20.10 Butongole-Busembatya'!J34,'22.10 Butongole-Busembatya'!J34,'19.10 Busembatya-Butongole 24h'!J34,'21.10 -Butongole-Bsembatya-24h'!J34,'23.10 Butongole-Busembatya'!J34)</f>
        <v>1</v>
      </c>
      <c r="K34" s="49">
        <f>AVERAGE('17.10 Butongole-Busembatya'!K34,'18.10 Butongole-Busembatya'!K34,'20.10 Butongole-Busembatya'!K34,'22.10 Butongole-Busembatya'!K34,'19.10 Busembatya-Butongole 24h'!K34,'21.10 -Butongole-Bsembatya-24h'!K34,'23.10 Butongole-Busembatya'!K34)</f>
        <v>0.42857142857142855</v>
      </c>
      <c r="L34" s="49">
        <f>AVERAGE('17.10 Butongole-Busembatya'!L34,'18.10 Butongole-Busembatya'!L34,'20.10 Butongole-Busembatya'!L34,'22.10 Butongole-Busembatya'!L34,'19.10 Busembatya-Butongole 24h'!L34,'21.10 -Butongole-Bsembatya-24h'!L34,'23.10 Butongole-Busembatya'!L34)</f>
        <v>0</v>
      </c>
      <c r="M34" s="49">
        <f>AVERAGE('17.10 Butongole-Busembatya'!M34,'18.10 Butongole-Busembatya'!M34,'20.10 Butongole-Busembatya'!M34,'22.10 Butongole-Busembatya'!M34,'19.10 Busembatya-Butongole 24h'!M34,'21.10 -Butongole-Bsembatya-24h'!M34,'23.10 Butongole-Busembatya'!M34)</f>
        <v>12.428571428571429</v>
      </c>
      <c r="N34" s="49">
        <f>AVERAGE('17.10 Butongole-Busembatya'!N34,'18.10 Butongole-Busembatya'!N34,'20.10 Butongole-Busembatya'!N34,'22.10 Butongole-Busembatya'!N34,'19.10 Busembatya-Butongole 24h'!N34,'21.10 -Butongole-Bsembatya-24h'!N34,'23.10 Butongole-Busembatya'!N34)</f>
        <v>0</v>
      </c>
      <c r="O34" s="15">
        <f t="shared" si="0"/>
        <v>21.428571428571427</v>
      </c>
      <c r="P34" s="15">
        <f t="shared" si="1"/>
        <v>33.857142857142854</v>
      </c>
      <c r="R34" s="38" t="s">
        <v>90</v>
      </c>
      <c r="S34" s="39">
        <f t="shared" ref="S34:AF34" si="26">MAX(S10:S12)</f>
        <v>13.428571428571429</v>
      </c>
      <c r="T34" s="39">
        <f t="shared" si="26"/>
        <v>7.2857142857142856</v>
      </c>
      <c r="U34" s="39">
        <f t="shared" si="26"/>
        <v>11.857142857142858</v>
      </c>
      <c r="V34" s="39">
        <f t="shared" si="26"/>
        <v>32.571428571428569</v>
      </c>
      <c r="W34" s="39">
        <f t="shared" si="26"/>
        <v>0.42857142857142855</v>
      </c>
      <c r="X34" s="39">
        <f t="shared" si="26"/>
        <v>1.4285714285714284</v>
      </c>
      <c r="Y34" s="39">
        <f t="shared" si="26"/>
        <v>5.1428571428571423</v>
      </c>
      <c r="Z34" s="39">
        <f t="shared" si="26"/>
        <v>5.4285714285714279</v>
      </c>
      <c r="AA34" s="39">
        <f t="shared" si="26"/>
        <v>3.4285714285714288</v>
      </c>
      <c r="AB34" s="39">
        <f t="shared" si="26"/>
        <v>2.1428571428571428</v>
      </c>
      <c r="AC34" s="39">
        <f t="shared" si="26"/>
        <v>43.857142857142861</v>
      </c>
      <c r="AD34" s="39">
        <f t="shared" si="26"/>
        <v>0</v>
      </c>
      <c r="AE34" s="40">
        <f t="shared" si="26"/>
        <v>81.571428571428569</v>
      </c>
      <c r="AF34" s="40">
        <f t="shared" si="26"/>
        <v>125.42857142857143</v>
      </c>
    </row>
    <row r="35" spans="2:32" ht="23.1" customHeight="1" x14ac:dyDescent="0.25">
      <c r="B35" s="24" t="s">
        <v>62</v>
      </c>
      <c r="C35" s="49">
        <f>AVERAGE('17.10 Butongole-Busembatya'!C35,'18.10 Butongole-Busembatya'!C35,'20.10 Butongole-Busembatya'!C35,'22.10 Butongole-Busembatya'!C35,'19.10 Busembatya-Butongole 24h'!C35,'21.10 -Butongole-Bsembatya-24h'!C35,'23.10 Butongole-Busembatya'!C35)</f>
        <v>4.5714285714285712</v>
      </c>
      <c r="D35" s="49">
        <f>AVERAGE('17.10 Butongole-Busembatya'!D35,'18.10 Butongole-Busembatya'!D35,'20.10 Butongole-Busembatya'!D35,'22.10 Butongole-Busembatya'!D35,'19.10 Busembatya-Butongole 24h'!D35,'21.10 -Butongole-Bsembatya-24h'!D35,'23.10 Butongole-Busembatya'!D35)</f>
        <v>1.7142857142857142</v>
      </c>
      <c r="E35" s="49">
        <f>AVERAGE('17.10 Butongole-Busembatya'!E35,'18.10 Butongole-Busembatya'!E35,'20.10 Butongole-Busembatya'!E35,'22.10 Butongole-Busembatya'!E35,'19.10 Busembatya-Butongole 24h'!E35,'21.10 -Butongole-Bsembatya-24h'!E35,'23.10 Butongole-Busembatya'!E35)</f>
        <v>2.7142857142857144</v>
      </c>
      <c r="F35" s="49">
        <f>AVERAGE('17.10 Butongole-Busembatya'!F35,'18.10 Butongole-Busembatya'!F35,'20.10 Butongole-Busembatya'!F35,'22.10 Butongole-Busembatya'!F35,'19.10 Busembatya-Butongole 24h'!F35,'21.10 -Butongole-Bsembatya-24h'!F35,'23.10 Butongole-Busembatya'!F35)</f>
        <v>9.1428571428571423</v>
      </c>
      <c r="G35" s="49">
        <f>AVERAGE('17.10 Butongole-Busembatya'!G35,'18.10 Butongole-Busembatya'!G35,'20.10 Butongole-Busembatya'!G35,'22.10 Butongole-Busembatya'!G35,'19.10 Busembatya-Butongole 24h'!G35,'21.10 -Butongole-Bsembatya-24h'!G35,'23.10 Butongole-Busembatya'!G35)</f>
        <v>0.8571428571428571</v>
      </c>
      <c r="H35" s="49">
        <f>AVERAGE('17.10 Butongole-Busembatya'!H35,'18.10 Butongole-Busembatya'!H35,'20.10 Butongole-Busembatya'!H35,'22.10 Butongole-Busembatya'!H35,'19.10 Busembatya-Butongole 24h'!H35,'21.10 -Butongole-Bsembatya-24h'!H35,'23.10 Butongole-Busembatya'!H35)</f>
        <v>0</v>
      </c>
      <c r="I35" s="49">
        <f>AVERAGE('17.10 Butongole-Busembatya'!I35,'18.10 Butongole-Busembatya'!I35,'20.10 Butongole-Busembatya'!I35,'22.10 Butongole-Busembatya'!I35,'19.10 Busembatya-Butongole 24h'!I35,'21.10 -Butongole-Bsembatya-24h'!I35,'23.10 Butongole-Busembatya'!I35)</f>
        <v>1.8571428571428572</v>
      </c>
      <c r="J35" s="49">
        <f>AVERAGE('17.10 Butongole-Busembatya'!J35,'18.10 Butongole-Busembatya'!J35,'20.10 Butongole-Busembatya'!J35,'22.10 Butongole-Busembatya'!J35,'19.10 Busembatya-Butongole 24h'!J35,'21.10 -Butongole-Bsembatya-24h'!J35,'23.10 Butongole-Busembatya'!J35)</f>
        <v>1.2857142857142858</v>
      </c>
      <c r="K35" s="49">
        <f>AVERAGE('17.10 Butongole-Busembatya'!K35,'18.10 Butongole-Busembatya'!K35,'20.10 Butongole-Busembatya'!K35,'22.10 Butongole-Busembatya'!K35,'19.10 Busembatya-Butongole 24h'!K35,'21.10 -Butongole-Bsembatya-24h'!K35,'23.10 Butongole-Busembatya'!K35)</f>
        <v>0.8571428571428571</v>
      </c>
      <c r="L35" s="49">
        <f>AVERAGE('17.10 Butongole-Busembatya'!L35,'18.10 Butongole-Busembatya'!L35,'20.10 Butongole-Busembatya'!L35,'22.10 Butongole-Busembatya'!L35,'19.10 Busembatya-Butongole 24h'!L35,'21.10 -Butongole-Bsembatya-24h'!L35,'23.10 Butongole-Busembatya'!L35)</f>
        <v>0</v>
      </c>
      <c r="M35" s="49">
        <f>AVERAGE('17.10 Butongole-Busembatya'!M35,'18.10 Butongole-Busembatya'!M35,'20.10 Butongole-Busembatya'!M35,'22.10 Butongole-Busembatya'!M35,'19.10 Busembatya-Butongole 24h'!M35,'21.10 -Butongole-Bsembatya-24h'!M35,'23.10 Butongole-Busembatya'!M35)</f>
        <v>15</v>
      </c>
      <c r="N35" s="49">
        <f>AVERAGE('17.10 Butongole-Busembatya'!N35,'18.10 Butongole-Busembatya'!N35,'20.10 Butongole-Busembatya'!N35,'22.10 Butongole-Busembatya'!N35,'19.10 Busembatya-Butongole 24h'!N35,'21.10 -Butongole-Bsembatya-24h'!N35,'23.10 Butongole-Busembatya'!N35)</f>
        <v>0.14285714285714285</v>
      </c>
      <c r="O35" s="15">
        <f t="shared" si="0"/>
        <v>23.142857142857142</v>
      </c>
      <c r="P35" s="15">
        <f t="shared" si="1"/>
        <v>38.142857142857146</v>
      </c>
      <c r="R35" s="38" t="s">
        <v>91</v>
      </c>
      <c r="S35" s="39">
        <f t="shared" ref="S35:AF35" si="27">MAX(S13:S18)</f>
        <v>19.428571428571431</v>
      </c>
      <c r="T35" s="39">
        <f t="shared" si="27"/>
        <v>11</v>
      </c>
      <c r="U35" s="39">
        <f t="shared" si="27"/>
        <v>10</v>
      </c>
      <c r="V35" s="39">
        <f t="shared" si="27"/>
        <v>43.714285714285715</v>
      </c>
      <c r="W35" s="39">
        <f t="shared" si="27"/>
        <v>5.8571428571428559</v>
      </c>
      <c r="X35" s="39">
        <f t="shared" si="27"/>
        <v>1.857142857142857</v>
      </c>
      <c r="Y35" s="39">
        <f t="shared" si="27"/>
        <v>5.7142857142857135</v>
      </c>
      <c r="Z35" s="39">
        <f t="shared" si="27"/>
        <v>6</v>
      </c>
      <c r="AA35" s="39">
        <f t="shared" si="27"/>
        <v>3.2857142857142856</v>
      </c>
      <c r="AB35" s="39">
        <f t="shared" si="27"/>
        <v>2.7142857142857144</v>
      </c>
      <c r="AC35" s="39">
        <f t="shared" si="27"/>
        <v>57</v>
      </c>
      <c r="AD35" s="39">
        <f t="shared" si="27"/>
        <v>0.8571428571428571</v>
      </c>
      <c r="AE35" s="40">
        <f t="shared" si="27"/>
        <v>99.285714285714263</v>
      </c>
      <c r="AF35" s="40">
        <f t="shared" si="27"/>
        <v>156.14285714285714</v>
      </c>
    </row>
    <row r="36" spans="2:32" ht="23.1" customHeight="1" x14ac:dyDescent="0.25">
      <c r="B36" s="24" t="s">
        <v>63</v>
      </c>
      <c r="C36" s="49">
        <f>AVERAGE('17.10 Butongole-Busembatya'!C36,'18.10 Butongole-Busembatya'!C36,'20.10 Butongole-Busembatya'!C36,'22.10 Butongole-Busembatya'!C36,'19.10 Busembatya-Butongole 24h'!C36,'21.10 -Butongole-Bsembatya-24h'!C36,'23.10 Butongole-Busembatya'!C36)</f>
        <v>3.7142857142857144</v>
      </c>
      <c r="D36" s="49">
        <f>AVERAGE('17.10 Butongole-Busembatya'!D36,'18.10 Butongole-Busembatya'!D36,'20.10 Butongole-Busembatya'!D36,'22.10 Butongole-Busembatya'!D36,'19.10 Busembatya-Butongole 24h'!D36,'21.10 -Butongole-Bsembatya-24h'!D36,'23.10 Butongole-Busembatya'!D36)</f>
        <v>1.4285714285714286</v>
      </c>
      <c r="E36" s="49">
        <f>AVERAGE('17.10 Butongole-Busembatya'!E36,'18.10 Butongole-Busembatya'!E36,'20.10 Butongole-Busembatya'!E36,'22.10 Butongole-Busembatya'!E36,'19.10 Busembatya-Butongole 24h'!E36,'21.10 -Butongole-Bsembatya-24h'!E36,'23.10 Butongole-Busembatya'!E36)</f>
        <v>2</v>
      </c>
      <c r="F36" s="49">
        <f>AVERAGE('17.10 Butongole-Busembatya'!F36,'18.10 Butongole-Busembatya'!F36,'20.10 Butongole-Busembatya'!F36,'22.10 Butongole-Busembatya'!F36,'19.10 Busembatya-Butongole 24h'!F36,'21.10 -Butongole-Bsembatya-24h'!F36,'23.10 Butongole-Busembatya'!F36)</f>
        <v>10.285714285714286</v>
      </c>
      <c r="G36" s="49">
        <f>AVERAGE('17.10 Butongole-Busembatya'!G36,'18.10 Butongole-Busembatya'!G36,'20.10 Butongole-Busembatya'!G36,'22.10 Butongole-Busembatya'!G36,'19.10 Busembatya-Butongole 24h'!G36,'21.10 -Butongole-Bsembatya-24h'!G36,'23.10 Butongole-Busembatya'!G36)</f>
        <v>0.8571428571428571</v>
      </c>
      <c r="H36" s="49">
        <f>AVERAGE('17.10 Butongole-Busembatya'!H36,'18.10 Butongole-Busembatya'!H36,'20.10 Butongole-Busembatya'!H36,'22.10 Butongole-Busembatya'!H36,'19.10 Busembatya-Butongole 24h'!H36,'21.10 -Butongole-Bsembatya-24h'!H36,'23.10 Butongole-Busembatya'!H36)</f>
        <v>0.14285714285714285</v>
      </c>
      <c r="I36" s="49">
        <f>AVERAGE('17.10 Butongole-Busembatya'!I36,'18.10 Butongole-Busembatya'!I36,'20.10 Butongole-Busembatya'!I36,'22.10 Butongole-Busembatya'!I36,'19.10 Busembatya-Butongole 24h'!I36,'21.10 -Butongole-Bsembatya-24h'!I36,'23.10 Butongole-Busembatya'!I36)</f>
        <v>1.7142857142857142</v>
      </c>
      <c r="J36" s="49">
        <f>AVERAGE('17.10 Butongole-Busembatya'!J36,'18.10 Butongole-Busembatya'!J36,'20.10 Butongole-Busembatya'!J36,'22.10 Butongole-Busembatya'!J36,'19.10 Busembatya-Butongole 24h'!J36,'21.10 -Butongole-Bsembatya-24h'!J36,'23.10 Butongole-Busembatya'!J36)</f>
        <v>0.5714285714285714</v>
      </c>
      <c r="K36" s="49">
        <f>AVERAGE('17.10 Butongole-Busembatya'!K36,'18.10 Butongole-Busembatya'!K36,'20.10 Butongole-Busembatya'!K36,'22.10 Butongole-Busembatya'!K36,'19.10 Busembatya-Butongole 24h'!K36,'21.10 -Butongole-Bsembatya-24h'!K36,'23.10 Butongole-Busembatya'!K36)</f>
        <v>0.8571428571428571</v>
      </c>
      <c r="L36" s="49">
        <f>AVERAGE('17.10 Butongole-Busembatya'!L36,'18.10 Butongole-Busembatya'!L36,'20.10 Butongole-Busembatya'!L36,'22.10 Butongole-Busembatya'!L36,'19.10 Busembatya-Butongole 24h'!L36,'21.10 -Butongole-Bsembatya-24h'!L36,'23.10 Butongole-Busembatya'!L36)</f>
        <v>0.5714285714285714</v>
      </c>
      <c r="M36" s="49">
        <f>AVERAGE('17.10 Butongole-Busembatya'!M36,'18.10 Butongole-Busembatya'!M36,'20.10 Butongole-Busembatya'!M36,'22.10 Butongole-Busembatya'!M36,'19.10 Busembatya-Butongole 24h'!M36,'21.10 -Butongole-Bsembatya-24h'!M36,'23.10 Butongole-Busembatya'!M36)</f>
        <v>11.571428571428571</v>
      </c>
      <c r="N36" s="49">
        <f>AVERAGE('17.10 Butongole-Busembatya'!N36,'18.10 Butongole-Busembatya'!N36,'20.10 Butongole-Busembatya'!N36,'22.10 Butongole-Busembatya'!N36,'19.10 Busembatya-Butongole 24h'!N36,'21.10 -Butongole-Bsembatya-24h'!N36,'23.10 Butongole-Busembatya'!N36)</f>
        <v>0</v>
      </c>
      <c r="O36" s="15">
        <f t="shared" si="0"/>
        <v>22.142857142857149</v>
      </c>
      <c r="P36" s="15">
        <f t="shared" si="1"/>
        <v>33.714285714285722</v>
      </c>
      <c r="R36" s="38" t="s">
        <v>92</v>
      </c>
      <c r="S36" s="39">
        <f t="shared" ref="S36:AF36" si="28">MAX(S19:S21)</f>
        <v>20.571428571428573</v>
      </c>
      <c r="T36" s="39">
        <f t="shared" si="28"/>
        <v>10.714285714285714</v>
      </c>
      <c r="U36" s="39">
        <f t="shared" si="28"/>
        <v>11</v>
      </c>
      <c r="V36" s="39">
        <f t="shared" si="28"/>
        <v>40</v>
      </c>
      <c r="W36" s="39">
        <f t="shared" si="28"/>
        <v>1.2857142857142856</v>
      </c>
      <c r="X36" s="39">
        <f t="shared" si="28"/>
        <v>2</v>
      </c>
      <c r="Y36" s="39">
        <f t="shared" si="28"/>
        <v>6.5714285714285712</v>
      </c>
      <c r="Z36" s="39">
        <f t="shared" si="28"/>
        <v>6.8571428571428577</v>
      </c>
      <c r="AA36" s="39">
        <f t="shared" si="28"/>
        <v>5</v>
      </c>
      <c r="AB36" s="39">
        <f t="shared" si="28"/>
        <v>2.4285714285714284</v>
      </c>
      <c r="AC36" s="39">
        <f t="shared" si="28"/>
        <v>56.714285714285708</v>
      </c>
      <c r="AD36" s="39">
        <f t="shared" si="28"/>
        <v>0.14285714285714285</v>
      </c>
      <c r="AE36" s="40">
        <f t="shared" si="28"/>
        <v>98.714285714285722</v>
      </c>
      <c r="AF36" s="40">
        <f t="shared" si="28"/>
        <v>152.85714285714286</v>
      </c>
    </row>
    <row r="37" spans="2:32" ht="23.1" customHeight="1" x14ac:dyDescent="0.25">
      <c r="B37" s="23" t="s">
        <v>64</v>
      </c>
      <c r="C37" s="49">
        <f>AVERAGE('17.10 Butongole-Busembatya'!C37,'18.10 Butongole-Busembatya'!C37,'20.10 Butongole-Busembatya'!C37,'22.10 Butongole-Busembatya'!C37,'19.10 Busembatya-Butongole 24h'!C37,'21.10 -Butongole-Bsembatya-24h'!C37,'23.10 Butongole-Busembatya'!C37)</f>
        <v>5</v>
      </c>
      <c r="D37" s="49">
        <f>AVERAGE('17.10 Butongole-Busembatya'!D37,'18.10 Butongole-Busembatya'!D37,'20.10 Butongole-Busembatya'!D37,'22.10 Butongole-Busembatya'!D37,'19.10 Busembatya-Butongole 24h'!D37,'21.10 -Butongole-Bsembatya-24h'!D37,'23.10 Butongole-Busembatya'!D37)</f>
        <v>2.1428571428571428</v>
      </c>
      <c r="E37" s="49">
        <f>AVERAGE('17.10 Butongole-Busembatya'!E37,'18.10 Butongole-Busembatya'!E37,'20.10 Butongole-Busembatya'!E37,'22.10 Butongole-Busembatya'!E37,'19.10 Busembatya-Butongole 24h'!E37,'21.10 -Butongole-Bsembatya-24h'!E37,'23.10 Butongole-Busembatya'!E37)</f>
        <v>2.4285714285714284</v>
      </c>
      <c r="F37" s="49">
        <f>AVERAGE('17.10 Butongole-Busembatya'!F37,'18.10 Butongole-Busembatya'!F37,'20.10 Butongole-Busembatya'!F37,'22.10 Butongole-Busembatya'!F37,'19.10 Busembatya-Butongole 24h'!F37,'21.10 -Butongole-Bsembatya-24h'!F37,'23.10 Butongole-Busembatya'!F37)</f>
        <v>8.1428571428571423</v>
      </c>
      <c r="G37" s="49">
        <f>AVERAGE('17.10 Butongole-Busembatya'!G37,'18.10 Butongole-Busembatya'!G37,'20.10 Butongole-Busembatya'!G37,'22.10 Butongole-Busembatya'!G37,'19.10 Busembatya-Butongole 24h'!G37,'21.10 -Butongole-Bsembatya-24h'!G37,'23.10 Butongole-Busembatya'!G37)</f>
        <v>0.8571428571428571</v>
      </c>
      <c r="H37" s="49">
        <f>AVERAGE('17.10 Butongole-Busembatya'!H37,'18.10 Butongole-Busembatya'!H37,'20.10 Butongole-Busembatya'!H37,'22.10 Butongole-Busembatya'!H37,'19.10 Busembatya-Butongole 24h'!H37,'21.10 -Butongole-Bsembatya-24h'!H37,'23.10 Butongole-Busembatya'!H37)</f>
        <v>0.8571428571428571</v>
      </c>
      <c r="I37" s="49">
        <f>AVERAGE('17.10 Butongole-Busembatya'!I37,'18.10 Butongole-Busembatya'!I37,'20.10 Butongole-Busembatya'!I37,'22.10 Butongole-Busembatya'!I37,'19.10 Busembatya-Butongole 24h'!I37,'21.10 -Butongole-Bsembatya-24h'!I37,'23.10 Butongole-Busembatya'!I37)</f>
        <v>1.1428571428571428</v>
      </c>
      <c r="J37" s="49">
        <f>AVERAGE('17.10 Butongole-Busembatya'!J37,'18.10 Butongole-Busembatya'!J37,'20.10 Butongole-Busembatya'!J37,'22.10 Butongole-Busembatya'!J37,'19.10 Busembatya-Butongole 24h'!J37,'21.10 -Butongole-Bsembatya-24h'!J37,'23.10 Butongole-Busembatya'!J37)</f>
        <v>0.8571428571428571</v>
      </c>
      <c r="K37" s="49">
        <f>AVERAGE('17.10 Butongole-Busembatya'!K37,'18.10 Butongole-Busembatya'!K37,'20.10 Butongole-Busembatya'!K37,'22.10 Butongole-Busembatya'!K37,'19.10 Busembatya-Butongole 24h'!K37,'21.10 -Butongole-Bsembatya-24h'!K37,'23.10 Butongole-Busembatya'!K37)</f>
        <v>0.42857142857142855</v>
      </c>
      <c r="L37" s="49">
        <f>AVERAGE('17.10 Butongole-Busembatya'!L37,'18.10 Butongole-Busembatya'!L37,'20.10 Butongole-Busembatya'!L37,'22.10 Butongole-Busembatya'!L37,'19.10 Busembatya-Butongole 24h'!L37,'21.10 -Butongole-Bsembatya-24h'!L37,'23.10 Butongole-Busembatya'!L37)</f>
        <v>0.42857142857142855</v>
      </c>
      <c r="M37" s="49">
        <f>AVERAGE('17.10 Butongole-Busembatya'!M37,'18.10 Butongole-Busembatya'!M37,'20.10 Butongole-Busembatya'!M37,'22.10 Butongole-Busembatya'!M37,'19.10 Busembatya-Butongole 24h'!M37,'21.10 -Butongole-Bsembatya-24h'!M37,'23.10 Butongole-Busembatya'!M37)</f>
        <v>11.571428571428571</v>
      </c>
      <c r="N37" s="49">
        <f>AVERAGE('17.10 Butongole-Busembatya'!N37,'18.10 Butongole-Busembatya'!N37,'20.10 Butongole-Busembatya'!N37,'22.10 Butongole-Busembatya'!N37,'19.10 Busembatya-Butongole 24h'!N37,'21.10 -Butongole-Bsembatya-24h'!N37,'23.10 Butongole-Busembatya'!N37)</f>
        <v>0</v>
      </c>
      <c r="O37" s="15">
        <f t="shared" si="0"/>
        <v>22.285714285714285</v>
      </c>
      <c r="P37" s="15">
        <f t="shared" si="1"/>
        <v>33.857142857142854</v>
      </c>
      <c r="R37" s="37" t="s">
        <v>85</v>
      </c>
      <c r="S37" s="35">
        <f t="shared" ref="S37:AF37" si="29">SUM(S10:S12)</f>
        <v>34</v>
      </c>
      <c r="T37" s="16">
        <f t="shared" si="29"/>
        <v>18.857142857142858</v>
      </c>
      <c r="U37" s="16">
        <f t="shared" si="29"/>
        <v>27.285714285714288</v>
      </c>
      <c r="V37" s="16">
        <f t="shared" si="29"/>
        <v>68.428571428571431</v>
      </c>
      <c r="W37" s="16">
        <f t="shared" si="29"/>
        <v>1.1428571428571428</v>
      </c>
      <c r="X37" s="16">
        <f t="shared" si="29"/>
        <v>3.1428571428571423</v>
      </c>
      <c r="Y37" s="16">
        <f t="shared" si="29"/>
        <v>13.571428571428571</v>
      </c>
      <c r="Z37" s="16">
        <f t="shared" si="29"/>
        <v>13.571428571428569</v>
      </c>
      <c r="AA37" s="16">
        <f t="shared" si="29"/>
        <v>8.5714285714285712</v>
      </c>
      <c r="AB37" s="16">
        <f t="shared" si="29"/>
        <v>4</v>
      </c>
      <c r="AC37" s="16">
        <f t="shared" si="29"/>
        <v>123</v>
      </c>
      <c r="AD37" s="16">
        <f t="shared" si="29"/>
        <v>0</v>
      </c>
      <c r="AE37" s="32">
        <f t="shared" si="29"/>
        <v>192.57142857142856</v>
      </c>
      <c r="AF37" s="32">
        <f t="shared" si="29"/>
        <v>315.57142857142856</v>
      </c>
    </row>
    <row r="38" spans="2:32" ht="23.1" customHeight="1" x14ac:dyDescent="0.25">
      <c r="B38" s="24" t="s">
        <v>65</v>
      </c>
      <c r="C38" s="49">
        <f>AVERAGE('17.10 Butongole-Busembatya'!C38,'18.10 Butongole-Busembatya'!C38,'20.10 Butongole-Busembatya'!C38,'22.10 Butongole-Busembatya'!C38,'19.10 Busembatya-Butongole 24h'!C38,'21.10 -Butongole-Bsembatya-24h'!C38,'23.10 Butongole-Busembatya'!C38)</f>
        <v>3.1428571428571428</v>
      </c>
      <c r="D38" s="49">
        <f>AVERAGE('17.10 Butongole-Busembatya'!D38,'18.10 Butongole-Busembatya'!D38,'20.10 Butongole-Busembatya'!D38,'22.10 Butongole-Busembatya'!D38,'19.10 Busembatya-Butongole 24h'!D38,'21.10 -Butongole-Bsembatya-24h'!D38,'23.10 Butongole-Busembatya'!D38)</f>
        <v>1.7142857142857142</v>
      </c>
      <c r="E38" s="49">
        <f>AVERAGE('17.10 Butongole-Busembatya'!E38,'18.10 Butongole-Busembatya'!E38,'20.10 Butongole-Busembatya'!E38,'22.10 Butongole-Busembatya'!E38,'19.10 Busembatya-Butongole 24h'!E38,'21.10 -Butongole-Bsembatya-24h'!E38,'23.10 Butongole-Busembatya'!E38)</f>
        <v>3.2857142857142856</v>
      </c>
      <c r="F38" s="49">
        <f>AVERAGE('17.10 Butongole-Busembatya'!F38,'18.10 Butongole-Busembatya'!F38,'20.10 Butongole-Busembatya'!F38,'22.10 Butongole-Busembatya'!F38,'19.10 Busembatya-Butongole 24h'!F38,'21.10 -Butongole-Bsembatya-24h'!F38,'23.10 Butongole-Busembatya'!F38)</f>
        <v>12.285714285714286</v>
      </c>
      <c r="G38" s="49">
        <f>AVERAGE('17.10 Butongole-Busembatya'!G38,'18.10 Butongole-Busembatya'!G38,'20.10 Butongole-Busembatya'!G38,'22.10 Butongole-Busembatya'!G38,'19.10 Busembatya-Butongole 24h'!G38,'21.10 -Butongole-Bsembatya-24h'!G38,'23.10 Butongole-Busembatya'!G38)</f>
        <v>0.7142857142857143</v>
      </c>
      <c r="H38" s="49">
        <f>AVERAGE('17.10 Butongole-Busembatya'!H38,'18.10 Butongole-Busembatya'!H38,'20.10 Butongole-Busembatya'!H38,'22.10 Butongole-Busembatya'!H38,'19.10 Busembatya-Butongole 24h'!H38,'21.10 -Butongole-Bsembatya-24h'!H38,'23.10 Butongole-Busembatya'!H38)</f>
        <v>0.2857142857142857</v>
      </c>
      <c r="I38" s="49">
        <f>AVERAGE('17.10 Butongole-Busembatya'!I38,'18.10 Butongole-Busembatya'!I38,'20.10 Butongole-Busembatya'!I38,'22.10 Butongole-Busembatya'!I38,'19.10 Busembatya-Butongole 24h'!I38,'21.10 -Butongole-Bsembatya-24h'!I38,'23.10 Butongole-Busembatya'!I38)</f>
        <v>1.1428571428571428</v>
      </c>
      <c r="J38" s="49">
        <f>AVERAGE('17.10 Butongole-Busembatya'!J38,'18.10 Butongole-Busembatya'!J38,'20.10 Butongole-Busembatya'!J38,'22.10 Butongole-Busembatya'!J38,'19.10 Busembatya-Butongole 24h'!J38,'21.10 -Butongole-Bsembatya-24h'!J38,'23.10 Butongole-Busembatya'!J38)</f>
        <v>0.2857142857142857</v>
      </c>
      <c r="K38" s="49">
        <f>AVERAGE('17.10 Butongole-Busembatya'!K38,'18.10 Butongole-Busembatya'!K38,'20.10 Butongole-Busembatya'!K38,'22.10 Butongole-Busembatya'!K38,'19.10 Busembatya-Butongole 24h'!K38,'21.10 -Butongole-Bsembatya-24h'!K38,'23.10 Butongole-Busembatya'!K38)</f>
        <v>0.5714285714285714</v>
      </c>
      <c r="L38" s="49">
        <f>AVERAGE('17.10 Butongole-Busembatya'!L38,'18.10 Butongole-Busembatya'!L38,'20.10 Butongole-Busembatya'!L38,'22.10 Butongole-Busembatya'!L38,'19.10 Busembatya-Butongole 24h'!L38,'21.10 -Butongole-Bsembatya-24h'!L38,'23.10 Butongole-Busembatya'!L38)</f>
        <v>0.7142857142857143</v>
      </c>
      <c r="M38" s="49">
        <f>AVERAGE('17.10 Butongole-Busembatya'!M38,'18.10 Butongole-Busembatya'!M38,'20.10 Butongole-Busembatya'!M38,'22.10 Butongole-Busembatya'!M38,'19.10 Busembatya-Butongole 24h'!M38,'21.10 -Butongole-Bsembatya-24h'!M38,'23.10 Butongole-Busembatya'!M38)</f>
        <v>12.428571428571429</v>
      </c>
      <c r="N38" s="49">
        <f>AVERAGE('17.10 Butongole-Busembatya'!N38,'18.10 Butongole-Busembatya'!N38,'20.10 Butongole-Busembatya'!N38,'22.10 Butongole-Busembatya'!N38,'19.10 Busembatya-Butongole 24h'!N38,'21.10 -Butongole-Bsembatya-24h'!N38,'23.10 Butongole-Busembatya'!N38)</f>
        <v>0</v>
      </c>
      <c r="O38" s="15">
        <f t="shared" si="0"/>
        <v>24.142857142857146</v>
      </c>
      <c r="P38" s="15">
        <f t="shared" si="1"/>
        <v>36.571428571428577</v>
      </c>
      <c r="R38" s="28" t="s">
        <v>86</v>
      </c>
      <c r="S38" s="16">
        <f t="shared" ref="S38:AF38" si="30">SUM(S13:S18)</f>
        <v>105.28571428571428</v>
      </c>
      <c r="T38" s="16">
        <f t="shared" si="30"/>
        <v>50.857142857142861</v>
      </c>
      <c r="U38" s="16">
        <f t="shared" si="30"/>
        <v>56.428571428571431</v>
      </c>
      <c r="V38" s="16">
        <f t="shared" si="30"/>
        <v>241.57142857142856</v>
      </c>
      <c r="W38" s="16">
        <f t="shared" si="30"/>
        <v>14.857142857142856</v>
      </c>
      <c r="X38" s="16">
        <f t="shared" si="30"/>
        <v>7.8571428571428559</v>
      </c>
      <c r="Y38" s="16">
        <f t="shared" si="30"/>
        <v>27.142857142857142</v>
      </c>
      <c r="Z38" s="16">
        <f t="shared" si="30"/>
        <v>30.857142857142858</v>
      </c>
      <c r="AA38" s="16">
        <f t="shared" si="30"/>
        <v>16.857142857142854</v>
      </c>
      <c r="AB38" s="16">
        <f t="shared" si="30"/>
        <v>11</v>
      </c>
      <c r="AC38" s="16">
        <f t="shared" si="30"/>
        <v>316.57142857142856</v>
      </c>
      <c r="AD38" s="16">
        <f t="shared" si="30"/>
        <v>1.5714285714285712</v>
      </c>
      <c r="AE38" s="32">
        <f t="shared" si="30"/>
        <v>564.28571428571422</v>
      </c>
      <c r="AF38" s="32">
        <f t="shared" si="30"/>
        <v>880.85714285714289</v>
      </c>
    </row>
    <row r="39" spans="2:32" ht="23.1" customHeight="1" x14ac:dyDescent="0.25">
      <c r="B39" s="24" t="s">
        <v>66</v>
      </c>
      <c r="C39" s="49">
        <f>AVERAGE('17.10 Butongole-Busembatya'!C39,'18.10 Butongole-Busembatya'!C39,'20.10 Butongole-Busembatya'!C39,'22.10 Butongole-Busembatya'!C39,'19.10 Busembatya-Butongole 24h'!C39,'21.10 -Butongole-Bsembatya-24h'!C39,'23.10 Butongole-Busembatya'!C39)</f>
        <v>5</v>
      </c>
      <c r="D39" s="49">
        <f>AVERAGE('17.10 Butongole-Busembatya'!D39,'18.10 Butongole-Busembatya'!D39,'20.10 Butongole-Busembatya'!D39,'22.10 Butongole-Busembatya'!D39,'19.10 Busembatya-Butongole 24h'!D39,'21.10 -Butongole-Bsembatya-24h'!D39,'23.10 Butongole-Busembatya'!D39)</f>
        <v>1.4285714285714286</v>
      </c>
      <c r="E39" s="49">
        <f>AVERAGE('17.10 Butongole-Busembatya'!E39,'18.10 Butongole-Busembatya'!E39,'20.10 Butongole-Busembatya'!E39,'22.10 Butongole-Busembatya'!E39,'19.10 Busembatya-Butongole 24h'!E39,'21.10 -Butongole-Bsembatya-24h'!E39,'23.10 Butongole-Busembatya'!E39)</f>
        <v>2.2857142857142856</v>
      </c>
      <c r="F39" s="49">
        <f>AVERAGE('17.10 Butongole-Busembatya'!F39,'18.10 Butongole-Busembatya'!F39,'20.10 Butongole-Busembatya'!F39,'22.10 Butongole-Busembatya'!F39,'19.10 Busembatya-Butongole 24h'!F39,'21.10 -Butongole-Bsembatya-24h'!F39,'23.10 Butongole-Busembatya'!F39)</f>
        <v>9.7142857142857135</v>
      </c>
      <c r="G39" s="49">
        <f>AVERAGE('17.10 Butongole-Busembatya'!G39,'18.10 Butongole-Busembatya'!G39,'20.10 Butongole-Busembatya'!G39,'22.10 Butongole-Busembatya'!G39,'19.10 Busembatya-Butongole 24h'!G39,'21.10 -Butongole-Bsembatya-24h'!G39,'23.10 Butongole-Busembatya'!G39)</f>
        <v>0</v>
      </c>
      <c r="H39" s="49">
        <f>AVERAGE('17.10 Butongole-Busembatya'!H39,'18.10 Butongole-Busembatya'!H39,'20.10 Butongole-Busembatya'!H39,'22.10 Butongole-Busembatya'!H39,'19.10 Busembatya-Butongole 24h'!H39,'21.10 -Butongole-Bsembatya-24h'!H39,'23.10 Butongole-Busembatya'!H39)</f>
        <v>0.42857142857142855</v>
      </c>
      <c r="I39" s="49">
        <f>AVERAGE('17.10 Butongole-Busembatya'!I39,'18.10 Butongole-Busembatya'!I39,'20.10 Butongole-Busembatya'!I39,'22.10 Butongole-Busembatya'!I39,'19.10 Busembatya-Butongole 24h'!I39,'21.10 -Butongole-Bsembatya-24h'!I39,'23.10 Butongole-Busembatya'!I39)</f>
        <v>1</v>
      </c>
      <c r="J39" s="49">
        <f>AVERAGE('17.10 Butongole-Busembatya'!J39,'18.10 Butongole-Busembatya'!J39,'20.10 Butongole-Busembatya'!J39,'22.10 Butongole-Busembatya'!J39,'19.10 Busembatya-Butongole 24h'!J39,'21.10 -Butongole-Bsembatya-24h'!J39,'23.10 Butongole-Busembatya'!J39)</f>
        <v>2</v>
      </c>
      <c r="K39" s="49">
        <f>AVERAGE('17.10 Butongole-Busembatya'!K39,'18.10 Butongole-Busembatya'!K39,'20.10 Butongole-Busembatya'!K39,'22.10 Butongole-Busembatya'!K39,'19.10 Busembatya-Butongole 24h'!K39,'21.10 -Butongole-Bsembatya-24h'!K39,'23.10 Butongole-Busembatya'!K39)</f>
        <v>0.8571428571428571</v>
      </c>
      <c r="L39" s="49">
        <f>AVERAGE('17.10 Butongole-Busembatya'!L39,'18.10 Butongole-Busembatya'!L39,'20.10 Butongole-Busembatya'!L39,'22.10 Butongole-Busembatya'!L39,'19.10 Busembatya-Butongole 24h'!L39,'21.10 -Butongole-Bsembatya-24h'!L39,'23.10 Butongole-Busembatya'!L39)</f>
        <v>0.14285714285714285</v>
      </c>
      <c r="M39" s="49">
        <f>AVERAGE('17.10 Butongole-Busembatya'!M39,'18.10 Butongole-Busembatya'!M39,'20.10 Butongole-Busembatya'!M39,'22.10 Butongole-Busembatya'!M39,'19.10 Busembatya-Butongole 24h'!M39,'21.10 -Butongole-Bsembatya-24h'!M39,'23.10 Butongole-Busembatya'!M39)</f>
        <v>13</v>
      </c>
      <c r="N39" s="49">
        <f>AVERAGE('17.10 Butongole-Busembatya'!N39,'18.10 Butongole-Busembatya'!N39,'20.10 Butongole-Busembatya'!N39,'22.10 Butongole-Busembatya'!N39,'19.10 Busembatya-Butongole 24h'!N39,'21.10 -Butongole-Bsembatya-24h'!N39,'23.10 Butongole-Busembatya'!N39)</f>
        <v>0</v>
      </c>
      <c r="O39" s="15">
        <f t="shared" si="0"/>
        <v>22.857142857142858</v>
      </c>
      <c r="P39" s="15">
        <f t="shared" si="1"/>
        <v>35.857142857142861</v>
      </c>
      <c r="R39" s="29" t="s">
        <v>87</v>
      </c>
      <c r="S39" s="16">
        <f t="shared" ref="S39:AF39" si="31">SUM(S19:S21)</f>
        <v>56.142857142857139</v>
      </c>
      <c r="T39" s="16">
        <f t="shared" si="31"/>
        <v>27</v>
      </c>
      <c r="U39" s="16">
        <f t="shared" si="31"/>
        <v>31.857142857142858</v>
      </c>
      <c r="V39" s="16">
        <f t="shared" si="31"/>
        <v>111.42857142857143</v>
      </c>
      <c r="W39" s="16">
        <f t="shared" si="31"/>
        <v>2.5714285714285712</v>
      </c>
      <c r="X39" s="16">
        <f t="shared" si="31"/>
        <v>5.2857142857142856</v>
      </c>
      <c r="Y39" s="16">
        <f t="shared" si="31"/>
        <v>15.428571428571429</v>
      </c>
      <c r="Z39" s="16">
        <f t="shared" si="31"/>
        <v>19</v>
      </c>
      <c r="AA39" s="16">
        <f t="shared" si="31"/>
        <v>11.428571428571429</v>
      </c>
      <c r="AB39" s="16">
        <f t="shared" si="31"/>
        <v>6.2857142857142847</v>
      </c>
      <c r="AC39" s="16">
        <f t="shared" si="31"/>
        <v>155.57142857142856</v>
      </c>
      <c r="AD39" s="16">
        <f t="shared" si="31"/>
        <v>0.14285714285714285</v>
      </c>
      <c r="AE39" s="32">
        <f t="shared" si="31"/>
        <v>286.57142857142856</v>
      </c>
      <c r="AF39" s="32">
        <f t="shared" si="31"/>
        <v>442.14285714285711</v>
      </c>
    </row>
    <row r="40" spans="2:32" ht="23.1" customHeight="1" x14ac:dyDescent="0.25">
      <c r="B40" s="24" t="s">
        <v>67</v>
      </c>
      <c r="C40" s="49">
        <f>AVERAGE('17.10 Butongole-Busembatya'!C40,'18.10 Butongole-Busembatya'!C40,'20.10 Butongole-Busembatya'!C40,'22.10 Butongole-Busembatya'!C40,'19.10 Busembatya-Butongole 24h'!C40,'21.10 -Butongole-Bsembatya-24h'!C40,'23.10 Butongole-Busembatya'!C40)</f>
        <v>4.4285714285714288</v>
      </c>
      <c r="D40" s="49">
        <f>AVERAGE('17.10 Butongole-Busembatya'!D40,'18.10 Butongole-Busembatya'!D40,'20.10 Butongole-Busembatya'!D40,'22.10 Butongole-Busembatya'!D40,'19.10 Busembatya-Butongole 24h'!D40,'21.10 -Butongole-Bsembatya-24h'!D40,'23.10 Butongole-Busembatya'!D40)</f>
        <v>2</v>
      </c>
      <c r="E40" s="49">
        <f>AVERAGE('17.10 Butongole-Busembatya'!E40,'18.10 Butongole-Busembatya'!E40,'20.10 Butongole-Busembatya'!E40,'22.10 Butongole-Busembatya'!E40,'19.10 Busembatya-Butongole 24h'!E40,'21.10 -Butongole-Bsembatya-24h'!E40,'23.10 Butongole-Busembatya'!E40)</f>
        <v>2.5714285714285716</v>
      </c>
      <c r="F40" s="49">
        <f>AVERAGE('17.10 Butongole-Busembatya'!F40,'18.10 Butongole-Busembatya'!F40,'20.10 Butongole-Busembatya'!F40,'22.10 Butongole-Busembatya'!F40,'19.10 Busembatya-Butongole 24h'!F40,'21.10 -Butongole-Bsembatya-24h'!F40,'23.10 Butongole-Busembatya'!F40)</f>
        <v>11.714285714285714</v>
      </c>
      <c r="G40" s="49">
        <f>AVERAGE('17.10 Butongole-Busembatya'!G40,'18.10 Butongole-Busembatya'!G40,'20.10 Butongole-Busembatya'!G40,'22.10 Butongole-Busembatya'!G40,'19.10 Busembatya-Butongole 24h'!G40,'21.10 -Butongole-Bsembatya-24h'!G40,'23.10 Butongole-Busembatya'!G40)</f>
        <v>0.42857142857142855</v>
      </c>
      <c r="H40" s="49">
        <f>AVERAGE('17.10 Butongole-Busembatya'!H40,'18.10 Butongole-Busembatya'!H40,'20.10 Butongole-Busembatya'!H40,'22.10 Butongole-Busembatya'!H40,'19.10 Busembatya-Butongole 24h'!H40,'21.10 -Butongole-Bsembatya-24h'!H40,'23.10 Butongole-Busembatya'!H40)</f>
        <v>0.2857142857142857</v>
      </c>
      <c r="I40" s="49">
        <f>AVERAGE('17.10 Butongole-Busembatya'!I40,'18.10 Butongole-Busembatya'!I40,'20.10 Butongole-Busembatya'!I40,'22.10 Butongole-Busembatya'!I40,'19.10 Busembatya-Butongole 24h'!I40,'21.10 -Butongole-Bsembatya-24h'!I40,'23.10 Butongole-Busembatya'!I40)</f>
        <v>2.1428571428571428</v>
      </c>
      <c r="J40" s="49">
        <f>AVERAGE('17.10 Butongole-Busembatya'!J40,'18.10 Butongole-Busembatya'!J40,'20.10 Butongole-Busembatya'!J40,'22.10 Butongole-Busembatya'!J40,'19.10 Busembatya-Butongole 24h'!J40,'21.10 -Butongole-Bsembatya-24h'!J40,'23.10 Butongole-Busembatya'!J40)</f>
        <v>1.8571428571428572</v>
      </c>
      <c r="K40" s="49">
        <f>AVERAGE('17.10 Butongole-Busembatya'!K40,'18.10 Butongole-Busembatya'!K40,'20.10 Butongole-Busembatya'!K40,'22.10 Butongole-Busembatya'!K40,'19.10 Busembatya-Butongole 24h'!K40,'21.10 -Butongole-Bsembatya-24h'!K40,'23.10 Butongole-Busembatya'!K40)</f>
        <v>0.5714285714285714</v>
      </c>
      <c r="L40" s="49">
        <f>AVERAGE('17.10 Butongole-Busembatya'!L40,'18.10 Butongole-Busembatya'!L40,'20.10 Butongole-Busembatya'!L40,'22.10 Butongole-Busembatya'!L40,'19.10 Busembatya-Butongole 24h'!L40,'21.10 -Butongole-Bsembatya-24h'!L40,'23.10 Butongole-Busembatya'!L40)</f>
        <v>0.42857142857142855</v>
      </c>
      <c r="M40" s="49">
        <f>AVERAGE('17.10 Butongole-Busembatya'!M40,'18.10 Butongole-Busembatya'!M40,'20.10 Butongole-Busembatya'!M40,'22.10 Butongole-Busembatya'!M40,'19.10 Busembatya-Butongole 24h'!M40,'21.10 -Butongole-Bsembatya-24h'!M40,'23.10 Butongole-Busembatya'!M40)</f>
        <v>15.285714285714286</v>
      </c>
      <c r="N40" s="49">
        <f>AVERAGE('17.10 Butongole-Busembatya'!N40,'18.10 Butongole-Busembatya'!N40,'20.10 Butongole-Busembatya'!N40,'22.10 Butongole-Busembatya'!N40,'19.10 Busembatya-Butongole 24h'!N40,'21.10 -Butongole-Bsembatya-24h'!N40,'23.10 Butongole-Busembatya'!N40)</f>
        <v>0</v>
      </c>
      <c r="O40" s="15">
        <f t="shared" si="0"/>
        <v>26.428571428571427</v>
      </c>
      <c r="P40" s="15">
        <f t="shared" si="1"/>
        <v>41.714285714285715</v>
      </c>
      <c r="R40" s="5" t="s">
        <v>17</v>
      </c>
      <c r="S40" s="16">
        <f t="shared" ref="S40:AF40" si="32">SUM(S10:S21)</f>
        <v>195.42857142857144</v>
      </c>
      <c r="T40" s="16">
        <f t="shared" si="32"/>
        <v>96.714285714285708</v>
      </c>
      <c r="U40" s="16">
        <f t="shared" si="32"/>
        <v>115.57142857142857</v>
      </c>
      <c r="V40" s="16">
        <f t="shared" si="32"/>
        <v>421.42857142857144</v>
      </c>
      <c r="W40" s="16">
        <f t="shared" si="32"/>
        <v>18.571428571428569</v>
      </c>
      <c r="X40" s="16">
        <f t="shared" si="32"/>
        <v>16.285714285714285</v>
      </c>
      <c r="Y40" s="16">
        <f t="shared" si="32"/>
        <v>56.142857142857132</v>
      </c>
      <c r="Z40" s="16">
        <f t="shared" si="32"/>
        <v>63.428571428571431</v>
      </c>
      <c r="AA40" s="16">
        <f t="shared" si="32"/>
        <v>36.857142857142854</v>
      </c>
      <c r="AB40" s="16">
        <f t="shared" si="32"/>
        <v>21.285714285714285</v>
      </c>
      <c r="AC40" s="16">
        <f t="shared" si="32"/>
        <v>595.14285714285711</v>
      </c>
      <c r="AD40" s="16">
        <f t="shared" si="32"/>
        <v>1.714285714285714</v>
      </c>
      <c r="AE40" s="32">
        <f t="shared" si="32"/>
        <v>1043.4285714285713</v>
      </c>
      <c r="AF40" s="32">
        <f t="shared" si="32"/>
        <v>1638.5714285714287</v>
      </c>
    </row>
    <row r="41" spans="2:32" ht="23.1" customHeight="1" x14ac:dyDescent="0.25">
      <c r="B41" s="23" t="s">
        <v>68</v>
      </c>
      <c r="C41" s="49">
        <f>AVERAGE('17.10 Butongole-Busembatya'!C41,'18.10 Butongole-Busembatya'!C41,'20.10 Butongole-Busembatya'!C41,'22.10 Butongole-Busembatya'!C41,'19.10 Busembatya-Butongole 24h'!C41,'21.10 -Butongole-Bsembatya-24h'!C41,'23.10 Butongole-Busembatya'!C41)</f>
        <v>4.4285714285714288</v>
      </c>
      <c r="D41" s="49">
        <f>AVERAGE('17.10 Butongole-Busembatya'!D41,'18.10 Butongole-Busembatya'!D41,'20.10 Butongole-Busembatya'!D41,'22.10 Butongole-Busembatya'!D41,'19.10 Busembatya-Butongole 24h'!D41,'21.10 -Butongole-Bsembatya-24h'!D41,'23.10 Butongole-Busembatya'!D41)</f>
        <v>1.8571428571428572</v>
      </c>
      <c r="E41" s="49">
        <f>AVERAGE('17.10 Butongole-Busembatya'!E41,'18.10 Butongole-Busembatya'!E41,'20.10 Butongole-Busembatya'!E41,'22.10 Butongole-Busembatya'!E41,'19.10 Busembatya-Butongole 24h'!E41,'21.10 -Butongole-Bsembatya-24h'!E41,'23.10 Butongole-Busembatya'!E41)</f>
        <v>1.1428571428571428</v>
      </c>
      <c r="F41" s="49">
        <f>AVERAGE('17.10 Butongole-Busembatya'!F41,'18.10 Butongole-Busembatya'!F41,'20.10 Butongole-Busembatya'!F41,'22.10 Butongole-Busembatya'!F41,'19.10 Busembatya-Butongole 24h'!F41,'21.10 -Butongole-Bsembatya-24h'!F41,'23.10 Butongole-Busembatya'!F41)</f>
        <v>9.8571428571428577</v>
      </c>
      <c r="G41" s="49">
        <f>AVERAGE('17.10 Butongole-Busembatya'!G41,'18.10 Butongole-Busembatya'!G41,'20.10 Butongole-Busembatya'!G41,'22.10 Butongole-Busembatya'!G41,'19.10 Busembatya-Butongole 24h'!G41,'21.10 -Butongole-Bsembatya-24h'!G41,'23.10 Butongole-Busembatya'!G41)</f>
        <v>1</v>
      </c>
      <c r="H41" s="49">
        <f>AVERAGE('17.10 Butongole-Busembatya'!H41,'18.10 Butongole-Busembatya'!H41,'20.10 Butongole-Busembatya'!H41,'22.10 Butongole-Busembatya'!H41,'19.10 Busembatya-Butongole 24h'!H41,'21.10 -Butongole-Bsembatya-24h'!H41,'23.10 Butongole-Busembatya'!H41)</f>
        <v>0.42857142857142855</v>
      </c>
      <c r="I41" s="49">
        <f>AVERAGE('17.10 Butongole-Busembatya'!I41,'18.10 Butongole-Busembatya'!I41,'20.10 Butongole-Busembatya'!I41,'22.10 Butongole-Busembatya'!I41,'19.10 Busembatya-Butongole 24h'!I41,'21.10 -Butongole-Bsembatya-24h'!I41,'23.10 Butongole-Busembatya'!I41)</f>
        <v>0.5714285714285714</v>
      </c>
      <c r="J41" s="49">
        <f>AVERAGE('17.10 Butongole-Busembatya'!J41,'18.10 Butongole-Busembatya'!J41,'20.10 Butongole-Busembatya'!J41,'22.10 Butongole-Busembatya'!J41,'19.10 Busembatya-Butongole 24h'!J41,'21.10 -Butongole-Bsembatya-24h'!J41,'23.10 Butongole-Busembatya'!J41)</f>
        <v>1.1428571428571428</v>
      </c>
      <c r="K41" s="49">
        <f>AVERAGE('17.10 Butongole-Busembatya'!K41,'18.10 Butongole-Busembatya'!K41,'20.10 Butongole-Busembatya'!K41,'22.10 Butongole-Busembatya'!K41,'19.10 Busembatya-Butongole 24h'!K41,'21.10 -Butongole-Bsembatya-24h'!K41,'23.10 Butongole-Busembatya'!K41)</f>
        <v>0.7142857142857143</v>
      </c>
      <c r="L41" s="49">
        <f>AVERAGE('17.10 Butongole-Busembatya'!L41,'18.10 Butongole-Busembatya'!L41,'20.10 Butongole-Busembatya'!L41,'22.10 Butongole-Busembatya'!L41,'19.10 Busembatya-Butongole 24h'!L41,'21.10 -Butongole-Bsembatya-24h'!L41,'23.10 Butongole-Busembatya'!L41)</f>
        <v>0.2857142857142857</v>
      </c>
      <c r="M41" s="49">
        <f>AVERAGE('17.10 Butongole-Busembatya'!M41,'18.10 Butongole-Busembatya'!M41,'20.10 Butongole-Busembatya'!M41,'22.10 Butongole-Busembatya'!M41,'19.10 Busembatya-Butongole 24h'!M41,'21.10 -Butongole-Bsembatya-24h'!M41,'23.10 Butongole-Busembatya'!M41)</f>
        <v>11.285714285714286</v>
      </c>
      <c r="N41" s="49">
        <f>AVERAGE('17.10 Butongole-Busembatya'!N41,'18.10 Butongole-Busembatya'!N41,'20.10 Butongole-Busembatya'!N41,'22.10 Butongole-Busembatya'!N41,'19.10 Busembatya-Butongole 24h'!N41,'21.10 -Butongole-Bsembatya-24h'!N41,'23.10 Butongole-Busembatya'!N41)</f>
        <v>0</v>
      </c>
      <c r="O41" s="15">
        <f t="shared" si="0"/>
        <v>21.428571428571427</v>
      </c>
      <c r="P41" s="15">
        <f t="shared" si="1"/>
        <v>32.714285714285715</v>
      </c>
      <c r="R41" s="5" t="s">
        <v>184</v>
      </c>
      <c r="S41" s="55">
        <f>SUM(S10:S33)</f>
        <v>269.42857142857144</v>
      </c>
      <c r="T41" s="55">
        <f t="shared" ref="T41:AD41" si="33">SUM(T10:T33)</f>
        <v>120.21428571428571</v>
      </c>
      <c r="U41" s="55">
        <f t="shared" si="33"/>
        <v>148.07142857142856</v>
      </c>
      <c r="V41" s="55">
        <f t="shared" si="33"/>
        <v>537.42857142857144</v>
      </c>
      <c r="W41" s="55">
        <f t="shared" si="33"/>
        <v>25.571428571428569</v>
      </c>
      <c r="X41" s="55">
        <f t="shared" si="33"/>
        <v>35.785714285714285</v>
      </c>
      <c r="Y41" s="55">
        <f t="shared" si="33"/>
        <v>148.64285714285714</v>
      </c>
      <c r="Z41" s="55">
        <f t="shared" si="33"/>
        <v>65.428571428571431</v>
      </c>
      <c r="AA41" s="55">
        <f t="shared" si="33"/>
        <v>55.357142857142854</v>
      </c>
      <c r="AB41" s="55">
        <f t="shared" si="33"/>
        <v>29.285714285714285</v>
      </c>
      <c r="AC41" s="55">
        <f t="shared" si="33"/>
        <v>726.14285714285711</v>
      </c>
      <c r="AD41" s="55">
        <f t="shared" si="33"/>
        <v>1.714285714285714</v>
      </c>
      <c r="AE41" s="56">
        <f>SUM(AE10:AE33)</f>
        <v>1436.9285714285713</v>
      </c>
      <c r="AF41" s="56">
        <f>SUM(AF10:AF33)</f>
        <v>2163.0714285714284</v>
      </c>
    </row>
    <row r="42" spans="2:32" ht="23.1" customHeight="1" x14ac:dyDescent="0.25">
      <c r="B42" s="24" t="s">
        <v>69</v>
      </c>
      <c r="C42" s="49">
        <f>AVERAGE('17.10 Butongole-Busembatya'!C42,'18.10 Butongole-Busembatya'!C42,'20.10 Butongole-Busembatya'!C42,'22.10 Butongole-Busembatya'!C42,'19.10 Busembatya-Butongole 24h'!C42,'21.10 -Butongole-Bsembatya-24h'!C42,'23.10 Butongole-Busembatya'!C42)</f>
        <v>5.4285714285714288</v>
      </c>
      <c r="D42" s="49">
        <f>AVERAGE('17.10 Butongole-Busembatya'!D42,'18.10 Butongole-Busembatya'!D42,'20.10 Butongole-Busembatya'!D42,'22.10 Butongole-Busembatya'!D42,'19.10 Busembatya-Butongole 24h'!D42,'21.10 -Butongole-Bsembatya-24h'!D42,'23.10 Butongole-Busembatya'!D42)</f>
        <v>2</v>
      </c>
      <c r="E42" s="49">
        <f>AVERAGE('17.10 Butongole-Busembatya'!E42,'18.10 Butongole-Busembatya'!E42,'20.10 Butongole-Busembatya'!E42,'22.10 Butongole-Busembatya'!E42,'19.10 Busembatya-Butongole 24h'!E42,'21.10 -Butongole-Bsembatya-24h'!E42,'23.10 Butongole-Busembatya'!E42)</f>
        <v>3</v>
      </c>
      <c r="F42" s="49">
        <f>AVERAGE('17.10 Butongole-Busembatya'!F42,'18.10 Butongole-Busembatya'!F42,'20.10 Butongole-Busembatya'!F42,'22.10 Butongole-Busembatya'!F42,'19.10 Busembatya-Butongole 24h'!F42,'21.10 -Butongole-Bsembatya-24h'!F42,'23.10 Butongole-Busembatya'!F42)</f>
        <v>11.714285714285714</v>
      </c>
      <c r="G42" s="49">
        <f>AVERAGE('17.10 Butongole-Busembatya'!G42,'18.10 Butongole-Busembatya'!G42,'20.10 Butongole-Busembatya'!G42,'22.10 Butongole-Busembatya'!G42,'19.10 Busembatya-Butongole 24h'!G42,'21.10 -Butongole-Bsembatya-24h'!G42,'23.10 Butongole-Busembatya'!G42)</f>
        <v>0.42857142857142855</v>
      </c>
      <c r="H42" s="49">
        <f>AVERAGE('17.10 Butongole-Busembatya'!H42,'18.10 Butongole-Busembatya'!H42,'20.10 Butongole-Busembatya'!H42,'22.10 Butongole-Busembatya'!H42,'19.10 Busembatya-Butongole 24h'!H42,'21.10 -Butongole-Bsembatya-24h'!H42,'23.10 Butongole-Busembatya'!H42)</f>
        <v>0.42857142857142855</v>
      </c>
      <c r="I42" s="49">
        <f>AVERAGE('17.10 Butongole-Busembatya'!I42,'18.10 Butongole-Busembatya'!I42,'20.10 Butongole-Busembatya'!I42,'22.10 Butongole-Busembatya'!I42,'19.10 Busembatya-Butongole 24h'!I42,'21.10 -Butongole-Bsembatya-24h'!I42,'23.10 Butongole-Busembatya'!I42)</f>
        <v>0.7142857142857143</v>
      </c>
      <c r="J42" s="49">
        <f>AVERAGE('17.10 Butongole-Busembatya'!J42,'18.10 Butongole-Busembatya'!J42,'20.10 Butongole-Busembatya'!J42,'22.10 Butongole-Busembatya'!J42,'19.10 Busembatya-Butongole 24h'!J42,'21.10 -Butongole-Bsembatya-24h'!J42,'23.10 Butongole-Busembatya'!J42)</f>
        <v>1</v>
      </c>
      <c r="K42" s="49">
        <f>AVERAGE('17.10 Butongole-Busembatya'!K42,'18.10 Butongole-Busembatya'!K42,'20.10 Butongole-Busembatya'!K42,'22.10 Butongole-Busembatya'!K42,'19.10 Busembatya-Butongole 24h'!K42,'21.10 -Butongole-Bsembatya-24h'!K42,'23.10 Butongole-Busembatya'!K42)</f>
        <v>0.7142857142857143</v>
      </c>
      <c r="L42" s="49">
        <f>AVERAGE('17.10 Butongole-Busembatya'!L42,'18.10 Butongole-Busembatya'!L42,'20.10 Butongole-Busembatya'!L42,'22.10 Butongole-Busembatya'!L42,'19.10 Busembatya-Butongole 24h'!L42,'21.10 -Butongole-Bsembatya-24h'!L42,'23.10 Butongole-Busembatya'!L42)</f>
        <v>0.7142857142857143</v>
      </c>
      <c r="M42" s="49">
        <f>AVERAGE('17.10 Butongole-Busembatya'!M42,'18.10 Butongole-Busembatya'!M42,'20.10 Butongole-Busembatya'!M42,'22.10 Butongole-Busembatya'!M42,'19.10 Busembatya-Butongole 24h'!M42,'21.10 -Butongole-Bsembatya-24h'!M42,'23.10 Butongole-Busembatya'!M42)</f>
        <v>14.714285714285714</v>
      </c>
      <c r="N42" s="49">
        <f>AVERAGE('17.10 Butongole-Busembatya'!N42,'18.10 Butongole-Busembatya'!N42,'20.10 Butongole-Busembatya'!N42,'22.10 Butongole-Busembatya'!N42,'19.10 Busembatya-Butongole 24h'!N42,'21.10 -Butongole-Bsembatya-24h'!N42,'23.10 Butongole-Busembatya'!N42)</f>
        <v>0.14285714285714285</v>
      </c>
      <c r="O42" s="15">
        <f t="shared" si="0"/>
        <v>26.285714285714285</v>
      </c>
      <c r="P42" s="15">
        <f t="shared" si="1"/>
        <v>41</v>
      </c>
      <c r="R42" s="5" t="s">
        <v>160</v>
      </c>
      <c r="S42" s="48">
        <f>S41/S40</f>
        <v>1.3786549707602338</v>
      </c>
      <c r="T42" s="48">
        <f t="shared" ref="T42:AF42" si="34">T41/T40</f>
        <v>1.2429837518463811</v>
      </c>
      <c r="U42" s="48">
        <f t="shared" si="34"/>
        <v>1.2812113720642768</v>
      </c>
      <c r="V42" s="48">
        <f t="shared" si="34"/>
        <v>1.2752542372881355</v>
      </c>
      <c r="W42" s="48">
        <f t="shared" si="34"/>
        <v>1.3769230769230769</v>
      </c>
      <c r="X42" s="48">
        <f t="shared" si="34"/>
        <v>2.1973684210526319</v>
      </c>
      <c r="Y42" s="48">
        <f t="shared" si="34"/>
        <v>2.6475826972010181</v>
      </c>
      <c r="Z42" s="48">
        <f t="shared" si="34"/>
        <v>1.0315315315315314</v>
      </c>
      <c r="AA42" s="48">
        <f t="shared" si="34"/>
        <v>1.501937984496124</v>
      </c>
      <c r="AB42" s="48">
        <f t="shared" si="34"/>
        <v>1.3758389261744968</v>
      </c>
      <c r="AC42" s="48">
        <f t="shared" si="34"/>
        <v>1.2201152184349495</v>
      </c>
      <c r="AD42" s="48">
        <f t="shared" si="34"/>
        <v>1</v>
      </c>
      <c r="AE42" s="54">
        <f t="shared" si="34"/>
        <v>1.3771221248630887</v>
      </c>
      <c r="AF42" s="54">
        <f t="shared" si="34"/>
        <v>1.3200959023539667</v>
      </c>
    </row>
    <row r="43" spans="2:32" ht="23.1" customHeight="1" x14ac:dyDescent="0.25">
      <c r="B43" s="23" t="s">
        <v>70</v>
      </c>
      <c r="C43" s="49">
        <f>AVERAGE('17.10 Butongole-Busembatya'!C43,'18.10 Butongole-Busembatya'!C43,'20.10 Butongole-Busembatya'!C43,'22.10 Butongole-Busembatya'!C43,'19.10 Busembatya-Butongole 24h'!C43,'21.10 -Butongole-Bsembatya-24h'!C43,'23.10 Butongole-Busembatya'!C43)</f>
        <v>3.1428571428571428</v>
      </c>
      <c r="D43" s="49">
        <f>AVERAGE('17.10 Butongole-Busembatya'!D43,'18.10 Butongole-Busembatya'!D43,'20.10 Butongole-Busembatya'!D43,'22.10 Butongole-Busembatya'!D43,'19.10 Busembatya-Butongole 24h'!D43,'21.10 -Butongole-Bsembatya-24h'!D43,'23.10 Butongole-Busembatya'!D43)</f>
        <v>2.4285714285714284</v>
      </c>
      <c r="E43" s="49">
        <f>AVERAGE('17.10 Butongole-Busembatya'!E43,'18.10 Butongole-Busembatya'!E43,'20.10 Butongole-Busembatya'!E43,'22.10 Butongole-Busembatya'!E43,'19.10 Busembatya-Butongole 24h'!E43,'21.10 -Butongole-Bsembatya-24h'!E43,'23.10 Butongole-Busembatya'!E43)</f>
        <v>2.5714285714285716</v>
      </c>
      <c r="F43" s="49">
        <f>AVERAGE('17.10 Butongole-Busembatya'!F43,'18.10 Butongole-Busembatya'!F43,'20.10 Butongole-Busembatya'!F43,'22.10 Butongole-Busembatya'!F43,'19.10 Busembatya-Butongole 24h'!F43,'21.10 -Butongole-Bsembatya-24h'!F43,'23.10 Butongole-Busembatya'!F43)</f>
        <v>10</v>
      </c>
      <c r="G43" s="49">
        <f>AVERAGE('17.10 Butongole-Busembatya'!G43,'18.10 Butongole-Busembatya'!G43,'20.10 Butongole-Busembatya'!G43,'22.10 Butongole-Busembatya'!G43,'19.10 Busembatya-Butongole 24h'!G43,'21.10 -Butongole-Bsembatya-24h'!G43,'23.10 Butongole-Busembatya'!G43)</f>
        <v>0.7142857142857143</v>
      </c>
      <c r="H43" s="49">
        <f>AVERAGE('17.10 Butongole-Busembatya'!H43,'18.10 Butongole-Busembatya'!H43,'20.10 Butongole-Busembatya'!H43,'22.10 Butongole-Busembatya'!H43,'19.10 Busembatya-Butongole 24h'!H43,'21.10 -Butongole-Bsembatya-24h'!H43,'23.10 Butongole-Busembatya'!H43)</f>
        <v>0.14285714285714285</v>
      </c>
      <c r="I43" s="49">
        <f>AVERAGE('17.10 Butongole-Busembatya'!I43,'18.10 Butongole-Busembatya'!I43,'20.10 Butongole-Busembatya'!I43,'22.10 Butongole-Busembatya'!I43,'19.10 Busembatya-Butongole 24h'!I43,'21.10 -Butongole-Bsembatya-24h'!I43,'23.10 Butongole-Busembatya'!I43)</f>
        <v>1.1428571428571428</v>
      </c>
      <c r="J43" s="49">
        <f>AVERAGE('17.10 Butongole-Busembatya'!J43,'18.10 Butongole-Busembatya'!J43,'20.10 Butongole-Busembatya'!J43,'22.10 Butongole-Busembatya'!J43,'19.10 Busembatya-Butongole 24h'!J43,'21.10 -Butongole-Bsembatya-24h'!J43,'23.10 Butongole-Busembatya'!J43)</f>
        <v>1.2857142857142858</v>
      </c>
      <c r="K43" s="49">
        <f>AVERAGE('17.10 Butongole-Busembatya'!K43,'18.10 Butongole-Busembatya'!K43,'20.10 Butongole-Busembatya'!K43,'22.10 Butongole-Busembatya'!K43,'19.10 Busembatya-Butongole 24h'!K43,'21.10 -Butongole-Bsembatya-24h'!K43,'23.10 Butongole-Busembatya'!K43)</f>
        <v>1.1428571428571428</v>
      </c>
      <c r="L43" s="49">
        <f>AVERAGE('17.10 Butongole-Busembatya'!L43,'18.10 Butongole-Busembatya'!L43,'20.10 Butongole-Busembatya'!L43,'22.10 Butongole-Busembatya'!L43,'19.10 Busembatya-Butongole 24h'!L43,'21.10 -Butongole-Bsembatya-24h'!L43,'23.10 Butongole-Busembatya'!L43)</f>
        <v>0.8571428571428571</v>
      </c>
      <c r="M43" s="49">
        <f>AVERAGE('17.10 Butongole-Busembatya'!M43,'18.10 Butongole-Busembatya'!M43,'20.10 Butongole-Busembatya'!M43,'22.10 Butongole-Busembatya'!M43,'19.10 Busembatya-Butongole 24h'!M43,'21.10 -Butongole-Bsembatya-24h'!M43,'23.10 Butongole-Busembatya'!M43)</f>
        <v>12</v>
      </c>
      <c r="N43" s="49">
        <f>AVERAGE('17.10 Butongole-Busembatya'!N43,'18.10 Butongole-Busembatya'!N43,'20.10 Butongole-Busembatya'!N43,'22.10 Butongole-Busembatya'!N43,'19.10 Busembatya-Butongole 24h'!N43,'21.10 -Butongole-Bsembatya-24h'!N43,'23.10 Butongole-Busembatya'!N43)</f>
        <v>0.14285714285714285</v>
      </c>
      <c r="O43" s="15">
        <f t="shared" si="0"/>
        <v>23.571428571428569</v>
      </c>
      <c r="P43" s="15">
        <f t="shared" si="1"/>
        <v>35.571428571428577</v>
      </c>
    </row>
    <row r="44" spans="2:32" ht="23.1" customHeight="1" x14ac:dyDescent="0.25">
      <c r="B44" s="25" t="s">
        <v>71</v>
      </c>
      <c r="C44" s="49">
        <f>AVERAGE('17.10 Butongole-Busembatya'!C44,'18.10 Butongole-Busembatya'!C44,'20.10 Butongole-Busembatya'!C44,'22.10 Butongole-Busembatya'!C44,'19.10 Busembatya-Butongole 24h'!C44,'21.10 -Butongole-Bsembatya-24h'!C44,'23.10 Butongole-Busembatya'!C44)</f>
        <v>4.5714285714285712</v>
      </c>
      <c r="D44" s="49">
        <f>AVERAGE('17.10 Butongole-Busembatya'!D44,'18.10 Butongole-Busembatya'!D44,'20.10 Butongole-Busembatya'!D44,'22.10 Butongole-Busembatya'!D44,'19.10 Busembatya-Butongole 24h'!D44,'21.10 -Butongole-Bsembatya-24h'!D44,'23.10 Butongole-Busembatya'!D44)</f>
        <v>1.7142857142857142</v>
      </c>
      <c r="E44" s="49">
        <f>AVERAGE('17.10 Butongole-Busembatya'!E44,'18.10 Butongole-Busembatya'!E44,'20.10 Butongole-Busembatya'!E44,'22.10 Butongole-Busembatya'!E44,'19.10 Busembatya-Butongole 24h'!E44,'21.10 -Butongole-Bsembatya-24h'!E44,'23.10 Butongole-Busembatya'!E44)</f>
        <v>2.2857142857142856</v>
      </c>
      <c r="F44" s="49">
        <f>AVERAGE('17.10 Butongole-Busembatya'!F44,'18.10 Butongole-Busembatya'!F44,'20.10 Butongole-Busembatya'!F44,'22.10 Butongole-Busembatya'!F44,'19.10 Busembatya-Butongole 24h'!F44,'21.10 -Butongole-Bsembatya-24h'!F44,'23.10 Butongole-Busembatya'!F44)</f>
        <v>11.428571428571429</v>
      </c>
      <c r="G44" s="49">
        <f>AVERAGE('17.10 Butongole-Busembatya'!G44,'18.10 Butongole-Busembatya'!G44,'20.10 Butongole-Busembatya'!G44,'22.10 Butongole-Busembatya'!G44,'19.10 Busembatya-Butongole 24h'!G44,'21.10 -Butongole-Bsembatya-24h'!G44,'23.10 Butongole-Busembatya'!G44)</f>
        <v>0.14285714285714285</v>
      </c>
      <c r="H44" s="49">
        <f>AVERAGE('17.10 Butongole-Busembatya'!H44,'18.10 Butongole-Busembatya'!H44,'20.10 Butongole-Busembatya'!H44,'22.10 Butongole-Busembatya'!H44,'19.10 Busembatya-Butongole 24h'!H44,'21.10 -Butongole-Bsembatya-24h'!H44,'23.10 Butongole-Busembatya'!H44)</f>
        <v>0.8571428571428571</v>
      </c>
      <c r="I44" s="49">
        <f>AVERAGE('17.10 Butongole-Busembatya'!I44,'18.10 Butongole-Busembatya'!I44,'20.10 Butongole-Busembatya'!I44,'22.10 Butongole-Busembatya'!I44,'19.10 Busembatya-Butongole 24h'!I44,'21.10 -Butongole-Bsembatya-24h'!I44,'23.10 Butongole-Busembatya'!I44)</f>
        <v>1.5714285714285714</v>
      </c>
      <c r="J44" s="49">
        <f>AVERAGE('17.10 Butongole-Busembatya'!J44,'18.10 Butongole-Busembatya'!J44,'20.10 Butongole-Busembatya'!J44,'22.10 Butongole-Busembatya'!J44,'19.10 Busembatya-Butongole 24h'!J44,'21.10 -Butongole-Bsembatya-24h'!J44,'23.10 Butongole-Busembatya'!J44)</f>
        <v>1.4285714285714286</v>
      </c>
      <c r="K44" s="49">
        <f>AVERAGE('17.10 Butongole-Busembatya'!K44,'18.10 Butongole-Busembatya'!K44,'20.10 Butongole-Busembatya'!K44,'22.10 Butongole-Busembatya'!K44,'19.10 Busembatya-Butongole 24h'!K44,'21.10 -Butongole-Bsembatya-24h'!K44,'23.10 Butongole-Busembatya'!K44)</f>
        <v>0.42857142857142855</v>
      </c>
      <c r="L44" s="49">
        <f>AVERAGE('17.10 Butongole-Busembatya'!L44,'18.10 Butongole-Busembatya'!L44,'20.10 Butongole-Busembatya'!L44,'22.10 Butongole-Busembatya'!L44,'19.10 Busembatya-Butongole 24h'!L44,'21.10 -Butongole-Bsembatya-24h'!L44,'23.10 Butongole-Busembatya'!L44)</f>
        <v>0.5714285714285714</v>
      </c>
      <c r="M44" s="49">
        <f>AVERAGE('17.10 Butongole-Busembatya'!M44,'18.10 Butongole-Busembatya'!M44,'20.10 Butongole-Busembatya'!M44,'22.10 Butongole-Busembatya'!M44,'19.10 Busembatya-Butongole 24h'!M44,'21.10 -Butongole-Bsembatya-24h'!M44,'23.10 Butongole-Busembatya'!M44)</f>
        <v>14.428571428571429</v>
      </c>
      <c r="N44" s="49">
        <f>AVERAGE('17.10 Butongole-Busembatya'!N44,'18.10 Butongole-Busembatya'!N44,'20.10 Butongole-Busembatya'!N44,'22.10 Butongole-Busembatya'!N44,'19.10 Busembatya-Butongole 24h'!N44,'21.10 -Butongole-Bsembatya-24h'!N44,'23.10 Butongole-Busembatya'!N44)</f>
        <v>0</v>
      </c>
      <c r="O44" s="15">
        <f t="shared" si="0"/>
        <v>25</v>
      </c>
      <c r="P44" s="15">
        <f t="shared" si="1"/>
        <v>39.428571428571431</v>
      </c>
    </row>
    <row r="45" spans="2:32" ht="23.1" customHeight="1" x14ac:dyDescent="0.25">
      <c r="B45" s="23" t="s">
        <v>72</v>
      </c>
      <c r="C45" s="49">
        <f>AVERAGE('17.10 Butongole-Busembatya'!C45,'18.10 Butongole-Busembatya'!C45,'20.10 Butongole-Busembatya'!C45,'22.10 Butongole-Busembatya'!C45,'19.10 Busembatya-Butongole 24h'!C45,'21.10 -Butongole-Bsembatya-24h'!C45,'23.10 Butongole-Busembatya'!C45)</f>
        <v>4.4285714285714288</v>
      </c>
      <c r="D45" s="49">
        <f>AVERAGE('17.10 Butongole-Busembatya'!D45,'18.10 Butongole-Busembatya'!D45,'20.10 Butongole-Busembatya'!D45,'22.10 Butongole-Busembatya'!D45,'19.10 Busembatya-Butongole 24h'!D45,'21.10 -Butongole-Bsembatya-24h'!D45,'23.10 Butongole-Busembatya'!D45)</f>
        <v>1.2857142857142858</v>
      </c>
      <c r="E45" s="49">
        <f>AVERAGE('17.10 Butongole-Busembatya'!E45,'18.10 Butongole-Busembatya'!E45,'20.10 Butongole-Busembatya'!E45,'22.10 Butongole-Busembatya'!E45,'19.10 Busembatya-Butongole 24h'!E45,'21.10 -Butongole-Bsembatya-24h'!E45,'23.10 Butongole-Busembatya'!E45)</f>
        <v>1.8571428571428572</v>
      </c>
      <c r="F45" s="49">
        <f>AVERAGE('17.10 Butongole-Busembatya'!F45,'18.10 Butongole-Busembatya'!F45,'20.10 Butongole-Busembatya'!F45,'22.10 Butongole-Busembatya'!F45,'19.10 Busembatya-Butongole 24h'!F45,'21.10 -Butongole-Bsembatya-24h'!F45,'23.10 Butongole-Busembatya'!F45)</f>
        <v>10.571428571428571</v>
      </c>
      <c r="G45" s="49">
        <f>AVERAGE('17.10 Butongole-Busembatya'!G45,'18.10 Butongole-Busembatya'!G45,'20.10 Butongole-Busembatya'!G45,'22.10 Butongole-Busembatya'!G45,'19.10 Busembatya-Butongole 24h'!G45,'21.10 -Butongole-Bsembatya-24h'!G45,'23.10 Butongole-Busembatya'!G45)</f>
        <v>1.1428571428571428</v>
      </c>
      <c r="H45" s="49">
        <f>AVERAGE('17.10 Butongole-Busembatya'!H45,'18.10 Butongole-Busembatya'!H45,'20.10 Butongole-Busembatya'!H45,'22.10 Butongole-Busembatya'!H45,'19.10 Busembatya-Butongole 24h'!H45,'21.10 -Butongole-Bsembatya-24h'!H45,'23.10 Butongole-Busembatya'!H45)</f>
        <v>0.2857142857142857</v>
      </c>
      <c r="I45" s="49">
        <f>AVERAGE('17.10 Butongole-Busembatya'!I45,'18.10 Butongole-Busembatya'!I45,'20.10 Butongole-Busembatya'!I45,'22.10 Butongole-Busembatya'!I45,'19.10 Busembatya-Butongole 24h'!I45,'21.10 -Butongole-Bsembatya-24h'!I45,'23.10 Butongole-Busembatya'!I45)</f>
        <v>0.42857142857142855</v>
      </c>
      <c r="J45" s="49">
        <f>AVERAGE('17.10 Butongole-Busembatya'!J45,'18.10 Butongole-Busembatya'!J45,'20.10 Butongole-Busembatya'!J45,'22.10 Butongole-Busembatya'!J45,'19.10 Busembatya-Butongole 24h'!J45,'21.10 -Butongole-Bsembatya-24h'!J45,'23.10 Butongole-Busembatya'!J45)</f>
        <v>1.4285714285714286</v>
      </c>
      <c r="K45" s="49">
        <f>AVERAGE('17.10 Butongole-Busembatya'!K45,'18.10 Butongole-Busembatya'!K45,'20.10 Butongole-Busembatya'!K45,'22.10 Butongole-Busembatya'!K45,'19.10 Busembatya-Butongole 24h'!K45,'21.10 -Butongole-Bsembatya-24h'!K45,'23.10 Butongole-Busembatya'!K45)</f>
        <v>0.7142857142857143</v>
      </c>
      <c r="L45" s="49">
        <f>AVERAGE('17.10 Butongole-Busembatya'!L45,'18.10 Butongole-Busembatya'!L45,'20.10 Butongole-Busembatya'!L45,'22.10 Butongole-Busembatya'!L45,'19.10 Busembatya-Butongole 24h'!L45,'21.10 -Butongole-Bsembatya-24h'!L45,'23.10 Butongole-Busembatya'!L45)</f>
        <v>0.5714285714285714</v>
      </c>
      <c r="M45" s="49">
        <f>AVERAGE('17.10 Butongole-Busembatya'!M45,'18.10 Butongole-Busembatya'!M45,'20.10 Butongole-Busembatya'!M45,'22.10 Butongole-Busembatya'!M45,'19.10 Busembatya-Butongole 24h'!M45,'21.10 -Butongole-Bsembatya-24h'!M45,'23.10 Butongole-Busembatya'!M45)</f>
        <v>11.428571428571429</v>
      </c>
      <c r="N45" s="49">
        <f>AVERAGE('17.10 Butongole-Busembatya'!N45,'18.10 Butongole-Busembatya'!N45,'20.10 Butongole-Busembatya'!N45,'22.10 Butongole-Busembatya'!N45,'19.10 Busembatya-Butongole 24h'!N45,'21.10 -Butongole-Bsembatya-24h'!N45,'23.10 Butongole-Busembatya'!N45)</f>
        <v>0</v>
      </c>
      <c r="O45" s="15">
        <f t="shared" si="0"/>
        <v>22.714285714285712</v>
      </c>
      <c r="P45" s="15">
        <f t="shared" si="1"/>
        <v>34.142857142857139</v>
      </c>
    </row>
    <row r="46" spans="2:32" ht="23.1" customHeight="1" x14ac:dyDescent="0.25">
      <c r="B46" s="24" t="s">
        <v>73</v>
      </c>
      <c r="C46" s="49">
        <f>AVERAGE('17.10 Butongole-Busembatya'!C46,'18.10 Butongole-Busembatya'!C46,'20.10 Butongole-Busembatya'!C46,'22.10 Butongole-Busembatya'!C46,'19.10 Busembatya-Butongole 24h'!C46,'21.10 -Butongole-Bsembatya-24h'!C46,'23.10 Butongole-Busembatya'!C46)</f>
        <v>5</v>
      </c>
      <c r="D46" s="49">
        <f>AVERAGE('17.10 Butongole-Busembatya'!D46,'18.10 Butongole-Busembatya'!D46,'20.10 Butongole-Busembatya'!D46,'22.10 Butongole-Busembatya'!D46,'19.10 Busembatya-Butongole 24h'!D46,'21.10 -Butongole-Bsembatya-24h'!D46,'23.10 Butongole-Busembatya'!D46)</f>
        <v>3.5714285714285716</v>
      </c>
      <c r="E46" s="49">
        <f>AVERAGE('17.10 Butongole-Busembatya'!E46,'18.10 Butongole-Busembatya'!E46,'20.10 Butongole-Busembatya'!E46,'22.10 Butongole-Busembatya'!E46,'19.10 Busembatya-Butongole 24h'!E46,'21.10 -Butongole-Bsembatya-24h'!E46,'23.10 Butongole-Busembatya'!E46)</f>
        <v>2.4285714285714284</v>
      </c>
      <c r="F46" s="49">
        <f>AVERAGE('17.10 Butongole-Busembatya'!F46,'18.10 Butongole-Busembatya'!F46,'20.10 Butongole-Busembatya'!F46,'22.10 Butongole-Busembatya'!F46,'19.10 Busembatya-Butongole 24h'!F46,'21.10 -Butongole-Bsembatya-24h'!F46,'23.10 Butongole-Busembatya'!F46)</f>
        <v>8.2857142857142865</v>
      </c>
      <c r="G46" s="49">
        <f>AVERAGE('17.10 Butongole-Busembatya'!G46,'18.10 Butongole-Busembatya'!G46,'20.10 Butongole-Busembatya'!G46,'22.10 Butongole-Busembatya'!G46,'19.10 Busembatya-Butongole 24h'!G46,'21.10 -Butongole-Bsembatya-24h'!G46,'23.10 Butongole-Busembatya'!G46)</f>
        <v>0</v>
      </c>
      <c r="H46" s="49">
        <f>AVERAGE('17.10 Butongole-Busembatya'!H46,'18.10 Butongole-Busembatya'!H46,'20.10 Butongole-Busembatya'!H46,'22.10 Butongole-Busembatya'!H46,'19.10 Busembatya-Butongole 24h'!H46,'21.10 -Butongole-Bsembatya-24h'!H46,'23.10 Butongole-Busembatya'!H46)</f>
        <v>0.7142857142857143</v>
      </c>
      <c r="I46" s="49">
        <f>AVERAGE('17.10 Butongole-Busembatya'!I46,'18.10 Butongole-Busembatya'!I46,'20.10 Butongole-Busembatya'!I46,'22.10 Butongole-Busembatya'!I46,'19.10 Busembatya-Butongole 24h'!I46,'21.10 -Butongole-Bsembatya-24h'!I46,'23.10 Butongole-Busembatya'!I46)</f>
        <v>1.5714285714285714</v>
      </c>
      <c r="J46" s="49">
        <f>AVERAGE('17.10 Butongole-Busembatya'!J46,'18.10 Butongole-Busembatya'!J46,'20.10 Butongole-Busembatya'!J46,'22.10 Butongole-Busembatya'!J46,'19.10 Busembatya-Butongole 24h'!J46,'21.10 -Butongole-Bsembatya-24h'!J46,'23.10 Butongole-Busembatya'!J46)</f>
        <v>2</v>
      </c>
      <c r="K46" s="49">
        <f>AVERAGE('17.10 Butongole-Busembatya'!K46,'18.10 Butongole-Busembatya'!K46,'20.10 Butongole-Busembatya'!K46,'22.10 Butongole-Busembatya'!K46,'19.10 Busembatya-Butongole 24h'!K46,'21.10 -Butongole-Bsembatya-24h'!K46,'23.10 Butongole-Busembatya'!K46)</f>
        <v>1.8571428571428572</v>
      </c>
      <c r="L46" s="49">
        <f>AVERAGE('17.10 Butongole-Busembatya'!L46,'18.10 Butongole-Busembatya'!L46,'20.10 Butongole-Busembatya'!L46,'22.10 Butongole-Busembatya'!L46,'19.10 Busembatya-Butongole 24h'!L46,'21.10 -Butongole-Bsembatya-24h'!L46,'23.10 Butongole-Busembatya'!L46)</f>
        <v>0.5714285714285714</v>
      </c>
      <c r="M46" s="49">
        <f>AVERAGE('17.10 Butongole-Busembatya'!M46,'18.10 Butongole-Busembatya'!M46,'20.10 Butongole-Busembatya'!M46,'22.10 Butongole-Busembatya'!M46,'19.10 Busembatya-Butongole 24h'!M46,'21.10 -Butongole-Bsembatya-24h'!M46,'23.10 Butongole-Busembatya'!M46)</f>
        <v>10.571428571428571</v>
      </c>
      <c r="N46" s="49">
        <f>AVERAGE('17.10 Butongole-Busembatya'!N46,'18.10 Butongole-Busembatya'!N46,'20.10 Butongole-Busembatya'!N46,'22.10 Butongole-Busembatya'!N46,'19.10 Busembatya-Butongole 24h'!N46,'21.10 -Butongole-Bsembatya-24h'!N46,'23.10 Butongole-Busembatya'!N46)</f>
        <v>0</v>
      </c>
      <c r="O46" s="15">
        <f t="shared" si="0"/>
        <v>26.000000000000004</v>
      </c>
      <c r="P46" s="15">
        <f t="shared" si="1"/>
        <v>36.571428571428577</v>
      </c>
      <c r="R46" s="8"/>
      <c r="T46"/>
    </row>
    <row r="47" spans="2:32" ht="23.1" customHeight="1" x14ac:dyDescent="0.25">
      <c r="B47" s="24" t="s">
        <v>74</v>
      </c>
      <c r="C47" s="49">
        <f>AVERAGE('17.10 Butongole-Busembatya'!C47,'18.10 Butongole-Busembatya'!C47,'20.10 Butongole-Busembatya'!C47,'22.10 Butongole-Busembatya'!C47,'19.10 Busembatya-Butongole 24h'!C47,'21.10 -Butongole-Bsembatya-24h'!C47,'23.10 Butongole-Busembatya'!C47)</f>
        <v>4</v>
      </c>
      <c r="D47" s="49">
        <f>AVERAGE('17.10 Butongole-Busembatya'!D47,'18.10 Butongole-Busembatya'!D47,'20.10 Butongole-Busembatya'!D47,'22.10 Butongole-Busembatya'!D47,'19.10 Busembatya-Butongole 24h'!D47,'21.10 -Butongole-Bsembatya-24h'!D47,'23.10 Butongole-Busembatya'!D47)</f>
        <v>1.7142857142857142</v>
      </c>
      <c r="E47" s="49">
        <f>AVERAGE('17.10 Butongole-Busembatya'!E47,'18.10 Butongole-Busembatya'!E47,'20.10 Butongole-Busembatya'!E47,'22.10 Butongole-Busembatya'!E47,'19.10 Busembatya-Butongole 24h'!E47,'21.10 -Butongole-Bsembatya-24h'!E47,'23.10 Butongole-Busembatya'!E47)</f>
        <v>2.1428571428571428</v>
      </c>
      <c r="F47" s="49">
        <f>AVERAGE('17.10 Butongole-Busembatya'!F47,'18.10 Butongole-Busembatya'!F47,'20.10 Butongole-Busembatya'!F47,'22.10 Butongole-Busembatya'!F47,'19.10 Busembatya-Butongole 24h'!F47,'21.10 -Butongole-Bsembatya-24h'!F47,'23.10 Butongole-Busembatya'!F47)</f>
        <v>8.7142857142857135</v>
      </c>
      <c r="G47" s="49">
        <f>AVERAGE('17.10 Butongole-Busembatya'!G47,'18.10 Butongole-Busembatya'!G47,'20.10 Butongole-Busembatya'!G47,'22.10 Butongole-Busembatya'!G47,'19.10 Busembatya-Butongole 24h'!G47,'21.10 -Butongole-Bsembatya-24h'!G47,'23.10 Butongole-Busembatya'!G47)</f>
        <v>0</v>
      </c>
      <c r="H47" s="49">
        <f>AVERAGE('17.10 Butongole-Busembatya'!H47,'18.10 Butongole-Busembatya'!H47,'20.10 Butongole-Busembatya'!H47,'22.10 Butongole-Busembatya'!H47,'19.10 Busembatya-Butongole 24h'!H47,'21.10 -Butongole-Bsembatya-24h'!H47,'23.10 Butongole-Busembatya'!H47)</f>
        <v>0.2857142857142857</v>
      </c>
      <c r="I47" s="49">
        <f>AVERAGE('17.10 Butongole-Busembatya'!I47,'18.10 Butongole-Busembatya'!I47,'20.10 Butongole-Busembatya'!I47,'22.10 Butongole-Busembatya'!I47,'19.10 Busembatya-Butongole 24h'!I47,'21.10 -Butongole-Bsembatya-24h'!I47,'23.10 Butongole-Busembatya'!I47)</f>
        <v>1.2857142857142858</v>
      </c>
      <c r="J47" s="49">
        <f>AVERAGE('17.10 Butongole-Busembatya'!J47,'18.10 Butongole-Busembatya'!J47,'20.10 Butongole-Busembatya'!J47,'22.10 Butongole-Busembatya'!J47,'19.10 Busembatya-Butongole 24h'!J47,'21.10 -Butongole-Bsembatya-24h'!J47,'23.10 Butongole-Busembatya'!J47)</f>
        <v>1.1428571428571428</v>
      </c>
      <c r="K47" s="49">
        <f>AVERAGE('17.10 Butongole-Busembatya'!K47,'18.10 Butongole-Busembatya'!K47,'20.10 Butongole-Busembatya'!K47,'22.10 Butongole-Busembatya'!K47,'19.10 Busembatya-Butongole 24h'!K47,'21.10 -Butongole-Bsembatya-24h'!K47,'23.10 Butongole-Busembatya'!K47)</f>
        <v>0.5714285714285714</v>
      </c>
      <c r="L47" s="49">
        <f>AVERAGE('17.10 Butongole-Busembatya'!L47,'18.10 Butongole-Busembatya'!L47,'20.10 Butongole-Busembatya'!L47,'22.10 Butongole-Busembatya'!L47,'19.10 Busembatya-Butongole 24h'!L47,'21.10 -Butongole-Bsembatya-24h'!L47,'23.10 Butongole-Busembatya'!L47)</f>
        <v>0.42857142857142855</v>
      </c>
      <c r="M47" s="49">
        <f>AVERAGE('17.10 Butongole-Busembatya'!M47,'18.10 Butongole-Busembatya'!M47,'20.10 Butongole-Busembatya'!M47,'22.10 Butongole-Busembatya'!M47,'19.10 Busembatya-Butongole 24h'!M47,'21.10 -Butongole-Bsembatya-24h'!M47,'23.10 Butongole-Busembatya'!M47)</f>
        <v>9</v>
      </c>
      <c r="N47" s="49">
        <f>AVERAGE('17.10 Butongole-Busembatya'!N47,'18.10 Butongole-Busembatya'!N47,'20.10 Butongole-Busembatya'!N47,'22.10 Butongole-Busembatya'!N47,'19.10 Busembatya-Butongole 24h'!N47,'21.10 -Butongole-Bsembatya-24h'!N47,'23.10 Butongole-Busembatya'!N47)</f>
        <v>0</v>
      </c>
      <c r="O47" s="15">
        <f t="shared" si="0"/>
        <v>20.285714285714281</v>
      </c>
      <c r="P47" s="15">
        <f t="shared" si="1"/>
        <v>29.285714285714281</v>
      </c>
      <c r="R47" s="8"/>
      <c r="T47"/>
    </row>
    <row r="48" spans="2:32" ht="23.1" customHeight="1" x14ac:dyDescent="0.25">
      <c r="B48" s="24" t="s">
        <v>75</v>
      </c>
      <c r="C48" s="49">
        <f>AVERAGE('17.10 Butongole-Busembatya'!C48,'18.10 Butongole-Busembatya'!C48,'20.10 Butongole-Busembatya'!C48,'22.10 Butongole-Busembatya'!C48,'19.10 Busembatya-Butongole 24h'!C48,'21.10 -Butongole-Bsembatya-24h'!C48,'23.10 Butongole-Busembatya'!C48)</f>
        <v>5.1428571428571432</v>
      </c>
      <c r="D48" s="49">
        <f>AVERAGE('17.10 Butongole-Busembatya'!D48,'18.10 Butongole-Busembatya'!D48,'20.10 Butongole-Busembatya'!D48,'22.10 Butongole-Busembatya'!D48,'19.10 Busembatya-Butongole 24h'!D48,'21.10 -Butongole-Bsembatya-24h'!D48,'23.10 Butongole-Busembatya'!D48)</f>
        <v>1.5714285714285714</v>
      </c>
      <c r="E48" s="49">
        <f>AVERAGE('17.10 Butongole-Busembatya'!E48,'18.10 Butongole-Busembatya'!E48,'20.10 Butongole-Busembatya'!E48,'22.10 Butongole-Busembatya'!E48,'19.10 Busembatya-Butongole 24h'!E48,'21.10 -Butongole-Bsembatya-24h'!E48,'23.10 Butongole-Busembatya'!E48)</f>
        <v>2.1428571428571428</v>
      </c>
      <c r="F48" s="49">
        <f>AVERAGE('17.10 Butongole-Busembatya'!F48,'18.10 Butongole-Busembatya'!F48,'20.10 Butongole-Busembatya'!F48,'22.10 Butongole-Busembatya'!F48,'19.10 Busembatya-Butongole 24h'!F48,'21.10 -Butongole-Bsembatya-24h'!F48,'23.10 Butongole-Busembatya'!F48)</f>
        <v>8.4285714285714288</v>
      </c>
      <c r="G48" s="49">
        <f>AVERAGE('17.10 Butongole-Busembatya'!G48,'18.10 Butongole-Busembatya'!G48,'20.10 Butongole-Busembatya'!G48,'22.10 Butongole-Busembatya'!G48,'19.10 Busembatya-Butongole 24h'!G48,'21.10 -Butongole-Bsembatya-24h'!G48,'23.10 Butongole-Busembatya'!G48)</f>
        <v>0.2857142857142857</v>
      </c>
      <c r="H48" s="49">
        <f>AVERAGE('17.10 Butongole-Busembatya'!H48,'18.10 Butongole-Busembatya'!H48,'20.10 Butongole-Busembatya'!H48,'22.10 Butongole-Busembatya'!H48,'19.10 Busembatya-Butongole 24h'!H48,'21.10 -Butongole-Bsembatya-24h'!H48,'23.10 Butongole-Busembatya'!H48)</f>
        <v>0.42857142857142855</v>
      </c>
      <c r="I48" s="49">
        <f>AVERAGE('17.10 Butongole-Busembatya'!I48,'18.10 Butongole-Busembatya'!I48,'20.10 Butongole-Busembatya'!I48,'22.10 Butongole-Busembatya'!I48,'19.10 Busembatya-Butongole 24h'!I48,'21.10 -Butongole-Bsembatya-24h'!I48,'23.10 Butongole-Busembatya'!I48)</f>
        <v>0.7142857142857143</v>
      </c>
      <c r="J48" s="49">
        <f>AVERAGE('17.10 Butongole-Busembatya'!J48,'18.10 Butongole-Busembatya'!J48,'20.10 Butongole-Busembatya'!J48,'22.10 Butongole-Busembatya'!J48,'19.10 Busembatya-Butongole 24h'!J48,'21.10 -Butongole-Bsembatya-24h'!J48,'23.10 Butongole-Busembatya'!J48)</f>
        <v>1.8571428571428572</v>
      </c>
      <c r="K48" s="49">
        <f>AVERAGE('17.10 Butongole-Busembatya'!K48,'18.10 Butongole-Busembatya'!K48,'20.10 Butongole-Busembatya'!K48,'22.10 Butongole-Busembatya'!K48,'19.10 Busembatya-Butongole 24h'!K48,'21.10 -Butongole-Bsembatya-24h'!K48,'23.10 Butongole-Busembatya'!K48)</f>
        <v>1</v>
      </c>
      <c r="L48" s="49">
        <f>AVERAGE('17.10 Butongole-Busembatya'!L48,'18.10 Butongole-Busembatya'!L48,'20.10 Butongole-Busembatya'!L48,'22.10 Butongole-Busembatya'!L48,'19.10 Busembatya-Butongole 24h'!L48,'21.10 -Butongole-Bsembatya-24h'!L48,'23.10 Butongole-Busembatya'!L48)</f>
        <v>0.42857142857142855</v>
      </c>
      <c r="M48" s="49">
        <f>AVERAGE('17.10 Butongole-Busembatya'!M48,'18.10 Butongole-Busembatya'!M48,'20.10 Butongole-Busembatya'!M48,'22.10 Butongole-Busembatya'!M48,'19.10 Busembatya-Butongole 24h'!M48,'21.10 -Butongole-Bsembatya-24h'!M48,'23.10 Butongole-Busembatya'!M48)</f>
        <v>13</v>
      </c>
      <c r="N48" s="49">
        <f>AVERAGE('17.10 Butongole-Busembatya'!N48,'18.10 Butongole-Busembatya'!N48,'20.10 Butongole-Busembatya'!N48,'22.10 Butongole-Busembatya'!N48,'19.10 Busembatya-Butongole 24h'!N48,'21.10 -Butongole-Bsembatya-24h'!N48,'23.10 Butongole-Busembatya'!N48)</f>
        <v>0</v>
      </c>
      <c r="O48" s="15">
        <f t="shared" si="0"/>
        <v>21.999999999999996</v>
      </c>
      <c r="P48" s="15">
        <f t="shared" si="1"/>
        <v>35</v>
      </c>
      <c r="R48" s="8"/>
      <c r="T48"/>
    </row>
    <row r="49" spans="2:20" ht="23.1" customHeight="1" x14ac:dyDescent="0.25">
      <c r="B49" s="23" t="s">
        <v>76</v>
      </c>
      <c r="C49" s="49">
        <f>AVERAGE('17.10 Butongole-Busembatya'!C49,'18.10 Butongole-Busembatya'!C49,'20.10 Butongole-Busembatya'!C49,'22.10 Butongole-Busembatya'!C49,'19.10 Busembatya-Butongole 24h'!C49,'21.10 -Butongole-Bsembatya-24h'!C49,'23.10 Butongole-Busembatya'!C49)</f>
        <v>4.5714285714285712</v>
      </c>
      <c r="D49" s="49">
        <f>AVERAGE('17.10 Butongole-Busembatya'!D49,'18.10 Butongole-Busembatya'!D49,'20.10 Butongole-Busembatya'!D49,'22.10 Butongole-Busembatya'!D49,'19.10 Busembatya-Butongole 24h'!D49,'21.10 -Butongole-Bsembatya-24h'!D49,'23.10 Butongole-Busembatya'!D49)</f>
        <v>1.1428571428571428</v>
      </c>
      <c r="E49" s="49">
        <f>AVERAGE('17.10 Butongole-Busembatya'!E49,'18.10 Butongole-Busembatya'!E49,'20.10 Butongole-Busembatya'!E49,'22.10 Butongole-Busembatya'!E49,'19.10 Busembatya-Butongole 24h'!E49,'21.10 -Butongole-Bsembatya-24h'!E49,'23.10 Butongole-Busembatya'!E49)</f>
        <v>4.2857142857142856</v>
      </c>
      <c r="F49" s="49">
        <f>AVERAGE('17.10 Butongole-Busembatya'!F49,'18.10 Butongole-Busembatya'!F49,'20.10 Butongole-Busembatya'!F49,'22.10 Butongole-Busembatya'!F49,'19.10 Busembatya-Butongole 24h'!F49,'21.10 -Butongole-Bsembatya-24h'!F49,'23.10 Butongole-Busembatya'!F49)</f>
        <v>10.142857142857142</v>
      </c>
      <c r="G49" s="49">
        <f>AVERAGE('17.10 Butongole-Busembatya'!G49,'18.10 Butongole-Busembatya'!G49,'20.10 Butongole-Busembatya'!G49,'22.10 Butongole-Busembatya'!G49,'19.10 Busembatya-Butongole 24h'!G49,'21.10 -Butongole-Bsembatya-24h'!G49,'23.10 Butongole-Busembatya'!G49)</f>
        <v>0.7142857142857143</v>
      </c>
      <c r="H49" s="49">
        <f>AVERAGE('17.10 Butongole-Busembatya'!H49,'18.10 Butongole-Busembatya'!H49,'20.10 Butongole-Busembatya'!H49,'22.10 Butongole-Busembatya'!H49,'19.10 Busembatya-Butongole 24h'!H49,'21.10 -Butongole-Bsembatya-24h'!H49,'23.10 Butongole-Busembatya'!H49)</f>
        <v>0.42857142857142855</v>
      </c>
      <c r="I49" s="49">
        <f>AVERAGE('17.10 Butongole-Busembatya'!I49,'18.10 Butongole-Busembatya'!I49,'20.10 Butongole-Busembatya'!I49,'22.10 Butongole-Busembatya'!I49,'19.10 Busembatya-Butongole 24h'!I49,'21.10 -Butongole-Bsembatya-24h'!I49,'23.10 Butongole-Busembatya'!I49)</f>
        <v>0.7142857142857143</v>
      </c>
      <c r="J49" s="49">
        <f>AVERAGE('17.10 Butongole-Busembatya'!J49,'18.10 Butongole-Busembatya'!J49,'20.10 Butongole-Busembatya'!J49,'22.10 Butongole-Busembatya'!J49,'19.10 Busembatya-Butongole 24h'!J49,'21.10 -Butongole-Bsembatya-24h'!J49,'23.10 Butongole-Busembatya'!J49)</f>
        <v>1.1428571428571428</v>
      </c>
      <c r="K49" s="49">
        <f>AVERAGE('17.10 Butongole-Busembatya'!K49,'18.10 Butongole-Busembatya'!K49,'20.10 Butongole-Busembatya'!K49,'22.10 Butongole-Busembatya'!K49,'19.10 Busembatya-Butongole 24h'!K49,'21.10 -Butongole-Bsembatya-24h'!K49,'23.10 Butongole-Busembatya'!K49)</f>
        <v>1.5714285714285714</v>
      </c>
      <c r="L49" s="49">
        <f>AVERAGE('17.10 Butongole-Busembatya'!L49,'18.10 Butongole-Busembatya'!L49,'20.10 Butongole-Busembatya'!L49,'22.10 Butongole-Busembatya'!L49,'19.10 Busembatya-Butongole 24h'!L49,'21.10 -Butongole-Bsembatya-24h'!L49,'23.10 Butongole-Busembatya'!L49)</f>
        <v>0.8571428571428571</v>
      </c>
      <c r="M49" s="49">
        <f>AVERAGE('17.10 Butongole-Busembatya'!M49,'18.10 Butongole-Busembatya'!M49,'20.10 Butongole-Busembatya'!M49,'22.10 Butongole-Busembatya'!M49,'19.10 Busembatya-Butongole 24h'!M49,'21.10 -Butongole-Bsembatya-24h'!M49,'23.10 Butongole-Busembatya'!M49)</f>
        <v>12.142857142857142</v>
      </c>
      <c r="N49" s="49">
        <f>AVERAGE('17.10 Butongole-Busembatya'!N49,'18.10 Butongole-Busembatya'!N49,'20.10 Butongole-Busembatya'!N49,'22.10 Butongole-Busembatya'!N49,'19.10 Busembatya-Butongole 24h'!N49,'21.10 -Butongole-Bsembatya-24h'!N49,'23.10 Butongole-Busembatya'!N49)</f>
        <v>0</v>
      </c>
      <c r="O49" s="15">
        <f t="shared" si="0"/>
        <v>25.571428571428573</v>
      </c>
      <c r="P49" s="15">
        <f t="shared" si="1"/>
        <v>37.714285714285715</v>
      </c>
      <c r="R49" s="8"/>
      <c r="T49"/>
    </row>
    <row r="50" spans="2:20" ht="23.1" customHeight="1" x14ac:dyDescent="0.25">
      <c r="B50" s="24" t="s">
        <v>77</v>
      </c>
      <c r="C50" s="49">
        <f>AVERAGE('17.10 Butongole-Busembatya'!C50,'18.10 Butongole-Busembatya'!C50,'20.10 Butongole-Busembatya'!C50,'22.10 Butongole-Busembatya'!C50,'19.10 Busembatya-Butongole 24h'!C50,'21.10 -Butongole-Bsembatya-24h'!C50,'23.10 Butongole-Busembatya'!C50)</f>
        <v>2.7142857142857144</v>
      </c>
      <c r="D50" s="49">
        <f>AVERAGE('17.10 Butongole-Busembatya'!D50,'18.10 Butongole-Busembatya'!D50,'20.10 Butongole-Busembatya'!D50,'22.10 Butongole-Busembatya'!D50,'19.10 Busembatya-Butongole 24h'!D50,'21.10 -Butongole-Bsembatya-24h'!D50,'23.10 Butongole-Busembatya'!D50)</f>
        <v>3.1428571428571428</v>
      </c>
      <c r="E50" s="49">
        <f>AVERAGE('17.10 Butongole-Busembatya'!E50,'18.10 Butongole-Busembatya'!E50,'20.10 Butongole-Busembatya'!E50,'22.10 Butongole-Busembatya'!E50,'19.10 Busembatya-Butongole 24h'!E50,'21.10 -Butongole-Bsembatya-24h'!E50,'23.10 Butongole-Busembatya'!E50)</f>
        <v>2.4285714285714284</v>
      </c>
      <c r="F50" s="49">
        <f>AVERAGE('17.10 Butongole-Busembatya'!F50,'18.10 Butongole-Busembatya'!F50,'20.10 Butongole-Busembatya'!F50,'22.10 Butongole-Busembatya'!F50,'19.10 Busembatya-Butongole 24h'!F50,'21.10 -Butongole-Bsembatya-24h'!F50,'23.10 Butongole-Busembatya'!F50)</f>
        <v>9.1428571428571423</v>
      </c>
      <c r="G50" s="49">
        <f>AVERAGE('17.10 Butongole-Busembatya'!G50,'18.10 Butongole-Busembatya'!G50,'20.10 Butongole-Busembatya'!G50,'22.10 Butongole-Busembatya'!G50,'19.10 Busembatya-Butongole 24h'!G50,'21.10 -Butongole-Bsembatya-24h'!G50,'23.10 Butongole-Busembatya'!G50)</f>
        <v>0</v>
      </c>
      <c r="H50" s="49">
        <f>AVERAGE('17.10 Butongole-Busembatya'!H50,'18.10 Butongole-Busembatya'!H50,'20.10 Butongole-Busembatya'!H50,'22.10 Butongole-Busembatya'!H50,'19.10 Busembatya-Butongole 24h'!H50,'21.10 -Butongole-Bsembatya-24h'!H50,'23.10 Butongole-Busembatya'!H50)</f>
        <v>0.5714285714285714</v>
      </c>
      <c r="I50" s="49">
        <f>AVERAGE('17.10 Butongole-Busembatya'!I50,'18.10 Butongole-Busembatya'!I50,'20.10 Butongole-Busembatya'!I50,'22.10 Butongole-Busembatya'!I50,'19.10 Busembatya-Butongole 24h'!I50,'21.10 -Butongole-Bsembatya-24h'!I50,'23.10 Butongole-Busembatya'!I50)</f>
        <v>1.5714285714285714</v>
      </c>
      <c r="J50" s="49">
        <f>AVERAGE('17.10 Butongole-Busembatya'!J50,'18.10 Butongole-Busembatya'!J50,'20.10 Butongole-Busembatya'!J50,'22.10 Butongole-Busembatya'!J50,'19.10 Busembatya-Butongole 24h'!J50,'21.10 -Butongole-Bsembatya-24h'!J50,'23.10 Butongole-Busembatya'!J50)</f>
        <v>0.8571428571428571</v>
      </c>
      <c r="K50" s="49">
        <f>AVERAGE('17.10 Butongole-Busembatya'!K50,'18.10 Butongole-Busembatya'!K50,'20.10 Butongole-Busembatya'!K50,'22.10 Butongole-Busembatya'!K50,'19.10 Busembatya-Butongole 24h'!K50,'21.10 -Butongole-Bsembatya-24h'!K50,'23.10 Butongole-Busembatya'!K50)</f>
        <v>1.5714285714285714</v>
      </c>
      <c r="L50" s="49">
        <f>AVERAGE('17.10 Butongole-Busembatya'!L50,'18.10 Butongole-Busembatya'!L50,'20.10 Butongole-Busembatya'!L50,'22.10 Butongole-Busembatya'!L50,'19.10 Busembatya-Butongole 24h'!L50,'21.10 -Butongole-Bsembatya-24h'!L50,'23.10 Butongole-Busembatya'!L50)</f>
        <v>1</v>
      </c>
      <c r="M50" s="49">
        <f>AVERAGE('17.10 Butongole-Busembatya'!M50,'18.10 Butongole-Busembatya'!M50,'20.10 Butongole-Busembatya'!M50,'22.10 Butongole-Busembatya'!M50,'19.10 Busembatya-Butongole 24h'!M50,'21.10 -Butongole-Bsembatya-24h'!M50,'23.10 Butongole-Busembatya'!M50)</f>
        <v>10.857142857142858</v>
      </c>
      <c r="N50" s="49">
        <f>AVERAGE('17.10 Butongole-Busembatya'!N50,'18.10 Butongole-Busembatya'!N50,'20.10 Butongole-Busembatya'!N50,'22.10 Butongole-Busembatya'!N50,'19.10 Busembatya-Butongole 24h'!N50,'21.10 -Butongole-Bsembatya-24h'!N50,'23.10 Butongole-Busembatya'!N50)</f>
        <v>0.14285714285714285</v>
      </c>
      <c r="O50" s="15">
        <f t="shared" si="0"/>
        <v>23.142857142857149</v>
      </c>
      <c r="P50" s="15">
        <f t="shared" si="1"/>
        <v>34.000000000000007</v>
      </c>
      <c r="R50" s="8"/>
      <c r="T50"/>
    </row>
    <row r="51" spans="2:20" ht="23.1" customHeight="1" x14ac:dyDescent="0.25">
      <c r="B51" s="24" t="s">
        <v>78</v>
      </c>
      <c r="C51" s="49">
        <f>AVERAGE('17.10 Butongole-Busembatya'!C51,'18.10 Butongole-Busembatya'!C51,'20.10 Butongole-Busembatya'!C51,'22.10 Butongole-Busembatya'!C51,'19.10 Busembatya-Butongole 24h'!C51,'21.10 -Butongole-Bsembatya-24h'!C51,'23.10 Butongole-Busembatya'!C51)</f>
        <v>4.1428571428571432</v>
      </c>
      <c r="D51" s="49">
        <f>AVERAGE('17.10 Butongole-Busembatya'!D51,'18.10 Butongole-Busembatya'!D51,'20.10 Butongole-Busembatya'!D51,'22.10 Butongole-Busembatya'!D51,'19.10 Busembatya-Butongole 24h'!D51,'21.10 -Butongole-Bsembatya-24h'!D51,'23.10 Butongole-Busembatya'!D51)</f>
        <v>3.5714285714285716</v>
      </c>
      <c r="E51" s="49">
        <f>AVERAGE('17.10 Butongole-Busembatya'!E51,'18.10 Butongole-Busembatya'!E51,'20.10 Butongole-Busembatya'!E51,'22.10 Butongole-Busembatya'!E51,'19.10 Busembatya-Butongole 24h'!E51,'21.10 -Butongole-Bsembatya-24h'!E51,'23.10 Butongole-Busembatya'!E51)</f>
        <v>2.1428571428571428</v>
      </c>
      <c r="F51" s="49">
        <f>AVERAGE('17.10 Butongole-Busembatya'!F51,'18.10 Butongole-Busembatya'!F51,'20.10 Butongole-Busembatya'!F51,'22.10 Butongole-Busembatya'!F51,'19.10 Busembatya-Butongole 24h'!F51,'21.10 -Butongole-Bsembatya-24h'!F51,'23.10 Butongole-Busembatya'!F51)</f>
        <v>12</v>
      </c>
      <c r="G51" s="49">
        <f>AVERAGE('17.10 Butongole-Busembatya'!G51,'18.10 Butongole-Busembatya'!G51,'20.10 Butongole-Busembatya'!G51,'22.10 Butongole-Busembatya'!G51,'19.10 Busembatya-Butongole 24h'!G51,'21.10 -Butongole-Bsembatya-24h'!G51,'23.10 Butongole-Busembatya'!G51)</f>
        <v>0.14285714285714285</v>
      </c>
      <c r="H51" s="49">
        <f>AVERAGE('17.10 Butongole-Busembatya'!H51,'18.10 Butongole-Busembatya'!H51,'20.10 Butongole-Busembatya'!H51,'22.10 Butongole-Busembatya'!H51,'19.10 Busembatya-Butongole 24h'!H51,'21.10 -Butongole-Bsembatya-24h'!H51,'23.10 Butongole-Busembatya'!H51)</f>
        <v>0.5714285714285714</v>
      </c>
      <c r="I51" s="49">
        <f>AVERAGE('17.10 Butongole-Busembatya'!I51,'18.10 Butongole-Busembatya'!I51,'20.10 Butongole-Busembatya'!I51,'22.10 Butongole-Busembatya'!I51,'19.10 Busembatya-Butongole 24h'!I51,'21.10 -Butongole-Bsembatya-24h'!I51,'23.10 Butongole-Busembatya'!I51)</f>
        <v>1.1428571428571428</v>
      </c>
      <c r="J51" s="49">
        <f>AVERAGE('17.10 Butongole-Busembatya'!J51,'18.10 Butongole-Busembatya'!J51,'20.10 Butongole-Busembatya'!J51,'22.10 Butongole-Busembatya'!J51,'19.10 Busembatya-Butongole 24h'!J51,'21.10 -Butongole-Bsembatya-24h'!J51,'23.10 Butongole-Busembatya'!J51)</f>
        <v>2.4285714285714284</v>
      </c>
      <c r="K51" s="49">
        <f>AVERAGE('17.10 Butongole-Busembatya'!K51,'18.10 Butongole-Busembatya'!K51,'20.10 Butongole-Busembatya'!K51,'22.10 Butongole-Busembatya'!K51,'19.10 Busembatya-Butongole 24h'!K51,'21.10 -Butongole-Bsembatya-24h'!K51,'23.10 Butongole-Busembatya'!K51)</f>
        <v>0.5714285714285714</v>
      </c>
      <c r="L51" s="49">
        <f>AVERAGE('17.10 Butongole-Busembatya'!L51,'18.10 Butongole-Busembatya'!L51,'20.10 Butongole-Busembatya'!L51,'22.10 Butongole-Busembatya'!L51,'19.10 Busembatya-Butongole 24h'!L51,'21.10 -Butongole-Bsembatya-24h'!L51,'23.10 Butongole-Busembatya'!L51)</f>
        <v>0.42857142857142855</v>
      </c>
      <c r="M51" s="49">
        <f>AVERAGE('17.10 Butongole-Busembatya'!M51,'18.10 Butongole-Busembatya'!M51,'20.10 Butongole-Busembatya'!M51,'22.10 Butongole-Busembatya'!M51,'19.10 Busembatya-Butongole 24h'!M51,'21.10 -Butongole-Bsembatya-24h'!M51,'23.10 Butongole-Busembatya'!M51)</f>
        <v>15.142857142857142</v>
      </c>
      <c r="N51" s="49">
        <f>AVERAGE('17.10 Butongole-Busembatya'!N51,'18.10 Butongole-Busembatya'!N51,'20.10 Butongole-Busembatya'!N51,'22.10 Butongole-Busembatya'!N51,'19.10 Busembatya-Butongole 24h'!N51,'21.10 -Butongole-Bsembatya-24h'!N51,'23.10 Butongole-Busembatya'!N51)</f>
        <v>0</v>
      </c>
      <c r="O51" s="15">
        <f t="shared" si="0"/>
        <v>27.142857142857142</v>
      </c>
      <c r="P51" s="15">
        <f t="shared" si="1"/>
        <v>42.285714285714285</v>
      </c>
      <c r="R51" s="8"/>
      <c r="T51"/>
    </row>
    <row r="52" spans="2:20" ht="23.1" customHeight="1" x14ac:dyDescent="0.25">
      <c r="B52" s="24" t="s">
        <v>79</v>
      </c>
      <c r="C52" s="49">
        <f>AVERAGE('17.10 Butongole-Busembatya'!C52,'18.10 Butongole-Busembatya'!C52,'20.10 Butongole-Busembatya'!C52,'22.10 Butongole-Busembatya'!C52,'19.10 Busembatya-Butongole 24h'!C52,'21.10 -Butongole-Bsembatya-24h'!C52,'23.10 Butongole-Busembatya'!C52)</f>
        <v>4.7142857142857144</v>
      </c>
      <c r="D52" s="49">
        <f>AVERAGE('17.10 Butongole-Busembatya'!D52,'18.10 Butongole-Busembatya'!D52,'20.10 Butongole-Busembatya'!D52,'22.10 Butongole-Busembatya'!D52,'19.10 Busembatya-Butongole 24h'!D52,'21.10 -Butongole-Bsembatya-24h'!D52,'23.10 Butongole-Busembatya'!D52)</f>
        <v>2.2857142857142856</v>
      </c>
      <c r="E52" s="49">
        <f>AVERAGE('17.10 Butongole-Busembatya'!E52,'18.10 Butongole-Busembatya'!E52,'20.10 Butongole-Busembatya'!E52,'22.10 Butongole-Busembatya'!E52,'19.10 Busembatya-Butongole 24h'!E52,'21.10 -Butongole-Bsembatya-24h'!E52,'23.10 Butongole-Busembatya'!E52)</f>
        <v>2.5714285714285716</v>
      </c>
      <c r="F52" s="49">
        <f>AVERAGE('17.10 Butongole-Busembatya'!F52,'18.10 Butongole-Busembatya'!F52,'20.10 Butongole-Busembatya'!F52,'22.10 Butongole-Busembatya'!F52,'19.10 Busembatya-Butongole 24h'!F52,'21.10 -Butongole-Bsembatya-24h'!F52,'23.10 Butongole-Busembatya'!F52)</f>
        <v>11.428571428571429</v>
      </c>
      <c r="G52" s="49">
        <f>AVERAGE('17.10 Butongole-Busembatya'!G52,'18.10 Butongole-Busembatya'!G52,'20.10 Butongole-Busembatya'!G52,'22.10 Butongole-Busembatya'!G52,'19.10 Busembatya-Butongole 24h'!G52,'21.10 -Butongole-Bsembatya-24h'!G52,'23.10 Butongole-Busembatya'!G52)</f>
        <v>0</v>
      </c>
      <c r="H52" s="49">
        <f>AVERAGE('17.10 Butongole-Busembatya'!H52,'18.10 Butongole-Busembatya'!H52,'20.10 Butongole-Busembatya'!H52,'22.10 Butongole-Busembatya'!H52,'19.10 Busembatya-Butongole 24h'!H52,'21.10 -Butongole-Bsembatya-24h'!H52,'23.10 Butongole-Busembatya'!H52)</f>
        <v>0.5714285714285714</v>
      </c>
      <c r="I52" s="49">
        <f>AVERAGE('17.10 Butongole-Busembatya'!I52,'18.10 Butongole-Busembatya'!I52,'20.10 Butongole-Busembatya'!I52,'22.10 Butongole-Busembatya'!I52,'19.10 Busembatya-Butongole 24h'!I52,'21.10 -Butongole-Bsembatya-24h'!I52,'23.10 Butongole-Busembatya'!I52)</f>
        <v>1.7142857142857142</v>
      </c>
      <c r="J52" s="49">
        <f>AVERAGE('17.10 Butongole-Busembatya'!J52,'18.10 Butongole-Busembatya'!J52,'20.10 Butongole-Busembatya'!J52,'22.10 Butongole-Busembatya'!J52,'19.10 Busembatya-Butongole 24h'!J52,'21.10 -Butongole-Bsembatya-24h'!J52,'23.10 Butongole-Busembatya'!J52)</f>
        <v>1.7142857142857142</v>
      </c>
      <c r="K52" s="49">
        <f>AVERAGE('17.10 Butongole-Busembatya'!K52,'18.10 Butongole-Busembatya'!K52,'20.10 Butongole-Busembatya'!K52,'22.10 Butongole-Busembatya'!K52,'19.10 Busembatya-Butongole 24h'!K52,'21.10 -Butongole-Bsembatya-24h'!K52,'23.10 Butongole-Busembatya'!K52)</f>
        <v>0.7142857142857143</v>
      </c>
      <c r="L52" s="49">
        <f>AVERAGE('17.10 Butongole-Busembatya'!L52,'18.10 Butongole-Busembatya'!L52,'20.10 Butongole-Busembatya'!L52,'22.10 Butongole-Busembatya'!L52,'19.10 Busembatya-Butongole 24h'!L52,'21.10 -Butongole-Bsembatya-24h'!L52,'23.10 Butongole-Busembatya'!L52)</f>
        <v>0.7142857142857143</v>
      </c>
      <c r="M52" s="49">
        <f>AVERAGE('17.10 Butongole-Busembatya'!M52,'18.10 Butongole-Busembatya'!M52,'20.10 Butongole-Busembatya'!M52,'22.10 Butongole-Busembatya'!M52,'19.10 Busembatya-Butongole 24h'!M52,'21.10 -Butongole-Bsembatya-24h'!M52,'23.10 Butongole-Busembatya'!M52)</f>
        <v>15.142857142857142</v>
      </c>
      <c r="N52" s="49">
        <f>AVERAGE('17.10 Butongole-Busembatya'!N52,'18.10 Butongole-Busembatya'!N52,'20.10 Butongole-Busembatya'!N52,'22.10 Butongole-Busembatya'!N52,'19.10 Busembatya-Butongole 24h'!N52,'21.10 -Butongole-Bsembatya-24h'!N52,'23.10 Butongole-Busembatya'!N52)</f>
        <v>0</v>
      </c>
      <c r="O52" s="15">
        <f t="shared" si="0"/>
        <v>26.428571428571434</v>
      </c>
      <c r="P52" s="15">
        <f t="shared" si="1"/>
        <v>41.571428571428577</v>
      </c>
      <c r="R52" s="8"/>
      <c r="T52"/>
    </row>
    <row r="53" spans="2:20" ht="23.1" customHeight="1" x14ac:dyDescent="0.25">
      <c r="B53" s="23" t="s">
        <v>80</v>
      </c>
      <c r="C53" s="49">
        <f>AVERAGE('17.10 Butongole-Busembatya'!C53,'18.10 Butongole-Busembatya'!C53,'20.10 Butongole-Busembatya'!C53,'22.10 Butongole-Busembatya'!C53,'19.10 Busembatya-Butongole 24h'!C53,'21.10 -Butongole-Bsembatya-24h'!C53,'23.10 Butongole-Busembatya'!C53)</f>
        <v>5.2857142857142856</v>
      </c>
      <c r="D53" s="49">
        <f>AVERAGE('17.10 Butongole-Busembatya'!D53,'18.10 Butongole-Busembatya'!D53,'20.10 Butongole-Busembatya'!D53,'22.10 Butongole-Busembatya'!D53,'19.10 Busembatya-Butongole 24h'!D53,'21.10 -Butongole-Bsembatya-24h'!D53,'23.10 Butongole-Busembatya'!D53)</f>
        <v>1.7142857142857142</v>
      </c>
      <c r="E53" s="49">
        <f>AVERAGE('17.10 Butongole-Busembatya'!E53,'18.10 Butongole-Busembatya'!E53,'20.10 Butongole-Busembatya'!E53,'22.10 Butongole-Busembatya'!E53,'19.10 Busembatya-Butongole 24h'!E53,'21.10 -Butongole-Bsembatya-24h'!E53,'23.10 Butongole-Busembatya'!E53)</f>
        <v>2.7142857142857144</v>
      </c>
      <c r="F53" s="49">
        <f>AVERAGE('17.10 Butongole-Busembatya'!F53,'18.10 Butongole-Busembatya'!F53,'20.10 Butongole-Busembatya'!F53,'22.10 Butongole-Busembatya'!F53,'19.10 Busembatya-Butongole 24h'!F53,'21.10 -Butongole-Bsembatya-24h'!F53,'23.10 Butongole-Busembatya'!F53)</f>
        <v>7.4285714285714288</v>
      </c>
      <c r="G53" s="49">
        <f>AVERAGE('17.10 Butongole-Busembatya'!G53,'18.10 Butongole-Busembatya'!G53,'20.10 Butongole-Busembatya'!G53,'22.10 Butongole-Busembatya'!G53,'19.10 Busembatya-Butongole 24h'!G53,'21.10 -Butongole-Bsembatya-24h'!G53,'23.10 Butongole-Busembatya'!G53)</f>
        <v>0.14285714285714285</v>
      </c>
      <c r="H53" s="49">
        <f>AVERAGE('17.10 Butongole-Busembatya'!H53,'18.10 Butongole-Busembatya'!H53,'20.10 Butongole-Busembatya'!H53,'22.10 Butongole-Busembatya'!H53,'19.10 Busembatya-Butongole 24h'!H53,'21.10 -Butongole-Bsembatya-24h'!H53,'23.10 Butongole-Busembatya'!H53)</f>
        <v>0.2857142857142857</v>
      </c>
      <c r="I53" s="49">
        <f>AVERAGE('17.10 Butongole-Busembatya'!I53,'18.10 Butongole-Busembatya'!I53,'20.10 Butongole-Busembatya'!I53,'22.10 Butongole-Busembatya'!I53,'19.10 Busembatya-Butongole 24h'!I53,'21.10 -Butongole-Bsembatya-24h'!I53,'23.10 Butongole-Busembatya'!I53)</f>
        <v>2.1428571428571428</v>
      </c>
      <c r="J53" s="49">
        <f>AVERAGE('17.10 Butongole-Busembatya'!J53,'18.10 Butongole-Busembatya'!J53,'20.10 Butongole-Busembatya'!J53,'22.10 Butongole-Busembatya'!J53,'19.10 Busembatya-Butongole 24h'!J53,'21.10 -Butongole-Bsembatya-24h'!J53,'23.10 Butongole-Busembatya'!J53)</f>
        <v>1</v>
      </c>
      <c r="K53" s="49">
        <f>AVERAGE('17.10 Butongole-Busembatya'!K53,'18.10 Butongole-Busembatya'!K53,'20.10 Butongole-Busembatya'!K53,'22.10 Butongole-Busembatya'!K53,'19.10 Busembatya-Butongole 24h'!K53,'21.10 -Butongole-Bsembatya-24h'!K53,'23.10 Butongole-Busembatya'!K53)</f>
        <v>1</v>
      </c>
      <c r="L53" s="49">
        <f>AVERAGE('17.10 Butongole-Busembatya'!L53,'18.10 Butongole-Busembatya'!L53,'20.10 Butongole-Busembatya'!L53,'22.10 Butongole-Busembatya'!L53,'19.10 Busembatya-Butongole 24h'!L53,'21.10 -Butongole-Bsembatya-24h'!L53,'23.10 Butongole-Busembatya'!L53)</f>
        <v>0.2857142857142857</v>
      </c>
      <c r="M53" s="49">
        <f>AVERAGE('17.10 Butongole-Busembatya'!M53,'18.10 Butongole-Busembatya'!M53,'20.10 Butongole-Busembatya'!M53,'22.10 Butongole-Busembatya'!M53,'19.10 Busembatya-Butongole 24h'!M53,'21.10 -Butongole-Bsembatya-24h'!M53,'23.10 Butongole-Busembatya'!M53)</f>
        <v>13</v>
      </c>
      <c r="N53" s="49">
        <f>AVERAGE('17.10 Butongole-Busembatya'!N53,'18.10 Butongole-Busembatya'!N53,'20.10 Butongole-Busembatya'!N53,'22.10 Butongole-Busembatya'!N53,'19.10 Busembatya-Butongole 24h'!N53,'21.10 -Butongole-Bsembatya-24h'!N53,'23.10 Butongole-Busembatya'!N53)</f>
        <v>0</v>
      </c>
      <c r="O53" s="15">
        <f t="shared" si="0"/>
        <v>22</v>
      </c>
      <c r="P53" s="15">
        <f t="shared" si="1"/>
        <v>35</v>
      </c>
      <c r="R53" s="8"/>
      <c r="T53"/>
    </row>
    <row r="54" spans="2:20" ht="23.1" customHeight="1" x14ac:dyDescent="0.25">
      <c r="B54" s="23" t="s">
        <v>81</v>
      </c>
      <c r="C54" s="49">
        <f>AVERAGE('17.10 Butongole-Busembatya'!C54,'18.10 Butongole-Busembatya'!C54,'20.10 Butongole-Busembatya'!C54,'22.10 Butongole-Busembatya'!C54,'19.10 Busembatya-Butongole 24h'!C54,'21.10 -Butongole-Bsembatya-24h'!C54,'23.10 Butongole-Busembatya'!C54)</f>
        <v>5.5714285714285712</v>
      </c>
      <c r="D54" s="49">
        <f>AVERAGE('17.10 Butongole-Busembatya'!D54,'18.10 Butongole-Busembatya'!D54,'20.10 Butongole-Busembatya'!D54,'22.10 Butongole-Busembatya'!D54,'19.10 Busembatya-Butongole 24h'!D54,'21.10 -Butongole-Bsembatya-24h'!D54,'23.10 Butongole-Busembatya'!D54)</f>
        <v>1.5714285714285714</v>
      </c>
      <c r="E54" s="49">
        <f>AVERAGE('17.10 Butongole-Busembatya'!E54,'18.10 Butongole-Busembatya'!E54,'20.10 Butongole-Busembatya'!E54,'22.10 Butongole-Busembatya'!E54,'19.10 Busembatya-Butongole 24h'!E54,'21.10 -Butongole-Bsembatya-24h'!E54,'23.10 Butongole-Busembatya'!E54)</f>
        <v>2.1428571428571428</v>
      </c>
      <c r="F54" s="49">
        <f>AVERAGE('17.10 Butongole-Busembatya'!F54,'18.10 Butongole-Busembatya'!F54,'20.10 Butongole-Busembatya'!F54,'22.10 Butongole-Busembatya'!F54,'19.10 Busembatya-Butongole 24h'!F54,'21.10 -Butongole-Bsembatya-24h'!F54,'23.10 Butongole-Busembatya'!F54)</f>
        <v>9.2857142857142865</v>
      </c>
      <c r="G54" s="49">
        <f>AVERAGE('17.10 Butongole-Busembatya'!G54,'18.10 Butongole-Busembatya'!G54,'20.10 Butongole-Busembatya'!G54,'22.10 Butongole-Busembatya'!G54,'19.10 Busembatya-Butongole 24h'!G54,'21.10 -Butongole-Bsembatya-24h'!G54,'23.10 Butongole-Busembatya'!G54)</f>
        <v>0.42857142857142855</v>
      </c>
      <c r="H54" s="49">
        <f>AVERAGE('17.10 Butongole-Busembatya'!H54,'18.10 Butongole-Busembatya'!H54,'20.10 Butongole-Busembatya'!H54,'22.10 Butongole-Busembatya'!H54,'19.10 Busembatya-Butongole 24h'!H54,'21.10 -Butongole-Bsembatya-24h'!H54,'23.10 Butongole-Busembatya'!H54)</f>
        <v>0.5714285714285714</v>
      </c>
      <c r="I54" s="49">
        <f>AVERAGE('17.10 Butongole-Busembatya'!I54,'18.10 Butongole-Busembatya'!I54,'20.10 Butongole-Busembatya'!I54,'22.10 Butongole-Busembatya'!I54,'19.10 Busembatya-Butongole 24h'!I54,'21.10 -Butongole-Bsembatya-24h'!I54,'23.10 Butongole-Busembatya'!I54)</f>
        <v>0.8571428571428571</v>
      </c>
      <c r="J54" s="49">
        <f>AVERAGE('17.10 Butongole-Busembatya'!J54,'18.10 Butongole-Busembatya'!J54,'20.10 Butongole-Busembatya'!J54,'22.10 Butongole-Busembatya'!J54,'19.10 Busembatya-Butongole 24h'!J54,'21.10 -Butongole-Bsembatya-24h'!J54,'23.10 Butongole-Busembatya'!J54)</f>
        <v>2.7142857142857144</v>
      </c>
      <c r="K54" s="49">
        <f>AVERAGE('17.10 Butongole-Busembatya'!K54,'18.10 Butongole-Busembatya'!K54,'20.10 Butongole-Busembatya'!K54,'22.10 Butongole-Busembatya'!K54,'19.10 Busembatya-Butongole 24h'!K54,'21.10 -Butongole-Bsembatya-24h'!K54,'23.10 Butongole-Busembatya'!K54)</f>
        <v>0.5714285714285714</v>
      </c>
      <c r="L54" s="49">
        <f>AVERAGE('17.10 Butongole-Busembatya'!L54,'18.10 Butongole-Busembatya'!L54,'20.10 Butongole-Busembatya'!L54,'22.10 Butongole-Busembatya'!L54,'19.10 Busembatya-Butongole 24h'!L54,'21.10 -Butongole-Bsembatya-24h'!L54,'23.10 Butongole-Busembatya'!L54)</f>
        <v>0.42857142857142855</v>
      </c>
      <c r="M54" s="49">
        <f>AVERAGE('17.10 Butongole-Busembatya'!M54,'18.10 Butongole-Busembatya'!M54,'20.10 Butongole-Busembatya'!M54,'22.10 Butongole-Busembatya'!M54,'19.10 Busembatya-Butongole 24h'!M54,'21.10 -Butongole-Bsembatya-24h'!M54,'23.10 Butongole-Busembatya'!M54)</f>
        <v>11</v>
      </c>
      <c r="N54" s="49">
        <f>AVERAGE('17.10 Butongole-Busembatya'!N54,'18.10 Butongole-Busembatya'!N54,'20.10 Butongole-Busembatya'!N54,'22.10 Butongole-Busembatya'!N54,'19.10 Busembatya-Butongole 24h'!N54,'21.10 -Butongole-Bsembatya-24h'!N54,'23.10 Butongole-Busembatya'!N54)</f>
        <v>0</v>
      </c>
      <c r="O54" s="15">
        <f t="shared" si="0"/>
        <v>24.142857142857142</v>
      </c>
      <c r="P54" s="15">
        <f t="shared" si="1"/>
        <v>35.142857142857139</v>
      </c>
      <c r="R54" s="8"/>
      <c r="T54"/>
    </row>
    <row r="55" spans="2:20" ht="23.1" customHeight="1" x14ac:dyDescent="0.25">
      <c r="B55" s="23" t="s">
        <v>82</v>
      </c>
      <c r="C55" s="49">
        <f>AVERAGE('17.10 Butongole-Busembatya'!C55,'18.10 Butongole-Busembatya'!C55,'20.10 Butongole-Busembatya'!C55,'22.10 Butongole-Busembatya'!C55,'19.10 Busembatya-Butongole 24h'!C55,'21.10 -Butongole-Bsembatya-24h'!C55,'23.10 Butongole-Busembatya'!C55)</f>
        <v>5.2857142857142856</v>
      </c>
      <c r="D55" s="49">
        <f>AVERAGE('17.10 Butongole-Busembatya'!D55,'18.10 Butongole-Busembatya'!D55,'20.10 Butongole-Busembatya'!D55,'22.10 Butongole-Busembatya'!D55,'19.10 Busembatya-Butongole 24h'!D55,'21.10 -Butongole-Bsembatya-24h'!D55,'23.10 Butongole-Busembatya'!D55)</f>
        <v>1.8571428571428572</v>
      </c>
      <c r="E55" s="49">
        <f>AVERAGE('17.10 Butongole-Busembatya'!E55,'18.10 Butongole-Busembatya'!E55,'20.10 Butongole-Busembatya'!E55,'22.10 Butongole-Busembatya'!E55,'19.10 Busembatya-Butongole 24h'!E55,'21.10 -Butongole-Bsembatya-24h'!E55,'23.10 Butongole-Busembatya'!E55)</f>
        <v>3</v>
      </c>
      <c r="F55" s="49">
        <f>AVERAGE('17.10 Butongole-Busembatya'!F55,'18.10 Butongole-Busembatya'!F55,'20.10 Butongole-Busembatya'!F55,'22.10 Butongole-Busembatya'!F55,'19.10 Busembatya-Butongole 24h'!F55,'21.10 -Butongole-Bsembatya-24h'!F55,'23.10 Butongole-Busembatya'!F55)</f>
        <v>9.4285714285714288</v>
      </c>
      <c r="G55" s="49">
        <f>AVERAGE('17.10 Butongole-Busembatya'!G55,'18.10 Butongole-Busembatya'!G55,'20.10 Butongole-Busembatya'!G55,'22.10 Butongole-Busembatya'!G55,'19.10 Busembatya-Butongole 24h'!G55,'21.10 -Butongole-Bsembatya-24h'!G55,'23.10 Butongole-Busembatya'!G55)</f>
        <v>0</v>
      </c>
      <c r="H55" s="49">
        <f>AVERAGE('17.10 Butongole-Busembatya'!H55,'18.10 Butongole-Busembatya'!H55,'20.10 Butongole-Busembatya'!H55,'22.10 Butongole-Busembatya'!H55,'19.10 Busembatya-Butongole 24h'!H55,'21.10 -Butongole-Bsembatya-24h'!H55,'23.10 Butongole-Busembatya'!H55)</f>
        <v>0</v>
      </c>
      <c r="I55" s="49">
        <f>AVERAGE('17.10 Butongole-Busembatya'!I55,'18.10 Butongole-Busembatya'!I55,'20.10 Butongole-Busembatya'!I55,'22.10 Butongole-Busembatya'!I55,'19.10 Busembatya-Butongole 24h'!I55,'21.10 -Butongole-Bsembatya-24h'!I55,'23.10 Butongole-Busembatya'!I55)</f>
        <v>0.7142857142857143</v>
      </c>
      <c r="J55" s="49">
        <f>AVERAGE('17.10 Butongole-Busembatya'!J55,'18.10 Butongole-Busembatya'!J55,'20.10 Butongole-Busembatya'!J55,'22.10 Butongole-Busembatya'!J55,'19.10 Busembatya-Butongole 24h'!J55,'21.10 -Butongole-Bsembatya-24h'!J55,'23.10 Butongole-Busembatya'!J55)</f>
        <v>2</v>
      </c>
      <c r="K55" s="49">
        <f>AVERAGE('17.10 Butongole-Busembatya'!K55,'18.10 Butongole-Busembatya'!K55,'20.10 Butongole-Busembatya'!K55,'22.10 Butongole-Busembatya'!K55,'19.10 Busembatya-Butongole 24h'!K55,'21.10 -Butongole-Bsembatya-24h'!K55,'23.10 Butongole-Busembatya'!K55)</f>
        <v>1.4285714285714286</v>
      </c>
      <c r="L55" s="49">
        <f>AVERAGE('17.10 Butongole-Busembatya'!L55,'18.10 Butongole-Busembatya'!L55,'20.10 Butongole-Busembatya'!L55,'22.10 Butongole-Busembatya'!L55,'19.10 Busembatya-Butongole 24h'!L55,'21.10 -Butongole-Bsembatya-24h'!L55,'23.10 Butongole-Busembatya'!L55)</f>
        <v>0.42857142857142855</v>
      </c>
      <c r="M55" s="49">
        <f>AVERAGE('17.10 Butongole-Busembatya'!M55,'18.10 Butongole-Busembatya'!M55,'20.10 Butongole-Busembatya'!M55,'22.10 Butongole-Busembatya'!M55,'19.10 Busembatya-Butongole 24h'!M55,'21.10 -Butongole-Bsembatya-24h'!M55,'23.10 Butongole-Busembatya'!M55)</f>
        <v>14.571428571428571</v>
      </c>
      <c r="N55" s="49">
        <f>AVERAGE('17.10 Butongole-Busembatya'!N55,'18.10 Butongole-Busembatya'!N55,'20.10 Butongole-Busembatya'!N55,'22.10 Butongole-Busembatya'!N55,'19.10 Busembatya-Butongole 24h'!N55,'21.10 -Butongole-Bsembatya-24h'!N55,'23.10 Butongole-Busembatya'!N55)</f>
        <v>0</v>
      </c>
      <c r="O55" s="15">
        <f t="shared" si="0"/>
        <v>24.142857142857139</v>
      </c>
      <c r="P55" s="15">
        <f t="shared" si="1"/>
        <v>38.714285714285708</v>
      </c>
      <c r="R55" s="8"/>
      <c r="T55"/>
    </row>
    <row r="56" spans="2:20" ht="23.1" customHeight="1" x14ac:dyDescent="0.25">
      <c r="B56" s="23" t="s">
        <v>83</v>
      </c>
      <c r="C56" s="49">
        <f>AVERAGE('17.10 Butongole-Busembatya'!C56,'18.10 Butongole-Busembatya'!C56,'20.10 Butongole-Busembatya'!C56,'22.10 Butongole-Busembatya'!C56,'19.10 Busembatya-Butongole 24h'!C56,'21.10 -Butongole-Bsembatya-24h'!C56,'23.10 Butongole-Busembatya'!C56)</f>
        <v>4.4285714285714288</v>
      </c>
      <c r="D56" s="49">
        <f>AVERAGE('17.10 Butongole-Busembatya'!D56,'18.10 Butongole-Busembatya'!D56,'20.10 Butongole-Busembatya'!D56,'22.10 Butongole-Busembatya'!D56,'19.10 Busembatya-Butongole 24h'!D56,'21.10 -Butongole-Bsembatya-24h'!D56,'23.10 Butongole-Busembatya'!D56)</f>
        <v>3</v>
      </c>
      <c r="E56" s="49">
        <f>AVERAGE('17.10 Butongole-Busembatya'!E56,'18.10 Butongole-Busembatya'!E56,'20.10 Butongole-Busembatya'!E56,'22.10 Butongole-Busembatya'!E56,'19.10 Busembatya-Butongole 24h'!E56,'21.10 -Butongole-Bsembatya-24h'!E56,'23.10 Butongole-Busembatya'!E56)</f>
        <v>3.1428571428571428</v>
      </c>
      <c r="F56" s="49">
        <f>AVERAGE('17.10 Butongole-Busembatya'!F56,'18.10 Butongole-Busembatya'!F56,'20.10 Butongole-Busembatya'!F56,'22.10 Butongole-Busembatya'!F56,'19.10 Busembatya-Butongole 24h'!F56,'21.10 -Butongole-Bsembatya-24h'!F56,'23.10 Butongole-Busembatya'!F56)</f>
        <v>8.2857142857142865</v>
      </c>
      <c r="G56" s="49">
        <f>AVERAGE('17.10 Butongole-Busembatya'!G56,'18.10 Butongole-Busembatya'!G56,'20.10 Butongole-Busembatya'!G56,'22.10 Butongole-Busembatya'!G56,'19.10 Busembatya-Butongole 24h'!G56,'21.10 -Butongole-Bsembatya-24h'!G56,'23.10 Butongole-Busembatya'!G56)</f>
        <v>0.8571428571428571</v>
      </c>
      <c r="H56" s="49">
        <f>AVERAGE('17.10 Butongole-Busembatya'!H56,'18.10 Butongole-Busembatya'!H56,'20.10 Butongole-Busembatya'!H56,'22.10 Butongole-Busembatya'!H56,'19.10 Busembatya-Butongole 24h'!H56,'21.10 -Butongole-Bsembatya-24h'!H56,'23.10 Butongole-Busembatya'!H56)</f>
        <v>0.2857142857142857</v>
      </c>
      <c r="I56" s="49">
        <f>AVERAGE('17.10 Butongole-Busembatya'!I56,'18.10 Butongole-Busembatya'!I56,'20.10 Butongole-Busembatya'!I56,'22.10 Butongole-Busembatya'!I56,'19.10 Busembatya-Butongole 24h'!I56,'21.10 -Butongole-Bsembatya-24h'!I56,'23.10 Butongole-Busembatya'!I56)</f>
        <v>1.8571428571428572</v>
      </c>
      <c r="J56" s="49">
        <f>AVERAGE('17.10 Butongole-Busembatya'!J56,'18.10 Butongole-Busembatya'!J56,'20.10 Butongole-Busembatya'!J56,'22.10 Butongole-Busembatya'!J56,'19.10 Busembatya-Butongole 24h'!J56,'21.10 -Butongole-Bsembatya-24h'!J56,'23.10 Butongole-Busembatya'!J56)</f>
        <v>0.7142857142857143</v>
      </c>
      <c r="K56" s="49">
        <f>AVERAGE('17.10 Butongole-Busembatya'!K56,'18.10 Butongole-Busembatya'!K56,'20.10 Butongole-Busembatya'!K56,'22.10 Butongole-Busembatya'!K56,'19.10 Busembatya-Butongole 24h'!K56,'21.10 -Butongole-Bsembatya-24h'!K56,'23.10 Butongole-Busembatya'!K56)</f>
        <v>0.14285714285714285</v>
      </c>
      <c r="L56" s="49">
        <f>AVERAGE('17.10 Butongole-Busembatya'!L56,'18.10 Butongole-Busembatya'!L56,'20.10 Butongole-Busembatya'!L56,'22.10 Butongole-Busembatya'!L56,'19.10 Busembatya-Butongole 24h'!L56,'21.10 -Butongole-Bsembatya-24h'!L56,'23.10 Butongole-Busembatya'!L56)</f>
        <v>0</v>
      </c>
      <c r="M56" s="49">
        <f>AVERAGE('17.10 Butongole-Busembatya'!M56,'18.10 Butongole-Busembatya'!M56,'20.10 Butongole-Busembatya'!M56,'22.10 Butongole-Busembatya'!M56,'19.10 Busembatya-Butongole 24h'!M56,'21.10 -Butongole-Bsembatya-24h'!M56,'23.10 Butongole-Busembatya'!M56)</f>
        <v>14</v>
      </c>
      <c r="N56" s="49">
        <f>AVERAGE('17.10 Butongole-Busembatya'!N56,'18.10 Butongole-Busembatya'!N56,'20.10 Butongole-Busembatya'!N56,'22.10 Butongole-Busembatya'!N56,'19.10 Busembatya-Butongole 24h'!N56,'21.10 -Butongole-Bsembatya-24h'!N56,'23.10 Butongole-Busembatya'!N56)</f>
        <v>0</v>
      </c>
      <c r="O56" s="15">
        <f t="shared" si="0"/>
        <v>22.714285714285715</v>
      </c>
      <c r="P56" s="15">
        <f t="shared" si="1"/>
        <v>36.714285714285715</v>
      </c>
      <c r="R56" s="8"/>
      <c r="T56"/>
    </row>
    <row r="57" spans="2:20" ht="23.1" customHeight="1" x14ac:dyDescent="0.25">
      <c r="B57" s="23" t="s">
        <v>84</v>
      </c>
      <c r="C57" s="49">
        <f>AVERAGE('17.10 Butongole-Busembatya'!C57,'18.10 Butongole-Busembatya'!C57,'20.10 Butongole-Busembatya'!C57,'22.10 Butongole-Busembatya'!C57,'19.10 Busembatya-Butongole 24h'!C57,'21.10 -Butongole-Bsembatya-24h'!C57,'23.10 Butongole-Busembatya'!C57)</f>
        <v>5.2857142857142856</v>
      </c>
      <c r="D57" s="49">
        <f>AVERAGE('17.10 Butongole-Busembatya'!D57,'18.10 Butongole-Busembatya'!D57,'20.10 Butongole-Busembatya'!D57,'22.10 Butongole-Busembatya'!D57,'19.10 Busembatya-Butongole 24h'!D57,'21.10 -Butongole-Bsembatya-24h'!D57,'23.10 Butongole-Busembatya'!D57)</f>
        <v>1.8571428571428572</v>
      </c>
      <c r="E57" s="49">
        <f>AVERAGE('17.10 Butongole-Busembatya'!E57,'18.10 Butongole-Busembatya'!E57,'20.10 Butongole-Busembatya'!E57,'22.10 Butongole-Busembatya'!E57,'19.10 Busembatya-Butongole 24h'!E57,'21.10 -Butongole-Bsembatya-24h'!E57,'23.10 Butongole-Busembatya'!E57)</f>
        <v>2.7142857142857144</v>
      </c>
      <c r="F57" s="49">
        <f>AVERAGE('17.10 Butongole-Busembatya'!F57,'18.10 Butongole-Busembatya'!F57,'20.10 Butongole-Busembatya'!F57,'22.10 Butongole-Busembatya'!F57,'19.10 Busembatya-Butongole 24h'!F57,'21.10 -Butongole-Bsembatya-24h'!F57,'23.10 Butongole-Busembatya'!F57)</f>
        <v>8.8571428571428577</v>
      </c>
      <c r="G57" s="49">
        <f>AVERAGE('17.10 Butongole-Busembatya'!G57,'18.10 Butongole-Busembatya'!G57,'20.10 Butongole-Busembatya'!G57,'22.10 Butongole-Busembatya'!G57,'19.10 Busembatya-Butongole 24h'!G57,'21.10 -Butongole-Bsembatya-24h'!G57,'23.10 Butongole-Busembatya'!G57)</f>
        <v>0</v>
      </c>
      <c r="H57" s="49">
        <f>AVERAGE('17.10 Butongole-Busembatya'!H57,'18.10 Butongole-Busembatya'!H57,'20.10 Butongole-Busembatya'!H57,'22.10 Butongole-Busembatya'!H57,'19.10 Busembatya-Butongole 24h'!H57,'21.10 -Butongole-Bsembatya-24h'!H57,'23.10 Butongole-Busembatya'!H57)</f>
        <v>0.5714285714285714</v>
      </c>
      <c r="I57" s="49">
        <f>AVERAGE('17.10 Butongole-Busembatya'!I57,'18.10 Butongole-Busembatya'!I57,'20.10 Butongole-Busembatya'!I57,'22.10 Butongole-Busembatya'!I57,'19.10 Busembatya-Butongole 24h'!I57,'21.10 -Butongole-Bsembatya-24h'!I57,'23.10 Butongole-Busembatya'!I57)</f>
        <v>1.1428571428571428</v>
      </c>
      <c r="J57" s="49">
        <f>AVERAGE('17.10 Butongole-Busembatya'!J57,'18.10 Butongole-Busembatya'!J57,'20.10 Butongole-Busembatya'!J57,'22.10 Butongole-Busembatya'!J57,'19.10 Busembatya-Butongole 24h'!J57,'21.10 -Butongole-Bsembatya-24h'!J57,'23.10 Butongole-Busembatya'!J57)</f>
        <v>1.4285714285714286</v>
      </c>
      <c r="K57" s="49">
        <f>AVERAGE('17.10 Butongole-Busembatya'!K57,'18.10 Butongole-Busembatya'!K57,'20.10 Butongole-Busembatya'!K57,'22.10 Butongole-Busembatya'!K57,'19.10 Busembatya-Butongole 24h'!K57,'21.10 -Butongole-Bsembatya-24h'!K57,'23.10 Butongole-Busembatya'!K57)</f>
        <v>0.42857142857142855</v>
      </c>
      <c r="L57" s="49">
        <f>AVERAGE('17.10 Butongole-Busembatya'!L57,'18.10 Butongole-Busembatya'!L57,'20.10 Butongole-Busembatya'!L57,'22.10 Butongole-Busembatya'!L57,'19.10 Busembatya-Butongole 24h'!L57,'21.10 -Butongole-Bsembatya-24h'!L57,'23.10 Butongole-Busembatya'!L57)</f>
        <v>0.7142857142857143</v>
      </c>
      <c r="M57" s="49">
        <f>AVERAGE('17.10 Butongole-Busembatya'!M57,'18.10 Butongole-Busembatya'!M57,'20.10 Butongole-Busembatya'!M57,'22.10 Butongole-Busembatya'!M57,'19.10 Busembatya-Butongole 24h'!M57,'21.10 -Butongole-Bsembatya-24h'!M57,'23.10 Butongole-Busembatya'!M57)</f>
        <v>17.142857142857142</v>
      </c>
      <c r="N57" s="49">
        <f>AVERAGE('17.10 Butongole-Busembatya'!N57,'18.10 Butongole-Busembatya'!N57,'20.10 Butongole-Busembatya'!N57,'22.10 Butongole-Busembatya'!N57,'19.10 Busembatya-Butongole 24h'!N57,'21.10 -Butongole-Bsembatya-24h'!N57,'23.10 Butongole-Busembatya'!N57)</f>
        <v>0</v>
      </c>
      <c r="O57" s="15">
        <f t="shared" si="0"/>
        <v>23</v>
      </c>
      <c r="P57" s="15">
        <f t="shared" si="1"/>
        <v>40.142857142857139</v>
      </c>
      <c r="R57" s="8"/>
      <c r="T57"/>
    </row>
    <row r="58" spans="2:20" ht="23.1" customHeight="1" x14ac:dyDescent="0.25">
      <c r="B58" s="23" t="s">
        <v>99</v>
      </c>
      <c r="C58" s="49">
        <f>AVERAGE('21.10 -Butongole-Bsembatya-24h'!C58,'19.10 Butongole-Busembatya-24h'!C58)</f>
        <v>3.5</v>
      </c>
      <c r="D58" s="49">
        <f>AVERAGE('21.10 -Butongole-Bsembatya-24h'!D58,'19.10 Butongole-Busembatya-24h'!D58)</f>
        <v>0.5</v>
      </c>
      <c r="E58" s="49">
        <f>AVERAGE('21.10 -Butongole-Bsembatya-24h'!E58,'19.10 Butongole-Busembatya-24h'!E58)</f>
        <v>2.5</v>
      </c>
      <c r="F58" s="49">
        <f>AVERAGE('21.10 -Butongole-Bsembatya-24h'!F58,'19.10 Butongole-Busembatya-24h'!F58)</f>
        <v>8</v>
      </c>
      <c r="G58" s="49">
        <f>AVERAGE('21.10 -Butongole-Bsembatya-24h'!G58,'19.10 Butongole-Busembatya-24h'!G58)</f>
        <v>0</v>
      </c>
      <c r="H58" s="49">
        <f>AVERAGE('21.10 -Butongole-Bsembatya-24h'!H58,'19.10 Butongole-Busembatya-24h'!H58)</f>
        <v>0.5</v>
      </c>
      <c r="I58" s="49">
        <f>AVERAGE('21.10 -Butongole-Bsembatya-24h'!I58,'19.10 Butongole-Busembatya-24h'!I58)</f>
        <v>3</v>
      </c>
      <c r="J58" s="49">
        <f>AVERAGE('21.10 -Butongole-Bsembatya-24h'!J58,'19.10 Butongole-Busembatya-24h'!J58)</f>
        <v>1</v>
      </c>
      <c r="K58" s="49">
        <f>AVERAGE('21.10 -Butongole-Bsembatya-24h'!K58,'19.10 Butongole-Busembatya-24h'!K58)</f>
        <v>0.5</v>
      </c>
      <c r="L58" s="49">
        <f>AVERAGE('21.10 -Butongole-Bsembatya-24h'!L58,'19.10 Butongole-Busembatya-24h'!L58)</f>
        <v>0</v>
      </c>
      <c r="M58" s="49">
        <f>AVERAGE('21.10 -Butongole-Bsembatya-24h'!M58,'19.10 Butongole-Busembatya-24h'!M58)</f>
        <v>11.5</v>
      </c>
      <c r="N58" s="49">
        <f>AVERAGE('21.10 -Butongole-Bsembatya-24h'!N58,'19.10 Butongole-Busembatya-24h'!N58)</f>
        <v>0</v>
      </c>
      <c r="O58" s="15">
        <f t="shared" si="0"/>
        <v>19.5</v>
      </c>
      <c r="P58" s="15">
        <f t="shared" si="1"/>
        <v>31</v>
      </c>
      <c r="R58" s="8"/>
      <c r="T58"/>
    </row>
    <row r="59" spans="2:20" ht="23.1" customHeight="1" x14ac:dyDescent="0.25">
      <c r="B59" s="23" t="s">
        <v>100</v>
      </c>
      <c r="C59" s="49">
        <f>AVERAGE('21.10 -Butongole-Bsembatya-24h'!C59,'19.10 Butongole-Busembatya-24h'!C59)</f>
        <v>5.5</v>
      </c>
      <c r="D59" s="49">
        <f>AVERAGE('21.10 -Butongole-Bsembatya-24h'!D59,'19.10 Butongole-Busembatya-24h'!D59)</f>
        <v>1</v>
      </c>
      <c r="E59" s="49">
        <f>AVERAGE('21.10 -Butongole-Bsembatya-24h'!E59,'19.10 Butongole-Busembatya-24h'!E59)</f>
        <v>2</v>
      </c>
      <c r="F59" s="49">
        <f>AVERAGE('21.10 -Butongole-Bsembatya-24h'!F59,'19.10 Butongole-Busembatya-24h'!F59)</f>
        <v>8</v>
      </c>
      <c r="G59" s="49">
        <f>AVERAGE('21.10 -Butongole-Bsembatya-24h'!G59,'19.10 Butongole-Busembatya-24h'!G59)</f>
        <v>0.5</v>
      </c>
      <c r="H59" s="49">
        <f>AVERAGE('21.10 -Butongole-Bsembatya-24h'!H59,'19.10 Butongole-Busembatya-24h'!H59)</f>
        <v>0.5</v>
      </c>
      <c r="I59" s="49">
        <f>AVERAGE('21.10 -Butongole-Bsembatya-24h'!I59,'19.10 Butongole-Busembatya-24h'!I59)</f>
        <v>3</v>
      </c>
      <c r="J59" s="49">
        <f>AVERAGE('21.10 -Butongole-Bsembatya-24h'!J59,'19.10 Butongole-Busembatya-24h'!J59)</f>
        <v>0</v>
      </c>
      <c r="K59" s="49">
        <f>AVERAGE('21.10 -Butongole-Bsembatya-24h'!K59,'19.10 Butongole-Busembatya-24h'!K59)</f>
        <v>0.5</v>
      </c>
      <c r="L59" s="49">
        <f>AVERAGE('21.10 -Butongole-Bsembatya-24h'!L59,'19.10 Butongole-Busembatya-24h'!L59)</f>
        <v>0.5</v>
      </c>
      <c r="M59" s="49">
        <f>AVERAGE('21.10 -Butongole-Bsembatya-24h'!M59,'19.10 Butongole-Busembatya-24h'!M59)</f>
        <v>15.5</v>
      </c>
      <c r="N59" s="49">
        <f>AVERAGE('21.10 -Butongole-Bsembatya-24h'!N59,'19.10 Butongole-Busembatya-24h'!N59)</f>
        <v>0</v>
      </c>
      <c r="O59" s="15">
        <f t="shared" si="0"/>
        <v>21.5</v>
      </c>
      <c r="P59" s="15">
        <f t="shared" si="1"/>
        <v>37</v>
      </c>
      <c r="R59" s="8"/>
      <c r="T59"/>
    </row>
    <row r="60" spans="2:20" ht="23.1" customHeight="1" x14ac:dyDescent="0.25">
      <c r="B60" s="23" t="s">
        <v>101</v>
      </c>
      <c r="C60" s="49">
        <f>AVERAGE('21.10 -Butongole-Bsembatya-24h'!C60,'19.10 Butongole-Busembatya-24h'!C60)</f>
        <v>3.5</v>
      </c>
      <c r="D60" s="49">
        <f>AVERAGE('21.10 -Butongole-Bsembatya-24h'!D60,'19.10 Butongole-Busembatya-24h'!D60)</f>
        <v>2.5</v>
      </c>
      <c r="E60" s="49">
        <f>AVERAGE('21.10 -Butongole-Bsembatya-24h'!E60,'19.10 Butongole-Busembatya-24h'!E60)</f>
        <v>2</v>
      </c>
      <c r="F60" s="49">
        <f>AVERAGE('21.10 -Butongole-Bsembatya-24h'!F60,'19.10 Butongole-Busembatya-24h'!F60)</f>
        <v>4.5</v>
      </c>
      <c r="G60" s="49">
        <f>AVERAGE('21.10 -Butongole-Bsembatya-24h'!G60,'19.10 Butongole-Busembatya-24h'!G60)</f>
        <v>0.5</v>
      </c>
      <c r="H60" s="49">
        <f>AVERAGE('21.10 -Butongole-Bsembatya-24h'!H60,'19.10 Butongole-Busembatya-24h'!H60)</f>
        <v>0.5</v>
      </c>
      <c r="I60" s="49">
        <f>AVERAGE('21.10 -Butongole-Bsembatya-24h'!I60,'19.10 Butongole-Busembatya-24h'!I60)</f>
        <v>3.5</v>
      </c>
      <c r="J60" s="49">
        <f>AVERAGE('21.10 -Butongole-Bsembatya-24h'!J60,'19.10 Butongole-Busembatya-24h'!J60)</f>
        <v>0</v>
      </c>
      <c r="K60" s="49">
        <f>AVERAGE('21.10 -Butongole-Bsembatya-24h'!K60,'19.10 Butongole-Busembatya-24h'!K60)</f>
        <v>1.5</v>
      </c>
      <c r="L60" s="49">
        <f>AVERAGE('21.10 -Butongole-Bsembatya-24h'!L60,'19.10 Butongole-Busembatya-24h'!L60)</f>
        <v>0.5</v>
      </c>
      <c r="M60" s="49">
        <f>AVERAGE('21.10 -Butongole-Bsembatya-24h'!M60,'19.10 Butongole-Busembatya-24h'!M60)</f>
        <v>11</v>
      </c>
      <c r="N60" s="49">
        <f>AVERAGE('21.10 -Butongole-Bsembatya-24h'!N60,'19.10 Butongole-Busembatya-24h'!N60)</f>
        <v>0</v>
      </c>
      <c r="O60" s="15">
        <f t="shared" si="0"/>
        <v>19</v>
      </c>
      <c r="P60" s="15">
        <f t="shared" si="1"/>
        <v>30</v>
      </c>
      <c r="R60" s="8"/>
      <c r="T60"/>
    </row>
    <row r="61" spans="2:20" ht="23.1" customHeight="1" x14ac:dyDescent="0.25">
      <c r="B61" s="23" t="s">
        <v>102</v>
      </c>
      <c r="C61" s="49">
        <f>AVERAGE('21.10 -Butongole-Bsembatya-24h'!C61,'19.10 Butongole-Busembatya-24h'!C61)</f>
        <v>5</v>
      </c>
      <c r="D61" s="49">
        <f>AVERAGE('21.10 -Butongole-Bsembatya-24h'!D61,'19.10 Butongole-Busembatya-24h'!D61)</f>
        <v>2.5</v>
      </c>
      <c r="E61" s="49">
        <f>AVERAGE('21.10 -Butongole-Bsembatya-24h'!E61,'19.10 Butongole-Busembatya-24h'!E61)</f>
        <v>2</v>
      </c>
      <c r="F61" s="49">
        <f>AVERAGE('21.10 -Butongole-Bsembatya-24h'!F61,'19.10 Butongole-Busembatya-24h'!F61)</f>
        <v>9.5</v>
      </c>
      <c r="G61" s="49">
        <f>AVERAGE('21.10 -Butongole-Bsembatya-24h'!G61,'19.10 Butongole-Busembatya-24h'!G61)</f>
        <v>0</v>
      </c>
      <c r="H61" s="49">
        <f>AVERAGE('21.10 -Butongole-Bsembatya-24h'!H61,'19.10 Butongole-Busembatya-24h'!H61)</f>
        <v>1.5</v>
      </c>
      <c r="I61" s="49">
        <f>AVERAGE('21.10 -Butongole-Bsembatya-24h'!I61,'19.10 Butongole-Busembatya-24h'!I61)</f>
        <v>3</v>
      </c>
      <c r="J61" s="49">
        <f>AVERAGE('21.10 -Butongole-Bsembatya-24h'!J61,'19.10 Butongole-Busembatya-24h'!J61)</f>
        <v>0</v>
      </c>
      <c r="K61" s="49">
        <f>AVERAGE('21.10 -Butongole-Bsembatya-24h'!K61,'19.10 Butongole-Busembatya-24h'!K61)</f>
        <v>0</v>
      </c>
      <c r="L61" s="49">
        <f>AVERAGE('21.10 -Butongole-Bsembatya-24h'!L61,'19.10 Butongole-Busembatya-24h'!L61)</f>
        <v>0</v>
      </c>
      <c r="M61" s="49">
        <f>AVERAGE('21.10 -Butongole-Bsembatya-24h'!M61,'19.10 Butongole-Busembatya-24h'!M61)</f>
        <v>16.5</v>
      </c>
      <c r="N61" s="49">
        <f>AVERAGE('21.10 -Butongole-Bsembatya-24h'!N61,'19.10 Butongole-Busembatya-24h'!N61)</f>
        <v>0</v>
      </c>
      <c r="O61" s="15">
        <f t="shared" si="0"/>
        <v>23.5</v>
      </c>
      <c r="P61" s="15">
        <f t="shared" si="1"/>
        <v>40</v>
      </c>
      <c r="R61" s="8"/>
      <c r="T61"/>
    </row>
    <row r="62" spans="2:20" ht="23.1" customHeight="1" x14ac:dyDescent="0.25">
      <c r="B62" s="23" t="s">
        <v>107</v>
      </c>
      <c r="C62" s="49">
        <f>AVERAGE('21.10 -Butongole-Bsembatya-24h'!C62,'19.10 Butongole-Busembatya-24h'!C62)</f>
        <v>2.5</v>
      </c>
      <c r="D62" s="49">
        <f>AVERAGE('21.10 -Butongole-Bsembatya-24h'!D62,'19.10 Butongole-Busembatya-24h'!D62)</f>
        <v>2.5</v>
      </c>
      <c r="E62" s="49">
        <f>AVERAGE('21.10 -Butongole-Bsembatya-24h'!E62,'19.10 Butongole-Busembatya-24h'!E62)</f>
        <v>1.5</v>
      </c>
      <c r="F62" s="49">
        <f>AVERAGE('21.10 -Butongole-Bsembatya-24h'!F62,'19.10 Butongole-Busembatya-24h'!F62)</f>
        <v>9</v>
      </c>
      <c r="G62" s="49">
        <f>AVERAGE('21.10 -Butongole-Bsembatya-24h'!G62,'19.10 Butongole-Busembatya-24h'!G62)</f>
        <v>0</v>
      </c>
      <c r="H62" s="49">
        <f>AVERAGE('21.10 -Butongole-Bsembatya-24h'!H62,'19.10 Butongole-Busembatya-24h'!H62)</f>
        <v>0</v>
      </c>
      <c r="I62" s="49">
        <f>AVERAGE('21.10 -Butongole-Bsembatya-24h'!I62,'19.10 Butongole-Busembatya-24h'!I62)</f>
        <v>1.5</v>
      </c>
      <c r="J62" s="49">
        <f>AVERAGE('21.10 -Butongole-Bsembatya-24h'!J62,'19.10 Butongole-Busembatya-24h'!J62)</f>
        <v>0</v>
      </c>
      <c r="K62" s="49">
        <f>AVERAGE('21.10 -Butongole-Bsembatya-24h'!K62,'19.10 Butongole-Busembatya-24h'!K62)</f>
        <v>1.5</v>
      </c>
      <c r="L62" s="49">
        <f>AVERAGE('21.10 -Butongole-Bsembatya-24h'!L62,'19.10 Butongole-Busembatya-24h'!L62)</f>
        <v>0</v>
      </c>
      <c r="M62" s="49">
        <f>AVERAGE('21.10 -Butongole-Bsembatya-24h'!M62,'19.10 Butongole-Busembatya-24h'!M62)</f>
        <v>5.5</v>
      </c>
      <c r="N62" s="49">
        <f>AVERAGE('21.10 -Butongole-Bsembatya-24h'!N62,'19.10 Butongole-Busembatya-24h'!N62)</f>
        <v>0</v>
      </c>
      <c r="O62" s="15">
        <f t="shared" si="0"/>
        <v>18.5</v>
      </c>
      <c r="P62" s="15">
        <f t="shared" si="1"/>
        <v>24</v>
      </c>
      <c r="R62" s="8"/>
      <c r="T62"/>
    </row>
    <row r="63" spans="2:20" ht="23.1" customHeight="1" x14ac:dyDescent="0.25">
      <c r="B63" s="23" t="s">
        <v>108</v>
      </c>
      <c r="C63" s="49">
        <f>AVERAGE('21.10 -Butongole-Bsembatya-24h'!C63,'19.10 Butongole-Busembatya-24h'!C63)</f>
        <v>2.5</v>
      </c>
      <c r="D63" s="49">
        <f>AVERAGE('21.10 -Butongole-Bsembatya-24h'!D63,'19.10 Butongole-Busembatya-24h'!D63)</f>
        <v>0.5</v>
      </c>
      <c r="E63" s="49">
        <f>AVERAGE('21.10 -Butongole-Bsembatya-24h'!E63,'19.10 Butongole-Busembatya-24h'!E63)</f>
        <v>0.5</v>
      </c>
      <c r="F63" s="49">
        <f>AVERAGE('21.10 -Butongole-Bsembatya-24h'!F63,'19.10 Butongole-Busembatya-24h'!F63)</f>
        <v>6.5</v>
      </c>
      <c r="G63" s="49">
        <f>AVERAGE('21.10 -Butongole-Bsembatya-24h'!G63,'19.10 Butongole-Busembatya-24h'!G63)</f>
        <v>0</v>
      </c>
      <c r="H63" s="49">
        <f>AVERAGE('21.10 -Butongole-Bsembatya-24h'!H63,'19.10 Butongole-Busembatya-24h'!H63)</f>
        <v>0</v>
      </c>
      <c r="I63" s="49">
        <f>AVERAGE('21.10 -Butongole-Bsembatya-24h'!I63,'19.10 Butongole-Busembatya-24h'!I63)</f>
        <v>4</v>
      </c>
      <c r="J63" s="49">
        <f>AVERAGE('21.10 -Butongole-Bsembatya-24h'!J63,'19.10 Butongole-Busembatya-24h'!J63)</f>
        <v>0</v>
      </c>
      <c r="K63" s="49">
        <f>AVERAGE('21.10 -Butongole-Bsembatya-24h'!K63,'19.10 Butongole-Busembatya-24h'!K63)</f>
        <v>0.5</v>
      </c>
      <c r="L63" s="49">
        <f>AVERAGE('21.10 -Butongole-Bsembatya-24h'!L63,'19.10 Butongole-Busembatya-24h'!L63)</f>
        <v>0</v>
      </c>
      <c r="M63" s="49">
        <f>AVERAGE('21.10 -Butongole-Bsembatya-24h'!M63,'19.10 Butongole-Busembatya-24h'!M63)</f>
        <v>4</v>
      </c>
      <c r="N63" s="49">
        <f>AVERAGE('21.10 -Butongole-Bsembatya-24h'!N63,'19.10 Butongole-Busembatya-24h'!N63)</f>
        <v>0</v>
      </c>
      <c r="O63" s="15">
        <f t="shared" si="0"/>
        <v>14.5</v>
      </c>
      <c r="P63" s="15">
        <f t="shared" si="1"/>
        <v>18.5</v>
      </c>
      <c r="R63" s="8"/>
      <c r="T63"/>
    </row>
    <row r="64" spans="2:20" ht="23.1" customHeight="1" x14ac:dyDescent="0.25">
      <c r="B64" s="23" t="s">
        <v>109</v>
      </c>
      <c r="C64" s="49">
        <f>AVERAGE('21.10 -Butongole-Bsembatya-24h'!C64,'19.10 Butongole-Busembatya-24h'!C64)</f>
        <v>2</v>
      </c>
      <c r="D64" s="49">
        <f>AVERAGE('21.10 -Butongole-Bsembatya-24h'!D64,'19.10 Butongole-Busembatya-24h'!D64)</f>
        <v>1</v>
      </c>
      <c r="E64" s="49">
        <f>AVERAGE('21.10 -Butongole-Bsembatya-24h'!E64,'19.10 Butongole-Busembatya-24h'!E64)</f>
        <v>1</v>
      </c>
      <c r="F64" s="49">
        <f>AVERAGE('21.10 -Butongole-Bsembatya-24h'!F64,'19.10 Butongole-Busembatya-24h'!F64)</f>
        <v>5.5</v>
      </c>
      <c r="G64" s="49">
        <f>AVERAGE('21.10 -Butongole-Bsembatya-24h'!G64,'19.10 Butongole-Busembatya-24h'!G64)</f>
        <v>0</v>
      </c>
      <c r="H64" s="49">
        <f>AVERAGE('21.10 -Butongole-Bsembatya-24h'!H64,'19.10 Butongole-Busembatya-24h'!H64)</f>
        <v>0</v>
      </c>
      <c r="I64" s="49">
        <f>AVERAGE('21.10 -Butongole-Bsembatya-24h'!I64,'19.10 Butongole-Busembatya-24h'!I64)</f>
        <v>3.5</v>
      </c>
      <c r="J64" s="49">
        <f>AVERAGE('21.10 -Butongole-Bsembatya-24h'!J64,'19.10 Butongole-Busembatya-24h'!J64)</f>
        <v>0.5</v>
      </c>
      <c r="K64" s="49">
        <f>AVERAGE('21.10 -Butongole-Bsembatya-24h'!K64,'19.10 Butongole-Busembatya-24h'!K64)</f>
        <v>0.5</v>
      </c>
      <c r="L64" s="49">
        <f>AVERAGE('21.10 -Butongole-Bsembatya-24h'!L64,'19.10 Butongole-Busembatya-24h'!L64)</f>
        <v>0</v>
      </c>
      <c r="M64" s="49">
        <f>AVERAGE('21.10 -Butongole-Bsembatya-24h'!M64,'19.10 Butongole-Busembatya-24h'!M64)</f>
        <v>4</v>
      </c>
      <c r="N64" s="49">
        <f>AVERAGE('21.10 -Butongole-Bsembatya-24h'!N64,'19.10 Butongole-Busembatya-24h'!N64)</f>
        <v>0</v>
      </c>
      <c r="O64" s="15">
        <f t="shared" si="0"/>
        <v>14</v>
      </c>
      <c r="P64" s="15">
        <f t="shared" si="1"/>
        <v>18</v>
      </c>
      <c r="R64" s="8"/>
      <c r="T64"/>
    </row>
    <row r="65" spans="2:20" ht="23.1" customHeight="1" x14ac:dyDescent="0.25">
      <c r="B65" s="23" t="s">
        <v>158</v>
      </c>
      <c r="C65" s="49">
        <f>AVERAGE('21.10 -Butongole-Bsembatya-24h'!C65,'19.10 Butongole-Busembatya-24h'!C65)</f>
        <v>3</v>
      </c>
      <c r="D65" s="49">
        <f>AVERAGE('21.10 -Butongole-Bsembatya-24h'!D65,'19.10 Butongole-Busembatya-24h'!D65)</f>
        <v>1.5</v>
      </c>
      <c r="E65" s="49">
        <f>AVERAGE('21.10 -Butongole-Bsembatya-24h'!E65,'19.10 Butongole-Busembatya-24h'!E65)</f>
        <v>1</v>
      </c>
      <c r="F65" s="49">
        <f>AVERAGE('21.10 -Butongole-Bsembatya-24h'!F65,'19.10 Butongole-Busembatya-24h'!F65)</f>
        <v>5</v>
      </c>
      <c r="G65" s="49">
        <f>AVERAGE('21.10 -Butongole-Bsembatya-24h'!G65,'19.10 Butongole-Busembatya-24h'!G65)</f>
        <v>0.5</v>
      </c>
      <c r="H65" s="49">
        <f>AVERAGE('21.10 -Butongole-Bsembatya-24h'!H65,'19.10 Butongole-Busembatya-24h'!H65)</f>
        <v>0</v>
      </c>
      <c r="I65" s="49">
        <f>AVERAGE('21.10 -Butongole-Bsembatya-24h'!I65,'19.10 Butongole-Busembatya-24h'!I65)</f>
        <v>2</v>
      </c>
      <c r="J65" s="49">
        <f>AVERAGE('21.10 -Butongole-Bsembatya-24h'!J65,'19.10 Butongole-Busembatya-24h'!J65)</f>
        <v>0</v>
      </c>
      <c r="K65" s="49">
        <f>AVERAGE('21.10 -Butongole-Bsembatya-24h'!K65,'19.10 Butongole-Busembatya-24h'!K65)</f>
        <v>0.5</v>
      </c>
      <c r="L65" s="49">
        <f>AVERAGE('21.10 -Butongole-Bsembatya-24h'!L65,'19.10 Butongole-Busembatya-24h'!L65)</f>
        <v>0</v>
      </c>
      <c r="M65" s="49">
        <f>AVERAGE('21.10 -Butongole-Bsembatya-24h'!M65,'19.10 Butongole-Busembatya-24h'!M65)</f>
        <v>6</v>
      </c>
      <c r="N65" s="49">
        <f>AVERAGE('21.10 -Butongole-Bsembatya-24h'!N65,'19.10 Butongole-Busembatya-24h'!N65)</f>
        <v>0</v>
      </c>
      <c r="O65" s="15">
        <f t="shared" si="0"/>
        <v>13.5</v>
      </c>
      <c r="P65" s="15">
        <f t="shared" si="1"/>
        <v>19.5</v>
      </c>
      <c r="R65" s="8"/>
      <c r="T65"/>
    </row>
    <row r="66" spans="2:20" ht="23.1" customHeight="1" x14ac:dyDescent="0.25">
      <c r="B66" s="23" t="s">
        <v>103</v>
      </c>
      <c r="C66" s="49">
        <f>AVERAGE('21.10 -Butongole-Bsembatya-24h'!C66,'19.10 Butongole-Busembatya-24h'!C66)</f>
        <v>3.5</v>
      </c>
      <c r="D66" s="49">
        <f>AVERAGE('21.10 -Butongole-Bsembatya-24h'!D66,'19.10 Butongole-Busembatya-24h'!D66)</f>
        <v>1.5</v>
      </c>
      <c r="E66" s="49">
        <f>AVERAGE('21.10 -Butongole-Bsembatya-24h'!E66,'19.10 Butongole-Busembatya-24h'!E66)</f>
        <v>1</v>
      </c>
      <c r="F66" s="49">
        <f>AVERAGE('21.10 -Butongole-Bsembatya-24h'!F66,'19.10 Butongole-Busembatya-24h'!F66)</f>
        <v>5.5</v>
      </c>
      <c r="G66" s="49">
        <f>AVERAGE('21.10 -Butongole-Bsembatya-24h'!G66,'19.10 Butongole-Busembatya-24h'!G66)</f>
        <v>0</v>
      </c>
      <c r="H66" s="49">
        <f>AVERAGE('21.10 -Butongole-Bsembatya-24h'!H66,'19.10 Butongole-Busembatya-24h'!H66)</f>
        <v>0.5</v>
      </c>
      <c r="I66" s="49">
        <f>AVERAGE('21.10 -Butongole-Bsembatya-24h'!I66,'19.10 Butongole-Busembatya-24h'!I66)</f>
        <v>5</v>
      </c>
      <c r="J66" s="49">
        <f>AVERAGE('21.10 -Butongole-Bsembatya-24h'!J66,'19.10 Butongole-Busembatya-24h'!J66)</f>
        <v>0</v>
      </c>
      <c r="K66" s="49">
        <f>AVERAGE('21.10 -Butongole-Bsembatya-24h'!K66,'19.10 Butongole-Busembatya-24h'!K66)</f>
        <v>0</v>
      </c>
      <c r="L66" s="49">
        <f>AVERAGE('21.10 -Butongole-Bsembatya-24h'!L66,'19.10 Butongole-Busembatya-24h'!L66)</f>
        <v>0</v>
      </c>
      <c r="M66" s="49">
        <f>AVERAGE('21.10 -Butongole-Bsembatya-24h'!M66,'19.10 Butongole-Busembatya-24h'!M66)</f>
        <v>10</v>
      </c>
      <c r="N66" s="49">
        <f>AVERAGE('21.10 -Butongole-Bsembatya-24h'!N66,'19.10 Butongole-Busembatya-24h'!N66)</f>
        <v>0</v>
      </c>
      <c r="O66" s="15">
        <f t="shared" si="0"/>
        <v>17</v>
      </c>
      <c r="P66" s="15">
        <f t="shared" si="1"/>
        <v>27</v>
      </c>
      <c r="R66" s="8"/>
      <c r="T66"/>
    </row>
    <row r="67" spans="2:20" ht="23.1" customHeight="1" x14ac:dyDescent="0.25">
      <c r="B67" s="23" t="s">
        <v>104</v>
      </c>
      <c r="C67" s="49">
        <f>AVERAGE('21.10 -Butongole-Bsembatya-24h'!C67,'19.10 Butongole-Busembatya-24h'!C67)</f>
        <v>1.5</v>
      </c>
      <c r="D67" s="49">
        <f>AVERAGE('21.10 -Butongole-Bsembatya-24h'!D67,'19.10 Butongole-Busembatya-24h'!D67)</f>
        <v>0</v>
      </c>
      <c r="E67" s="49">
        <f>AVERAGE('21.10 -Butongole-Bsembatya-24h'!E67,'19.10 Butongole-Busembatya-24h'!E67)</f>
        <v>2</v>
      </c>
      <c r="F67" s="49">
        <f>AVERAGE('21.10 -Butongole-Bsembatya-24h'!F67,'19.10 Butongole-Busembatya-24h'!F67)</f>
        <v>4.5</v>
      </c>
      <c r="G67" s="49">
        <f>AVERAGE('21.10 -Butongole-Bsembatya-24h'!G67,'19.10 Butongole-Busembatya-24h'!G67)</f>
        <v>0</v>
      </c>
      <c r="H67" s="49">
        <f>AVERAGE('21.10 -Butongole-Bsembatya-24h'!H67,'19.10 Butongole-Busembatya-24h'!H67)</f>
        <v>0.5</v>
      </c>
      <c r="I67" s="49">
        <f>AVERAGE('21.10 -Butongole-Bsembatya-24h'!I67,'19.10 Butongole-Busembatya-24h'!I67)</f>
        <v>2.5</v>
      </c>
      <c r="J67" s="49">
        <f>AVERAGE('21.10 -Butongole-Bsembatya-24h'!J67,'19.10 Butongole-Busembatya-24h'!J67)</f>
        <v>0</v>
      </c>
      <c r="K67" s="49">
        <f>AVERAGE('21.10 -Butongole-Bsembatya-24h'!K67,'19.10 Butongole-Busembatya-24h'!K67)</f>
        <v>0</v>
      </c>
      <c r="L67" s="49">
        <f>AVERAGE('21.10 -Butongole-Bsembatya-24h'!L67,'19.10 Butongole-Busembatya-24h'!L67)</f>
        <v>0.5</v>
      </c>
      <c r="M67" s="49">
        <f>AVERAGE('21.10 -Butongole-Bsembatya-24h'!M67,'19.10 Butongole-Busembatya-24h'!M67)</f>
        <v>5.5</v>
      </c>
      <c r="N67" s="49">
        <f>AVERAGE('21.10 -Butongole-Bsembatya-24h'!N67,'19.10 Butongole-Busembatya-24h'!N67)</f>
        <v>0</v>
      </c>
      <c r="O67" s="15">
        <f t="shared" si="0"/>
        <v>11.5</v>
      </c>
      <c r="P67" s="15">
        <f t="shared" si="1"/>
        <v>17</v>
      </c>
      <c r="R67" s="8"/>
      <c r="T67"/>
    </row>
    <row r="68" spans="2:20" ht="23.1" customHeight="1" x14ac:dyDescent="0.25">
      <c r="B68" s="23" t="s">
        <v>105</v>
      </c>
      <c r="C68" s="49">
        <f>AVERAGE('21.10 -Butongole-Bsembatya-24h'!C68,'19.10 Butongole-Busembatya-24h'!C68)</f>
        <v>2</v>
      </c>
      <c r="D68" s="49">
        <f>AVERAGE('21.10 -Butongole-Bsembatya-24h'!D68,'19.10 Butongole-Busembatya-24h'!D68)</f>
        <v>0</v>
      </c>
      <c r="E68" s="49">
        <f>AVERAGE('21.10 -Butongole-Bsembatya-24h'!E68,'19.10 Butongole-Busembatya-24h'!E68)</f>
        <v>3</v>
      </c>
      <c r="F68" s="49">
        <f>AVERAGE('21.10 -Butongole-Bsembatya-24h'!F68,'19.10 Butongole-Busembatya-24h'!F68)</f>
        <v>3.5</v>
      </c>
      <c r="G68" s="49">
        <f>AVERAGE('21.10 -Butongole-Bsembatya-24h'!G68,'19.10 Butongole-Busembatya-24h'!G68)</f>
        <v>0</v>
      </c>
      <c r="H68" s="49">
        <f>AVERAGE('21.10 -Butongole-Bsembatya-24h'!H68,'19.10 Butongole-Busembatya-24h'!H68)</f>
        <v>1.5</v>
      </c>
      <c r="I68" s="49">
        <f>AVERAGE('21.10 -Butongole-Bsembatya-24h'!I68,'19.10 Butongole-Busembatya-24h'!I68)</f>
        <v>2.5</v>
      </c>
      <c r="J68" s="49">
        <f>AVERAGE('21.10 -Butongole-Bsembatya-24h'!J68,'19.10 Butongole-Busembatya-24h'!J68)</f>
        <v>0</v>
      </c>
      <c r="K68" s="49">
        <f>AVERAGE('21.10 -Butongole-Bsembatya-24h'!K68,'19.10 Butongole-Busembatya-24h'!K68)</f>
        <v>0.5</v>
      </c>
      <c r="L68" s="49">
        <f>AVERAGE('21.10 -Butongole-Bsembatya-24h'!L68,'19.10 Butongole-Busembatya-24h'!L68)</f>
        <v>0</v>
      </c>
      <c r="M68" s="49">
        <f>AVERAGE('21.10 -Butongole-Bsembatya-24h'!M68,'19.10 Butongole-Busembatya-24h'!M68)</f>
        <v>2.5</v>
      </c>
      <c r="N68" s="49">
        <f>AVERAGE('21.10 -Butongole-Bsembatya-24h'!N68,'19.10 Butongole-Busembatya-24h'!N68)</f>
        <v>0</v>
      </c>
      <c r="O68" s="15">
        <f t="shared" si="0"/>
        <v>13</v>
      </c>
      <c r="P68" s="15">
        <f t="shared" si="1"/>
        <v>15.5</v>
      </c>
      <c r="R68" s="8"/>
      <c r="T68"/>
    </row>
    <row r="69" spans="2:20" ht="23.1" customHeight="1" x14ac:dyDescent="0.25">
      <c r="B69" s="23" t="s">
        <v>106</v>
      </c>
      <c r="C69" s="49">
        <f>AVERAGE('21.10 -Butongole-Bsembatya-24h'!C69,'19.10 Butongole-Busembatya-24h'!C69)</f>
        <v>1.5</v>
      </c>
      <c r="D69" s="49">
        <f>AVERAGE('21.10 -Butongole-Bsembatya-24h'!D69,'19.10 Butongole-Busembatya-24h'!D69)</f>
        <v>1</v>
      </c>
      <c r="E69" s="49">
        <f>AVERAGE('21.10 -Butongole-Bsembatya-24h'!E69,'19.10 Butongole-Busembatya-24h'!E69)</f>
        <v>1</v>
      </c>
      <c r="F69" s="49">
        <f>AVERAGE('21.10 -Butongole-Bsembatya-24h'!F69,'19.10 Butongole-Busembatya-24h'!F69)</f>
        <v>5</v>
      </c>
      <c r="G69" s="49">
        <f>AVERAGE('21.10 -Butongole-Bsembatya-24h'!G69,'19.10 Butongole-Busembatya-24h'!G69)</f>
        <v>0</v>
      </c>
      <c r="H69" s="49">
        <f>AVERAGE('21.10 -Butongole-Bsembatya-24h'!H69,'19.10 Butongole-Busembatya-24h'!H69)</f>
        <v>0.5</v>
      </c>
      <c r="I69" s="49">
        <f>AVERAGE('21.10 -Butongole-Bsembatya-24h'!I69,'19.10 Butongole-Busembatya-24h'!I69)</f>
        <v>1.5</v>
      </c>
      <c r="J69" s="49">
        <f>AVERAGE('21.10 -Butongole-Bsembatya-24h'!J69,'19.10 Butongole-Busembatya-24h'!J69)</f>
        <v>0</v>
      </c>
      <c r="K69" s="49">
        <f>AVERAGE('21.10 -Butongole-Bsembatya-24h'!K69,'19.10 Butongole-Busembatya-24h'!K69)</f>
        <v>0.5</v>
      </c>
      <c r="L69" s="49">
        <f>AVERAGE('21.10 -Butongole-Bsembatya-24h'!L69,'19.10 Butongole-Busembatya-24h'!L69)</f>
        <v>0.5</v>
      </c>
      <c r="M69" s="49">
        <f>AVERAGE('21.10 -Butongole-Bsembatya-24h'!M69,'19.10 Butongole-Busembatya-24h'!M69)</f>
        <v>1.5</v>
      </c>
      <c r="N69" s="49">
        <f>AVERAGE('21.10 -Butongole-Bsembatya-24h'!N69,'19.10 Butongole-Busembatya-24h'!N69)</f>
        <v>0</v>
      </c>
      <c r="O69" s="15">
        <f t="shared" si="0"/>
        <v>11.5</v>
      </c>
      <c r="P69" s="15">
        <f t="shared" si="1"/>
        <v>13</v>
      </c>
      <c r="R69" s="8"/>
      <c r="T69"/>
    </row>
    <row r="70" spans="2:20" ht="23.1" customHeight="1" x14ac:dyDescent="0.25">
      <c r="B70" s="23" t="s">
        <v>110</v>
      </c>
      <c r="C70" s="49">
        <f>AVERAGE('21.10 -Butongole-Bsembatya-24h'!C70,'19.10 Butongole-Busembatya-24h'!C70)</f>
        <v>0.5</v>
      </c>
      <c r="D70" s="49">
        <f>AVERAGE('21.10 -Butongole-Bsembatya-24h'!D70,'19.10 Butongole-Busembatya-24h'!D70)</f>
        <v>0</v>
      </c>
      <c r="E70" s="49">
        <f>AVERAGE('21.10 -Butongole-Bsembatya-24h'!E70,'19.10 Butongole-Busembatya-24h'!E70)</f>
        <v>1.5</v>
      </c>
      <c r="F70" s="49">
        <f>AVERAGE('21.10 -Butongole-Bsembatya-24h'!F70,'19.10 Butongole-Busembatya-24h'!F70)</f>
        <v>1.5</v>
      </c>
      <c r="G70" s="49">
        <f>AVERAGE('21.10 -Butongole-Bsembatya-24h'!G70,'19.10 Butongole-Busembatya-24h'!G70)</f>
        <v>0.5</v>
      </c>
      <c r="H70" s="49">
        <f>AVERAGE('21.10 -Butongole-Bsembatya-24h'!H70,'19.10 Butongole-Busembatya-24h'!H70)</f>
        <v>0</v>
      </c>
      <c r="I70" s="49">
        <f>AVERAGE('21.10 -Butongole-Bsembatya-24h'!I70,'19.10 Butongole-Busembatya-24h'!I70)</f>
        <v>3</v>
      </c>
      <c r="J70" s="49">
        <f>AVERAGE('21.10 -Butongole-Bsembatya-24h'!J70,'19.10 Butongole-Busembatya-24h'!J70)</f>
        <v>0</v>
      </c>
      <c r="K70" s="49">
        <f>AVERAGE('21.10 -Butongole-Bsembatya-24h'!K70,'19.10 Butongole-Busembatya-24h'!K70)</f>
        <v>0.5</v>
      </c>
      <c r="L70" s="49">
        <f>AVERAGE('21.10 -Butongole-Bsembatya-24h'!L70,'19.10 Butongole-Busembatya-24h'!L70)</f>
        <v>0.5</v>
      </c>
      <c r="M70" s="49">
        <f>AVERAGE('21.10 -Butongole-Bsembatya-24h'!M70,'19.10 Butongole-Busembatya-24h'!M70)</f>
        <v>2</v>
      </c>
      <c r="N70" s="49">
        <f>AVERAGE('21.10 -Butongole-Bsembatya-24h'!N70,'19.10 Butongole-Busembatya-24h'!N70)</f>
        <v>0</v>
      </c>
      <c r="O70" s="15">
        <f t="shared" si="0"/>
        <v>8</v>
      </c>
      <c r="P70" s="15">
        <f t="shared" si="1"/>
        <v>10</v>
      </c>
      <c r="R70" s="8"/>
      <c r="T70"/>
    </row>
    <row r="71" spans="2:20" ht="23.1" customHeight="1" x14ac:dyDescent="0.25">
      <c r="B71" s="23" t="s">
        <v>111</v>
      </c>
      <c r="C71" s="49">
        <f>AVERAGE('21.10 -Butongole-Bsembatya-24h'!C71,'19.10 Butongole-Busembatya-24h'!C71)</f>
        <v>2</v>
      </c>
      <c r="D71" s="49">
        <f>AVERAGE('21.10 -Butongole-Bsembatya-24h'!D71,'19.10 Butongole-Busembatya-24h'!D71)</f>
        <v>1</v>
      </c>
      <c r="E71" s="49">
        <f>AVERAGE('21.10 -Butongole-Bsembatya-24h'!E71,'19.10 Butongole-Busembatya-24h'!E71)</f>
        <v>1.5</v>
      </c>
      <c r="F71" s="49">
        <f>AVERAGE('21.10 -Butongole-Bsembatya-24h'!F71,'19.10 Butongole-Busembatya-24h'!F71)</f>
        <v>3</v>
      </c>
      <c r="G71" s="49">
        <f>AVERAGE('21.10 -Butongole-Bsembatya-24h'!G71,'19.10 Butongole-Busembatya-24h'!G71)</f>
        <v>0</v>
      </c>
      <c r="H71" s="49">
        <f>AVERAGE('21.10 -Butongole-Bsembatya-24h'!H71,'19.10 Butongole-Busembatya-24h'!H71)</f>
        <v>0.5</v>
      </c>
      <c r="I71" s="49">
        <f>AVERAGE('21.10 -Butongole-Bsembatya-24h'!I71,'19.10 Butongole-Busembatya-24h'!I71)</f>
        <v>3</v>
      </c>
      <c r="J71" s="49">
        <f>AVERAGE('21.10 -Butongole-Bsembatya-24h'!J71,'19.10 Butongole-Busembatya-24h'!J71)</f>
        <v>0</v>
      </c>
      <c r="K71" s="49">
        <f>AVERAGE('21.10 -Butongole-Bsembatya-24h'!K71,'19.10 Butongole-Busembatya-24h'!K71)</f>
        <v>0</v>
      </c>
      <c r="L71" s="49">
        <f>AVERAGE('21.10 -Butongole-Bsembatya-24h'!L71,'19.10 Butongole-Busembatya-24h'!L71)</f>
        <v>0</v>
      </c>
      <c r="M71" s="49">
        <f>AVERAGE('21.10 -Butongole-Bsembatya-24h'!M71,'19.10 Butongole-Busembatya-24h'!M71)</f>
        <v>1</v>
      </c>
      <c r="N71" s="49">
        <f>AVERAGE('21.10 -Butongole-Bsembatya-24h'!N71,'19.10 Butongole-Busembatya-24h'!N71)</f>
        <v>0</v>
      </c>
      <c r="O71" s="15">
        <f t="shared" si="0"/>
        <v>11</v>
      </c>
      <c r="P71" s="15">
        <f t="shared" si="1"/>
        <v>12</v>
      </c>
      <c r="R71" s="8"/>
      <c r="T71"/>
    </row>
    <row r="72" spans="2:20" ht="23.1" customHeight="1" x14ac:dyDescent="0.25">
      <c r="B72" s="23" t="s">
        <v>112</v>
      </c>
      <c r="C72" s="49">
        <f>AVERAGE('21.10 -Butongole-Bsembatya-24h'!C72,'19.10 Butongole-Busembatya-24h'!C72)</f>
        <v>1</v>
      </c>
      <c r="D72" s="49">
        <f>AVERAGE('21.10 -Butongole-Bsembatya-24h'!D72,'19.10 Butongole-Busembatya-24h'!D72)</f>
        <v>1</v>
      </c>
      <c r="E72" s="49">
        <f>AVERAGE('21.10 -Butongole-Bsembatya-24h'!E72,'19.10 Butongole-Busembatya-24h'!E72)</f>
        <v>0.5</v>
      </c>
      <c r="F72" s="49">
        <f>AVERAGE('21.10 -Butongole-Bsembatya-24h'!F72,'19.10 Butongole-Busembatya-24h'!F72)</f>
        <v>2</v>
      </c>
      <c r="G72" s="49">
        <f>AVERAGE('21.10 -Butongole-Bsembatya-24h'!G72,'19.10 Butongole-Busembatya-24h'!G72)</f>
        <v>0.5</v>
      </c>
      <c r="H72" s="49">
        <f>AVERAGE('21.10 -Butongole-Bsembatya-24h'!H72,'19.10 Butongole-Busembatya-24h'!H72)</f>
        <v>0</v>
      </c>
      <c r="I72" s="49">
        <f>AVERAGE('21.10 -Butongole-Bsembatya-24h'!I72,'19.10 Butongole-Busembatya-24h'!I72)</f>
        <v>3.5</v>
      </c>
      <c r="J72" s="49">
        <f>AVERAGE('21.10 -Butongole-Bsembatya-24h'!J72,'19.10 Butongole-Busembatya-24h'!J72)</f>
        <v>0</v>
      </c>
      <c r="K72" s="49">
        <f>AVERAGE('21.10 -Butongole-Bsembatya-24h'!K72,'19.10 Butongole-Busembatya-24h'!K72)</f>
        <v>0</v>
      </c>
      <c r="L72" s="49">
        <f>AVERAGE('21.10 -Butongole-Bsembatya-24h'!L72,'19.10 Butongole-Busembatya-24h'!L72)</f>
        <v>0</v>
      </c>
      <c r="M72" s="49">
        <f>AVERAGE('21.10 -Butongole-Bsembatya-24h'!M72,'19.10 Butongole-Busembatya-24h'!M72)</f>
        <v>1.5</v>
      </c>
      <c r="N72" s="49">
        <f>AVERAGE('21.10 -Butongole-Bsembatya-24h'!N72,'19.10 Butongole-Busembatya-24h'!N72)</f>
        <v>0</v>
      </c>
      <c r="O72" s="15">
        <f t="shared" si="0"/>
        <v>8.5</v>
      </c>
      <c r="P72" s="15">
        <f t="shared" si="1"/>
        <v>10</v>
      </c>
      <c r="R72" s="8"/>
      <c r="T72"/>
    </row>
    <row r="73" spans="2:20" ht="23.1" customHeight="1" x14ac:dyDescent="0.25">
      <c r="B73" s="23" t="s">
        <v>113</v>
      </c>
      <c r="C73" s="49">
        <f>AVERAGE('21.10 -Butongole-Bsembatya-24h'!C73,'19.10 Butongole-Busembatya-24h'!C73)</f>
        <v>3</v>
      </c>
      <c r="D73" s="49">
        <f>AVERAGE('21.10 -Butongole-Bsembatya-24h'!D73,'19.10 Butongole-Busembatya-24h'!D73)</f>
        <v>1.5</v>
      </c>
      <c r="E73" s="49">
        <f>AVERAGE('21.10 -Butongole-Bsembatya-24h'!E73,'19.10 Butongole-Busembatya-24h'!E73)</f>
        <v>0</v>
      </c>
      <c r="F73" s="49">
        <f>AVERAGE('21.10 -Butongole-Bsembatya-24h'!F73,'19.10 Butongole-Busembatya-24h'!F73)</f>
        <v>2</v>
      </c>
      <c r="G73" s="49">
        <f>AVERAGE('21.10 -Butongole-Bsembatya-24h'!G73,'19.10 Butongole-Busembatya-24h'!G73)</f>
        <v>1</v>
      </c>
      <c r="H73" s="49">
        <f>AVERAGE('21.10 -Butongole-Bsembatya-24h'!H73,'19.10 Butongole-Busembatya-24h'!H73)</f>
        <v>0</v>
      </c>
      <c r="I73" s="49">
        <f>AVERAGE('21.10 -Butongole-Bsembatya-24h'!I73,'19.10 Butongole-Busembatya-24h'!I73)</f>
        <v>0.5</v>
      </c>
      <c r="J73" s="49">
        <f>AVERAGE('21.10 -Butongole-Bsembatya-24h'!J73,'19.10 Butongole-Busembatya-24h'!J73)</f>
        <v>0</v>
      </c>
      <c r="K73" s="49">
        <f>AVERAGE('21.10 -Butongole-Bsembatya-24h'!K73,'19.10 Butongole-Busembatya-24h'!K73)</f>
        <v>0.5</v>
      </c>
      <c r="L73" s="49">
        <f>AVERAGE('21.10 -Butongole-Bsembatya-24h'!L73,'19.10 Butongole-Busembatya-24h'!L73)</f>
        <v>0.5</v>
      </c>
      <c r="M73" s="49">
        <f>AVERAGE('21.10 -Butongole-Bsembatya-24h'!M73,'19.10 Butongole-Busembatya-24h'!M73)</f>
        <v>1</v>
      </c>
      <c r="N73" s="49">
        <f>AVERAGE('21.10 -Butongole-Bsembatya-24h'!N73,'19.10 Butongole-Busembatya-24h'!N73)</f>
        <v>0</v>
      </c>
      <c r="O73" s="15">
        <f t="shared" si="0"/>
        <v>9</v>
      </c>
      <c r="P73" s="15">
        <f t="shared" si="1"/>
        <v>10</v>
      </c>
      <c r="R73" s="8"/>
      <c r="T73"/>
    </row>
    <row r="74" spans="2:20" ht="23.1" customHeight="1" x14ac:dyDescent="0.25">
      <c r="B74" s="23" t="s">
        <v>114</v>
      </c>
      <c r="C74" s="49">
        <f>AVERAGE('21.10 -Butongole-Bsembatya-24h'!C74,'19.10 Butongole-Busembatya-24h'!C74)</f>
        <v>3</v>
      </c>
      <c r="D74" s="49">
        <f>AVERAGE('21.10 -Butongole-Bsembatya-24h'!D74,'19.10 Butongole-Busembatya-24h'!D74)</f>
        <v>0.5</v>
      </c>
      <c r="E74" s="49">
        <f>AVERAGE('21.10 -Butongole-Bsembatya-24h'!E74,'19.10 Butongole-Busembatya-24h'!E74)</f>
        <v>0.5</v>
      </c>
      <c r="F74" s="49">
        <f>AVERAGE('21.10 -Butongole-Bsembatya-24h'!F74,'19.10 Butongole-Busembatya-24h'!F74)</f>
        <v>2</v>
      </c>
      <c r="G74" s="49">
        <f>AVERAGE('21.10 -Butongole-Bsembatya-24h'!G74,'19.10 Butongole-Busembatya-24h'!G74)</f>
        <v>1</v>
      </c>
      <c r="H74" s="49">
        <f>AVERAGE('21.10 -Butongole-Bsembatya-24h'!H74,'19.10 Butongole-Busembatya-24h'!H74)</f>
        <v>0.5</v>
      </c>
      <c r="I74" s="49">
        <f>AVERAGE('21.10 -Butongole-Bsembatya-24h'!I74,'19.10 Butongole-Busembatya-24h'!I74)</f>
        <v>4</v>
      </c>
      <c r="J74" s="49">
        <f>AVERAGE('21.10 -Butongole-Bsembatya-24h'!J74,'19.10 Butongole-Busembatya-24h'!J74)</f>
        <v>0</v>
      </c>
      <c r="K74" s="49">
        <f>AVERAGE('21.10 -Butongole-Bsembatya-24h'!K74,'19.10 Butongole-Busembatya-24h'!K74)</f>
        <v>1</v>
      </c>
      <c r="L74" s="49">
        <f>AVERAGE('21.10 -Butongole-Bsembatya-24h'!L74,'19.10 Butongole-Busembatya-24h'!L74)</f>
        <v>0.5</v>
      </c>
      <c r="M74" s="49">
        <f>AVERAGE('21.10 -Butongole-Bsembatya-24h'!M74,'19.10 Butongole-Busembatya-24h'!M74)</f>
        <v>0.5</v>
      </c>
      <c r="N74" s="49">
        <f>AVERAGE('21.10 -Butongole-Bsembatya-24h'!N74,'19.10 Butongole-Busembatya-24h'!N74)</f>
        <v>0</v>
      </c>
      <c r="O74" s="15">
        <f t="shared" ref="O74:O105" si="35">SUM(C74:L74,N74)</f>
        <v>13</v>
      </c>
      <c r="P74" s="15">
        <f t="shared" ref="P74:P105" si="36">SUM(C74:N74)</f>
        <v>13.5</v>
      </c>
      <c r="R74" s="8"/>
      <c r="T74"/>
    </row>
    <row r="75" spans="2:20" ht="23.1" customHeight="1" x14ac:dyDescent="0.25">
      <c r="B75" s="23" t="s">
        <v>115</v>
      </c>
      <c r="C75" s="49">
        <f>AVERAGE('21.10 -Butongole-Bsembatya-24h'!C75,'19.10 Butongole-Busembatya-24h'!C75)</f>
        <v>3</v>
      </c>
      <c r="D75" s="49">
        <f>AVERAGE('21.10 -Butongole-Bsembatya-24h'!D75,'19.10 Butongole-Busembatya-24h'!D75)</f>
        <v>0</v>
      </c>
      <c r="E75" s="49">
        <f>AVERAGE('21.10 -Butongole-Bsembatya-24h'!E75,'19.10 Butongole-Busembatya-24h'!E75)</f>
        <v>1</v>
      </c>
      <c r="F75" s="49">
        <f>AVERAGE('21.10 -Butongole-Bsembatya-24h'!F75,'19.10 Butongole-Busembatya-24h'!F75)</f>
        <v>4.5</v>
      </c>
      <c r="G75" s="49">
        <f>AVERAGE('21.10 -Butongole-Bsembatya-24h'!G75,'19.10 Butongole-Busembatya-24h'!G75)</f>
        <v>1</v>
      </c>
      <c r="H75" s="49">
        <f>AVERAGE('21.10 -Butongole-Bsembatya-24h'!H75,'19.10 Butongole-Busembatya-24h'!H75)</f>
        <v>0</v>
      </c>
      <c r="I75" s="49">
        <f>AVERAGE('21.10 -Butongole-Bsembatya-24h'!I75,'19.10 Butongole-Busembatya-24h'!I75)</f>
        <v>2</v>
      </c>
      <c r="J75" s="49">
        <f>AVERAGE('21.10 -Butongole-Bsembatya-24h'!J75,'19.10 Butongole-Busembatya-24h'!J75)</f>
        <v>0</v>
      </c>
      <c r="K75" s="49">
        <f>AVERAGE('21.10 -Butongole-Bsembatya-24h'!K75,'19.10 Butongole-Busembatya-24h'!K75)</f>
        <v>0</v>
      </c>
      <c r="L75" s="49">
        <f>AVERAGE('21.10 -Butongole-Bsembatya-24h'!L75,'19.10 Butongole-Busembatya-24h'!L75)</f>
        <v>0</v>
      </c>
      <c r="M75" s="49">
        <f>AVERAGE('21.10 -Butongole-Bsembatya-24h'!M75,'19.10 Butongole-Busembatya-24h'!M75)</f>
        <v>0</v>
      </c>
      <c r="N75" s="49">
        <f>AVERAGE('21.10 -Butongole-Bsembatya-24h'!N75,'19.10 Butongole-Busembatya-24h'!N75)</f>
        <v>0</v>
      </c>
      <c r="O75" s="15">
        <f t="shared" si="35"/>
        <v>11.5</v>
      </c>
      <c r="P75" s="15">
        <f t="shared" si="36"/>
        <v>11.5</v>
      </c>
      <c r="R75" s="8"/>
      <c r="T75"/>
    </row>
    <row r="76" spans="2:20" ht="23.1" customHeight="1" x14ac:dyDescent="0.25">
      <c r="B76" s="23" t="s">
        <v>116</v>
      </c>
      <c r="C76" s="49">
        <f>AVERAGE('21.10 -Butongole-Bsembatya-24h'!C76,'19.10 Butongole-Busembatya-24h'!C76)</f>
        <v>2.5</v>
      </c>
      <c r="D76" s="49">
        <f>AVERAGE('21.10 -Butongole-Bsembatya-24h'!D76,'19.10 Butongole-Busembatya-24h'!D76)</f>
        <v>0</v>
      </c>
      <c r="E76" s="49">
        <f>AVERAGE('21.10 -Butongole-Bsembatya-24h'!E76,'19.10 Butongole-Busembatya-24h'!E76)</f>
        <v>1</v>
      </c>
      <c r="F76" s="49">
        <f>AVERAGE('21.10 -Butongole-Bsembatya-24h'!F76,'19.10 Butongole-Busembatya-24h'!F76)</f>
        <v>1.5</v>
      </c>
      <c r="G76" s="49">
        <f>AVERAGE('21.10 -Butongole-Bsembatya-24h'!G76,'19.10 Butongole-Busembatya-24h'!G76)</f>
        <v>0</v>
      </c>
      <c r="H76" s="49">
        <f>AVERAGE('21.10 -Butongole-Bsembatya-24h'!H76,'19.10 Butongole-Busembatya-24h'!H76)</f>
        <v>0</v>
      </c>
      <c r="I76" s="49">
        <f>AVERAGE('21.10 -Butongole-Bsembatya-24h'!I76,'19.10 Butongole-Busembatya-24h'!I76)</f>
        <v>2</v>
      </c>
      <c r="J76" s="49">
        <f>AVERAGE('21.10 -Butongole-Bsembatya-24h'!J76,'19.10 Butongole-Busembatya-24h'!J76)</f>
        <v>0</v>
      </c>
      <c r="K76" s="49">
        <f>AVERAGE('21.10 -Butongole-Bsembatya-24h'!K76,'19.10 Butongole-Busembatya-24h'!K76)</f>
        <v>1</v>
      </c>
      <c r="L76" s="49">
        <f>AVERAGE('21.10 -Butongole-Bsembatya-24h'!L76,'19.10 Butongole-Busembatya-24h'!L76)</f>
        <v>0</v>
      </c>
      <c r="M76" s="49">
        <f>AVERAGE('21.10 -Butongole-Bsembatya-24h'!M76,'19.10 Butongole-Busembatya-24h'!M76)</f>
        <v>0</v>
      </c>
      <c r="N76" s="49">
        <f>AVERAGE('21.10 -Butongole-Bsembatya-24h'!N76,'19.10 Butongole-Busembatya-24h'!N76)</f>
        <v>0</v>
      </c>
      <c r="O76" s="15">
        <f t="shared" si="35"/>
        <v>8</v>
      </c>
      <c r="P76" s="15">
        <f t="shared" si="36"/>
        <v>8</v>
      </c>
      <c r="R76" s="8"/>
      <c r="T76"/>
    </row>
    <row r="77" spans="2:20" ht="23.1" customHeight="1" x14ac:dyDescent="0.25">
      <c r="B77" s="23" t="s">
        <v>117</v>
      </c>
      <c r="C77" s="49">
        <f>AVERAGE('21.10 -Butongole-Bsembatya-24h'!C77,'19.10 Butongole-Busembatya-24h'!C77)</f>
        <v>2</v>
      </c>
      <c r="D77" s="49">
        <f>AVERAGE('21.10 -Butongole-Bsembatya-24h'!D77,'19.10 Butongole-Busembatya-24h'!D77)</f>
        <v>0</v>
      </c>
      <c r="E77" s="49">
        <f>AVERAGE('21.10 -Butongole-Bsembatya-24h'!E77,'19.10 Butongole-Busembatya-24h'!E77)</f>
        <v>1</v>
      </c>
      <c r="F77" s="49">
        <f>AVERAGE('21.10 -Butongole-Bsembatya-24h'!F77,'19.10 Butongole-Busembatya-24h'!F77)</f>
        <v>0.5</v>
      </c>
      <c r="G77" s="49">
        <f>AVERAGE('21.10 -Butongole-Bsembatya-24h'!G77,'19.10 Butongole-Busembatya-24h'!G77)</f>
        <v>0.5</v>
      </c>
      <c r="H77" s="49">
        <f>AVERAGE('21.10 -Butongole-Bsembatya-24h'!H77,'19.10 Butongole-Busembatya-24h'!H77)</f>
        <v>0.5</v>
      </c>
      <c r="I77" s="49">
        <f>AVERAGE('21.10 -Butongole-Bsembatya-24h'!I77,'19.10 Butongole-Busembatya-24h'!I77)</f>
        <v>1.5</v>
      </c>
      <c r="J77" s="49">
        <f>AVERAGE('21.10 -Butongole-Bsembatya-24h'!J77,'19.10 Butongole-Busembatya-24h'!J77)</f>
        <v>0</v>
      </c>
      <c r="K77" s="49">
        <f>AVERAGE('21.10 -Butongole-Bsembatya-24h'!K77,'19.10 Butongole-Busembatya-24h'!K77)</f>
        <v>0.5</v>
      </c>
      <c r="L77" s="49">
        <f>AVERAGE('21.10 -Butongole-Bsembatya-24h'!L77,'19.10 Butongole-Busembatya-24h'!L77)</f>
        <v>0.5</v>
      </c>
      <c r="M77" s="49">
        <f>AVERAGE('21.10 -Butongole-Bsembatya-24h'!M77,'19.10 Butongole-Busembatya-24h'!M77)</f>
        <v>0</v>
      </c>
      <c r="N77" s="49">
        <f>AVERAGE('21.10 -Butongole-Bsembatya-24h'!N77,'19.10 Butongole-Busembatya-24h'!N77)</f>
        <v>0</v>
      </c>
      <c r="O77" s="15">
        <f t="shared" si="35"/>
        <v>7</v>
      </c>
      <c r="P77" s="15">
        <f t="shared" si="36"/>
        <v>7</v>
      </c>
      <c r="R77" s="8"/>
      <c r="T77"/>
    </row>
    <row r="78" spans="2:20" ht="23.1" customHeight="1" x14ac:dyDescent="0.25">
      <c r="B78" s="24" t="s">
        <v>118</v>
      </c>
      <c r="C78" s="49">
        <f>AVERAGE('21.10 -Butongole-Bsembatya-24h'!C78,'19.10 Butongole-Busembatya-24h'!C78)</f>
        <v>2.5</v>
      </c>
      <c r="D78" s="49">
        <f>AVERAGE('21.10 -Butongole-Bsembatya-24h'!D78,'19.10 Butongole-Busembatya-24h'!D78)</f>
        <v>0</v>
      </c>
      <c r="E78" s="49">
        <f>AVERAGE('21.10 -Butongole-Bsembatya-24h'!E78,'19.10 Butongole-Busembatya-24h'!E78)</f>
        <v>0.5</v>
      </c>
      <c r="F78" s="49">
        <f>AVERAGE('21.10 -Butongole-Bsembatya-24h'!F78,'19.10 Butongole-Busembatya-24h'!F78)</f>
        <v>1.5</v>
      </c>
      <c r="G78" s="49">
        <f>AVERAGE('21.10 -Butongole-Bsembatya-24h'!G78,'19.10 Butongole-Busembatya-24h'!G78)</f>
        <v>0</v>
      </c>
      <c r="H78" s="49">
        <f>AVERAGE('21.10 -Butongole-Bsembatya-24h'!H78,'19.10 Butongole-Busembatya-24h'!H78)</f>
        <v>0</v>
      </c>
      <c r="I78" s="49">
        <f>AVERAGE('21.10 -Butongole-Bsembatya-24h'!I78,'19.10 Butongole-Busembatya-24h'!I78)</f>
        <v>2.5</v>
      </c>
      <c r="J78" s="49">
        <f>AVERAGE('21.10 -Butongole-Bsembatya-24h'!J78,'19.10 Butongole-Busembatya-24h'!J78)</f>
        <v>0</v>
      </c>
      <c r="K78" s="49">
        <f>AVERAGE('21.10 -Butongole-Bsembatya-24h'!K78,'19.10 Butongole-Busembatya-24h'!K78)</f>
        <v>0.5</v>
      </c>
      <c r="L78" s="49">
        <f>AVERAGE('21.10 -Butongole-Bsembatya-24h'!L78,'19.10 Butongole-Busembatya-24h'!L78)</f>
        <v>0</v>
      </c>
      <c r="M78" s="49">
        <f>AVERAGE('21.10 -Butongole-Bsembatya-24h'!M78,'19.10 Butongole-Busembatya-24h'!M78)</f>
        <v>0</v>
      </c>
      <c r="N78" s="49">
        <f>AVERAGE('21.10 -Butongole-Bsembatya-24h'!N78,'19.10 Butongole-Busembatya-24h'!N78)</f>
        <v>0</v>
      </c>
      <c r="O78" s="15">
        <f t="shared" si="35"/>
        <v>7.5</v>
      </c>
      <c r="P78" s="15">
        <f t="shared" si="36"/>
        <v>7.5</v>
      </c>
      <c r="R78" s="8"/>
      <c r="T78"/>
    </row>
    <row r="79" spans="2:20" ht="23.1" customHeight="1" x14ac:dyDescent="0.25">
      <c r="B79" s="23" t="s">
        <v>119</v>
      </c>
      <c r="C79" s="49">
        <f>AVERAGE('21.10 -Butongole-Bsembatya-24h'!C79,'19.10 Butongole-Busembatya-24h'!C79)</f>
        <v>1</v>
      </c>
      <c r="D79" s="49">
        <f>AVERAGE('21.10 -Butongole-Bsembatya-24h'!D79,'19.10 Butongole-Busembatya-24h'!D79)</f>
        <v>0.5</v>
      </c>
      <c r="E79" s="49">
        <f>AVERAGE('21.10 -Butongole-Bsembatya-24h'!E79,'19.10 Butongole-Busembatya-24h'!E79)</f>
        <v>0</v>
      </c>
      <c r="F79" s="49">
        <f>AVERAGE('21.10 -Butongole-Bsembatya-24h'!F79,'19.10 Butongole-Busembatya-24h'!F79)</f>
        <v>1</v>
      </c>
      <c r="G79" s="49">
        <f>AVERAGE('21.10 -Butongole-Bsembatya-24h'!G79,'19.10 Butongole-Busembatya-24h'!G79)</f>
        <v>0.5</v>
      </c>
      <c r="H79" s="49">
        <f>AVERAGE('21.10 -Butongole-Bsembatya-24h'!H79,'19.10 Butongole-Busembatya-24h'!H79)</f>
        <v>0</v>
      </c>
      <c r="I79" s="49">
        <f>AVERAGE('21.10 -Butongole-Bsembatya-24h'!I79,'19.10 Butongole-Busembatya-24h'!I79)</f>
        <v>0.5</v>
      </c>
      <c r="J79" s="49">
        <f>AVERAGE('21.10 -Butongole-Bsembatya-24h'!J79,'19.10 Butongole-Busembatya-24h'!J79)</f>
        <v>0</v>
      </c>
      <c r="K79" s="49">
        <f>AVERAGE('21.10 -Butongole-Bsembatya-24h'!K79,'19.10 Butongole-Busembatya-24h'!K79)</f>
        <v>0.5</v>
      </c>
      <c r="L79" s="49">
        <f>AVERAGE('21.10 -Butongole-Bsembatya-24h'!L79,'19.10 Butongole-Busembatya-24h'!L79)</f>
        <v>0</v>
      </c>
      <c r="M79" s="49">
        <f>AVERAGE('21.10 -Butongole-Bsembatya-24h'!M79,'19.10 Butongole-Busembatya-24h'!M79)</f>
        <v>0.5</v>
      </c>
      <c r="N79" s="49">
        <f>AVERAGE('21.10 -Butongole-Bsembatya-24h'!N79,'19.10 Butongole-Busembatya-24h'!N79)</f>
        <v>0</v>
      </c>
      <c r="O79" s="15">
        <f t="shared" si="35"/>
        <v>4</v>
      </c>
      <c r="P79" s="15">
        <f t="shared" si="36"/>
        <v>4.5</v>
      </c>
      <c r="R79" s="8"/>
      <c r="T79"/>
    </row>
    <row r="80" spans="2:20" ht="23.1" customHeight="1" x14ac:dyDescent="0.25">
      <c r="B80" s="25" t="s">
        <v>120</v>
      </c>
      <c r="C80" s="49">
        <f>AVERAGE('21.10 -Butongole-Bsembatya-24h'!C80,'19.10 Butongole-Busembatya-24h'!C80)</f>
        <v>0</v>
      </c>
      <c r="D80" s="49">
        <f>AVERAGE('21.10 -Butongole-Bsembatya-24h'!D80,'19.10 Butongole-Busembatya-24h'!D80)</f>
        <v>0</v>
      </c>
      <c r="E80" s="49">
        <f>AVERAGE('21.10 -Butongole-Bsembatya-24h'!E80,'19.10 Butongole-Busembatya-24h'!E80)</f>
        <v>0</v>
      </c>
      <c r="F80" s="49">
        <f>AVERAGE('21.10 -Butongole-Bsembatya-24h'!F80,'19.10 Butongole-Busembatya-24h'!F80)</f>
        <v>2</v>
      </c>
      <c r="G80" s="49">
        <f>AVERAGE('21.10 -Butongole-Bsembatya-24h'!G80,'19.10 Butongole-Busembatya-24h'!G80)</f>
        <v>0</v>
      </c>
      <c r="H80" s="49">
        <f>AVERAGE('21.10 -Butongole-Bsembatya-24h'!H80,'19.10 Butongole-Busembatya-24h'!H80)</f>
        <v>0.5</v>
      </c>
      <c r="I80" s="49">
        <f>AVERAGE('21.10 -Butongole-Bsembatya-24h'!I80,'19.10 Butongole-Busembatya-24h'!I80)</f>
        <v>3</v>
      </c>
      <c r="J80" s="49">
        <f>AVERAGE('21.10 -Butongole-Bsembatya-24h'!J80,'19.10 Butongole-Busembatya-24h'!J80)</f>
        <v>0</v>
      </c>
      <c r="K80" s="49">
        <f>AVERAGE('21.10 -Butongole-Bsembatya-24h'!K80,'19.10 Butongole-Busembatya-24h'!K80)</f>
        <v>0</v>
      </c>
      <c r="L80" s="49">
        <f>AVERAGE('21.10 -Butongole-Bsembatya-24h'!L80,'19.10 Butongole-Busembatya-24h'!L80)</f>
        <v>0</v>
      </c>
      <c r="M80" s="49">
        <f>AVERAGE('21.10 -Butongole-Bsembatya-24h'!M80,'19.10 Butongole-Busembatya-24h'!M80)</f>
        <v>0</v>
      </c>
      <c r="N80" s="49">
        <f>AVERAGE('21.10 -Butongole-Bsembatya-24h'!N80,'19.10 Butongole-Busembatya-24h'!N80)</f>
        <v>0</v>
      </c>
      <c r="O80" s="15">
        <f t="shared" si="35"/>
        <v>5.5</v>
      </c>
      <c r="P80" s="15">
        <f t="shared" si="36"/>
        <v>5.5</v>
      </c>
      <c r="R80" s="8"/>
      <c r="T80"/>
    </row>
    <row r="81" spans="2:20" ht="23.1" customHeight="1" x14ac:dyDescent="0.25">
      <c r="B81" s="23" t="s">
        <v>121</v>
      </c>
      <c r="C81" s="49">
        <f>AVERAGE('21.10 -Butongole-Bsembatya-24h'!C81,'19.10 Butongole-Busembatya-24h'!C81)</f>
        <v>1</v>
      </c>
      <c r="D81" s="49">
        <f>AVERAGE('21.10 -Butongole-Bsembatya-24h'!D81,'19.10 Butongole-Busembatya-24h'!D81)</f>
        <v>0</v>
      </c>
      <c r="E81" s="49">
        <f>AVERAGE('21.10 -Butongole-Bsembatya-24h'!E81,'19.10 Butongole-Busembatya-24h'!E81)</f>
        <v>0</v>
      </c>
      <c r="F81" s="49">
        <f>AVERAGE('21.10 -Butongole-Bsembatya-24h'!F81,'19.10 Butongole-Busembatya-24h'!F81)</f>
        <v>0.5</v>
      </c>
      <c r="G81" s="49">
        <f>AVERAGE('21.10 -Butongole-Bsembatya-24h'!G81,'19.10 Butongole-Busembatya-24h'!G81)</f>
        <v>0.5</v>
      </c>
      <c r="H81" s="49">
        <f>AVERAGE('21.10 -Butongole-Bsembatya-24h'!H81,'19.10 Butongole-Busembatya-24h'!H81)</f>
        <v>0.5</v>
      </c>
      <c r="I81" s="49">
        <f>AVERAGE('21.10 -Butongole-Bsembatya-24h'!I81,'19.10 Butongole-Busembatya-24h'!I81)</f>
        <v>2</v>
      </c>
      <c r="J81" s="49">
        <f>AVERAGE('21.10 -Butongole-Bsembatya-24h'!J81,'19.10 Butongole-Busembatya-24h'!J81)</f>
        <v>0</v>
      </c>
      <c r="K81" s="49">
        <f>AVERAGE('21.10 -Butongole-Bsembatya-24h'!K81,'19.10 Butongole-Busembatya-24h'!K81)</f>
        <v>0</v>
      </c>
      <c r="L81" s="49">
        <f>AVERAGE('21.10 -Butongole-Bsembatya-24h'!L81,'19.10 Butongole-Busembatya-24h'!L81)</f>
        <v>0</v>
      </c>
      <c r="M81" s="49">
        <f>AVERAGE('21.10 -Butongole-Bsembatya-24h'!M81,'19.10 Butongole-Busembatya-24h'!M81)</f>
        <v>0.5</v>
      </c>
      <c r="N81" s="49">
        <f>AVERAGE('21.10 -Butongole-Bsembatya-24h'!N81,'19.10 Butongole-Busembatya-24h'!N81)</f>
        <v>0</v>
      </c>
      <c r="O81" s="15">
        <f t="shared" si="35"/>
        <v>4.5</v>
      </c>
      <c r="P81" s="15">
        <f t="shared" si="36"/>
        <v>5</v>
      </c>
      <c r="R81" s="8"/>
      <c r="T81"/>
    </row>
    <row r="82" spans="2:20" ht="23.1" customHeight="1" x14ac:dyDescent="0.25">
      <c r="B82" s="24" t="s">
        <v>122</v>
      </c>
      <c r="C82" s="49">
        <f>AVERAGE('21.10 -Butongole-Bsembatya-24h'!C82,'19.10 Butongole-Busembatya-24h'!C82)</f>
        <v>1</v>
      </c>
      <c r="D82" s="49">
        <f>AVERAGE('21.10 -Butongole-Bsembatya-24h'!D82,'19.10 Butongole-Busembatya-24h'!D82)</f>
        <v>0</v>
      </c>
      <c r="E82" s="49">
        <f>AVERAGE('21.10 -Butongole-Bsembatya-24h'!E82,'19.10 Butongole-Busembatya-24h'!E82)</f>
        <v>0</v>
      </c>
      <c r="F82" s="49">
        <f>AVERAGE('21.10 -Butongole-Bsembatya-24h'!F82,'19.10 Butongole-Busembatya-24h'!F82)</f>
        <v>0.5</v>
      </c>
      <c r="G82" s="49">
        <f>AVERAGE('21.10 -Butongole-Bsembatya-24h'!G82,'19.10 Butongole-Busembatya-24h'!G82)</f>
        <v>0</v>
      </c>
      <c r="H82" s="49">
        <f>AVERAGE('21.10 -Butongole-Bsembatya-24h'!H82,'19.10 Butongole-Busembatya-24h'!H82)</f>
        <v>0</v>
      </c>
      <c r="I82" s="49">
        <f>AVERAGE('21.10 -Butongole-Bsembatya-24h'!I82,'19.10 Butongole-Busembatya-24h'!I82)</f>
        <v>1</v>
      </c>
      <c r="J82" s="49">
        <f>AVERAGE('21.10 -Butongole-Bsembatya-24h'!J82,'19.10 Butongole-Busembatya-24h'!J82)</f>
        <v>0</v>
      </c>
      <c r="K82" s="49">
        <f>AVERAGE('21.10 -Butongole-Bsembatya-24h'!K82,'19.10 Butongole-Busembatya-24h'!K82)</f>
        <v>0</v>
      </c>
      <c r="L82" s="49">
        <f>AVERAGE('21.10 -Butongole-Bsembatya-24h'!L82,'19.10 Butongole-Busembatya-24h'!L82)</f>
        <v>0</v>
      </c>
      <c r="M82" s="49">
        <f>AVERAGE('21.10 -Butongole-Bsembatya-24h'!M82,'19.10 Butongole-Busembatya-24h'!M82)</f>
        <v>0</v>
      </c>
      <c r="N82" s="49">
        <f>AVERAGE('21.10 -Butongole-Bsembatya-24h'!N82,'19.10 Butongole-Busembatya-24h'!N82)</f>
        <v>0</v>
      </c>
      <c r="O82" s="15">
        <f t="shared" si="35"/>
        <v>2.5</v>
      </c>
      <c r="P82" s="15">
        <f t="shared" si="36"/>
        <v>2.5</v>
      </c>
      <c r="R82" s="8"/>
      <c r="T82"/>
    </row>
    <row r="83" spans="2:20" ht="23.1" customHeight="1" x14ac:dyDescent="0.25">
      <c r="B83" s="23" t="s">
        <v>123</v>
      </c>
      <c r="C83" s="49">
        <f>AVERAGE('21.10 -Butongole-Bsembatya-24h'!C83,'19.10 Butongole-Busembatya-24h'!C83)</f>
        <v>0.5</v>
      </c>
      <c r="D83" s="49">
        <f>AVERAGE('21.10 -Butongole-Bsembatya-24h'!D83,'19.10 Butongole-Busembatya-24h'!D83)</f>
        <v>0.5</v>
      </c>
      <c r="E83" s="49">
        <f>AVERAGE('21.10 -Butongole-Bsembatya-24h'!E83,'19.10 Butongole-Busembatya-24h'!E83)</f>
        <v>0.5</v>
      </c>
      <c r="F83" s="49">
        <f>AVERAGE('21.10 -Butongole-Bsembatya-24h'!F83,'19.10 Butongole-Busembatya-24h'!F83)</f>
        <v>0</v>
      </c>
      <c r="G83" s="49">
        <f>AVERAGE('21.10 -Butongole-Bsembatya-24h'!G83,'19.10 Butongole-Busembatya-24h'!G83)</f>
        <v>0</v>
      </c>
      <c r="H83" s="49">
        <f>AVERAGE('21.10 -Butongole-Bsembatya-24h'!H83,'19.10 Butongole-Busembatya-24h'!H83)</f>
        <v>1.5</v>
      </c>
      <c r="I83" s="49">
        <f>AVERAGE('21.10 -Butongole-Bsembatya-24h'!I83,'19.10 Butongole-Busembatya-24h'!I83)</f>
        <v>1</v>
      </c>
      <c r="J83" s="49">
        <f>AVERAGE('21.10 -Butongole-Bsembatya-24h'!J83,'19.10 Butongole-Busembatya-24h'!J83)</f>
        <v>0</v>
      </c>
      <c r="K83" s="49">
        <f>AVERAGE('21.10 -Butongole-Bsembatya-24h'!K83,'19.10 Butongole-Busembatya-24h'!K83)</f>
        <v>0.5</v>
      </c>
      <c r="L83" s="49">
        <f>AVERAGE('21.10 -Butongole-Bsembatya-24h'!L83,'19.10 Butongole-Busembatya-24h'!L83)</f>
        <v>0</v>
      </c>
      <c r="M83" s="49">
        <f>AVERAGE('21.10 -Butongole-Bsembatya-24h'!M83,'19.10 Butongole-Busembatya-24h'!M83)</f>
        <v>0.5</v>
      </c>
      <c r="N83" s="49">
        <f>AVERAGE('21.10 -Butongole-Bsembatya-24h'!N83,'19.10 Butongole-Busembatya-24h'!N83)</f>
        <v>0</v>
      </c>
      <c r="O83" s="15">
        <f t="shared" si="35"/>
        <v>4.5</v>
      </c>
      <c r="P83" s="15">
        <f t="shared" si="36"/>
        <v>5</v>
      </c>
      <c r="R83" s="8"/>
      <c r="T83"/>
    </row>
    <row r="84" spans="2:20" ht="23.1" customHeight="1" x14ac:dyDescent="0.25">
      <c r="B84" s="25" t="s">
        <v>124</v>
      </c>
      <c r="C84" s="49">
        <f>AVERAGE('21.10 -Butongole-Bsembatya-24h'!C84,'19.10 Butongole-Busembatya-24h'!C84)</f>
        <v>0</v>
      </c>
      <c r="D84" s="49">
        <f>AVERAGE('21.10 -Butongole-Bsembatya-24h'!D84,'19.10 Butongole-Busembatya-24h'!D84)</f>
        <v>0.5</v>
      </c>
      <c r="E84" s="49">
        <f>AVERAGE('21.10 -Butongole-Bsembatya-24h'!E84,'19.10 Butongole-Busembatya-24h'!E84)</f>
        <v>0</v>
      </c>
      <c r="F84" s="49">
        <f>AVERAGE('21.10 -Butongole-Bsembatya-24h'!F84,'19.10 Butongole-Busembatya-24h'!F84)</f>
        <v>2.5</v>
      </c>
      <c r="G84" s="49">
        <f>AVERAGE('21.10 -Butongole-Bsembatya-24h'!G84,'19.10 Butongole-Busembatya-24h'!G84)</f>
        <v>0</v>
      </c>
      <c r="H84" s="49">
        <f>AVERAGE('21.10 -Butongole-Bsembatya-24h'!H84,'19.10 Butongole-Busembatya-24h'!H84)</f>
        <v>0</v>
      </c>
      <c r="I84" s="49">
        <f>AVERAGE('21.10 -Butongole-Bsembatya-24h'!I84,'19.10 Butongole-Busembatya-24h'!I84)</f>
        <v>0</v>
      </c>
      <c r="J84" s="49">
        <f>AVERAGE('21.10 -Butongole-Bsembatya-24h'!J84,'19.10 Butongole-Busembatya-24h'!J84)</f>
        <v>0</v>
      </c>
      <c r="K84" s="49">
        <f>AVERAGE('21.10 -Butongole-Bsembatya-24h'!K84,'19.10 Butongole-Busembatya-24h'!K84)</f>
        <v>0.5</v>
      </c>
      <c r="L84" s="49">
        <f>AVERAGE('21.10 -Butongole-Bsembatya-24h'!L84,'19.10 Butongole-Busembatya-24h'!L84)</f>
        <v>0</v>
      </c>
      <c r="M84" s="49">
        <f>AVERAGE('21.10 -Butongole-Bsembatya-24h'!M84,'19.10 Butongole-Busembatya-24h'!M84)</f>
        <v>0</v>
      </c>
      <c r="N84" s="49">
        <f>AVERAGE('21.10 -Butongole-Bsembatya-24h'!N84,'19.10 Butongole-Busembatya-24h'!N84)</f>
        <v>0</v>
      </c>
      <c r="O84" s="15">
        <f t="shared" si="35"/>
        <v>3.5</v>
      </c>
      <c r="P84" s="15">
        <f t="shared" si="36"/>
        <v>3.5</v>
      </c>
      <c r="R84" s="8"/>
      <c r="T84"/>
    </row>
    <row r="85" spans="2:20" ht="23.1" customHeight="1" x14ac:dyDescent="0.25">
      <c r="B85" s="23" t="s">
        <v>125</v>
      </c>
      <c r="C85" s="49">
        <f>AVERAGE('21.10 -Butongole-Bsembatya-24h'!C85,'19.10 Butongole-Busembatya-24h'!C85)</f>
        <v>0.5</v>
      </c>
      <c r="D85" s="49">
        <f>AVERAGE('21.10 -Butongole-Bsembatya-24h'!D85,'19.10 Butongole-Busembatya-24h'!D85)</f>
        <v>0</v>
      </c>
      <c r="E85" s="49">
        <f>AVERAGE('21.10 -Butongole-Bsembatya-24h'!E85,'19.10 Butongole-Busembatya-24h'!E85)</f>
        <v>0</v>
      </c>
      <c r="F85" s="49">
        <f>AVERAGE('21.10 -Butongole-Bsembatya-24h'!F85,'19.10 Butongole-Busembatya-24h'!F85)</f>
        <v>0.5</v>
      </c>
      <c r="G85" s="49">
        <f>AVERAGE('21.10 -Butongole-Bsembatya-24h'!G85,'19.10 Butongole-Busembatya-24h'!G85)</f>
        <v>0</v>
      </c>
      <c r="H85" s="49">
        <f>AVERAGE('21.10 -Butongole-Bsembatya-24h'!H85,'19.10 Butongole-Busembatya-24h'!H85)</f>
        <v>0</v>
      </c>
      <c r="I85" s="49">
        <f>AVERAGE('21.10 -Butongole-Bsembatya-24h'!I85,'19.10 Butongole-Busembatya-24h'!I85)</f>
        <v>1</v>
      </c>
      <c r="J85" s="49">
        <f>AVERAGE('21.10 -Butongole-Bsembatya-24h'!J85,'19.10 Butongole-Busembatya-24h'!J85)</f>
        <v>0</v>
      </c>
      <c r="K85" s="49">
        <f>AVERAGE('21.10 -Butongole-Bsembatya-24h'!K85,'19.10 Butongole-Busembatya-24h'!K85)</f>
        <v>0</v>
      </c>
      <c r="L85" s="49">
        <f>AVERAGE('21.10 -Butongole-Bsembatya-24h'!L85,'19.10 Butongole-Busembatya-24h'!L85)</f>
        <v>0</v>
      </c>
      <c r="M85" s="49">
        <f>AVERAGE('21.10 -Butongole-Bsembatya-24h'!M85,'19.10 Butongole-Busembatya-24h'!M85)</f>
        <v>0</v>
      </c>
      <c r="N85" s="49">
        <f>AVERAGE('21.10 -Butongole-Bsembatya-24h'!N85,'19.10 Butongole-Busembatya-24h'!N85)</f>
        <v>0</v>
      </c>
      <c r="O85" s="15">
        <f t="shared" si="35"/>
        <v>2</v>
      </c>
      <c r="P85" s="15">
        <f t="shared" si="36"/>
        <v>2</v>
      </c>
      <c r="R85" s="8"/>
      <c r="T85"/>
    </row>
    <row r="86" spans="2:20" ht="23.1" customHeight="1" x14ac:dyDescent="0.25">
      <c r="B86" s="24" t="s">
        <v>126</v>
      </c>
      <c r="C86" s="49">
        <f>AVERAGE('21.10 -Butongole-Bsembatya-24h'!C86,'19.10 Butongole-Busembatya-24h'!C86)</f>
        <v>0</v>
      </c>
      <c r="D86" s="49">
        <f>AVERAGE('21.10 -Butongole-Bsembatya-24h'!D86,'19.10 Butongole-Busembatya-24h'!D86)</f>
        <v>0</v>
      </c>
      <c r="E86" s="49">
        <f>AVERAGE('21.10 -Butongole-Bsembatya-24h'!E86,'19.10 Butongole-Busembatya-24h'!E86)</f>
        <v>0.5</v>
      </c>
      <c r="F86" s="49">
        <f>AVERAGE('21.10 -Butongole-Bsembatya-24h'!F86,'19.10 Butongole-Busembatya-24h'!F86)</f>
        <v>0.5</v>
      </c>
      <c r="G86" s="49">
        <f>AVERAGE('21.10 -Butongole-Bsembatya-24h'!G86,'19.10 Butongole-Busembatya-24h'!G86)</f>
        <v>0</v>
      </c>
      <c r="H86" s="49">
        <f>AVERAGE('21.10 -Butongole-Bsembatya-24h'!H86,'19.10 Butongole-Busembatya-24h'!H86)</f>
        <v>0.5</v>
      </c>
      <c r="I86" s="49">
        <f>AVERAGE('21.10 -Butongole-Bsembatya-24h'!I86,'19.10 Butongole-Busembatya-24h'!I86)</f>
        <v>1.5</v>
      </c>
      <c r="J86" s="49">
        <f>AVERAGE('21.10 -Butongole-Bsembatya-24h'!J86,'19.10 Butongole-Busembatya-24h'!J86)</f>
        <v>0</v>
      </c>
      <c r="K86" s="49">
        <f>AVERAGE('21.10 -Butongole-Bsembatya-24h'!K86,'19.10 Butongole-Busembatya-24h'!K86)</f>
        <v>0</v>
      </c>
      <c r="L86" s="49">
        <f>AVERAGE('21.10 -Butongole-Bsembatya-24h'!L86,'19.10 Butongole-Busembatya-24h'!L86)</f>
        <v>0</v>
      </c>
      <c r="M86" s="49">
        <f>AVERAGE('21.10 -Butongole-Bsembatya-24h'!M86,'19.10 Butongole-Busembatya-24h'!M86)</f>
        <v>0.5</v>
      </c>
      <c r="N86" s="49">
        <f>AVERAGE('21.10 -Butongole-Bsembatya-24h'!N86,'19.10 Butongole-Busembatya-24h'!N86)</f>
        <v>0</v>
      </c>
      <c r="O86" s="15">
        <f t="shared" si="35"/>
        <v>3</v>
      </c>
      <c r="P86" s="15">
        <f t="shared" si="36"/>
        <v>3.5</v>
      </c>
      <c r="R86" s="8"/>
      <c r="T86"/>
    </row>
    <row r="87" spans="2:20" ht="23.1" customHeight="1" x14ac:dyDescent="0.25">
      <c r="B87" s="23" t="s">
        <v>127</v>
      </c>
      <c r="C87" s="49">
        <f>AVERAGE('21.10 -Butongole-Bsembatya-24h'!C87,'19.10 Butongole-Busembatya-24h'!C87)</f>
        <v>1</v>
      </c>
      <c r="D87" s="49">
        <f>AVERAGE('21.10 -Butongole-Bsembatya-24h'!D87,'19.10 Butongole-Busembatya-24h'!D87)</f>
        <v>0</v>
      </c>
      <c r="E87" s="49">
        <f>AVERAGE('21.10 -Butongole-Bsembatya-24h'!E87,'19.10 Butongole-Busembatya-24h'!E87)</f>
        <v>0</v>
      </c>
      <c r="F87" s="49">
        <f>AVERAGE('21.10 -Butongole-Bsembatya-24h'!F87,'19.10 Butongole-Busembatya-24h'!F87)</f>
        <v>0</v>
      </c>
      <c r="G87" s="49">
        <f>AVERAGE('21.10 -Butongole-Bsembatya-24h'!G87,'19.10 Butongole-Busembatya-24h'!G87)</f>
        <v>0</v>
      </c>
      <c r="H87" s="49">
        <f>AVERAGE('21.10 -Butongole-Bsembatya-24h'!H87,'19.10 Butongole-Busembatya-24h'!H87)</f>
        <v>1</v>
      </c>
      <c r="I87" s="49">
        <f>AVERAGE('21.10 -Butongole-Bsembatya-24h'!I87,'19.10 Butongole-Busembatya-24h'!I87)</f>
        <v>0</v>
      </c>
      <c r="J87" s="49">
        <f>AVERAGE('21.10 -Butongole-Bsembatya-24h'!J87,'19.10 Butongole-Busembatya-24h'!J87)</f>
        <v>0</v>
      </c>
      <c r="K87" s="49">
        <f>AVERAGE('21.10 -Butongole-Bsembatya-24h'!K87,'19.10 Butongole-Busembatya-24h'!K87)</f>
        <v>0</v>
      </c>
      <c r="L87" s="49">
        <f>AVERAGE('21.10 -Butongole-Bsembatya-24h'!L87,'19.10 Butongole-Busembatya-24h'!L87)</f>
        <v>0</v>
      </c>
      <c r="M87" s="49">
        <f>AVERAGE('21.10 -Butongole-Bsembatya-24h'!M87,'19.10 Butongole-Busembatya-24h'!M87)</f>
        <v>0</v>
      </c>
      <c r="N87" s="49">
        <f>AVERAGE('21.10 -Butongole-Bsembatya-24h'!N87,'19.10 Butongole-Busembatya-24h'!N87)</f>
        <v>0</v>
      </c>
      <c r="O87" s="15">
        <f t="shared" si="35"/>
        <v>2</v>
      </c>
      <c r="P87" s="15">
        <f t="shared" si="36"/>
        <v>2</v>
      </c>
      <c r="R87" s="8"/>
      <c r="T87"/>
    </row>
    <row r="88" spans="2:20" ht="23.1" customHeight="1" x14ac:dyDescent="0.25">
      <c r="B88" s="25" t="s">
        <v>128</v>
      </c>
      <c r="C88" s="49">
        <f>AVERAGE('21.10 -Butongole-Bsembatya-24h'!C88,'19.10 Butongole-Busembatya-24h'!C88)</f>
        <v>0</v>
      </c>
      <c r="D88" s="49">
        <f>AVERAGE('21.10 -Butongole-Bsembatya-24h'!D88,'19.10 Butongole-Busembatya-24h'!D88)</f>
        <v>0</v>
      </c>
      <c r="E88" s="49">
        <f>AVERAGE('21.10 -Butongole-Bsembatya-24h'!E88,'19.10 Butongole-Busembatya-24h'!E88)</f>
        <v>0</v>
      </c>
      <c r="F88" s="49">
        <f>AVERAGE('21.10 -Butongole-Bsembatya-24h'!F88,'19.10 Butongole-Busembatya-24h'!F88)</f>
        <v>0.5</v>
      </c>
      <c r="G88" s="49">
        <f>AVERAGE('21.10 -Butongole-Bsembatya-24h'!G88,'19.10 Butongole-Busembatya-24h'!G88)</f>
        <v>0</v>
      </c>
      <c r="H88" s="49">
        <f>AVERAGE('21.10 -Butongole-Bsembatya-24h'!H88,'19.10 Butongole-Busembatya-24h'!H88)</f>
        <v>0</v>
      </c>
      <c r="I88" s="49">
        <f>AVERAGE('21.10 -Butongole-Bsembatya-24h'!I88,'19.10 Butongole-Busembatya-24h'!I88)</f>
        <v>2</v>
      </c>
      <c r="J88" s="49">
        <f>AVERAGE('21.10 -Butongole-Bsembatya-24h'!J88,'19.10 Butongole-Busembatya-24h'!J88)</f>
        <v>0</v>
      </c>
      <c r="K88" s="49">
        <f>AVERAGE('21.10 -Butongole-Bsembatya-24h'!K88,'19.10 Butongole-Busembatya-24h'!K88)</f>
        <v>0</v>
      </c>
      <c r="L88" s="49">
        <f>AVERAGE('21.10 -Butongole-Bsembatya-24h'!L88,'19.10 Butongole-Busembatya-24h'!L88)</f>
        <v>0.5</v>
      </c>
      <c r="M88" s="49">
        <f>AVERAGE('21.10 -Butongole-Bsembatya-24h'!M88,'19.10 Butongole-Busembatya-24h'!M88)</f>
        <v>0</v>
      </c>
      <c r="N88" s="49">
        <f>AVERAGE('21.10 -Butongole-Bsembatya-24h'!N88,'19.10 Butongole-Busembatya-24h'!N88)</f>
        <v>0</v>
      </c>
      <c r="O88" s="15">
        <f t="shared" si="35"/>
        <v>3</v>
      </c>
      <c r="P88" s="15">
        <f t="shared" si="36"/>
        <v>3</v>
      </c>
      <c r="R88" s="8"/>
      <c r="T88"/>
    </row>
    <row r="89" spans="2:20" ht="23.1" customHeight="1" x14ac:dyDescent="0.25">
      <c r="B89" s="23" t="s">
        <v>129</v>
      </c>
      <c r="C89" s="49">
        <f>AVERAGE('21.10 -Butongole-Bsembatya-24h'!C89,'19.10 Butongole-Busembatya-24h'!C89)</f>
        <v>1</v>
      </c>
      <c r="D89" s="49">
        <f>AVERAGE('21.10 -Butongole-Bsembatya-24h'!D89,'19.10 Butongole-Busembatya-24h'!D89)</f>
        <v>0</v>
      </c>
      <c r="E89" s="49">
        <f>AVERAGE('21.10 -Butongole-Bsembatya-24h'!E89,'19.10 Butongole-Busembatya-24h'!E89)</f>
        <v>0</v>
      </c>
      <c r="F89" s="49">
        <f>AVERAGE('21.10 -Butongole-Bsembatya-24h'!F89,'19.10 Butongole-Busembatya-24h'!F89)</f>
        <v>1</v>
      </c>
      <c r="G89" s="49">
        <f>AVERAGE('21.10 -Butongole-Bsembatya-24h'!G89,'19.10 Butongole-Busembatya-24h'!G89)</f>
        <v>0</v>
      </c>
      <c r="H89" s="49">
        <f>AVERAGE('21.10 -Butongole-Bsembatya-24h'!H89,'19.10 Butongole-Busembatya-24h'!H89)</f>
        <v>1.5</v>
      </c>
      <c r="I89" s="49">
        <f>AVERAGE('21.10 -Butongole-Bsembatya-24h'!I89,'19.10 Butongole-Busembatya-24h'!I89)</f>
        <v>1</v>
      </c>
      <c r="J89" s="49">
        <f>AVERAGE('21.10 -Butongole-Bsembatya-24h'!J89,'19.10 Butongole-Busembatya-24h'!J89)</f>
        <v>0</v>
      </c>
      <c r="K89" s="49">
        <f>AVERAGE('21.10 -Butongole-Bsembatya-24h'!K89,'19.10 Butongole-Busembatya-24h'!K89)</f>
        <v>0</v>
      </c>
      <c r="L89" s="49">
        <f>AVERAGE('21.10 -Butongole-Bsembatya-24h'!L89,'19.10 Butongole-Busembatya-24h'!L89)</f>
        <v>0</v>
      </c>
      <c r="M89" s="49">
        <f>AVERAGE('21.10 -Butongole-Bsembatya-24h'!M89,'19.10 Butongole-Busembatya-24h'!M89)</f>
        <v>1.5</v>
      </c>
      <c r="N89" s="49">
        <f>AVERAGE('21.10 -Butongole-Bsembatya-24h'!N89,'19.10 Butongole-Busembatya-24h'!N89)</f>
        <v>0</v>
      </c>
      <c r="O89" s="15">
        <f t="shared" si="35"/>
        <v>4.5</v>
      </c>
      <c r="P89" s="15">
        <f t="shared" si="36"/>
        <v>6</v>
      </c>
      <c r="R89" s="8"/>
      <c r="T89"/>
    </row>
    <row r="90" spans="2:20" ht="23.1" customHeight="1" x14ac:dyDescent="0.25">
      <c r="B90" s="24" t="s">
        <v>130</v>
      </c>
      <c r="C90" s="49">
        <f>AVERAGE('21.10 -Butongole-Bsembatya-24h'!C90,'19.10 Butongole-Busembatya-24h'!C90)</f>
        <v>0</v>
      </c>
      <c r="D90" s="49">
        <f>AVERAGE('21.10 -Butongole-Bsembatya-24h'!D90,'19.10 Butongole-Busembatya-24h'!D90)</f>
        <v>0</v>
      </c>
      <c r="E90" s="49">
        <f>AVERAGE('21.10 -Butongole-Bsembatya-24h'!E90,'19.10 Butongole-Busembatya-24h'!E90)</f>
        <v>0.5</v>
      </c>
      <c r="F90" s="49">
        <f>AVERAGE('21.10 -Butongole-Bsembatya-24h'!F90,'19.10 Butongole-Busembatya-24h'!F90)</f>
        <v>1</v>
      </c>
      <c r="G90" s="49">
        <f>AVERAGE('21.10 -Butongole-Bsembatya-24h'!G90,'19.10 Butongole-Busembatya-24h'!G90)</f>
        <v>0</v>
      </c>
      <c r="H90" s="49">
        <f>AVERAGE('21.10 -Butongole-Bsembatya-24h'!H90,'19.10 Butongole-Busembatya-24h'!H90)</f>
        <v>0.5</v>
      </c>
      <c r="I90" s="49">
        <f>AVERAGE('21.10 -Butongole-Bsembatya-24h'!I90,'19.10 Butongole-Busembatya-24h'!I90)</f>
        <v>0.5</v>
      </c>
      <c r="J90" s="49">
        <f>AVERAGE('21.10 -Butongole-Bsembatya-24h'!J90,'19.10 Butongole-Busembatya-24h'!J90)</f>
        <v>0</v>
      </c>
      <c r="K90" s="49">
        <f>AVERAGE('21.10 -Butongole-Bsembatya-24h'!K90,'19.10 Butongole-Busembatya-24h'!K90)</f>
        <v>1</v>
      </c>
      <c r="L90" s="49">
        <f>AVERAGE('21.10 -Butongole-Bsembatya-24h'!L90,'19.10 Butongole-Busembatya-24h'!L90)</f>
        <v>0.5</v>
      </c>
      <c r="M90" s="49">
        <f>AVERAGE('21.10 -Butongole-Bsembatya-24h'!M90,'19.10 Butongole-Busembatya-24h'!M90)</f>
        <v>0</v>
      </c>
      <c r="N90" s="49">
        <f>AVERAGE('21.10 -Butongole-Bsembatya-24h'!N90,'19.10 Butongole-Busembatya-24h'!N90)</f>
        <v>0</v>
      </c>
      <c r="O90" s="15">
        <f t="shared" si="35"/>
        <v>4</v>
      </c>
      <c r="P90" s="15">
        <f t="shared" si="36"/>
        <v>4</v>
      </c>
      <c r="R90" s="8"/>
      <c r="T90"/>
    </row>
    <row r="91" spans="2:20" ht="23.1" customHeight="1" x14ac:dyDescent="0.25">
      <c r="B91" s="23" t="s">
        <v>131</v>
      </c>
      <c r="C91" s="49">
        <f>AVERAGE('21.10 -Butongole-Bsembatya-24h'!C91,'19.10 Butongole-Busembatya-24h'!C91)</f>
        <v>0</v>
      </c>
      <c r="D91" s="49">
        <f>AVERAGE('21.10 -Butongole-Bsembatya-24h'!D91,'19.10 Butongole-Busembatya-24h'!D91)</f>
        <v>0.5</v>
      </c>
      <c r="E91" s="49">
        <f>AVERAGE('21.10 -Butongole-Bsembatya-24h'!E91,'19.10 Butongole-Busembatya-24h'!E91)</f>
        <v>0</v>
      </c>
      <c r="F91" s="49">
        <f>AVERAGE('21.10 -Butongole-Bsembatya-24h'!F91,'19.10 Butongole-Busembatya-24h'!F91)</f>
        <v>0</v>
      </c>
      <c r="G91" s="49">
        <f>AVERAGE('21.10 -Butongole-Bsembatya-24h'!G91,'19.10 Butongole-Busembatya-24h'!G91)</f>
        <v>0</v>
      </c>
      <c r="H91" s="49">
        <f>AVERAGE('21.10 -Butongole-Bsembatya-24h'!H91,'19.10 Butongole-Busembatya-24h'!H91)</f>
        <v>0.5</v>
      </c>
      <c r="I91" s="49">
        <f>AVERAGE('21.10 -Butongole-Bsembatya-24h'!I91,'19.10 Butongole-Busembatya-24h'!I91)</f>
        <v>2</v>
      </c>
      <c r="J91" s="49">
        <f>AVERAGE('21.10 -Butongole-Bsembatya-24h'!J91,'19.10 Butongole-Busembatya-24h'!J91)</f>
        <v>0</v>
      </c>
      <c r="K91" s="49">
        <f>AVERAGE('21.10 -Butongole-Bsembatya-24h'!K91,'19.10 Butongole-Busembatya-24h'!K91)</f>
        <v>0</v>
      </c>
      <c r="L91" s="49">
        <f>AVERAGE('21.10 -Butongole-Bsembatya-24h'!L91,'19.10 Butongole-Busembatya-24h'!L91)</f>
        <v>0.5</v>
      </c>
      <c r="M91" s="49">
        <f>AVERAGE('21.10 -Butongole-Bsembatya-24h'!M91,'19.10 Butongole-Busembatya-24h'!M91)</f>
        <v>0</v>
      </c>
      <c r="N91" s="49">
        <f>AVERAGE('21.10 -Butongole-Bsembatya-24h'!N91,'19.10 Butongole-Busembatya-24h'!N91)</f>
        <v>0</v>
      </c>
      <c r="O91" s="15">
        <f t="shared" si="35"/>
        <v>3.5</v>
      </c>
      <c r="P91" s="15">
        <f t="shared" si="36"/>
        <v>3.5</v>
      </c>
      <c r="R91" s="8"/>
      <c r="T91"/>
    </row>
    <row r="92" spans="2:20" ht="23.1" customHeight="1" x14ac:dyDescent="0.25">
      <c r="B92" s="25" t="s">
        <v>132</v>
      </c>
      <c r="C92" s="49">
        <f>AVERAGE('21.10 -Butongole-Bsembatya-24h'!C92,'19.10 Butongole-Busembatya-24h'!C92)</f>
        <v>0</v>
      </c>
      <c r="D92" s="49">
        <f>AVERAGE('21.10 -Butongole-Bsembatya-24h'!D92,'19.10 Butongole-Busembatya-24h'!D92)</f>
        <v>0.5</v>
      </c>
      <c r="E92" s="49">
        <f>AVERAGE('21.10 -Butongole-Bsembatya-24h'!E92,'19.10 Butongole-Busembatya-24h'!E92)</f>
        <v>0</v>
      </c>
      <c r="F92" s="49">
        <f>AVERAGE('21.10 -Butongole-Bsembatya-24h'!F92,'19.10 Butongole-Busembatya-24h'!F92)</f>
        <v>0</v>
      </c>
      <c r="G92" s="49">
        <f>AVERAGE('21.10 -Butongole-Bsembatya-24h'!G92,'19.10 Butongole-Busembatya-24h'!G92)</f>
        <v>0</v>
      </c>
      <c r="H92" s="49">
        <f>AVERAGE('21.10 -Butongole-Bsembatya-24h'!H92,'19.10 Butongole-Busembatya-24h'!H92)</f>
        <v>1</v>
      </c>
      <c r="I92" s="49">
        <f>AVERAGE('21.10 -Butongole-Bsembatya-24h'!I92,'19.10 Butongole-Busembatya-24h'!I92)</f>
        <v>2.5</v>
      </c>
      <c r="J92" s="49">
        <f>AVERAGE('21.10 -Butongole-Bsembatya-24h'!J92,'19.10 Butongole-Busembatya-24h'!J92)</f>
        <v>0</v>
      </c>
      <c r="K92" s="49">
        <f>AVERAGE('21.10 -Butongole-Bsembatya-24h'!K92,'19.10 Butongole-Busembatya-24h'!K92)</f>
        <v>0.5</v>
      </c>
      <c r="L92" s="49">
        <f>AVERAGE('21.10 -Butongole-Bsembatya-24h'!L92,'19.10 Butongole-Busembatya-24h'!L92)</f>
        <v>0</v>
      </c>
      <c r="M92" s="49">
        <f>AVERAGE('21.10 -Butongole-Bsembatya-24h'!M92,'19.10 Butongole-Busembatya-24h'!M92)</f>
        <v>0.5</v>
      </c>
      <c r="N92" s="49">
        <f>AVERAGE('21.10 -Butongole-Bsembatya-24h'!N92,'19.10 Butongole-Busembatya-24h'!N92)</f>
        <v>0</v>
      </c>
      <c r="O92" s="15">
        <f t="shared" si="35"/>
        <v>4.5</v>
      </c>
      <c r="P92" s="15">
        <f t="shared" si="36"/>
        <v>5</v>
      </c>
      <c r="R92" s="8"/>
      <c r="T92"/>
    </row>
    <row r="93" spans="2:20" ht="23.1" customHeight="1" x14ac:dyDescent="0.25">
      <c r="B93" s="23" t="s">
        <v>133</v>
      </c>
      <c r="C93" s="49">
        <f>AVERAGE('21.10 -Butongole-Bsembatya-24h'!C93,'19.10 Butongole-Busembatya-24h'!C93)</f>
        <v>1</v>
      </c>
      <c r="D93" s="49">
        <f>AVERAGE('21.10 -Butongole-Bsembatya-24h'!D93,'19.10 Butongole-Busembatya-24h'!D93)</f>
        <v>0</v>
      </c>
      <c r="E93" s="49">
        <f>AVERAGE('21.10 -Butongole-Bsembatya-24h'!E93,'19.10 Butongole-Busembatya-24h'!E93)</f>
        <v>0</v>
      </c>
      <c r="F93" s="49">
        <f>AVERAGE('21.10 -Butongole-Bsembatya-24h'!F93,'19.10 Butongole-Busembatya-24h'!F93)</f>
        <v>0.5</v>
      </c>
      <c r="G93" s="49">
        <f>AVERAGE('21.10 -Butongole-Bsembatya-24h'!G93,'19.10 Butongole-Busembatya-24h'!G93)</f>
        <v>0</v>
      </c>
      <c r="H93" s="49">
        <f>AVERAGE('21.10 -Butongole-Bsembatya-24h'!H93,'19.10 Butongole-Busembatya-24h'!H93)</f>
        <v>0.5</v>
      </c>
      <c r="I93" s="49">
        <f>AVERAGE('21.10 -Butongole-Bsembatya-24h'!I93,'19.10 Butongole-Busembatya-24h'!I93)</f>
        <v>1</v>
      </c>
      <c r="J93" s="49">
        <f>AVERAGE('21.10 -Butongole-Bsembatya-24h'!J93,'19.10 Butongole-Busembatya-24h'!J93)</f>
        <v>0</v>
      </c>
      <c r="K93" s="49">
        <f>AVERAGE('21.10 -Butongole-Bsembatya-24h'!K93,'19.10 Butongole-Busembatya-24h'!K93)</f>
        <v>1</v>
      </c>
      <c r="L93" s="49">
        <f>AVERAGE('21.10 -Butongole-Bsembatya-24h'!L93,'19.10 Butongole-Busembatya-24h'!L93)</f>
        <v>0</v>
      </c>
      <c r="M93" s="49">
        <f>AVERAGE('21.10 -Butongole-Bsembatya-24h'!M93,'19.10 Butongole-Busembatya-24h'!M93)</f>
        <v>0</v>
      </c>
      <c r="N93" s="49">
        <f>AVERAGE('21.10 -Butongole-Bsembatya-24h'!N93,'19.10 Butongole-Busembatya-24h'!N93)</f>
        <v>0</v>
      </c>
      <c r="O93" s="15">
        <f t="shared" si="35"/>
        <v>4</v>
      </c>
      <c r="P93" s="15">
        <f t="shared" si="36"/>
        <v>4</v>
      </c>
      <c r="R93" s="8"/>
      <c r="T93"/>
    </row>
    <row r="94" spans="2:20" ht="23.1" customHeight="1" x14ac:dyDescent="0.25">
      <c r="B94" s="24" t="s">
        <v>134</v>
      </c>
      <c r="C94" s="49">
        <f>AVERAGE('21.10 -Butongole-Bsembatya-24h'!C94,'19.10 Butongole-Busembatya-24h'!C94)</f>
        <v>0</v>
      </c>
      <c r="D94" s="49">
        <f>AVERAGE('21.10 -Butongole-Bsembatya-24h'!D94,'19.10 Butongole-Busembatya-24h'!D94)</f>
        <v>0</v>
      </c>
      <c r="E94" s="49">
        <f>AVERAGE('21.10 -Butongole-Bsembatya-24h'!E94,'19.10 Butongole-Busembatya-24h'!E94)</f>
        <v>0</v>
      </c>
      <c r="F94" s="49">
        <f>AVERAGE('21.10 -Butongole-Bsembatya-24h'!F94,'19.10 Butongole-Busembatya-24h'!F94)</f>
        <v>0.5</v>
      </c>
      <c r="G94" s="49">
        <f>AVERAGE('21.10 -Butongole-Bsembatya-24h'!G94,'19.10 Butongole-Busembatya-24h'!G94)</f>
        <v>0</v>
      </c>
      <c r="H94" s="49">
        <f>AVERAGE('21.10 -Butongole-Bsembatya-24h'!H94,'19.10 Butongole-Busembatya-24h'!H94)</f>
        <v>1.5</v>
      </c>
      <c r="I94" s="49">
        <f>AVERAGE('21.10 -Butongole-Bsembatya-24h'!I94,'19.10 Butongole-Busembatya-24h'!I94)</f>
        <v>2.5</v>
      </c>
      <c r="J94" s="49">
        <f>AVERAGE('21.10 -Butongole-Bsembatya-24h'!J94,'19.10 Butongole-Busembatya-24h'!J94)</f>
        <v>0</v>
      </c>
      <c r="K94" s="49">
        <f>AVERAGE('21.10 -Butongole-Bsembatya-24h'!K94,'19.10 Butongole-Busembatya-24h'!K94)</f>
        <v>0</v>
      </c>
      <c r="L94" s="49">
        <f>AVERAGE('21.10 -Butongole-Bsembatya-24h'!L94,'19.10 Butongole-Busembatya-24h'!L94)</f>
        <v>0</v>
      </c>
      <c r="M94" s="49">
        <f>AVERAGE('21.10 -Butongole-Bsembatya-24h'!M94,'19.10 Butongole-Busembatya-24h'!M94)</f>
        <v>0.5</v>
      </c>
      <c r="N94" s="49">
        <f>AVERAGE('21.10 -Butongole-Bsembatya-24h'!N94,'19.10 Butongole-Busembatya-24h'!N94)</f>
        <v>0</v>
      </c>
      <c r="O94" s="15">
        <f t="shared" si="35"/>
        <v>4.5</v>
      </c>
      <c r="P94" s="15">
        <f t="shared" si="36"/>
        <v>5</v>
      </c>
      <c r="R94" s="8"/>
      <c r="T94"/>
    </row>
    <row r="95" spans="2:20" ht="23.1" customHeight="1" x14ac:dyDescent="0.25">
      <c r="B95" s="23" t="s">
        <v>135</v>
      </c>
      <c r="C95" s="49">
        <f>AVERAGE('21.10 -Butongole-Bsembatya-24h'!C95,'19.10 Butongole-Busembatya-24h'!C95)</f>
        <v>0.5</v>
      </c>
      <c r="D95" s="49">
        <f>AVERAGE('21.10 -Butongole-Bsembatya-24h'!D95,'19.10 Butongole-Busembatya-24h'!D95)</f>
        <v>0</v>
      </c>
      <c r="E95" s="49">
        <f>AVERAGE('21.10 -Butongole-Bsembatya-24h'!E95,'19.10 Butongole-Busembatya-24h'!E95)</f>
        <v>0</v>
      </c>
      <c r="F95" s="49">
        <f>AVERAGE('21.10 -Butongole-Bsembatya-24h'!F95,'19.10 Butongole-Busembatya-24h'!F95)</f>
        <v>0</v>
      </c>
      <c r="G95" s="49">
        <f>AVERAGE('21.10 -Butongole-Bsembatya-24h'!G95,'19.10 Butongole-Busembatya-24h'!G95)</f>
        <v>0</v>
      </c>
      <c r="H95" s="49">
        <f>AVERAGE('21.10 -Butongole-Bsembatya-24h'!H95,'19.10 Butongole-Busembatya-24h'!H95)</f>
        <v>0</v>
      </c>
      <c r="I95" s="49">
        <f>AVERAGE('21.10 -Butongole-Bsembatya-24h'!I95,'19.10 Butongole-Busembatya-24h'!I95)</f>
        <v>2</v>
      </c>
      <c r="J95" s="49">
        <f>AVERAGE('21.10 -Butongole-Bsembatya-24h'!J95,'19.10 Butongole-Busembatya-24h'!J95)</f>
        <v>0</v>
      </c>
      <c r="K95" s="49">
        <f>AVERAGE('21.10 -Butongole-Bsembatya-24h'!K95,'19.10 Butongole-Busembatya-24h'!K95)</f>
        <v>0.5</v>
      </c>
      <c r="L95" s="49">
        <f>AVERAGE('21.10 -Butongole-Bsembatya-24h'!L95,'19.10 Butongole-Busembatya-24h'!L95)</f>
        <v>0</v>
      </c>
      <c r="M95" s="49">
        <f>AVERAGE('21.10 -Butongole-Bsembatya-24h'!M95,'19.10 Butongole-Busembatya-24h'!M95)</f>
        <v>0</v>
      </c>
      <c r="N95" s="49">
        <f>AVERAGE('21.10 -Butongole-Bsembatya-24h'!N95,'19.10 Butongole-Busembatya-24h'!N95)</f>
        <v>0</v>
      </c>
      <c r="O95" s="15">
        <f t="shared" si="35"/>
        <v>3</v>
      </c>
      <c r="P95" s="15">
        <f t="shared" si="36"/>
        <v>3</v>
      </c>
      <c r="R95" s="8"/>
      <c r="T95"/>
    </row>
    <row r="96" spans="2:20" ht="23.1" customHeight="1" x14ac:dyDescent="0.25">
      <c r="B96" s="25" t="s">
        <v>136</v>
      </c>
      <c r="C96" s="49">
        <f>AVERAGE('21.10 -Butongole-Bsembatya-24h'!C96,'19.10 Butongole-Busembatya-24h'!C96)</f>
        <v>0</v>
      </c>
      <c r="D96" s="49">
        <f>AVERAGE('21.10 -Butongole-Bsembatya-24h'!D96,'19.10 Butongole-Busembatya-24h'!D96)</f>
        <v>0</v>
      </c>
      <c r="E96" s="49">
        <f>AVERAGE('21.10 -Butongole-Bsembatya-24h'!E96,'19.10 Butongole-Busembatya-24h'!E96)</f>
        <v>0</v>
      </c>
      <c r="F96" s="49">
        <f>AVERAGE('21.10 -Butongole-Bsembatya-24h'!F96,'19.10 Butongole-Busembatya-24h'!F96)</f>
        <v>0</v>
      </c>
      <c r="G96" s="49">
        <f>AVERAGE('21.10 -Butongole-Bsembatya-24h'!G96,'19.10 Butongole-Busembatya-24h'!G96)</f>
        <v>0</v>
      </c>
      <c r="H96" s="49">
        <f>AVERAGE('21.10 -Butongole-Bsembatya-24h'!H96,'19.10 Butongole-Busembatya-24h'!H96)</f>
        <v>0</v>
      </c>
      <c r="I96" s="49">
        <f>AVERAGE('21.10 -Butongole-Bsembatya-24h'!I96,'19.10 Butongole-Busembatya-24h'!I96)</f>
        <v>1</v>
      </c>
      <c r="J96" s="49">
        <f>AVERAGE('21.10 -Butongole-Bsembatya-24h'!J96,'19.10 Butongole-Busembatya-24h'!J96)</f>
        <v>0</v>
      </c>
      <c r="K96" s="49">
        <f>AVERAGE('21.10 -Butongole-Bsembatya-24h'!K96,'19.10 Butongole-Busembatya-24h'!K96)</f>
        <v>1</v>
      </c>
      <c r="L96" s="49">
        <f>AVERAGE('21.10 -Butongole-Bsembatya-24h'!L96,'19.10 Butongole-Busembatya-24h'!L96)</f>
        <v>0</v>
      </c>
      <c r="M96" s="49">
        <f>AVERAGE('21.10 -Butongole-Bsembatya-24h'!M96,'19.10 Butongole-Busembatya-24h'!M96)</f>
        <v>0</v>
      </c>
      <c r="N96" s="49">
        <f>AVERAGE('21.10 -Butongole-Bsembatya-24h'!N96,'19.10 Butongole-Busembatya-24h'!N96)</f>
        <v>0</v>
      </c>
      <c r="O96" s="15">
        <f t="shared" si="35"/>
        <v>2</v>
      </c>
      <c r="P96" s="15">
        <f t="shared" si="36"/>
        <v>2</v>
      </c>
      <c r="R96" s="8"/>
      <c r="T96"/>
    </row>
    <row r="97" spans="2:20" ht="23.1" customHeight="1" x14ac:dyDescent="0.25">
      <c r="B97" s="23" t="s">
        <v>137</v>
      </c>
      <c r="C97" s="49">
        <f>AVERAGE('21.10 -Butongole-Bsembatya-24h'!C97,'19.10 Butongole-Busembatya-24h'!C97)</f>
        <v>0</v>
      </c>
      <c r="D97" s="49">
        <f>AVERAGE('21.10 -Butongole-Bsembatya-24h'!D97,'19.10 Butongole-Busembatya-24h'!D97)</f>
        <v>0</v>
      </c>
      <c r="E97" s="49">
        <f>AVERAGE('21.10 -Butongole-Bsembatya-24h'!E97,'19.10 Butongole-Busembatya-24h'!E97)</f>
        <v>0</v>
      </c>
      <c r="F97" s="49">
        <f>AVERAGE('21.10 -Butongole-Bsembatya-24h'!F97,'19.10 Butongole-Busembatya-24h'!F97)</f>
        <v>0.5</v>
      </c>
      <c r="G97" s="49">
        <f>AVERAGE('21.10 -Butongole-Bsembatya-24h'!G97,'19.10 Butongole-Busembatya-24h'!G97)</f>
        <v>0</v>
      </c>
      <c r="H97" s="49">
        <f>AVERAGE('21.10 -Butongole-Bsembatya-24h'!H97,'19.10 Butongole-Busembatya-24h'!H97)</f>
        <v>0.5</v>
      </c>
      <c r="I97" s="49">
        <f>AVERAGE('21.10 -Butongole-Bsembatya-24h'!I97,'19.10 Butongole-Busembatya-24h'!I97)</f>
        <v>1</v>
      </c>
      <c r="J97" s="49">
        <f>AVERAGE('21.10 -Butongole-Bsembatya-24h'!J97,'19.10 Butongole-Busembatya-24h'!J97)</f>
        <v>0</v>
      </c>
      <c r="K97" s="49">
        <f>AVERAGE('21.10 -Butongole-Bsembatya-24h'!K97,'19.10 Butongole-Busembatya-24h'!K97)</f>
        <v>0</v>
      </c>
      <c r="L97" s="49">
        <f>AVERAGE('21.10 -Butongole-Bsembatya-24h'!L97,'19.10 Butongole-Busembatya-24h'!L97)</f>
        <v>0</v>
      </c>
      <c r="M97" s="49">
        <f>AVERAGE('21.10 -Butongole-Bsembatya-24h'!M97,'19.10 Butongole-Busembatya-24h'!M97)</f>
        <v>0</v>
      </c>
      <c r="N97" s="49">
        <f>AVERAGE('21.10 -Butongole-Bsembatya-24h'!N97,'19.10 Butongole-Busembatya-24h'!N97)</f>
        <v>0</v>
      </c>
      <c r="O97" s="15">
        <f t="shared" si="35"/>
        <v>2</v>
      </c>
      <c r="P97" s="15">
        <f t="shared" si="36"/>
        <v>2</v>
      </c>
      <c r="R97" s="8"/>
      <c r="T97"/>
    </row>
    <row r="98" spans="2:20" ht="23.1" customHeight="1" x14ac:dyDescent="0.25">
      <c r="B98" s="24" t="s">
        <v>138</v>
      </c>
      <c r="C98" s="49">
        <f>AVERAGE('21.10 -Butongole-Bsembatya-24h'!C98,'19.10 Butongole-Busembatya-24h'!C98)</f>
        <v>1.5</v>
      </c>
      <c r="D98" s="49">
        <f>AVERAGE('21.10 -Butongole-Bsembatya-24h'!D98,'19.10 Butongole-Busembatya-24h'!D98)</f>
        <v>0</v>
      </c>
      <c r="E98" s="49">
        <f>AVERAGE('21.10 -Butongole-Bsembatya-24h'!E98,'19.10 Butongole-Busembatya-24h'!E98)</f>
        <v>0.5</v>
      </c>
      <c r="F98" s="49">
        <f>AVERAGE('21.10 -Butongole-Bsembatya-24h'!F98,'19.10 Butongole-Busembatya-24h'!F98)</f>
        <v>0.5</v>
      </c>
      <c r="G98" s="49">
        <f>AVERAGE('21.10 -Butongole-Bsembatya-24h'!G98,'19.10 Butongole-Busembatya-24h'!G98)</f>
        <v>0</v>
      </c>
      <c r="H98" s="49">
        <f>AVERAGE('21.10 -Butongole-Bsembatya-24h'!H98,'19.10 Butongole-Busembatya-24h'!H98)</f>
        <v>1</v>
      </c>
      <c r="I98" s="49">
        <f>AVERAGE('21.10 -Butongole-Bsembatya-24h'!I98,'19.10 Butongole-Busembatya-24h'!I98)</f>
        <v>0</v>
      </c>
      <c r="J98" s="49">
        <f>AVERAGE('21.10 -Butongole-Bsembatya-24h'!J98,'19.10 Butongole-Busembatya-24h'!J98)</f>
        <v>0</v>
      </c>
      <c r="K98" s="49">
        <f>AVERAGE('21.10 -Butongole-Bsembatya-24h'!K98,'19.10 Butongole-Busembatya-24h'!K98)</f>
        <v>0.5</v>
      </c>
      <c r="L98" s="49">
        <f>AVERAGE('21.10 -Butongole-Bsembatya-24h'!L98,'19.10 Butongole-Busembatya-24h'!L98)</f>
        <v>0.5</v>
      </c>
      <c r="M98" s="49">
        <f>AVERAGE('21.10 -Butongole-Bsembatya-24h'!M98,'19.10 Butongole-Busembatya-24h'!M98)</f>
        <v>0</v>
      </c>
      <c r="N98" s="49">
        <f>AVERAGE('21.10 -Butongole-Bsembatya-24h'!N98,'19.10 Butongole-Busembatya-24h'!N98)</f>
        <v>0</v>
      </c>
      <c r="O98" s="15">
        <f t="shared" si="35"/>
        <v>4.5</v>
      </c>
      <c r="P98" s="15">
        <f t="shared" si="36"/>
        <v>4.5</v>
      </c>
      <c r="R98" s="8"/>
      <c r="T98"/>
    </row>
    <row r="99" spans="2:20" ht="23.1" customHeight="1" x14ac:dyDescent="0.25">
      <c r="B99" s="23" t="s">
        <v>139</v>
      </c>
      <c r="C99" s="49">
        <f>AVERAGE('21.10 -Butongole-Bsembatya-24h'!C99,'19.10 Butongole-Busembatya-24h'!C99)</f>
        <v>0</v>
      </c>
      <c r="D99" s="49">
        <f>AVERAGE('21.10 -Butongole-Bsembatya-24h'!D99,'19.10 Butongole-Busembatya-24h'!D99)</f>
        <v>0</v>
      </c>
      <c r="E99" s="49">
        <f>AVERAGE('21.10 -Butongole-Bsembatya-24h'!E99,'19.10 Butongole-Busembatya-24h'!E99)</f>
        <v>0</v>
      </c>
      <c r="F99" s="49">
        <f>AVERAGE('21.10 -Butongole-Bsembatya-24h'!F99,'19.10 Butongole-Busembatya-24h'!F99)</f>
        <v>0</v>
      </c>
      <c r="G99" s="49">
        <f>AVERAGE('21.10 -Butongole-Bsembatya-24h'!G99,'19.10 Butongole-Busembatya-24h'!G99)</f>
        <v>0</v>
      </c>
      <c r="H99" s="49">
        <f>AVERAGE('21.10 -Butongole-Bsembatya-24h'!H99,'19.10 Butongole-Busembatya-24h'!H99)</f>
        <v>0.5</v>
      </c>
      <c r="I99" s="49">
        <f>AVERAGE('21.10 -Butongole-Bsembatya-24h'!I99,'19.10 Butongole-Busembatya-24h'!I99)</f>
        <v>1.5</v>
      </c>
      <c r="J99" s="49">
        <f>AVERAGE('21.10 -Butongole-Bsembatya-24h'!J99,'19.10 Butongole-Busembatya-24h'!J99)</f>
        <v>0</v>
      </c>
      <c r="K99" s="49">
        <f>AVERAGE('21.10 -Butongole-Bsembatya-24h'!K99,'19.10 Butongole-Busembatya-24h'!K99)</f>
        <v>0.5</v>
      </c>
      <c r="L99" s="49">
        <f>AVERAGE('21.10 -Butongole-Bsembatya-24h'!L99,'19.10 Butongole-Busembatya-24h'!L99)</f>
        <v>0</v>
      </c>
      <c r="M99" s="49">
        <f>AVERAGE('21.10 -Butongole-Bsembatya-24h'!M99,'19.10 Butongole-Busembatya-24h'!M99)</f>
        <v>0</v>
      </c>
      <c r="N99" s="49">
        <f>AVERAGE('21.10 -Butongole-Bsembatya-24h'!N99,'19.10 Butongole-Busembatya-24h'!N99)</f>
        <v>0</v>
      </c>
      <c r="O99" s="15">
        <f t="shared" si="35"/>
        <v>2.5</v>
      </c>
      <c r="P99" s="15">
        <f t="shared" si="36"/>
        <v>2.5</v>
      </c>
      <c r="R99" s="8"/>
      <c r="T99"/>
    </row>
    <row r="100" spans="2:20" ht="23.1" customHeight="1" x14ac:dyDescent="0.25">
      <c r="B100" s="25" t="s">
        <v>140</v>
      </c>
      <c r="C100" s="49">
        <f>AVERAGE('21.10 -Butongole-Bsembatya-24h'!C100,'19.10 Butongole-Busembatya-24h'!C100)</f>
        <v>2</v>
      </c>
      <c r="D100" s="49">
        <f>AVERAGE('21.10 -Butongole-Bsembatya-24h'!D100,'19.10 Butongole-Busembatya-24h'!D100)</f>
        <v>1</v>
      </c>
      <c r="E100" s="49">
        <f>AVERAGE('21.10 -Butongole-Bsembatya-24h'!E100,'19.10 Butongole-Busembatya-24h'!E100)</f>
        <v>0</v>
      </c>
      <c r="F100" s="49">
        <f>AVERAGE('21.10 -Butongole-Bsembatya-24h'!F100,'19.10 Butongole-Busembatya-24h'!F100)</f>
        <v>1</v>
      </c>
      <c r="G100" s="49">
        <f>AVERAGE('21.10 -Butongole-Bsembatya-24h'!G100,'19.10 Butongole-Busembatya-24h'!G100)</f>
        <v>0</v>
      </c>
      <c r="H100" s="49">
        <f>AVERAGE('21.10 -Butongole-Bsembatya-24h'!H100,'19.10 Butongole-Busembatya-24h'!H100)</f>
        <v>0</v>
      </c>
      <c r="I100" s="49">
        <f>AVERAGE('21.10 -Butongole-Bsembatya-24h'!I100,'19.10 Butongole-Busembatya-24h'!I100)</f>
        <v>0.5</v>
      </c>
      <c r="J100" s="49">
        <f>AVERAGE('21.10 -Butongole-Bsembatya-24h'!J100,'19.10 Butongole-Busembatya-24h'!J100)</f>
        <v>0</v>
      </c>
      <c r="K100" s="49">
        <f>AVERAGE('21.10 -Butongole-Bsembatya-24h'!K100,'19.10 Butongole-Busembatya-24h'!K100)</f>
        <v>0</v>
      </c>
      <c r="L100" s="49">
        <f>AVERAGE('21.10 -Butongole-Bsembatya-24h'!L100,'19.10 Butongole-Busembatya-24h'!L100)</f>
        <v>0.5</v>
      </c>
      <c r="M100" s="49">
        <f>AVERAGE('21.10 -Butongole-Bsembatya-24h'!M100,'19.10 Butongole-Busembatya-24h'!M100)</f>
        <v>0.5</v>
      </c>
      <c r="N100" s="49">
        <f>AVERAGE('21.10 -Butongole-Bsembatya-24h'!N100,'19.10 Butongole-Busembatya-24h'!N100)</f>
        <v>0</v>
      </c>
      <c r="O100" s="15">
        <f t="shared" si="35"/>
        <v>5</v>
      </c>
      <c r="P100" s="15">
        <f t="shared" si="36"/>
        <v>5.5</v>
      </c>
      <c r="R100" s="8"/>
      <c r="T100"/>
    </row>
    <row r="101" spans="2:20" ht="23.1" customHeight="1" x14ac:dyDescent="0.25">
      <c r="B101" s="23" t="s">
        <v>141</v>
      </c>
      <c r="C101" s="49">
        <f>AVERAGE('21.10 -Butongole-Bsembatya-24h'!C101,'19.10 Butongole-Busembatya-24h'!C101)</f>
        <v>0</v>
      </c>
      <c r="D101" s="49">
        <f>AVERAGE('21.10 -Butongole-Bsembatya-24h'!D101,'19.10 Butongole-Busembatya-24h'!D101)</f>
        <v>0</v>
      </c>
      <c r="E101" s="49">
        <f>AVERAGE('21.10 -Butongole-Bsembatya-24h'!E101,'19.10 Butongole-Busembatya-24h'!E101)</f>
        <v>0</v>
      </c>
      <c r="F101" s="49">
        <f>AVERAGE('21.10 -Butongole-Bsembatya-24h'!F101,'19.10 Butongole-Busembatya-24h'!F101)</f>
        <v>1</v>
      </c>
      <c r="G101" s="49">
        <f>AVERAGE('21.10 -Butongole-Bsembatya-24h'!G101,'19.10 Butongole-Busembatya-24h'!G101)</f>
        <v>0</v>
      </c>
      <c r="H101" s="49">
        <f>AVERAGE('21.10 -Butongole-Bsembatya-24h'!H101,'19.10 Butongole-Busembatya-24h'!H101)</f>
        <v>0</v>
      </c>
      <c r="I101" s="49">
        <f>AVERAGE('21.10 -Butongole-Bsembatya-24h'!I101,'19.10 Butongole-Busembatya-24h'!I101)</f>
        <v>0.5</v>
      </c>
      <c r="J101" s="49">
        <f>AVERAGE('21.10 -Butongole-Bsembatya-24h'!J101,'19.10 Butongole-Busembatya-24h'!J101)</f>
        <v>0</v>
      </c>
      <c r="K101" s="49">
        <f>AVERAGE('21.10 -Butongole-Bsembatya-24h'!K101,'19.10 Butongole-Busembatya-24h'!K101)</f>
        <v>0</v>
      </c>
      <c r="L101" s="49">
        <f>AVERAGE('21.10 -Butongole-Bsembatya-24h'!L101,'19.10 Butongole-Busembatya-24h'!L101)</f>
        <v>0</v>
      </c>
      <c r="M101" s="49">
        <f>AVERAGE('21.10 -Butongole-Bsembatya-24h'!M101,'19.10 Butongole-Busembatya-24h'!M101)</f>
        <v>1.5</v>
      </c>
      <c r="N101" s="49">
        <f>AVERAGE('21.10 -Butongole-Bsembatya-24h'!N101,'19.10 Butongole-Busembatya-24h'!N101)</f>
        <v>0</v>
      </c>
      <c r="O101" s="15">
        <f t="shared" si="35"/>
        <v>1.5</v>
      </c>
      <c r="P101" s="15">
        <f t="shared" si="36"/>
        <v>3</v>
      </c>
      <c r="R101" s="8"/>
      <c r="T101"/>
    </row>
    <row r="102" spans="2:20" ht="23.1" customHeight="1" x14ac:dyDescent="0.25">
      <c r="B102" s="24" t="s">
        <v>142</v>
      </c>
      <c r="C102" s="49">
        <f>AVERAGE('21.10 -Butongole-Bsembatya-24h'!C102,'19.10 Butongole-Busembatya-24h'!C102)</f>
        <v>1.5</v>
      </c>
      <c r="D102" s="49">
        <f>AVERAGE('21.10 -Butongole-Bsembatya-24h'!D102,'19.10 Butongole-Busembatya-24h'!D102)</f>
        <v>1</v>
      </c>
      <c r="E102" s="49">
        <f>AVERAGE('21.10 -Butongole-Bsembatya-24h'!E102,'19.10 Butongole-Busembatya-24h'!E102)</f>
        <v>0</v>
      </c>
      <c r="F102" s="49">
        <f>AVERAGE('21.10 -Butongole-Bsembatya-24h'!F102,'19.10 Butongole-Busembatya-24h'!F102)</f>
        <v>1</v>
      </c>
      <c r="G102" s="49">
        <f>AVERAGE('21.10 -Butongole-Bsembatya-24h'!G102,'19.10 Butongole-Busembatya-24h'!G102)</f>
        <v>0</v>
      </c>
      <c r="H102" s="49">
        <f>AVERAGE('21.10 -Butongole-Bsembatya-24h'!H102,'19.10 Butongole-Busembatya-24h'!H102)</f>
        <v>0.5</v>
      </c>
      <c r="I102" s="49">
        <f>AVERAGE('21.10 -Butongole-Bsembatya-24h'!I102,'19.10 Butongole-Busembatya-24h'!I102)</f>
        <v>1.5</v>
      </c>
      <c r="J102" s="49">
        <f>AVERAGE('21.10 -Butongole-Bsembatya-24h'!J102,'19.10 Butongole-Busembatya-24h'!J102)</f>
        <v>0.5</v>
      </c>
      <c r="K102" s="49">
        <f>AVERAGE('21.10 -Butongole-Bsembatya-24h'!K102,'19.10 Butongole-Busembatya-24h'!K102)</f>
        <v>1</v>
      </c>
      <c r="L102" s="49">
        <f>AVERAGE('21.10 -Butongole-Bsembatya-24h'!L102,'19.10 Butongole-Busembatya-24h'!L102)</f>
        <v>0.5</v>
      </c>
      <c r="M102" s="49">
        <f>AVERAGE('21.10 -Butongole-Bsembatya-24h'!M102,'19.10 Butongole-Busembatya-24h'!M102)</f>
        <v>4.5</v>
      </c>
      <c r="N102" s="49">
        <f>AVERAGE('21.10 -Butongole-Bsembatya-24h'!N102,'19.10 Butongole-Busembatya-24h'!N102)</f>
        <v>0</v>
      </c>
      <c r="O102" s="15">
        <f t="shared" si="35"/>
        <v>7.5</v>
      </c>
      <c r="P102" s="15">
        <f t="shared" si="36"/>
        <v>12</v>
      </c>
      <c r="R102" s="8"/>
      <c r="T102"/>
    </row>
    <row r="103" spans="2:20" ht="23.1" customHeight="1" x14ac:dyDescent="0.25">
      <c r="B103" s="23" t="s">
        <v>143</v>
      </c>
      <c r="C103" s="49">
        <f>AVERAGE('21.10 -Butongole-Bsembatya-24h'!C103,'19.10 Butongole-Busembatya-24h'!C103)</f>
        <v>0.5</v>
      </c>
      <c r="D103" s="49">
        <f>AVERAGE('21.10 -Butongole-Bsembatya-24h'!D103,'19.10 Butongole-Busembatya-24h'!D103)</f>
        <v>0</v>
      </c>
      <c r="E103" s="49">
        <f>AVERAGE('21.10 -Butongole-Bsembatya-24h'!E103,'19.10 Butongole-Busembatya-24h'!E103)</f>
        <v>1</v>
      </c>
      <c r="F103" s="49">
        <f>AVERAGE('21.10 -Butongole-Bsembatya-24h'!F103,'19.10 Butongole-Busembatya-24h'!F103)</f>
        <v>2</v>
      </c>
      <c r="G103" s="49">
        <f>AVERAGE('21.10 -Butongole-Bsembatya-24h'!G103,'19.10 Butongole-Busembatya-24h'!G103)</f>
        <v>0</v>
      </c>
      <c r="H103" s="49">
        <f>AVERAGE('21.10 -Butongole-Bsembatya-24h'!H103,'19.10 Butongole-Busembatya-24h'!H103)</f>
        <v>0</v>
      </c>
      <c r="I103" s="49">
        <f>AVERAGE('21.10 -Butongole-Bsembatya-24h'!I103,'19.10 Butongole-Busembatya-24h'!I103)</f>
        <v>3</v>
      </c>
      <c r="J103" s="49">
        <f>AVERAGE('21.10 -Butongole-Bsembatya-24h'!J103,'19.10 Butongole-Busembatya-24h'!J103)</f>
        <v>0</v>
      </c>
      <c r="K103" s="49">
        <f>AVERAGE('21.10 -Butongole-Bsembatya-24h'!K103,'19.10 Butongole-Busembatya-24h'!K103)</f>
        <v>0</v>
      </c>
      <c r="L103" s="49">
        <f>AVERAGE('21.10 -Butongole-Bsembatya-24h'!L103,'19.10 Butongole-Busembatya-24h'!L103)</f>
        <v>0.5</v>
      </c>
      <c r="M103" s="49">
        <f>AVERAGE('21.10 -Butongole-Bsembatya-24h'!M103,'19.10 Butongole-Busembatya-24h'!M103)</f>
        <v>1.5</v>
      </c>
      <c r="N103" s="49">
        <f>AVERAGE('21.10 -Butongole-Bsembatya-24h'!N103,'19.10 Butongole-Busembatya-24h'!N103)</f>
        <v>0</v>
      </c>
      <c r="O103" s="15">
        <f t="shared" si="35"/>
        <v>7</v>
      </c>
      <c r="P103" s="15">
        <f t="shared" si="36"/>
        <v>8.5</v>
      </c>
      <c r="R103" s="8"/>
      <c r="T103"/>
    </row>
    <row r="104" spans="2:20" ht="23.1" customHeight="1" x14ac:dyDescent="0.25">
      <c r="B104" s="25" t="s">
        <v>144</v>
      </c>
      <c r="C104" s="49">
        <f>AVERAGE('21.10 -Butongole-Bsembatya-24h'!C104,'19.10 Butongole-Busembatya-24h'!C104)</f>
        <v>1.5</v>
      </c>
      <c r="D104" s="49">
        <f>AVERAGE('21.10 -Butongole-Bsembatya-24h'!D104,'19.10 Butongole-Busembatya-24h'!D104)</f>
        <v>0.5</v>
      </c>
      <c r="E104" s="49">
        <f>AVERAGE('21.10 -Butongole-Bsembatya-24h'!E104,'19.10 Butongole-Busembatya-24h'!E104)</f>
        <v>0.5</v>
      </c>
      <c r="F104" s="49">
        <f>AVERAGE('21.10 -Butongole-Bsembatya-24h'!F104,'19.10 Butongole-Busembatya-24h'!F104)</f>
        <v>2.5</v>
      </c>
      <c r="G104" s="49">
        <f>AVERAGE('21.10 -Butongole-Bsembatya-24h'!G104,'19.10 Butongole-Busembatya-24h'!G104)</f>
        <v>0</v>
      </c>
      <c r="H104" s="49">
        <f>AVERAGE('21.10 -Butongole-Bsembatya-24h'!H104,'19.10 Butongole-Busembatya-24h'!H104)</f>
        <v>0</v>
      </c>
      <c r="I104" s="49">
        <f>AVERAGE('21.10 -Butongole-Bsembatya-24h'!I104,'19.10 Butongole-Busembatya-24h'!I104)</f>
        <v>2</v>
      </c>
      <c r="J104" s="49">
        <f>AVERAGE('21.10 -Butongole-Bsembatya-24h'!J104,'19.10 Butongole-Busembatya-24h'!J104)</f>
        <v>0</v>
      </c>
      <c r="K104" s="49">
        <f>AVERAGE('21.10 -Butongole-Bsembatya-24h'!K104,'19.10 Butongole-Busembatya-24h'!K104)</f>
        <v>0.5</v>
      </c>
      <c r="L104" s="49">
        <f>AVERAGE('21.10 -Butongole-Bsembatya-24h'!L104,'19.10 Butongole-Busembatya-24h'!L104)</f>
        <v>0.5</v>
      </c>
      <c r="M104" s="49">
        <f>AVERAGE('21.10 -Butongole-Bsembatya-24h'!M104,'19.10 Butongole-Busembatya-24h'!M104)</f>
        <v>6</v>
      </c>
      <c r="N104" s="49">
        <f>AVERAGE('21.10 -Butongole-Bsembatya-24h'!N104,'19.10 Butongole-Busembatya-24h'!N104)</f>
        <v>0</v>
      </c>
      <c r="O104" s="15">
        <f t="shared" si="35"/>
        <v>8</v>
      </c>
      <c r="P104" s="15">
        <f t="shared" si="36"/>
        <v>14</v>
      </c>
      <c r="R104" s="8"/>
      <c r="T104"/>
    </row>
    <row r="105" spans="2:20" ht="23.1" customHeight="1" x14ac:dyDescent="0.25">
      <c r="B105" s="23" t="s">
        <v>145</v>
      </c>
      <c r="C105" s="49">
        <f>AVERAGE('21.10 -Butongole-Bsembatya-24h'!C105,'19.10 Butongole-Busembatya-24h'!C105)</f>
        <v>4</v>
      </c>
      <c r="D105" s="49">
        <f>AVERAGE('21.10 -Butongole-Bsembatya-24h'!D105,'19.10 Butongole-Busembatya-24h'!D105)</f>
        <v>0</v>
      </c>
      <c r="E105" s="49">
        <f>AVERAGE('21.10 -Butongole-Bsembatya-24h'!E105,'19.10 Butongole-Busembatya-24h'!E105)</f>
        <v>2</v>
      </c>
      <c r="F105" s="49">
        <f>AVERAGE('21.10 -Butongole-Bsembatya-24h'!F105,'19.10 Butongole-Busembatya-24h'!F105)</f>
        <v>3.5</v>
      </c>
      <c r="G105" s="49">
        <f>AVERAGE('21.10 -Butongole-Bsembatya-24h'!G105,'19.10 Butongole-Busembatya-24h'!G105)</f>
        <v>0</v>
      </c>
      <c r="H105" s="49">
        <f>AVERAGE('21.10 -Butongole-Bsembatya-24h'!H105,'19.10 Butongole-Busembatya-24h'!H105)</f>
        <v>0</v>
      </c>
      <c r="I105" s="49">
        <f>AVERAGE('21.10 -Butongole-Bsembatya-24h'!I105,'19.10 Butongole-Busembatya-24h'!I105)</f>
        <v>1</v>
      </c>
      <c r="J105" s="49">
        <f>AVERAGE('21.10 -Butongole-Bsembatya-24h'!J105,'19.10 Butongole-Busembatya-24h'!J105)</f>
        <v>0</v>
      </c>
      <c r="K105" s="49">
        <f>AVERAGE('21.10 -Butongole-Bsembatya-24h'!K105,'19.10 Butongole-Busembatya-24h'!K105)</f>
        <v>0</v>
      </c>
      <c r="L105" s="49">
        <f>AVERAGE('21.10 -Butongole-Bsembatya-24h'!L105,'19.10 Butongole-Busembatya-24h'!L105)</f>
        <v>0</v>
      </c>
      <c r="M105" s="49">
        <f>AVERAGE('21.10 -Butongole-Bsembatya-24h'!M105,'19.10 Butongole-Busembatya-24h'!M105)</f>
        <v>13</v>
      </c>
      <c r="N105" s="49">
        <f>AVERAGE('21.10 -Butongole-Bsembatya-24h'!N105,'19.10 Butongole-Busembatya-24h'!N105)</f>
        <v>0</v>
      </c>
      <c r="O105" s="15">
        <f t="shared" si="35"/>
        <v>10.5</v>
      </c>
      <c r="P105" s="15">
        <f t="shared" si="36"/>
        <v>23.5</v>
      </c>
      <c r="R105" s="8"/>
      <c r="T105"/>
    </row>
    <row r="106" spans="2:20" ht="23.1" customHeight="1" x14ac:dyDescent="0.25">
      <c r="B106" s="26" t="s">
        <v>18</v>
      </c>
      <c r="C106" s="16">
        <f>SUM(C10:C105)</f>
        <v>269.42857142857144</v>
      </c>
      <c r="D106" s="16">
        <f t="shared" ref="D106:P106" si="37">SUM(D10:D105)</f>
        <v>120.21428571428572</v>
      </c>
      <c r="E106" s="16">
        <f t="shared" si="37"/>
        <v>148.07142857142856</v>
      </c>
      <c r="F106" s="16">
        <f t="shared" si="37"/>
        <v>537.42857142857156</v>
      </c>
      <c r="G106" s="16">
        <f t="shared" si="37"/>
        <v>25.571428571428569</v>
      </c>
      <c r="H106" s="16">
        <f t="shared" si="37"/>
        <v>35.785714285714292</v>
      </c>
      <c r="I106" s="16">
        <f t="shared" si="37"/>
        <v>148.64285714285717</v>
      </c>
      <c r="J106" s="16">
        <f t="shared" si="37"/>
        <v>65.428571428571431</v>
      </c>
      <c r="K106" s="16">
        <f t="shared" si="37"/>
        <v>55.357142857142861</v>
      </c>
      <c r="L106" s="16">
        <f t="shared" si="37"/>
        <v>29.285714285714281</v>
      </c>
      <c r="M106" s="16">
        <f t="shared" si="37"/>
        <v>726.14285714285711</v>
      </c>
      <c r="N106" s="16">
        <f t="shared" si="37"/>
        <v>1.714285714285714</v>
      </c>
      <c r="O106" s="16">
        <f t="shared" si="37"/>
        <v>1436.9285714285711</v>
      </c>
      <c r="P106" s="16">
        <f t="shared" si="37"/>
        <v>2163.0714285714284</v>
      </c>
      <c r="Q106" s="8"/>
      <c r="R106" s="8"/>
      <c r="S106"/>
      <c r="T106"/>
    </row>
    <row r="107" spans="2:20" ht="23.1" customHeight="1" x14ac:dyDescent="0.25">
      <c r="B107" s="26" t="s">
        <v>93</v>
      </c>
      <c r="C107" s="43">
        <f t="shared" ref="C107:N107" si="38">C106/$P$106</f>
        <v>0.12455833305815145</v>
      </c>
      <c r="D107" s="43">
        <f t="shared" si="38"/>
        <v>5.5575735561205965E-2</v>
      </c>
      <c r="E107" s="43">
        <f t="shared" si="38"/>
        <v>6.8454248258098593E-2</v>
      </c>
      <c r="F107" s="43">
        <f t="shared" si="38"/>
        <v>0.24845622956774435</v>
      </c>
      <c r="G107" s="43">
        <f t="shared" si="38"/>
        <v>1.182181421919889E-2</v>
      </c>
      <c r="H107" s="43">
        <f t="shared" si="38"/>
        <v>1.6543935541392864E-2</v>
      </c>
      <c r="I107" s="43">
        <f t="shared" si="38"/>
        <v>6.8718422877522056E-2</v>
      </c>
      <c r="J107" s="43">
        <f t="shared" si="38"/>
        <v>3.0247993923983755E-2</v>
      </c>
      <c r="K107" s="43">
        <f t="shared" si="38"/>
        <v>2.5591916256645645E-2</v>
      </c>
      <c r="L107" s="43">
        <f t="shared" si="38"/>
        <v>1.3538949245451242E-2</v>
      </c>
      <c r="M107" s="43">
        <f t="shared" si="38"/>
        <v>0.33569989763233499</v>
      </c>
      <c r="N107" s="43">
        <f t="shared" si="38"/>
        <v>7.9252385827031653E-4</v>
      </c>
      <c r="R107" s="8"/>
      <c r="T107"/>
    </row>
    <row r="108" spans="2:20" ht="23.1" customHeight="1" x14ac:dyDescent="0.25">
      <c r="B108" s="42" t="s">
        <v>94</v>
      </c>
      <c r="C108" s="44">
        <f>C106/$O$106</f>
        <v>0.18750310682507337</v>
      </c>
      <c r="D108" s="44">
        <f t="shared" ref="D108:N108" si="39">D106/$O$106</f>
        <v>8.3660585574389851E-2</v>
      </c>
      <c r="E108" s="44">
        <f t="shared" si="39"/>
        <v>0.10304717403191332</v>
      </c>
      <c r="F108" s="44">
        <f t="shared" si="39"/>
        <v>0.37401202962668406</v>
      </c>
      <c r="G108" s="44">
        <f t="shared" si="39"/>
        <v>1.7795894019983102E-2</v>
      </c>
      <c r="H108" s="44">
        <f t="shared" si="39"/>
        <v>2.4904309787741722E-2</v>
      </c>
      <c r="I108" s="44">
        <f t="shared" si="39"/>
        <v>0.10344484764129845</v>
      </c>
      <c r="J108" s="44">
        <f t="shared" si="39"/>
        <v>4.5533628274593639E-2</v>
      </c>
      <c r="K108" s="44">
        <f t="shared" si="39"/>
        <v>3.8524630909181304E-2</v>
      </c>
      <c r="L108" s="44">
        <f t="shared" si="39"/>
        <v>2.0380772480986232E-2</v>
      </c>
      <c r="M108" s="44"/>
      <c r="N108" s="44">
        <f t="shared" si="39"/>
        <v>1.1930208281552917E-3</v>
      </c>
      <c r="Q108" s="7"/>
      <c r="R108" s="8"/>
      <c r="T108"/>
    </row>
    <row r="109" spans="2:20" ht="20.100000000000001" customHeight="1" x14ac:dyDescent="0.25">
      <c r="B109" s="3"/>
      <c r="C109" s="18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Q109" s="7"/>
      <c r="R109" s="8"/>
      <c r="T109"/>
    </row>
    <row r="110" spans="2:20" ht="20.100000000000001" customHeight="1" x14ac:dyDescent="0.25">
      <c r="B110" s="3"/>
      <c r="C110" s="18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Q110" s="7"/>
      <c r="R110" s="8"/>
      <c r="T110"/>
    </row>
    <row r="111" spans="2:20" ht="20.100000000000001" customHeight="1" x14ac:dyDescent="0.25">
      <c r="B111" s="3"/>
      <c r="C111" s="18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Q111" s="7"/>
    </row>
    <row r="112" spans="2:20" ht="20.100000000000001" customHeight="1" x14ac:dyDescent="0.25">
      <c r="B112" s="3"/>
      <c r="C112" s="18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Q112" s="7"/>
    </row>
    <row r="113" spans="2:20" s="7" customFormat="1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/>
      <c r="P113"/>
      <c r="S113" s="8"/>
      <c r="T113" s="8"/>
    </row>
    <row r="114" spans="2:20" s="7" customFormat="1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/>
      <c r="P114"/>
      <c r="S114" s="8"/>
      <c r="T114" s="8"/>
    </row>
    <row r="115" spans="2:20" s="7" customFormat="1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/>
      <c r="P115"/>
      <c r="S115" s="8"/>
      <c r="T115" s="8"/>
    </row>
    <row r="116" spans="2:20" s="7" customFormat="1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/>
      <c r="P116"/>
      <c r="S116" s="8"/>
      <c r="T116" s="8"/>
    </row>
    <row r="117" spans="2:20" s="7" customFormat="1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/>
      <c r="P117"/>
      <c r="S117" s="8"/>
      <c r="T117" s="8"/>
    </row>
    <row r="118" spans="2:20" s="7" customFormat="1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/>
      <c r="P118"/>
      <c r="S118" s="8"/>
      <c r="T118" s="8"/>
    </row>
    <row r="119" spans="2:20" s="7" customFormat="1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/>
      <c r="P119"/>
      <c r="S119" s="8"/>
      <c r="T119" s="8"/>
    </row>
    <row r="120" spans="2:20" s="7" customFormat="1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/>
      <c r="P120"/>
      <c r="S120" s="8"/>
      <c r="T120" s="8"/>
    </row>
    <row r="121" spans="2:20" s="7" customFormat="1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/>
      <c r="P121"/>
      <c r="S121" s="8"/>
      <c r="T121" s="8"/>
    </row>
    <row r="122" spans="2:20" s="7" customFormat="1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/>
      <c r="P122"/>
      <c r="S122" s="8"/>
      <c r="T122" s="8"/>
    </row>
    <row r="123" spans="2:20" s="7" customFormat="1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/>
      <c r="P123"/>
      <c r="S123" s="8"/>
      <c r="T123" s="8"/>
    </row>
    <row r="124" spans="2:20" s="7" customFormat="1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/>
      <c r="P124"/>
      <c r="S124" s="8"/>
      <c r="T124" s="8"/>
    </row>
    <row r="125" spans="2:20" s="7" customFormat="1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/>
      <c r="P125"/>
      <c r="Q125"/>
      <c r="S125" s="8"/>
      <c r="T125" s="8"/>
    </row>
    <row r="126" spans="2:20" s="7" customFormat="1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/>
      <c r="P126"/>
      <c r="Q126"/>
      <c r="S126" s="8"/>
      <c r="T126" s="8"/>
    </row>
    <row r="127" spans="2:20" s="7" customFormat="1" ht="20.100000000000001" customHeight="1" x14ac:dyDescent="0.25"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/>
      <c r="P127"/>
      <c r="Q127"/>
      <c r="S127" s="8"/>
      <c r="T127" s="8"/>
    </row>
    <row r="128" spans="2:20" s="7" customFormat="1" ht="20.100000000000001" customHeight="1" x14ac:dyDescent="0.25"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/>
      <c r="P128"/>
      <c r="Q128"/>
      <c r="S128" s="8"/>
      <c r="T128" s="8"/>
    </row>
    <row r="129" spans="2:14" ht="20.100000000000001" customHeight="1" x14ac:dyDescent="0.25"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</row>
    <row r="130" spans="2:14" ht="20.100000000000001" customHeight="1" x14ac:dyDescent="0.25"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</row>
    <row r="131" spans="2:14" ht="20.100000000000001" customHeight="1" x14ac:dyDescent="0.25"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</row>
    <row r="132" spans="2:14" ht="20.100000000000001" customHeight="1" x14ac:dyDescent="0.25"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</row>
    <row r="133" spans="2:14" ht="20.100000000000001" customHeight="1" x14ac:dyDescent="0.25"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</row>
    <row r="134" spans="2:14" ht="20.100000000000001" customHeight="1" x14ac:dyDescent="0.25"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</row>
    <row r="135" spans="2:14" ht="20.100000000000001" customHeight="1" x14ac:dyDescent="0.25"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</row>
    <row r="136" spans="2:14" ht="20.100000000000001" customHeight="1" x14ac:dyDescent="0.25"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</row>
    <row r="137" spans="2:14" ht="20.100000000000001" customHeight="1" x14ac:dyDescent="0.25"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</row>
    <row r="138" spans="2:14" ht="20.100000000000001" customHeight="1" x14ac:dyDescent="0.25"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</row>
    <row r="139" spans="2:14" ht="20.100000000000001" customHeight="1" x14ac:dyDescent="0.25"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</row>
    <row r="140" spans="2:14" ht="20.100000000000001" customHeight="1" x14ac:dyDescent="0.25"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</row>
    <row r="141" spans="2:14" ht="20.100000000000001" customHeight="1" x14ac:dyDescent="0.25"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</row>
    <row r="142" spans="2:14" ht="20.100000000000001" customHeight="1" x14ac:dyDescent="0.25"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</row>
    <row r="143" spans="2:14" ht="20.100000000000001" customHeight="1" x14ac:dyDescent="0.25"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</row>
    <row r="144" spans="2:14" ht="20.100000000000001" customHeight="1" x14ac:dyDescent="0.25"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</row>
    <row r="145" spans="2:14" ht="20.100000000000001" customHeight="1" x14ac:dyDescent="0.25"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</row>
    <row r="146" spans="2:14" ht="20.100000000000001" customHeight="1" x14ac:dyDescent="0.25"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</row>
    <row r="147" spans="2:14" ht="20.100000000000001" customHeight="1" x14ac:dyDescent="0.25"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</row>
    <row r="148" spans="2:14" ht="20.100000000000001" customHeight="1" x14ac:dyDescent="0.25"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</row>
    <row r="149" spans="2:14" ht="20.100000000000001" customHeight="1" x14ac:dyDescent="0.25"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</row>
    <row r="150" spans="2:14" ht="20.100000000000001" customHeight="1" x14ac:dyDescent="0.25"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</row>
    <row r="151" spans="2:14" ht="20.100000000000001" customHeight="1" x14ac:dyDescent="0.25"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</row>
    <row r="152" spans="2:14" ht="22.5" customHeight="1" x14ac:dyDescent="0.25"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</row>
    <row r="153" spans="2:14" ht="20.100000000000001" customHeight="1" x14ac:dyDescent="0.25"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</row>
    <row r="154" spans="2:14" ht="20.100000000000001" customHeight="1" x14ac:dyDescent="0.25"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</row>
    <row r="155" spans="2:14" ht="20.100000000000001" customHeight="1" x14ac:dyDescent="0.25"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</row>
    <row r="156" spans="2:14" ht="20.100000000000001" customHeight="1" x14ac:dyDescent="0.25"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</row>
    <row r="157" spans="2:14" ht="20.100000000000001" customHeight="1" x14ac:dyDescent="0.25"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</row>
    <row r="158" spans="2:14" ht="20.100000000000001" customHeight="1" x14ac:dyDescent="0.25"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</row>
    <row r="159" spans="2:14" ht="20.100000000000001" customHeight="1" x14ac:dyDescent="0.25"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</row>
    <row r="160" spans="2:14" ht="20.100000000000001" customHeight="1" x14ac:dyDescent="0.25"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</row>
    <row r="161" spans="2:14" ht="20.100000000000001" customHeight="1" x14ac:dyDescent="0.25"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</row>
    <row r="162" spans="2:14" ht="20.100000000000001" customHeight="1" x14ac:dyDescent="0.25"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</row>
    <row r="163" spans="2:14" ht="20.100000000000001" customHeight="1" x14ac:dyDescent="0.25"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</row>
    <row r="164" spans="2:14" ht="20.100000000000001" customHeight="1" x14ac:dyDescent="0.25"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</row>
    <row r="165" spans="2:14" ht="20.100000000000001" customHeight="1" x14ac:dyDescent="0.25"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</row>
    <row r="166" spans="2:14" ht="20.100000000000001" customHeight="1" x14ac:dyDescent="0.25"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</row>
    <row r="167" spans="2:14" ht="20.100000000000001" customHeight="1" x14ac:dyDescent="0.25"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</row>
    <row r="168" spans="2:14" ht="20.100000000000001" customHeight="1" x14ac:dyDescent="0.25"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</row>
    <row r="169" spans="2:14" ht="20.100000000000001" customHeight="1" x14ac:dyDescent="0.25"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</row>
    <row r="170" spans="2:14" ht="20.100000000000001" customHeight="1" x14ac:dyDescent="0.25"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</row>
    <row r="171" spans="2:14" ht="20.100000000000001" customHeight="1" x14ac:dyDescent="0.25"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</row>
    <row r="172" spans="2:14" ht="20.100000000000001" customHeight="1" x14ac:dyDescent="0.25"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</row>
    <row r="173" spans="2:14" ht="20.100000000000001" customHeight="1" x14ac:dyDescent="0.25"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</row>
    <row r="174" spans="2:14" ht="20.100000000000001" customHeight="1" x14ac:dyDescent="0.25"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</row>
  </sheetData>
  <mergeCells count="10">
    <mergeCell ref="R8:AF8"/>
    <mergeCell ref="D6:E6"/>
    <mergeCell ref="K5:L5"/>
    <mergeCell ref="K6:L6"/>
    <mergeCell ref="D5:E5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21" orientation="landscape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9" tint="-0.249977111117893"/>
  </sheetPr>
  <dimension ref="B1:AF174"/>
  <sheetViews>
    <sheetView tabSelected="1" view="pageBreakPreview" zoomScale="60" workbookViewId="0">
      <selection activeCell="S98" sqref="S98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60" t="s">
        <v>23</v>
      </c>
      <c r="C1" s="60"/>
      <c r="D1" s="60"/>
      <c r="E1" s="60"/>
      <c r="F1" s="60"/>
      <c r="G1" s="60"/>
      <c r="H1" s="60"/>
      <c r="I1" s="60"/>
      <c r="J1" s="60"/>
      <c r="K1" s="60"/>
      <c r="L1" s="60"/>
      <c r="M1" s="60"/>
      <c r="N1" s="60"/>
      <c r="O1" s="60"/>
      <c r="P1" s="60"/>
      <c r="Q1" s="60"/>
      <c r="R1" s="60"/>
      <c r="S1" s="60"/>
      <c r="T1" s="60"/>
      <c r="U1" s="60"/>
      <c r="V1" s="60"/>
      <c r="W1" s="60"/>
      <c r="X1" s="60"/>
      <c r="Y1" s="60"/>
      <c r="Z1" s="60"/>
      <c r="AA1" s="60"/>
      <c r="AB1" s="60"/>
      <c r="AC1" s="60"/>
      <c r="AD1" s="60"/>
      <c r="AE1" s="60"/>
    </row>
    <row r="2" spans="2:32" ht="20.100000000000001" customHeight="1" x14ac:dyDescent="0.25">
      <c r="B2" s="61" t="s">
        <v>95</v>
      </c>
      <c r="C2" s="61"/>
      <c r="D2" s="61"/>
      <c r="E2" s="61"/>
      <c r="F2" s="61"/>
      <c r="G2" s="61"/>
      <c r="H2" s="61"/>
      <c r="I2" s="61"/>
      <c r="J2" s="61"/>
      <c r="K2" s="61"/>
      <c r="L2" s="61"/>
      <c r="M2" s="61"/>
      <c r="N2" s="61"/>
      <c r="O2" s="61"/>
      <c r="P2" s="61"/>
      <c r="Q2" s="61"/>
      <c r="R2" s="61"/>
      <c r="S2" s="61"/>
      <c r="T2" s="61"/>
      <c r="U2" s="61"/>
      <c r="V2" s="61"/>
      <c r="W2" s="61"/>
      <c r="X2" s="61"/>
      <c r="Y2" s="61"/>
      <c r="Z2" s="61"/>
      <c r="AA2" s="61"/>
      <c r="AB2" s="61"/>
      <c r="AC2" s="61"/>
      <c r="AD2" s="61"/>
      <c r="AE2" s="61"/>
    </row>
    <row r="3" spans="2:32" ht="20.100000000000001" customHeight="1" x14ac:dyDescent="0.25">
      <c r="B3" s="22" t="s">
        <v>96</v>
      </c>
      <c r="C3" s="63" t="str">
        <f>'23.10 Butongole-Busembatya'!C3:G3</f>
        <v>BUTONGOLE-BUSEMBATYA</v>
      </c>
      <c r="D3" s="63"/>
      <c r="E3" s="63"/>
      <c r="F3" s="63"/>
      <c r="G3" s="63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66" t="s">
        <v>163</v>
      </c>
      <c r="E5" s="67"/>
      <c r="F5" s="41" t="s">
        <v>1</v>
      </c>
      <c r="G5" s="64" t="str">
        <f>'Avg Week Butongole-Bsembatya'!G5:H5</f>
        <v>NAMALEMBA</v>
      </c>
      <c r="H5" s="65"/>
      <c r="I5" s="14"/>
      <c r="J5" s="2" t="s">
        <v>5</v>
      </c>
      <c r="K5" s="64" t="str">
        <f>'Avg Week Butongole-Bsembatya'!K5:L5</f>
        <v>Atukoi Joshua</v>
      </c>
      <c r="L5" s="65"/>
      <c r="M5" s="10"/>
      <c r="N5" s="10"/>
      <c r="O5" s="3"/>
      <c r="P5" s="3"/>
    </row>
    <row r="6" spans="2:32" ht="23.25" customHeight="1" x14ac:dyDescent="0.25">
      <c r="C6" s="2" t="s">
        <v>4</v>
      </c>
      <c r="D6" s="68" t="s">
        <v>161</v>
      </c>
      <c r="E6" s="69"/>
      <c r="F6" s="2" t="s">
        <v>2</v>
      </c>
      <c r="G6" s="68" t="s">
        <v>161</v>
      </c>
      <c r="H6" s="69"/>
      <c r="J6" s="2" t="s">
        <v>21</v>
      </c>
      <c r="K6" s="64" t="str">
        <f>'Avg Week Butongole-Bsembatya'!K6:L6</f>
        <v>Turyahabwe Norman</v>
      </c>
      <c r="L6" s="65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9" t="s">
        <v>88</v>
      </c>
      <c r="S8" s="59"/>
      <c r="T8" s="59"/>
      <c r="U8" s="59"/>
      <c r="V8" s="59"/>
      <c r="W8" s="59"/>
      <c r="X8" s="59"/>
      <c r="Y8" s="59"/>
      <c r="Z8" s="59"/>
      <c r="AA8" s="59"/>
      <c r="AB8" s="59"/>
      <c r="AC8" s="59"/>
      <c r="AD8" s="59"/>
      <c r="AE8" s="59"/>
      <c r="AF8" s="59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49">
        <f>'Avg Week  Busembatya-Butongole'!C10+'Avg Week Butongole-Bsembatya'!C10</f>
        <v>5.5714285714285712</v>
      </c>
      <c r="D10" s="49">
        <f>'Avg Week  Busembatya-Butongole'!D10+'Avg Week Butongole-Bsembatya'!D10</f>
        <v>2.5714285714285716</v>
      </c>
      <c r="E10" s="49">
        <f>'Avg Week  Busembatya-Butongole'!E10+'Avg Week Butongole-Bsembatya'!E10</f>
        <v>3.2857142857142856</v>
      </c>
      <c r="F10" s="49">
        <f>'Avg Week  Busembatya-Butongole'!F10+'Avg Week Butongole-Bsembatya'!F10</f>
        <v>6.8571428571428577</v>
      </c>
      <c r="G10" s="49">
        <f>'Avg Week  Busembatya-Butongole'!G10+'Avg Week Butongole-Bsembatya'!G10</f>
        <v>0.14285714285714285</v>
      </c>
      <c r="H10" s="49">
        <f>'Avg Week  Busembatya-Butongole'!H10+'Avg Week Butongole-Bsembatya'!H10</f>
        <v>0.5714285714285714</v>
      </c>
      <c r="I10" s="49">
        <f>'Avg Week  Busembatya-Butongole'!I10+'Avg Week Butongole-Bsembatya'!I10</f>
        <v>2.4285714285714284</v>
      </c>
      <c r="J10" s="49">
        <f>'Avg Week  Busembatya-Butongole'!J10+'Avg Week Butongole-Bsembatya'!J10</f>
        <v>1.5714285714285714</v>
      </c>
      <c r="K10" s="49">
        <f>'Avg Week  Busembatya-Butongole'!K10+'Avg Week Butongole-Bsembatya'!K10</f>
        <v>1.4285714285714284</v>
      </c>
      <c r="L10" s="49">
        <f>'Avg Week  Busembatya-Butongole'!L10+'Avg Week Butongole-Bsembatya'!L10</f>
        <v>0.71428571428571419</v>
      </c>
      <c r="M10" s="49">
        <f>'Avg Week  Busembatya-Butongole'!M10+'Avg Week Butongole-Bsembatya'!M10</f>
        <v>15</v>
      </c>
      <c r="N10" s="49">
        <f>'Avg Week  Busembatya-Butongole'!N10+'Avg Week Butongole-Bsembatya'!N10</f>
        <v>0.14285714285714285</v>
      </c>
      <c r="O10" s="15">
        <f t="shared" ref="O10:O73" si="0">SUM(C10:L10,N10)</f>
        <v>25.285714285714285</v>
      </c>
      <c r="P10" s="15">
        <f t="shared" ref="P10:P73" si="1">SUM(C10:N10)</f>
        <v>40.285714285714285</v>
      </c>
      <c r="R10" s="1" t="s">
        <v>6</v>
      </c>
      <c r="S10" s="17">
        <f t="shared" ref="S10:AF10" si="2">SUM(C10:C13)</f>
        <v>20.571428571428569</v>
      </c>
      <c r="T10" s="17">
        <f t="shared" si="2"/>
        <v>7.5714285714285712</v>
      </c>
      <c r="U10" s="17">
        <f t="shared" si="2"/>
        <v>13</v>
      </c>
      <c r="V10" s="17">
        <f t="shared" si="2"/>
        <v>37.142857142857146</v>
      </c>
      <c r="W10" s="17">
        <f t="shared" si="2"/>
        <v>1.4285714285714286</v>
      </c>
      <c r="X10" s="17">
        <f t="shared" si="2"/>
        <v>2.2857142857142856</v>
      </c>
      <c r="Y10" s="17">
        <f t="shared" si="2"/>
        <v>7.2857142857142865</v>
      </c>
      <c r="Z10" s="17">
        <f t="shared" si="2"/>
        <v>7.1428571428571423</v>
      </c>
      <c r="AA10" s="17">
        <f t="shared" si="2"/>
        <v>6.1428571428571423</v>
      </c>
      <c r="AB10" s="17">
        <f t="shared" si="2"/>
        <v>3.2857142857142851</v>
      </c>
      <c r="AC10" s="17">
        <f t="shared" si="2"/>
        <v>70</v>
      </c>
      <c r="AD10" s="17">
        <f t="shared" si="2"/>
        <v>0.14285714285714285</v>
      </c>
      <c r="AE10" s="31">
        <f t="shared" si="2"/>
        <v>106</v>
      </c>
      <c r="AF10" s="31">
        <f t="shared" si="2"/>
        <v>176</v>
      </c>
    </row>
    <row r="11" spans="2:32" s="6" customFormat="1" ht="23.1" customHeight="1" x14ac:dyDescent="0.25">
      <c r="B11" s="23" t="s">
        <v>38</v>
      </c>
      <c r="C11" s="49">
        <f>'Avg Week  Busembatya-Butongole'!C11+'Avg Week Butongole-Bsembatya'!C11</f>
        <v>5.4285714285714288</v>
      </c>
      <c r="D11" s="49">
        <f>'Avg Week  Busembatya-Butongole'!D11+'Avg Week Butongole-Bsembatya'!D11</f>
        <v>2</v>
      </c>
      <c r="E11" s="49">
        <f>'Avg Week  Busembatya-Butongole'!E11+'Avg Week Butongole-Bsembatya'!E11</f>
        <v>2</v>
      </c>
      <c r="F11" s="49">
        <f>'Avg Week  Busembatya-Butongole'!F11+'Avg Week Butongole-Bsembatya'!F11</f>
        <v>8.2857142857142865</v>
      </c>
      <c r="G11" s="49">
        <f>'Avg Week  Busembatya-Butongole'!G11+'Avg Week Butongole-Bsembatya'!G11</f>
        <v>0.14285714285714285</v>
      </c>
      <c r="H11" s="49">
        <f>'Avg Week  Busembatya-Butongole'!H11+'Avg Week Butongole-Bsembatya'!H11</f>
        <v>0.42857142857142855</v>
      </c>
      <c r="I11" s="49">
        <f>'Avg Week  Busembatya-Butongole'!I11+'Avg Week Butongole-Bsembatya'!I11</f>
        <v>2.1428571428571428</v>
      </c>
      <c r="J11" s="49">
        <f>'Avg Week  Busembatya-Butongole'!J11+'Avg Week Butongole-Bsembatya'!J11</f>
        <v>1.7142857142857142</v>
      </c>
      <c r="K11" s="49">
        <f>'Avg Week  Busembatya-Butongole'!K11+'Avg Week Butongole-Bsembatya'!K11</f>
        <v>2.8571428571428572</v>
      </c>
      <c r="L11" s="49">
        <f>'Avg Week  Busembatya-Butongole'!L11+'Avg Week Butongole-Bsembatya'!L11</f>
        <v>0</v>
      </c>
      <c r="M11" s="49">
        <f>'Avg Week  Busembatya-Butongole'!M11+'Avg Week Butongole-Bsembatya'!M11</f>
        <v>18.571428571428569</v>
      </c>
      <c r="N11" s="49">
        <f>'Avg Week  Busembatya-Butongole'!N11+'Avg Week Butongole-Bsembatya'!N11</f>
        <v>0</v>
      </c>
      <c r="O11" s="15">
        <f t="shared" si="0"/>
        <v>25</v>
      </c>
      <c r="P11" s="15">
        <f t="shared" si="1"/>
        <v>43.571428571428569</v>
      </c>
      <c r="R11" s="1" t="s">
        <v>7</v>
      </c>
      <c r="S11" s="17">
        <f t="shared" ref="S11:AF11" si="3">SUM(C14:C17)</f>
        <v>20.285714285714285</v>
      </c>
      <c r="T11" s="17">
        <f t="shared" si="3"/>
        <v>12.571428571428571</v>
      </c>
      <c r="U11" s="17">
        <f t="shared" si="3"/>
        <v>14.857142857142858</v>
      </c>
      <c r="V11" s="17">
        <f t="shared" si="3"/>
        <v>47.142857142857139</v>
      </c>
      <c r="W11" s="17">
        <f t="shared" si="3"/>
        <v>2.2857142857142856</v>
      </c>
      <c r="X11" s="17">
        <f t="shared" si="3"/>
        <v>0.71428571428571419</v>
      </c>
      <c r="Y11" s="17">
        <f t="shared" si="3"/>
        <v>7.4285714285714279</v>
      </c>
      <c r="Z11" s="17">
        <f t="shared" si="3"/>
        <v>8.7142857142857153</v>
      </c>
      <c r="AA11" s="17">
        <f t="shared" si="3"/>
        <v>6</v>
      </c>
      <c r="AB11" s="17">
        <f t="shared" si="3"/>
        <v>3.1428571428571432</v>
      </c>
      <c r="AC11" s="17">
        <f t="shared" si="3"/>
        <v>73.857142857142861</v>
      </c>
      <c r="AD11" s="17">
        <f t="shared" si="3"/>
        <v>0.14285714285714285</v>
      </c>
      <c r="AE11" s="31">
        <f t="shared" si="3"/>
        <v>123.28571428571428</v>
      </c>
      <c r="AF11" s="31">
        <f t="shared" si="3"/>
        <v>197.14285714285714</v>
      </c>
    </row>
    <row r="12" spans="2:32" ht="23.1" customHeight="1" x14ac:dyDescent="0.25">
      <c r="B12" s="23" t="s">
        <v>39</v>
      </c>
      <c r="C12" s="49">
        <f>'Avg Week  Busembatya-Butongole'!C12+'Avg Week Butongole-Bsembatya'!C12</f>
        <v>4.2857142857142856</v>
      </c>
      <c r="D12" s="49">
        <f>'Avg Week  Busembatya-Butongole'!D12+'Avg Week Butongole-Bsembatya'!D12</f>
        <v>1.2857142857142856</v>
      </c>
      <c r="E12" s="49">
        <f>'Avg Week  Busembatya-Butongole'!E12+'Avg Week Butongole-Bsembatya'!E12</f>
        <v>4.2857142857142856</v>
      </c>
      <c r="F12" s="49">
        <f>'Avg Week  Busembatya-Butongole'!F12+'Avg Week Butongole-Bsembatya'!F12</f>
        <v>12.285714285714285</v>
      </c>
      <c r="G12" s="49">
        <f>'Avg Week  Busembatya-Butongole'!G12+'Avg Week Butongole-Bsembatya'!G12</f>
        <v>0.2857142857142857</v>
      </c>
      <c r="H12" s="49">
        <f>'Avg Week  Busembatya-Butongole'!H12+'Avg Week Butongole-Bsembatya'!H12</f>
        <v>0.2857142857142857</v>
      </c>
      <c r="I12" s="49">
        <f>'Avg Week  Busembatya-Butongole'!I12+'Avg Week Butongole-Bsembatya'!I12</f>
        <v>0.85714285714285721</v>
      </c>
      <c r="J12" s="49">
        <f>'Avg Week  Busembatya-Butongole'!J12+'Avg Week Butongole-Bsembatya'!J12</f>
        <v>1.4285714285714284</v>
      </c>
      <c r="K12" s="49">
        <f>'Avg Week  Busembatya-Butongole'!K12+'Avg Week Butongole-Bsembatya'!K12</f>
        <v>0.8571428571428571</v>
      </c>
      <c r="L12" s="49">
        <f>'Avg Week  Busembatya-Butongole'!L12+'Avg Week Butongole-Bsembatya'!L12</f>
        <v>1.4285714285714284</v>
      </c>
      <c r="M12" s="49">
        <f>'Avg Week  Busembatya-Butongole'!M12+'Avg Week Butongole-Bsembatya'!M12</f>
        <v>17.714285714285715</v>
      </c>
      <c r="N12" s="49">
        <f>'Avg Week  Busembatya-Butongole'!N12+'Avg Week Butongole-Bsembatya'!N12</f>
        <v>0</v>
      </c>
      <c r="O12" s="15">
        <f t="shared" si="0"/>
        <v>27.285714285714281</v>
      </c>
      <c r="P12" s="15">
        <f t="shared" si="1"/>
        <v>45</v>
      </c>
      <c r="R12" s="1" t="s">
        <v>8</v>
      </c>
      <c r="S12" s="17">
        <f t="shared" ref="S12:AF12" si="4">SUM(C18:C21)</f>
        <v>25.285714285714285</v>
      </c>
      <c r="T12" s="17">
        <f t="shared" si="4"/>
        <v>13</v>
      </c>
      <c r="U12" s="17">
        <f t="shared" si="4"/>
        <v>18.285714285714285</v>
      </c>
      <c r="V12" s="17">
        <f t="shared" si="4"/>
        <v>67.714285714285708</v>
      </c>
      <c r="W12" s="17">
        <f t="shared" si="4"/>
        <v>0.99999999999999989</v>
      </c>
      <c r="X12" s="17">
        <f t="shared" si="4"/>
        <v>2.4285714285714284</v>
      </c>
      <c r="Y12" s="17">
        <f t="shared" si="4"/>
        <v>6.8571428571428568</v>
      </c>
      <c r="Z12" s="17">
        <f t="shared" si="4"/>
        <v>8.7142857142857135</v>
      </c>
      <c r="AA12" s="17">
        <f t="shared" si="4"/>
        <v>6.4285714285714288</v>
      </c>
      <c r="AB12" s="17">
        <f t="shared" si="4"/>
        <v>3.5714285714285712</v>
      </c>
      <c r="AC12" s="17">
        <f t="shared" si="4"/>
        <v>81.857142857142861</v>
      </c>
      <c r="AD12" s="17">
        <f t="shared" si="4"/>
        <v>0.42857142857142855</v>
      </c>
      <c r="AE12" s="31">
        <f t="shared" si="4"/>
        <v>153.71428571428569</v>
      </c>
      <c r="AF12" s="31">
        <f t="shared" si="4"/>
        <v>235.57142857142856</v>
      </c>
    </row>
    <row r="13" spans="2:32" ht="23.1" customHeight="1" x14ac:dyDescent="0.25">
      <c r="B13" s="23" t="s">
        <v>40</v>
      </c>
      <c r="C13" s="49">
        <f>'Avg Week  Busembatya-Butongole'!C13+'Avg Week Butongole-Bsembatya'!C13</f>
        <v>5.2857142857142865</v>
      </c>
      <c r="D13" s="49">
        <f>'Avg Week  Busembatya-Butongole'!D13+'Avg Week Butongole-Bsembatya'!D13</f>
        <v>1.7142857142857142</v>
      </c>
      <c r="E13" s="49">
        <f>'Avg Week  Busembatya-Butongole'!E13+'Avg Week Butongole-Bsembatya'!E13</f>
        <v>3.4285714285714284</v>
      </c>
      <c r="F13" s="49">
        <f>'Avg Week  Busembatya-Butongole'!F13+'Avg Week Butongole-Bsembatya'!F13</f>
        <v>9.7142857142857135</v>
      </c>
      <c r="G13" s="49">
        <f>'Avg Week  Busembatya-Butongole'!G13+'Avg Week Butongole-Bsembatya'!G13</f>
        <v>0.85714285714285721</v>
      </c>
      <c r="H13" s="49">
        <f>'Avg Week  Busembatya-Butongole'!H13+'Avg Week Butongole-Bsembatya'!H13</f>
        <v>1</v>
      </c>
      <c r="I13" s="49">
        <f>'Avg Week  Busembatya-Butongole'!I13+'Avg Week Butongole-Bsembatya'!I13</f>
        <v>1.8571428571428572</v>
      </c>
      <c r="J13" s="49">
        <f>'Avg Week  Busembatya-Butongole'!J13+'Avg Week Butongole-Bsembatya'!J13</f>
        <v>2.4285714285714288</v>
      </c>
      <c r="K13" s="49">
        <f>'Avg Week  Busembatya-Butongole'!K13+'Avg Week Butongole-Bsembatya'!K13</f>
        <v>1</v>
      </c>
      <c r="L13" s="49">
        <f>'Avg Week  Busembatya-Butongole'!L13+'Avg Week Butongole-Bsembatya'!L13</f>
        <v>1.1428571428571428</v>
      </c>
      <c r="M13" s="49">
        <f>'Avg Week  Busembatya-Butongole'!M13+'Avg Week Butongole-Bsembatya'!M13</f>
        <v>18.714285714285715</v>
      </c>
      <c r="N13" s="49">
        <f>'Avg Week  Busembatya-Butongole'!N13+'Avg Week Butongole-Bsembatya'!N13</f>
        <v>0</v>
      </c>
      <c r="O13" s="15">
        <f t="shared" si="0"/>
        <v>28.428571428571427</v>
      </c>
      <c r="P13" s="15">
        <f t="shared" si="1"/>
        <v>47.142857142857139</v>
      </c>
      <c r="R13" s="1" t="s">
        <v>9</v>
      </c>
      <c r="S13" s="17">
        <f t="shared" ref="S13:AF13" si="5">SUM(C22:C25)</f>
        <v>28</v>
      </c>
      <c r="T13" s="17">
        <f t="shared" si="5"/>
        <v>15.571428571428573</v>
      </c>
      <c r="U13" s="17">
        <f t="shared" si="5"/>
        <v>15.428571428571431</v>
      </c>
      <c r="V13" s="17">
        <f t="shared" si="5"/>
        <v>71.142857142857139</v>
      </c>
      <c r="W13" s="17">
        <f t="shared" si="5"/>
        <v>0.99999999999999989</v>
      </c>
      <c r="X13" s="17">
        <f t="shared" si="5"/>
        <v>1.4285714285714284</v>
      </c>
      <c r="Y13" s="17">
        <f t="shared" si="5"/>
        <v>6</v>
      </c>
      <c r="Z13" s="17">
        <f t="shared" si="5"/>
        <v>8.8571428571428577</v>
      </c>
      <c r="AA13" s="17">
        <f t="shared" si="5"/>
        <v>4</v>
      </c>
      <c r="AB13" s="17">
        <f t="shared" si="5"/>
        <v>3.5714285714285712</v>
      </c>
      <c r="AC13" s="17">
        <f t="shared" si="5"/>
        <v>85.571428571428569</v>
      </c>
      <c r="AD13" s="17">
        <f t="shared" si="5"/>
        <v>0.5714285714285714</v>
      </c>
      <c r="AE13" s="31">
        <f t="shared" si="5"/>
        <v>155.57142857142856</v>
      </c>
      <c r="AF13" s="31">
        <f t="shared" si="5"/>
        <v>241.14285714285711</v>
      </c>
    </row>
    <row r="14" spans="2:32" ht="23.1" customHeight="1" x14ac:dyDescent="0.25">
      <c r="B14" s="23" t="s">
        <v>41</v>
      </c>
      <c r="C14" s="49">
        <f>'Avg Week  Busembatya-Butongole'!C14+'Avg Week Butongole-Bsembatya'!C14</f>
        <v>3.2857142857142856</v>
      </c>
      <c r="D14" s="49">
        <f>'Avg Week  Busembatya-Butongole'!D14+'Avg Week Butongole-Bsembatya'!D14</f>
        <v>2.2857142857142856</v>
      </c>
      <c r="E14" s="49">
        <f>'Avg Week  Busembatya-Butongole'!E14+'Avg Week Butongole-Bsembatya'!E14</f>
        <v>3.1428571428571432</v>
      </c>
      <c r="F14" s="49">
        <f>'Avg Week  Busembatya-Butongole'!F14+'Avg Week Butongole-Bsembatya'!F14</f>
        <v>11</v>
      </c>
      <c r="G14" s="49">
        <f>'Avg Week  Busembatya-Butongole'!G14+'Avg Week Butongole-Bsembatya'!G14</f>
        <v>0.42857142857142855</v>
      </c>
      <c r="H14" s="49">
        <f>'Avg Week  Busembatya-Butongole'!H14+'Avg Week Butongole-Bsembatya'!H14</f>
        <v>0.42857142857142855</v>
      </c>
      <c r="I14" s="49">
        <f>'Avg Week  Busembatya-Butongole'!I14+'Avg Week Butongole-Bsembatya'!I14</f>
        <v>1.1428571428571428</v>
      </c>
      <c r="J14" s="49">
        <f>'Avg Week  Busembatya-Butongole'!J14+'Avg Week Butongole-Bsembatya'!J14</f>
        <v>1.7142857142857144</v>
      </c>
      <c r="K14" s="49">
        <f>'Avg Week  Busembatya-Butongole'!K14+'Avg Week Butongole-Bsembatya'!K14</f>
        <v>2.1428571428571428</v>
      </c>
      <c r="L14" s="49">
        <f>'Avg Week  Busembatya-Butongole'!L14+'Avg Week Butongole-Bsembatya'!L14</f>
        <v>1.5714285714285716</v>
      </c>
      <c r="M14" s="49">
        <f>'Avg Week  Busembatya-Butongole'!M14+'Avg Week Butongole-Bsembatya'!M14</f>
        <v>18.714285714285715</v>
      </c>
      <c r="N14" s="49">
        <f>'Avg Week  Busembatya-Butongole'!N14+'Avg Week Butongole-Bsembatya'!N14</f>
        <v>0.14285714285714285</v>
      </c>
      <c r="O14" s="15">
        <f t="shared" si="0"/>
        <v>27.285714285714285</v>
      </c>
      <c r="P14" s="15">
        <f t="shared" si="1"/>
        <v>46.000000000000007</v>
      </c>
      <c r="R14" s="1" t="s">
        <v>10</v>
      </c>
      <c r="S14" s="17">
        <f t="shared" ref="S14:AF14" si="6">SUM(C26:C29)</f>
        <v>34.857142857142861</v>
      </c>
      <c r="T14" s="17">
        <f t="shared" si="6"/>
        <v>14.142857142857142</v>
      </c>
      <c r="U14" s="17">
        <f t="shared" si="6"/>
        <v>16</v>
      </c>
      <c r="V14" s="17">
        <f t="shared" si="6"/>
        <v>76.285714285714278</v>
      </c>
      <c r="W14" s="17">
        <f t="shared" si="6"/>
        <v>2.5714285714285712</v>
      </c>
      <c r="X14" s="17">
        <f t="shared" si="6"/>
        <v>1.857142857142857</v>
      </c>
      <c r="Y14" s="17">
        <f t="shared" si="6"/>
        <v>7.8571428571428568</v>
      </c>
      <c r="Z14" s="17">
        <f t="shared" si="6"/>
        <v>9</v>
      </c>
      <c r="AA14" s="17">
        <f t="shared" si="6"/>
        <v>4.8571428571428568</v>
      </c>
      <c r="AB14" s="17">
        <f t="shared" si="6"/>
        <v>2.1428571428571428</v>
      </c>
      <c r="AC14" s="17">
        <f t="shared" si="6"/>
        <v>94.142857142857139</v>
      </c>
      <c r="AD14" s="17">
        <f t="shared" si="6"/>
        <v>0.8571428571428571</v>
      </c>
      <c r="AE14" s="31">
        <f t="shared" si="6"/>
        <v>170.42857142857144</v>
      </c>
      <c r="AF14" s="31">
        <f t="shared" si="6"/>
        <v>264.57142857142861</v>
      </c>
    </row>
    <row r="15" spans="2:32" ht="23.1" customHeight="1" x14ac:dyDescent="0.25">
      <c r="B15" s="23" t="s">
        <v>42</v>
      </c>
      <c r="C15" s="49">
        <f>'Avg Week  Busembatya-Butongole'!C15+'Avg Week Butongole-Bsembatya'!C15</f>
        <v>3.7142857142857144</v>
      </c>
      <c r="D15" s="49">
        <f>'Avg Week  Busembatya-Butongole'!D15+'Avg Week Butongole-Bsembatya'!D15</f>
        <v>3.1428571428571428</v>
      </c>
      <c r="E15" s="49">
        <f>'Avg Week  Busembatya-Butongole'!E15+'Avg Week Butongole-Bsembatya'!E15</f>
        <v>3</v>
      </c>
      <c r="F15" s="49">
        <f>'Avg Week  Busembatya-Butongole'!F15+'Avg Week Butongole-Bsembatya'!F15</f>
        <v>10</v>
      </c>
      <c r="G15" s="49">
        <f>'Avg Week  Busembatya-Butongole'!G15+'Avg Week Butongole-Bsembatya'!G15</f>
        <v>1</v>
      </c>
      <c r="H15" s="49">
        <f>'Avg Week  Busembatya-Butongole'!H15+'Avg Week Butongole-Bsembatya'!H15</f>
        <v>0.14285714285714285</v>
      </c>
      <c r="I15" s="49">
        <f>'Avg Week  Busembatya-Butongole'!I15+'Avg Week Butongole-Bsembatya'!I15</f>
        <v>1.2857142857142856</v>
      </c>
      <c r="J15" s="49">
        <f>'Avg Week  Busembatya-Butongole'!J15+'Avg Week Butongole-Bsembatya'!J15</f>
        <v>2</v>
      </c>
      <c r="K15" s="49">
        <f>'Avg Week  Busembatya-Butongole'!K15+'Avg Week Butongole-Bsembatya'!K15</f>
        <v>1</v>
      </c>
      <c r="L15" s="49">
        <f>'Avg Week  Busembatya-Butongole'!L15+'Avg Week Butongole-Bsembatya'!L15</f>
        <v>0.2857142857142857</v>
      </c>
      <c r="M15" s="49">
        <f>'Avg Week  Busembatya-Butongole'!M15+'Avg Week Butongole-Bsembatya'!M15</f>
        <v>18.571428571428573</v>
      </c>
      <c r="N15" s="49">
        <f>'Avg Week  Busembatya-Butongole'!N15+'Avg Week Butongole-Bsembatya'!N15</f>
        <v>0</v>
      </c>
      <c r="O15" s="15">
        <f t="shared" si="0"/>
        <v>25.571428571428569</v>
      </c>
      <c r="P15" s="15">
        <f t="shared" si="1"/>
        <v>44.142857142857139</v>
      </c>
      <c r="R15" s="1" t="s">
        <v>11</v>
      </c>
      <c r="S15" s="17">
        <f t="shared" ref="S15:AF15" si="7">SUM(C30:C33)</f>
        <v>39.714285714285715</v>
      </c>
      <c r="T15" s="17">
        <f t="shared" si="7"/>
        <v>15.714285714285714</v>
      </c>
      <c r="U15" s="17">
        <f t="shared" si="7"/>
        <v>13.428571428571429</v>
      </c>
      <c r="V15" s="17">
        <f t="shared" si="7"/>
        <v>79</v>
      </c>
      <c r="W15" s="17">
        <f t="shared" si="7"/>
        <v>3</v>
      </c>
      <c r="X15" s="17">
        <f t="shared" si="7"/>
        <v>3.5714285714285716</v>
      </c>
      <c r="Y15" s="17">
        <f t="shared" si="7"/>
        <v>8.571428571428573</v>
      </c>
      <c r="Z15" s="17">
        <f t="shared" si="7"/>
        <v>10.571428571428571</v>
      </c>
      <c r="AA15" s="17">
        <f t="shared" si="7"/>
        <v>6.2857142857142865</v>
      </c>
      <c r="AB15" s="17">
        <f t="shared" si="7"/>
        <v>3.8571428571428568</v>
      </c>
      <c r="AC15" s="17">
        <f t="shared" si="7"/>
        <v>92.142857142857139</v>
      </c>
      <c r="AD15" s="17">
        <f t="shared" si="7"/>
        <v>0</v>
      </c>
      <c r="AE15" s="31">
        <f t="shared" si="7"/>
        <v>183.71428571428572</v>
      </c>
      <c r="AF15" s="31">
        <f t="shared" si="7"/>
        <v>275.85714285714283</v>
      </c>
    </row>
    <row r="16" spans="2:32" ht="23.1" customHeight="1" x14ac:dyDescent="0.25">
      <c r="B16" s="23" t="s">
        <v>43</v>
      </c>
      <c r="C16" s="49">
        <f>'Avg Week  Busembatya-Butongole'!C16+'Avg Week Butongole-Bsembatya'!C16</f>
        <v>7.7142857142857135</v>
      </c>
      <c r="D16" s="49">
        <f>'Avg Week  Busembatya-Butongole'!D16+'Avg Week Butongole-Bsembatya'!D16</f>
        <v>3.7142857142857144</v>
      </c>
      <c r="E16" s="49">
        <f>'Avg Week  Busembatya-Butongole'!E16+'Avg Week Butongole-Bsembatya'!E16</f>
        <v>5</v>
      </c>
      <c r="F16" s="49">
        <f>'Avg Week  Busembatya-Butongole'!F16+'Avg Week Butongole-Bsembatya'!F16</f>
        <v>13.285714285714285</v>
      </c>
      <c r="G16" s="49">
        <f>'Avg Week  Busembatya-Butongole'!G16+'Avg Week Butongole-Bsembatya'!G16</f>
        <v>0.42857142857142855</v>
      </c>
      <c r="H16" s="49">
        <f>'Avg Week  Busembatya-Butongole'!H16+'Avg Week Butongole-Bsembatya'!H16</f>
        <v>0</v>
      </c>
      <c r="I16" s="49">
        <f>'Avg Week  Busembatya-Butongole'!I16+'Avg Week Butongole-Bsembatya'!I16</f>
        <v>2.2857142857142856</v>
      </c>
      <c r="J16" s="49">
        <f>'Avg Week  Busembatya-Butongole'!J16+'Avg Week Butongole-Bsembatya'!J16</f>
        <v>3</v>
      </c>
      <c r="K16" s="49">
        <f>'Avg Week  Busembatya-Butongole'!K16+'Avg Week Butongole-Bsembatya'!K16</f>
        <v>1.7142857142857144</v>
      </c>
      <c r="L16" s="49">
        <f>'Avg Week  Busembatya-Butongole'!L16+'Avg Week Butongole-Bsembatya'!L16</f>
        <v>0.7142857142857143</v>
      </c>
      <c r="M16" s="49">
        <f>'Avg Week  Busembatya-Butongole'!M16+'Avg Week Butongole-Bsembatya'!M16</f>
        <v>21</v>
      </c>
      <c r="N16" s="49">
        <f>'Avg Week  Busembatya-Butongole'!N16+'Avg Week Butongole-Bsembatya'!N16</f>
        <v>0</v>
      </c>
      <c r="O16" s="15">
        <f t="shared" si="0"/>
        <v>37.857142857142854</v>
      </c>
      <c r="P16" s="15">
        <f t="shared" si="1"/>
        <v>58.857142857142854</v>
      </c>
      <c r="R16" s="1" t="s">
        <v>12</v>
      </c>
      <c r="S16" s="17">
        <f t="shared" ref="S16:AF16" si="8">SUM(C34:C37)</f>
        <v>33.428571428571431</v>
      </c>
      <c r="T16" s="17">
        <f t="shared" si="8"/>
        <v>15</v>
      </c>
      <c r="U16" s="17">
        <f t="shared" si="8"/>
        <v>18.428571428571427</v>
      </c>
      <c r="V16" s="17">
        <f t="shared" si="8"/>
        <v>75</v>
      </c>
      <c r="W16" s="17">
        <f t="shared" si="8"/>
        <v>6.7142857142857135</v>
      </c>
      <c r="X16" s="17">
        <f t="shared" si="8"/>
        <v>3.1428571428571423</v>
      </c>
      <c r="Y16" s="17">
        <f t="shared" si="8"/>
        <v>9.8571428571428577</v>
      </c>
      <c r="Z16" s="17">
        <f t="shared" si="8"/>
        <v>7.8571428571428577</v>
      </c>
      <c r="AA16" s="17">
        <f t="shared" si="8"/>
        <v>5.2857142857142856</v>
      </c>
      <c r="AB16" s="17">
        <f t="shared" si="8"/>
        <v>1.714285714285714</v>
      </c>
      <c r="AC16" s="17">
        <f t="shared" si="8"/>
        <v>87.571428571428555</v>
      </c>
      <c r="AD16" s="17">
        <f t="shared" si="8"/>
        <v>0.5714285714285714</v>
      </c>
      <c r="AE16" s="31">
        <f t="shared" si="8"/>
        <v>177</v>
      </c>
      <c r="AF16" s="31">
        <f t="shared" si="8"/>
        <v>264.57142857142856</v>
      </c>
    </row>
    <row r="17" spans="2:32" ht="23.1" customHeight="1" x14ac:dyDescent="0.25">
      <c r="B17" s="23" t="s">
        <v>44</v>
      </c>
      <c r="C17" s="49">
        <f>'Avg Week  Busembatya-Butongole'!C17+'Avg Week Butongole-Bsembatya'!C17</f>
        <v>5.5714285714285712</v>
      </c>
      <c r="D17" s="49">
        <f>'Avg Week  Busembatya-Butongole'!D17+'Avg Week Butongole-Bsembatya'!D17</f>
        <v>3.4285714285714288</v>
      </c>
      <c r="E17" s="49">
        <f>'Avg Week  Busembatya-Butongole'!E17+'Avg Week Butongole-Bsembatya'!E17</f>
        <v>3.7142857142857144</v>
      </c>
      <c r="F17" s="49">
        <f>'Avg Week  Busembatya-Butongole'!F17+'Avg Week Butongole-Bsembatya'!F17</f>
        <v>12.857142857142858</v>
      </c>
      <c r="G17" s="49">
        <f>'Avg Week  Busembatya-Butongole'!G17+'Avg Week Butongole-Bsembatya'!G17</f>
        <v>0.42857142857142855</v>
      </c>
      <c r="H17" s="49">
        <f>'Avg Week  Busembatya-Butongole'!H17+'Avg Week Butongole-Bsembatya'!H17</f>
        <v>0.14285714285714285</v>
      </c>
      <c r="I17" s="49">
        <f>'Avg Week  Busembatya-Butongole'!I17+'Avg Week Butongole-Bsembatya'!I17</f>
        <v>2.7142857142857144</v>
      </c>
      <c r="J17" s="49">
        <f>'Avg Week  Busembatya-Butongole'!J17+'Avg Week Butongole-Bsembatya'!J17</f>
        <v>2</v>
      </c>
      <c r="K17" s="49">
        <f>'Avg Week  Busembatya-Butongole'!K17+'Avg Week Butongole-Bsembatya'!K17</f>
        <v>1.1428571428571428</v>
      </c>
      <c r="L17" s="49">
        <f>'Avg Week  Busembatya-Butongole'!L17+'Avg Week Butongole-Bsembatya'!L17</f>
        <v>0.5714285714285714</v>
      </c>
      <c r="M17" s="49">
        <f>'Avg Week  Busembatya-Butongole'!M17+'Avg Week Butongole-Bsembatya'!M17</f>
        <v>15.571428571428571</v>
      </c>
      <c r="N17" s="49">
        <f>'Avg Week  Busembatya-Butongole'!N17+'Avg Week Butongole-Bsembatya'!N17</f>
        <v>0</v>
      </c>
      <c r="O17" s="15">
        <f t="shared" si="0"/>
        <v>32.571428571428569</v>
      </c>
      <c r="P17" s="15">
        <f t="shared" si="1"/>
        <v>48.142857142857139</v>
      </c>
      <c r="R17" s="1" t="s">
        <v>13</v>
      </c>
      <c r="S17" s="17">
        <f t="shared" ref="S17:AF17" si="9">SUM(C38:C41)</f>
        <v>32.571428571428569</v>
      </c>
      <c r="T17" s="17">
        <f t="shared" si="9"/>
        <v>14.142857142857142</v>
      </c>
      <c r="U17" s="17">
        <f t="shared" si="9"/>
        <v>18.285714285714285</v>
      </c>
      <c r="V17" s="17">
        <f t="shared" si="9"/>
        <v>78.285714285714278</v>
      </c>
      <c r="W17" s="17">
        <f t="shared" si="9"/>
        <v>2.5714285714285712</v>
      </c>
      <c r="X17" s="17">
        <f t="shared" si="9"/>
        <v>3.4285714285714288</v>
      </c>
      <c r="Y17" s="17">
        <f t="shared" si="9"/>
        <v>8.2857142857142865</v>
      </c>
      <c r="Z17" s="17">
        <f t="shared" si="9"/>
        <v>9</v>
      </c>
      <c r="AA17" s="17">
        <f t="shared" si="9"/>
        <v>7</v>
      </c>
      <c r="AB17" s="17">
        <f t="shared" si="9"/>
        <v>4.1428571428571423</v>
      </c>
      <c r="AC17" s="17">
        <f t="shared" si="9"/>
        <v>94.428571428571431</v>
      </c>
      <c r="AD17" s="17">
        <f t="shared" si="9"/>
        <v>0.2857142857142857</v>
      </c>
      <c r="AE17" s="31">
        <f t="shared" si="9"/>
        <v>178</v>
      </c>
      <c r="AF17" s="31">
        <f t="shared" si="9"/>
        <v>272.42857142857144</v>
      </c>
    </row>
    <row r="18" spans="2:32" ht="23.1" customHeight="1" x14ac:dyDescent="0.25">
      <c r="B18" s="23" t="s">
        <v>45</v>
      </c>
      <c r="C18" s="49">
        <f>'Avg Week  Busembatya-Butongole'!C18+'Avg Week Butongole-Bsembatya'!C18</f>
        <v>5</v>
      </c>
      <c r="D18" s="49">
        <f>'Avg Week  Busembatya-Butongole'!D18+'Avg Week Butongole-Bsembatya'!D18</f>
        <v>2.1428571428571428</v>
      </c>
      <c r="E18" s="49">
        <f>'Avg Week  Busembatya-Butongole'!E18+'Avg Week Butongole-Bsembatya'!E18</f>
        <v>3.7142857142857144</v>
      </c>
      <c r="F18" s="49">
        <f>'Avg Week  Busembatya-Butongole'!F18+'Avg Week Butongole-Bsembatya'!F18</f>
        <v>18.285714285714285</v>
      </c>
      <c r="G18" s="49">
        <f>'Avg Week  Busembatya-Butongole'!G18+'Avg Week Butongole-Bsembatya'!G18</f>
        <v>0.14285714285714285</v>
      </c>
      <c r="H18" s="49">
        <f>'Avg Week  Busembatya-Butongole'!H18+'Avg Week Butongole-Bsembatya'!H18</f>
        <v>0.5714285714285714</v>
      </c>
      <c r="I18" s="49">
        <f>'Avg Week  Busembatya-Butongole'!I18+'Avg Week Butongole-Bsembatya'!I18</f>
        <v>1.7142857142857142</v>
      </c>
      <c r="J18" s="49">
        <f>'Avg Week  Busembatya-Butongole'!J18+'Avg Week Butongole-Bsembatya'!J18</f>
        <v>2.8571428571428572</v>
      </c>
      <c r="K18" s="49">
        <f>'Avg Week  Busembatya-Butongole'!K18+'Avg Week Butongole-Bsembatya'!K18</f>
        <v>2</v>
      </c>
      <c r="L18" s="49">
        <f>'Avg Week  Busembatya-Butongole'!L18+'Avg Week Butongole-Bsembatya'!L18</f>
        <v>1</v>
      </c>
      <c r="M18" s="49">
        <f>'Avg Week  Busembatya-Butongole'!M18+'Avg Week Butongole-Bsembatya'!M18</f>
        <v>20</v>
      </c>
      <c r="N18" s="49">
        <f>'Avg Week  Busembatya-Butongole'!N18+'Avg Week Butongole-Bsembatya'!N18</f>
        <v>0.14285714285714285</v>
      </c>
      <c r="O18" s="15">
        <f t="shared" si="0"/>
        <v>37.571428571428577</v>
      </c>
      <c r="P18" s="15">
        <f t="shared" si="1"/>
        <v>57.571428571428577</v>
      </c>
      <c r="R18" s="1" t="s">
        <v>14</v>
      </c>
      <c r="S18" s="17">
        <f t="shared" ref="S18:AF18" si="10">SUM(C42:C45)</f>
        <v>36.571428571428569</v>
      </c>
      <c r="T18" s="17">
        <f t="shared" si="10"/>
        <v>14.571428571428571</v>
      </c>
      <c r="U18" s="17">
        <f t="shared" si="10"/>
        <v>18.142857142857146</v>
      </c>
      <c r="V18" s="17">
        <f t="shared" si="10"/>
        <v>77.857142857142861</v>
      </c>
      <c r="W18" s="17">
        <f t="shared" si="10"/>
        <v>3.2857142857142856</v>
      </c>
      <c r="X18" s="17">
        <f t="shared" si="10"/>
        <v>4.5714285714285712</v>
      </c>
      <c r="Y18" s="17">
        <f t="shared" si="10"/>
        <v>8.4285714285714288</v>
      </c>
      <c r="Z18" s="17">
        <f t="shared" si="10"/>
        <v>12.142857142857142</v>
      </c>
      <c r="AA18" s="17">
        <f t="shared" si="10"/>
        <v>6</v>
      </c>
      <c r="AB18" s="17">
        <f t="shared" si="10"/>
        <v>3.8571428571428568</v>
      </c>
      <c r="AC18" s="17">
        <f t="shared" si="10"/>
        <v>90.857142857142861</v>
      </c>
      <c r="AD18" s="17">
        <f t="shared" si="10"/>
        <v>1</v>
      </c>
      <c r="AE18" s="31">
        <f t="shared" si="10"/>
        <v>186.42857142857142</v>
      </c>
      <c r="AF18" s="31">
        <f t="shared" si="10"/>
        <v>277.28571428571422</v>
      </c>
    </row>
    <row r="19" spans="2:32" ht="23.1" customHeight="1" x14ac:dyDescent="0.25">
      <c r="B19" s="23" t="s">
        <v>46</v>
      </c>
      <c r="C19" s="49">
        <f>'Avg Week  Busembatya-Butongole'!C19+'Avg Week Butongole-Bsembatya'!C19</f>
        <v>7.5714285714285712</v>
      </c>
      <c r="D19" s="49">
        <f>'Avg Week  Busembatya-Butongole'!D19+'Avg Week Butongole-Bsembatya'!D19</f>
        <v>3.2857142857142856</v>
      </c>
      <c r="E19" s="49">
        <f>'Avg Week  Busembatya-Butongole'!E19+'Avg Week Butongole-Bsembatya'!E19</f>
        <v>3.7142857142857144</v>
      </c>
      <c r="F19" s="49">
        <f>'Avg Week  Busembatya-Butongole'!F19+'Avg Week Butongole-Bsembatya'!F19</f>
        <v>17.571428571428569</v>
      </c>
      <c r="G19" s="49">
        <f>'Avg Week  Busembatya-Butongole'!G19+'Avg Week Butongole-Bsembatya'!G19</f>
        <v>0.2857142857142857</v>
      </c>
      <c r="H19" s="49">
        <f>'Avg Week  Busembatya-Butongole'!H19+'Avg Week Butongole-Bsembatya'!H19</f>
        <v>0.8571428571428571</v>
      </c>
      <c r="I19" s="49">
        <f>'Avg Week  Busembatya-Butongole'!I19+'Avg Week Butongole-Bsembatya'!I19</f>
        <v>1.4285714285714286</v>
      </c>
      <c r="J19" s="49">
        <f>'Avg Week  Busembatya-Butongole'!J19+'Avg Week Butongole-Bsembatya'!J19</f>
        <v>1.8571428571428572</v>
      </c>
      <c r="K19" s="49">
        <f>'Avg Week  Busembatya-Butongole'!K19+'Avg Week Butongole-Bsembatya'!K19</f>
        <v>1.4285714285714286</v>
      </c>
      <c r="L19" s="49">
        <f>'Avg Week  Busembatya-Butongole'!L19+'Avg Week Butongole-Bsembatya'!L19</f>
        <v>0.8571428571428571</v>
      </c>
      <c r="M19" s="49">
        <f>'Avg Week  Busembatya-Butongole'!M19+'Avg Week Butongole-Bsembatya'!M19</f>
        <v>20.571428571428569</v>
      </c>
      <c r="N19" s="49">
        <f>'Avg Week  Busembatya-Butongole'!N19+'Avg Week Butongole-Bsembatya'!N19</f>
        <v>0</v>
      </c>
      <c r="O19" s="15">
        <f t="shared" si="0"/>
        <v>38.857142857142847</v>
      </c>
      <c r="P19" s="15">
        <f t="shared" si="1"/>
        <v>59.428571428571416</v>
      </c>
      <c r="R19" s="1" t="s">
        <v>15</v>
      </c>
      <c r="S19" s="17">
        <f t="shared" ref="S19:AF19" si="11">SUM(C46:C49)</f>
        <v>35.142857142857139</v>
      </c>
      <c r="T19" s="17">
        <f t="shared" si="11"/>
        <v>16.142857142857142</v>
      </c>
      <c r="U19" s="17">
        <f t="shared" si="11"/>
        <v>21.571428571428569</v>
      </c>
      <c r="V19" s="17">
        <f t="shared" si="11"/>
        <v>72.285714285714292</v>
      </c>
      <c r="W19" s="17">
        <f t="shared" si="11"/>
        <v>1.7142857142857144</v>
      </c>
      <c r="X19" s="17">
        <f t="shared" si="11"/>
        <v>3.4285714285714279</v>
      </c>
      <c r="Y19" s="17">
        <f t="shared" si="11"/>
        <v>7.8571428571428559</v>
      </c>
      <c r="Z19" s="17">
        <f t="shared" si="11"/>
        <v>11.142857142857142</v>
      </c>
      <c r="AA19" s="17">
        <f t="shared" si="11"/>
        <v>10</v>
      </c>
      <c r="AB19" s="17">
        <f t="shared" si="11"/>
        <v>2.7142857142857144</v>
      </c>
      <c r="AC19" s="17">
        <f t="shared" si="11"/>
        <v>78.142857142857139</v>
      </c>
      <c r="AD19" s="17">
        <f t="shared" si="11"/>
        <v>0.14285714285714285</v>
      </c>
      <c r="AE19" s="31">
        <f t="shared" si="11"/>
        <v>182.14285714285714</v>
      </c>
      <c r="AF19" s="31">
        <f t="shared" si="11"/>
        <v>260.28571428571428</v>
      </c>
    </row>
    <row r="20" spans="2:32" ht="23.1" customHeight="1" x14ac:dyDescent="0.25">
      <c r="B20" s="23" t="s">
        <v>47</v>
      </c>
      <c r="C20" s="49">
        <f>'Avg Week  Busembatya-Butongole'!C20+'Avg Week Butongole-Bsembatya'!C20</f>
        <v>6.5714285714285712</v>
      </c>
      <c r="D20" s="49">
        <f>'Avg Week  Busembatya-Butongole'!D20+'Avg Week Butongole-Bsembatya'!D20</f>
        <v>3.5714285714285712</v>
      </c>
      <c r="E20" s="49">
        <f>'Avg Week  Busembatya-Butongole'!E20+'Avg Week Butongole-Bsembatya'!E20</f>
        <v>4.5714285714285712</v>
      </c>
      <c r="F20" s="49">
        <f>'Avg Week  Busembatya-Butongole'!F20+'Avg Week Butongole-Bsembatya'!F20</f>
        <v>16.285714285714285</v>
      </c>
      <c r="G20" s="49">
        <f>'Avg Week  Busembatya-Butongole'!G20+'Avg Week Butongole-Bsembatya'!G20</f>
        <v>0.2857142857142857</v>
      </c>
      <c r="H20" s="49">
        <f>'Avg Week  Busembatya-Butongole'!H20+'Avg Week Butongole-Bsembatya'!H20</f>
        <v>0.5714285714285714</v>
      </c>
      <c r="I20" s="49">
        <f>'Avg Week  Busembatya-Butongole'!I20+'Avg Week Butongole-Bsembatya'!I20</f>
        <v>2.8571428571428572</v>
      </c>
      <c r="J20" s="49">
        <f>'Avg Week  Busembatya-Butongole'!J20+'Avg Week Butongole-Bsembatya'!J20</f>
        <v>2.2857142857142856</v>
      </c>
      <c r="K20" s="49">
        <f>'Avg Week  Busembatya-Butongole'!K20+'Avg Week Butongole-Bsembatya'!K20</f>
        <v>1.4285714285714284</v>
      </c>
      <c r="L20" s="49">
        <f>'Avg Week  Busembatya-Butongole'!L20+'Avg Week Butongole-Bsembatya'!L20</f>
        <v>0.42857142857142855</v>
      </c>
      <c r="M20" s="49">
        <f>'Avg Week  Busembatya-Butongole'!M20+'Avg Week Butongole-Bsembatya'!M20</f>
        <v>22</v>
      </c>
      <c r="N20" s="49">
        <f>'Avg Week  Busembatya-Butongole'!N20+'Avg Week Butongole-Bsembatya'!N20</f>
        <v>0.14285714285714285</v>
      </c>
      <c r="O20" s="15">
        <f t="shared" si="0"/>
        <v>39.000000000000007</v>
      </c>
      <c r="P20" s="15">
        <f t="shared" si="1"/>
        <v>61.000000000000007</v>
      </c>
      <c r="R20" s="1" t="s">
        <v>16</v>
      </c>
      <c r="S20" s="17">
        <f t="shared" ref="S20:AF20" si="12">SUM(C50:C53)</f>
        <v>41.571428571428577</v>
      </c>
      <c r="T20" s="17">
        <f t="shared" si="12"/>
        <v>18.142857142857142</v>
      </c>
      <c r="U20" s="17">
        <f t="shared" si="12"/>
        <v>21.428571428571431</v>
      </c>
      <c r="V20" s="17">
        <f t="shared" si="12"/>
        <v>84.571428571428569</v>
      </c>
      <c r="W20" s="17">
        <f t="shared" si="12"/>
        <v>2.4285714285714288</v>
      </c>
      <c r="X20" s="17">
        <f t="shared" si="12"/>
        <v>2.714285714285714</v>
      </c>
      <c r="Y20" s="17">
        <f t="shared" si="12"/>
        <v>10.857142857142858</v>
      </c>
      <c r="Z20" s="17">
        <f t="shared" si="12"/>
        <v>13</v>
      </c>
      <c r="AA20" s="17">
        <f t="shared" si="12"/>
        <v>6.8571428571428568</v>
      </c>
      <c r="AB20" s="17">
        <f t="shared" si="12"/>
        <v>3.8571428571428572</v>
      </c>
      <c r="AC20" s="17">
        <f t="shared" si="12"/>
        <v>105.85714285714285</v>
      </c>
      <c r="AD20" s="17">
        <f t="shared" si="12"/>
        <v>0.42857142857142855</v>
      </c>
      <c r="AE20" s="31">
        <f t="shared" si="12"/>
        <v>205.85714285714289</v>
      </c>
      <c r="AF20" s="31">
        <f t="shared" si="12"/>
        <v>311.71428571428572</v>
      </c>
    </row>
    <row r="21" spans="2:32" ht="23.1" customHeight="1" x14ac:dyDescent="0.25">
      <c r="B21" s="23" t="s">
        <v>48</v>
      </c>
      <c r="C21" s="49">
        <f>'Avg Week  Busembatya-Butongole'!C21+'Avg Week Butongole-Bsembatya'!C21</f>
        <v>6.1428571428571423</v>
      </c>
      <c r="D21" s="49">
        <f>'Avg Week  Busembatya-Butongole'!D21+'Avg Week Butongole-Bsembatya'!D21</f>
        <v>4</v>
      </c>
      <c r="E21" s="49">
        <f>'Avg Week  Busembatya-Butongole'!E21+'Avg Week Butongole-Bsembatya'!E21</f>
        <v>6.2857142857142865</v>
      </c>
      <c r="F21" s="49">
        <f>'Avg Week  Busembatya-Butongole'!F21+'Avg Week Butongole-Bsembatya'!F21</f>
        <v>15.571428571428573</v>
      </c>
      <c r="G21" s="49">
        <f>'Avg Week  Busembatya-Butongole'!G21+'Avg Week Butongole-Bsembatya'!G21</f>
        <v>0.2857142857142857</v>
      </c>
      <c r="H21" s="49">
        <f>'Avg Week  Busembatya-Butongole'!H21+'Avg Week Butongole-Bsembatya'!H21</f>
        <v>0.42857142857142855</v>
      </c>
      <c r="I21" s="49">
        <f>'Avg Week  Busembatya-Butongole'!I21+'Avg Week Butongole-Bsembatya'!I21</f>
        <v>0.8571428571428571</v>
      </c>
      <c r="J21" s="49">
        <f>'Avg Week  Busembatya-Butongole'!J21+'Avg Week Butongole-Bsembatya'!J21</f>
        <v>1.7142857142857142</v>
      </c>
      <c r="K21" s="49">
        <f>'Avg Week  Busembatya-Butongole'!K21+'Avg Week Butongole-Bsembatya'!K21</f>
        <v>1.5714285714285714</v>
      </c>
      <c r="L21" s="49">
        <f>'Avg Week  Busembatya-Butongole'!L21+'Avg Week Butongole-Bsembatya'!L21</f>
        <v>1.2857142857142856</v>
      </c>
      <c r="M21" s="49">
        <f>'Avg Week  Busembatya-Butongole'!M21+'Avg Week Butongole-Bsembatya'!M21</f>
        <v>19.285714285714285</v>
      </c>
      <c r="N21" s="49">
        <f>'Avg Week  Busembatya-Butongole'!N21+'Avg Week Butongole-Bsembatya'!N21</f>
        <v>0.14285714285714285</v>
      </c>
      <c r="O21" s="15">
        <f t="shared" si="0"/>
        <v>38.285714285714285</v>
      </c>
      <c r="P21" s="15">
        <f t="shared" si="1"/>
        <v>57.571428571428569</v>
      </c>
      <c r="R21" s="36" t="s">
        <v>20</v>
      </c>
      <c r="S21" s="34">
        <f t="shared" ref="S21:AF21" si="13">SUM(C54:C57)</f>
        <v>41</v>
      </c>
      <c r="T21" s="17">
        <f t="shared" si="13"/>
        <v>16.142857142857142</v>
      </c>
      <c r="U21" s="17">
        <f t="shared" si="13"/>
        <v>23.714285714285715</v>
      </c>
      <c r="V21" s="17">
        <f t="shared" si="13"/>
        <v>74.571428571428569</v>
      </c>
      <c r="W21" s="17">
        <f t="shared" si="13"/>
        <v>4.2857142857142856</v>
      </c>
      <c r="X21" s="17">
        <f t="shared" si="13"/>
        <v>3.5714285714285712</v>
      </c>
      <c r="Y21" s="17">
        <f t="shared" si="13"/>
        <v>9</v>
      </c>
      <c r="Z21" s="17">
        <f t="shared" si="13"/>
        <v>12.142857142857142</v>
      </c>
      <c r="AA21" s="17">
        <f t="shared" si="13"/>
        <v>6.7142857142857144</v>
      </c>
      <c r="AB21" s="17">
        <f t="shared" si="13"/>
        <v>2.1428571428571428</v>
      </c>
      <c r="AC21" s="17">
        <f t="shared" si="13"/>
        <v>102</v>
      </c>
      <c r="AD21" s="17">
        <f t="shared" si="13"/>
        <v>0</v>
      </c>
      <c r="AE21" s="31">
        <f t="shared" si="13"/>
        <v>193.28571428571428</v>
      </c>
      <c r="AF21" s="31">
        <f t="shared" si="13"/>
        <v>295.28571428571428</v>
      </c>
    </row>
    <row r="22" spans="2:32" ht="23.1" customHeight="1" x14ac:dyDescent="0.25">
      <c r="B22" s="23" t="s">
        <v>49</v>
      </c>
      <c r="C22" s="49">
        <f>'Avg Week  Busembatya-Butongole'!C22+'Avg Week Butongole-Bsembatya'!C22</f>
        <v>6.2857142857142856</v>
      </c>
      <c r="D22" s="49">
        <f>'Avg Week  Busembatya-Butongole'!D22+'Avg Week Butongole-Bsembatya'!D22</f>
        <v>2.7142857142857144</v>
      </c>
      <c r="E22" s="49">
        <f>'Avg Week  Busembatya-Butongole'!E22+'Avg Week Butongole-Bsembatya'!E22</f>
        <v>3.4285714285714288</v>
      </c>
      <c r="F22" s="49">
        <f>'Avg Week  Busembatya-Butongole'!F22+'Avg Week Butongole-Bsembatya'!F22</f>
        <v>16.428571428571427</v>
      </c>
      <c r="G22" s="49">
        <f>'Avg Week  Busembatya-Butongole'!G22+'Avg Week Butongole-Bsembatya'!G22</f>
        <v>0.2857142857142857</v>
      </c>
      <c r="H22" s="49">
        <f>'Avg Week  Busembatya-Butongole'!H22+'Avg Week Butongole-Bsembatya'!H22</f>
        <v>0.5714285714285714</v>
      </c>
      <c r="I22" s="49">
        <f>'Avg Week  Busembatya-Butongole'!I22+'Avg Week Butongole-Bsembatya'!I22</f>
        <v>1.8571428571428572</v>
      </c>
      <c r="J22" s="49">
        <f>'Avg Week  Busembatya-Butongole'!J22+'Avg Week Butongole-Bsembatya'!J22</f>
        <v>2.5714285714285712</v>
      </c>
      <c r="K22" s="49">
        <f>'Avg Week  Busembatya-Butongole'!K22+'Avg Week Butongole-Bsembatya'!K22</f>
        <v>1</v>
      </c>
      <c r="L22" s="49">
        <f>'Avg Week  Busembatya-Butongole'!L22+'Avg Week Butongole-Bsembatya'!L22</f>
        <v>0.71428571428571419</v>
      </c>
      <c r="M22" s="49">
        <f>'Avg Week  Busembatya-Butongole'!M22+'Avg Week Butongole-Bsembatya'!M22</f>
        <v>19.571428571428569</v>
      </c>
      <c r="N22" s="49">
        <f>'Avg Week  Busembatya-Butongole'!N22+'Avg Week Butongole-Bsembatya'!N22</f>
        <v>0</v>
      </c>
      <c r="O22" s="15">
        <f t="shared" si="0"/>
        <v>35.857142857142854</v>
      </c>
      <c r="P22" s="15">
        <f t="shared" si="1"/>
        <v>55.428571428571423</v>
      </c>
      <c r="R22" s="1" t="s">
        <v>146</v>
      </c>
      <c r="S22" s="34">
        <f>SUM(C58:C61)</f>
        <v>54</v>
      </c>
      <c r="T22" s="34">
        <f t="shared" ref="T22:AF22" si="14">SUM(D58:D61)</f>
        <v>17.5</v>
      </c>
      <c r="U22" s="34">
        <f t="shared" si="14"/>
        <v>18.5</v>
      </c>
      <c r="V22" s="34">
        <f t="shared" si="14"/>
        <v>65.5</v>
      </c>
      <c r="W22" s="34">
        <f t="shared" si="14"/>
        <v>2.5</v>
      </c>
      <c r="X22" s="34">
        <f t="shared" si="14"/>
        <v>3</v>
      </c>
      <c r="Y22" s="34">
        <f t="shared" si="14"/>
        <v>31.5</v>
      </c>
      <c r="Z22" s="34">
        <f t="shared" si="14"/>
        <v>1</v>
      </c>
      <c r="AA22" s="34">
        <f t="shared" si="14"/>
        <v>6</v>
      </c>
      <c r="AB22" s="34">
        <f t="shared" si="14"/>
        <v>1.5</v>
      </c>
      <c r="AC22" s="34">
        <f t="shared" si="14"/>
        <v>98</v>
      </c>
      <c r="AD22" s="34">
        <f t="shared" si="14"/>
        <v>0</v>
      </c>
      <c r="AE22" s="31">
        <f t="shared" si="14"/>
        <v>201</v>
      </c>
      <c r="AF22" s="31">
        <f t="shared" si="14"/>
        <v>299</v>
      </c>
    </row>
    <row r="23" spans="2:32" ht="23.1" customHeight="1" x14ac:dyDescent="0.25">
      <c r="B23" s="23" t="s">
        <v>50</v>
      </c>
      <c r="C23" s="49">
        <f>'Avg Week  Busembatya-Butongole'!C23+'Avg Week Butongole-Bsembatya'!C23</f>
        <v>6</v>
      </c>
      <c r="D23" s="49">
        <f>'Avg Week  Busembatya-Butongole'!D23+'Avg Week Butongole-Bsembatya'!D23</f>
        <v>4.7142857142857144</v>
      </c>
      <c r="E23" s="49">
        <f>'Avg Week  Busembatya-Butongole'!E23+'Avg Week Butongole-Bsembatya'!E23</f>
        <v>2.7142857142857144</v>
      </c>
      <c r="F23" s="49">
        <f>'Avg Week  Busembatya-Butongole'!F23+'Avg Week Butongole-Bsembatya'!F23</f>
        <v>17.142857142857146</v>
      </c>
      <c r="G23" s="49">
        <f>'Avg Week  Busembatya-Butongole'!G23+'Avg Week Butongole-Bsembatya'!G23</f>
        <v>0.2857142857142857</v>
      </c>
      <c r="H23" s="49">
        <f>'Avg Week  Busembatya-Butongole'!H23+'Avg Week Butongole-Bsembatya'!H23</f>
        <v>0.14285714285714285</v>
      </c>
      <c r="I23" s="49">
        <f>'Avg Week  Busembatya-Butongole'!I23+'Avg Week Butongole-Bsembatya'!I23</f>
        <v>1.5714285714285714</v>
      </c>
      <c r="J23" s="49">
        <f>'Avg Week  Busembatya-Butongole'!J23+'Avg Week Butongole-Bsembatya'!J23</f>
        <v>2.7142857142857144</v>
      </c>
      <c r="K23" s="49">
        <f>'Avg Week  Busembatya-Butongole'!K23+'Avg Week Butongole-Bsembatya'!K23</f>
        <v>0.8571428571428571</v>
      </c>
      <c r="L23" s="49">
        <f>'Avg Week  Busembatya-Butongole'!L23+'Avg Week Butongole-Bsembatya'!L23</f>
        <v>0.2857142857142857</v>
      </c>
      <c r="M23" s="49">
        <f>'Avg Week  Busembatya-Butongole'!M23+'Avg Week Butongole-Bsembatya'!M23</f>
        <v>19.428571428571431</v>
      </c>
      <c r="N23" s="49">
        <f>'Avg Week  Busembatya-Butongole'!N23+'Avg Week Butongole-Bsembatya'!N23</f>
        <v>0.2857142857142857</v>
      </c>
      <c r="O23" s="15">
        <f t="shared" si="0"/>
        <v>36.714285714285715</v>
      </c>
      <c r="P23" s="15">
        <f t="shared" si="1"/>
        <v>56.142857142857146</v>
      </c>
      <c r="R23" s="1" t="s">
        <v>147</v>
      </c>
      <c r="S23" s="34">
        <f>SUM(C62:C65)</f>
        <v>39</v>
      </c>
      <c r="T23" s="34">
        <f t="shared" ref="T23:AF23" si="15">SUM(D62:D65)</f>
        <v>11</v>
      </c>
      <c r="U23" s="34">
        <f t="shared" si="15"/>
        <v>11</v>
      </c>
      <c r="V23" s="34">
        <f t="shared" si="15"/>
        <v>48</v>
      </c>
      <c r="W23" s="34">
        <f t="shared" si="15"/>
        <v>4</v>
      </c>
      <c r="X23" s="34">
        <f t="shared" si="15"/>
        <v>2</v>
      </c>
      <c r="Y23" s="34">
        <f t="shared" si="15"/>
        <v>24</v>
      </c>
      <c r="Z23" s="34">
        <f t="shared" si="15"/>
        <v>0.5</v>
      </c>
      <c r="AA23" s="34">
        <f t="shared" si="15"/>
        <v>11.5</v>
      </c>
      <c r="AB23" s="34">
        <f t="shared" si="15"/>
        <v>0.5</v>
      </c>
      <c r="AC23" s="34">
        <f t="shared" si="15"/>
        <v>39.5</v>
      </c>
      <c r="AD23" s="34">
        <f t="shared" si="15"/>
        <v>0</v>
      </c>
      <c r="AE23" s="31">
        <f t="shared" si="15"/>
        <v>151.5</v>
      </c>
      <c r="AF23" s="31">
        <f t="shared" si="15"/>
        <v>191</v>
      </c>
    </row>
    <row r="24" spans="2:32" ht="23.1" customHeight="1" x14ac:dyDescent="0.25">
      <c r="B24" s="23" t="s">
        <v>51</v>
      </c>
      <c r="C24" s="49">
        <f>'Avg Week  Busembatya-Butongole'!C24+'Avg Week Butongole-Bsembatya'!C24</f>
        <v>6.7142857142857144</v>
      </c>
      <c r="D24" s="49">
        <f>'Avg Week  Busembatya-Butongole'!D24+'Avg Week Butongole-Bsembatya'!D24</f>
        <v>4.1428571428571432</v>
      </c>
      <c r="E24" s="49">
        <f>'Avg Week  Busembatya-Butongole'!E24+'Avg Week Butongole-Bsembatya'!E24</f>
        <v>4.4285714285714288</v>
      </c>
      <c r="F24" s="49">
        <f>'Avg Week  Busembatya-Butongole'!F24+'Avg Week Butongole-Bsembatya'!F24</f>
        <v>16.428571428571431</v>
      </c>
      <c r="G24" s="49">
        <f>'Avg Week  Busembatya-Butongole'!G24+'Avg Week Butongole-Bsembatya'!G24</f>
        <v>0.14285714285714285</v>
      </c>
      <c r="H24" s="49">
        <f>'Avg Week  Busembatya-Butongole'!H24+'Avg Week Butongole-Bsembatya'!H24</f>
        <v>0</v>
      </c>
      <c r="I24" s="49">
        <f>'Avg Week  Busembatya-Butongole'!I24+'Avg Week Butongole-Bsembatya'!I24</f>
        <v>1.4285714285714284</v>
      </c>
      <c r="J24" s="49">
        <f>'Avg Week  Busembatya-Butongole'!J24+'Avg Week Butongole-Bsembatya'!J24</f>
        <v>1.5714285714285714</v>
      </c>
      <c r="K24" s="49">
        <f>'Avg Week  Busembatya-Butongole'!K24+'Avg Week Butongole-Bsembatya'!K24</f>
        <v>1</v>
      </c>
      <c r="L24" s="49">
        <f>'Avg Week  Busembatya-Butongole'!L24+'Avg Week Butongole-Bsembatya'!L24</f>
        <v>0.71428571428571419</v>
      </c>
      <c r="M24" s="49">
        <f>'Avg Week  Busembatya-Butongole'!M24+'Avg Week Butongole-Bsembatya'!M24</f>
        <v>22.285714285714285</v>
      </c>
      <c r="N24" s="49">
        <f>'Avg Week  Busembatya-Butongole'!N24+'Avg Week Butongole-Bsembatya'!N24</f>
        <v>0.14285714285714285</v>
      </c>
      <c r="O24" s="15">
        <f t="shared" si="0"/>
        <v>36.714285714285715</v>
      </c>
      <c r="P24" s="15">
        <f t="shared" si="1"/>
        <v>59</v>
      </c>
      <c r="R24" s="1" t="s">
        <v>148</v>
      </c>
      <c r="S24" s="34">
        <f>SUM(C66:C69)</f>
        <v>19</v>
      </c>
      <c r="T24" s="34">
        <f t="shared" ref="T24:AF24" si="16">SUM(D66:D69)</f>
        <v>6</v>
      </c>
      <c r="U24" s="34">
        <f t="shared" si="16"/>
        <v>10.5</v>
      </c>
      <c r="V24" s="34">
        <f t="shared" si="16"/>
        <v>31.5</v>
      </c>
      <c r="W24" s="34">
        <f t="shared" si="16"/>
        <v>1</v>
      </c>
      <c r="X24" s="34">
        <f t="shared" si="16"/>
        <v>3.5</v>
      </c>
      <c r="Y24" s="34">
        <f t="shared" si="16"/>
        <v>20.5</v>
      </c>
      <c r="Z24" s="34">
        <f t="shared" si="16"/>
        <v>1</v>
      </c>
      <c r="AA24" s="34">
        <f t="shared" si="16"/>
        <v>8</v>
      </c>
      <c r="AB24" s="34">
        <f t="shared" si="16"/>
        <v>1</v>
      </c>
      <c r="AC24" s="34">
        <f t="shared" si="16"/>
        <v>30</v>
      </c>
      <c r="AD24" s="34">
        <f t="shared" si="16"/>
        <v>0</v>
      </c>
      <c r="AE24" s="31">
        <f t="shared" si="16"/>
        <v>102</v>
      </c>
      <c r="AF24" s="31">
        <f t="shared" si="16"/>
        <v>132</v>
      </c>
    </row>
    <row r="25" spans="2:32" ht="23.1" customHeight="1" x14ac:dyDescent="0.25">
      <c r="B25" s="23" t="s">
        <v>52</v>
      </c>
      <c r="C25" s="49">
        <f>'Avg Week  Busembatya-Butongole'!C25+'Avg Week Butongole-Bsembatya'!C25</f>
        <v>9</v>
      </c>
      <c r="D25" s="49">
        <f>'Avg Week  Busembatya-Butongole'!D25+'Avg Week Butongole-Bsembatya'!D25</f>
        <v>4</v>
      </c>
      <c r="E25" s="49">
        <f>'Avg Week  Busembatya-Butongole'!E25+'Avg Week Butongole-Bsembatya'!E25</f>
        <v>4.8571428571428577</v>
      </c>
      <c r="F25" s="49">
        <f>'Avg Week  Busembatya-Butongole'!F25+'Avg Week Butongole-Bsembatya'!F25</f>
        <v>21.142857142857142</v>
      </c>
      <c r="G25" s="49">
        <f>'Avg Week  Busembatya-Butongole'!G25+'Avg Week Butongole-Bsembatya'!G25</f>
        <v>0.2857142857142857</v>
      </c>
      <c r="H25" s="49">
        <f>'Avg Week  Busembatya-Butongole'!H25+'Avg Week Butongole-Bsembatya'!H25</f>
        <v>0.71428571428571419</v>
      </c>
      <c r="I25" s="49">
        <f>'Avg Week  Busembatya-Butongole'!I25+'Avg Week Butongole-Bsembatya'!I25</f>
        <v>1.1428571428571428</v>
      </c>
      <c r="J25" s="49">
        <f>'Avg Week  Busembatya-Butongole'!J25+'Avg Week Butongole-Bsembatya'!J25</f>
        <v>2</v>
      </c>
      <c r="K25" s="49">
        <f>'Avg Week  Busembatya-Butongole'!K25+'Avg Week Butongole-Bsembatya'!K25</f>
        <v>1.1428571428571428</v>
      </c>
      <c r="L25" s="49">
        <f>'Avg Week  Busembatya-Butongole'!L25+'Avg Week Butongole-Bsembatya'!L25</f>
        <v>1.8571428571428572</v>
      </c>
      <c r="M25" s="49">
        <f>'Avg Week  Busembatya-Butongole'!M25+'Avg Week Butongole-Bsembatya'!M25</f>
        <v>24.285714285714285</v>
      </c>
      <c r="N25" s="49">
        <f>'Avg Week  Busembatya-Butongole'!N25+'Avg Week Butongole-Bsembatya'!N25</f>
        <v>0.14285714285714285</v>
      </c>
      <c r="O25" s="15">
        <f t="shared" si="0"/>
        <v>46.285714285714292</v>
      </c>
      <c r="P25" s="15">
        <f t="shared" si="1"/>
        <v>70.571428571428569</v>
      </c>
      <c r="R25" s="1" t="s">
        <v>149</v>
      </c>
      <c r="S25" s="34">
        <f>SUM(C70:C73)</f>
        <v>13</v>
      </c>
      <c r="T25" s="34">
        <f t="shared" ref="T25:AF25" si="17">SUM(D70:D73)</f>
        <v>7</v>
      </c>
      <c r="U25" s="34">
        <f t="shared" si="17"/>
        <v>5.5</v>
      </c>
      <c r="V25" s="34">
        <f t="shared" si="17"/>
        <v>16.5</v>
      </c>
      <c r="W25" s="34">
        <f t="shared" si="17"/>
        <v>2.5</v>
      </c>
      <c r="X25" s="34">
        <f t="shared" si="17"/>
        <v>0.5</v>
      </c>
      <c r="Y25" s="34">
        <f t="shared" si="17"/>
        <v>19</v>
      </c>
      <c r="Z25" s="34">
        <f t="shared" si="17"/>
        <v>2</v>
      </c>
      <c r="AA25" s="34">
        <f t="shared" si="17"/>
        <v>4</v>
      </c>
      <c r="AB25" s="34">
        <f t="shared" si="17"/>
        <v>1</v>
      </c>
      <c r="AC25" s="34">
        <f t="shared" si="17"/>
        <v>10.5</v>
      </c>
      <c r="AD25" s="34">
        <f t="shared" si="17"/>
        <v>0</v>
      </c>
      <c r="AE25" s="31">
        <f t="shared" si="17"/>
        <v>71</v>
      </c>
      <c r="AF25" s="31">
        <f t="shared" si="17"/>
        <v>81.5</v>
      </c>
    </row>
    <row r="26" spans="2:32" ht="23.1" customHeight="1" x14ac:dyDescent="0.25">
      <c r="B26" s="23" t="s">
        <v>53</v>
      </c>
      <c r="C26" s="49">
        <f>'Avg Week  Busembatya-Butongole'!C26+'Avg Week Butongole-Bsembatya'!C26</f>
        <v>7</v>
      </c>
      <c r="D26" s="49">
        <f>'Avg Week  Busembatya-Butongole'!D26+'Avg Week Butongole-Bsembatya'!D26</f>
        <v>3.1428571428571428</v>
      </c>
      <c r="E26" s="49">
        <f>'Avg Week  Busembatya-Butongole'!E26+'Avg Week Butongole-Bsembatya'!E26</f>
        <v>3.5714285714285712</v>
      </c>
      <c r="F26" s="49">
        <f>'Avg Week  Busembatya-Butongole'!F26+'Avg Week Butongole-Bsembatya'!F26</f>
        <v>19.428571428571431</v>
      </c>
      <c r="G26" s="49">
        <f>'Avg Week  Busembatya-Butongole'!G26+'Avg Week Butongole-Bsembatya'!G26</f>
        <v>0.2857142857142857</v>
      </c>
      <c r="H26" s="49">
        <f>'Avg Week  Busembatya-Butongole'!H26+'Avg Week Butongole-Bsembatya'!H26</f>
        <v>0.5714285714285714</v>
      </c>
      <c r="I26" s="49">
        <f>'Avg Week  Busembatya-Butongole'!I26+'Avg Week Butongole-Bsembatya'!I26</f>
        <v>2.8571428571428568</v>
      </c>
      <c r="J26" s="49">
        <f>'Avg Week  Busembatya-Butongole'!J26+'Avg Week Butongole-Bsembatya'!J26</f>
        <v>2.1428571428571428</v>
      </c>
      <c r="K26" s="49">
        <f>'Avg Week  Busembatya-Butongole'!K26+'Avg Week Butongole-Bsembatya'!K26</f>
        <v>1</v>
      </c>
      <c r="L26" s="49">
        <f>'Avg Week  Busembatya-Butongole'!L26+'Avg Week Butongole-Bsembatya'!L26</f>
        <v>0.7142857142857143</v>
      </c>
      <c r="M26" s="49">
        <f>'Avg Week  Busembatya-Butongole'!M26+'Avg Week Butongole-Bsembatya'!M26</f>
        <v>21.142857142857142</v>
      </c>
      <c r="N26" s="49">
        <f>'Avg Week  Busembatya-Butongole'!N26+'Avg Week Butongole-Bsembatya'!N26</f>
        <v>0.2857142857142857</v>
      </c>
      <c r="O26" s="15">
        <f t="shared" si="0"/>
        <v>41</v>
      </c>
      <c r="P26" s="15">
        <f t="shared" si="1"/>
        <v>62.142857142857146</v>
      </c>
      <c r="R26" s="1" t="s">
        <v>150</v>
      </c>
      <c r="S26" s="34">
        <f>SUM(C74:C77)</f>
        <v>14</v>
      </c>
      <c r="T26" s="34">
        <f t="shared" ref="T26:AF26" si="18">SUM(D74:D77)</f>
        <v>2</v>
      </c>
      <c r="U26" s="34">
        <f t="shared" si="18"/>
        <v>4.5</v>
      </c>
      <c r="V26" s="34">
        <f t="shared" si="18"/>
        <v>10.5</v>
      </c>
      <c r="W26" s="34">
        <f t="shared" si="18"/>
        <v>3.5</v>
      </c>
      <c r="X26" s="34">
        <f t="shared" si="18"/>
        <v>3</v>
      </c>
      <c r="Y26" s="34">
        <f t="shared" si="18"/>
        <v>14</v>
      </c>
      <c r="Z26" s="34">
        <f t="shared" si="18"/>
        <v>0</v>
      </c>
      <c r="AA26" s="34">
        <f t="shared" si="18"/>
        <v>3</v>
      </c>
      <c r="AB26" s="34">
        <f t="shared" si="18"/>
        <v>1</v>
      </c>
      <c r="AC26" s="34">
        <f t="shared" si="18"/>
        <v>1</v>
      </c>
      <c r="AD26" s="34">
        <f t="shared" si="18"/>
        <v>0</v>
      </c>
      <c r="AE26" s="31">
        <f t="shared" si="18"/>
        <v>55.5</v>
      </c>
      <c r="AF26" s="31">
        <f t="shared" si="18"/>
        <v>56.5</v>
      </c>
    </row>
    <row r="27" spans="2:32" ht="23.1" customHeight="1" x14ac:dyDescent="0.25">
      <c r="B27" s="23" t="s">
        <v>54</v>
      </c>
      <c r="C27" s="49">
        <f>'Avg Week  Busembatya-Butongole'!C27+'Avg Week Butongole-Bsembatya'!C27</f>
        <v>9.2857142857142847</v>
      </c>
      <c r="D27" s="49">
        <f>'Avg Week  Busembatya-Butongole'!D27+'Avg Week Butongole-Bsembatya'!D27</f>
        <v>4</v>
      </c>
      <c r="E27" s="49">
        <f>'Avg Week  Busembatya-Butongole'!E27+'Avg Week Butongole-Bsembatya'!E27</f>
        <v>4.2857142857142856</v>
      </c>
      <c r="F27" s="49">
        <f>'Avg Week  Busembatya-Butongole'!F27+'Avg Week Butongole-Bsembatya'!F27</f>
        <v>19.285714285714285</v>
      </c>
      <c r="G27" s="49">
        <f>'Avg Week  Busembatya-Butongole'!G27+'Avg Week Butongole-Bsembatya'!G27</f>
        <v>0.42857142857142855</v>
      </c>
      <c r="H27" s="49">
        <f>'Avg Week  Busembatya-Butongole'!H27+'Avg Week Butongole-Bsembatya'!H27</f>
        <v>0.5714285714285714</v>
      </c>
      <c r="I27" s="49">
        <f>'Avg Week  Busembatya-Butongole'!I27+'Avg Week Butongole-Bsembatya'!I27</f>
        <v>1.1428571428571428</v>
      </c>
      <c r="J27" s="49">
        <f>'Avg Week  Busembatya-Butongole'!J27+'Avg Week Butongole-Bsembatya'!J27</f>
        <v>2.1428571428571428</v>
      </c>
      <c r="K27" s="49">
        <f>'Avg Week  Busembatya-Butongole'!K27+'Avg Week Butongole-Bsembatya'!K27</f>
        <v>1.2857142857142856</v>
      </c>
      <c r="L27" s="49">
        <f>'Avg Week  Busembatya-Butongole'!L27+'Avg Week Butongole-Bsembatya'!L27</f>
        <v>0.42857142857142855</v>
      </c>
      <c r="M27" s="49">
        <f>'Avg Week  Busembatya-Butongole'!M27+'Avg Week Butongole-Bsembatya'!M27</f>
        <v>22.714285714285715</v>
      </c>
      <c r="N27" s="49">
        <f>'Avg Week  Busembatya-Butongole'!N27+'Avg Week Butongole-Bsembatya'!N27</f>
        <v>0</v>
      </c>
      <c r="O27" s="15">
        <f t="shared" si="0"/>
        <v>42.857142857142861</v>
      </c>
      <c r="P27" s="15">
        <f t="shared" si="1"/>
        <v>65.571428571428584</v>
      </c>
      <c r="R27" s="1" t="s">
        <v>151</v>
      </c>
      <c r="S27" s="34">
        <f>SUM(C78:C81)</f>
        <v>7</v>
      </c>
      <c r="T27" s="34">
        <f t="shared" ref="T27:AF27" si="19">SUM(D78:D81)</f>
        <v>1.5</v>
      </c>
      <c r="U27" s="34">
        <f t="shared" si="19"/>
        <v>1.5</v>
      </c>
      <c r="V27" s="34">
        <f t="shared" si="19"/>
        <v>6</v>
      </c>
      <c r="W27" s="34">
        <f t="shared" si="19"/>
        <v>1.5</v>
      </c>
      <c r="X27" s="34">
        <f t="shared" si="19"/>
        <v>5.5</v>
      </c>
      <c r="Y27" s="34">
        <f t="shared" si="19"/>
        <v>13</v>
      </c>
      <c r="Z27" s="34">
        <f t="shared" si="19"/>
        <v>0</v>
      </c>
      <c r="AA27" s="34">
        <f t="shared" si="19"/>
        <v>1.5</v>
      </c>
      <c r="AB27" s="34">
        <f t="shared" si="19"/>
        <v>0.5</v>
      </c>
      <c r="AC27" s="34">
        <f t="shared" si="19"/>
        <v>3.5</v>
      </c>
      <c r="AD27" s="34">
        <f t="shared" si="19"/>
        <v>0</v>
      </c>
      <c r="AE27" s="31">
        <f t="shared" si="19"/>
        <v>38</v>
      </c>
      <c r="AF27" s="31">
        <f t="shared" si="19"/>
        <v>41.5</v>
      </c>
    </row>
    <row r="28" spans="2:32" ht="23.1" customHeight="1" x14ac:dyDescent="0.25">
      <c r="B28" s="23" t="s">
        <v>55</v>
      </c>
      <c r="C28" s="49">
        <f>'Avg Week  Busembatya-Butongole'!C28+'Avg Week Butongole-Bsembatya'!C28</f>
        <v>9.571428571428573</v>
      </c>
      <c r="D28" s="49">
        <f>'Avg Week  Busembatya-Butongole'!D28+'Avg Week Butongole-Bsembatya'!D28</f>
        <v>3.2857142857142856</v>
      </c>
      <c r="E28" s="49">
        <f>'Avg Week  Busembatya-Butongole'!E28+'Avg Week Butongole-Bsembatya'!E28</f>
        <v>3</v>
      </c>
      <c r="F28" s="49">
        <f>'Avg Week  Busembatya-Butongole'!F28+'Avg Week Butongole-Bsembatya'!F28</f>
        <v>19</v>
      </c>
      <c r="G28" s="49">
        <f>'Avg Week  Busembatya-Butongole'!G28+'Avg Week Butongole-Bsembatya'!G28</f>
        <v>0.5714285714285714</v>
      </c>
      <c r="H28" s="49">
        <f>'Avg Week  Busembatya-Butongole'!H28+'Avg Week Butongole-Bsembatya'!H28</f>
        <v>0.14285714285714285</v>
      </c>
      <c r="I28" s="49">
        <f>'Avg Week  Busembatya-Butongole'!I28+'Avg Week Butongole-Bsembatya'!I28</f>
        <v>2.1428571428571428</v>
      </c>
      <c r="J28" s="49">
        <f>'Avg Week  Busembatya-Butongole'!J28+'Avg Week Butongole-Bsembatya'!J28</f>
        <v>2.5714285714285712</v>
      </c>
      <c r="K28" s="49">
        <f>'Avg Week  Busembatya-Butongole'!K28+'Avg Week Butongole-Bsembatya'!K28</f>
        <v>1.2857142857142856</v>
      </c>
      <c r="L28" s="49">
        <f>'Avg Week  Busembatya-Butongole'!L28+'Avg Week Butongole-Bsembatya'!L28</f>
        <v>0.85714285714285721</v>
      </c>
      <c r="M28" s="49">
        <f>'Avg Week  Busembatya-Butongole'!M28+'Avg Week Butongole-Bsembatya'!M28</f>
        <v>21.285714285714285</v>
      </c>
      <c r="N28" s="49">
        <f>'Avg Week  Busembatya-Butongole'!N28+'Avg Week Butongole-Bsembatya'!N28</f>
        <v>0.14285714285714285</v>
      </c>
      <c r="O28" s="15">
        <f t="shared" si="0"/>
        <v>42.571428571428577</v>
      </c>
      <c r="P28" s="15">
        <f t="shared" si="1"/>
        <v>63.857142857142861</v>
      </c>
      <c r="R28" s="1" t="s">
        <v>152</v>
      </c>
      <c r="S28" s="34">
        <f>SUM(C82:C85)</f>
        <v>2.5</v>
      </c>
      <c r="T28" s="34">
        <f t="shared" ref="T28:AF28" si="20">SUM(D82:D85)</f>
        <v>1.5</v>
      </c>
      <c r="U28" s="34">
        <f t="shared" si="20"/>
        <v>0.5</v>
      </c>
      <c r="V28" s="34">
        <f t="shared" si="20"/>
        <v>3.5</v>
      </c>
      <c r="W28" s="34">
        <f t="shared" si="20"/>
        <v>0.5</v>
      </c>
      <c r="X28" s="34">
        <f t="shared" si="20"/>
        <v>3.5</v>
      </c>
      <c r="Y28" s="34">
        <f t="shared" si="20"/>
        <v>5.5</v>
      </c>
      <c r="Z28" s="34">
        <f t="shared" si="20"/>
        <v>0</v>
      </c>
      <c r="AA28" s="34">
        <f t="shared" si="20"/>
        <v>4.5</v>
      </c>
      <c r="AB28" s="34">
        <f t="shared" si="20"/>
        <v>0</v>
      </c>
      <c r="AC28" s="34">
        <f t="shared" si="20"/>
        <v>0.5</v>
      </c>
      <c r="AD28" s="34">
        <f t="shared" si="20"/>
        <v>0</v>
      </c>
      <c r="AE28" s="31">
        <f t="shared" si="20"/>
        <v>22</v>
      </c>
      <c r="AF28" s="31">
        <f t="shared" si="20"/>
        <v>22.5</v>
      </c>
    </row>
    <row r="29" spans="2:32" ht="23.1" customHeight="1" x14ac:dyDescent="0.25">
      <c r="B29" s="23" t="s">
        <v>56</v>
      </c>
      <c r="C29" s="49">
        <f>'Avg Week  Busembatya-Butongole'!C29+'Avg Week Butongole-Bsembatya'!C29</f>
        <v>9</v>
      </c>
      <c r="D29" s="49">
        <f>'Avg Week  Busembatya-Butongole'!D29+'Avg Week Butongole-Bsembatya'!D29</f>
        <v>3.7142857142857144</v>
      </c>
      <c r="E29" s="49">
        <f>'Avg Week  Busembatya-Butongole'!E29+'Avg Week Butongole-Bsembatya'!E29</f>
        <v>5.1428571428571423</v>
      </c>
      <c r="F29" s="49">
        <f>'Avg Week  Busembatya-Butongole'!F29+'Avg Week Butongole-Bsembatya'!F29</f>
        <v>18.571428571428569</v>
      </c>
      <c r="G29" s="49">
        <f>'Avg Week  Busembatya-Butongole'!G29+'Avg Week Butongole-Bsembatya'!G29</f>
        <v>1.2857142857142856</v>
      </c>
      <c r="H29" s="49">
        <f>'Avg Week  Busembatya-Butongole'!H29+'Avg Week Butongole-Bsembatya'!H29</f>
        <v>0.5714285714285714</v>
      </c>
      <c r="I29" s="49">
        <f>'Avg Week  Busembatya-Butongole'!I29+'Avg Week Butongole-Bsembatya'!I29</f>
        <v>1.7142857142857144</v>
      </c>
      <c r="J29" s="49">
        <f>'Avg Week  Busembatya-Butongole'!J29+'Avg Week Butongole-Bsembatya'!J29</f>
        <v>2.1428571428571428</v>
      </c>
      <c r="K29" s="49">
        <f>'Avg Week  Busembatya-Butongole'!K29+'Avg Week Butongole-Bsembatya'!K29</f>
        <v>1.2857142857142856</v>
      </c>
      <c r="L29" s="49">
        <f>'Avg Week  Busembatya-Butongole'!L29+'Avg Week Butongole-Bsembatya'!L29</f>
        <v>0.14285714285714285</v>
      </c>
      <c r="M29" s="49">
        <f>'Avg Week  Busembatya-Butongole'!M29+'Avg Week Butongole-Bsembatya'!M29</f>
        <v>29</v>
      </c>
      <c r="N29" s="49">
        <f>'Avg Week  Busembatya-Butongole'!N29+'Avg Week Butongole-Bsembatya'!N29</f>
        <v>0.42857142857142855</v>
      </c>
      <c r="O29" s="15">
        <f t="shared" si="0"/>
        <v>44.000000000000007</v>
      </c>
      <c r="P29" s="15">
        <f t="shared" si="1"/>
        <v>73.000000000000014</v>
      </c>
      <c r="R29" s="1" t="s">
        <v>153</v>
      </c>
      <c r="S29" s="34">
        <f>SUM(C86:C89)</f>
        <v>2.5</v>
      </c>
      <c r="T29" s="34">
        <f t="shared" ref="T29:AF29" si="21">SUM(D86:D89)</f>
        <v>0</v>
      </c>
      <c r="U29" s="34">
        <f t="shared" si="21"/>
        <v>0.5</v>
      </c>
      <c r="V29" s="34">
        <f t="shared" si="21"/>
        <v>4.5</v>
      </c>
      <c r="W29" s="34">
        <f t="shared" si="21"/>
        <v>0</v>
      </c>
      <c r="X29" s="34">
        <f t="shared" si="21"/>
        <v>6.5</v>
      </c>
      <c r="Y29" s="34">
        <f t="shared" si="21"/>
        <v>5.5</v>
      </c>
      <c r="Z29" s="34">
        <f t="shared" si="21"/>
        <v>0</v>
      </c>
      <c r="AA29" s="34">
        <f t="shared" si="21"/>
        <v>3.5</v>
      </c>
      <c r="AB29" s="34">
        <f t="shared" si="21"/>
        <v>0.5</v>
      </c>
      <c r="AC29" s="34">
        <f t="shared" si="21"/>
        <v>2</v>
      </c>
      <c r="AD29" s="34">
        <f t="shared" si="21"/>
        <v>0</v>
      </c>
      <c r="AE29" s="31">
        <f t="shared" si="21"/>
        <v>23.5</v>
      </c>
      <c r="AF29" s="31">
        <f t="shared" si="21"/>
        <v>25.5</v>
      </c>
    </row>
    <row r="30" spans="2:32" ht="23.1" customHeight="1" x14ac:dyDescent="0.25">
      <c r="B30" s="23" t="s">
        <v>57</v>
      </c>
      <c r="C30" s="49">
        <f>'Avg Week  Busembatya-Butongole'!C30+'Avg Week Butongole-Bsembatya'!C30</f>
        <v>10</v>
      </c>
      <c r="D30" s="49">
        <f>'Avg Week  Busembatya-Butongole'!D30+'Avg Week Butongole-Bsembatya'!D30</f>
        <v>4.8571428571428577</v>
      </c>
      <c r="E30" s="49">
        <f>'Avg Week  Busembatya-Butongole'!E30+'Avg Week Butongole-Bsembatya'!E30</f>
        <v>4</v>
      </c>
      <c r="F30" s="49">
        <f>'Avg Week  Busembatya-Butongole'!F30+'Avg Week Butongole-Bsembatya'!F30</f>
        <v>22.714285714285715</v>
      </c>
      <c r="G30" s="49">
        <f>'Avg Week  Busembatya-Butongole'!G30+'Avg Week Butongole-Bsembatya'!G30</f>
        <v>0.42857142857142855</v>
      </c>
      <c r="H30" s="49">
        <f>'Avg Week  Busembatya-Butongole'!H30+'Avg Week Butongole-Bsembatya'!H30</f>
        <v>1</v>
      </c>
      <c r="I30" s="49">
        <f>'Avg Week  Busembatya-Butongole'!I30+'Avg Week Butongole-Bsembatya'!I30</f>
        <v>2.4285714285714288</v>
      </c>
      <c r="J30" s="49">
        <f>'Avg Week  Busembatya-Butongole'!J30+'Avg Week Butongole-Bsembatya'!J30</f>
        <v>2.7142857142857144</v>
      </c>
      <c r="K30" s="49">
        <f>'Avg Week  Busembatya-Butongole'!K30+'Avg Week Butongole-Bsembatya'!K30</f>
        <v>1.4285714285714286</v>
      </c>
      <c r="L30" s="49">
        <f>'Avg Week  Busembatya-Butongole'!L30+'Avg Week Butongole-Bsembatya'!L30</f>
        <v>0.71428571428571419</v>
      </c>
      <c r="M30" s="49">
        <f>'Avg Week  Busembatya-Butongole'!M30+'Avg Week Butongole-Bsembatya'!M30</f>
        <v>21.285714285714285</v>
      </c>
      <c r="N30" s="49">
        <f>'Avg Week  Busembatya-Butongole'!N30+'Avg Week Butongole-Bsembatya'!N30</f>
        <v>0</v>
      </c>
      <c r="O30" s="15">
        <f t="shared" si="0"/>
        <v>50.285714285714292</v>
      </c>
      <c r="P30" s="15">
        <f t="shared" si="1"/>
        <v>71.571428571428584</v>
      </c>
      <c r="R30" s="1" t="s">
        <v>154</v>
      </c>
      <c r="S30" s="34">
        <f>SUM(C90:C93)</f>
        <v>3</v>
      </c>
      <c r="T30" s="34">
        <f t="shared" ref="T30:AF30" si="22">SUM(D90:D93)</f>
        <v>1</v>
      </c>
      <c r="U30" s="34">
        <f t="shared" si="22"/>
        <v>0.5</v>
      </c>
      <c r="V30" s="34">
        <f t="shared" si="22"/>
        <v>3</v>
      </c>
      <c r="W30" s="34">
        <f t="shared" si="22"/>
        <v>0</v>
      </c>
      <c r="X30" s="34">
        <f t="shared" si="22"/>
        <v>4</v>
      </c>
      <c r="Y30" s="34">
        <f t="shared" si="22"/>
        <v>7.5</v>
      </c>
      <c r="Z30" s="34">
        <f t="shared" si="22"/>
        <v>0</v>
      </c>
      <c r="AA30" s="34">
        <f t="shared" si="22"/>
        <v>4.5</v>
      </c>
      <c r="AB30" s="34">
        <f t="shared" si="22"/>
        <v>1.5</v>
      </c>
      <c r="AC30" s="34">
        <f t="shared" si="22"/>
        <v>1</v>
      </c>
      <c r="AD30" s="34">
        <f t="shared" si="22"/>
        <v>0</v>
      </c>
      <c r="AE30" s="31">
        <f t="shared" si="22"/>
        <v>25</v>
      </c>
      <c r="AF30" s="31">
        <f t="shared" si="22"/>
        <v>26</v>
      </c>
    </row>
    <row r="31" spans="2:32" ht="23.1" customHeight="1" x14ac:dyDescent="0.25">
      <c r="B31" s="24" t="s">
        <v>58</v>
      </c>
      <c r="C31" s="49">
        <f>'Avg Week  Busembatya-Butongole'!C31+'Avg Week Butongole-Bsembatya'!C31</f>
        <v>9.8571428571428577</v>
      </c>
      <c r="D31" s="49">
        <f>'Avg Week  Busembatya-Butongole'!D31+'Avg Week Butongole-Bsembatya'!D31</f>
        <v>3.1428571428571428</v>
      </c>
      <c r="E31" s="49">
        <f>'Avg Week  Busembatya-Butongole'!E31+'Avg Week Butongole-Bsembatya'!E31</f>
        <v>3.5714285714285712</v>
      </c>
      <c r="F31" s="49">
        <f>'Avg Week  Busembatya-Butongole'!F31+'Avg Week Butongole-Bsembatya'!F31</f>
        <v>17.285714285714285</v>
      </c>
      <c r="G31" s="49">
        <f>'Avg Week  Busembatya-Butongole'!G31+'Avg Week Butongole-Bsembatya'!G31</f>
        <v>0.5714285714285714</v>
      </c>
      <c r="H31" s="49">
        <f>'Avg Week  Busembatya-Butongole'!H31+'Avg Week Butongole-Bsembatya'!H31</f>
        <v>0.42857142857142855</v>
      </c>
      <c r="I31" s="49">
        <f>'Avg Week  Busembatya-Butongole'!I31+'Avg Week Butongole-Bsembatya'!I31</f>
        <v>2</v>
      </c>
      <c r="J31" s="49">
        <f>'Avg Week  Busembatya-Butongole'!J31+'Avg Week Butongole-Bsembatya'!J31</f>
        <v>3.1428571428571428</v>
      </c>
      <c r="K31" s="49">
        <f>'Avg Week  Busembatya-Butongole'!K31+'Avg Week Butongole-Bsembatya'!K31</f>
        <v>1.4285714285714286</v>
      </c>
      <c r="L31" s="49">
        <f>'Avg Week  Busembatya-Butongole'!L31+'Avg Week Butongole-Bsembatya'!L31</f>
        <v>0.8571428571428571</v>
      </c>
      <c r="M31" s="49">
        <f>'Avg Week  Busembatya-Butongole'!M31+'Avg Week Butongole-Bsembatya'!M31</f>
        <v>21.857142857142858</v>
      </c>
      <c r="N31" s="49">
        <f>'Avg Week  Busembatya-Butongole'!N31+'Avg Week Butongole-Bsembatya'!N31</f>
        <v>0</v>
      </c>
      <c r="O31" s="15">
        <f t="shared" si="0"/>
        <v>42.285714285714285</v>
      </c>
      <c r="P31" s="15">
        <f t="shared" si="1"/>
        <v>64.142857142857139</v>
      </c>
      <c r="R31" s="1" t="s">
        <v>155</v>
      </c>
      <c r="S31" s="34">
        <f>SUM(C94:C97)</f>
        <v>2.5</v>
      </c>
      <c r="T31" s="34">
        <f t="shared" ref="T31:AF31" si="23">SUM(D94:D97)</f>
        <v>1</v>
      </c>
      <c r="U31" s="34">
        <f t="shared" si="23"/>
        <v>0.5</v>
      </c>
      <c r="V31" s="34">
        <f t="shared" si="23"/>
        <v>7</v>
      </c>
      <c r="W31" s="34">
        <f t="shared" si="23"/>
        <v>0</v>
      </c>
      <c r="X31" s="34">
        <f t="shared" si="23"/>
        <v>3.5</v>
      </c>
      <c r="Y31" s="34">
        <f t="shared" si="23"/>
        <v>7.5</v>
      </c>
      <c r="Z31" s="34">
        <f t="shared" si="23"/>
        <v>0</v>
      </c>
      <c r="AA31" s="34">
        <f t="shared" si="23"/>
        <v>4</v>
      </c>
      <c r="AB31" s="34">
        <f t="shared" si="23"/>
        <v>0</v>
      </c>
      <c r="AC31" s="34">
        <f t="shared" si="23"/>
        <v>1.5</v>
      </c>
      <c r="AD31" s="34">
        <f t="shared" si="23"/>
        <v>0</v>
      </c>
      <c r="AE31" s="31">
        <f t="shared" si="23"/>
        <v>26</v>
      </c>
      <c r="AF31" s="31">
        <f t="shared" si="23"/>
        <v>27.5</v>
      </c>
    </row>
    <row r="32" spans="2:32" ht="23.1" customHeight="1" x14ac:dyDescent="0.25">
      <c r="B32" s="24" t="s">
        <v>59</v>
      </c>
      <c r="C32" s="49">
        <f>'Avg Week  Busembatya-Butongole'!C32+'Avg Week Butongole-Bsembatya'!C32</f>
        <v>9.5714285714285712</v>
      </c>
      <c r="D32" s="49">
        <f>'Avg Week  Busembatya-Butongole'!D32+'Avg Week Butongole-Bsembatya'!D32</f>
        <v>3.2857142857142856</v>
      </c>
      <c r="E32" s="49">
        <f>'Avg Week  Busembatya-Butongole'!E32+'Avg Week Butongole-Bsembatya'!E32</f>
        <v>3.4285714285714288</v>
      </c>
      <c r="F32" s="49">
        <f>'Avg Week  Busembatya-Butongole'!F32+'Avg Week Butongole-Bsembatya'!F32</f>
        <v>21</v>
      </c>
      <c r="G32" s="49">
        <f>'Avg Week  Busembatya-Butongole'!G32+'Avg Week Butongole-Bsembatya'!G32</f>
        <v>0.71428571428571419</v>
      </c>
      <c r="H32" s="49">
        <f>'Avg Week  Busembatya-Butongole'!H32+'Avg Week Butongole-Bsembatya'!H32</f>
        <v>1.2857142857142856</v>
      </c>
      <c r="I32" s="49">
        <f>'Avg Week  Busembatya-Butongole'!I32+'Avg Week Butongole-Bsembatya'!I32</f>
        <v>1.7142857142857144</v>
      </c>
      <c r="J32" s="49">
        <f>'Avg Week  Busembatya-Butongole'!J32+'Avg Week Butongole-Bsembatya'!J32</f>
        <v>2.1428571428571428</v>
      </c>
      <c r="K32" s="49">
        <f>'Avg Week  Busembatya-Butongole'!K32+'Avg Week Butongole-Bsembatya'!K32</f>
        <v>2</v>
      </c>
      <c r="L32" s="49">
        <f>'Avg Week  Busembatya-Butongole'!L32+'Avg Week Butongole-Bsembatya'!L32</f>
        <v>1.2857142857142856</v>
      </c>
      <c r="M32" s="49">
        <f>'Avg Week  Busembatya-Butongole'!M32+'Avg Week Butongole-Bsembatya'!M32</f>
        <v>24.142857142857142</v>
      </c>
      <c r="N32" s="49">
        <f>'Avg Week  Busembatya-Butongole'!N32+'Avg Week Butongole-Bsembatya'!N32</f>
        <v>0</v>
      </c>
      <c r="O32" s="15">
        <f t="shared" si="0"/>
        <v>46.428571428571431</v>
      </c>
      <c r="P32" s="15">
        <f t="shared" si="1"/>
        <v>70.571428571428569</v>
      </c>
      <c r="R32" s="1" t="s">
        <v>156</v>
      </c>
      <c r="S32" s="34">
        <f>SUM(C98:C101)</f>
        <v>8.5</v>
      </c>
      <c r="T32" s="34">
        <f t="shared" ref="T32:AF32" si="24">SUM(D98:D101)</f>
        <v>3</v>
      </c>
      <c r="U32" s="34">
        <f t="shared" si="24"/>
        <v>1.5</v>
      </c>
      <c r="V32" s="34">
        <f t="shared" si="24"/>
        <v>7</v>
      </c>
      <c r="W32" s="34">
        <f t="shared" si="24"/>
        <v>0</v>
      </c>
      <c r="X32" s="34">
        <f t="shared" si="24"/>
        <v>2</v>
      </c>
      <c r="Y32" s="34">
        <f t="shared" si="24"/>
        <v>2.5</v>
      </c>
      <c r="Z32" s="34">
        <f t="shared" si="24"/>
        <v>0</v>
      </c>
      <c r="AA32" s="34">
        <f t="shared" si="24"/>
        <v>2.5</v>
      </c>
      <c r="AB32" s="34">
        <f t="shared" si="24"/>
        <v>1</v>
      </c>
      <c r="AC32" s="34">
        <f t="shared" si="24"/>
        <v>4</v>
      </c>
      <c r="AD32" s="34">
        <f t="shared" si="24"/>
        <v>0</v>
      </c>
      <c r="AE32" s="31">
        <f t="shared" si="24"/>
        <v>28</v>
      </c>
      <c r="AF32" s="31">
        <f t="shared" si="24"/>
        <v>32</v>
      </c>
    </row>
    <row r="33" spans="2:32" ht="23.1" customHeight="1" x14ac:dyDescent="0.25">
      <c r="B33" s="23" t="s">
        <v>60</v>
      </c>
      <c r="C33" s="49">
        <f>'Avg Week  Busembatya-Butongole'!C33+'Avg Week Butongole-Bsembatya'!C33</f>
        <v>10.285714285714285</v>
      </c>
      <c r="D33" s="49">
        <f>'Avg Week  Busembatya-Butongole'!D33+'Avg Week Butongole-Bsembatya'!D33</f>
        <v>4.4285714285714288</v>
      </c>
      <c r="E33" s="49">
        <f>'Avg Week  Busembatya-Butongole'!E33+'Avg Week Butongole-Bsembatya'!E33</f>
        <v>2.4285714285714284</v>
      </c>
      <c r="F33" s="49">
        <f>'Avg Week  Busembatya-Butongole'!F33+'Avg Week Butongole-Bsembatya'!F33</f>
        <v>18</v>
      </c>
      <c r="G33" s="49">
        <f>'Avg Week  Busembatya-Butongole'!G33+'Avg Week Butongole-Bsembatya'!G33</f>
        <v>1.2857142857142856</v>
      </c>
      <c r="H33" s="49">
        <f>'Avg Week  Busembatya-Butongole'!H33+'Avg Week Butongole-Bsembatya'!H33</f>
        <v>0.8571428571428571</v>
      </c>
      <c r="I33" s="49">
        <f>'Avg Week  Busembatya-Butongole'!I33+'Avg Week Butongole-Bsembatya'!I33</f>
        <v>2.4285714285714288</v>
      </c>
      <c r="J33" s="49">
        <f>'Avg Week  Busembatya-Butongole'!J33+'Avg Week Butongole-Bsembatya'!J33</f>
        <v>2.5714285714285716</v>
      </c>
      <c r="K33" s="49">
        <f>'Avg Week  Busembatya-Butongole'!K33+'Avg Week Butongole-Bsembatya'!K33</f>
        <v>1.4285714285714284</v>
      </c>
      <c r="L33" s="49">
        <f>'Avg Week  Busembatya-Butongole'!L33+'Avg Week Butongole-Bsembatya'!L33</f>
        <v>1</v>
      </c>
      <c r="M33" s="49">
        <f>'Avg Week  Busembatya-Butongole'!M33+'Avg Week Butongole-Bsembatya'!M33</f>
        <v>24.857142857142854</v>
      </c>
      <c r="N33" s="49">
        <f>'Avg Week  Busembatya-Butongole'!N33+'Avg Week Butongole-Bsembatya'!N33</f>
        <v>0</v>
      </c>
      <c r="O33" s="15">
        <f t="shared" si="0"/>
        <v>44.714285714285708</v>
      </c>
      <c r="P33" s="15">
        <f t="shared" si="1"/>
        <v>69.571428571428555</v>
      </c>
      <c r="R33" s="1" t="s">
        <v>157</v>
      </c>
      <c r="S33" s="34">
        <f>SUM(C102:C105)</f>
        <v>14.5</v>
      </c>
      <c r="T33" s="34">
        <f t="shared" ref="T33:AF33" si="25">SUM(D102:D105)</f>
        <v>4.5</v>
      </c>
      <c r="U33" s="34">
        <f t="shared" si="25"/>
        <v>7.5</v>
      </c>
      <c r="V33" s="34">
        <f t="shared" si="25"/>
        <v>24.5</v>
      </c>
      <c r="W33" s="34">
        <f t="shared" si="25"/>
        <v>0</v>
      </c>
      <c r="X33" s="34">
        <f t="shared" si="25"/>
        <v>1.5</v>
      </c>
      <c r="Y33" s="34">
        <f t="shared" si="25"/>
        <v>8</v>
      </c>
      <c r="Z33" s="34">
        <f t="shared" si="25"/>
        <v>1</v>
      </c>
      <c r="AA33" s="34">
        <f t="shared" si="25"/>
        <v>5.5</v>
      </c>
      <c r="AB33" s="34">
        <f t="shared" si="25"/>
        <v>1.5</v>
      </c>
      <c r="AC33" s="34">
        <f t="shared" si="25"/>
        <v>43</v>
      </c>
      <c r="AD33" s="34">
        <f t="shared" si="25"/>
        <v>0</v>
      </c>
      <c r="AE33" s="31">
        <f t="shared" si="25"/>
        <v>68.5</v>
      </c>
      <c r="AF33" s="31">
        <f t="shared" si="25"/>
        <v>111.5</v>
      </c>
    </row>
    <row r="34" spans="2:32" ht="23.1" customHeight="1" x14ac:dyDescent="0.25">
      <c r="B34" s="24" t="s">
        <v>61</v>
      </c>
      <c r="C34" s="49">
        <f>'Avg Week  Busembatya-Butongole'!C34+'Avg Week Butongole-Bsembatya'!C34</f>
        <v>6.4285714285714288</v>
      </c>
      <c r="D34" s="49">
        <f>'Avg Week  Busembatya-Butongole'!D34+'Avg Week Butongole-Bsembatya'!D34</f>
        <v>3.1428571428571428</v>
      </c>
      <c r="E34" s="49">
        <f>'Avg Week  Busembatya-Butongole'!E34+'Avg Week Butongole-Bsembatya'!E34</f>
        <v>5</v>
      </c>
      <c r="F34" s="49">
        <f>'Avg Week  Busembatya-Butongole'!F34+'Avg Week Butongole-Bsembatya'!F34</f>
        <v>18.428571428571431</v>
      </c>
      <c r="G34" s="49">
        <f>'Avg Week  Busembatya-Butongole'!G34+'Avg Week Butongole-Bsembatya'!G34</f>
        <v>4</v>
      </c>
      <c r="H34" s="49">
        <f>'Avg Week  Busembatya-Butongole'!H34+'Avg Week Butongole-Bsembatya'!H34</f>
        <v>0.71428571428571419</v>
      </c>
      <c r="I34" s="49">
        <f>'Avg Week  Busembatya-Butongole'!I34+'Avg Week Butongole-Bsembatya'!I34</f>
        <v>2.1428571428571428</v>
      </c>
      <c r="J34" s="49">
        <f>'Avg Week  Busembatya-Butongole'!J34+'Avg Week Butongole-Bsembatya'!J34</f>
        <v>2.1428571428571428</v>
      </c>
      <c r="K34" s="49">
        <f>'Avg Week  Busembatya-Butongole'!K34+'Avg Week Butongole-Bsembatya'!K34</f>
        <v>1</v>
      </c>
      <c r="L34" s="49">
        <f>'Avg Week  Busembatya-Butongole'!L34+'Avg Week Butongole-Bsembatya'!L34</f>
        <v>0</v>
      </c>
      <c r="M34" s="49">
        <f>'Avg Week  Busembatya-Butongole'!M34+'Avg Week Butongole-Bsembatya'!M34</f>
        <v>21.714285714285715</v>
      </c>
      <c r="N34" s="49">
        <f>'Avg Week  Busembatya-Butongole'!N34+'Avg Week Butongole-Bsembatya'!N34</f>
        <v>0</v>
      </c>
      <c r="O34" s="15">
        <f t="shared" si="0"/>
        <v>43.000000000000007</v>
      </c>
      <c r="P34" s="15">
        <f t="shared" si="1"/>
        <v>64.714285714285722</v>
      </c>
      <c r="R34" s="38" t="s">
        <v>90</v>
      </c>
      <c r="S34" s="39">
        <f t="shared" ref="S34:AF34" si="26">MAX(S10:S12)</f>
        <v>25.285714285714285</v>
      </c>
      <c r="T34" s="39">
        <f t="shared" si="26"/>
        <v>13</v>
      </c>
      <c r="U34" s="39">
        <f t="shared" si="26"/>
        <v>18.285714285714285</v>
      </c>
      <c r="V34" s="39">
        <f t="shared" si="26"/>
        <v>67.714285714285708</v>
      </c>
      <c r="W34" s="39">
        <f t="shared" si="26"/>
        <v>2.2857142857142856</v>
      </c>
      <c r="X34" s="39">
        <f t="shared" si="26"/>
        <v>2.4285714285714284</v>
      </c>
      <c r="Y34" s="39">
        <f t="shared" si="26"/>
        <v>7.4285714285714279</v>
      </c>
      <c r="Z34" s="39">
        <f t="shared" si="26"/>
        <v>8.7142857142857153</v>
      </c>
      <c r="AA34" s="39">
        <f t="shared" si="26"/>
        <v>6.4285714285714288</v>
      </c>
      <c r="AB34" s="39">
        <f t="shared" si="26"/>
        <v>3.5714285714285712</v>
      </c>
      <c r="AC34" s="39">
        <f t="shared" si="26"/>
        <v>81.857142857142861</v>
      </c>
      <c r="AD34" s="39">
        <f t="shared" si="26"/>
        <v>0.42857142857142855</v>
      </c>
      <c r="AE34" s="40">
        <f t="shared" si="26"/>
        <v>153.71428571428569</v>
      </c>
      <c r="AF34" s="40">
        <f t="shared" si="26"/>
        <v>235.57142857142856</v>
      </c>
    </row>
    <row r="35" spans="2:32" ht="23.1" customHeight="1" x14ac:dyDescent="0.25">
      <c r="B35" s="24" t="s">
        <v>62</v>
      </c>
      <c r="C35" s="49">
        <f>'Avg Week  Busembatya-Butongole'!C35+'Avg Week Butongole-Bsembatya'!C35</f>
        <v>8.4285714285714288</v>
      </c>
      <c r="D35" s="49">
        <f>'Avg Week  Busembatya-Butongole'!D35+'Avg Week Butongole-Bsembatya'!D35</f>
        <v>4.2857142857142856</v>
      </c>
      <c r="E35" s="49">
        <f>'Avg Week  Busembatya-Butongole'!E35+'Avg Week Butongole-Bsembatya'!E35</f>
        <v>4.1428571428571432</v>
      </c>
      <c r="F35" s="49">
        <f>'Avg Week  Busembatya-Butongole'!F35+'Avg Week Butongole-Bsembatya'!F35</f>
        <v>18.428571428571431</v>
      </c>
      <c r="G35" s="49">
        <f>'Avg Week  Busembatya-Butongole'!G35+'Avg Week Butongole-Bsembatya'!G35</f>
        <v>1</v>
      </c>
      <c r="H35" s="49">
        <f>'Avg Week  Busembatya-Butongole'!H35+'Avg Week Butongole-Bsembatya'!H35</f>
        <v>0.42857142857142855</v>
      </c>
      <c r="I35" s="49">
        <f>'Avg Week  Busembatya-Butongole'!I35+'Avg Week Butongole-Bsembatya'!I35</f>
        <v>2.7142857142857144</v>
      </c>
      <c r="J35" s="49">
        <f>'Avg Week  Busembatya-Butongole'!J35+'Avg Week Butongole-Bsembatya'!J35</f>
        <v>1.8571428571428572</v>
      </c>
      <c r="K35" s="49">
        <f>'Avg Week  Busembatya-Butongole'!K35+'Avg Week Butongole-Bsembatya'!K35</f>
        <v>1.2857142857142856</v>
      </c>
      <c r="L35" s="49">
        <f>'Avg Week  Busembatya-Butongole'!L35+'Avg Week Butongole-Bsembatya'!L35</f>
        <v>0.2857142857142857</v>
      </c>
      <c r="M35" s="49">
        <f>'Avg Week  Busembatya-Butongole'!M35+'Avg Week Butongole-Bsembatya'!M35</f>
        <v>25</v>
      </c>
      <c r="N35" s="49">
        <f>'Avg Week  Busembatya-Butongole'!N35+'Avg Week Butongole-Bsembatya'!N35</f>
        <v>0.42857142857142855</v>
      </c>
      <c r="O35" s="15">
        <f t="shared" si="0"/>
        <v>43.285714285714292</v>
      </c>
      <c r="P35" s="15">
        <f t="shared" si="1"/>
        <v>68.285714285714292</v>
      </c>
      <c r="R35" s="38" t="s">
        <v>91</v>
      </c>
      <c r="S35" s="39">
        <f t="shared" ref="S35:AF35" si="27">MAX(S13:S18)</f>
        <v>39.714285714285715</v>
      </c>
      <c r="T35" s="39">
        <f t="shared" si="27"/>
        <v>15.714285714285714</v>
      </c>
      <c r="U35" s="39">
        <f t="shared" si="27"/>
        <v>18.428571428571427</v>
      </c>
      <c r="V35" s="39">
        <f t="shared" si="27"/>
        <v>79</v>
      </c>
      <c r="W35" s="39">
        <f t="shared" si="27"/>
        <v>6.7142857142857135</v>
      </c>
      <c r="X35" s="39">
        <f t="shared" si="27"/>
        <v>4.5714285714285712</v>
      </c>
      <c r="Y35" s="39">
        <f t="shared" si="27"/>
        <v>9.8571428571428577</v>
      </c>
      <c r="Z35" s="39">
        <f t="shared" si="27"/>
        <v>12.142857142857142</v>
      </c>
      <c r="AA35" s="39">
        <f t="shared" si="27"/>
        <v>7</v>
      </c>
      <c r="AB35" s="39">
        <f t="shared" si="27"/>
        <v>4.1428571428571423</v>
      </c>
      <c r="AC35" s="39">
        <f t="shared" si="27"/>
        <v>94.428571428571431</v>
      </c>
      <c r="AD35" s="39">
        <f t="shared" si="27"/>
        <v>1</v>
      </c>
      <c r="AE35" s="40">
        <f t="shared" si="27"/>
        <v>186.42857142857142</v>
      </c>
      <c r="AF35" s="40">
        <f t="shared" si="27"/>
        <v>277.28571428571422</v>
      </c>
    </row>
    <row r="36" spans="2:32" ht="23.1" customHeight="1" x14ac:dyDescent="0.25">
      <c r="B36" s="24" t="s">
        <v>63</v>
      </c>
      <c r="C36" s="49">
        <f>'Avg Week  Busembatya-Butongole'!C36+'Avg Week Butongole-Bsembatya'!C36</f>
        <v>9.8571428571428577</v>
      </c>
      <c r="D36" s="49">
        <f>'Avg Week  Busembatya-Butongole'!D36+'Avg Week Butongole-Bsembatya'!D36</f>
        <v>3.2857142857142856</v>
      </c>
      <c r="E36" s="49">
        <f>'Avg Week  Busembatya-Butongole'!E36+'Avg Week Butongole-Bsembatya'!E36</f>
        <v>4.4285714285714288</v>
      </c>
      <c r="F36" s="49">
        <f>'Avg Week  Busembatya-Butongole'!F36+'Avg Week Butongole-Bsembatya'!F36</f>
        <v>20.857142857142858</v>
      </c>
      <c r="G36" s="49">
        <f>'Avg Week  Busembatya-Butongole'!G36+'Avg Week Butongole-Bsembatya'!G36</f>
        <v>0.8571428571428571</v>
      </c>
      <c r="H36" s="49">
        <f>'Avg Week  Busembatya-Butongole'!H36+'Avg Week Butongole-Bsembatya'!H36</f>
        <v>0.71428571428571419</v>
      </c>
      <c r="I36" s="49">
        <f>'Avg Week  Busembatya-Butongole'!I36+'Avg Week Butongole-Bsembatya'!I36</f>
        <v>2.5714285714285712</v>
      </c>
      <c r="J36" s="49">
        <f>'Avg Week  Busembatya-Butongole'!J36+'Avg Week Butongole-Bsembatya'!J36</f>
        <v>1.8571428571428572</v>
      </c>
      <c r="K36" s="49">
        <f>'Avg Week  Busembatya-Butongole'!K36+'Avg Week Butongole-Bsembatya'!K36</f>
        <v>2</v>
      </c>
      <c r="L36" s="49">
        <f>'Avg Week  Busembatya-Butongole'!L36+'Avg Week Butongole-Bsembatya'!L36</f>
        <v>0.71428571428571419</v>
      </c>
      <c r="M36" s="49">
        <f>'Avg Week  Busembatya-Butongole'!M36+'Avg Week Butongole-Bsembatya'!M36</f>
        <v>19.571428571428569</v>
      </c>
      <c r="N36" s="49">
        <f>'Avg Week  Busembatya-Butongole'!N36+'Avg Week Butongole-Bsembatya'!N36</f>
        <v>0.14285714285714285</v>
      </c>
      <c r="O36" s="15">
        <f t="shared" si="0"/>
        <v>47.285714285714285</v>
      </c>
      <c r="P36" s="15">
        <f t="shared" si="1"/>
        <v>66.857142857142847</v>
      </c>
      <c r="R36" s="38" t="s">
        <v>92</v>
      </c>
      <c r="S36" s="39">
        <f t="shared" ref="S36:AF36" si="28">MAX(S19:S21)</f>
        <v>41.571428571428577</v>
      </c>
      <c r="T36" s="39">
        <f t="shared" si="28"/>
        <v>18.142857142857142</v>
      </c>
      <c r="U36" s="39">
        <f t="shared" si="28"/>
        <v>23.714285714285715</v>
      </c>
      <c r="V36" s="39">
        <f t="shared" si="28"/>
        <v>84.571428571428569</v>
      </c>
      <c r="W36" s="39">
        <f t="shared" si="28"/>
        <v>4.2857142857142856</v>
      </c>
      <c r="X36" s="39">
        <f t="shared" si="28"/>
        <v>3.5714285714285712</v>
      </c>
      <c r="Y36" s="39">
        <f t="shared" si="28"/>
        <v>10.857142857142858</v>
      </c>
      <c r="Z36" s="39">
        <f t="shared" si="28"/>
        <v>13</v>
      </c>
      <c r="AA36" s="39">
        <f t="shared" si="28"/>
        <v>10</v>
      </c>
      <c r="AB36" s="39">
        <f t="shared" si="28"/>
        <v>3.8571428571428572</v>
      </c>
      <c r="AC36" s="39">
        <f t="shared" si="28"/>
        <v>105.85714285714285</v>
      </c>
      <c r="AD36" s="39">
        <f t="shared" si="28"/>
        <v>0.42857142857142855</v>
      </c>
      <c r="AE36" s="40">
        <f t="shared" si="28"/>
        <v>205.85714285714289</v>
      </c>
      <c r="AF36" s="40">
        <f t="shared" si="28"/>
        <v>311.71428571428572</v>
      </c>
    </row>
    <row r="37" spans="2:32" ht="23.1" customHeight="1" x14ac:dyDescent="0.25">
      <c r="B37" s="23" t="s">
        <v>64</v>
      </c>
      <c r="C37" s="49">
        <f>'Avg Week  Busembatya-Butongole'!C37+'Avg Week Butongole-Bsembatya'!C37</f>
        <v>8.7142857142857153</v>
      </c>
      <c r="D37" s="49">
        <f>'Avg Week  Busembatya-Butongole'!D37+'Avg Week Butongole-Bsembatya'!D37</f>
        <v>4.2857142857142856</v>
      </c>
      <c r="E37" s="49">
        <f>'Avg Week  Busembatya-Butongole'!E37+'Avg Week Butongole-Bsembatya'!E37</f>
        <v>4.8571428571428568</v>
      </c>
      <c r="F37" s="49">
        <f>'Avg Week  Busembatya-Butongole'!F37+'Avg Week Butongole-Bsembatya'!F37</f>
        <v>17.285714285714285</v>
      </c>
      <c r="G37" s="49">
        <f>'Avg Week  Busembatya-Butongole'!G37+'Avg Week Butongole-Bsembatya'!G37</f>
        <v>0.8571428571428571</v>
      </c>
      <c r="H37" s="49">
        <f>'Avg Week  Busembatya-Butongole'!H37+'Avg Week Butongole-Bsembatya'!H37</f>
        <v>1.2857142857142856</v>
      </c>
      <c r="I37" s="49">
        <f>'Avg Week  Busembatya-Butongole'!I37+'Avg Week Butongole-Bsembatya'!I37</f>
        <v>2.4285714285714288</v>
      </c>
      <c r="J37" s="49">
        <f>'Avg Week  Busembatya-Butongole'!J37+'Avg Week Butongole-Bsembatya'!J37</f>
        <v>2</v>
      </c>
      <c r="K37" s="49">
        <f>'Avg Week  Busembatya-Butongole'!K37+'Avg Week Butongole-Bsembatya'!K37</f>
        <v>1</v>
      </c>
      <c r="L37" s="49">
        <f>'Avg Week  Busembatya-Butongole'!L37+'Avg Week Butongole-Bsembatya'!L37</f>
        <v>0.71428571428571419</v>
      </c>
      <c r="M37" s="49">
        <f>'Avg Week  Busembatya-Butongole'!M37+'Avg Week Butongole-Bsembatya'!M37</f>
        <v>21.285714285714285</v>
      </c>
      <c r="N37" s="49">
        <f>'Avg Week  Busembatya-Butongole'!N37+'Avg Week Butongole-Bsembatya'!N37</f>
        <v>0</v>
      </c>
      <c r="O37" s="15">
        <f t="shared" si="0"/>
        <v>43.428571428571423</v>
      </c>
      <c r="P37" s="15">
        <f t="shared" si="1"/>
        <v>64.714285714285708</v>
      </c>
      <c r="R37" s="37" t="s">
        <v>85</v>
      </c>
      <c r="S37" s="35">
        <f t="shared" ref="S37:AF37" si="29">SUM(S10:S12)</f>
        <v>66.142857142857139</v>
      </c>
      <c r="T37" s="16">
        <f t="shared" si="29"/>
        <v>33.142857142857139</v>
      </c>
      <c r="U37" s="16">
        <f t="shared" si="29"/>
        <v>46.142857142857139</v>
      </c>
      <c r="V37" s="16">
        <f t="shared" si="29"/>
        <v>152</v>
      </c>
      <c r="W37" s="16">
        <f t="shared" si="29"/>
        <v>4.7142857142857144</v>
      </c>
      <c r="X37" s="16">
        <f t="shared" si="29"/>
        <v>5.4285714285714288</v>
      </c>
      <c r="Y37" s="16">
        <f t="shared" si="29"/>
        <v>21.571428571428573</v>
      </c>
      <c r="Z37" s="16">
        <f t="shared" si="29"/>
        <v>24.571428571428569</v>
      </c>
      <c r="AA37" s="16">
        <f t="shared" si="29"/>
        <v>18.571428571428569</v>
      </c>
      <c r="AB37" s="16">
        <f t="shared" si="29"/>
        <v>10</v>
      </c>
      <c r="AC37" s="16">
        <f t="shared" si="29"/>
        <v>225.71428571428572</v>
      </c>
      <c r="AD37" s="16">
        <f t="shared" si="29"/>
        <v>0.71428571428571419</v>
      </c>
      <c r="AE37" s="32">
        <f t="shared" si="29"/>
        <v>383</v>
      </c>
      <c r="AF37" s="32">
        <f t="shared" si="29"/>
        <v>608.71428571428567</v>
      </c>
    </row>
    <row r="38" spans="2:32" ht="23.1" customHeight="1" x14ac:dyDescent="0.25">
      <c r="B38" s="24" t="s">
        <v>65</v>
      </c>
      <c r="C38" s="49">
        <f>'Avg Week  Busembatya-Butongole'!C38+'Avg Week Butongole-Bsembatya'!C38</f>
        <v>6.2857142857142856</v>
      </c>
      <c r="D38" s="49">
        <f>'Avg Week  Busembatya-Butongole'!D38+'Avg Week Butongole-Bsembatya'!D38</f>
        <v>3.7142857142857144</v>
      </c>
      <c r="E38" s="49">
        <f>'Avg Week  Busembatya-Butongole'!E38+'Avg Week Butongole-Bsembatya'!E38</f>
        <v>5.8571428571428577</v>
      </c>
      <c r="F38" s="49">
        <f>'Avg Week  Busembatya-Butongole'!F38+'Avg Week Butongole-Bsembatya'!F38</f>
        <v>20.714285714285715</v>
      </c>
      <c r="G38" s="49">
        <f>'Avg Week  Busembatya-Butongole'!G38+'Avg Week Butongole-Bsembatya'!G38</f>
        <v>0.85714285714285721</v>
      </c>
      <c r="H38" s="49">
        <f>'Avg Week  Busembatya-Butongole'!H38+'Avg Week Butongole-Bsembatya'!H38</f>
        <v>1.1428571428571428</v>
      </c>
      <c r="I38" s="49">
        <f>'Avg Week  Busembatya-Butongole'!I38+'Avg Week Butongole-Bsembatya'!I38</f>
        <v>1.7142857142857142</v>
      </c>
      <c r="J38" s="49">
        <f>'Avg Week  Busembatya-Butongole'!J38+'Avg Week Butongole-Bsembatya'!J38</f>
        <v>1.1428571428571428</v>
      </c>
      <c r="K38" s="49">
        <f>'Avg Week  Busembatya-Butongole'!K38+'Avg Week Butongole-Bsembatya'!K38</f>
        <v>2.4285714285714288</v>
      </c>
      <c r="L38" s="49">
        <f>'Avg Week  Busembatya-Butongole'!L38+'Avg Week Butongole-Bsembatya'!L38</f>
        <v>1.1428571428571428</v>
      </c>
      <c r="M38" s="49">
        <f>'Avg Week  Busembatya-Butongole'!M38+'Avg Week Butongole-Bsembatya'!M38</f>
        <v>23.857142857142858</v>
      </c>
      <c r="N38" s="49">
        <f>'Avg Week  Busembatya-Butongole'!N38+'Avg Week Butongole-Bsembatya'!N38</f>
        <v>0</v>
      </c>
      <c r="O38" s="15">
        <f t="shared" si="0"/>
        <v>45.000000000000007</v>
      </c>
      <c r="P38" s="15">
        <f t="shared" si="1"/>
        <v>68.857142857142861</v>
      </c>
      <c r="R38" s="28" t="s">
        <v>86</v>
      </c>
      <c r="S38" s="16">
        <f t="shared" ref="S38:AF38" si="30">SUM(S13:S18)</f>
        <v>205.14285714285711</v>
      </c>
      <c r="T38" s="16">
        <f t="shared" si="30"/>
        <v>89.142857142857139</v>
      </c>
      <c r="U38" s="16">
        <f t="shared" si="30"/>
        <v>99.714285714285722</v>
      </c>
      <c r="V38" s="16">
        <f t="shared" si="30"/>
        <v>457.57142857142856</v>
      </c>
      <c r="W38" s="16">
        <f t="shared" si="30"/>
        <v>19.142857142857142</v>
      </c>
      <c r="X38" s="16">
        <f t="shared" si="30"/>
        <v>18</v>
      </c>
      <c r="Y38" s="16">
        <f t="shared" si="30"/>
        <v>49.000000000000007</v>
      </c>
      <c r="Z38" s="16">
        <f t="shared" si="30"/>
        <v>57.428571428571431</v>
      </c>
      <c r="AA38" s="16">
        <f t="shared" si="30"/>
        <v>33.428571428571431</v>
      </c>
      <c r="AB38" s="16">
        <f t="shared" si="30"/>
        <v>19.285714285714281</v>
      </c>
      <c r="AC38" s="16">
        <f t="shared" si="30"/>
        <v>544.71428571428578</v>
      </c>
      <c r="AD38" s="16">
        <f t="shared" si="30"/>
        <v>3.2857142857142856</v>
      </c>
      <c r="AE38" s="32">
        <f t="shared" si="30"/>
        <v>1051.1428571428571</v>
      </c>
      <c r="AF38" s="32">
        <f t="shared" si="30"/>
        <v>1595.8571428571427</v>
      </c>
    </row>
    <row r="39" spans="2:32" ht="23.1" customHeight="1" x14ac:dyDescent="0.25">
      <c r="B39" s="24" t="s">
        <v>66</v>
      </c>
      <c r="C39" s="49">
        <f>'Avg Week  Busembatya-Butongole'!C39+'Avg Week Butongole-Bsembatya'!C39</f>
        <v>9.4285714285714288</v>
      </c>
      <c r="D39" s="49">
        <f>'Avg Week  Busembatya-Butongole'!D39+'Avg Week Butongole-Bsembatya'!D39</f>
        <v>3.4285714285714288</v>
      </c>
      <c r="E39" s="49">
        <f>'Avg Week  Busembatya-Butongole'!E39+'Avg Week Butongole-Bsembatya'!E39</f>
        <v>4.7142857142857135</v>
      </c>
      <c r="F39" s="49">
        <f>'Avg Week  Busembatya-Butongole'!F39+'Avg Week Butongole-Bsembatya'!F39</f>
        <v>18.857142857142854</v>
      </c>
      <c r="G39" s="49">
        <f>'Avg Week  Busembatya-Butongole'!G39+'Avg Week Butongole-Bsembatya'!G39</f>
        <v>0.2857142857142857</v>
      </c>
      <c r="H39" s="49">
        <f>'Avg Week  Busembatya-Butongole'!H39+'Avg Week Butongole-Bsembatya'!H39</f>
        <v>1</v>
      </c>
      <c r="I39" s="49">
        <f>'Avg Week  Busembatya-Butongole'!I39+'Avg Week Butongole-Bsembatya'!I39</f>
        <v>2.4285714285714288</v>
      </c>
      <c r="J39" s="49">
        <f>'Avg Week  Busembatya-Butongole'!J39+'Avg Week Butongole-Bsembatya'!J39</f>
        <v>3.1428571428571428</v>
      </c>
      <c r="K39" s="49">
        <f>'Avg Week  Busembatya-Butongole'!K39+'Avg Week Butongole-Bsembatya'!K39</f>
        <v>1.7142857142857142</v>
      </c>
      <c r="L39" s="49">
        <f>'Avg Week  Busembatya-Butongole'!L39+'Avg Week Butongole-Bsembatya'!L39</f>
        <v>1.1428571428571428</v>
      </c>
      <c r="M39" s="49">
        <f>'Avg Week  Busembatya-Butongole'!M39+'Avg Week Butongole-Bsembatya'!M39</f>
        <v>23.714285714285715</v>
      </c>
      <c r="N39" s="49">
        <f>'Avg Week  Busembatya-Butongole'!N39+'Avg Week Butongole-Bsembatya'!N39</f>
        <v>0</v>
      </c>
      <c r="O39" s="15">
        <f t="shared" si="0"/>
        <v>46.142857142857146</v>
      </c>
      <c r="P39" s="15">
        <f t="shared" si="1"/>
        <v>69.857142857142861</v>
      </c>
      <c r="R39" s="29" t="s">
        <v>87</v>
      </c>
      <c r="S39" s="16">
        <f t="shared" ref="S39:AF39" si="31">SUM(S19:S21)</f>
        <v>117.71428571428572</v>
      </c>
      <c r="T39" s="16">
        <f t="shared" si="31"/>
        <v>50.428571428571431</v>
      </c>
      <c r="U39" s="16">
        <f t="shared" si="31"/>
        <v>66.714285714285722</v>
      </c>
      <c r="V39" s="16">
        <f t="shared" si="31"/>
        <v>231.42857142857144</v>
      </c>
      <c r="W39" s="16">
        <f t="shared" si="31"/>
        <v>8.4285714285714288</v>
      </c>
      <c r="X39" s="16">
        <f t="shared" si="31"/>
        <v>9.7142857142857135</v>
      </c>
      <c r="Y39" s="16">
        <f t="shared" si="31"/>
        <v>27.714285714285715</v>
      </c>
      <c r="Z39" s="16">
        <f t="shared" si="31"/>
        <v>36.285714285714285</v>
      </c>
      <c r="AA39" s="16">
        <f t="shared" si="31"/>
        <v>23.571428571428573</v>
      </c>
      <c r="AB39" s="16">
        <f t="shared" si="31"/>
        <v>8.7142857142857135</v>
      </c>
      <c r="AC39" s="16">
        <f t="shared" si="31"/>
        <v>286</v>
      </c>
      <c r="AD39" s="16">
        <f t="shared" si="31"/>
        <v>0.5714285714285714</v>
      </c>
      <c r="AE39" s="32">
        <f t="shared" si="31"/>
        <v>581.28571428571422</v>
      </c>
      <c r="AF39" s="32">
        <f t="shared" si="31"/>
        <v>867.28571428571422</v>
      </c>
    </row>
    <row r="40" spans="2:32" ht="23.1" customHeight="1" x14ac:dyDescent="0.25">
      <c r="B40" s="24" t="s">
        <v>67</v>
      </c>
      <c r="C40" s="49">
        <f>'Avg Week  Busembatya-Butongole'!C40+'Avg Week Butongole-Bsembatya'!C40</f>
        <v>8.7142857142857153</v>
      </c>
      <c r="D40" s="49">
        <f>'Avg Week  Busembatya-Butongole'!D40+'Avg Week Butongole-Bsembatya'!D40</f>
        <v>4.1428571428571423</v>
      </c>
      <c r="E40" s="49">
        <f>'Avg Week  Busembatya-Butongole'!E40+'Avg Week Butongole-Bsembatya'!E40</f>
        <v>4.8571428571428577</v>
      </c>
      <c r="F40" s="49">
        <f>'Avg Week  Busembatya-Butongole'!F40+'Avg Week Butongole-Bsembatya'!F40</f>
        <v>20</v>
      </c>
      <c r="G40" s="49">
        <f>'Avg Week  Busembatya-Butongole'!G40+'Avg Week Butongole-Bsembatya'!G40</f>
        <v>0.42857142857142855</v>
      </c>
      <c r="H40" s="49">
        <f>'Avg Week  Busembatya-Butongole'!H40+'Avg Week Butongole-Bsembatya'!H40</f>
        <v>0.5714285714285714</v>
      </c>
      <c r="I40" s="49">
        <f>'Avg Week  Busembatya-Butongole'!I40+'Avg Week Butongole-Bsembatya'!I40</f>
        <v>2.7142857142857144</v>
      </c>
      <c r="J40" s="49">
        <f>'Avg Week  Busembatya-Butongole'!J40+'Avg Week Butongole-Bsembatya'!J40</f>
        <v>3</v>
      </c>
      <c r="K40" s="49">
        <f>'Avg Week  Busembatya-Butongole'!K40+'Avg Week Butongole-Bsembatya'!K40</f>
        <v>1.8571428571428572</v>
      </c>
      <c r="L40" s="49">
        <f>'Avg Week  Busembatya-Butongole'!L40+'Avg Week Butongole-Bsembatya'!L40</f>
        <v>1</v>
      </c>
      <c r="M40" s="49">
        <f>'Avg Week  Busembatya-Butongole'!M40+'Avg Week Butongole-Bsembatya'!M40</f>
        <v>25.285714285714285</v>
      </c>
      <c r="N40" s="49">
        <f>'Avg Week  Busembatya-Butongole'!N40+'Avg Week Butongole-Bsembatya'!N40</f>
        <v>0</v>
      </c>
      <c r="O40" s="15">
        <f t="shared" si="0"/>
        <v>47.285714285714285</v>
      </c>
      <c r="P40" s="15">
        <f t="shared" si="1"/>
        <v>72.571428571428569</v>
      </c>
      <c r="R40" s="5" t="s">
        <v>17</v>
      </c>
      <c r="S40" s="16">
        <f t="shared" ref="S40:AF40" si="32">SUM(S10:S21)</f>
        <v>389</v>
      </c>
      <c r="T40" s="16">
        <f t="shared" si="32"/>
        <v>172.71428571428569</v>
      </c>
      <c r="U40" s="16">
        <f t="shared" si="32"/>
        <v>212.57142857142861</v>
      </c>
      <c r="V40" s="16">
        <f t="shared" si="32"/>
        <v>841.00000000000011</v>
      </c>
      <c r="W40" s="16">
        <f t="shared" si="32"/>
        <v>32.285714285714285</v>
      </c>
      <c r="X40" s="16">
        <f t="shared" si="32"/>
        <v>33.142857142857146</v>
      </c>
      <c r="Y40" s="16">
        <f t="shared" si="32"/>
        <v>98.285714285714292</v>
      </c>
      <c r="Z40" s="16">
        <f t="shared" si="32"/>
        <v>118.28571428571428</v>
      </c>
      <c r="AA40" s="16">
        <f t="shared" si="32"/>
        <v>75.571428571428569</v>
      </c>
      <c r="AB40" s="16">
        <f t="shared" si="32"/>
        <v>38</v>
      </c>
      <c r="AC40" s="16">
        <f t="shared" si="32"/>
        <v>1056.4285714285716</v>
      </c>
      <c r="AD40" s="16">
        <f t="shared" si="32"/>
        <v>4.5714285714285721</v>
      </c>
      <c r="AE40" s="32">
        <f t="shared" si="32"/>
        <v>2015.4285714285713</v>
      </c>
      <c r="AF40" s="32">
        <f t="shared" si="32"/>
        <v>3071.8571428571427</v>
      </c>
    </row>
    <row r="41" spans="2:32" ht="23.1" customHeight="1" x14ac:dyDescent="0.25">
      <c r="B41" s="23" t="s">
        <v>68</v>
      </c>
      <c r="C41" s="49">
        <f>'Avg Week  Busembatya-Butongole'!C41+'Avg Week Butongole-Bsembatya'!C41</f>
        <v>8.1428571428571423</v>
      </c>
      <c r="D41" s="49">
        <f>'Avg Week  Busembatya-Butongole'!D41+'Avg Week Butongole-Bsembatya'!D41</f>
        <v>2.8571428571428572</v>
      </c>
      <c r="E41" s="49">
        <f>'Avg Week  Busembatya-Butongole'!E41+'Avg Week Butongole-Bsembatya'!E41</f>
        <v>2.8571428571428568</v>
      </c>
      <c r="F41" s="49">
        <f>'Avg Week  Busembatya-Butongole'!F41+'Avg Week Butongole-Bsembatya'!F41</f>
        <v>18.714285714285715</v>
      </c>
      <c r="G41" s="49">
        <f>'Avg Week  Busembatya-Butongole'!G41+'Avg Week Butongole-Bsembatya'!G41</f>
        <v>1</v>
      </c>
      <c r="H41" s="49">
        <f>'Avg Week  Busembatya-Butongole'!H41+'Avg Week Butongole-Bsembatya'!H41</f>
        <v>0.71428571428571419</v>
      </c>
      <c r="I41" s="49">
        <f>'Avg Week  Busembatya-Butongole'!I41+'Avg Week Butongole-Bsembatya'!I41</f>
        <v>1.4285714285714284</v>
      </c>
      <c r="J41" s="49">
        <f>'Avg Week  Busembatya-Butongole'!J41+'Avg Week Butongole-Bsembatya'!J41</f>
        <v>1.7142857142857142</v>
      </c>
      <c r="K41" s="49">
        <f>'Avg Week  Busembatya-Butongole'!K41+'Avg Week Butongole-Bsembatya'!K41</f>
        <v>1</v>
      </c>
      <c r="L41" s="49">
        <f>'Avg Week  Busembatya-Butongole'!L41+'Avg Week Butongole-Bsembatya'!L41</f>
        <v>0.8571428571428571</v>
      </c>
      <c r="M41" s="49">
        <f>'Avg Week  Busembatya-Butongole'!M41+'Avg Week Butongole-Bsembatya'!M41</f>
        <v>21.571428571428573</v>
      </c>
      <c r="N41" s="49">
        <f>'Avg Week  Busembatya-Butongole'!N41+'Avg Week Butongole-Bsembatya'!N41</f>
        <v>0.2857142857142857</v>
      </c>
      <c r="O41" s="15">
        <f t="shared" si="0"/>
        <v>39.571428571428569</v>
      </c>
      <c r="P41" s="15">
        <f t="shared" si="1"/>
        <v>61.142857142857146</v>
      </c>
      <c r="R41" s="5" t="s">
        <v>184</v>
      </c>
      <c r="S41" s="55">
        <f>SUM(S10:S33)</f>
        <v>568.5</v>
      </c>
      <c r="T41" s="55">
        <f t="shared" ref="T41:AD41" si="33">SUM(T10:T33)</f>
        <v>228.71428571428569</v>
      </c>
      <c r="U41" s="55">
        <f t="shared" si="33"/>
        <v>275.07142857142861</v>
      </c>
      <c r="V41" s="55">
        <f t="shared" si="33"/>
        <v>1068.5</v>
      </c>
      <c r="W41" s="55">
        <f t="shared" si="33"/>
        <v>47.785714285714285</v>
      </c>
      <c r="X41" s="55">
        <f t="shared" si="33"/>
        <v>71.642857142857139</v>
      </c>
      <c r="Y41" s="55">
        <f t="shared" si="33"/>
        <v>256.78571428571428</v>
      </c>
      <c r="Z41" s="55">
        <f t="shared" si="33"/>
        <v>123.78571428571428</v>
      </c>
      <c r="AA41" s="55">
        <f t="shared" si="33"/>
        <v>134.07142857142856</v>
      </c>
      <c r="AB41" s="55">
        <f t="shared" si="33"/>
        <v>48</v>
      </c>
      <c r="AC41" s="55">
        <f t="shared" si="33"/>
        <v>1290.9285714285716</v>
      </c>
      <c r="AD41" s="55">
        <f t="shared" si="33"/>
        <v>4.5714285714285721</v>
      </c>
      <c r="AE41" s="56">
        <f>SUM(AE10:AE33)</f>
        <v>2827.4285714285716</v>
      </c>
      <c r="AF41" s="56">
        <f>SUM(AF10:AF33)</f>
        <v>4118.3571428571431</v>
      </c>
    </row>
    <row r="42" spans="2:32" ht="23.1" customHeight="1" x14ac:dyDescent="0.25">
      <c r="B42" s="24" t="s">
        <v>69</v>
      </c>
      <c r="C42" s="49">
        <f>'Avg Week  Busembatya-Butongole'!C42+'Avg Week Butongole-Bsembatya'!C42</f>
        <v>11.857142857142858</v>
      </c>
      <c r="D42" s="49">
        <f>'Avg Week  Busembatya-Butongole'!D42+'Avg Week Butongole-Bsembatya'!D42</f>
        <v>3.5714285714285712</v>
      </c>
      <c r="E42" s="49">
        <f>'Avg Week  Busembatya-Butongole'!E42+'Avg Week Butongole-Bsembatya'!E42</f>
        <v>4.8571428571428577</v>
      </c>
      <c r="F42" s="49">
        <f>'Avg Week  Busembatya-Butongole'!F42+'Avg Week Butongole-Bsembatya'!F42</f>
        <v>20.571428571428569</v>
      </c>
      <c r="G42" s="49">
        <f>'Avg Week  Busembatya-Butongole'!G42+'Avg Week Butongole-Bsembatya'!G42</f>
        <v>0.42857142857142855</v>
      </c>
      <c r="H42" s="49">
        <f>'Avg Week  Busembatya-Butongole'!H42+'Avg Week Butongole-Bsembatya'!H42</f>
        <v>1</v>
      </c>
      <c r="I42" s="49">
        <f>'Avg Week  Busembatya-Butongole'!I42+'Avg Week Butongole-Bsembatya'!I42</f>
        <v>2</v>
      </c>
      <c r="J42" s="49">
        <f>'Avg Week  Busembatya-Butongole'!J42+'Avg Week Butongole-Bsembatya'!J42</f>
        <v>2.8571428571428572</v>
      </c>
      <c r="K42" s="49">
        <f>'Avg Week  Busembatya-Butongole'!K42+'Avg Week Butongole-Bsembatya'!K42</f>
        <v>1.4285714285714286</v>
      </c>
      <c r="L42" s="49">
        <f>'Avg Week  Busembatya-Butongole'!L42+'Avg Week Butongole-Bsembatya'!L42</f>
        <v>0.85714285714285721</v>
      </c>
      <c r="M42" s="49">
        <f>'Avg Week  Busembatya-Butongole'!M42+'Avg Week Butongole-Bsembatya'!M42</f>
        <v>24.571428571428569</v>
      </c>
      <c r="N42" s="49">
        <f>'Avg Week  Busembatya-Butongole'!N42+'Avg Week Butongole-Bsembatya'!N42</f>
        <v>0.14285714285714285</v>
      </c>
      <c r="O42" s="15">
        <f t="shared" si="0"/>
        <v>49.571428571428569</v>
      </c>
      <c r="P42" s="15">
        <f t="shared" si="1"/>
        <v>74.142857142857139</v>
      </c>
      <c r="R42" s="5" t="s">
        <v>160</v>
      </c>
      <c r="S42" s="48">
        <f>S41/S40</f>
        <v>1.461439588688946</v>
      </c>
      <c r="T42" s="48">
        <f t="shared" ref="T42:AF42" si="34">T41/T40</f>
        <v>1.3242349048800661</v>
      </c>
      <c r="U42" s="48">
        <f t="shared" si="34"/>
        <v>1.294018817204301</v>
      </c>
      <c r="V42" s="48">
        <f t="shared" si="34"/>
        <v>1.2705112960760998</v>
      </c>
      <c r="W42" s="48">
        <f t="shared" si="34"/>
        <v>1.4800884955752212</v>
      </c>
      <c r="X42" s="48">
        <f t="shared" si="34"/>
        <v>2.1616379310344827</v>
      </c>
      <c r="Y42" s="48">
        <f t="shared" si="34"/>
        <v>2.612645348837209</v>
      </c>
      <c r="Z42" s="48">
        <f t="shared" si="34"/>
        <v>1.0464975845410629</v>
      </c>
      <c r="AA42" s="48">
        <f t="shared" si="34"/>
        <v>1.7741020793950848</v>
      </c>
      <c r="AB42" s="48">
        <f t="shared" si="34"/>
        <v>1.263157894736842</v>
      </c>
      <c r="AC42" s="48">
        <f t="shared" si="34"/>
        <v>1.2219743069641649</v>
      </c>
      <c r="AD42" s="48">
        <f t="shared" si="34"/>
        <v>1</v>
      </c>
      <c r="AE42" s="54">
        <f t="shared" si="34"/>
        <v>1.4028919761837257</v>
      </c>
      <c r="AF42" s="54">
        <f t="shared" si="34"/>
        <v>1.3406733944100824</v>
      </c>
    </row>
    <row r="43" spans="2:32" ht="23.1" customHeight="1" x14ac:dyDescent="0.25">
      <c r="B43" s="23" t="s">
        <v>70</v>
      </c>
      <c r="C43" s="49">
        <f>'Avg Week  Busembatya-Butongole'!C43+'Avg Week Butongole-Bsembatya'!C43</f>
        <v>8</v>
      </c>
      <c r="D43" s="49">
        <f>'Avg Week  Busembatya-Butongole'!D43+'Avg Week Butongole-Bsembatya'!D43</f>
        <v>3.7142857142857144</v>
      </c>
      <c r="E43" s="49">
        <f>'Avg Week  Busembatya-Butongole'!E43+'Avg Week Butongole-Bsembatya'!E43</f>
        <v>5.2857142857142865</v>
      </c>
      <c r="F43" s="49">
        <f>'Avg Week  Busembatya-Butongole'!F43+'Avg Week Butongole-Bsembatya'!F43</f>
        <v>19.571428571428569</v>
      </c>
      <c r="G43" s="49">
        <f>'Avg Week  Busembatya-Butongole'!G43+'Avg Week Butongole-Bsembatya'!G43</f>
        <v>1</v>
      </c>
      <c r="H43" s="49">
        <f>'Avg Week  Busembatya-Butongole'!H43+'Avg Week Butongole-Bsembatya'!H43</f>
        <v>0.85714285714285721</v>
      </c>
      <c r="I43" s="49">
        <f>'Avg Week  Busembatya-Butongole'!I43+'Avg Week Butongole-Bsembatya'!I43</f>
        <v>2.5714285714285712</v>
      </c>
      <c r="J43" s="49">
        <f>'Avg Week  Busembatya-Butongole'!J43+'Avg Week Butongole-Bsembatya'!J43</f>
        <v>2.5714285714285716</v>
      </c>
      <c r="K43" s="49">
        <f>'Avg Week  Busembatya-Butongole'!K43+'Avg Week Butongole-Bsembatya'!K43</f>
        <v>1.5714285714285714</v>
      </c>
      <c r="L43" s="49">
        <f>'Avg Week  Busembatya-Butongole'!L43+'Avg Week Butongole-Bsembatya'!L43</f>
        <v>1.7142857142857142</v>
      </c>
      <c r="M43" s="49">
        <f>'Avg Week  Busembatya-Butongole'!M43+'Avg Week Butongole-Bsembatya'!M43</f>
        <v>20.428571428571431</v>
      </c>
      <c r="N43" s="49">
        <f>'Avg Week  Busembatya-Butongole'!N43+'Avg Week Butongole-Bsembatya'!N43</f>
        <v>0.42857142857142855</v>
      </c>
      <c r="O43" s="15">
        <f t="shared" si="0"/>
        <v>47.285714285714278</v>
      </c>
      <c r="P43" s="15">
        <f t="shared" si="1"/>
        <v>67.714285714285708</v>
      </c>
    </row>
    <row r="44" spans="2:32" ht="23.1" customHeight="1" x14ac:dyDescent="0.25">
      <c r="B44" s="25" t="s">
        <v>71</v>
      </c>
      <c r="C44" s="49">
        <f>'Avg Week  Busembatya-Butongole'!C44+'Avg Week Butongole-Bsembatya'!C44</f>
        <v>8.4285714285714288</v>
      </c>
      <c r="D44" s="49">
        <f>'Avg Week  Busembatya-Butongole'!D44+'Avg Week Butongole-Bsembatya'!D44</f>
        <v>3.2857142857142856</v>
      </c>
      <c r="E44" s="49">
        <f>'Avg Week  Busembatya-Butongole'!E44+'Avg Week Butongole-Bsembatya'!E44</f>
        <v>4</v>
      </c>
      <c r="F44" s="49">
        <f>'Avg Week  Busembatya-Butongole'!F44+'Avg Week Butongole-Bsembatya'!F44</f>
        <v>19.857142857142858</v>
      </c>
      <c r="G44" s="49">
        <f>'Avg Week  Busembatya-Butongole'!G44+'Avg Week Butongole-Bsembatya'!G44</f>
        <v>0.2857142857142857</v>
      </c>
      <c r="H44" s="49">
        <f>'Avg Week  Busembatya-Butongole'!H44+'Avg Week Butongole-Bsembatya'!H44</f>
        <v>1.2857142857142856</v>
      </c>
      <c r="I44" s="49">
        <f>'Avg Week  Busembatya-Butongole'!I44+'Avg Week Butongole-Bsembatya'!I44</f>
        <v>2.2857142857142856</v>
      </c>
      <c r="J44" s="49">
        <f>'Avg Week  Busembatya-Butongole'!J44+'Avg Week Butongole-Bsembatya'!J44</f>
        <v>3.7142857142857144</v>
      </c>
      <c r="K44" s="49">
        <f>'Avg Week  Busembatya-Butongole'!K44+'Avg Week Butongole-Bsembatya'!K44</f>
        <v>0.8571428571428571</v>
      </c>
      <c r="L44" s="49">
        <f>'Avg Week  Busembatya-Butongole'!L44+'Avg Week Butongole-Bsembatya'!L44</f>
        <v>0.71428571428571419</v>
      </c>
      <c r="M44" s="49">
        <f>'Avg Week  Busembatya-Butongole'!M44+'Avg Week Butongole-Bsembatya'!M44</f>
        <v>24.857142857142858</v>
      </c>
      <c r="N44" s="49">
        <f>'Avg Week  Busembatya-Butongole'!N44+'Avg Week Butongole-Bsembatya'!N44</f>
        <v>0</v>
      </c>
      <c r="O44" s="15">
        <f t="shared" si="0"/>
        <v>44.714285714285708</v>
      </c>
      <c r="P44" s="15">
        <f t="shared" si="1"/>
        <v>69.571428571428569</v>
      </c>
    </row>
    <row r="45" spans="2:32" ht="23.1" customHeight="1" x14ac:dyDescent="0.25">
      <c r="B45" s="23" t="s">
        <v>72</v>
      </c>
      <c r="C45" s="49">
        <f>'Avg Week  Busembatya-Butongole'!C45+'Avg Week Butongole-Bsembatya'!C45</f>
        <v>8.2857142857142865</v>
      </c>
      <c r="D45" s="49">
        <f>'Avg Week  Busembatya-Butongole'!D45+'Avg Week Butongole-Bsembatya'!D45</f>
        <v>4</v>
      </c>
      <c r="E45" s="49">
        <f>'Avg Week  Busembatya-Butongole'!E45+'Avg Week Butongole-Bsembatya'!E45</f>
        <v>4</v>
      </c>
      <c r="F45" s="49">
        <f>'Avg Week  Busembatya-Butongole'!F45+'Avg Week Butongole-Bsembatya'!F45</f>
        <v>17.857142857142858</v>
      </c>
      <c r="G45" s="49">
        <f>'Avg Week  Busembatya-Butongole'!G45+'Avg Week Butongole-Bsembatya'!G45</f>
        <v>1.5714285714285714</v>
      </c>
      <c r="H45" s="49">
        <f>'Avg Week  Busembatya-Butongole'!H45+'Avg Week Butongole-Bsembatya'!H45</f>
        <v>1.4285714285714284</v>
      </c>
      <c r="I45" s="49">
        <f>'Avg Week  Busembatya-Butongole'!I45+'Avg Week Butongole-Bsembatya'!I45</f>
        <v>1.5714285714285714</v>
      </c>
      <c r="J45" s="49">
        <f>'Avg Week  Busembatya-Butongole'!J45+'Avg Week Butongole-Bsembatya'!J45</f>
        <v>3</v>
      </c>
      <c r="K45" s="49">
        <f>'Avg Week  Busembatya-Butongole'!K45+'Avg Week Butongole-Bsembatya'!K45</f>
        <v>2.1428571428571428</v>
      </c>
      <c r="L45" s="49">
        <f>'Avg Week  Busembatya-Butongole'!L45+'Avg Week Butongole-Bsembatya'!L45</f>
        <v>0.5714285714285714</v>
      </c>
      <c r="M45" s="49">
        <f>'Avg Week  Busembatya-Butongole'!M45+'Avg Week Butongole-Bsembatya'!M45</f>
        <v>21</v>
      </c>
      <c r="N45" s="49">
        <f>'Avg Week  Busembatya-Butongole'!N45+'Avg Week Butongole-Bsembatya'!N45</f>
        <v>0.42857142857142855</v>
      </c>
      <c r="O45" s="15">
        <f t="shared" si="0"/>
        <v>44.857142857142854</v>
      </c>
      <c r="P45" s="15">
        <f t="shared" si="1"/>
        <v>65.857142857142847</v>
      </c>
    </row>
    <row r="46" spans="2:32" ht="23.1" customHeight="1" x14ac:dyDescent="0.25">
      <c r="B46" s="24" t="s">
        <v>73</v>
      </c>
      <c r="C46" s="49">
        <f>'Avg Week  Busembatya-Butongole'!C46+'Avg Week Butongole-Bsembatya'!C46</f>
        <v>7.7142857142857144</v>
      </c>
      <c r="D46" s="49">
        <f>'Avg Week  Busembatya-Butongole'!D46+'Avg Week Butongole-Bsembatya'!D46</f>
        <v>4.8571428571428577</v>
      </c>
      <c r="E46" s="49">
        <f>'Avg Week  Busembatya-Butongole'!E46+'Avg Week Butongole-Bsembatya'!E46</f>
        <v>4.7142857142857135</v>
      </c>
      <c r="F46" s="49">
        <f>'Avg Week  Busembatya-Butongole'!F46+'Avg Week Butongole-Bsembatya'!F46</f>
        <v>15.571428571428573</v>
      </c>
      <c r="G46" s="49">
        <f>'Avg Week  Busembatya-Butongole'!G46+'Avg Week Butongole-Bsembatya'!G46</f>
        <v>0.2857142857142857</v>
      </c>
      <c r="H46" s="49">
        <f>'Avg Week  Busembatya-Butongole'!H46+'Avg Week Butongole-Bsembatya'!H46</f>
        <v>1.2857142857142856</v>
      </c>
      <c r="I46" s="49">
        <f>'Avg Week  Busembatya-Butongole'!I46+'Avg Week Butongole-Bsembatya'!I46</f>
        <v>2.1428571428571428</v>
      </c>
      <c r="J46" s="49">
        <f>'Avg Week  Busembatya-Butongole'!J46+'Avg Week Butongole-Bsembatya'!J46</f>
        <v>2.5714285714285712</v>
      </c>
      <c r="K46" s="49">
        <f>'Avg Week  Busembatya-Butongole'!K46+'Avg Week Butongole-Bsembatya'!K46</f>
        <v>3</v>
      </c>
      <c r="L46" s="49">
        <f>'Avg Week  Busembatya-Butongole'!L46+'Avg Week Butongole-Bsembatya'!L46</f>
        <v>0.5714285714285714</v>
      </c>
      <c r="M46" s="49">
        <f>'Avg Week  Busembatya-Butongole'!M46+'Avg Week Butongole-Bsembatya'!M46</f>
        <v>17.857142857142858</v>
      </c>
      <c r="N46" s="49">
        <f>'Avg Week  Busembatya-Butongole'!N46+'Avg Week Butongole-Bsembatya'!N46</f>
        <v>0</v>
      </c>
      <c r="O46" s="15">
        <f t="shared" si="0"/>
        <v>42.714285714285715</v>
      </c>
      <c r="P46" s="15">
        <f t="shared" si="1"/>
        <v>60.571428571428569</v>
      </c>
      <c r="R46" s="8"/>
      <c r="T46"/>
    </row>
    <row r="47" spans="2:32" ht="23.1" customHeight="1" x14ac:dyDescent="0.25">
      <c r="B47" s="24" t="s">
        <v>74</v>
      </c>
      <c r="C47" s="49">
        <f>'Avg Week  Busembatya-Butongole'!C47+'Avg Week Butongole-Bsembatya'!C47</f>
        <v>8.2857142857142847</v>
      </c>
      <c r="D47" s="49">
        <f>'Avg Week  Busembatya-Butongole'!D47+'Avg Week Butongole-Bsembatya'!D47</f>
        <v>4.2857142857142856</v>
      </c>
      <c r="E47" s="49">
        <f>'Avg Week  Busembatya-Butongole'!E47+'Avg Week Butongole-Bsembatya'!E47</f>
        <v>4.4285714285714288</v>
      </c>
      <c r="F47" s="49">
        <f>'Avg Week  Busembatya-Butongole'!F47+'Avg Week Butongole-Bsembatya'!F47</f>
        <v>17.428571428571427</v>
      </c>
      <c r="G47" s="49">
        <f>'Avg Week  Busembatya-Butongole'!G47+'Avg Week Butongole-Bsembatya'!G47</f>
        <v>0</v>
      </c>
      <c r="H47" s="49">
        <f>'Avg Week  Busembatya-Butongole'!H47+'Avg Week Butongole-Bsembatya'!H47</f>
        <v>0.42857142857142855</v>
      </c>
      <c r="I47" s="49">
        <f>'Avg Week  Busembatya-Butongole'!I47+'Avg Week Butongole-Bsembatya'!I47</f>
        <v>3</v>
      </c>
      <c r="J47" s="49">
        <f>'Avg Week  Busembatya-Butongole'!J47+'Avg Week Butongole-Bsembatya'!J47</f>
        <v>1.8571428571428572</v>
      </c>
      <c r="K47" s="49">
        <f>'Avg Week  Busembatya-Butongole'!K47+'Avg Week Butongole-Bsembatya'!K47</f>
        <v>1.8571428571428572</v>
      </c>
      <c r="L47" s="49">
        <f>'Avg Week  Busembatya-Butongole'!L47+'Avg Week Butongole-Bsembatya'!L47</f>
        <v>0.5714285714285714</v>
      </c>
      <c r="M47" s="49">
        <f>'Avg Week  Busembatya-Butongole'!M47+'Avg Week Butongole-Bsembatya'!M47</f>
        <v>15.142857142857142</v>
      </c>
      <c r="N47" s="49">
        <f>'Avg Week  Busembatya-Butongole'!N47+'Avg Week Butongole-Bsembatya'!N47</f>
        <v>0.14285714285714285</v>
      </c>
      <c r="O47" s="15">
        <f t="shared" si="0"/>
        <v>42.285714285714285</v>
      </c>
      <c r="P47" s="15">
        <f t="shared" si="1"/>
        <v>57.428571428571423</v>
      </c>
      <c r="R47" s="8"/>
      <c r="T47"/>
    </row>
    <row r="48" spans="2:32" ht="23.1" customHeight="1" x14ac:dyDescent="0.25">
      <c r="B48" s="24" t="s">
        <v>75</v>
      </c>
      <c r="C48" s="49">
        <f>'Avg Week  Busembatya-Butongole'!C48+'Avg Week Butongole-Bsembatya'!C48</f>
        <v>9.2857142857142865</v>
      </c>
      <c r="D48" s="49">
        <f>'Avg Week  Busembatya-Butongole'!D48+'Avg Week Butongole-Bsembatya'!D48</f>
        <v>3.5714285714285712</v>
      </c>
      <c r="E48" s="49">
        <f>'Avg Week  Busembatya-Butongole'!E48+'Avg Week Butongole-Bsembatya'!E48</f>
        <v>4.7142857142857144</v>
      </c>
      <c r="F48" s="49">
        <f>'Avg Week  Busembatya-Butongole'!F48+'Avg Week Butongole-Bsembatya'!F48</f>
        <v>19.857142857142858</v>
      </c>
      <c r="G48" s="49">
        <f>'Avg Week  Busembatya-Butongole'!G48+'Avg Week Butongole-Bsembatya'!G48</f>
        <v>0.5714285714285714</v>
      </c>
      <c r="H48" s="49">
        <f>'Avg Week  Busembatya-Butongole'!H48+'Avg Week Butongole-Bsembatya'!H48</f>
        <v>1.1428571428571428</v>
      </c>
      <c r="I48" s="49">
        <f>'Avg Week  Busembatya-Butongole'!I48+'Avg Week Butongole-Bsembatya'!I48</f>
        <v>1.5714285714285714</v>
      </c>
      <c r="J48" s="49">
        <f>'Avg Week  Busembatya-Butongole'!J48+'Avg Week Butongole-Bsembatya'!J48</f>
        <v>3.8571428571428572</v>
      </c>
      <c r="K48" s="49">
        <f>'Avg Week  Busembatya-Butongole'!K48+'Avg Week Butongole-Bsembatya'!K48</f>
        <v>2.7142857142857144</v>
      </c>
      <c r="L48" s="49">
        <f>'Avg Week  Busembatya-Butongole'!L48+'Avg Week Butongole-Bsembatya'!L48</f>
        <v>0.5714285714285714</v>
      </c>
      <c r="M48" s="49">
        <f>'Avg Week  Busembatya-Butongole'!M48+'Avg Week Butongole-Bsembatya'!M48</f>
        <v>22.571428571428569</v>
      </c>
      <c r="N48" s="49">
        <f>'Avg Week  Busembatya-Butongole'!N48+'Avg Week Butongole-Bsembatya'!N48</f>
        <v>0</v>
      </c>
      <c r="O48" s="15">
        <f t="shared" si="0"/>
        <v>47.857142857142854</v>
      </c>
      <c r="P48" s="15">
        <f t="shared" si="1"/>
        <v>70.428571428571416</v>
      </c>
      <c r="R48" s="8"/>
      <c r="T48"/>
    </row>
    <row r="49" spans="2:20" ht="23.1" customHeight="1" x14ac:dyDescent="0.25">
      <c r="B49" s="23" t="s">
        <v>76</v>
      </c>
      <c r="C49" s="49">
        <f>'Avg Week  Busembatya-Butongole'!C49+'Avg Week Butongole-Bsembatya'!C49</f>
        <v>9.8571428571428577</v>
      </c>
      <c r="D49" s="49">
        <f>'Avg Week  Busembatya-Butongole'!D49+'Avg Week Butongole-Bsembatya'!D49</f>
        <v>3.4285714285714284</v>
      </c>
      <c r="E49" s="49">
        <f>'Avg Week  Busembatya-Butongole'!E49+'Avg Week Butongole-Bsembatya'!E49</f>
        <v>7.7142857142857135</v>
      </c>
      <c r="F49" s="49">
        <f>'Avg Week  Busembatya-Butongole'!F49+'Avg Week Butongole-Bsembatya'!F49</f>
        <v>19.428571428571431</v>
      </c>
      <c r="G49" s="49">
        <f>'Avg Week  Busembatya-Butongole'!G49+'Avg Week Butongole-Bsembatya'!G49</f>
        <v>0.85714285714285721</v>
      </c>
      <c r="H49" s="49">
        <f>'Avg Week  Busembatya-Butongole'!H49+'Avg Week Butongole-Bsembatya'!H49</f>
        <v>0.5714285714285714</v>
      </c>
      <c r="I49" s="49">
        <f>'Avg Week  Busembatya-Butongole'!I49+'Avg Week Butongole-Bsembatya'!I49</f>
        <v>1.1428571428571428</v>
      </c>
      <c r="J49" s="49">
        <f>'Avg Week  Busembatya-Butongole'!J49+'Avg Week Butongole-Bsembatya'!J49</f>
        <v>2.8571428571428568</v>
      </c>
      <c r="K49" s="49">
        <f>'Avg Week  Busembatya-Butongole'!K49+'Avg Week Butongole-Bsembatya'!K49</f>
        <v>2.4285714285714284</v>
      </c>
      <c r="L49" s="49">
        <f>'Avg Week  Busembatya-Butongole'!L49+'Avg Week Butongole-Bsembatya'!L49</f>
        <v>1</v>
      </c>
      <c r="M49" s="49">
        <f>'Avg Week  Busembatya-Butongole'!M49+'Avg Week Butongole-Bsembatya'!M49</f>
        <v>22.571428571428569</v>
      </c>
      <c r="N49" s="49">
        <f>'Avg Week  Busembatya-Butongole'!N49+'Avg Week Butongole-Bsembatya'!N49</f>
        <v>0</v>
      </c>
      <c r="O49" s="15">
        <f t="shared" si="0"/>
        <v>49.285714285714285</v>
      </c>
      <c r="P49" s="15">
        <f t="shared" si="1"/>
        <v>71.857142857142861</v>
      </c>
      <c r="R49" s="8"/>
      <c r="T49"/>
    </row>
    <row r="50" spans="2:20" ht="23.1" customHeight="1" x14ac:dyDescent="0.25">
      <c r="B50" s="24" t="s">
        <v>77</v>
      </c>
      <c r="C50" s="49">
        <f>'Avg Week  Busembatya-Butongole'!C50+'Avg Week Butongole-Bsembatya'!C50</f>
        <v>9.8571428571428577</v>
      </c>
      <c r="D50" s="49">
        <f>'Avg Week  Busembatya-Butongole'!D50+'Avg Week Butongole-Bsembatya'!D50</f>
        <v>5.4285714285714288</v>
      </c>
      <c r="E50" s="49">
        <f>'Avg Week  Busembatya-Butongole'!E50+'Avg Week Butongole-Bsembatya'!E50</f>
        <v>6.2857142857142856</v>
      </c>
      <c r="F50" s="49">
        <f>'Avg Week  Busembatya-Butongole'!F50+'Avg Week Butongole-Bsembatya'!F50</f>
        <v>20.571428571428569</v>
      </c>
      <c r="G50" s="49">
        <f>'Avg Week  Busembatya-Butongole'!G50+'Avg Week Butongole-Bsembatya'!G50</f>
        <v>0.42857142857142855</v>
      </c>
      <c r="H50" s="49">
        <f>'Avg Week  Busembatya-Butongole'!H50+'Avg Week Butongole-Bsembatya'!H50</f>
        <v>0.8571428571428571</v>
      </c>
      <c r="I50" s="49">
        <f>'Avg Week  Busembatya-Butongole'!I50+'Avg Week Butongole-Bsembatya'!I50</f>
        <v>3.4285714285714288</v>
      </c>
      <c r="J50" s="49">
        <f>'Avg Week  Busembatya-Butongole'!J50+'Avg Week Butongole-Bsembatya'!J50</f>
        <v>3.1428571428571428</v>
      </c>
      <c r="K50" s="49">
        <f>'Avg Week  Busembatya-Butongole'!K50+'Avg Week Butongole-Bsembatya'!K50</f>
        <v>3</v>
      </c>
      <c r="L50" s="49">
        <f>'Avg Week  Busembatya-Butongole'!L50+'Avg Week Butongole-Bsembatya'!L50</f>
        <v>1.5714285714285714</v>
      </c>
      <c r="M50" s="49">
        <f>'Avg Week  Busembatya-Butongole'!M50+'Avg Week Butongole-Bsembatya'!M50</f>
        <v>22.142857142857146</v>
      </c>
      <c r="N50" s="49">
        <f>'Avg Week  Busembatya-Butongole'!N50+'Avg Week Butongole-Bsembatya'!N50</f>
        <v>0.14285714285714285</v>
      </c>
      <c r="O50" s="15">
        <f t="shared" si="0"/>
        <v>54.714285714285715</v>
      </c>
      <c r="P50" s="15">
        <f t="shared" si="1"/>
        <v>76.857142857142861</v>
      </c>
      <c r="R50" s="8"/>
      <c r="T50"/>
    </row>
    <row r="51" spans="2:20" ht="23.1" customHeight="1" x14ac:dyDescent="0.25">
      <c r="B51" s="24" t="s">
        <v>78</v>
      </c>
      <c r="C51" s="49">
        <f>'Avg Week  Busembatya-Butongole'!C51+'Avg Week Butongole-Bsembatya'!C51</f>
        <v>9.571428571428573</v>
      </c>
      <c r="D51" s="49">
        <f>'Avg Week  Busembatya-Butongole'!D51+'Avg Week Butongole-Bsembatya'!D51</f>
        <v>6.4285714285714288</v>
      </c>
      <c r="E51" s="49">
        <f>'Avg Week  Busembatya-Butongole'!E51+'Avg Week Butongole-Bsembatya'!E51</f>
        <v>3.7142857142857144</v>
      </c>
      <c r="F51" s="49">
        <f>'Avg Week  Busembatya-Butongole'!F51+'Avg Week Butongole-Bsembatya'!F51</f>
        <v>23.714285714285715</v>
      </c>
      <c r="G51" s="49">
        <f>'Avg Week  Busembatya-Butongole'!G51+'Avg Week Butongole-Bsembatya'!G51</f>
        <v>1.1428571428571428</v>
      </c>
      <c r="H51" s="49">
        <f>'Avg Week  Busembatya-Butongole'!H51+'Avg Week Butongole-Bsembatya'!H51</f>
        <v>0.71428571428571419</v>
      </c>
      <c r="I51" s="49">
        <f>'Avg Week  Busembatya-Butongole'!I51+'Avg Week Butongole-Bsembatya'!I51</f>
        <v>1.7142857142857142</v>
      </c>
      <c r="J51" s="49">
        <f>'Avg Week  Busembatya-Butongole'!J51+'Avg Week Butongole-Bsembatya'!J51</f>
        <v>4.4285714285714288</v>
      </c>
      <c r="K51" s="49">
        <f>'Avg Week  Busembatya-Butongole'!K51+'Avg Week Butongole-Bsembatya'!K51</f>
        <v>1.1428571428571428</v>
      </c>
      <c r="L51" s="49">
        <f>'Avg Week  Busembatya-Butongole'!L51+'Avg Week Butongole-Bsembatya'!L51</f>
        <v>0.5714285714285714</v>
      </c>
      <c r="M51" s="49">
        <f>'Avg Week  Busembatya-Butongole'!M51+'Avg Week Butongole-Bsembatya'!M51</f>
        <v>28.285714285714285</v>
      </c>
      <c r="N51" s="49">
        <f>'Avg Week  Busembatya-Butongole'!N51+'Avg Week Butongole-Bsembatya'!N51</f>
        <v>0</v>
      </c>
      <c r="O51" s="15">
        <f t="shared" si="0"/>
        <v>53.142857142857153</v>
      </c>
      <c r="P51" s="15">
        <f t="shared" si="1"/>
        <v>81.428571428571445</v>
      </c>
      <c r="R51" s="8"/>
      <c r="T51"/>
    </row>
    <row r="52" spans="2:20" ht="23.1" customHeight="1" x14ac:dyDescent="0.25">
      <c r="B52" s="24" t="s">
        <v>79</v>
      </c>
      <c r="C52" s="49">
        <f>'Avg Week  Busembatya-Butongole'!C52+'Avg Week Butongole-Bsembatya'!C52</f>
        <v>9.4285714285714288</v>
      </c>
      <c r="D52" s="49">
        <f>'Avg Week  Busembatya-Butongole'!D52+'Avg Week Butongole-Bsembatya'!D52</f>
        <v>3.5714285714285712</v>
      </c>
      <c r="E52" s="49">
        <f>'Avg Week  Busembatya-Butongole'!E52+'Avg Week Butongole-Bsembatya'!E52</f>
        <v>6.1428571428571432</v>
      </c>
      <c r="F52" s="49">
        <f>'Avg Week  Busembatya-Butongole'!F52+'Avg Week Butongole-Bsembatya'!F52</f>
        <v>21.285714285714285</v>
      </c>
      <c r="G52" s="49">
        <f>'Avg Week  Busembatya-Butongole'!G52+'Avg Week Butongole-Bsembatya'!G52</f>
        <v>0.2857142857142857</v>
      </c>
      <c r="H52" s="49">
        <f>'Avg Week  Busembatya-Butongole'!H52+'Avg Week Butongole-Bsembatya'!H52</f>
        <v>0.71428571428571419</v>
      </c>
      <c r="I52" s="49">
        <f>'Avg Week  Busembatya-Butongole'!I52+'Avg Week Butongole-Bsembatya'!I52</f>
        <v>2.7142857142857144</v>
      </c>
      <c r="J52" s="49">
        <f>'Avg Week  Busembatya-Butongole'!J52+'Avg Week Butongole-Bsembatya'!J52</f>
        <v>3</v>
      </c>
      <c r="K52" s="49">
        <f>'Avg Week  Busembatya-Butongole'!K52+'Avg Week Butongole-Bsembatya'!K52</f>
        <v>1.4285714285714286</v>
      </c>
      <c r="L52" s="49">
        <f>'Avg Week  Busembatya-Butongole'!L52+'Avg Week Butongole-Bsembatya'!L52</f>
        <v>0.85714285714285721</v>
      </c>
      <c r="M52" s="49">
        <f>'Avg Week  Busembatya-Butongole'!M52+'Avg Week Butongole-Bsembatya'!M52</f>
        <v>27.857142857142854</v>
      </c>
      <c r="N52" s="49">
        <f>'Avg Week  Busembatya-Butongole'!N52+'Avg Week Butongole-Bsembatya'!N52</f>
        <v>0.14285714285714285</v>
      </c>
      <c r="O52" s="15">
        <f t="shared" si="0"/>
        <v>49.571428571428577</v>
      </c>
      <c r="P52" s="15">
        <f t="shared" si="1"/>
        <v>77.428571428571416</v>
      </c>
      <c r="R52" s="8"/>
      <c r="T52"/>
    </row>
    <row r="53" spans="2:20" ht="23.1" customHeight="1" x14ac:dyDescent="0.25">
      <c r="B53" s="23" t="s">
        <v>80</v>
      </c>
      <c r="C53" s="49">
        <f>'Avg Week  Busembatya-Butongole'!C53+'Avg Week Butongole-Bsembatya'!C53</f>
        <v>12.714285714285715</v>
      </c>
      <c r="D53" s="49">
        <f>'Avg Week  Busembatya-Butongole'!D53+'Avg Week Butongole-Bsembatya'!D53</f>
        <v>2.7142857142857144</v>
      </c>
      <c r="E53" s="49">
        <f>'Avg Week  Busembatya-Butongole'!E53+'Avg Week Butongole-Bsembatya'!E53</f>
        <v>5.2857142857142865</v>
      </c>
      <c r="F53" s="49">
        <f>'Avg Week  Busembatya-Butongole'!F53+'Avg Week Butongole-Bsembatya'!F53</f>
        <v>19</v>
      </c>
      <c r="G53" s="49">
        <f>'Avg Week  Busembatya-Butongole'!G53+'Avg Week Butongole-Bsembatya'!G53</f>
        <v>0.5714285714285714</v>
      </c>
      <c r="H53" s="49">
        <f>'Avg Week  Busembatya-Butongole'!H53+'Avg Week Butongole-Bsembatya'!H53</f>
        <v>0.42857142857142855</v>
      </c>
      <c r="I53" s="49">
        <f>'Avg Week  Busembatya-Butongole'!I53+'Avg Week Butongole-Bsembatya'!I53</f>
        <v>3</v>
      </c>
      <c r="J53" s="49">
        <f>'Avg Week  Busembatya-Butongole'!J53+'Avg Week Butongole-Bsembatya'!J53</f>
        <v>2.4285714285714288</v>
      </c>
      <c r="K53" s="49">
        <f>'Avg Week  Busembatya-Butongole'!K53+'Avg Week Butongole-Bsembatya'!K53</f>
        <v>1.2857142857142856</v>
      </c>
      <c r="L53" s="49">
        <f>'Avg Week  Busembatya-Butongole'!L53+'Avg Week Butongole-Bsembatya'!L53</f>
        <v>0.8571428571428571</v>
      </c>
      <c r="M53" s="49">
        <f>'Avg Week  Busembatya-Butongole'!M53+'Avg Week Butongole-Bsembatya'!M53</f>
        <v>27.571428571428569</v>
      </c>
      <c r="N53" s="49">
        <f>'Avg Week  Busembatya-Butongole'!N53+'Avg Week Butongole-Bsembatya'!N53</f>
        <v>0.14285714285714285</v>
      </c>
      <c r="O53" s="15">
        <f t="shared" si="0"/>
        <v>48.428571428571431</v>
      </c>
      <c r="P53" s="15">
        <f t="shared" si="1"/>
        <v>76</v>
      </c>
      <c r="R53" s="8"/>
      <c r="T53"/>
    </row>
    <row r="54" spans="2:20" ht="23.1" customHeight="1" x14ac:dyDescent="0.25">
      <c r="B54" s="23" t="s">
        <v>81</v>
      </c>
      <c r="C54" s="49">
        <f>'Avg Week  Busembatya-Butongole'!C54+'Avg Week Butongole-Bsembatya'!C54</f>
        <v>9.7142857142857153</v>
      </c>
      <c r="D54" s="49">
        <f>'Avg Week  Busembatya-Butongole'!D54+'Avg Week Butongole-Bsembatya'!D54</f>
        <v>3.1428571428571428</v>
      </c>
      <c r="E54" s="49">
        <f>'Avg Week  Busembatya-Butongole'!E54+'Avg Week Butongole-Bsembatya'!E54</f>
        <v>5</v>
      </c>
      <c r="F54" s="49">
        <f>'Avg Week  Busembatya-Butongole'!F54+'Avg Week Butongole-Bsembatya'!F54</f>
        <v>18</v>
      </c>
      <c r="G54" s="49">
        <f>'Avg Week  Busembatya-Butongole'!G54+'Avg Week Butongole-Bsembatya'!G54</f>
        <v>1</v>
      </c>
      <c r="H54" s="49">
        <f>'Avg Week  Busembatya-Butongole'!H54+'Avg Week Butongole-Bsembatya'!H54</f>
        <v>0.8571428571428571</v>
      </c>
      <c r="I54" s="49">
        <f>'Avg Week  Busembatya-Butongole'!I54+'Avg Week Butongole-Bsembatya'!I54</f>
        <v>2.2857142857142856</v>
      </c>
      <c r="J54" s="49">
        <f>'Avg Week  Busembatya-Butongole'!J54+'Avg Week Butongole-Bsembatya'!J54</f>
        <v>4.7142857142857144</v>
      </c>
      <c r="K54" s="49">
        <f>'Avg Week  Busembatya-Butongole'!K54+'Avg Week Butongole-Bsembatya'!K54</f>
        <v>1.5714285714285714</v>
      </c>
      <c r="L54" s="49">
        <f>'Avg Week  Busembatya-Butongole'!L54+'Avg Week Butongole-Bsembatya'!L54</f>
        <v>0.42857142857142855</v>
      </c>
      <c r="M54" s="49">
        <f>'Avg Week  Busembatya-Butongole'!M54+'Avg Week Butongole-Bsembatya'!M54</f>
        <v>22.285714285714285</v>
      </c>
      <c r="N54" s="49">
        <f>'Avg Week  Busembatya-Butongole'!N54+'Avg Week Butongole-Bsembatya'!N54</f>
        <v>0</v>
      </c>
      <c r="O54" s="15">
        <f t="shared" si="0"/>
        <v>46.714285714285715</v>
      </c>
      <c r="P54" s="15">
        <f t="shared" si="1"/>
        <v>69</v>
      </c>
      <c r="R54" s="8"/>
      <c r="T54"/>
    </row>
    <row r="55" spans="2:20" ht="23.1" customHeight="1" x14ac:dyDescent="0.25">
      <c r="B55" s="23" t="s">
        <v>82</v>
      </c>
      <c r="C55" s="49">
        <f>'Avg Week  Busembatya-Butongole'!C55+'Avg Week Butongole-Bsembatya'!C55</f>
        <v>11.285714285714285</v>
      </c>
      <c r="D55" s="49">
        <f>'Avg Week  Busembatya-Butongole'!D55+'Avg Week Butongole-Bsembatya'!D55</f>
        <v>4.2857142857142856</v>
      </c>
      <c r="E55" s="49">
        <f>'Avg Week  Busembatya-Butongole'!E55+'Avg Week Butongole-Bsembatya'!E55</f>
        <v>7</v>
      </c>
      <c r="F55" s="49">
        <f>'Avg Week  Busembatya-Butongole'!F55+'Avg Week Butongole-Bsembatya'!F55</f>
        <v>20.142857142857142</v>
      </c>
      <c r="G55" s="49">
        <f>'Avg Week  Busembatya-Butongole'!G55+'Avg Week Butongole-Bsembatya'!G55</f>
        <v>0.8571428571428571</v>
      </c>
      <c r="H55" s="49">
        <f>'Avg Week  Busembatya-Butongole'!H55+'Avg Week Butongole-Bsembatya'!H55</f>
        <v>0.42857142857142855</v>
      </c>
      <c r="I55" s="49">
        <f>'Avg Week  Busembatya-Butongole'!I55+'Avg Week Butongole-Bsembatya'!I55</f>
        <v>2.2857142857142856</v>
      </c>
      <c r="J55" s="49">
        <f>'Avg Week  Busembatya-Butongole'!J55+'Avg Week Butongole-Bsembatya'!J55</f>
        <v>3.8571428571428572</v>
      </c>
      <c r="K55" s="49">
        <f>'Avg Week  Busembatya-Butongole'!K55+'Avg Week Butongole-Bsembatya'!K55</f>
        <v>2</v>
      </c>
      <c r="L55" s="49">
        <f>'Avg Week  Busembatya-Butongole'!L55+'Avg Week Butongole-Bsembatya'!L55</f>
        <v>0.42857142857142855</v>
      </c>
      <c r="M55" s="49">
        <f>'Avg Week  Busembatya-Butongole'!M55+'Avg Week Butongole-Bsembatya'!M55</f>
        <v>22.714285714285715</v>
      </c>
      <c r="N55" s="49">
        <f>'Avg Week  Busembatya-Butongole'!N55+'Avg Week Butongole-Bsembatya'!N55</f>
        <v>0</v>
      </c>
      <c r="O55" s="15">
        <f t="shared" si="0"/>
        <v>52.571428571428562</v>
      </c>
      <c r="P55" s="15">
        <f t="shared" si="1"/>
        <v>75.285714285714278</v>
      </c>
      <c r="R55" s="8"/>
      <c r="T55"/>
    </row>
    <row r="56" spans="2:20" ht="23.1" customHeight="1" x14ac:dyDescent="0.25">
      <c r="B56" s="23" t="s">
        <v>83</v>
      </c>
      <c r="C56" s="49">
        <f>'Avg Week  Busembatya-Butongole'!C56+'Avg Week Butongole-Bsembatya'!C56</f>
        <v>8</v>
      </c>
      <c r="D56" s="49">
        <f>'Avg Week  Busembatya-Butongole'!D56+'Avg Week Butongole-Bsembatya'!D56</f>
        <v>5.5714285714285712</v>
      </c>
      <c r="E56" s="49">
        <f>'Avg Week  Busembatya-Butongole'!E56+'Avg Week Butongole-Bsembatya'!E56</f>
        <v>5.7142857142857144</v>
      </c>
      <c r="F56" s="49">
        <f>'Avg Week  Busembatya-Butongole'!F56+'Avg Week Butongole-Bsembatya'!F56</f>
        <v>16.571428571428573</v>
      </c>
      <c r="G56" s="49">
        <f>'Avg Week  Busembatya-Butongole'!G56+'Avg Week Butongole-Bsembatya'!G56</f>
        <v>1.5714285714285714</v>
      </c>
      <c r="H56" s="49">
        <f>'Avg Week  Busembatya-Butongole'!H56+'Avg Week Butongole-Bsembatya'!H56</f>
        <v>1</v>
      </c>
      <c r="I56" s="49">
        <f>'Avg Week  Busembatya-Butongole'!I56+'Avg Week Butongole-Bsembatya'!I56</f>
        <v>2.7142857142857144</v>
      </c>
      <c r="J56" s="49">
        <f>'Avg Week  Busembatya-Butongole'!J56+'Avg Week Butongole-Bsembatya'!J56</f>
        <v>2</v>
      </c>
      <c r="K56" s="49">
        <f>'Avg Week  Busembatya-Butongole'!K56+'Avg Week Butongole-Bsembatya'!K56</f>
        <v>0.85714285714285721</v>
      </c>
      <c r="L56" s="49">
        <f>'Avg Week  Busembatya-Butongole'!L56+'Avg Week Butongole-Bsembatya'!L56</f>
        <v>0.42857142857142855</v>
      </c>
      <c r="M56" s="49">
        <f>'Avg Week  Busembatya-Butongole'!M56+'Avg Week Butongole-Bsembatya'!M56</f>
        <v>27.571428571428569</v>
      </c>
      <c r="N56" s="49">
        <f>'Avg Week  Busembatya-Butongole'!N56+'Avg Week Butongole-Bsembatya'!N56</f>
        <v>0</v>
      </c>
      <c r="O56" s="15">
        <f t="shared" si="0"/>
        <v>44.428571428571431</v>
      </c>
      <c r="P56" s="15">
        <f t="shared" si="1"/>
        <v>72</v>
      </c>
      <c r="R56" s="8"/>
      <c r="T56"/>
    </row>
    <row r="57" spans="2:20" ht="23.1" customHeight="1" x14ac:dyDescent="0.25">
      <c r="B57" s="23" t="s">
        <v>84</v>
      </c>
      <c r="C57" s="49">
        <f>'Avg Week  Busembatya-Butongole'!C57+'Avg Week Butongole-Bsembatya'!C57</f>
        <v>12</v>
      </c>
      <c r="D57" s="49">
        <f>'Avg Week  Busembatya-Butongole'!D57+'Avg Week Butongole-Bsembatya'!D57</f>
        <v>3.1428571428571432</v>
      </c>
      <c r="E57" s="49">
        <f>'Avg Week  Busembatya-Butongole'!E57+'Avg Week Butongole-Bsembatya'!E57</f>
        <v>6</v>
      </c>
      <c r="F57" s="49">
        <f>'Avg Week  Busembatya-Butongole'!F57+'Avg Week Butongole-Bsembatya'!F57</f>
        <v>19.857142857142858</v>
      </c>
      <c r="G57" s="49">
        <f>'Avg Week  Busembatya-Butongole'!G57+'Avg Week Butongole-Bsembatya'!G57</f>
        <v>0.8571428571428571</v>
      </c>
      <c r="H57" s="49">
        <f>'Avg Week  Busembatya-Butongole'!H57+'Avg Week Butongole-Bsembatya'!H57</f>
        <v>1.2857142857142856</v>
      </c>
      <c r="I57" s="49">
        <f>'Avg Week  Busembatya-Butongole'!I57+'Avg Week Butongole-Bsembatya'!I57</f>
        <v>1.7142857142857142</v>
      </c>
      <c r="J57" s="49">
        <f>'Avg Week  Busembatya-Butongole'!J57+'Avg Week Butongole-Bsembatya'!J57</f>
        <v>1.5714285714285714</v>
      </c>
      <c r="K57" s="49">
        <f>'Avg Week  Busembatya-Butongole'!K57+'Avg Week Butongole-Bsembatya'!K57</f>
        <v>2.2857142857142856</v>
      </c>
      <c r="L57" s="49">
        <f>'Avg Week  Busembatya-Butongole'!L57+'Avg Week Butongole-Bsembatya'!L57</f>
        <v>0.85714285714285721</v>
      </c>
      <c r="M57" s="49">
        <f>'Avg Week  Busembatya-Butongole'!M57+'Avg Week Butongole-Bsembatya'!M57</f>
        <v>29.428571428571431</v>
      </c>
      <c r="N57" s="49">
        <f>'Avg Week  Busembatya-Butongole'!N57+'Avg Week Butongole-Bsembatya'!N57</f>
        <v>0</v>
      </c>
      <c r="O57" s="15">
        <f t="shared" si="0"/>
        <v>49.571428571428562</v>
      </c>
      <c r="P57" s="15">
        <f t="shared" si="1"/>
        <v>79</v>
      </c>
      <c r="R57" s="8"/>
      <c r="T57"/>
    </row>
    <row r="58" spans="2:20" ht="23.1" customHeight="1" x14ac:dyDescent="0.25">
      <c r="B58" s="23" t="s">
        <v>99</v>
      </c>
      <c r="C58" s="49">
        <f>'Avg Week  Busembatya-Butongole'!C58+'Avg Week Butongole-Bsembatya'!C58</f>
        <v>12.5</v>
      </c>
      <c r="D58" s="49">
        <f>'Avg Week  Busembatya-Butongole'!D58+'Avg Week Butongole-Bsembatya'!D58</f>
        <v>5</v>
      </c>
      <c r="E58" s="49">
        <f>'Avg Week  Busembatya-Butongole'!E58+'Avg Week Butongole-Bsembatya'!E58</f>
        <v>7.5</v>
      </c>
      <c r="F58" s="49">
        <f>'Avg Week  Busembatya-Butongole'!F58+'Avg Week Butongole-Bsembatya'!F58</f>
        <v>22</v>
      </c>
      <c r="G58" s="49">
        <f>'Avg Week  Busembatya-Butongole'!G58+'Avg Week Butongole-Bsembatya'!G58</f>
        <v>1</v>
      </c>
      <c r="H58" s="49">
        <f>'Avg Week  Busembatya-Butongole'!H58+'Avg Week Butongole-Bsembatya'!H58</f>
        <v>0.5</v>
      </c>
      <c r="I58" s="49">
        <f>'Avg Week  Busembatya-Butongole'!I58+'Avg Week Butongole-Bsembatya'!I58</f>
        <v>10.5</v>
      </c>
      <c r="J58" s="49">
        <f>'Avg Week  Busembatya-Butongole'!J58+'Avg Week Butongole-Bsembatya'!J58</f>
        <v>1</v>
      </c>
      <c r="K58" s="49">
        <f>'Avg Week  Busembatya-Butongole'!K58+'Avg Week Butongole-Bsembatya'!K58</f>
        <v>2.5</v>
      </c>
      <c r="L58" s="49">
        <f>'Avg Week  Busembatya-Butongole'!L58+'Avg Week Butongole-Bsembatya'!L58</f>
        <v>0.5</v>
      </c>
      <c r="M58" s="49">
        <f>'Avg Week  Busembatya-Butongole'!M58+'Avg Week Butongole-Bsembatya'!M58</f>
        <v>30</v>
      </c>
      <c r="N58" s="49">
        <f>'Avg Week  Busembatya-Butongole'!N58+'Avg Week Butongole-Bsembatya'!N58</f>
        <v>0</v>
      </c>
      <c r="O58" s="15">
        <f t="shared" si="0"/>
        <v>63</v>
      </c>
      <c r="P58" s="15">
        <f t="shared" si="1"/>
        <v>93</v>
      </c>
      <c r="R58" s="8"/>
      <c r="T58"/>
    </row>
    <row r="59" spans="2:20" ht="23.1" customHeight="1" x14ac:dyDescent="0.25">
      <c r="B59" s="23" t="s">
        <v>100</v>
      </c>
      <c r="C59" s="49">
        <f>'Avg Week  Busembatya-Butongole'!C59+'Avg Week Butongole-Bsembatya'!C59</f>
        <v>15</v>
      </c>
      <c r="D59" s="49">
        <f>'Avg Week  Busembatya-Butongole'!D59+'Avg Week Butongole-Bsembatya'!D59</f>
        <v>5</v>
      </c>
      <c r="E59" s="49">
        <f>'Avg Week  Busembatya-Butongole'!E59+'Avg Week Butongole-Bsembatya'!E59</f>
        <v>3.5</v>
      </c>
      <c r="F59" s="49">
        <f>'Avg Week  Busembatya-Butongole'!F59+'Avg Week Butongole-Bsembatya'!F59</f>
        <v>15.5</v>
      </c>
      <c r="G59" s="49">
        <f>'Avg Week  Busembatya-Butongole'!G59+'Avg Week Butongole-Bsembatya'!G59</f>
        <v>0.5</v>
      </c>
      <c r="H59" s="49">
        <f>'Avg Week  Busembatya-Butongole'!H59+'Avg Week Butongole-Bsembatya'!H59</f>
        <v>0.5</v>
      </c>
      <c r="I59" s="49">
        <f>'Avg Week  Busembatya-Butongole'!I59+'Avg Week Butongole-Bsembatya'!I59</f>
        <v>5</v>
      </c>
      <c r="J59" s="49">
        <f>'Avg Week  Busembatya-Butongole'!J59+'Avg Week Butongole-Bsembatya'!J59</f>
        <v>0</v>
      </c>
      <c r="K59" s="49">
        <f>'Avg Week  Busembatya-Butongole'!K59+'Avg Week Butongole-Bsembatya'!K59</f>
        <v>0.5</v>
      </c>
      <c r="L59" s="49">
        <f>'Avg Week  Busembatya-Butongole'!L59+'Avg Week Butongole-Bsembatya'!L59</f>
        <v>0.5</v>
      </c>
      <c r="M59" s="49">
        <f>'Avg Week  Busembatya-Butongole'!M59+'Avg Week Butongole-Bsembatya'!M59</f>
        <v>24.5</v>
      </c>
      <c r="N59" s="49">
        <f>'Avg Week  Busembatya-Butongole'!N59+'Avg Week Butongole-Bsembatya'!N59</f>
        <v>0</v>
      </c>
      <c r="O59" s="15">
        <f t="shared" si="0"/>
        <v>46</v>
      </c>
      <c r="P59" s="15">
        <f t="shared" si="1"/>
        <v>70.5</v>
      </c>
      <c r="R59" s="8"/>
      <c r="T59"/>
    </row>
    <row r="60" spans="2:20" ht="23.1" customHeight="1" x14ac:dyDescent="0.25">
      <c r="B60" s="23" t="s">
        <v>101</v>
      </c>
      <c r="C60" s="49">
        <f>'Avg Week  Busembatya-Butongole'!C60+'Avg Week Butongole-Bsembatya'!C60</f>
        <v>12</v>
      </c>
      <c r="D60" s="49">
        <f>'Avg Week  Busembatya-Butongole'!D60+'Avg Week Butongole-Bsembatya'!D60</f>
        <v>2.5</v>
      </c>
      <c r="E60" s="49">
        <f>'Avg Week  Busembatya-Butongole'!E60+'Avg Week Butongole-Bsembatya'!E60</f>
        <v>4</v>
      </c>
      <c r="F60" s="49">
        <f>'Avg Week  Busembatya-Butongole'!F60+'Avg Week Butongole-Bsembatya'!F60</f>
        <v>10.5</v>
      </c>
      <c r="G60" s="49">
        <f>'Avg Week  Busembatya-Butongole'!G60+'Avg Week Butongole-Bsembatya'!G60</f>
        <v>0.5</v>
      </c>
      <c r="H60" s="49">
        <f>'Avg Week  Busembatya-Butongole'!H60+'Avg Week Butongole-Bsembatya'!H60</f>
        <v>0.5</v>
      </c>
      <c r="I60" s="49">
        <f>'Avg Week  Busembatya-Butongole'!I60+'Avg Week Butongole-Bsembatya'!I60</f>
        <v>8.5</v>
      </c>
      <c r="J60" s="49">
        <f>'Avg Week  Busembatya-Butongole'!J60+'Avg Week Butongole-Bsembatya'!J60</f>
        <v>0</v>
      </c>
      <c r="K60" s="49">
        <f>'Avg Week  Busembatya-Butongole'!K60+'Avg Week Butongole-Bsembatya'!K60</f>
        <v>2.5</v>
      </c>
      <c r="L60" s="49">
        <f>'Avg Week  Busembatya-Butongole'!L60+'Avg Week Butongole-Bsembatya'!L60</f>
        <v>0.5</v>
      </c>
      <c r="M60" s="49">
        <f>'Avg Week  Busembatya-Butongole'!M60+'Avg Week Butongole-Bsembatya'!M60</f>
        <v>20</v>
      </c>
      <c r="N60" s="49">
        <f>'Avg Week  Busembatya-Butongole'!N60+'Avg Week Butongole-Bsembatya'!N60</f>
        <v>0</v>
      </c>
      <c r="O60" s="15">
        <f t="shared" si="0"/>
        <v>41.5</v>
      </c>
      <c r="P60" s="15">
        <f t="shared" si="1"/>
        <v>61.5</v>
      </c>
      <c r="R60" s="8"/>
      <c r="T60"/>
    </row>
    <row r="61" spans="2:20" ht="23.1" customHeight="1" x14ac:dyDescent="0.25">
      <c r="B61" s="23" t="s">
        <v>102</v>
      </c>
      <c r="C61" s="49">
        <f>'Avg Week  Busembatya-Butongole'!C61+'Avg Week Butongole-Bsembatya'!C61</f>
        <v>14.5</v>
      </c>
      <c r="D61" s="49">
        <f>'Avg Week  Busembatya-Butongole'!D61+'Avg Week Butongole-Bsembatya'!D61</f>
        <v>5</v>
      </c>
      <c r="E61" s="49">
        <f>'Avg Week  Busembatya-Butongole'!E61+'Avg Week Butongole-Bsembatya'!E61</f>
        <v>3.5</v>
      </c>
      <c r="F61" s="49">
        <f>'Avg Week  Busembatya-Butongole'!F61+'Avg Week Butongole-Bsembatya'!F61</f>
        <v>17.5</v>
      </c>
      <c r="G61" s="49">
        <f>'Avg Week  Busembatya-Butongole'!G61+'Avg Week Butongole-Bsembatya'!G61</f>
        <v>0.5</v>
      </c>
      <c r="H61" s="49">
        <f>'Avg Week  Busembatya-Butongole'!H61+'Avg Week Butongole-Bsembatya'!H61</f>
        <v>1.5</v>
      </c>
      <c r="I61" s="49">
        <f>'Avg Week  Busembatya-Butongole'!I61+'Avg Week Butongole-Bsembatya'!I61</f>
        <v>7.5</v>
      </c>
      <c r="J61" s="49">
        <f>'Avg Week  Busembatya-Butongole'!J61+'Avg Week Butongole-Bsembatya'!J61</f>
        <v>0</v>
      </c>
      <c r="K61" s="49">
        <f>'Avg Week  Busembatya-Butongole'!K61+'Avg Week Butongole-Bsembatya'!K61</f>
        <v>0.5</v>
      </c>
      <c r="L61" s="49">
        <f>'Avg Week  Busembatya-Butongole'!L61+'Avg Week Butongole-Bsembatya'!L61</f>
        <v>0</v>
      </c>
      <c r="M61" s="49">
        <f>'Avg Week  Busembatya-Butongole'!M61+'Avg Week Butongole-Bsembatya'!M61</f>
        <v>23.5</v>
      </c>
      <c r="N61" s="49">
        <f>'Avg Week  Busembatya-Butongole'!N61+'Avg Week Butongole-Bsembatya'!N61</f>
        <v>0</v>
      </c>
      <c r="O61" s="15">
        <f t="shared" si="0"/>
        <v>50.5</v>
      </c>
      <c r="P61" s="15">
        <f t="shared" si="1"/>
        <v>74</v>
      </c>
      <c r="R61" s="8"/>
      <c r="T61"/>
    </row>
    <row r="62" spans="2:20" ht="23.1" customHeight="1" x14ac:dyDescent="0.25">
      <c r="B62" s="23" t="s">
        <v>107</v>
      </c>
      <c r="C62" s="49">
        <f>'Avg Week  Busembatya-Butongole'!C62+'Avg Week Butongole-Bsembatya'!C62</f>
        <v>17</v>
      </c>
      <c r="D62" s="49">
        <f>'Avg Week  Busembatya-Butongole'!D62+'Avg Week Butongole-Bsembatya'!D62</f>
        <v>4.5</v>
      </c>
      <c r="E62" s="49">
        <f>'Avg Week  Busembatya-Butongole'!E62+'Avg Week Butongole-Bsembatya'!E62</f>
        <v>4</v>
      </c>
      <c r="F62" s="49">
        <f>'Avg Week  Busembatya-Butongole'!F62+'Avg Week Butongole-Bsembatya'!F62</f>
        <v>13.5</v>
      </c>
      <c r="G62" s="49">
        <f>'Avg Week  Busembatya-Butongole'!G62+'Avg Week Butongole-Bsembatya'!G62</f>
        <v>1.5</v>
      </c>
      <c r="H62" s="49">
        <f>'Avg Week  Busembatya-Butongole'!H62+'Avg Week Butongole-Bsembatya'!H62</f>
        <v>0</v>
      </c>
      <c r="I62" s="49">
        <f>'Avg Week  Busembatya-Butongole'!I62+'Avg Week Butongole-Bsembatya'!I62</f>
        <v>5</v>
      </c>
      <c r="J62" s="49">
        <f>'Avg Week  Busembatya-Butongole'!J62+'Avg Week Butongole-Bsembatya'!J62</f>
        <v>0</v>
      </c>
      <c r="K62" s="49">
        <f>'Avg Week  Busembatya-Butongole'!K62+'Avg Week Butongole-Bsembatya'!K62</f>
        <v>2</v>
      </c>
      <c r="L62" s="49">
        <f>'Avg Week  Busembatya-Butongole'!L62+'Avg Week Butongole-Bsembatya'!L62</f>
        <v>0</v>
      </c>
      <c r="M62" s="49">
        <f>'Avg Week  Busembatya-Butongole'!M62+'Avg Week Butongole-Bsembatya'!M62</f>
        <v>12</v>
      </c>
      <c r="N62" s="49">
        <f>'Avg Week  Busembatya-Butongole'!N62+'Avg Week Butongole-Bsembatya'!N62</f>
        <v>0</v>
      </c>
      <c r="O62" s="15">
        <f t="shared" si="0"/>
        <v>47.5</v>
      </c>
      <c r="P62" s="15">
        <f t="shared" si="1"/>
        <v>59.5</v>
      </c>
      <c r="R62" s="8"/>
      <c r="T62"/>
    </row>
    <row r="63" spans="2:20" ht="23.1" customHeight="1" x14ac:dyDescent="0.25">
      <c r="B63" s="23" t="s">
        <v>108</v>
      </c>
      <c r="C63" s="49">
        <f>'Avg Week  Busembatya-Butongole'!C63+'Avg Week Butongole-Bsembatya'!C63</f>
        <v>6.5</v>
      </c>
      <c r="D63" s="49">
        <f>'Avg Week  Busembatya-Butongole'!D63+'Avg Week Butongole-Bsembatya'!D63</f>
        <v>4</v>
      </c>
      <c r="E63" s="49">
        <f>'Avg Week  Busembatya-Butongole'!E63+'Avg Week Butongole-Bsembatya'!E63</f>
        <v>2.5</v>
      </c>
      <c r="F63" s="49">
        <f>'Avg Week  Busembatya-Butongole'!F63+'Avg Week Butongole-Bsembatya'!F63</f>
        <v>13.5</v>
      </c>
      <c r="G63" s="49">
        <f>'Avg Week  Busembatya-Butongole'!G63+'Avg Week Butongole-Bsembatya'!G63</f>
        <v>1</v>
      </c>
      <c r="H63" s="49">
        <f>'Avg Week  Busembatya-Butongole'!H63+'Avg Week Butongole-Bsembatya'!H63</f>
        <v>2</v>
      </c>
      <c r="I63" s="49">
        <f>'Avg Week  Busembatya-Butongole'!I63+'Avg Week Butongole-Bsembatya'!I63</f>
        <v>10.5</v>
      </c>
      <c r="J63" s="49">
        <f>'Avg Week  Busembatya-Butongole'!J63+'Avg Week Butongole-Bsembatya'!J63</f>
        <v>0</v>
      </c>
      <c r="K63" s="49">
        <f>'Avg Week  Busembatya-Butongole'!K63+'Avg Week Butongole-Bsembatya'!K63</f>
        <v>4</v>
      </c>
      <c r="L63" s="49">
        <f>'Avg Week  Busembatya-Butongole'!L63+'Avg Week Butongole-Bsembatya'!L63</f>
        <v>0</v>
      </c>
      <c r="M63" s="49">
        <f>'Avg Week  Busembatya-Butongole'!M63+'Avg Week Butongole-Bsembatya'!M63</f>
        <v>10.5</v>
      </c>
      <c r="N63" s="49">
        <f>'Avg Week  Busembatya-Butongole'!N63+'Avg Week Butongole-Bsembatya'!N63</f>
        <v>0</v>
      </c>
      <c r="O63" s="15">
        <f t="shared" si="0"/>
        <v>44</v>
      </c>
      <c r="P63" s="15">
        <f t="shared" si="1"/>
        <v>54.5</v>
      </c>
      <c r="R63" s="8"/>
      <c r="T63"/>
    </row>
    <row r="64" spans="2:20" ht="23.1" customHeight="1" x14ac:dyDescent="0.25">
      <c r="B64" s="23" t="s">
        <v>109</v>
      </c>
      <c r="C64" s="49">
        <f>'Avg Week  Busembatya-Butongole'!C64+'Avg Week Butongole-Bsembatya'!C64</f>
        <v>8.5</v>
      </c>
      <c r="D64" s="49">
        <f>'Avg Week  Busembatya-Butongole'!D64+'Avg Week Butongole-Bsembatya'!D64</f>
        <v>1</v>
      </c>
      <c r="E64" s="49">
        <f>'Avg Week  Busembatya-Butongole'!E64+'Avg Week Butongole-Bsembatya'!E64</f>
        <v>2</v>
      </c>
      <c r="F64" s="49">
        <f>'Avg Week  Busembatya-Butongole'!F64+'Avg Week Butongole-Bsembatya'!F64</f>
        <v>14</v>
      </c>
      <c r="G64" s="49">
        <f>'Avg Week  Busembatya-Butongole'!G64+'Avg Week Butongole-Bsembatya'!G64</f>
        <v>0.5</v>
      </c>
      <c r="H64" s="49">
        <f>'Avg Week  Busembatya-Butongole'!H64+'Avg Week Butongole-Bsembatya'!H64</f>
        <v>0</v>
      </c>
      <c r="I64" s="49">
        <f>'Avg Week  Busembatya-Butongole'!I64+'Avg Week Butongole-Bsembatya'!I64</f>
        <v>5</v>
      </c>
      <c r="J64" s="49">
        <f>'Avg Week  Busembatya-Butongole'!J64+'Avg Week Butongole-Bsembatya'!J64</f>
        <v>0.5</v>
      </c>
      <c r="K64" s="49">
        <f>'Avg Week  Busembatya-Butongole'!K64+'Avg Week Butongole-Bsembatya'!K64</f>
        <v>2.5</v>
      </c>
      <c r="L64" s="49">
        <f>'Avg Week  Busembatya-Butongole'!L64+'Avg Week Butongole-Bsembatya'!L64</f>
        <v>0.5</v>
      </c>
      <c r="M64" s="49">
        <f>'Avg Week  Busembatya-Butongole'!M64+'Avg Week Butongole-Bsembatya'!M64</f>
        <v>8</v>
      </c>
      <c r="N64" s="49">
        <f>'Avg Week  Busembatya-Butongole'!N64+'Avg Week Butongole-Bsembatya'!N64</f>
        <v>0</v>
      </c>
      <c r="O64" s="15">
        <f t="shared" si="0"/>
        <v>34.5</v>
      </c>
      <c r="P64" s="15">
        <f t="shared" si="1"/>
        <v>42.5</v>
      </c>
      <c r="R64" s="8"/>
      <c r="T64"/>
    </row>
    <row r="65" spans="2:20" ht="23.1" customHeight="1" x14ac:dyDescent="0.25">
      <c r="B65" s="23" t="s">
        <v>158</v>
      </c>
      <c r="C65" s="49">
        <f>'Avg Week  Busembatya-Butongole'!C65+'Avg Week Butongole-Bsembatya'!C65</f>
        <v>7</v>
      </c>
      <c r="D65" s="49">
        <f>'Avg Week  Busembatya-Butongole'!D65+'Avg Week Butongole-Bsembatya'!D65</f>
        <v>1.5</v>
      </c>
      <c r="E65" s="49">
        <f>'Avg Week  Busembatya-Butongole'!E65+'Avg Week Butongole-Bsembatya'!E65</f>
        <v>2.5</v>
      </c>
      <c r="F65" s="49">
        <f>'Avg Week  Busembatya-Butongole'!F65+'Avg Week Butongole-Bsembatya'!F65</f>
        <v>7</v>
      </c>
      <c r="G65" s="49">
        <f>'Avg Week  Busembatya-Butongole'!G65+'Avg Week Butongole-Bsembatya'!G65</f>
        <v>1</v>
      </c>
      <c r="H65" s="49">
        <f>'Avg Week  Busembatya-Butongole'!H65+'Avg Week Butongole-Bsembatya'!H65</f>
        <v>0</v>
      </c>
      <c r="I65" s="49">
        <f>'Avg Week  Busembatya-Butongole'!I65+'Avg Week Butongole-Bsembatya'!I65</f>
        <v>3.5</v>
      </c>
      <c r="J65" s="49">
        <f>'Avg Week  Busembatya-Butongole'!J65+'Avg Week Butongole-Bsembatya'!J65</f>
        <v>0</v>
      </c>
      <c r="K65" s="49">
        <f>'Avg Week  Busembatya-Butongole'!K65+'Avg Week Butongole-Bsembatya'!K65</f>
        <v>3</v>
      </c>
      <c r="L65" s="49">
        <f>'Avg Week  Busembatya-Butongole'!L65+'Avg Week Butongole-Bsembatya'!L65</f>
        <v>0</v>
      </c>
      <c r="M65" s="49">
        <f>'Avg Week  Busembatya-Butongole'!M65+'Avg Week Butongole-Bsembatya'!M65</f>
        <v>9</v>
      </c>
      <c r="N65" s="49">
        <f>'Avg Week  Busembatya-Butongole'!N65+'Avg Week Butongole-Bsembatya'!N65</f>
        <v>0</v>
      </c>
      <c r="O65" s="15">
        <f t="shared" si="0"/>
        <v>25.5</v>
      </c>
      <c r="P65" s="15">
        <f t="shared" si="1"/>
        <v>34.5</v>
      </c>
      <c r="R65" s="8"/>
      <c r="T65"/>
    </row>
    <row r="66" spans="2:20" ht="23.1" customHeight="1" x14ac:dyDescent="0.25">
      <c r="B66" s="23" t="s">
        <v>103</v>
      </c>
      <c r="C66" s="49">
        <f>'Avg Week  Busembatya-Butongole'!C66+'Avg Week Butongole-Bsembatya'!C66</f>
        <v>6.5</v>
      </c>
      <c r="D66" s="49">
        <f>'Avg Week  Busembatya-Butongole'!D66+'Avg Week Butongole-Bsembatya'!D66</f>
        <v>3</v>
      </c>
      <c r="E66" s="49">
        <f>'Avg Week  Busembatya-Butongole'!E66+'Avg Week Butongole-Bsembatya'!E66</f>
        <v>3</v>
      </c>
      <c r="F66" s="49">
        <f>'Avg Week  Busembatya-Butongole'!F66+'Avg Week Butongole-Bsembatya'!F66</f>
        <v>12</v>
      </c>
      <c r="G66" s="49">
        <f>'Avg Week  Busembatya-Butongole'!G66+'Avg Week Butongole-Bsembatya'!G66</f>
        <v>0.5</v>
      </c>
      <c r="H66" s="49">
        <f>'Avg Week  Busembatya-Butongole'!H66+'Avg Week Butongole-Bsembatya'!H66</f>
        <v>0.5</v>
      </c>
      <c r="I66" s="49">
        <f>'Avg Week  Busembatya-Butongole'!I66+'Avg Week Butongole-Bsembatya'!I66</f>
        <v>9.5</v>
      </c>
      <c r="J66" s="49">
        <f>'Avg Week  Busembatya-Butongole'!J66+'Avg Week Butongole-Bsembatya'!J66</f>
        <v>0</v>
      </c>
      <c r="K66" s="49">
        <f>'Avg Week  Busembatya-Butongole'!K66+'Avg Week Butongole-Bsembatya'!K66</f>
        <v>4.5</v>
      </c>
      <c r="L66" s="49">
        <f>'Avg Week  Busembatya-Butongole'!L66+'Avg Week Butongole-Bsembatya'!L66</f>
        <v>0</v>
      </c>
      <c r="M66" s="49">
        <f>'Avg Week  Busembatya-Butongole'!M66+'Avg Week Butongole-Bsembatya'!M66</f>
        <v>15.5</v>
      </c>
      <c r="N66" s="49">
        <f>'Avg Week  Busembatya-Butongole'!N66+'Avg Week Butongole-Bsembatya'!N66</f>
        <v>0</v>
      </c>
      <c r="O66" s="15">
        <f t="shared" si="0"/>
        <v>39.5</v>
      </c>
      <c r="P66" s="15">
        <f t="shared" si="1"/>
        <v>55</v>
      </c>
      <c r="R66" s="8"/>
      <c r="T66"/>
    </row>
    <row r="67" spans="2:20" ht="23.1" customHeight="1" x14ac:dyDescent="0.25">
      <c r="B67" s="23" t="s">
        <v>104</v>
      </c>
      <c r="C67" s="49">
        <f>'Avg Week  Busembatya-Butongole'!C67+'Avg Week Butongole-Bsembatya'!C67</f>
        <v>4.5</v>
      </c>
      <c r="D67" s="49">
        <f>'Avg Week  Busembatya-Butongole'!D67+'Avg Week Butongole-Bsembatya'!D67</f>
        <v>1</v>
      </c>
      <c r="E67" s="49">
        <f>'Avg Week  Busembatya-Butongole'!E67+'Avg Week Butongole-Bsembatya'!E67</f>
        <v>3</v>
      </c>
      <c r="F67" s="49">
        <f>'Avg Week  Busembatya-Butongole'!F67+'Avg Week Butongole-Bsembatya'!F67</f>
        <v>7</v>
      </c>
      <c r="G67" s="49">
        <f>'Avg Week  Busembatya-Butongole'!G67+'Avg Week Butongole-Bsembatya'!G67</f>
        <v>0</v>
      </c>
      <c r="H67" s="49">
        <f>'Avg Week  Busembatya-Butongole'!H67+'Avg Week Butongole-Bsembatya'!H67</f>
        <v>1</v>
      </c>
      <c r="I67" s="49">
        <f>'Avg Week  Busembatya-Butongole'!I67+'Avg Week Butongole-Bsembatya'!I67</f>
        <v>2.5</v>
      </c>
      <c r="J67" s="49">
        <f>'Avg Week  Busembatya-Butongole'!J67+'Avg Week Butongole-Bsembatya'!J67</f>
        <v>0</v>
      </c>
      <c r="K67" s="49">
        <f>'Avg Week  Busembatya-Butongole'!K67+'Avg Week Butongole-Bsembatya'!K67</f>
        <v>0.5</v>
      </c>
      <c r="L67" s="49">
        <f>'Avg Week  Busembatya-Butongole'!L67+'Avg Week Butongole-Bsembatya'!L67</f>
        <v>0.5</v>
      </c>
      <c r="M67" s="49">
        <f>'Avg Week  Busembatya-Butongole'!M67+'Avg Week Butongole-Bsembatya'!M67</f>
        <v>7.5</v>
      </c>
      <c r="N67" s="49">
        <f>'Avg Week  Busembatya-Butongole'!N67+'Avg Week Butongole-Bsembatya'!N67</f>
        <v>0</v>
      </c>
      <c r="O67" s="15">
        <f t="shared" si="0"/>
        <v>20</v>
      </c>
      <c r="P67" s="15">
        <f t="shared" si="1"/>
        <v>27.5</v>
      </c>
      <c r="R67" s="8"/>
      <c r="T67"/>
    </row>
    <row r="68" spans="2:20" ht="23.1" customHeight="1" x14ac:dyDescent="0.25">
      <c r="B68" s="23" t="s">
        <v>105</v>
      </c>
      <c r="C68" s="49">
        <f>'Avg Week  Busembatya-Butongole'!C68+'Avg Week Butongole-Bsembatya'!C68</f>
        <v>5.5</v>
      </c>
      <c r="D68" s="49">
        <f>'Avg Week  Busembatya-Butongole'!D68+'Avg Week Butongole-Bsembatya'!D68</f>
        <v>1</v>
      </c>
      <c r="E68" s="49">
        <f>'Avg Week  Busembatya-Butongole'!E68+'Avg Week Butongole-Bsembatya'!E68</f>
        <v>3.5</v>
      </c>
      <c r="F68" s="49">
        <f>'Avg Week  Busembatya-Butongole'!F68+'Avg Week Butongole-Bsembatya'!F68</f>
        <v>5.5</v>
      </c>
      <c r="G68" s="49">
        <f>'Avg Week  Busembatya-Butongole'!G68+'Avg Week Butongole-Bsembatya'!G68</f>
        <v>0.5</v>
      </c>
      <c r="H68" s="49">
        <f>'Avg Week  Busembatya-Butongole'!H68+'Avg Week Butongole-Bsembatya'!H68</f>
        <v>1.5</v>
      </c>
      <c r="I68" s="49">
        <f>'Avg Week  Busembatya-Butongole'!I68+'Avg Week Butongole-Bsembatya'!I68</f>
        <v>4</v>
      </c>
      <c r="J68" s="49">
        <f>'Avg Week  Busembatya-Butongole'!J68+'Avg Week Butongole-Bsembatya'!J68</f>
        <v>0</v>
      </c>
      <c r="K68" s="49">
        <f>'Avg Week  Busembatya-Butongole'!K68+'Avg Week Butongole-Bsembatya'!K68</f>
        <v>1.5</v>
      </c>
      <c r="L68" s="49">
        <f>'Avg Week  Busembatya-Butongole'!L68+'Avg Week Butongole-Bsembatya'!L68</f>
        <v>0</v>
      </c>
      <c r="M68" s="49">
        <f>'Avg Week  Busembatya-Butongole'!M68+'Avg Week Butongole-Bsembatya'!M68</f>
        <v>3.5</v>
      </c>
      <c r="N68" s="49">
        <f>'Avg Week  Busembatya-Butongole'!N68+'Avg Week Butongole-Bsembatya'!N68</f>
        <v>0</v>
      </c>
      <c r="O68" s="15">
        <f t="shared" si="0"/>
        <v>23</v>
      </c>
      <c r="P68" s="15">
        <f t="shared" si="1"/>
        <v>26.5</v>
      </c>
      <c r="R68" s="8"/>
      <c r="T68"/>
    </row>
    <row r="69" spans="2:20" ht="23.1" customHeight="1" x14ac:dyDescent="0.25">
      <c r="B69" s="23" t="s">
        <v>106</v>
      </c>
      <c r="C69" s="49">
        <f>'Avg Week  Busembatya-Butongole'!C69+'Avg Week Butongole-Bsembatya'!C69</f>
        <v>2.5</v>
      </c>
      <c r="D69" s="49">
        <f>'Avg Week  Busembatya-Butongole'!D69+'Avg Week Butongole-Bsembatya'!D69</f>
        <v>1</v>
      </c>
      <c r="E69" s="49">
        <f>'Avg Week  Busembatya-Butongole'!E69+'Avg Week Butongole-Bsembatya'!E69</f>
        <v>1</v>
      </c>
      <c r="F69" s="49">
        <f>'Avg Week  Busembatya-Butongole'!F69+'Avg Week Butongole-Bsembatya'!F69</f>
        <v>7</v>
      </c>
      <c r="G69" s="49">
        <f>'Avg Week  Busembatya-Butongole'!G69+'Avg Week Butongole-Bsembatya'!G69</f>
        <v>0</v>
      </c>
      <c r="H69" s="49">
        <f>'Avg Week  Busembatya-Butongole'!H69+'Avg Week Butongole-Bsembatya'!H69</f>
        <v>0.5</v>
      </c>
      <c r="I69" s="49">
        <f>'Avg Week  Busembatya-Butongole'!I69+'Avg Week Butongole-Bsembatya'!I69</f>
        <v>4.5</v>
      </c>
      <c r="J69" s="49">
        <f>'Avg Week  Busembatya-Butongole'!J69+'Avg Week Butongole-Bsembatya'!J69</f>
        <v>1</v>
      </c>
      <c r="K69" s="49">
        <f>'Avg Week  Busembatya-Butongole'!K69+'Avg Week Butongole-Bsembatya'!K69</f>
        <v>1.5</v>
      </c>
      <c r="L69" s="49">
        <f>'Avg Week  Busembatya-Butongole'!L69+'Avg Week Butongole-Bsembatya'!L69</f>
        <v>0.5</v>
      </c>
      <c r="M69" s="49">
        <f>'Avg Week  Busembatya-Butongole'!M69+'Avg Week Butongole-Bsembatya'!M69</f>
        <v>3.5</v>
      </c>
      <c r="N69" s="49">
        <f>'Avg Week  Busembatya-Butongole'!N69+'Avg Week Butongole-Bsembatya'!N69</f>
        <v>0</v>
      </c>
      <c r="O69" s="15">
        <f t="shared" si="0"/>
        <v>19.5</v>
      </c>
      <c r="P69" s="15">
        <f t="shared" si="1"/>
        <v>23</v>
      </c>
      <c r="R69" s="8"/>
      <c r="T69"/>
    </row>
    <row r="70" spans="2:20" ht="23.1" customHeight="1" x14ac:dyDescent="0.25">
      <c r="B70" s="23" t="s">
        <v>110</v>
      </c>
      <c r="C70" s="49">
        <f>'Avg Week  Busembatya-Butongole'!C70+'Avg Week Butongole-Bsembatya'!C70</f>
        <v>4</v>
      </c>
      <c r="D70" s="49">
        <f>'Avg Week  Busembatya-Butongole'!D70+'Avg Week Butongole-Bsembatya'!D70</f>
        <v>1</v>
      </c>
      <c r="E70" s="49">
        <f>'Avg Week  Busembatya-Butongole'!E70+'Avg Week Butongole-Bsembatya'!E70</f>
        <v>2</v>
      </c>
      <c r="F70" s="49">
        <f>'Avg Week  Busembatya-Butongole'!F70+'Avg Week Butongole-Bsembatya'!F70</f>
        <v>3.5</v>
      </c>
      <c r="G70" s="49">
        <f>'Avg Week  Busembatya-Butongole'!G70+'Avg Week Butongole-Bsembatya'!G70</f>
        <v>0.5</v>
      </c>
      <c r="H70" s="49">
        <f>'Avg Week  Busembatya-Butongole'!H70+'Avg Week Butongole-Bsembatya'!H70</f>
        <v>0</v>
      </c>
      <c r="I70" s="49">
        <f>'Avg Week  Busembatya-Butongole'!I70+'Avg Week Butongole-Bsembatya'!I70</f>
        <v>5.5</v>
      </c>
      <c r="J70" s="49">
        <f>'Avg Week  Busembatya-Butongole'!J70+'Avg Week Butongole-Bsembatya'!J70</f>
        <v>0.5</v>
      </c>
      <c r="K70" s="49">
        <f>'Avg Week  Busembatya-Butongole'!K70+'Avg Week Butongole-Bsembatya'!K70</f>
        <v>1.5</v>
      </c>
      <c r="L70" s="49">
        <f>'Avg Week  Busembatya-Butongole'!L70+'Avg Week Butongole-Bsembatya'!L70</f>
        <v>0.5</v>
      </c>
      <c r="M70" s="49">
        <f>'Avg Week  Busembatya-Butongole'!M70+'Avg Week Butongole-Bsembatya'!M70</f>
        <v>2.5</v>
      </c>
      <c r="N70" s="49">
        <f>'Avg Week  Busembatya-Butongole'!N70+'Avg Week Butongole-Bsembatya'!N70</f>
        <v>0</v>
      </c>
      <c r="O70" s="15">
        <f t="shared" si="0"/>
        <v>19</v>
      </c>
      <c r="P70" s="15">
        <f t="shared" si="1"/>
        <v>21.5</v>
      </c>
      <c r="R70" s="8"/>
      <c r="T70"/>
    </row>
    <row r="71" spans="2:20" ht="23.1" customHeight="1" x14ac:dyDescent="0.25">
      <c r="B71" s="23" t="s">
        <v>111</v>
      </c>
      <c r="C71" s="49">
        <f>'Avg Week  Busembatya-Butongole'!C71+'Avg Week Butongole-Bsembatya'!C71</f>
        <v>3.5</v>
      </c>
      <c r="D71" s="49">
        <f>'Avg Week  Busembatya-Butongole'!D71+'Avg Week Butongole-Bsembatya'!D71</f>
        <v>2.5</v>
      </c>
      <c r="E71" s="49">
        <f>'Avg Week  Busembatya-Butongole'!E71+'Avg Week Butongole-Bsembatya'!E71</f>
        <v>2</v>
      </c>
      <c r="F71" s="49">
        <f>'Avg Week  Busembatya-Butongole'!F71+'Avg Week Butongole-Bsembatya'!F71</f>
        <v>4</v>
      </c>
      <c r="G71" s="49">
        <f>'Avg Week  Busembatya-Butongole'!G71+'Avg Week Butongole-Bsembatya'!G71</f>
        <v>0</v>
      </c>
      <c r="H71" s="49">
        <f>'Avg Week  Busembatya-Butongole'!H71+'Avg Week Butongole-Bsembatya'!H71</f>
        <v>0.5</v>
      </c>
      <c r="I71" s="49">
        <f>'Avg Week  Busembatya-Butongole'!I71+'Avg Week Butongole-Bsembatya'!I71</f>
        <v>5.5</v>
      </c>
      <c r="J71" s="49">
        <f>'Avg Week  Busembatya-Butongole'!J71+'Avg Week Butongole-Bsembatya'!J71</f>
        <v>1.5</v>
      </c>
      <c r="K71" s="49">
        <f>'Avg Week  Busembatya-Butongole'!K71+'Avg Week Butongole-Bsembatya'!K71</f>
        <v>1.5</v>
      </c>
      <c r="L71" s="49">
        <f>'Avg Week  Busembatya-Butongole'!L71+'Avg Week Butongole-Bsembatya'!L71</f>
        <v>0</v>
      </c>
      <c r="M71" s="49">
        <f>'Avg Week  Busembatya-Butongole'!M71+'Avg Week Butongole-Bsembatya'!M71</f>
        <v>3</v>
      </c>
      <c r="N71" s="49">
        <f>'Avg Week  Busembatya-Butongole'!N71+'Avg Week Butongole-Bsembatya'!N71</f>
        <v>0</v>
      </c>
      <c r="O71" s="15">
        <f t="shared" si="0"/>
        <v>21</v>
      </c>
      <c r="P71" s="15">
        <f t="shared" si="1"/>
        <v>24</v>
      </c>
      <c r="R71" s="8"/>
      <c r="T71"/>
    </row>
    <row r="72" spans="2:20" ht="23.1" customHeight="1" x14ac:dyDescent="0.25">
      <c r="B72" s="23" t="s">
        <v>112</v>
      </c>
      <c r="C72" s="49">
        <f>'Avg Week  Busembatya-Butongole'!C72+'Avg Week Butongole-Bsembatya'!C72</f>
        <v>2</v>
      </c>
      <c r="D72" s="49">
        <f>'Avg Week  Busembatya-Butongole'!D72+'Avg Week Butongole-Bsembatya'!D72</f>
        <v>2</v>
      </c>
      <c r="E72" s="49">
        <f>'Avg Week  Busembatya-Butongole'!E72+'Avg Week Butongole-Bsembatya'!E72</f>
        <v>0.5</v>
      </c>
      <c r="F72" s="49">
        <f>'Avg Week  Busembatya-Butongole'!F72+'Avg Week Butongole-Bsembatya'!F72</f>
        <v>5.5</v>
      </c>
      <c r="G72" s="49">
        <f>'Avg Week  Busembatya-Butongole'!G72+'Avg Week Butongole-Bsembatya'!G72</f>
        <v>0.5</v>
      </c>
      <c r="H72" s="49">
        <f>'Avg Week  Busembatya-Butongole'!H72+'Avg Week Butongole-Bsembatya'!H72</f>
        <v>0</v>
      </c>
      <c r="I72" s="49">
        <f>'Avg Week  Busembatya-Butongole'!I72+'Avg Week Butongole-Bsembatya'!I72</f>
        <v>4.5</v>
      </c>
      <c r="J72" s="49">
        <f>'Avg Week  Busembatya-Butongole'!J72+'Avg Week Butongole-Bsembatya'!J72</f>
        <v>0</v>
      </c>
      <c r="K72" s="49">
        <f>'Avg Week  Busembatya-Butongole'!K72+'Avg Week Butongole-Bsembatya'!K72</f>
        <v>0</v>
      </c>
      <c r="L72" s="49">
        <f>'Avg Week  Busembatya-Butongole'!L72+'Avg Week Butongole-Bsembatya'!L72</f>
        <v>0</v>
      </c>
      <c r="M72" s="49">
        <f>'Avg Week  Busembatya-Butongole'!M72+'Avg Week Butongole-Bsembatya'!M72</f>
        <v>3</v>
      </c>
      <c r="N72" s="49">
        <f>'Avg Week  Busembatya-Butongole'!N72+'Avg Week Butongole-Bsembatya'!N72</f>
        <v>0</v>
      </c>
      <c r="O72" s="15">
        <f t="shared" si="0"/>
        <v>15</v>
      </c>
      <c r="P72" s="15">
        <f t="shared" si="1"/>
        <v>18</v>
      </c>
      <c r="R72" s="8"/>
      <c r="T72"/>
    </row>
    <row r="73" spans="2:20" ht="23.1" customHeight="1" x14ac:dyDescent="0.25">
      <c r="B73" s="23" t="s">
        <v>113</v>
      </c>
      <c r="C73" s="49">
        <f>'Avg Week  Busembatya-Butongole'!C73+'Avg Week Butongole-Bsembatya'!C73</f>
        <v>3.5</v>
      </c>
      <c r="D73" s="49">
        <f>'Avg Week  Busembatya-Butongole'!D73+'Avg Week Butongole-Bsembatya'!D73</f>
        <v>1.5</v>
      </c>
      <c r="E73" s="49">
        <f>'Avg Week  Busembatya-Butongole'!E73+'Avg Week Butongole-Bsembatya'!E73</f>
        <v>1</v>
      </c>
      <c r="F73" s="49">
        <f>'Avg Week  Busembatya-Butongole'!F73+'Avg Week Butongole-Bsembatya'!F73</f>
        <v>3.5</v>
      </c>
      <c r="G73" s="49">
        <f>'Avg Week  Busembatya-Butongole'!G73+'Avg Week Butongole-Bsembatya'!G73</f>
        <v>1.5</v>
      </c>
      <c r="H73" s="49">
        <f>'Avg Week  Busembatya-Butongole'!H73+'Avg Week Butongole-Bsembatya'!H73</f>
        <v>0</v>
      </c>
      <c r="I73" s="49">
        <f>'Avg Week  Busembatya-Butongole'!I73+'Avg Week Butongole-Bsembatya'!I73</f>
        <v>3.5</v>
      </c>
      <c r="J73" s="49">
        <f>'Avg Week  Busembatya-Butongole'!J73+'Avg Week Butongole-Bsembatya'!J73</f>
        <v>0</v>
      </c>
      <c r="K73" s="49">
        <f>'Avg Week  Busembatya-Butongole'!K73+'Avg Week Butongole-Bsembatya'!K73</f>
        <v>1</v>
      </c>
      <c r="L73" s="49">
        <f>'Avg Week  Busembatya-Butongole'!L73+'Avg Week Butongole-Bsembatya'!L73</f>
        <v>0.5</v>
      </c>
      <c r="M73" s="49">
        <f>'Avg Week  Busembatya-Butongole'!M73+'Avg Week Butongole-Bsembatya'!M73</f>
        <v>2</v>
      </c>
      <c r="N73" s="49">
        <f>'Avg Week  Busembatya-Butongole'!N73+'Avg Week Butongole-Bsembatya'!N73</f>
        <v>0</v>
      </c>
      <c r="O73" s="15">
        <f t="shared" si="0"/>
        <v>16</v>
      </c>
      <c r="P73" s="15">
        <f t="shared" si="1"/>
        <v>18</v>
      </c>
      <c r="R73" s="8"/>
      <c r="T73"/>
    </row>
    <row r="74" spans="2:20" ht="23.1" customHeight="1" x14ac:dyDescent="0.25">
      <c r="B74" s="23" t="s">
        <v>114</v>
      </c>
      <c r="C74" s="49">
        <f>'Avg Week  Busembatya-Butongole'!C74+'Avg Week Butongole-Bsembatya'!C74</f>
        <v>4</v>
      </c>
      <c r="D74" s="49">
        <f>'Avg Week  Busembatya-Butongole'!D74+'Avg Week Butongole-Bsembatya'!D74</f>
        <v>0.5</v>
      </c>
      <c r="E74" s="49">
        <f>'Avg Week  Busembatya-Butongole'!E74+'Avg Week Butongole-Bsembatya'!E74</f>
        <v>1.5</v>
      </c>
      <c r="F74" s="49">
        <f>'Avg Week  Busembatya-Butongole'!F74+'Avg Week Butongole-Bsembatya'!F74</f>
        <v>2.5</v>
      </c>
      <c r="G74" s="49">
        <f>'Avg Week  Busembatya-Butongole'!G74+'Avg Week Butongole-Bsembatya'!G74</f>
        <v>1</v>
      </c>
      <c r="H74" s="49">
        <f>'Avg Week  Busembatya-Butongole'!H74+'Avg Week Butongole-Bsembatya'!H74</f>
        <v>1.5</v>
      </c>
      <c r="I74" s="49">
        <f>'Avg Week  Busembatya-Butongole'!I74+'Avg Week Butongole-Bsembatya'!I74</f>
        <v>6.5</v>
      </c>
      <c r="J74" s="49">
        <f>'Avg Week  Busembatya-Butongole'!J74+'Avg Week Butongole-Bsembatya'!J74</f>
        <v>0</v>
      </c>
      <c r="K74" s="49">
        <f>'Avg Week  Busembatya-Butongole'!K74+'Avg Week Butongole-Bsembatya'!K74</f>
        <v>1</v>
      </c>
      <c r="L74" s="49">
        <f>'Avg Week  Busembatya-Butongole'!L74+'Avg Week Butongole-Bsembatya'!L74</f>
        <v>0.5</v>
      </c>
      <c r="M74" s="49">
        <f>'Avg Week  Busembatya-Butongole'!M74+'Avg Week Butongole-Bsembatya'!M74</f>
        <v>0.5</v>
      </c>
      <c r="N74" s="49">
        <f>'Avg Week  Busembatya-Butongole'!N74+'Avg Week Butongole-Bsembatya'!N74</f>
        <v>0</v>
      </c>
      <c r="O74" s="15">
        <f t="shared" ref="O74:O105" si="35">SUM(C74:L74,N74)</f>
        <v>19</v>
      </c>
      <c r="P74" s="15">
        <f t="shared" ref="P74:P105" si="36">SUM(C74:N74)</f>
        <v>19.5</v>
      </c>
      <c r="R74" s="8"/>
      <c r="T74"/>
    </row>
    <row r="75" spans="2:20" ht="23.1" customHeight="1" x14ac:dyDescent="0.25">
      <c r="B75" s="23" t="s">
        <v>115</v>
      </c>
      <c r="C75" s="49">
        <f>'Avg Week  Busembatya-Butongole'!C75+'Avg Week Butongole-Bsembatya'!C75</f>
        <v>4</v>
      </c>
      <c r="D75" s="49">
        <f>'Avg Week  Busembatya-Butongole'!D75+'Avg Week Butongole-Bsembatya'!D75</f>
        <v>1</v>
      </c>
      <c r="E75" s="49">
        <f>'Avg Week  Busembatya-Butongole'!E75+'Avg Week Butongole-Bsembatya'!E75</f>
        <v>1</v>
      </c>
      <c r="F75" s="49">
        <f>'Avg Week  Busembatya-Butongole'!F75+'Avg Week Butongole-Bsembatya'!F75</f>
        <v>4.5</v>
      </c>
      <c r="G75" s="49">
        <f>'Avg Week  Busembatya-Butongole'!G75+'Avg Week Butongole-Bsembatya'!G75</f>
        <v>1</v>
      </c>
      <c r="H75" s="49">
        <f>'Avg Week  Busembatya-Butongole'!H75+'Avg Week Butongole-Bsembatya'!H75</f>
        <v>1</v>
      </c>
      <c r="I75" s="49">
        <f>'Avg Week  Busembatya-Butongole'!I75+'Avg Week Butongole-Bsembatya'!I75</f>
        <v>3</v>
      </c>
      <c r="J75" s="49">
        <f>'Avg Week  Busembatya-Butongole'!J75+'Avg Week Butongole-Bsembatya'!J75</f>
        <v>0</v>
      </c>
      <c r="K75" s="49">
        <f>'Avg Week  Busembatya-Butongole'!K75+'Avg Week Butongole-Bsembatya'!K75</f>
        <v>0</v>
      </c>
      <c r="L75" s="49">
        <f>'Avg Week  Busembatya-Butongole'!L75+'Avg Week Butongole-Bsembatya'!L75</f>
        <v>0</v>
      </c>
      <c r="M75" s="49">
        <f>'Avg Week  Busembatya-Butongole'!M75+'Avg Week Butongole-Bsembatya'!M75</f>
        <v>0</v>
      </c>
      <c r="N75" s="49">
        <f>'Avg Week  Busembatya-Butongole'!N75+'Avg Week Butongole-Bsembatya'!N75</f>
        <v>0</v>
      </c>
      <c r="O75" s="15">
        <f t="shared" si="35"/>
        <v>15.5</v>
      </c>
      <c r="P75" s="15">
        <f t="shared" si="36"/>
        <v>15.5</v>
      </c>
      <c r="R75" s="8"/>
      <c r="T75"/>
    </row>
    <row r="76" spans="2:20" ht="23.1" customHeight="1" x14ac:dyDescent="0.25">
      <c r="B76" s="23" t="s">
        <v>116</v>
      </c>
      <c r="C76" s="49">
        <f>'Avg Week  Busembatya-Butongole'!C76+'Avg Week Butongole-Bsembatya'!C76</f>
        <v>3</v>
      </c>
      <c r="D76" s="49">
        <f>'Avg Week  Busembatya-Butongole'!D76+'Avg Week Butongole-Bsembatya'!D76</f>
        <v>0</v>
      </c>
      <c r="E76" s="49">
        <f>'Avg Week  Busembatya-Butongole'!E76+'Avg Week Butongole-Bsembatya'!E76</f>
        <v>1</v>
      </c>
      <c r="F76" s="49">
        <f>'Avg Week  Busembatya-Butongole'!F76+'Avg Week Butongole-Bsembatya'!F76</f>
        <v>3</v>
      </c>
      <c r="G76" s="49">
        <f>'Avg Week  Busembatya-Butongole'!G76+'Avg Week Butongole-Bsembatya'!G76</f>
        <v>1</v>
      </c>
      <c r="H76" s="49">
        <f>'Avg Week  Busembatya-Butongole'!H76+'Avg Week Butongole-Bsembatya'!H76</f>
        <v>0</v>
      </c>
      <c r="I76" s="49">
        <f>'Avg Week  Busembatya-Butongole'!I76+'Avg Week Butongole-Bsembatya'!I76</f>
        <v>2.5</v>
      </c>
      <c r="J76" s="49">
        <f>'Avg Week  Busembatya-Butongole'!J76+'Avg Week Butongole-Bsembatya'!J76</f>
        <v>0</v>
      </c>
      <c r="K76" s="49">
        <f>'Avg Week  Busembatya-Butongole'!K76+'Avg Week Butongole-Bsembatya'!K76</f>
        <v>1.5</v>
      </c>
      <c r="L76" s="49">
        <f>'Avg Week  Busembatya-Butongole'!L76+'Avg Week Butongole-Bsembatya'!L76</f>
        <v>0</v>
      </c>
      <c r="M76" s="49">
        <f>'Avg Week  Busembatya-Butongole'!M76+'Avg Week Butongole-Bsembatya'!M76</f>
        <v>0</v>
      </c>
      <c r="N76" s="49">
        <f>'Avg Week  Busembatya-Butongole'!N76+'Avg Week Butongole-Bsembatya'!N76</f>
        <v>0</v>
      </c>
      <c r="O76" s="15">
        <f t="shared" si="35"/>
        <v>12</v>
      </c>
      <c r="P76" s="15">
        <f t="shared" si="36"/>
        <v>12</v>
      </c>
      <c r="R76" s="8"/>
      <c r="T76"/>
    </row>
    <row r="77" spans="2:20" ht="23.1" customHeight="1" x14ac:dyDescent="0.25">
      <c r="B77" s="23" t="s">
        <v>117</v>
      </c>
      <c r="C77" s="49">
        <f>'Avg Week  Busembatya-Butongole'!C77+'Avg Week Butongole-Bsembatya'!C77</f>
        <v>3</v>
      </c>
      <c r="D77" s="49">
        <f>'Avg Week  Busembatya-Butongole'!D77+'Avg Week Butongole-Bsembatya'!D77</f>
        <v>0.5</v>
      </c>
      <c r="E77" s="49">
        <f>'Avg Week  Busembatya-Butongole'!E77+'Avg Week Butongole-Bsembatya'!E77</f>
        <v>1</v>
      </c>
      <c r="F77" s="49">
        <f>'Avg Week  Busembatya-Butongole'!F77+'Avg Week Butongole-Bsembatya'!F77</f>
        <v>0.5</v>
      </c>
      <c r="G77" s="49">
        <f>'Avg Week  Busembatya-Butongole'!G77+'Avg Week Butongole-Bsembatya'!G77</f>
        <v>0.5</v>
      </c>
      <c r="H77" s="49">
        <f>'Avg Week  Busembatya-Butongole'!H77+'Avg Week Butongole-Bsembatya'!H77</f>
        <v>0.5</v>
      </c>
      <c r="I77" s="49">
        <f>'Avg Week  Busembatya-Butongole'!I77+'Avg Week Butongole-Bsembatya'!I77</f>
        <v>2</v>
      </c>
      <c r="J77" s="49">
        <f>'Avg Week  Busembatya-Butongole'!J77+'Avg Week Butongole-Bsembatya'!J77</f>
        <v>0</v>
      </c>
      <c r="K77" s="49">
        <f>'Avg Week  Busembatya-Butongole'!K77+'Avg Week Butongole-Bsembatya'!K77</f>
        <v>0.5</v>
      </c>
      <c r="L77" s="49">
        <f>'Avg Week  Busembatya-Butongole'!L77+'Avg Week Butongole-Bsembatya'!L77</f>
        <v>0.5</v>
      </c>
      <c r="M77" s="49">
        <f>'Avg Week  Busembatya-Butongole'!M77+'Avg Week Butongole-Bsembatya'!M77</f>
        <v>0.5</v>
      </c>
      <c r="N77" s="49">
        <f>'Avg Week  Busembatya-Butongole'!N77+'Avg Week Butongole-Bsembatya'!N77</f>
        <v>0</v>
      </c>
      <c r="O77" s="15">
        <f t="shared" si="35"/>
        <v>9</v>
      </c>
      <c r="P77" s="15">
        <f t="shared" si="36"/>
        <v>9.5</v>
      </c>
      <c r="R77" s="8"/>
      <c r="T77"/>
    </row>
    <row r="78" spans="2:20" ht="23.1" customHeight="1" x14ac:dyDescent="0.25">
      <c r="B78" s="24" t="s">
        <v>118</v>
      </c>
      <c r="C78" s="49">
        <f>'Avg Week  Busembatya-Butongole'!C78+'Avg Week Butongole-Bsembatya'!C78</f>
        <v>3.5</v>
      </c>
      <c r="D78" s="49">
        <f>'Avg Week  Busembatya-Butongole'!D78+'Avg Week Butongole-Bsembatya'!D78</f>
        <v>0.5</v>
      </c>
      <c r="E78" s="49">
        <f>'Avg Week  Busembatya-Butongole'!E78+'Avg Week Butongole-Bsembatya'!E78</f>
        <v>1</v>
      </c>
      <c r="F78" s="49">
        <f>'Avg Week  Busembatya-Butongole'!F78+'Avg Week Butongole-Bsembatya'!F78</f>
        <v>1.5</v>
      </c>
      <c r="G78" s="49">
        <f>'Avg Week  Busembatya-Butongole'!G78+'Avg Week Butongole-Bsembatya'!G78</f>
        <v>0</v>
      </c>
      <c r="H78" s="49">
        <f>'Avg Week  Busembatya-Butongole'!H78+'Avg Week Butongole-Bsembatya'!H78</f>
        <v>1.5</v>
      </c>
      <c r="I78" s="49">
        <f>'Avg Week  Busembatya-Butongole'!I78+'Avg Week Butongole-Bsembatya'!I78</f>
        <v>3</v>
      </c>
      <c r="J78" s="49">
        <f>'Avg Week  Busembatya-Butongole'!J78+'Avg Week Butongole-Bsembatya'!J78</f>
        <v>0</v>
      </c>
      <c r="K78" s="49">
        <f>'Avg Week  Busembatya-Butongole'!K78+'Avg Week Butongole-Bsembatya'!K78</f>
        <v>0.5</v>
      </c>
      <c r="L78" s="49">
        <f>'Avg Week  Busembatya-Butongole'!L78+'Avg Week Butongole-Bsembatya'!L78</f>
        <v>0</v>
      </c>
      <c r="M78" s="49">
        <f>'Avg Week  Busembatya-Butongole'!M78+'Avg Week Butongole-Bsembatya'!M78</f>
        <v>1</v>
      </c>
      <c r="N78" s="49">
        <f>'Avg Week  Busembatya-Butongole'!N78+'Avg Week Butongole-Bsembatya'!N78</f>
        <v>0</v>
      </c>
      <c r="O78" s="15">
        <f t="shared" si="35"/>
        <v>11.5</v>
      </c>
      <c r="P78" s="15">
        <f t="shared" si="36"/>
        <v>12.5</v>
      </c>
      <c r="R78" s="8"/>
      <c r="T78"/>
    </row>
    <row r="79" spans="2:20" ht="23.1" customHeight="1" x14ac:dyDescent="0.25">
      <c r="B79" s="23" t="s">
        <v>119</v>
      </c>
      <c r="C79" s="49">
        <f>'Avg Week  Busembatya-Butongole'!C79+'Avg Week Butongole-Bsembatya'!C79</f>
        <v>2</v>
      </c>
      <c r="D79" s="49">
        <f>'Avg Week  Busembatya-Butongole'!D79+'Avg Week Butongole-Bsembatya'!D79</f>
        <v>1</v>
      </c>
      <c r="E79" s="49">
        <f>'Avg Week  Busembatya-Butongole'!E79+'Avg Week Butongole-Bsembatya'!E79</f>
        <v>0</v>
      </c>
      <c r="F79" s="49">
        <f>'Avg Week  Busembatya-Butongole'!F79+'Avg Week Butongole-Bsembatya'!F79</f>
        <v>1</v>
      </c>
      <c r="G79" s="49">
        <f>'Avg Week  Busembatya-Butongole'!G79+'Avg Week Butongole-Bsembatya'!G79</f>
        <v>0.5</v>
      </c>
      <c r="H79" s="49">
        <f>'Avg Week  Busembatya-Butongole'!H79+'Avg Week Butongole-Bsembatya'!H79</f>
        <v>0.5</v>
      </c>
      <c r="I79" s="49">
        <f>'Avg Week  Busembatya-Butongole'!I79+'Avg Week Butongole-Bsembatya'!I79</f>
        <v>2</v>
      </c>
      <c r="J79" s="49">
        <f>'Avg Week  Busembatya-Butongole'!J79+'Avg Week Butongole-Bsembatya'!J79</f>
        <v>0</v>
      </c>
      <c r="K79" s="49">
        <f>'Avg Week  Busembatya-Butongole'!K79+'Avg Week Butongole-Bsembatya'!K79</f>
        <v>1</v>
      </c>
      <c r="L79" s="49">
        <f>'Avg Week  Busembatya-Butongole'!L79+'Avg Week Butongole-Bsembatya'!L79</f>
        <v>0</v>
      </c>
      <c r="M79" s="49">
        <f>'Avg Week  Busembatya-Butongole'!M79+'Avg Week Butongole-Bsembatya'!M79</f>
        <v>1</v>
      </c>
      <c r="N79" s="49">
        <f>'Avg Week  Busembatya-Butongole'!N79+'Avg Week Butongole-Bsembatya'!N79</f>
        <v>0</v>
      </c>
      <c r="O79" s="15">
        <f t="shared" si="35"/>
        <v>8</v>
      </c>
      <c r="P79" s="15">
        <f t="shared" si="36"/>
        <v>9</v>
      </c>
      <c r="R79" s="8"/>
      <c r="T79"/>
    </row>
    <row r="80" spans="2:20" ht="23.1" customHeight="1" x14ac:dyDescent="0.25">
      <c r="B80" s="25" t="s">
        <v>120</v>
      </c>
      <c r="C80" s="49">
        <f>'Avg Week  Busembatya-Butongole'!C80+'Avg Week Butongole-Bsembatya'!C80</f>
        <v>0</v>
      </c>
      <c r="D80" s="49">
        <f>'Avg Week  Busembatya-Butongole'!D80+'Avg Week Butongole-Bsembatya'!D80</f>
        <v>0</v>
      </c>
      <c r="E80" s="49">
        <f>'Avg Week  Busembatya-Butongole'!E80+'Avg Week Butongole-Bsembatya'!E80</f>
        <v>0.5</v>
      </c>
      <c r="F80" s="49">
        <f>'Avg Week  Busembatya-Butongole'!F80+'Avg Week Butongole-Bsembatya'!F80</f>
        <v>2</v>
      </c>
      <c r="G80" s="49">
        <f>'Avg Week  Busembatya-Butongole'!G80+'Avg Week Butongole-Bsembatya'!G80</f>
        <v>0</v>
      </c>
      <c r="H80" s="49">
        <f>'Avg Week  Busembatya-Butongole'!H80+'Avg Week Butongole-Bsembatya'!H80</f>
        <v>2.5</v>
      </c>
      <c r="I80" s="49">
        <f>'Avg Week  Busembatya-Butongole'!I80+'Avg Week Butongole-Bsembatya'!I80</f>
        <v>3.5</v>
      </c>
      <c r="J80" s="49">
        <f>'Avg Week  Busembatya-Butongole'!J80+'Avg Week Butongole-Bsembatya'!J80</f>
        <v>0</v>
      </c>
      <c r="K80" s="49">
        <f>'Avg Week  Busembatya-Butongole'!K80+'Avg Week Butongole-Bsembatya'!K80</f>
        <v>0</v>
      </c>
      <c r="L80" s="49">
        <f>'Avg Week  Busembatya-Butongole'!L80+'Avg Week Butongole-Bsembatya'!L80</f>
        <v>0.5</v>
      </c>
      <c r="M80" s="49">
        <f>'Avg Week  Busembatya-Butongole'!M80+'Avg Week Butongole-Bsembatya'!M80</f>
        <v>0.5</v>
      </c>
      <c r="N80" s="49">
        <f>'Avg Week  Busembatya-Butongole'!N80+'Avg Week Butongole-Bsembatya'!N80</f>
        <v>0</v>
      </c>
      <c r="O80" s="15">
        <f t="shared" si="35"/>
        <v>9</v>
      </c>
      <c r="P80" s="15">
        <f t="shared" si="36"/>
        <v>9.5</v>
      </c>
      <c r="R80" s="8"/>
      <c r="T80"/>
    </row>
    <row r="81" spans="2:20" ht="23.1" customHeight="1" x14ac:dyDescent="0.25">
      <c r="B81" s="23" t="s">
        <v>121</v>
      </c>
      <c r="C81" s="49">
        <f>'Avg Week  Busembatya-Butongole'!C81+'Avg Week Butongole-Bsembatya'!C81</f>
        <v>1.5</v>
      </c>
      <c r="D81" s="49">
        <f>'Avg Week  Busembatya-Butongole'!D81+'Avg Week Butongole-Bsembatya'!D81</f>
        <v>0</v>
      </c>
      <c r="E81" s="49">
        <f>'Avg Week  Busembatya-Butongole'!E81+'Avg Week Butongole-Bsembatya'!E81</f>
        <v>0</v>
      </c>
      <c r="F81" s="49">
        <f>'Avg Week  Busembatya-Butongole'!F81+'Avg Week Butongole-Bsembatya'!F81</f>
        <v>1.5</v>
      </c>
      <c r="G81" s="49">
        <f>'Avg Week  Busembatya-Butongole'!G81+'Avg Week Butongole-Bsembatya'!G81</f>
        <v>1</v>
      </c>
      <c r="H81" s="49">
        <f>'Avg Week  Busembatya-Butongole'!H81+'Avg Week Butongole-Bsembatya'!H81</f>
        <v>1</v>
      </c>
      <c r="I81" s="49">
        <f>'Avg Week  Busembatya-Butongole'!I81+'Avg Week Butongole-Bsembatya'!I81</f>
        <v>4.5</v>
      </c>
      <c r="J81" s="49">
        <f>'Avg Week  Busembatya-Butongole'!J81+'Avg Week Butongole-Bsembatya'!J81</f>
        <v>0</v>
      </c>
      <c r="K81" s="49">
        <f>'Avg Week  Busembatya-Butongole'!K81+'Avg Week Butongole-Bsembatya'!K81</f>
        <v>0</v>
      </c>
      <c r="L81" s="49">
        <f>'Avg Week  Busembatya-Butongole'!L81+'Avg Week Butongole-Bsembatya'!L81</f>
        <v>0</v>
      </c>
      <c r="M81" s="49">
        <f>'Avg Week  Busembatya-Butongole'!M81+'Avg Week Butongole-Bsembatya'!M81</f>
        <v>1</v>
      </c>
      <c r="N81" s="49">
        <f>'Avg Week  Busembatya-Butongole'!N81+'Avg Week Butongole-Bsembatya'!N81</f>
        <v>0</v>
      </c>
      <c r="O81" s="15">
        <f t="shared" si="35"/>
        <v>9.5</v>
      </c>
      <c r="P81" s="15">
        <f t="shared" si="36"/>
        <v>10.5</v>
      </c>
      <c r="R81" s="8"/>
      <c r="T81"/>
    </row>
    <row r="82" spans="2:20" ht="23.1" customHeight="1" x14ac:dyDescent="0.25">
      <c r="B82" s="24" t="s">
        <v>122</v>
      </c>
      <c r="C82" s="49">
        <f>'Avg Week  Busembatya-Butongole'!C82+'Avg Week Butongole-Bsembatya'!C82</f>
        <v>1</v>
      </c>
      <c r="D82" s="49">
        <f>'Avg Week  Busembatya-Butongole'!D82+'Avg Week Butongole-Bsembatya'!D82</f>
        <v>0</v>
      </c>
      <c r="E82" s="49">
        <f>'Avg Week  Busembatya-Butongole'!E82+'Avg Week Butongole-Bsembatya'!E82</f>
        <v>0</v>
      </c>
      <c r="F82" s="49">
        <f>'Avg Week  Busembatya-Butongole'!F82+'Avg Week Butongole-Bsembatya'!F82</f>
        <v>0.5</v>
      </c>
      <c r="G82" s="49">
        <f>'Avg Week  Busembatya-Butongole'!G82+'Avg Week Butongole-Bsembatya'!G82</f>
        <v>0</v>
      </c>
      <c r="H82" s="49">
        <f>'Avg Week  Busembatya-Butongole'!H82+'Avg Week Butongole-Bsembatya'!H82</f>
        <v>0.5</v>
      </c>
      <c r="I82" s="49">
        <f>'Avg Week  Busembatya-Butongole'!I82+'Avg Week Butongole-Bsembatya'!I82</f>
        <v>3.5</v>
      </c>
      <c r="J82" s="49">
        <f>'Avg Week  Busembatya-Butongole'!J82+'Avg Week Butongole-Bsembatya'!J82</f>
        <v>0</v>
      </c>
      <c r="K82" s="49">
        <f>'Avg Week  Busembatya-Butongole'!K82+'Avg Week Butongole-Bsembatya'!K82</f>
        <v>1</v>
      </c>
      <c r="L82" s="49">
        <f>'Avg Week  Busembatya-Butongole'!L82+'Avg Week Butongole-Bsembatya'!L82</f>
        <v>0</v>
      </c>
      <c r="M82" s="49">
        <f>'Avg Week  Busembatya-Butongole'!M82+'Avg Week Butongole-Bsembatya'!M82</f>
        <v>0</v>
      </c>
      <c r="N82" s="49">
        <f>'Avg Week  Busembatya-Butongole'!N82+'Avg Week Butongole-Bsembatya'!N82</f>
        <v>0</v>
      </c>
      <c r="O82" s="15">
        <f t="shared" si="35"/>
        <v>6.5</v>
      </c>
      <c r="P82" s="15">
        <f t="shared" si="36"/>
        <v>6.5</v>
      </c>
      <c r="R82" s="8"/>
      <c r="T82"/>
    </row>
    <row r="83" spans="2:20" ht="23.1" customHeight="1" x14ac:dyDescent="0.25">
      <c r="B83" s="23" t="s">
        <v>123</v>
      </c>
      <c r="C83" s="49">
        <f>'Avg Week  Busembatya-Butongole'!C83+'Avg Week Butongole-Bsembatya'!C83</f>
        <v>1</v>
      </c>
      <c r="D83" s="49">
        <f>'Avg Week  Busembatya-Butongole'!D83+'Avg Week Butongole-Bsembatya'!D83</f>
        <v>0.5</v>
      </c>
      <c r="E83" s="49">
        <f>'Avg Week  Busembatya-Butongole'!E83+'Avg Week Butongole-Bsembatya'!E83</f>
        <v>0.5</v>
      </c>
      <c r="F83" s="49">
        <f>'Avg Week  Busembatya-Butongole'!F83+'Avg Week Butongole-Bsembatya'!F83</f>
        <v>0</v>
      </c>
      <c r="G83" s="49">
        <f>'Avg Week  Busembatya-Butongole'!G83+'Avg Week Butongole-Bsembatya'!G83</f>
        <v>0</v>
      </c>
      <c r="H83" s="49">
        <f>'Avg Week  Busembatya-Butongole'!H83+'Avg Week Butongole-Bsembatya'!H83</f>
        <v>2</v>
      </c>
      <c r="I83" s="49">
        <f>'Avg Week  Busembatya-Butongole'!I83+'Avg Week Butongole-Bsembatya'!I83</f>
        <v>1</v>
      </c>
      <c r="J83" s="49">
        <f>'Avg Week  Busembatya-Butongole'!J83+'Avg Week Butongole-Bsembatya'!J83</f>
        <v>0</v>
      </c>
      <c r="K83" s="49">
        <f>'Avg Week  Busembatya-Butongole'!K83+'Avg Week Butongole-Bsembatya'!K83</f>
        <v>2</v>
      </c>
      <c r="L83" s="49">
        <f>'Avg Week  Busembatya-Butongole'!L83+'Avg Week Butongole-Bsembatya'!L83</f>
        <v>0</v>
      </c>
      <c r="M83" s="49">
        <f>'Avg Week  Busembatya-Butongole'!M83+'Avg Week Butongole-Bsembatya'!M83</f>
        <v>0.5</v>
      </c>
      <c r="N83" s="49">
        <f>'Avg Week  Busembatya-Butongole'!N83+'Avg Week Butongole-Bsembatya'!N83</f>
        <v>0</v>
      </c>
      <c r="O83" s="15">
        <f t="shared" si="35"/>
        <v>7</v>
      </c>
      <c r="P83" s="15">
        <f t="shared" si="36"/>
        <v>7.5</v>
      </c>
      <c r="R83" s="8"/>
      <c r="T83"/>
    </row>
    <row r="84" spans="2:20" ht="23.1" customHeight="1" x14ac:dyDescent="0.25">
      <c r="B84" s="25" t="s">
        <v>124</v>
      </c>
      <c r="C84" s="49">
        <f>'Avg Week  Busembatya-Butongole'!C84+'Avg Week Butongole-Bsembatya'!C84</f>
        <v>0</v>
      </c>
      <c r="D84" s="49">
        <f>'Avg Week  Busembatya-Butongole'!D84+'Avg Week Butongole-Bsembatya'!D84</f>
        <v>1</v>
      </c>
      <c r="E84" s="49">
        <f>'Avg Week  Busembatya-Butongole'!E84+'Avg Week Butongole-Bsembatya'!E84</f>
        <v>0</v>
      </c>
      <c r="F84" s="49">
        <f>'Avg Week  Busembatya-Butongole'!F84+'Avg Week Butongole-Bsembatya'!F84</f>
        <v>2.5</v>
      </c>
      <c r="G84" s="49">
        <f>'Avg Week  Busembatya-Butongole'!G84+'Avg Week Butongole-Bsembatya'!G84</f>
        <v>0.5</v>
      </c>
      <c r="H84" s="49">
        <f>'Avg Week  Busembatya-Butongole'!H84+'Avg Week Butongole-Bsembatya'!H84</f>
        <v>1</v>
      </c>
      <c r="I84" s="49">
        <f>'Avg Week  Busembatya-Butongole'!I84+'Avg Week Butongole-Bsembatya'!I84</f>
        <v>0</v>
      </c>
      <c r="J84" s="49">
        <f>'Avg Week  Busembatya-Butongole'!J84+'Avg Week Butongole-Bsembatya'!J84</f>
        <v>0</v>
      </c>
      <c r="K84" s="49">
        <f>'Avg Week  Busembatya-Butongole'!K84+'Avg Week Butongole-Bsembatya'!K84</f>
        <v>0.5</v>
      </c>
      <c r="L84" s="49">
        <f>'Avg Week  Busembatya-Butongole'!L84+'Avg Week Butongole-Bsembatya'!L84</f>
        <v>0</v>
      </c>
      <c r="M84" s="49">
        <f>'Avg Week  Busembatya-Butongole'!M84+'Avg Week Butongole-Bsembatya'!M84</f>
        <v>0</v>
      </c>
      <c r="N84" s="49">
        <f>'Avg Week  Busembatya-Butongole'!N84+'Avg Week Butongole-Bsembatya'!N84</f>
        <v>0</v>
      </c>
      <c r="O84" s="15">
        <f t="shared" si="35"/>
        <v>5.5</v>
      </c>
      <c r="P84" s="15">
        <f t="shared" si="36"/>
        <v>5.5</v>
      </c>
      <c r="R84" s="8"/>
      <c r="T84"/>
    </row>
    <row r="85" spans="2:20" ht="23.1" customHeight="1" x14ac:dyDescent="0.25">
      <c r="B85" s="23" t="s">
        <v>125</v>
      </c>
      <c r="C85" s="49">
        <f>'Avg Week  Busembatya-Butongole'!C85+'Avg Week Butongole-Bsembatya'!C85</f>
        <v>0.5</v>
      </c>
      <c r="D85" s="49">
        <f>'Avg Week  Busembatya-Butongole'!D85+'Avg Week Butongole-Bsembatya'!D85</f>
        <v>0</v>
      </c>
      <c r="E85" s="49">
        <f>'Avg Week  Busembatya-Butongole'!E85+'Avg Week Butongole-Bsembatya'!E85</f>
        <v>0</v>
      </c>
      <c r="F85" s="49">
        <f>'Avg Week  Busembatya-Butongole'!F85+'Avg Week Butongole-Bsembatya'!F85</f>
        <v>0.5</v>
      </c>
      <c r="G85" s="49">
        <f>'Avg Week  Busembatya-Butongole'!G85+'Avg Week Butongole-Bsembatya'!G85</f>
        <v>0</v>
      </c>
      <c r="H85" s="49">
        <f>'Avg Week  Busembatya-Butongole'!H85+'Avg Week Butongole-Bsembatya'!H85</f>
        <v>0</v>
      </c>
      <c r="I85" s="49">
        <f>'Avg Week  Busembatya-Butongole'!I85+'Avg Week Butongole-Bsembatya'!I85</f>
        <v>1</v>
      </c>
      <c r="J85" s="49">
        <f>'Avg Week  Busembatya-Butongole'!J85+'Avg Week Butongole-Bsembatya'!J85</f>
        <v>0</v>
      </c>
      <c r="K85" s="49">
        <f>'Avg Week  Busembatya-Butongole'!K85+'Avg Week Butongole-Bsembatya'!K85</f>
        <v>1</v>
      </c>
      <c r="L85" s="49">
        <f>'Avg Week  Busembatya-Butongole'!L85+'Avg Week Butongole-Bsembatya'!L85</f>
        <v>0</v>
      </c>
      <c r="M85" s="49">
        <f>'Avg Week  Busembatya-Butongole'!M85+'Avg Week Butongole-Bsembatya'!M85</f>
        <v>0</v>
      </c>
      <c r="N85" s="49">
        <f>'Avg Week  Busembatya-Butongole'!N85+'Avg Week Butongole-Bsembatya'!N85</f>
        <v>0</v>
      </c>
      <c r="O85" s="15">
        <f t="shared" si="35"/>
        <v>3</v>
      </c>
      <c r="P85" s="15">
        <f t="shared" si="36"/>
        <v>3</v>
      </c>
      <c r="R85" s="8"/>
      <c r="T85"/>
    </row>
    <row r="86" spans="2:20" ht="23.1" customHeight="1" x14ac:dyDescent="0.25">
      <c r="B86" s="24" t="s">
        <v>126</v>
      </c>
      <c r="C86" s="49">
        <f>'Avg Week  Busembatya-Butongole'!C86+'Avg Week Butongole-Bsembatya'!C86</f>
        <v>0</v>
      </c>
      <c r="D86" s="49">
        <f>'Avg Week  Busembatya-Butongole'!D86+'Avg Week Butongole-Bsembatya'!D86</f>
        <v>0</v>
      </c>
      <c r="E86" s="49">
        <f>'Avg Week  Busembatya-Butongole'!E86+'Avg Week Butongole-Bsembatya'!E86</f>
        <v>0.5</v>
      </c>
      <c r="F86" s="49">
        <f>'Avg Week  Busembatya-Butongole'!F86+'Avg Week Butongole-Bsembatya'!F86</f>
        <v>0.5</v>
      </c>
      <c r="G86" s="49">
        <f>'Avg Week  Busembatya-Butongole'!G86+'Avg Week Butongole-Bsembatya'!G86</f>
        <v>0</v>
      </c>
      <c r="H86" s="49">
        <f>'Avg Week  Busembatya-Butongole'!H86+'Avg Week Butongole-Bsembatya'!H86</f>
        <v>1.5</v>
      </c>
      <c r="I86" s="49">
        <f>'Avg Week  Busembatya-Butongole'!I86+'Avg Week Butongole-Bsembatya'!I86</f>
        <v>1.5</v>
      </c>
      <c r="J86" s="49">
        <f>'Avg Week  Busembatya-Butongole'!J86+'Avg Week Butongole-Bsembatya'!J86</f>
        <v>0</v>
      </c>
      <c r="K86" s="49">
        <f>'Avg Week  Busembatya-Butongole'!K86+'Avg Week Butongole-Bsembatya'!K86</f>
        <v>0.5</v>
      </c>
      <c r="L86" s="49">
        <f>'Avg Week  Busembatya-Butongole'!L86+'Avg Week Butongole-Bsembatya'!L86</f>
        <v>0</v>
      </c>
      <c r="M86" s="49">
        <f>'Avg Week  Busembatya-Butongole'!M86+'Avg Week Butongole-Bsembatya'!M86</f>
        <v>0.5</v>
      </c>
      <c r="N86" s="49">
        <f>'Avg Week  Busembatya-Butongole'!N86+'Avg Week Butongole-Bsembatya'!N86</f>
        <v>0</v>
      </c>
      <c r="O86" s="15">
        <f t="shared" si="35"/>
        <v>4.5</v>
      </c>
      <c r="P86" s="15">
        <f t="shared" si="36"/>
        <v>5</v>
      </c>
      <c r="R86" s="8"/>
      <c r="T86"/>
    </row>
    <row r="87" spans="2:20" ht="23.1" customHeight="1" x14ac:dyDescent="0.25">
      <c r="B87" s="23" t="s">
        <v>127</v>
      </c>
      <c r="C87" s="49">
        <f>'Avg Week  Busembatya-Butongole'!C87+'Avg Week Butongole-Bsembatya'!C87</f>
        <v>1.5</v>
      </c>
      <c r="D87" s="49">
        <f>'Avg Week  Busembatya-Butongole'!D87+'Avg Week Butongole-Bsembatya'!D87</f>
        <v>0</v>
      </c>
      <c r="E87" s="49">
        <f>'Avg Week  Busembatya-Butongole'!E87+'Avg Week Butongole-Bsembatya'!E87</f>
        <v>0</v>
      </c>
      <c r="F87" s="49">
        <f>'Avg Week  Busembatya-Butongole'!F87+'Avg Week Butongole-Bsembatya'!F87</f>
        <v>0.5</v>
      </c>
      <c r="G87" s="49">
        <f>'Avg Week  Busembatya-Butongole'!G87+'Avg Week Butongole-Bsembatya'!G87</f>
        <v>0</v>
      </c>
      <c r="H87" s="49">
        <f>'Avg Week  Busembatya-Butongole'!H87+'Avg Week Butongole-Bsembatya'!H87</f>
        <v>2.5</v>
      </c>
      <c r="I87" s="49">
        <f>'Avg Week  Busembatya-Butongole'!I87+'Avg Week Butongole-Bsembatya'!I87</f>
        <v>0.5</v>
      </c>
      <c r="J87" s="49">
        <f>'Avg Week  Busembatya-Butongole'!J87+'Avg Week Butongole-Bsembatya'!J87</f>
        <v>0</v>
      </c>
      <c r="K87" s="49">
        <f>'Avg Week  Busembatya-Butongole'!K87+'Avg Week Butongole-Bsembatya'!K87</f>
        <v>1.5</v>
      </c>
      <c r="L87" s="49">
        <f>'Avg Week  Busembatya-Butongole'!L87+'Avg Week Butongole-Bsembatya'!L87</f>
        <v>0</v>
      </c>
      <c r="M87" s="49">
        <f>'Avg Week  Busembatya-Butongole'!M87+'Avg Week Butongole-Bsembatya'!M87</f>
        <v>0</v>
      </c>
      <c r="N87" s="49">
        <f>'Avg Week  Busembatya-Butongole'!N87+'Avg Week Butongole-Bsembatya'!N87</f>
        <v>0</v>
      </c>
      <c r="O87" s="15">
        <f t="shared" si="35"/>
        <v>6.5</v>
      </c>
      <c r="P87" s="15">
        <f t="shared" si="36"/>
        <v>6.5</v>
      </c>
      <c r="R87" s="8"/>
      <c r="T87"/>
    </row>
    <row r="88" spans="2:20" ht="23.1" customHeight="1" x14ac:dyDescent="0.25">
      <c r="B88" s="25" t="s">
        <v>128</v>
      </c>
      <c r="C88" s="49">
        <f>'Avg Week  Busembatya-Butongole'!C88+'Avg Week Butongole-Bsembatya'!C88</f>
        <v>0</v>
      </c>
      <c r="D88" s="49">
        <f>'Avg Week  Busembatya-Butongole'!D88+'Avg Week Butongole-Bsembatya'!D88</f>
        <v>0</v>
      </c>
      <c r="E88" s="49">
        <f>'Avg Week  Busembatya-Butongole'!E88+'Avg Week Butongole-Bsembatya'!E88</f>
        <v>0</v>
      </c>
      <c r="F88" s="49">
        <f>'Avg Week  Busembatya-Butongole'!F88+'Avg Week Butongole-Bsembatya'!F88</f>
        <v>0.5</v>
      </c>
      <c r="G88" s="49">
        <f>'Avg Week  Busembatya-Butongole'!G88+'Avg Week Butongole-Bsembatya'!G88</f>
        <v>0</v>
      </c>
      <c r="H88" s="49">
        <f>'Avg Week  Busembatya-Butongole'!H88+'Avg Week Butongole-Bsembatya'!H88</f>
        <v>1</v>
      </c>
      <c r="I88" s="49">
        <f>'Avg Week  Busembatya-Butongole'!I88+'Avg Week Butongole-Bsembatya'!I88</f>
        <v>2</v>
      </c>
      <c r="J88" s="49">
        <f>'Avg Week  Busembatya-Butongole'!J88+'Avg Week Butongole-Bsembatya'!J88</f>
        <v>0</v>
      </c>
      <c r="K88" s="49">
        <f>'Avg Week  Busembatya-Butongole'!K88+'Avg Week Butongole-Bsembatya'!K88</f>
        <v>0.5</v>
      </c>
      <c r="L88" s="49">
        <f>'Avg Week  Busembatya-Butongole'!L88+'Avg Week Butongole-Bsembatya'!L88</f>
        <v>0.5</v>
      </c>
      <c r="M88" s="49">
        <f>'Avg Week  Busembatya-Butongole'!M88+'Avg Week Butongole-Bsembatya'!M88</f>
        <v>0</v>
      </c>
      <c r="N88" s="49">
        <f>'Avg Week  Busembatya-Butongole'!N88+'Avg Week Butongole-Bsembatya'!N88</f>
        <v>0</v>
      </c>
      <c r="O88" s="15">
        <f t="shared" si="35"/>
        <v>4.5</v>
      </c>
      <c r="P88" s="15">
        <f t="shared" si="36"/>
        <v>4.5</v>
      </c>
      <c r="R88" s="8"/>
      <c r="T88"/>
    </row>
    <row r="89" spans="2:20" ht="23.1" customHeight="1" x14ac:dyDescent="0.25">
      <c r="B89" s="23" t="s">
        <v>129</v>
      </c>
      <c r="C89" s="49">
        <f>'Avg Week  Busembatya-Butongole'!C89+'Avg Week Butongole-Bsembatya'!C89</f>
        <v>1</v>
      </c>
      <c r="D89" s="49">
        <f>'Avg Week  Busembatya-Butongole'!D89+'Avg Week Butongole-Bsembatya'!D89</f>
        <v>0</v>
      </c>
      <c r="E89" s="49">
        <f>'Avg Week  Busembatya-Butongole'!E89+'Avg Week Butongole-Bsembatya'!E89</f>
        <v>0</v>
      </c>
      <c r="F89" s="49">
        <f>'Avg Week  Busembatya-Butongole'!F89+'Avg Week Butongole-Bsembatya'!F89</f>
        <v>3</v>
      </c>
      <c r="G89" s="49">
        <f>'Avg Week  Busembatya-Butongole'!G89+'Avg Week Butongole-Bsembatya'!G89</f>
        <v>0</v>
      </c>
      <c r="H89" s="49">
        <f>'Avg Week  Busembatya-Butongole'!H89+'Avg Week Butongole-Bsembatya'!H89</f>
        <v>1.5</v>
      </c>
      <c r="I89" s="49">
        <f>'Avg Week  Busembatya-Butongole'!I89+'Avg Week Butongole-Bsembatya'!I89</f>
        <v>1.5</v>
      </c>
      <c r="J89" s="49">
        <f>'Avg Week  Busembatya-Butongole'!J89+'Avg Week Butongole-Bsembatya'!J89</f>
        <v>0</v>
      </c>
      <c r="K89" s="49">
        <f>'Avg Week  Busembatya-Butongole'!K89+'Avg Week Butongole-Bsembatya'!K89</f>
        <v>1</v>
      </c>
      <c r="L89" s="49">
        <f>'Avg Week  Busembatya-Butongole'!L89+'Avg Week Butongole-Bsembatya'!L89</f>
        <v>0</v>
      </c>
      <c r="M89" s="49">
        <f>'Avg Week  Busembatya-Butongole'!M89+'Avg Week Butongole-Bsembatya'!M89</f>
        <v>1.5</v>
      </c>
      <c r="N89" s="49">
        <f>'Avg Week  Busembatya-Butongole'!N89+'Avg Week Butongole-Bsembatya'!N89</f>
        <v>0</v>
      </c>
      <c r="O89" s="15">
        <f t="shared" si="35"/>
        <v>8</v>
      </c>
      <c r="P89" s="15">
        <f t="shared" si="36"/>
        <v>9.5</v>
      </c>
      <c r="R89" s="8"/>
      <c r="T89"/>
    </row>
    <row r="90" spans="2:20" ht="23.1" customHeight="1" x14ac:dyDescent="0.25">
      <c r="B90" s="24" t="s">
        <v>130</v>
      </c>
      <c r="C90" s="49">
        <f>'Avg Week  Busembatya-Butongole'!C90+'Avg Week Butongole-Bsembatya'!C90</f>
        <v>1</v>
      </c>
      <c r="D90" s="49">
        <f>'Avg Week  Busembatya-Butongole'!D90+'Avg Week Butongole-Bsembatya'!D90</f>
        <v>0</v>
      </c>
      <c r="E90" s="49">
        <f>'Avg Week  Busembatya-Butongole'!E90+'Avg Week Butongole-Bsembatya'!E90</f>
        <v>0.5</v>
      </c>
      <c r="F90" s="49">
        <f>'Avg Week  Busembatya-Butongole'!F90+'Avg Week Butongole-Bsembatya'!F90</f>
        <v>1.5</v>
      </c>
      <c r="G90" s="49">
        <f>'Avg Week  Busembatya-Butongole'!G90+'Avg Week Butongole-Bsembatya'!G90</f>
        <v>0</v>
      </c>
      <c r="H90" s="49">
        <f>'Avg Week  Busembatya-Butongole'!H90+'Avg Week Butongole-Bsembatya'!H90</f>
        <v>1</v>
      </c>
      <c r="I90" s="49">
        <f>'Avg Week  Busembatya-Butongole'!I90+'Avg Week Butongole-Bsembatya'!I90</f>
        <v>1.5</v>
      </c>
      <c r="J90" s="49">
        <f>'Avg Week  Busembatya-Butongole'!J90+'Avg Week Butongole-Bsembatya'!J90</f>
        <v>0</v>
      </c>
      <c r="K90" s="49">
        <f>'Avg Week  Busembatya-Butongole'!K90+'Avg Week Butongole-Bsembatya'!K90</f>
        <v>1.5</v>
      </c>
      <c r="L90" s="49">
        <f>'Avg Week  Busembatya-Butongole'!L90+'Avg Week Butongole-Bsembatya'!L90</f>
        <v>0.5</v>
      </c>
      <c r="M90" s="49">
        <f>'Avg Week  Busembatya-Butongole'!M90+'Avg Week Butongole-Bsembatya'!M90</f>
        <v>0.5</v>
      </c>
      <c r="N90" s="49">
        <f>'Avg Week  Busembatya-Butongole'!N90+'Avg Week Butongole-Bsembatya'!N90</f>
        <v>0</v>
      </c>
      <c r="O90" s="15">
        <f t="shared" si="35"/>
        <v>7.5</v>
      </c>
      <c r="P90" s="15">
        <f t="shared" si="36"/>
        <v>8</v>
      </c>
      <c r="R90" s="8"/>
      <c r="T90"/>
    </row>
    <row r="91" spans="2:20" ht="23.1" customHeight="1" x14ac:dyDescent="0.25">
      <c r="B91" s="23" t="s">
        <v>131</v>
      </c>
      <c r="C91" s="49">
        <f>'Avg Week  Busembatya-Butongole'!C91+'Avg Week Butongole-Bsembatya'!C91</f>
        <v>0.5</v>
      </c>
      <c r="D91" s="49">
        <f>'Avg Week  Busembatya-Butongole'!D91+'Avg Week Butongole-Bsembatya'!D91</f>
        <v>0.5</v>
      </c>
      <c r="E91" s="49">
        <f>'Avg Week  Busembatya-Butongole'!E91+'Avg Week Butongole-Bsembatya'!E91</f>
        <v>0</v>
      </c>
      <c r="F91" s="49">
        <f>'Avg Week  Busembatya-Butongole'!F91+'Avg Week Butongole-Bsembatya'!F91</f>
        <v>0.5</v>
      </c>
      <c r="G91" s="49">
        <f>'Avg Week  Busembatya-Butongole'!G91+'Avg Week Butongole-Bsembatya'!G91</f>
        <v>0</v>
      </c>
      <c r="H91" s="49">
        <f>'Avg Week  Busembatya-Butongole'!H91+'Avg Week Butongole-Bsembatya'!H91</f>
        <v>1</v>
      </c>
      <c r="I91" s="49">
        <f>'Avg Week  Busembatya-Butongole'!I91+'Avg Week Butongole-Bsembatya'!I91</f>
        <v>2.5</v>
      </c>
      <c r="J91" s="49">
        <f>'Avg Week  Busembatya-Butongole'!J91+'Avg Week Butongole-Bsembatya'!J91</f>
        <v>0</v>
      </c>
      <c r="K91" s="49">
        <f>'Avg Week  Busembatya-Butongole'!K91+'Avg Week Butongole-Bsembatya'!K91</f>
        <v>0</v>
      </c>
      <c r="L91" s="49">
        <f>'Avg Week  Busembatya-Butongole'!L91+'Avg Week Butongole-Bsembatya'!L91</f>
        <v>0.5</v>
      </c>
      <c r="M91" s="49">
        <f>'Avg Week  Busembatya-Butongole'!M91+'Avg Week Butongole-Bsembatya'!M91</f>
        <v>0</v>
      </c>
      <c r="N91" s="49">
        <f>'Avg Week  Busembatya-Butongole'!N91+'Avg Week Butongole-Bsembatya'!N91</f>
        <v>0</v>
      </c>
      <c r="O91" s="15">
        <f t="shared" si="35"/>
        <v>5.5</v>
      </c>
      <c r="P91" s="15">
        <f t="shared" si="36"/>
        <v>5.5</v>
      </c>
      <c r="R91" s="8"/>
      <c r="T91"/>
    </row>
    <row r="92" spans="2:20" ht="23.1" customHeight="1" x14ac:dyDescent="0.25">
      <c r="B92" s="25" t="s">
        <v>132</v>
      </c>
      <c r="C92" s="49">
        <f>'Avg Week  Busembatya-Butongole'!C92+'Avg Week Butongole-Bsembatya'!C92</f>
        <v>0</v>
      </c>
      <c r="D92" s="49">
        <f>'Avg Week  Busembatya-Butongole'!D92+'Avg Week Butongole-Bsembatya'!D92</f>
        <v>0.5</v>
      </c>
      <c r="E92" s="49">
        <f>'Avg Week  Busembatya-Butongole'!E92+'Avg Week Butongole-Bsembatya'!E92</f>
        <v>0</v>
      </c>
      <c r="F92" s="49">
        <f>'Avg Week  Busembatya-Butongole'!F92+'Avg Week Butongole-Bsembatya'!F92</f>
        <v>0.5</v>
      </c>
      <c r="G92" s="49">
        <f>'Avg Week  Busembatya-Butongole'!G92+'Avg Week Butongole-Bsembatya'!G92</f>
        <v>0</v>
      </c>
      <c r="H92" s="49">
        <f>'Avg Week  Busembatya-Butongole'!H92+'Avg Week Butongole-Bsembatya'!H92</f>
        <v>1.5</v>
      </c>
      <c r="I92" s="49">
        <f>'Avg Week  Busembatya-Butongole'!I92+'Avg Week Butongole-Bsembatya'!I92</f>
        <v>2.5</v>
      </c>
      <c r="J92" s="49">
        <f>'Avg Week  Busembatya-Butongole'!J92+'Avg Week Butongole-Bsembatya'!J92</f>
        <v>0</v>
      </c>
      <c r="K92" s="49">
        <f>'Avg Week  Busembatya-Butongole'!K92+'Avg Week Butongole-Bsembatya'!K92</f>
        <v>1.5</v>
      </c>
      <c r="L92" s="49">
        <f>'Avg Week  Busembatya-Butongole'!L92+'Avg Week Butongole-Bsembatya'!L92</f>
        <v>0.5</v>
      </c>
      <c r="M92" s="49">
        <f>'Avg Week  Busembatya-Butongole'!M92+'Avg Week Butongole-Bsembatya'!M92</f>
        <v>0.5</v>
      </c>
      <c r="N92" s="49">
        <f>'Avg Week  Busembatya-Butongole'!N92+'Avg Week Butongole-Bsembatya'!N92</f>
        <v>0</v>
      </c>
      <c r="O92" s="15">
        <f t="shared" si="35"/>
        <v>7</v>
      </c>
      <c r="P92" s="15">
        <f t="shared" si="36"/>
        <v>7.5</v>
      </c>
      <c r="R92" s="8"/>
      <c r="T92"/>
    </row>
    <row r="93" spans="2:20" ht="23.1" customHeight="1" x14ac:dyDescent="0.25">
      <c r="B93" s="23" t="s">
        <v>133</v>
      </c>
      <c r="C93" s="49">
        <f>'Avg Week  Busembatya-Butongole'!C93+'Avg Week Butongole-Bsembatya'!C93</f>
        <v>1.5</v>
      </c>
      <c r="D93" s="49">
        <f>'Avg Week  Busembatya-Butongole'!D93+'Avg Week Butongole-Bsembatya'!D93</f>
        <v>0</v>
      </c>
      <c r="E93" s="49">
        <f>'Avg Week  Busembatya-Butongole'!E93+'Avg Week Butongole-Bsembatya'!E93</f>
        <v>0</v>
      </c>
      <c r="F93" s="49">
        <f>'Avg Week  Busembatya-Butongole'!F93+'Avg Week Butongole-Bsembatya'!F93</f>
        <v>0.5</v>
      </c>
      <c r="G93" s="49">
        <f>'Avg Week  Busembatya-Butongole'!G93+'Avg Week Butongole-Bsembatya'!G93</f>
        <v>0</v>
      </c>
      <c r="H93" s="49">
        <f>'Avg Week  Busembatya-Butongole'!H93+'Avg Week Butongole-Bsembatya'!H93</f>
        <v>0.5</v>
      </c>
      <c r="I93" s="49">
        <f>'Avg Week  Busembatya-Butongole'!I93+'Avg Week Butongole-Bsembatya'!I93</f>
        <v>1</v>
      </c>
      <c r="J93" s="49">
        <f>'Avg Week  Busembatya-Butongole'!J93+'Avg Week Butongole-Bsembatya'!J93</f>
        <v>0</v>
      </c>
      <c r="K93" s="49">
        <f>'Avg Week  Busembatya-Butongole'!K93+'Avg Week Butongole-Bsembatya'!K93</f>
        <v>1.5</v>
      </c>
      <c r="L93" s="49">
        <f>'Avg Week  Busembatya-Butongole'!L93+'Avg Week Butongole-Bsembatya'!L93</f>
        <v>0</v>
      </c>
      <c r="M93" s="49">
        <f>'Avg Week  Busembatya-Butongole'!M93+'Avg Week Butongole-Bsembatya'!M93</f>
        <v>0</v>
      </c>
      <c r="N93" s="49">
        <f>'Avg Week  Busembatya-Butongole'!N93+'Avg Week Butongole-Bsembatya'!N93</f>
        <v>0</v>
      </c>
      <c r="O93" s="15">
        <f t="shared" si="35"/>
        <v>5</v>
      </c>
      <c r="P93" s="15">
        <f t="shared" si="36"/>
        <v>5</v>
      </c>
      <c r="R93" s="8"/>
      <c r="T93"/>
    </row>
    <row r="94" spans="2:20" ht="23.1" customHeight="1" x14ac:dyDescent="0.25">
      <c r="B94" s="24" t="s">
        <v>134</v>
      </c>
      <c r="C94" s="49">
        <f>'Avg Week  Busembatya-Butongole'!C94+'Avg Week Butongole-Bsembatya'!C94</f>
        <v>0</v>
      </c>
      <c r="D94" s="49">
        <f>'Avg Week  Busembatya-Butongole'!D94+'Avg Week Butongole-Bsembatya'!D94</f>
        <v>0</v>
      </c>
      <c r="E94" s="49">
        <f>'Avg Week  Busembatya-Butongole'!E94+'Avg Week Butongole-Bsembatya'!E94</f>
        <v>0</v>
      </c>
      <c r="F94" s="49">
        <f>'Avg Week  Busembatya-Butongole'!F94+'Avg Week Butongole-Bsembatya'!F94</f>
        <v>2</v>
      </c>
      <c r="G94" s="49">
        <f>'Avg Week  Busembatya-Butongole'!G94+'Avg Week Butongole-Bsembatya'!G94</f>
        <v>0</v>
      </c>
      <c r="H94" s="49">
        <f>'Avg Week  Busembatya-Butongole'!H94+'Avg Week Butongole-Bsembatya'!H94</f>
        <v>2.5</v>
      </c>
      <c r="I94" s="49">
        <f>'Avg Week  Busembatya-Butongole'!I94+'Avg Week Butongole-Bsembatya'!I94</f>
        <v>2.5</v>
      </c>
      <c r="J94" s="49">
        <f>'Avg Week  Busembatya-Butongole'!J94+'Avg Week Butongole-Bsembatya'!J94</f>
        <v>0</v>
      </c>
      <c r="K94" s="49">
        <f>'Avg Week  Busembatya-Butongole'!K94+'Avg Week Butongole-Bsembatya'!K94</f>
        <v>0.5</v>
      </c>
      <c r="L94" s="49">
        <f>'Avg Week  Busembatya-Butongole'!L94+'Avg Week Butongole-Bsembatya'!L94</f>
        <v>0</v>
      </c>
      <c r="M94" s="49">
        <f>'Avg Week  Busembatya-Butongole'!M94+'Avg Week Butongole-Bsembatya'!M94</f>
        <v>0.5</v>
      </c>
      <c r="N94" s="49">
        <f>'Avg Week  Busembatya-Butongole'!N94+'Avg Week Butongole-Bsembatya'!N94</f>
        <v>0</v>
      </c>
      <c r="O94" s="15">
        <f t="shared" si="35"/>
        <v>7.5</v>
      </c>
      <c r="P94" s="15">
        <f t="shared" si="36"/>
        <v>8</v>
      </c>
      <c r="R94" s="8"/>
      <c r="T94"/>
    </row>
    <row r="95" spans="2:20" ht="23.1" customHeight="1" x14ac:dyDescent="0.25">
      <c r="B95" s="23" t="s">
        <v>135</v>
      </c>
      <c r="C95" s="49">
        <f>'Avg Week  Busembatya-Butongole'!C95+'Avg Week Butongole-Bsembatya'!C95</f>
        <v>1</v>
      </c>
      <c r="D95" s="49">
        <f>'Avg Week  Busembatya-Butongole'!D95+'Avg Week Butongole-Bsembatya'!D95</f>
        <v>0</v>
      </c>
      <c r="E95" s="49">
        <f>'Avg Week  Busembatya-Butongole'!E95+'Avg Week Butongole-Bsembatya'!E95</f>
        <v>0.5</v>
      </c>
      <c r="F95" s="49">
        <f>'Avg Week  Busembatya-Butongole'!F95+'Avg Week Butongole-Bsembatya'!F95</f>
        <v>0.5</v>
      </c>
      <c r="G95" s="49">
        <f>'Avg Week  Busembatya-Butongole'!G95+'Avg Week Butongole-Bsembatya'!G95</f>
        <v>0</v>
      </c>
      <c r="H95" s="49">
        <f>'Avg Week  Busembatya-Butongole'!H95+'Avg Week Butongole-Bsembatya'!H95</f>
        <v>0</v>
      </c>
      <c r="I95" s="49">
        <f>'Avg Week  Busembatya-Butongole'!I95+'Avg Week Butongole-Bsembatya'!I95</f>
        <v>3</v>
      </c>
      <c r="J95" s="49">
        <f>'Avg Week  Busembatya-Butongole'!J95+'Avg Week Butongole-Bsembatya'!J95</f>
        <v>0</v>
      </c>
      <c r="K95" s="49">
        <f>'Avg Week  Busembatya-Butongole'!K95+'Avg Week Butongole-Bsembatya'!K95</f>
        <v>1</v>
      </c>
      <c r="L95" s="49">
        <f>'Avg Week  Busembatya-Butongole'!L95+'Avg Week Butongole-Bsembatya'!L95</f>
        <v>0</v>
      </c>
      <c r="M95" s="49">
        <f>'Avg Week  Busembatya-Butongole'!M95+'Avg Week Butongole-Bsembatya'!M95</f>
        <v>0.5</v>
      </c>
      <c r="N95" s="49">
        <f>'Avg Week  Busembatya-Butongole'!N95+'Avg Week Butongole-Bsembatya'!N95</f>
        <v>0</v>
      </c>
      <c r="O95" s="15">
        <f t="shared" si="35"/>
        <v>6</v>
      </c>
      <c r="P95" s="15">
        <f t="shared" si="36"/>
        <v>6.5</v>
      </c>
      <c r="R95" s="8"/>
      <c r="T95"/>
    </row>
    <row r="96" spans="2:20" ht="23.1" customHeight="1" x14ac:dyDescent="0.25">
      <c r="B96" s="25" t="s">
        <v>136</v>
      </c>
      <c r="C96" s="49">
        <f>'Avg Week  Busembatya-Butongole'!C96+'Avg Week Butongole-Bsembatya'!C96</f>
        <v>0.5</v>
      </c>
      <c r="D96" s="49">
        <f>'Avg Week  Busembatya-Butongole'!D96+'Avg Week Butongole-Bsembatya'!D96</f>
        <v>1</v>
      </c>
      <c r="E96" s="49">
        <f>'Avg Week  Busembatya-Butongole'!E96+'Avg Week Butongole-Bsembatya'!E96</f>
        <v>0</v>
      </c>
      <c r="F96" s="49">
        <f>'Avg Week  Busembatya-Butongole'!F96+'Avg Week Butongole-Bsembatya'!F96</f>
        <v>3</v>
      </c>
      <c r="G96" s="49">
        <f>'Avg Week  Busembatya-Butongole'!G96+'Avg Week Butongole-Bsembatya'!G96</f>
        <v>0</v>
      </c>
      <c r="H96" s="49">
        <f>'Avg Week  Busembatya-Butongole'!H96+'Avg Week Butongole-Bsembatya'!H96</f>
        <v>0.5</v>
      </c>
      <c r="I96" s="49">
        <f>'Avg Week  Busembatya-Butongole'!I96+'Avg Week Butongole-Bsembatya'!I96</f>
        <v>1</v>
      </c>
      <c r="J96" s="49">
        <f>'Avg Week  Busembatya-Butongole'!J96+'Avg Week Butongole-Bsembatya'!J96</f>
        <v>0</v>
      </c>
      <c r="K96" s="49">
        <f>'Avg Week  Busembatya-Butongole'!K96+'Avg Week Butongole-Bsembatya'!K96</f>
        <v>1</v>
      </c>
      <c r="L96" s="49">
        <f>'Avg Week  Busembatya-Butongole'!L96+'Avg Week Butongole-Bsembatya'!L96</f>
        <v>0</v>
      </c>
      <c r="M96" s="49">
        <f>'Avg Week  Busembatya-Butongole'!M96+'Avg Week Butongole-Bsembatya'!M96</f>
        <v>0.5</v>
      </c>
      <c r="N96" s="49">
        <f>'Avg Week  Busembatya-Butongole'!N96+'Avg Week Butongole-Bsembatya'!N96</f>
        <v>0</v>
      </c>
      <c r="O96" s="15">
        <f t="shared" si="35"/>
        <v>7</v>
      </c>
      <c r="P96" s="15">
        <f t="shared" si="36"/>
        <v>7.5</v>
      </c>
      <c r="R96" s="8"/>
      <c r="T96"/>
    </row>
    <row r="97" spans="2:20" ht="23.1" customHeight="1" x14ac:dyDescent="0.25">
      <c r="B97" s="23" t="s">
        <v>137</v>
      </c>
      <c r="C97" s="49">
        <f>'Avg Week  Busembatya-Butongole'!C97+'Avg Week Butongole-Bsembatya'!C97</f>
        <v>1</v>
      </c>
      <c r="D97" s="49">
        <f>'Avg Week  Busembatya-Butongole'!D97+'Avg Week Butongole-Bsembatya'!D97</f>
        <v>0</v>
      </c>
      <c r="E97" s="49">
        <f>'Avg Week  Busembatya-Butongole'!E97+'Avg Week Butongole-Bsembatya'!E97</f>
        <v>0</v>
      </c>
      <c r="F97" s="49">
        <f>'Avg Week  Busembatya-Butongole'!F97+'Avg Week Butongole-Bsembatya'!F97</f>
        <v>1.5</v>
      </c>
      <c r="G97" s="49">
        <f>'Avg Week  Busembatya-Butongole'!G97+'Avg Week Butongole-Bsembatya'!G97</f>
        <v>0</v>
      </c>
      <c r="H97" s="49">
        <f>'Avg Week  Busembatya-Butongole'!H97+'Avg Week Butongole-Bsembatya'!H97</f>
        <v>0.5</v>
      </c>
      <c r="I97" s="49">
        <f>'Avg Week  Busembatya-Butongole'!I97+'Avg Week Butongole-Bsembatya'!I97</f>
        <v>1</v>
      </c>
      <c r="J97" s="49">
        <f>'Avg Week  Busembatya-Butongole'!J97+'Avg Week Butongole-Bsembatya'!J97</f>
        <v>0</v>
      </c>
      <c r="K97" s="49">
        <f>'Avg Week  Busembatya-Butongole'!K97+'Avg Week Butongole-Bsembatya'!K97</f>
        <v>1.5</v>
      </c>
      <c r="L97" s="49">
        <f>'Avg Week  Busembatya-Butongole'!L97+'Avg Week Butongole-Bsembatya'!L97</f>
        <v>0</v>
      </c>
      <c r="M97" s="49">
        <f>'Avg Week  Busembatya-Butongole'!M97+'Avg Week Butongole-Bsembatya'!M97</f>
        <v>0</v>
      </c>
      <c r="N97" s="49">
        <f>'Avg Week  Busembatya-Butongole'!N97+'Avg Week Butongole-Bsembatya'!N97</f>
        <v>0</v>
      </c>
      <c r="O97" s="15">
        <f t="shared" si="35"/>
        <v>5.5</v>
      </c>
      <c r="P97" s="15">
        <f t="shared" si="36"/>
        <v>5.5</v>
      </c>
      <c r="R97" s="8"/>
      <c r="T97"/>
    </row>
    <row r="98" spans="2:20" ht="23.1" customHeight="1" x14ac:dyDescent="0.25">
      <c r="B98" s="24" t="s">
        <v>138</v>
      </c>
      <c r="C98" s="49">
        <f>'Avg Week  Busembatya-Butongole'!C98+'Avg Week Butongole-Bsembatya'!C98</f>
        <v>3.5</v>
      </c>
      <c r="D98" s="49">
        <f>'Avg Week  Busembatya-Butongole'!D98+'Avg Week Butongole-Bsembatya'!D98</f>
        <v>0.5</v>
      </c>
      <c r="E98" s="49">
        <f>'Avg Week  Busembatya-Butongole'!E98+'Avg Week Butongole-Bsembatya'!E98</f>
        <v>1</v>
      </c>
      <c r="F98" s="49">
        <f>'Avg Week  Busembatya-Butongole'!F98+'Avg Week Butongole-Bsembatya'!F98</f>
        <v>3.5</v>
      </c>
      <c r="G98" s="49">
        <f>'Avg Week  Busembatya-Butongole'!G98+'Avg Week Butongole-Bsembatya'!G98</f>
        <v>0</v>
      </c>
      <c r="H98" s="49">
        <f>'Avg Week  Busembatya-Butongole'!H98+'Avg Week Butongole-Bsembatya'!H98</f>
        <v>1</v>
      </c>
      <c r="I98" s="49">
        <f>'Avg Week  Busembatya-Butongole'!I98+'Avg Week Butongole-Bsembatya'!I98</f>
        <v>0</v>
      </c>
      <c r="J98" s="49">
        <f>'Avg Week  Busembatya-Butongole'!J98+'Avg Week Butongole-Bsembatya'!J98</f>
        <v>0</v>
      </c>
      <c r="K98" s="49">
        <f>'Avg Week  Busembatya-Butongole'!K98+'Avg Week Butongole-Bsembatya'!K98</f>
        <v>0.5</v>
      </c>
      <c r="L98" s="49">
        <f>'Avg Week  Busembatya-Butongole'!L98+'Avg Week Butongole-Bsembatya'!L98</f>
        <v>0.5</v>
      </c>
      <c r="M98" s="49">
        <f>'Avg Week  Busembatya-Butongole'!M98+'Avg Week Butongole-Bsembatya'!M98</f>
        <v>0</v>
      </c>
      <c r="N98" s="49">
        <f>'Avg Week  Busembatya-Butongole'!N98+'Avg Week Butongole-Bsembatya'!N98</f>
        <v>0</v>
      </c>
      <c r="O98" s="15">
        <f t="shared" si="35"/>
        <v>10.5</v>
      </c>
      <c r="P98" s="15">
        <f t="shared" si="36"/>
        <v>10.5</v>
      </c>
      <c r="R98" s="8"/>
      <c r="T98"/>
    </row>
    <row r="99" spans="2:20" ht="23.1" customHeight="1" x14ac:dyDescent="0.25">
      <c r="B99" s="23" t="s">
        <v>139</v>
      </c>
      <c r="C99" s="49">
        <f>'Avg Week  Busembatya-Butongole'!C99+'Avg Week Butongole-Bsembatya'!C99</f>
        <v>0</v>
      </c>
      <c r="D99" s="49">
        <f>'Avg Week  Busembatya-Butongole'!D99+'Avg Week Butongole-Bsembatya'!D99</f>
        <v>0</v>
      </c>
      <c r="E99" s="49">
        <f>'Avg Week  Busembatya-Butongole'!E99+'Avg Week Butongole-Bsembatya'!E99</f>
        <v>0</v>
      </c>
      <c r="F99" s="49">
        <f>'Avg Week  Busembatya-Butongole'!F99+'Avg Week Butongole-Bsembatya'!F99</f>
        <v>0.5</v>
      </c>
      <c r="G99" s="49">
        <f>'Avg Week  Busembatya-Butongole'!G99+'Avg Week Butongole-Bsembatya'!G99</f>
        <v>0</v>
      </c>
      <c r="H99" s="49">
        <f>'Avg Week  Busembatya-Butongole'!H99+'Avg Week Butongole-Bsembatya'!H99</f>
        <v>0.5</v>
      </c>
      <c r="I99" s="49">
        <f>'Avg Week  Busembatya-Butongole'!I99+'Avg Week Butongole-Bsembatya'!I99</f>
        <v>1.5</v>
      </c>
      <c r="J99" s="49">
        <f>'Avg Week  Busembatya-Butongole'!J99+'Avg Week Butongole-Bsembatya'!J99</f>
        <v>0</v>
      </c>
      <c r="K99" s="49">
        <f>'Avg Week  Busembatya-Butongole'!K99+'Avg Week Butongole-Bsembatya'!K99</f>
        <v>0.5</v>
      </c>
      <c r="L99" s="49">
        <f>'Avg Week  Busembatya-Butongole'!L99+'Avg Week Butongole-Bsembatya'!L99</f>
        <v>0</v>
      </c>
      <c r="M99" s="49">
        <f>'Avg Week  Busembatya-Butongole'!M99+'Avg Week Butongole-Bsembatya'!M99</f>
        <v>0</v>
      </c>
      <c r="N99" s="49">
        <f>'Avg Week  Busembatya-Butongole'!N99+'Avg Week Butongole-Bsembatya'!N99</f>
        <v>0</v>
      </c>
      <c r="O99" s="15">
        <f t="shared" si="35"/>
        <v>3</v>
      </c>
      <c r="P99" s="15">
        <f t="shared" si="36"/>
        <v>3</v>
      </c>
      <c r="R99" s="8"/>
      <c r="T99"/>
    </row>
    <row r="100" spans="2:20" ht="23.1" customHeight="1" x14ac:dyDescent="0.25">
      <c r="B100" s="25" t="s">
        <v>140</v>
      </c>
      <c r="C100" s="49">
        <f>'Avg Week  Busembatya-Butongole'!C100+'Avg Week Butongole-Bsembatya'!C100</f>
        <v>2.5</v>
      </c>
      <c r="D100" s="49">
        <f>'Avg Week  Busembatya-Butongole'!D100+'Avg Week Butongole-Bsembatya'!D100</f>
        <v>1.5</v>
      </c>
      <c r="E100" s="49">
        <f>'Avg Week  Busembatya-Butongole'!E100+'Avg Week Butongole-Bsembatya'!E100</f>
        <v>0.5</v>
      </c>
      <c r="F100" s="49">
        <f>'Avg Week  Busembatya-Butongole'!F100+'Avg Week Butongole-Bsembatya'!F100</f>
        <v>2</v>
      </c>
      <c r="G100" s="49">
        <f>'Avg Week  Busembatya-Butongole'!G100+'Avg Week Butongole-Bsembatya'!G100</f>
        <v>0</v>
      </c>
      <c r="H100" s="49">
        <f>'Avg Week  Busembatya-Butongole'!H100+'Avg Week Butongole-Bsembatya'!H100</f>
        <v>0</v>
      </c>
      <c r="I100" s="49">
        <f>'Avg Week  Busembatya-Butongole'!I100+'Avg Week Butongole-Bsembatya'!I100</f>
        <v>0.5</v>
      </c>
      <c r="J100" s="49">
        <f>'Avg Week  Busembatya-Butongole'!J100+'Avg Week Butongole-Bsembatya'!J100</f>
        <v>0</v>
      </c>
      <c r="K100" s="49">
        <f>'Avg Week  Busembatya-Butongole'!K100+'Avg Week Butongole-Bsembatya'!K100</f>
        <v>1</v>
      </c>
      <c r="L100" s="49">
        <f>'Avg Week  Busembatya-Butongole'!L100+'Avg Week Butongole-Bsembatya'!L100</f>
        <v>0.5</v>
      </c>
      <c r="M100" s="49">
        <f>'Avg Week  Busembatya-Butongole'!M100+'Avg Week Butongole-Bsembatya'!M100</f>
        <v>0.5</v>
      </c>
      <c r="N100" s="49">
        <f>'Avg Week  Busembatya-Butongole'!N100+'Avg Week Butongole-Bsembatya'!N100</f>
        <v>0</v>
      </c>
      <c r="O100" s="15">
        <f t="shared" si="35"/>
        <v>8.5</v>
      </c>
      <c r="P100" s="15">
        <f t="shared" si="36"/>
        <v>9</v>
      </c>
      <c r="R100" s="8"/>
      <c r="T100"/>
    </row>
    <row r="101" spans="2:20" ht="23.1" customHeight="1" x14ac:dyDescent="0.25">
      <c r="B101" s="23" t="s">
        <v>141</v>
      </c>
      <c r="C101" s="49">
        <f>'Avg Week  Busembatya-Butongole'!C101+'Avg Week Butongole-Bsembatya'!C101</f>
        <v>2.5</v>
      </c>
      <c r="D101" s="49">
        <f>'Avg Week  Busembatya-Butongole'!D101+'Avg Week Butongole-Bsembatya'!D101</f>
        <v>1</v>
      </c>
      <c r="E101" s="49">
        <f>'Avg Week  Busembatya-Butongole'!E101+'Avg Week Butongole-Bsembatya'!E101</f>
        <v>0</v>
      </c>
      <c r="F101" s="49">
        <f>'Avg Week  Busembatya-Butongole'!F101+'Avg Week Butongole-Bsembatya'!F101</f>
        <v>1</v>
      </c>
      <c r="G101" s="49">
        <f>'Avg Week  Busembatya-Butongole'!G101+'Avg Week Butongole-Bsembatya'!G101</f>
        <v>0</v>
      </c>
      <c r="H101" s="49">
        <f>'Avg Week  Busembatya-Butongole'!H101+'Avg Week Butongole-Bsembatya'!H101</f>
        <v>0.5</v>
      </c>
      <c r="I101" s="49">
        <f>'Avg Week  Busembatya-Butongole'!I101+'Avg Week Butongole-Bsembatya'!I101</f>
        <v>0.5</v>
      </c>
      <c r="J101" s="49">
        <f>'Avg Week  Busembatya-Butongole'!J101+'Avg Week Butongole-Bsembatya'!J101</f>
        <v>0</v>
      </c>
      <c r="K101" s="49">
        <f>'Avg Week  Busembatya-Butongole'!K101+'Avg Week Butongole-Bsembatya'!K101</f>
        <v>0.5</v>
      </c>
      <c r="L101" s="49">
        <f>'Avg Week  Busembatya-Butongole'!L101+'Avg Week Butongole-Bsembatya'!L101</f>
        <v>0</v>
      </c>
      <c r="M101" s="49">
        <f>'Avg Week  Busembatya-Butongole'!M101+'Avg Week Butongole-Bsembatya'!M101</f>
        <v>3.5</v>
      </c>
      <c r="N101" s="49">
        <f>'Avg Week  Busembatya-Butongole'!N101+'Avg Week Butongole-Bsembatya'!N101</f>
        <v>0</v>
      </c>
      <c r="O101" s="15">
        <f t="shared" si="35"/>
        <v>6</v>
      </c>
      <c r="P101" s="15">
        <f t="shared" si="36"/>
        <v>9.5</v>
      </c>
      <c r="R101" s="8"/>
      <c r="T101"/>
    </row>
    <row r="102" spans="2:20" ht="23.1" customHeight="1" x14ac:dyDescent="0.25">
      <c r="B102" s="24" t="s">
        <v>142</v>
      </c>
      <c r="C102" s="49">
        <f>'Avg Week  Busembatya-Butongole'!C102+'Avg Week Butongole-Bsembatya'!C102</f>
        <v>2</v>
      </c>
      <c r="D102" s="49">
        <f>'Avg Week  Busembatya-Butongole'!D102+'Avg Week Butongole-Bsembatya'!D102</f>
        <v>2</v>
      </c>
      <c r="E102" s="49">
        <f>'Avg Week  Busembatya-Butongole'!E102+'Avg Week Butongole-Bsembatya'!E102</f>
        <v>2.5</v>
      </c>
      <c r="F102" s="49">
        <f>'Avg Week  Busembatya-Butongole'!F102+'Avg Week Butongole-Bsembatya'!F102</f>
        <v>2</v>
      </c>
      <c r="G102" s="49">
        <f>'Avg Week  Busembatya-Butongole'!G102+'Avg Week Butongole-Bsembatya'!G102</f>
        <v>0</v>
      </c>
      <c r="H102" s="49">
        <f>'Avg Week  Busembatya-Butongole'!H102+'Avg Week Butongole-Bsembatya'!H102</f>
        <v>1</v>
      </c>
      <c r="I102" s="49">
        <f>'Avg Week  Busembatya-Butongole'!I102+'Avg Week Butongole-Bsembatya'!I102</f>
        <v>1.5</v>
      </c>
      <c r="J102" s="49">
        <f>'Avg Week  Busembatya-Butongole'!J102+'Avg Week Butongole-Bsembatya'!J102</f>
        <v>1</v>
      </c>
      <c r="K102" s="49">
        <f>'Avg Week  Busembatya-Butongole'!K102+'Avg Week Butongole-Bsembatya'!K102</f>
        <v>1</v>
      </c>
      <c r="L102" s="49">
        <f>'Avg Week  Busembatya-Butongole'!L102+'Avg Week Butongole-Bsembatya'!L102</f>
        <v>0.5</v>
      </c>
      <c r="M102" s="49">
        <f>'Avg Week  Busembatya-Butongole'!M102+'Avg Week Butongole-Bsembatya'!M102</f>
        <v>5.5</v>
      </c>
      <c r="N102" s="49">
        <f>'Avg Week  Busembatya-Butongole'!N102+'Avg Week Butongole-Bsembatya'!N102</f>
        <v>0</v>
      </c>
      <c r="O102" s="15">
        <f t="shared" si="35"/>
        <v>13.5</v>
      </c>
      <c r="P102" s="15">
        <f t="shared" si="36"/>
        <v>19</v>
      </c>
      <c r="R102" s="8"/>
      <c r="T102"/>
    </row>
    <row r="103" spans="2:20" ht="23.1" customHeight="1" x14ac:dyDescent="0.25">
      <c r="B103" s="23" t="s">
        <v>143</v>
      </c>
      <c r="C103" s="49">
        <f>'Avg Week  Busembatya-Butongole'!C103+'Avg Week Butongole-Bsembatya'!C103</f>
        <v>2.5</v>
      </c>
      <c r="D103" s="49">
        <f>'Avg Week  Busembatya-Butongole'!D103+'Avg Week Butongole-Bsembatya'!D103</f>
        <v>1</v>
      </c>
      <c r="E103" s="49">
        <f>'Avg Week  Busembatya-Butongole'!E103+'Avg Week Butongole-Bsembatya'!E103</f>
        <v>1.5</v>
      </c>
      <c r="F103" s="49">
        <f>'Avg Week  Busembatya-Butongole'!F103+'Avg Week Butongole-Bsembatya'!F103</f>
        <v>5.5</v>
      </c>
      <c r="G103" s="49">
        <f>'Avg Week  Busembatya-Butongole'!G103+'Avg Week Butongole-Bsembatya'!G103</f>
        <v>0</v>
      </c>
      <c r="H103" s="49">
        <f>'Avg Week  Busembatya-Butongole'!H103+'Avg Week Butongole-Bsembatya'!H103</f>
        <v>0.5</v>
      </c>
      <c r="I103" s="49">
        <f>'Avg Week  Busembatya-Butongole'!I103+'Avg Week Butongole-Bsembatya'!I103</f>
        <v>3</v>
      </c>
      <c r="J103" s="49">
        <f>'Avg Week  Busembatya-Butongole'!J103+'Avg Week Butongole-Bsembatya'!J103</f>
        <v>0</v>
      </c>
      <c r="K103" s="49">
        <f>'Avg Week  Busembatya-Butongole'!K103+'Avg Week Butongole-Bsembatya'!K103</f>
        <v>2</v>
      </c>
      <c r="L103" s="49">
        <f>'Avg Week  Busembatya-Butongole'!L103+'Avg Week Butongole-Bsembatya'!L103</f>
        <v>0.5</v>
      </c>
      <c r="M103" s="49">
        <f>'Avg Week  Busembatya-Butongole'!M103+'Avg Week Butongole-Bsembatya'!M103</f>
        <v>4.5</v>
      </c>
      <c r="N103" s="49">
        <f>'Avg Week  Busembatya-Butongole'!N103+'Avg Week Butongole-Bsembatya'!N103</f>
        <v>0</v>
      </c>
      <c r="O103" s="15">
        <f t="shared" si="35"/>
        <v>16.5</v>
      </c>
      <c r="P103" s="15">
        <f t="shared" si="36"/>
        <v>21</v>
      </c>
      <c r="R103" s="8"/>
      <c r="T103"/>
    </row>
    <row r="104" spans="2:20" ht="23.1" customHeight="1" x14ac:dyDescent="0.25">
      <c r="B104" s="25" t="s">
        <v>144</v>
      </c>
      <c r="C104" s="49">
        <f>'Avg Week  Busembatya-Butongole'!C104+'Avg Week Butongole-Bsembatya'!C104</f>
        <v>4.5</v>
      </c>
      <c r="D104" s="49">
        <f>'Avg Week  Busembatya-Butongole'!D104+'Avg Week Butongole-Bsembatya'!D104</f>
        <v>1</v>
      </c>
      <c r="E104" s="49">
        <f>'Avg Week  Busembatya-Butongole'!E104+'Avg Week Butongole-Bsembatya'!E104</f>
        <v>0.5</v>
      </c>
      <c r="F104" s="49">
        <f>'Avg Week  Busembatya-Butongole'!F104+'Avg Week Butongole-Bsembatya'!F104</f>
        <v>5.5</v>
      </c>
      <c r="G104" s="49">
        <f>'Avg Week  Busembatya-Butongole'!G104+'Avg Week Butongole-Bsembatya'!G104</f>
        <v>0</v>
      </c>
      <c r="H104" s="49">
        <f>'Avg Week  Busembatya-Butongole'!H104+'Avg Week Butongole-Bsembatya'!H104</f>
        <v>0</v>
      </c>
      <c r="I104" s="49">
        <f>'Avg Week  Busembatya-Butongole'!I104+'Avg Week Butongole-Bsembatya'!I104</f>
        <v>2</v>
      </c>
      <c r="J104" s="49">
        <f>'Avg Week  Busembatya-Butongole'!J104+'Avg Week Butongole-Bsembatya'!J104</f>
        <v>0</v>
      </c>
      <c r="K104" s="49">
        <f>'Avg Week  Busembatya-Butongole'!K104+'Avg Week Butongole-Bsembatya'!K104</f>
        <v>0.5</v>
      </c>
      <c r="L104" s="49">
        <f>'Avg Week  Busembatya-Butongole'!L104+'Avg Week Butongole-Bsembatya'!L104</f>
        <v>0.5</v>
      </c>
      <c r="M104" s="49">
        <f>'Avg Week  Busembatya-Butongole'!M104+'Avg Week Butongole-Bsembatya'!M104</f>
        <v>10</v>
      </c>
      <c r="N104" s="49">
        <f>'Avg Week  Busembatya-Butongole'!N104+'Avg Week Butongole-Bsembatya'!N104</f>
        <v>0</v>
      </c>
      <c r="O104" s="15">
        <f t="shared" si="35"/>
        <v>14.5</v>
      </c>
      <c r="P104" s="15">
        <f t="shared" si="36"/>
        <v>24.5</v>
      </c>
      <c r="R104" s="8"/>
      <c r="T104"/>
    </row>
    <row r="105" spans="2:20" ht="23.1" customHeight="1" x14ac:dyDescent="0.25">
      <c r="B105" s="23" t="s">
        <v>145</v>
      </c>
      <c r="C105" s="49">
        <f>'Avg Week  Busembatya-Butongole'!C105+'Avg Week Butongole-Bsembatya'!C105</f>
        <v>5.5</v>
      </c>
      <c r="D105" s="49">
        <f>'Avg Week  Busembatya-Butongole'!D105+'Avg Week Butongole-Bsembatya'!D105</f>
        <v>0.5</v>
      </c>
      <c r="E105" s="49">
        <f>'Avg Week  Busembatya-Butongole'!E105+'Avg Week Butongole-Bsembatya'!E105</f>
        <v>3</v>
      </c>
      <c r="F105" s="49">
        <f>'Avg Week  Busembatya-Butongole'!F105+'Avg Week Butongole-Bsembatya'!F105</f>
        <v>11.5</v>
      </c>
      <c r="G105" s="49">
        <f>'Avg Week  Busembatya-Butongole'!G105+'Avg Week Butongole-Bsembatya'!G105</f>
        <v>0</v>
      </c>
      <c r="H105" s="49">
        <f>'Avg Week  Busembatya-Butongole'!H105+'Avg Week Butongole-Bsembatya'!H105</f>
        <v>0</v>
      </c>
      <c r="I105" s="49">
        <f>'Avg Week  Busembatya-Butongole'!I105+'Avg Week Butongole-Bsembatya'!I105</f>
        <v>1.5</v>
      </c>
      <c r="J105" s="49">
        <f>'Avg Week  Busembatya-Butongole'!J105+'Avg Week Butongole-Bsembatya'!J105</f>
        <v>0</v>
      </c>
      <c r="K105" s="49">
        <f>'Avg Week  Busembatya-Butongole'!K105+'Avg Week Butongole-Bsembatya'!K105</f>
        <v>2</v>
      </c>
      <c r="L105" s="49">
        <f>'Avg Week  Busembatya-Butongole'!L105+'Avg Week Butongole-Bsembatya'!L105</f>
        <v>0</v>
      </c>
      <c r="M105" s="49">
        <f>'Avg Week  Busembatya-Butongole'!M105+'Avg Week Butongole-Bsembatya'!M105</f>
        <v>23</v>
      </c>
      <c r="N105" s="49">
        <f>'Avg Week  Busembatya-Butongole'!N105+'Avg Week Butongole-Bsembatya'!N105</f>
        <v>0</v>
      </c>
      <c r="O105" s="15">
        <f t="shared" si="35"/>
        <v>24</v>
      </c>
      <c r="P105" s="15">
        <f t="shared" si="36"/>
        <v>47</v>
      </c>
      <c r="R105" s="8"/>
      <c r="T105"/>
    </row>
    <row r="106" spans="2:20" ht="23.1" customHeight="1" x14ac:dyDescent="0.25">
      <c r="B106" s="26" t="s">
        <v>18</v>
      </c>
      <c r="C106" s="16">
        <f>SUM(C10:C105)</f>
        <v>568.5</v>
      </c>
      <c r="D106" s="16">
        <f t="shared" ref="D106:P106" si="37">SUM(D10:D105)</f>
        <v>228.71428571428572</v>
      </c>
      <c r="E106" s="16">
        <f t="shared" si="37"/>
        <v>275.07142857142856</v>
      </c>
      <c r="F106" s="16">
        <f t="shared" si="37"/>
        <v>1068.5</v>
      </c>
      <c r="G106" s="16">
        <f t="shared" si="37"/>
        <v>47.785714285714285</v>
      </c>
      <c r="H106" s="16">
        <f t="shared" si="37"/>
        <v>71.642857142857139</v>
      </c>
      <c r="I106" s="16">
        <f t="shared" si="37"/>
        <v>256.78571428571428</v>
      </c>
      <c r="J106" s="16">
        <f t="shared" si="37"/>
        <v>123.78571428571429</v>
      </c>
      <c r="K106" s="16">
        <f t="shared" si="37"/>
        <v>134.07142857142858</v>
      </c>
      <c r="L106" s="16">
        <f t="shared" si="37"/>
        <v>48</v>
      </c>
      <c r="M106" s="16">
        <f t="shared" si="37"/>
        <v>1290.9285714285713</v>
      </c>
      <c r="N106" s="16">
        <f t="shared" si="37"/>
        <v>4.5714285714285712</v>
      </c>
      <c r="O106" s="16">
        <f t="shared" si="37"/>
        <v>2827.4285714285716</v>
      </c>
      <c r="P106" s="16">
        <f t="shared" si="37"/>
        <v>4118.3571428571431</v>
      </c>
      <c r="R106" s="8"/>
      <c r="T106"/>
    </row>
    <row r="107" spans="2:20" ht="23.1" customHeight="1" x14ac:dyDescent="0.25">
      <c r="B107" s="26" t="s">
        <v>93</v>
      </c>
      <c r="C107" s="43">
        <f t="shared" ref="C107:N107" si="38">C106/$P$106</f>
        <v>0.13804048077423381</v>
      </c>
      <c r="D107" s="43">
        <f t="shared" si="38"/>
        <v>5.553532094975458E-2</v>
      </c>
      <c r="E107" s="43">
        <f t="shared" si="38"/>
        <v>6.679154309103838E-2</v>
      </c>
      <c r="F107" s="43">
        <f t="shared" si="38"/>
        <v>0.25944811558006831</v>
      </c>
      <c r="G107" s="43">
        <f t="shared" si="38"/>
        <v>1.1603101097871897E-2</v>
      </c>
      <c r="H107" s="43">
        <f t="shared" si="38"/>
        <v>1.7395979672893143E-2</v>
      </c>
      <c r="I107" s="43">
        <f t="shared" si="38"/>
        <v>6.2351492446710712E-2</v>
      </c>
      <c r="J107" s="43">
        <f t="shared" si="38"/>
        <v>3.0057061588358743E-2</v>
      </c>
      <c r="K107" s="43">
        <f t="shared" si="38"/>
        <v>3.2554590075793054E-2</v>
      </c>
      <c r="L107" s="43">
        <f t="shared" si="38"/>
        <v>1.1655132941360112E-2</v>
      </c>
      <c r="M107" s="43">
        <f t="shared" si="38"/>
        <v>0.31345716912083527</v>
      </c>
      <c r="N107" s="43">
        <f t="shared" si="38"/>
        <v>1.1100126610819154E-3</v>
      </c>
      <c r="R107" s="8"/>
      <c r="T107"/>
    </row>
    <row r="108" spans="2:20" ht="23.1" customHeight="1" x14ac:dyDescent="0.25">
      <c r="B108" s="42" t="s">
        <v>94</v>
      </c>
      <c r="C108" s="44">
        <f>C106/$O$106</f>
        <v>0.20106608730800321</v>
      </c>
      <c r="D108" s="44">
        <f t="shared" ref="D108:N108" si="39">D106/$O$106</f>
        <v>8.0891269199676638E-2</v>
      </c>
      <c r="E108" s="44">
        <f t="shared" si="39"/>
        <v>9.7286782538399341E-2</v>
      </c>
      <c r="F108" s="44">
        <f t="shared" si="39"/>
        <v>0.37790521422797085</v>
      </c>
      <c r="G108" s="44">
        <f t="shared" si="39"/>
        <v>1.6900767987065479E-2</v>
      </c>
      <c r="H108" s="44">
        <f t="shared" si="39"/>
        <v>2.533852061438965E-2</v>
      </c>
      <c r="I108" s="44">
        <f t="shared" si="39"/>
        <v>9.0819523039611952E-2</v>
      </c>
      <c r="J108" s="44">
        <f t="shared" si="39"/>
        <v>4.3780315278900563E-2</v>
      </c>
      <c r="K108" s="44">
        <f t="shared" si="39"/>
        <v>4.7418148746968473E-2</v>
      </c>
      <c r="L108" s="44">
        <f t="shared" si="39"/>
        <v>1.6976556184316895E-2</v>
      </c>
      <c r="M108" s="44"/>
      <c r="N108" s="44">
        <f t="shared" si="39"/>
        <v>1.6168148746968471E-3</v>
      </c>
      <c r="Q108" s="7"/>
      <c r="R108" s="8"/>
      <c r="T108"/>
    </row>
    <row r="109" spans="2:20" ht="20.100000000000001" customHeight="1" x14ac:dyDescent="0.25">
      <c r="B109" s="3"/>
      <c r="C109" s="18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Q109" s="7"/>
      <c r="R109" s="8"/>
      <c r="T109"/>
    </row>
    <row r="110" spans="2:20" ht="20.100000000000001" customHeight="1" x14ac:dyDescent="0.25">
      <c r="B110" s="3"/>
      <c r="C110" s="18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Q110" s="7"/>
      <c r="R110" s="8"/>
      <c r="T110"/>
    </row>
    <row r="111" spans="2:20" ht="20.100000000000001" customHeight="1" x14ac:dyDescent="0.25">
      <c r="B111" s="3"/>
      <c r="C111" s="18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Q111" s="7"/>
    </row>
    <row r="112" spans="2:20" ht="20.100000000000001" customHeight="1" x14ac:dyDescent="0.25">
      <c r="B112" s="3"/>
      <c r="C112" s="18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Q112" s="7"/>
    </row>
    <row r="113" spans="2:20" s="7" customFormat="1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/>
      <c r="P113"/>
      <c r="S113" s="8"/>
      <c r="T113" s="8"/>
    </row>
    <row r="114" spans="2:20" s="7" customFormat="1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/>
      <c r="P114"/>
      <c r="S114" s="8"/>
      <c r="T114" s="8"/>
    </row>
    <row r="115" spans="2:20" s="7" customFormat="1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/>
      <c r="P115"/>
      <c r="S115" s="8"/>
      <c r="T115" s="8"/>
    </row>
    <row r="116" spans="2:20" s="7" customFormat="1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/>
      <c r="P116"/>
      <c r="S116" s="8"/>
      <c r="T116" s="8"/>
    </row>
    <row r="117" spans="2:20" s="7" customFormat="1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/>
      <c r="P117"/>
      <c r="S117" s="8"/>
      <c r="T117" s="8"/>
    </row>
    <row r="118" spans="2:20" s="7" customFormat="1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/>
      <c r="P118"/>
      <c r="S118" s="8"/>
      <c r="T118" s="8"/>
    </row>
    <row r="119" spans="2:20" s="7" customFormat="1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/>
      <c r="P119"/>
      <c r="S119" s="8"/>
      <c r="T119" s="8"/>
    </row>
    <row r="120" spans="2:20" s="7" customFormat="1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/>
      <c r="P120"/>
      <c r="S120" s="8"/>
      <c r="T120" s="8"/>
    </row>
    <row r="121" spans="2:20" s="7" customFormat="1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/>
      <c r="P121"/>
      <c r="S121" s="8"/>
      <c r="T121" s="8"/>
    </row>
    <row r="122" spans="2:20" s="7" customFormat="1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/>
      <c r="P122"/>
      <c r="S122" s="8"/>
      <c r="T122" s="8"/>
    </row>
    <row r="123" spans="2:20" s="7" customFormat="1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/>
      <c r="P123"/>
      <c r="S123" s="8"/>
      <c r="T123" s="8"/>
    </row>
    <row r="124" spans="2:20" s="7" customFormat="1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/>
      <c r="P124"/>
      <c r="S124" s="8"/>
      <c r="T124" s="8"/>
    </row>
    <row r="125" spans="2:20" s="7" customFormat="1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/>
      <c r="P125"/>
      <c r="Q125"/>
      <c r="S125" s="8"/>
      <c r="T125" s="8"/>
    </row>
    <row r="126" spans="2:20" s="7" customFormat="1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/>
      <c r="P126"/>
      <c r="Q126"/>
      <c r="S126" s="8"/>
      <c r="T126" s="8"/>
    </row>
    <row r="127" spans="2:20" s="7" customFormat="1" ht="20.100000000000001" customHeight="1" x14ac:dyDescent="0.25"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/>
      <c r="P127"/>
      <c r="Q127"/>
      <c r="S127" s="8"/>
      <c r="T127" s="8"/>
    </row>
    <row r="128" spans="2:20" s="7" customFormat="1" ht="20.100000000000001" customHeight="1" x14ac:dyDescent="0.25"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/>
      <c r="P128"/>
      <c r="Q128"/>
      <c r="S128" s="8"/>
      <c r="T128" s="8"/>
    </row>
    <row r="129" spans="2:14" ht="20.100000000000001" customHeight="1" x14ac:dyDescent="0.25"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</row>
    <row r="130" spans="2:14" ht="20.100000000000001" customHeight="1" x14ac:dyDescent="0.25"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</row>
    <row r="131" spans="2:14" ht="20.100000000000001" customHeight="1" x14ac:dyDescent="0.25"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</row>
    <row r="132" spans="2:14" ht="20.100000000000001" customHeight="1" x14ac:dyDescent="0.25"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</row>
    <row r="133" spans="2:14" ht="20.100000000000001" customHeight="1" x14ac:dyDescent="0.25"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</row>
    <row r="134" spans="2:14" ht="20.100000000000001" customHeight="1" x14ac:dyDescent="0.25"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</row>
    <row r="135" spans="2:14" ht="20.100000000000001" customHeight="1" x14ac:dyDescent="0.25"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</row>
    <row r="136" spans="2:14" ht="20.100000000000001" customHeight="1" x14ac:dyDescent="0.25"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</row>
    <row r="137" spans="2:14" ht="20.100000000000001" customHeight="1" x14ac:dyDescent="0.25"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</row>
    <row r="138" spans="2:14" ht="20.100000000000001" customHeight="1" x14ac:dyDescent="0.25"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</row>
    <row r="139" spans="2:14" ht="20.100000000000001" customHeight="1" x14ac:dyDescent="0.25"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</row>
    <row r="140" spans="2:14" ht="20.100000000000001" customHeight="1" x14ac:dyDescent="0.25"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</row>
    <row r="141" spans="2:14" ht="20.100000000000001" customHeight="1" x14ac:dyDescent="0.25"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</row>
    <row r="142" spans="2:14" ht="20.100000000000001" customHeight="1" x14ac:dyDescent="0.25"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</row>
    <row r="143" spans="2:14" ht="20.100000000000001" customHeight="1" x14ac:dyDescent="0.25"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</row>
    <row r="144" spans="2:14" ht="20.100000000000001" customHeight="1" x14ac:dyDescent="0.25"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</row>
    <row r="145" spans="2:14" ht="20.100000000000001" customHeight="1" x14ac:dyDescent="0.25"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</row>
    <row r="146" spans="2:14" ht="20.100000000000001" customHeight="1" x14ac:dyDescent="0.25"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</row>
    <row r="147" spans="2:14" ht="20.100000000000001" customHeight="1" x14ac:dyDescent="0.25"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</row>
    <row r="148" spans="2:14" ht="20.100000000000001" customHeight="1" x14ac:dyDescent="0.25"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</row>
    <row r="149" spans="2:14" ht="20.100000000000001" customHeight="1" x14ac:dyDescent="0.25"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</row>
    <row r="150" spans="2:14" ht="20.100000000000001" customHeight="1" x14ac:dyDescent="0.25"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</row>
    <row r="151" spans="2:14" ht="20.100000000000001" customHeight="1" x14ac:dyDescent="0.25"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</row>
    <row r="152" spans="2:14" ht="22.5" customHeight="1" x14ac:dyDescent="0.25"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</row>
    <row r="153" spans="2:14" ht="20.100000000000001" customHeight="1" x14ac:dyDescent="0.25"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</row>
    <row r="154" spans="2:14" ht="20.100000000000001" customHeight="1" x14ac:dyDescent="0.25"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</row>
    <row r="155" spans="2:14" ht="20.100000000000001" customHeight="1" x14ac:dyDescent="0.25"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</row>
    <row r="156" spans="2:14" ht="20.100000000000001" customHeight="1" x14ac:dyDescent="0.25"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</row>
    <row r="157" spans="2:14" ht="20.100000000000001" customHeight="1" x14ac:dyDescent="0.25"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</row>
    <row r="158" spans="2:14" ht="20.100000000000001" customHeight="1" x14ac:dyDescent="0.25"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</row>
    <row r="159" spans="2:14" ht="20.100000000000001" customHeight="1" x14ac:dyDescent="0.25"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</row>
    <row r="160" spans="2:14" ht="20.100000000000001" customHeight="1" x14ac:dyDescent="0.25"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</row>
    <row r="161" spans="2:14" ht="20.100000000000001" customHeight="1" x14ac:dyDescent="0.25"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</row>
    <row r="162" spans="2:14" ht="20.100000000000001" customHeight="1" x14ac:dyDescent="0.25"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</row>
    <row r="163" spans="2:14" ht="20.100000000000001" customHeight="1" x14ac:dyDescent="0.25"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</row>
    <row r="164" spans="2:14" ht="20.100000000000001" customHeight="1" x14ac:dyDescent="0.25"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</row>
    <row r="165" spans="2:14" ht="20.100000000000001" customHeight="1" x14ac:dyDescent="0.25"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</row>
    <row r="166" spans="2:14" ht="20.100000000000001" customHeight="1" x14ac:dyDescent="0.25"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</row>
    <row r="167" spans="2:14" ht="20.100000000000001" customHeight="1" x14ac:dyDescent="0.25"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</row>
    <row r="168" spans="2:14" ht="20.100000000000001" customHeight="1" x14ac:dyDescent="0.25"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</row>
    <row r="169" spans="2:14" ht="20.100000000000001" customHeight="1" x14ac:dyDescent="0.25"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</row>
    <row r="170" spans="2:14" ht="20.100000000000001" customHeight="1" x14ac:dyDescent="0.25"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</row>
    <row r="171" spans="2:14" ht="20.100000000000001" customHeight="1" x14ac:dyDescent="0.25"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</row>
    <row r="172" spans="2:14" ht="20.100000000000001" customHeight="1" x14ac:dyDescent="0.25"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</row>
    <row r="173" spans="2:14" ht="20.100000000000001" customHeight="1" x14ac:dyDescent="0.25"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</row>
    <row r="174" spans="2:14" ht="20.100000000000001" customHeight="1" x14ac:dyDescent="0.25"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</row>
  </sheetData>
  <mergeCells count="10">
    <mergeCell ref="B1:AE1"/>
    <mergeCell ref="B2:AE2"/>
    <mergeCell ref="C3:G3"/>
    <mergeCell ref="G5:H5"/>
    <mergeCell ref="G6:H6"/>
    <mergeCell ref="R8:AF8"/>
    <mergeCell ref="D6:E6"/>
    <mergeCell ref="K5:L5"/>
    <mergeCell ref="K6:L6"/>
    <mergeCell ref="D5:E5"/>
  </mergeCells>
  <pageMargins left="0" right="0" top="0" bottom="0" header="0.15748031496063" footer="0.118110236220472"/>
  <pageSetup paperSize="9" scale="21" orientation="landscape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17</vt:i4>
      </vt:variant>
      <vt:variant>
        <vt:lpstr>Named Ranges</vt:lpstr>
      </vt:variant>
      <vt:variant>
        <vt:i4>34</vt:i4>
      </vt:variant>
    </vt:vector>
  </HeadingPairs>
  <TitlesOfParts>
    <vt:vector size="51" baseType="lpstr">
      <vt:lpstr>17.10 Busembatya-Butongole</vt:lpstr>
      <vt:lpstr>17.10 Butongole-Busembatya</vt:lpstr>
      <vt:lpstr>18.10 Busembatya-Butongole</vt:lpstr>
      <vt:lpstr>18.10 Butongole-Busembatya</vt:lpstr>
      <vt:lpstr>19.10 Busembatya-Butongole 24h</vt:lpstr>
      <vt:lpstr>19.10 Butongole-Busembatya-24h</vt:lpstr>
      <vt:lpstr>20.10 Busembatya-Butongole</vt:lpstr>
      <vt:lpstr>20.10 Butongole-Busembatya</vt:lpstr>
      <vt:lpstr>21.10 Busembatya-Butongole-24h</vt:lpstr>
      <vt:lpstr>21.10 -Butongole-Bsembatya-24h</vt:lpstr>
      <vt:lpstr>22.10 Busembatya-Butongole</vt:lpstr>
      <vt:lpstr>22.10 Butongole-Busembatya</vt:lpstr>
      <vt:lpstr>23.10 Busembtya-Butongole</vt:lpstr>
      <vt:lpstr>23.10 Butongole-Busembatya</vt:lpstr>
      <vt:lpstr>Avg Week  Busembatya-Butongole</vt:lpstr>
      <vt:lpstr>Avg Week Butongole-Bsembatya</vt:lpstr>
      <vt:lpstr>AvgWeekButongole-Busembaty-2Dir</vt:lpstr>
      <vt:lpstr>'17.10 Busembatya-Butongole'!Print_Area</vt:lpstr>
      <vt:lpstr>'17.10 Butongole-Busembatya'!Print_Area</vt:lpstr>
      <vt:lpstr>'18.10 Busembatya-Butongole'!Print_Area</vt:lpstr>
      <vt:lpstr>'18.10 Butongole-Busembatya'!Print_Area</vt:lpstr>
      <vt:lpstr>'19.10 Busembatya-Butongole 24h'!Print_Area</vt:lpstr>
      <vt:lpstr>'19.10 Butongole-Busembatya-24h'!Print_Area</vt:lpstr>
      <vt:lpstr>'20.10 Busembatya-Butongole'!Print_Area</vt:lpstr>
      <vt:lpstr>'20.10 Butongole-Busembatya'!Print_Area</vt:lpstr>
      <vt:lpstr>'21.10 Busembatya-Butongole-24h'!Print_Area</vt:lpstr>
      <vt:lpstr>'21.10 -Butongole-Bsembatya-24h'!Print_Area</vt:lpstr>
      <vt:lpstr>'22.10 Busembatya-Butongole'!Print_Area</vt:lpstr>
      <vt:lpstr>'22.10 Butongole-Busembatya'!Print_Area</vt:lpstr>
      <vt:lpstr>'23.10 Busembtya-Butongole'!Print_Area</vt:lpstr>
      <vt:lpstr>'23.10 Butongole-Busembatya'!Print_Area</vt:lpstr>
      <vt:lpstr>'Avg Week  Busembatya-Butongole'!Print_Area</vt:lpstr>
      <vt:lpstr>'Avg Week Butongole-Bsembatya'!Print_Area</vt:lpstr>
      <vt:lpstr>'AvgWeekButongole-Busembaty-2Dir'!Print_Area</vt:lpstr>
      <vt:lpstr>'17.10 Busembatya-Butongole'!Print_Titles</vt:lpstr>
      <vt:lpstr>'17.10 Butongole-Busembatya'!Print_Titles</vt:lpstr>
      <vt:lpstr>'18.10 Busembatya-Butongole'!Print_Titles</vt:lpstr>
      <vt:lpstr>'18.10 Butongole-Busembatya'!Print_Titles</vt:lpstr>
      <vt:lpstr>'19.10 Busembatya-Butongole 24h'!Print_Titles</vt:lpstr>
      <vt:lpstr>'19.10 Butongole-Busembatya-24h'!Print_Titles</vt:lpstr>
      <vt:lpstr>'20.10 Busembatya-Butongole'!Print_Titles</vt:lpstr>
      <vt:lpstr>'20.10 Butongole-Busembatya'!Print_Titles</vt:lpstr>
      <vt:lpstr>'21.10 Busembatya-Butongole-24h'!Print_Titles</vt:lpstr>
      <vt:lpstr>'21.10 -Butongole-Bsembatya-24h'!Print_Titles</vt:lpstr>
      <vt:lpstr>'22.10 Busembatya-Butongole'!Print_Titles</vt:lpstr>
      <vt:lpstr>'22.10 Butongole-Busembatya'!Print_Titles</vt:lpstr>
      <vt:lpstr>'23.10 Busembtya-Butongole'!Print_Titles</vt:lpstr>
      <vt:lpstr>'23.10 Butongole-Busembatya'!Print_Titles</vt:lpstr>
      <vt:lpstr>'Avg Week  Busembatya-Butongole'!Print_Titles</vt:lpstr>
      <vt:lpstr>'Avg Week Butongole-Bsembatya'!Print_Titles</vt:lpstr>
      <vt:lpstr>'AvgWeekButongole-Busembaty-2Dir'!Print_Titles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steward consultancy</dc:creator>
  <cp:lastModifiedBy>st</cp:lastModifiedBy>
  <cp:lastPrinted>2019-07-25T18:18:41Z</cp:lastPrinted>
  <dcterms:created xsi:type="dcterms:W3CDTF">2010-07-06T07:39:49Z</dcterms:created>
  <dcterms:modified xsi:type="dcterms:W3CDTF">2019-11-29T06:58:00Z</dcterms:modified>
</cp:coreProperties>
</file>