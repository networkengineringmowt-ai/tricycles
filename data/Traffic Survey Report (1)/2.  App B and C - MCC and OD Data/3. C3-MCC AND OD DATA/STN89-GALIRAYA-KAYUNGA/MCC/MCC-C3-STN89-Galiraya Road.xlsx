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Complete-Steve\STN89-GALIRAYA-KAYUNGA\MCC\"/>
    </mc:Choice>
  </mc:AlternateContent>
  <bookViews>
    <workbookView xWindow="-120" yWindow="-120" windowWidth="20730" windowHeight="11160" tabRatio="916" firstSheet="14" activeTab="14"/>
  </bookViews>
  <sheets>
    <sheet name="17.10 KAYUNGA-GALIRAYA" sheetId="93" r:id="rId1"/>
    <sheet name="17.10 GALIRAYA-KAYUNGA" sheetId="94" r:id="rId2"/>
    <sheet name="18.10 KAYUNGA-GALIRAYA" sheetId="95" r:id="rId3"/>
    <sheet name="18.10 GALIRAYA-KAYUNGA" sheetId="96" r:id="rId4"/>
    <sheet name="19.10 KAYUNGA-GALIRAYA-24h" sheetId="101" r:id="rId5"/>
    <sheet name="19.10 GALIRAYA-KAYUNGA-24h" sheetId="109" r:id="rId6"/>
    <sheet name="20.10 KAYUNGA-GALIRAYA" sheetId="97" r:id="rId7"/>
    <sheet name="20.10 GALIRAYA-KAYUNGA" sheetId="98" r:id="rId8"/>
    <sheet name="21.10 KAYUNGA-GALIRAYA-24h" sheetId="105" r:id="rId9"/>
    <sheet name="21.10 GALIRAYA-KAYUNGA-24h" sheetId="110" r:id="rId10"/>
    <sheet name="22.10 KAYUNGA-GALIRAYA" sheetId="99" r:id="rId11"/>
    <sheet name="22.10 GALIRAYA-KAYUNGA" sheetId="100" r:id="rId12"/>
    <sheet name="23.10 KAYUNGA-GALIRAYA" sheetId="103" r:id="rId13"/>
    <sheet name="23.10 GALIRAYA-KAYUNGA" sheetId="104" r:id="rId14"/>
    <sheet name="Avg Week KAYUNGA-GALIRAYA" sheetId="107" r:id="rId15"/>
    <sheet name="Avg Week GALIRAYA-KAYUNG" sheetId="108" r:id="rId16"/>
    <sheet name="Avg Week KAYUNGA-GALIRAYA-2Dir" sheetId="111" r:id="rId17"/>
  </sheets>
  <definedNames>
    <definedName name="_xlnm.Print_Area" localSheetId="1">'17.10 GALIRAYA-KAYUNGA'!$A$1:$AF$60</definedName>
    <definedName name="_xlnm.Print_Area" localSheetId="0">'17.10 KAYUNGA-GALIRAYA'!$A$1:$AF$60</definedName>
    <definedName name="_xlnm.Print_Area" localSheetId="3">'18.10 GALIRAYA-KAYUNGA'!$A$1:$AF$60</definedName>
    <definedName name="_xlnm.Print_Area" localSheetId="2">'18.10 KAYUNGA-GALIRAYA'!$A$1:$AF$60</definedName>
    <definedName name="_xlnm.Print_Area" localSheetId="5">'19.10 GALIRAYA-KAYUNGA-24h'!$A$1:$AF$108</definedName>
    <definedName name="_xlnm.Print_Area" localSheetId="4">'19.10 KAYUNGA-GALIRAYA-24h'!$A$1:$AF$108</definedName>
    <definedName name="_xlnm.Print_Area" localSheetId="7">'20.10 GALIRAYA-KAYUNGA'!$A$1:$AF$60</definedName>
    <definedName name="_xlnm.Print_Area" localSheetId="6">'20.10 KAYUNGA-GALIRAYA'!$A$1:$AF$60</definedName>
    <definedName name="_xlnm.Print_Area" localSheetId="9">'21.10 GALIRAYA-KAYUNGA-24h'!$A$1:$AF$108</definedName>
    <definedName name="_xlnm.Print_Area" localSheetId="8">'21.10 KAYUNGA-GALIRAYA-24h'!$A$1:$AF$108</definedName>
    <definedName name="_xlnm.Print_Area" localSheetId="11">'22.10 GALIRAYA-KAYUNGA'!$A$1:$AF$60</definedName>
    <definedName name="_xlnm.Print_Area" localSheetId="10">'22.10 KAYUNGA-GALIRAYA'!$A$1:$AF$60</definedName>
    <definedName name="_xlnm.Print_Area" localSheetId="13">'23.10 GALIRAYA-KAYUNGA'!$A$1:$AF$60</definedName>
    <definedName name="_xlnm.Print_Area" localSheetId="12">'23.10 KAYUNGA-GALIRAYA'!$A$1:$AF$60</definedName>
    <definedName name="_xlnm.Print_Area" localSheetId="15">'Avg Week GALIRAYA-KAYUNG'!$A$1:$AF$108</definedName>
    <definedName name="_xlnm.Print_Area" localSheetId="14">'Avg Week KAYUNGA-GALIRAYA'!$A$1:$AF$108</definedName>
    <definedName name="_xlnm.Print_Area" localSheetId="16">'Avg Week KAYUNGA-GALIRAYA-2Dir'!$A$1:$AF$108</definedName>
    <definedName name="_xlnm.Print_Titles" localSheetId="1">'17.10 GALIRAYA-KAYUNGA'!$1:$8</definedName>
    <definedName name="_xlnm.Print_Titles" localSheetId="0">'17.10 KAYUNGA-GALIRAYA'!$1:$8</definedName>
    <definedName name="_xlnm.Print_Titles" localSheetId="3">'18.10 GALIRAYA-KAYUNGA'!$1:$8</definedName>
    <definedName name="_xlnm.Print_Titles" localSheetId="2">'18.10 KAYUNGA-GALIRAYA'!$1:$8</definedName>
    <definedName name="_xlnm.Print_Titles" localSheetId="5">'19.10 GALIRAYA-KAYUNGA-24h'!$1:$8</definedName>
    <definedName name="_xlnm.Print_Titles" localSheetId="4">'19.10 KAYUNGA-GALIRAYA-24h'!$1:$8</definedName>
    <definedName name="_xlnm.Print_Titles" localSheetId="7">'20.10 GALIRAYA-KAYUNGA'!$1:$8</definedName>
    <definedName name="_xlnm.Print_Titles" localSheetId="6">'20.10 KAYUNGA-GALIRAYA'!$1:$8</definedName>
    <definedName name="_xlnm.Print_Titles" localSheetId="9">'21.10 GALIRAYA-KAYUNGA-24h'!$1:$8</definedName>
    <definedName name="_xlnm.Print_Titles" localSheetId="8">'21.10 KAYUNGA-GALIRAYA-24h'!$1:$8</definedName>
    <definedName name="_xlnm.Print_Titles" localSheetId="11">'22.10 GALIRAYA-KAYUNGA'!$1:$8</definedName>
    <definedName name="_xlnm.Print_Titles" localSheetId="10">'22.10 KAYUNGA-GALIRAYA'!$1:$8</definedName>
    <definedName name="_xlnm.Print_Titles" localSheetId="13">'23.10 GALIRAYA-KAYUNGA'!$1:$8</definedName>
    <definedName name="_xlnm.Print_Titles" localSheetId="12">'23.10 KAYUNGA-GALIRAYA'!$1:$8</definedName>
    <definedName name="_xlnm.Print_Titles" localSheetId="15">'Avg Week GALIRAYA-KAYUNG'!$1:$8</definedName>
    <definedName name="_xlnm.Print_Titles" localSheetId="14">'Avg Week KAYUNGA-GALIRAYA'!$1:$8</definedName>
    <definedName name="_xlnm.Print_Titles" localSheetId="16">'Avg Week KAYUNGA-GALIRAYA-2Dir'!$1:$8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6" i="108" l="1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106" i="111"/>
  <c r="E106" i="111"/>
  <c r="F106" i="111"/>
  <c r="G106" i="111"/>
  <c r="H106" i="111"/>
  <c r="I106" i="111"/>
  <c r="J106" i="111"/>
  <c r="K106" i="111"/>
  <c r="L106" i="111"/>
  <c r="M106" i="111"/>
  <c r="N106" i="111"/>
  <c r="O106" i="111"/>
  <c r="P106" i="111"/>
  <c r="C106" i="111"/>
  <c r="P58" i="111" l="1"/>
  <c r="P59" i="111"/>
  <c r="P60" i="111"/>
  <c r="AF22" i="111" s="1"/>
  <c r="P61" i="111"/>
  <c r="P62" i="111"/>
  <c r="P63" i="111"/>
  <c r="P64" i="111"/>
  <c r="P65" i="111"/>
  <c r="AF23" i="111" s="1"/>
  <c r="P66" i="111"/>
  <c r="P67" i="111"/>
  <c r="P68" i="111"/>
  <c r="AF24" i="111" s="1"/>
  <c r="P69" i="111"/>
  <c r="P70" i="111"/>
  <c r="P71" i="111"/>
  <c r="P72" i="111"/>
  <c r="AF25" i="111" s="1"/>
  <c r="P73" i="111"/>
  <c r="P74" i="111"/>
  <c r="P75" i="111"/>
  <c r="P76" i="111"/>
  <c r="P77" i="111"/>
  <c r="P78" i="111"/>
  <c r="P79" i="111"/>
  <c r="P80" i="111"/>
  <c r="AF27" i="111" s="1"/>
  <c r="P81" i="111"/>
  <c r="P82" i="111"/>
  <c r="P83" i="111"/>
  <c r="P84" i="111"/>
  <c r="P85" i="111"/>
  <c r="AF28" i="111" s="1"/>
  <c r="P86" i="111"/>
  <c r="P87" i="111"/>
  <c r="P88" i="111"/>
  <c r="P89" i="111"/>
  <c r="P90" i="111"/>
  <c r="P91" i="111"/>
  <c r="P92" i="111"/>
  <c r="AF30" i="111" s="1"/>
  <c r="P93" i="111"/>
  <c r="P94" i="111"/>
  <c r="P95" i="111"/>
  <c r="P96" i="111"/>
  <c r="P97" i="111"/>
  <c r="AF31" i="111" s="1"/>
  <c r="P98" i="111"/>
  <c r="P99" i="111"/>
  <c r="P100" i="111"/>
  <c r="AF32" i="111" s="1"/>
  <c r="P101" i="111"/>
  <c r="P102" i="111"/>
  <c r="P103" i="111"/>
  <c r="P104" i="111"/>
  <c r="AF33" i="111" s="1"/>
  <c r="P105" i="111"/>
  <c r="O105" i="111"/>
  <c r="O58" i="111"/>
  <c r="O59" i="111"/>
  <c r="AE22" i="111" s="1"/>
  <c r="O60" i="111"/>
  <c r="O61" i="111"/>
  <c r="O62" i="111"/>
  <c r="O63" i="111"/>
  <c r="O64" i="111"/>
  <c r="O65" i="111"/>
  <c r="O66" i="111"/>
  <c r="O67" i="111"/>
  <c r="AE24" i="111" s="1"/>
  <c r="O68" i="111"/>
  <c r="O69" i="111"/>
  <c r="O70" i="111"/>
  <c r="O71" i="111"/>
  <c r="O72" i="111"/>
  <c r="O73" i="111"/>
  <c r="O74" i="111"/>
  <c r="O75" i="111"/>
  <c r="AE26" i="111" s="1"/>
  <c r="O76" i="111"/>
  <c r="O77" i="111"/>
  <c r="O78" i="111"/>
  <c r="O79" i="111"/>
  <c r="O80" i="111"/>
  <c r="O81" i="111"/>
  <c r="O82" i="111"/>
  <c r="O83" i="111"/>
  <c r="AE28" i="111" s="1"/>
  <c r="O84" i="111"/>
  <c r="O85" i="111"/>
  <c r="O86" i="111"/>
  <c r="O87" i="111"/>
  <c r="O88" i="111"/>
  <c r="O89" i="111"/>
  <c r="O90" i="111"/>
  <c r="O91" i="111"/>
  <c r="AE30" i="111" s="1"/>
  <c r="O92" i="111"/>
  <c r="O93" i="111"/>
  <c r="O94" i="111"/>
  <c r="O95" i="111"/>
  <c r="O96" i="111"/>
  <c r="O97" i="111"/>
  <c r="O98" i="111"/>
  <c r="O99" i="111"/>
  <c r="AE32" i="111" s="1"/>
  <c r="O100" i="111"/>
  <c r="O101" i="111"/>
  <c r="O102" i="111"/>
  <c r="O103" i="111"/>
  <c r="O104" i="111"/>
  <c r="C59" i="111"/>
  <c r="D59" i="111"/>
  <c r="E59" i="111"/>
  <c r="U22" i="111" s="1"/>
  <c r="F59" i="111"/>
  <c r="G59" i="111"/>
  <c r="H59" i="111"/>
  <c r="I59" i="111"/>
  <c r="J59" i="111"/>
  <c r="K59" i="111"/>
  <c r="L59" i="111"/>
  <c r="M59" i="111"/>
  <c r="AC22" i="111" s="1"/>
  <c r="N59" i="111"/>
  <c r="C60" i="111"/>
  <c r="D60" i="111"/>
  <c r="E60" i="111"/>
  <c r="F60" i="111"/>
  <c r="G60" i="111"/>
  <c r="H60" i="111"/>
  <c r="I60" i="111"/>
  <c r="J60" i="111"/>
  <c r="K60" i="111"/>
  <c r="L60" i="111"/>
  <c r="M60" i="111"/>
  <c r="N60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E62" i="111"/>
  <c r="U23" i="111" s="1"/>
  <c r="F62" i="111"/>
  <c r="G62" i="111"/>
  <c r="H62" i="111"/>
  <c r="I62" i="111"/>
  <c r="Y23" i="111" s="1"/>
  <c r="J62" i="111"/>
  <c r="K62" i="111"/>
  <c r="L62" i="111"/>
  <c r="M62" i="111"/>
  <c r="AC23" i="111" s="1"/>
  <c r="N62" i="111"/>
  <c r="C63" i="11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F65" i="111"/>
  <c r="G65" i="111"/>
  <c r="H65" i="111"/>
  <c r="I65" i="111"/>
  <c r="J65" i="111"/>
  <c r="K65" i="111"/>
  <c r="L65" i="111"/>
  <c r="M65" i="111"/>
  <c r="N65" i="111"/>
  <c r="C66" i="111"/>
  <c r="D66" i="111"/>
  <c r="E66" i="111"/>
  <c r="F66" i="111"/>
  <c r="V24" i="111" s="1"/>
  <c r="G66" i="111"/>
  <c r="H66" i="111"/>
  <c r="I66" i="111"/>
  <c r="J66" i="111"/>
  <c r="Z24" i="111" s="1"/>
  <c r="K66" i="111"/>
  <c r="L66" i="111"/>
  <c r="M66" i="111"/>
  <c r="N66" i="111"/>
  <c r="AD24" i="111" s="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U25" i="111" s="1"/>
  <c r="F70" i="111"/>
  <c r="G70" i="111"/>
  <c r="H70" i="111"/>
  <c r="I70" i="111"/>
  <c r="Y25" i="111" s="1"/>
  <c r="J70" i="111"/>
  <c r="K70" i="111"/>
  <c r="L70" i="111"/>
  <c r="M70" i="111"/>
  <c r="AC25" i="111" s="1"/>
  <c r="N70" i="11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F73" i="111"/>
  <c r="G73" i="111"/>
  <c r="H73" i="111"/>
  <c r="I73" i="111"/>
  <c r="J73" i="111"/>
  <c r="K73" i="111"/>
  <c r="L73" i="111"/>
  <c r="M73" i="111"/>
  <c r="N73" i="111"/>
  <c r="C74" i="111"/>
  <c r="D74" i="111"/>
  <c r="E74" i="111"/>
  <c r="F74" i="111"/>
  <c r="V26" i="111" s="1"/>
  <c r="G74" i="111"/>
  <c r="H74" i="111"/>
  <c r="I74" i="111"/>
  <c r="J74" i="111"/>
  <c r="Z26" i="111" s="1"/>
  <c r="K74" i="111"/>
  <c r="L74" i="111"/>
  <c r="M74" i="111"/>
  <c r="N74" i="111"/>
  <c r="AD26" i="111" s="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E78" i="111"/>
  <c r="U27" i="111" s="1"/>
  <c r="F78" i="111"/>
  <c r="G78" i="111"/>
  <c r="H78" i="111"/>
  <c r="I78" i="111"/>
  <c r="Y27" i="111" s="1"/>
  <c r="J78" i="111"/>
  <c r="K78" i="111"/>
  <c r="L78" i="111"/>
  <c r="M78" i="111"/>
  <c r="AC27" i="111" s="1"/>
  <c r="N78" i="11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F81" i="111"/>
  <c r="G81" i="111"/>
  <c r="H81" i="111"/>
  <c r="I81" i="111"/>
  <c r="J81" i="111"/>
  <c r="K81" i="111"/>
  <c r="L81" i="111"/>
  <c r="M81" i="111"/>
  <c r="N81" i="111"/>
  <c r="C82" i="111"/>
  <c r="D82" i="111"/>
  <c r="E82" i="111"/>
  <c r="F82" i="111"/>
  <c r="V28" i="111" s="1"/>
  <c r="G82" i="111"/>
  <c r="H82" i="111"/>
  <c r="I82" i="111"/>
  <c r="J82" i="111"/>
  <c r="Z28" i="111" s="1"/>
  <c r="K82" i="111"/>
  <c r="L82" i="111"/>
  <c r="M82" i="111"/>
  <c r="N82" i="111"/>
  <c r="AD28" i="111" s="1"/>
  <c r="C83" i="111"/>
  <c r="D83" i="111"/>
  <c r="E83" i="11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G84" i="111"/>
  <c r="H84" i="111"/>
  <c r="I84" i="111"/>
  <c r="J84" i="111"/>
  <c r="K84" i="111"/>
  <c r="L84" i="111"/>
  <c r="M84" i="111"/>
  <c r="N84" i="111"/>
  <c r="C85" i="111"/>
  <c r="D85" i="111"/>
  <c r="E85" i="111"/>
  <c r="F85" i="111"/>
  <c r="G85" i="111"/>
  <c r="H85" i="111"/>
  <c r="I85" i="111"/>
  <c r="J85" i="111"/>
  <c r="K85" i="111"/>
  <c r="L85" i="111"/>
  <c r="M85" i="111"/>
  <c r="N85" i="111"/>
  <c r="C86" i="111"/>
  <c r="D86" i="111"/>
  <c r="E86" i="111"/>
  <c r="U29" i="111" s="1"/>
  <c r="F86" i="111"/>
  <c r="G86" i="111"/>
  <c r="H86" i="111"/>
  <c r="I86" i="111"/>
  <c r="Y29" i="111" s="1"/>
  <c r="J86" i="111"/>
  <c r="K86" i="111"/>
  <c r="L86" i="111"/>
  <c r="M86" i="111"/>
  <c r="AC29" i="111" s="1"/>
  <c r="N86" i="111"/>
  <c r="C87" i="111"/>
  <c r="D87" i="111"/>
  <c r="E87" i="11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J88" i="111"/>
  <c r="K88" i="111"/>
  <c r="L88" i="111"/>
  <c r="M88" i="111"/>
  <c r="N88" i="111"/>
  <c r="C89" i="111"/>
  <c r="D89" i="111"/>
  <c r="E89" i="111"/>
  <c r="F89" i="111"/>
  <c r="G89" i="111"/>
  <c r="H89" i="111"/>
  <c r="I89" i="111"/>
  <c r="J89" i="111"/>
  <c r="K89" i="111"/>
  <c r="L89" i="111"/>
  <c r="M89" i="111"/>
  <c r="N89" i="111"/>
  <c r="C90" i="111"/>
  <c r="D90" i="111"/>
  <c r="E90" i="111"/>
  <c r="F90" i="111"/>
  <c r="V30" i="111" s="1"/>
  <c r="G90" i="111"/>
  <c r="H90" i="111"/>
  <c r="I90" i="111"/>
  <c r="J90" i="111"/>
  <c r="Z30" i="111" s="1"/>
  <c r="K90" i="111"/>
  <c r="L90" i="111"/>
  <c r="M90" i="111"/>
  <c r="N90" i="111"/>
  <c r="AD30" i="111" s="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E94" i="111"/>
  <c r="U31" i="111" s="1"/>
  <c r="F94" i="111"/>
  <c r="G94" i="111"/>
  <c r="H94" i="111"/>
  <c r="I94" i="111"/>
  <c r="Y31" i="111" s="1"/>
  <c r="J94" i="111"/>
  <c r="K94" i="111"/>
  <c r="L94" i="111"/>
  <c r="M94" i="111"/>
  <c r="AC31" i="111" s="1"/>
  <c r="N94" i="11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D98" i="111"/>
  <c r="E98" i="111"/>
  <c r="F98" i="111"/>
  <c r="V32" i="111" s="1"/>
  <c r="G98" i="111"/>
  <c r="H98" i="111"/>
  <c r="I98" i="111"/>
  <c r="J98" i="111"/>
  <c r="Z32" i="111" s="1"/>
  <c r="K98" i="111"/>
  <c r="L98" i="111"/>
  <c r="M98" i="111"/>
  <c r="N98" i="111"/>
  <c r="AD32" i="111" s="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C102" i="111"/>
  <c r="D102" i="111"/>
  <c r="E102" i="111"/>
  <c r="U33" i="111" s="1"/>
  <c r="F102" i="111"/>
  <c r="G102" i="111"/>
  <c r="H102" i="111"/>
  <c r="I102" i="111"/>
  <c r="Y33" i="111" s="1"/>
  <c r="J102" i="111"/>
  <c r="K102" i="111"/>
  <c r="L102" i="111"/>
  <c r="M102" i="111"/>
  <c r="AC33" i="111" s="1"/>
  <c r="N102" i="111"/>
  <c r="C103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D58" i="111"/>
  <c r="E58" i="111"/>
  <c r="F58" i="111"/>
  <c r="G58" i="111"/>
  <c r="W22" i="111" s="1"/>
  <c r="H58" i="111"/>
  <c r="I58" i="111"/>
  <c r="J58" i="111"/>
  <c r="K58" i="111"/>
  <c r="AA22" i="111" s="1"/>
  <c r="L58" i="111"/>
  <c r="M58" i="111"/>
  <c r="N58" i="111"/>
  <c r="C58" i="111"/>
  <c r="P58" i="108"/>
  <c r="P59" i="108"/>
  <c r="P60" i="108"/>
  <c r="AF22" i="108" s="1"/>
  <c r="P61" i="108"/>
  <c r="P62" i="108"/>
  <c r="P63" i="108"/>
  <c r="P64" i="108"/>
  <c r="P65" i="108"/>
  <c r="P66" i="108"/>
  <c r="P67" i="108"/>
  <c r="P68" i="108"/>
  <c r="AF24" i="108" s="1"/>
  <c r="P69" i="108"/>
  <c r="P70" i="108"/>
  <c r="P71" i="108"/>
  <c r="P72" i="108"/>
  <c r="P73" i="108"/>
  <c r="P74" i="108"/>
  <c r="P75" i="108"/>
  <c r="P76" i="108"/>
  <c r="AF26" i="108" s="1"/>
  <c r="P77" i="108"/>
  <c r="P78" i="108"/>
  <c r="P79" i="108"/>
  <c r="P80" i="108"/>
  <c r="P81" i="108"/>
  <c r="AF27" i="108" s="1"/>
  <c r="P82" i="108"/>
  <c r="P83" i="108"/>
  <c r="P84" i="108"/>
  <c r="AF28" i="108" s="1"/>
  <c r="P85" i="108"/>
  <c r="P86" i="108"/>
  <c r="P87" i="108"/>
  <c r="P88" i="108"/>
  <c r="P89" i="108"/>
  <c r="AF29" i="108" s="1"/>
  <c r="P90" i="108"/>
  <c r="P91" i="108"/>
  <c r="P92" i="108"/>
  <c r="P93" i="108"/>
  <c r="P94" i="108"/>
  <c r="P95" i="108"/>
  <c r="P96" i="108"/>
  <c r="AF31" i="108" s="1"/>
  <c r="P97" i="108"/>
  <c r="P98" i="108"/>
  <c r="P99" i="108"/>
  <c r="P100" i="108"/>
  <c r="P101" i="108"/>
  <c r="P102" i="108"/>
  <c r="P103" i="108"/>
  <c r="P104" i="108"/>
  <c r="AF33" i="108" s="1"/>
  <c r="P105" i="108"/>
  <c r="O58" i="108"/>
  <c r="O59" i="108"/>
  <c r="O60" i="108"/>
  <c r="O61" i="108"/>
  <c r="O62" i="108"/>
  <c r="O63" i="108"/>
  <c r="O64" i="108"/>
  <c r="O65" i="108"/>
  <c r="AE23" i="108" s="1"/>
  <c r="O66" i="108"/>
  <c r="O67" i="108"/>
  <c r="O68" i="108"/>
  <c r="O69" i="108"/>
  <c r="AE24" i="108" s="1"/>
  <c r="O70" i="108"/>
  <c r="O71" i="108"/>
  <c r="O72" i="108"/>
  <c r="O73" i="108"/>
  <c r="AE25" i="108" s="1"/>
  <c r="O74" i="108"/>
  <c r="O75" i="108"/>
  <c r="O76" i="108"/>
  <c r="O77" i="108"/>
  <c r="O78" i="108"/>
  <c r="O79" i="108"/>
  <c r="O80" i="108"/>
  <c r="O81" i="108"/>
  <c r="AE27" i="108" s="1"/>
  <c r="O82" i="108"/>
  <c r="O83" i="108"/>
  <c r="O84" i="108"/>
  <c r="O85" i="108"/>
  <c r="AE28" i="108" s="1"/>
  <c r="O86" i="108"/>
  <c r="O87" i="108"/>
  <c r="O88" i="108"/>
  <c r="O89" i="108"/>
  <c r="AE29" i="108" s="1"/>
  <c r="O90" i="108"/>
  <c r="O91" i="108"/>
  <c r="O92" i="108"/>
  <c r="O93" i="108"/>
  <c r="O94" i="108"/>
  <c r="O95" i="108"/>
  <c r="O96" i="108"/>
  <c r="O97" i="108"/>
  <c r="AE31" i="108" s="1"/>
  <c r="O98" i="108"/>
  <c r="O99" i="108"/>
  <c r="O100" i="108"/>
  <c r="O101" i="108"/>
  <c r="AE32" i="108" s="1"/>
  <c r="O102" i="108"/>
  <c r="O103" i="108"/>
  <c r="O104" i="108"/>
  <c r="O105" i="108"/>
  <c r="AE33" i="108" s="1"/>
  <c r="C59" i="108"/>
  <c r="D59" i="108"/>
  <c r="E59" i="108"/>
  <c r="U22" i="108" s="1"/>
  <c r="F59" i="108"/>
  <c r="G59" i="108"/>
  <c r="H59" i="108"/>
  <c r="I59" i="108"/>
  <c r="Y22" i="108" s="1"/>
  <c r="J59" i="108"/>
  <c r="Z22" i="108" s="1"/>
  <c r="K59" i="108"/>
  <c r="L59" i="108"/>
  <c r="M59" i="108"/>
  <c r="N59" i="108"/>
  <c r="AD22" i="108" s="1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U23" i="108" s="1"/>
  <c r="F62" i="108"/>
  <c r="G62" i="108"/>
  <c r="H62" i="108"/>
  <c r="I62" i="108"/>
  <c r="Y23" i="108" s="1"/>
  <c r="J62" i="108"/>
  <c r="K62" i="108"/>
  <c r="L62" i="108"/>
  <c r="M62" i="108"/>
  <c r="AC23" i="108" s="1"/>
  <c r="N62" i="108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V24" i="108" s="1"/>
  <c r="G66" i="108"/>
  <c r="H66" i="108"/>
  <c r="I66" i="108"/>
  <c r="J66" i="108"/>
  <c r="Z24" i="108" s="1"/>
  <c r="K66" i="108"/>
  <c r="L66" i="108"/>
  <c r="M66" i="108"/>
  <c r="N66" i="108"/>
  <c r="AD24" i="108" s="1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U25" i="108" s="1"/>
  <c r="F70" i="108"/>
  <c r="G70" i="108"/>
  <c r="H70" i="108"/>
  <c r="I70" i="108"/>
  <c r="Y25" i="108" s="1"/>
  <c r="J70" i="108"/>
  <c r="K70" i="108"/>
  <c r="L70" i="108"/>
  <c r="M70" i="108"/>
  <c r="AC25" i="108" s="1"/>
  <c r="N70" i="108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V26" i="108" s="1"/>
  <c r="G74" i="108"/>
  <c r="H74" i="108"/>
  <c r="I74" i="108"/>
  <c r="J74" i="108"/>
  <c r="Z26" i="108" s="1"/>
  <c r="K74" i="108"/>
  <c r="L74" i="108"/>
  <c r="M74" i="108"/>
  <c r="N74" i="108"/>
  <c r="AD26" i="108" s="1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U27" i="108" s="1"/>
  <c r="F78" i="108"/>
  <c r="G78" i="108"/>
  <c r="H78" i="108"/>
  <c r="I78" i="108"/>
  <c r="Y27" i="108" s="1"/>
  <c r="J78" i="108"/>
  <c r="K78" i="108"/>
  <c r="L78" i="108"/>
  <c r="M78" i="108"/>
  <c r="AC27" i="108" s="1"/>
  <c r="N78" i="108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V28" i="108" s="1"/>
  <c r="G82" i="108"/>
  <c r="H82" i="108"/>
  <c r="I82" i="108"/>
  <c r="J82" i="108"/>
  <c r="Z28" i="108" s="1"/>
  <c r="K82" i="108"/>
  <c r="L82" i="108"/>
  <c r="M82" i="108"/>
  <c r="N82" i="108"/>
  <c r="AD28" i="108" s="1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U29" i="108" s="1"/>
  <c r="F86" i="108"/>
  <c r="G86" i="108"/>
  <c r="H86" i="108"/>
  <c r="I86" i="108"/>
  <c r="Y29" i="108" s="1"/>
  <c r="J86" i="108"/>
  <c r="K86" i="108"/>
  <c r="L86" i="108"/>
  <c r="M86" i="108"/>
  <c r="AC29" i="108" s="1"/>
  <c r="N86" i="108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V30" i="108" s="1"/>
  <c r="G90" i="108"/>
  <c r="H90" i="108"/>
  <c r="I90" i="108"/>
  <c r="J90" i="108"/>
  <c r="Z30" i="108" s="1"/>
  <c r="K90" i="108"/>
  <c r="L90" i="108"/>
  <c r="M90" i="108"/>
  <c r="N90" i="108"/>
  <c r="AD30" i="108" s="1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U31" i="108" s="1"/>
  <c r="F94" i="108"/>
  <c r="G94" i="108"/>
  <c r="H94" i="108"/>
  <c r="I94" i="108"/>
  <c r="Y31" i="108" s="1"/>
  <c r="J94" i="108"/>
  <c r="K94" i="108"/>
  <c r="L94" i="108"/>
  <c r="M94" i="108"/>
  <c r="AC31" i="108" s="1"/>
  <c r="N94" i="108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V32" i="108" s="1"/>
  <c r="G98" i="108"/>
  <c r="H98" i="108"/>
  <c r="I98" i="108"/>
  <c r="J98" i="108"/>
  <c r="Z32" i="108" s="1"/>
  <c r="K98" i="108"/>
  <c r="L98" i="108"/>
  <c r="M98" i="108"/>
  <c r="N98" i="108"/>
  <c r="AD32" i="108" s="1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U33" i="108" s="1"/>
  <c r="F102" i="108"/>
  <c r="G102" i="108"/>
  <c r="H102" i="108"/>
  <c r="I102" i="108"/>
  <c r="Y33" i="108" s="1"/>
  <c r="J102" i="108"/>
  <c r="K102" i="108"/>
  <c r="L102" i="108"/>
  <c r="M102" i="108"/>
  <c r="AC33" i="108" s="1"/>
  <c r="N102" i="108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C58" i="108"/>
  <c r="P58" i="107"/>
  <c r="P59" i="107"/>
  <c r="P60" i="107"/>
  <c r="AF22" i="107" s="1"/>
  <c r="P61" i="107"/>
  <c r="P62" i="107"/>
  <c r="P63" i="107"/>
  <c r="P64" i="107"/>
  <c r="P65" i="107"/>
  <c r="P66" i="107"/>
  <c r="P67" i="107"/>
  <c r="P68" i="107"/>
  <c r="AF24" i="107" s="1"/>
  <c r="P69" i="107"/>
  <c r="P70" i="107"/>
  <c r="P71" i="107"/>
  <c r="P72" i="107"/>
  <c r="P73" i="107"/>
  <c r="AF25" i="107" s="1"/>
  <c r="P74" i="107"/>
  <c r="P75" i="107"/>
  <c r="P76" i="107"/>
  <c r="P77" i="107"/>
  <c r="P78" i="107"/>
  <c r="P79" i="107"/>
  <c r="P80" i="107"/>
  <c r="AF27" i="107" s="1"/>
  <c r="P81" i="107"/>
  <c r="P82" i="107"/>
  <c r="P83" i="107"/>
  <c r="P84" i="107"/>
  <c r="P85" i="107"/>
  <c r="AF28" i="107" s="1"/>
  <c r="P86" i="107"/>
  <c r="P87" i="107"/>
  <c r="P88" i="107"/>
  <c r="P89" i="107"/>
  <c r="P90" i="107"/>
  <c r="P91" i="107"/>
  <c r="P92" i="107"/>
  <c r="P93" i="107"/>
  <c r="P94" i="107"/>
  <c r="P95" i="107"/>
  <c r="P96" i="107"/>
  <c r="AF31" i="107" s="1"/>
  <c r="P97" i="107"/>
  <c r="P98" i="107"/>
  <c r="P99" i="107"/>
  <c r="P100" i="107"/>
  <c r="P101" i="107"/>
  <c r="AF32" i="107" s="1"/>
  <c r="P102" i="107"/>
  <c r="P103" i="107"/>
  <c r="P104" i="107"/>
  <c r="AF33" i="107" s="1"/>
  <c r="P105" i="107"/>
  <c r="O58" i="107"/>
  <c r="O59" i="107"/>
  <c r="O60" i="107"/>
  <c r="O61" i="107"/>
  <c r="O62" i="107"/>
  <c r="O63" i="107"/>
  <c r="O64" i="107"/>
  <c r="AE23" i="107" s="1"/>
  <c r="O65" i="107"/>
  <c r="O66" i="107"/>
  <c r="O67" i="107"/>
  <c r="O68" i="107"/>
  <c r="AE24" i="107" s="1"/>
  <c r="O69" i="107"/>
  <c r="O70" i="107"/>
  <c r="O71" i="107"/>
  <c r="O72" i="107"/>
  <c r="AE25" i="107" s="1"/>
  <c r="O73" i="107"/>
  <c r="O74" i="107"/>
  <c r="O75" i="107"/>
  <c r="O76" i="107"/>
  <c r="AE26" i="107" s="1"/>
  <c r="O77" i="107"/>
  <c r="O78" i="107"/>
  <c r="O79" i="107"/>
  <c r="O80" i="107"/>
  <c r="O81" i="107"/>
  <c r="AE27" i="107" s="1"/>
  <c r="O82" i="107"/>
  <c r="O83" i="107"/>
  <c r="O84" i="107"/>
  <c r="O85" i="107"/>
  <c r="AE28" i="107" s="1"/>
  <c r="O86" i="107"/>
  <c r="O87" i="107"/>
  <c r="O88" i="107"/>
  <c r="O89" i="107"/>
  <c r="O90" i="107"/>
  <c r="O91" i="107"/>
  <c r="O92" i="107"/>
  <c r="O93" i="107"/>
  <c r="O94" i="107"/>
  <c r="O95" i="107"/>
  <c r="O96" i="107"/>
  <c r="AE31" i="107" s="1"/>
  <c r="O97" i="107"/>
  <c r="O98" i="107"/>
  <c r="O99" i="107"/>
  <c r="O100" i="107"/>
  <c r="AE32" i="107" s="1"/>
  <c r="O101" i="107"/>
  <c r="O102" i="107"/>
  <c r="O103" i="107"/>
  <c r="O104" i="107"/>
  <c r="AE33" i="107" s="1"/>
  <c r="O105" i="107"/>
  <c r="C59" i="107"/>
  <c r="D59" i="107"/>
  <c r="E59" i="107"/>
  <c r="U22" i="107" s="1"/>
  <c r="F59" i="107"/>
  <c r="V22" i="107" s="1"/>
  <c r="G59" i="107"/>
  <c r="H59" i="107"/>
  <c r="I59" i="107"/>
  <c r="Y22" i="107" s="1"/>
  <c r="J59" i="107"/>
  <c r="Z22" i="107" s="1"/>
  <c r="K59" i="107"/>
  <c r="L59" i="107"/>
  <c r="M59" i="107"/>
  <c r="AC22" i="107" s="1"/>
  <c r="N59" i="107"/>
  <c r="AD22" i="107" s="1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V23" i="107" s="1"/>
  <c r="G62" i="107"/>
  <c r="H62" i="107"/>
  <c r="I62" i="107"/>
  <c r="J62" i="107"/>
  <c r="Z23" i="107" s="1"/>
  <c r="K62" i="107"/>
  <c r="L62" i="107"/>
  <c r="M62" i="107"/>
  <c r="N62" i="107"/>
  <c r="AD23" i="107" s="1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U24" i="107" s="1"/>
  <c r="F66" i="107"/>
  <c r="V24" i="107" s="1"/>
  <c r="G66" i="107"/>
  <c r="H66" i="107"/>
  <c r="I66" i="107"/>
  <c r="Y24" i="107" s="1"/>
  <c r="J66" i="107"/>
  <c r="Z24" i="107" s="1"/>
  <c r="K66" i="107"/>
  <c r="L66" i="107"/>
  <c r="M66" i="107"/>
  <c r="AC24" i="107" s="1"/>
  <c r="N66" i="107"/>
  <c r="AD24" i="107" s="1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V25" i="107" s="1"/>
  <c r="G70" i="107"/>
  <c r="H70" i="107"/>
  <c r="I70" i="107"/>
  <c r="J70" i="107"/>
  <c r="Z25" i="107" s="1"/>
  <c r="K70" i="107"/>
  <c r="L70" i="107"/>
  <c r="M70" i="107"/>
  <c r="N70" i="107"/>
  <c r="AD25" i="107" s="1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U26" i="107" s="1"/>
  <c r="F74" i="107"/>
  <c r="V26" i="107" s="1"/>
  <c r="G74" i="107"/>
  <c r="H74" i="107"/>
  <c r="I74" i="107"/>
  <c r="Y26" i="107" s="1"/>
  <c r="J74" i="107"/>
  <c r="Z26" i="107" s="1"/>
  <c r="K74" i="107"/>
  <c r="L74" i="107"/>
  <c r="M74" i="107"/>
  <c r="AC26" i="107" s="1"/>
  <c r="N74" i="107"/>
  <c r="AD26" i="107" s="1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V27" i="107" s="1"/>
  <c r="G78" i="107"/>
  <c r="H78" i="107"/>
  <c r="I78" i="107"/>
  <c r="J78" i="107"/>
  <c r="Z27" i="107" s="1"/>
  <c r="K78" i="107"/>
  <c r="L78" i="107"/>
  <c r="M78" i="107"/>
  <c r="N78" i="107"/>
  <c r="AD27" i="107" s="1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U28" i="107" s="1"/>
  <c r="F82" i="107"/>
  <c r="V28" i="107" s="1"/>
  <c r="G82" i="107"/>
  <c r="H82" i="107"/>
  <c r="I82" i="107"/>
  <c r="Y28" i="107" s="1"/>
  <c r="J82" i="107"/>
  <c r="Z28" i="107" s="1"/>
  <c r="K82" i="107"/>
  <c r="L82" i="107"/>
  <c r="M82" i="107"/>
  <c r="AC28" i="107" s="1"/>
  <c r="N82" i="107"/>
  <c r="AD28" i="107" s="1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V29" i="107" s="1"/>
  <c r="G86" i="107"/>
  <c r="H86" i="107"/>
  <c r="I86" i="107"/>
  <c r="J86" i="107"/>
  <c r="Z29" i="107" s="1"/>
  <c r="K86" i="107"/>
  <c r="L86" i="107"/>
  <c r="M86" i="107"/>
  <c r="N86" i="107"/>
  <c r="AD29" i="107" s="1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U30" i="107" s="1"/>
  <c r="F90" i="107"/>
  <c r="V30" i="107" s="1"/>
  <c r="G90" i="107"/>
  <c r="H90" i="107"/>
  <c r="I90" i="107"/>
  <c r="Y30" i="107" s="1"/>
  <c r="J90" i="107"/>
  <c r="Z30" i="107" s="1"/>
  <c r="K90" i="107"/>
  <c r="L90" i="107"/>
  <c r="M90" i="107"/>
  <c r="AC30" i="107" s="1"/>
  <c r="N90" i="107"/>
  <c r="AD30" i="107" s="1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F94" i="107"/>
  <c r="V31" i="107" s="1"/>
  <c r="G94" i="107"/>
  <c r="H94" i="107"/>
  <c r="I94" i="107"/>
  <c r="J94" i="107"/>
  <c r="Z31" i="107" s="1"/>
  <c r="K94" i="107"/>
  <c r="L94" i="107"/>
  <c r="M94" i="107"/>
  <c r="N94" i="107"/>
  <c r="AD31" i="107" s="1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U32" i="107" s="1"/>
  <c r="F98" i="107"/>
  <c r="V32" i="107" s="1"/>
  <c r="G98" i="107"/>
  <c r="H98" i="107"/>
  <c r="I98" i="107"/>
  <c r="Y32" i="107" s="1"/>
  <c r="J98" i="107"/>
  <c r="Z32" i="107" s="1"/>
  <c r="K98" i="107"/>
  <c r="L98" i="107"/>
  <c r="M98" i="107"/>
  <c r="AC32" i="107" s="1"/>
  <c r="N98" i="107"/>
  <c r="AD32" i="107" s="1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E102" i="107"/>
  <c r="F102" i="107"/>
  <c r="V33" i="107" s="1"/>
  <c r="G102" i="107"/>
  <c r="H102" i="107"/>
  <c r="I102" i="107"/>
  <c r="J102" i="107"/>
  <c r="Z33" i="107" s="1"/>
  <c r="K102" i="107"/>
  <c r="L102" i="107"/>
  <c r="M102" i="107"/>
  <c r="N102" i="107"/>
  <c r="AD33" i="107" s="1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C58" i="107"/>
  <c r="AC33" i="107"/>
  <c r="AB33" i="107"/>
  <c r="AA33" i="107"/>
  <c r="Y33" i="107"/>
  <c r="X33" i="107"/>
  <c r="W33" i="107"/>
  <c r="U33" i="107"/>
  <c r="T33" i="107"/>
  <c r="S33" i="107"/>
  <c r="AB32" i="107"/>
  <c r="AA32" i="107"/>
  <c r="X32" i="107"/>
  <c r="W32" i="107"/>
  <c r="T32" i="107"/>
  <c r="S32" i="107"/>
  <c r="AC31" i="107"/>
  <c r="AB31" i="107"/>
  <c r="AA31" i="107"/>
  <c r="Y31" i="107"/>
  <c r="X31" i="107"/>
  <c r="W31" i="107"/>
  <c r="U31" i="107"/>
  <c r="T31" i="107"/>
  <c r="S31" i="107"/>
  <c r="AF30" i="107"/>
  <c r="AE30" i="107"/>
  <c r="AB30" i="107"/>
  <c r="AA30" i="107"/>
  <c r="X30" i="107"/>
  <c r="W30" i="107"/>
  <c r="T30" i="107"/>
  <c r="S30" i="107"/>
  <c r="AF29" i="107"/>
  <c r="AE29" i="107"/>
  <c r="AC29" i="107"/>
  <c r="AB29" i="107"/>
  <c r="AA29" i="107"/>
  <c r="Y29" i="107"/>
  <c r="X29" i="107"/>
  <c r="W29" i="107"/>
  <c r="U29" i="107"/>
  <c r="T29" i="107"/>
  <c r="S29" i="107"/>
  <c r="AB28" i="107"/>
  <c r="AA28" i="107"/>
  <c r="X28" i="107"/>
  <c r="W28" i="107"/>
  <c r="T28" i="107"/>
  <c r="S28" i="107"/>
  <c r="AC27" i="107"/>
  <c r="AB27" i="107"/>
  <c r="AA27" i="107"/>
  <c r="Y27" i="107"/>
  <c r="X27" i="107"/>
  <c r="W27" i="107"/>
  <c r="U27" i="107"/>
  <c r="T27" i="107"/>
  <c r="S27" i="107"/>
  <c r="AF26" i="107"/>
  <c r="AB26" i="107"/>
  <c r="AA26" i="107"/>
  <c r="X26" i="107"/>
  <c r="W26" i="107"/>
  <c r="T26" i="107"/>
  <c r="S26" i="107"/>
  <c r="AC25" i="107"/>
  <c r="AB25" i="107"/>
  <c r="AA25" i="107"/>
  <c r="Y25" i="107"/>
  <c r="X25" i="107"/>
  <c r="W25" i="107"/>
  <c r="U25" i="107"/>
  <c r="T25" i="107"/>
  <c r="S25" i="107"/>
  <c r="AB24" i="107"/>
  <c r="AA24" i="107"/>
  <c r="X24" i="107"/>
  <c r="W24" i="107"/>
  <c r="T24" i="107"/>
  <c r="S24" i="107"/>
  <c r="AF23" i="107"/>
  <c r="AC23" i="107"/>
  <c r="AB23" i="107"/>
  <c r="AA23" i="107"/>
  <c r="Y23" i="107"/>
  <c r="X23" i="107"/>
  <c r="W23" i="107"/>
  <c r="U23" i="107"/>
  <c r="T23" i="107"/>
  <c r="S23" i="107"/>
  <c r="AE22" i="107"/>
  <c r="AB22" i="107"/>
  <c r="AA22" i="107"/>
  <c r="X22" i="107"/>
  <c r="W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D36" i="107" s="1"/>
  <c r="AC20" i="107"/>
  <c r="AC36" i="107" s="1"/>
  <c r="AB20" i="107"/>
  <c r="AA20" i="107"/>
  <c r="Z20" i="107"/>
  <c r="Z36" i="107" s="1"/>
  <c r="Y20" i="107"/>
  <c r="Y36" i="107" s="1"/>
  <c r="X20" i="107"/>
  <c r="W20" i="107"/>
  <c r="V20" i="107"/>
  <c r="V36" i="107" s="1"/>
  <c r="U20" i="107"/>
  <c r="U36" i="107" s="1"/>
  <c r="T20" i="107"/>
  <c r="S20" i="107"/>
  <c r="AF19" i="107"/>
  <c r="AF36" i="107" s="1"/>
  <c r="AE19" i="107"/>
  <c r="AE36" i="107" s="1"/>
  <c r="AD19" i="107"/>
  <c r="AD39" i="107" s="1"/>
  <c r="AC19" i="107"/>
  <c r="AC39" i="107" s="1"/>
  <c r="AB19" i="107"/>
  <c r="AB36" i="107" s="1"/>
  <c r="AA19" i="107"/>
  <c r="AA39" i="107" s="1"/>
  <c r="Z19" i="107"/>
  <c r="Z39" i="107" s="1"/>
  <c r="Y19" i="107"/>
  <c r="Y39" i="107" s="1"/>
  <c r="X19" i="107"/>
  <c r="X36" i="107" s="1"/>
  <c r="W19" i="107"/>
  <c r="W36" i="107" s="1"/>
  <c r="V19" i="107"/>
  <c r="V39" i="107" s="1"/>
  <c r="U19" i="107"/>
  <c r="U39" i="107" s="1"/>
  <c r="T19" i="107"/>
  <c r="T36" i="107" s="1"/>
  <c r="S19" i="107"/>
  <c r="S39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Z15" i="107"/>
  <c r="Y15" i="107"/>
  <c r="X15" i="107"/>
  <c r="W15" i="107"/>
  <c r="V15" i="107"/>
  <c r="U15" i="107"/>
  <c r="T15" i="107"/>
  <c r="S15" i="107"/>
  <c r="AF14" i="107"/>
  <c r="AE14" i="107"/>
  <c r="AD14" i="107"/>
  <c r="AD38" i="107" s="1"/>
  <c r="AC14" i="107"/>
  <c r="AC38" i="107" s="1"/>
  <c r="AB14" i="107"/>
  <c r="AA14" i="107"/>
  <c r="Z14" i="107"/>
  <c r="Z38" i="107" s="1"/>
  <c r="Y14" i="107"/>
  <c r="Y38" i="107" s="1"/>
  <c r="X14" i="107"/>
  <c r="W14" i="107"/>
  <c r="V14" i="107"/>
  <c r="V38" i="107" s="1"/>
  <c r="U14" i="107"/>
  <c r="U38" i="107" s="1"/>
  <c r="T14" i="107"/>
  <c r="S14" i="107"/>
  <c r="AF13" i="107"/>
  <c r="AF38" i="107" s="1"/>
  <c r="AE13" i="107"/>
  <c r="AE38" i="107" s="1"/>
  <c r="AD13" i="107"/>
  <c r="AD35" i="107" s="1"/>
  <c r="AC13" i="107"/>
  <c r="AC35" i="107" s="1"/>
  <c r="AB13" i="107"/>
  <c r="AB38" i="107" s="1"/>
  <c r="AA13" i="107"/>
  <c r="AA35" i="107" s="1"/>
  <c r="Z13" i="107"/>
  <c r="Z35" i="107" s="1"/>
  <c r="Y13" i="107"/>
  <c r="Y35" i="107" s="1"/>
  <c r="X13" i="107"/>
  <c r="X38" i="107" s="1"/>
  <c r="W13" i="107"/>
  <c r="W38" i="107" s="1"/>
  <c r="V13" i="107"/>
  <c r="V35" i="107" s="1"/>
  <c r="U13" i="107"/>
  <c r="U35" i="107" s="1"/>
  <c r="T13" i="107"/>
  <c r="T38" i="107" s="1"/>
  <c r="S13" i="107"/>
  <c r="S35" i="107" s="1"/>
  <c r="AF12" i="107"/>
  <c r="AE12" i="107"/>
  <c r="AD12" i="107"/>
  <c r="AC12" i="107"/>
  <c r="AB12" i="107"/>
  <c r="AA12" i="107"/>
  <c r="Z12" i="107"/>
  <c r="Y12" i="107"/>
  <c r="X12" i="107"/>
  <c r="W12" i="107"/>
  <c r="V12" i="107"/>
  <c r="U12" i="107"/>
  <c r="T12" i="107"/>
  <c r="S12" i="107"/>
  <c r="AF11" i="107"/>
  <c r="AE11" i="107"/>
  <c r="AD11" i="107"/>
  <c r="AC11" i="107"/>
  <c r="AB11" i="107"/>
  <c r="AB37" i="107" s="1"/>
  <c r="AA11" i="107"/>
  <c r="Z11" i="107"/>
  <c r="Y11" i="107"/>
  <c r="X11" i="107"/>
  <c r="W11" i="107"/>
  <c r="V11" i="107"/>
  <c r="U11" i="107"/>
  <c r="T11" i="107"/>
  <c r="T37" i="107" s="1"/>
  <c r="S11" i="107"/>
  <c r="AF10" i="107"/>
  <c r="AF40" i="107" s="1"/>
  <c r="AE10" i="107"/>
  <c r="AE40" i="107" s="1"/>
  <c r="AD10" i="107"/>
  <c r="AC10" i="107"/>
  <c r="AC40" i="107" s="1"/>
  <c r="AB10" i="107"/>
  <c r="AB40" i="107" s="1"/>
  <c r="AA10" i="107"/>
  <c r="AA40" i="107" s="1"/>
  <c r="Z10" i="107"/>
  <c r="Y10" i="107"/>
  <c r="Y34" i="107" s="1"/>
  <c r="X10" i="107"/>
  <c r="X40" i="107" s="1"/>
  <c r="W10" i="107"/>
  <c r="W40" i="107" s="1"/>
  <c r="V10" i="107"/>
  <c r="U10" i="107"/>
  <c r="U40" i="107" s="1"/>
  <c r="T10" i="107"/>
  <c r="T40" i="107" s="1"/>
  <c r="S10" i="107"/>
  <c r="S40" i="107" s="1"/>
  <c r="AD33" i="108"/>
  <c r="AB33" i="108"/>
  <c r="AA33" i="108"/>
  <c r="Z33" i="108"/>
  <c r="X33" i="108"/>
  <c r="W33" i="108"/>
  <c r="V33" i="108"/>
  <c r="T33" i="108"/>
  <c r="S33" i="108"/>
  <c r="AF32" i="108"/>
  <c r="AC32" i="108"/>
  <c r="AB32" i="108"/>
  <c r="AA32" i="108"/>
  <c r="Y32" i="108"/>
  <c r="X32" i="108"/>
  <c r="W32" i="108"/>
  <c r="U32" i="108"/>
  <c r="T32" i="108"/>
  <c r="S32" i="108"/>
  <c r="AD31" i="108"/>
  <c r="AB31" i="108"/>
  <c r="AA31" i="108"/>
  <c r="Z31" i="108"/>
  <c r="X31" i="108"/>
  <c r="W31" i="108"/>
  <c r="V31" i="108"/>
  <c r="T31" i="108"/>
  <c r="S31" i="108"/>
  <c r="AF30" i="108"/>
  <c r="AE30" i="108"/>
  <c r="AC30" i="108"/>
  <c r="AB30" i="108"/>
  <c r="AA30" i="108"/>
  <c r="Y30" i="108"/>
  <c r="X30" i="108"/>
  <c r="W30" i="108"/>
  <c r="U30" i="108"/>
  <c r="T30" i="108"/>
  <c r="S30" i="108"/>
  <c r="AD29" i="108"/>
  <c r="AB29" i="108"/>
  <c r="AA29" i="108"/>
  <c r="Z29" i="108"/>
  <c r="X29" i="108"/>
  <c r="W29" i="108"/>
  <c r="V29" i="108"/>
  <c r="T29" i="108"/>
  <c r="S29" i="108"/>
  <c r="AC28" i="108"/>
  <c r="AB28" i="108"/>
  <c r="AA28" i="108"/>
  <c r="Y28" i="108"/>
  <c r="X28" i="108"/>
  <c r="W28" i="108"/>
  <c r="U28" i="108"/>
  <c r="T28" i="108"/>
  <c r="S28" i="108"/>
  <c r="AD27" i="108"/>
  <c r="AB27" i="108"/>
  <c r="AA27" i="108"/>
  <c r="Z27" i="108"/>
  <c r="X27" i="108"/>
  <c r="W27" i="108"/>
  <c r="V27" i="108"/>
  <c r="T27" i="108"/>
  <c r="S27" i="108"/>
  <c r="AE26" i="108"/>
  <c r="AC26" i="108"/>
  <c r="AB26" i="108"/>
  <c r="AA26" i="108"/>
  <c r="Y26" i="108"/>
  <c r="X26" i="108"/>
  <c r="W26" i="108"/>
  <c r="U26" i="108"/>
  <c r="T26" i="108"/>
  <c r="S26" i="108"/>
  <c r="AF25" i="108"/>
  <c r="AD25" i="108"/>
  <c r="AB25" i="108"/>
  <c r="AA25" i="108"/>
  <c r="Z25" i="108"/>
  <c r="X25" i="108"/>
  <c r="W25" i="108"/>
  <c r="V25" i="108"/>
  <c r="T25" i="108"/>
  <c r="S25" i="108"/>
  <c r="AC24" i="108"/>
  <c r="AB24" i="108"/>
  <c r="AA24" i="108"/>
  <c r="Y24" i="108"/>
  <c r="X24" i="108"/>
  <c r="W24" i="108"/>
  <c r="U24" i="108"/>
  <c r="T24" i="108"/>
  <c r="S24" i="108"/>
  <c r="AF23" i="108"/>
  <c r="AD23" i="108"/>
  <c r="AB23" i="108"/>
  <c r="AA23" i="108"/>
  <c r="Z23" i="108"/>
  <c r="X23" i="108"/>
  <c r="W23" i="108"/>
  <c r="V23" i="108"/>
  <c r="T23" i="108"/>
  <c r="S23" i="108"/>
  <c r="AE22" i="108"/>
  <c r="AC22" i="108"/>
  <c r="AB22" i="108"/>
  <c r="X22" i="108"/>
  <c r="V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D36" i="108" s="1"/>
  <c r="AC20" i="108"/>
  <c r="AC36" i="108" s="1"/>
  <c r="AB20" i="108"/>
  <c r="AA20" i="108"/>
  <c r="Z20" i="108"/>
  <c r="Z36" i="108" s="1"/>
  <c r="Y20" i="108"/>
  <c r="Y36" i="108" s="1"/>
  <c r="X20" i="108"/>
  <c r="W20" i="108"/>
  <c r="V20" i="108"/>
  <c r="V36" i="108" s="1"/>
  <c r="U20" i="108"/>
  <c r="U36" i="108" s="1"/>
  <c r="T20" i="108"/>
  <c r="S20" i="108"/>
  <c r="AF19" i="108"/>
  <c r="AE19" i="108"/>
  <c r="AE36" i="108" s="1"/>
  <c r="AD19" i="108"/>
  <c r="AC19" i="108"/>
  <c r="AB19" i="108"/>
  <c r="AA19" i="108"/>
  <c r="AA36" i="108" s="1"/>
  <c r="Z19" i="108"/>
  <c r="Y19" i="108"/>
  <c r="X19" i="108"/>
  <c r="W19" i="108"/>
  <c r="W36" i="108" s="1"/>
  <c r="V19" i="108"/>
  <c r="U19" i="108"/>
  <c r="T19" i="108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AF14" i="108"/>
  <c r="AE14" i="108"/>
  <c r="AD14" i="108"/>
  <c r="AD38" i="108" s="1"/>
  <c r="AC14" i="108"/>
  <c r="AC38" i="108" s="1"/>
  <c r="AB14" i="108"/>
  <c r="AA14" i="108"/>
  <c r="Z14" i="108"/>
  <c r="Z38" i="108" s="1"/>
  <c r="Y14" i="108"/>
  <c r="Y38" i="108" s="1"/>
  <c r="X14" i="108"/>
  <c r="W14" i="108"/>
  <c r="V14" i="108"/>
  <c r="V38" i="108" s="1"/>
  <c r="U14" i="108"/>
  <c r="U38" i="108" s="1"/>
  <c r="T14" i="108"/>
  <c r="S14" i="108"/>
  <c r="AF13" i="108"/>
  <c r="AF38" i="108" s="1"/>
  <c r="AE13" i="108"/>
  <c r="AE38" i="108" s="1"/>
  <c r="AD13" i="108"/>
  <c r="AC13" i="108"/>
  <c r="AB13" i="108"/>
  <c r="AB38" i="108" s="1"/>
  <c r="AA13" i="108"/>
  <c r="AA38" i="108" s="1"/>
  <c r="Z13" i="108"/>
  <c r="Y13" i="108"/>
  <c r="X13" i="108"/>
  <c r="X38" i="108" s="1"/>
  <c r="W13" i="108"/>
  <c r="W38" i="108" s="1"/>
  <c r="V13" i="108"/>
  <c r="U13" i="108"/>
  <c r="T13" i="108"/>
  <c r="T38" i="108" s="1"/>
  <c r="S13" i="108"/>
  <c r="S38" i="108" s="1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AF11" i="108"/>
  <c r="AE11" i="108"/>
  <c r="AE37" i="108" s="1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S37" i="108" s="1"/>
  <c r="AF10" i="108"/>
  <c r="AE10" i="108"/>
  <c r="AD10" i="108"/>
  <c r="AC10" i="108"/>
  <c r="AC40" i="108" s="1"/>
  <c r="AB10" i="108"/>
  <c r="AA10" i="108"/>
  <c r="Z10" i="108"/>
  <c r="Z34" i="108" s="1"/>
  <c r="Y10" i="108"/>
  <c r="X10" i="108"/>
  <c r="W10" i="108"/>
  <c r="V10" i="108"/>
  <c r="V34" i="108" s="1"/>
  <c r="U10" i="108"/>
  <c r="T10" i="108"/>
  <c r="S10" i="108"/>
  <c r="AE33" i="111"/>
  <c r="AD33" i="111"/>
  <c r="AB33" i="111"/>
  <c r="AA33" i="111"/>
  <c r="Z33" i="111"/>
  <c r="X33" i="111"/>
  <c r="W33" i="111"/>
  <c r="V33" i="111"/>
  <c r="T33" i="111"/>
  <c r="S33" i="111"/>
  <c r="AC32" i="111"/>
  <c r="AB32" i="111"/>
  <c r="AA32" i="111"/>
  <c r="Y32" i="111"/>
  <c r="X32" i="111"/>
  <c r="W32" i="111"/>
  <c r="U32" i="111"/>
  <c r="T32" i="111"/>
  <c r="S32" i="111"/>
  <c r="AE31" i="111"/>
  <c r="AD31" i="111"/>
  <c r="AB31" i="111"/>
  <c r="AA31" i="111"/>
  <c r="Z31" i="111"/>
  <c r="X31" i="111"/>
  <c r="W31" i="111"/>
  <c r="V31" i="111"/>
  <c r="T31" i="111"/>
  <c r="S31" i="111"/>
  <c r="AC30" i="111"/>
  <c r="AB30" i="111"/>
  <c r="AA30" i="111"/>
  <c r="Y30" i="111"/>
  <c r="X30" i="111"/>
  <c r="W30" i="111"/>
  <c r="U30" i="111"/>
  <c r="T30" i="111"/>
  <c r="S30" i="111"/>
  <c r="AF29" i="111"/>
  <c r="AE29" i="111"/>
  <c r="AD29" i="111"/>
  <c r="AB29" i="111"/>
  <c r="AA29" i="111"/>
  <c r="Z29" i="111"/>
  <c r="X29" i="111"/>
  <c r="W29" i="111"/>
  <c r="V29" i="111"/>
  <c r="T29" i="111"/>
  <c r="S29" i="111"/>
  <c r="AC28" i="111"/>
  <c r="AB28" i="111"/>
  <c r="AA28" i="111"/>
  <c r="Y28" i="111"/>
  <c r="X28" i="111"/>
  <c r="W28" i="111"/>
  <c r="U28" i="111"/>
  <c r="T28" i="111"/>
  <c r="S28" i="111"/>
  <c r="AE27" i="111"/>
  <c r="AD27" i="111"/>
  <c r="AB27" i="111"/>
  <c r="AA27" i="111"/>
  <c r="Z27" i="111"/>
  <c r="X27" i="111"/>
  <c r="W27" i="111"/>
  <c r="V27" i="111"/>
  <c r="T27" i="111"/>
  <c r="S27" i="111"/>
  <c r="AF26" i="111"/>
  <c r="AC26" i="111"/>
  <c r="AB26" i="111"/>
  <c r="AA26" i="111"/>
  <c r="Y26" i="111"/>
  <c r="X26" i="111"/>
  <c r="W26" i="111"/>
  <c r="U26" i="111"/>
  <c r="T26" i="111"/>
  <c r="S26" i="111"/>
  <c r="AE25" i="111"/>
  <c r="AD25" i="111"/>
  <c r="AB25" i="111"/>
  <c r="AA25" i="111"/>
  <c r="Z25" i="111"/>
  <c r="X25" i="111"/>
  <c r="W25" i="111"/>
  <c r="V25" i="111"/>
  <c r="T25" i="111"/>
  <c r="S25" i="111"/>
  <c r="AC24" i="111"/>
  <c r="AB24" i="111"/>
  <c r="AA24" i="111"/>
  <c r="Y24" i="111"/>
  <c r="X24" i="111"/>
  <c r="W24" i="111"/>
  <c r="U24" i="111"/>
  <c r="T24" i="111"/>
  <c r="S24" i="111"/>
  <c r="AE23" i="111"/>
  <c r="AD23" i="111"/>
  <c r="AB23" i="111"/>
  <c r="AA23" i="111"/>
  <c r="Z23" i="111"/>
  <c r="X23" i="111"/>
  <c r="W23" i="111"/>
  <c r="V23" i="111"/>
  <c r="T23" i="111"/>
  <c r="S23" i="111"/>
  <c r="AB22" i="111"/>
  <c r="Y22" i="111"/>
  <c r="X22" i="111"/>
  <c r="T22" i="111"/>
  <c r="S22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D20" i="111"/>
  <c r="AC20" i="111"/>
  <c r="AC36" i="111" s="1"/>
  <c r="AB20" i="111"/>
  <c r="AA20" i="111"/>
  <c r="Z20" i="111"/>
  <c r="Y20" i="111"/>
  <c r="Y36" i="111" s="1"/>
  <c r="X20" i="111"/>
  <c r="W20" i="111"/>
  <c r="V20" i="111"/>
  <c r="U20" i="111"/>
  <c r="U36" i="111" s="1"/>
  <c r="T20" i="111"/>
  <c r="S20" i="111"/>
  <c r="AF19" i="111"/>
  <c r="AF36" i="111" s="1"/>
  <c r="AE19" i="111"/>
  <c r="AE39" i="111" s="1"/>
  <c r="AD19" i="111"/>
  <c r="AD39" i="111" s="1"/>
  <c r="AC19" i="111"/>
  <c r="AC39" i="111" s="1"/>
  <c r="AB19" i="111"/>
  <c r="AB36" i="111" s="1"/>
  <c r="AA19" i="111"/>
  <c r="AA36" i="111" s="1"/>
  <c r="Z19" i="111"/>
  <c r="Z39" i="111" s="1"/>
  <c r="Y19" i="111"/>
  <c r="Y39" i="111" s="1"/>
  <c r="X19" i="111"/>
  <c r="X36" i="111" s="1"/>
  <c r="W19" i="111"/>
  <c r="W36" i="111" s="1"/>
  <c r="V19" i="111"/>
  <c r="V39" i="111" s="1"/>
  <c r="U19" i="111"/>
  <c r="U39" i="111" s="1"/>
  <c r="T19" i="111"/>
  <c r="T36" i="111" s="1"/>
  <c r="S19" i="111"/>
  <c r="S39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Z15" i="111"/>
  <c r="Y15" i="111"/>
  <c r="X15" i="111"/>
  <c r="W15" i="111"/>
  <c r="V15" i="111"/>
  <c r="U15" i="111"/>
  <c r="T15" i="111"/>
  <c r="S15" i="111"/>
  <c r="AF14" i="111"/>
  <c r="AE14" i="111"/>
  <c r="AD14" i="111"/>
  <c r="AC14" i="111"/>
  <c r="AC38" i="111" s="1"/>
  <c r="AB14" i="111"/>
  <c r="AA14" i="111"/>
  <c r="Z14" i="111"/>
  <c r="Y14" i="111"/>
  <c r="Y38" i="111" s="1"/>
  <c r="X14" i="111"/>
  <c r="W14" i="111"/>
  <c r="V14" i="111"/>
  <c r="U14" i="111"/>
  <c r="U38" i="111" s="1"/>
  <c r="T14" i="111"/>
  <c r="S14" i="111"/>
  <c r="AF13" i="111"/>
  <c r="AF38" i="111" s="1"/>
  <c r="AE13" i="111"/>
  <c r="AE35" i="111" s="1"/>
  <c r="AD13" i="111"/>
  <c r="AD35" i="111" s="1"/>
  <c r="AC13" i="111"/>
  <c r="AC35" i="111" s="1"/>
  <c r="AB13" i="111"/>
  <c r="AB38" i="111" s="1"/>
  <c r="AA13" i="111"/>
  <c r="AA38" i="111" s="1"/>
  <c r="Z13" i="111"/>
  <c r="Z35" i="111" s="1"/>
  <c r="Y13" i="111"/>
  <c r="Y35" i="111" s="1"/>
  <c r="X13" i="111"/>
  <c r="X38" i="111" s="1"/>
  <c r="W13" i="111"/>
  <c r="W38" i="111" s="1"/>
  <c r="V13" i="111"/>
  <c r="V35" i="111" s="1"/>
  <c r="U13" i="111"/>
  <c r="U35" i="111" s="1"/>
  <c r="T13" i="111"/>
  <c r="T38" i="111" s="1"/>
  <c r="S13" i="111"/>
  <c r="S35" i="111" s="1"/>
  <c r="AF12" i="111"/>
  <c r="AE12" i="111"/>
  <c r="AD12" i="111"/>
  <c r="AC12" i="111"/>
  <c r="AB12" i="111"/>
  <c r="AA12" i="111"/>
  <c r="Z12" i="111"/>
  <c r="Y12" i="111"/>
  <c r="X12" i="111"/>
  <c r="W12" i="111"/>
  <c r="V12" i="111"/>
  <c r="U12" i="111"/>
  <c r="T12" i="111"/>
  <c r="S12" i="111"/>
  <c r="AF11" i="111"/>
  <c r="AE11" i="111"/>
  <c r="AD11" i="111"/>
  <c r="AC11" i="111"/>
  <c r="AB11" i="111"/>
  <c r="AA11" i="111"/>
  <c r="Z11" i="111"/>
  <c r="Y11" i="111"/>
  <c r="X11" i="111"/>
  <c r="W11" i="111"/>
  <c r="V11" i="111"/>
  <c r="U11" i="111"/>
  <c r="T11" i="111"/>
  <c r="S11" i="111"/>
  <c r="AF10" i="111"/>
  <c r="AF40" i="111" s="1"/>
  <c r="AE10" i="111"/>
  <c r="AE40" i="111" s="1"/>
  <c r="AD10" i="111"/>
  <c r="AC10" i="111"/>
  <c r="AB10" i="111"/>
  <c r="AB40" i="111" s="1"/>
  <c r="AA10" i="111"/>
  <c r="AA40" i="111" s="1"/>
  <c r="Z10" i="111"/>
  <c r="Y10" i="111"/>
  <c r="Y40" i="111" s="1"/>
  <c r="X10" i="111"/>
  <c r="X40" i="111" s="1"/>
  <c r="W10" i="111"/>
  <c r="W40" i="111" s="1"/>
  <c r="V10" i="111"/>
  <c r="U10" i="111"/>
  <c r="U34" i="111" s="1"/>
  <c r="T10" i="111"/>
  <c r="T40" i="111" s="1"/>
  <c r="S10" i="111"/>
  <c r="S40" i="111" s="1"/>
  <c r="AE41" i="111" l="1"/>
  <c r="AE42" i="111" s="1"/>
  <c r="AD22" i="111"/>
  <c r="V22" i="111"/>
  <c r="S41" i="111"/>
  <c r="S42" i="111" s="1"/>
  <c r="Z22" i="111"/>
  <c r="Z41" i="111" s="1"/>
  <c r="AC41" i="111"/>
  <c r="AA41" i="111"/>
  <c r="AA42" i="111" s="1"/>
  <c r="V41" i="111"/>
  <c r="AD41" i="111"/>
  <c r="W41" i="111"/>
  <c r="W42" i="111" s="1"/>
  <c r="W41" i="108"/>
  <c r="AA41" i="108"/>
  <c r="AF41" i="107"/>
  <c r="AF42" i="107" s="1"/>
  <c r="AE41" i="107"/>
  <c r="V41" i="107"/>
  <c r="Z41" i="107"/>
  <c r="AD41" i="107"/>
  <c r="X41" i="107"/>
  <c r="X42" i="107" s="1"/>
  <c r="W41" i="107"/>
  <c r="AA41" i="107"/>
  <c r="AA42" i="107" s="1"/>
  <c r="S41" i="107"/>
  <c r="S42" i="107" s="1"/>
  <c r="W42" i="107"/>
  <c r="AE42" i="107"/>
  <c r="U34" i="107"/>
  <c r="AC34" i="107"/>
  <c r="W35" i="107"/>
  <c r="AE35" i="107"/>
  <c r="S37" i="107"/>
  <c r="AA37" i="107"/>
  <c r="W39" i="107"/>
  <c r="AE39" i="107"/>
  <c r="Y40" i="107"/>
  <c r="Z34" i="107"/>
  <c r="T35" i="107"/>
  <c r="AB35" i="107"/>
  <c r="X37" i="107"/>
  <c r="AF37" i="107"/>
  <c r="T39" i="107"/>
  <c r="AB39" i="107"/>
  <c r="V40" i="107"/>
  <c r="V42" i="107" s="1"/>
  <c r="AD40" i="107"/>
  <c r="AD42" i="107" s="1"/>
  <c r="T41" i="107"/>
  <c r="T42" i="107" s="1"/>
  <c r="AB41" i="107"/>
  <c r="AB42" i="107" s="1"/>
  <c r="S34" i="107"/>
  <c r="W34" i="107"/>
  <c r="AA34" i="107"/>
  <c r="AE34" i="107"/>
  <c r="S36" i="107"/>
  <c r="AA36" i="107"/>
  <c r="U37" i="107"/>
  <c r="Y37" i="107"/>
  <c r="AC37" i="107"/>
  <c r="S38" i="107"/>
  <c r="AA38" i="107"/>
  <c r="U41" i="107"/>
  <c r="U42" i="107" s="1"/>
  <c r="Y41" i="107"/>
  <c r="Y42" i="107" s="1"/>
  <c r="AC41" i="107"/>
  <c r="AC42" i="107" s="1"/>
  <c r="W37" i="107"/>
  <c r="AE37" i="107"/>
  <c r="V34" i="107"/>
  <c r="AD34" i="107"/>
  <c r="X35" i="107"/>
  <c r="AF35" i="107"/>
  <c r="X39" i="107"/>
  <c r="AF39" i="107"/>
  <c r="Z40" i="107"/>
  <c r="Z42" i="107" s="1"/>
  <c r="T34" i="107"/>
  <c r="X34" i="107"/>
  <c r="AB34" i="107"/>
  <c r="AF34" i="107"/>
  <c r="V37" i="107"/>
  <c r="Z37" i="107"/>
  <c r="AD37" i="107"/>
  <c r="Y41" i="108"/>
  <c r="Y37" i="108"/>
  <c r="AD41" i="108"/>
  <c r="AD37" i="108"/>
  <c r="AD40" i="108"/>
  <c r="X41" i="108"/>
  <c r="X37" i="108"/>
  <c r="X36" i="108"/>
  <c r="X39" i="108"/>
  <c r="T40" i="108"/>
  <c r="X40" i="108"/>
  <c r="AB40" i="108"/>
  <c r="AF40" i="108"/>
  <c r="V35" i="108"/>
  <c r="Z35" i="108"/>
  <c r="AD35" i="108"/>
  <c r="V39" i="108"/>
  <c r="Z39" i="108"/>
  <c r="AD39" i="108"/>
  <c r="AD34" i="108"/>
  <c r="X35" i="108"/>
  <c r="AF35" i="108"/>
  <c r="W37" i="108"/>
  <c r="AA39" i="108"/>
  <c r="AE41" i="108"/>
  <c r="U41" i="108"/>
  <c r="U37" i="108"/>
  <c r="Y34" i="108"/>
  <c r="S35" i="108"/>
  <c r="AA35" i="108"/>
  <c r="AA37" i="108"/>
  <c r="AE39" i="108"/>
  <c r="S41" i="108"/>
  <c r="V41" i="108"/>
  <c r="V42" i="108" s="1"/>
  <c r="V37" i="108"/>
  <c r="V40" i="108"/>
  <c r="T41" i="108"/>
  <c r="T42" i="108" s="1"/>
  <c r="T37" i="108"/>
  <c r="AF41" i="108"/>
  <c r="AF42" i="108" s="1"/>
  <c r="AF37" i="108"/>
  <c r="T36" i="108"/>
  <c r="T39" i="108"/>
  <c r="AF36" i="108"/>
  <c r="AF39" i="108"/>
  <c r="T35" i="108"/>
  <c r="AB35" i="108"/>
  <c r="S39" i="108"/>
  <c r="U40" i="108"/>
  <c r="AC41" i="108"/>
  <c r="AC42" i="108" s="1"/>
  <c r="AC37" i="108"/>
  <c r="Z41" i="108"/>
  <c r="Z37" i="108"/>
  <c r="Z40" i="108"/>
  <c r="AB41" i="108"/>
  <c r="AB42" i="108" s="1"/>
  <c r="AB37" i="108"/>
  <c r="AB36" i="108"/>
  <c r="AB39" i="108"/>
  <c r="S40" i="108"/>
  <c r="W40" i="108"/>
  <c r="W42" i="108" s="1"/>
  <c r="AA40" i="108"/>
  <c r="AA42" i="108" s="1"/>
  <c r="AE40" i="108"/>
  <c r="U35" i="108"/>
  <c r="Y35" i="108"/>
  <c r="AC35" i="108"/>
  <c r="U39" i="108"/>
  <c r="Y39" i="108"/>
  <c r="AC39" i="108"/>
  <c r="U34" i="108"/>
  <c r="AC34" i="108"/>
  <c r="W35" i="108"/>
  <c r="AE35" i="108"/>
  <c r="W39" i="108"/>
  <c r="Y40" i="108"/>
  <c r="S34" i="108"/>
  <c r="W34" i="108"/>
  <c r="AA34" i="108"/>
  <c r="AE34" i="108"/>
  <c r="T34" i="108"/>
  <c r="X34" i="108"/>
  <c r="AB34" i="108"/>
  <c r="AF34" i="108"/>
  <c r="AC34" i="111"/>
  <c r="AA35" i="111"/>
  <c r="S37" i="111"/>
  <c r="AA37" i="111"/>
  <c r="W39" i="111"/>
  <c r="U40" i="111"/>
  <c r="V34" i="111"/>
  <c r="Z34" i="111"/>
  <c r="AD34" i="111"/>
  <c r="T35" i="111"/>
  <c r="X35" i="111"/>
  <c r="AB35" i="111"/>
  <c r="AF35" i="111"/>
  <c r="V36" i="111"/>
  <c r="Z36" i="111"/>
  <c r="AD36" i="111"/>
  <c r="T37" i="111"/>
  <c r="X37" i="111"/>
  <c r="AB37" i="111"/>
  <c r="AF37" i="111"/>
  <c r="V38" i="111"/>
  <c r="Z38" i="111"/>
  <c r="AD38" i="111"/>
  <c r="T39" i="111"/>
  <c r="X39" i="111"/>
  <c r="AB39" i="111"/>
  <c r="AF39" i="111"/>
  <c r="V40" i="111"/>
  <c r="V42" i="111" s="1"/>
  <c r="Z40" i="111"/>
  <c r="AD40" i="111"/>
  <c r="AD42" i="111" s="1"/>
  <c r="T41" i="111"/>
  <c r="T42" i="111" s="1"/>
  <c r="X41" i="111"/>
  <c r="X42" i="111" s="1"/>
  <c r="AB41" i="111"/>
  <c r="AB42" i="111" s="1"/>
  <c r="AF41" i="111"/>
  <c r="AF42" i="111" s="1"/>
  <c r="Y34" i="111"/>
  <c r="W35" i="111"/>
  <c r="AE37" i="111"/>
  <c r="AA39" i="111"/>
  <c r="AC40" i="111"/>
  <c r="AC42" i="111" s="1"/>
  <c r="S34" i="111"/>
  <c r="W34" i="111"/>
  <c r="AA34" i="111"/>
  <c r="AE34" i="111"/>
  <c r="S36" i="111"/>
  <c r="AE36" i="111"/>
  <c r="U37" i="111"/>
  <c r="Y37" i="111"/>
  <c r="AC37" i="111"/>
  <c r="S38" i="111"/>
  <c r="AE38" i="111"/>
  <c r="U41" i="111"/>
  <c r="U42" i="111" s="1"/>
  <c r="Y41" i="111"/>
  <c r="Y42" i="111" s="1"/>
  <c r="W37" i="111"/>
  <c r="T34" i="111"/>
  <c r="X34" i="111"/>
  <c r="AB34" i="111"/>
  <c r="AF34" i="111"/>
  <c r="V37" i="111"/>
  <c r="Z37" i="111"/>
  <c r="AD37" i="111"/>
  <c r="Z42" i="111" l="1"/>
  <c r="U42" i="108"/>
  <c r="X42" i="108"/>
  <c r="S42" i="108"/>
  <c r="AE42" i="108"/>
  <c r="Y42" i="108"/>
  <c r="Z42" i="108"/>
  <c r="AD42" i="108"/>
  <c r="C11" i="108" l="1"/>
  <c r="D11" i="108"/>
  <c r="E11" i="108"/>
  <c r="E11" i="111" s="1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M17" i="111" s="1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J27" i="111" s="1"/>
  <c r="K27" i="108"/>
  <c r="L27" i="108"/>
  <c r="M27" i="108"/>
  <c r="N27" i="108"/>
  <c r="N27" i="111" s="1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C10" i="111" l="1"/>
  <c r="G10" i="111"/>
  <c r="J57" i="111"/>
  <c r="N56" i="111"/>
  <c r="F56" i="111"/>
  <c r="F55" i="111"/>
  <c r="J54" i="111"/>
  <c r="N53" i="111"/>
  <c r="F53" i="111"/>
  <c r="J52" i="111"/>
  <c r="N51" i="111"/>
  <c r="F51" i="111"/>
  <c r="J50" i="111"/>
  <c r="J49" i="111"/>
  <c r="N48" i="111"/>
  <c r="F48" i="111"/>
  <c r="J47" i="111"/>
  <c r="N46" i="111"/>
  <c r="F46" i="111"/>
  <c r="J45" i="111"/>
  <c r="N44" i="111"/>
  <c r="N43" i="111"/>
  <c r="F43" i="111"/>
  <c r="J42" i="111"/>
  <c r="N41" i="111"/>
  <c r="N40" i="111"/>
  <c r="F36" i="111"/>
  <c r="K10" i="111"/>
  <c r="N57" i="111"/>
  <c r="F57" i="111"/>
  <c r="J56" i="111"/>
  <c r="N55" i="111"/>
  <c r="J55" i="111"/>
  <c r="N54" i="111"/>
  <c r="F54" i="111"/>
  <c r="J53" i="111"/>
  <c r="N52" i="111"/>
  <c r="F52" i="111"/>
  <c r="J51" i="111"/>
  <c r="N50" i="111"/>
  <c r="F50" i="111"/>
  <c r="N49" i="111"/>
  <c r="F49" i="111"/>
  <c r="J48" i="111"/>
  <c r="N47" i="111"/>
  <c r="F47" i="111"/>
  <c r="J46" i="111"/>
  <c r="N45" i="111"/>
  <c r="F45" i="111"/>
  <c r="J44" i="111"/>
  <c r="F44" i="111"/>
  <c r="J43" i="111"/>
  <c r="N42" i="111"/>
  <c r="F42" i="111"/>
  <c r="J41" i="111"/>
  <c r="F41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F27" i="111"/>
  <c r="F11" i="111"/>
  <c r="N26" i="111"/>
  <c r="J26" i="111"/>
  <c r="F26" i="111"/>
  <c r="N25" i="111"/>
  <c r="J25" i="111"/>
  <c r="F25" i="111"/>
  <c r="N24" i="111"/>
  <c r="J24" i="111"/>
  <c r="F24" i="111"/>
  <c r="N23" i="111"/>
  <c r="J23" i="111"/>
  <c r="F23" i="111"/>
  <c r="N22" i="111"/>
  <c r="J22" i="111"/>
  <c r="F22" i="111"/>
  <c r="N21" i="111"/>
  <c r="J21" i="111"/>
  <c r="F21" i="111"/>
  <c r="N20" i="111"/>
  <c r="J20" i="111"/>
  <c r="F20" i="111"/>
  <c r="N19" i="111"/>
  <c r="J19" i="111"/>
  <c r="F19" i="111"/>
  <c r="N18" i="111"/>
  <c r="J18" i="111"/>
  <c r="F18" i="111"/>
  <c r="N17" i="111"/>
  <c r="J17" i="111"/>
  <c r="F17" i="111"/>
  <c r="N16" i="111"/>
  <c r="J16" i="111"/>
  <c r="F16" i="111"/>
  <c r="N15" i="111"/>
  <c r="J15" i="111"/>
  <c r="F15" i="111"/>
  <c r="N14" i="111"/>
  <c r="J14" i="111"/>
  <c r="F14" i="111"/>
  <c r="N13" i="111"/>
  <c r="J13" i="111"/>
  <c r="F13" i="111"/>
  <c r="N12" i="111"/>
  <c r="J12" i="111"/>
  <c r="F12" i="111"/>
  <c r="N11" i="111"/>
  <c r="J11" i="111"/>
  <c r="N10" i="111"/>
  <c r="J10" i="111"/>
  <c r="F10" i="111"/>
  <c r="M57" i="111"/>
  <c r="I57" i="111"/>
  <c r="E57" i="111"/>
  <c r="M56" i="111"/>
  <c r="I56" i="111"/>
  <c r="E56" i="111"/>
  <c r="M55" i="111"/>
  <c r="I55" i="111"/>
  <c r="E55" i="111"/>
  <c r="M54" i="111"/>
  <c r="I54" i="111"/>
  <c r="E54" i="111"/>
  <c r="M53" i="111"/>
  <c r="I53" i="111"/>
  <c r="E53" i="111"/>
  <c r="M52" i="111"/>
  <c r="I52" i="111"/>
  <c r="E52" i="111"/>
  <c r="M51" i="111"/>
  <c r="I51" i="111"/>
  <c r="E51" i="111"/>
  <c r="M50" i="111"/>
  <c r="I50" i="111"/>
  <c r="E50" i="111"/>
  <c r="M49" i="111"/>
  <c r="I49" i="111"/>
  <c r="E49" i="111"/>
  <c r="M48" i="111"/>
  <c r="I48" i="111"/>
  <c r="E48" i="111"/>
  <c r="M47" i="111"/>
  <c r="I47" i="111"/>
  <c r="E47" i="111"/>
  <c r="M46" i="111"/>
  <c r="I46" i="111"/>
  <c r="E46" i="111"/>
  <c r="M45" i="111"/>
  <c r="I45" i="111"/>
  <c r="E45" i="111"/>
  <c r="M44" i="111"/>
  <c r="I44" i="111"/>
  <c r="E44" i="111"/>
  <c r="M43" i="111"/>
  <c r="I43" i="111"/>
  <c r="E43" i="111"/>
  <c r="M42" i="111"/>
  <c r="I42" i="111"/>
  <c r="E42" i="111"/>
  <c r="M41" i="111"/>
  <c r="I41" i="111"/>
  <c r="E41" i="111"/>
  <c r="M40" i="111"/>
  <c r="I40" i="111"/>
  <c r="E40" i="111"/>
  <c r="M39" i="111"/>
  <c r="I39" i="111"/>
  <c r="E39" i="111"/>
  <c r="M38" i="111"/>
  <c r="I38" i="111"/>
  <c r="E38" i="111"/>
  <c r="M37" i="111"/>
  <c r="I37" i="111"/>
  <c r="E37" i="111"/>
  <c r="M36" i="111"/>
  <c r="I36" i="111"/>
  <c r="E36" i="111"/>
  <c r="M35" i="111"/>
  <c r="I35" i="111"/>
  <c r="E35" i="111"/>
  <c r="M34" i="111"/>
  <c r="I34" i="111"/>
  <c r="E34" i="111"/>
  <c r="M33" i="111"/>
  <c r="I33" i="111"/>
  <c r="E33" i="111"/>
  <c r="M32" i="111"/>
  <c r="I32" i="111"/>
  <c r="E32" i="111"/>
  <c r="M31" i="111"/>
  <c r="I31" i="111"/>
  <c r="E31" i="111"/>
  <c r="M30" i="111"/>
  <c r="I30" i="111"/>
  <c r="E30" i="111"/>
  <c r="M29" i="111"/>
  <c r="I29" i="111"/>
  <c r="E29" i="111"/>
  <c r="M28" i="111"/>
  <c r="I28" i="111"/>
  <c r="E28" i="111"/>
  <c r="M27" i="111"/>
  <c r="I27" i="111"/>
  <c r="E27" i="111"/>
  <c r="M26" i="111"/>
  <c r="I26" i="111"/>
  <c r="E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E17" i="111"/>
  <c r="I16" i="111"/>
  <c r="I15" i="111"/>
  <c r="M14" i="111"/>
  <c r="E14" i="111"/>
  <c r="I13" i="111"/>
  <c r="M12" i="111"/>
  <c r="E12" i="111"/>
  <c r="I11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I17" i="111"/>
  <c r="M16" i="111"/>
  <c r="E16" i="111"/>
  <c r="M15" i="111"/>
  <c r="E15" i="111"/>
  <c r="I14" i="111"/>
  <c r="M13" i="111"/>
  <c r="E13" i="111"/>
  <c r="I12" i="111"/>
  <c r="M11" i="111"/>
  <c r="L10" i="111"/>
  <c r="H10" i="111"/>
  <c r="D10" i="111"/>
  <c r="K57" i="111"/>
  <c r="G57" i="111"/>
  <c r="C57" i="111"/>
  <c r="K56" i="111"/>
  <c r="G56" i="111"/>
  <c r="C56" i="111"/>
  <c r="K55" i="111"/>
  <c r="G55" i="111"/>
  <c r="C55" i="111"/>
  <c r="K54" i="111"/>
  <c r="G54" i="111"/>
  <c r="C54" i="111"/>
  <c r="K53" i="111"/>
  <c r="G53" i="111"/>
  <c r="C53" i="111"/>
  <c r="K52" i="111"/>
  <c r="G52" i="111"/>
  <c r="C52" i="111"/>
  <c r="K51" i="111"/>
  <c r="G51" i="111"/>
  <c r="C51" i="111"/>
  <c r="K50" i="111"/>
  <c r="G50" i="111"/>
  <c r="C50" i="111"/>
  <c r="K49" i="111"/>
  <c r="G49" i="111"/>
  <c r="C49" i="111"/>
  <c r="K48" i="111"/>
  <c r="G48" i="111"/>
  <c r="C48" i="111"/>
  <c r="K47" i="111"/>
  <c r="G47" i="111"/>
  <c r="C47" i="111"/>
  <c r="K46" i="111"/>
  <c r="G46" i="111"/>
  <c r="C46" i="111"/>
  <c r="K45" i="111"/>
  <c r="G45" i="111"/>
  <c r="C45" i="111"/>
  <c r="K44" i="111"/>
  <c r="G44" i="111"/>
  <c r="C44" i="111"/>
  <c r="K43" i="111"/>
  <c r="G43" i="111"/>
  <c r="C43" i="111"/>
  <c r="K42" i="111"/>
  <c r="G42" i="111"/>
  <c r="C42" i="111"/>
  <c r="K41" i="111"/>
  <c r="G41" i="111"/>
  <c r="C41" i="111"/>
  <c r="K40" i="111"/>
  <c r="G40" i="111"/>
  <c r="C40" i="111"/>
  <c r="K39" i="111"/>
  <c r="G39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L24" i="111"/>
  <c r="H24" i="111"/>
  <c r="D24" i="111"/>
  <c r="L23" i="111"/>
  <c r="H23" i="111"/>
  <c r="D23" i="111"/>
  <c r="L22" i="111"/>
  <c r="H22" i="111"/>
  <c r="D22" i="111"/>
  <c r="L21" i="111"/>
  <c r="H21" i="111"/>
  <c r="D21" i="111"/>
  <c r="L20" i="111"/>
  <c r="H20" i="111"/>
  <c r="D20" i="111"/>
  <c r="L19" i="111"/>
  <c r="H19" i="111"/>
  <c r="D19" i="111"/>
  <c r="L18" i="111"/>
  <c r="H18" i="111"/>
  <c r="D18" i="111"/>
  <c r="L17" i="111"/>
  <c r="H17" i="111"/>
  <c r="D17" i="111"/>
  <c r="L16" i="111"/>
  <c r="H16" i="111"/>
  <c r="D16" i="111"/>
  <c r="L15" i="111"/>
  <c r="H15" i="111"/>
  <c r="D15" i="111"/>
  <c r="L14" i="111"/>
  <c r="H14" i="111"/>
  <c r="D14" i="111"/>
  <c r="L13" i="111"/>
  <c r="H13" i="111"/>
  <c r="D13" i="111"/>
  <c r="L12" i="111"/>
  <c r="H12" i="111"/>
  <c r="D12" i="111"/>
  <c r="L11" i="111"/>
  <c r="H11" i="111"/>
  <c r="D11" i="111"/>
  <c r="C39" i="111"/>
  <c r="K38" i="111"/>
  <c r="G38" i="111"/>
  <c r="C38" i="111"/>
  <c r="K37" i="111"/>
  <c r="G37" i="111"/>
  <c r="C37" i="111"/>
  <c r="K36" i="111"/>
  <c r="G36" i="111"/>
  <c r="C36" i="111"/>
  <c r="K35" i="111"/>
  <c r="G35" i="111"/>
  <c r="C35" i="111"/>
  <c r="K34" i="111"/>
  <c r="G34" i="111"/>
  <c r="C34" i="111"/>
  <c r="K33" i="111"/>
  <c r="G33" i="111"/>
  <c r="C33" i="111"/>
  <c r="K32" i="111"/>
  <c r="G32" i="111"/>
  <c r="C32" i="111"/>
  <c r="K31" i="111"/>
  <c r="G31" i="111"/>
  <c r="C31" i="111"/>
  <c r="K30" i="111"/>
  <c r="G30" i="111"/>
  <c r="C30" i="111"/>
  <c r="K29" i="111"/>
  <c r="G29" i="111"/>
  <c r="C29" i="111"/>
  <c r="K28" i="111"/>
  <c r="G28" i="111"/>
  <c r="C28" i="111"/>
  <c r="K27" i="111"/>
  <c r="G27" i="111"/>
  <c r="C27" i="111"/>
  <c r="K26" i="111"/>
  <c r="G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D5" i="104"/>
  <c r="C106" i="105" l="1"/>
  <c r="O53" i="96"/>
  <c r="C3" i="94"/>
  <c r="K6" i="98" l="1"/>
  <c r="K6" i="99" s="1"/>
  <c r="K6" i="100" s="1"/>
  <c r="K6" i="101" s="1"/>
  <c r="K6" i="109" s="1"/>
  <c r="K6" i="105" s="1"/>
  <c r="K6" i="110" s="1"/>
  <c r="K6" i="103" s="1"/>
  <c r="K5" i="100"/>
  <c r="G5" i="98"/>
  <c r="G5" i="99" s="1"/>
  <c r="G5" i="100" s="1"/>
  <c r="G5" i="101" s="1"/>
  <c r="G5" i="109" s="1"/>
  <c r="G5" i="105" s="1"/>
  <c r="G5" i="110" s="1"/>
  <c r="G5" i="103" s="1"/>
  <c r="K6" i="97"/>
  <c r="G5" i="97"/>
  <c r="K6" i="96"/>
  <c r="G5" i="96"/>
  <c r="K6" i="95"/>
  <c r="G5" i="95"/>
  <c r="K6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10"/>
  <c r="D5" i="109"/>
  <c r="D5" i="100"/>
  <c r="D5" i="98"/>
  <c r="D5" i="96"/>
  <c r="D5" i="94"/>
  <c r="K6" i="107" l="1"/>
  <c r="K6" i="104"/>
  <c r="K6" i="108" s="1"/>
  <c r="K6" i="111" s="1"/>
  <c r="K5" i="108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Z39" i="105" s="1"/>
  <c r="Y19" i="105"/>
  <c r="X19" i="105"/>
  <c r="X39" i="105" s="1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6" i="95" l="1"/>
  <c r="W39" i="105"/>
  <c r="AA39" i="105"/>
  <c r="U39" i="109"/>
  <c r="AC39" i="109"/>
  <c r="AA39" i="101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Y38" i="105" l="1"/>
  <c r="U38" i="109"/>
  <c r="X26" i="96"/>
  <c r="AF25" i="101"/>
  <c r="AF28" i="101"/>
  <c r="S38" i="110"/>
  <c r="AB26" i="98"/>
  <c r="X36" i="101"/>
  <c r="T36" i="10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W27" i="95"/>
  <c r="W24" i="95"/>
  <c r="AB24" i="98"/>
  <c r="W26" i="96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X42" i="109" l="1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<sst xmlns="http://schemas.openxmlformats.org/spreadsheetml/2006/main" count="2339" uniqueCount="185">
  <si>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</si>
  <si>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</si>
  <si>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</si>
  <si>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</si>
  <si>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</si>
  <si>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</si>
  <si>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</si>
  <si>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</si>
  <si>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</si>
  <si>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</si>
  <si>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</si>
  <si>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</si>
  <si>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</si>
  <si>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</si>
  <si>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</si>
  <si>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</si>
  <si>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</si>
  <si>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</si>
  <si>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</si>
  <si>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</si>
  <si>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</si>
  <si>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</si>
  <si>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</si>
  <si>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</si>
  <si>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</si>
  <si>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</si>
  <si>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</si>
  <si>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</si>
  <si>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</si>
  <si>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</si>
  <si>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</si>
  <si>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</si>
  <si>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</si>
  <si>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</si>
  <si>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</si>
  <si>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</si>
  <si>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</si>
  <si>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</si>
  <si>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</si>
  <si>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</si>
  <si>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</si>
  <si>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</si>
  <si>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</si>
  <si>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</si>
  <si>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</si>
  <si>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</si>
  <si>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</si>
  <si>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</si>
  <si>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</si>
  <si>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</si>
  <si>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</si>
  <si>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</si>
  <si>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</si>
  <si>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</si>
  <si>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</si>
  <si>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</si>
  <si>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</si>
  <si>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</si>
  <si>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</si>
  <si>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</si>
  <si>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</si>
  <si>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</si>
  <si>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</si>
  <si>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</si>
  <si>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</si>
  <si>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</si>
  <si>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</si>
  <si>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</si>
  <si>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</si>
  <si>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</si>
  <si>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</si>
  <si>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</si>
  <si>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</si>
  <si>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</si>
  <si>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</si>
  <si>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</si>
  <si>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</si>
  <si>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</si>
  <si>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</si>
  <si>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</si>
  <si>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</si>
  <si>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</si>
  <si>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</si>
  <si>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</si>
  <si>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</si>
  <si>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</si>
  <si>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</si>
  <si>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</si>
  <si>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</si>
  <si>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</si>
  <si>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</si>
  <si>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</si>
  <si>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</si>
  <si>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</si>
  <si>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</si>
  <si>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</si>
  <si>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</si>
  <si>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</si>
  <si>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</si>
  <si>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</si>
  <si>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</si>
  <si>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</si>
  <si>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</si>
  <si>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</si>
  <si>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</si>
  <si>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</si>
  <si>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</si>
  <si>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</si>
  <si>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</si>
  <si>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</si>
  <si>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</si>
  <si>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</si>
  <si>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</si>
  <si>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</si>
  <si>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</si>
  <si>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</si>
  <si>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</si>
  <si>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</si>
  <si>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</si>
  <si>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</si>
  <si>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</si>
  <si>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</si>
  <si>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</si>
  <si>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</si>
  <si>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</si>
  <si>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</si>
  <si>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</si>
  <si>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</si>
  <si>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</si>
  <si>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</si>
  <si>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</si>
  <si>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</si>
  <si>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</si>
  <si>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</si>
  <si>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</si>
  <si>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</si>
  <si>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</si>
  <si>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</si>
  <si>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</si>
  <si>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</si>
  <si>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</si>
  <si>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</si>
  <si>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</si>
  <si>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</si>
  <si>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</si>
  <si>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</si>
  <si>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</si>
  <si>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</si>
  <si>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</si>
  <si>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</si>
  <si>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</si>
  <si>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</si>
  <si>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</si>
  <si>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</si>
  <si>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</si>
  <si>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</si>
  <si>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</si>
  <si>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</si>
  <si>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</si>
  <si>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</si>
  <si>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</si>
  <si>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</si>
  <si>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</si>
  <si>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17.10.19</t>
  </si>
  <si>
    <t>MCC - C3 - STN89 - GALIRAYA ROAD</t>
  </si>
  <si>
    <t>KAYUNGA</t>
  </si>
  <si>
    <t>GALIRAYA</t>
  </si>
  <si>
    <t>KYANYA</t>
  </si>
  <si>
    <t>NAKIWUGE</t>
  </si>
  <si>
    <t>GODFREY</t>
  </si>
  <si>
    <t>SEBULIBA GODFREY</t>
  </si>
  <si>
    <t>18.10.19</t>
  </si>
  <si>
    <t>NAKIWUGE ALLEN</t>
  </si>
  <si>
    <t>PAMELA</t>
  </si>
  <si>
    <t>S</t>
  </si>
  <si>
    <t>19.10.19</t>
  </si>
  <si>
    <t>20.10.19</t>
  </si>
  <si>
    <t>ANNITAH</t>
  </si>
  <si>
    <t>SHADIA</t>
  </si>
  <si>
    <t>21.10.19</t>
  </si>
  <si>
    <t>22.10.19</t>
  </si>
  <si>
    <t>23.10.19</t>
  </si>
  <si>
    <t>NAKAWUGE ALLEN</t>
  </si>
  <si>
    <t>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</si>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</sst>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KAYUNGA-GALIRAYA'!$AE$9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KAYUNGA-GALIRAYA'!$AE$10:$AE$21</c:f>
              <c:numCache>
                <c:formatCode>0</c:formatCode>
                <c:ptCount val="12"/>
                <c:pt idx="0">
                  <c:v>28</c:v>
                </c:pt>
                <c:pt idx="1">
                  <c:v>23</c:v>
                </c:pt>
                <c:pt idx="2">
                  <c:v>23</c:v>
                </c:pt>
                <c:pt idx="3">
                  <c:v>21</c:v>
                </c:pt>
                <c:pt idx="4">
                  <c:v>17</c:v>
                </c:pt>
                <c:pt idx="5">
                  <c:v>19</c:v>
                </c:pt>
                <c:pt idx="6">
                  <c:v>27</c:v>
                </c:pt>
                <c:pt idx="7">
                  <c:v>15</c:v>
                </c:pt>
                <c:pt idx="8">
                  <c:v>22</c:v>
                </c:pt>
                <c:pt idx="9">
                  <c:v>18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'17.10 KAYUNGA-GALIRAYA'!$AF$9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KAYUNGA-GALIRAYA'!$AF$10:$AF$21</c:f>
              <c:numCache>
                <c:formatCode>0</c:formatCode>
                <c:ptCount val="12"/>
                <c:pt idx="0">
                  <c:v>47</c:v>
                </c:pt>
                <c:pt idx="1">
                  <c:v>64</c:v>
                </c:pt>
                <c:pt idx="2">
                  <c:v>54</c:v>
                </c:pt>
                <c:pt idx="3">
                  <c:v>75</c:v>
                </c:pt>
                <c:pt idx="4">
                  <c:v>74</c:v>
                </c:pt>
                <c:pt idx="5">
                  <c:v>77</c:v>
                </c:pt>
                <c:pt idx="6">
                  <c:v>58</c:v>
                </c:pt>
                <c:pt idx="7">
                  <c:v>53</c:v>
                </c:pt>
                <c:pt idx="8">
                  <c:v>59</c:v>
                </c:pt>
                <c:pt idx="9">
                  <c:v>53</c:v>
                </c:pt>
                <c:pt idx="10">
                  <c:v>60</c:v>
                </c:pt>
                <c:pt idx="11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36248"/>
        <c:axId val="170414296"/>
      </c:lineChart>
      <c:catAx>
        <c:axId val="213436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414296"/>
        <c:crosses val="autoZero"/>
        <c:auto val="1"/>
        <c:lblAlgn val="ctr"/>
        <c:lblOffset val="100"/>
        <c:noMultiLvlLbl val="0"/>
      </c:catAx>
      <c:valAx>
        <c:axId val="170414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43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KAYUNGA-GALIRAYA'!$C$59:$N$59</c:f>
              <c:numCache>
                <c:formatCode>0.0%</c:formatCode>
                <c:ptCount val="12"/>
                <c:pt idx="0">
                  <c:v>6.0846560846560843E-2</c:v>
                </c:pt>
                <c:pt idx="1">
                  <c:v>1.0582010582010581E-2</c:v>
                </c:pt>
                <c:pt idx="2">
                  <c:v>3.0423280423280422E-2</c:v>
                </c:pt>
                <c:pt idx="3">
                  <c:v>8.5978835978835974E-2</c:v>
                </c:pt>
                <c:pt idx="4">
                  <c:v>9.2592592592592587E-3</c:v>
                </c:pt>
                <c:pt idx="5">
                  <c:v>3.968253968253968E-3</c:v>
                </c:pt>
                <c:pt idx="6">
                  <c:v>6.4814814814814811E-2</c:v>
                </c:pt>
                <c:pt idx="7">
                  <c:v>2.3809523809523808E-2</c:v>
                </c:pt>
                <c:pt idx="8">
                  <c:v>1.5873015873015872E-2</c:v>
                </c:pt>
                <c:pt idx="9">
                  <c:v>0</c:v>
                </c:pt>
                <c:pt idx="10">
                  <c:v>0.68121693121693117</c:v>
                </c:pt>
                <c:pt idx="11">
                  <c:v>1.3227513227513227E-2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KAYUNGA-GALIRAYA'!$C$60:$N$60</c:f>
              <c:numCache>
                <c:formatCode>0.00%</c:formatCode>
                <c:ptCount val="12"/>
                <c:pt idx="0">
                  <c:v>0.1908713692946058</c:v>
                </c:pt>
                <c:pt idx="1">
                  <c:v>3.3195020746887967E-2</c:v>
                </c:pt>
                <c:pt idx="2">
                  <c:v>9.5435684647302899E-2</c:v>
                </c:pt>
                <c:pt idx="3">
                  <c:v>0.26970954356846472</c:v>
                </c:pt>
                <c:pt idx="4">
                  <c:v>2.9045643153526972E-2</c:v>
                </c:pt>
                <c:pt idx="5">
                  <c:v>1.2448132780082987E-2</c:v>
                </c:pt>
                <c:pt idx="6">
                  <c:v>0.2033195020746888</c:v>
                </c:pt>
                <c:pt idx="7">
                  <c:v>7.4688796680497924E-2</c:v>
                </c:pt>
                <c:pt idx="8">
                  <c:v>4.9792531120331947E-2</c:v>
                </c:pt>
                <c:pt idx="9">
                  <c:v>0</c:v>
                </c:pt>
                <c:pt idx="11">
                  <c:v>4.1493775933609957E-2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GALIRAYA-KAYUNGA'!$AE$9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GALIRAYA-KAYUNGA'!$AE$10:$AE$21</c:f>
              <c:numCache>
                <c:formatCode>0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12</c:v>
                </c:pt>
                <c:pt idx="6">
                  <c:v>11</c:v>
                </c:pt>
                <c:pt idx="7">
                  <c:v>20</c:v>
                </c:pt>
                <c:pt idx="8">
                  <c:v>16</c:v>
                </c:pt>
                <c:pt idx="9">
                  <c:v>32</c:v>
                </c:pt>
                <c:pt idx="10">
                  <c:v>14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'17.10 GALIRAYA-KAYUNGA'!$AF$9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GALIRAYA-KAYUNGA'!$AF$10:$AF$21</c:f>
              <c:numCache>
                <c:formatCode>0</c:formatCode>
                <c:ptCount val="12"/>
                <c:pt idx="0">
                  <c:v>15</c:v>
                </c:pt>
                <c:pt idx="1">
                  <c:v>32</c:v>
                </c:pt>
                <c:pt idx="2">
                  <c:v>28</c:v>
                </c:pt>
                <c:pt idx="3">
                  <c:v>36</c:v>
                </c:pt>
                <c:pt idx="4">
                  <c:v>58</c:v>
                </c:pt>
                <c:pt idx="5">
                  <c:v>64</c:v>
                </c:pt>
                <c:pt idx="6">
                  <c:v>49</c:v>
                </c:pt>
                <c:pt idx="7">
                  <c:v>64</c:v>
                </c:pt>
                <c:pt idx="8">
                  <c:v>83</c:v>
                </c:pt>
                <c:pt idx="9">
                  <c:v>95</c:v>
                </c:pt>
                <c:pt idx="10">
                  <c:v>34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84296"/>
        <c:axId val="213685864"/>
      </c:lineChart>
      <c:catAx>
        <c:axId val="213684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5864"/>
        <c:crosses val="autoZero"/>
        <c:auto val="1"/>
        <c:lblAlgn val="ctr"/>
        <c:lblOffset val="100"/>
        <c:noMultiLvlLbl val="0"/>
      </c:catAx>
      <c:valAx>
        <c:axId val="213685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GALIRAYA-KAYUNGA'!$C$59:$N$59</c:f>
              <c:numCache>
                <c:formatCode>0.0%</c:formatCode>
                <c:ptCount val="12"/>
                <c:pt idx="0">
                  <c:v>5.1070840197693576E-2</c:v>
                </c:pt>
                <c:pt idx="1">
                  <c:v>1.1532125205930808E-2</c:v>
                </c:pt>
                <c:pt idx="2">
                  <c:v>2.1416803953871501E-2</c:v>
                </c:pt>
                <c:pt idx="3">
                  <c:v>8.5667215815486003E-2</c:v>
                </c:pt>
                <c:pt idx="4">
                  <c:v>6.5897858319604614E-3</c:v>
                </c:pt>
                <c:pt idx="5">
                  <c:v>8.2372322899505763E-3</c:v>
                </c:pt>
                <c:pt idx="6">
                  <c:v>4.2833607907743002E-2</c:v>
                </c:pt>
                <c:pt idx="7">
                  <c:v>1.3179571663920923E-2</c:v>
                </c:pt>
                <c:pt idx="8">
                  <c:v>9.8846787479406912E-3</c:v>
                </c:pt>
                <c:pt idx="9">
                  <c:v>1.1532125205930808E-2</c:v>
                </c:pt>
                <c:pt idx="10">
                  <c:v>0.7380560131795717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GALIRAYA-KAYUNGA'!$S$9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GALIRAYA-KAYUNGA'!$S$10:$S$21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'17.10 GALIRAYA-KAYUNGA'!$T$9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GALIRAYA-KAYUNGA'!$T$10:$T$21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'17.10 GALIRAYA-KAYUNGA'!$U$9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'17.10 GALIRAYA-KAYUNGA'!$V$9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GALIRAYA-KAYUNGA'!$V$10:$V$21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12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'17.10 GALIRAYA-KAYUNGA'!$W$9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'17.10 GALIRAYA-KAYUNGA'!$X$9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'17.10 GALIRAYA-KAYUNGA'!$Y$9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'17.10 GALIRAYA-KAYUNGA'!$Z$9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GALIRAYA-KAYUNGA'!$Z$10:$Z$21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'17.10 GALIRAYA-KAYUNGA'!$AA$9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'17.10 GALIRAYA-KAYUNGA'!$AB$9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'17.10 GALIRAYA-KAYUNGA'!$AC$9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GALIRAYA-KAYUNGA'!$AC$10:$AC$21</c:f>
              <c:numCache>
                <c:formatCode>0</c:formatCode>
                <c:ptCount val="12"/>
                <c:pt idx="0">
                  <c:v>6</c:v>
                </c:pt>
                <c:pt idx="1">
                  <c:v>25</c:v>
                </c:pt>
                <c:pt idx="2">
                  <c:v>20</c:v>
                </c:pt>
                <c:pt idx="3">
                  <c:v>29</c:v>
                </c:pt>
                <c:pt idx="4">
                  <c:v>53</c:v>
                </c:pt>
                <c:pt idx="5">
                  <c:v>52</c:v>
                </c:pt>
                <c:pt idx="6">
                  <c:v>38</c:v>
                </c:pt>
                <c:pt idx="7">
                  <c:v>44</c:v>
                </c:pt>
                <c:pt idx="8">
                  <c:v>67</c:v>
                </c:pt>
                <c:pt idx="9">
                  <c:v>63</c:v>
                </c:pt>
                <c:pt idx="10">
                  <c:v>20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'17.10 GALIRAYA-KAYUNGA'!$AD$9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GALIRAYA-KAYUNGA'!$AD$10:$AD$21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90960"/>
        <c:axId val="213684688"/>
      </c:lineChart>
      <c:catAx>
        <c:axId val="21369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4688"/>
        <c:crosses val="autoZero"/>
        <c:auto val="1"/>
        <c:lblAlgn val="ctr"/>
        <c:lblOffset val="100"/>
        <c:noMultiLvlLbl val="0"/>
      </c:catAx>
      <c:valAx>
        <c:axId val="21368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9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GALIRAYA-KAYUNGA'!$C$60:$N$60</c:f>
              <c:numCache>
                <c:formatCode>0.00%</c:formatCode>
                <c:ptCount val="12"/>
                <c:pt idx="0">
                  <c:v>0.19496855345911951</c:v>
                </c:pt>
                <c:pt idx="1">
                  <c:v>4.40251572327044E-2</c:v>
                </c:pt>
                <c:pt idx="2">
                  <c:v>8.1761006289308172E-2</c:v>
                </c:pt>
                <c:pt idx="3">
                  <c:v>0.32704402515723269</c:v>
                </c:pt>
                <c:pt idx="4">
                  <c:v>2.5157232704402517E-2</c:v>
                </c:pt>
                <c:pt idx="5">
                  <c:v>3.1446540880503145E-2</c:v>
                </c:pt>
                <c:pt idx="6">
                  <c:v>0.16352201257861634</c:v>
                </c:pt>
                <c:pt idx="7">
                  <c:v>5.0314465408805034E-2</c:v>
                </c:pt>
                <c:pt idx="8">
                  <c:v>3.7735849056603772E-2</c:v>
                </c:pt>
                <c:pt idx="9">
                  <c:v>4.40251572327044E-2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KAYUNGA-GALIRAYA'!$AE$9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KAYUNGA-GALIRAYA'!$AE$10:$AE$21</c:f>
              <c:numCache>
                <c:formatCode>0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19</c:v>
                </c:pt>
                <c:pt idx="3">
                  <c:v>23</c:v>
                </c:pt>
                <c:pt idx="4">
                  <c:v>22</c:v>
                </c:pt>
                <c:pt idx="5">
                  <c:v>32</c:v>
                </c:pt>
                <c:pt idx="6">
                  <c:v>23</c:v>
                </c:pt>
                <c:pt idx="7">
                  <c:v>14</c:v>
                </c:pt>
                <c:pt idx="8">
                  <c:v>16</c:v>
                </c:pt>
                <c:pt idx="9">
                  <c:v>17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'18.10 KAYUNGA-GALIRAYA'!$AF$9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KAYUNGA-GALIRAYA'!$AF$10:$AF$21</c:f>
              <c:numCache>
                <c:formatCode>0</c:formatCode>
                <c:ptCount val="12"/>
                <c:pt idx="0">
                  <c:v>19</c:v>
                </c:pt>
                <c:pt idx="1">
                  <c:v>41</c:v>
                </c:pt>
                <c:pt idx="2">
                  <c:v>58</c:v>
                </c:pt>
                <c:pt idx="3">
                  <c:v>66</c:v>
                </c:pt>
                <c:pt idx="4">
                  <c:v>75</c:v>
                </c:pt>
                <c:pt idx="5">
                  <c:v>90</c:v>
                </c:pt>
                <c:pt idx="6">
                  <c:v>76</c:v>
                </c:pt>
                <c:pt idx="7">
                  <c:v>67</c:v>
                </c:pt>
                <c:pt idx="8">
                  <c:v>47</c:v>
                </c:pt>
                <c:pt idx="9">
                  <c:v>61</c:v>
                </c:pt>
                <c:pt idx="10">
                  <c:v>56</c:v>
                </c:pt>
                <c:pt idx="11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85080"/>
        <c:axId val="213690176"/>
      </c:lineChart>
      <c:catAx>
        <c:axId val="213685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90176"/>
        <c:crosses val="autoZero"/>
        <c:auto val="1"/>
        <c:lblAlgn val="ctr"/>
        <c:lblOffset val="100"/>
        <c:noMultiLvlLbl val="0"/>
      </c:catAx>
      <c:valAx>
        <c:axId val="213690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KAYUNGA-GALIRAYA'!$C$59:$N$59</c:f>
              <c:numCache>
                <c:formatCode>0.0%</c:formatCode>
                <c:ptCount val="12"/>
                <c:pt idx="0">
                  <c:v>6.1624649859943981E-2</c:v>
                </c:pt>
                <c:pt idx="1">
                  <c:v>1.2605042016806723E-2</c:v>
                </c:pt>
                <c:pt idx="2">
                  <c:v>2.5210084033613446E-2</c:v>
                </c:pt>
                <c:pt idx="3">
                  <c:v>8.8235294117647065E-2</c:v>
                </c:pt>
                <c:pt idx="4">
                  <c:v>7.0028011204481795E-3</c:v>
                </c:pt>
                <c:pt idx="5">
                  <c:v>7.0028011204481795E-3</c:v>
                </c:pt>
                <c:pt idx="6">
                  <c:v>7.0028011204481794E-2</c:v>
                </c:pt>
                <c:pt idx="7">
                  <c:v>2.5210084033613446E-2</c:v>
                </c:pt>
                <c:pt idx="8">
                  <c:v>1.2605042016806723E-2</c:v>
                </c:pt>
                <c:pt idx="9">
                  <c:v>8.4033613445378148E-3</c:v>
                </c:pt>
                <c:pt idx="10">
                  <c:v>0.68207282913165268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KAYUNGA-GALIRAYA'!$S$9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KAYUNGA-GALIRAYA'!$S$10:$S$21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'18.10 KAYUNGA-GALIRAYA'!$T$9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KAYUNGA-GALIRAYA'!$T$10:$T$21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'18.10 KAYUNGA-GALIRAYA'!$U$9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'18.10 KAYUNGA-GALIRAYA'!$V$9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KAYUNGA-GALIRAYA'!$V$10:$V$21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'18.10 KAYUNGA-GALIRAYA'!$W$9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'18.10 KAYUNGA-GALIRAYA'!$X$9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'18.10 KAYUNGA-GALIRAYA'!$Y$9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KAYUNGA-GALIRAYA'!$Y$10:$Y$21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'18.10 KAYUNGA-GALIRAYA'!$Z$9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'18.10 KAYUNGA-GALIRAYA'!$AA$9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KAYUNGA-GALIRAYA'!$AA$10:$AA$21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'18.10 KAYUNGA-GALIRAYA'!$AB$9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KAYUNGA-GALIRAYA'!$AB$10:$AB$21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'18.10 KAYUNGA-GALIRAYA'!$AC$9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KAYUNGA-GALIRAYA'!$AC$10:$AC$21</c:f>
              <c:numCache>
                <c:formatCode>0</c:formatCode>
                <c:ptCount val="12"/>
                <c:pt idx="0">
                  <c:v>5</c:v>
                </c:pt>
                <c:pt idx="1">
                  <c:v>26</c:v>
                </c:pt>
                <c:pt idx="2">
                  <c:v>39</c:v>
                </c:pt>
                <c:pt idx="3">
                  <c:v>43</c:v>
                </c:pt>
                <c:pt idx="4">
                  <c:v>53</c:v>
                </c:pt>
                <c:pt idx="5">
                  <c:v>58</c:v>
                </c:pt>
                <c:pt idx="6">
                  <c:v>53</c:v>
                </c:pt>
                <c:pt idx="7">
                  <c:v>53</c:v>
                </c:pt>
                <c:pt idx="8">
                  <c:v>31</c:v>
                </c:pt>
                <c:pt idx="9">
                  <c:v>44</c:v>
                </c:pt>
                <c:pt idx="10">
                  <c:v>39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'18.10 KAYUNGA-GALIRAYA'!$AD$9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KAYUNGA-GALIRAYA'!$AD$10:$AD$21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89000"/>
        <c:axId val="213689392"/>
      </c:lineChart>
      <c:catAx>
        <c:axId val="21368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9392"/>
        <c:crosses val="autoZero"/>
        <c:auto val="1"/>
        <c:lblAlgn val="ctr"/>
        <c:lblOffset val="100"/>
        <c:noMultiLvlLbl val="0"/>
      </c:catAx>
      <c:valAx>
        <c:axId val="2136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KAYUNGA-GALIRAYA'!$C$60:$N$60</c:f>
              <c:numCache>
                <c:formatCode>0.00%</c:formatCode>
                <c:ptCount val="12"/>
                <c:pt idx="0">
                  <c:v>0.19383259911894274</c:v>
                </c:pt>
                <c:pt idx="1">
                  <c:v>3.9647577092511016E-2</c:v>
                </c:pt>
                <c:pt idx="2">
                  <c:v>7.9295154185022032E-2</c:v>
                </c:pt>
                <c:pt idx="3">
                  <c:v>0.27753303964757708</c:v>
                </c:pt>
                <c:pt idx="4">
                  <c:v>2.2026431718061675E-2</c:v>
                </c:pt>
                <c:pt idx="5">
                  <c:v>2.2026431718061675E-2</c:v>
                </c:pt>
                <c:pt idx="6">
                  <c:v>0.22026431718061673</c:v>
                </c:pt>
                <c:pt idx="7">
                  <c:v>7.9295154185022032E-2</c:v>
                </c:pt>
                <c:pt idx="8">
                  <c:v>3.9647577092511016E-2</c:v>
                </c:pt>
                <c:pt idx="9">
                  <c:v>2.643171806167401E-2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GALIRAYA-KAYUNGA'!$AE$9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GALIRAYA-KAYUNGA'!$AE$10:$AE$21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9</c:v>
                </c:pt>
                <c:pt idx="3">
                  <c:v>6</c:v>
                </c:pt>
                <c:pt idx="4">
                  <c:v>12</c:v>
                </c:pt>
                <c:pt idx="5">
                  <c:v>14</c:v>
                </c:pt>
                <c:pt idx="6">
                  <c:v>17</c:v>
                </c:pt>
                <c:pt idx="7">
                  <c:v>8</c:v>
                </c:pt>
                <c:pt idx="8">
                  <c:v>17</c:v>
                </c:pt>
                <c:pt idx="9">
                  <c:v>11</c:v>
                </c:pt>
                <c:pt idx="10">
                  <c:v>25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'18.10 GALIRAYA-KAYUNGA'!$AF$9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GALIRAYA-KAYUNGA'!$AF$10:$AF$21</c:f>
              <c:numCache>
                <c:formatCode>0</c:formatCode>
                <c:ptCount val="12"/>
                <c:pt idx="0">
                  <c:v>21</c:v>
                </c:pt>
                <c:pt idx="1">
                  <c:v>52</c:v>
                </c:pt>
                <c:pt idx="2">
                  <c:v>44</c:v>
                </c:pt>
                <c:pt idx="3">
                  <c:v>36</c:v>
                </c:pt>
                <c:pt idx="4">
                  <c:v>48</c:v>
                </c:pt>
                <c:pt idx="5">
                  <c:v>50</c:v>
                </c:pt>
                <c:pt idx="6">
                  <c:v>46</c:v>
                </c:pt>
                <c:pt idx="7">
                  <c:v>39</c:v>
                </c:pt>
                <c:pt idx="8">
                  <c:v>61</c:v>
                </c:pt>
                <c:pt idx="9">
                  <c:v>43</c:v>
                </c:pt>
                <c:pt idx="10">
                  <c:v>60</c:v>
                </c:pt>
                <c:pt idx="11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81584"/>
        <c:axId val="213679624"/>
      </c:lineChart>
      <c:catAx>
        <c:axId val="213681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79624"/>
        <c:crosses val="autoZero"/>
        <c:auto val="1"/>
        <c:lblAlgn val="ctr"/>
        <c:lblOffset val="100"/>
        <c:noMultiLvlLbl val="0"/>
      </c:catAx>
      <c:valAx>
        <c:axId val="213679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GALIRAYA-KAYUNGA'!$C$59:$N$59</c:f>
              <c:numCache>
                <c:formatCode>0.0%</c:formatCode>
                <c:ptCount val="12"/>
                <c:pt idx="0">
                  <c:v>4.8648648648648651E-2</c:v>
                </c:pt>
                <c:pt idx="1">
                  <c:v>1.2612612612612612E-2</c:v>
                </c:pt>
                <c:pt idx="2">
                  <c:v>2.7027027027027029E-2</c:v>
                </c:pt>
                <c:pt idx="3">
                  <c:v>9.3693693693693694E-2</c:v>
                </c:pt>
                <c:pt idx="4">
                  <c:v>9.0090090090090089E-3</c:v>
                </c:pt>
                <c:pt idx="5">
                  <c:v>9.0090090090090089E-3</c:v>
                </c:pt>
                <c:pt idx="6">
                  <c:v>4.6846846846846847E-2</c:v>
                </c:pt>
                <c:pt idx="7">
                  <c:v>1.2612612612612612E-2</c:v>
                </c:pt>
                <c:pt idx="8">
                  <c:v>1.2612612612612612E-2</c:v>
                </c:pt>
                <c:pt idx="9">
                  <c:v>7.2072072072072073E-3</c:v>
                </c:pt>
                <c:pt idx="10">
                  <c:v>0.72072072072072069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GALIRAYA-KAYUNGA'!$S$9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GALIRAYA-KAYUNGA'!$S$10:$S$21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'18.10 GALIRAYA-KAYUNGA'!$T$9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GALIRAYA-KAYUNGA'!$T$10:$T$21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'18.10 GALIRAYA-KAYUNGA'!$U$9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'18.10 GALIRAYA-KAYUNGA'!$V$9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GALIRAYA-KAYUNGA'!$V$10:$V$21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'18.10 GALIRAYA-KAYUNGA'!$W$9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'18.10 GALIRAYA-KAYUNGA'!$X$9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'18.10 GALIRAYA-KAYUNGA'!$Y$9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'18.10 GALIRAYA-KAYUNGA'!$Z$9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'18.10 GALIRAYA-KAYUNGA'!$AA$9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'18.10 GALIRAYA-KAYUNGA'!$AB$9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'18.10 GALIRAYA-KAYUNGA'!$AC$9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GALIRAYA-KAYUNGA'!$AC$10:$AC$21</c:f>
              <c:numCache>
                <c:formatCode>0</c:formatCode>
                <c:ptCount val="12"/>
                <c:pt idx="0">
                  <c:v>15</c:v>
                </c:pt>
                <c:pt idx="1">
                  <c:v>41</c:v>
                </c:pt>
                <c:pt idx="2">
                  <c:v>35</c:v>
                </c:pt>
                <c:pt idx="3">
                  <c:v>30</c:v>
                </c:pt>
                <c:pt idx="4">
                  <c:v>36</c:v>
                </c:pt>
                <c:pt idx="5">
                  <c:v>36</c:v>
                </c:pt>
                <c:pt idx="6">
                  <c:v>29</c:v>
                </c:pt>
                <c:pt idx="7">
                  <c:v>31</c:v>
                </c:pt>
                <c:pt idx="8">
                  <c:v>44</c:v>
                </c:pt>
                <c:pt idx="9">
                  <c:v>32</c:v>
                </c:pt>
                <c:pt idx="10">
                  <c:v>35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'18.10 GALIRAYA-KAYUNGA'!$AD$9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GALIRAYA-KAYUNGA'!$AD$10:$AD$21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81192"/>
        <c:axId val="213680016"/>
      </c:lineChart>
      <c:catAx>
        <c:axId val="21368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0016"/>
        <c:crosses val="autoZero"/>
        <c:auto val="1"/>
        <c:lblAlgn val="ctr"/>
        <c:lblOffset val="100"/>
        <c:noMultiLvlLbl val="0"/>
      </c:catAx>
      <c:valAx>
        <c:axId val="21368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8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GALIRAYA-KAYUNGA'!$C$60:$N$60</c:f>
              <c:numCache>
                <c:formatCode>0.00%</c:formatCode>
                <c:ptCount val="12"/>
                <c:pt idx="0">
                  <c:v>0.17419354838709677</c:v>
                </c:pt>
                <c:pt idx="1">
                  <c:v>4.5161290322580643E-2</c:v>
                </c:pt>
                <c:pt idx="2">
                  <c:v>9.6774193548387094E-2</c:v>
                </c:pt>
                <c:pt idx="3">
                  <c:v>0.33548387096774196</c:v>
                </c:pt>
                <c:pt idx="4">
                  <c:v>3.2258064516129031E-2</c:v>
                </c:pt>
                <c:pt idx="5">
                  <c:v>3.2258064516129031E-2</c:v>
                </c:pt>
                <c:pt idx="6">
                  <c:v>0.16774193548387098</c:v>
                </c:pt>
                <c:pt idx="7">
                  <c:v>4.5161290322580643E-2</c:v>
                </c:pt>
                <c:pt idx="8">
                  <c:v>4.5161290322580643E-2</c:v>
                </c:pt>
                <c:pt idx="9">
                  <c:v>2.5806451612903226E-2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KAYUNGA-GALIRAYA-24h'!$AE$9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KAYUNGA-GALIRAYA-24h'!$R$10:$R$33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KAYUNGA-GALIRAYA-24h'!$AE$10:$AE$33</c:f>
              <c:numCache>
                <c:formatCode>0</c:formatCode>
                <c:ptCount val="24"/>
                <c:pt idx="0">
                  <c:v>9</c:v>
                </c:pt>
                <c:pt idx="1">
                  <c:v>16</c:v>
                </c:pt>
                <c:pt idx="2">
                  <c:v>20</c:v>
                </c:pt>
                <c:pt idx="3">
                  <c:v>11</c:v>
                </c:pt>
                <c:pt idx="4">
                  <c:v>10</c:v>
                </c:pt>
                <c:pt idx="5">
                  <c:v>16</c:v>
                </c:pt>
                <c:pt idx="6">
                  <c:v>12</c:v>
                </c:pt>
                <c:pt idx="7">
                  <c:v>21</c:v>
                </c:pt>
                <c:pt idx="8">
                  <c:v>18</c:v>
                </c:pt>
                <c:pt idx="9">
                  <c:v>23</c:v>
                </c:pt>
                <c:pt idx="10">
                  <c:v>27</c:v>
                </c:pt>
                <c:pt idx="11">
                  <c:v>37</c:v>
                </c:pt>
                <c:pt idx="12">
                  <c:v>16</c:v>
                </c:pt>
                <c:pt idx="13">
                  <c:v>19</c:v>
                </c:pt>
                <c:pt idx="14">
                  <c:v>12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4</c:v>
                </c:pt>
                <c:pt idx="21">
                  <c:v>0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'19.10 KAYUNGA-GALIRAYA-24h'!$AF$9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KAYUNGA-GALIRAYA-24h'!$R$10:$R$33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KAYUNGA-GALIRAYA-24h'!$AF$10:$AF$33</c:f>
              <c:numCache>
                <c:formatCode>0</c:formatCode>
                <c:ptCount val="24"/>
                <c:pt idx="0">
                  <c:v>19</c:v>
                </c:pt>
                <c:pt idx="1">
                  <c:v>54</c:v>
                </c:pt>
                <c:pt idx="2">
                  <c:v>58</c:v>
                </c:pt>
                <c:pt idx="3">
                  <c:v>71</c:v>
                </c:pt>
                <c:pt idx="4">
                  <c:v>68</c:v>
                </c:pt>
                <c:pt idx="5">
                  <c:v>81</c:v>
                </c:pt>
                <c:pt idx="6">
                  <c:v>66</c:v>
                </c:pt>
                <c:pt idx="7">
                  <c:v>56</c:v>
                </c:pt>
                <c:pt idx="8">
                  <c:v>58</c:v>
                </c:pt>
                <c:pt idx="9">
                  <c:v>69</c:v>
                </c:pt>
                <c:pt idx="10">
                  <c:v>87</c:v>
                </c:pt>
                <c:pt idx="11">
                  <c:v>91</c:v>
                </c:pt>
                <c:pt idx="12">
                  <c:v>78</c:v>
                </c:pt>
                <c:pt idx="13">
                  <c:v>52</c:v>
                </c:pt>
                <c:pt idx="14">
                  <c:v>20</c:v>
                </c:pt>
                <c:pt idx="15">
                  <c:v>11</c:v>
                </c:pt>
                <c:pt idx="16">
                  <c:v>9</c:v>
                </c:pt>
                <c:pt idx="17">
                  <c:v>3</c:v>
                </c:pt>
                <c:pt idx="18">
                  <c:v>3</c:v>
                </c:pt>
                <c:pt idx="19">
                  <c:v>6</c:v>
                </c:pt>
                <c:pt idx="20">
                  <c:v>4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23176"/>
        <c:axId val="211827096"/>
      </c:lineChart>
      <c:catAx>
        <c:axId val="211823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827096"/>
        <c:crosses val="autoZero"/>
        <c:auto val="1"/>
        <c:lblAlgn val="ctr"/>
        <c:lblOffset val="100"/>
        <c:noMultiLvlLbl val="0"/>
      </c:catAx>
      <c:valAx>
        <c:axId val="211827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82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KAYUNGA-GALIRAYA-24h'!$C$9:$N$9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KAYUNGA-GALIRAYA-24h'!$C$107:$N$107</c:f>
              <c:numCache>
                <c:formatCode>0.0%</c:formatCode>
                <c:ptCount val="12"/>
                <c:pt idx="0">
                  <c:v>6.9035532994923862E-2</c:v>
                </c:pt>
                <c:pt idx="1">
                  <c:v>2.7411167512690356E-2</c:v>
                </c:pt>
                <c:pt idx="2">
                  <c:v>2.3350253807106598E-2</c:v>
                </c:pt>
                <c:pt idx="3">
                  <c:v>8.3248730964466999E-2</c:v>
                </c:pt>
                <c:pt idx="4">
                  <c:v>3.0456852791878172E-3</c:v>
                </c:pt>
                <c:pt idx="5">
                  <c:v>4.0609137055837565E-3</c:v>
                </c:pt>
                <c:pt idx="6">
                  <c:v>3.9593908629441621E-2</c:v>
                </c:pt>
                <c:pt idx="7">
                  <c:v>2.3350253807106598E-2</c:v>
                </c:pt>
                <c:pt idx="8">
                  <c:v>2.8426395939086295E-2</c:v>
                </c:pt>
                <c:pt idx="9">
                  <c:v>9.1370558375634525E-3</c:v>
                </c:pt>
                <c:pt idx="10">
                  <c:v>0.68934010152284264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KAYUNGA-GALIRAYA-24h'!$C$9:$N$9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KAYUNGA-GALIRAYA-24h'!$C$108:$N$108</c:f>
              <c:numCache>
                <c:formatCode>0.00%</c:formatCode>
                <c:ptCount val="12"/>
                <c:pt idx="0">
                  <c:v>0.22222222222222221</c:v>
                </c:pt>
                <c:pt idx="1">
                  <c:v>8.8235294117647065E-2</c:v>
                </c:pt>
                <c:pt idx="2">
                  <c:v>7.5163398692810454E-2</c:v>
                </c:pt>
                <c:pt idx="3">
                  <c:v>0.26797385620915032</c:v>
                </c:pt>
                <c:pt idx="4">
                  <c:v>9.8039215686274508E-3</c:v>
                </c:pt>
                <c:pt idx="5">
                  <c:v>1.3071895424836602E-2</c:v>
                </c:pt>
                <c:pt idx="6">
                  <c:v>0.12745098039215685</c:v>
                </c:pt>
                <c:pt idx="7">
                  <c:v>7.5163398692810454E-2</c:v>
                </c:pt>
                <c:pt idx="8">
                  <c:v>9.1503267973856203E-2</c:v>
                </c:pt>
                <c:pt idx="9">
                  <c:v>2.9411764705882353E-2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GALIRAYA-KAYUNGA-24h'!$AE$9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GALIRAYA-KAYUNGA-24h'!$R$10:$R$33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GALIRAYA-KAYUNGA-24h'!$AE$10:$AE$33</c:f>
              <c:numCache>
                <c:formatCode>0</c:formatCode>
                <c:ptCount val="24"/>
                <c:pt idx="0">
                  <c:v>12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35</c:v>
                </c:pt>
                <c:pt idx="7">
                  <c:v>27</c:v>
                </c:pt>
                <c:pt idx="8">
                  <c:v>23</c:v>
                </c:pt>
                <c:pt idx="9">
                  <c:v>15</c:v>
                </c:pt>
                <c:pt idx="10">
                  <c:v>27</c:v>
                </c:pt>
                <c:pt idx="11">
                  <c:v>19</c:v>
                </c:pt>
                <c:pt idx="12">
                  <c:v>30</c:v>
                </c:pt>
                <c:pt idx="13">
                  <c:v>16</c:v>
                </c:pt>
                <c:pt idx="14">
                  <c:v>5</c:v>
                </c:pt>
                <c:pt idx="15">
                  <c:v>7</c:v>
                </c:pt>
                <c:pt idx="16">
                  <c:v>17</c:v>
                </c:pt>
                <c:pt idx="17">
                  <c:v>14</c:v>
                </c:pt>
                <c:pt idx="18">
                  <c:v>7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'19.10 GALIRAYA-KAYUNGA-24h'!$AF$9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GALIRAYA-KAYUNGA-24h'!$R$10:$R$33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GALIRAYA-KAYUNGA-24h'!$AF$10:$AF$33</c:f>
              <c:numCache>
                <c:formatCode>0</c:formatCode>
                <c:ptCount val="24"/>
                <c:pt idx="0">
                  <c:v>17</c:v>
                </c:pt>
                <c:pt idx="1">
                  <c:v>62</c:v>
                </c:pt>
                <c:pt idx="2">
                  <c:v>67</c:v>
                </c:pt>
                <c:pt idx="3">
                  <c:v>72</c:v>
                </c:pt>
                <c:pt idx="4">
                  <c:v>72</c:v>
                </c:pt>
                <c:pt idx="5">
                  <c:v>85</c:v>
                </c:pt>
                <c:pt idx="6">
                  <c:v>108</c:v>
                </c:pt>
                <c:pt idx="7">
                  <c:v>83</c:v>
                </c:pt>
                <c:pt idx="8">
                  <c:v>68</c:v>
                </c:pt>
                <c:pt idx="9">
                  <c:v>63</c:v>
                </c:pt>
                <c:pt idx="10">
                  <c:v>71</c:v>
                </c:pt>
                <c:pt idx="11">
                  <c:v>57</c:v>
                </c:pt>
                <c:pt idx="12">
                  <c:v>73</c:v>
                </c:pt>
                <c:pt idx="13">
                  <c:v>41</c:v>
                </c:pt>
                <c:pt idx="14">
                  <c:v>12</c:v>
                </c:pt>
                <c:pt idx="15">
                  <c:v>12</c:v>
                </c:pt>
                <c:pt idx="16">
                  <c:v>17</c:v>
                </c:pt>
                <c:pt idx="17">
                  <c:v>16</c:v>
                </c:pt>
                <c:pt idx="18">
                  <c:v>7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24352"/>
        <c:axId val="211825528"/>
      </c:lineChart>
      <c:catAx>
        <c:axId val="2118243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825528"/>
        <c:crosses val="autoZero"/>
        <c:auto val="1"/>
        <c:lblAlgn val="ctr"/>
        <c:lblOffset val="100"/>
        <c:noMultiLvlLbl val="0"/>
      </c:catAx>
      <c:valAx>
        <c:axId val="211825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82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GALIRAYA-KAYUNGA-24h'!$C$9:$N$9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GALIRAYA-KAYUNGA-24h'!$C$107:$N$107</c:f>
              <c:numCache>
                <c:formatCode>0.0%</c:formatCode>
                <c:ptCount val="12"/>
                <c:pt idx="0">
                  <c:v>8.0115830115830122E-2</c:v>
                </c:pt>
                <c:pt idx="1">
                  <c:v>2.8957528957528959E-2</c:v>
                </c:pt>
                <c:pt idx="2">
                  <c:v>2.2200772200772202E-2</c:v>
                </c:pt>
                <c:pt idx="3">
                  <c:v>9.3629343629343623E-2</c:v>
                </c:pt>
                <c:pt idx="4">
                  <c:v>3.8610038610038611E-3</c:v>
                </c:pt>
                <c:pt idx="5">
                  <c:v>9.6525096525096527E-4</c:v>
                </c:pt>
                <c:pt idx="6">
                  <c:v>5.2123552123552123E-2</c:v>
                </c:pt>
                <c:pt idx="7">
                  <c:v>5.2123552123552123E-2</c:v>
                </c:pt>
                <c:pt idx="8">
                  <c:v>2.6061776061776062E-2</c:v>
                </c:pt>
                <c:pt idx="9">
                  <c:v>1.0617760617760617E-2</c:v>
                </c:pt>
                <c:pt idx="10">
                  <c:v>0.6283783783783784</c:v>
                </c:pt>
                <c:pt idx="11">
                  <c:v>9.6525096525096527E-4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GALIRAYA-KAYUNGA-24h'!$C$9:$N$9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GALIRAYA-KAYUNGA-24h'!$C$108:$N$108</c:f>
              <c:numCache>
                <c:formatCode>0.00%</c:formatCode>
                <c:ptCount val="12"/>
                <c:pt idx="0">
                  <c:v>0.21558441558441557</c:v>
                </c:pt>
                <c:pt idx="1">
                  <c:v>7.792207792207792E-2</c:v>
                </c:pt>
                <c:pt idx="2">
                  <c:v>5.9740259740259739E-2</c:v>
                </c:pt>
                <c:pt idx="3">
                  <c:v>0.25194805194805192</c:v>
                </c:pt>
                <c:pt idx="4">
                  <c:v>1.038961038961039E-2</c:v>
                </c:pt>
                <c:pt idx="5">
                  <c:v>2.5974025974025974E-3</c:v>
                </c:pt>
                <c:pt idx="6">
                  <c:v>0.14025974025974025</c:v>
                </c:pt>
                <c:pt idx="7">
                  <c:v>0.14025974025974025</c:v>
                </c:pt>
                <c:pt idx="8">
                  <c:v>7.0129870129870125E-2</c:v>
                </c:pt>
                <c:pt idx="9">
                  <c:v>2.8571428571428571E-2</c:v>
                </c:pt>
                <c:pt idx="11">
                  <c:v>2.5974025974025974E-3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KAYUNGA-GALIRAYA'!$AE$9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KAYUNGA-GALIRAYA'!$AE$10:$AE$21</c:f>
              <c:numCache>
                <c:formatCode>0</c:formatCode>
                <c:ptCount val="12"/>
                <c:pt idx="0">
                  <c:v>15</c:v>
                </c:pt>
                <c:pt idx="1">
                  <c:v>16</c:v>
                </c:pt>
                <c:pt idx="2">
                  <c:v>24</c:v>
                </c:pt>
                <c:pt idx="3">
                  <c:v>26</c:v>
                </c:pt>
                <c:pt idx="4">
                  <c:v>24</c:v>
                </c:pt>
                <c:pt idx="5">
                  <c:v>21</c:v>
                </c:pt>
                <c:pt idx="6">
                  <c:v>20</c:v>
                </c:pt>
                <c:pt idx="7">
                  <c:v>26</c:v>
                </c:pt>
                <c:pt idx="8">
                  <c:v>16</c:v>
                </c:pt>
                <c:pt idx="9">
                  <c:v>23</c:v>
                </c:pt>
                <c:pt idx="10">
                  <c:v>12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'20.10 KAYUNGA-GALIRAYA'!$AF$9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KAYUNGA-GALIRAYA'!$AF$10:$AF$21</c:f>
              <c:numCache>
                <c:formatCode>0</c:formatCode>
                <c:ptCount val="12"/>
                <c:pt idx="0">
                  <c:v>36</c:v>
                </c:pt>
                <c:pt idx="1">
                  <c:v>41</c:v>
                </c:pt>
                <c:pt idx="2">
                  <c:v>71</c:v>
                </c:pt>
                <c:pt idx="3">
                  <c:v>90</c:v>
                </c:pt>
                <c:pt idx="4">
                  <c:v>95</c:v>
                </c:pt>
                <c:pt idx="5">
                  <c:v>66</c:v>
                </c:pt>
                <c:pt idx="6">
                  <c:v>69</c:v>
                </c:pt>
                <c:pt idx="7">
                  <c:v>64</c:v>
                </c:pt>
                <c:pt idx="8">
                  <c:v>41</c:v>
                </c:pt>
                <c:pt idx="9">
                  <c:v>61</c:v>
                </c:pt>
                <c:pt idx="10">
                  <c:v>40</c:v>
                </c:pt>
                <c:pt idx="11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30232"/>
        <c:axId val="211823568"/>
      </c:lineChart>
      <c:catAx>
        <c:axId val="211830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823568"/>
        <c:crosses val="autoZero"/>
        <c:auto val="1"/>
        <c:lblAlgn val="ctr"/>
        <c:lblOffset val="100"/>
        <c:noMultiLvlLbl val="0"/>
      </c:catAx>
      <c:valAx>
        <c:axId val="211823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83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KAYUNGA-GALIRAYA'!$C$59:$N$59</c:f>
              <c:numCache>
                <c:formatCode>0.0%</c:formatCode>
                <c:ptCount val="12"/>
                <c:pt idx="0">
                  <c:v>6.8306010928961755E-2</c:v>
                </c:pt>
                <c:pt idx="1">
                  <c:v>8.1967213114754103E-3</c:v>
                </c:pt>
                <c:pt idx="2">
                  <c:v>3.5519125683060107E-2</c:v>
                </c:pt>
                <c:pt idx="3">
                  <c:v>9.8360655737704916E-2</c:v>
                </c:pt>
                <c:pt idx="4">
                  <c:v>4.0983606557377051E-3</c:v>
                </c:pt>
                <c:pt idx="5">
                  <c:v>0</c:v>
                </c:pt>
                <c:pt idx="6">
                  <c:v>6.5573770491803282E-2</c:v>
                </c:pt>
                <c:pt idx="7">
                  <c:v>3.6885245901639344E-2</c:v>
                </c:pt>
                <c:pt idx="8">
                  <c:v>1.5027322404371584E-2</c:v>
                </c:pt>
                <c:pt idx="9">
                  <c:v>1.366120218579235E-3</c:v>
                </c:pt>
                <c:pt idx="10">
                  <c:v>0.66666666666666663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KAYUNGA-GALIRAYA'!$S$9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KAYUNGA-GALIRAYA'!$S$10:$S$21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'20.10 KAYUNGA-GALIRAYA'!$T$9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KAYUNGA-GALIRAYA'!$T$10:$T$21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'20.10 KAYUNGA-GALIRAYA'!$U$9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'20.10 KAYUNGA-GALIRAYA'!$V$9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KAYUNGA-GALIRAYA'!$V$10:$V$21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'20.10 KAYUNGA-GALIRAYA'!$W$9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'20.10 KAYUNGA-GALIRAYA'!$X$9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'20.10 KAYUNGA-GALIRAYA'!$Y$9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KAYUNGA-GALIRAYA'!$Y$10:$Y$21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9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'20.10 KAYUNGA-GALIRAYA'!$Z$9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KAYUNGA-GALIRAYA'!$Z$10:$Z$21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'20.10 KAYUNGA-GALIRAYA'!$AA$9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KAYUNGA-GALIRAYA'!$AA$10:$AA$21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'20.10 KAYUNGA-GALIRAYA'!$AB$9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'20.10 KAYUNGA-GALIRAYA'!$AC$9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KAYUNGA-GALIRAYA'!$AC$10:$AC$21</c:f>
              <c:numCache>
                <c:formatCode>0</c:formatCode>
                <c:ptCount val="12"/>
                <c:pt idx="0">
                  <c:v>21</c:v>
                </c:pt>
                <c:pt idx="1">
                  <c:v>25</c:v>
                </c:pt>
                <c:pt idx="2">
                  <c:v>47</c:v>
                </c:pt>
                <c:pt idx="3">
                  <c:v>64</c:v>
                </c:pt>
                <c:pt idx="4">
                  <c:v>71</c:v>
                </c:pt>
                <c:pt idx="5">
                  <c:v>45</c:v>
                </c:pt>
                <c:pt idx="6">
                  <c:v>49</c:v>
                </c:pt>
                <c:pt idx="7">
                  <c:v>38</c:v>
                </c:pt>
                <c:pt idx="8">
                  <c:v>25</c:v>
                </c:pt>
                <c:pt idx="9">
                  <c:v>38</c:v>
                </c:pt>
                <c:pt idx="10">
                  <c:v>28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'20.10 KAYUNGA-GALIRAYA'!$AD$9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KAYUNGA-GALIRAYA'!$AD$10:$AD$21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13904"/>
        <c:axId val="213679232"/>
      </c:lineChart>
      <c:catAx>
        <c:axId val="17041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679232"/>
        <c:crosses val="autoZero"/>
        <c:auto val="1"/>
        <c:lblAlgn val="ctr"/>
        <c:lblOffset val="100"/>
        <c:noMultiLvlLbl val="0"/>
      </c:catAx>
      <c:valAx>
        <c:axId val="2136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41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KAYUNGA-GALIRAYA'!$C$60:$N$60</c:f>
              <c:numCache>
                <c:formatCode>0.00%</c:formatCode>
                <c:ptCount val="12"/>
                <c:pt idx="0">
                  <c:v>0.20491803278688525</c:v>
                </c:pt>
                <c:pt idx="1">
                  <c:v>2.4590163934426229E-2</c:v>
                </c:pt>
                <c:pt idx="2">
                  <c:v>0.10655737704918032</c:v>
                </c:pt>
                <c:pt idx="3">
                  <c:v>0.29508196721311475</c:v>
                </c:pt>
                <c:pt idx="4">
                  <c:v>1.2295081967213115E-2</c:v>
                </c:pt>
                <c:pt idx="5">
                  <c:v>0</c:v>
                </c:pt>
                <c:pt idx="6">
                  <c:v>0.19672131147540983</c:v>
                </c:pt>
                <c:pt idx="7">
                  <c:v>0.11065573770491803</c:v>
                </c:pt>
                <c:pt idx="8">
                  <c:v>4.5081967213114756E-2</c:v>
                </c:pt>
                <c:pt idx="9">
                  <c:v>4.0983606557377051E-3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GALIRAYA-KAYUNGA'!$AE$9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GALIRAYA-KAYUNGA'!$AE$10:$AE$21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15.1</c:v>
                </c:pt>
                <c:pt idx="4">
                  <c:v>5</c:v>
                </c:pt>
                <c:pt idx="5">
                  <c:v>14</c:v>
                </c:pt>
                <c:pt idx="6">
                  <c:v>19</c:v>
                </c:pt>
                <c:pt idx="7">
                  <c:v>22</c:v>
                </c:pt>
                <c:pt idx="8">
                  <c:v>19</c:v>
                </c:pt>
                <c:pt idx="9">
                  <c:v>31</c:v>
                </c:pt>
                <c:pt idx="10">
                  <c:v>42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'20.10 GALIRAYA-KAYUNGA'!$AF$9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GALIRAYA-KAYUNGA'!$AF$10:$AF$21</c:f>
              <c:numCache>
                <c:formatCode>0</c:formatCode>
                <c:ptCount val="12"/>
                <c:pt idx="0">
                  <c:v>31</c:v>
                </c:pt>
                <c:pt idx="1">
                  <c:v>40</c:v>
                </c:pt>
                <c:pt idx="2">
                  <c:v>42</c:v>
                </c:pt>
                <c:pt idx="3">
                  <c:v>44.1</c:v>
                </c:pt>
                <c:pt idx="4">
                  <c:v>50</c:v>
                </c:pt>
                <c:pt idx="5">
                  <c:v>56</c:v>
                </c:pt>
                <c:pt idx="6">
                  <c:v>56</c:v>
                </c:pt>
                <c:pt idx="7">
                  <c:v>61</c:v>
                </c:pt>
                <c:pt idx="8">
                  <c:v>48</c:v>
                </c:pt>
                <c:pt idx="9">
                  <c:v>53</c:v>
                </c:pt>
                <c:pt idx="10">
                  <c:v>75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549304"/>
        <c:axId val="215551264"/>
      </c:lineChart>
      <c:catAx>
        <c:axId val="215549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551264"/>
        <c:crosses val="autoZero"/>
        <c:auto val="1"/>
        <c:lblAlgn val="ctr"/>
        <c:lblOffset val="100"/>
        <c:noMultiLvlLbl val="0"/>
      </c:catAx>
      <c:valAx>
        <c:axId val="215551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54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GALIRAYA-KAYUNGA'!$C$59:$N$59</c:f>
              <c:numCache>
                <c:formatCode>0.0%</c:formatCode>
                <c:ptCount val="12"/>
                <c:pt idx="0">
                  <c:v>9.0323619384962167E-2</c:v>
                </c:pt>
                <c:pt idx="1">
                  <c:v>1.4490420222186443E-2</c:v>
                </c:pt>
                <c:pt idx="2">
                  <c:v>4.1861213975205279E-2</c:v>
                </c:pt>
                <c:pt idx="3">
                  <c:v>9.3382708098534856E-2</c:v>
                </c:pt>
                <c:pt idx="4">
                  <c:v>3.2200933827080985E-3</c:v>
                </c:pt>
                <c:pt idx="5">
                  <c:v>0</c:v>
                </c:pt>
                <c:pt idx="6">
                  <c:v>5.3131540814683624E-2</c:v>
                </c:pt>
                <c:pt idx="7">
                  <c:v>4.6691354049267428E-2</c:v>
                </c:pt>
                <c:pt idx="8">
                  <c:v>1.4490420222186443E-2</c:v>
                </c:pt>
                <c:pt idx="9">
                  <c:v>3.2200933827080985E-3</c:v>
                </c:pt>
                <c:pt idx="10">
                  <c:v>0.63757848977620346</c:v>
                </c:pt>
                <c:pt idx="11">
                  <c:v>1.6100466913540493E-3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GALIRAYA-KAYUNGA'!$C$60:$N$60</c:f>
              <c:numCache>
                <c:formatCode>0.00%</c:formatCode>
                <c:ptCount val="12"/>
                <c:pt idx="0">
                  <c:v>0.24922256774766771</c:v>
                </c:pt>
                <c:pt idx="1">
                  <c:v>3.9982230119946692E-2</c:v>
                </c:pt>
                <c:pt idx="2">
                  <c:v>0.11550422034651267</c:v>
                </c:pt>
                <c:pt idx="3">
                  <c:v>0.25766326077298979</c:v>
                </c:pt>
                <c:pt idx="4">
                  <c:v>8.8849400266548199E-3</c:v>
                </c:pt>
                <c:pt idx="5">
                  <c:v>0</c:v>
                </c:pt>
                <c:pt idx="6">
                  <c:v>0.14660151043980454</c:v>
                </c:pt>
                <c:pt idx="7">
                  <c:v>0.12883163038649489</c:v>
                </c:pt>
                <c:pt idx="8">
                  <c:v>3.9982230119946692E-2</c:v>
                </c:pt>
                <c:pt idx="9">
                  <c:v>8.8849400266548199E-3</c:v>
                </c:pt>
                <c:pt idx="11">
                  <c:v>4.4424700133274099E-3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KAYUNGA-GALIRAYA-24h'!$AE$9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KAYUNGA-GALIRAYA-24h'!$R$10:$R$33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KAYUNGA-GALIRAYA-24h'!$AE$10:$AE$33</c:f>
              <c:numCache>
                <c:formatCode>0</c:formatCode>
                <c:ptCount val="24"/>
                <c:pt idx="0">
                  <c:v>11</c:v>
                </c:pt>
                <c:pt idx="1">
                  <c:v>17</c:v>
                </c:pt>
                <c:pt idx="2">
                  <c:v>12</c:v>
                </c:pt>
                <c:pt idx="3">
                  <c:v>16</c:v>
                </c:pt>
                <c:pt idx="4">
                  <c:v>19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26</c:v>
                </c:pt>
                <c:pt idx="9">
                  <c:v>20</c:v>
                </c:pt>
                <c:pt idx="10">
                  <c:v>20</c:v>
                </c:pt>
                <c:pt idx="11">
                  <c:v>12</c:v>
                </c:pt>
                <c:pt idx="12">
                  <c:v>17</c:v>
                </c:pt>
                <c:pt idx="13">
                  <c:v>19</c:v>
                </c:pt>
                <c:pt idx="14">
                  <c:v>7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0</c:v>
                </c:pt>
                <c:pt idx="20">
                  <c:v>3</c:v>
                </c:pt>
                <c:pt idx="21">
                  <c:v>6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'21.10 KAYUNGA-GALIRAYA-24h'!$AF$9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KAYUNGA-GALIRAYA-24h'!$R$10:$R$33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KAYUNGA-GALIRAYA-24h'!$AF$10:$AF$33</c:f>
              <c:numCache>
                <c:formatCode>0</c:formatCode>
                <c:ptCount val="24"/>
                <c:pt idx="0">
                  <c:v>17</c:v>
                </c:pt>
                <c:pt idx="1">
                  <c:v>43</c:v>
                </c:pt>
                <c:pt idx="2">
                  <c:v>53</c:v>
                </c:pt>
                <c:pt idx="3">
                  <c:v>55</c:v>
                </c:pt>
                <c:pt idx="4">
                  <c:v>54</c:v>
                </c:pt>
                <c:pt idx="5">
                  <c:v>79</c:v>
                </c:pt>
                <c:pt idx="6">
                  <c:v>88</c:v>
                </c:pt>
                <c:pt idx="7">
                  <c:v>82</c:v>
                </c:pt>
                <c:pt idx="8">
                  <c:v>88</c:v>
                </c:pt>
                <c:pt idx="9">
                  <c:v>92</c:v>
                </c:pt>
                <c:pt idx="10">
                  <c:v>90</c:v>
                </c:pt>
                <c:pt idx="11">
                  <c:v>69</c:v>
                </c:pt>
                <c:pt idx="12">
                  <c:v>51</c:v>
                </c:pt>
                <c:pt idx="13">
                  <c:v>39</c:v>
                </c:pt>
                <c:pt idx="14">
                  <c:v>17</c:v>
                </c:pt>
                <c:pt idx="15">
                  <c:v>9</c:v>
                </c:pt>
                <c:pt idx="16">
                  <c:v>9</c:v>
                </c:pt>
                <c:pt idx="17">
                  <c:v>3</c:v>
                </c:pt>
                <c:pt idx="18">
                  <c:v>4</c:v>
                </c:pt>
                <c:pt idx="19">
                  <c:v>0</c:v>
                </c:pt>
                <c:pt idx="20">
                  <c:v>3</c:v>
                </c:pt>
                <c:pt idx="21">
                  <c:v>10</c:v>
                </c:pt>
                <c:pt idx="22">
                  <c:v>5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648256"/>
        <c:axId val="218648648"/>
      </c:lineChart>
      <c:catAx>
        <c:axId val="2186482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48648"/>
        <c:crosses val="autoZero"/>
        <c:auto val="1"/>
        <c:lblAlgn val="ctr"/>
        <c:lblOffset val="100"/>
        <c:noMultiLvlLbl val="0"/>
      </c:catAx>
      <c:valAx>
        <c:axId val="218648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4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KAYUNGA-GALIRAYA-24h'!$C$9:$N$9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KAYUNGA-GALIRAYA-24h'!$C$107:$N$107</c:f>
              <c:numCache>
                <c:formatCode>0.0%</c:formatCode>
                <c:ptCount val="12"/>
                <c:pt idx="0">
                  <c:v>4.9847405900305189E-2</c:v>
                </c:pt>
                <c:pt idx="1">
                  <c:v>1.2207527975584944E-2</c:v>
                </c:pt>
                <c:pt idx="2">
                  <c:v>2.6449643947100712E-2</c:v>
                </c:pt>
                <c:pt idx="3">
                  <c:v>8.1383519837232965E-2</c:v>
                </c:pt>
                <c:pt idx="4">
                  <c:v>2.0345879959308239E-3</c:v>
                </c:pt>
                <c:pt idx="5">
                  <c:v>3.0518819938962359E-3</c:v>
                </c:pt>
                <c:pt idx="6">
                  <c:v>5.4933875890132246E-2</c:v>
                </c:pt>
                <c:pt idx="7">
                  <c:v>1.8311291963377416E-2</c:v>
                </c:pt>
                <c:pt idx="8">
                  <c:v>2.3397761953204477E-2</c:v>
                </c:pt>
                <c:pt idx="9">
                  <c:v>1.0172939979654121E-2</c:v>
                </c:pt>
                <c:pt idx="10">
                  <c:v>0.71719226856561547</c:v>
                </c:pt>
                <c:pt idx="11">
                  <c:v>1.017293997965412E-3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KAYUNGA-GALIRAYA-24h'!$C$9:$N$9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KAYUNGA-GALIRAYA-24h'!$C$108:$N$108</c:f>
              <c:numCache>
                <c:formatCode>0.00%</c:formatCode>
                <c:ptCount val="12"/>
                <c:pt idx="0">
                  <c:v>0.17625899280575538</c:v>
                </c:pt>
                <c:pt idx="1">
                  <c:v>4.3165467625899283E-2</c:v>
                </c:pt>
                <c:pt idx="2">
                  <c:v>9.3525179856115109E-2</c:v>
                </c:pt>
                <c:pt idx="3">
                  <c:v>0.28776978417266186</c:v>
                </c:pt>
                <c:pt idx="4">
                  <c:v>7.1942446043165471E-3</c:v>
                </c:pt>
                <c:pt idx="5">
                  <c:v>1.0791366906474821E-2</c:v>
                </c:pt>
                <c:pt idx="6">
                  <c:v>0.19424460431654678</c:v>
                </c:pt>
                <c:pt idx="7">
                  <c:v>6.4748201438848921E-2</c:v>
                </c:pt>
                <c:pt idx="8">
                  <c:v>8.2733812949640287E-2</c:v>
                </c:pt>
                <c:pt idx="9">
                  <c:v>3.5971223021582732E-2</c:v>
                </c:pt>
                <c:pt idx="11">
                  <c:v>3.5971223021582736E-3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GALIRAYA-KAYUNGA-24h'!$AE$9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GALIRAYA-KAYUNGA-24h'!$R$10:$R$33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GALIRAYA-KAYUNGA-24h'!$AE$10:$AE$33</c:f>
              <c:numCache>
                <c:formatCode>0</c:formatCode>
                <c:ptCount val="24"/>
                <c:pt idx="0">
                  <c:v>6</c:v>
                </c:pt>
                <c:pt idx="1">
                  <c:v>15</c:v>
                </c:pt>
                <c:pt idx="2">
                  <c:v>11</c:v>
                </c:pt>
                <c:pt idx="3">
                  <c:v>7</c:v>
                </c:pt>
                <c:pt idx="4">
                  <c:v>16</c:v>
                </c:pt>
                <c:pt idx="5">
                  <c:v>6</c:v>
                </c:pt>
                <c:pt idx="6">
                  <c:v>14</c:v>
                </c:pt>
                <c:pt idx="7">
                  <c:v>14</c:v>
                </c:pt>
                <c:pt idx="8">
                  <c:v>16</c:v>
                </c:pt>
                <c:pt idx="9">
                  <c:v>12</c:v>
                </c:pt>
                <c:pt idx="10">
                  <c:v>20</c:v>
                </c:pt>
                <c:pt idx="11">
                  <c:v>25</c:v>
                </c:pt>
                <c:pt idx="12">
                  <c:v>27</c:v>
                </c:pt>
                <c:pt idx="13">
                  <c:v>22</c:v>
                </c:pt>
                <c:pt idx="14">
                  <c:v>8</c:v>
                </c:pt>
                <c:pt idx="15">
                  <c:v>2</c:v>
                </c:pt>
                <c:pt idx="16">
                  <c:v>8</c:v>
                </c:pt>
                <c:pt idx="17">
                  <c:v>17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'21.10 GALIRAYA-KAYUNGA-24h'!$AF$9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GALIRAYA-KAYUNGA-24h'!$R$10:$R$33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GALIRAYA-KAYUNGA-24h'!$AF$10:$AF$33</c:f>
              <c:numCache>
                <c:formatCode>0</c:formatCode>
                <c:ptCount val="24"/>
                <c:pt idx="0">
                  <c:v>14</c:v>
                </c:pt>
                <c:pt idx="1">
                  <c:v>31</c:v>
                </c:pt>
                <c:pt idx="2">
                  <c:v>42</c:v>
                </c:pt>
                <c:pt idx="3">
                  <c:v>12</c:v>
                </c:pt>
                <c:pt idx="4">
                  <c:v>59</c:v>
                </c:pt>
                <c:pt idx="5">
                  <c:v>35</c:v>
                </c:pt>
                <c:pt idx="6">
                  <c:v>65</c:v>
                </c:pt>
                <c:pt idx="7">
                  <c:v>51</c:v>
                </c:pt>
                <c:pt idx="8">
                  <c:v>56</c:v>
                </c:pt>
                <c:pt idx="9">
                  <c:v>74</c:v>
                </c:pt>
                <c:pt idx="10">
                  <c:v>48</c:v>
                </c:pt>
                <c:pt idx="11">
                  <c:v>77</c:v>
                </c:pt>
                <c:pt idx="12">
                  <c:v>64</c:v>
                </c:pt>
                <c:pt idx="13">
                  <c:v>43</c:v>
                </c:pt>
                <c:pt idx="14">
                  <c:v>14</c:v>
                </c:pt>
                <c:pt idx="15">
                  <c:v>3</c:v>
                </c:pt>
                <c:pt idx="16">
                  <c:v>10</c:v>
                </c:pt>
                <c:pt idx="17">
                  <c:v>19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649040"/>
        <c:axId val="218647864"/>
      </c:lineChart>
      <c:catAx>
        <c:axId val="2186490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47864"/>
        <c:crosses val="autoZero"/>
        <c:auto val="1"/>
        <c:lblAlgn val="ctr"/>
        <c:lblOffset val="100"/>
        <c:noMultiLvlLbl val="0"/>
      </c:catAx>
      <c:valAx>
        <c:axId val="218647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4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GALIRAYA-KAYUNGA-24h'!$C$9:$N$9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GALIRAYA-KAYUNGA-24h'!$C$107:$N$107</c:f>
              <c:numCache>
                <c:formatCode>0.0%</c:formatCode>
                <c:ptCount val="12"/>
                <c:pt idx="0">
                  <c:v>5.3691275167785234E-2</c:v>
                </c:pt>
                <c:pt idx="1">
                  <c:v>2.5503355704697986E-2</c:v>
                </c:pt>
                <c:pt idx="2">
                  <c:v>3.2214765100671144E-2</c:v>
                </c:pt>
                <c:pt idx="3">
                  <c:v>8.9932885906040275E-2</c:v>
                </c:pt>
                <c:pt idx="4">
                  <c:v>0</c:v>
                </c:pt>
                <c:pt idx="5">
                  <c:v>5.3691275167785232E-3</c:v>
                </c:pt>
                <c:pt idx="6">
                  <c:v>6.4429530201342289E-2</c:v>
                </c:pt>
                <c:pt idx="7">
                  <c:v>3.3557046979865772E-2</c:v>
                </c:pt>
                <c:pt idx="8">
                  <c:v>2.9530201342281879E-2</c:v>
                </c:pt>
                <c:pt idx="9">
                  <c:v>1.74496644295302E-2</c:v>
                </c:pt>
                <c:pt idx="10">
                  <c:v>0.6469798657718121</c:v>
                </c:pt>
                <c:pt idx="11">
                  <c:v>1.3422818791946308E-3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GALIRAYA-KAYUNGA-24h'!$C$9:$N$9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GALIRAYA-KAYUNGA-24h'!$C$108:$N$108</c:f>
              <c:numCache>
                <c:formatCode>0.00%</c:formatCode>
                <c:ptCount val="12"/>
                <c:pt idx="0">
                  <c:v>0.15209125475285171</c:v>
                </c:pt>
                <c:pt idx="1">
                  <c:v>7.2243346007604556E-2</c:v>
                </c:pt>
                <c:pt idx="2">
                  <c:v>9.125475285171103E-2</c:v>
                </c:pt>
                <c:pt idx="3">
                  <c:v>0.25475285171102663</c:v>
                </c:pt>
                <c:pt idx="4">
                  <c:v>0</c:v>
                </c:pt>
                <c:pt idx="5">
                  <c:v>1.5209125475285171E-2</c:v>
                </c:pt>
                <c:pt idx="6">
                  <c:v>0.18250950570342206</c:v>
                </c:pt>
                <c:pt idx="7">
                  <c:v>9.5057034220532313E-2</c:v>
                </c:pt>
                <c:pt idx="8">
                  <c:v>8.3650190114068435E-2</c:v>
                </c:pt>
                <c:pt idx="9">
                  <c:v>4.9429657794676805E-2</c:v>
                </c:pt>
                <c:pt idx="11">
                  <c:v>3.8022813688212928E-3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KAYUNGA-GALIRAYA'!$AE$9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KAYUNGA-GALIRAYA'!$AE$10:$AE$21</c:f>
              <c:numCache>
                <c:formatCode>0</c:formatCode>
                <c:ptCount val="12"/>
                <c:pt idx="0">
                  <c:v>18</c:v>
                </c:pt>
                <c:pt idx="1">
                  <c:v>13</c:v>
                </c:pt>
                <c:pt idx="2">
                  <c:v>16</c:v>
                </c:pt>
                <c:pt idx="3">
                  <c:v>23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14</c:v>
                </c:pt>
                <c:pt idx="8">
                  <c:v>20</c:v>
                </c:pt>
                <c:pt idx="9">
                  <c:v>19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'22.10 KAYUNGA-GALIRAYA'!$AF$9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KAYUNGA-GALIRAYA'!$AF$10:$AF$21</c:f>
              <c:numCache>
                <c:formatCode>0</c:formatCode>
                <c:ptCount val="12"/>
                <c:pt idx="0">
                  <c:v>40</c:v>
                </c:pt>
                <c:pt idx="1">
                  <c:v>36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55</c:v>
                </c:pt>
                <c:pt idx="6">
                  <c:v>76</c:v>
                </c:pt>
                <c:pt idx="7">
                  <c:v>49</c:v>
                </c:pt>
                <c:pt idx="8">
                  <c:v>64</c:v>
                </c:pt>
                <c:pt idx="9">
                  <c:v>56</c:v>
                </c:pt>
                <c:pt idx="10">
                  <c:v>51</c:v>
                </c:pt>
                <c:pt idx="1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654528"/>
        <c:axId val="218652176"/>
      </c:lineChart>
      <c:catAx>
        <c:axId val="218654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52176"/>
        <c:crosses val="autoZero"/>
        <c:auto val="1"/>
        <c:lblAlgn val="ctr"/>
        <c:lblOffset val="100"/>
        <c:noMultiLvlLbl val="0"/>
      </c:catAx>
      <c:valAx>
        <c:axId val="21865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6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KAYUNGA-GALIRAYA'!$C$59:$N$59</c:f>
              <c:numCache>
                <c:formatCode>0.0%</c:formatCode>
                <c:ptCount val="12"/>
                <c:pt idx="0">
                  <c:v>7.320644216691069E-2</c:v>
                </c:pt>
                <c:pt idx="1">
                  <c:v>1.0248901903367497E-2</c:v>
                </c:pt>
                <c:pt idx="2">
                  <c:v>2.0497803806734993E-2</c:v>
                </c:pt>
                <c:pt idx="3">
                  <c:v>9.8096632503660325E-2</c:v>
                </c:pt>
                <c:pt idx="4">
                  <c:v>1.4641288433382138E-3</c:v>
                </c:pt>
                <c:pt idx="5">
                  <c:v>4.3923865300146414E-3</c:v>
                </c:pt>
                <c:pt idx="6">
                  <c:v>6.149341142020498E-2</c:v>
                </c:pt>
                <c:pt idx="7">
                  <c:v>2.9282576866764276E-2</c:v>
                </c:pt>
                <c:pt idx="8">
                  <c:v>2.6354319180087848E-2</c:v>
                </c:pt>
                <c:pt idx="9">
                  <c:v>1.4641288433382138E-3</c:v>
                </c:pt>
                <c:pt idx="10">
                  <c:v>0.67349926793557835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KAYUNGA-GALIRAYA'!$S$9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KAYUNGA-GALIRAYA'!$S$10:$S$21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7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'22.10 KAYUNGA-GALIRAYA'!$T$9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KAYUNGA-GALIRAYA'!$T$10:$T$21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'22.10 KAYUNGA-GALIRAYA'!$U$9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'22.10 KAYUNGA-GALIRAYA'!$V$9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KAYUNGA-GALIRAYA'!$V$10:$V$21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'22.10 KAYUNGA-GALIRAYA'!$W$9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'22.10 KAYUNGA-GALIRAYA'!$X$9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'22.10 KAYUNGA-GALIRAYA'!$Y$9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KAYUNGA-GALIRAYA'!$Y$10:$Y$21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'22.10 KAYUNGA-GALIRAYA'!$Z$9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KAYUNGA-GALIRAYA'!$Z$10:$Z$21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'22.10 KAYUNGA-GALIRAYA'!$AA$9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KAYUNGA-GALIRAYA'!$AA$10:$AA$21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'22.10 KAYUNGA-GALIRAYA'!$AB$9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'22.10 KAYUNGA-GALIRAYA'!$AC$9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KAYUNGA-GALIRAYA'!$AC$10:$AC$21</c:f>
              <c:numCache>
                <c:formatCode>0</c:formatCode>
                <c:ptCount val="12"/>
                <c:pt idx="0">
                  <c:v>22</c:v>
                </c:pt>
                <c:pt idx="1">
                  <c:v>23</c:v>
                </c:pt>
                <c:pt idx="2">
                  <c:v>48</c:v>
                </c:pt>
                <c:pt idx="3">
                  <c:v>45</c:v>
                </c:pt>
                <c:pt idx="4">
                  <c:v>55</c:v>
                </c:pt>
                <c:pt idx="5">
                  <c:v>35</c:v>
                </c:pt>
                <c:pt idx="6">
                  <c:v>53</c:v>
                </c:pt>
                <c:pt idx="7">
                  <c:v>35</c:v>
                </c:pt>
                <c:pt idx="8">
                  <c:v>44</c:v>
                </c:pt>
                <c:pt idx="9">
                  <c:v>37</c:v>
                </c:pt>
                <c:pt idx="10">
                  <c:v>29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'22.10 KAYUNGA-GALIRAYA'!$AD$9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KAYUNGA-GALIRAYA'!$AD$10:$AD$21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548128"/>
        <c:axId val="215548520"/>
      </c:lineChart>
      <c:catAx>
        <c:axId val="21554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548520"/>
        <c:crosses val="autoZero"/>
        <c:auto val="1"/>
        <c:lblAlgn val="ctr"/>
        <c:lblOffset val="100"/>
        <c:noMultiLvlLbl val="0"/>
      </c:catAx>
      <c:valAx>
        <c:axId val="21554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5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KAYUNGA-GALIRAYA'!$C$60:$N$60</c:f>
              <c:numCache>
                <c:formatCode>0.00%</c:formatCode>
                <c:ptCount val="12"/>
                <c:pt idx="0">
                  <c:v>0.22421524663677131</c:v>
                </c:pt>
                <c:pt idx="1">
                  <c:v>3.1390134529147982E-2</c:v>
                </c:pt>
                <c:pt idx="2">
                  <c:v>6.2780269058295965E-2</c:v>
                </c:pt>
                <c:pt idx="3">
                  <c:v>0.30044843049327352</c:v>
                </c:pt>
                <c:pt idx="4">
                  <c:v>4.4843049327354259E-3</c:v>
                </c:pt>
                <c:pt idx="5">
                  <c:v>1.3452914798206279E-2</c:v>
                </c:pt>
                <c:pt idx="6">
                  <c:v>0.18834080717488788</c:v>
                </c:pt>
                <c:pt idx="7">
                  <c:v>8.9686098654708515E-2</c:v>
                </c:pt>
                <c:pt idx="8">
                  <c:v>8.0717488789237665E-2</c:v>
                </c:pt>
                <c:pt idx="9">
                  <c:v>4.4843049327354259E-3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GALIRAYA-KAYUNGA'!$AE$9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GALIRAYA-KAYUNGA'!$AE$10:$AE$21</c:f>
              <c:numCache>
                <c:formatCode>0</c:formatCode>
                <c:ptCount val="12"/>
                <c:pt idx="0">
                  <c:v>14</c:v>
                </c:pt>
                <c:pt idx="1">
                  <c:v>5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19</c:v>
                </c:pt>
                <c:pt idx="6">
                  <c:v>12</c:v>
                </c:pt>
                <c:pt idx="7">
                  <c:v>9</c:v>
                </c:pt>
                <c:pt idx="8">
                  <c:v>16</c:v>
                </c:pt>
                <c:pt idx="9">
                  <c:v>23</c:v>
                </c:pt>
                <c:pt idx="10">
                  <c:v>22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'22.10 GALIRAYA-KAYUNGA'!$AF$9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GALIRAYA-KAYUNGA'!$AF$10:$AF$21</c:f>
              <c:numCache>
                <c:formatCode>0</c:formatCode>
                <c:ptCount val="12"/>
                <c:pt idx="0">
                  <c:v>48</c:v>
                </c:pt>
                <c:pt idx="1">
                  <c:v>34</c:v>
                </c:pt>
                <c:pt idx="2">
                  <c:v>57</c:v>
                </c:pt>
                <c:pt idx="3">
                  <c:v>60</c:v>
                </c:pt>
                <c:pt idx="4">
                  <c:v>46</c:v>
                </c:pt>
                <c:pt idx="5">
                  <c:v>62</c:v>
                </c:pt>
                <c:pt idx="6">
                  <c:v>50</c:v>
                </c:pt>
                <c:pt idx="7">
                  <c:v>47</c:v>
                </c:pt>
                <c:pt idx="8">
                  <c:v>51</c:v>
                </c:pt>
                <c:pt idx="9">
                  <c:v>67</c:v>
                </c:pt>
                <c:pt idx="10">
                  <c:v>78</c:v>
                </c:pt>
                <c:pt idx="11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171544"/>
        <c:axId val="220172720"/>
      </c:lineChart>
      <c:catAx>
        <c:axId val="220171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72720"/>
        <c:crosses val="autoZero"/>
        <c:auto val="1"/>
        <c:lblAlgn val="ctr"/>
        <c:lblOffset val="100"/>
        <c:noMultiLvlLbl val="0"/>
      </c:catAx>
      <c:valAx>
        <c:axId val="220172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71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GALIRAYA-KAYUNGA'!$C$59:$N$59</c:f>
              <c:numCache>
                <c:formatCode>0.0%</c:formatCode>
                <c:ptCount val="12"/>
                <c:pt idx="0">
                  <c:v>6.5967016491754127E-2</c:v>
                </c:pt>
                <c:pt idx="1">
                  <c:v>1.3493253373313344E-2</c:v>
                </c:pt>
                <c:pt idx="2">
                  <c:v>1.3493253373313344E-2</c:v>
                </c:pt>
                <c:pt idx="3">
                  <c:v>8.5457271364317841E-2</c:v>
                </c:pt>
                <c:pt idx="4">
                  <c:v>4.4977511244377807E-3</c:v>
                </c:pt>
                <c:pt idx="5">
                  <c:v>4.4977511244377807E-3</c:v>
                </c:pt>
                <c:pt idx="6">
                  <c:v>3.4482758620689655E-2</c:v>
                </c:pt>
                <c:pt idx="7">
                  <c:v>3.2983508245877063E-2</c:v>
                </c:pt>
                <c:pt idx="8">
                  <c:v>1.4992503748125937E-2</c:v>
                </c:pt>
                <c:pt idx="9">
                  <c:v>2.9985007496251873E-3</c:v>
                </c:pt>
                <c:pt idx="10">
                  <c:v>0.72563718140929534</c:v>
                </c:pt>
                <c:pt idx="11">
                  <c:v>1.4992503748125937E-3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GALIRAYA-KAYUNGA'!$S$9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GALIRAYA-KAYUNGA'!$S$10:$S$21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'22.10 GALIRAYA-KAYUNGA'!$T$9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GALIRAYA-KAYUNGA'!$T$10:$T$21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'22.10 GALIRAYA-KAYUNGA'!$U$9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GALIRAYA-KAYUNGA'!$U$10:$U$21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'22.10 GALIRAYA-KAYUNGA'!$V$9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GALIRAYA-KAYUNGA'!$V$10:$V$21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'22.10 GALIRAYA-KAYUNGA'!$W$9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'22.10 GALIRAYA-KAYUNGA'!$X$9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'22.10 GALIRAYA-KAYUNGA'!$Y$9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'22.10 GALIRAYA-KAYUNGA'!$Z$9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GALIRAYA-KAYUNGA'!$Z$10:$Z$21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'22.10 GALIRAYA-KAYUNGA'!$AA$9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'22.10 GALIRAYA-KAYUNGA'!$AB$9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'22.10 GALIRAYA-KAYUNGA'!$AC$9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GALIRAYA-KAYUNGA'!$AC$10:$AC$21</c:f>
              <c:numCache>
                <c:formatCode>0</c:formatCode>
                <c:ptCount val="12"/>
                <c:pt idx="0">
                  <c:v>34</c:v>
                </c:pt>
                <c:pt idx="1">
                  <c:v>29</c:v>
                </c:pt>
                <c:pt idx="2">
                  <c:v>46</c:v>
                </c:pt>
                <c:pt idx="3">
                  <c:v>49</c:v>
                </c:pt>
                <c:pt idx="4">
                  <c:v>36</c:v>
                </c:pt>
                <c:pt idx="5">
                  <c:v>43</c:v>
                </c:pt>
                <c:pt idx="6">
                  <c:v>38</c:v>
                </c:pt>
                <c:pt idx="7">
                  <c:v>38</c:v>
                </c:pt>
                <c:pt idx="8">
                  <c:v>35</c:v>
                </c:pt>
                <c:pt idx="9">
                  <c:v>44</c:v>
                </c:pt>
                <c:pt idx="10">
                  <c:v>56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'22.10 GALIRAYA-KAYUNGA'!$AD$9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GALIRAYA-KAYUNGA'!$AD$10:$AD$21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173504"/>
        <c:axId val="220176640"/>
      </c:lineChart>
      <c:catAx>
        <c:axId val="22017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76640"/>
        <c:crosses val="autoZero"/>
        <c:auto val="1"/>
        <c:lblAlgn val="ctr"/>
        <c:lblOffset val="100"/>
        <c:noMultiLvlLbl val="0"/>
      </c:catAx>
      <c:valAx>
        <c:axId val="22017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GALIRAYA-KAYUNGA'!$C$60:$N$60</c:f>
              <c:numCache>
                <c:formatCode>0.00%</c:formatCode>
                <c:ptCount val="12"/>
                <c:pt idx="0">
                  <c:v>0.24043715846994534</c:v>
                </c:pt>
                <c:pt idx="1">
                  <c:v>4.9180327868852458E-2</c:v>
                </c:pt>
                <c:pt idx="2">
                  <c:v>4.9180327868852458E-2</c:v>
                </c:pt>
                <c:pt idx="3">
                  <c:v>0.31147540983606559</c:v>
                </c:pt>
                <c:pt idx="4">
                  <c:v>1.6393442622950821E-2</c:v>
                </c:pt>
                <c:pt idx="5">
                  <c:v>1.6393442622950821E-2</c:v>
                </c:pt>
                <c:pt idx="6">
                  <c:v>0.12568306010928962</c:v>
                </c:pt>
                <c:pt idx="7">
                  <c:v>0.12021857923497267</c:v>
                </c:pt>
                <c:pt idx="8">
                  <c:v>5.4644808743169397E-2</c:v>
                </c:pt>
                <c:pt idx="9">
                  <c:v>1.092896174863388E-2</c:v>
                </c:pt>
                <c:pt idx="11">
                  <c:v>5.4644808743169399E-3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KAYUNGA-GALIRAYA'!$AE$9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KAYUNGA-GALIRAYA'!$AE$10:$AE$21</c:f>
              <c:numCache>
                <c:formatCode>0</c:formatCode>
                <c:ptCount val="12"/>
                <c:pt idx="0">
                  <c:v>16</c:v>
                </c:pt>
                <c:pt idx="1">
                  <c:v>16</c:v>
                </c:pt>
                <c:pt idx="2">
                  <c:v>22</c:v>
                </c:pt>
                <c:pt idx="3">
                  <c:v>18</c:v>
                </c:pt>
                <c:pt idx="4">
                  <c:v>10</c:v>
                </c:pt>
                <c:pt idx="5">
                  <c:v>18</c:v>
                </c:pt>
                <c:pt idx="6">
                  <c:v>13</c:v>
                </c:pt>
                <c:pt idx="7">
                  <c:v>13</c:v>
                </c:pt>
                <c:pt idx="8">
                  <c:v>15</c:v>
                </c:pt>
                <c:pt idx="9">
                  <c:v>18</c:v>
                </c:pt>
                <c:pt idx="10">
                  <c:v>13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'23.10 KAYUNGA-GALIRAYA'!$AF$9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KAYUNGA-GALIRAYA'!$AF$10:$AF$21</c:f>
              <c:numCache>
                <c:formatCode>0</c:formatCode>
                <c:ptCount val="12"/>
                <c:pt idx="0">
                  <c:v>36</c:v>
                </c:pt>
                <c:pt idx="1">
                  <c:v>38</c:v>
                </c:pt>
                <c:pt idx="2">
                  <c:v>69</c:v>
                </c:pt>
                <c:pt idx="3">
                  <c:v>60</c:v>
                </c:pt>
                <c:pt idx="4">
                  <c:v>47</c:v>
                </c:pt>
                <c:pt idx="5">
                  <c:v>62</c:v>
                </c:pt>
                <c:pt idx="6">
                  <c:v>47</c:v>
                </c:pt>
                <c:pt idx="7">
                  <c:v>47</c:v>
                </c:pt>
                <c:pt idx="8">
                  <c:v>46</c:v>
                </c:pt>
                <c:pt idx="9">
                  <c:v>76</c:v>
                </c:pt>
                <c:pt idx="10">
                  <c:v>20</c:v>
                </c:pt>
                <c:pt idx="11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177816"/>
        <c:axId val="220178992"/>
      </c:lineChart>
      <c:catAx>
        <c:axId val="220177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78992"/>
        <c:crosses val="autoZero"/>
        <c:auto val="1"/>
        <c:lblAlgn val="ctr"/>
        <c:lblOffset val="100"/>
        <c:noMultiLvlLbl val="0"/>
      </c:catAx>
      <c:valAx>
        <c:axId val="220178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7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KAYUNGA-GALIRAYA'!$C$59:$N$59</c:f>
              <c:numCache>
                <c:formatCode>0.0%</c:formatCode>
                <c:ptCount val="12"/>
                <c:pt idx="0">
                  <c:v>5.1495016611295678E-2</c:v>
                </c:pt>
                <c:pt idx="1">
                  <c:v>1.1627906976744186E-2</c:v>
                </c:pt>
                <c:pt idx="2">
                  <c:v>1.8272425249169437E-2</c:v>
                </c:pt>
                <c:pt idx="3">
                  <c:v>9.9667774086378738E-2</c:v>
                </c:pt>
                <c:pt idx="4">
                  <c:v>4.9833887043189366E-3</c:v>
                </c:pt>
                <c:pt idx="5">
                  <c:v>3.3222591362126247E-3</c:v>
                </c:pt>
                <c:pt idx="6">
                  <c:v>7.3089700996677748E-2</c:v>
                </c:pt>
                <c:pt idx="7">
                  <c:v>2.9900332225913623E-2</c:v>
                </c:pt>
                <c:pt idx="8">
                  <c:v>2.1594684385382059E-2</c:v>
                </c:pt>
                <c:pt idx="9">
                  <c:v>3.3222591362126247E-3</c:v>
                </c:pt>
                <c:pt idx="10">
                  <c:v>0.67940199335548168</c:v>
                </c:pt>
                <c:pt idx="11">
                  <c:v>3.3222591362126247E-3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KAYUNGA-GALIRAYA'!$S$9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KAYUNGA-GALIRAYA'!$S$10:$S$21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'23.10 KAYUNGA-GALIRAYA'!$T$9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KAYUNGA-GALIRAYA'!$R$10:$R$21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KAYUNGA-GALIRAYA'!$T$10:$T$21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'23.10 KAYUNGA-GALIRAYA'!$U$9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KAYUNGA-GALIRAYA'!$U$10:$U$21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'23.10 KAYUNGA-GALIRAYA'!$V$9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KAYUNGA-GALIRAYA'!$V$10:$V$21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'23.10 KAYUNGA-GALIRAYA'!$W$9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'23.10 KAYUNGA-GALIRAYA'!$X$9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'23.10 KAYUNGA-GALIRAYA'!$Y$9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KAYUNGA-GALIRAYA'!$Y$10:$Y$21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'23.10 KAYUNGA-GALIRAYA'!$Z$9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'23.10 KAYUNGA-GALIRAYA'!$AA$9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KAYUNGA-GALIRAYA'!$AA$10:$AA$21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'23.10 KAYUNGA-GALIRAYA'!$AB$9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'23.10 KAYUNGA-GALIRAYA'!$AC$9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KAYUNGA-GALIRAYA'!$AC$10:$AC$21</c:f>
              <c:numCache>
                <c:formatCode>0</c:formatCode>
                <c:ptCount val="12"/>
                <c:pt idx="0">
                  <c:v>20</c:v>
                </c:pt>
                <c:pt idx="1">
                  <c:v>22</c:v>
                </c:pt>
                <c:pt idx="2">
                  <c:v>47</c:v>
                </c:pt>
                <c:pt idx="3">
                  <c:v>42</c:v>
                </c:pt>
                <c:pt idx="4">
                  <c:v>37</c:v>
                </c:pt>
                <c:pt idx="5">
                  <c:v>44</c:v>
                </c:pt>
                <c:pt idx="6">
                  <c:v>34</c:v>
                </c:pt>
                <c:pt idx="7">
                  <c:v>34</c:v>
                </c:pt>
                <c:pt idx="8">
                  <c:v>31</c:v>
                </c:pt>
                <c:pt idx="9">
                  <c:v>58</c:v>
                </c:pt>
                <c:pt idx="10">
                  <c:v>7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'23.10 KAYUNGA-GALIRAYA'!$AD$9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KAYUNGA-GALIRAYA'!$AD$10:$AD$21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175464"/>
        <c:axId val="220175856"/>
      </c:lineChart>
      <c:catAx>
        <c:axId val="22017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75856"/>
        <c:crosses val="autoZero"/>
        <c:auto val="1"/>
        <c:lblAlgn val="ctr"/>
        <c:lblOffset val="100"/>
        <c:noMultiLvlLbl val="0"/>
      </c:catAx>
      <c:valAx>
        <c:axId val="2201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7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KAYUNGA-GALIRAYA'!$C$60:$N$60</c:f>
              <c:numCache>
                <c:formatCode>0.00%</c:formatCode>
                <c:ptCount val="12"/>
                <c:pt idx="0">
                  <c:v>0.16062176165803108</c:v>
                </c:pt>
                <c:pt idx="1">
                  <c:v>3.6269430051813469E-2</c:v>
                </c:pt>
                <c:pt idx="2">
                  <c:v>5.6994818652849742E-2</c:v>
                </c:pt>
                <c:pt idx="3">
                  <c:v>0.31088082901554404</c:v>
                </c:pt>
                <c:pt idx="4">
                  <c:v>1.5544041450777202E-2</c:v>
                </c:pt>
                <c:pt idx="5">
                  <c:v>1.0362694300518135E-2</c:v>
                </c:pt>
                <c:pt idx="6">
                  <c:v>0.22797927461139897</c:v>
                </c:pt>
                <c:pt idx="7">
                  <c:v>9.3264248704663211E-2</c:v>
                </c:pt>
                <c:pt idx="8">
                  <c:v>6.7357512953367879E-2</c:v>
                </c:pt>
                <c:pt idx="9">
                  <c:v>1.0362694300518135E-2</c:v>
                </c:pt>
                <c:pt idx="11">
                  <c:v>1.0362694300518135E-2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GALIRAYA-KAYUNGA'!$AE$9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GALIRAYA-KAYUNGA'!$AE$10:$AE$21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10</c:v>
                </c:pt>
                <c:pt idx="3">
                  <c:v>6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17</c:v>
                </c:pt>
                <c:pt idx="8">
                  <c:v>18</c:v>
                </c:pt>
                <c:pt idx="9">
                  <c:v>26</c:v>
                </c:pt>
                <c:pt idx="10">
                  <c:v>12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'23.10 GALIRAYA-KAYUNGA'!$AF$9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GALIRAYA-KAYUNGA'!$AF$10:$AF$21</c:f>
              <c:numCache>
                <c:formatCode>0</c:formatCode>
                <c:ptCount val="12"/>
                <c:pt idx="0">
                  <c:v>43</c:v>
                </c:pt>
                <c:pt idx="1">
                  <c:v>46</c:v>
                </c:pt>
                <c:pt idx="2">
                  <c:v>56</c:v>
                </c:pt>
                <c:pt idx="3">
                  <c:v>48</c:v>
                </c:pt>
                <c:pt idx="4">
                  <c:v>49</c:v>
                </c:pt>
                <c:pt idx="5">
                  <c:v>71</c:v>
                </c:pt>
                <c:pt idx="6">
                  <c:v>54</c:v>
                </c:pt>
                <c:pt idx="7">
                  <c:v>57</c:v>
                </c:pt>
                <c:pt idx="8">
                  <c:v>49</c:v>
                </c:pt>
                <c:pt idx="9">
                  <c:v>48</c:v>
                </c:pt>
                <c:pt idx="10">
                  <c:v>19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96592"/>
        <c:axId val="221590320"/>
      </c:lineChart>
      <c:catAx>
        <c:axId val="221596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90320"/>
        <c:crosses val="autoZero"/>
        <c:auto val="1"/>
        <c:lblAlgn val="ctr"/>
        <c:lblOffset val="100"/>
        <c:noMultiLvlLbl val="0"/>
      </c:catAx>
      <c:valAx>
        <c:axId val="221590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GALIRAYA-KAYUNGA'!$C$59:$N$59</c:f>
              <c:numCache>
                <c:formatCode>0.0%</c:formatCode>
                <c:ptCount val="12"/>
                <c:pt idx="0">
                  <c:v>4.9916805324459232E-2</c:v>
                </c:pt>
                <c:pt idx="1">
                  <c:v>9.9833610648918467E-3</c:v>
                </c:pt>
                <c:pt idx="2">
                  <c:v>1.6638935108153077E-2</c:v>
                </c:pt>
                <c:pt idx="3">
                  <c:v>9.4841930116472545E-2</c:v>
                </c:pt>
                <c:pt idx="4">
                  <c:v>8.3194675540765387E-3</c:v>
                </c:pt>
                <c:pt idx="5">
                  <c:v>0</c:v>
                </c:pt>
                <c:pt idx="6">
                  <c:v>4.3261231281198007E-2</c:v>
                </c:pt>
                <c:pt idx="7">
                  <c:v>3.9933444259567387E-2</c:v>
                </c:pt>
                <c:pt idx="8">
                  <c:v>1.4975041597337771E-2</c:v>
                </c:pt>
                <c:pt idx="9">
                  <c:v>0</c:v>
                </c:pt>
                <c:pt idx="10">
                  <c:v>0.72046589018302831</c:v>
                </c:pt>
                <c:pt idx="11">
                  <c:v>1.6638935108153079E-3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GALIRAYA-KAYUNGA'!$S$9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GALIRAYA-KAYUNGA'!$S$10:$S$21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'23.10 GALIRAYA-KAYUNGA'!$T$9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GALIRAYA-KAYUNGA'!$R$10:$R$21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GALIRAYA-KAYUNGA'!$T$10:$T$21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'23.10 GALIRAYA-KAYUNGA'!$U$9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'23.10 GALIRAYA-KAYUNGA'!$V$9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GALIRAYA-KAYUNGA'!$V$10:$V$21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11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'23.10 GALIRAYA-KAYUNGA'!$W$9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'23.10 GALIRAYA-KAYUNGA'!$X$9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'23.10 GALIRAYA-KAYUNGA'!$Y$9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'23.10 GALIRAYA-KAYUNGA'!$Z$9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'23.10 GALIRAYA-KAYUNGA'!$AA$9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'23.10 GALIRAYA-KAYUNGA'!$AB$9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'23.10 GALIRAYA-KAYUNGA'!$AC$9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GALIRAYA-KAYUNGA'!$AC$10:$AC$21</c:f>
              <c:numCache>
                <c:formatCode>0</c:formatCode>
                <c:ptCount val="12"/>
                <c:pt idx="0">
                  <c:v>36</c:v>
                </c:pt>
                <c:pt idx="1">
                  <c:v>36</c:v>
                </c:pt>
                <c:pt idx="2">
                  <c:v>46</c:v>
                </c:pt>
                <c:pt idx="3">
                  <c:v>42</c:v>
                </c:pt>
                <c:pt idx="4">
                  <c:v>36</c:v>
                </c:pt>
                <c:pt idx="5">
                  <c:v>56</c:v>
                </c:pt>
                <c:pt idx="6">
                  <c:v>43</c:v>
                </c:pt>
                <c:pt idx="7">
                  <c:v>40</c:v>
                </c:pt>
                <c:pt idx="8">
                  <c:v>31</c:v>
                </c:pt>
                <c:pt idx="9">
                  <c:v>22</c:v>
                </c:pt>
                <c:pt idx="10">
                  <c:v>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'23.10 GALIRAYA-KAYUNGA'!$AD$9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GALIRAYA-KAYUNGA'!$AD$10:$AD$21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589536"/>
        <c:axId val="221590712"/>
      </c:lineChart>
      <c:catAx>
        <c:axId val="22158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90712"/>
        <c:crosses val="autoZero"/>
        <c:auto val="1"/>
        <c:lblAlgn val="ctr"/>
        <c:lblOffset val="100"/>
        <c:noMultiLvlLbl val="0"/>
      </c:catAx>
      <c:valAx>
        <c:axId val="22159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8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GALIRAYA-KAYUNGA'!$C$9:$N$9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GALIRAYA-KAYUNGA'!$C$60:$N$60</c:f>
              <c:numCache>
                <c:formatCode>0.00%</c:formatCode>
                <c:ptCount val="12"/>
                <c:pt idx="0">
                  <c:v>0.17857142857142858</c:v>
                </c:pt>
                <c:pt idx="1">
                  <c:v>3.5714285714285712E-2</c:v>
                </c:pt>
                <c:pt idx="2">
                  <c:v>5.9523809523809521E-2</c:v>
                </c:pt>
                <c:pt idx="3">
                  <c:v>0.3392857142857143</c:v>
                </c:pt>
                <c:pt idx="4">
                  <c:v>2.976190476190476E-2</c:v>
                </c:pt>
                <c:pt idx="5">
                  <c:v>0</c:v>
                </c:pt>
                <c:pt idx="6">
                  <c:v>0.15476190476190477</c:v>
                </c:pt>
                <c:pt idx="7">
                  <c:v>0.14285714285714285</c:v>
                </c:pt>
                <c:pt idx="8">
                  <c:v>5.3571428571428568E-2</c:v>
                </c:pt>
                <c:pt idx="9">
                  <c:v>0</c:v>
                </c:pt>
                <c:pt idx="11">
                  <c:v>5.9523809523809521E-3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KAYUNGA-GALIRAYA'!$AE$9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KAYUNGA-GALIRAYA'!$R$10:$R$33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KAYUNGA-GALIRAYA'!$AE$10:$AE$33</c:f>
              <c:numCache>
                <c:formatCode>0</c:formatCode>
                <c:ptCount val="24"/>
                <c:pt idx="0">
                  <c:v>15.857142857142856</c:v>
                </c:pt>
                <c:pt idx="1">
                  <c:v>16.571428571428569</c:v>
                </c:pt>
                <c:pt idx="2">
                  <c:v>19.428571428571431</c:v>
                </c:pt>
                <c:pt idx="3">
                  <c:v>19.714285714285715</c:v>
                </c:pt>
                <c:pt idx="4">
                  <c:v>17</c:v>
                </c:pt>
                <c:pt idx="5">
                  <c:v>19.857142857142858</c:v>
                </c:pt>
                <c:pt idx="6">
                  <c:v>19</c:v>
                </c:pt>
                <c:pt idx="7">
                  <c:v>17.142857142857142</c:v>
                </c:pt>
                <c:pt idx="8">
                  <c:v>19</c:v>
                </c:pt>
                <c:pt idx="9">
                  <c:v>19.714285714285712</c:v>
                </c:pt>
                <c:pt idx="10">
                  <c:v>17.857142857142858</c:v>
                </c:pt>
                <c:pt idx="11">
                  <c:v>19.714285714285715</c:v>
                </c:pt>
                <c:pt idx="12">
                  <c:v>16.5</c:v>
                </c:pt>
                <c:pt idx="13">
                  <c:v>19</c:v>
                </c:pt>
                <c:pt idx="14">
                  <c:v>9.5</c:v>
                </c:pt>
                <c:pt idx="15">
                  <c:v>4.5</c:v>
                </c:pt>
                <c:pt idx="16">
                  <c:v>4.5</c:v>
                </c:pt>
                <c:pt idx="17">
                  <c:v>3</c:v>
                </c:pt>
                <c:pt idx="18">
                  <c:v>2</c:v>
                </c:pt>
                <c:pt idx="19">
                  <c:v>2.5</c:v>
                </c:pt>
                <c:pt idx="20">
                  <c:v>3.5</c:v>
                </c:pt>
                <c:pt idx="21">
                  <c:v>3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KAYUNGA-GALIRAYA'!$AF$9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KAYUNGA-GALIRAYA'!$R$10:$R$33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KAYUNGA-GALIRAYA'!$AF$10:$AF$33</c:f>
              <c:numCache>
                <c:formatCode>0</c:formatCode>
                <c:ptCount val="24"/>
                <c:pt idx="0">
                  <c:v>30.571428571428573</c:v>
                </c:pt>
                <c:pt idx="1">
                  <c:v>45.285714285714285</c:v>
                </c:pt>
                <c:pt idx="2">
                  <c:v>61</c:v>
                </c:pt>
                <c:pt idx="3">
                  <c:v>69.285714285714292</c:v>
                </c:pt>
                <c:pt idx="4">
                  <c:v>69.285714285714278</c:v>
                </c:pt>
                <c:pt idx="5">
                  <c:v>72.857142857142861</c:v>
                </c:pt>
                <c:pt idx="6">
                  <c:v>68.571428571428569</c:v>
                </c:pt>
                <c:pt idx="7">
                  <c:v>59.714285714285715</c:v>
                </c:pt>
                <c:pt idx="8">
                  <c:v>57.571428571428569</c:v>
                </c:pt>
                <c:pt idx="9">
                  <c:v>66.857142857142861</c:v>
                </c:pt>
                <c:pt idx="10">
                  <c:v>57.714285714285715</c:v>
                </c:pt>
                <c:pt idx="11">
                  <c:v>66.285714285714292</c:v>
                </c:pt>
                <c:pt idx="12">
                  <c:v>64.5</c:v>
                </c:pt>
                <c:pt idx="13">
                  <c:v>45.5</c:v>
                </c:pt>
                <c:pt idx="14">
                  <c:v>18.5</c:v>
                </c:pt>
                <c:pt idx="15">
                  <c:v>10</c:v>
                </c:pt>
                <c:pt idx="16">
                  <c:v>9</c:v>
                </c:pt>
                <c:pt idx="17">
                  <c:v>3</c:v>
                </c:pt>
                <c:pt idx="18">
                  <c:v>3.5</c:v>
                </c:pt>
                <c:pt idx="19">
                  <c:v>3</c:v>
                </c:pt>
                <c:pt idx="20">
                  <c:v>3.5</c:v>
                </c:pt>
                <c:pt idx="21">
                  <c:v>5</c:v>
                </c:pt>
                <c:pt idx="22">
                  <c:v>8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92672"/>
        <c:axId val="221591496"/>
      </c:lineChart>
      <c:catAx>
        <c:axId val="221592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91496"/>
        <c:crosses val="autoZero"/>
        <c:auto val="1"/>
        <c:lblAlgn val="ctr"/>
        <c:lblOffset val="100"/>
        <c:noMultiLvlLbl val="0"/>
      </c:catAx>
      <c:valAx>
        <c:axId val="221591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KAYUNGA-GALIRAYA'!$C$107:$N$107</c:f>
              <c:numCache>
                <c:formatCode>0.0%</c:formatCode>
                <c:ptCount val="12"/>
                <c:pt idx="0">
                  <c:v>6.5544384693320856E-2</c:v>
                </c:pt>
                <c:pt idx="1">
                  <c:v>1.3405034681630429E-2</c:v>
                </c:pt>
                <c:pt idx="2">
                  <c:v>2.7823240589198033E-2</c:v>
                </c:pt>
                <c:pt idx="3">
                  <c:v>9.1419219078793565E-2</c:v>
                </c:pt>
                <c:pt idx="4">
                  <c:v>4.9099836333878887E-3</c:v>
                </c:pt>
                <c:pt idx="5">
                  <c:v>3.1174499259605643E-3</c:v>
                </c:pt>
                <c:pt idx="6">
                  <c:v>5.9777102330293833E-2</c:v>
                </c:pt>
                <c:pt idx="7">
                  <c:v>2.8758475566986207E-2</c:v>
                </c:pt>
                <c:pt idx="8">
                  <c:v>2.907022055958227E-2</c:v>
                </c:pt>
                <c:pt idx="9">
                  <c:v>5.6893461148780295E-3</c:v>
                </c:pt>
                <c:pt idx="10">
                  <c:v>0.66845920037409401</c:v>
                </c:pt>
                <c:pt idx="11">
                  <c:v>2.0263424518743669E-3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KAYUNGA-GALIRAYA'!$C$9:$N$9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KAYUNGA-GALIRAYA'!$C$108:$N$108</c:f>
              <c:numCache>
                <c:formatCode>0.00%</c:formatCode>
                <c:ptCount val="12"/>
                <c:pt idx="0">
                  <c:v>0.19769628584861298</c:v>
                </c:pt>
                <c:pt idx="1">
                  <c:v>4.0432534085566518E-2</c:v>
                </c:pt>
                <c:pt idx="2">
                  <c:v>8.3921015514809544E-2</c:v>
                </c:pt>
                <c:pt idx="3">
                  <c:v>0.27574047954866004</c:v>
                </c:pt>
                <c:pt idx="4">
                  <c:v>1.4809590973201685E-2</c:v>
                </c:pt>
                <c:pt idx="5">
                  <c:v>9.402914903620118E-3</c:v>
                </c:pt>
                <c:pt idx="6">
                  <c:v>0.18030089327691581</c:v>
                </c:pt>
                <c:pt idx="7">
                  <c:v>8.674188998589559E-2</c:v>
                </c:pt>
                <c:pt idx="8">
                  <c:v>8.7682181476257628E-2</c:v>
                </c:pt>
                <c:pt idx="9">
                  <c:v>1.7160319699106717E-2</c:v>
                </c:pt>
                <c:pt idx="11">
                  <c:v>6.1118946873530769E-3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GALIRAYA-KAYUNG'!$AE$9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GALIRAYA-KAYUNG'!$R$10:$R$33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GALIRAYA-KAYUNG'!$AE$10:$AE$33</c:f>
              <c:numCache>
                <c:formatCode>0</c:formatCode>
                <c:ptCount val="24"/>
                <c:pt idx="0">
                  <c:v>8.9999999999999982</c:v>
                </c:pt>
                <c:pt idx="1">
                  <c:v>11.285714285714285</c:v>
                </c:pt>
                <c:pt idx="2">
                  <c:v>11.714285714285712</c:v>
                </c:pt>
                <c:pt idx="3">
                  <c:v>10.014285714285714</c:v>
                </c:pt>
                <c:pt idx="4">
                  <c:v>11.857142857142856</c:v>
                </c:pt>
                <c:pt idx="5">
                  <c:v>15</c:v>
                </c:pt>
                <c:pt idx="6">
                  <c:v>17</c:v>
                </c:pt>
                <c:pt idx="7">
                  <c:v>16.714285714285712</c:v>
                </c:pt>
                <c:pt idx="8">
                  <c:v>17.857142857142858</c:v>
                </c:pt>
                <c:pt idx="9">
                  <c:v>21.428571428571427</c:v>
                </c:pt>
                <c:pt idx="10">
                  <c:v>23.142857142857142</c:v>
                </c:pt>
                <c:pt idx="11">
                  <c:v>23.142857142857142</c:v>
                </c:pt>
                <c:pt idx="12">
                  <c:v>28.5</c:v>
                </c:pt>
                <c:pt idx="13">
                  <c:v>19</c:v>
                </c:pt>
                <c:pt idx="14">
                  <c:v>6.5</c:v>
                </c:pt>
                <c:pt idx="15">
                  <c:v>4.5</c:v>
                </c:pt>
                <c:pt idx="16">
                  <c:v>12.5</c:v>
                </c:pt>
                <c:pt idx="17">
                  <c:v>15.5</c:v>
                </c:pt>
                <c:pt idx="18">
                  <c:v>3.5</c:v>
                </c:pt>
                <c:pt idx="19">
                  <c:v>3.5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GALIRAYA-KAYUNG'!$AF$9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GALIRAYA-KAYUNG'!$R$10:$R$33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GALIRAYA-KAYUNG'!$AF$10:$AF$33</c:f>
              <c:numCache>
                <c:formatCode>0</c:formatCode>
                <c:ptCount val="24"/>
                <c:pt idx="0">
                  <c:v>26.999999999999996</c:v>
                </c:pt>
                <c:pt idx="1">
                  <c:v>42.428571428571431</c:v>
                </c:pt>
                <c:pt idx="2">
                  <c:v>48</c:v>
                </c:pt>
                <c:pt idx="3">
                  <c:v>44.014285714285712</c:v>
                </c:pt>
                <c:pt idx="4">
                  <c:v>54.571428571428569</c:v>
                </c:pt>
                <c:pt idx="5">
                  <c:v>60.428571428571431</c:v>
                </c:pt>
                <c:pt idx="6">
                  <c:v>61.142857142857146</c:v>
                </c:pt>
                <c:pt idx="7">
                  <c:v>57.428571428571431</c:v>
                </c:pt>
                <c:pt idx="8">
                  <c:v>59.428571428571431</c:v>
                </c:pt>
                <c:pt idx="9">
                  <c:v>63.285714285714285</c:v>
                </c:pt>
                <c:pt idx="10">
                  <c:v>55</c:v>
                </c:pt>
                <c:pt idx="11">
                  <c:v>61.571428571428569</c:v>
                </c:pt>
                <c:pt idx="12">
                  <c:v>68.5</c:v>
                </c:pt>
                <c:pt idx="13">
                  <c:v>42</c:v>
                </c:pt>
                <c:pt idx="14">
                  <c:v>13</c:v>
                </c:pt>
                <c:pt idx="15">
                  <c:v>7.5</c:v>
                </c:pt>
                <c:pt idx="16">
                  <c:v>13.5</c:v>
                </c:pt>
                <c:pt idx="17">
                  <c:v>17.5</c:v>
                </c:pt>
                <c:pt idx="18">
                  <c:v>5</c:v>
                </c:pt>
                <c:pt idx="19">
                  <c:v>3.5</c:v>
                </c:pt>
                <c:pt idx="20">
                  <c:v>3.5</c:v>
                </c:pt>
                <c:pt idx="21">
                  <c:v>4</c:v>
                </c:pt>
                <c:pt idx="22">
                  <c:v>8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96984"/>
        <c:axId val="221596200"/>
      </c:lineChart>
      <c:catAx>
        <c:axId val="2215969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96200"/>
        <c:crosses val="autoZero"/>
        <c:auto val="1"/>
        <c:lblAlgn val="ctr"/>
        <c:lblOffset val="100"/>
        <c:noMultiLvlLbl val="0"/>
      </c:catAx>
      <c:valAx>
        <c:axId val="221596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9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GALIRAYA-KAYUNG'!$C$9:$N$9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GALIRAYA-KAYUNG'!$C$107:$N$107</c:f>
              <c:numCache>
                <c:formatCode>0.0%</c:formatCode>
                <c:ptCount val="12"/>
                <c:pt idx="0">
                  <c:v>6.9871475026238375E-2</c:v>
                </c:pt>
                <c:pt idx="1">
                  <c:v>1.7119457683109383E-2</c:v>
                </c:pt>
                <c:pt idx="2">
                  <c:v>2.4517816279830018E-2</c:v>
                </c:pt>
                <c:pt idx="3">
                  <c:v>8.9898659692710048E-2</c:v>
                </c:pt>
                <c:pt idx="4">
                  <c:v>4.3873987027064224E-3</c:v>
                </c:pt>
                <c:pt idx="5">
                  <c:v>3.0969873195574745E-3</c:v>
                </c:pt>
                <c:pt idx="6">
                  <c:v>6.125152698680341E-2</c:v>
                </c:pt>
                <c:pt idx="7">
                  <c:v>4.9293714836289824E-2</c:v>
                </c:pt>
                <c:pt idx="8">
                  <c:v>3.0969873195574753E-2</c:v>
                </c:pt>
                <c:pt idx="9">
                  <c:v>8.4306877032397955E-3</c:v>
                </c:pt>
                <c:pt idx="10">
                  <c:v>0.64030212831850808</c:v>
                </c:pt>
                <c:pt idx="11">
                  <c:v>8.6027425543263192E-4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GALIRAYA-KAYUNG'!$C$9:$N$9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GALIRAYA-KAYUNG'!$C$108:$N$108</c:f>
              <c:numCache>
                <c:formatCode>0.00%</c:formatCode>
                <c:ptCount val="12"/>
                <c:pt idx="0">
                  <c:v>0.19425045441500047</c:v>
                </c:pt>
                <c:pt idx="1">
                  <c:v>4.7593992155362107E-2</c:v>
                </c:pt>
                <c:pt idx="2">
                  <c:v>6.8162250071749753E-2</c:v>
                </c:pt>
                <c:pt idx="3">
                  <c:v>0.24992825026308235</c:v>
                </c:pt>
                <c:pt idx="4">
                  <c:v>1.2197455275997318E-2</c:v>
                </c:pt>
                <c:pt idx="5">
                  <c:v>8.6099684301157546E-3</c:v>
                </c:pt>
                <c:pt idx="6">
                  <c:v>0.17028604228451164</c:v>
                </c:pt>
                <c:pt idx="7">
                  <c:v>0.13704199751267579</c:v>
                </c:pt>
                <c:pt idx="8">
                  <c:v>8.6099684301157553E-2</c:v>
                </c:pt>
                <c:pt idx="9">
                  <c:v>2.3438247393092897E-2</c:v>
                </c:pt>
                <c:pt idx="11">
                  <c:v>2.3916578972543764E-3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KAYUNGA-GALIRAYA-2Dir'!$C$9:$N$9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KAYUNGA-GALIRAYA-2Dir'!$C$107:$N$107</c:f>
              <c:numCache>
                <c:formatCode>0.0%</c:formatCode>
                <c:ptCount val="12"/>
                <c:pt idx="0">
                  <c:v>6.7601164578494549E-2</c:v>
                </c:pt>
                <c:pt idx="1">
                  <c:v>1.5170597664300433E-2</c:v>
                </c:pt>
                <c:pt idx="2">
                  <c:v>2.6252085446040106E-2</c:v>
                </c:pt>
                <c:pt idx="3">
                  <c:v>9.0696457195197727E-2</c:v>
                </c:pt>
                <c:pt idx="4">
                  <c:v>4.6615852661192718E-3</c:v>
                </c:pt>
                <c:pt idx="5">
                  <c:v>3.1077235107461803E-3</c:v>
                </c:pt>
                <c:pt idx="6">
                  <c:v>6.047793516307369E-2</c:v>
                </c:pt>
                <c:pt idx="7">
                  <c:v>3.8519415093722406E-2</c:v>
                </c:pt>
                <c:pt idx="8">
                  <c:v>2.9973175439170406E-2</c:v>
                </c:pt>
                <c:pt idx="9">
                  <c:v>6.9923778991789068E-3</c:v>
                </c:pt>
                <c:pt idx="10">
                  <c:v>0.65507540318623436</c:v>
                </c:pt>
                <c:pt idx="11">
                  <c:v>1.472079557721875E-3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KAYUNGA-GALIRAYA-2Dir'!$C$9:$N$9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KAYUNGA-GALIRAYA-2Dir'!$C$108:$N$108</c:f>
              <c:numCache>
                <c:formatCode>0.00%</c:formatCode>
                <c:ptCount val="12"/>
                <c:pt idx="0">
                  <c:v>0.19598823975720792</c:v>
                </c:pt>
                <c:pt idx="1">
                  <c:v>4.3982359635811839E-2</c:v>
                </c:pt>
                <c:pt idx="2">
                  <c:v>7.6109635811836121E-2</c:v>
                </c:pt>
                <c:pt idx="3">
                  <c:v>0.26294575113808799</c:v>
                </c:pt>
                <c:pt idx="4">
                  <c:v>1.3514795144157819E-2</c:v>
                </c:pt>
                <c:pt idx="5">
                  <c:v>9.0098634294385437E-3</c:v>
                </c:pt>
                <c:pt idx="6">
                  <c:v>0.17533668437025796</c:v>
                </c:pt>
                <c:pt idx="7">
                  <c:v>0.11167488619119881</c:v>
                </c:pt>
                <c:pt idx="8">
                  <c:v>8.6897761760242817E-2</c:v>
                </c:pt>
                <c:pt idx="9">
                  <c:v>2.0272192716236724E-2</c:v>
                </c:pt>
                <c:pt idx="11">
                  <c:v>4.267830045523521E-3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KAYUNGA-GALIRAYA-2Dir'!$AE$9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KAYUNGA-GALIRAYA-2Dir'!$R$10:$R$33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KAYUNGA-GALIRAYA-2Dir'!$AE$10:$AE$33</c:f>
              <c:numCache>
                <c:formatCode>0</c:formatCode>
                <c:ptCount val="24"/>
                <c:pt idx="0">
                  <c:v>24.857142857142858</c:v>
                </c:pt>
                <c:pt idx="1">
                  <c:v>27.857142857142854</c:v>
                </c:pt>
                <c:pt idx="2">
                  <c:v>31.142857142857139</c:v>
                </c:pt>
                <c:pt idx="3">
                  <c:v>29.728571428571428</c:v>
                </c:pt>
                <c:pt idx="4">
                  <c:v>28.857142857142858</c:v>
                </c:pt>
                <c:pt idx="5">
                  <c:v>34.857142857142861</c:v>
                </c:pt>
                <c:pt idx="6">
                  <c:v>36</c:v>
                </c:pt>
                <c:pt idx="7">
                  <c:v>33.857142857142861</c:v>
                </c:pt>
                <c:pt idx="8">
                  <c:v>36.857142857142854</c:v>
                </c:pt>
                <c:pt idx="9">
                  <c:v>41.142857142857139</c:v>
                </c:pt>
                <c:pt idx="10">
                  <c:v>41</c:v>
                </c:pt>
                <c:pt idx="11">
                  <c:v>42.857142857142854</c:v>
                </c:pt>
                <c:pt idx="12">
                  <c:v>45</c:v>
                </c:pt>
                <c:pt idx="13">
                  <c:v>38</c:v>
                </c:pt>
                <c:pt idx="14">
                  <c:v>16</c:v>
                </c:pt>
                <c:pt idx="15">
                  <c:v>9</c:v>
                </c:pt>
                <c:pt idx="16">
                  <c:v>17</c:v>
                </c:pt>
                <c:pt idx="17">
                  <c:v>18.5</c:v>
                </c:pt>
                <c:pt idx="18">
                  <c:v>5.5</c:v>
                </c:pt>
                <c:pt idx="19">
                  <c:v>6</c:v>
                </c:pt>
                <c:pt idx="20">
                  <c:v>6.5</c:v>
                </c:pt>
                <c:pt idx="21">
                  <c:v>7</c:v>
                </c:pt>
                <c:pt idx="22">
                  <c:v>11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E2-4051-9357-D25D536D4A81}"/>
            </c:ext>
          </c:extLst>
        </c:ser>
        <c:ser>
          <c:idx val="1"/>
          <c:order val="1"/>
          <c:tx>
            <c:strRef>
              <c:f>'Avg Week KAYUNGA-GALIRAYA-2Dir'!$AF$9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KAYUNGA-GALIRAYA-2Dir'!$R$10:$R$33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KAYUNGA-GALIRAYA-2Dir'!$AF$10:$AF$33</c:f>
              <c:numCache>
                <c:formatCode>0</c:formatCode>
                <c:ptCount val="24"/>
                <c:pt idx="0">
                  <c:v>57.571428571428569</c:v>
                </c:pt>
                <c:pt idx="1">
                  <c:v>87.714285714285708</c:v>
                </c:pt>
                <c:pt idx="2">
                  <c:v>109</c:v>
                </c:pt>
                <c:pt idx="3">
                  <c:v>113.30000000000001</c:v>
                </c:pt>
                <c:pt idx="4">
                  <c:v>123.85714285714286</c:v>
                </c:pt>
                <c:pt idx="5">
                  <c:v>133.28571428571428</c:v>
                </c:pt>
                <c:pt idx="6">
                  <c:v>129.71428571428569</c:v>
                </c:pt>
                <c:pt idx="7">
                  <c:v>117.14285714285715</c:v>
                </c:pt>
                <c:pt idx="8">
                  <c:v>117</c:v>
                </c:pt>
                <c:pt idx="9">
                  <c:v>130.14285714285714</c:v>
                </c:pt>
                <c:pt idx="10">
                  <c:v>112.71428571428571</c:v>
                </c:pt>
                <c:pt idx="11">
                  <c:v>127.85714285714283</c:v>
                </c:pt>
                <c:pt idx="12">
                  <c:v>133</c:v>
                </c:pt>
                <c:pt idx="13">
                  <c:v>87.5</c:v>
                </c:pt>
                <c:pt idx="14">
                  <c:v>31.5</c:v>
                </c:pt>
                <c:pt idx="15">
                  <c:v>17.5</c:v>
                </c:pt>
                <c:pt idx="16">
                  <c:v>22.5</c:v>
                </c:pt>
                <c:pt idx="17">
                  <c:v>20.5</c:v>
                </c:pt>
                <c:pt idx="18">
                  <c:v>8.5</c:v>
                </c:pt>
                <c:pt idx="19">
                  <c:v>6.5</c:v>
                </c:pt>
                <c:pt idx="20">
                  <c:v>7</c:v>
                </c:pt>
                <c:pt idx="21">
                  <c:v>9</c:v>
                </c:pt>
                <c:pt idx="22">
                  <c:v>16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E2-4051-9357-D25D536D4A81}"/>
            </c:ext>
          </c:extLst>
        </c:ser>
        <c:ser>
          <c:idx val="5"/>
          <c:order val="2"/>
          <c:tx>
            <c:strRef>
              <c:f>'Avg Week KAYUNGA-GALIRAYA-2Dir'!$AC$9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KAYUNGA-GALIRAYA-2Dir'!$R$10:$R$33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KAYUNGA-GALIRAYA-2Dir'!$AC$10:$AC$33</c:f>
              <c:numCache>
                <c:formatCode>0</c:formatCode>
                <c:ptCount val="24"/>
                <c:pt idx="0">
                  <c:v>32.714285714285715</c:v>
                </c:pt>
                <c:pt idx="1">
                  <c:v>59.857142857142854</c:v>
                </c:pt>
                <c:pt idx="2">
                  <c:v>77.857142857142861</c:v>
                </c:pt>
                <c:pt idx="3">
                  <c:v>83.571428571428569</c:v>
                </c:pt>
                <c:pt idx="4">
                  <c:v>95</c:v>
                </c:pt>
                <c:pt idx="5">
                  <c:v>98.428571428571431</c:v>
                </c:pt>
                <c:pt idx="6">
                  <c:v>93.714285714285708</c:v>
                </c:pt>
                <c:pt idx="7">
                  <c:v>83.285714285714292</c:v>
                </c:pt>
                <c:pt idx="8">
                  <c:v>80.142857142857139</c:v>
                </c:pt>
                <c:pt idx="9">
                  <c:v>89</c:v>
                </c:pt>
                <c:pt idx="10">
                  <c:v>71.714285714285722</c:v>
                </c:pt>
                <c:pt idx="11">
                  <c:v>85</c:v>
                </c:pt>
                <c:pt idx="12">
                  <c:v>88</c:v>
                </c:pt>
                <c:pt idx="13">
                  <c:v>49.5</c:v>
                </c:pt>
                <c:pt idx="14">
                  <c:v>15.5</c:v>
                </c:pt>
                <c:pt idx="15">
                  <c:v>8.5</c:v>
                </c:pt>
                <c:pt idx="16">
                  <c:v>5.5</c:v>
                </c:pt>
                <c:pt idx="17">
                  <c:v>2</c:v>
                </c:pt>
                <c:pt idx="18">
                  <c:v>3</c:v>
                </c:pt>
                <c:pt idx="19">
                  <c:v>0.5</c:v>
                </c:pt>
                <c:pt idx="20">
                  <c:v>0.5</c:v>
                </c:pt>
                <c:pt idx="21">
                  <c:v>2</c:v>
                </c:pt>
                <c:pt idx="22">
                  <c:v>5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E2-4051-9357-D25D536D4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KAYUNGA-GALIRAYA-2Dir'!$S$9:$AF$9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KAYUNGA-GALIRAYA-2Dir'!$S$41:$AF$41</c:f>
              <c:numCache>
                <c:formatCode>_(* #,##0_);_(* \(#,##0\);_(* "-"_);_(@_)</c:formatCode>
                <c:ptCount val="14"/>
                <c:pt idx="0">
                  <c:v>118.08571428571429</c:v>
                </c:pt>
                <c:pt idx="1">
                  <c:v>26.499999999999996</c:v>
                </c:pt>
                <c:pt idx="2">
                  <c:v>45.857142857142861</c:v>
                </c:pt>
                <c:pt idx="3">
                  <c:v>158.42857142857144</c:v>
                </c:pt>
                <c:pt idx="4">
                  <c:v>8.1428571428571423</c:v>
                </c:pt>
                <c:pt idx="5">
                  <c:v>5.4285714285714279</c:v>
                </c:pt>
                <c:pt idx="6">
                  <c:v>105.64285714285714</c:v>
                </c:pt>
                <c:pt idx="7">
                  <c:v>67.285714285714278</c:v>
                </c:pt>
                <c:pt idx="8">
                  <c:v>52.357142857142854</c:v>
                </c:pt>
                <c:pt idx="9">
                  <c:v>12.214285714285714</c:v>
                </c:pt>
                <c:pt idx="10">
                  <c:v>1144.2857142857142</c:v>
                </c:pt>
                <c:pt idx="11">
                  <c:v>2.5714285714285712</c:v>
                </c:pt>
                <c:pt idx="12">
                  <c:v>602.51428571428573</c:v>
                </c:pt>
                <c:pt idx="13">
                  <c:v>1746.8000000000002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8-419E-924E-28FC4BDCEF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KAYUNGA-GALIRAYA-2Dir'!$S$9:$AF$9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KAYUNGA-GALIRAYA-2Dir'!$S$42:$AF$42</c:f>
              <c:numCache>
                <c:formatCode>0.000</c:formatCode>
                <c:ptCount val="14"/>
                <c:pt idx="0">
                  <c:v>1.4298564262238367</c:v>
                </c:pt>
                <c:pt idx="1">
                  <c:v>1.2045454545454546</c:v>
                </c:pt>
                <c:pt idx="2">
                  <c:v>1.3544303797468353</c:v>
                </c:pt>
                <c:pt idx="3">
                  <c:v>1.294049008168028</c:v>
                </c:pt>
                <c:pt idx="4">
                  <c:v>1.3255813953488373</c:v>
                </c:pt>
                <c:pt idx="5">
                  <c:v>1</c:v>
                </c:pt>
                <c:pt idx="6">
                  <c:v>1.5061099796334012</c:v>
                </c:pt>
                <c:pt idx="7">
                  <c:v>1.9068825910931175</c:v>
                </c:pt>
                <c:pt idx="8">
                  <c:v>2.6366906474820144</c:v>
                </c:pt>
                <c:pt idx="9">
                  <c:v>1.4016393442622952</c:v>
                </c:pt>
                <c:pt idx="10">
                  <c:v>1.20414912808178</c:v>
                </c:pt>
                <c:pt idx="11">
                  <c:v>1</c:v>
                </c:pt>
                <c:pt idx="12">
                  <c:v>1.4730886102476339</c:v>
                </c:pt>
                <c:pt idx="13">
                  <c:v>1.2850731994408886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2B1-B93D-EE292558AF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27</xdr:col>
      <xdr:colOff>698499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60</xdr:row>
      <xdr:rowOff>9525</xdr:rowOff>
    </xdr:from>
    <xdr:to>
      <xdr:col>23</xdr:col>
      <xdr:colOff>1</xdr:colOff>
      <xdr:row>74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60</xdr:row>
      <xdr:rowOff>15876</xdr:rowOff>
    </xdr:from>
    <xdr:to>
      <xdr:col>31</xdr:col>
      <xdr:colOff>190499</xdr:colOff>
      <xdr:row>74</xdr:row>
      <xdr:rowOff>15876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27</xdr:col>
      <xdr:colOff>698500</xdr:colOff>
      <xdr:row>59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60</xdr:row>
      <xdr:rowOff>9526</xdr:rowOff>
    </xdr:from>
    <xdr:to>
      <xdr:col>23</xdr:col>
      <xdr:colOff>0</xdr:colOff>
      <xdr:row>73</xdr:row>
      <xdr:rowOff>269876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698501</xdr:colOff>
      <xdr:row>60</xdr:row>
      <xdr:rowOff>15875</xdr:rowOff>
    </xdr:from>
    <xdr:to>
      <xdr:col>31</xdr:col>
      <xdr:colOff>1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59</xdr:row>
      <xdr:rowOff>25400</xdr:rowOff>
    </xdr:from>
    <xdr:to>
      <xdr:col>23</xdr:col>
      <xdr:colOff>634999</xdr:colOff>
      <xdr:row>75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75</xdr:row>
      <xdr:rowOff>31749</xdr:rowOff>
    </xdr:from>
    <xdr:to>
      <xdr:col>23</xdr:col>
      <xdr:colOff>634999</xdr:colOff>
      <xdr:row>90</xdr:row>
      <xdr:rowOff>111124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269875</xdr:rowOff>
    </xdr:from>
    <xdr:to>
      <xdr:col>28</xdr:col>
      <xdr:colOff>15876</xdr:colOff>
      <xdr:row>59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34B6C27-DB52-48D4-989E-8516D26C1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650875</xdr:colOff>
      <xdr:row>59</xdr:row>
      <xdr:rowOff>15875</xdr:rowOff>
    </xdr:from>
    <xdr:to>
      <xdr:col>30</xdr:col>
      <xdr:colOff>635000</xdr:colOff>
      <xdr:row>75</xdr:row>
      <xdr:rowOff>14288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6F211CB-5CCD-422B-B843-66198CC34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650875</xdr:colOff>
      <xdr:row>75</xdr:row>
      <xdr:rowOff>15874</xdr:rowOff>
    </xdr:from>
    <xdr:to>
      <xdr:col>30</xdr:col>
      <xdr:colOff>635000</xdr:colOff>
      <xdr:row>90</xdr:row>
      <xdr:rowOff>126999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A58EBBF-53C9-4598-9A55-767F79C4D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1" t="s">
        <v>96</v>
      </c>
      <c r="C3" s="64" t="s">
        <v>164</v>
      </c>
      <c r="D3" s="64"/>
      <c r="E3" s="64"/>
      <c r="F3" s="64"/>
      <c r="G3" s="64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163</v>
      </c>
      <c r="E5" s="3"/>
      <c r="F5" s="41" t="s">
        <v>1</v>
      </c>
      <c r="G5" s="59" t="s">
        <v>167</v>
      </c>
      <c r="H5" s="60"/>
      <c r="I5" s="14"/>
      <c r="J5" s="2" t="s">
        <v>5</v>
      </c>
      <c r="K5" s="59" t="s">
        <v>168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">
        <v>165</v>
      </c>
      <c r="E6" s="60"/>
      <c r="F6" s="2" t="s">
        <v>2</v>
      </c>
      <c r="G6" s="59" t="s">
        <v>166</v>
      </c>
      <c r="H6" s="60"/>
      <c r="J6" s="2" t="s">
        <v>21</v>
      </c>
      <c r="K6" s="59" t="s">
        <v>169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1</v>
      </c>
      <c r="G10" s="50">
        <v>1</v>
      </c>
      <c r="H10" s="50">
        <v>0</v>
      </c>
      <c r="I10" s="50">
        <v>2</v>
      </c>
      <c r="J10" s="50">
        <v>0</v>
      </c>
      <c r="K10" s="50">
        <v>2</v>
      </c>
      <c r="L10" s="50">
        <v>0</v>
      </c>
      <c r="M10" s="50">
        <v>3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4</v>
      </c>
      <c r="V10" s="17">
        <f t="shared" si="2"/>
        <v>1</v>
      </c>
      <c r="W10" s="17">
        <f t="shared" si="2"/>
        <v>1</v>
      </c>
      <c r="X10" s="17">
        <f t="shared" si="2"/>
        <v>0</v>
      </c>
      <c r="Y10" s="17">
        <f t="shared" si="2"/>
        <v>11</v>
      </c>
      <c r="Z10" s="17">
        <f t="shared" si="2"/>
        <v>1</v>
      </c>
      <c r="AA10" s="17">
        <f t="shared" si="2"/>
        <v>6</v>
      </c>
      <c r="AB10" s="17">
        <f t="shared" si="2"/>
        <v>0</v>
      </c>
      <c r="AC10" s="17">
        <f t="shared" si="2"/>
        <v>19</v>
      </c>
      <c r="AD10" s="17">
        <f t="shared" si="2"/>
        <v>0</v>
      </c>
      <c r="AE10" s="31">
        <f t="shared" si="2"/>
        <v>28</v>
      </c>
      <c r="AF10" s="31">
        <f t="shared" si="2"/>
        <v>47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3</v>
      </c>
      <c r="J11" s="50">
        <v>1</v>
      </c>
      <c r="K11" s="50">
        <v>2</v>
      </c>
      <c r="L11" s="50">
        <v>0</v>
      </c>
      <c r="M11" s="50">
        <v>2</v>
      </c>
      <c r="N11" s="50">
        <v>0</v>
      </c>
      <c r="O11" s="15">
        <f t="shared" si="0"/>
        <v>7</v>
      </c>
      <c r="P11" s="15">
        <f t="shared" si="1"/>
        <v>9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2</v>
      </c>
      <c r="V11" s="17">
        <f t="shared" si="3"/>
        <v>3</v>
      </c>
      <c r="W11" s="17">
        <f t="shared" si="3"/>
        <v>0</v>
      </c>
      <c r="X11" s="17">
        <f t="shared" si="3"/>
        <v>1</v>
      </c>
      <c r="Y11" s="17">
        <f t="shared" si="3"/>
        <v>6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41</v>
      </c>
      <c r="AD11" s="17">
        <f t="shared" si="3"/>
        <v>8</v>
      </c>
      <c r="AE11" s="31">
        <f t="shared" si="3"/>
        <v>23</v>
      </c>
      <c r="AF11" s="31">
        <f t="shared" si="3"/>
        <v>64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4</v>
      </c>
      <c r="J12" s="50">
        <v>0</v>
      </c>
      <c r="K12" s="50">
        <v>2</v>
      </c>
      <c r="L12" s="50">
        <v>0</v>
      </c>
      <c r="M12" s="50">
        <v>5</v>
      </c>
      <c r="N12" s="50">
        <v>0</v>
      </c>
      <c r="O12" s="15">
        <f t="shared" si="0"/>
        <v>9</v>
      </c>
      <c r="P12" s="15">
        <f t="shared" si="1"/>
        <v>14</v>
      </c>
      <c r="R12" s="1" t="s">
        <v>8</v>
      </c>
      <c r="S12" s="17">
        <f t="shared" ref="S12:AF12" si="4">SUM(C18:C21)</f>
        <v>4</v>
      </c>
      <c r="T12" s="17">
        <f t="shared" si="4"/>
        <v>2</v>
      </c>
      <c r="U12" s="17">
        <f t="shared" si="4"/>
        <v>3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31</v>
      </c>
      <c r="AD12" s="17">
        <f t="shared" si="4"/>
        <v>0</v>
      </c>
      <c r="AE12" s="31">
        <f t="shared" si="4"/>
        <v>23</v>
      </c>
      <c r="AF12" s="31">
        <f t="shared" si="4"/>
        <v>54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4</v>
      </c>
      <c r="P13" s="15">
        <f t="shared" si="1"/>
        <v>13</v>
      </c>
      <c r="R13" s="1" t="s">
        <v>9</v>
      </c>
      <c r="S13" s="17">
        <f t="shared" ref="S13:AF13" si="5">SUM(C22:C25)</f>
        <v>1</v>
      </c>
      <c r="T13" s="17">
        <f t="shared" si="5"/>
        <v>2</v>
      </c>
      <c r="U13" s="17">
        <f t="shared" si="5"/>
        <v>3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2</v>
      </c>
      <c r="AA13" s="17">
        <f t="shared" si="5"/>
        <v>2</v>
      </c>
      <c r="AB13" s="17">
        <f t="shared" si="5"/>
        <v>0</v>
      </c>
      <c r="AC13" s="17">
        <f t="shared" si="5"/>
        <v>54</v>
      </c>
      <c r="AD13" s="17">
        <f t="shared" si="5"/>
        <v>0</v>
      </c>
      <c r="AE13" s="31">
        <f t="shared" si="5"/>
        <v>21</v>
      </c>
      <c r="AF13" s="31">
        <f t="shared" si="5"/>
        <v>75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14</v>
      </c>
      <c r="N14" s="50">
        <v>0</v>
      </c>
      <c r="O14" s="15">
        <f t="shared" si="0"/>
        <v>1</v>
      </c>
      <c r="P14" s="15">
        <f t="shared" si="1"/>
        <v>15</v>
      </c>
      <c r="R14" s="1" t="s">
        <v>10</v>
      </c>
      <c r="S14" s="17">
        <f t="shared" ref="S14:AF14" si="6">SUM(C26:C29)</f>
        <v>8</v>
      </c>
      <c r="T14" s="17">
        <f t="shared" si="6"/>
        <v>1</v>
      </c>
      <c r="U14" s="17">
        <f t="shared" si="6"/>
        <v>1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57</v>
      </c>
      <c r="AD14" s="17">
        <f t="shared" si="6"/>
        <v>0</v>
      </c>
      <c r="AE14" s="31">
        <f t="shared" si="6"/>
        <v>17</v>
      </c>
      <c r="AF14" s="31">
        <f t="shared" si="6"/>
        <v>74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1</v>
      </c>
      <c r="L15" s="50">
        <v>0</v>
      </c>
      <c r="M15" s="50">
        <v>8</v>
      </c>
      <c r="N15" s="50">
        <v>8</v>
      </c>
      <c r="O15" s="15">
        <f t="shared" si="0"/>
        <v>12</v>
      </c>
      <c r="P15" s="15">
        <f t="shared" si="1"/>
        <v>20</v>
      </c>
      <c r="R15" s="1" t="s">
        <v>11</v>
      </c>
      <c r="S15" s="17">
        <f t="shared" ref="S15:AF15" si="7">SUM(C30:C33)</f>
        <v>3</v>
      </c>
      <c r="T15" s="17">
        <f t="shared" si="7"/>
        <v>2</v>
      </c>
      <c r="U15" s="17">
        <f t="shared" si="7"/>
        <v>1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58</v>
      </c>
      <c r="AD15" s="17">
        <f t="shared" si="7"/>
        <v>0</v>
      </c>
      <c r="AE15" s="31">
        <f t="shared" si="7"/>
        <v>19</v>
      </c>
      <c r="AF15" s="31">
        <f t="shared" si="7"/>
        <v>77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2</v>
      </c>
      <c r="G16" s="50">
        <v>0</v>
      </c>
      <c r="H16" s="50">
        <v>1</v>
      </c>
      <c r="I16" s="50">
        <v>2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6</v>
      </c>
      <c r="P16" s="15">
        <f t="shared" si="1"/>
        <v>14</v>
      </c>
      <c r="R16" s="1" t="s">
        <v>12</v>
      </c>
      <c r="S16" s="17">
        <f t="shared" ref="S16:AF16" si="8">SUM(C34:C37)</f>
        <v>7</v>
      </c>
      <c r="T16" s="17">
        <f t="shared" si="8"/>
        <v>0</v>
      </c>
      <c r="U16" s="17">
        <f t="shared" si="8"/>
        <v>2</v>
      </c>
      <c r="V16" s="17">
        <f t="shared" si="8"/>
        <v>10</v>
      </c>
      <c r="W16" s="17">
        <f t="shared" si="8"/>
        <v>2</v>
      </c>
      <c r="X16" s="17">
        <f t="shared" si="8"/>
        <v>0</v>
      </c>
      <c r="Y16" s="17">
        <f t="shared" si="8"/>
        <v>2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31</v>
      </c>
      <c r="AD16" s="17">
        <f t="shared" si="8"/>
        <v>0</v>
      </c>
      <c r="AE16" s="31">
        <f t="shared" si="8"/>
        <v>27</v>
      </c>
      <c r="AF16" s="31">
        <f t="shared" si="8"/>
        <v>58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11</v>
      </c>
      <c r="N17" s="50">
        <v>0</v>
      </c>
      <c r="O17" s="15">
        <f t="shared" si="0"/>
        <v>4</v>
      </c>
      <c r="P17" s="15">
        <f t="shared" si="1"/>
        <v>15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0</v>
      </c>
      <c r="V17" s="17">
        <f t="shared" si="9"/>
        <v>3</v>
      </c>
      <c r="W17" s="17">
        <f t="shared" si="9"/>
        <v>2</v>
      </c>
      <c r="X17" s="17">
        <f t="shared" si="9"/>
        <v>1</v>
      </c>
      <c r="Y17" s="17">
        <f t="shared" si="9"/>
        <v>3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38</v>
      </c>
      <c r="AD17" s="17">
        <f t="shared" si="9"/>
        <v>1</v>
      </c>
      <c r="AE17" s="31">
        <f t="shared" si="9"/>
        <v>15</v>
      </c>
      <c r="AF17" s="31">
        <f t="shared" si="9"/>
        <v>53</v>
      </c>
    </row>
    <row r="18" spans="2:32" ht="23.1" customHeight="1" x14ac:dyDescent="0.25">
      <c r="B18" s="23" t="s">
        <v>45</v>
      </c>
      <c r="C18" s="50">
        <v>2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8</v>
      </c>
      <c r="N18" s="50">
        <v>0</v>
      </c>
      <c r="O18" s="15">
        <f t="shared" si="0"/>
        <v>4</v>
      </c>
      <c r="P18" s="15">
        <f t="shared" si="1"/>
        <v>12</v>
      </c>
      <c r="R18" s="1" t="s">
        <v>14</v>
      </c>
      <c r="S18" s="17">
        <f t="shared" ref="S18:AF18" si="10">SUM(C42:C45)</f>
        <v>7</v>
      </c>
      <c r="T18" s="17">
        <f t="shared" si="10"/>
        <v>1</v>
      </c>
      <c r="U18" s="17">
        <f t="shared" si="10"/>
        <v>2</v>
      </c>
      <c r="V18" s="17">
        <f t="shared" si="10"/>
        <v>4</v>
      </c>
      <c r="W18" s="17">
        <f t="shared" si="10"/>
        <v>0</v>
      </c>
      <c r="X18" s="17">
        <f t="shared" si="10"/>
        <v>1</v>
      </c>
      <c r="Y18" s="17">
        <f t="shared" si="10"/>
        <v>5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37</v>
      </c>
      <c r="AD18" s="17">
        <f t="shared" si="10"/>
        <v>0</v>
      </c>
      <c r="AE18" s="31">
        <f t="shared" si="10"/>
        <v>22</v>
      </c>
      <c r="AF18" s="31">
        <f t="shared" si="10"/>
        <v>59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0</v>
      </c>
      <c r="F19" s="50">
        <v>3</v>
      </c>
      <c r="G19" s="50">
        <v>0</v>
      </c>
      <c r="H19" s="50">
        <v>0</v>
      </c>
      <c r="I19" s="50">
        <v>2</v>
      </c>
      <c r="J19" s="50">
        <v>2</v>
      </c>
      <c r="K19" s="50">
        <v>1</v>
      </c>
      <c r="L19" s="50">
        <v>0</v>
      </c>
      <c r="M19" s="50">
        <v>11</v>
      </c>
      <c r="N19" s="50">
        <v>0</v>
      </c>
      <c r="O19" s="15">
        <f t="shared" si="0"/>
        <v>10</v>
      </c>
      <c r="P19" s="15">
        <f t="shared" si="1"/>
        <v>21</v>
      </c>
      <c r="R19" s="1" t="s">
        <v>15</v>
      </c>
      <c r="S19" s="17">
        <f t="shared" ref="S19:AF19" si="11">SUM(C46:C49)</f>
        <v>2</v>
      </c>
      <c r="T19" s="17">
        <f t="shared" si="11"/>
        <v>0</v>
      </c>
      <c r="U19" s="17">
        <f t="shared" si="11"/>
        <v>1</v>
      </c>
      <c r="V19" s="17">
        <f t="shared" si="11"/>
        <v>9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35</v>
      </c>
      <c r="AD19" s="17">
        <f t="shared" si="11"/>
        <v>0</v>
      </c>
      <c r="AE19" s="31">
        <f t="shared" si="11"/>
        <v>18</v>
      </c>
      <c r="AF19" s="31">
        <f t="shared" si="11"/>
        <v>53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3</v>
      </c>
      <c r="P20" s="15">
        <f t="shared" si="1"/>
        <v>9</v>
      </c>
      <c r="R20" s="1" t="s">
        <v>16</v>
      </c>
      <c r="S20" s="17">
        <f t="shared" ref="S20:AF20" si="12">SUM(C50:C53)</f>
        <v>2</v>
      </c>
      <c r="T20" s="17">
        <f t="shared" si="12"/>
        <v>0</v>
      </c>
      <c r="U20" s="17">
        <f t="shared" si="12"/>
        <v>1</v>
      </c>
      <c r="V20" s="17">
        <f t="shared" si="12"/>
        <v>6</v>
      </c>
      <c r="W20" s="17">
        <f t="shared" si="12"/>
        <v>1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46</v>
      </c>
      <c r="AD20" s="17">
        <f t="shared" si="12"/>
        <v>1</v>
      </c>
      <c r="AE20" s="31">
        <f t="shared" si="12"/>
        <v>14</v>
      </c>
      <c r="AF20" s="31">
        <f t="shared" si="12"/>
        <v>60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3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6</v>
      </c>
      <c r="P21" s="15">
        <f t="shared" si="1"/>
        <v>12</v>
      </c>
      <c r="R21" s="36" t="s">
        <v>20</v>
      </c>
      <c r="S21" s="34">
        <f t="shared" ref="S21:AF21" si="13">SUM(C54:C57)</f>
        <v>3</v>
      </c>
      <c r="T21" s="17">
        <f t="shared" si="13"/>
        <v>0</v>
      </c>
      <c r="U21" s="17">
        <f t="shared" si="13"/>
        <v>3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68</v>
      </c>
      <c r="AD21" s="17">
        <f t="shared" si="13"/>
        <v>0</v>
      </c>
      <c r="AE21" s="31">
        <f t="shared" si="13"/>
        <v>14</v>
      </c>
      <c r="AF21" s="31">
        <f t="shared" si="13"/>
        <v>82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1</v>
      </c>
      <c r="L22" s="50">
        <v>0</v>
      </c>
      <c r="M22" s="50">
        <v>14</v>
      </c>
      <c r="N22" s="50">
        <v>0</v>
      </c>
      <c r="O22" s="15">
        <f t="shared" si="0"/>
        <v>5</v>
      </c>
      <c r="P22" s="15">
        <f t="shared" si="1"/>
        <v>19</v>
      </c>
      <c r="R22" s="38" t="s">
        <v>90</v>
      </c>
      <c r="S22" s="39">
        <f>MAX(S10:S12)</f>
        <v>4</v>
      </c>
      <c r="T22" s="39">
        <f t="shared" ref="T22:AF22" si="14">MAX(T10:T12)</f>
        <v>2</v>
      </c>
      <c r="U22" s="39">
        <f t="shared" si="14"/>
        <v>4</v>
      </c>
      <c r="V22" s="39">
        <f t="shared" si="14"/>
        <v>6</v>
      </c>
      <c r="W22" s="39">
        <f t="shared" si="14"/>
        <v>1</v>
      </c>
      <c r="X22" s="39">
        <f t="shared" si="14"/>
        <v>1</v>
      </c>
      <c r="Y22" s="39">
        <f t="shared" si="14"/>
        <v>11</v>
      </c>
      <c r="Z22" s="39">
        <f t="shared" si="14"/>
        <v>4</v>
      </c>
      <c r="AA22" s="39">
        <f t="shared" si="14"/>
        <v>6</v>
      </c>
      <c r="AB22" s="39">
        <f t="shared" si="14"/>
        <v>0</v>
      </c>
      <c r="AC22" s="39">
        <f t="shared" si="14"/>
        <v>41</v>
      </c>
      <c r="AD22" s="39">
        <f t="shared" si="14"/>
        <v>8</v>
      </c>
      <c r="AE22" s="40">
        <f t="shared" si="14"/>
        <v>28</v>
      </c>
      <c r="AF22" s="40">
        <f t="shared" si="14"/>
        <v>64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1</v>
      </c>
      <c r="L23" s="50">
        <v>0</v>
      </c>
      <c r="M23" s="50">
        <v>16</v>
      </c>
      <c r="N23" s="50">
        <v>0</v>
      </c>
      <c r="O23" s="15">
        <f t="shared" si="0"/>
        <v>4</v>
      </c>
      <c r="P23" s="15">
        <f t="shared" si="1"/>
        <v>20</v>
      </c>
      <c r="R23" s="38" t="s">
        <v>91</v>
      </c>
      <c r="S23" s="39">
        <f>MAX(S13:S18)</f>
        <v>8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10</v>
      </c>
      <c r="W23" s="39">
        <f t="shared" si="15"/>
        <v>2</v>
      </c>
      <c r="X23" s="39">
        <f t="shared" si="15"/>
        <v>1</v>
      </c>
      <c r="Y23" s="39">
        <f t="shared" si="15"/>
        <v>6</v>
      </c>
      <c r="Z23" s="39">
        <f t="shared" si="15"/>
        <v>4</v>
      </c>
      <c r="AA23" s="39">
        <f t="shared" si="15"/>
        <v>2</v>
      </c>
      <c r="AB23" s="39">
        <f t="shared" si="15"/>
        <v>0</v>
      </c>
      <c r="AC23" s="39">
        <f t="shared" si="15"/>
        <v>58</v>
      </c>
      <c r="AD23" s="39">
        <f t="shared" si="15"/>
        <v>1</v>
      </c>
      <c r="AE23" s="40">
        <f t="shared" si="15"/>
        <v>27</v>
      </c>
      <c r="AF23" s="40">
        <f t="shared" si="15"/>
        <v>77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10</v>
      </c>
      <c r="N24" s="50">
        <v>0</v>
      </c>
      <c r="O24" s="15">
        <f t="shared" si="0"/>
        <v>2</v>
      </c>
      <c r="P24" s="15">
        <f t="shared" si="1"/>
        <v>12</v>
      </c>
      <c r="R24" s="38" t="s">
        <v>92</v>
      </c>
      <c r="S24" s="39">
        <f>MAX(S19:S21)</f>
        <v>3</v>
      </c>
      <c r="T24" s="39">
        <f t="shared" ref="T24:AF24" si="16">MAX(T19:T21)</f>
        <v>0</v>
      </c>
      <c r="U24" s="39">
        <f t="shared" si="16"/>
        <v>3</v>
      </c>
      <c r="V24" s="39">
        <f t="shared" si="16"/>
        <v>9</v>
      </c>
      <c r="W24" s="39">
        <f t="shared" si="16"/>
        <v>1</v>
      </c>
      <c r="X24" s="39">
        <f t="shared" si="16"/>
        <v>0</v>
      </c>
      <c r="Y24" s="39">
        <f t="shared" si="16"/>
        <v>4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68</v>
      </c>
      <c r="AD24" s="39">
        <f t="shared" si="16"/>
        <v>1</v>
      </c>
      <c r="AE24" s="40">
        <f t="shared" si="16"/>
        <v>18</v>
      </c>
      <c r="AF24" s="40">
        <f t="shared" si="16"/>
        <v>82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2</v>
      </c>
      <c r="F25" s="50">
        <v>3</v>
      </c>
      <c r="G25" s="50">
        <v>0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10</v>
      </c>
      <c r="P25" s="15">
        <f t="shared" si="1"/>
        <v>24</v>
      </c>
      <c r="R25" s="37" t="s">
        <v>85</v>
      </c>
      <c r="S25" s="35">
        <f t="shared" ref="S25:AF25" si="17">SUM(S10:S12)</f>
        <v>10</v>
      </c>
      <c r="T25" s="16">
        <f t="shared" si="17"/>
        <v>2</v>
      </c>
      <c r="U25" s="16">
        <f t="shared" si="17"/>
        <v>9</v>
      </c>
      <c r="V25" s="16">
        <f t="shared" si="17"/>
        <v>10</v>
      </c>
      <c r="W25" s="16">
        <f t="shared" si="17"/>
        <v>1</v>
      </c>
      <c r="X25" s="16">
        <f t="shared" si="17"/>
        <v>1</v>
      </c>
      <c r="Y25" s="16">
        <f t="shared" si="17"/>
        <v>20</v>
      </c>
      <c r="Z25" s="16">
        <f t="shared" si="17"/>
        <v>5</v>
      </c>
      <c r="AA25" s="16">
        <f t="shared" si="17"/>
        <v>8</v>
      </c>
      <c r="AB25" s="16">
        <f t="shared" si="17"/>
        <v>0</v>
      </c>
      <c r="AC25" s="16">
        <f t="shared" si="17"/>
        <v>91</v>
      </c>
      <c r="AD25" s="16">
        <f t="shared" si="17"/>
        <v>8</v>
      </c>
      <c r="AE25" s="32">
        <f t="shared" si="17"/>
        <v>74</v>
      </c>
      <c r="AF25" s="32">
        <f t="shared" si="17"/>
        <v>165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5</v>
      </c>
      <c r="P26" s="15">
        <f t="shared" si="1"/>
        <v>17</v>
      </c>
      <c r="R26" s="28" t="s">
        <v>86</v>
      </c>
      <c r="S26" s="16">
        <f t="shared" ref="S26:AF26" si="18">SUM(S13:S18)</f>
        <v>29</v>
      </c>
      <c r="T26" s="16">
        <f t="shared" si="18"/>
        <v>6</v>
      </c>
      <c r="U26" s="16">
        <f t="shared" si="18"/>
        <v>9</v>
      </c>
      <c r="V26" s="16">
        <f t="shared" si="18"/>
        <v>35</v>
      </c>
      <c r="W26" s="16">
        <f t="shared" si="18"/>
        <v>4</v>
      </c>
      <c r="X26" s="16">
        <f t="shared" si="18"/>
        <v>2</v>
      </c>
      <c r="Y26" s="16">
        <f t="shared" si="18"/>
        <v>22</v>
      </c>
      <c r="Z26" s="16">
        <f t="shared" si="18"/>
        <v>10</v>
      </c>
      <c r="AA26" s="16">
        <f t="shared" si="18"/>
        <v>3</v>
      </c>
      <c r="AB26" s="16">
        <f t="shared" si="18"/>
        <v>0</v>
      </c>
      <c r="AC26" s="16">
        <f t="shared" si="18"/>
        <v>275</v>
      </c>
      <c r="AD26" s="16">
        <f t="shared" si="18"/>
        <v>1</v>
      </c>
      <c r="AE26" s="32">
        <f t="shared" si="18"/>
        <v>121</v>
      </c>
      <c r="AF26" s="32">
        <f t="shared" si="18"/>
        <v>396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21</v>
      </c>
      <c r="N27" s="50">
        <v>0</v>
      </c>
      <c r="O27" s="15">
        <f t="shared" si="0"/>
        <v>4</v>
      </c>
      <c r="P27" s="15">
        <f t="shared" si="1"/>
        <v>25</v>
      </c>
      <c r="R27" s="29" t="s">
        <v>87</v>
      </c>
      <c r="S27" s="16">
        <f t="shared" ref="S27:AF27" si="19">SUM(S19:S21)</f>
        <v>7</v>
      </c>
      <c r="T27" s="16">
        <f t="shared" si="19"/>
        <v>0</v>
      </c>
      <c r="U27" s="16">
        <f t="shared" si="19"/>
        <v>5</v>
      </c>
      <c r="V27" s="16">
        <f t="shared" si="19"/>
        <v>20</v>
      </c>
      <c r="W27" s="16">
        <f t="shared" si="19"/>
        <v>2</v>
      </c>
      <c r="X27" s="16">
        <f t="shared" si="19"/>
        <v>0</v>
      </c>
      <c r="Y27" s="16">
        <f t="shared" si="19"/>
        <v>7</v>
      </c>
      <c r="Z27" s="16">
        <f t="shared" si="19"/>
        <v>3</v>
      </c>
      <c r="AA27" s="16">
        <f t="shared" si="19"/>
        <v>1</v>
      </c>
      <c r="AB27" s="16">
        <f t="shared" si="19"/>
        <v>0</v>
      </c>
      <c r="AC27" s="16">
        <f t="shared" si="19"/>
        <v>149</v>
      </c>
      <c r="AD27" s="16">
        <f t="shared" si="19"/>
        <v>1</v>
      </c>
      <c r="AE27" s="32">
        <f t="shared" si="19"/>
        <v>46</v>
      </c>
      <c r="AF27" s="32">
        <f t="shared" si="19"/>
        <v>195</v>
      </c>
    </row>
    <row r="28" spans="2:32" ht="23.1" customHeight="1" x14ac:dyDescent="0.25">
      <c r="B28" s="23" t="s">
        <v>55</v>
      </c>
      <c r="C28" s="50">
        <v>4</v>
      </c>
      <c r="D28" s="50">
        <v>1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7</v>
      </c>
      <c r="P28" s="15">
        <f t="shared" si="1"/>
        <v>23</v>
      </c>
      <c r="R28" s="5" t="s">
        <v>17</v>
      </c>
      <c r="S28" s="16">
        <f t="shared" ref="S28:AF28" si="20">SUM(S10:S21)</f>
        <v>46</v>
      </c>
      <c r="T28" s="16">
        <f t="shared" si="20"/>
        <v>8</v>
      </c>
      <c r="U28" s="16">
        <f t="shared" si="20"/>
        <v>23</v>
      </c>
      <c r="V28" s="16">
        <f t="shared" si="20"/>
        <v>65</v>
      </c>
      <c r="W28" s="16">
        <f t="shared" si="20"/>
        <v>7</v>
      </c>
      <c r="X28" s="16">
        <f t="shared" si="20"/>
        <v>3</v>
      </c>
      <c r="Y28" s="16">
        <f t="shared" si="20"/>
        <v>49</v>
      </c>
      <c r="Z28" s="16">
        <f t="shared" si="20"/>
        <v>18</v>
      </c>
      <c r="AA28" s="16">
        <f t="shared" si="20"/>
        <v>12</v>
      </c>
      <c r="AB28" s="16">
        <f t="shared" si="20"/>
        <v>0</v>
      </c>
      <c r="AC28" s="16">
        <f t="shared" si="20"/>
        <v>515</v>
      </c>
      <c r="AD28" s="16">
        <f t="shared" si="20"/>
        <v>10</v>
      </c>
      <c r="AE28" s="32">
        <f t="shared" si="20"/>
        <v>241</v>
      </c>
      <c r="AF28" s="32">
        <f t="shared" si="20"/>
        <v>756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1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0</v>
      </c>
      <c r="F30" s="50">
        <v>3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14</v>
      </c>
      <c r="N30" s="50">
        <v>0</v>
      </c>
      <c r="O30" s="15">
        <f t="shared" si="0"/>
        <v>4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2</v>
      </c>
      <c r="P31" s="15">
        <f t="shared" si="1"/>
        <v>9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1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17</v>
      </c>
      <c r="N32" s="50">
        <v>0</v>
      </c>
      <c r="O32" s="15">
        <f t="shared" si="0"/>
        <v>5</v>
      </c>
      <c r="P32" s="15">
        <f t="shared" si="1"/>
        <v>22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0</v>
      </c>
      <c r="F33" s="50">
        <v>3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v>0</v>
      </c>
      <c r="M33" s="50">
        <v>20</v>
      </c>
      <c r="N33" s="50">
        <v>0</v>
      </c>
      <c r="O33" s="15">
        <f t="shared" si="0"/>
        <v>8</v>
      </c>
      <c r="P33" s="15">
        <f t="shared" si="1"/>
        <v>28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3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3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3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6</v>
      </c>
      <c r="D36" s="50">
        <v>0</v>
      </c>
      <c r="E36" s="50">
        <v>1</v>
      </c>
      <c r="F36" s="50">
        <v>3</v>
      </c>
      <c r="G36" s="50">
        <v>1</v>
      </c>
      <c r="H36" s="50">
        <v>0</v>
      </c>
      <c r="I36" s="50">
        <v>1</v>
      </c>
      <c r="J36" s="50">
        <v>2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14</v>
      </c>
      <c r="P36" s="15">
        <f t="shared" si="1"/>
        <v>22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1</v>
      </c>
      <c r="F37" s="50">
        <v>3</v>
      </c>
      <c r="G37" s="50">
        <v>1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7</v>
      </c>
      <c r="P37" s="15">
        <f t="shared" si="1"/>
        <v>15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2</v>
      </c>
      <c r="G38" s="50">
        <v>1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5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2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2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10</v>
      </c>
      <c r="N40" s="50">
        <v>1</v>
      </c>
      <c r="O40" s="15">
        <f t="shared" si="0"/>
        <v>2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1</v>
      </c>
      <c r="G41" s="50">
        <v>1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6</v>
      </c>
      <c r="P41" s="15">
        <f t="shared" si="1"/>
        <v>15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8</v>
      </c>
      <c r="P42" s="15">
        <f t="shared" si="1"/>
        <v>21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1</v>
      </c>
      <c r="F43" s="50">
        <v>0</v>
      </c>
      <c r="G43" s="50">
        <v>0</v>
      </c>
      <c r="H43" s="50">
        <v>1</v>
      </c>
      <c r="I43" s="50">
        <v>2</v>
      </c>
      <c r="J43" s="50">
        <v>1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6</v>
      </c>
      <c r="P43" s="15">
        <f t="shared" si="1"/>
        <v>14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3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5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1</v>
      </c>
      <c r="G46" s="50">
        <v>1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5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2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3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3</v>
      </c>
      <c r="P48" s="15">
        <f t="shared" si="1"/>
        <v>6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4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8</v>
      </c>
      <c r="P49" s="15">
        <f t="shared" si="1"/>
        <v>18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2</v>
      </c>
      <c r="P50" s="15">
        <f t="shared" si="1"/>
        <v>15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3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6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2</v>
      </c>
      <c r="P52" s="15">
        <f t="shared" si="1"/>
        <v>10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13</v>
      </c>
      <c r="N53" s="50">
        <v>1</v>
      </c>
      <c r="O53" s="15">
        <f t="shared" si="0"/>
        <v>4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2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5</v>
      </c>
      <c r="P54" s="15">
        <f t="shared" si="1"/>
        <v>23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0</v>
      </c>
      <c r="M55" s="50">
        <v>18</v>
      </c>
      <c r="N55" s="50">
        <v>0</v>
      </c>
      <c r="O55" s="15">
        <f t="shared" si="0"/>
        <v>5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1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3</v>
      </c>
      <c r="P57" s="15">
        <f t="shared" si="1"/>
        <v>22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46</v>
      </c>
      <c r="D58" s="16">
        <f t="shared" si="21"/>
        <v>8</v>
      </c>
      <c r="E58" s="16">
        <f t="shared" si="21"/>
        <v>23</v>
      </c>
      <c r="F58" s="16">
        <f t="shared" si="21"/>
        <v>65</v>
      </c>
      <c r="G58" s="16">
        <f t="shared" si="21"/>
        <v>7</v>
      </c>
      <c r="H58" s="16">
        <f t="shared" si="21"/>
        <v>3</v>
      </c>
      <c r="I58" s="16">
        <f t="shared" si="21"/>
        <v>49</v>
      </c>
      <c r="J58" s="16">
        <f t="shared" si="21"/>
        <v>18</v>
      </c>
      <c r="K58" s="16">
        <f t="shared" si="21"/>
        <v>12</v>
      </c>
      <c r="L58" s="16">
        <f t="shared" si="21"/>
        <v>0</v>
      </c>
      <c r="M58" s="16">
        <f t="shared" si="21"/>
        <v>515</v>
      </c>
      <c r="N58" s="16">
        <f t="shared" si="21"/>
        <v>10</v>
      </c>
      <c r="O58" s="16">
        <f t="shared" si="21"/>
        <v>241</v>
      </c>
      <c r="P58" s="16">
        <f t="shared" si="21"/>
        <v>756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6.0846560846560843E-2</v>
      </c>
      <c r="D59" s="43">
        <f t="shared" si="22"/>
        <v>1.0582010582010581E-2</v>
      </c>
      <c r="E59" s="43">
        <f t="shared" si="22"/>
        <v>3.0423280423280422E-2</v>
      </c>
      <c r="F59" s="43">
        <f t="shared" si="22"/>
        <v>8.5978835978835974E-2</v>
      </c>
      <c r="G59" s="43">
        <f t="shared" si="22"/>
        <v>9.2592592592592587E-3</v>
      </c>
      <c r="H59" s="43">
        <f t="shared" si="22"/>
        <v>3.968253968253968E-3</v>
      </c>
      <c r="I59" s="43">
        <f t="shared" si="22"/>
        <v>6.4814814814814811E-2</v>
      </c>
      <c r="J59" s="43">
        <f t="shared" si="22"/>
        <v>2.3809523809523808E-2</v>
      </c>
      <c r="K59" s="43">
        <f t="shared" si="22"/>
        <v>1.5873015873015872E-2</v>
      </c>
      <c r="L59" s="43">
        <f t="shared" si="22"/>
        <v>0</v>
      </c>
      <c r="M59" s="43">
        <f t="shared" si="22"/>
        <v>0.68121693121693117</v>
      </c>
      <c r="N59" s="43">
        <f t="shared" si="22"/>
        <v>1.3227513227513227E-2</v>
      </c>
      <c r="R59" s="8"/>
      <c r="T59"/>
    </row>
    <row r="60" spans="2:20" ht="23.1" customHeight="1" x14ac:dyDescent="0.25">
      <c r="B60" s="42" t="s">
        <v>94</v>
      </c>
      <c r="C60" s="44">
        <f>C58/$O$58</f>
        <v>0.1908713692946058</v>
      </c>
      <c r="D60" s="44">
        <f t="shared" ref="D60:N60" si="23">D58/$O$58</f>
        <v>3.3195020746887967E-2</v>
      </c>
      <c r="E60" s="44">
        <f t="shared" si="23"/>
        <v>9.5435684647302899E-2</v>
      </c>
      <c r="F60" s="44">
        <f t="shared" si="23"/>
        <v>0.26970954356846472</v>
      </c>
      <c r="G60" s="44">
        <f t="shared" si="23"/>
        <v>2.9045643153526972E-2</v>
      </c>
      <c r="H60" s="44">
        <f t="shared" si="23"/>
        <v>1.2448132780082987E-2</v>
      </c>
      <c r="I60" s="44">
        <f t="shared" si="23"/>
        <v>0.2033195020746888</v>
      </c>
      <c r="J60" s="44">
        <f t="shared" si="23"/>
        <v>7.4688796680497924E-2</v>
      </c>
      <c r="K60" s="44">
        <f t="shared" si="23"/>
        <v>4.9792531120331947E-2</v>
      </c>
      <c r="L60" s="44">
        <f t="shared" si="23"/>
        <v>0</v>
      </c>
      <c r="M60" s="44"/>
      <c r="N60" s="44">
        <f t="shared" si="23"/>
        <v>4.1493775933609957E-2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U24" sqref="U2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tr">
        <f>'17.10 KAYUNGA-GALIRAYA'!D5</f>
        <v>17.10.19</v>
      </c>
      <c r="E5" s="3"/>
      <c r="F5" s="41" t="s">
        <v>1</v>
      </c>
      <c r="G5" s="59" t="str">
        <f>'17.10 KAYUNGA-GALIRAYA'!G5:H5</f>
        <v>KYANYA</v>
      </c>
      <c r="H5" s="60"/>
      <c r="I5" s="14"/>
      <c r="J5" s="2" t="s">
        <v>5</v>
      </c>
      <c r="K5" s="59" t="s">
        <v>170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">
        <v>166</v>
      </c>
      <c r="E6" s="60"/>
      <c r="F6" s="2" t="s">
        <v>2</v>
      </c>
      <c r="G6" s="59" t="s">
        <v>165</v>
      </c>
      <c r="H6" s="60"/>
      <c r="J6" s="2" t="s">
        <v>21</v>
      </c>
      <c r="K6" s="59" t="str">
        <f>'17.10 KAYUNGA-GALIRAYA'!K6:L6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0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6</v>
      </c>
      <c r="AD10" s="17">
        <f t="shared" si="2"/>
        <v>0</v>
      </c>
      <c r="AE10" s="31">
        <f t="shared" si="2"/>
        <v>9</v>
      </c>
      <c r="AF10" s="31">
        <f t="shared" si="2"/>
        <v>15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3</v>
      </c>
      <c r="P11" s="15">
        <f t="shared" si="1"/>
        <v>6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0</v>
      </c>
      <c r="V11" s="17">
        <f t="shared" si="3"/>
        <v>3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25</v>
      </c>
      <c r="AD11" s="17">
        <f t="shared" si="3"/>
        <v>0</v>
      </c>
      <c r="AE11" s="31">
        <f t="shared" si="3"/>
        <v>7</v>
      </c>
      <c r="AF11" s="31">
        <f t="shared" si="3"/>
        <v>32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2</v>
      </c>
      <c r="P12" s="15">
        <f t="shared" si="1"/>
        <v>2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0</v>
      </c>
      <c r="V12" s="17">
        <f t="shared" si="4"/>
        <v>4</v>
      </c>
      <c r="W12" s="17">
        <f t="shared" si="4"/>
        <v>0</v>
      </c>
      <c r="X12" s="17">
        <f t="shared" si="4"/>
        <v>1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8</v>
      </c>
      <c r="AF12" s="31">
        <f t="shared" si="4"/>
        <v>28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29</v>
      </c>
      <c r="AD13" s="17">
        <f t="shared" si="5"/>
        <v>0</v>
      </c>
      <c r="AE13" s="31">
        <f t="shared" si="5"/>
        <v>7</v>
      </c>
      <c r="AF13" s="31">
        <f t="shared" si="5"/>
        <v>36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1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3</v>
      </c>
      <c r="P14" s="15">
        <f t="shared" si="1"/>
        <v>10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53</v>
      </c>
      <c r="AD14" s="17">
        <f t="shared" si="6"/>
        <v>0</v>
      </c>
      <c r="AE14" s="31">
        <f t="shared" si="6"/>
        <v>5</v>
      </c>
      <c r="AF14" s="31">
        <f t="shared" si="6"/>
        <v>58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0</v>
      </c>
      <c r="V15" s="17">
        <f t="shared" si="7"/>
        <v>3</v>
      </c>
      <c r="W15" s="17">
        <f t="shared" si="7"/>
        <v>0</v>
      </c>
      <c r="X15" s="17">
        <f t="shared" si="7"/>
        <v>1</v>
      </c>
      <c r="Y15" s="17">
        <f t="shared" si="7"/>
        <v>2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52</v>
      </c>
      <c r="AD15" s="17">
        <f t="shared" si="7"/>
        <v>0</v>
      </c>
      <c r="AE15" s="31">
        <f t="shared" si="7"/>
        <v>12</v>
      </c>
      <c r="AF15" s="31">
        <f t="shared" si="7"/>
        <v>64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3</v>
      </c>
      <c r="P16" s="15">
        <f t="shared" si="1"/>
        <v>7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3</v>
      </c>
      <c r="V16" s="17">
        <f t="shared" si="8"/>
        <v>4</v>
      </c>
      <c r="W16" s="17">
        <f t="shared" si="8"/>
        <v>1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38</v>
      </c>
      <c r="AD16" s="17">
        <f t="shared" si="8"/>
        <v>0</v>
      </c>
      <c r="AE16" s="31">
        <f t="shared" si="8"/>
        <v>11</v>
      </c>
      <c r="AF16" s="31">
        <f t="shared" si="8"/>
        <v>49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1</v>
      </c>
      <c r="P17" s="15">
        <f t="shared" si="1"/>
        <v>13</v>
      </c>
      <c r="R17" s="1" t="s">
        <v>13</v>
      </c>
      <c r="S17" s="17">
        <f t="shared" ref="S17:AF17" si="9">SUM(C38:C41)</f>
        <v>3</v>
      </c>
      <c r="T17" s="17">
        <f t="shared" si="9"/>
        <v>2</v>
      </c>
      <c r="U17" s="17">
        <f t="shared" si="9"/>
        <v>2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2</v>
      </c>
      <c r="AB17" s="17">
        <f t="shared" si="9"/>
        <v>1</v>
      </c>
      <c r="AC17" s="17">
        <f t="shared" si="9"/>
        <v>44</v>
      </c>
      <c r="AD17" s="17">
        <f t="shared" si="9"/>
        <v>0</v>
      </c>
      <c r="AE17" s="31">
        <f t="shared" si="9"/>
        <v>20</v>
      </c>
      <c r="AF17" s="31">
        <f t="shared" si="9"/>
        <v>64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1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2</v>
      </c>
      <c r="V18" s="17">
        <f t="shared" si="10"/>
        <v>2</v>
      </c>
      <c r="W18" s="17">
        <f t="shared" si="10"/>
        <v>1</v>
      </c>
      <c r="X18" s="17">
        <f t="shared" si="10"/>
        <v>0</v>
      </c>
      <c r="Y18" s="17">
        <f t="shared" si="10"/>
        <v>6</v>
      </c>
      <c r="Z18" s="17">
        <f t="shared" si="10"/>
        <v>2</v>
      </c>
      <c r="AA18" s="17">
        <f t="shared" si="10"/>
        <v>0</v>
      </c>
      <c r="AB18" s="17">
        <f t="shared" si="10"/>
        <v>1</v>
      </c>
      <c r="AC18" s="17">
        <f t="shared" si="10"/>
        <v>67</v>
      </c>
      <c r="AD18" s="17">
        <f t="shared" si="10"/>
        <v>0</v>
      </c>
      <c r="AE18" s="31">
        <f t="shared" si="10"/>
        <v>16</v>
      </c>
      <c r="AF18" s="31">
        <f t="shared" si="10"/>
        <v>83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3</v>
      </c>
      <c r="P19" s="15">
        <f t="shared" si="1"/>
        <v>8</v>
      </c>
      <c r="R19" s="1" t="s">
        <v>15</v>
      </c>
      <c r="S19" s="17">
        <f t="shared" ref="S19:AF19" si="11">SUM(C46:C49)</f>
        <v>4</v>
      </c>
      <c r="T19" s="17">
        <f t="shared" si="11"/>
        <v>2</v>
      </c>
      <c r="U19" s="17">
        <f t="shared" si="11"/>
        <v>2</v>
      </c>
      <c r="V19" s="17">
        <f t="shared" si="11"/>
        <v>12</v>
      </c>
      <c r="W19" s="17">
        <f t="shared" si="11"/>
        <v>0</v>
      </c>
      <c r="X19" s="17">
        <f t="shared" si="11"/>
        <v>2</v>
      </c>
      <c r="Y19" s="17">
        <f t="shared" si="11"/>
        <v>3</v>
      </c>
      <c r="Z19" s="17">
        <f t="shared" si="11"/>
        <v>3</v>
      </c>
      <c r="AA19" s="17">
        <f t="shared" si="11"/>
        <v>0</v>
      </c>
      <c r="AB19" s="17">
        <f t="shared" si="11"/>
        <v>4</v>
      </c>
      <c r="AC19" s="17">
        <f t="shared" si="11"/>
        <v>63</v>
      </c>
      <c r="AD19" s="17">
        <f t="shared" si="11"/>
        <v>0</v>
      </c>
      <c r="AE19" s="31">
        <f t="shared" si="11"/>
        <v>32</v>
      </c>
      <c r="AF19" s="31">
        <f t="shared" si="11"/>
        <v>95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2</v>
      </c>
      <c r="P20" s="15">
        <f t="shared" si="1"/>
        <v>4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0</v>
      </c>
      <c r="V20" s="17">
        <f t="shared" si="12"/>
        <v>4</v>
      </c>
      <c r="W20" s="17">
        <f t="shared" si="12"/>
        <v>1</v>
      </c>
      <c r="X20" s="17">
        <f t="shared" si="12"/>
        <v>1</v>
      </c>
      <c r="Y20" s="17">
        <f t="shared" si="12"/>
        <v>1</v>
      </c>
      <c r="Z20" s="17">
        <f t="shared" si="12"/>
        <v>0</v>
      </c>
      <c r="AA20" s="17">
        <f t="shared" si="12"/>
        <v>2</v>
      </c>
      <c r="AB20" s="17">
        <f t="shared" si="12"/>
        <v>1</v>
      </c>
      <c r="AC20" s="17">
        <f t="shared" si="12"/>
        <v>20</v>
      </c>
      <c r="AD20" s="17">
        <f t="shared" si="12"/>
        <v>0</v>
      </c>
      <c r="AE20" s="31">
        <f t="shared" si="12"/>
        <v>14</v>
      </c>
      <c r="AF20" s="31">
        <f t="shared" si="12"/>
        <v>34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1</v>
      </c>
      <c r="P21" s="15">
        <f t="shared" si="1"/>
        <v>10</v>
      </c>
      <c r="R21" s="36" t="s">
        <v>20</v>
      </c>
      <c r="S21" s="34">
        <f t="shared" ref="S21:AF21" si="13">SUM(C54:C57)</f>
        <v>6</v>
      </c>
      <c r="T21" s="17">
        <f t="shared" si="13"/>
        <v>1</v>
      </c>
      <c r="U21" s="17">
        <f t="shared" si="13"/>
        <v>2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31</v>
      </c>
      <c r="AD21" s="17">
        <f t="shared" si="13"/>
        <v>0</v>
      </c>
      <c r="AE21" s="31">
        <f t="shared" si="13"/>
        <v>18</v>
      </c>
      <c r="AF21" s="31">
        <f t="shared" si="13"/>
        <v>49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0</v>
      </c>
      <c r="P22" s="15">
        <f t="shared" si="1"/>
        <v>11</v>
      </c>
      <c r="R22" s="38" t="s">
        <v>90</v>
      </c>
      <c r="S22" s="39">
        <f>MAX(S10:S12)</f>
        <v>2</v>
      </c>
      <c r="T22" s="39">
        <f t="shared" ref="T22:AF22" si="14">MAX(T10:T12)</f>
        <v>1</v>
      </c>
      <c r="U22" s="39">
        <f t="shared" si="14"/>
        <v>0</v>
      </c>
      <c r="V22" s="39">
        <f t="shared" si="14"/>
        <v>4</v>
      </c>
      <c r="W22" s="39">
        <f t="shared" si="14"/>
        <v>1</v>
      </c>
      <c r="X22" s="39">
        <f t="shared" si="14"/>
        <v>1</v>
      </c>
      <c r="Y22" s="39">
        <f t="shared" si="14"/>
        <v>2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25</v>
      </c>
      <c r="AD22" s="39">
        <f t="shared" si="14"/>
        <v>0</v>
      </c>
      <c r="AE22" s="40">
        <f t="shared" si="14"/>
        <v>9</v>
      </c>
      <c r="AF22" s="40">
        <f t="shared" si="14"/>
        <v>32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2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4</v>
      </c>
      <c r="P23" s="15">
        <f t="shared" si="1"/>
        <v>16</v>
      </c>
      <c r="R23" s="38" t="s">
        <v>91</v>
      </c>
      <c r="S23" s="39">
        <f>MAX(S13:S18)</f>
        <v>4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6</v>
      </c>
      <c r="W23" s="39">
        <f t="shared" si="15"/>
        <v>1</v>
      </c>
      <c r="X23" s="39">
        <f t="shared" si="15"/>
        <v>1</v>
      </c>
      <c r="Y23" s="39">
        <f t="shared" si="15"/>
        <v>6</v>
      </c>
      <c r="Z23" s="39">
        <f t="shared" si="15"/>
        <v>2</v>
      </c>
      <c r="AA23" s="39">
        <f t="shared" si="15"/>
        <v>2</v>
      </c>
      <c r="AB23" s="39">
        <f t="shared" si="15"/>
        <v>1</v>
      </c>
      <c r="AC23" s="39">
        <f t="shared" si="15"/>
        <v>67</v>
      </c>
      <c r="AD23" s="39">
        <f t="shared" si="15"/>
        <v>0</v>
      </c>
      <c r="AE23" s="40">
        <f t="shared" si="15"/>
        <v>20</v>
      </c>
      <c r="AF23" s="40">
        <f t="shared" si="15"/>
        <v>83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2</v>
      </c>
      <c r="P24" s="15">
        <f t="shared" si="1"/>
        <v>5</v>
      </c>
      <c r="R24" s="38" t="s">
        <v>92</v>
      </c>
      <c r="S24" s="39">
        <f>MAX(S19:S21)</f>
        <v>6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12</v>
      </c>
      <c r="W24" s="39">
        <f t="shared" si="16"/>
        <v>1</v>
      </c>
      <c r="X24" s="39">
        <f t="shared" si="16"/>
        <v>2</v>
      </c>
      <c r="Y24" s="39">
        <f t="shared" si="16"/>
        <v>4</v>
      </c>
      <c r="Z24" s="39">
        <f t="shared" si="16"/>
        <v>3</v>
      </c>
      <c r="AA24" s="39">
        <f t="shared" si="16"/>
        <v>2</v>
      </c>
      <c r="AB24" s="39">
        <f t="shared" si="16"/>
        <v>4</v>
      </c>
      <c r="AC24" s="39">
        <f t="shared" si="16"/>
        <v>63</v>
      </c>
      <c r="AD24" s="39">
        <f t="shared" si="16"/>
        <v>0</v>
      </c>
      <c r="AE24" s="40">
        <f t="shared" si="16"/>
        <v>32</v>
      </c>
      <c r="AF24" s="40">
        <f t="shared" si="16"/>
        <v>95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1</v>
      </c>
      <c r="P25" s="15">
        <f t="shared" si="1"/>
        <v>4</v>
      </c>
      <c r="R25" s="37" t="s">
        <v>85</v>
      </c>
      <c r="S25" s="35">
        <f t="shared" ref="S25:AF25" si="17">SUM(S10:S12)</f>
        <v>4</v>
      </c>
      <c r="T25" s="16">
        <f t="shared" si="17"/>
        <v>1</v>
      </c>
      <c r="U25" s="16">
        <f t="shared" si="17"/>
        <v>0</v>
      </c>
      <c r="V25" s="16">
        <f t="shared" si="17"/>
        <v>11</v>
      </c>
      <c r="W25" s="16">
        <f t="shared" si="17"/>
        <v>1</v>
      </c>
      <c r="X25" s="16">
        <f t="shared" si="17"/>
        <v>1</v>
      </c>
      <c r="Y25" s="16">
        <f t="shared" si="17"/>
        <v>3</v>
      </c>
      <c r="Z25" s="16">
        <f t="shared" si="17"/>
        <v>2</v>
      </c>
      <c r="AA25" s="16">
        <f t="shared" si="17"/>
        <v>1</v>
      </c>
      <c r="AB25" s="16">
        <f t="shared" si="17"/>
        <v>0</v>
      </c>
      <c r="AC25" s="16">
        <f t="shared" si="17"/>
        <v>51</v>
      </c>
      <c r="AD25" s="16">
        <f t="shared" si="17"/>
        <v>0</v>
      </c>
      <c r="AE25" s="32">
        <f t="shared" si="17"/>
        <v>24</v>
      </c>
      <c r="AF25" s="32">
        <f t="shared" si="17"/>
        <v>75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2</v>
      </c>
      <c r="P26" s="15">
        <f t="shared" si="1"/>
        <v>11</v>
      </c>
      <c r="R26" s="28" t="s">
        <v>86</v>
      </c>
      <c r="S26" s="16">
        <f t="shared" ref="S26:AF26" si="18">SUM(S13:S18)</f>
        <v>13</v>
      </c>
      <c r="T26" s="16">
        <f t="shared" si="18"/>
        <v>3</v>
      </c>
      <c r="U26" s="16">
        <f t="shared" si="18"/>
        <v>9</v>
      </c>
      <c r="V26" s="16">
        <f t="shared" si="18"/>
        <v>20</v>
      </c>
      <c r="W26" s="16">
        <f t="shared" si="18"/>
        <v>2</v>
      </c>
      <c r="X26" s="16">
        <f t="shared" si="18"/>
        <v>1</v>
      </c>
      <c r="Y26" s="16">
        <f t="shared" si="18"/>
        <v>15</v>
      </c>
      <c r="Z26" s="16">
        <f t="shared" si="18"/>
        <v>3</v>
      </c>
      <c r="AA26" s="16">
        <f t="shared" si="18"/>
        <v>3</v>
      </c>
      <c r="AB26" s="16">
        <f t="shared" si="18"/>
        <v>2</v>
      </c>
      <c r="AC26" s="16">
        <f t="shared" si="18"/>
        <v>283</v>
      </c>
      <c r="AD26" s="16">
        <f t="shared" si="18"/>
        <v>0</v>
      </c>
      <c r="AE26" s="32">
        <f t="shared" si="18"/>
        <v>71</v>
      </c>
      <c r="AF26" s="32">
        <f t="shared" si="18"/>
        <v>354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15</v>
      </c>
      <c r="N27" s="50">
        <v>0</v>
      </c>
      <c r="O27" s="15">
        <f t="shared" si="0"/>
        <v>0</v>
      </c>
      <c r="P27" s="15">
        <f t="shared" si="1"/>
        <v>15</v>
      </c>
      <c r="R27" s="29" t="s">
        <v>87</v>
      </c>
      <c r="S27" s="16">
        <f t="shared" ref="S27:AF27" si="19">SUM(S19:S21)</f>
        <v>14</v>
      </c>
      <c r="T27" s="16">
        <f t="shared" si="19"/>
        <v>3</v>
      </c>
      <c r="U27" s="16">
        <f t="shared" si="19"/>
        <v>4</v>
      </c>
      <c r="V27" s="16">
        <f t="shared" si="19"/>
        <v>21</v>
      </c>
      <c r="W27" s="16">
        <f t="shared" si="19"/>
        <v>1</v>
      </c>
      <c r="X27" s="16">
        <f t="shared" si="19"/>
        <v>3</v>
      </c>
      <c r="Y27" s="16">
        <f t="shared" si="19"/>
        <v>8</v>
      </c>
      <c r="Z27" s="16">
        <f t="shared" si="19"/>
        <v>3</v>
      </c>
      <c r="AA27" s="16">
        <f t="shared" si="19"/>
        <v>2</v>
      </c>
      <c r="AB27" s="16">
        <f t="shared" si="19"/>
        <v>5</v>
      </c>
      <c r="AC27" s="16">
        <f t="shared" si="19"/>
        <v>114</v>
      </c>
      <c r="AD27" s="16">
        <f t="shared" si="19"/>
        <v>0</v>
      </c>
      <c r="AE27" s="32">
        <f t="shared" si="19"/>
        <v>64</v>
      </c>
      <c r="AF27" s="32">
        <f t="shared" si="19"/>
        <v>178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3</v>
      </c>
      <c r="P28" s="15">
        <f t="shared" si="1"/>
        <v>13</v>
      </c>
      <c r="R28" s="5" t="s">
        <v>17</v>
      </c>
      <c r="S28" s="16">
        <f t="shared" ref="S28:AF28" si="20">SUM(S10:S21)</f>
        <v>31</v>
      </c>
      <c r="T28" s="16">
        <f t="shared" si="20"/>
        <v>7</v>
      </c>
      <c r="U28" s="16">
        <f t="shared" si="20"/>
        <v>13</v>
      </c>
      <c r="V28" s="16">
        <f t="shared" si="20"/>
        <v>52</v>
      </c>
      <c r="W28" s="16">
        <f t="shared" si="20"/>
        <v>4</v>
      </c>
      <c r="X28" s="16">
        <f t="shared" si="20"/>
        <v>5</v>
      </c>
      <c r="Y28" s="16">
        <f t="shared" si="20"/>
        <v>26</v>
      </c>
      <c r="Z28" s="16">
        <f t="shared" si="20"/>
        <v>8</v>
      </c>
      <c r="AA28" s="16">
        <f t="shared" si="20"/>
        <v>6</v>
      </c>
      <c r="AB28" s="16">
        <f t="shared" si="20"/>
        <v>7</v>
      </c>
      <c r="AC28" s="16">
        <f t="shared" si="20"/>
        <v>448</v>
      </c>
      <c r="AD28" s="16">
        <f t="shared" si="20"/>
        <v>0</v>
      </c>
      <c r="AE28" s="32">
        <f t="shared" si="20"/>
        <v>159</v>
      </c>
      <c r="AF28" s="32">
        <f t="shared" si="20"/>
        <v>607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19</v>
      </c>
      <c r="N29" s="50">
        <v>0</v>
      </c>
      <c r="O29" s="15">
        <f t="shared" si="0"/>
        <v>0</v>
      </c>
      <c r="P29" s="15">
        <f t="shared" si="1"/>
        <v>19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1</v>
      </c>
      <c r="L30" s="50">
        <v>0</v>
      </c>
      <c r="M30" s="50">
        <v>14</v>
      </c>
      <c r="N30" s="50">
        <v>0</v>
      </c>
      <c r="O30" s="15">
        <f t="shared" si="0"/>
        <v>4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13</v>
      </c>
      <c r="N31" s="50">
        <v>0</v>
      </c>
      <c r="O31" s="15">
        <f t="shared" si="0"/>
        <v>0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0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13</v>
      </c>
      <c r="N32" s="50">
        <v>0</v>
      </c>
      <c r="O32" s="15">
        <f t="shared" si="0"/>
        <v>5</v>
      </c>
      <c r="P32" s="15">
        <f t="shared" si="1"/>
        <v>18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1</v>
      </c>
      <c r="G33" s="50">
        <v>0</v>
      </c>
      <c r="H33" s="50">
        <v>1</v>
      </c>
      <c r="I33" s="50">
        <v>0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3</v>
      </c>
      <c r="P33" s="15">
        <f t="shared" si="1"/>
        <v>15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2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2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1</v>
      </c>
      <c r="G36" s="50">
        <v>1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4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3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1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4</v>
      </c>
      <c r="P38" s="15">
        <f t="shared" si="1"/>
        <v>19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1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2</v>
      </c>
      <c r="L39" s="50">
        <v>0</v>
      </c>
      <c r="M39" s="50">
        <v>7</v>
      </c>
      <c r="N39" s="50">
        <v>0</v>
      </c>
      <c r="O39" s="15">
        <f t="shared" si="0"/>
        <v>6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0</v>
      </c>
      <c r="F40" s="50">
        <v>3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1</v>
      </c>
      <c r="M40" s="50">
        <v>11</v>
      </c>
      <c r="N40" s="50">
        <v>0</v>
      </c>
      <c r="O40" s="15">
        <f t="shared" si="0"/>
        <v>8</v>
      </c>
      <c r="P40" s="15">
        <f t="shared" si="1"/>
        <v>19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2</v>
      </c>
      <c r="P41" s="15">
        <f t="shared" si="1"/>
        <v>13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5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2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4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0</v>
      </c>
      <c r="G44" s="50">
        <v>1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4</v>
      </c>
      <c r="P44" s="15">
        <f t="shared" si="1"/>
        <v>21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1</v>
      </c>
      <c r="M45" s="50">
        <v>25</v>
      </c>
      <c r="N45" s="50">
        <v>0</v>
      </c>
      <c r="O45" s="15">
        <f t="shared" si="0"/>
        <v>3</v>
      </c>
      <c r="P45" s="15">
        <f t="shared" si="1"/>
        <v>28</v>
      </c>
    </row>
    <row r="46" spans="2:20" ht="23.1" customHeight="1" x14ac:dyDescent="0.25">
      <c r="B46" s="24" t="s">
        <v>73</v>
      </c>
      <c r="C46" s="50">
        <v>3</v>
      </c>
      <c r="D46" s="50">
        <v>1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2</v>
      </c>
      <c r="M46" s="50">
        <v>14</v>
      </c>
      <c r="N46" s="50">
        <v>0</v>
      </c>
      <c r="O46" s="15">
        <f t="shared" si="0"/>
        <v>8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1</v>
      </c>
      <c r="E47" s="50">
        <v>1</v>
      </c>
      <c r="F47" s="50">
        <v>4</v>
      </c>
      <c r="G47" s="50">
        <v>0</v>
      </c>
      <c r="H47" s="50">
        <v>2</v>
      </c>
      <c r="I47" s="50">
        <v>2</v>
      </c>
      <c r="J47" s="50">
        <v>1</v>
      </c>
      <c r="K47" s="50">
        <v>0</v>
      </c>
      <c r="L47" s="50">
        <v>0</v>
      </c>
      <c r="M47" s="50">
        <v>18</v>
      </c>
      <c r="N47" s="50">
        <v>0</v>
      </c>
      <c r="O47" s="15">
        <f t="shared" si="0"/>
        <v>12</v>
      </c>
      <c r="P47" s="15">
        <f t="shared" si="1"/>
        <v>30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2</v>
      </c>
      <c r="M48" s="50">
        <v>18</v>
      </c>
      <c r="N48" s="50">
        <v>0</v>
      </c>
      <c r="O48" s="15">
        <f t="shared" si="0"/>
        <v>4</v>
      </c>
      <c r="P48" s="15">
        <f t="shared" si="1"/>
        <v>22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4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13</v>
      </c>
      <c r="N49" s="50">
        <v>0</v>
      </c>
      <c r="O49" s="15">
        <f t="shared" si="0"/>
        <v>8</v>
      </c>
      <c r="P49" s="15">
        <f t="shared" si="1"/>
        <v>21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9</v>
      </c>
      <c r="N50" s="50">
        <v>0</v>
      </c>
      <c r="O50" s="15">
        <f t="shared" si="0"/>
        <v>1</v>
      </c>
      <c r="P50" s="15">
        <f t="shared" si="1"/>
        <v>10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1</v>
      </c>
      <c r="I51" s="50">
        <v>1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3</v>
      </c>
      <c r="P51" s="15">
        <f t="shared" si="1"/>
        <v>7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1</v>
      </c>
      <c r="N52" s="50">
        <v>0</v>
      </c>
      <c r="O52" s="15">
        <f t="shared" si="0"/>
        <v>2</v>
      </c>
      <c r="P52" s="15">
        <f t="shared" si="1"/>
        <v>3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0</v>
      </c>
      <c r="F53" s="50">
        <v>3</v>
      </c>
      <c r="G53" s="50">
        <v>1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6</v>
      </c>
      <c r="N53" s="50">
        <v>0</v>
      </c>
      <c r="O53" s="15">
        <f t="shared" si="0"/>
        <v>8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1</v>
      </c>
      <c r="F54" s="50">
        <v>3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8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3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10</v>
      </c>
      <c r="N56" s="50">
        <v>0</v>
      </c>
      <c r="O56" s="15">
        <f t="shared" si="0"/>
        <v>2</v>
      </c>
      <c r="P56" s="15">
        <f t="shared" si="1"/>
        <v>12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5</v>
      </c>
      <c r="P57" s="15">
        <f t="shared" si="1"/>
        <v>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</v>
      </c>
      <c r="D58" s="16">
        <f t="shared" si="21"/>
        <v>7</v>
      </c>
      <c r="E58" s="16">
        <f t="shared" si="21"/>
        <v>13</v>
      </c>
      <c r="F58" s="16">
        <f t="shared" si="21"/>
        <v>52</v>
      </c>
      <c r="G58" s="16">
        <f t="shared" si="21"/>
        <v>4</v>
      </c>
      <c r="H58" s="16">
        <f t="shared" si="21"/>
        <v>5</v>
      </c>
      <c r="I58" s="16">
        <f t="shared" si="21"/>
        <v>26</v>
      </c>
      <c r="J58" s="16">
        <f t="shared" si="21"/>
        <v>8</v>
      </c>
      <c r="K58" s="16">
        <f t="shared" si="21"/>
        <v>6</v>
      </c>
      <c r="L58" s="16">
        <f t="shared" si="21"/>
        <v>7</v>
      </c>
      <c r="M58" s="16">
        <f t="shared" si="21"/>
        <v>448</v>
      </c>
      <c r="N58" s="16">
        <f t="shared" si="21"/>
        <v>0</v>
      </c>
      <c r="O58" s="16">
        <f t="shared" si="21"/>
        <v>159</v>
      </c>
      <c r="P58" s="16">
        <f t="shared" si="21"/>
        <v>607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5.1070840197693576E-2</v>
      </c>
      <c r="D59" s="43">
        <f t="shared" si="22"/>
        <v>1.1532125205930808E-2</v>
      </c>
      <c r="E59" s="43">
        <f t="shared" si="22"/>
        <v>2.1416803953871501E-2</v>
      </c>
      <c r="F59" s="43">
        <f t="shared" si="22"/>
        <v>8.5667215815486003E-2</v>
      </c>
      <c r="G59" s="43">
        <f t="shared" si="22"/>
        <v>6.5897858319604614E-3</v>
      </c>
      <c r="H59" s="43">
        <f t="shared" si="22"/>
        <v>8.2372322899505763E-3</v>
      </c>
      <c r="I59" s="43">
        <f t="shared" si="22"/>
        <v>4.2833607907743002E-2</v>
      </c>
      <c r="J59" s="43">
        <f t="shared" si="22"/>
        <v>1.3179571663920923E-2</v>
      </c>
      <c r="K59" s="43">
        <f t="shared" si="22"/>
        <v>9.8846787479406912E-3</v>
      </c>
      <c r="L59" s="43">
        <f t="shared" si="22"/>
        <v>1.1532125205930808E-2</v>
      </c>
      <c r="M59" s="43">
        <f t="shared" si="22"/>
        <v>0.7380560131795717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0.19496855345911951</v>
      </c>
      <c r="D60" s="44">
        <f t="shared" ref="D60:N60" si="23">D58/$O$58</f>
        <v>4.40251572327044E-2</v>
      </c>
      <c r="E60" s="44">
        <f t="shared" si="23"/>
        <v>8.1761006289308172E-2</v>
      </c>
      <c r="F60" s="44">
        <f t="shared" si="23"/>
        <v>0.32704402515723269</v>
      </c>
      <c r="G60" s="44">
        <f t="shared" si="23"/>
        <v>2.5157232704402517E-2</v>
      </c>
      <c r="H60" s="44">
        <f t="shared" si="23"/>
        <v>3.1446540880503145E-2</v>
      </c>
      <c r="I60" s="44">
        <f t="shared" si="23"/>
        <v>0.16352201257861634</v>
      </c>
      <c r="J60" s="44">
        <f t="shared" si="23"/>
        <v>5.0314465408805034E-2</v>
      </c>
      <c r="K60" s="44">
        <f t="shared" si="23"/>
        <v>3.7735849056603772E-2</v>
      </c>
      <c r="L60" s="44">
        <f t="shared" si="23"/>
        <v>4.40251572327044E-2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171</v>
      </c>
      <c r="E5" s="3"/>
      <c r="F5" s="41" t="s">
        <v>1</v>
      </c>
      <c r="G5" s="59" t="str">
        <f>'17.10 KAYUNGA-GALIRAYA'!G5:H5</f>
        <v>KYANYA</v>
      </c>
      <c r="H5" s="60"/>
      <c r="I5" s="14"/>
      <c r="J5" s="2" t="s">
        <v>5</v>
      </c>
      <c r="K5" s="59" t="s">
        <v>172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KAYUNGA-GALIRAYA'!D6:E6</f>
        <v>KAYUNGA</v>
      </c>
      <c r="E6" s="60"/>
      <c r="F6" s="2" t="s">
        <v>2</v>
      </c>
      <c r="G6" s="59" t="str">
        <f>'17.10 KAYUNGA-GALIRAYA'!G6:H6</f>
        <v>GALIRAYA</v>
      </c>
      <c r="H6" s="60"/>
      <c r="J6" s="2" t="s">
        <v>21</v>
      </c>
      <c r="K6" s="59" t="str">
        <f>'17.10 KAYUNGA-GALIRAYA'!K6:L6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1</v>
      </c>
      <c r="J10" s="50">
        <v>2</v>
      </c>
      <c r="K10" s="50">
        <v>3</v>
      </c>
      <c r="L10" s="50">
        <v>0</v>
      </c>
      <c r="M10" s="50">
        <v>0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3</v>
      </c>
      <c r="AA10" s="17">
        <f t="shared" si="2"/>
        <v>4</v>
      </c>
      <c r="AB10" s="17">
        <f t="shared" si="2"/>
        <v>0</v>
      </c>
      <c r="AC10" s="17">
        <f t="shared" si="2"/>
        <v>5</v>
      </c>
      <c r="AD10" s="17">
        <f t="shared" si="2"/>
        <v>0</v>
      </c>
      <c r="AE10" s="31">
        <f t="shared" si="2"/>
        <v>14</v>
      </c>
      <c r="AF10" s="31">
        <f t="shared" si="2"/>
        <v>19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1</v>
      </c>
      <c r="K11" s="50">
        <v>1</v>
      </c>
      <c r="L11" s="50">
        <v>0</v>
      </c>
      <c r="M11" s="50">
        <v>1</v>
      </c>
      <c r="N11" s="50">
        <v>0</v>
      </c>
      <c r="O11" s="15">
        <f t="shared" si="0"/>
        <v>3</v>
      </c>
      <c r="P11" s="15">
        <f t="shared" si="1"/>
        <v>4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2</v>
      </c>
      <c r="Y11" s="17">
        <f t="shared" si="3"/>
        <v>4</v>
      </c>
      <c r="Z11" s="17">
        <f t="shared" si="3"/>
        <v>2</v>
      </c>
      <c r="AA11" s="17">
        <f t="shared" si="3"/>
        <v>1</v>
      </c>
      <c r="AB11" s="17">
        <f t="shared" si="3"/>
        <v>2</v>
      </c>
      <c r="AC11" s="17">
        <f t="shared" si="3"/>
        <v>26</v>
      </c>
      <c r="AD11" s="17">
        <f t="shared" si="3"/>
        <v>0</v>
      </c>
      <c r="AE11" s="31">
        <f t="shared" si="3"/>
        <v>15</v>
      </c>
      <c r="AF11" s="31">
        <f t="shared" si="3"/>
        <v>41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2</v>
      </c>
      <c r="P12" s="15">
        <f t="shared" si="1"/>
        <v>3</v>
      </c>
      <c r="R12" s="1" t="s">
        <v>8</v>
      </c>
      <c r="S12" s="17">
        <f t="shared" ref="S12:AF12" si="4">SUM(C18:C21)</f>
        <v>3</v>
      </c>
      <c r="T12" s="17">
        <f t="shared" si="4"/>
        <v>2</v>
      </c>
      <c r="U12" s="17">
        <f t="shared" si="4"/>
        <v>1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2</v>
      </c>
      <c r="AB12" s="17">
        <f t="shared" si="4"/>
        <v>0</v>
      </c>
      <c r="AC12" s="17">
        <f t="shared" si="4"/>
        <v>39</v>
      </c>
      <c r="AD12" s="17">
        <f t="shared" si="4"/>
        <v>0</v>
      </c>
      <c r="AE12" s="31">
        <f t="shared" si="4"/>
        <v>19</v>
      </c>
      <c r="AF12" s="31">
        <f t="shared" si="4"/>
        <v>58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2</v>
      </c>
      <c r="P13" s="15">
        <f t="shared" si="1"/>
        <v>5</v>
      </c>
      <c r="R13" s="1" t="s">
        <v>9</v>
      </c>
      <c r="S13" s="17">
        <f t="shared" ref="S13:AF13" si="5">SUM(C22:C25)</f>
        <v>5</v>
      </c>
      <c r="T13" s="17">
        <f t="shared" si="5"/>
        <v>1</v>
      </c>
      <c r="U13" s="17">
        <f t="shared" si="5"/>
        <v>2</v>
      </c>
      <c r="V13" s="17">
        <f t="shared" si="5"/>
        <v>5</v>
      </c>
      <c r="W13" s="17">
        <f t="shared" si="5"/>
        <v>1</v>
      </c>
      <c r="X13" s="17">
        <f t="shared" si="5"/>
        <v>0</v>
      </c>
      <c r="Y13" s="17">
        <f t="shared" si="5"/>
        <v>9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43</v>
      </c>
      <c r="AD13" s="17">
        <f t="shared" si="5"/>
        <v>0</v>
      </c>
      <c r="AE13" s="31">
        <f t="shared" si="5"/>
        <v>23</v>
      </c>
      <c r="AF13" s="31">
        <f t="shared" si="5"/>
        <v>66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3</v>
      </c>
      <c r="P14" s="15">
        <f t="shared" si="1"/>
        <v>9</v>
      </c>
      <c r="R14" s="1" t="s">
        <v>10</v>
      </c>
      <c r="S14" s="17">
        <f t="shared" ref="S14:AF14" si="6">SUM(C26:C29)</f>
        <v>4</v>
      </c>
      <c r="T14" s="17">
        <f t="shared" si="6"/>
        <v>0</v>
      </c>
      <c r="U14" s="17">
        <f t="shared" si="6"/>
        <v>4</v>
      </c>
      <c r="V14" s="17">
        <f t="shared" si="6"/>
        <v>6</v>
      </c>
      <c r="W14" s="17">
        <f t="shared" si="6"/>
        <v>1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53</v>
      </c>
      <c r="AD14" s="17">
        <f t="shared" si="6"/>
        <v>0</v>
      </c>
      <c r="AE14" s="31">
        <f t="shared" si="6"/>
        <v>22</v>
      </c>
      <c r="AF14" s="31">
        <f t="shared" si="6"/>
        <v>75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1</v>
      </c>
      <c r="M15" s="50">
        <v>7</v>
      </c>
      <c r="N15" s="50">
        <v>0</v>
      </c>
      <c r="O15" s="15">
        <f t="shared" si="0"/>
        <v>3</v>
      </c>
      <c r="P15" s="15">
        <f t="shared" si="1"/>
        <v>10</v>
      </c>
      <c r="R15" s="1" t="s">
        <v>11</v>
      </c>
      <c r="S15" s="17">
        <f t="shared" ref="S15:AF15" si="7">SUM(C30:C33)</f>
        <v>6</v>
      </c>
      <c r="T15" s="17">
        <f t="shared" si="7"/>
        <v>5</v>
      </c>
      <c r="U15" s="17">
        <f t="shared" si="7"/>
        <v>5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3</v>
      </c>
      <c r="AA15" s="17">
        <f t="shared" si="7"/>
        <v>1</v>
      </c>
      <c r="AB15" s="17">
        <f t="shared" si="7"/>
        <v>2</v>
      </c>
      <c r="AC15" s="17">
        <f t="shared" si="7"/>
        <v>58</v>
      </c>
      <c r="AD15" s="17">
        <f t="shared" si="7"/>
        <v>0</v>
      </c>
      <c r="AE15" s="31">
        <f t="shared" si="7"/>
        <v>32</v>
      </c>
      <c r="AF15" s="31">
        <f t="shared" si="7"/>
        <v>90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1</v>
      </c>
      <c r="I16" s="50">
        <v>1</v>
      </c>
      <c r="J16" s="50">
        <v>0</v>
      </c>
      <c r="K16" s="50">
        <v>1</v>
      </c>
      <c r="L16" s="50">
        <v>1</v>
      </c>
      <c r="M16" s="50">
        <v>5</v>
      </c>
      <c r="N16" s="50">
        <v>0</v>
      </c>
      <c r="O16" s="15">
        <f t="shared" si="0"/>
        <v>5</v>
      </c>
      <c r="P16" s="15">
        <f t="shared" si="1"/>
        <v>10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2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1</v>
      </c>
      <c r="AA16" s="17">
        <f t="shared" si="8"/>
        <v>0</v>
      </c>
      <c r="AB16" s="17">
        <f t="shared" si="8"/>
        <v>1</v>
      </c>
      <c r="AC16" s="17">
        <f t="shared" si="8"/>
        <v>53</v>
      </c>
      <c r="AD16" s="17">
        <f t="shared" si="8"/>
        <v>0</v>
      </c>
      <c r="AE16" s="31">
        <f t="shared" si="8"/>
        <v>23</v>
      </c>
      <c r="AF16" s="31">
        <f t="shared" si="8"/>
        <v>76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1</v>
      </c>
      <c r="I17" s="50">
        <v>1</v>
      </c>
      <c r="J17" s="50">
        <v>1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4</v>
      </c>
      <c r="P17" s="15">
        <f t="shared" si="1"/>
        <v>12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1</v>
      </c>
      <c r="Y17" s="17">
        <f t="shared" si="9"/>
        <v>3</v>
      </c>
      <c r="Z17" s="17">
        <f t="shared" si="9"/>
        <v>2</v>
      </c>
      <c r="AA17" s="17">
        <f t="shared" si="9"/>
        <v>0</v>
      </c>
      <c r="AB17" s="17">
        <f t="shared" si="9"/>
        <v>1</v>
      </c>
      <c r="AC17" s="17">
        <f t="shared" si="9"/>
        <v>53</v>
      </c>
      <c r="AD17" s="17">
        <f t="shared" si="9"/>
        <v>0</v>
      </c>
      <c r="AE17" s="31">
        <f t="shared" si="9"/>
        <v>14</v>
      </c>
      <c r="AF17" s="31">
        <f t="shared" si="9"/>
        <v>67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4</v>
      </c>
      <c r="P18" s="15">
        <f t="shared" si="1"/>
        <v>19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2</v>
      </c>
      <c r="V18" s="17">
        <f t="shared" si="10"/>
        <v>5</v>
      </c>
      <c r="W18" s="17">
        <f t="shared" si="10"/>
        <v>0</v>
      </c>
      <c r="X18" s="17">
        <f t="shared" si="10"/>
        <v>1</v>
      </c>
      <c r="Y18" s="17">
        <f t="shared" si="10"/>
        <v>2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31</v>
      </c>
      <c r="AD18" s="17">
        <f t="shared" si="10"/>
        <v>0</v>
      </c>
      <c r="AE18" s="31">
        <f t="shared" si="10"/>
        <v>16</v>
      </c>
      <c r="AF18" s="31">
        <f t="shared" si="10"/>
        <v>47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0</v>
      </c>
      <c r="M19" s="50">
        <v>1</v>
      </c>
      <c r="N19" s="50">
        <v>0</v>
      </c>
      <c r="O19" s="15">
        <f t="shared" si="0"/>
        <v>4</v>
      </c>
      <c r="P19" s="15">
        <f t="shared" si="1"/>
        <v>5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1</v>
      </c>
      <c r="V19" s="17">
        <f t="shared" si="11"/>
        <v>4</v>
      </c>
      <c r="W19" s="17">
        <f t="shared" si="11"/>
        <v>2</v>
      </c>
      <c r="X19" s="17">
        <f t="shared" si="11"/>
        <v>1</v>
      </c>
      <c r="Y19" s="17">
        <f t="shared" si="11"/>
        <v>3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44</v>
      </c>
      <c r="AD19" s="17">
        <f t="shared" si="11"/>
        <v>0</v>
      </c>
      <c r="AE19" s="31">
        <f t="shared" si="11"/>
        <v>17</v>
      </c>
      <c r="AF19" s="31">
        <f t="shared" si="11"/>
        <v>61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2</v>
      </c>
      <c r="J20" s="50">
        <v>0</v>
      </c>
      <c r="K20" s="50">
        <v>1</v>
      </c>
      <c r="L20" s="50">
        <v>0</v>
      </c>
      <c r="M20" s="50">
        <v>10</v>
      </c>
      <c r="N20" s="50">
        <v>0</v>
      </c>
      <c r="O20" s="15">
        <f t="shared" si="0"/>
        <v>5</v>
      </c>
      <c r="P20" s="15">
        <f t="shared" si="1"/>
        <v>15</v>
      </c>
      <c r="R20" s="1" t="s">
        <v>16</v>
      </c>
      <c r="S20" s="17">
        <f t="shared" ref="S20:AF20" si="12">SUM(C50:C53)</f>
        <v>5</v>
      </c>
      <c r="T20" s="17">
        <f t="shared" si="12"/>
        <v>0</v>
      </c>
      <c r="U20" s="17">
        <f t="shared" si="12"/>
        <v>0</v>
      </c>
      <c r="V20" s="17">
        <f t="shared" si="12"/>
        <v>9</v>
      </c>
      <c r="W20" s="17">
        <f t="shared" si="12"/>
        <v>1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39</v>
      </c>
      <c r="AD20" s="17">
        <f t="shared" si="12"/>
        <v>0</v>
      </c>
      <c r="AE20" s="31">
        <f t="shared" si="12"/>
        <v>17</v>
      </c>
      <c r="AF20" s="31">
        <f t="shared" si="12"/>
        <v>56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4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6</v>
      </c>
      <c r="P21" s="15">
        <f t="shared" si="1"/>
        <v>19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0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43</v>
      </c>
      <c r="AD21" s="17">
        <f t="shared" si="13"/>
        <v>0</v>
      </c>
      <c r="AE21" s="31">
        <f t="shared" si="13"/>
        <v>15</v>
      </c>
      <c r="AF21" s="31">
        <f t="shared" si="13"/>
        <v>58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2</v>
      </c>
      <c r="P22" s="15">
        <f t="shared" si="1"/>
        <v>6</v>
      </c>
      <c r="R22" s="38" t="s">
        <v>90</v>
      </c>
      <c r="S22" s="39">
        <f>MAX(S10:S12)</f>
        <v>3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6</v>
      </c>
      <c r="W22" s="39">
        <f t="shared" si="14"/>
        <v>0</v>
      </c>
      <c r="X22" s="39">
        <f t="shared" si="14"/>
        <v>2</v>
      </c>
      <c r="Y22" s="39">
        <f t="shared" si="14"/>
        <v>5</v>
      </c>
      <c r="Z22" s="39">
        <f t="shared" si="14"/>
        <v>3</v>
      </c>
      <c r="AA22" s="39">
        <f t="shared" si="14"/>
        <v>4</v>
      </c>
      <c r="AB22" s="39">
        <f t="shared" si="14"/>
        <v>2</v>
      </c>
      <c r="AC22" s="39">
        <f t="shared" si="14"/>
        <v>39</v>
      </c>
      <c r="AD22" s="39">
        <f t="shared" si="14"/>
        <v>0</v>
      </c>
      <c r="AE22" s="40">
        <f t="shared" si="14"/>
        <v>19</v>
      </c>
      <c r="AF22" s="40">
        <f t="shared" si="14"/>
        <v>58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3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5">
        <f t="shared" si="0"/>
        <v>8</v>
      </c>
      <c r="P23" s="15">
        <f t="shared" si="1"/>
        <v>23</v>
      </c>
      <c r="R23" s="38" t="s">
        <v>91</v>
      </c>
      <c r="S23" s="39">
        <f>MAX(S13:S18)</f>
        <v>6</v>
      </c>
      <c r="T23" s="39">
        <f t="shared" ref="T23:AF23" si="15">MAX(T13:T18)</f>
        <v>5</v>
      </c>
      <c r="U23" s="39">
        <f t="shared" si="15"/>
        <v>5</v>
      </c>
      <c r="V23" s="39">
        <f t="shared" si="15"/>
        <v>7</v>
      </c>
      <c r="W23" s="39">
        <f t="shared" si="15"/>
        <v>1</v>
      </c>
      <c r="X23" s="39">
        <f t="shared" si="15"/>
        <v>1</v>
      </c>
      <c r="Y23" s="39">
        <f t="shared" si="15"/>
        <v>9</v>
      </c>
      <c r="Z23" s="39">
        <f t="shared" si="15"/>
        <v>3</v>
      </c>
      <c r="AA23" s="39">
        <f t="shared" si="15"/>
        <v>1</v>
      </c>
      <c r="AB23" s="39">
        <f t="shared" si="15"/>
        <v>2</v>
      </c>
      <c r="AC23" s="39">
        <f t="shared" si="15"/>
        <v>58</v>
      </c>
      <c r="AD23" s="39">
        <f t="shared" si="15"/>
        <v>0</v>
      </c>
      <c r="AE23" s="40">
        <f t="shared" si="15"/>
        <v>32</v>
      </c>
      <c r="AF23" s="40">
        <f t="shared" si="15"/>
        <v>90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4</v>
      </c>
      <c r="P24" s="15">
        <f t="shared" si="1"/>
        <v>17</v>
      </c>
      <c r="R24" s="38" t="s">
        <v>92</v>
      </c>
      <c r="S24" s="39">
        <f>MAX(S19:S21)</f>
        <v>5</v>
      </c>
      <c r="T24" s="39">
        <f t="shared" ref="T24:AF24" si="16">MAX(T19:T21)</f>
        <v>0</v>
      </c>
      <c r="U24" s="39">
        <f t="shared" si="16"/>
        <v>1</v>
      </c>
      <c r="V24" s="39">
        <f t="shared" si="16"/>
        <v>9</v>
      </c>
      <c r="W24" s="39">
        <f t="shared" si="16"/>
        <v>2</v>
      </c>
      <c r="X24" s="39">
        <f t="shared" si="16"/>
        <v>1</v>
      </c>
      <c r="Y24" s="39">
        <f t="shared" si="16"/>
        <v>5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44</v>
      </c>
      <c r="AD24" s="39">
        <f t="shared" si="16"/>
        <v>0</v>
      </c>
      <c r="AE24" s="40">
        <f t="shared" si="16"/>
        <v>17</v>
      </c>
      <c r="AF24" s="40">
        <f t="shared" si="16"/>
        <v>61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0</v>
      </c>
      <c r="F25" s="50">
        <v>0</v>
      </c>
      <c r="G25" s="50">
        <v>1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9</v>
      </c>
      <c r="P25" s="15">
        <f t="shared" si="1"/>
        <v>20</v>
      </c>
      <c r="R25" s="37" t="s">
        <v>85</v>
      </c>
      <c r="S25" s="35">
        <f t="shared" ref="S25:AF25" si="17">SUM(S10:S12)</f>
        <v>4</v>
      </c>
      <c r="T25" s="16">
        <f t="shared" si="17"/>
        <v>3</v>
      </c>
      <c r="U25" s="16">
        <f t="shared" si="17"/>
        <v>1</v>
      </c>
      <c r="V25" s="16">
        <f t="shared" si="17"/>
        <v>13</v>
      </c>
      <c r="W25" s="16">
        <f t="shared" si="17"/>
        <v>0</v>
      </c>
      <c r="X25" s="16">
        <f t="shared" si="17"/>
        <v>2</v>
      </c>
      <c r="Y25" s="16">
        <f t="shared" si="17"/>
        <v>11</v>
      </c>
      <c r="Z25" s="16">
        <f t="shared" si="17"/>
        <v>5</v>
      </c>
      <c r="AA25" s="16">
        <f t="shared" si="17"/>
        <v>7</v>
      </c>
      <c r="AB25" s="16">
        <f t="shared" si="17"/>
        <v>2</v>
      </c>
      <c r="AC25" s="16">
        <f t="shared" si="17"/>
        <v>70</v>
      </c>
      <c r="AD25" s="16">
        <f t="shared" si="17"/>
        <v>0</v>
      </c>
      <c r="AE25" s="32">
        <f t="shared" si="17"/>
        <v>48</v>
      </c>
      <c r="AF25" s="32">
        <f t="shared" si="17"/>
        <v>118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10</v>
      </c>
      <c r="N26" s="50">
        <v>0</v>
      </c>
      <c r="O26" s="15">
        <f t="shared" si="0"/>
        <v>4</v>
      </c>
      <c r="P26" s="15">
        <f t="shared" si="1"/>
        <v>14</v>
      </c>
      <c r="R26" s="28" t="s">
        <v>86</v>
      </c>
      <c r="S26" s="16">
        <f t="shared" ref="S26:AF26" si="18">SUM(S13:S18)</f>
        <v>28</v>
      </c>
      <c r="T26" s="16">
        <f t="shared" si="18"/>
        <v>6</v>
      </c>
      <c r="U26" s="16">
        <f t="shared" si="18"/>
        <v>16</v>
      </c>
      <c r="V26" s="16">
        <f t="shared" si="18"/>
        <v>32</v>
      </c>
      <c r="W26" s="16">
        <f t="shared" si="18"/>
        <v>2</v>
      </c>
      <c r="X26" s="16">
        <f t="shared" si="18"/>
        <v>2</v>
      </c>
      <c r="Y26" s="16">
        <f t="shared" si="18"/>
        <v>29</v>
      </c>
      <c r="Z26" s="16">
        <f t="shared" si="18"/>
        <v>10</v>
      </c>
      <c r="AA26" s="16">
        <f t="shared" si="18"/>
        <v>1</v>
      </c>
      <c r="AB26" s="16">
        <f t="shared" si="18"/>
        <v>4</v>
      </c>
      <c r="AC26" s="16">
        <f t="shared" si="18"/>
        <v>291</v>
      </c>
      <c r="AD26" s="16">
        <f t="shared" si="18"/>
        <v>0</v>
      </c>
      <c r="AE26" s="32">
        <f t="shared" si="18"/>
        <v>130</v>
      </c>
      <c r="AF26" s="32">
        <f t="shared" si="18"/>
        <v>421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3</v>
      </c>
      <c r="P27" s="15">
        <f t="shared" si="1"/>
        <v>14</v>
      </c>
      <c r="R27" s="29" t="s">
        <v>87</v>
      </c>
      <c r="S27" s="16">
        <f t="shared" ref="S27:AF27" si="19">SUM(S19:S21)</f>
        <v>12</v>
      </c>
      <c r="T27" s="16">
        <f t="shared" si="19"/>
        <v>0</v>
      </c>
      <c r="U27" s="16">
        <f t="shared" si="19"/>
        <v>1</v>
      </c>
      <c r="V27" s="16">
        <f t="shared" si="19"/>
        <v>18</v>
      </c>
      <c r="W27" s="16">
        <f t="shared" si="19"/>
        <v>3</v>
      </c>
      <c r="X27" s="16">
        <f t="shared" si="19"/>
        <v>1</v>
      </c>
      <c r="Y27" s="16">
        <f t="shared" si="19"/>
        <v>10</v>
      </c>
      <c r="Z27" s="16">
        <f t="shared" si="19"/>
        <v>3</v>
      </c>
      <c r="AA27" s="16">
        <f t="shared" si="19"/>
        <v>1</v>
      </c>
      <c r="AB27" s="16">
        <f t="shared" si="19"/>
        <v>0</v>
      </c>
      <c r="AC27" s="16">
        <f t="shared" si="19"/>
        <v>126</v>
      </c>
      <c r="AD27" s="16">
        <f t="shared" si="19"/>
        <v>0</v>
      </c>
      <c r="AE27" s="32">
        <f t="shared" si="19"/>
        <v>49</v>
      </c>
      <c r="AF27" s="32">
        <f t="shared" si="19"/>
        <v>175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1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5">
        <f t="shared" si="0"/>
        <v>4</v>
      </c>
      <c r="P28" s="15">
        <f t="shared" si="1"/>
        <v>17</v>
      </c>
      <c r="R28" s="5" t="s">
        <v>17</v>
      </c>
      <c r="S28" s="16">
        <f t="shared" ref="S28:AF28" si="20">SUM(S10:S21)</f>
        <v>44</v>
      </c>
      <c r="T28" s="16">
        <f t="shared" si="20"/>
        <v>9</v>
      </c>
      <c r="U28" s="16">
        <f t="shared" si="20"/>
        <v>18</v>
      </c>
      <c r="V28" s="16">
        <f t="shared" si="20"/>
        <v>63</v>
      </c>
      <c r="W28" s="16">
        <f t="shared" si="20"/>
        <v>5</v>
      </c>
      <c r="X28" s="16">
        <f t="shared" si="20"/>
        <v>5</v>
      </c>
      <c r="Y28" s="16">
        <f t="shared" si="20"/>
        <v>50</v>
      </c>
      <c r="Z28" s="16">
        <f t="shared" si="20"/>
        <v>18</v>
      </c>
      <c r="AA28" s="16">
        <f t="shared" si="20"/>
        <v>9</v>
      </c>
      <c r="AB28" s="16">
        <f t="shared" si="20"/>
        <v>6</v>
      </c>
      <c r="AC28" s="16">
        <f t="shared" si="20"/>
        <v>487</v>
      </c>
      <c r="AD28" s="16">
        <f t="shared" si="20"/>
        <v>0</v>
      </c>
      <c r="AE28" s="32">
        <f t="shared" si="20"/>
        <v>227</v>
      </c>
      <c r="AF28" s="32">
        <f t="shared" si="20"/>
        <v>714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2</v>
      </c>
      <c r="F29" s="50">
        <v>4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19</v>
      </c>
      <c r="N29" s="50">
        <v>0</v>
      </c>
      <c r="O29" s="15">
        <f t="shared" si="0"/>
        <v>11</v>
      </c>
      <c r="P29" s="15">
        <f t="shared" si="1"/>
        <v>30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4</v>
      </c>
      <c r="P30" s="15">
        <f t="shared" si="1"/>
        <v>17</v>
      </c>
    </row>
    <row r="31" spans="2:32" ht="23.1" customHeight="1" x14ac:dyDescent="0.25">
      <c r="B31" s="24" t="s">
        <v>58</v>
      </c>
      <c r="C31" s="50">
        <v>0</v>
      </c>
      <c r="D31" s="50">
        <v>2</v>
      </c>
      <c r="E31" s="50">
        <v>2</v>
      </c>
      <c r="F31" s="50">
        <v>2</v>
      </c>
      <c r="G31" s="50">
        <v>0</v>
      </c>
      <c r="H31" s="50">
        <v>0</v>
      </c>
      <c r="I31" s="50">
        <v>0</v>
      </c>
      <c r="J31" s="50">
        <v>1</v>
      </c>
      <c r="K31" s="50">
        <v>1</v>
      </c>
      <c r="L31" s="50">
        <v>0</v>
      </c>
      <c r="M31" s="50">
        <v>8</v>
      </c>
      <c r="N31" s="50">
        <v>0</v>
      </c>
      <c r="O31" s="15">
        <f t="shared" si="0"/>
        <v>8</v>
      </c>
      <c r="P31" s="15">
        <f t="shared" si="1"/>
        <v>16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8</v>
      </c>
      <c r="P32" s="15">
        <f t="shared" si="1"/>
        <v>31</v>
      </c>
    </row>
    <row r="33" spans="2:20" ht="23.1" customHeight="1" x14ac:dyDescent="0.25">
      <c r="B33" s="23" t="s">
        <v>60</v>
      </c>
      <c r="C33" s="50">
        <v>0</v>
      </c>
      <c r="D33" s="50">
        <v>3</v>
      </c>
      <c r="E33" s="50">
        <v>2</v>
      </c>
      <c r="F33" s="50">
        <v>3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2</v>
      </c>
      <c r="M33" s="50">
        <v>14</v>
      </c>
      <c r="N33" s="50">
        <v>0</v>
      </c>
      <c r="O33" s="15">
        <f t="shared" si="0"/>
        <v>12</v>
      </c>
      <c r="P33" s="15">
        <f t="shared" si="1"/>
        <v>26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3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7</v>
      </c>
      <c r="P34" s="15">
        <f t="shared" si="1"/>
        <v>21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7</v>
      </c>
      <c r="P35" s="15">
        <f t="shared" si="1"/>
        <v>23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3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1</v>
      </c>
      <c r="M37" s="50">
        <v>11</v>
      </c>
      <c r="N37" s="50">
        <v>0</v>
      </c>
      <c r="O37" s="15">
        <f t="shared" si="0"/>
        <v>6</v>
      </c>
      <c r="P37" s="15">
        <f t="shared" si="1"/>
        <v>17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1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13</v>
      </c>
      <c r="N39" s="50">
        <v>0</v>
      </c>
      <c r="O39" s="15">
        <f t="shared" si="0"/>
        <v>2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0</v>
      </c>
      <c r="G40" s="50">
        <v>0</v>
      </c>
      <c r="H40" s="50">
        <v>1</v>
      </c>
      <c r="I40" s="50">
        <v>1</v>
      </c>
      <c r="J40" s="50">
        <v>2</v>
      </c>
      <c r="K40" s="50">
        <v>0</v>
      </c>
      <c r="L40" s="50">
        <v>1</v>
      </c>
      <c r="M40" s="50">
        <v>20</v>
      </c>
      <c r="N40" s="50">
        <v>0</v>
      </c>
      <c r="O40" s="15">
        <f t="shared" si="0"/>
        <v>7</v>
      </c>
      <c r="P40" s="15">
        <f t="shared" si="1"/>
        <v>27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4</v>
      </c>
      <c r="P41" s="15">
        <f t="shared" si="1"/>
        <v>17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0</v>
      </c>
      <c r="J42" s="50">
        <v>2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8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2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1</v>
      </c>
      <c r="G44" s="50">
        <v>0</v>
      </c>
      <c r="H44" s="50">
        <v>1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2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4</v>
      </c>
      <c r="P45" s="15">
        <f t="shared" si="1"/>
        <v>12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1</v>
      </c>
      <c r="G46" s="50">
        <v>1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4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1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4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1</v>
      </c>
      <c r="G48" s="50">
        <v>0</v>
      </c>
      <c r="H48" s="50">
        <v>1</v>
      </c>
      <c r="I48" s="50">
        <v>2</v>
      </c>
      <c r="J48" s="50">
        <v>1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7</v>
      </c>
      <c r="P48" s="15">
        <f t="shared" si="1"/>
        <v>18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2</v>
      </c>
      <c r="P49" s="15">
        <f t="shared" si="1"/>
        <v>20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3</v>
      </c>
      <c r="P50" s="15">
        <f t="shared" si="1"/>
        <v>9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2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4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16</v>
      </c>
      <c r="N52" s="50">
        <v>0</v>
      </c>
      <c r="O52" s="15">
        <f t="shared" si="0"/>
        <v>7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5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4</v>
      </c>
      <c r="P54" s="15">
        <f t="shared" si="1"/>
        <v>12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13</v>
      </c>
      <c r="N55" s="50">
        <v>0</v>
      </c>
      <c r="O55" s="15">
        <f t="shared" si="0"/>
        <v>5</v>
      </c>
      <c r="P55" s="15">
        <f t="shared" si="1"/>
        <v>18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10</v>
      </c>
      <c r="N56" s="50">
        <v>0</v>
      </c>
      <c r="O56" s="15">
        <f t="shared" si="0"/>
        <v>5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1</v>
      </c>
      <c r="P57" s="15">
        <f t="shared" si="1"/>
        <v>13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44</v>
      </c>
      <c r="D58" s="16">
        <f t="shared" si="21"/>
        <v>9</v>
      </c>
      <c r="E58" s="16">
        <f t="shared" si="21"/>
        <v>18</v>
      </c>
      <c r="F58" s="16">
        <f t="shared" si="21"/>
        <v>63</v>
      </c>
      <c r="G58" s="16">
        <f t="shared" si="21"/>
        <v>5</v>
      </c>
      <c r="H58" s="16">
        <f t="shared" si="21"/>
        <v>5</v>
      </c>
      <c r="I58" s="16">
        <f t="shared" si="21"/>
        <v>50</v>
      </c>
      <c r="J58" s="16">
        <f t="shared" si="21"/>
        <v>18</v>
      </c>
      <c r="K58" s="16">
        <f t="shared" si="21"/>
        <v>9</v>
      </c>
      <c r="L58" s="16">
        <f t="shared" si="21"/>
        <v>6</v>
      </c>
      <c r="M58" s="16">
        <f t="shared" si="21"/>
        <v>487</v>
      </c>
      <c r="N58" s="16">
        <f t="shared" si="21"/>
        <v>0</v>
      </c>
      <c r="O58" s="16">
        <f t="shared" si="21"/>
        <v>227</v>
      </c>
      <c r="P58" s="16">
        <f t="shared" si="21"/>
        <v>714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6.1624649859943981E-2</v>
      </c>
      <c r="D59" s="43">
        <f t="shared" si="22"/>
        <v>1.2605042016806723E-2</v>
      </c>
      <c r="E59" s="43">
        <f t="shared" si="22"/>
        <v>2.5210084033613446E-2</v>
      </c>
      <c r="F59" s="43">
        <f t="shared" si="22"/>
        <v>8.8235294117647065E-2</v>
      </c>
      <c r="G59" s="43">
        <f t="shared" si="22"/>
        <v>7.0028011204481795E-3</v>
      </c>
      <c r="H59" s="43">
        <f t="shared" si="22"/>
        <v>7.0028011204481795E-3</v>
      </c>
      <c r="I59" s="43">
        <f t="shared" si="22"/>
        <v>7.0028011204481794E-2</v>
      </c>
      <c r="J59" s="43">
        <f t="shared" si="22"/>
        <v>2.5210084033613446E-2</v>
      </c>
      <c r="K59" s="43">
        <f t="shared" si="22"/>
        <v>1.2605042016806723E-2</v>
      </c>
      <c r="L59" s="43">
        <f t="shared" si="22"/>
        <v>8.4033613445378148E-3</v>
      </c>
      <c r="M59" s="43">
        <f t="shared" si="22"/>
        <v>0.68207282913165268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0.19383259911894274</v>
      </c>
      <c r="D60" s="44">
        <f t="shared" ref="D60:N60" si="23">D58/$O$58</f>
        <v>3.9647577092511016E-2</v>
      </c>
      <c r="E60" s="44">
        <f t="shared" si="23"/>
        <v>7.9295154185022032E-2</v>
      </c>
      <c r="F60" s="44">
        <f t="shared" si="23"/>
        <v>0.27753303964757708</v>
      </c>
      <c r="G60" s="44">
        <f t="shared" si="23"/>
        <v>2.2026431718061675E-2</v>
      </c>
      <c r="H60" s="44">
        <f t="shared" si="23"/>
        <v>2.2026431718061675E-2</v>
      </c>
      <c r="I60" s="44">
        <f t="shared" si="23"/>
        <v>0.22026431718061673</v>
      </c>
      <c r="J60" s="44">
        <f t="shared" si="23"/>
        <v>7.9295154185022032E-2</v>
      </c>
      <c r="K60" s="44">
        <f t="shared" si="23"/>
        <v>3.9647577092511016E-2</v>
      </c>
      <c r="L60" s="44">
        <f t="shared" si="23"/>
        <v>2.643171806167401E-2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GALIRAYA-KAYUNGA'!C3:G3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tr">
        <f>'18.10 KAYUNGA-GALIRAYA'!D5</f>
        <v>18.10.19</v>
      </c>
      <c r="E5" s="3"/>
      <c r="F5" s="41" t="s">
        <v>1</v>
      </c>
      <c r="G5" s="59" t="str">
        <f>'17.10 KAYUNGA-GALIRAYA'!G5:H5</f>
        <v>KYANYA</v>
      </c>
      <c r="H5" s="60"/>
      <c r="I5" s="14"/>
      <c r="J5" s="2" t="s">
        <v>5</v>
      </c>
      <c r="K5" s="59" t="s">
        <v>169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GALIRAYA-KAYUNGA'!D6:E6</f>
        <v>GALIRAYA</v>
      </c>
      <c r="E6" s="60"/>
      <c r="F6" s="2" t="s">
        <v>2</v>
      </c>
      <c r="G6" s="59" t="str">
        <f>'17.10 GALIRAYA-KAYUNGA'!G6:H6</f>
        <v>KAYUNGA</v>
      </c>
      <c r="H6" s="60"/>
      <c r="J6" s="2" t="s">
        <v>21</v>
      </c>
      <c r="K6" s="59" t="str">
        <f>'17.10 KAYUNGA-GALIRAYA'!K6:L6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4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6</v>
      </c>
      <c r="AF10" s="31">
        <f t="shared" si="2"/>
        <v>21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1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3</v>
      </c>
      <c r="N11" s="50">
        <v>0</v>
      </c>
      <c r="O11" s="15">
        <f t="shared" si="0"/>
        <v>3</v>
      </c>
      <c r="P11" s="15">
        <f t="shared" si="1"/>
        <v>6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1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41</v>
      </c>
      <c r="AD11" s="17">
        <f t="shared" si="3"/>
        <v>0</v>
      </c>
      <c r="AE11" s="31">
        <f t="shared" si="3"/>
        <v>11</v>
      </c>
      <c r="AF11" s="31">
        <f t="shared" si="3"/>
        <v>52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1</v>
      </c>
      <c r="P12" s="15">
        <f t="shared" si="1"/>
        <v>6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5</v>
      </c>
      <c r="W12" s="17">
        <f t="shared" si="4"/>
        <v>0</v>
      </c>
      <c r="X12" s="17">
        <f t="shared" si="4"/>
        <v>3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35</v>
      </c>
      <c r="AD12" s="17">
        <f t="shared" si="4"/>
        <v>0</v>
      </c>
      <c r="AE12" s="31">
        <f t="shared" si="4"/>
        <v>9</v>
      </c>
      <c r="AF12" s="31">
        <f t="shared" si="4"/>
        <v>44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0</v>
      </c>
      <c r="P13" s="15">
        <f t="shared" si="1"/>
        <v>5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1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30</v>
      </c>
      <c r="AD13" s="17">
        <f t="shared" si="5"/>
        <v>0</v>
      </c>
      <c r="AE13" s="31">
        <f t="shared" si="5"/>
        <v>6</v>
      </c>
      <c r="AF13" s="31">
        <f t="shared" si="5"/>
        <v>36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4</v>
      </c>
      <c r="P14" s="15">
        <f t="shared" si="1"/>
        <v>14</v>
      </c>
      <c r="R14" s="1" t="s">
        <v>10</v>
      </c>
      <c r="S14" s="17">
        <f t="shared" ref="S14:AF14" si="6">SUM(C26:C29)</f>
        <v>4</v>
      </c>
      <c r="T14" s="17">
        <f t="shared" si="6"/>
        <v>1</v>
      </c>
      <c r="U14" s="17">
        <f t="shared" si="6"/>
        <v>2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36</v>
      </c>
      <c r="AD14" s="17">
        <f t="shared" si="6"/>
        <v>0</v>
      </c>
      <c r="AE14" s="31">
        <f t="shared" si="6"/>
        <v>12</v>
      </c>
      <c r="AF14" s="31">
        <f t="shared" si="6"/>
        <v>48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1</v>
      </c>
      <c r="P15" s="15">
        <f t="shared" si="1"/>
        <v>8</v>
      </c>
      <c r="R15" s="1" t="s">
        <v>11</v>
      </c>
      <c r="S15" s="17">
        <f t="shared" ref="S15:AF15" si="7">SUM(C30:C33)</f>
        <v>2</v>
      </c>
      <c r="T15" s="17">
        <f t="shared" si="7"/>
        <v>1</v>
      </c>
      <c r="U15" s="17">
        <f t="shared" si="7"/>
        <v>1</v>
      </c>
      <c r="V15" s="17">
        <f t="shared" si="7"/>
        <v>4</v>
      </c>
      <c r="W15" s="17">
        <f t="shared" si="7"/>
        <v>2</v>
      </c>
      <c r="X15" s="17">
        <f t="shared" si="7"/>
        <v>1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1</v>
      </c>
      <c r="AC15" s="17">
        <f t="shared" si="7"/>
        <v>36</v>
      </c>
      <c r="AD15" s="17">
        <f t="shared" si="7"/>
        <v>0</v>
      </c>
      <c r="AE15" s="31">
        <f t="shared" si="7"/>
        <v>14</v>
      </c>
      <c r="AF15" s="31">
        <f t="shared" si="7"/>
        <v>50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4</v>
      </c>
      <c r="P16" s="15">
        <f t="shared" si="1"/>
        <v>8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3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29</v>
      </c>
      <c r="AD16" s="17">
        <f t="shared" si="8"/>
        <v>0</v>
      </c>
      <c r="AE16" s="31">
        <f t="shared" si="8"/>
        <v>17</v>
      </c>
      <c r="AF16" s="31">
        <f t="shared" si="8"/>
        <v>46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2</v>
      </c>
      <c r="P17" s="15">
        <f t="shared" si="1"/>
        <v>22</v>
      </c>
      <c r="R17" s="1" t="s">
        <v>13</v>
      </c>
      <c r="S17" s="17">
        <f t="shared" ref="S17:AF17" si="9">SUM(C38:C41)</f>
        <v>4</v>
      </c>
      <c r="T17" s="17">
        <f t="shared" si="9"/>
        <v>0</v>
      </c>
      <c r="U17" s="17">
        <f t="shared" si="9"/>
        <v>0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31</v>
      </c>
      <c r="AD17" s="17">
        <f t="shared" si="9"/>
        <v>0</v>
      </c>
      <c r="AE17" s="31">
        <f t="shared" si="9"/>
        <v>8</v>
      </c>
      <c r="AF17" s="31">
        <f t="shared" si="9"/>
        <v>39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3</v>
      </c>
      <c r="G18" s="50">
        <v>0</v>
      </c>
      <c r="H18" s="50">
        <v>2</v>
      </c>
      <c r="I18" s="50">
        <v>1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6</v>
      </c>
      <c r="P18" s="15">
        <f t="shared" si="1"/>
        <v>18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1</v>
      </c>
      <c r="V18" s="17">
        <f t="shared" si="10"/>
        <v>5</v>
      </c>
      <c r="W18" s="17">
        <f t="shared" si="10"/>
        <v>0</v>
      </c>
      <c r="X18" s="17">
        <f t="shared" si="10"/>
        <v>1</v>
      </c>
      <c r="Y18" s="17">
        <f t="shared" si="10"/>
        <v>5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44</v>
      </c>
      <c r="AD18" s="17">
        <f t="shared" si="10"/>
        <v>0</v>
      </c>
      <c r="AE18" s="31">
        <f t="shared" si="10"/>
        <v>17</v>
      </c>
      <c r="AF18" s="31">
        <f t="shared" si="10"/>
        <v>61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1</v>
      </c>
      <c r="P19" s="15">
        <f t="shared" si="1"/>
        <v>12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0</v>
      </c>
      <c r="V19" s="17">
        <f t="shared" si="11"/>
        <v>5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32</v>
      </c>
      <c r="AD19" s="17">
        <f t="shared" si="11"/>
        <v>0</v>
      </c>
      <c r="AE19" s="31">
        <f t="shared" si="11"/>
        <v>11</v>
      </c>
      <c r="AF19" s="31">
        <f t="shared" si="11"/>
        <v>43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0</v>
      </c>
      <c r="P20" s="15">
        <f t="shared" si="1"/>
        <v>7</v>
      </c>
      <c r="R20" s="1" t="s">
        <v>16</v>
      </c>
      <c r="S20" s="17">
        <f t="shared" ref="S20:AF20" si="12">SUM(C50:C53)</f>
        <v>2</v>
      </c>
      <c r="T20" s="17">
        <f t="shared" si="12"/>
        <v>2</v>
      </c>
      <c r="U20" s="17">
        <f t="shared" si="12"/>
        <v>3</v>
      </c>
      <c r="V20" s="17">
        <f t="shared" si="12"/>
        <v>4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3</v>
      </c>
      <c r="AA20" s="17">
        <f t="shared" si="12"/>
        <v>4</v>
      </c>
      <c r="AB20" s="17">
        <f t="shared" si="12"/>
        <v>2</v>
      </c>
      <c r="AC20" s="17">
        <f t="shared" si="12"/>
        <v>35</v>
      </c>
      <c r="AD20" s="17">
        <f t="shared" si="12"/>
        <v>0</v>
      </c>
      <c r="AE20" s="31">
        <f t="shared" si="12"/>
        <v>25</v>
      </c>
      <c r="AF20" s="31">
        <f t="shared" si="12"/>
        <v>60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2</v>
      </c>
      <c r="P21" s="15">
        <f t="shared" si="1"/>
        <v>7</v>
      </c>
      <c r="R21" s="36" t="s">
        <v>20</v>
      </c>
      <c r="S21" s="34">
        <f t="shared" ref="S21:AF21" si="13">SUM(C54:C57)</f>
        <v>3</v>
      </c>
      <c r="T21" s="17">
        <f t="shared" si="13"/>
        <v>1</v>
      </c>
      <c r="U21" s="17">
        <f t="shared" si="13"/>
        <v>3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36</v>
      </c>
      <c r="AD21" s="17">
        <f t="shared" si="13"/>
        <v>0</v>
      </c>
      <c r="AE21" s="31">
        <f t="shared" si="13"/>
        <v>19</v>
      </c>
      <c r="AF21" s="31">
        <f t="shared" si="13"/>
        <v>55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8</v>
      </c>
      <c r="N22" s="50">
        <v>0</v>
      </c>
      <c r="O22" s="15">
        <f t="shared" si="0"/>
        <v>0</v>
      </c>
      <c r="P22" s="15">
        <f t="shared" si="1"/>
        <v>8</v>
      </c>
      <c r="R22" s="38" t="s">
        <v>90</v>
      </c>
      <c r="S22" s="39">
        <f>MAX(S10:S12)</f>
        <v>1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5</v>
      </c>
      <c r="W22" s="39">
        <f t="shared" si="14"/>
        <v>1</v>
      </c>
      <c r="X22" s="39">
        <f t="shared" si="14"/>
        <v>3</v>
      </c>
      <c r="Y22" s="39">
        <f t="shared" si="14"/>
        <v>2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41</v>
      </c>
      <c r="AD22" s="39">
        <f t="shared" si="14"/>
        <v>0</v>
      </c>
      <c r="AE22" s="40">
        <f t="shared" si="14"/>
        <v>11</v>
      </c>
      <c r="AF22" s="40">
        <f t="shared" si="14"/>
        <v>52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1</v>
      </c>
      <c r="P23" s="15">
        <f t="shared" si="1"/>
        <v>8</v>
      </c>
      <c r="R23" s="38" t="s">
        <v>91</v>
      </c>
      <c r="S23" s="39">
        <f>MAX(S13:S18)</f>
        <v>6</v>
      </c>
      <c r="T23" s="39">
        <f t="shared" ref="T23:AF23" si="15">MAX(T13:T18)</f>
        <v>1</v>
      </c>
      <c r="U23" s="39">
        <f t="shared" si="15"/>
        <v>3</v>
      </c>
      <c r="V23" s="39">
        <f t="shared" si="15"/>
        <v>5</v>
      </c>
      <c r="W23" s="39">
        <f t="shared" si="15"/>
        <v>2</v>
      </c>
      <c r="X23" s="39">
        <f t="shared" si="15"/>
        <v>1</v>
      </c>
      <c r="Y23" s="39">
        <f t="shared" si="15"/>
        <v>5</v>
      </c>
      <c r="Z23" s="39">
        <f t="shared" si="15"/>
        <v>1</v>
      </c>
      <c r="AA23" s="39">
        <f t="shared" si="15"/>
        <v>1</v>
      </c>
      <c r="AB23" s="39">
        <f t="shared" si="15"/>
        <v>1</v>
      </c>
      <c r="AC23" s="39">
        <f t="shared" si="15"/>
        <v>44</v>
      </c>
      <c r="AD23" s="39">
        <f t="shared" si="15"/>
        <v>0</v>
      </c>
      <c r="AE23" s="40">
        <f t="shared" si="15"/>
        <v>17</v>
      </c>
      <c r="AF23" s="40">
        <f t="shared" si="15"/>
        <v>61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3</v>
      </c>
      <c r="P24" s="15">
        <f t="shared" si="1"/>
        <v>11</v>
      </c>
      <c r="R24" s="38" t="s">
        <v>92</v>
      </c>
      <c r="S24" s="39">
        <f>MAX(S19:S21)</f>
        <v>3</v>
      </c>
      <c r="T24" s="39">
        <f t="shared" ref="T24:AF24" si="16">MAX(T19:T21)</f>
        <v>2</v>
      </c>
      <c r="U24" s="39">
        <f t="shared" si="16"/>
        <v>3</v>
      </c>
      <c r="V24" s="39">
        <f t="shared" si="16"/>
        <v>7</v>
      </c>
      <c r="W24" s="39">
        <f t="shared" si="16"/>
        <v>1</v>
      </c>
      <c r="X24" s="39">
        <f t="shared" si="16"/>
        <v>0</v>
      </c>
      <c r="Y24" s="39">
        <f t="shared" si="16"/>
        <v>4</v>
      </c>
      <c r="Z24" s="39">
        <f t="shared" si="16"/>
        <v>3</v>
      </c>
      <c r="AA24" s="39">
        <f t="shared" si="16"/>
        <v>4</v>
      </c>
      <c r="AB24" s="39">
        <f t="shared" si="16"/>
        <v>2</v>
      </c>
      <c r="AC24" s="39">
        <f t="shared" si="16"/>
        <v>36</v>
      </c>
      <c r="AD24" s="39">
        <f t="shared" si="16"/>
        <v>0</v>
      </c>
      <c r="AE24" s="40">
        <f t="shared" si="16"/>
        <v>25</v>
      </c>
      <c r="AF24" s="40">
        <f t="shared" si="16"/>
        <v>60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7</v>
      </c>
      <c r="N25" s="50">
        <v>0</v>
      </c>
      <c r="O25" s="15">
        <f t="shared" si="0"/>
        <v>2</v>
      </c>
      <c r="P25" s="15">
        <f t="shared" si="1"/>
        <v>9</v>
      </c>
      <c r="R25" s="37" t="s">
        <v>85</v>
      </c>
      <c r="S25" s="35">
        <f t="shared" ref="S25:AF25" si="17">SUM(S10:S12)</f>
        <v>1</v>
      </c>
      <c r="T25" s="16">
        <f t="shared" si="17"/>
        <v>1</v>
      </c>
      <c r="U25" s="16">
        <f t="shared" si="17"/>
        <v>1</v>
      </c>
      <c r="V25" s="16">
        <f t="shared" si="17"/>
        <v>14</v>
      </c>
      <c r="W25" s="16">
        <f t="shared" si="17"/>
        <v>1</v>
      </c>
      <c r="X25" s="16">
        <f t="shared" si="17"/>
        <v>3</v>
      </c>
      <c r="Y25" s="16">
        <f t="shared" si="17"/>
        <v>3</v>
      </c>
      <c r="Z25" s="16">
        <f t="shared" si="17"/>
        <v>1</v>
      </c>
      <c r="AA25" s="16">
        <f t="shared" si="17"/>
        <v>1</v>
      </c>
      <c r="AB25" s="16">
        <f t="shared" si="17"/>
        <v>0</v>
      </c>
      <c r="AC25" s="16">
        <f t="shared" si="17"/>
        <v>91</v>
      </c>
      <c r="AD25" s="16">
        <f t="shared" si="17"/>
        <v>0</v>
      </c>
      <c r="AE25" s="32">
        <f t="shared" si="17"/>
        <v>26</v>
      </c>
      <c r="AF25" s="32">
        <f t="shared" si="17"/>
        <v>117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0</v>
      </c>
      <c r="P26" s="15">
        <f t="shared" si="1"/>
        <v>8</v>
      </c>
      <c r="R26" s="28" t="s">
        <v>86</v>
      </c>
      <c r="S26" s="16">
        <f t="shared" ref="S26:AF26" si="18">SUM(S13:S18)</f>
        <v>20</v>
      </c>
      <c r="T26" s="16">
        <f t="shared" si="18"/>
        <v>3</v>
      </c>
      <c r="U26" s="16">
        <f t="shared" si="18"/>
        <v>8</v>
      </c>
      <c r="V26" s="16">
        <f t="shared" si="18"/>
        <v>22</v>
      </c>
      <c r="W26" s="16">
        <f t="shared" si="18"/>
        <v>2</v>
      </c>
      <c r="X26" s="16">
        <f t="shared" si="18"/>
        <v>2</v>
      </c>
      <c r="Y26" s="16">
        <f t="shared" si="18"/>
        <v>12</v>
      </c>
      <c r="Z26" s="16">
        <f t="shared" si="18"/>
        <v>2</v>
      </c>
      <c r="AA26" s="16">
        <f t="shared" si="18"/>
        <v>1</v>
      </c>
      <c r="AB26" s="16">
        <f t="shared" si="18"/>
        <v>2</v>
      </c>
      <c r="AC26" s="16">
        <f t="shared" si="18"/>
        <v>206</v>
      </c>
      <c r="AD26" s="16">
        <f t="shared" si="18"/>
        <v>0</v>
      </c>
      <c r="AE26" s="32">
        <f t="shared" si="18"/>
        <v>74</v>
      </c>
      <c r="AF26" s="32">
        <f t="shared" si="18"/>
        <v>280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2</v>
      </c>
      <c r="P27" s="15">
        <f t="shared" si="1"/>
        <v>11</v>
      </c>
      <c r="R27" s="29" t="s">
        <v>87</v>
      </c>
      <c r="S27" s="16">
        <f t="shared" ref="S27:AF27" si="19">SUM(S19:S21)</f>
        <v>6</v>
      </c>
      <c r="T27" s="16">
        <f t="shared" si="19"/>
        <v>3</v>
      </c>
      <c r="U27" s="16">
        <f t="shared" si="19"/>
        <v>6</v>
      </c>
      <c r="V27" s="16">
        <f t="shared" si="19"/>
        <v>16</v>
      </c>
      <c r="W27" s="16">
        <f t="shared" si="19"/>
        <v>2</v>
      </c>
      <c r="X27" s="16">
        <f t="shared" si="19"/>
        <v>0</v>
      </c>
      <c r="Y27" s="16">
        <f t="shared" si="19"/>
        <v>11</v>
      </c>
      <c r="Z27" s="16">
        <f t="shared" si="19"/>
        <v>4</v>
      </c>
      <c r="AA27" s="16">
        <f t="shared" si="19"/>
        <v>5</v>
      </c>
      <c r="AB27" s="16">
        <f t="shared" si="19"/>
        <v>2</v>
      </c>
      <c r="AC27" s="16">
        <f t="shared" si="19"/>
        <v>103</v>
      </c>
      <c r="AD27" s="16">
        <f t="shared" si="19"/>
        <v>0</v>
      </c>
      <c r="AE27" s="32">
        <f t="shared" si="19"/>
        <v>55</v>
      </c>
      <c r="AF27" s="32">
        <f t="shared" si="19"/>
        <v>158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1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6</v>
      </c>
      <c r="P28" s="15">
        <f t="shared" si="1"/>
        <v>20</v>
      </c>
      <c r="R28" s="5" t="s">
        <v>17</v>
      </c>
      <c r="S28" s="16">
        <f t="shared" ref="S28:AF28" si="20">SUM(S10:S21)</f>
        <v>27</v>
      </c>
      <c r="T28" s="16">
        <f t="shared" si="20"/>
        <v>7</v>
      </c>
      <c r="U28" s="16">
        <f t="shared" si="20"/>
        <v>15</v>
      </c>
      <c r="V28" s="16">
        <f t="shared" si="20"/>
        <v>52</v>
      </c>
      <c r="W28" s="16">
        <f t="shared" si="20"/>
        <v>5</v>
      </c>
      <c r="X28" s="16">
        <f t="shared" si="20"/>
        <v>5</v>
      </c>
      <c r="Y28" s="16">
        <f t="shared" si="20"/>
        <v>26</v>
      </c>
      <c r="Z28" s="16">
        <f t="shared" si="20"/>
        <v>7</v>
      </c>
      <c r="AA28" s="16">
        <f t="shared" si="20"/>
        <v>7</v>
      </c>
      <c r="AB28" s="16">
        <f t="shared" si="20"/>
        <v>4</v>
      </c>
      <c r="AC28" s="16">
        <f t="shared" si="20"/>
        <v>400</v>
      </c>
      <c r="AD28" s="16">
        <f t="shared" si="20"/>
        <v>0</v>
      </c>
      <c r="AE28" s="32">
        <f t="shared" si="20"/>
        <v>155</v>
      </c>
      <c r="AF28" s="32">
        <f t="shared" si="20"/>
        <v>555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4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2</v>
      </c>
      <c r="P30" s="15">
        <f t="shared" si="1"/>
        <v>13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3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1</v>
      </c>
      <c r="G32" s="50">
        <v>1</v>
      </c>
      <c r="H32" s="50">
        <v>0</v>
      </c>
      <c r="I32" s="50">
        <v>1</v>
      </c>
      <c r="J32" s="50">
        <v>0</v>
      </c>
      <c r="K32" s="50">
        <v>0</v>
      </c>
      <c r="L32" s="50">
        <v>1</v>
      </c>
      <c r="M32" s="50">
        <v>11</v>
      </c>
      <c r="N32" s="50">
        <v>0</v>
      </c>
      <c r="O32" s="15">
        <f t="shared" si="0"/>
        <v>5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1</v>
      </c>
      <c r="G33" s="50">
        <v>1</v>
      </c>
      <c r="H33" s="50">
        <v>1</v>
      </c>
      <c r="I33" s="50">
        <v>0</v>
      </c>
      <c r="J33" s="50">
        <v>0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4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1</v>
      </c>
      <c r="F34" s="50">
        <v>2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7</v>
      </c>
      <c r="N34" s="50">
        <v>0</v>
      </c>
      <c r="O34" s="15">
        <f t="shared" si="0"/>
        <v>7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2</v>
      </c>
      <c r="P35" s="15">
        <f t="shared" si="1"/>
        <v>8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5</v>
      </c>
      <c r="P36" s="15">
        <f t="shared" si="1"/>
        <v>17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3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4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2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1</v>
      </c>
      <c r="P40" s="15">
        <f t="shared" si="1"/>
        <v>6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1</v>
      </c>
      <c r="P41" s="15">
        <f t="shared" si="1"/>
        <v>8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4</v>
      </c>
      <c r="P42" s="15">
        <f t="shared" si="1"/>
        <v>12</v>
      </c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9</v>
      </c>
      <c r="N43" s="50">
        <v>0</v>
      </c>
      <c r="O43" s="15">
        <f t="shared" si="0"/>
        <v>4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2</v>
      </c>
      <c r="G44" s="50">
        <v>0</v>
      </c>
      <c r="H44" s="50">
        <v>1</v>
      </c>
      <c r="I44" s="50">
        <v>3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6</v>
      </c>
      <c r="P44" s="15">
        <f t="shared" si="1"/>
        <v>21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3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4</v>
      </c>
      <c r="P46" s="15">
        <f t="shared" si="1"/>
        <v>9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2</v>
      </c>
      <c r="P47" s="15">
        <f t="shared" si="1"/>
        <v>10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2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1</v>
      </c>
      <c r="G49" s="50">
        <v>1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3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0</v>
      </c>
      <c r="M50" s="50">
        <v>3</v>
      </c>
      <c r="N50" s="50">
        <v>0</v>
      </c>
      <c r="O50" s="15">
        <f t="shared" si="0"/>
        <v>2</v>
      </c>
      <c r="P50" s="15">
        <f t="shared" si="1"/>
        <v>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0</v>
      </c>
      <c r="F51" s="50">
        <v>3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9</v>
      </c>
      <c r="N51" s="50">
        <v>0</v>
      </c>
      <c r="O51" s="15">
        <f t="shared" si="0"/>
        <v>6</v>
      </c>
      <c r="P51" s="15">
        <f t="shared" si="1"/>
        <v>15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2</v>
      </c>
      <c r="J52" s="50">
        <v>2</v>
      </c>
      <c r="K52" s="50">
        <v>2</v>
      </c>
      <c r="L52" s="50">
        <v>1</v>
      </c>
      <c r="M52" s="50">
        <v>15</v>
      </c>
      <c r="N52" s="50">
        <v>0</v>
      </c>
      <c r="O52" s="15">
        <f t="shared" si="0"/>
        <v>8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2</v>
      </c>
      <c r="F53" s="50">
        <v>1</v>
      </c>
      <c r="G53" s="50">
        <v>1</v>
      </c>
      <c r="H53" s="50">
        <v>0</v>
      </c>
      <c r="I53" s="50">
        <v>0</v>
      </c>
      <c r="J53" s="50">
        <v>1</v>
      </c>
      <c r="K53" s="50">
        <v>1</v>
      </c>
      <c r="L53" s="50">
        <v>1</v>
      </c>
      <c r="M53" s="50">
        <v>8</v>
      </c>
      <c r="N53" s="50">
        <v>0</v>
      </c>
      <c r="O53" s="15">
        <f>SUM(C53:L53,N53)</f>
        <v>9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2</v>
      </c>
      <c r="F54" s="50">
        <v>2</v>
      </c>
      <c r="G54" s="50">
        <v>0</v>
      </c>
      <c r="H54" s="50">
        <v>0</v>
      </c>
      <c r="I54" s="50">
        <v>0</v>
      </c>
      <c r="J54" s="50">
        <v>1</v>
      </c>
      <c r="K54" s="50">
        <v>1</v>
      </c>
      <c r="L54" s="50">
        <v>0</v>
      </c>
      <c r="M54" s="50">
        <v>18</v>
      </c>
      <c r="N54" s="50">
        <v>0</v>
      </c>
      <c r="O54" s="15">
        <f t="shared" si="0"/>
        <v>7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3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4</v>
      </c>
      <c r="P55" s="15">
        <f t="shared" si="1"/>
        <v>9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5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3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</v>
      </c>
      <c r="D58" s="16">
        <f t="shared" si="21"/>
        <v>7</v>
      </c>
      <c r="E58" s="16">
        <f t="shared" si="21"/>
        <v>15</v>
      </c>
      <c r="F58" s="16">
        <f t="shared" si="21"/>
        <v>52</v>
      </c>
      <c r="G58" s="16">
        <f t="shared" si="21"/>
        <v>5</v>
      </c>
      <c r="H58" s="16">
        <f t="shared" si="21"/>
        <v>5</v>
      </c>
      <c r="I58" s="16">
        <f t="shared" si="21"/>
        <v>26</v>
      </c>
      <c r="J58" s="16">
        <f t="shared" si="21"/>
        <v>7</v>
      </c>
      <c r="K58" s="16">
        <f t="shared" si="21"/>
        <v>7</v>
      </c>
      <c r="L58" s="16">
        <f t="shared" si="21"/>
        <v>4</v>
      </c>
      <c r="M58" s="16">
        <f t="shared" si="21"/>
        <v>400</v>
      </c>
      <c r="N58" s="16">
        <f t="shared" si="21"/>
        <v>0</v>
      </c>
      <c r="O58" s="16">
        <f t="shared" si="21"/>
        <v>155</v>
      </c>
      <c r="P58" s="16">
        <f t="shared" si="21"/>
        <v>555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4.8648648648648651E-2</v>
      </c>
      <c r="D59" s="43">
        <f t="shared" si="22"/>
        <v>1.2612612612612612E-2</v>
      </c>
      <c r="E59" s="43">
        <f t="shared" si="22"/>
        <v>2.7027027027027029E-2</v>
      </c>
      <c r="F59" s="43">
        <f t="shared" si="22"/>
        <v>9.3693693693693694E-2</v>
      </c>
      <c r="G59" s="43">
        <f t="shared" si="22"/>
        <v>9.0090090090090089E-3</v>
      </c>
      <c r="H59" s="43">
        <f t="shared" si="22"/>
        <v>9.0090090090090089E-3</v>
      </c>
      <c r="I59" s="43">
        <f t="shared" si="22"/>
        <v>4.6846846846846847E-2</v>
      </c>
      <c r="J59" s="43">
        <f t="shared" si="22"/>
        <v>1.2612612612612612E-2</v>
      </c>
      <c r="K59" s="43">
        <f t="shared" si="22"/>
        <v>1.2612612612612612E-2</v>
      </c>
      <c r="L59" s="43">
        <f t="shared" si="22"/>
        <v>7.2072072072072073E-3</v>
      </c>
      <c r="M59" s="43">
        <f t="shared" si="22"/>
        <v>0.72072072072072069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0.17419354838709677</v>
      </c>
      <c r="D60" s="44">
        <f t="shared" ref="D60:N60" si="23">D58/$O$58</f>
        <v>4.5161290322580643E-2</v>
      </c>
      <c r="E60" s="44">
        <f t="shared" si="23"/>
        <v>9.6774193548387094E-2</v>
      </c>
      <c r="F60" s="44">
        <f t="shared" si="23"/>
        <v>0.33548387096774196</v>
      </c>
      <c r="G60" s="44">
        <f t="shared" si="23"/>
        <v>3.2258064516129031E-2</v>
      </c>
      <c r="H60" s="44">
        <f t="shared" si="23"/>
        <v>3.2258064516129031E-2</v>
      </c>
      <c r="I60" s="44">
        <f t="shared" si="23"/>
        <v>0.16774193548387098</v>
      </c>
      <c r="J60" s="44">
        <f t="shared" si="23"/>
        <v>4.5161290322580643E-2</v>
      </c>
      <c r="K60" s="44">
        <f t="shared" si="23"/>
        <v>4.5161290322580643E-2</v>
      </c>
      <c r="L60" s="44">
        <f t="shared" si="23"/>
        <v>2.5806451612903226E-2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AD10" sqref="A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175</v>
      </c>
      <c r="E5" s="3"/>
      <c r="F5" s="41" t="s">
        <v>1</v>
      </c>
      <c r="G5" s="59" t="str">
        <f>'22.10 GALIRAYA-KAYUNGA'!G5:H5</f>
        <v>KYANYA</v>
      </c>
      <c r="H5" s="60"/>
      <c r="I5" s="14"/>
      <c r="J5" s="2" t="s">
        <v>5</v>
      </c>
      <c r="K5" s="59" t="s">
        <v>173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KAYUNGA-GALIRAYA'!D6:E6</f>
        <v>KAYUNGA</v>
      </c>
      <c r="E6" s="60"/>
      <c r="F6" s="2" t="s">
        <v>2</v>
      </c>
      <c r="G6" s="59" t="str">
        <f>'17.10 KAYUNGA-GALIRAYA'!G6:H6</f>
        <v>GALIRAYA</v>
      </c>
      <c r="H6" s="60"/>
      <c r="J6" s="2" t="s">
        <v>21</v>
      </c>
      <c r="K6" s="59" t="str">
        <f>'22.10 GALIRAYA-KAYUNGA'!K6:L6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0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10</v>
      </c>
      <c r="AD10" s="17">
        <f t="shared" si="2"/>
        <v>0</v>
      </c>
      <c r="AE10" s="31">
        <f t="shared" si="2"/>
        <v>9</v>
      </c>
      <c r="AF10" s="31">
        <f t="shared" si="2"/>
        <v>19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3</v>
      </c>
      <c r="P11" s="15">
        <f t="shared" si="1"/>
        <v>5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1</v>
      </c>
      <c r="V11" s="17">
        <f t="shared" si="3"/>
        <v>9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38</v>
      </c>
      <c r="AD11" s="17">
        <f t="shared" si="3"/>
        <v>0</v>
      </c>
      <c r="AE11" s="31">
        <f t="shared" si="3"/>
        <v>16</v>
      </c>
      <c r="AF11" s="31">
        <f t="shared" si="3"/>
        <v>54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2</v>
      </c>
      <c r="P12" s="15">
        <f t="shared" si="1"/>
        <v>4</v>
      </c>
      <c r="R12" s="1" t="s">
        <v>8</v>
      </c>
      <c r="S12" s="17">
        <f t="shared" ref="S12:AF12" si="4">SUM(C18:C21)</f>
        <v>4</v>
      </c>
      <c r="T12" s="17">
        <f t="shared" si="4"/>
        <v>2</v>
      </c>
      <c r="U12" s="17">
        <f t="shared" si="4"/>
        <v>2</v>
      </c>
      <c r="V12" s="17">
        <f t="shared" si="4"/>
        <v>4</v>
      </c>
      <c r="W12" s="17">
        <f t="shared" si="4"/>
        <v>0</v>
      </c>
      <c r="X12" s="17">
        <f t="shared" si="4"/>
        <v>2</v>
      </c>
      <c r="Y12" s="17">
        <f t="shared" si="4"/>
        <v>2</v>
      </c>
      <c r="Z12" s="17">
        <f t="shared" si="4"/>
        <v>2</v>
      </c>
      <c r="AA12" s="17">
        <f t="shared" si="4"/>
        <v>2</v>
      </c>
      <c r="AB12" s="17">
        <f t="shared" si="4"/>
        <v>0</v>
      </c>
      <c r="AC12" s="17">
        <f t="shared" si="4"/>
        <v>38</v>
      </c>
      <c r="AD12" s="17">
        <f t="shared" si="4"/>
        <v>0</v>
      </c>
      <c r="AE12" s="31">
        <f t="shared" si="4"/>
        <v>20</v>
      </c>
      <c r="AF12" s="31">
        <f t="shared" si="4"/>
        <v>58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3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4</v>
      </c>
      <c r="P13" s="15">
        <f t="shared" si="1"/>
        <v>4</v>
      </c>
      <c r="R13" s="1" t="s">
        <v>9</v>
      </c>
      <c r="S13" s="17">
        <f t="shared" ref="S13:AF13" si="5">SUM(C22:C25)</f>
        <v>0</v>
      </c>
      <c r="T13" s="17">
        <f t="shared" si="5"/>
        <v>2</v>
      </c>
      <c r="U13" s="17">
        <f t="shared" si="5"/>
        <v>2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60</v>
      </c>
      <c r="AD13" s="17">
        <f t="shared" si="5"/>
        <v>0</v>
      </c>
      <c r="AE13" s="31">
        <f t="shared" si="5"/>
        <v>11</v>
      </c>
      <c r="AF13" s="31">
        <f t="shared" si="5"/>
        <v>71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5</v>
      </c>
      <c r="P14" s="15">
        <f t="shared" si="1"/>
        <v>9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0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58</v>
      </c>
      <c r="AD14" s="17">
        <f t="shared" si="6"/>
        <v>0</v>
      </c>
      <c r="AE14" s="31">
        <f t="shared" si="6"/>
        <v>10</v>
      </c>
      <c r="AF14" s="31">
        <f t="shared" si="6"/>
        <v>68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3</v>
      </c>
      <c r="P15" s="15">
        <f t="shared" si="1"/>
        <v>9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3</v>
      </c>
      <c r="V15" s="17">
        <f t="shared" si="7"/>
        <v>4</v>
      </c>
      <c r="W15" s="17">
        <f t="shared" si="7"/>
        <v>0</v>
      </c>
      <c r="X15" s="17">
        <f t="shared" si="7"/>
        <v>1</v>
      </c>
      <c r="Y15" s="17">
        <f t="shared" si="7"/>
        <v>1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65</v>
      </c>
      <c r="AD15" s="17">
        <f t="shared" si="7"/>
        <v>0</v>
      </c>
      <c r="AE15" s="31">
        <f t="shared" si="7"/>
        <v>16</v>
      </c>
      <c r="AF15" s="31">
        <f t="shared" si="7"/>
        <v>81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1</v>
      </c>
      <c r="F16" s="50">
        <v>3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16</v>
      </c>
      <c r="N16" s="50">
        <v>0</v>
      </c>
      <c r="O16" s="15">
        <f t="shared" si="0"/>
        <v>6</v>
      </c>
      <c r="P16" s="15">
        <f t="shared" si="1"/>
        <v>22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0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54</v>
      </c>
      <c r="AD16" s="17">
        <f t="shared" si="8"/>
        <v>0</v>
      </c>
      <c r="AE16" s="31">
        <f t="shared" si="8"/>
        <v>12</v>
      </c>
      <c r="AF16" s="31">
        <f t="shared" si="8"/>
        <v>66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2</v>
      </c>
      <c r="P17" s="15">
        <f t="shared" si="1"/>
        <v>14</v>
      </c>
      <c r="R17" s="1" t="s">
        <v>13</v>
      </c>
      <c r="S17" s="17">
        <f t="shared" ref="S17:AF17" si="9">SUM(C38:C41)</f>
        <v>5</v>
      </c>
      <c r="T17" s="17">
        <f t="shared" si="9"/>
        <v>5</v>
      </c>
      <c r="U17" s="17">
        <f t="shared" si="9"/>
        <v>1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35</v>
      </c>
      <c r="AD17" s="17">
        <f t="shared" si="9"/>
        <v>0</v>
      </c>
      <c r="AE17" s="31">
        <f t="shared" si="9"/>
        <v>21</v>
      </c>
      <c r="AF17" s="31">
        <f t="shared" si="9"/>
        <v>56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1</v>
      </c>
      <c r="L18" s="50">
        <v>0</v>
      </c>
      <c r="M18" s="50">
        <v>11</v>
      </c>
      <c r="N18" s="50">
        <v>0</v>
      </c>
      <c r="O18" s="15">
        <f t="shared" si="0"/>
        <v>4</v>
      </c>
      <c r="P18" s="15">
        <f t="shared" si="1"/>
        <v>15</v>
      </c>
      <c r="R18" s="1" t="s">
        <v>14</v>
      </c>
      <c r="S18" s="17">
        <f t="shared" ref="S18:AF18" si="10">SUM(C42:C45)</f>
        <v>6</v>
      </c>
      <c r="T18" s="17">
        <f t="shared" si="10"/>
        <v>2</v>
      </c>
      <c r="U18" s="17">
        <f t="shared" si="10"/>
        <v>0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1</v>
      </c>
      <c r="AB18" s="17">
        <f t="shared" si="10"/>
        <v>1</v>
      </c>
      <c r="AC18" s="17">
        <f t="shared" si="10"/>
        <v>40</v>
      </c>
      <c r="AD18" s="17">
        <f t="shared" si="10"/>
        <v>0</v>
      </c>
      <c r="AE18" s="31">
        <f t="shared" si="10"/>
        <v>18</v>
      </c>
      <c r="AF18" s="31">
        <f t="shared" si="10"/>
        <v>58</v>
      </c>
    </row>
    <row r="19" spans="2:32" ht="23.1" customHeight="1" x14ac:dyDescent="0.25">
      <c r="B19" s="45" t="s">
        <v>46</v>
      </c>
      <c r="C19" s="50">
        <v>1</v>
      </c>
      <c r="D19" s="50">
        <v>1</v>
      </c>
      <c r="E19" s="50">
        <v>0</v>
      </c>
      <c r="F19" s="50">
        <v>1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4</v>
      </c>
      <c r="P19" s="15">
        <f t="shared" si="1"/>
        <v>10</v>
      </c>
      <c r="R19" s="1" t="s">
        <v>15</v>
      </c>
      <c r="S19" s="17">
        <f t="shared" ref="S19:AF19" si="11">SUM(C46:C49)</f>
        <v>6</v>
      </c>
      <c r="T19" s="17">
        <f t="shared" si="11"/>
        <v>3</v>
      </c>
      <c r="U19" s="17">
        <f t="shared" si="11"/>
        <v>2</v>
      </c>
      <c r="V19" s="17">
        <f t="shared" si="11"/>
        <v>4</v>
      </c>
      <c r="W19" s="17">
        <f t="shared" si="11"/>
        <v>0</v>
      </c>
      <c r="X19" s="17">
        <f t="shared" si="11"/>
        <v>1</v>
      </c>
      <c r="Y19" s="17">
        <f t="shared" si="11"/>
        <v>3</v>
      </c>
      <c r="Z19" s="17">
        <f t="shared" si="11"/>
        <v>0</v>
      </c>
      <c r="AA19" s="17">
        <f t="shared" si="11"/>
        <v>4</v>
      </c>
      <c r="AB19" s="17">
        <f t="shared" si="11"/>
        <v>0</v>
      </c>
      <c r="AC19" s="17">
        <f t="shared" si="11"/>
        <v>46</v>
      </c>
      <c r="AD19" s="17">
        <f t="shared" si="11"/>
        <v>0</v>
      </c>
      <c r="AE19" s="31">
        <f t="shared" si="11"/>
        <v>23</v>
      </c>
      <c r="AF19" s="31">
        <f t="shared" si="11"/>
        <v>69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3</v>
      </c>
      <c r="P20" s="15">
        <f t="shared" si="1"/>
        <v>10</v>
      </c>
      <c r="R20" s="1" t="s">
        <v>16</v>
      </c>
      <c r="S20" s="17">
        <f t="shared" ref="S20:AF20" si="12">SUM(C50:C53)</f>
        <v>6</v>
      </c>
      <c r="T20" s="17">
        <f t="shared" si="12"/>
        <v>3</v>
      </c>
      <c r="U20" s="17">
        <f t="shared" si="12"/>
        <v>5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4</v>
      </c>
      <c r="AA20" s="17">
        <f t="shared" si="12"/>
        <v>0</v>
      </c>
      <c r="AB20" s="17">
        <f t="shared" si="12"/>
        <v>2</v>
      </c>
      <c r="AC20" s="17">
        <f t="shared" si="12"/>
        <v>60</v>
      </c>
      <c r="AD20" s="17">
        <f t="shared" si="12"/>
        <v>0</v>
      </c>
      <c r="AE20" s="31">
        <f t="shared" si="12"/>
        <v>27</v>
      </c>
      <c r="AF20" s="31">
        <f t="shared" si="12"/>
        <v>87</v>
      </c>
    </row>
    <row r="21" spans="2:32" ht="23.1" customHeight="1" x14ac:dyDescent="0.25">
      <c r="B21" s="45" t="s">
        <v>48</v>
      </c>
      <c r="C21" s="50">
        <v>1</v>
      </c>
      <c r="D21" s="50">
        <v>1</v>
      </c>
      <c r="E21" s="50">
        <v>2</v>
      </c>
      <c r="F21" s="50">
        <v>2</v>
      </c>
      <c r="G21" s="50">
        <v>0</v>
      </c>
      <c r="H21" s="50">
        <v>0</v>
      </c>
      <c r="I21" s="50">
        <v>0</v>
      </c>
      <c r="J21" s="50">
        <v>2</v>
      </c>
      <c r="K21" s="50">
        <v>1</v>
      </c>
      <c r="L21" s="50">
        <v>0</v>
      </c>
      <c r="M21" s="50">
        <v>14</v>
      </c>
      <c r="N21" s="50">
        <v>0</v>
      </c>
      <c r="O21" s="15">
        <f t="shared" si="0"/>
        <v>9</v>
      </c>
      <c r="P21" s="15">
        <f t="shared" si="1"/>
        <v>23</v>
      </c>
      <c r="R21" s="36" t="s">
        <v>20</v>
      </c>
      <c r="S21" s="34">
        <f t="shared" ref="S21:AF21" si="13">SUM(C54:C57)</f>
        <v>9</v>
      </c>
      <c r="T21" s="17">
        <f t="shared" si="13"/>
        <v>6</v>
      </c>
      <c r="U21" s="17">
        <f t="shared" si="13"/>
        <v>1</v>
      </c>
      <c r="V21" s="17">
        <f t="shared" si="13"/>
        <v>9</v>
      </c>
      <c r="W21" s="17">
        <f t="shared" si="13"/>
        <v>1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7</v>
      </c>
      <c r="AB21" s="17">
        <f t="shared" si="13"/>
        <v>2</v>
      </c>
      <c r="AC21" s="17">
        <f t="shared" si="13"/>
        <v>54</v>
      </c>
      <c r="AD21" s="17">
        <f t="shared" si="13"/>
        <v>0</v>
      </c>
      <c r="AE21" s="31">
        <f t="shared" si="13"/>
        <v>37</v>
      </c>
      <c r="AF21" s="31">
        <f t="shared" si="13"/>
        <v>91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3</v>
      </c>
      <c r="P22" s="15">
        <f t="shared" si="1"/>
        <v>23</v>
      </c>
      <c r="R22" s="36" t="s">
        <v>146</v>
      </c>
      <c r="S22" s="34">
        <f>SUM(C58:C61)</f>
        <v>4</v>
      </c>
      <c r="T22" s="34">
        <f t="shared" ref="T22:AF22" si="14">SUM(D58:D61)</f>
        <v>0</v>
      </c>
      <c r="U22" s="34">
        <f t="shared" si="14"/>
        <v>2</v>
      </c>
      <c r="V22" s="34">
        <f t="shared" si="14"/>
        <v>4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62</v>
      </c>
      <c r="AD22" s="34">
        <f t="shared" si="14"/>
        <v>0</v>
      </c>
      <c r="AE22" s="31">
        <f t="shared" si="14"/>
        <v>16</v>
      </c>
      <c r="AF22" s="31">
        <f t="shared" si="14"/>
        <v>78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2</v>
      </c>
      <c r="P23" s="15">
        <f t="shared" si="1"/>
        <v>15</v>
      </c>
      <c r="R23" s="36" t="s">
        <v>147</v>
      </c>
      <c r="S23" s="34">
        <f>SUM(C62:C65)</f>
        <v>5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6</v>
      </c>
      <c r="W23" s="34">
        <f t="shared" si="15"/>
        <v>1</v>
      </c>
      <c r="X23" s="34">
        <f t="shared" si="15"/>
        <v>0</v>
      </c>
      <c r="Y23" s="34">
        <f t="shared" si="15"/>
        <v>4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33</v>
      </c>
      <c r="AD23" s="34">
        <f t="shared" si="15"/>
        <v>0</v>
      </c>
      <c r="AE23" s="31">
        <f t="shared" si="15"/>
        <v>19</v>
      </c>
      <c r="AF23" s="31">
        <f t="shared" si="15"/>
        <v>52</v>
      </c>
    </row>
    <row r="24" spans="2:32" ht="23.1" customHeight="1" x14ac:dyDescent="0.25">
      <c r="B24" s="45" t="s">
        <v>51</v>
      </c>
      <c r="C24" s="50">
        <v>0</v>
      </c>
      <c r="D24" s="50">
        <v>1</v>
      </c>
      <c r="E24" s="50">
        <v>0</v>
      </c>
      <c r="F24" s="50">
        <v>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4</v>
      </c>
      <c r="P24" s="15">
        <f t="shared" si="1"/>
        <v>18</v>
      </c>
      <c r="R24" s="36" t="s">
        <v>148</v>
      </c>
      <c r="S24" s="34">
        <f>SUM(C66:C69)</f>
        <v>3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1</v>
      </c>
      <c r="AA24" s="34">
        <f t="shared" si="16"/>
        <v>1</v>
      </c>
      <c r="AB24" s="34">
        <f t="shared" si="16"/>
        <v>0</v>
      </c>
      <c r="AC24" s="34">
        <f t="shared" si="16"/>
        <v>8</v>
      </c>
      <c r="AD24" s="34">
        <f t="shared" si="16"/>
        <v>0</v>
      </c>
      <c r="AE24" s="31">
        <f t="shared" si="16"/>
        <v>12</v>
      </c>
      <c r="AF24" s="31">
        <f t="shared" si="16"/>
        <v>20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2</v>
      </c>
      <c r="P25" s="15">
        <f t="shared" si="1"/>
        <v>15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3</v>
      </c>
      <c r="AA25" s="34">
        <f t="shared" si="17"/>
        <v>0</v>
      </c>
      <c r="AB25" s="34">
        <f t="shared" si="17"/>
        <v>0</v>
      </c>
      <c r="AC25" s="34">
        <f t="shared" si="17"/>
        <v>6</v>
      </c>
      <c r="AD25" s="34">
        <f t="shared" si="17"/>
        <v>0</v>
      </c>
      <c r="AE25" s="31">
        <f t="shared" si="17"/>
        <v>5</v>
      </c>
      <c r="AF25" s="31">
        <f t="shared" si="17"/>
        <v>11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4</v>
      </c>
      <c r="P26" s="15">
        <f t="shared" si="1"/>
        <v>19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4</v>
      </c>
      <c r="AD26" s="34">
        <f t="shared" si="18"/>
        <v>0</v>
      </c>
      <c r="AE26" s="31">
        <f t="shared" si="18"/>
        <v>5</v>
      </c>
      <c r="AF26" s="31">
        <f t="shared" si="18"/>
        <v>9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1</v>
      </c>
      <c r="P27" s="15">
        <f t="shared" si="1"/>
        <v>17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0</v>
      </c>
      <c r="AD27" s="34">
        <f t="shared" si="19"/>
        <v>0</v>
      </c>
      <c r="AE27" s="31">
        <f t="shared" si="19"/>
        <v>3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1</v>
      </c>
      <c r="P28" s="15">
        <f t="shared" si="1"/>
        <v>13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1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1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4</v>
      </c>
      <c r="P29" s="15">
        <f t="shared" si="1"/>
        <v>19</v>
      </c>
      <c r="R29" s="36" t="s">
        <v>153</v>
      </c>
      <c r="S29" s="34">
        <f>SUM(C86:C89)</f>
        <v>0</v>
      </c>
      <c r="T29" s="34">
        <f t="shared" ref="T29:AF29" si="21">SUM(D86:D89)</f>
        <v>2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1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5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0</v>
      </c>
      <c r="P30" s="15">
        <f t="shared" si="1"/>
        <v>19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3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4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1</v>
      </c>
      <c r="M31" s="50">
        <v>9</v>
      </c>
      <c r="N31" s="50">
        <v>0</v>
      </c>
      <c r="O31" s="15">
        <f t="shared" si="0"/>
        <v>7</v>
      </c>
      <c r="P31" s="15">
        <f t="shared" si="1"/>
        <v>16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2</v>
      </c>
      <c r="F32" s="50">
        <v>2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6</v>
      </c>
      <c r="P32" s="15">
        <f t="shared" si="1"/>
        <v>29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1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2</v>
      </c>
      <c r="AB32" s="34">
        <f t="shared" si="24"/>
        <v>0</v>
      </c>
      <c r="AC32" s="34">
        <f t="shared" si="24"/>
        <v>3</v>
      </c>
      <c r="AD32" s="34">
        <f t="shared" si="24"/>
        <v>0</v>
      </c>
      <c r="AE32" s="31">
        <f t="shared" si="24"/>
        <v>8</v>
      </c>
      <c r="AF32" s="31">
        <f t="shared" si="24"/>
        <v>11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1</v>
      </c>
      <c r="I33" s="50">
        <v>0</v>
      </c>
      <c r="J33" s="50">
        <v>0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3</v>
      </c>
      <c r="P33" s="15">
        <f t="shared" si="1"/>
        <v>17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5</v>
      </c>
      <c r="AB33" s="34">
        <f t="shared" si="25"/>
        <v>0</v>
      </c>
      <c r="AC33" s="34">
        <f t="shared" si="25"/>
        <v>2</v>
      </c>
      <c r="AD33" s="34">
        <f t="shared" si="25"/>
        <v>0</v>
      </c>
      <c r="AE33" s="31">
        <f t="shared" si="25"/>
        <v>8</v>
      </c>
      <c r="AF33" s="31">
        <f t="shared" si="25"/>
        <v>10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1</v>
      </c>
      <c r="M34" s="50">
        <v>24</v>
      </c>
      <c r="N34" s="50">
        <v>0</v>
      </c>
      <c r="O34" s="15">
        <f t="shared" si="0"/>
        <v>4</v>
      </c>
      <c r="P34" s="15">
        <f t="shared" si="1"/>
        <v>28</v>
      </c>
      <c r="R34" s="38" t="s">
        <v>90</v>
      </c>
      <c r="S34" s="39">
        <f t="shared" ref="S34:AF34" si="26">MAX(S10:S12)</f>
        <v>4</v>
      </c>
      <c r="T34" s="39">
        <f t="shared" si="26"/>
        <v>2</v>
      </c>
      <c r="U34" s="39">
        <f t="shared" si="26"/>
        <v>2</v>
      </c>
      <c r="V34" s="39">
        <f t="shared" si="26"/>
        <v>9</v>
      </c>
      <c r="W34" s="39">
        <f t="shared" si="26"/>
        <v>0</v>
      </c>
      <c r="X34" s="39">
        <f t="shared" si="26"/>
        <v>2</v>
      </c>
      <c r="Y34" s="39">
        <f t="shared" si="26"/>
        <v>2</v>
      </c>
      <c r="Z34" s="39">
        <f t="shared" si="26"/>
        <v>2</v>
      </c>
      <c r="AA34" s="39">
        <f t="shared" si="26"/>
        <v>2</v>
      </c>
      <c r="AB34" s="39">
        <f t="shared" si="26"/>
        <v>0</v>
      </c>
      <c r="AC34" s="39">
        <f t="shared" si="26"/>
        <v>38</v>
      </c>
      <c r="AD34" s="39">
        <f t="shared" si="26"/>
        <v>0</v>
      </c>
      <c r="AE34" s="40">
        <f t="shared" si="26"/>
        <v>20</v>
      </c>
      <c r="AF34" s="40">
        <f t="shared" si="26"/>
        <v>58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0"/>
        <v>2</v>
      </c>
      <c r="P35" s="15">
        <f t="shared" si="1"/>
        <v>14</v>
      </c>
      <c r="R35" s="38" t="s">
        <v>91</v>
      </c>
      <c r="S35" s="39">
        <f t="shared" ref="S35:AF35" si="27">MAX(S13:S18)</f>
        <v>6</v>
      </c>
      <c r="T35" s="39">
        <f t="shared" si="27"/>
        <v>5</v>
      </c>
      <c r="U35" s="39">
        <f t="shared" si="27"/>
        <v>3</v>
      </c>
      <c r="V35" s="39">
        <f t="shared" si="27"/>
        <v>5</v>
      </c>
      <c r="W35" s="39">
        <f t="shared" si="27"/>
        <v>0</v>
      </c>
      <c r="X35" s="39">
        <f t="shared" si="27"/>
        <v>1</v>
      </c>
      <c r="Y35" s="39">
        <f t="shared" si="27"/>
        <v>3</v>
      </c>
      <c r="Z35" s="39">
        <f t="shared" si="27"/>
        <v>3</v>
      </c>
      <c r="AA35" s="39">
        <f t="shared" si="27"/>
        <v>1</v>
      </c>
      <c r="AB35" s="39">
        <f t="shared" si="27"/>
        <v>1</v>
      </c>
      <c r="AC35" s="39">
        <f t="shared" si="27"/>
        <v>65</v>
      </c>
      <c r="AD35" s="39">
        <f t="shared" si="27"/>
        <v>0</v>
      </c>
      <c r="AE35" s="40">
        <f t="shared" si="27"/>
        <v>21</v>
      </c>
      <c r="AF35" s="40">
        <f t="shared" si="27"/>
        <v>81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0</v>
      </c>
      <c r="F36" s="50">
        <v>3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4</v>
      </c>
      <c r="P36" s="15">
        <f t="shared" si="1"/>
        <v>14</v>
      </c>
      <c r="R36" s="38" t="s">
        <v>92</v>
      </c>
      <c r="S36" s="39">
        <f t="shared" ref="S36:AF36" si="28">MAX(S19:S21)</f>
        <v>9</v>
      </c>
      <c r="T36" s="39">
        <f t="shared" si="28"/>
        <v>6</v>
      </c>
      <c r="U36" s="39">
        <f t="shared" si="28"/>
        <v>5</v>
      </c>
      <c r="V36" s="39">
        <f t="shared" si="28"/>
        <v>9</v>
      </c>
      <c r="W36" s="39">
        <f t="shared" si="28"/>
        <v>1</v>
      </c>
      <c r="X36" s="39">
        <f t="shared" si="28"/>
        <v>1</v>
      </c>
      <c r="Y36" s="39">
        <f t="shared" si="28"/>
        <v>3</v>
      </c>
      <c r="Z36" s="39">
        <f t="shared" si="28"/>
        <v>4</v>
      </c>
      <c r="AA36" s="39">
        <f t="shared" si="28"/>
        <v>7</v>
      </c>
      <c r="AB36" s="39">
        <f t="shared" si="28"/>
        <v>2</v>
      </c>
      <c r="AC36" s="39">
        <f t="shared" si="28"/>
        <v>60</v>
      </c>
      <c r="AD36" s="39">
        <f t="shared" si="28"/>
        <v>0</v>
      </c>
      <c r="AE36" s="40">
        <f t="shared" si="28"/>
        <v>37</v>
      </c>
      <c r="AF36" s="40">
        <f t="shared" si="28"/>
        <v>91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2</v>
      </c>
      <c r="P37" s="15">
        <f t="shared" si="1"/>
        <v>10</v>
      </c>
      <c r="R37" s="37" t="s">
        <v>85</v>
      </c>
      <c r="S37" s="35">
        <f t="shared" ref="S37:AF37" si="29">SUM(S10:S12)</f>
        <v>10</v>
      </c>
      <c r="T37" s="16">
        <f t="shared" si="29"/>
        <v>2</v>
      </c>
      <c r="U37" s="16">
        <f t="shared" si="29"/>
        <v>3</v>
      </c>
      <c r="V37" s="16">
        <f t="shared" si="29"/>
        <v>17</v>
      </c>
      <c r="W37" s="16">
        <f t="shared" si="29"/>
        <v>0</v>
      </c>
      <c r="X37" s="16">
        <f t="shared" si="29"/>
        <v>2</v>
      </c>
      <c r="Y37" s="16">
        <f t="shared" si="29"/>
        <v>4</v>
      </c>
      <c r="Z37" s="16">
        <f t="shared" si="29"/>
        <v>5</v>
      </c>
      <c r="AA37" s="16">
        <f t="shared" si="29"/>
        <v>2</v>
      </c>
      <c r="AB37" s="16">
        <f t="shared" si="29"/>
        <v>0</v>
      </c>
      <c r="AC37" s="16">
        <f t="shared" si="29"/>
        <v>86</v>
      </c>
      <c r="AD37" s="16">
        <f t="shared" si="29"/>
        <v>0</v>
      </c>
      <c r="AE37" s="32">
        <f t="shared" si="29"/>
        <v>45</v>
      </c>
      <c r="AF37" s="32">
        <f t="shared" si="29"/>
        <v>131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5</v>
      </c>
      <c r="P38" s="15">
        <f t="shared" si="1"/>
        <v>18</v>
      </c>
      <c r="R38" s="28" t="s">
        <v>86</v>
      </c>
      <c r="S38" s="16">
        <f t="shared" ref="S38:AF38" si="30">SUM(S13:S18)</f>
        <v>20</v>
      </c>
      <c r="T38" s="16">
        <f t="shared" si="30"/>
        <v>10</v>
      </c>
      <c r="U38" s="16">
        <f t="shared" si="30"/>
        <v>6</v>
      </c>
      <c r="V38" s="16">
        <f t="shared" si="30"/>
        <v>26</v>
      </c>
      <c r="W38" s="16">
        <f t="shared" si="30"/>
        <v>0</v>
      </c>
      <c r="X38" s="16">
        <f t="shared" si="30"/>
        <v>1</v>
      </c>
      <c r="Y38" s="16">
        <f t="shared" si="30"/>
        <v>15</v>
      </c>
      <c r="Z38" s="16">
        <f t="shared" si="30"/>
        <v>5</v>
      </c>
      <c r="AA38" s="16">
        <f t="shared" si="30"/>
        <v>1</v>
      </c>
      <c r="AB38" s="16">
        <f t="shared" si="30"/>
        <v>4</v>
      </c>
      <c r="AC38" s="16">
        <f t="shared" si="30"/>
        <v>312</v>
      </c>
      <c r="AD38" s="16">
        <f t="shared" si="30"/>
        <v>0</v>
      </c>
      <c r="AE38" s="32">
        <f t="shared" si="30"/>
        <v>88</v>
      </c>
      <c r="AF38" s="32">
        <f t="shared" si="30"/>
        <v>400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3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3</v>
      </c>
      <c r="P39" s="15">
        <f t="shared" si="1"/>
        <v>13</v>
      </c>
      <c r="R39" s="29" t="s">
        <v>87</v>
      </c>
      <c r="S39" s="16">
        <f t="shared" ref="S39:AF39" si="31">SUM(S19:S21)</f>
        <v>21</v>
      </c>
      <c r="T39" s="16">
        <f t="shared" si="31"/>
        <v>12</v>
      </c>
      <c r="U39" s="16">
        <f t="shared" si="31"/>
        <v>8</v>
      </c>
      <c r="V39" s="16">
        <f t="shared" si="31"/>
        <v>19</v>
      </c>
      <c r="W39" s="16">
        <f t="shared" si="31"/>
        <v>1</v>
      </c>
      <c r="X39" s="16">
        <f t="shared" si="31"/>
        <v>1</v>
      </c>
      <c r="Y39" s="16">
        <f t="shared" si="31"/>
        <v>6</v>
      </c>
      <c r="Z39" s="16">
        <f t="shared" si="31"/>
        <v>4</v>
      </c>
      <c r="AA39" s="16">
        <f t="shared" si="31"/>
        <v>11</v>
      </c>
      <c r="AB39" s="16">
        <f t="shared" si="31"/>
        <v>4</v>
      </c>
      <c r="AC39" s="16">
        <f t="shared" si="31"/>
        <v>160</v>
      </c>
      <c r="AD39" s="16">
        <f t="shared" si="31"/>
        <v>0</v>
      </c>
      <c r="AE39" s="32">
        <f t="shared" si="31"/>
        <v>87</v>
      </c>
      <c r="AF39" s="32">
        <f t="shared" si="31"/>
        <v>247</v>
      </c>
    </row>
    <row r="40" spans="2:32" ht="23.1" customHeight="1" x14ac:dyDescent="0.25">
      <c r="B40" s="46" t="s">
        <v>67</v>
      </c>
      <c r="C40" s="50">
        <v>2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1</v>
      </c>
      <c r="M40" s="50">
        <v>8</v>
      </c>
      <c r="N40" s="50">
        <v>0</v>
      </c>
      <c r="O40" s="15">
        <f t="shared" si="0"/>
        <v>4</v>
      </c>
      <c r="P40" s="15">
        <f t="shared" si="1"/>
        <v>12</v>
      </c>
      <c r="R40" s="5" t="s">
        <v>17</v>
      </c>
      <c r="S40" s="16">
        <f t="shared" ref="S40:AF40" si="32">SUM(S10:S21)</f>
        <v>51</v>
      </c>
      <c r="T40" s="16">
        <f t="shared" si="32"/>
        <v>24</v>
      </c>
      <c r="U40" s="16">
        <f t="shared" si="32"/>
        <v>17</v>
      </c>
      <c r="V40" s="16">
        <f t="shared" si="32"/>
        <v>62</v>
      </c>
      <c r="W40" s="16">
        <f t="shared" si="32"/>
        <v>1</v>
      </c>
      <c r="X40" s="16">
        <f t="shared" si="32"/>
        <v>4</v>
      </c>
      <c r="Y40" s="16">
        <f t="shared" si="32"/>
        <v>25</v>
      </c>
      <c r="Z40" s="16">
        <f t="shared" si="32"/>
        <v>14</v>
      </c>
      <c r="AA40" s="16">
        <f t="shared" si="32"/>
        <v>14</v>
      </c>
      <c r="AB40" s="16">
        <f t="shared" si="32"/>
        <v>8</v>
      </c>
      <c r="AC40" s="16">
        <f t="shared" si="32"/>
        <v>558</v>
      </c>
      <c r="AD40" s="16">
        <f t="shared" si="32"/>
        <v>0</v>
      </c>
      <c r="AE40" s="32">
        <f t="shared" si="32"/>
        <v>220</v>
      </c>
      <c r="AF40" s="32">
        <f t="shared" si="32"/>
        <v>778</v>
      </c>
    </row>
    <row r="41" spans="2:32" ht="23.1" customHeight="1" x14ac:dyDescent="0.25">
      <c r="B41" s="45" t="s">
        <v>68</v>
      </c>
      <c r="C41" s="50">
        <v>2</v>
      </c>
      <c r="D41" s="50">
        <v>4</v>
      </c>
      <c r="E41" s="50">
        <v>1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9</v>
      </c>
      <c r="P41" s="15">
        <f t="shared" si="1"/>
        <v>13</v>
      </c>
      <c r="R41" s="5" t="s">
        <v>159</v>
      </c>
      <c r="S41" s="16">
        <f>SUM(S10:S33)</f>
        <v>68</v>
      </c>
      <c r="T41" s="16">
        <f t="shared" ref="T41:AF41" si="33">SUM(T10:T33)</f>
        <v>27</v>
      </c>
      <c r="U41" s="16">
        <f t="shared" si="33"/>
        <v>23</v>
      </c>
      <c r="V41" s="16">
        <f t="shared" si="33"/>
        <v>82</v>
      </c>
      <c r="W41" s="16">
        <f t="shared" si="33"/>
        <v>3</v>
      </c>
      <c r="X41" s="16">
        <f t="shared" si="33"/>
        <v>4</v>
      </c>
      <c r="Y41" s="16">
        <f t="shared" si="33"/>
        <v>39</v>
      </c>
      <c r="Z41" s="16">
        <f t="shared" si="33"/>
        <v>23</v>
      </c>
      <c r="AA41" s="16">
        <f t="shared" si="33"/>
        <v>28</v>
      </c>
      <c r="AB41" s="16">
        <f t="shared" si="33"/>
        <v>9</v>
      </c>
      <c r="AC41" s="16">
        <f t="shared" si="33"/>
        <v>679</v>
      </c>
      <c r="AD41" s="16">
        <f t="shared" si="33"/>
        <v>0</v>
      </c>
      <c r="AE41" s="32">
        <f t="shared" si="33"/>
        <v>306</v>
      </c>
      <c r="AF41" s="32">
        <f t="shared" si="33"/>
        <v>985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6</v>
      </c>
      <c r="N42" s="50">
        <v>0</v>
      </c>
      <c r="O42" s="15">
        <f t="shared" si="0"/>
        <v>2</v>
      </c>
      <c r="P42" s="15">
        <f t="shared" si="1"/>
        <v>8</v>
      </c>
      <c r="R42" s="5" t="s">
        <v>160</v>
      </c>
      <c r="S42" s="48">
        <f>S41/S40</f>
        <v>1.3333333333333333</v>
      </c>
      <c r="T42" s="48">
        <f t="shared" ref="T42:AF42" si="34">T41/T40</f>
        <v>1.125</v>
      </c>
      <c r="U42" s="48">
        <f t="shared" si="34"/>
        <v>1.3529411764705883</v>
      </c>
      <c r="V42" s="48">
        <f t="shared" si="34"/>
        <v>1.3225806451612903</v>
      </c>
      <c r="W42" s="48">
        <f t="shared" si="34"/>
        <v>3</v>
      </c>
      <c r="X42" s="48">
        <f t="shared" si="34"/>
        <v>1</v>
      </c>
      <c r="Y42" s="48">
        <f t="shared" si="34"/>
        <v>1.56</v>
      </c>
      <c r="Z42" s="48">
        <f t="shared" si="34"/>
        <v>1.6428571428571428</v>
      </c>
      <c r="AA42" s="48">
        <f t="shared" si="34"/>
        <v>2</v>
      </c>
      <c r="AB42" s="48">
        <f t="shared" si="34"/>
        <v>1.125</v>
      </c>
      <c r="AC42" s="48">
        <f t="shared" si="34"/>
        <v>1.2168458781362008</v>
      </c>
      <c r="AD42" s="48" t="e">
        <f t="shared" si="34"/>
        <v>#DIV/0!</v>
      </c>
      <c r="AE42" s="48">
        <f t="shared" si="34"/>
        <v>1.3909090909090909</v>
      </c>
      <c r="AF42" s="48">
        <f t="shared" si="34"/>
        <v>1.2660668380462725</v>
      </c>
    </row>
    <row r="43" spans="2:32" ht="23.1" customHeight="1" x14ac:dyDescent="0.25">
      <c r="B43" s="45" t="s">
        <v>70</v>
      </c>
      <c r="C43" s="50">
        <v>2</v>
      </c>
      <c r="D43" s="50">
        <v>1</v>
      </c>
      <c r="E43" s="50">
        <v>0</v>
      </c>
      <c r="F43" s="50">
        <v>4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1</v>
      </c>
      <c r="M43" s="50">
        <v>14</v>
      </c>
      <c r="N43" s="50">
        <v>0</v>
      </c>
      <c r="O43" s="15">
        <f t="shared" si="0"/>
        <v>11</v>
      </c>
      <c r="P43" s="15">
        <f t="shared" si="1"/>
        <v>25</v>
      </c>
    </row>
    <row r="44" spans="2:32" ht="23.1" customHeight="1" x14ac:dyDescent="0.25">
      <c r="B44" s="47" t="s">
        <v>71</v>
      </c>
      <c r="C44" s="50">
        <v>4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5</v>
      </c>
      <c r="P44" s="15">
        <f t="shared" si="1"/>
        <v>16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0</v>
      </c>
      <c r="P45" s="15">
        <f t="shared" si="1"/>
        <v>9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1</v>
      </c>
      <c r="P46" s="15">
        <f t="shared" si="1"/>
        <v>13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1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0</v>
      </c>
      <c r="M47" s="50">
        <v>13</v>
      </c>
      <c r="N47" s="50">
        <v>0</v>
      </c>
      <c r="O47" s="15">
        <f t="shared" si="0"/>
        <v>8</v>
      </c>
      <c r="P47" s="15">
        <f t="shared" si="1"/>
        <v>21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1</v>
      </c>
      <c r="E48" s="50">
        <v>1</v>
      </c>
      <c r="F48" s="50">
        <v>1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5</v>
      </c>
      <c r="P48" s="15">
        <f t="shared" si="1"/>
        <v>16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1</v>
      </c>
      <c r="E49" s="50">
        <v>0</v>
      </c>
      <c r="F49" s="50">
        <v>2</v>
      </c>
      <c r="G49" s="50">
        <v>0</v>
      </c>
      <c r="H49" s="50">
        <v>1</v>
      </c>
      <c r="I49" s="50">
        <v>1</v>
      </c>
      <c r="J49" s="50">
        <v>0</v>
      </c>
      <c r="K49" s="50">
        <v>2</v>
      </c>
      <c r="L49" s="50">
        <v>0</v>
      </c>
      <c r="M49" s="50">
        <v>10</v>
      </c>
      <c r="N49" s="50">
        <v>0</v>
      </c>
      <c r="O49" s="15">
        <f t="shared" si="0"/>
        <v>9</v>
      </c>
      <c r="P49" s="15">
        <f t="shared" si="1"/>
        <v>19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1</v>
      </c>
      <c r="E50" s="50">
        <v>1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1</v>
      </c>
      <c r="M50" s="50">
        <v>17</v>
      </c>
      <c r="N50" s="50">
        <v>0</v>
      </c>
      <c r="O50" s="15">
        <f t="shared" si="0"/>
        <v>7</v>
      </c>
      <c r="P50" s="15">
        <f t="shared" si="1"/>
        <v>24</v>
      </c>
      <c r="R50" s="8"/>
      <c r="T50"/>
    </row>
    <row r="51" spans="2:20" ht="23.1" customHeight="1" x14ac:dyDescent="0.25">
      <c r="B51" s="46" t="s">
        <v>78</v>
      </c>
      <c r="C51" s="50">
        <v>2</v>
      </c>
      <c r="D51" s="50">
        <v>1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5</v>
      </c>
      <c r="P51" s="15">
        <f t="shared" si="1"/>
        <v>21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1</v>
      </c>
      <c r="M52" s="50">
        <v>13</v>
      </c>
      <c r="N52" s="50">
        <v>0</v>
      </c>
      <c r="O52" s="15">
        <f t="shared" si="0"/>
        <v>8</v>
      </c>
      <c r="P52" s="15">
        <f t="shared" si="1"/>
        <v>21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1</v>
      </c>
      <c r="E53" s="50">
        <v>2</v>
      </c>
      <c r="F53" s="50">
        <v>2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7</v>
      </c>
      <c r="P53" s="15">
        <f t="shared" si="1"/>
        <v>21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1</v>
      </c>
      <c r="F54" s="50">
        <v>3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6</v>
      </c>
      <c r="P54" s="15">
        <f t="shared" si="1"/>
        <v>21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2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3</v>
      </c>
      <c r="L55" s="50">
        <v>1</v>
      </c>
      <c r="M55" s="50">
        <v>9</v>
      </c>
      <c r="N55" s="50">
        <v>0</v>
      </c>
      <c r="O55" s="15">
        <f t="shared" si="0"/>
        <v>8</v>
      </c>
      <c r="P55" s="15">
        <f t="shared" si="1"/>
        <v>17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4</v>
      </c>
      <c r="E56" s="50">
        <v>0</v>
      </c>
      <c r="F56" s="50">
        <v>3</v>
      </c>
      <c r="G56" s="50">
        <v>1</v>
      </c>
      <c r="H56" s="50">
        <v>0</v>
      </c>
      <c r="I56" s="50">
        <v>1</v>
      </c>
      <c r="J56" s="50">
        <v>0</v>
      </c>
      <c r="K56" s="50">
        <v>2</v>
      </c>
      <c r="L56" s="50">
        <v>1</v>
      </c>
      <c r="M56" s="50">
        <v>25</v>
      </c>
      <c r="N56" s="50">
        <v>0</v>
      </c>
      <c r="O56" s="15">
        <f t="shared" si="0"/>
        <v>15</v>
      </c>
      <c r="P56" s="15">
        <f t="shared" si="1"/>
        <v>40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0</v>
      </c>
      <c r="E57" s="50">
        <v>0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2</v>
      </c>
      <c r="L57" s="50">
        <v>0</v>
      </c>
      <c r="M57" s="50">
        <v>5</v>
      </c>
      <c r="N57" s="50">
        <v>0</v>
      </c>
      <c r="O57" s="15">
        <f t="shared" si="0"/>
        <v>8</v>
      </c>
      <c r="P57" s="15">
        <f t="shared" si="1"/>
        <v>13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17</v>
      </c>
      <c r="N58" s="50">
        <v>0</v>
      </c>
      <c r="O58" s="15">
        <f t="shared" ref="O58:O105" si="35">SUM(C58:L58,N58)</f>
        <v>3</v>
      </c>
      <c r="P58" s="15">
        <f t="shared" ref="P58:P105" si="36">SUM(C58:N58)</f>
        <v>20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0</v>
      </c>
      <c r="E59" s="50">
        <v>2</v>
      </c>
      <c r="F59" s="50">
        <v>2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19</v>
      </c>
      <c r="N59" s="50">
        <v>0</v>
      </c>
      <c r="O59" s="15">
        <f t="shared" si="35"/>
        <v>8</v>
      </c>
      <c r="P59" s="15">
        <f t="shared" si="36"/>
        <v>27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15</v>
      </c>
      <c r="N60" s="50">
        <v>0</v>
      </c>
      <c r="O60" s="15">
        <f t="shared" si="35"/>
        <v>2</v>
      </c>
      <c r="P60" s="15">
        <f t="shared" si="36"/>
        <v>17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1</v>
      </c>
      <c r="G61" s="50">
        <v>0</v>
      </c>
      <c r="H61" s="50">
        <v>0</v>
      </c>
      <c r="I61" s="50">
        <v>1</v>
      </c>
      <c r="J61" s="50">
        <v>0</v>
      </c>
      <c r="K61" s="50">
        <v>1</v>
      </c>
      <c r="L61" s="50">
        <v>0</v>
      </c>
      <c r="M61" s="50">
        <v>11</v>
      </c>
      <c r="N61" s="50">
        <v>0</v>
      </c>
      <c r="O61" s="15">
        <f t="shared" si="35"/>
        <v>3</v>
      </c>
      <c r="P61" s="15">
        <f t="shared" si="36"/>
        <v>14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1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10</v>
      </c>
      <c r="N62" s="50">
        <v>0</v>
      </c>
      <c r="O62" s="15">
        <f t="shared" si="35"/>
        <v>3</v>
      </c>
      <c r="P62" s="15">
        <f t="shared" si="36"/>
        <v>13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1</v>
      </c>
      <c r="F63" s="50">
        <v>4</v>
      </c>
      <c r="G63" s="50">
        <v>0</v>
      </c>
      <c r="H63" s="50">
        <v>0</v>
      </c>
      <c r="I63" s="50">
        <v>2</v>
      </c>
      <c r="J63" s="50">
        <v>1</v>
      </c>
      <c r="K63" s="50">
        <v>0</v>
      </c>
      <c r="L63" s="50">
        <v>0</v>
      </c>
      <c r="M63" s="50">
        <v>10</v>
      </c>
      <c r="N63" s="50">
        <v>0</v>
      </c>
      <c r="O63" s="15">
        <f t="shared" si="35"/>
        <v>10</v>
      </c>
      <c r="P63" s="15">
        <f t="shared" si="36"/>
        <v>20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1</v>
      </c>
      <c r="G64" s="50">
        <v>1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4</v>
      </c>
      <c r="N64" s="50">
        <v>0</v>
      </c>
      <c r="O64" s="15">
        <f t="shared" si="35"/>
        <v>3</v>
      </c>
      <c r="P64" s="15">
        <f t="shared" si="36"/>
        <v>7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9</v>
      </c>
      <c r="N65" s="50">
        <v>0</v>
      </c>
      <c r="O65" s="15">
        <f t="shared" si="35"/>
        <v>3</v>
      </c>
      <c r="P65" s="15">
        <f t="shared" si="36"/>
        <v>12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1</v>
      </c>
      <c r="G66" s="50">
        <v>0</v>
      </c>
      <c r="H66" s="50">
        <v>0</v>
      </c>
      <c r="I66" s="50">
        <v>1</v>
      </c>
      <c r="J66" s="50">
        <v>0</v>
      </c>
      <c r="K66" s="50">
        <v>1</v>
      </c>
      <c r="L66" s="50">
        <v>0</v>
      </c>
      <c r="M66" s="50">
        <v>5</v>
      </c>
      <c r="N66" s="50">
        <v>0</v>
      </c>
      <c r="O66" s="15">
        <f t="shared" si="35"/>
        <v>5</v>
      </c>
      <c r="P66" s="15">
        <f t="shared" si="36"/>
        <v>10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35"/>
        <v>1</v>
      </c>
      <c r="P67" s="15">
        <f t="shared" si="36"/>
        <v>2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35"/>
        <v>1</v>
      </c>
      <c r="P68" s="15">
        <f t="shared" si="36"/>
        <v>2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1</v>
      </c>
      <c r="E69" s="50">
        <v>1</v>
      </c>
      <c r="F69" s="50">
        <v>1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1</v>
      </c>
      <c r="N69" s="50">
        <v>0</v>
      </c>
      <c r="O69" s="15">
        <f t="shared" si="35"/>
        <v>5</v>
      </c>
      <c r="P69" s="15">
        <f t="shared" si="36"/>
        <v>6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35"/>
        <v>1</v>
      </c>
      <c r="P70" s="15">
        <f t="shared" si="36"/>
        <v>2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35"/>
        <v>0</v>
      </c>
      <c r="P71" s="15">
        <f t="shared" si="36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1</v>
      </c>
      <c r="N72" s="50">
        <v>0</v>
      </c>
      <c r="O72" s="15">
        <f t="shared" si="35"/>
        <v>2</v>
      </c>
      <c r="P72" s="15">
        <f t="shared" si="36"/>
        <v>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2</v>
      </c>
      <c r="K73" s="50">
        <v>0</v>
      </c>
      <c r="L73" s="50">
        <v>0</v>
      </c>
      <c r="M73" s="50">
        <v>2</v>
      </c>
      <c r="N73" s="50">
        <v>0</v>
      </c>
      <c r="O73" s="15">
        <f t="shared" si="35"/>
        <v>2</v>
      </c>
      <c r="P73" s="15">
        <f t="shared" si="36"/>
        <v>4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si="35"/>
        <v>1</v>
      </c>
      <c r="P74" s="15">
        <f t="shared" si="36"/>
        <v>2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1</v>
      </c>
      <c r="L75" s="50">
        <v>0</v>
      </c>
      <c r="M75" s="50">
        <v>3</v>
      </c>
      <c r="N75" s="50">
        <v>0</v>
      </c>
      <c r="O75" s="15">
        <f t="shared" si="35"/>
        <v>2</v>
      </c>
      <c r="P75" s="15">
        <f t="shared" si="36"/>
        <v>5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1</v>
      </c>
      <c r="M81" s="50">
        <v>0</v>
      </c>
      <c r="N81" s="50">
        <v>0</v>
      </c>
      <c r="O81" s="15">
        <f t="shared" si="35"/>
        <v>3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2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3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1</v>
      </c>
      <c r="L89" s="50">
        <v>0</v>
      </c>
      <c r="M89" s="50">
        <v>0</v>
      </c>
      <c r="N89" s="50"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1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2</v>
      </c>
      <c r="L92" s="50">
        <v>0</v>
      </c>
      <c r="M92" s="50">
        <v>0</v>
      </c>
      <c r="N92" s="50">
        <v>0</v>
      </c>
      <c r="O92" s="15">
        <f t="shared" si="35"/>
        <v>3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1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1</v>
      </c>
      <c r="J101" s="50">
        <v>1</v>
      </c>
      <c r="K101" s="50">
        <v>2</v>
      </c>
      <c r="L101" s="50">
        <v>0</v>
      </c>
      <c r="M101" s="50">
        <v>3</v>
      </c>
      <c r="N101" s="50">
        <v>0</v>
      </c>
      <c r="O101" s="15">
        <f t="shared" si="35"/>
        <v>5</v>
      </c>
      <c r="P101" s="15">
        <f t="shared" si="36"/>
        <v>8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3</v>
      </c>
      <c r="L102" s="50">
        <v>0</v>
      </c>
      <c r="M102" s="50">
        <v>0</v>
      </c>
      <c r="N102" s="50">
        <v>0</v>
      </c>
      <c r="O102" s="15">
        <f t="shared" si="35"/>
        <v>4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0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2</v>
      </c>
      <c r="L104" s="50">
        <v>0</v>
      </c>
      <c r="M104" s="50">
        <v>0</v>
      </c>
      <c r="N104" s="50">
        <v>0</v>
      </c>
      <c r="O104" s="15">
        <f t="shared" si="35"/>
        <v>2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 t="s">
        <v>174</v>
      </c>
      <c r="N105" s="50">
        <v>0</v>
      </c>
      <c r="O105" s="15">
        <f t="shared" si="35"/>
        <v>2</v>
      </c>
      <c r="P105" s="15">
        <f t="shared" si="36"/>
        <v>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68</v>
      </c>
      <c r="D106" s="16">
        <f t="shared" ref="D106:P106" si="37">SUM(D10:D105)</f>
        <v>27</v>
      </c>
      <c r="E106" s="16">
        <f t="shared" si="37"/>
        <v>23</v>
      </c>
      <c r="F106" s="16">
        <f t="shared" si="37"/>
        <v>82</v>
      </c>
      <c r="G106" s="16">
        <f t="shared" si="37"/>
        <v>3</v>
      </c>
      <c r="H106" s="16">
        <f t="shared" si="37"/>
        <v>4</v>
      </c>
      <c r="I106" s="16">
        <f t="shared" si="37"/>
        <v>39</v>
      </c>
      <c r="J106" s="16">
        <f t="shared" si="37"/>
        <v>23</v>
      </c>
      <c r="K106" s="16">
        <f t="shared" si="37"/>
        <v>28</v>
      </c>
      <c r="L106" s="16">
        <f t="shared" si="37"/>
        <v>9</v>
      </c>
      <c r="M106" s="16">
        <f t="shared" si="37"/>
        <v>679</v>
      </c>
      <c r="N106" s="16">
        <f t="shared" si="37"/>
        <v>0</v>
      </c>
      <c r="O106" s="16">
        <f t="shared" si="37"/>
        <v>306</v>
      </c>
      <c r="P106" s="16">
        <f t="shared" si="37"/>
        <v>985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6.9035532994923862E-2</v>
      </c>
      <c r="D107" s="43">
        <f t="shared" si="38"/>
        <v>2.7411167512690356E-2</v>
      </c>
      <c r="E107" s="43">
        <f t="shared" si="38"/>
        <v>2.3350253807106598E-2</v>
      </c>
      <c r="F107" s="43">
        <f t="shared" si="38"/>
        <v>8.3248730964466999E-2</v>
      </c>
      <c r="G107" s="43">
        <f t="shared" si="38"/>
        <v>3.0456852791878172E-3</v>
      </c>
      <c r="H107" s="43">
        <f t="shared" si="38"/>
        <v>4.0609137055837565E-3</v>
      </c>
      <c r="I107" s="43">
        <f t="shared" si="38"/>
        <v>3.9593908629441621E-2</v>
      </c>
      <c r="J107" s="43">
        <f t="shared" si="38"/>
        <v>2.3350253807106598E-2</v>
      </c>
      <c r="K107" s="43">
        <f t="shared" si="38"/>
        <v>2.8426395939086295E-2</v>
      </c>
      <c r="L107" s="43">
        <f t="shared" si="38"/>
        <v>9.1370558375634525E-3</v>
      </c>
      <c r="M107" s="43">
        <f t="shared" si="38"/>
        <v>0.68934010152284264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0.22222222222222221</v>
      </c>
      <c r="D108" s="44">
        <f t="shared" ref="D108:N108" si="39">D106/$O$106</f>
        <v>8.8235294117647065E-2</v>
      </c>
      <c r="E108" s="44">
        <f t="shared" si="39"/>
        <v>7.5163398692810454E-2</v>
      </c>
      <c r="F108" s="44">
        <f t="shared" si="39"/>
        <v>0.26797385620915032</v>
      </c>
      <c r="G108" s="44">
        <f t="shared" si="39"/>
        <v>9.8039215686274508E-3</v>
      </c>
      <c r="H108" s="44">
        <f t="shared" si="39"/>
        <v>1.3071895424836602E-2</v>
      </c>
      <c r="I108" s="44">
        <f t="shared" si="39"/>
        <v>0.12745098039215685</v>
      </c>
      <c r="J108" s="44">
        <f t="shared" si="39"/>
        <v>7.5163398692810454E-2</v>
      </c>
      <c r="K108" s="44">
        <f t="shared" si="39"/>
        <v>9.1503267973856203E-2</v>
      </c>
      <c r="L108" s="44">
        <f t="shared" si="39"/>
        <v>2.9411764705882353E-2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5" zoomScale="60" workbookViewId="0">
      <selection activeCell="G24" sqref="G24:G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tr">
        <f>'19.10 KAYUNGA-GALIRAYA-24h'!D5</f>
        <v>19.10.19</v>
      </c>
      <c r="E5" s="3"/>
      <c r="F5" s="41" t="s">
        <v>1</v>
      </c>
      <c r="G5" s="59" t="str">
        <f>'19.10 KAYUNGA-GALIRAYA-24h'!G5:H5</f>
        <v>KYANYA</v>
      </c>
      <c r="H5" s="60"/>
      <c r="I5" s="14"/>
      <c r="J5" s="2" t="s">
        <v>5</v>
      </c>
      <c r="K5" s="59" t="s">
        <v>177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GALIRAYA-KAYUNGA'!D6:E6</f>
        <v>GALIRAYA</v>
      </c>
      <c r="E6" s="60"/>
      <c r="F6" s="2" t="s">
        <v>2</v>
      </c>
      <c r="G6" s="59" t="str">
        <f>'18.10 GALIRAYA-KAYUNGA'!G6:H6</f>
        <v>KAYUNGA</v>
      </c>
      <c r="H6" s="60"/>
      <c r="J6" s="2" t="s">
        <v>21</v>
      </c>
      <c r="K6" s="59" t="str">
        <f>'19.10 KAYUNGA-GALIRAYA-24h'!K6:L6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1</v>
      </c>
      <c r="L10" s="50">
        <v>0</v>
      </c>
      <c r="M10" s="50">
        <v>2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3</v>
      </c>
      <c r="AA10" s="17">
        <f t="shared" si="2"/>
        <v>5</v>
      </c>
      <c r="AB10" s="17">
        <f t="shared" si="2"/>
        <v>1</v>
      </c>
      <c r="AC10" s="17">
        <f t="shared" si="2"/>
        <v>5</v>
      </c>
      <c r="AD10" s="17">
        <f t="shared" si="2"/>
        <v>0</v>
      </c>
      <c r="AE10" s="31">
        <f t="shared" si="2"/>
        <v>12</v>
      </c>
      <c r="AF10" s="31">
        <f t="shared" si="2"/>
        <v>17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1</v>
      </c>
      <c r="N11" s="50">
        <v>0</v>
      </c>
      <c r="O11" s="15">
        <f t="shared" si="0"/>
        <v>1</v>
      </c>
      <c r="P11" s="15">
        <f t="shared" si="1"/>
        <v>2</v>
      </c>
      <c r="R11" s="1" t="s">
        <v>7</v>
      </c>
      <c r="S11" s="17">
        <f t="shared" ref="S11:AF11" si="3">SUM(C14:C17)</f>
        <v>4</v>
      </c>
      <c r="T11" s="17">
        <f t="shared" si="3"/>
        <v>2</v>
      </c>
      <c r="U11" s="17">
        <f t="shared" si="3"/>
        <v>0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40</v>
      </c>
      <c r="AD11" s="17">
        <f t="shared" si="3"/>
        <v>0</v>
      </c>
      <c r="AE11" s="31">
        <f t="shared" si="3"/>
        <v>22</v>
      </c>
      <c r="AF11" s="31">
        <f t="shared" si="3"/>
        <v>62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1</v>
      </c>
      <c r="K12" s="50">
        <v>4</v>
      </c>
      <c r="L12" s="50">
        <v>0</v>
      </c>
      <c r="M12" s="50">
        <v>0</v>
      </c>
      <c r="N12" s="50">
        <v>0</v>
      </c>
      <c r="O12" s="15">
        <f t="shared" si="0"/>
        <v>7</v>
      </c>
      <c r="P12" s="15">
        <f t="shared" si="1"/>
        <v>7</v>
      </c>
      <c r="R12" s="1" t="s">
        <v>8</v>
      </c>
      <c r="S12" s="17">
        <f t="shared" ref="S12:AF12" si="4">SUM(C18:C21)</f>
        <v>4</v>
      </c>
      <c r="T12" s="17">
        <f t="shared" si="4"/>
        <v>2</v>
      </c>
      <c r="U12" s="17">
        <f t="shared" si="4"/>
        <v>2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47</v>
      </c>
      <c r="AD12" s="17">
        <f t="shared" si="4"/>
        <v>0</v>
      </c>
      <c r="AE12" s="31">
        <f t="shared" si="4"/>
        <v>20</v>
      </c>
      <c r="AF12" s="31">
        <f t="shared" si="4"/>
        <v>67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2</v>
      </c>
      <c r="P13" s="15">
        <f t="shared" si="1"/>
        <v>4</v>
      </c>
      <c r="R13" s="1" t="s">
        <v>9</v>
      </c>
      <c r="S13" s="17">
        <f t="shared" ref="S13:AF13" si="5">SUM(C22:C25)</f>
        <v>5</v>
      </c>
      <c r="T13" s="17">
        <f t="shared" si="5"/>
        <v>2</v>
      </c>
      <c r="U13" s="17">
        <f t="shared" si="5"/>
        <v>1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54</v>
      </c>
      <c r="AD13" s="17">
        <f t="shared" si="5"/>
        <v>0</v>
      </c>
      <c r="AE13" s="31">
        <f t="shared" si="5"/>
        <v>18</v>
      </c>
      <c r="AF13" s="31">
        <f t="shared" si="5"/>
        <v>72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3</v>
      </c>
      <c r="J14" s="50">
        <v>0</v>
      </c>
      <c r="K14" s="50">
        <v>1</v>
      </c>
      <c r="L14" s="50">
        <v>0</v>
      </c>
      <c r="M14" s="50">
        <v>8</v>
      </c>
      <c r="N14" s="50">
        <v>0</v>
      </c>
      <c r="O14" s="15">
        <f t="shared" si="0"/>
        <v>6</v>
      </c>
      <c r="P14" s="15">
        <f t="shared" si="1"/>
        <v>14</v>
      </c>
      <c r="R14" s="1" t="s">
        <v>10</v>
      </c>
      <c r="S14" s="17">
        <f t="shared" ref="S14:AF14" si="6">SUM(C26:C29)</f>
        <v>3</v>
      </c>
      <c r="T14" s="17">
        <f t="shared" si="6"/>
        <v>2</v>
      </c>
      <c r="U14" s="17">
        <f t="shared" si="6"/>
        <v>2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4</v>
      </c>
      <c r="AA14" s="17">
        <f t="shared" si="6"/>
        <v>1</v>
      </c>
      <c r="AB14" s="17">
        <f t="shared" si="6"/>
        <v>1</v>
      </c>
      <c r="AC14" s="17">
        <f t="shared" si="6"/>
        <v>50</v>
      </c>
      <c r="AD14" s="17">
        <f t="shared" si="6"/>
        <v>0</v>
      </c>
      <c r="AE14" s="31">
        <f t="shared" si="6"/>
        <v>22</v>
      </c>
      <c r="AF14" s="31">
        <f t="shared" si="6"/>
        <v>72</v>
      </c>
    </row>
    <row r="15" spans="2:32" ht="23.1" customHeight="1" x14ac:dyDescent="0.25">
      <c r="B15" s="45" t="s">
        <v>42</v>
      </c>
      <c r="C15" s="50">
        <v>0</v>
      </c>
      <c r="D15" s="50">
        <v>2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5</v>
      </c>
      <c r="P15" s="15">
        <f t="shared" si="1"/>
        <v>15</v>
      </c>
      <c r="R15" s="1" t="s">
        <v>11</v>
      </c>
      <c r="S15" s="17">
        <f t="shared" ref="S15:AF15" si="7">SUM(C30:C33)</f>
        <v>6</v>
      </c>
      <c r="T15" s="17">
        <f t="shared" si="7"/>
        <v>5</v>
      </c>
      <c r="U15" s="17">
        <f t="shared" si="7"/>
        <v>2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1</v>
      </c>
      <c r="AB15" s="17">
        <f t="shared" si="7"/>
        <v>0</v>
      </c>
      <c r="AC15" s="17">
        <f t="shared" si="7"/>
        <v>60</v>
      </c>
      <c r="AD15" s="17">
        <f t="shared" si="7"/>
        <v>0</v>
      </c>
      <c r="AE15" s="31">
        <f t="shared" si="7"/>
        <v>25</v>
      </c>
      <c r="AF15" s="31">
        <f t="shared" si="7"/>
        <v>85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3</v>
      </c>
      <c r="P16" s="15">
        <f t="shared" si="1"/>
        <v>11</v>
      </c>
      <c r="R16" s="1" t="s">
        <v>12</v>
      </c>
      <c r="S16" s="17">
        <f t="shared" ref="S16:AF16" si="8">SUM(C34:C37)</f>
        <v>12</v>
      </c>
      <c r="T16" s="17">
        <f t="shared" si="8"/>
        <v>6</v>
      </c>
      <c r="U16" s="17">
        <f t="shared" si="8"/>
        <v>3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1</v>
      </c>
      <c r="AA16" s="17">
        <f t="shared" si="8"/>
        <v>1</v>
      </c>
      <c r="AB16" s="17">
        <f t="shared" si="8"/>
        <v>4</v>
      </c>
      <c r="AC16" s="17">
        <f t="shared" si="8"/>
        <v>73</v>
      </c>
      <c r="AD16" s="17">
        <f t="shared" si="8"/>
        <v>0</v>
      </c>
      <c r="AE16" s="31">
        <f t="shared" si="8"/>
        <v>35</v>
      </c>
      <c r="AF16" s="31">
        <f t="shared" si="8"/>
        <v>108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14</v>
      </c>
      <c r="N17" s="50">
        <v>0</v>
      </c>
      <c r="O17" s="15">
        <f t="shared" si="0"/>
        <v>8</v>
      </c>
      <c r="P17" s="15">
        <f t="shared" si="1"/>
        <v>22</v>
      </c>
      <c r="R17" s="1" t="s">
        <v>13</v>
      </c>
      <c r="S17" s="17">
        <f t="shared" ref="S17:AF17" si="9">SUM(C38:C41)</f>
        <v>8</v>
      </c>
      <c r="T17" s="17">
        <f t="shared" si="9"/>
        <v>2</v>
      </c>
      <c r="U17" s="17">
        <f t="shared" si="9"/>
        <v>1</v>
      </c>
      <c r="V17" s="17">
        <f t="shared" si="9"/>
        <v>12</v>
      </c>
      <c r="W17" s="17">
        <f t="shared" si="9"/>
        <v>1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56</v>
      </c>
      <c r="AD17" s="17">
        <f t="shared" si="9"/>
        <v>1</v>
      </c>
      <c r="AE17" s="31">
        <f t="shared" si="9"/>
        <v>27</v>
      </c>
      <c r="AF17" s="31">
        <f t="shared" si="9"/>
        <v>83</v>
      </c>
    </row>
    <row r="18" spans="2:32" ht="23.1" customHeight="1" x14ac:dyDescent="0.25">
      <c r="B18" s="45" t="s">
        <v>45</v>
      </c>
      <c r="C18" s="50">
        <v>2</v>
      </c>
      <c r="D18" s="50">
        <v>1</v>
      </c>
      <c r="E18" s="50">
        <v>1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10</v>
      </c>
      <c r="N18" s="50">
        <v>0</v>
      </c>
      <c r="O18" s="15">
        <f t="shared" si="0"/>
        <v>7</v>
      </c>
      <c r="P18" s="15">
        <f t="shared" si="1"/>
        <v>17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1</v>
      </c>
      <c r="V18" s="17">
        <f t="shared" si="10"/>
        <v>8</v>
      </c>
      <c r="W18" s="17">
        <f t="shared" si="10"/>
        <v>0</v>
      </c>
      <c r="X18" s="17">
        <f t="shared" si="10"/>
        <v>1</v>
      </c>
      <c r="Y18" s="17">
        <f t="shared" si="10"/>
        <v>3</v>
      </c>
      <c r="Z18" s="17">
        <f t="shared" si="10"/>
        <v>2</v>
      </c>
      <c r="AA18" s="17">
        <f t="shared" si="10"/>
        <v>0</v>
      </c>
      <c r="AB18" s="17">
        <f t="shared" si="10"/>
        <v>3</v>
      </c>
      <c r="AC18" s="17">
        <f t="shared" si="10"/>
        <v>45</v>
      </c>
      <c r="AD18" s="17">
        <f t="shared" si="10"/>
        <v>0</v>
      </c>
      <c r="AE18" s="31">
        <f t="shared" si="10"/>
        <v>23</v>
      </c>
      <c r="AF18" s="31">
        <f t="shared" si="10"/>
        <v>68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1</v>
      </c>
      <c r="P19" s="15">
        <f t="shared" si="1"/>
        <v>11</v>
      </c>
      <c r="R19" s="1" t="s">
        <v>15</v>
      </c>
      <c r="S19" s="17">
        <f t="shared" ref="S19:AF19" si="11">SUM(C46:C49)</f>
        <v>5</v>
      </c>
      <c r="T19" s="17">
        <f t="shared" si="11"/>
        <v>1</v>
      </c>
      <c r="U19" s="17">
        <f t="shared" si="11"/>
        <v>0</v>
      </c>
      <c r="V19" s="17">
        <f t="shared" si="11"/>
        <v>6</v>
      </c>
      <c r="W19" s="17">
        <f t="shared" si="11"/>
        <v>1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48</v>
      </c>
      <c r="AD19" s="17">
        <f t="shared" si="11"/>
        <v>0</v>
      </c>
      <c r="AE19" s="31">
        <f t="shared" si="11"/>
        <v>15</v>
      </c>
      <c r="AF19" s="31">
        <f t="shared" si="11"/>
        <v>63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4</v>
      </c>
      <c r="P20" s="15">
        <f t="shared" si="1"/>
        <v>21</v>
      </c>
      <c r="R20" s="1" t="s">
        <v>16</v>
      </c>
      <c r="S20" s="17">
        <f t="shared" ref="S20:AF20" si="12">SUM(C50:C53)</f>
        <v>4</v>
      </c>
      <c r="T20" s="17">
        <f t="shared" si="12"/>
        <v>5</v>
      </c>
      <c r="U20" s="17">
        <f t="shared" si="12"/>
        <v>4</v>
      </c>
      <c r="V20" s="17">
        <f t="shared" si="12"/>
        <v>10</v>
      </c>
      <c r="W20" s="17">
        <f t="shared" si="12"/>
        <v>1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44</v>
      </c>
      <c r="AD20" s="17">
        <f t="shared" si="12"/>
        <v>0</v>
      </c>
      <c r="AE20" s="31">
        <f t="shared" si="12"/>
        <v>27</v>
      </c>
      <c r="AF20" s="31">
        <f t="shared" si="12"/>
        <v>71</v>
      </c>
    </row>
    <row r="21" spans="2:32" ht="23.1" customHeight="1" x14ac:dyDescent="0.25">
      <c r="B21" s="45" t="s">
        <v>48</v>
      </c>
      <c r="C21" s="50">
        <v>1</v>
      </c>
      <c r="D21" s="50">
        <v>1</v>
      </c>
      <c r="E21" s="50">
        <v>1</v>
      </c>
      <c r="F21" s="50">
        <v>2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8</v>
      </c>
      <c r="P21" s="15">
        <f t="shared" si="1"/>
        <v>18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2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38</v>
      </c>
      <c r="AD21" s="17">
        <f t="shared" si="13"/>
        <v>0</v>
      </c>
      <c r="AE21" s="31">
        <f t="shared" si="13"/>
        <v>19</v>
      </c>
      <c r="AF21" s="31">
        <f t="shared" si="13"/>
        <v>57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4</v>
      </c>
      <c r="P22" s="15">
        <f t="shared" si="1"/>
        <v>17</v>
      </c>
      <c r="R22" s="36" t="s">
        <v>146</v>
      </c>
      <c r="S22" s="34">
        <f>SUM(C58:C61)</f>
        <v>9</v>
      </c>
      <c r="T22" s="34">
        <f t="shared" ref="T22:AF22" si="14">SUM(D58:D61)</f>
        <v>0</v>
      </c>
      <c r="U22" s="34">
        <f t="shared" si="14"/>
        <v>2</v>
      </c>
      <c r="V22" s="34">
        <f t="shared" si="14"/>
        <v>6</v>
      </c>
      <c r="W22" s="34">
        <f t="shared" si="14"/>
        <v>1</v>
      </c>
      <c r="X22" s="34">
        <f t="shared" si="14"/>
        <v>0</v>
      </c>
      <c r="Y22" s="34">
        <f t="shared" si="14"/>
        <v>3</v>
      </c>
      <c r="Z22" s="34">
        <f t="shared" si="14"/>
        <v>5</v>
      </c>
      <c r="AA22" s="34">
        <f t="shared" si="14"/>
        <v>4</v>
      </c>
      <c r="AB22" s="34">
        <f t="shared" si="14"/>
        <v>0</v>
      </c>
      <c r="AC22" s="34">
        <f t="shared" si="14"/>
        <v>43</v>
      </c>
      <c r="AD22" s="34">
        <f t="shared" si="14"/>
        <v>0</v>
      </c>
      <c r="AE22" s="31">
        <f t="shared" si="14"/>
        <v>30</v>
      </c>
      <c r="AF22" s="31">
        <f t="shared" si="14"/>
        <v>73</v>
      </c>
    </row>
    <row r="23" spans="2:32" ht="23.1" customHeight="1" x14ac:dyDescent="0.25">
      <c r="B23" s="45" t="s">
        <v>50</v>
      </c>
      <c r="C23" s="50">
        <v>0</v>
      </c>
      <c r="D23" s="50">
        <v>2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18</v>
      </c>
      <c r="N23" s="50">
        <v>0</v>
      </c>
      <c r="O23" s="15">
        <f t="shared" si="0"/>
        <v>4</v>
      </c>
      <c r="P23" s="15">
        <f t="shared" si="1"/>
        <v>22</v>
      </c>
      <c r="R23" s="36" t="s">
        <v>147</v>
      </c>
      <c r="S23" s="34">
        <f>SUM(C62:C65)</f>
        <v>5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1</v>
      </c>
      <c r="AA23" s="34">
        <f t="shared" si="15"/>
        <v>3</v>
      </c>
      <c r="AB23" s="34">
        <f t="shared" si="15"/>
        <v>0</v>
      </c>
      <c r="AC23" s="34">
        <f t="shared" si="15"/>
        <v>25</v>
      </c>
      <c r="AD23" s="34">
        <f t="shared" si="15"/>
        <v>0</v>
      </c>
      <c r="AE23" s="31">
        <f t="shared" si="15"/>
        <v>16</v>
      </c>
      <c r="AF23" s="31">
        <f t="shared" si="15"/>
        <v>41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5</v>
      </c>
      <c r="P24" s="15">
        <f t="shared" si="1"/>
        <v>16</v>
      </c>
      <c r="R24" s="36" t="s">
        <v>148</v>
      </c>
      <c r="S24" s="34">
        <f>SUM(C66:C69)</f>
        <v>4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7</v>
      </c>
      <c r="AD24" s="34">
        <f t="shared" si="16"/>
        <v>0</v>
      </c>
      <c r="AE24" s="31">
        <f t="shared" si="16"/>
        <v>5</v>
      </c>
      <c r="AF24" s="31">
        <f t="shared" si="16"/>
        <v>12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3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5</v>
      </c>
      <c r="P25" s="15">
        <f t="shared" si="1"/>
        <v>17</v>
      </c>
      <c r="R25" s="36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3</v>
      </c>
      <c r="AA25" s="34">
        <f t="shared" si="17"/>
        <v>0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7</v>
      </c>
      <c r="AF25" s="31">
        <f t="shared" si="17"/>
        <v>12</v>
      </c>
    </row>
    <row r="26" spans="2:32" ht="23.1" customHeight="1" x14ac:dyDescent="0.25">
      <c r="B26" s="45" t="s">
        <v>53</v>
      </c>
      <c r="C26" s="50">
        <v>0</v>
      </c>
      <c r="D26" s="50">
        <v>1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3</v>
      </c>
      <c r="P26" s="15">
        <f t="shared" si="1"/>
        <v>12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7</v>
      </c>
      <c r="AA26" s="34">
        <f t="shared" si="18"/>
        <v>1</v>
      </c>
      <c r="AB26" s="34">
        <f t="shared" si="18"/>
        <v>1</v>
      </c>
      <c r="AC26" s="34">
        <f t="shared" si="18"/>
        <v>0</v>
      </c>
      <c r="AD26" s="34">
        <f t="shared" si="18"/>
        <v>0</v>
      </c>
      <c r="AE26" s="31">
        <f t="shared" si="18"/>
        <v>17</v>
      </c>
      <c r="AF26" s="31">
        <f t="shared" si="18"/>
        <v>17</v>
      </c>
    </row>
    <row r="27" spans="2:32" ht="23.1" customHeight="1" x14ac:dyDescent="0.25">
      <c r="B27" s="45" t="s">
        <v>54</v>
      </c>
      <c r="C27" s="50">
        <v>1</v>
      </c>
      <c r="D27" s="50">
        <v>1</v>
      </c>
      <c r="E27" s="50">
        <v>0</v>
      </c>
      <c r="F27" s="50">
        <v>2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0</v>
      </c>
      <c r="M27" s="50">
        <v>15</v>
      </c>
      <c r="N27" s="50">
        <v>0</v>
      </c>
      <c r="O27" s="15">
        <f t="shared" si="0"/>
        <v>7</v>
      </c>
      <c r="P27" s="15">
        <f t="shared" si="1"/>
        <v>22</v>
      </c>
      <c r="R27" s="36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9</v>
      </c>
      <c r="AA27" s="34">
        <f t="shared" si="19"/>
        <v>2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14</v>
      </c>
      <c r="AF27" s="31">
        <f t="shared" si="19"/>
        <v>16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1</v>
      </c>
      <c r="L28" s="50">
        <v>0</v>
      </c>
      <c r="M28" s="50">
        <v>13</v>
      </c>
      <c r="N28" s="50">
        <v>0</v>
      </c>
      <c r="O28" s="15">
        <f t="shared" si="0"/>
        <v>5</v>
      </c>
      <c r="P28" s="15">
        <f t="shared" si="1"/>
        <v>18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3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7</v>
      </c>
      <c r="AF28" s="31">
        <f t="shared" si="20"/>
        <v>7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1</v>
      </c>
      <c r="M29" s="50">
        <v>13</v>
      </c>
      <c r="N29" s="50">
        <v>0</v>
      </c>
      <c r="O29" s="15">
        <f t="shared" si="0"/>
        <v>7</v>
      </c>
      <c r="P29" s="15">
        <f t="shared" si="1"/>
        <v>20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1</v>
      </c>
      <c r="AA29" s="34">
        <f t="shared" si="21"/>
        <v>1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4</v>
      </c>
      <c r="AF29" s="31">
        <f t="shared" si="21"/>
        <v>4</v>
      </c>
    </row>
    <row r="30" spans="2:32" ht="23.1" customHeight="1" x14ac:dyDescent="0.25">
      <c r="B30" s="45" t="s">
        <v>57</v>
      </c>
      <c r="C30" s="50">
        <v>1</v>
      </c>
      <c r="D30" s="50">
        <v>2</v>
      </c>
      <c r="E30" s="50">
        <v>0</v>
      </c>
      <c r="F30" s="50">
        <v>3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6</v>
      </c>
      <c r="P30" s="15">
        <f t="shared" si="1"/>
        <v>19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2</v>
      </c>
      <c r="D31" s="50">
        <v>1</v>
      </c>
      <c r="E31" s="50">
        <v>0</v>
      </c>
      <c r="F31" s="50">
        <v>3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7</v>
      </c>
      <c r="P31" s="15">
        <f t="shared" si="1"/>
        <v>18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2</v>
      </c>
      <c r="AA31" s="34">
        <f t="shared" si="23"/>
        <v>0</v>
      </c>
      <c r="AB31" s="34">
        <f t="shared" si="23"/>
        <v>1</v>
      </c>
      <c r="AC31" s="34">
        <f t="shared" si="23"/>
        <v>0</v>
      </c>
      <c r="AD31" s="34">
        <f t="shared" si="23"/>
        <v>0</v>
      </c>
      <c r="AE31" s="31">
        <f t="shared" si="23"/>
        <v>4</v>
      </c>
      <c r="AF31" s="31">
        <f t="shared" si="23"/>
        <v>4</v>
      </c>
    </row>
    <row r="32" spans="2:32" ht="23.1" customHeight="1" x14ac:dyDescent="0.25">
      <c r="B32" s="46" t="s">
        <v>59</v>
      </c>
      <c r="C32" s="50">
        <v>0</v>
      </c>
      <c r="D32" s="50">
        <v>2</v>
      </c>
      <c r="E32" s="50">
        <v>2</v>
      </c>
      <c r="F32" s="50">
        <v>2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25</v>
      </c>
      <c r="N32" s="50">
        <v>0</v>
      </c>
      <c r="O32" s="15">
        <f t="shared" si="0"/>
        <v>8</v>
      </c>
      <c r="P32" s="15">
        <f t="shared" si="1"/>
        <v>33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4</v>
      </c>
      <c r="AA32" s="34">
        <f t="shared" si="24"/>
        <v>2</v>
      </c>
      <c r="AB32" s="34">
        <f t="shared" si="24"/>
        <v>0</v>
      </c>
      <c r="AC32" s="34">
        <f t="shared" si="24"/>
        <v>5</v>
      </c>
      <c r="AD32" s="34">
        <f t="shared" si="24"/>
        <v>0</v>
      </c>
      <c r="AE32" s="31">
        <f t="shared" si="24"/>
        <v>7</v>
      </c>
      <c r="AF32" s="31">
        <f t="shared" si="24"/>
        <v>12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11</v>
      </c>
      <c r="N33" s="50">
        <v>0</v>
      </c>
      <c r="O33" s="15">
        <f t="shared" si="0"/>
        <v>4</v>
      </c>
      <c r="P33" s="15">
        <f t="shared" si="1"/>
        <v>15</v>
      </c>
      <c r="R33" s="33" t="s">
        <v>157</v>
      </c>
      <c r="S33" s="34">
        <f>SUM(C102:C105)</f>
        <v>1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4</v>
      </c>
      <c r="AD33" s="34">
        <f t="shared" si="25"/>
        <v>0</v>
      </c>
      <c r="AE33" s="31">
        <f t="shared" si="25"/>
        <v>7</v>
      </c>
      <c r="AF33" s="31">
        <f t="shared" si="25"/>
        <v>11</v>
      </c>
    </row>
    <row r="34" spans="2:32" ht="23.1" customHeight="1" x14ac:dyDescent="0.25">
      <c r="B34" s="46" t="s">
        <v>61</v>
      </c>
      <c r="C34" s="50">
        <v>4</v>
      </c>
      <c r="D34" s="50">
        <v>3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1</v>
      </c>
      <c r="M34" s="50">
        <v>17</v>
      </c>
      <c r="N34" s="50">
        <v>0</v>
      </c>
      <c r="O34" s="15">
        <f t="shared" si="0"/>
        <v>8</v>
      </c>
      <c r="P34" s="15">
        <f t="shared" si="1"/>
        <v>25</v>
      </c>
      <c r="R34" s="38" t="s">
        <v>90</v>
      </c>
      <c r="S34" s="39">
        <f t="shared" ref="S34:AF34" si="26">MAX(S10:S12)</f>
        <v>4</v>
      </c>
      <c r="T34" s="39">
        <f t="shared" si="26"/>
        <v>2</v>
      </c>
      <c r="U34" s="39">
        <f t="shared" si="26"/>
        <v>2</v>
      </c>
      <c r="V34" s="39">
        <f t="shared" si="26"/>
        <v>6</v>
      </c>
      <c r="W34" s="39">
        <f t="shared" si="26"/>
        <v>0</v>
      </c>
      <c r="X34" s="39">
        <f t="shared" si="26"/>
        <v>0</v>
      </c>
      <c r="Y34" s="39">
        <f t="shared" si="26"/>
        <v>9</v>
      </c>
      <c r="Z34" s="39">
        <f t="shared" si="26"/>
        <v>3</v>
      </c>
      <c r="AA34" s="39">
        <f t="shared" si="26"/>
        <v>5</v>
      </c>
      <c r="AB34" s="39">
        <f t="shared" si="26"/>
        <v>1</v>
      </c>
      <c r="AC34" s="39">
        <f t="shared" si="26"/>
        <v>47</v>
      </c>
      <c r="AD34" s="39">
        <f t="shared" si="26"/>
        <v>0</v>
      </c>
      <c r="AE34" s="40">
        <f t="shared" si="26"/>
        <v>22</v>
      </c>
      <c r="AF34" s="40">
        <f t="shared" si="26"/>
        <v>67</v>
      </c>
    </row>
    <row r="35" spans="2:32" ht="23.1" customHeight="1" x14ac:dyDescent="0.25">
      <c r="B35" s="46" t="s">
        <v>62</v>
      </c>
      <c r="C35" s="50">
        <v>6</v>
      </c>
      <c r="D35" s="50">
        <v>0</v>
      </c>
      <c r="E35" s="50">
        <v>0</v>
      </c>
      <c r="F35" s="50">
        <v>4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1</v>
      </c>
      <c r="M35" s="50">
        <v>16</v>
      </c>
      <c r="N35" s="50">
        <v>0</v>
      </c>
      <c r="O35" s="15">
        <f t="shared" si="0"/>
        <v>12</v>
      </c>
      <c r="P35" s="15">
        <f t="shared" si="1"/>
        <v>28</v>
      </c>
      <c r="R35" s="38" t="s">
        <v>91</v>
      </c>
      <c r="S35" s="39">
        <f t="shared" ref="S35:AF35" si="27">MAX(S13:S18)</f>
        <v>12</v>
      </c>
      <c r="T35" s="39">
        <f t="shared" si="27"/>
        <v>6</v>
      </c>
      <c r="U35" s="39">
        <f t="shared" si="27"/>
        <v>3</v>
      </c>
      <c r="V35" s="39">
        <f t="shared" si="27"/>
        <v>12</v>
      </c>
      <c r="W35" s="39">
        <f t="shared" si="27"/>
        <v>1</v>
      </c>
      <c r="X35" s="39">
        <f t="shared" si="27"/>
        <v>1</v>
      </c>
      <c r="Y35" s="39">
        <f t="shared" si="27"/>
        <v>4</v>
      </c>
      <c r="Z35" s="39">
        <f t="shared" si="27"/>
        <v>4</v>
      </c>
      <c r="AA35" s="39">
        <f t="shared" si="27"/>
        <v>1</v>
      </c>
      <c r="AB35" s="39">
        <f t="shared" si="27"/>
        <v>4</v>
      </c>
      <c r="AC35" s="39">
        <f t="shared" si="27"/>
        <v>73</v>
      </c>
      <c r="AD35" s="39">
        <f t="shared" si="27"/>
        <v>1</v>
      </c>
      <c r="AE35" s="40">
        <f t="shared" si="27"/>
        <v>35</v>
      </c>
      <c r="AF35" s="40">
        <f t="shared" si="27"/>
        <v>108</v>
      </c>
    </row>
    <row r="36" spans="2:32" ht="23.1" customHeight="1" x14ac:dyDescent="0.25">
      <c r="B36" s="46" t="s">
        <v>63</v>
      </c>
      <c r="C36" s="50">
        <v>0</v>
      </c>
      <c r="D36" s="50">
        <v>1</v>
      </c>
      <c r="E36" s="50">
        <v>1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1</v>
      </c>
      <c r="M36" s="50">
        <v>26</v>
      </c>
      <c r="N36" s="50">
        <v>0</v>
      </c>
      <c r="O36" s="15">
        <f t="shared" si="0"/>
        <v>5</v>
      </c>
      <c r="P36" s="15">
        <f t="shared" si="1"/>
        <v>31</v>
      </c>
      <c r="R36" s="38" t="s">
        <v>92</v>
      </c>
      <c r="S36" s="39">
        <f t="shared" ref="S36:AF36" si="28">MAX(S19:S21)</f>
        <v>5</v>
      </c>
      <c r="T36" s="39">
        <f t="shared" si="28"/>
        <v>5</v>
      </c>
      <c r="U36" s="39">
        <f t="shared" si="28"/>
        <v>4</v>
      </c>
      <c r="V36" s="39">
        <f t="shared" si="28"/>
        <v>10</v>
      </c>
      <c r="W36" s="39">
        <f t="shared" si="28"/>
        <v>1</v>
      </c>
      <c r="X36" s="39">
        <f t="shared" si="28"/>
        <v>0</v>
      </c>
      <c r="Y36" s="39">
        <f t="shared" si="28"/>
        <v>3</v>
      </c>
      <c r="Z36" s="39">
        <f t="shared" si="28"/>
        <v>2</v>
      </c>
      <c r="AA36" s="39">
        <f t="shared" si="28"/>
        <v>0</v>
      </c>
      <c r="AB36" s="39">
        <f t="shared" si="28"/>
        <v>0</v>
      </c>
      <c r="AC36" s="39">
        <f t="shared" si="28"/>
        <v>48</v>
      </c>
      <c r="AD36" s="39">
        <f t="shared" si="28"/>
        <v>0</v>
      </c>
      <c r="AE36" s="40">
        <f t="shared" si="28"/>
        <v>27</v>
      </c>
      <c r="AF36" s="40">
        <f t="shared" si="28"/>
        <v>71</v>
      </c>
    </row>
    <row r="37" spans="2:32" ht="23.1" customHeight="1" x14ac:dyDescent="0.25">
      <c r="B37" s="45" t="s">
        <v>64</v>
      </c>
      <c r="C37" s="50">
        <v>2</v>
      </c>
      <c r="D37" s="50">
        <v>2</v>
      </c>
      <c r="E37" s="50">
        <v>2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1</v>
      </c>
      <c r="M37" s="50">
        <v>14</v>
      </c>
      <c r="N37" s="50">
        <v>0</v>
      </c>
      <c r="O37" s="15">
        <f t="shared" si="0"/>
        <v>10</v>
      </c>
      <c r="P37" s="15">
        <f t="shared" si="1"/>
        <v>24</v>
      </c>
      <c r="R37" s="37" t="s">
        <v>85</v>
      </c>
      <c r="S37" s="35">
        <f t="shared" ref="S37:AF37" si="29">SUM(S10:S12)</f>
        <v>8</v>
      </c>
      <c r="T37" s="16">
        <f t="shared" si="29"/>
        <v>5</v>
      </c>
      <c r="U37" s="16">
        <f t="shared" si="29"/>
        <v>2</v>
      </c>
      <c r="V37" s="16">
        <f t="shared" si="29"/>
        <v>11</v>
      </c>
      <c r="W37" s="16">
        <f t="shared" si="29"/>
        <v>0</v>
      </c>
      <c r="X37" s="16">
        <f t="shared" si="29"/>
        <v>0</v>
      </c>
      <c r="Y37" s="16">
        <f t="shared" si="29"/>
        <v>17</v>
      </c>
      <c r="Z37" s="16">
        <f t="shared" si="29"/>
        <v>4</v>
      </c>
      <c r="AA37" s="16">
        <f t="shared" si="29"/>
        <v>6</v>
      </c>
      <c r="AB37" s="16">
        <f t="shared" si="29"/>
        <v>1</v>
      </c>
      <c r="AC37" s="16">
        <f t="shared" si="29"/>
        <v>92</v>
      </c>
      <c r="AD37" s="16">
        <f t="shared" si="29"/>
        <v>0</v>
      </c>
      <c r="AE37" s="32">
        <f t="shared" si="29"/>
        <v>54</v>
      </c>
      <c r="AF37" s="32">
        <f t="shared" si="29"/>
        <v>146</v>
      </c>
    </row>
    <row r="38" spans="2:32" ht="23.1" customHeight="1" x14ac:dyDescent="0.25">
      <c r="B38" s="46" t="s">
        <v>65</v>
      </c>
      <c r="C38" s="50">
        <v>2</v>
      </c>
      <c r="D38" s="50">
        <v>1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25</v>
      </c>
      <c r="N38" s="50">
        <v>0</v>
      </c>
      <c r="O38" s="15">
        <f t="shared" si="0"/>
        <v>5</v>
      </c>
      <c r="P38" s="15">
        <f t="shared" si="1"/>
        <v>30</v>
      </c>
      <c r="R38" s="28" t="s">
        <v>86</v>
      </c>
      <c r="S38" s="16">
        <f t="shared" ref="S38:AF38" si="30">SUM(S13:S18)</f>
        <v>38</v>
      </c>
      <c r="T38" s="16">
        <f t="shared" si="30"/>
        <v>18</v>
      </c>
      <c r="U38" s="16">
        <f t="shared" si="30"/>
        <v>10</v>
      </c>
      <c r="V38" s="16">
        <f t="shared" si="30"/>
        <v>45</v>
      </c>
      <c r="W38" s="16">
        <f t="shared" si="30"/>
        <v>1</v>
      </c>
      <c r="X38" s="16">
        <f t="shared" si="30"/>
        <v>1</v>
      </c>
      <c r="Y38" s="16">
        <f t="shared" si="30"/>
        <v>14</v>
      </c>
      <c r="Z38" s="16">
        <f t="shared" si="30"/>
        <v>11</v>
      </c>
      <c r="AA38" s="16">
        <f t="shared" si="30"/>
        <v>3</v>
      </c>
      <c r="AB38" s="16">
        <f t="shared" si="30"/>
        <v>8</v>
      </c>
      <c r="AC38" s="16">
        <f t="shared" si="30"/>
        <v>338</v>
      </c>
      <c r="AD38" s="16">
        <f t="shared" si="30"/>
        <v>1</v>
      </c>
      <c r="AE38" s="32">
        <f t="shared" si="30"/>
        <v>150</v>
      </c>
      <c r="AF38" s="32">
        <f t="shared" si="30"/>
        <v>488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1</v>
      </c>
      <c r="F39" s="50">
        <v>7</v>
      </c>
      <c r="G39" s="50">
        <v>1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21</v>
      </c>
      <c r="N39" s="50">
        <v>0</v>
      </c>
      <c r="O39" s="15">
        <f t="shared" si="0"/>
        <v>15</v>
      </c>
      <c r="P39" s="15">
        <f t="shared" si="1"/>
        <v>36</v>
      </c>
      <c r="R39" s="29" t="s">
        <v>87</v>
      </c>
      <c r="S39" s="16">
        <f t="shared" ref="S39:AF39" si="31">SUM(S19:S21)</f>
        <v>14</v>
      </c>
      <c r="T39" s="16">
        <f t="shared" si="31"/>
        <v>6</v>
      </c>
      <c r="U39" s="16">
        <f t="shared" si="31"/>
        <v>6</v>
      </c>
      <c r="V39" s="16">
        <f t="shared" si="31"/>
        <v>23</v>
      </c>
      <c r="W39" s="16">
        <f t="shared" si="31"/>
        <v>2</v>
      </c>
      <c r="X39" s="16">
        <f t="shared" si="31"/>
        <v>0</v>
      </c>
      <c r="Y39" s="16">
        <f t="shared" si="31"/>
        <v>6</v>
      </c>
      <c r="Z39" s="16">
        <f t="shared" si="31"/>
        <v>4</v>
      </c>
      <c r="AA39" s="16">
        <f t="shared" si="31"/>
        <v>0</v>
      </c>
      <c r="AB39" s="16">
        <f t="shared" si="31"/>
        <v>0</v>
      </c>
      <c r="AC39" s="16">
        <f t="shared" si="31"/>
        <v>130</v>
      </c>
      <c r="AD39" s="16">
        <f t="shared" si="31"/>
        <v>0</v>
      </c>
      <c r="AE39" s="32">
        <f t="shared" si="31"/>
        <v>61</v>
      </c>
      <c r="AF39" s="32">
        <f t="shared" si="31"/>
        <v>191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1</v>
      </c>
      <c r="O40" s="15">
        <f t="shared" si="0"/>
        <v>4</v>
      </c>
      <c r="P40" s="15">
        <f t="shared" si="1"/>
        <v>12</v>
      </c>
      <c r="R40" s="5" t="s">
        <v>17</v>
      </c>
      <c r="S40" s="16">
        <f t="shared" ref="S40:AF40" si="32">SUM(S10:S21)</f>
        <v>60</v>
      </c>
      <c r="T40" s="16">
        <f t="shared" si="32"/>
        <v>29</v>
      </c>
      <c r="U40" s="16">
        <f t="shared" si="32"/>
        <v>18</v>
      </c>
      <c r="V40" s="16">
        <f t="shared" si="32"/>
        <v>79</v>
      </c>
      <c r="W40" s="16">
        <f t="shared" si="32"/>
        <v>3</v>
      </c>
      <c r="X40" s="16">
        <f t="shared" si="32"/>
        <v>1</v>
      </c>
      <c r="Y40" s="16">
        <f t="shared" si="32"/>
        <v>37</v>
      </c>
      <c r="Z40" s="16">
        <f t="shared" si="32"/>
        <v>19</v>
      </c>
      <c r="AA40" s="16">
        <f t="shared" si="32"/>
        <v>9</v>
      </c>
      <c r="AB40" s="16">
        <f t="shared" si="32"/>
        <v>9</v>
      </c>
      <c r="AC40" s="16">
        <f t="shared" si="32"/>
        <v>560</v>
      </c>
      <c r="AD40" s="16">
        <f t="shared" si="32"/>
        <v>1</v>
      </c>
      <c r="AE40" s="32">
        <f t="shared" si="32"/>
        <v>265</v>
      </c>
      <c r="AF40" s="32">
        <f t="shared" si="32"/>
        <v>825</v>
      </c>
    </row>
    <row r="41" spans="2:32" ht="23.1" customHeight="1" x14ac:dyDescent="0.25">
      <c r="B41" s="45" t="s">
        <v>68</v>
      </c>
      <c r="C41" s="50">
        <v>1</v>
      </c>
      <c r="D41" s="50">
        <v>1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3</v>
      </c>
      <c r="P41" s="15">
        <f t="shared" si="1"/>
        <v>5</v>
      </c>
      <c r="R41" s="5" t="s">
        <v>159</v>
      </c>
      <c r="S41" s="16">
        <f>SUM(S10:S33)</f>
        <v>83</v>
      </c>
      <c r="T41" s="16">
        <f t="shared" ref="T41:AF41" si="33">SUM(T10:T33)</f>
        <v>30</v>
      </c>
      <c r="U41" s="16">
        <f t="shared" si="33"/>
        <v>23</v>
      </c>
      <c r="V41" s="16">
        <f t="shared" si="33"/>
        <v>97</v>
      </c>
      <c r="W41" s="16">
        <f t="shared" si="33"/>
        <v>4</v>
      </c>
      <c r="X41" s="16">
        <f t="shared" si="33"/>
        <v>1</v>
      </c>
      <c r="Y41" s="16">
        <f t="shared" si="33"/>
        <v>54</v>
      </c>
      <c r="Z41" s="16">
        <f t="shared" si="33"/>
        <v>54</v>
      </c>
      <c r="AA41" s="16">
        <f t="shared" si="33"/>
        <v>27</v>
      </c>
      <c r="AB41" s="16">
        <f t="shared" si="33"/>
        <v>11</v>
      </c>
      <c r="AC41" s="16">
        <f t="shared" si="33"/>
        <v>651</v>
      </c>
      <c r="AD41" s="16">
        <f t="shared" si="33"/>
        <v>1</v>
      </c>
      <c r="AE41" s="32">
        <f t="shared" si="33"/>
        <v>385</v>
      </c>
      <c r="AF41" s="32">
        <f t="shared" si="33"/>
        <v>1036</v>
      </c>
    </row>
    <row r="42" spans="2:32" ht="23.1" customHeight="1" x14ac:dyDescent="0.25">
      <c r="B42" s="46" t="s">
        <v>69</v>
      </c>
      <c r="C42" s="50">
        <v>3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4</v>
      </c>
      <c r="P42" s="15">
        <f t="shared" si="1"/>
        <v>7</v>
      </c>
      <c r="R42" s="5" t="s">
        <v>160</v>
      </c>
      <c r="S42" s="48">
        <f>S41/S40</f>
        <v>1.3833333333333333</v>
      </c>
      <c r="T42" s="48">
        <f t="shared" ref="T42:AF42" si="34">T41/T40</f>
        <v>1.0344827586206897</v>
      </c>
      <c r="U42" s="48">
        <f t="shared" si="34"/>
        <v>1.2777777777777777</v>
      </c>
      <c r="V42" s="48">
        <f t="shared" si="34"/>
        <v>1.2278481012658229</v>
      </c>
      <c r="W42" s="48">
        <f t="shared" si="34"/>
        <v>1.3333333333333333</v>
      </c>
      <c r="X42" s="48">
        <f t="shared" si="34"/>
        <v>1</v>
      </c>
      <c r="Y42" s="48">
        <f t="shared" si="34"/>
        <v>1.4594594594594594</v>
      </c>
      <c r="Z42" s="48">
        <f t="shared" si="34"/>
        <v>2.8421052631578947</v>
      </c>
      <c r="AA42" s="48">
        <f t="shared" si="34"/>
        <v>3</v>
      </c>
      <c r="AB42" s="48">
        <f t="shared" si="34"/>
        <v>1.2222222222222223</v>
      </c>
      <c r="AC42" s="48">
        <f t="shared" si="34"/>
        <v>1.1625000000000001</v>
      </c>
      <c r="AD42" s="48">
        <f t="shared" si="34"/>
        <v>1</v>
      </c>
      <c r="AE42" s="48">
        <f t="shared" si="34"/>
        <v>1.4528301886792452</v>
      </c>
      <c r="AF42" s="48">
        <f t="shared" si="34"/>
        <v>1.2557575757575759</v>
      </c>
    </row>
    <row r="43" spans="2:32" ht="23.1" customHeight="1" x14ac:dyDescent="0.25">
      <c r="B43" s="45" t="s">
        <v>70</v>
      </c>
      <c r="C43" s="50">
        <v>0</v>
      </c>
      <c r="D43" s="50">
        <v>1</v>
      </c>
      <c r="E43" s="50">
        <v>0</v>
      </c>
      <c r="F43" s="50">
        <v>4</v>
      </c>
      <c r="G43" s="50">
        <v>0</v>
      </c>
      <c r="H43" s="50">
        <v>1</v>
      </c>
      <c r="I43" s="50">
        <v>0</v>
      </c>
      <c r="J43" s="50">
        <v>0</v>
      </c>
      <c r="K43" s="50">
        <v>0</v>
      </c>
      <c r="L43" s="50">
        <v>2</v>
      </c>
      <c r="M43" s="50">
        <v>19</v>
      </c>
      <c r="N43" s="50">
        <v>0</v>
      </c>
      <c r="O43" s="15">
        <f t="shared" si="0"/>
        <v>8</v>
      </c>
      <c r="P43" s="15">
        <f t="shared" si="1"/>
        <v>27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3</v>
      </c>
      <c r="G44" s="50">
        <v>0</v>
      </c>
      <c r="H44" s="50">
        <v>0</v>
      </c>
      <c r="I44" s="50">
        <v>2</v>
      </c>
      <c r="J44" s="50">
        <v>2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8</v>
      </c>
      <c r="P44" s="15">
        <f t="shared" si="1"/>
        <v>18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1</v>
      </c>
      <c r="M45" s="50">
        <v>13</v>
      </c>
      <c r="N45" s="50">
        <v>0</v>
      </c>
      <c r="O45" s="15">
        <f t="shared" si="0"/>
        <v>3</v>
      </c>
      <c r="P45" s="15">
        <f t="shared" si="1"/>
        <v>16</v>
      </c>
    </row>
    <row r="46" spans="2:32" ht="23.1" customHeight="1" x14ac:dyDescent="0.25">
      <c r="B46" s="46" t="s">
        <v>73</v>
      </c>
      <c r="C46" s="50">
        <v>1</v>
      </c>
      <c r="D46" s="50">
        <v>1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3</v>
      </c>
      <c r="P46" s="15">
        <f t="shared" si="1"/>
        <v>15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6</v>
      </c>
      <c r="P47" s="15">
        <f t="shared" si="1"/>
        <v>21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3</v>
      </c>
      <c r="P48" s="15">
        <f t="shared" si="1"/>
        <v>11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0</v>
      </c>
      <c r="F49" s="50">
        <v>0</v>
      </c>
      <c r="G49" s="50">
        <v>1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13</v>
      </c>
      <c r="N49" s="50">
        <v>0</v>
      </c>
      <c r="O49" s="15">
        <f t="shared" si="0"/>
        <v>3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2</v>
      </c>
      <c r="P50" s="15">
        <f t="shared" si="1"/>
        <v>14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2</v>
      </c>
      <c r="E51" s="50">
        <v>2</v>
      </c>
      <c r="F51" s="50">
        <v>5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13</v>
      </c>
      <c r="P51" s="15">
        <f t="shared" si="1"/>
        <v>32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4</v>
      </c>
      <c r="P52" s="15">
        <f t="shared" si="1"/>
        <v>9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2</v>
      </c>
      <c r="E53" s="50">
        <v>2</v>
      </c>
      <c r="F53" s="50">
        <v>3</v>
      </c>
      <c r="G53" s="50">
        <v>1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8</v>
      </c>
      <c r="P53" s="15">
        <f t="shared" si="1"/>
        <v>16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6</v>
      </c>
      <c r="P54" s="15">
        <f t="shared" si="1"/>
        <v>17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1</v>
      </c>
      <c r="P55" s="15">
        <f t="shared" si="1"/>
        <v>10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1</v>
      </c>
      <c r="F56" s="50">
        <v>5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10</v>
      </c>
      <c r="P56" s="15">
        <f t="shared" si="1"/>
        <v>19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2</v>
      </c>
      <c r="P57" s="15">
        <f t="shared" si="1"/>
        <v>11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0</v>
      </c>
      <c r="F58" s="50">
        <v>2</v>
      </c>
      <c r="G58" s="50">
        <v>1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12</v>
      </c>
      <c r="N58" s="50">
        <v>0</v>
      </c>
      <c r="O58" s="15">
        <f t="shared" si="0"/>
        <v>5</v>
      </c>
      <c r="P58" s="15">
        <f t="shared" si="1"/>
        <v>17</v>
      </c>
      <c r="R58" s="8"/>
      <c r="T58"/>
    </row>
    <row r="59" spans="2:20" ht="23.1" customHeight="1" x14ac:dyDescent="0.25">
      <c r="B59" s="45" t="s">
        <v>100</v>
      </c>
      <c r="C59" s="50">
        <v>4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2</v>
      </c>
      <c r="J59" s="50">
        <v>4</v>
      </c>
      <c r="K59" s="50">
        <v>0</v>
      </c>
      <c r="L59" s="50">
        <v>0</v>
      </c>
      <c r="M59" s="50">
        <v>14</v>
      </c>
      <c r="N59" s="50">
        <v>0</v>
      </c>
      <c r="O59" s="15">
        <f t="shared" si="0"/>
        <v>10</v>
      </c>
      <c r="P59" s="15">
        <f t="shared" si="1"/>
        <v>24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3</v>
      </c>
      <c r="G60" s="50">
        <v>0</v>
      </c>
      <c r="H60" s="50">
        <v>0</v>
      </c>
      <c r="I60" s="50">
        <v>0</v>
      </c>
      <c r="J60" s="50">
        <v>0</v>
      </c>
      <c r="K60" s="50">
        <v>1</v>
      </c>
      <c r="L60" s="50">
        <v>0</v>
      </c>
      <c r="M60" s="50">
        <v>7</v>
      </c>
      <c r="N60" s="50">
        <v>0</v>
      </c>
      <c r="O60" s="15">
        <f t="shared" si="0"/>
        <v>5</v>
      </c>
      <c r="P60" s="15">
        <f t="shared" si="1"/>
        <v>12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1</v>
      </c>
      <c r="F61" s="50">
        <v>1</v>
      </c>
      <c r="G61" s="50">
        <v>0</v>
      </c>
      <c r="H61" s="50">
        <v>0</v>
      </c>
      <c r="I61" s="50">
        <v>0</v>
      </c>
      <c r="J61" s="50">
        <v>1</v>
      </c>
      <c r="K61" s="50">
        <v>3</v>
      </c>
      <c r="L61" s="50">
        <v>0</v>
      </c>
      <c r="M61" s="50">
        <v>10</v>
      </c>
      <c r="N61" s="50">
        <v>0</v>
      </c>
      <c r="O61" s="15">
        <f t="shared" si="0"/>
        <v>10</v>
      </c>
      <c r="P61" s="15">
        <f t="shared" si="1"/>
        <v>20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0</v>
      </c>
      <c r="E62" s="50">
        <v>0</v>
      </c>
      <c r="F62" s="50">
        <v>2</v>
      </c>
      <c r="G62" s="50">
        <v>0</v>
      </c>
      <c r="H62" s="50">
        <v>0</v>
      </c>
      <c r="I62" s="50">
        <v>0</v>
      </c>
      <c r="J62" s="50">
        <v>0</v>
      </c>
      <c r="K62" s="50">
        <v>1</v>
      </c>
      <c r="L62" s="50">
        <v>0</v>
      </c>
      <c r="M62" s="50">
        <v>13</v>
      </c>
      <c r="N62" s="50">
        <v>0</v>
      </c>
      <c r="O62" s="15">
        <f t="shared" si="0"/>
        <v>6</v>
      </c>
      <c r="P62" s="15">
        <f t="shared" si="1"/>
        <v>19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3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7</v>
      </c>
      <c r="N63" s="50">
        <v>0</v>
      </c>
      <c r="O63" s="15">
        <f t="shared" si="0"/>
        <v>5</v>
      </c>
      <c r="P63" s="15">
        <f t="shared" si="1"/>
        <v>12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1</v>
      </c>
      <c r="N64" s="50">
        <v>0</v>
      </c>
      <c r="O64" s="15">
        <f t="shared" si="0"/>
        <v>3</v>
      </c>
      <c r="P64" s="15">
        <f t="shared" si="1"/>
        <v>4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2</v>
      </c>
      <c r="L65" s="50">
        <v>0</v>
      </c>
      <c r="M65" s="50">
        <v>4</v>
      </c>
      <c r="N65" s="50">
        <v>0</v>
      </c>
      <c r="O65" s="15">
        <f t="shared" si="0"/>
        <v>2</v>
      </c>
      <c r="P65" s="15">
        <f t="shared" si="1"/>
        <v>6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3</v>
      </c>
      <c r="N66" s="50">
        <v>0</v>
      </c>
      <c r="O66" s="15">
        <f t="shared" si="0"/>
        <v>4</v>
      </c>
      <c r="P66" s="15">
        <f t="shared" si="1"/>
        <v>7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0"/>
        <v>0</v>
      </c>
      <c r="P67" s="15">
        <f t="shared" si="1"/>
        <v>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1</v>
      </c>
      <c r="P68" s="15">
        <f t="shared" si="1"/>
        <v>2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0</v>
      </c>
      <c r="P69" s="15">
        <f t="shared" si="1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0"/>
        <v>0</v>
      </c>
      <c r="P70" s="15">
        <f t="shared" si="1"/>
        <v>1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1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2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5</v>
      </c>
      <c r="P72" s="15">
        <f t="shared" si="1"/>
        <v>7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1</v>
      </c>
      <c r="P73" s="15">
        <f t="shared" si="1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4</v>
      </c>
      <c r="J75" s="50">
        <v>4</v>
      </c>
      <c r="K75" s="50">
        <v>1</v>
      </c>
      <c r="L75" s="50">
        <v>1</v>
      </c>
      <c r="M75" s="50">
        <v>0</v>
      </c>
      <c r="N75" s="50">
        <v>0</v>
      </c>
      <c r="O75" s="15">
        <f t="shared" si="35"/>
        <v>11</v>
      </c>
      <c r="P75" s="15">
        <f t="shared" si="36"/>
        <v>11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2</v>
      </c>
      <c r="P76" s="15">
        <f t="shared" si="36"/>
        <v>2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1</v>
      </c>
      <c r="G77" s="50">
        <v>0</v>
      </c>
      <c r="H77" s="50">
        <v>0</v>
      </c>
      <c r="I77" s="50">
        <v>1</v>
      </c>
      <c r="J77" s="50">
        <v>1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3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5</v>
      </c>
      <c r="K78" s="50">
        <v>1</v>
      </c>
      <c r="L78" s="50">
        <v>0</v>
      </c>
      <c r="M78" s="50">
        <v>0</v>
      </c>
      <c r="N78" s="50">
        <v>0</v>
      </c>
      <c r="O78" s="15">
        <f t="shared" si="35"/>
        <v>6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0</v>
      </c>
      <c r="J79" s="50">
        <v>2</v>
      </c>
      <c r="K79" s="50">
        <v>1</v>
      </c>
      <c r="L79" s="50">
        <v>0</v>
      </c>
      <c r="M79" s="50">
        <v>0</v>
      </c>
      <c r="N79" s="50"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1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3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1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1</v>
      </c>
      <c r="K82" s="50">
        <v>3</v>
      </c>
      <c r="L82" s="50">
        <v>0</v>
      </c>
      <c r="M82" s="50">
        <v>0</v>
      </c>
      <c r="N82" s="50">
        <v>0</v>
      </c>
      <c r="O82" s="15">
        <f t="shared" si="35"/>
        <v>5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2</v>
      </c>
      <c r="J89" s="50">
        <v>1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3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2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1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0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3</v>
      </c>
      <c r="K101" s="50">
        <v>1</v>
      </c>
      <c r="L101" s="50">
        <v>0</v>
      </c>
      <c r="M101" s="50">
        <v>3</v>
      </c>
      <c r="N101" s="50">
        <v>0</v>
      </c>
      <c r="O101" s="15">
        <f t="shared" si="35"/>
        <v>4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2</v>
      </c>
      <c r="L102" s="50">
        <v>0</v>
      </c>
      <c r="M102" s="50">
        <v>0</v>
      </c>
      <c r="N102" s="50">
        <v>0</v>
      </c>
      <c r="O102" s="15">
        <f t="shared" si="35"/>
        <v>3</v>
      </c>
      <c r="P102" s="15">
        <f t="shared" si="36"/>
        <v>3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1</v>
      </c>
      <c r="P103" s="15">
        <f t="shared" si="36"/>
        <v>1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2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</v>
      </c>
      <c r="N105" s="50">
        <v>0</v>
      </c>
      <c r="O105" s="15">
        <f t="shared" si="35"/>
        <v>1</v>
      </c>
      <c r="P105" s="15">
        <f t="shared" si="36"/>
        <v>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83</v>
      </c>
      <c r="D106" s="16">
        <f t="shared" ref="D106:P106" si="37">SUM(D10:D105)</f>
        <v>30</v>
      </c>
      <c r="E106" s="16">
        <f t="shared" si="37"/>
        <v>23</v>
      </c>
      <c r="F106" s="16">
        <f t="shared" si="37"/>
        <v>97</v>
      </c>
      <c r="G106" s="16">
        <f t="shared" si="37"/>
        <v>4</v>
      </c>
      <c r="H106" s="16">
        <f t="shared" si="37"/>
        <v>1</v>
      </c>
      <c r="I106" s="16">
        <f t="shared" si="37"/>
        <v>54</v>
      </c>
      <c r="J106" s="16">
        <f t="shared" si="37"/>
        <v>54</v>
      </c>
      <c r="K106" s="16">
        <f t="shared" si="37"/>
        <v>27</v>
      </c>
      <c r="L106" s="16">
        <f t="shared" si="37"/>
        <v>11</v>
      </c>
      <c r="M106" s="16">
        <f t="shared" si="37"/>
        <v>651</v>
      </c>
      <c r="N106" s="16">
        <f t="shared" si="37"/>
        <v>1</v>
      </c>
      <c r="O106" s="16">
        <f t="shared" si="37"/>
        <v>385</v>
      </c>
      <c r="P106" s="16">
        <f t="shared" si="37"/>
        <v>1036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8.0115830115830122E-2</v>
      </c>
      <c r="D107" s="43">
        <f t="shared" si="38"/>
        <v>2.8957528957528959E-2</v>
      </c>
      <c r="E107" s="43">
        <f t="shared" si="38"/>
        <v>2.2200772200772202E-2</v>
      </c>
      <c r="F107" s="43">
        <f t="shared" si="38"/>
        <v>9.3629343629343623E-2</v>
      </c>
      <c r="G107" s="43">
        <f t="shared" si="38"/>
        <v>3.8610038610038611E-3</v>
      </c>
      <c r="H107" s="43">
        <f t="shared" si="38"/>
        <v>9.6525096525096527E-4</v>
      </c>
      <c r="I107" s="43">
        <f t="shared" si="38"/>
        <v>5.2123552123552123E-2</v>
      </c>
      <c r="J107" s="43">
        <f t="shared" si="38"/>
        <v>5.2123552123552123E-2</v>
      </c>
      <c r="K107" s="43">
        <f t="shared" si="38"/>
        <v>2.6061776061776062E-2</v>
      </c>
      <c r="L107" s="43">
        <f t="shared" si="38"/>
        <v>1.0617760617760617E-2</v>
      </c>
      <c r="M107" s="43">
        <f t="shared" si="38"/>
        <v>0.6283783783783784</v>
      </c>
      <c r="N107" s="43">
        <f t="shared" si="38"/>
        <v>9.6525096525096527E-4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0.21558441558441557</v>
      </c>
      <c r="D108" s="44">
        <f t="shared" ref="D108:N108" si="39">D106/$O$106</f>
        <v>7.792207792207792E-2</v>
      </c>
      <c r="E108" s="44">
        <f t="shared" si="39"/>
        <v>5.9740259740259739E-2</v>
      </c>
      <c r="F108" s="44">
        <f t="shared" si="39"/>
        <v>0.25194805194805192</v>
      </c>
      <c r="G108" s="44">
        <f t="shared" si="39"/>
        <v>1.038961038961039E-2</v>
      </c>
      <c r="H108" s="44">
        <f t="shared" si="39"/>
        <v>2.5974025974025974E-3</v>
      </c>
      <c r="I108" s="44">
        <f t="shared" si="39"/>
        <v>0.14025974025974025</v>
      </c>
      <c r="J108" s="44">
        <f t="shared" si="39"/>
        <v>0.14025974025974025</v>
      </c>
      <c r="K108" s="44">
        <f t="shared" si="39"/>
        <v>7.0129870129870125E-2</v>
      </c>
      <c r="L108" s="44">
        <f t="shared" si="39"/>
        <v>2.8571428571428571E-2</v>
      </c>
      <c r="M108" s="44"/>
      <c r="N108" s="44">
        <f t="shared" si="39"/>
        <v>2.5974025974025974E-3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24" sqref="G24:G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176</v>
      </c>
      <c r="E5" s="3"/>
      <c r="F5" s="41" t="s">
        <v>1</v>
      </c>
      <c r="G5" s="59" t="str">
        <f>'17.10 KAYUNGA-GALIRAYA'!G5:H5</f>
        <v>KYANYA</v>
      </c>
      <c r="H5" s="60"/>
      <c r="I5" s="14"/>
      <c r="J5" s="2" t="s">
        <v>5</v>
      </c>
      <c r="K5" s="59" t="s">
        <v>172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KAYUNGA-GALIRAYA'!D6:E6</f>
        <v>KAYUNGA</v>
      </c>
      <c r="E6" s="60"/>
      <c r="F6" s="2" t="s">
        <v>2</v>
      </c>
      <c r="G6" s="59" t="str">
        <f>'17.10 KAYUNGA-GALIRAYA'!G6:H6</f>
        <v>GALIRAYA</v>
      </c>
      <c r="H6" s="60"/>
      <c r="J6" s="2" t="s">
        <v>21</v>
      </c>
      <c r="K6" s="59" t="str">
        <f>'17.10 KAYUNGA-GALIRAYA'!K6:L6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2</v>
      </c>
      <c r="J10" s="50">
        <v>0</v>
      </c>
      <c r="K10" s="50">
        <v>1</v>
      </c>
      <c r="L10" s="50">
        <v>0</v>
      </c>
      <c r="M10" s="50">
        <v>6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2</v>
      </c>
      <c r="AA10" s="17">
        <f t="shared" si="2"/>
        <v>5</v>
      </c>
      <c r="AB10" s="17">
        <f t="shared" si="2"/>
        <v>0</v>
      </c>
      <c r="AC10" s="17">
        <f t="shared" si="2"/>
        <v>21</v>
      </c>
      <c r="AD10" s="17">
        <f t="shared" si="2"/>
        <v>0</v>
      </c>
      <c r="AE10" s="31">
        <f t="shared" si="2"/>
        <v>15</v>
      </c>
      <c r="AF10" s="31">
        <f t="shared" si="2"/>
        <v>36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4</v>
      </c>
      <c r="P11" s="15">
        <f t="shared" si="1"/>
        <v>9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5</v>
      </c>
      <c r="AA11" s="17">
        <f t="shared" si="3"/>
        <v>2</v>
      </c>
      <c r="AB11" s="17">
        <f t="shared" si="3"/>
        <v>0</v>
      </c>
      <c r="AC11" s="17">
        <f t="shared" si="3"/>
        <v>25</v>
      </c>
      <c r="AD11" s="17">
        <f t="shared" si="3"/>
        <v>0</v>
      </c>
      <c r="AE11" s="31">
        <f t="shared" si="3"/>
        <v>16</v>
      </c>
      <c r="AF11" s="31">
        <f t="shared" si="3"/>
        <v>41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3</v>
      </c>
      <c r="L12" s="50">
        <v>0</v>
      </c>
      <c r="M12" s="50">
        <v>9</v>
      </c>
      <c r="N12" s="50">
        <v>0</v>
      </c>
      <c r="O12" s="15">
        <f t="shared" si="0"/>
        <v>4</v>
      </c>
      <c r="P12" s="15">
        <f t="shared" si="1"/>
        <v>13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5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47</v>
      </c>
      <c r="AD12" s="17">
        <f t="shared" si="4"/>
        <v>0</v>
      </c>
      <c r="AE12" s="31">
        <f t="shared" si="4"/>
        <v>24</v>
      </c>
      <c r="AF12" s="31">
        <f t="shared" si="4"/>
        <v>71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1</v>
      </c>
      <c r="N13" s="50">
        <v>0</v>
      </c>
      <c r="O13" s="15">
        <f t="shared" si="0"/>
        <v>2</v>
      </c>
      <c r="P13" s="15">
        <f t="shared" si="1"/>
        <v>3</v>
      </c>
      <c r="R13" s="1" t="s">
        <v>9</v>
      </c>
      <c r="S13" s="17">
        <f t="shared" ref="S13:AF13" si="5">SUM(C22:C25)</f>
        <v>8</v>
      </c>
      <c r="T13" s="17">
        <f t="shared" si="5"/>
        <v>1</v>
      </c>
      <c r="U13" s="17">
        <f t="shared" si="5"/>
        <v>3</v>
      </c>
      <c r="V13" s="17">
        <f t="shared" si="5"/>
        <v>7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64</v>
      </c>
      <c r="AD13" s="17">
        <f t="shared" si="5"/>
        <v>0</v>
      </c>
      <c r="AE13" s="31">
        <f t="shared" si="5"/>
        <v>26</v>
      </c>
      <c r="AF13" s="31">
        <f t="shared" si="5"/>
        <v>90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1</v>
      </c>
      <c r="P14" s="15">
        <f t="shared" si="1"/>
        <v>11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4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5</v>
      </c>
      <c r="AA14" s="17">
        <f t="shared" si="6"/>
        <v>1</v>
      </c>
      <c r="AB14" s="17">
        <f t="shared" si="6"/>
        <v>0</v>
      </c>
      <c r="AC14" s="17">
        <f t="shared" si="6"/>
        <v>71</v>
      </c>
      <c r="AD14" s="17">
        <f t="shared" si="6"/>
        <v>0</v>
      </c>
      <c r="AE14" s="31">
        <f t="shared" si="6"/>
        <v>24</v>
      </c>
      <c r="AF14" s="31">
        <f t="shared" si="6"/>
        <v>95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4</v>
      </c>
      <c r="P15" s="15">
        <f t="shared" si="1"/>
        <v>12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2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45</v>
      </c>
      <c r="AD15" s="17">
        <f t="shared" si="7"/>
        <v>0</v>
      </c>
      <c r="AE15" s="31">
        <f t="shared" si="7"/>
        <v>21</v>
      </c>
      <c r="AF15" s="31">
        <f t="shared" si="7"/>
        <v>66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0</v>
      </c>
      <c r="J16" s="50">
        <v>2</v>
      </c>
      <c r="K16" s="50">
        <v>2</v>
      </c>
      <c r="L16" s="50">
        <v>0</v>
      </c>
      <c r="M16" s="50">
        <v>4</v>
      </c>
      <c r="N16" s="50">
        <v>0</v>
      </c>
      <c r="O16" s="15">
        <f t="shared" si="0"/>
        <v>7</v>
      </c>
      <c r="P16" s="15">
        <f t="shared" si="1"/>
        <v>11</v>
      </c>
      <c r="R16" s="1" t="s">
        <v>12</v>
      </c>
      <c r="S16" s="17">
        <f t="shared" ref="S16:AF16" si="8">SUM(C34:C37)</f>
        <v>5</v>
      </c>
      <c r="T16" s="17">
        <f t="shared" si="8"/>
        <v>1</v>
      </c>
      <c r="U16" s="17">
        <f t="shared" si="8"/>
        <v>2</v>
      </c>
      <c r="V16" s="17">
        <f t="shared" si="8"/>
        <v>7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49</v>
      </c>
      <c r="AD16" s="17">
        <f t="shared" si="8"/>
        <v>0</v>
      </c>
      <c r="AE16" s="31">
        <f t="shared" si="8"/>
        <v>20</v>
      </c>
      <c r="AF16" s="31">
        <f t="shared" si="8"/>
        <v>69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4</v>
      </c>
      <c r="P17" s="15">
        <f t="shared" si="1"/>
        <v>7</v>
      </c>
      <c r="R17" s="1" t="s">
        <v>13</v>
      </c>
      <c r="S17" s="17">
        <f t="shared" ref="S17:AF17" si="9">SUM(C38:C41)</f>
        <v>4</v>
      </c>
      <c r="T17" s="17">
        <f t="shared" si="9"/>
        <v>2</v>
      </c>
      <c r="U17" s="17">
        <f t="shared" si="9"/>
        <v>4</v>
      </c>
      <c r="V17" s="17">
        <f t="shared" si="9"/>
        <v>9</v>
      </c>
      <c r="W17" s="17">
        <f t="shared" si="9"/>
        <v>1</v>
      </c>
      <c r="X17" s="17">
        <f t="shared" si="9"/>
        <v>0</v>
      </c>
      <c r="Y17" s="17">
        <f t="shared" si="9"/>
        <v>4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38</v>
      </c>
      <c r="AD17" s="17">
        <f t="shared" si="9"/>
        <v>0</v>
      </c>
      <c r="AE17" s="31">
        <f t="shared" si="9"/>
        <v>26</v>
      </c>
      <c r="AF17" s="31">
        <f t="shared" si="9"/>
        <v>64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2</v>
      </c>
      <c r="F18" s="50">
        <v>2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9</v>
      </c>
      <c r="P18" s="15">
        <f t="shared" si="1"/>
        <v>24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1</v>
      </c>
      <c r="V18" s="17">
        <f t="shared" si="10"/>
        <v>6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25</v>
      </c>
      <c r="AD18" s="17">
        <f t="shared" si="10"/>
        <v>0</v>
      </c>
      <c r="AE18" s="31">
        <f t="shared" si="10"/>
        <v>16</v>
      </c>
      <c r="AF18" s="31">
        <f t="shared" si="10"/>
        <v>41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3</v>
      </c>
      <c r="P19" s="15">
        <f t="shared" si="1"/>
        <v>7</v>
      </c>
      <c r="R19" s="1" t="s">
        <v>15</v>
      </c>
      <c r="S19" s="17">
        <f t="shared" ref="S19:AF19" si="11">SUM(C46:C49)</f>
        <v>3</v>
      </c>
      <c r="T19" s="17">
        <f t="shared" si="11"/>
        <v>1</v>
      </c>
      <c r="U19" s="17">
        <f t="shared" si="11"/>
        <v>1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9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38</v>
      </c>
      <c r="AD19" s="17">
        <f t="shared" si="11"/>
        <v>0</v>
      </c>
      <c r="AE19" s="31">
        <f t="shared" si="11"/>
        <v>23</v>
      </c>
      <c r="AF19" s="31">
        <f t="shared" si="11"/>
        <v>61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14</v>
      </c>
      <c r="N20" s="50">
        <v>0</v>
      </c>
      <c r="O20" s="15">
        <f t="shared" si="0"/>
        <v>2</v>
      </c>
      <c r="P20" s="15">
        <f t="shared" si="1"/>
        <v>16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1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28</v>
      </c>
      <c r="AD20" s="17">
        <f t="shared" si="12"/>
        <v>0</v>
      </c>
      <c r="AE20" s="31">
        <f t="shared" si="12"/>
        <v>12</v>
      </c>
      <c r="AF20" s="31">
        <f t="shared" si="12"/>
        <v>40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1</v>
      </c>
      <c r="F21" s="50">
        <v>2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10</v>
      </c>
      <c r="P21" s="15">
        <f t="shared" si="1"/>
        <v>24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0</v>
      </c>
      <c r="V21" s="17">
        <f t="shared" si="13"/>
        <v>8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37</v>
      </c>
      <c r="AD21" s="17">
        <f t="shared" si="13"/>
        <v>0</v>
      </c>
      <c r="AE21" s="31">
        <f t="shared" si="13"/>
        <v>21</v>
      </c>
      <c r="AF21" s="31">
        <f t="shared" si="13"/>
        <v>58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2</v>
      </c>
      <c r="F22" s="50">
        <v>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8</v>
      </c>
      <c r="P22" s="15">
        <f t="shared" si="1"/>
        <v>18</v>
      </c>
      <c r="R22" s="38" t="s">
        <v>90</v>
      </c>
      <c r="S22" s="39">
        <f>MAX(S10:S12)</f>
        <v>6</v>
      </c>
      <c r="T22" s="39">
        <f t="shared" ref="T22:AF22" si="14">MAX(T10:T12)</f>
        <v>1</v>
      </c>
      <c r="U22" s="39">
        <f t="shared" si="14"/>
        <v>5</v>
      </c>
      <c r="V22" s="39">
        <f t="shared" si="14"/>
        <v>5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5</v>
      </c>
      <c r="AA22" s="39">
        <f t="shared" si="14"/>
        <v>5</v>
      </c>
      <c r="AB22" s="39">
        <f t="shared" si="14"/>
        <v>0</v>
      </c>
      <c r="AC22" s="39">
        <f t="shared" si="14"/>
        <v>47</v>
      </c>
      <c r="AD22" s="39">
        <f t="shared" si="14"/>
        <v>0</v>
      </c>
      <c r="AE22" s="40">
        <f t="shared" si="14"/>
        <v>24</v>
      </c>
      <c r="AF22" s="40">
        <f t="shared" si="14"/>
        <v>71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3</v>
      </c>
      <c r="G23" s="50">
        <v>1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6</v>
      </c>
      <c r="P23" s="15">
        <f t="shared" si="1"/>
        <v>22</v>
      </c>
      <c r="R23" s="38" t="s">
        <v>91</v>
      </c>
      <c r="S23" s="39">
        <f>MAX(S13:S18)</f>
        <v>8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9</v>
      </c>
      <c r="W23" s="39">
        <f t="shared" si="15"/>
        <v>1</v>
      </c>
      <c r="X23" s="39">
        <f t="shared" si="15"/>
        <v>0</v>
      </c>
      <c r="Y23" s="39">
        <f t="shared" si="15"/>
        <v>5</v>
      </c>
      <c r="Z23" s="39">
        <f t="shared" si="15"/>
        <v>5</v>
      </c>
      <c r="AA23" s="39">
        <f t="shared" si="15"/>
        <v>1</v>
      </c>
      <c r="AB23" s="39">
        <f t="shared" si="15"/>
        <v>1</v>
      </c>
      <c r="AC23" s="39">
        <f t="shared" si="15"/>
        <v>71</v>
      </c>
      <c r="AD23" s="39">
        <f t="shared" si="15"/>
        <v>0</v>
      </c>
      <c r="AE23" s="40">
        <f t="shared" si="15"/>
        <v>26</v>
      </c>
      <c r="AF23" s="40">
        <f t="shared" si="15"/>
        <v>95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22</v>
      </c>
      <c r="N24" s="50">
        <v>0</v>
      </c>
      <c r="O24" s="15">
        <f t="shared" si="0"/>
        <v>6</v>
      </c>
      <c r="P24" s="15">
        <f t="shared" si="1"/>
        <v>28</v>
      </c>
      <c r="R24" s="38" t="s">
        <v>92</v>
      </c>
      <c r="S24" s="39">
        <f>MAX(S19:S21)</f>
        <v>6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8</v>
      </c>
      <c r="W24" s="39">
        <f t="shared" si="16"/>
        <v>1</v>
      </c>
      <c r="X24" s="39">
        <f t="shared" si="16"/>
        <v>0</v>
      </c>
      <c r="Y24" s="39">
        <f t="shared" si="16"/>
        <v>9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38</v>
      </c>
      <c r="AD24" s="39">
        <f t="shared" si="16"/>
        <v>0</v>
      </c>
      <c r="AE24" s="40">
        <f t="shared" si="16"/>
        <v>23</v>
      </c>
      <c r="AF24" s="40">
        <f t="shared" si="16"/>
        <v>61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6</v>
      </c>
      <c r="P25" s="15">
        <f t="shared" si="1"/>
        <v>22</v>
      </c>
      <c r="R25" s="37" t="s">
        <v>85</v>
      </c>
      <c r="S25" s="35">
        <f t="shared" ref="S25:AF25" si="17">SUM(S10:S12)</f>
        <v>9</v>
      </c>
      <c r="T25" s="16">
        <f t="shared" si="17"/>
        <v>1</v>
      </c>
      <c r="U25" s="16">
        <f t="shared" si="17"/>
        <v>8</v>
      </c>
      <c r="V25" s="16">
        <f t="shared" si="17"/>
        <v>9</v>
      </c>
      <c r="W25" s="16">
        <f t="shared" si="17"/>
        <v>0</v>
      </c>
      <c r="X25" s="16">
        <f t="shared" si="17"/>
        <v>0</v>
      </c>
      <c r="Y25" s="16">
        <f t="shared" si="17"/>
        <v>12</v>
      </c>
      <c r="Z25" s="16">
        <f t="shared" si="17"/>
        <v>9</v>
      </c>
      <c r="AA25" s="16">
        <f t="shared" si="17"/>
        <v>7</v>
      </c>
      <c r="AB25" s="16">
        <f t="shared" si="17"/>
        <v>0</v>
      </c>
      <c r="AC25" s="16">
        <f t="shared" si="17"/>
        <v>93</v>
      </c>
      <c r="AD25" s="16">
        <f t="shared" si="17"/>
        <v>0</v>
      </c>
      <c r="AE25" s="32">
        <f t="shared" si="17"/>
        <v>55</v>
      </c>
      <c r="AF25" s="32">
        <f t="shared" si="17"/>
        <v>148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1</v>
      </c>
      <c r="L26" s="50">
        <v>0</v>
      </c>
      <c r="M26" s="50">
        <v>20</v>
      </c>
      <c r="N26" s="50">
        <v>0</v>
      </c>
      <c r="O26" s="15">
        <f t="shared" si="0"/>
        <v>5</v>
      </c>
      <c r="P26" s="15">
        <f t="shared" si="1"/>
        <v>25</v>
      </c>
      <c r="R26" s="28" t="s">
        <v>86</v>
      </c>
      <c r="S26" s="16">
        <f t="shared" ref="S26:AF26" si="18">SUM(S13:S18)</f>
        <v>29</v>
      </c>
      <c r="T26" s="16">
        <f t="shared" si="18"/>
        <v>4</v>
      </c>
      <c r="U26" s="16">
        <f t="shared" si="18"/>
        <v>16</v>
      </c>
      <c r="V26" s="16">
        <f t="shared" si="18"/>
        <v>42</v>
      </c>
      <c r="W26" s="16">
        <f t="shared" si="18"/>
        <v>2</v>
      </c>
      <c r="X26" s="16">
        <f t="shared" si="18"/>
        <v>0</v>
      </c>
      <c r="Y26" s="16">
        <f t="shared" si="18"/>
        <v>21</v>
      </c>
      <c r="Z26" s="16">
        <f t="shared" si="18"/>
        <v>15</v>
      </c>
      <c r="AA26" s="16">
        <f t="shared" si="18"/>
        <v>3</v>
      </c>
      <c r="AB26" s="16">
        <f t="shared" si="18"/>
        <v>1</v>
      </c>
      <c r="AC26" s="16">
        <f t="shared" si="18"/>
        <v>292</v>
      </c>
      <c r="AD26" s="16">
        <f t="shared" si="18"/>
        <v>0</v>
      </c>
      <c r="AE26" s="32">
        <f t="shared" si="18"/>
        <v>133</v>
      </c>
      <c r="AF26" s="32">
        <f t="shared" si="18"/>
        <v>425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2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6</v>
      </c>
      <c r="P27" s="15">
        <f t="shared" si="1"/>
        <v>24</v>
      </c>
      <c r="R27" s="29" t="s">
        <v>87</v>
      </c>
      <c r="S27" s="16">
        <f t="shared" ref="S27:AF27" si="19">SUM(S19:S21)</f>
        <v>12</v>
      </c>
      <c r="T27" s="16">
        <f t="shared" si="19"/>
        <v>1</v>
      </c>
      <c r="U27" s="16">
        <f t="shared" si="19"/>
        <v>2</v>
      </c>
      <c r="V27" s="16">
        <f t="shared" si="19"/>
        <v>21</v>
      </c>
      <c r="W27" s="16">
        <f t="shared" si="19"/>
        <v>1</v>
      </c>
      <c r="X27" s="16">
        <f t="shared" si="19"/>
        <v>0</v>
      </c>
      <c r="Y27" s="16">
        <f t="shared" si="19"/>
        <v>15</v>
      </c>
      <c r="Z27" s="16">
        <f t="shared" si="19"/>
        <v>3</v>
      </c>
      <c r="AA27" s="16">
        <f t="shared" si="19"/>
        <v>1</v>
      </c>
      <c r="AB27" s="16">
        <f t="shared" si="19"/>
        <v>0</v>
      </c>
      <c r="AC27" s="16">
        <f t="shared" si="19"/>
        <v>103</v>
      </c>
      <c r="AD27" s="16">
        <f t="shared" si="19"/>
        <v>0</v>
      </c>
      <c r="AE27" s="32">
        <f t="shared" si="19"/>
        <v>56</v>
      </c>
      <c r="AF27" s="32">
        <f t="shared" si="19"/>
        <v>159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3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5</v>
      </c>
      <c r="P28" s="15">
        <f t="shared" si="1"/>
        <v>22</v>
      </c>
      <c r="R28" s="5" t="s">
        <v>17</v>
      </c>
      <c r="S28" s="16">
        <f t="shared" ref="S28:AF28" si="20">SUM(S10:S21)</f>
        <v>50</v>
      </c>
      <c r="T28" s="16">
        <f t="shared" si="20"/>
        <v>6</v>
      </c>
      <c r="U28" s="16">
        <f t="shared" si="20"/>
        <v>26</v>
      </c>
      <c r="V28" s="16">
        <f t="shared" si="20"/>
        <v>72</v>
      </c>
      <c r="W28" s="16">
        <f t="shared" si="20"/>
        <v>3</v>
      </c>
      <c r="X28" s="16">
        <f t="shared" si="20"/>
        <v>0</v>
      </c>
      <c r="Y28" s="16">
        <f t="shared" si="20"/>
        <v>48</v>
      </c>
      <c r="Z28" s="16">
        <f t="shared" si="20"/>
        <v>27</v>
      </c>
      <c r="AA28" s="16">
        <f t="shared" si="20"/>
        <v>11</v>
      </c>
      <c r="AB28" s="16">
        <f t="shared" si="20"/>
        <v>1</v>
      </c>
      <c r="AC28" s="16">
        <f t="shared" si="20"/>
        <v>488</v>
      </c>
      <c r="AD28" s="16">
        <f t="shared" si="20"/>
        <v>0</v>
      </c>
      <c r="AE28" s="32">
        <f t="shared" si="20"/>
        <v>244</v>
      </c>
      <c r="AF28" s="32">
        <f t="shared" si="20"/>
        <v>732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2</v>
      </c>
      <c r="J29" s="50">
        <v>3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8</v>
      </c>
      <c r="P29" s="15">
        <f t="shared" si="1"/>
        <v>24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3</v>
      </c>
      <c r="J30" s="50">
        <v>2</v>
      </c>
      <c r="K30" s="50">
        <v>1</v>
      </c>
      <c r="L30" s="50">
        <v>0</v>
      </c>
      <c r="M30" s="50">
        <v>13</v>
      </c>
      <c r="N30" s="50">
        <v>0</v>
      </c>
      <c r="O30" s="15">
        <f t="shared" si="0"/>
        <v>9</v>
      </c>
      <c r="P30" s="15">
        <f t="shared" si="1"/>
        <v>22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1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3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13</v>
      </c>
      <c r="N32" s="50">
        <v>0</v>
      </c>
      <c r="O32" s="15">
        <f t="shared" si="0"/>
        <v>5</v>
      </c>
      <c r="P32" s="15">
        <f t="shared" si="1"/>
        <v>18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6</v>
      </c>
      <c r="P33" s="15">
        <f t="shared" si="1"/>
        <v>15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1</v>
      </c>
      <c r="P34" s="15">
        <f t="shared" si="1"/>
        <v>9</v>
      </c>
    </row>
    <row r="35" spans="2:20" ht="23.1" customHeight="1" x14ac:dyDescent="0.25">
      <c r="B35" s="24" t="s">
        <v>62</v>
      </c>
      <c r="C35" s="50">
        <v>1</v>
      </c>
      <c r="D35" s="50">
        <v>1</v>
      </c>
      <c r="E35" s="50">
        <v>0</v>
      </c>
      <c r="F35" s="50">
        <v>5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19</v>
      </c>
      <c r="N35" s="50">
        <v>0</v>
      </c>
      <c r="O35" s="15">
        <f t="shared" si="0"/>
        <v>7</v>
      </c>
      <c r="P35" s="15">
        <f t="shared" si="1"/>
        <v>26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3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2</v>
      </c>
      <c r="F37" s="50">
        <v>1</v>
      </c>
      <c r="G37" s="50">
        <v>0</v>
      </c>
      <c r="H37" s="50">
        <v>0</v>
      </c>
      <c r="I37" s="50">
        <v>2</v>
      </c>
      <c r="J37" s="50">
        <v>3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9</v>
      </c>
      <c r="P37" s="15">
        <f t="shared" si="1"/>
        <v>19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5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1</v>
      </c>
      <c r="M38" s="50">
        <v>7</v>
      </c>
      <c r="N38" s="50">
        <v>0</v>
      </c>
      <c r="O38" s="15">
        <f t="shared" si="0"/>
        <v>8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2</v>
      </c>
      <c r="F39" s="50">
        <v>2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13</v>
      </c>
      <c r="N39" s="50">
        <v>0</v>
      </c>
      <c r="O39" s="15">
        <f t="shared" si="0"/>
        <v>9</v>
      </c>
      <c r="P39" s="15">
        <f t="shared" si="1"/>
        <v>22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0</v>
      </c>
      <c r="G40" s="50">
        <v>1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6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3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2</v>
      </c>
      <c r="J42" s="50">
        <v>1</v>
      </c>
      <c r="K42" s="50">
        <v>1</v>
      </c>
      <c r="L42" s="50">
        <v>0</v>
      </c>
      <c r="M42" s="50">
        <v>6</v>
      </c>
      <c r="N42" s="50">
        <v>0</v>
      </c>
      <c r="O42" s="15">
        <f t="shared" si="0"/>
        <v>7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2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3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4</v>
      </c>
      <c r="P44" s="15">
        <f t="shared" si="1"/>
        <v>4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3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1</v>
      </c>
      <c r="K46" s="50">
        <v>1</v>
      </c>
      <c r="L46" s="50">
        <v>0</v>
      </c>
      <c r="M46" s="50">
        <v>8</v>
      </c>
      <c r="N46" s="50">
        <v>0</v>
      </c>
      <c r="O46" s="15">
        <f t="shared" si="0"/>
        <v>6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6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1</v>
      </c>
      <c r="F48" s="50">
        <v>3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8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3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0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3</v>
      </c>
      <c r="P51" s="15">
        <f t="shared" si="1"/>
        <v>9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4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5</v>
      </c>
      <c r="P52" s="15">
        <f t="shared" si="1"/>
        <v>14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4</v>
      </c>
      <c r="P53" s="15">
        <f t="shared" si="1"/>
        <v>10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0</v>
      </c>
      <c r="F54" s="50">
        <v>1</v>
      </c>
      <c r="G54" s="50">
        <v>1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9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4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5</v>
      </c>
      <c r="P55" s="15">
        <f t="shared" si="1"/>
        <v>15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10</v>
      </c>
      <c r="N56" s="50">
        <v>0</v>
      </c>
      <c r="O56" s="15">
        <f t="shared" si="0"/>
        <v>3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4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50</v>
      </c>
      <c r="D58" s="16">
        <f t="shared" si="21"/>
        <v>6</v>
      </c>
      <c r="E58" s="16">
        <f t="shared" si="21"/>
        <v>26</v>
      </c>
      <c r="F58" s="16">
        <f t="shared" si="21"/>
        <v>72</v>
      </c>
      <c r="G58" s="16">
        <f t="shared" si="21"/>
        <v>3</v>
      </c>
      <c r="H58" s="16">
        <f t="shared" si="21"/>
        <v>0</v>
      </c>
      <c r="I58" s="16">
        <f t="shared" si="21"/>
        <v>48</v>
      </c>
      <c r="J58" s="16">
        <f t="shared" si="21"/>
        <v>27</v>
      </c>
      <c r="K58" s="16">
        <f t="shared" si="21"/>
        <v>11</v>
      </c>
      <c r="L58" s="16">
        <f t="shared" si="21"/>
        <v>1</v>
      </c>
      <c r="M58" s="16">
        <f t="shared" si="21"/>
        <v>488</v>
      </c>
      <c r="N58" s="16">
        <f t="shared" si="21"/>
        <v>0</v>
      </c>
      <c r="O58" s="16">
        <f t="shared" si="21"/>
        <v>244</v>
      </c>
      <c r="P58" s="16">
        <f t="shared" si="21"/>
        <v>732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6.8306010928961755E-2</v>
      </c>
      <c r="D59" s="43">
        <f t="shared" si="22"/>
        <v>8.1967213114754103E-3</v>
      </c>
      <c r="E59" s="43">
        <f t="shared" si="22"/>
        <v>3.5519125683060107E-2</v>
      </c>
      <c r="F59" s="43">
        <f t="shared" si="22"/>
        <v>9.8360655737704916E-2</v>
      </c>
      <c r="G59" s="43">
        <f t="shared" si="22"/>
        <v>4.0983606557377051E-3</v>
      </c>
      <c r="H59" s="43">
        <f t="shared" si="22"/>
        <v>0</v>
      </c>
      <c r="I59" s="43">
        <f t="shared" si="22"/>
        <v>6.5573770491803282E-2</v>
      </c>
      <c r="J59" s="43">
        <f t="shared" si="22"/>
        <v>3.6885245901639344E-2</v>
      </c>
      <c r="K59" s="43">
        <f t="shared" si="22"/>
        <v>1.5027322404371584E-2</v>
      </c>
      <c r="L59" s="43">
        <f t="shared" si="22"/>
        <v>1.366120218579235E-3</v>
      </c>
      <c r="M59" s="43">
        <f t="shared" si="22"/>
        <v>0.66666666666666663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0.20491803278688525</v>
      </c>
      <c r="D60" s="44">
        <f t="shared" ref="D60:N60" si="23">D58/$O$58</f>
        <v>2.4590163934426229E-2</v>
      </c>
      <c r="E60" s="44">
        <f t="shared" si="23"/>
        <v>0.10655737704918032</v>
      </c>
      <c r="F60" s="44">
        <f t="shared" si="23"/>
        <v>0.29508196721311475</v>
      </c>
      <c r="G60" s="44">
        <f t="shared" si="23"/>
        <v>1.2295081967213115E-2</v>
      </c>
      <c r="H60" s="44">
        <f t="shared" si="23"/>
        <v>0</v>
      </c>
      <c r="I60" s="44">
        <f t="shared" si="23"/>
        <v>0.19672131147540983</v>
      </c>
      <c r="J60" s="44">
        <f t="shared" si="23"/>
        <v>0.11065573770491803</v>
      </c>
      <c r="K60" s="44">
        <f t="shared" si="23"/>
        <v>4.5081967213114756E-2</v>
      </c>
      <c r="L60" s="44">
        <f t="shared" si="23"/>
        <v>4.0983606557377051E-3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24" sqref="G24:G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GALIRAYA-KAYUNGA'!C3:G3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tr">
        <f>'20.10 KAYUNGA-GALIRAYA'!D5</f>
        <v>20.10.19</v>
      </c>
      <c r="E5" s="3"/>
      <c r="F5" s="41" t="s">
        <v>1</v>
      </c>
      <c r="G5" s="59" t="str">
        <f>'17.10 KAYUNGA-GALIRAYA'!G5:H5</f>
        <v>KYANYA</v>
      </c>
      <c r="H5" s="60"/>
      <c r="I5" s="14"/>
      <c r="J5" s="2" t="s">
        <v>5</v>
      </c>
      <c r="K5" s="59" t="s">
        <v>169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GALIRAYA-KAYUNGA'!D6:E6</f>
        <v>GALIRAYA</v>
      </c>
      <c r="E6" s="60"/>
      <c r="F6" s="2" t="s">
        <v>2</v>
      </c>
      <c r="G6" s="59" t="str">
        <f>'17.10 GALIRAYA-KAYUNGA'!G6:H6</f>
        <v>KAYUNGA</v>
      </c>
      <c r="H6" s="60"/>
      <c r="J6" s="2" t="s">
        <v>21</v>
      </c>
      <c r="K6" s="59" t="str">
        <f>'17.10 KAYUNGA-GALIRAYA'!K6:L6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3</v>
      </c>
      <c r="AA10" s="17">
        <f t="shared" si="2"/>
        <v>2</v>
      </c>
      <c r="AB10" s="17">
        <f t="shared" si="2"/>
        <v>0</v>
      </c>
      <c r="AC10" s="17">
        <f t="shared" si="2"/>
        <v>22</v>
      </c>
      <c r="AD10" s="17">
        <f t="shared" si="2"/>
        <v>0</v>
      </c>
      <c r="AE10" s="31">
        <f t="shared" si="2"/>
        <v>9</v>
      </c>
      <c r="AF10" s="31">
        <f t="shared" si="2"/>
        <v>31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4</v>
      </c>
      <c r="P11" s="15">
        <f t="shared" si="1"/>
        <v>10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31</v>
      </c>
      <c r="AD11" s="17">
        <f t="shared" si="3"/>
        <v>0</v>
      </c>
      <c r="AE11" s="31">
        <f t="shared" si="3"/>
        <v>9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2</v>
      </c>
      <c r="L12" s="50">
        <v>0</v>
      </c>
      <c r="M12" s="50">
        <v>8</v>
      </c>
      <c r="N12" s="50">
        <v>0</v>
      </c>
      <c r="O12" s="15">
        <f t="shared" si="0"/>
        <v>3</v>
      </c>
      <c r="P12" s="15">
        <f t="shared" si="1"/>
        <v>11</v>
      </c>
      <c r="R12" s="1" t="s">
        <v>8</v>
      </c>
      <c r="S12" s="17">
        <f t="shared" ref="S12:AF12" si="4">SUM(C18:C21)</f>
        <v>4</v>
      </c>
      <c r="T12" s="17">
        <f t="shared" si="4"/>
        <v>1</v>
      </c>
      <c r="U12" s="17">
        <f t="shared" si="4"/>
        <v>4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13</v>
      </c>
      <c r="AF12" s="31">
        <f t="shared" si="4"/>
        <v>42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2</v>
      </c>
      <c r="P13" s="15">
        <f t="shared" si="1"/>
        <v>5</v>
      </c>
      <c r="R13" s="1" t="s">
        <v>9</v>
      </c>
      <c r="S13" s="17">
        <f t="shared" ref="S13:AF13" si="5">SUM(C22:C25)</f>
        <v>2.1</v>
      </c>
      <c r="T13" s="17">
        <f t="shared" si="5"/>
        <v>2</v>
      </c>
      <c r="U13" s="17">
        <f t="shared" si="5"/>
        <v>1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29</v>
      </c>
      <c r="AD13" s="17">
        <f t="shared" si="5"/>
        <v>0</v>
      </c>
      <c r="AE13" s="31">
        <f t="shared" si="5"/>
        <v>15.1</v>
      </c>
      <c r="AF13" s="31">
        <f t="shared" si="5"/>
        <v>44.1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2</v>
      </c>
      <c r="P14" s="15">
        <f t="shared" si="1"/>
        <v>13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45</v>
      </c>
      <c r="AD14" s="17">
        <f t="shared" si="6"/>
        <v>0</v>
      </c>
      <c r="AE14" s="31">
        <f t="shared" si="6"/>
        <v>5</v>
      </c>
      <c r="AF14" s="31">
        <f t="shared" si="6"/>
        <v>50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3</v>
      </c>
      <c r="P15" s="15">
        <f t="shared" si="1"/>
        <v>7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42</v>
      </c>
      <c r="AD15" s="17">
        <f t="shared" si="7"/>
        <v>0</v>
      </c>
      <c r="AE15" s="31">
        <f t="shared" si="7"/>
        <v>14</v>
      </c>
      <c r="AF15" s="31">
        <f t="shared" si="7"/>
        <v>56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1</v>
      </c>
      <c r="P16" s="15">
        <f t="shared" si="1"/>
        <v>5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1</v>
      </c>
      <c r="V16" s="17">
        <f t="shared" si="8"/>
        <v>8</v>
      </c>
      <c r="W16" s="17">
        <f t="shared" si="8"/>
        <v>1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37</v>
      </c>
      <c r="AD16" s="17">
        <f t="shared" si="8"/>
        <v>0</v>
      </c>
      <c r="AE16" s="31">
        <f t="shared" si="8"/>
        <v>19</v>
      </c>
      <c r="AF16" s="31">
        <f t="shared" si="8"/>
        <v>56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3</v>
      </c>
      <c r="P17" s="15">
        <f t="shared" si="1"/>
        <v>15</v>
      </c>
      <c r="R17" s="1" t="s">
        <v>13</v>
      </c>
      <c r="S17" s="17">
        <f t="shared" ref="S17:AF17" si="9">SUM(C38:C41)</f>
        <v>5</v>
      </c>
      <c r="T17" s="17">
        <f t="shared" si="9"/>
        <v>0</v>
      </c>
      <c r="U17" s="17">
        <f t="shared" si="9"/>
        <v>0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3</v>
      </c>
      <c r="AA17" s="17">
        <f t="shared" si="9"/>
        <v>0</v>
      </c>
      <c r="AB17" s="17">
        <f t="shared" si="9"/>
        <v>1</v>
      </c>
      <c r="AC17" s="17">
        <f t="shared" si="9"/>
        <v>39</v>
      </c>
      <c r="AD17" s="17">
        <f t="shared" si="9"/>
        <v>0</v>
      </c>
      <c r="AE17" s="31">
        <f t="shared" si="9"/>
        <v>22</v>
      </c>
      <c r="AF17" s="31">
        <f t="shared" si="9"/>
        <v>61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4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29</v>
      </c>
      <c r="AD18" s="17">
        <f t="shared" si="10"/>
        <v>0</v>
      </c>
      <c r="AE18" s="31">
        <f t="shared" si="10"/>
        <v>19</v>
      </c>
      <c r="AF18" s="31">
        <f t="shared" si="10"/>
        <v>48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1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6</v>
      </c>
      <c r="P19" s="15">
        <f t="shared" si="1"/>
        <v>14</v>
      </c>
      <c r="R19" s="1" t="s">
        <v>15</v>
      </c>
      <c r="S19" s="17">
        <f t="shared" ref="S19:AF19" si="11">SUM(C46:C49)</f>
        <v>9</v>
      </c>
      <c r="T19" s="17">
        <f t="shared" si="11"/>
        <v>0</v>
      </c>
      <c r="U19" s="17">
        <f t="shared" si="11"/>
        <v>4</v>
      </c>
      <c r="V19" s="17">
        <f t="shared" si="11"/>
        <v>6</v>
      </c>
      <c r="W19" s="17">
        <f t="shared" si="11"/>
        <v>1</v>
      </c>
      <c r="X19" s="17">
        <f t="shared" si="11"/>
        <v>0</v>
      </c>
      <c r="Y19" s="17">
        <f t="shared" si="11"/>
        <v>6</v>
      </c>
      <c r="Z19" s="17">
        <f t="shared" si="11"/>
        <v>1</v>
      </c>
      <c r="AA19" s="17">
        <f t="shared" si="11"/>
        <v>3</v>
      </c>
      <c r="AB19" s="17">
        <f t="shared" si="11"/>
        <v>0</v>
      </c>
      <c r="AC19" s="17">
        <f t="shared" si="11"/>
        <v>22</v>
      </c>
      <c r="AD19" s="17">
        <f t="shared" si="11"/>
        <v>1</v>
      </c>
      <c r="AE19" s="31">
        <f t="shared" si="11"/>
        <v>31</v>
      </c>
      <c r="AF19" s="31">
        <f t="shared" si="11"/>
        <v>53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2</v>
      </c>
      <c r="P20" s="15">
        <f t="shared" si="1"/>
        <v>9</v>
      </c>
      <c r="R20" s="1" t="s">
        <v>16</v>
      </c>
      <c r="S20" s="17">
        <f t="shared" ref="S20:AF20" si="12">SUM(C50:C53)</f>
        <v>6</v>
      </c>
      <c r="T20" s="17">
        <f t="shared" si="12"/>
        <v>4</v>
      </c>
      <c r="U20" s="17">
        <f t="shared" si="12"/>
        <v>7</v>
      </c>
      <c r="V20" s="17">
        <f t="shared" si="12"/>
        <v>9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6</v>
      </c>
      <c r="AA20" s="17">
        <f t="shared" si="12"/>
        <v>4</v>
      </c>
      <c r="AB20" s="17">
        <f t="shared" si="12"/>
        <v>0</v>
      </c>
      <c r="AC20" s="17">
        <f t="shared" si="12"/>
        <v>33</v>
      </c>
      <c r="AD20" s="17">
        <f t="shared" si="12"/>
        <v>0</v>
      </c>
      <c r="AE20" s="31">
        <f t="shared" si="12"/>
        <v>42</v>
      </c>
      <c r="AF20" s="31">
        <f t="shared" si="12"/>
        <v>75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3</v>
      </c>
      <c r="P21" s="15">
        <f t="shared" si="1"/>
        <v>13</v>
      </c>
      <c r="R21" s="36" t="s">
        <v>20</v>
      </c>
      <c r="S21" s="34">
        <f t="shared" ref="S21:AF21" si="13">SUM(C54:C57)</f>
        <v>14</v>
      </c>
      <c r="T21" s="17">
        <f t="shared" si="13"/>
        <v>1</v>
      </c>
      <c r="U21" s="17">
        <f t="shared" si="13"/>
        <v>2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3</v>
      </c>
      <c r="AA21" s="17">
        <f t="shared" si="13"/>
        <v>0</v>
      </c>
      <c r="AB21" s="17">
        <f t="shared" si="13"/>
        <v>1</v>
      </c>
      <c r="AC21" s="17">
        <f t="shared" si="13"/>
        <v>38</v>
      </c>
      <c r="AD21" s="17">
        <f t="shared" si="13"/>
        <v>0</v>
      </c>
      <c r="AE21" s="31">
        <f t="shared" si="13"/>
        <v>27</v>
      </c>
      <c r="AF21" s="31">
        <f t="shared" si="13"/>
        <v>65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4</v>
      </c>
      <c r="P22" s="15">
        <f t="shared" si="1"/>
        <v>14</v>
      </c>
      <c r="R22" s="38" t="s">
        <v>90</v>
      </c>
      <c r="S22" s="39">
        <f>MAX(S10:S12)</f>
        <v>4</v>
      </c>
      <c r="T22" s="39">
        <f t="shared" ref="T22:AF22" si="14">MAX(T10:T12)</f>
        <v>1</v>
      </c>
      <c r="U22" s="39">
        <f t="shared" si="14"/>
        <v>4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3</v>
      </c>
      <c r="AA22" s="39">
        <f t="shared" si="14"/>
        <v>2</v>
      </c>
      <c r="AB22" s="39">
        <f t="shared" si="14"/>
        <v>0</v>
      </c>
      <c r="AC22" s="39">
        <f t="shared" si="14"/>
        <v>31</v>
      </c>
      <c r="AD22" s="39">
        <f t="shared" si="14"/>
        <v>0</v>
      </c>
      <c r="AE22" s="40">
        <f t="shared" si="14"/>
        <v>13</v>
      </c>
      <c r="AF22" s="40">
        <f t="shared" si="14"/>
        <v>42</v>
      </c>
    </row>
    <row r="23" spans="2:32" ht="23.1" customHeight="1" x14ac:dyDescent="0.25">
      <c r="B23" s="23" t="s">
        <v>50</v>
      </c>
      <c r="C23" s="50">
        <v>0.1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5.0999999999999996</v>
      </c>
      <c r="P23" s="15">
        <f t="shared" si="1"/>
        <v>8.1</v>
      </c>
      <c r="R23" s="38" t="s">
        <v>91</v>
      </c>
      <c r="S23" s="39">
        <f>MAX(S13:S18)</f>
        <v>6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8</v>
      </c>
      <c r="W23" s="39">
        <f t="shared" si="15"/>
        <v>1</v>
      </c>
      <c r="X23" s="39">
        <f t="shared" si="15"/>
        <v>0</v>
      </c>
      <c r="Y23" s="39">
        <f t="shared" si="15"/>
        <v>7</v>
      </c>
      <c r="Z23" s="39">
        <f t="shared" si="15"/>
        <v>4</v>
      </c>
      <c r="AA23" s="39">
        <f t="shared" si="15"/>
        <v>0</v>
      </c>
      <c r="AB23" s="39">
        <f t="shared" si="15"/>
        <v>1</v>
      </c>
      <c r="AC23" s="39">
        <f t="shared" si="15"/>
        <v>45</v>
      </c>
      <c r="AD23" s="39">
        <f t="shared" si="15"/>
        <v>0</v>
      </c>
      <c r="AE23" s="40">
        <f t="shared" si="15"/>
        <v>22</v>
      </c>
      <c r="AF23" s="40">
        <f t="shared" si="15"/>
        <v>61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3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5</v>
      </c>
      <c r="P24" s="15">
        <f t="shared" si="1"/>
        <v>13</v>
      </c>
      <c r="R24" s="38" t="s">
        <v>92</v>
      </c>
      <c r="S24" s="39">
        <f>MAX(S19:S21)</f>
        <v>14</v>
      </c>
      <c r="T24" s="39">
        <f t="shared" ref="T24:AF24" si="16">MAX(T19:T21)</f>
        <v>4</v>
      </c>
      <c r="U24" s="39">
        <f t="shared" si="16"/>
        <v>7</v>
      </c>
      <c r="V24" s="39">
        <f t="shared" si="16"/>
        <v>9</v>
      </c>
      <c r="W24" s="39">
        <f t="shared" si="16"/>
        <v>1</v>
      </c>
      <c r="X24" s="39">
        <f t="shared" si="16"/>
        <v>0</v>
      </c>
      <c r="Y24" s="39">
        <f t="shared" si="16"/>
        <v>6</v>
      </c>
      <c r="Z24" s="39">
        <f t="shared" si="16"/>
        <v>6</v>
      </c>
      <c r="AA24" s="39">
        <f t="shared" si="16"/>
        <v>4</v>
      </c>
      <c r="AB24" s="39">
        <f t="shared" si="16"/>
        <v>1</v>
      </c>
      <c r="AC24" s="39">
        <f t="shared" si="16"/>
        <v>38</v>
      </c>
      <c r="AD24" s="39">
        <f t="shared" si="16"/>
        <v>1</v>
      </c>
      <c r="AE24" s="40">
        <f t="shared" si="16"/>
        <v>42</v>
      </c>
      <c r="AF24" s="40">
        <f t="shared" si="16"/>
        <v>75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1</v>
      </c>
      <c r="P25" s="15">
        <f t="shared" si="1"/>
        <v>9</v>
      </c>
      <c r="R25" s="37" t="s">
        <v>85</v>
      </c>
      <c r="S25" s="35">
        <f t="shared" ref="S25:AF25" si="17">SUM(S10:S12)</f>
        <v>6</v>
      </c>
      <c r="T25" s="16">
        <f t="shared" si="17"/>
        <v>1</v>
      </c>
      <c r="U25" s="16">
        <f t="shared" si="17"/>
        <v>4</v>
      </c>
      <c r="V25" s="16">
        <f t="shared" si="17"/>
        <v>11</v>
      </c>
      <c r="W25" s="16">
        <f t="shared" si="17"/>
        <v>0</v>
      </c>
      <c r="X25" s="16">
        <f t="shared" si="17"/>
        <v>0</v>
      </c>
      <c r="Y25" s="16">
        <f t="shared" si="17"/>
        <v>3</v>
      </c>
      <c r="Z25" s="16">
        <f t="shared" si="17"/>
        <v>4</v>
      </c>
      <c r="AA25" s="16">
        <f t="shared" si="17"/>
        <v>2</v>
      </c>
      <c r="AB25" s="16">
        <f t="shared" si="17"/>
        <v>0</v>
      </c>
      <c r="AC25" s="16">
        <f t="shared" si="17"/>
        <v>82</v>
      </c>
      <c r="AD25" s="16">
        <f t="shared" si="17"/>
        <v>0</v>
      </c>
      <c r="AE25" s="32">
        <f t="shared" si="17"/>
        <v>31</v>
      </c>
      <c r="AF25" s="32">
        <f t="shared" si="17"/>
        <v>113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1</v>
      </c>
      <c r="P26" s="15">
        <f t="shared" si="1"/>
        <v>14</v>
      </c>
      <c r="R26" s="28" t="s">
        <v>86</v>
      </c>
      <c r="S26" s="16">
        <f t="shared" ref="S26:AF26" si="18">SUM(S13:S18)</f>
        <v>21.1</v>
      </c>
      <c r="T26" s="16">
        <f t="shared" si="18"/>
        <v>3</v>
      </c>
      <c r="U26" s="16">
        <f t="shared" si="18"/>
        <v>9</v>
      </c>
      <c r="V26" s="16">
        <f t="shared" si="18"/>
        <v>28</v>
      </c>
      <c r="W26" s="16">
        <f t="shared" si="18"/>
        <v>1</v>
      </c>
      <c r="X26" s="16">
        <f t="shared" si="18"/>
        <v>0</v>
      </c>
      <c r="Y26" s="16">
        <f t="shared" si="18"/>
        <v>16</v>
      </c>
      <c r="Z26" s="16">
        <f t="shared" si="18"/>
        <v>15</v>
      </c>
      <c r="AA26" s="16">
        <f t="shared" si="18"/>
        <v>0</v>
      </c>
      <c r="AB26" s="16">
        <f t="shared" si="18"/>
        <v>1</v>
      </c>
      <c r="AC26" s="16">
        <f t="shared" si="18"/>
        <v>221</v>
      </c>
      <c r="AD26" s="16">
        <f t="shared" si="18"/>
        <v>0</v>
      </c>
      <c r="AE26" s="32">
        <f t="shared" si="18"/>
        <v>94.1</v>
      </c>
      <c r="AF26" s="32">
        <f t="shared" si="18"/>
        <v>315.10000000000002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0</v>
      </c>
      <c r="P27" s="15">
        <f t="shared" si="1"/>
        <v>14</v>
      </c>
      <c r="R27" s="29" t="s">
        <v>87</v>
      </c>
      <c r="S27" s="16">
        <f t="shared" ref="S27:AF27" si="19">SUM(S19:S21)</f>
        <v>29</v>
      </c>
      <c r="T27" s="16">
        <f t="shared" si="19"/>
        <v>5</v>
      </c>
      <c r="U27" s="16">
        <f t="shared" si="19"/>
        <v>13</v>
      </c>
      <c r="V27" s="16">
        <f t="shared" si="19"/>
        <v>19</v>
      </c>
      <c r="W27" s="16">
        <f t="shared" si="19"/>
        <v>1</v>
      </c>
      <c r="X27" s="16">
        <f t="shared" si="19"/>
        <v>0</v>
      </c>
      <c r="Y27" s="16">
        <f t="shared" si="19"/>
        <v>14</v>
      </c>
      <c r="Z27" s="16">
        <f t="shared" si="19"/>
        <v>10</v>
      </c>
      <c r="AA27" s="16">
        <f t="shared" si="19"/>
        <v>7</v>
      </c>
      <c r="AB27" s="16">
        <f t="shared" si="19"/>
        <v>1</v>
      </c>
      <c r="AC27" s="16">
        <f t="shared" si="19"/>
        <v>93</v>
      </c>
      <c r="AD27" s="16">
        <f t="shared" si="19"/>
        <v>1</v>
      </c>
      <c r="AE27" s="32">
        <f t="shared" si="19"/>
        <v>100</v>
      </c>
      <c r="AF27" s="32">
        <f t="shared" si="19"/>
        <v>193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3</v>
      </c>
      <c r="P28" s="15">
        <f t="shared" si="1"/>
        <v>13</v>
      </c>
      <c r="R28" s="5" t="s">
        <v>17</v>
      </c>
      <c r="S28" s="16">
        <f t="shared" ref="S28:AF28" si="20">SUM(S10:S21)</f>
        <v>56.1</v>
      </c>
      <c r="T28" s="16">
        <f t="shared" si="20"/>
        <v>9</v>
      </c>
      <c r="U28" s="16">
        <f t="shared" si="20"/>
        <v>26</v>
      </c>
      <c r="V28" s="16">
        <f t="shared" si="20"/>
        <v>58</v>
      </c>
      <c r="W28" s="16">
        <f t="shared" si="20"/>
        <v>2</v>
      </c>
      <c r="X28" s="16">
        <f t="shared" si="20"/>
        <v>0</v>
      </c>
      <c r="Y28" s="16">
        <f t="shared" si="20"/>
        <v>33</v>
      </c>
      <c r="Z28" s="16">
        <f t="shared" si="20"/>
        <v>29</v>
      </c>
      <c r="AA28" s="16">
        <f t="shared" si="20"/>
        <v>9</v>
      </c>
      <c r="AB28" s="16">
        <f t="shared" si="20"/>
        <v>2</v>
      </c>
      <c r="AC28" s="16">
        <f t="shared" si="20"/>
        <v>396</v>
      </c>
      <c r="AD28" s="16">
        <f t="shared" si="20"/>
        <v>1</v>
      </c>
      <c r="AE28" s="32">
        <f t="shared" si="20"/>
        <v>225.1</v>
      </c>
      <c r="AF28" s="32">
        <f t="shared" si="20"/>
        <v>621.1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1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6</v>
      </c>
      <c r="P30" s="15">
        <f t="shared" si="1"/>
        <v>21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1</v>
      </c>
      <c r="P31" s="15">
        <f t="shared" si="1"/>
        <v>6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5</v>
      </c>
      <c r="P32" s="15">
        <f t="shared" si="1"/>
        <v>19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2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1</v>
      </c>
      <c r="P34" s="15">
        <f t="shared" si="1"/>
        <v>4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3</v>
      </c>
      <c r="P35" s="15">
        <f t="shared" si="1"/>
        <v>18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1</v>
      </c>
      <c r="F36" s="50">
        <v>3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9</v>
      </c>
      <c r="P36" s="15">
        <f t="shared" si="1"/>
        <v>14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6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4</v>
      </c>
      <c r="P38" s="15">
        <f t="shared" si="1"/>
        <v>7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5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1</v>
      </c>
      <c r="M40" s="50">
        <v>15</v>
      </c>
      <c r="N40" s="50">
        <v>0</v>
      </c>
      <c r="O40" s="15">
        <f t="shared" si="0"/>
        <v>7</v>
      </c>
      <c r="P40" s="15">
        <f t="shared" si="1"/>
        <v>22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6</v>
      </c>
      <c r="P41" s="15">
        <f t="shared" si="1"/>
        <v>24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2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5</v>
      </c>
      <c r="P42" s="15">
        <f t="shared" si="1"/>
        <v>19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3</v>
      </c>
      <c r="F43" s="50">
        <v>2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8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3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3</v>
      </c>
      <c r="P45" s="15">
        <f t="shared" si="1"/>
        <v>3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2</v>
      </c>
      <c r="L46" s="50">
        <v>0</v>
      </c>
      <c r="M46" s="50">
        <v>6</v>
      </c>
      <c r="N46" s="50">
        <v>0</v>
      </c>
      <c r="O46" s="15">
        <f t="shared" si="0"/>
        <v>7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1</v>
      </c>
      <c r="F47" s="50">
        <v>1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8</v>
      </c>
      <c r="P47" s="15">
        <f t="shared" si="1"/>
        <v>11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1</v>
      </c>
      <c r="F48" s="50">
        <v>2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5</v>
      </c>
      <c r="P48" s="15">
        <f t="shared" si="1"/>
        <v>8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2</v>
      </c>
      <c r="F49" s="50">
        <v>1</v>
      </c>
      <c r="G49" s="50">
        <v>0</v>
      </c>
      <c r="H49" s="50">
        <v>0</v>
      </c>
      <c r="I49" s="50">
        <v>2</v>
      </c>
      <c r="J49" s="50">
        <v>1</v>
      </c>
      <c r="K49" s="50">
        <v>1</v>
      </c>
      <c r="L49" s="50">
        <v>0</v>
      </c>
      <c r="M49" s="50">
        <v>10</v>
      </c>
      <c r="N49" s="50">
        <v>1</v>
      </c>
      <c r="O49" s="15">
        <f t="shared" si="0"/>
        <v>11</v>
      </c>
      <c r="P49" s="15">
        <f t="shared" si="1"/>
        <v>21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2</v>
      </c>
      <c r="E50" s="50">
        <v>0</v>
      </c>
      <c r="F50" s="50">
        <v>3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9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1</v>
      </c>
      <c r="E51" s="50">
        <v>2</v>
      </c>
      <c r="F51" s="50">
        <v>1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9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1</v>
      </c>
      <c r="E52" s="50">
        <v>1</v>
      </c>
      <c r="F52" s="50">
        <v>1</v>
      </c>
      <c r="G52" s="50">
        <v>0</v>
      </c>
      <c r="H52" s="50">
        <v>0</v>
      </c>
      <c r="I52" s="50">
        <v>1</v>
      </c>
      <c r="J52" s="50">
        <v>2</v>
      </c>
      <c r="K52" s="50">
        <v>2</v>
      </c>
      <c r="L52" s="50">
        <v>0</v>
      </c>
      <c r="M52" s="50">
        <v>10</v>
      </c>
      <c r="N52" s="50">
        <v>0</v>
      </c>
      <c r="O52" s="15">
        <f t="shared" si="0"/>
        <v>10</v>
      </c>
      <c r="P52" s="15">
        <f t="shared" si="1"/>
        <v>20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4</v>
      </c>
      <c r="F53" s="50">
        <v>4</v>
      </c>
      <c r="G53" s="50">
        <v>0</v>
      </c>
      <c r="H53" s="50">
        <v>0</v>
      </c>
      <c r="I53" s="50">
        <v>1</v>
      </c>
      <c r="J53" s="50">
        <v>2</v>
      </c>
      <c r="K53" s="50">
        <v>2</v>
      </c>
      <c r="L53" s="50">
        <v>0</v>
      </c>
      <c r="M53" s="50">
        <v>5</v>
      </c>
      <c r="N53" s="50">
        <v>0</v>
      </c>
      <c r="O53" s="15">
        <f t="shared" si="0"/>
        <v>14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1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9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2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3</v>
      </c>
      <c r="P55" s="15">
        <f t="shared" si="1"/>
        <v>13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6</v>
      </c>
      <c r="P56" s="15">
        <f t="shared" si="1"/>
        <v>19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0</v>
      </c>
      <c r="F57" s="50">
        <v>2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1</v>
      </c>
      <c r="M57" s="50">
        <v>6</v>
      </c>
      <c r="N57" s="50">
        <v>0</v>
      </c>
      <c r="O57" s="15">
        <f t="shared" si="0"/>
        <v>9</v>
      </c>
      <c r="P57" s="15">
        <f t="shared" si="1"/>
        <v>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56.1</v>
      </c>
      <c r="D58" s="16">
        <f t="shared" si="21"/>
        <v>9</v>
      </c>
      <c r="E58" s="16">
        <f t="shared" si="21"/>
        <v>26</v>
      </c>
      <c r="F58" s="16">
        <f t="shared" si="21"/>
        <v>58</v>
      </c>
      <c r="G58" s="16">
        <f t="shared" si="21"/>
        <v>2</v>
      </c>
      <c r="H58" s="16">
        <f t="shared" si="21"/>
        <v>0</v>
      </c>
      <c r="I58" s="16">
        <f t="shared" si="21"/>
        <v>33</v>
      </c>
      <c r="J58" s="16">
        <f t="shared" si="21"/>
        <v>29</v>
      </c>
      <c r="K58" s="16">
        <f t="shared" si="21"/>
        <v>9</v>
      </c>
      <c r="L58" s="16">
        <f t="shared" si="21"/>
        <v>2</v>
      </c>
      <c r="M58" s="16">
        <f t="shared" si="21"/>
        <v>396</v>
      </c>
      <c r="N58" s="16">
        <f t="shared" si="21"/>
        <v>1</v>
      </c>
      <c r="O58" s="16">
        <f t="shared" si="21"/>
        <v>225.1</v>
      </c>
      <c r="P58" s="16">
        <f t="shared" si="21"/>
        <v>621.1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9.0323619384962167E-2</v>
      </c>
      <c r="D59" s="43">
        <f t="shared" si="22"/>
        <v>1.4490420222186443E-2</v>
      </c>
      <c r="E59" s="43">
        <f t="shared" si="22"/>
        <v>4.1861213975205279E-2</v>
      </c>
      <c r="F59" s="43">
        <f t="shared" si="22"/>
        <v>9.3382708098534856E-2</v>
      </c>
      <c r="G59" s="43">
        <f t="shared" si="22"/>
        <v>3.2200933827080985E-3</v>
      </c>
      <c r="H59" s="43">
        <f t="shared" si="22"/>
        <v>0</v>
      </c>
      <c r="I59" s="43">
        <f t="shared" si="22"/>
        <v>5.3131540814683624E-2</v>
      </c>
      <c r="J59" s="43">
        <f t="shared" si="22"/>
        <v>4.6691354049267428E-2</v>
      </c>
      <c r="K59" s="43">
        <f t="shared" si="22"/>
        <v>1.4490420222186443E-2</v>
      </c>
      <c r="L59" s="43">
        <f t="shared" si="22"/>
        <v>3.2200933827080985E-3</v>
      </c>
      <c r="M59" s="43">
        <f t="shared" si="22"/>
        <v>0.63757848977620346</v>
      </c>
      <c r="N59" s="43">
        <f t="shared" si="22"/>
        <v>1.6100466913540493E-3</v>
      </c>
      <c r="R59" s="8"/>
      <c r="T59"/>
    </row>
    <row r="60" spans="2:20" ht="23.1" customHeight="1" x14ac:dyDescent="0.25">
      <c r="B60" s="42" t="s">
        <v>94</v>
      </c>
      <c r="C60" s="44">
        <f>C58/$O$58</f>
        <v>0.24922256774766771</v>
      </c>
      <c r="D60" s="44">
        <f t="shared" ref="D60:N60" si="23">D58/$O$58</f>
        <v>3.9982230119946692E-2</v>
      </c>
      <c r="E60" s="44">
        <f t="shared" si="23"/>
        <v>0.11550422034651267</v>
      </c>
      <c r="F60" s="44">
        <f t="shared" si="23"/>
        <v>0.25766326077298979</v>
      </c>
      <c r="G60" s="44">
        <f t="shared" si="23"/>
        <v>8.8849400266548199E-3</v>
      </c>
      <c r="H60" s="44">
        <f t="shared" si="23"/>
        <v>0</v>
      </c>
      <c r="I60" s="44">
        <f t="shared" si="23"/>
        <v>0.14660151043980454</v>
      </c>
      <c r="J60" s="44">
        <f t="shared" si="23"/>
        <v>0.12883163038649489</v>
      </c>
      <c r="K60" s="44">
        <f t="shared" si="23"/>
        <v>3.9982230119946692E-2</v>
      </c>
      <c r="L60" s="44">
        <f t="shared" si="23"/>
        <v>8.8849400266548199E-3</v>
      </c>
      <c r="M60" s="44"/>
      <c r="N60" s="44">
        <f t="shared" si="23"/>
        <v>4.4424700133274099E-3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G24" sqref="G24:G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179</v>
      </c>
      <c r="E5" s="3"/>
      <c r="F5" s="41" t="s">
        <v>1</v>
      </c>
      <c r="G5" s="59" t="str">
        <f>'19.10 GALIRAYA-KAYUNGA-24h'!G5:H5</f>
        <v>KYANYA</v>
      </c>
      <c r="H5" s="60"/>
      <c r="I5" s="14"/>
      <c r="J5" s="2" t="s">
        <v>5</v>
      </c>
      <c r="K5" s="59" t="s">
        <v>178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KAYUNGA-GALIRAYA'!D6:E6</f>
        <v>KAYUNGA</v>
      </c>
      <c r="E6" s="60"/>
      <c r="F6" s="2" t="s">
        <v>2</v>
      </c>
      <c r="G6" s="59" t="str">
        <f>'17.10 KAYUNGA-GALIRAYA'!G6:H6</f>
        <v>GALIRAYA</v>
      </c>
      <c r="H6" s="60"/>
      <c r="J6" s="2" t="s">
        <v>21</v>
      </c>
      <c r="K6" s="59" t="str">
        <f>'19.10 GALIRAYA-KAYUNGA-24h'!K6:L6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1</v>
      </c>
      <c r="L10" s="50">
        <v>0</v>
      </c>
      <c r="M10" s="50">
        <v>1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3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0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6</v>
      </c>
      <c r="AD10" s="17">
        <f t="shared" si="2"/>
        <v>0</v>
      </c>
      <c r="AE10" s="31">
        <f t="shared" si="2"/>
        <v>11</v>
      </c>
      <c r="AF10" s="31">
        <f t="shared" si="2"/>
        <v>17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3</v>
      </c>
      <c r="P11" s="15">
        <f t="shared" si="1"/>
        <v>4</v>
      </c>
      <c r="R11" s="1" t="s">
        <v>7</v>
      </c>
      <c r="S11" s="17">
        <f t="shared" ref="S11:AF11" si="3">SUM(C14:C17)</f>
        <v>4</v>
      </c>
      <c r="T11" s="17">
        <f t="shared" si="3"/>
        <v>2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26</v>
      </c>
      <c r="AD11" s="17">
        <f t="shared" si="3"/>
        <v>0</v>
      </c>
      <c r="AE11" s="31">
        <f t="shared" si="3"/>
        <v>17</v>
      </c>
      <c r="AF11" s="31">
        <f t="shared" si="3"/>
        <v>43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2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1</v>
      </c>
      <c r="AA12" s="17">
        <f t="shared" si="4"/>
        <v>2</v>
      </c>
      <c r="AB12" s="17">
        <f t="shared" si="4"/>
        <v>1</v>
      </c>
      <c r="AC12" s="17">
        <f t="shared" si="4"/>
        <v>41</v>
      </c>
      <c r="AD12" s="17">
        <f t="shared" si="4"/>
        <v>0</v>
      </c>
      <c r="AE12" s="31">
        <f t="shared" si="4"/>
        <v>12</v>
      </c>
      <c r="AF12" s="31">
        <f t="shared" si="4"/>
        <v>53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5</v>
      </c>
      <c r="P13" s="15">
        <f t="shared" si="1"/>
        <v>8</v>
      </c>
      <c r="R13" s="1" t="s">
        <v>9</v>
      </c>
      <c r="S13" s="17">
        <f t="shared" ref="S13:AF13" si="5">SUM(C22:C25)</f>
        <v>4</v>
      </c>
      <c r="T13" s="17">
        <f t="shared" si="5"/>
        <v>3</v>
      </c>
      <c r="U13" s="17">
        <f t="shared" si="5"/>
        <v>1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1</v>
      </c>
      <c r="AB13" s="17">
        <f t="shared" si="5"/>
        <v>2</v>
      </c>
      <c r="AC13" s="17">
        <f t="shared" si="5"/>
        <v>39</v>
      </c>
      <c r="AD13" s="17">
        <f t="shared" si="5"/>
        <v>0</v>
      </c>
      <c r="AE13" s="31">
        <f t="shared" si="5"/>
        <v>16</v>
      </c>
      <c r="AF13" s="31">
        <f t="shared" si="5"/>
        <v>55</v>
      </c>
    </row>
    <row r="14" spans="2:32" ht="23.1" customHeight="1" x14ac:dyDescent="0.25">
      <c r="B14" s="45" t="s">
        <v>41</v>
      </c>
      <c r="C14" s="50">
        <v>2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2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7</v>
      </c>
      <c r="P14" s="15">
        <f t="shared" si="1"/>
        <v>7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3</v>
      </c>
      <c r="V14" s="17">
        <f t="shared" si="6"/>
        <v>4</v>
      </c>
      <c r="W14" s="17">
        <f t="shared" si="6"/>
        <v>1</v>
      </c>
      <c r="X14" s="17">
        <f t="shared" si="6"/>
        <v>0</v>
      </c>
      <c r="Y14" s="17">
        <f t="shared" si="6"/>
        <v>5</v>
      </c>
      <c r="Z14" s="17">
        <f t="shared" si="6"/>
        <v>1</v>
      </c>
      <c r="AA14" s="17">
        <f t="shared" si="6"/>
        <v>1</v>
      </c>
      <c r="AB14" s="17">
        <f t="shared" si="6"/>
        <v>1</v>
      </c>
      <c r="AC14" s="17">
        <f t="shared" si="6"/>
        <v>35</v>
      </c>
      <c r="AD14" s="17">
        <f t="shared" si="6"/>
        <v>0</v>
      </c>
      <c r="AE14" s="31">
        <f t="shared" si="6"/>
        <v>19</v>
      </c>
      <c r="AF14" s="31">
        <f t="shared" si="6"/>
        <v>54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5</v>
      </c>
      <c r="N15" s="50">
        <v>0</v>
      </c>
      <c r="O15" s="15">
        <f t="shared" si="0"/>
        <v>1</v>
      </c>
      <c r="P15" s="15">
        <f t="shared" si="1"/>
        <v>6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1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66</v>
      </c>
      <c r="AD15" s="17">
        <f t="shared" si="7"/>
        <v>0</v>
      </c>
      <c r="AE15" s="31">
        <f t="shared" si="7"/>
        <v>13</v>
      </c>
      <c r="AF15" s="31">
        <f t="shared" si="7"/>
        <v>79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2</v>
      </c>
      <c r="P16" s="15">
        <f t="shared" si="1"/>
        <v>13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2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1</v>
      </c>
      <c r="AB16" s="17">
        <f t="shared" si="8"/>
        <v>1</v>
      </c>
      <c r="AC16" s="17">
        <f t="shared" si="8"/>
        <v>73</v>
      </c>
      <c r="AD16" s="17">
        <f t="shared" si="8"/>
        <v>0</v>
      </c>
      <c r="AE16" s="31">
        <f t="shared" si="8"/>
        <v>15</v>
      </c>
      <c r="AF16" s="31">
        <f t="shared" si="8"/>
        <v>88</v>
      </c>
    </row>
    <row r="17" spans="2:32" ht="23.1" customHeight="1" x14ac:dyDescent="0.25">
      <c r="B17" s="45" t="s">
        <v>44</v>
      </c>
      <c r="C17" s="50">
        <v>1</v>
      </c>
      <c r="D17" s="50">
        <v>1</v>
      </c>
      <c r="E17" s="50">
        <v>0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10</v>
      </c>
      <c r="N17" s="50">
        <v>0</v>
      </c>
      <c r="O17" s="15">
        <f t="shared" si="0"/>
        <v>7</v>
      </c>
      <c r="P17" s="15">
        <f t="shared" si="1"/>
        <v>17</v>
      </c>
      <c r="R17" s="1" t="s">
        <v>13</v>
      </c>
      <c r="S17" s="17">
        <f t="shared" ref="S17:AF17" si="9">SUM(C38:C41)</f>
        <v>1</v>
      </c>
      <c r="T17" s="17">
        <f t="shared" si="9"/>
        <v>2</v>
      </c>
      <c r="U17" s="17">
        <f t="shared" si="9"/>
        <v>1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2</v>
      </c>
      <c r="AA17" s="17">
        <f t="shared" si="9"/>
        <v>0</v>
      </c>
      <c r="AB17" s="17">
        <f t="shared" si="9"/>
        <v>2</v>
      </c>
      <c r="AC17" s="17">
        <f t="shared" si="9"/>
        <v>65</v>
      </c>
      <c r="AD17" s="17">
        <f t="shared" si="9"/>
        <v>0</v>
      </c>
      <c r="AE17" s="31">
        <f t="shared" si="9"/>
        <v>17</v>
      </c>
      <c r="AF17" s="31">
        <f t="shared" si="9"/>
        <v>82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2</v>
      </c>
      <c r="F18" s="50">
        <v>0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10</v>
      </c>
      <c r="N18" s="50">
        <v>0</v>
      </c>
      <c r="O18" s="15">
        <f t="shared" si="0"/>
        <v>4</v>
      </c>
      <c r="P18" s="15">
        <f t="shared" si="1"/>
        <v>14</v>
      </c>
      <c r="R18" s="1" t="s">
        <v>14</v>
      </c>
      <c r="S18" s="17">
        <f t="shared" ref="S18:AF18" si="10">SUM(C42:C45)</f>
        <v>5</v>
      </c>
      <c r="T18" s="17">
        <f t="shared" si="10"/>
        <v>1</v>
      </c>
      <c r="U18" s="17">
        <f t="shared" si="10"/>
        <v>3</v>
      </c>
      <c r="V18" s="17">
        <f t="shared" si="10"/>
        <v>8</v>
      </c>
      <c r="W18" s="17">
        <f t="shared" si="10"/>
        <v>0</v>
      </c>
      <c r="X18" s="17">
        <f t="shared" si="10"/>
        <v>2</v>
      </c>
      <c r="Y18" s="17">
        <f t="shared" si="10"/>
        <v>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62</v>
      </c>
      <c r="AD18" s="17">
        <f t="shared" si="10"/>
        <v>1</v>
      </c>
      <c r="AE18" s="31">
        <f t="shared" si="10"/>
        <v>26</v>
      </c>
      <c r="AF18" s="31">
        <f t="shared" si="10"/>
        <v>88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8</v>
      </c>
      <c r="N19" s="50">
        <v>0</v>
      </c>
      <c r="O19" s="15">
        <f t="shared" si="0"/>
        <v>2</v>
      </c>
      <c r="P19" s="15">
        <f t="shared" si="1"/>
        <v>10</v>
      </c>
      <c r="R19" s="1" t="s">
        <v>15</v>
      </c>
      <c r="S19" s="17">
        <f t="shared" ref="S19:AF19" si="11">SUM(C46:C49)</f>
        <v>4</v>
      </c>
      <c r="T19" s="17">
        <f t="shared" si="11"/>
        <v>1</v>
      </c>
      <c r="U19" s="17">
        <f t="shared" si="11"/>
        <v>0</v>
      </c>
      <c r="V19" s="17">
        <f t="shared" si="11"/>
        <v>7</v>
      </c>
      <c r="W19" s="17">
        <f t="shared" si="11"/>
        <v>0</v>
      </c>
      <c r="X19" s="17">
        <f t="shared" si="11"/>
        <v>1</v>
      </c>
      <c r="Y19" s="17">
        <f t="shared" si="11"/>
        <v>6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72</v>
      </c>
      <c r="AD19" s="17">
        <f t="shared" si="11"/>
        <v>0</v>
      </c>
      <c r="AE19" s="31">
        <f t="shared" si="11"/>
        <v>20</v>
      </c>
      <c r="AF19" s="31">
        <f t="shared" si="11"/>
        <v>92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1</v>
      </c>
      <c r="M20" s="50">
        <v>13</v>
      </c>
      <c r="N20" s="50">
        <v>0</v>
      </c>
      <c r="O20" s="15">
        <f t="shared" si="0"/>
        <v>2</v>
      </c>
      <c r="P20" s="15">
        <f t="shared" si="1"/>
        <v>15</v>
      </c>
      <c r="R20" s="1" t="s">
        <v>16</v>
      </c>
      <c r="S20" s="17">
        <f t="shared" ref="S20:AF20" si="12">SUM(C50:C53)</f>
        <v>4</v>
      </c>
      <c r="T20" s="17">
        <f t="shared" si="12"/>
        <v>1</v>
      </c>
      <c r="U20" s="17">
        <f t="shared" si="12"/>
        <v>2</v>
      </c>
      <c r="V20" s="17">
        <f t="shared" si="12"/>
        <v>9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70</v>
      </c>
      <c r="AD20" s="17">
        <f t="shared" si="12"/>
        <v>0</v>
      </c>
      <c r="AE20" s="31">
        <f t="shared" si="12"/>
        <v>20</v>
      </c>
      <c r="AF20" s="31">
        <f t="shared" si="12"/>
        <v>90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0</v>
      </c>
      <c r="M21" s="50">
        <v>10</v>
      </c>
      <c r="N21" s="50">
        <v>0</v>
      </c>
      <c r="O21" s="15">
        <f t="shared" si="0"/>
        <v>4</v>
      </c>
      <c r="P21" s="15">
        <f t="shared" si="1"/>
        <v>14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2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57</v>
      </c>
      <c r="AD21" s="17">
        <f t="shared" si="13"/>
        <v>0</v>
      </c>
      <c r="AE21" s="31">
        <f t="shared" si="13"/>
        <v>12</v>
      </c>
      <c r="AF21" s="31">
        <f t="shared" si="13"/>
        <v>69</v>
      </c>
    </row>
    <row r="22" spans="2:32" ht="23.1" customHeight="1" x14ac:dyDescent="0.25">
      <c r="B22" s="45" t="s">
        <v>49</v>
      </c>
      <c r="C22" s="50">
        <v>1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10</v>
      </c>
      <c r="N22" s="50">
        <v>0</v>
      </c>
      <c r="O22" s="15">
        <f t="shared" si="0"/>
        <v>3</v>
      </c>
      <c r="P22" s="15">
        <f t="shared" si="1"/>
        <v>13</v>
      </c>
      <c r="R22" s="36" t="s">
        <v>146</v>
      </c>
      <c r="S22" s="34">
        <f>SUM(C58:C61)</f>
        <v>6</v>
      </c>
      <c r="T22" s="34">
        <f t="shared" ref="T22:AF22" si="14">SUM(D58:D61)</f>
        <v>0</v>
      </c>
      <c r="U22" s="34">
        <f t="shared" si="14"/>
        <v>3</v>
      </c>
      <c r="V22" s="34">
        <f t="shared" si="14"/>
        <v>6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34</v>
      </c>
      <c r="AD22" s="34">
        <f t="shared" si="14"/>
        <v>0</v>
      </c>
      <c r="AE22" s="31">
        <f t="shared" si="14"/>
        <v>17</v>
      </c>
      <c r="AF22" s="31">
        <f t="shared" si="14"/>
        <v>51</v>
      </c>
    </row>
    <row r="23" spans="2:32" ht="23.1" customHeight="1" x14ac:dyDescent="0.25">
      <c r="B23" s="45" t="s">
        <v>50</v>
      </c>
      <c r="C23" s="50">
        <v>1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3</v>
      </c>
      <c r="P23" s="15">
        <f t="shared" si="1"/>
        <v>12</v>
      </c>
      <c r="R23" s="36" t="s">
        <v>147</v>
      </c>
      <c r="S23" s="34">
        <f>SUM(C62:C65)</f>
        <v>5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1</v>
      </c>
      <c r="AB23" s="34">
        <f t="shared" si="15"/>
        <v>2</v>
      </c>
      <c r="AC23" s="34">
        <f t="shared" si="15"/>
        <v>20</v>
      </c>
      <c r="AD23" s="34">
        <f t="shared" si="15"/>
        <v>0</v>
      </c>
      <c r="AE23" s="31">
        <f t="shared" si="15"/>
        <v>19</v>
      </c>
      <c r="AF23" s="31">
        <f t="shared" si="15"/>
        <v>39</v>
      </c>
    </row>
    <row r="24" spans="2:32" ht="23.1" customHeight="1" x14ac:dyDescent="0.25">
      <c r="B24" s="45" t="s">
        <v>51</v>
      </c>
      <c r="C24" s="50">
        <v>2</v>
      </c>
      <c r="D24" s="50">
        <v>1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50">
        <v>10</v>
      </c>
      <c r="N24" s="50">
        <v>0</v>
      </c>
      <c r="O24" s="15">
        <f t="shared" si="0"/>
        <v>6</v>
      </c>
      <c r="P24" s="15">
        <f t="shared" si="1"/>
        <v>16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2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10</v>
      </c>
      <c r="AD24" s="34">
        <f t="shared" si="16"/>
        <v>0</v>
      </c>
      <c r="AE24" s="31">
        <f t="shared" si="16"/>
        <v>7</v>
      </c>
      <c r="AF24" s="31">
        <f t="shared" si="16"/>
        <v>17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1</v>
      </c>
      <c r="L25" s="50">
        <v>0</v>
      </c>
      <c r="M25" s="50">
        <v>10</v>
      </c>
      <c r="N25" s="50">
        <v>0</v>
      </c>
      <c r="O25" s="15">
        <f t="shared" si="0"/>
        <v>4</v>
      </c>
      <c r="P25" s="15">
        <f t="shared" si="1"/>
        <v>14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1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4</v>
      </c>
      <c r="AF25" s="31">
        <f t="shared" si="17"/>
        <v>9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2</v>
      </c>
      <c r="P26" s="15">
        <f t="shared" si="1"/>
        <v>7</v>
      </c>
      <c r="R26" s="36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5</v>
      </c>
      <c r="AD26" s="34">
        <f t="shared" si="18"/>
        <v>0</v>
      </c>
      <c r="AE26" s="31">
        <f t="shared" si="18"/>
        <v>4</v>
      </c>
      <c r="AF26" s="31">
        <f t="shared" si="18"/>
        <v>9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1</v>
      </c>
      <c r="M27" s="50">
        <v>11</v>
      </c>
      <c r="N27" s="50">
        <v>0</v>
      </c>
      <c r="O27" s="15">
        <f t="shared" si="0"/>
        <v>6</v>
      </c>
      <c r="P27" s="15">
        <f t="shared" si="1"/>
        <v>17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3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1</v>
      </c>
      <c r="K28" s="50">
        <v>1</v>
      </c>
      <c r="L28" s="50">
        <v>0</v>
      </c>
      <c r="M28" s="50">
        <v>12</v>
      </c>
      <c r="N28" s="50">
        <v>0</v>
      </c>
      <c r="O28" s="15">
        <f t="shared" si="0"/>
        <v>4</v>
      </c>
      <c r="P28" s="15">
        <f t="shared" si="1"/>
        <v>16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2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3</v>
      </c>
      <c r="AF28" s="31">
        <f t="shared" si="20"/>
        <v>4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2</v>
      </c>
      <c r="F29" s="50">
        <v>2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7</v>
      </c>
      <c r="P29" s="15">
        <f t="shared" si="1"/>
        <v>14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5</v>
      </c>
      <c r="P30" s="15">
        <f t="shared" si="1"/>
        <v>20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2</v>
      </c>
      <c r="AA30" s="34">
        <f t="shared" si="22"/>
        <v>1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</v>
      </c>
      <c r="AF30" s="31">
        <f t="shared" si="22"/>
        <v>3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17</v>
      </c>
      <c r="N31" s="50">
        <v>0</v>
      </c>
      <c r="O31" s="15">
        <f t="shared" si="0"/>
        <v>1</v>
      </c>
      <c r="P31" s="15">
        <f t="shared" si="1"/>
        <v>18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1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2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6</v>
      </c>
      <c r="AF31" s="31">
        <f t="shared" si="23"/>
        <v>10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3</v>
      </c>
      <c r="P32" s="15">
        <f t="shared" si="1"/>
        <v>21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2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4</v>
      </c>
      <c r="AF32" s="31">
        <f t="shared" si="24"/>
        <v>5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2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4</v>
      </c>
      <c r="P33" s="15">
        <f t="shared" si="1"/>
        <v>20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4</v>
      </c>
      <c r="AB33" s="34">
        <f t="shared" si="25"/>
        <v>0</v>
      </c>
      <c r="AC33" s="34">
        <f t="shared" si="25"/>
        <v>13</v>
      </c>
      <c r="AD33" s="34">
        <f t="shared" si="25"/>
        <v>0</v>
      </c>
      <c r="AE33" s="31">
        <f t="shared" si="25"/>
        <v>10</v>
      </c>
      <c r="AF33" s="31">
        <f t="shared" si="25"/>
        <v>23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2</v>
      </c>
      <c r="P34" s="15">
        <f t="shared" si="1"/>
        <v>21</v>
      </c>
      <c r="R34" s="38" t="s">
        <v>90</v>
      </c>
      <c r="S34" s="39">
        <f t="shared" ref="S34:AF34" si="26">MAX(S10:S12)</f>
        <v>4</v>
      </c>
      <c r="T34" s="39">
        <f t="shared" si="26"/>
        <v>2</v>
      </c>
      <c r="U34" s="39">
        <f t="shared" si="26"/>
        <v>2</v>
      </c>
      <c r="V34" s="39">
        <f t="shared" si="26"/>
        <v>4</v>
      </c>
      <c r="W34" s="39">
        <f t="shared" si="26"/>
        <v>0</v>
      </c>
      <c r="X34" s="39">
        <f t="shared" si="26"/>
        <v>0</v>
      </c>
      <c r="Y34" s="39">
        <f t="shared" si="26"/>
        <v>5</v>
      </c>
      <c r="Z34" s="39">
        <f t="shared" si="26"/>
        <v>2</v>
      </c>
      <c r="AA34" s="39">
        <f t="shared" si="26"/>
        <v>2</v>
      </c>
      <c r="AB34" s="39">
        <f t="shared" si="26"/>
        <v>1</v>
      </c>
      <c r="AC34" s="39">
        <f t="shared" si="26"/>
        <v>41</v>
      </c>
      <c r="AD34" s="39">
        <f t="shared" si="26"/>
        <v>0</v>
      </c>
      <c r="AE34" s="40">
        <f t="shared" si="26"/>
        <v>17</v>
      </c>
      <c r="AF34" s="40">
        <f t="shared" si="26"/>
        <v>53</v>
      </c>
    </row>
    <row r="35" spans="2:32" ht="23.1" customHeight="1" x14ac:dyDescent="0.25">
      <c r="B35" s="46" t="s">
        <v>62</v>
      </c>
      <c r="C35" s="50">
        <v>1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24</v>
      </c>
      <c r="N35" s="50">
        <v>0</v>
      </c>
      <c r="O35" s="15">
        <f t="shared" si="0"/>
        <v>3</v>
      </c>
      <c r="P35" s="15">
        <f t="shared" si="1"/>
        <v>27</v>
      </c>
      <c r="R35" s="38" t="s">
        <v>91</v>
      </c>
      <c r="S35" s="39">
        <f t="shared" ref="S35:AF35" si="27">MAX(S13:S18)</f>
        <v>5</v>
      </c>
      <c r="T35" s="39">
        <f t="shared" si="27"/>
        <v>3</v>
      </c>
      <c r="U35" s="39">
        <f t="shared" si="27"/>
        <v>3</v>
      </c>
      <c r="V35" s="39">
        <f t="shared" si="27"/>
        <v>8</v>
      </c>
      <c r="W35" s="39">
        <f t="shared" si="27"/>
        <v>1</v>
      </c>
      <c r="X35" s="39">
        <f t="shared" si="27"/>
        <v>2</v>
      </c>
      <c r="Y35" s="39">
        <f t="shared" si="27"/>
        <v>6</v>
      </c>
      <c r="Z35" s="39">
        <f t="shared" si="27"/>
        <v>2</v>
      </c>
      <c r="AA35" s="39">
        <f t="shared" si="27"/>
        <v>1</v>
      </c>
      <c r="AB35" s="39">
        <f t="shared" si="27"/>
        <v>2</v>
      </c>
      <c r="AC35" s="39">
        <f t="shared" si="27"/>
        <v>73</v>
      </c>
      <c r="AD35" s="39">
        <f t="shared" si="27"/>
        <v>1</v>
      </c>
      <c r="AE35" s="40">
        <f t="shared" si="27"/>
        <v>26</v>
      </c>
      <c r="AF35" s="40">
        <f t="shared" si="27"/>
        <v>88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1</v>
      </c>
      <c r="F36" s="50">
        <v>3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1</v>
      </c>
      <c r="M36" s="50">
        <v>15</v>
      </c>
      <c r="N36" s="50">
        <v>0</v>
      </c>
      <c r="O36" s="15">
        <f t="shared" si="0"/>
        <v>5</v>
      </c>
      <c r="P36" s="15">
        <f t="shared" si="1"/>
        <v>20</v>
      </c>
      <c r="R36" s="38" t="s">
        <v>92</v>
      </c>
      <c r="S36" s="39">
        <f t="shared" ref="S36:AF36" si="28">MAX(S19:S21)</f>
        <v>4</v>
      </c>
      <c r="T36" s="39">
        <f t="shared" si="28"/>
        <v>1</v>
      </c>
      <c r="U36" s="39">
        <f t="shared" si="28"/>
        <v>2</v>
      </c>
      <c r="V36" s="39">
        <f t="shared" si="28"/>
        <v>9</v>
      </c>
      <c r="W36" s="39">
        <f t="shared" si="28"/>
        <v>0</v>
      </c>
      <c r="X36" s="39">
        <f t="shared" si="28"/>
        <v>1</v>
      </c>
      <c r="Y36" s="39">
        <f t="shared" si="28"/>
        <v>6</v>
      </c>
      <c r="Z36" s="39">
        <f t="shared" si="28"/>
        <v>0</v>
      </c>
      <c r="AA36" s="39">
        <f t="shared" si="28"/>
        <v>0</v>
      </c>
      <c r="AB36" s="39">
        <f t="shared" si="28"/>
        <v>1</v>
      </c>
      <c r="AC36" s="39">
        <f t="shared" si="28"/>
        <v>72</v>
      </c>
      <c r="AD36" s="39">
        <f t="shared" si="28"/>
        <v>0</v>
      </c>
      <c r="AE36" s="40">
        <f t="shared" si="28"/>
        <v>20</v>
      </c>
      <c r="AF36" s="40">
        <f t="shared" si="28"/>
        <v>92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1</v>
      </c>
      <c r="F37" s="50">
        <v>4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5">
        <f t="shared" si="0"/>
        <v>5</v>
      </c>
      <c r="P37" s="15">
        <f t="shared" si="1"/>
        <v>20</v>
      </c>
      <c r="R37" s="37" t="s">
        <v>85</v>
      </c>
      <c r="S37" s="35">
        <f t="shared" ref="S37:AF37" si="29">SUM(S10:S12)</f>
        <v>6</v>
      </c>
      <c r="T37" s="16">
        <f t="shared" si="29"/>
        <v>2</v>
      </c>
      <c r="U37" s="16">
        <f t="shared" si="29"/>
        <v>2</v>
      </c>
      <c r="V37" s="16">
        <f t="shared" si="29"/>
        <v>9</v>
      </c>
      <c r="W37" s="16">
        <f t="shared" si="29"/>
        <v>0</v>
      </c>
      <c r="X37" s="16">
        <f t="shared" si="29"/>
        <v>0</v>
      </c>
      <c r="Y37" s="16">
        <f t="shared" si="29"/>
        <v>10</v>
      </c>
      <c r="Z37" s="16">
        <f t="shared" si="29"/>
        <v>5</v>
      </c>
      <c r="AA37" s="16">
        <f t="shared" si="29"/>
        <v>5</v>
      </c>
      <c r="AB37" s="16">
        <f t="shared" si="29"/>
        <v>1</v>
      </c>
      <c r="AC37" s="16">
        <f t="shared" si="29"/>
        <v>73</v>
      </c>
      <c r="AD37" s="16">
        <f t="shared" si="29"/>
        <v>0</v>
      </c>
      <c r="AE37" s="32">
        <f t="shared" si="29"/>
        <v>40</v>
      </c>
      <c r="AF37" s="32">
        <f t="shared" si="29"/>
        <v>113</v>
      </c>
    </row>
    <row r="38" spans="2:32" ht="23.1" customHeight="1" x14ac:dyDescent="0.25">
      <c r="B38" s="46" t="s">
        <v>65</v>
      </c>
      <c r="C38" s="50">
        <v>1</v>
      </c>
      <c r="D38" s="50">
        <v>1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1</v>
      </c>
      <c r="M38" s="50">
        <v>20</v>
      </c>
      <c r="N38" s="50">
        <v>0</v>
      </c>
      <c r="O38" s="15">
        <f t="shared" si="0"/>
        <v>7</v>
      </c>
      <c r="P38" s="15">
        <f t="shared" si="1"/>
        <v>27</v>
      </c>
      <c r="R38" s="28" t="s">
        <v>86</v>
      </c>
      <c r="S38" s="16">
        <f t="shared" ref="S38:AF38" si="30">SUM(S13:S18)</f>
        <v>17</v>
      </c>
      <c r="T38" s="16">
        <f t="shared" si="30"/>
        <v>7</v>
      </c>
      <c r="U38" s="16">
        <f t="shared" si="30"/>
        <v>11</v>
      </c>
      <c r="V38" s="16">
        <f t="shared" si="30"/>
        <v>31</v>
      </c>
      <c r="W38" s="16">
        <f t="shared" si="30"/>
        <v>1</v>
      </c>
      <c r="X38" s="16">
        <f t="shared" si="30"/>
        <v>2</v>
      </c>
      <c r="Y38" s="16">
        <f t="shared" si="30"/>
        <v>22</v>
      </c>
      <c r="Z38" s="16">
        <f t="shared" si="30"/>
        <v>5</v>
      </c>
      <c r="AA38" s="16">
        <f t="shared" si="30"/>
        <v>3</v>
      </c>
      <c r="AB38" s="16">
        <f t="shared" si="30"/>
        <v>6</v>
      </c>
      <c r="AC38" s="16">
        <f t="shared" si="30"/>
        <v>340</v>
      </c>
      <c r="AD38" s="16">
        <f t="shared" si="30"/>
        <v>1</v>
      </c>
      <c r="AE38" s="32">
        <f t="shared" si="30"/>
        <v>106</v>
      </c>
      <c r="AF38" s="32">
        <f t="shared" si="30"/>
        <v>446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1</v>
      </c>
      <c r="M39" s="50">
        <v>15</v>
      </c>
      <c r="N39" s="50">
        <v>0</v>
      </c>
      <c r="O39" s="15">
        <f t="shared" si="0"/>
        <v>4</v>
      </c>
      <c r="P39" s="15">
        <f t="shared" si="1"/>
        <v>19</v>
      </c>
      <c r="R39" s="29" t="s">
        <v>87</v>
      </c>
      <c r="S39" s="16">
        <f t="shared" ref="S39:AF39" si="31">SUM(S19:S21)</f>
        <v>10</v>
      </c>
      <c r="T39" s="16">
        <f t="shared" si="31"/>
        <v>2</v>
      </c>
      <c r="U39" s="16">
        <f t="shared" si="31"/>
        <v>4</v>
      </c>
      <c r="V39" s="16">
        <f t="shared" si="31"/>
        <v>21</v>
      </c>
      <c r="W39" s="16">
        <f t="shared" si="31"/>
        <v>0</v>
      </c>
      <c r="X39" s="16">
        <f t="shared" si="31"/>
        <v>1</v>
      </c>
      <c r="Y39" s="16">
        <f t="shared" si="31"/>
        <v>13</v>
      </c>
      <c r="Z39" s="16">
        <f t="shared" si="31"/>
        <v>0</v>
      </c>
      <c r="AA39" s="16">
        <f t="shared" si="31"/>
        <v>0</v>
      </c>
      <c r="AB39" s="16">
        <f t="shared" si="31"/>
        <v>1</v>
      </c>
      <c r="AC39" s="16">
        <f t="shared" si="31"/>
        <v>199</v>
      </c>
      <c r="AD39" s="16">
        <f t="shared" si="31"/>
        <v>0</v>
      </c>
      <c r="AE39" s="32">
        <f t="shared" si="31"/>
        <v>52</v>
      </c>
      <c r="AF39" s="32">
        <f t="shared" si="31"/>
        <v>251</v>
      </c>
    </row>
    <row r="40" spans="2:32" ht="23.1" customHeight="1" x14ac:dyDescent="0.25">
      <c r="B40" s="46" t="s">
        <v>67</v>
      </c>
      <c r="C40" s="50">
        <v>0</v>
      </c>
      <c r="D40" s="50">
        <v>1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17</v>
      </c>
      <c r="N40" s="50">
        <v>0</v>
      </c>
      <c r="O40" s="15">
        <f t="shared" si="0"/>
        <v>2</v>
      </c>
      <c r="P40" s="15">
        <f t="shared" si="1"/>
        <v>19</v>
      </c>
      <c r="R40" s="5" t="s">
        <v>17</v>
      </c>
      <c r="S40" s="16">
        <f t="shared" ref="S40:AF40" si="32">SUM(S10:S21)</f>
        <v>33</v>
      </c>
      <c r="T40" s="16">
        <f t="shared" si="32"/>
        <v>11</v>
      </c>
      <c r="U40" s="16">
        <f t="shared" si="32"/>
        <v>17</v>
      </c>
      <c r="V40" s="16">
        <f t="shared" si="32"/>
        <v>61</v>
      </c>
      <c r="W40" s="16">
        <f t="shared" si="32"/>
        <v>1</v>
      </c>
      <c r="X40" s="16">
        <f t="shared" si="32"/>
        <v>3</v>
      </c>
      <c r="Y40" s="16">
        <f t="shared" si="32"/>
        <v>45</v>
      </c>
      <c r="Z40" s="16">
        <f t="shared" si="32"/>
        <v>10</v>
      </c>
      <c r="AA40" s="16">
        <f t="shared" si="32"/>
        <v>8</v>
      </c>
      <c r="AB40" s="16">
        <f t="shared" si="32"/>
        <v>8</v>
      </c>
      <c r="AC40" s="16">
        <f t="shared" si="32"/>
        <v>612</v>
      </c>
      <c r="AD40" s="16">
        <f t="shared" si="32"/>
        <v>1</v>
      </c>
      <c r="AE40" s="32">
        <f t="shared" si="32"/>
        <v>198</v>
      </c>
      <c r="AF40" s="32">
        <f t="shared" si="32"/>
        <v>810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4</v>
      </c>
      <c r="P41" s="15">
        <f t="shared" si="1"/>
        <v>17</v>
      </c>
      <c r="R41" s="5" t="s">
        <v>159</v>
      </c>
      <c r="S41" s="16">
        <f>SUM(S10:S33)</f>
        <v>49</v>
      </c>
      <c r="T41" s="16">
        <f t="shared" ref="T41:AF41" si="33">SUM(T10:T33)</f>
        <v>12</v>
      </c>
      <c r="U41" s="16">
        <f t="shared" si="33"/>
        <v>26</v>
      </c>
      <c r="V41" s="16">
        <f t="shared" si="33"/>
        <v>80</v>
      </c>
      <c r="W41" s="16">
        <f t="shared" si="33"/>
        <v>2</v>
      </c>
      <c r="X41" s="16">
        <f t="shared" si="33"/>
        <v>3</v>
      </c>
      <c r="Y41" s="16">
        <f t="shared" si="33"/>
        <v>54</v>
      </c>
      <c r="Z41" s="16">
        <f t="shared" si="33"/>
        <v>18</v>
      </c>
      <c r="AA41" s="16">
        <f t="shared" si="33"/>
        <v>23</v>
      </c>
      <c r="AB41" s="16">
        <f t="shared" si="33"/>
        <v>10</v>
      </c>
      <c r="AC41" s="16">
        <f t="shared" si="33"/>
        <v>705</v>
      </c>
      <c r="AD41" s="16">
        <f t="shared" si="33"/>
        <v>1</v>
      </c>
      <c r="AE41" s="32">
        <f t="shared" si="33"/>
        <v>278</v>
      </c>
      <c r="AF41" s="32">
        <f t="shared" si="33"/>
        <v>983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1</v>
      </c>
      <c r="G42" s="50">
        <v>0</v>
      </c>
      <c r="H42" s="50">
        <v>1</v>
      </c>
      <c r="I42" s="50">
        <v>1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3</v>
      </c>
      <c r="P42" s="15">
        <f t="shared" si="1"/>
        <v>23</v>
      </c>
      <c r="R42" s="5" t="s">
        <v>160</v>
      </c>
      <c r="S42" s="48">
        <f>S41/S40</f>
        <v>1.4848484848484849</v>
      </c>
      <c r="T42" s="48">
        <f t="shared" ref="T42:AF42" si="34">T41/T40</f>
        <v>1.0909090909090908</v>
      </c>
      <c r="U42" s="48">
        <f t="shared" si="34"/>
        <v>1.5294117647058822</v>
      </c>
      <c r="V42" s="48">
        <f t="shared" si="34"/>
        <v>1.3114754098360655</v>
      </c>
      <c r="W42" s="48">
        <f t="shared" si="34"/>
        <v>2</v>
      </c>
      <c r="X42" s="48">
        <f t="shared" si="34"/>
        <v>1</v>
      </c>
      <c r="Y42" s="48">
        <f t="shared" si="34"/>
        <v>1.2</v>
      </c>
      <c r="Z42" s="48">
        <f t="shared" si="34"/>
        <v>1.8</v>
      </c>
      <c r="AA42" s="48">
        <f t="shared" si="34"/>
        <v>2.875</v>
      </c>
      <c r="AB42" s="48">
        <f t="shared" si="34"/>
        <v>1.25</v>
      </c>
      <c r="AC42" s="48">
        <f t="shared" si="34"/>
        <v>1.1519607843137254</v>
      </c>
      <c r="AD42" s="48">
        <f t="shared" si="34"/>
        <v>1</v>
      </c>
      <c r="AE42" s="48">
        <f t="shared" si="34"/>
        <v>1.404040404040404</v>
      </c>
      <c r="AF42" s="48">
        <f t="shared" si="34"/>
        <v>1.2135802469135804</v>
      </c>
    </row>
    <row r="43" spans="2:32" ht="23.1" customHeight="1" x14ac:dyDescent="0.25">
      <c r="B43" s="45" t="s">
        <v>70</v>
      </c>
      <c r="C43" s="50">
        <v>3</v>
      </c>
      <c r="D43" s="50">
        <v>1</v>
      </c>
      <c r="E43" s="50">
        <v>2</v>
      </c>
      <c r="F43" s="50">
        <v>3</v>
      </c>
      <c r="G43" s="50">
        <v>0</v>
      </c>
      <c r="H43" s="50">
        <v>1</v>
      </c>
      <c r="I43" s="50">
        <v>0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10</v>
      </c>
      <c r="P43" s="15">
        <f t="shared" si="1"/>
        <v>18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19</v>
      </c>
      <c r="N44" s="50">
        <v>1</v>
      </c>
      <c r="O44" s="15">
        <f t="shared" si="0"/>
        <v>5</v>
      </c>
      <c r="P44" s="15">
        <f t="shared" si="1"/>
        <v>24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1</v>
      </c>
      <c r="F45" s="50">
        <v>3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8</v>
      </c>
      <c r="P45" s="15">
        <f t="shared" si="1"/>
        <v>23</v>
      </c>
    </row>
    <row r="46" spans="2:32" ht="23.1" customHeight="1" x14ac:dyDescent="0.25">
      <c r="B46" s="46" t="s">
        <v>73</v>
      </c>
      <c r="C46" s="50">
        <v>1</v>
      </c>
      <c r="D46" s="50">
        <v>1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1</v>
      </c>
      <c r="M46" s="50">
        <v>15</v>
      </c>
      <c r="N46" s="50">
        <v>0</v>
      </c>
      <c r="O46" s="15">
        <f t="shared" si="0"/>
        <v>4</v>
      </c>
      <c r="P46" s="15">
        <f t="shared" si="1"/>
        <v>19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22</v>
      </c>
      <c r="N47" s="50">
        <v>0</v>
      </c>
      <c r="O47" s="15">
        <f t="shared" si="0"/>
        <v>5</v>
      </c>
      <c r="P47" s="15">
        <f t="shared" si="1"/>
        <v>27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0</v>
      </c>
      <c r="H48" s="50">
        <v>1</v>
      </c>
      <c r="I48" s="50">
        <v>3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5</v>
      </c>
      <c r="P48" s="15">
        <f t="shared" si="1"/>
        <v>20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6</v>
      </c>
      <c r="P49" s="15">
        <f t="shared" si="1"/>
        <v>26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1</v>
      </c>
      <c r="E50" s="50">
        <v>1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6</v>
      </c>
      <c r="P50" s="15">
        <f t="shared" si="1"/>
        <v>16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2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5</v>
      </c>
      <c r="P51" s="15">
        <f t="shared" si="1"/>
        <v>26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0</v>
      </c>
      <c r="E52" s="50">
        <v>1</v>
      </c>
      <c r="F52" s="50">
        <v>3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7</v>
      </c>
      <c r="P52" s="15">
        <f t="shared" si="1"/>
        <v>27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2</v>
      </c>
      <c r="P53" s="15">
        <f t="shared" si="1"/>
        <v>21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16</v>
      </c>
      <c r="N54" s="50">
        <v>0</v>
      </c>
      <c r="O54" s="15">
        <f t="shared" si="0"/>
        <v>2</v>
      </c>
      <c r="P54" s="15">
        <f t="shared" si="1"/>
        <v>18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5</v>
      </c>
      <c r="P55" s="15">
        <f t="shared" si="1"/>
        <v>17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17</v>
      </c>
      <c r="N56" s="50">
        <v>0</v>
      </c>
      <c r="O56" s="15">
        <f t="shared" si="0"/>
        <v>1</v>
      </c>
      <c r="P56" s="15">
        <f t="shared" si="1"/>
        <v>18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1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4</v>
      </c>
      <c r="P57" s="15">
        <f t="shared" si="1"/>
        <v>16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2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3</v>
      </c>
      <c r="N58" s="50">
        <v>0</v>
      </c>
      <c r="O58" s="15">
        <f t="shared" si="0"/>
        <v>3</v>
      </c>
      <c r="P58" s="15">
        <f t="shared" si="1"/>
        <v>6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1</v>
      </c>
      <c r="F59" s="50">
        <v>3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13</v>
      </c>
      <c r="N59" s="50">
        <v>0</v>
      </c>
      <c r="O59" s="15">
        <f t="shared" si="0"/>
        <v>6</v>
      </c>
      <c r="P59" s="15">
        <f t="shared" si="1"/>
        <v>19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1</v>
      </c>
      <c r="L60" s="50">
        <v>0</v>
      </c>
      <c r="M60" s="50">
        <v>1</v>
      </c>
      <c r="N60" s="50">
        <v>0</v>
      </c>
      <c r="O60" s="15">
        <f t="shared" si="0"/>
        <v>3</v>
      </c>
      <c r="P60" s="15">
        <f t="shared" si="1"/>
        <v>4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1</v>
      </c>
      <c r="F61" s="50">
        <v>1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17</v>
      </c>
      <c r="N61" s="50">
        <v>0</v>
      </c>
      <c r="O61" s="15">
        <f t="shared" si="0"/>
        <v>5</v>
      </c>
      <c r="P61" s="15">
        <f t="shared" si="1"/>
        <v>22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1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1</v>
      </c>
      <c r="L62" s="50">
        <v>0</v>
      </c>
      <c r="M62" s="50">
        <v>7</v>
      </c>
      <c r="N62" s="50">
        <v>0</v>
      </c>
      <c r="O62" s="15">
        <f t="shared" si="0"/>
        <v>4</v>
      </c>
      <c r="P62" s="15">
        <f t="shared" si="1"/>
        <v>11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2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4</v>
      </c>
      <c r="N63" s="50">
        <v>0</v>
      </c>
      <c r="O63" s="15">
        <f t="shared" si="0"/>
        <v>4</v>
      </c>
      <c r="P63" s="15">
        <f t="shared" si="1"/>
        <v>8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0</v>
      </c>
      <c r="F64" s="50">
        <v>2</v>
      </c>
      <c r="G64" s="50">
        <v>0</v>
      </c>
      <c r="H64" s="50">
        <v>0</v>
      </c>
      <c r="I64" s="50">
        <v>2</v>
      </c>
      <c r="J64" s="50">
        <v>1</v>
      </c>
      <c r="K64" s="50">
        <v>0</v>
      </c>
      <c r="L64" s="50">
        <v>2</v>
      </c>
      <c r="M64" s="50">
        <v>6</v>
      </c>
      <c r="N64" s="50">
        <v>0</v>
      </c>
      <c r="O64" s="15">
        <f t="shared" si="0"/>
        <v>10</v>
      </c>
      <c r="P64" s="15">
        <f t="shared" si="1"/>
        <v>16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1</v>
      </c>
      <c r="P65" s="15">
        <f t="shared" si="1"/>
        <v>4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2</v>
      </c>
      <c r="N66" s="50">
        <v>0</v>
      </c>
      <c r="O66" s="15">
        <f t="shared" si="0"/>
        <v>1</v>
      </c>
      <c r="P66" s="15">
        <f t="shared" si="1"/>
        <v>3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2</v>
      </c>
      <c r="N67" s="50">
        <v>0</v>
      </c>
      <c r="O67" s="15">
        <f t="shared" si="0"/>
        <v>1</v>
      </c>
      <c r="P67" s="15">
        <f t="shared" si="1"/>
        <v>3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1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4</v>
      </c>
      <c r="N68" s="50">
        <v>0</v>
      </c>
      <c r="O68" s="15">
        <f t="shared" si="0"/>
        <v>2</v>
      </c>
      <c r="P68" s="15">
        <f t="shared" si="1"/>
        <v>6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1</v>
      </c>
      <c r="F69" s="50">
        <v>1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3</v>
      </c>
      <c r="P69" s="15">
        <f t="shared" si="1"/>
        <v>5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0"/>
        <v>0</v>
      </c>
      <c r="P70" s="15">
        <f t="shared" si="1"/>
        <v>3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1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1</v>
      </c>
      <c r="P71" s="15">
        <f t="shared" si="1"/>
        <v>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1</v>
      </c>
      <c r="L72" s="50">
        <v>0</v>
      </c>
      <c r="M72" s="50">
        <v>2</v>
      </c>
      <c r="N72" s="50">
        <v>0</v>
      </c>
      <c r="O72" s="15">
        <f t="shared" si="0"/>
        <v>1</v>
      </c>
      <c r="P72" s="15">
        <f t="shared" si="1"/>
        <v>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1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2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1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3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1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0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2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1</v>
      </c>
      <c r="L81" s="50">
        <v>0</v>
      </c>
      <c r="M81" s="50">
        <v>0</v>
      </c>
      <c r="N81" s="50"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2</v>
      </c>
      <c r="L85" s="50">
        <v>0</v>
      </c>
      <c r="M85" s="50">
        <v>0</v>
      </c>
      <c r="N85" s="50"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2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1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2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2</v>
      </c>
      <c r="L97" s="50">
        <v>0</v>
      </c>
      <c r="M97" s="50">
        <v>1</v>
      </c>
      <c r="N97" s="50">
        <v>0</v>
      </c>
      <c r="O97" s="15">
        <f t="shared" si="35"/>
        <v>3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0</v>
      </c>
      <c r="N99" s="50"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1</v>
      </c>
      <c r="K100" s="50">
        <v>1</v>
      </c>
      <c r="L100" s="50">
        <v>0</v>
      </c>
      <c r="M100" s="50">
        <v>0</v>
      </c>
      <c r="N100" s="50">
        <v>0</v>
      </c>
      <c r="O100" s="15">
        <f t="shared" si="35"/>
        <v>2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2</v>
      </c>
      <c r="G102" s="50">
        <v>0</v>
      </c>
      <c r="H102" s="50">
        <v>0</v>
      </c>
      <c r="I102" s="50">
        <v>0</v>
      </c>
      <c r="J102" s="50">
        <v>0</v>
      </c>
      <c r="K102" s="50">
        <v>1</v>
      </c>
      <c r="L102" s="50">
        <v>0</v>
      </c>
      <c r="M102" s="50">
        <v>3</v>
      </c>
      <c r="N102" s="50">
        <v>0</v>
      </c>
      <c r="O102" s="15">
        <f t="shared" si="35"/>
        <v>3</v>
      </c>
      <c r="P102" s="15">
        <f t="shared" si="36"/>
        <v>6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0</v>
      </c>
      <c r="N103" s="50">
        <v>0</v>
      </c>
      <c r="O103" s="15">
        <f t="shared" si="35"/>
        <v>1</v>
      </c>
      <c r="P103" s="15">
        <f t="shared" si="36"/>
        <v>1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1</v>
      </c>
      <c r="L104" s="50">
        <v>0</v>
      </c>
      <c r="M104" s="50">
        <v>7</v>
      </c>
      <c r="N104" s="50">
        <v>0</v>
      </c>
      <c r="O104" s="15">
        <f t="shared" si="35"/>
        <v>4</v>
      </c>
      <c r="P104" s="15">
        <f t="shared" si="36"/>
        <v>11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1</v>
      </c>
      <c r="L105" s="50">
        <v>0</v>
      </c>
      <c r="M105" s="50">
        <v>3</v>
      </c>
      <c r="N105" s="50">
        <v>0</v>
      </c>
      <c r="O105" s="15">
        <f t="shared" si="35"/>
        <v>2</v>
      </c>
      <c r="P105" s="15">
        <f t="shared" si="36"/>
        <v>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49</v>
      </c>
      <c r="D106" s="16">
        <f t="shared" ref="D106:P106" si="37">SUM(D10:D105)</f>
        <v>12</v>
      </c>
      <c r="E106" s="16">
        <f t="shared" si="37"/>
        <v>26</v>
      </c>
      <c r="F106" s="16">
        <f t="shared" si="37"/>
        <v>80</v>
      </c>
      <c r="G106" s="16">
        <f t="shared" si="37"/>
        <v>2</v>
      </c>
      <c r="H106" s="16">
        <f t="shared" si="37"/>
        <v>3</v>
      </c>
      <c r="I106" s="16">
        <f t="shared" si="37"/>
        <v>54</v>
      </c>
      <c r="J106" s="16">
        <f t="shared" si="37"/>
        <v>18</v>
      </c>
      <c r="K106" s="16">
        <f t="shared" si="37"/>
        <v>23</v>
      </c>
      <c r="L106" s="16">
        <f t="shared" si="37"/>
        <v>10</v>
      </c>
      <c r="M106" s="16">
        <f t="shared" si="37"/>
        <v>705</v>
      </c>
      <c r="N106" s="16">
        <f t="shared" si="37"/>
        <v>1</v>
      </c>
      <c r="O106" s="16">
        <f t="shared" si="37"/>
        <v>278</v>
      </c>
      <c r="P106" s="16">
        <f t="shared" si="37"/>
        <v>983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4.9847405900305189E-2</v>
      </c>
      <c r="D107" s="43">
        <f t="shared" si="38"/>
        <v>1.2207527975584944E-2</v>
      </c>
      <c r="E107" s="43">
        <f t="shared" si="38"/>
        <v>2.6449643947100712E-2</v>
      </c>
      <c r="F107" s="43">
        <f t="shared" si="38"/>
        <v>8.1383519837232965E-2</v>
      </c>
      <c r="G107" s="43">
        <f t="shared" si="38"/>
        <v>2.0345879959308239E-3</v>
      </c>
      <c r="H107" s="43">
        <f t="shared" si="38"/>
        <v>3.0518819938962359E-3</v>
      </c>
      <c r="I107" s="43">
        <f t="shared" si="38"/>
        <v>5.4933875890132246E-2</v>
      </c>
      <c r="J107" s="43">
        <f t="shared" si="38"/>
        <v>1.8311291963377416E-2</v>
      </c>
      <c r="K107" s="43">
        <f t="shared" si="38"/>
        <v>2.3397761953204477E-2</v>
      </c>
      <c r="L107" s="43">
        <f t="shared" si="38"/>
        <v>1.0172939979654121E-2</v>
      </c>
      <c r="M107" s="43">
        <f t="shared" si="38"/>
        <v>0.71719226856561547</v>
      </c>
      <c r="N107" s="43">
        <f t="shared" si="38"/>
        <v>1.017293997965412E-3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0.17625899280575538</v>
      </c>
      <c r="D108" s="44">
        <f t="shared" ref="D108:N108" si="39">D106/$O$106</f>
        <v>4.3165467625899283E-2</v>
      </c>
      <c r="E108" s="44">
        <f t="shared" si="39"/>
        <v>9.3525179856115109E-2</v>
      </c>
      <c r="F108" s="44">
        <f t="shared" si="39"/>
        <v>0.28776978417266186</v>
      </c>
      <c r="G108" s="44">
        <f t="shared" si="39"/>
        <v>7.1942446043165471E-3</v>
      </c>
      <c r="H108" s="44">
        <f t="shared" si="39"/>
        <v>1.0791366906474821E-2</v>
      </c>
      <c r="I108" s="44">
        <f t="shared" si="39"/>
        <v>0.19424460431654678</v>
      </c>
      <c r="J108" s="44">
        <f t="shared" si="39"/>
        <v>6.4748201438848921E-2</v>
      </c>
      <c r="K108" s="44">
        <f t="shared" si="39"/>
        <v>8.2733812949640287E-2</v>
      </c>
      <c r="L108" s="44">
        <f t="shared" si="39"/>
        <v>3.5971223021582732E-2</v>
      </c>
      <c r="M108" s="44"/>
      <c r="N108" s="44">
        <f t="shared" si="39"/>
        <v>3.5971223021582736E-3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G24" sqref="G24:G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tr">
        <f>'21.10 KAYUNGA-GALIRAYA-24h'!D5</f>
        <v>21.10.19</v>
      </c>
      <c r="E5" s="3"/>
      <c r="F5" s="41" t="s">
        <v>1</v>
      </c>
      <c r="G5" s="59" t="str">
        <f>'21.10 KAYUNGA-GALIRAYA-24h'!G5:H5</f>
        <v>KYANYA</v>
      </c>
      <c r="H5" s="60"/>
      <c r="I5" s="14"/>
      <c r="J5" s="2" t="s">
        <v>5</v>
      </c>
      <c r="K5" s="59" t="s">
        <v>173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GALIRAYA-KAYUNGA'!D6:E6</f>
        <v>GALIRAYA</v>
      </c>
      <c r="E6" s="60"/>
      <c r="F6" s="2" t="s">
        <v>2</v>
      </c>
      <c r="G6" s="59" t="str">
        <f>'17.10 GALIRAYA-KAYUNGA'!G6:H6</f>
        <v>KAYUNGA</v>
      </c>
      <c r="H6" s="60"/>
      <c r="J6" s="2" t="s">
        <v>21</v>
      </c>
      <c r="K6" s="59" t="str">
        <f>'21.10 KAYUNGA-GALIRAYA-24h'!K6:L6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4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8</v>
      </c>
      <c r="AD10" s="17">
        <f t="shared" si="2"/>
        <v>0</v>
      </c>
      <c r="AE10" s="31">
        <f t="shared" si="2"/>
        <v>6</v>
      </c>
      <c r="AF10" s="31">
        <f t="shared" si="2"/>
        <v>14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1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3</v>
      </c>
      <c r="AA11" s="17">
        <f t="shared" si="3"/>
        <v>1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15</v>
      </c>
      <c r="AF11" s="31">
        <f t="shared" si="3"/>
        <v>31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0</v>
      </c>
      <c r="P12" s="15">
        <f t="shared" si="1"/>
        <v>2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1</v>
      </c>
      <c r="V12" s="17">
        <f t="shared" si="4"/>
        <v>5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31</v>
      </c>
      <c r="AD12" s="17">
        <f t="shared" si="4"/>
        <v>0</v>
      </c>
      <c r="AE12" s="31">
        <f t="shared" si="4"/>
        <v>11</v>
      </c>
      <c r="AF12" s="31">
        <f t="shared" si="4"/>
        <v>42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4</v>
      </c>
      <c r="P13" s="15">
        <f t="shared" si="1"/>
        <v>6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1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5</v>
      </c>
      <c r="AD13" s="17">
        <f t="shared" si="5"/>
        <v>0</v>
      </c>
      <c r="AE13" s="31">
        <f t="shared" si="5"/>
        <v>7</v>
      </c>
      <c r="AF13" s="31">
        <f t="shared" si="5"/>
        <v>12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6</v>
      </c>
      <c r="P14" s="15">
        <f t="shared" si="1"/>
        <v>10</v>
      </c>
      <c r="R14" s="1" t="s">
        <v>10</v>
      </c>
      <c r="S14" s="17">
        <f t="shared" ref="S14:AF14" si="6">SUM(C26:C29)</f>
        <v>4</v>
      </c>
      <c r="T14" s="17">
        <f t="shared" si="6"/>
        <v>3</v>
      </c>
      <c r="U14" s="17">
        <f t="shared" si="6"/>
        <v>0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43</v>
      </c>
      <c r="AD14" s="17">
        <f t="shared" si="6"/>
        <v>0</v>
      </c>
      <c r="AE14" s="31">
        <f t="shared" si="6"/>
        <v>16</v>
      </c>
      <c r="AF14" s="31">
        <f t="shared" si="6"/>
        <v>59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1</v>
      </c>
      <c r="L15" s="50">
        <v>0</v>
      </c>
      <c r="M15" s="50">
        <v>4</v>
      </c>
      <c r="N15" s="50">
        <v>0</v>
      </c>
      <c r="O15" s="15">
        <f t="shared" si="0"/>
        <v>3</v>
      </c>
      <c r="P15" s="15">
        <f t="shared" si="1"/>
        <v>7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1</v>
      </c>
      <c r="AC15" s="17">
        <f t="shared" si="7"/>
        <v>29</v>
      </c>
      <c r="AD15" s="17">
        <f t="shared" si="7"/>
        <v>1</v>
      </c>
      <c r="AE15" s="31">
        <f t="shared" si="7"/>
        <v>6</v>
      </c>
      <c r="AF15" s="31">
        <f t="shared" si="7"/>
        <v>35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3</v>
      </c>
      <c r="P16" s="15">
        <f t="shared" si="1"/>
        <v>9</v>
      </c>
      <c r="R16" s="1" t="s">
        <v>12</v>
      </c>
      <c r="S16" s="17">
        <f t="shared" ref="S16:AF16" si="8">SUM(C34:C37)</f>
        <v>4</v>
      </c>
      <c r="T16" s="17">
        <f t="shared" si="8"/>
        <v>2</v>
      </c>
      <c r="U16" s="17">
        <f t="shared" si="8"/>
        <v>2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3</v>
      </c>
      <c r="AC16" s="17">
        <f t="shared" si="8"/>
        <v>51</v>
      </c>
      <c r="AD16" s="17">
        <f t="shared" si="8"/>
        <v>0</v>
      </c>
      <c r="AE16" s="31">
        <f t="shared" si="8"/>
        <v>14</v>
      </c>
      <c r="AF16" s="31">
        <f t="shared" si="8"/>
        <v>65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3</v>
      </c>
      <c r="P17" s="15">
        <f t="shared" si="1"/>
        <v>5</v>
      </c>
      <c r="R17" s="1" t="s">
        <v>13</v>
      </c>
      <c r="S17" s="17">
        <f t="shared" ref="S17:AF17" si="9">SUM(C38:C41)</f>
        <v>1</v>
      </c>
      <c r="T17" s="17">
        <f t="shared" si="9"/>
        <v>1</v>
      </c>
      <c r="U17" s="17">
        <f t="shared" si="9"/>
        <v>6</v>
      </c>
      <c r="V17" s="17">
        <f t="shared" si="9"/>
        <v>3</v>
      </c>
      <c r="W17" s="17">
        <f t="shared" si="9"/>
        <v>0</v>
      </c>
      <c r="X17" s="17">
        <f t="shared" si="9"/>
        <v>2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37</v>
      </c>
      <c r="AD17" s="17">
        <f t="shared" si="9"/>
        <v>0</v>
      </c>
      <c r="AE17" s="31">
        <f t="shared" si="9"/>
        <v>14</v>
      </c>
      <c r="AF17" s="31">
        <f t="shared" si="9"/>
        <v>51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3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4</v>
      </c>
      <c r="P18" s="15">
        <f t="shared" si="1"/>
        <v>11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0</v>
      </c>
      <c r="V18" s="17">
        <f t="shared" si="10"/>
        <v>6</v>
      </c>
      <c r="W18" s="17">
        <f t="shared" si="10"/>
        <v>0</v>
      </c>
      <c r="X18" s="17">
        <f t="shared" si="10"/>
        <v>1</v>
      </c>
      <c r="Y18" s="17">
        <f t="shared" si="10"/>
        <v>3</v>
      </c>
      <c r="Z18" s="17">
        <f t="shared" si="10"/>
        <v>2</v>
      </c>
      <c r="AA18" s="17">
        <f t="shared" si="10"/>
        <v>0</v>
      </c>
      <c r="AB18" s="17">
        <f t="shared" si="10"/>
        <v>2</v>
      </c>
      <c r="AC18" s="17">
        <f t="shared" si="10"/>
        <v>40</v>
      </c>
      <c r="AD18" s="17">
        <f t="shared" si="10"/>
        <v>0</v>
      </c>
      <c r="AE18" s="31">
        <f t="shared" si="10"/>
        <v>16</v>
      </c>
      <c r="AF18" s="31">
        <f t="shared" si="10"/>
        <v>56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0</v>
      </c>
      <c r="P19" s="15">
        <f t="shared" si="1"/>
        <v>11</v>
      </c>
      <c r="R19" s="1" t="s">
        <v>15</v>
      </c>
      <c r="S19" s="17">
        <f t="shared" ref="S19:AF19" si="11">SUM(C46:C49)</f>
        <v>1</v>
      </c>
      <c r="T19" s="17">
        <f t="shared" si="11"/>
        <v>1</v>
      </c>
      <c r="U19" s="17">
        <f t="shared" si="11"/>
        <v>1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1</v>
      </c>
      <c r="AA19" s="17">
        <f t="shared" si="11"/>
        <v>0</v>
      </c>
      <c r="AB19" s="17">
        <f t="shared" si="11"/>
        <v>2</v>
      </c>
      <c r="AC19" s="17">
        <f t="shared" si="11"/>
        <v>62</v>
      </c>
      <c r="AD19" s="17">
        <f t="shared" si="11"/>
        <v>0</v>
      </c>
      <c r="AE19" s="31">
        <f t="shared" si="11"/>
        <v>12</v>
      </c>
      <c r="AF19" s="31">
        <f t="shared" si="11"/>
        <v>74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2</v>
      </c>
      <c r="P20" s="15">
        <f t="shared" si="1"/>
        <v>10</v>
      </c>
      <c r="R20" s="1" t="s">
        <v>16</v>
      </c>
      <c r="S20" s="17">
        <f t="shared" ref="S20:AF20" si="12">SUM(C50:C53)</f>
        <v>2</v>
      </c>
      <c r="T20" s="17">
        <f t="shared" si="12"/>
        <v>6</v>
      </c>
      <c r="U20" s="17">
        <f t="shared" si="12"/>
        <v>2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1</v>
      </c>
      <c r="AA20" s="17">
        <f t="shared" si="12"/>
        <v>3</v>
      </c>
      <c r="AB20" s="17">
        <f t="shared" si="12"/>
        <v>1</v>
      </c>
      <c r="AC20" s="17">
        <f t="shared" si="12"/>
        <v>28</v>
      </c>
      <c r="AD20" s="17">
        <f t="shared" si="12"/>
        <v>0</v>
      </c>
      <c r="AE20" s="31">
        <f t="shared" si="12"/>
        <v>20</v>
      </c>
      <c r="AF20" s="31">
        <f t="shared" si="12"/>
        <v>48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1</v>
      </c>
      <c r="F21" s="50">
        <v>1</v>
      </c>
      <c r="G21" s="50">
        <v>0</v>
      </c>
      <c r="H21" s="50">
        <v>1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5</v>
      </c>
      <c r="P21" s="15">
        <f t="shared" si="1"/>
        <v>10</v>
      </c>
      <c r="R21" s="36" t="s">
        <v>20</v>
      </c>
      <c r="S21" s="34">
        <f t="shared" ref="S21:AF21" si="13">SUM(C54:C57)</f>
        <v>3</v>
      </c>
      <c r="T21" s="17">
        <f t="shared" si="13"/>
        <v>1</v>
      </c>
      <c r="U21" s="17">
        <f t="shared" si="13"/>
        <v>3</v>
      </c>
      <c r="V21" s="17">
        <f t="shared" si="13"/>
        <v>11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3</v>
      </c>
      <c r="AA21" s="17">
        <f t="shared" si="13"/>
        <v>0</v>
      </c>
      <c r="AB21" s="17">
        <f t="shared" si="13"/>
        <v>2</v>
      </c>
      <c r="AC21" s="17">
        <f t="shared" si="13"/>
        <v>52</v>
      </c>
      <c r="AD21" s="17">
        <f t="shared" si="13"/>
        <v>0</v>
      </c>
      <c r="AE21" s="31">
        <f t="shared" si="13"/>
        <v>25</v>
      </c>
      <c r="AF21" s="31">
        <f t="shared" si="13"/>
        <v>77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1</v>
      </c>
      <c r="P22" s="15">
        <f t="shared" si="1"/>
        <v>2</v>
      </c>
      <c r="R22" s="36" t="s">
        <v>146</v>
      </c>
      <c r="S22" s="34">
        <f>SUM(C58:C61)</f>
        <v>6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7</v>
      </c>
      <c r="W22" s="34">
        <f t="shared" si="14"/>
        <v>0</v>
      </c>
      <c r="X22" s="34">
        <f t="shared" si="14"/>
        <v>0</v>
      </c>
      <c r="Y22" s="34">
        <f t="shared" si="14"/>
        <v>9</v>
      </c>
      <c r="Z22" s="34">
        <f t="shared" si="14"/>
        <v>2</v>
      </c>
      <c r="AA22" s="34">
        <f t="shared" si="14"/>
        <v>2</v>
      </c>
      <c r="AB22" s="34">
        <f t="shared" si="14"/>
        <v>0</v>
      </c>
      <c r="AC22" s="34">
        <f t="shared" si="14"/>
        <v>37</v>
      </c>
      <c r="AD22" s="34">
        <f t="shared" si="14"/>
        <v>0</v>
      </c>
      <c r="AE22" s="31">
        <f t="shared" si="14"/>
        <v>27</v>
      </c>
      <c r="AF22" s="31">
        <f t="shared" si="14"/>
        <v>64</v>
      </c>
    </row>
    <row r="23" spans="2:32" ht="23.1" customHeight="1" x14ac:dyDescent="0.25">
      <c r="B23" s="45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2</v>
      </c>
      <c r="P23" s="15">
        <f t="shared" si="1"/>
        <v>3</v>
      </c>
      <c r="R23" s="36" t="s">
        <v>147</v>
      </c>
      <c r="S23" s="34">
        <f>SUM(C62:C65)</f>
        <v>5</v>
      </c>
      <c r="T23" s="34">
        <f t="shared" ref="T23:AF23" si="15">SUM(D62:D65)</f>
        <v>2</v>
      </c>
      <c r="U23" s="34">
        <f t="shared" si="15"/>
        <v>2</v>
      </c>
      <c r="V23" s="34">
        <f t="shared" si="15"/>
        <v>3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1</v>
      </c>
      <c r="AA23" s="34">
        <f t="shared" si="15"/>
        <v>4</v>
      </c>
      <c r="AB23" s="34">
        <f t="shared" si="15"/>
        <v>1</v>
      </c>
      <c r="AC23" s="34">
        <f t="shared" si="15"/>
        <v>21</v>
      </c>
      <c r="AD23" s="34">
        <f t="shared" si="15"/>
        <v>0</v>
      </c>
      <c r="AE23" s="31">
        <f t="shared" si="15"/>
        <v>22</v>
      </c>
      <c r="AF23" s="31">
        <f t="shared" si="15"/>
        <v>43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2</v>
      </c>
      <c r="P24" s="15">
        <f t="shared" si="1"/>
        <v>4</v>
      </c>
      <c r="R24" s="36" t="s">
        <v>148</v>
      </c>
      <c r="S24" s="34">
        <f>SUM(C66:C69)</f>
        <v>2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5</v>
      </c>
      <c r="AA24" s="34">
        <f t="shared" si="16"/>
        <v>0</v>
      </c>
      <c r="AB24" s="34">
        <f t="shared" si="16"/>
        <v>0</v>
      </c>
      <c r="AC24" s="34">
        <f t="shared" si="16"/>
        <v>6</v>
      </c>
      <c r="AD24" s="34">
        <f t="shared" si="16"/>
        <v>0</v>
      </c>
      <c r="AE24" s="31">
        <f t="shared" si="16"/>
        <v>8</v>
      </c>
      <c r="AF24" s="31">
        <f t="shared" si="16"/>
        <v>14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2</v>
      </c>
      <c r="P25" s="15">
        <f t="shared" si="1"/>
        <v>3</v>
      </c>
      <c r="R25" s="36" t="s">
        <v>149</v>
      </c>
      <c r="S25" s="34">
        <f>SUM(C70:C73)</f>
        <v>0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</v>
      </c>
      <c r="AD25" s="34">
        <f t="shared" si="17"/>
        <v>0</v>
      </c>
      <c r="AE25" s="31">
        <f t="shared" si="17"/>
        <v>2</v>
      </c>
      <c r="AF25" s="31">
        <f t="shared" si="17"/>
        <v>3</v>
      </c>
    </row>
    <row r="26" spans="2:32" ht="23.1" customHeight="1" x14ac:dyDescent="0.25">
      <c r="B26" s="45" t="s">
        <v>53</v>
      </c>
      <c r="C26" s="50">
        <v>1</v>
      </c>
      <c r="D26" s="50">
        <v>2</v>
      </c>
      <c r="E26" s="50">
        <v>0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</v>
      </c>
      <c r="N26" s="50">
        <v>0</v>
      </c>
      <c r="O26" s="15">
        <f t="shared" si="0"/>
        <v>6</v>
      </c>
      <c r="P26" s="15">
        <f t="shared" si="1"/>
        <v>9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2</v>
      </c>
      <c r="AD26" s="34">
        <f t="shared" si="18"/>
        <v>0</v>
      </c>
      <c r="AE26" s="31">
        <f t="shared" si="18"/>
        <v>8</v>
      </c>
      <c r="AF26" s="31">
        <f t="shared" si="18"/>
        <v>10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2</v>
      </c>
      <c r="P27" s="15">
        <f t="shared" si="1"/>
        <v>9</v>
      </c>
      <c r="R27" s="36" t="s">
        <v>151</v>
      </c>
      <c r="S27" s="34">
        <f>SUM(C78:C81)</f>
        <v>2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0</v>
      </c>
      <c r="AA27" s="34">
        <f t="shared" si="19"/>
        <v>8</v>
      </c>
      <c r="AB27" s="34">
        <f t="shared" si="19"/>
        <v>1</v>
      </c>
      <c r="AC27" s="34">
        <f t="shared" si="19"/>
        <v>2</v>
      </c>
      <c r="AD27" s="34">
        <f t="shared" si="19"/>
        <v>0</v>
      </c>
      <c r="AE27" s="31">
        <f t="shared" si="19"/>
        <v>17</v>
      </c>
      <c r="AF27" s="31">
        <f t="shared" si="19"/>
        <v>19</v>
      </c>
    </row>
    <row r="28" spans="2:32" ht="23.1" customHeight="1" x14ac:dyDescent="0.25">
      <c r="B28" s="45" t="s">
        <v>55</v>
      </c>
      <c r="C28" s="50">
        <v>2</v>
      </c>
      <c r="D28" s="50">
        <v>1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4</v>
      </c>
      <c r="P28" s="15">
        <f t="shared" si="1"/>
        <v>15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0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22</v>
      </c>
      <c r="N29" s="50">
        <v>0</v>
      </c>
      <c r="O29" s="15">
        <f t="shared" si="0"/>
        <v>4</v>
      </c>
      <c r="P29" s="15">
        <f t="shared" si="1"/>
        <v>26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</v>
      </c>
      <c r="AF29" s="31">
        <f t="shared" si="21"/>
        <v>3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1</v>
      </c>
      <c r="P30" s="15">
        <f t="shared" si="1"/>
        <v>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1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4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50">
        <v>13</v>
      </c>
      <c r="N31" s="50">
        <v>1</v>
      </c>
      <c r="O31" s="15">
        <f t="shared" si="0"/>
        <v>4</v>
      </c>
      <c r="P31" s="15">
        <f t="shared" si="1"/>
        <v>17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4</v>
      </c>
      <c r="AF31" s="31">
        <f t="shared" si="23"/>
        <v>4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1</v>
      </c>
      <c r="P32" s="15">
        <f t="shared" si="1"/>
        <v>6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3</v>
      </c>
      <c r="AF32" s="31">
        <f t="shared" si="24"/>
        <v>4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0</v>
      </c>
      <c r="P33" s="15">
        <f t="shared" si="1"/>
        <v>3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6</v>
      </c>
      <c r="AD33" s="34">
        <f t="shared" si="25"/>
        <v>0</v>
      </c>
      <c r="AE33" s="31">
        <f t="shared" si="25"/>
        <v>3</v>
      </c>
      <c r="AF33" s="31">
        <f t="shared" si="25"/>
        <v>9</v>
      </c>
    </row>
    <row r="34" spans="2:32" ht="23.1" customHeight="1" x14ac:dyDescent="0.25">
      <c r="B34" s="46" t="s">
        <v>61</v>
      </c>
      <c r="C34" s="50">
        <v>1</v>
      </c>
      <c r="D34" s="50">
        <v>1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3</v>
      </c>
      <c r="P34" s="15">
        <f t="shared" si="1"/>
        <v>17</v>
      </c>
      <c r="R34" s="38" t="s">
        <v>90</v>
      </c>
      <c r="S34" s="39">
        <f t="shared" ref="S34:AF34" si="26">MAX(S10:S12)</f>
        <v>3</v>
      </c>
      <c r="T34" s="39">
        <f t="shared" si="26"/>
        <v>0</v>
      </c>
      <c r="U34" s="39">
        <f t="shared" si="26"/>
        <v>1</v>
      </c>
      <c r="V34" s="39">
        <f t="shared" si="26"/>
        <v>5</v>
      </c>
      <c r="W34" s="39">
        <f t="shared" si="26"/>
        <v>0</v>
      </c>
      <c r="X34" s="39">
        <f t="shared" si="26"/>
        <v>1</v>
      </c>
      <c r="Y34" s="39">
        <f t="shared" si="26"/>
        <v>4</v>
      </c>
      <c r="Z34" s="39">
        <f t="shared" si="26"/>
        <v>3</v>
      </c>
      <c r="AA34" s="39">
        <f t="shared" si="26"/>
        <v>1</v>
      </c>
      <c r="AB34" s="39">
        <f t="shared" si="26"/>
        <v>0</v>
      </c>
      <c r="AC34" s="39">
        <f t="shared" si="26"/>
        <v>31</v>
      </c>
      <c r="AD34" s="39">
        <f t="shared" si="26"/>
        <v>0</v>
      </c>
      <c r="AE34" s="40">
        <f t="shared" si="26"/>
        <v>15</v>
      </c>
      <c r="AF34" s="40">
        <f t="shared" si="26"/>
        <v>42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1</v>
      </c>
      <c r="M35" s="50">
        <v>14</v>
      </c>
      <c r="N35" s="50">
        <v>0</v>
      </c>
      <c r="O35" s="15">
        <f t="shared" si="0"/>
        <v>4</v>
      </c>
      <c r="P35" s="15">
        <f t="shared" si="1"/>
        <v>18</v>
      </c>
      <c r="R35" s="38" t="s">
        <v>91</v>
      </c>
      <c r="S35" s="39">
        <f t="shared" ref="S35:AF35" si="27">MAX(S13:S18)</f>
        <v>4</v>
      </c>
      <c r="T35" s="39">
        <f t="shared" si="27"/>
        <v>3</v>
      </c>
      <c r="U35" s="39">
        <f t="shared" si="27"/>
        <v>6</v>
      </c>
      <c r="V35" s="39">
        <f t="shared" si="27"/>
        <v>7</v>
      </c>
      <c r="W35" s="39">
        <f t="shared" si="27"/>
        <v>0</v>
      </c>
      <c r="X35" s="39">
        <f t="shared" si="27"/>
        <v>2</v>
      </c>
      <c r="Y35" s="39">
        <f t="shared" si="27"/>
        <v>3</v>
      </c>
      <c r="Z35" s="39">
        <f t="shared" si="27"/>
        <v>2</v>
      </c>
      <c r="AA35" s="39">
        <f t="shared" si="27"/>
        <v>0</v>
      </c>
      <c r="AB35" s="39">
        <f t="shared" si="27"/>
        <v>3</v>
      </c>
      <c r="AC35" s="39">
        <f t="shared" si="27"/>
        <v>51</v>
      </c>
      <c r="AD35" s="39">
        <f t="shared" si="27"/>
        <v>1</v>
      </c>
      <c r="AE35" s="40">
        <f t="shared" si="27"/>
        <v>16</v>
      </c>
      <c r="AF35" s="40">
        <f t="shared" si="27"/>
        <v>65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0</v>
      </c>
      <c r="P36" s="15">
        <f t="shared" si="1"/>
        <v>14</v>
      </c>
      <c r="R36" s="38" t="s">
        <v>92</v>
      </c>
      <c r="S36" s="39">
        <f t="shared" ref="S36:AF36" si="28">MAX(S19:S21)</f>
        <v>3</v>
      </c>
      <c r="T36" s="39">
        <f t="shared" si="28"/>
        <v>6</v>
      </c>
      <c r="U36" s="39">
        <f t="shared" si="28"/>
        <v>3</v>
      </c>
      <c r="V36" s="39">
        <f t="shared" si="28"/>
        <v>11</v>
      </c>
      <c r="W36" s="39">
        <f t="shared" si="28"/>
        <v>0</v>
      </c>
      <c r="X36" s="39">
        <f t="shared" si="28"/>
        <v>0</v>
      </c>
      <c r="Y36" s="39">
        <f t="shared" si="28"/>
        <v>2</v>
      </c>
      <c r="Z36" s="39">
        <f t="shared" si="28"/>
        <v>3</v>
      </c>
      <c r="AA36" s="39">
        <f t="shared" si="28"/>
        <v>3</v>
      </c>
      <c r="AB36" s="39">
        <f t="shared" si="28"/>
        <v>2</v>
      </c>
      <c r="AC36" s="39">
        <f t="shared" si="28"/>
        <v>62</v>
      </c>
      <c r="AD36" s="39">
        <f t="shared" si="28"/>
        <v>0</v>
      </c>
      <c r="AE36" s="40">
        <f t="shared" si="28"/>
        <v>25</v>
      </c>
      <c r="AF36" s="40">
        <f t="shared" si="28"/>
        <v>77</v>
      </c>
    </row>
    <row r="37" spans="2:32" ht="23.1" customHeight="1" x14ac:dyDescent="0.25">
      <c r="B37" s="45" t="s">
        <v>64</v>
      </c>
      <c r="C37" s="50">
        <v>2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2</v>
      </c>
      <c r="M37" s="50">
        <v>9</v>
      </c>
      <c r="N37" s="50">
        <v>0</v>
      </c>
      <c r="O37" s="15">
        <f t="shared" si="0"/>
        <v>7</v>
      </c>
      <c r="P37" s="15">
        <f t="shared" si="1"/>
        <v>16</v>
      </c>
      <c r="R37" s="37" t="s">
        <v>85</v>
      </c>
      <c r="S37" s="35">
        <f t="shared" ref="S37:AF37" si="29">SUM(S10:S12)</f>
        <v>7</v>
      </c>
      <c r="T37" s="16">
        <f t="shared" si="29"/>
        <v>0</v>
      </c>
      <c r="U37" s="16">
        <f t="shared" si="29"/>
        <v>3</v>
      </c>
      <c r="V37" s="16">
        <f t="shared" si="29"/>
        <v>11</v>
      </c>
      <c r="W37" s="16">
        <f t="shared" si="29"/>
        <v>0</v>
      </c>
      <c r="X37" s="16">
        <f t="shared" si="29"/>
        <v>1</v>
      </c>
      <c r="Y37" s="16">
        <f t="shared" si="29"/>
        <v>5</v>
      </c>
      <c r="Z37" s="16">
        <f t="shared" si="29"/>
        <v>4</v>
      </c>
      <c r="AA37" s="16">
        <f t="shared" si="29"/>
        <v>1</v>
      </c>
      <c r="AB37" s="16">
        <f t="shared" si="29"/>
        <v>0</v>
      </c>
      <c r="AC37" s="16">
        <f t="shared" si="29"/>
        <v>55</v>
      </c>
      <c r="AD37" s="16">
        <f t="shared" si="29"/>
        <v>0</v>
      </c>
      <c r="AE37" s="32">
        <f t="shared" si="29"/>
        <v>32</v>
      </c>
      <c r="AF37" s="32">
        <f t="shared" si="29"/>
        <v>87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4</v>
      </c>
      <c r="F38" s="50">
        <v>0</v>
      </c>
      <c r="G38" s="50">
        <v>0</v>
      </c>
      <c r="H38" s="50">
        <v>1</v>
      </c>
      <c r="I38" s="50">
        <v>0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5</v>
      </c>
      <c r="P38" s="15">
        <f t="shared" si="1"/>
        <v>19</v>
      </c>
      <c r="R38" s="28" t="s">
        <v>86</v>
      </c>
      <c r="S38" s="16">
        <f t="shared" ref="S38:AF38" si="30">SUM(S13:S18)</f>
        <v>12</v>
      </c>
      <c r="T38" s="16">
        <f t="shared" si="30"/>
        <v>7</v>
      </c>
      <c r="U38" s="16">
        <f t="shared" si="30"/>
        <v>11</v>
      </c>
      <c r="V38" s="16">
        <f t="shared" si="30"/>
        <v>22</v>
      </c>
      <c r="W38" s="16">
        <f t="shared" si="30"/>
        <v>0</v>
      </c>
      <c r="X38" s="16">
        <f t="shared" si="30"/>
        <v>3</v>
      </c>
      <c r="Y38" s="16">
        <f t="shared" si="30"/>
        <v>7</v>
      </c>
      <c r="Z38" s="16">
        <f t="shared" si="30"/>
        <v>4</v>
      </c>
      <c r="AA38" s="16">
        <f t="shared" si="30"/>
        <v>0</v>
      </c>
      <c r="AB38" s="16">
        <f t="shared" si="30"/>
        <v>6</v>
      </c>
      <c r="AC38" s="16">
        <f t="shared" si="30"/>
        <v>205</v>
      </c>
      <c r="AD38" s="16">
        <f t="shared" si="30"/>
        <v>1</v>
      </c>
      <c r="AE38" s="32">
        <f t="shared" si="30"/>
        <v>73</v>
      </c>
      <c r="AF38" s="32">
        <f t="shared" si="30"/>
        <v>278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1</v>
      </c>
      <c r="I39" s="50">
        <v>0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2</v>
      </c>
      <c r="P39" s="15">
        <f t="shared" si="1"/>
        <v>12</v>
      </c>
      <c r="R39" s="29" t="s">
        <v>87</v>
      </c>
      <c r="S39" s="16">
        <f t="shared" ref="S39:AF39" si="31">SUM(S19:S21)</f>
        <v>6</v>
      </c>
      <c r="T39" s="16">
        <f t="shared" si="31"/>
        <v>8</v>
      </c>
      <c r="U39" s="16">
        <f t="shared" si="31"/>
        <v>6</v>
      </c>
      <c r="V39" s="16">
        <f t="shared" si="31"/>
        <v>19</v>
      </c>
      <c r="W39" s="16">
        <f t="shared" si="31"/>
        <v>0</v>
      </c>
      <c r="X39" s="16">
        <f t="shared" si="31"/>
        <v>0</v>
      </c>
      <c r="Y39" s="16">
        <f t="shared" si="31"/>
        <v>5</v>
      </c>
      <c r="Z39" s="16">
        <f t="shared" si="31"/>
        <v>5</v>
      </c>
      <c r="AA39" s="16">
        <f t="shared" si="31"/>
        <v>3</v>
      </c>
      <c r="AB39" s="16">
        <f t="shared" si="31"/>
        <v>5</v>
      </c>
      <c r="AC39" s="16">
        <f t="shared" si="31"/>
        <v>142</v>
      </c>
      <c r="AD39" s="16">
        <f t="shared" si="31"/>
        <v>0</v>
      </c>
      <c r="AE39" s="32">
        <f t="shared" si="31"/>
        <v>57</v>
      </c>
      <c r="AF39" s="32">
        <f t="shared" si="31"/>
        <v>199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4</v>
      </c>
      <c r="P40" s="15">
        <f t="shared" si="1"/>
        <v>12</v>
      </c>
      <c r="R40" s="5" t="s">
        <v>17</v>
      </c>
      <c r="S40" s="16">
        <f t="shared" ref="S40:AF40" si="32">SUM(S10:S21)</f>
        <v>25</v>
      </c>
      <c r="T40" s="16">
        <f t="shared" si="32"/>
        <v>15</v>
      </c>
      <c r="U40" s="16">
        <f t="shared" si="32"/>
        <v>20</v>
      </c>
      <c r="V40" s="16">
        <f t="shared" si="32"/>
        <v>52</v>
      </c>
      <c r="W40" s="16">
        <f t="shared" si="32"/>
        <v>0</v>
      </c>
      <c r="X40" s="16">
        <f t="shared" si="32"/>
        <v>4</v>
      </c>
      <c r="Y40" s="16">
        <f t="shared" si="32"/>
        <v>17</v>
      </c>
      <c r="Z40" s="16">
        <f t="shared" si="32"/>
        <v>13</v>
      </c>
      <c r="AA40" s="16">
        <f t="shared" si="32"/>
        <v>4</v>
      </c>
      <c r="AB40" s="16">
        <f t="shared" si="32"/>
        <v>11</v>
      </c>
      <c r="AC40" s="16">
        <f t="shared" si="32"/>
        <v>402</v>
      </c>
      <c r="AD40" s="16">
        <f t="shared" si="32"/>
        <v>1</v>
      </c>
      <c r="AE40" s="32">
        <f t="shared" si="32"/>
        <v>162</v>
      </c>
      <c r="AF40" s="32">
        <f t="shared" si="32"/>
        <v>564</v>
      </c>
    </row>
    <row r="41" spans="2:32" ht="23.1" customHeight="1" x14ac:dyDescent="0.25">
      <c r="B41" s="45" t="s">
        <v>68</v>
      </c>
      <c r="C41" s="50">
        <v>0</v>
      </c>
      <c r="D41" s="50">
        <v>1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3</v>
      </c>
      <c r="P41" s="15">
        <f t="shared" si="1"/>
        <v>8</v>
      </c>
      <c r="R41" s="5" t="s">
        <v>159</v>
      </c>
      <c r="S41" s="16">
        <f>SUM(S10:S33)</f>
        <v>40</v>
      </c>
      <c r="T41" s="16">
        <f t="shared" ref="T41:AF41" si="33">SUM(T10:T33)</f>
        <v>19</v>
      </c>
      <c r="U41" s="16">
        <f t="shared" si="33"/>
        <v>24</v>
      </c>
      <c r="V41" s="16">
        <f t="shared" si="33"/>
        <v>67</v>
      </c>
      <c r="W41" s="16">
        <f t="shared" si="33"/>
        <v>0</v>
      </c>
      <c r="X41" s="16">
        <f t="shared" si="33"/>
        <v>4</v>
      </c>
      <c r="Y41" s="16">
        <f t="shared" si="33"/>
        <v>48</v>
      </c>
      <c r="Z41" s="16">
        <f t="shared" si="33"/>
        <v>25</v>
      </c>
      <c r="AA41" s="16">
        <f t="shared" si="33"/>
        <v>22</v>
      </c>
      <c r="AB41" s="16">
        <f t="shared" si="33"/>
        <v>13</v>
      </c>
      <c r="AC41" s="16">
        <f t="shared" si="33"/>
        <v>482</v>
      </c>
      <c r="AD41" s="16">
        <f t="shared" si="33"/>
        <v>1</v>
      </c>
      <c r="AE41" s="32">
        <f t="shared" si="33"/>
        <v>263</v>
      </c>
      <c r="AF41" s="32">
        <f t="shared" si="33"/>
        <v>745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2</v>
      </c>
      <c r="G42" s="50">
        <v>0</v>
      </c>
      <c r="H42" s="50">
        <v>1</v>
      </c>
      <c r="I42" s="50">
        <v>1</v>
      </c>
      <c r="J42" s="50">
        <v>1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5</v>
      </c>
      <c r="P42" s="15">
        <f t="shared" si="1"/>
        <v>19</v>
      </c>
      <c r="R42" s="5" t="s">
        <v>160</v>
      </c>
      <c r="S42" s="48">
        <f>S41/S40</f>
        <v>1.6</v>
      </c>
      <c r="T42" s="48">
        <f t="shared" ref="T42:AF42" si="34">T41/T40</f>
        <v>1.2666666666666666</v>
      </c>
      <c r="U42" s="48">
        <f t="shared" si="34"/>
        <v>1.2</v>
      </c>
      <c r="V42" s="48">
        <f t="shared" si="34"/>
        <v>1.2884615384615385</v>
      </c>
      <c r="W42" s="48" t="e">
        <f t="shared" si="34"/>
        <v>#DIV/0!</v>
      </c>
      <c r="X42" s="48">
        <f t="shared" si="34"/>
        <v>1</v>
      </c>
      <c r="Y42" s="48">
        <f t="shared" si="34"/>
        <v>2.8235294117647061</v>
      </c>
      <c r="Z42" s="48">
        <f t="shared" si="34"/>
        <v>1.9230769230769231</v>
      </c>
      <c r="AA42" s="48">
        <f t="shared" si="34"/>
        <v>5.5</v>
      </c>
      <c r="AB42" s="48">
        <f t="shared" si="34"/>
        <v>1.1818181818181819</v>
      </c>
      <c r="AC42" s="48">
        <f t="shared" si="34"/>
        <v>1.1990049751243781</v>
      </c>
      <c r="AD42" s="48">
        <f t="shared" si="34"/>
        <v>1</v>
      </c>
      <c r="AE42" s="48">
        <f t="shared" si="34"/>
        <v>1.6234567901234569</v>
      </c>
      <c r="AF42" s="48">
        <f t="shared" si="34"/>
        <v>1.3209219858156029</v>
      </c>
    </row>
    <row r="43" spans="2:32" ht="23.1" customHeight="1" x14ac:dyDescent="0.25">
      <c r="B43" s="45" t="s">
        <v>70</v>
      </c>
      <c r="C43" s="50">
        <v>1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2</v>
      </c>
      <c r="M43" s="50">
        <v>9</v>
      </c>
      <c r="N43" s="50">
        <v>0</v>
      </c>
      <c r="O43" s="15">
        <f t="shared" si="0"/>
        <v>7</v>
      </c>
      <c r="P43" s="15">
        <f t="shared" si="1"/>
        <v>16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3</v>
      </c>
      <c r="P44" s="15">
        <f t="shared" si="1"/>
        <v>8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1</v>
      </c>
      <c r="P45" s="15">
        <f t="shared" si="1"/>
        <v>13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0</v>
      </c>
      <c r="P46" s="15">
        <f t="shared" si="1"/>
        <v>12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21</v>
      </c>
      <c r="N47" s="50">
        <v>0</v>
      </c>
      <c r="O47" s="15">
        <f t="shared" si="0"/>
        <v>4</v>
      </c>
      <c r="P47" s="15">
        <f t="shared" si="1"/>
        <v>25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4</v>
      </c>
      <c r="P48" s="15">
        <f t="shared" si="1"/>
        <v>20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2</v>
      </c>
      <c r="M49" s="50">
        <v>13</v>
      </c>
      <c r="N49" s="50">
        <v>0</v>
      </c>
      <c r="O49" s="15">
        <f t="shared" si="0"/>
        <v>4</v>
      </c>
      <c r="P49" s="15">
        <f t="shared" si="1"/>
        <v>17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1</v>
      </c>
      <c r="E50" s="50">
        <v>0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0</v>
      </c>
      <c r="M50" s="50">
        <v>8</v>
      </c>
      <c r="N50" s="50">
        <v>0</v>
      </c>
      <c r="O50" s="15">
        <f t="shared" si="0"/>
        <v>5</v>
      </c>
      <c r="P50" s="15">
        <f t="shared" si="1"/>
        <v>13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9</v>
      </c>
      <c r="N51" s="50">
        <v>0</v>
      </c>
      <c r="O51" s="15">
        <f t="shared" si="0"/>
        <v>2</v>
      </c>
      <c r="P51" s="15">
        <f t="shared" si="1"/>
        <v>11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2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1</v>
      </c>
      <c r="M52" s="50">
        <v>5</v>
      </c>
      <c r="N52" s="50">
        <v>0</v>
      </c>
      <c r="O52" s="15">
        <f t="shared" si="0"/>
        <v>6</v>
      </c>
      <c r="P52" s="15">
        <f t="shared" si="1"/>
        <v>11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3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6</v>
      </c>
      <c r="N53" s="50">
        <v>0</v>
      </c>
      <c r="O53" s="15">
        <f t="shared" si="0"/>
        <v>7</v>
      </c>
      <c r="P53" s="15">
        <f t="shared" si="1"/>
        <v>13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1</v>
      </c>
      <c r="E54" s="50">
        <v>0</v>
      </c>
      <c r="F54" s="50">
        <v>4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1</v>
      </c>
      <c r="M54" s="50">
        <v>13</v>
      </c>
      <c r="N54" s="50">
        <v>0</v>
      </c>
      <c r="O54" s="15">
        <f t="shared" si="0"/>
        <v>6</v>
      </c>
      <c r="P54" s="15">
        <f t="shared" si="1"/>
        <v>19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13</v>
      </c>
      <c r="N55" s="50">
        <v>0</v>
      </c>
      <c r="O55" s="15">
        <f t="shared" si="0"/>
        <v>3</v>
      </c>
      <c r="P55" s="15">
        <f t="shared" si="1"/>
        <v>16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3</v>
      </c>
      <c r="P56" s="15">
        <f t="shared" si="1"/>
        <v>16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3</v>
      </c>
      <c r="F57" s="50">
        <v>4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1</v>
      </c>
      <c r="M57" s="50">
        <v>13</v>
      </c>
      <c r="N57" s="50">
        <v>0</v>
      </c>
      <c r="O57" s="15">
        <f t="shared" si="0"/>
        <v>13</v>
      </c>
      <c r="P57" s="15">
        <f t="shared" si="1"/>
        <v>26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2</v>
      </c>
      <c r="G58" s="50">
        <v>0</v>
      </c>
      <c r="H58" s="50">
        <v>0</v>
      </c>
      <c r="I58" s="50">
        <v>1</v>
      </c>
      <c r="J58" s="50">
        <v>1</v>
      </c>
      <c r="K58" s="50">
        <v>1</v>
      </c>
      <c r="L58" s="50">
        <v>0</v>
      </c>
      <c r="M58" s="50">
        <v>10</v>
      </c>
      <c r="N58" s="50">
        <v>0</v>
      </c>
      <c r="O58" s="15">
        <f t="shared" si="0"/>
        <v>7</v>
      </c>
      <c r="P58" s="15">
        <f t="shared" si="1"/>
        <v>17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1</v>
      </c>
      <c r="F59" s="50">
        <v>1</v>
      </c>
      <c r="G59" s="50">
        <v>0</v>
      </c>
      <c r="H59" s="50">
        <v>0</v>
      </c>
      <c r="I59" s="50">
        <v>4</v>
      </c>
      <c r="J59" s="50">
        <v>0</v>
      </c>
      <c r="K59" s="50">
        <v>0</v>
      </c>
      <c r="L59" s="50">
        <v>0</v>
      </c>
      <c r="M59" s="50">
        <v>14</v>
      </c>
      <c r="N59" s="50">
        <v>0</v>
      </c>
      <c r="O59" s="15">
        <f t="shared" si="0"/>
        <v>8</v>
      </c>
      <c r="P59" s="15">
        <f t="shared" si="1"/>
        <v>22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2</v>
      </c>
      <c r="G60" s="50">
        <v>0</v>
      </c>
      <c r="H60" s="50">
        <v>0</v>
      </c>
      <c r="I60" s="50">
        <v>1</v>
      </c>
      <c r="J60" s="50">
        <v>1</v>
      </c>
      <c r="K60" s="50">
        <v>1</v>
      </c>
      <c r="L60" s="50">
        <v>0</v>
      </c>
      <c r="M60" s="50">
        <v>6</v>
      </c>
      <c r="N60" s="50">
        <v>0</v>
      </c>
      <c r="O60" s="15">
        <f t="shared" si="0"/>
        <v>6</v>
      </c>
      <c r="P60" s="15">
        <f t="shared" si="1"/>
        <v>12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2</v>
      </c>
      <c r="G61" s="50">
        <v>0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7</v>
      </c>
      <c r="N61" s="50">
        <v>0</v>
      </c>
      <c r="O61" s="15">
        <f t="shared" si="0"/>
        <v>6</v>
      </c>
      <c r="P61" s="15">
        <f t="shared" si="1"/>
        <v>13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1</v>
      </c>
      <c r="E62" s="50">
        <v>1</v>
      </c>
      <c r="F62" s="50">
        <v>2</v>
      </c>
      <c r="G62" s="50">
        <v>0</v>
      </c>
      <c r="H62" s="50">
        <v>0</v>
      </c>
      <c r="I62" s="50">
        <v>1</v>
      </c>
      <c r="J62" s="50">
        <v>0</v>
      </c>
      <c r="K62" s="50">
        <v>1</v>
      </c>
      <c r="L62" s="50">
        <v>0</v>
      </c>
      <c r="M62" s="50">
        <v>7</v>
      </c>
      <c r="N62" s="50">
        <v>0</v>
      </c>
      <c r="O62" s="15">
        <f t="shared" si="0"/>
        <v>9</v>
      </c>
      <c r="P62" s="15">
        <f t="shared" si="1"/>
        <v>16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1</v>
      </c>
      <c r="E63" s="50">
        <v>1</v>
      </c>
      <c r="F63" s="50">
        <v>0</v>
      </c>
      <c r="G63" s="50">
        <v>0</v>
      </c>
      <c r="H63" s="50">
        <v>0</v>
      </c>
      <c r="I63" s="50">
        <v>2</v>
      </c>
      <c r="J63" s="50">
        <v>0</v>
      </c>
      <c r="K63" s="50">
        <v>2</v>
      </c>
      <c r="L63" s="50">
        <v>1</v>
      </c>
      <c r="M63" s="50">
        <v>9</v>
      </c>
      <c r="N63" s="50">
        <v>0</v>
      </c>
      <c r="O63" s="15">
        <f t="shared" si="0"/>
        <v>9</v>
      </c>
      <c r="P63" s="15">
        <f t="shared" si="1"/>
        <v>18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1</v>
      </c>
      <c r="G64" s="50">
        <v>0</v>
      </c>
      <c r="H64" s="50">
        <v>0</v>
      </c>
      <c r="I64" s="50">
        <v>1</v>
      </c>
      <c r="J64" s="50">
        <v>1</v>
      </c>
      <c r="K64" s="50">
        <v>0</v>
      </c>
      <c r="L64" s="50">
        <v>0</v>
      </c>
      <c r="M64" s="50">
        <v>4</v>
      </c>
      <c r="N64" s="50">
        <v>0</v>
      </c>
      <c r="O64" s="15">
        <f t="shared" si="0"/>
        <v>3</v>
      </c>
      <c r="P64" s="15">
        <f t="shared" si="1"/>
        <v>7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1</v>
      </c>
      <c r="L65" s="50">
        <v>0</v>
      </c>
      <c r="M65" s="50">
        <v>1</v>
      </c>
      <c r="N65" s="50">
        <v>0</v>
      </c>
      <c r="O65" s="15">
        <f t="shared" si="0"/>
        <v>1</v>
      </c>
      <c r="P65" s="15">
        <f t="shared" si="1"/>
        <v>2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2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4</v>
      </c>
      <c r="P66" s="15">
        <f t="shared" si="1"/>
        <v>4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2</v>
      </c>
      <c r="N67" s="50">
        <v>0</v>
      </c>
      <c r="O67" s="15">
        <f t="shared" si="0"/>
        <v>0</v>
      </c>
      <c r="P67" s="15">
        <f t="shared" si="1"/>
        <v>2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2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2</v>
      </c>
      <c r="P68" s="15">
        <f t="shared" si="1"/>
        <v>4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1</v>
      </c>
      <c r="J69" s="50">
        <v>1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2</v>
      </c>
      <c r="P69" s="15">
        <f t="shared" si="1"/>
        <v>4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2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1</v>
      </c>
      <c r="F74" s="50">
        <v>0</v>
      </c>
      <c r="G74" s="50">
        <v>0</v>
      </c>
      <c r="H74" s="50">
        <v>0</v>
      </c>
      <c r="I74" s="50">
        <v>0</v>
      </c>
      <c r="J74" s="50">
        <v>1</v>
      </c>
      <c r="K74" s="50">
        <v>1</v>
      </c>
      <c r="L74" s="50">
        <v>0</v>
      </c>
      <c r="M74" s="50">
        <v>1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2</v>
      </c>
      <c r="P75" s="15">
        <f t="shared" si="36"/>
        <v>2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2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1</v>
      </c>
      <c r="M78" s="50">
        <v>2</v>
      </c>
      <c r="N78" s="50">
        <v>0</v>
      </c>
      <c r="O78" s="15">
        <f t="shared" si="35"/>
        <v>3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3</v>
      </c>
      <c r="L79" s="50">
        <v>0</v>
      </c>
      <c r="M79" s="50">
        <v>0</v>
      </c>
      <c r="N79" s="50"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1</v>
      </c>
      <c r="E80" s="50">
        <v>0</v>
      </c>
      <c r="F80" s="50">
        <v>0</v>
      </c>
      <c r="G80" s="50">
        <v>0</v>
      </c>
      <c r="H80" s="50">
        <v>0</v>
      </c>
      <c r="I80" s="50">
        <v>3</v>
      </c>
      <c r="J80" s="50">
        <v>0</v>
      </c>
      <c r="K80" s="50">
        <v>2</v>
      </c>
      <c r="L80" s="50">
        <v>0</v>
      </c>
      <c r="M80" s="50">
        <v>0</v>
      </c>
      <c r="N80" s="50">
        <v>0</v>
      </c>
      <c r="O80" s="15">
        <f t="shared" si="35"/>
        <v>7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3</v>
      </c>
      <c r="L81" s="50">
        <v>0</v>
      </c>
      <c r="M81" s="50">
        <v>0</v>
      </c>
      <c r="N81" s="50">
        <v>0</v>
      </c>
      <c r="O81" s="15">
        <f t="shared" si="35"/>
        <v>3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1</v>
      </c>
      <c r="L93" s="50">
        <v>0</v>
      </c>
      <c r="M93" s="50">
        <v>1</v>
      </c>
      <c r="N93" s="50">
        <v>0</v>
      </c>
      <c r="O93" s="15">
        <f t="shared" si="35"/>
        <v>1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2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1</v>
      </c>
      <c r="L102" s="50">
        <v>0</v>
      </c>
      <c r="M102" s="50">
        <v>1</v>
      </c>
      <c r="N102" s="50">
        <v>0</v>
      </c>
      <c r="O102" s="15">
        <f t="shared" si="35"/>
        <v>2</v>
      </c>
      <c r="P102" s="15">
        <f t="shared" si="36"/>
        <v>3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0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1</v>
      </c>
      <c r="L104" s="50">
        <v>0</v>
      </c>
      <c r="M104" s="50">
        <v>2</v>
      </c>
      <c r="N104" s="50">
        <v>0</v>
      </c>
      <c r="O104" s="15">
        <f t="shared" si="35"/>
        <v>1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</v>
      </c>
      <c r="N105" s="50">
        <v>0</v>
      </c>
      <c r="O105" s="15">
        <f t="shared" si="35"/>
        <v>0</v>
      </c>
      <c r="P105" s="15">
        <f t="shared" si="36"/>
        <v>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40</v>
      </c>
      <c r="D106" s="16">
        <f t="shared" ref="D106:P106" si="37">SUM(D10:D105)</f>
        <v>19</v>
      </c>
      <c r="E106" s="16">
        <f t="shared" si="37"/>
        <v>24</v>
      </c>
      <c r="F106" s="16">
        <f t="shared" si="37"/>
        <v>67</v>
      </c>
      <c r="G106" s="16">
        <f t="shared" si="37"/>
        <v>0</v>
      </c>
      <c r="H106" s="16">
        <f t="shared" si="37"/>
        <v>4</v>
      </c>
      <c r="I106" s="16">
        <f t="shared" si="37"/>
        <v>48</v>
      </c>
      <c r="J106" s="16">
        <f t="shared" si="37"/>
        <v>25</v>
      </c>
      <c r="K106" s="16">
        <f t="shared" si="37"/>
        <v>22</v>
      </c>
      <c r="L106" s="16">
        <f t="shared" si="37"/>
        <v>13</v>
      </c>
      <c r="M106" s="16">
        <f t="shared" si="37"/>
        <v>482</v>
      </c>
      <c r="N106" s="16">
        <f t="shared" si="37"/>
        <v>1</v>
      </c>
      <c r="O106" s="16">
        <f t="shared" si="37"/>
        <v>263</v>
      </c>
      <c r="P106" s="16">
        <f t="shared" si="37"/>
        <v>745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5.3691275167785234E-2</v>
      </c>
      <c r="D107" s="43">
        <f t="shared" si="38"/>
        <v>2.5503355704697986E-2</v>
      </c>
      <c r="E107" s="43">
        <f t="shared" si="38"/>
        <v>3.2214765100671144E-2</v>
      </c>
      <c r="F107" s="43">
        <f t="shared" si="38"/>
        <v>8.9932885906040275E-2</v>
      </c>
      <c r="G107" s="43">
        <f t="shared" si="38"/>
        <v>0</v>
      </c>
      <c r="H107" s="43">
        <f t="shared" si="38"/>
        <v>5.3691275167785232E-3</v>
      </c>
      <c r="I107" s="43">
        <f t="shared" si="38"/>
        <v>6.4429530201342289E-2</v>
      </c>
      <c r="J107" s="43">
        <f t="shared" si="38"/>
        <v>3.3557046979865772E-2</v>
      </c>
      <c r="K107" s="43">
        <f t="shared" si="38"/>
        <v>2.9530201342281879E-2</v>
      </c>
      <c r="L107" s="43">
        <f t="shared" si="38"/>
        <v>1.74496644295302E-2</v>
      </c>
      <c r="M107" s="43">
        <f t="shared" si="38"/>
        <v>0.6469798657718121</v>
      </c>
      <c r="N107" s="43">
        <f t="shared" si="38"/>
        <v>1.3422818791946308E-3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0.15209125475285171</v>
      </c>
      <c r="D108" s="44">
        <f t="shared" ref="D108:N108" si="39">D106/$O$106</f>
        <v>7.2243346007604556E-2</v>
      </c>
      <c r="E108" s="44">
        <f t="shared" si="39"/>
        <v>9.125475285171103E-2</v>
      </c>
      <c r="F108" s="44">
        <f t="shared" si="39"/>
        <v>0.25475285171102663</v>
      </c>
      <c r="G108" s="44">
        <f t="shared" si="39"/>
        <v>0</v>
      </c>
      <c r="H108" s="44">
        <f t="shared" si="39"/>
        <v>1.5209125475285171E-2</v>
      </c>
      <c r="I108" s="44">
        <f t="shared" si="39"/>
        <v>0.18250950570342206</v>
      </c>
      <c r="J108" s="44">
        <f t="shared" si="39"/>
        <v>9.5057034220532313E-2</v>
      </c>
      <c r="K108" s="44">
        <f t="shared" si="39"/>
        <v>8.3650190114068435E-2</v>
      </c>
      <c r="L108" s="44">
        <f t="shared" si="39"/>
        <v>4.9429657794676805E-2</v>
      </c>
      <c r="M108" s="44"/>
      <c r="N108" s="44">
        <f t="shared" si="39"/>
        <v>3.8022813688212928E-3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24" sqref="G24:G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180</v>
      </c>
      <c r="E5" s="3"/>
      <c r="F5" s="41" t="s">
        <v>1</v>
      </c>
      <c r="G5" s="59" t="str">
        <f>'20.10 GALIRAYA-KAYUNGA'!G5:H5</f>
        <v>KYANYA</v>
      </c>
      <c r="H5" s="60"/>
      <c r="I5" s="14"/>
      <c r="J5" s="2" t="s">
        <v>5</v>
      </c>
      <c r="K5" s="59" t="s">
        <v>172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KAYUNGA-GALIRAYA'!D6:E6</f>
        <v>KAYUNGA</v>
      </c>
      <c r="E6" s="60"/>
      <c r="F6" s="2" t="s">
        <v>2</v>
      </c>
      <c r="G6" s="59" t="str">
        <f>'17.10 KAYUNGA-GALIRAYA'!G6:H6</f>
        <v>GALIRAYA</v>
      </c>
      <c r="H6" s="60"/>
      <c r="J6" s="2" t="s">
        <v>21</v>
      </c>
      <c r="K6" s="59" t="str">
        <f>'20.10 GALIRAYA-KAYUNGA'!K6:L6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2</v>
      </c>
      <c r="J10" s="50">
        <v>1</v>
      </c>
      <c r="K10" s="50">
        <v>1</v>
      </c>
      <c r="L10" s="50">
        <v>0</v>
      </c>
      <c r="M10" s="50">
        <v>1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4</v>
      </c>
      <c r="AA10" s="17">
        <f t="shared" si="2"/>
        <v>6</v>
      </c>
      <c r="AB10" s="17">
        <f t="shared" si="2"/>
        <v>0</v>
      </c>
      <c r="AC10" s="17">
        <f t="shared" si="2"/>
        <v>22</v>
      </c>
      <c r="AD10" s="17">
        <f t="shared" si="2"/>
        <v>0</v>
      </c>
      <c r="AE10" s="31">
        <f t="shared" si="2"/>
        <v>18</v>
      </c>
      <c r="AF10" s="31">
        <f t="shared" si="2"/>
        <v>40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1</v>
      </c>
      <c r="K11" s="50">
        <v>3</v>
      </c>
      <c r="L11" s="50">
        <v>0</v>
      </c>
      <c r="M11" s="50">
        <v>7</v>
      </c>
      <c r="N11" s="50">
        <v>0</v>
      </c>
      <c r="O11" s="15">
        <f t="shared" si="0"/>
        <v>6</v>
      </c>
      <c r="P11" s="15">
        <f t="shared" si="1"/>
        <v>13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23</v>
      </c>
      <c r="AD11" s="17">
        <f t="shared" si="3"/>
        <v>0</v>
      </c>
      <c r="AE11" s="31">
        <f t="shared" si="3"/>
        <v>13</v>
      </c>
      <c r="AF11" s="31">
        <f t="shared" si="3"/>
        <v>36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1</v>
      </c>
      <c r="L12" s="50">
        <v>0</v>
      </c>
      <c r="M12" s="50">
        <v>8</v>
      </c>
      <c r="N12" s="50">
        <v>0</v>
      </c>
      <c r="O12" s="15">
        <f t="shared" si="0"/>
        <v>2</v>
      </c>
      <c r="P12" s="15">
        <f t="shared" si="1"/>
        <v>10</v>
      </c>
      <c r="R12" s="1" t="s">
        <v>8</v>
      </c>
      <c r="S12" s="17">
        <f t="shared" ref="S12:AF12" si="4">SUM(C18:C21)</f>
        <v>4</v>
      </c>
      <c r="T12" s="17">
        <f t="shared" si="4"/>
        <v>1</v>
      </c>
      <c r="U12" s="17">
        <f t="shared" si="4"/>
        <v>0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48</v>
      </c>
      <c r="AD12" s="17">
        <f t="shared" si="4"/>
        <v>0</v>
      </c>
      <c r="AE12" s="31">
        <f t="shared" si="4"/>
        <v>16</v>
      </c>
      <c r="AF12" s="31">
        <f t="shared" si="4"/>
        <v>64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1</v>
      </c>
      <c r="K13" s="50">
        <v>1</v>
      </c>
      <c r="L13" s="50">
        <v>0</v>
      </c>
      <c r="M13" s="50">
        <v>6</v>
      </c>
      <c r="N13" s="50">
        <v>0</v>
      </c>
      <c r="O13" s="15">
        <f t="shared" si="0"/>
        <v>4</v>
      </c>
      <c r="P13" s="15">
        <f t="shared" si="1"/>
        <v>10</v>
      </c>
      <c r="R13" s="1" t="s">
        <v>9</v>
      </c>
      <c r="S13" s="17">
        <f t="shared" ref="S13:AF13" si="5">SUM(C22:C25)</f>
        <v>7</v>
      </c>
      <c r="T13" s="17">
        <f t="shared" si="5"/>
        <v>2</v>
      </c>
      <c r="U13" s="17">
        <f t="shared" si="5"/>
        <v>3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45</v>
      </c>
      <c r="AD13" s="17">
        <f t="shared" si="5"/>
        <v>0</v>
      </c>
      <c r="AE13" s="31">
        <f t="shared" si="5"/>
        <v>23</v>
      </c>
      <c r="AF13" s="31">
        <f t="shared" si="5"/>
        <v>68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7</v>
      </c>
      <c r="N14" s="50">
        <v>0</v>
      </c>
      <c r="O14" s="15">
        <f t="shared" si="0"/>
        <v>4</v>
      </c>
      <c r="P14" s="15">
        <f t="shared" si="1"/>
        <v>11</v>
      </c>
      <c r="R14" s="1" t="s">
        <v>10</v>
      </c>
      <c r="S14" s="17">
        <f t="shared" ref="S14:AF14" si="6">SUM(C26:C29)</f>
        <v>5</v>
      </c>
      <c r="T14" s="17">
        <f t="shared" si="6"/>
        <v>0</v>
      </c>
      <c r="U14" s="17">
        <f t="shared" si="6"/>
        <v>2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1</v>
      </c>
      <c r="AB14" s="17">
        <f t="shared" si="6"/>
        <v>1</v>
      </c>
      <c r="AC14" s="17">
        <f t="shared" si="6"/>
        <v>55</v>
      </c>
      <c r="AD14" s="17">
        <f t="shared" si="6"/>
        <v>0</v>
      </c>
      <c r="AE14" s="31">
        <f t="shared" si="6"/>
        <v>17</v>
      </c>
      <c r="AF14" s="31">
        <f t="shared" si="6"/>
        <v>72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1</v>
      </c>
      <c r="L15" s="50">
        <v>0</v>
      </c>
      <c r="M15" s="50">
        <v>3</v>
      </c>
      <c r="N15" s="50">
        <v>0</v>
      </c>
      <c r="O15" s="15">
        <f t="shared" si="0"/>
        <v>3</v>
      </c>
      <c r="P15" s="15">
        <f t="shared" si="1"/>
        <v>6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2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2</v>
      </c>
      <c r="AA15" s="17">
        <f t="shared" si="7"/>
        <v>4</v>
      </c>
      <c r="AB15" s="17">
        <f t="shared" si="7"/>
        <v>0</v>
      </c>
      <c r="AC15" s="17">
        <f t="shared" si="7"/>
        <v>35</v>
      </c>
      <c r="AD15" s="17">
        <f t="shared" si="7"/>
        <v>0</v>
      </c>
      <c r="AE15" s="31">
        <f t="shared" si="7"/>
        <v>20</v>
      </c>
      <c r="AF15" s="31">
        <f t="shared" si="7"/>
        <v>55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1</v>
      </c>
      <c r="P16" s="15">
        <f t="shared" si="1"/>
        <v>5</v>
      </c>
      <c r="R16" s="1" t="s">
        <v>12</v>
      </c>
      <c r="S16" s="17">
        <f t="shared" ref="S16:AF16" si="8">SUM(C34:C37)</f>
        <v>6</v>
      </c>
      <c r="T16" s="17">
        <f t="shared" si="8"/>
        <v>1</v>
      </c>
      <c r="U16" s="17">
        <f t="shared" si="8"/>
        <v>0</v>
      </c>
      <c r="V16" s="17">
        <f t="shared" si="8"/>
        <v>9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53</v>
      </c>
      <c r="AD16" s="17">
        <f t="shared" si="8"/>
        <v>0</v>
      </c>
      <c r="AE16" s="31">
        <f t="shared" si="8"/>
        <v>23</v>
      </c>
      <c r="AF16" s="31">
        <f t="shared" si="8"/>
        <v>76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5</v>
      </c>
      <c r="P17" s="15">
        <f t="shared" si="1"/>
        <v>14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1</v>
      </c>
      <c r="V17" s="17">
        <f t="shared" si="9"/>
        <v>5</v>
      </c>
      <c r="W17" s="17">
        <f t="shared" si="9"/>
        <v>0</v>
      </c>
      <c r="X17" s="17">
        <f t="shared" si="9"/>
        <v>1</v>
      </c>
      <c r="Y17" s="17">
        <f t="shared" si="9"/>
        <v>1</v>
      </c>
      <c r="Z17" s="17">
        <f t="shared" si="9"/>
        <v>2</v>
      </c>
      <c r="AA17" s="17">
        <f t="shared" si="9"/>
        <v>2</v>
      </c>
      <c r="AB17" s="17">
        <f t="shared" si="9"/>
        <v>0</v>
      </c>
      <c r="AC17" s="17">
        <f t="shared" si="9"/>
        <v>35</v>
      </c>
      <c r="AD17" s="17">
        <f t="shared" si="9"/>
        <v>0</v>
      </c>
      <c r="AE17" s="31">
        <f t="shared" si="9"/>
        <v>14</v>
      </c>
      <c r="AF17" s="31">
        <f t="shared" si="9"/>
        <v>49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5</v>
      </c>
      <c r="P18" s="15">
        <f t="shared" si="1"/>
        <v>10</v>
      </c>
      <c r="R18" s="1" t="s">
        <v>14</v>
      </c>
      <c r="S18" s="17">
        <f t="shared" ref="S18:AF18" si="10">SUM(C42:C45)</f>
        <v>7</v>
      </c>
      <c r="T18" s="17">
        <f t="shared" si="10"/>
        <v>1</v>
      </c>
      <c r="U18" s="17">
        <f t="shared" si="10"/>
        <v>1</v>
      </c>
      <c r="V18" s="17">
        <f t="shared" si="10"/>
        <v>4</v>
      </c>
      <c r="W18" s="17">
        <f t="shared" si="10"/>
        <v>0</v>
      </c>
      <c r="X18" s="17">
        <f t="shared" si="10"/>
        <v>1</v>
      </c>
      <c r="Y18" s="17">
        <f t="shared" si="10"/>
        <v>5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44</v>
      </c>
      <c r="AD18" s="17">
        <f t="shared" si="10"/>
        <v>0</v>
      </c>
      <c r="AE18" s="31">
        <f t="shared" si="10"/>
        <v>20</v>
      </c>
      <c r="AF18" s="31">
        <f t="shared" si="10"/>
        <v>64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4</v>
      </c>
      <c r="P19" s="15">
        <f t="shared" si="1"/>
        <v>17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2</v>
      </c>
      <c r="V19" s="17">
        <f t="shared" si="11"/>
        <v>9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37</v>
      </c>
      <c r="AD19" s="17">
        <f t="shared" si="11"/>
        <v>0</v>
      </c>
      <c r="AE19" s="31">
        <f t="shared" si="11"/>
        <v>19</v>
      </c>
      <c r="AF19" s="31">
        <f t="shared" si="11"/>
        <v>56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4</v>
      </c>
      <c r="P20" s="15">
        <f t="shared" si="1"/>
        <v>12</v>
      </c>
      <c r="R20" s="1" t="s">
        <v>16</v>
      </c>
      <c r="S20" s="17">
        <f t="shared" ref="S20:AF20" si="12">SUM(C50:C53)</f>
        <v>6</v>
      </c>
      <c r="T20" s="17">
        <f t="shared" si="12"/>
        <v>0</v>
      </c>
      <c r="U20" s="17">
        <f t="shared" si="12"/>
        <v>2</v>
      </c>
      <c r="V20" s="17">
        <f t="shared" si="12"/>
        <v>7</v>
      </c>
      <c r="W20" s="17">
        <f t="shared" si="12"/>
        <v>1</v>
      </c>
      <c r="X20" s="17">
        <f t="shared" si="12"/>
        <v>1</v>
      </c>
      <c r="Y20" s="17">
        <f t="shared" si="12"/>
        <v>3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29</v>
      </c>
      <c r="AD20" s="17">
        <f t="shared" si="12"/>
        <v>0</v>
      </c>
      <c r="AE20" s="31">
        <f t="shared" si="12"/>
        <v>22</v>
      </c>
      <c r="AF20" s="31">
        <f t="shared" si="12"/>
        <v>51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22</v>
      </c>
      <c r="N21" s="50">
        <v>0</v>
      </c>
      <c r="O21" s="15">
        <f t="shared" si="0"/>
        <v>3</v>
      </c>
      <c r="P21" s="15">
        <f t="shared" si="1"/>
        <v>25</v>
      </c>
      <c r="R21" s="36" t="s">
        <v>20</v>
      </c>
      <c r="S21" s="34">
        <f t="shared" ref="S21:AF21" si="13">SUM(C54:C57)</f>
        <v>4</v>
      </c>
      <c r="T21" s="17">
        <f t="shared" si="13"/>
        <v>1</v>
      </c>
      <c r="U21" s="17">
        <f t="shared" si="13"/>
        <v>0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34</v>
      </c>
      <c r="AD21" s="17">
        <f t="shared" si="13"/>
        <v>0</v>
      </c>
      <c r="AE21" s="31">
        <f t="shared" si="13"/>
        <v>18</v>
      </c>
      <c r="AF21" s="31">
        <f t="shared" si="13"/>
        <v>52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4</v>
      </c>
      <c r="P22" s="15">
        <f t="shared" si="1"/>
        <v>18</v>
      </c>
      <c r="R22" s="38" t="s">
        <v>90</v>
      </c>
      <c r="S22" s="39">
        <f>MAX(S10:S12)</f>
        <v>4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6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4</v>
      </c>
      <c r="AA22" s="39">
        <f t="shared" si="14"/>
        <v>6</v>
      </c>
      <c r="AB22" s="39">
        <f t="shared" si="14"/>
        <v>0</v>
      </c>
      <c r="AC22" s="39">
        <f t="shared" si="14"/>
        <v>48</v>
      </c>
      <c r="AD22" s="39">
        <f t="shared" si="14"/>
        <v>0</v>
      </c>
      <c r="AE22" s="40">
        <f t="shared" si="14"/>
        <v>18</v>
      </c>
      <c r="AF22" s="40">
        <f t="shared" si="14"/>
        <v>64</v>
      </c>
    </row>
    <row r="23" spans="2:32" ht="23.1" customHeight="1" x14ac:dyDescent="0.25">
      <c r="B23" s="23" t="s">
        <v>50</v>
      </c>
      <c r="C23" s="50">
        <v>1</v>
      </c>
      <c r="D23" s="50">
        <v>2</v>
      </c>
      <c r="E23" s="50">
        <v>3</v>
      </c>
      <c r="F23" s="50">
        <v>3</v>
      </c>
      <c r="G23" s="50">
        <v>0</v>
      </c>
      <c r="H23" s="50">
        <v>0</v>
      </c>
      <c r="I23" s="50">
        <v>2</v>
      </c>
      <c r="J23" s="50">
        <v>2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13</v>
      </c>
      <c r="P23" s="15">
        <f t="shared" si="1"/>
        <v>25</v>
      </c>
      <c r="R23" s="38" t="s">
        <v>91</v>
      </c>
      <c r="S23" s="39">
        <f>MAX(S13:S18)</f>
        <v>7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9</v>
      </c>
      <c r="W23" s="39">
        <f t="shared" si="15"/>
        <v>0</v>
      </c>
      <c r="X23" s="39">
        <f t="shared" si="15"/>
        <v>1</v>
      </c>
      <c r="Y23" s="39">
        <f t="shared" si="15"/>
        <v>5</v>
      </c>
      <c r="Z23" s="39">
        <f t="shared" si="15"/>
        <v>4</v>
      </c>
      <c r="AA23" s="39">
        <f t="shared" si="15"/>
        <v>4</v>
      </c>
      <c r="AB23" s="39">
        <f t="shared" si="15"/>
        <v>1</v>
      </c>
      <c r="AC23" s="39">
        <f t="shared" si="15"/>
        <v>55</v>
      </c>
      <c r="AD23" s="39">
        <f t="shared" si="15"/>
        <v>0</v>
      </c>
      <c r="AE23" s="40">
        <f t="shared" si="15"/>
        <v>23</v>
      </c>
      <c r="AF23" s="40">
        <f t="shared" si="15"/>
        <v>76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10</v>
      </c>
      <c r="N24" s="50">
        <v>0</v>
      </c>
      <c r="O24" s="15">
        <f t="shared" si="0"/>
        <v>3</v>
      </c>
      <c r="P24" s="15">
        <f t="shared" si="1"/>
        <v>13</v>
      </c>
      <c r="R24" s="38" t="s">
        <v>92</v>
      </c>
      <c r="S24" s="39">
        <f>MAX(S19:S21)</f>
        <v>6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9</v>
      </c>
      <c r="W24" s="39">
        <f t="shared" si="16"/>
        <v>1</v>
      </c>
      <c r="X24" s="39">
        <f t="shared" si="16"/>
        <v>1</v>
      </c>
      <c r="Y24" s="39">
        <f t="shared" si="16"/>
        <v>6</v>
      </c>
      <c r="Z24" s="39">
        <f t="shared" si="16"/>
        <v>2</v>
      </c>
      <c r="AA24" s="39">
        <f t="shared" si="16"/>
        <v>1</v>
      </c>
      <c r="AB24" s="39">
        <f t="shared" si="16"/>
        <v>0</v>
      </c>
      <c r="AC24" s="39">
        <f t="shared" si="16"/>
        <v>37</v>
      </c>
      <c r="AD24" s="39">
        <f t="shared" si="16"/>
        <v>0</v>
      </c>
      <c r="AE24" s="40">
        <f t="shared" si="16"/>
        <v>22</v>
      </c>
      <c r="AF24" s="40">
        <f t="shared" si="16"/>
        <v>56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3</v>
      </c>
      <c r="P25" s="15">
        <f t="shared" si="1"/>
        <v>12</v>
      </c>
      <c r="R25" s="37" t="s">
        <v>85</v>
      </c>
      <c r="S25" s="35">
        <f t="shared" ref="S25:AF25" si="17">SUM(S10:S12)</f>
        <v>6</v>
      </c>
      <c r="T25" s="16">
        <f t="shared" si="17"/>
        <v>1</v>
      </c>
      <c r="U25" s="16">
        <f t="shared" si="17"/>
        <v>1</v>
      </c>
      <c r="V25" s="16">
        <f t="shared" si="17"/>
        <v>13</v>
      </c>
      <c r="W25" s="16">
        <f t="shared" si="17"/>
        <v>0</v>
      </c>
      <c r="X25" s="16">
        <f t="shared" si="17"/>
        <v>0</v>
      </c>
      <c r="Y25" s="16">
        <f t="shared" si="17"/>
        <v>12</v>
      </c>
      <c r="Z25" s="16">
        <f t="shared" si="17"/>
        <v>6</v>
      </c>
      <c r="AA25" s="16">
        <f t="shared" si="17"/>
        <v>8</v>
      </c>
      <c r="AB25" s="16">
        <f t="shared" si="17"/>
        <v>0</v>
      </c>
      <c r="AC25" s="16">
        <f t="shared" si="17"/>
        <v>93</v>
      </c>
      <c r="AD25" s="16">
        <f t="shared" si="17"/>
        <v>0</v>
      </c>
      <c r="AE25" s="32">
        <f t="shared" si="17"/>
        <v>47</v>
      </c>
      <c r="AF25" s="32">
        <f t="shared" si="17"/>
        <v>140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1</v>
      </c>
      <c r="M26" s="50">
        <v>10</v>
      </c>
      <c r="N26" s="50">
        <v>0</v>
      </c>
      <c r="O26" s="15">
        <f t="shared" si="0"/>
        <v>3</v>
      </c>
      <c r="P26" s="15">
        <f t="shared" si="1"/>
        <v>13</v>
      </c>
      <c r="R26" s="28" t="s">
        <v>86</v>
      </c>
      <c r="S26" s="16">
        <f t="shared" ref="S26:AF26" si="18">SUM(S13:S18)</f>
        <v>30</v>
      </c>
      <c r="T26" s="16">
        <f t="shared" si="18"/>
        <v>5</v>
      </c>
      <c r="U26" s="16">
        <f t="shared" si="18"/>
        <v>9</v>
      </c>
      <c r="V26" s="16">
        <f t="shared" si="18"/>
        <v>32</v>
      </c>
      <c r="W26" s="16">
        <f t="shared" si="18"/>
        <v>0</v>
      </c>
      <c r="X26" s="16">
        <f t="shared" si="18"/>
        <v>2</v>
      </c>
      <c r="Y26" s="16">
        <f t="shared" si="18"/>
        <v>19</v>
      </c>
      <c r="Z26" s="16">
        <f t="shared" si="18"/>
        <v>11</v>
      </c>
      <c r="AA26" s="16">
        <f t="shared" si="18"/>
        <v>8</v>
      </c>
      <c r="AB26" s="16">
        <f t="shared" si="18"/>
        <v>1</v>
      </c>
      <c r="AC26" s="16">
        <f t="shared" si="18"/>
        <v>267</v>
      </c>
      <c r="AD26" s="16">
        <f t="shared" si="18"/>
        <v>0</v>
      </c>
      <c r="AE26" s="32">
        <f t="shared" si="18"/>
        <v>117</v>
      </c>
      <c r="AF26" s="32">
        <f t="shared" si="18"/>
        <v>384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7</v>
      </c>
      <c r="P27" s="15">
        <f t="shared" si="1"/>
        <v>23</v>
      </c>
      <c r="R27" s="29" t="s">
        <v>87</v>
      </c>
      <c r="S27" s="16">
        <f t="shared" ref="S27:AF27" si="19">SUM(S19:S21)</f>
        <v>14</v>
      </c>
      <c r="T27" s="16">
        <f t="shared" si="19"/>
        <v>1</v>
      </c>
      <c r="U27" s="16">
        <f t="shared" si="19"/>
        <v>4</v>
      </c>
      <c r="V27" s="16">
        <f t="shared" si="19"/>
        <v>22</v>
      </c>
      <c r="W27" s="16">
        <f t="shared" si="19"/>
        <v>1</v>
      </c>
      <c r="X27" s="16">
        <f t="shared" si="19"/>
        <v>1</v>
      </c>
      <c r="Y27" s="16">
        <f t="shared" si="19"/>
        <v>11</v>
      </c>
      <c r="Z27" s="16">
        <f t="shared" si="19"/>
        <v>3</v>
      </c>
      <c r="AA27" s="16">
        <f t="shared" si="19"/>
        <v>2</v>
      </c>
      <c r="AB27" s="16">
        <f t="shared" si="19"/>
        <v>0</v>
      </c>
      <c r="AC27" s="16">
        <f t="shared" si="19"/>
        <v>100</v>
      </c>
      <c r="AD27" s="16">
        <f t="shared" si="19"/>
        <v>0</v>
      </c>
      <c r="AE27" s="32">
        <f t="shared" si="19"/>
        <v>59</v>
      </c>
      <c r="AF27" s="32">
        <f t="shared" si="19"/>
        <v>159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13</v>
      </c>
      <c r="N28" s="50">
        <v>0</v>
      </c>
      <c r="O28" s="15">
        <f t="shared" si="0"/>
        <v>5</v>
      </c>
      <c r="P28" s="15">
        <f t="shared" si="1"/>
        <v>18</v>
      </c>
      <c r="R28" s="5" t="s">
        <v>17</v>
      </c>
      <c r="S28" s="16">
        <f t="shared" ref="S28:AF28" si="20">SUM(S10:S21)</f>
        <v>50</v>
      </c>
      <c r="T28" s="16">
        <f t="shared" si="20"/>
        <v>7</v>
      </c>
      <c r="U28" s="16">
        <f t="shared" si="20"/>
        <v>14</v>
      </c>
      <c r="V28" s="16">
        <f t="shared" si="20"/>
        <v>67</v>
      </c>
      <c r="W28" s="16">
        <f t="shared" si="20"/>
        <v>1</v>
      </c>
      <c r="X28" s="16">
        <f t="shared" si="20"/>
        <v>3</v>
      </c>
      <c r="Y28" s="16">
        <f t="shared" si="20"/>
        <v>42</v>
      </c>
      <c r="Z28" s="16">
        <f t="shared" si="20"/>
        <v>20</v>
      </c>
      <c r="AA28" s="16">
        <f t="shared" si="20"/>
        <v>18</v>
      </c>
      <c r="AB28" s="16">
        <f t="shared" si="20"/>
        <v>1</v>
      </c>
      <c r="AC28" s="16">
        <f t="shared" si="20"/>
        <v>460</v>
      </c>
      <c r="AD28" s="16">
        <f t="shared" si="20"/>
        <v>0</v>
      </c>
      <c r="AE28" s="32">
        <f t="shared" si="20"/>
        <v>223</v>
      </c>
      <c r="AF28" s="32">
        <f t="shared" si="20"/>
        <v>683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2</v>
      </c>
      <c r="P29" s="15">
        <f t="shared" si="1"/>
        <v>18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3</v>
      </c>
      <c r="G30" s="50">
        <v>0</v>
      </c>
      <c r="H30" s="50">
        <v>0</v>
      </c>
      <c r="I30" s="50">
        <v>1</v>
      </c>
      <c r="J30" s="50">
        <v>2</v>
      </c>
      <c r="K30" s="50">
        <v>1</v>
      </c>
      <c r="L30" s="50">
        <v>0</v>
      </c>
      <c r="M30" s="50">
        <v>7</v>
      </c>
      <c r="N30" s="50">
        <v>0</v>
      </c>
      <c r="O30" s="15">
        <f t="shared" si="0"/>
        <v>9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1</v>
      </c>
      <c r="L31" s="50">
        <v>0</v>
      </c>
      <c r="M31" s="50">
        <v>7</v>
      </c>
      <c r="N31" s="50">
        <v>0</v>
      </c>
      <c r="O31" s="15">
        <f t="shared" si="0"/>
        <v>2</v>
      </c>
      <c r="P31" s="15">
        <f t="shared" si="1"/>
        <v>9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0</v>
      </c>
      <c r="F32" s="50">
        <v>1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5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2</v>
      </c>
      <c r="L33" s="50">
        <v>0</v>
      </c>
      <c r="M33" s="50">
        <v>9</v>
      </c>
      <c r="N33" s="50">
        <v>0</v>
      </c>
      <c r="O33" s="15">
        <f t="shared" si="0"/>
        <v>4</v>
      </c>
      <c r="P33" s="15">
        <f t="shared" si="1"/>
        <v>13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0</v>
      </c>
      <c r="F34" s="50">
        <v>2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6</v>
      </c>
      <c r="P34" s="15">
        <f t="shared" si="1"/>
        <v>18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4</v>
      </c>
      <c r="P35" s="15">
        <f t="shared" si="1"/>
        <v>19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18</v>
      </c>
      <c r="N36" s="50">
        <v>0</v>
      </c>
      <c r="O36" s="15">
        <f t="shared" si="0"/>
        <v>5</v>
      </c>
      <c r="P36" s="15">
        <f t="shared" si="1"/>
        <v>23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5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8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1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1</v>
      </c>
      <c r="J39" s="50">
        <v>1</v>
      </c>
      <c r="K39" s="50">
        <v>1</v>
      </c>
      <c r="L39" s="50">
        <v>0</v>
      </c>
      <c r="M39" s="50">
        <v>11</v>
      </c>
      <c r="N39" s="50">
        <v>0</v>
      </c>
      <c r="O39" s="15">
        <f t="shared" si="0"/>
        <v>5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2</v>
      </c>
      <c r="G40" s="50">
        <v>0</v>
      </c>
      <c r="H40" s="50">
        <v>1</v>
      </c>
      <c r="I40" s="50">
        <v>0</v>
      </c>
      <c r="J40" s="50">
        <v>1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5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4</v>
      </c>
      <c r="N41" s="50">
        <v>0</v>
      </c>
      <c r="O41" s="15">
        <f t="shared" si="0"/>
        <v>3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5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4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2</v>
      </c>
      <c r="D44" s="50">
        <v>1</v>
      </c>
      <c r="E44" s="50">
        <v>0</v>
      </c>
      <c r="F44" s="50">
        <v>1</v>
      </c>
      <c r="G44" s="50">
        <v>0</v>
      </c>
      <c r="H44" s="50">
        <v>1</v>
      </c>
      <c r="I44" s="50">
        <v>2</v>
      </c>
      <c r="J44" s="50">
        <v>0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7</v>
      </c>
      <c r="P44" s="15">
        <f t="shared" si="1"/>
        <v>18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0</v>
      </c>
      <c r="M45" s="50">
        <v>9</v>
      </c>
      <c r="N45" s="50">
        <v>0</v>
      </c>
      <c r="O45" s="15">
        <f t="shared" si="0"/>
        <v>4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5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5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7</v>
      </c>
      <c r="P47" s="15">
        <f t="shared" si="1"/>
        <v>16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1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5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2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1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4</v>
      </c>
      <c r="P50" s="15">
        <f t="shared" si="1"/>
        <v>12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1</v>
      </c>
      <c r="F51" s="50">
        <v>0</v>
      </c>
      <c r="G51" s="50">
        <v>1</v>
      </c>
      <c r="H51" s="50">
        <v>1</v>
      </c>
      <c r="I51" s="50">
        <v>1</v>
      </c>
      <c r="J51" s="50">
        <v>0</v>
      </c>
      <c r="K51" s="50">
        <v>1</v>
      </c>
      <c r="L51" s="50">
        <v>0</v>
      </c>
      <c r="M51" s="50">
        <v>4</v>
      </c>
      <c r="N51" s="50">
        <v>0</v>
      </c>
      <c r="O51" s="15">
        <f t="shared" si="0"/>
        <v>8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4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8</v>
      </c>
      <c r="P52" s="15">
        <f t="shared" si="1"/>
        <v>19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2</v>
      </c>
      <c r="P53" s="15">
        <f t="shared" si="1"/>
        <v>8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3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5</v>
      </c>
      <c r="P54" s="15">
        <f t="shared" si="1"/>
        <v>15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4</v>
      </c>
      <c r="P55" s="15">
        <f t="shared" si="1"/>
        <v>11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2</v>
      </c>
      <c r="J56" s="50">
        <v>0</v>
      </c>
      <c r="K56" s="50">
        <v>1</v>
      </c>
      <c r="L56" s="50">
        <v>0</v>
      </c>
      <c r="M56" s="50">
        <v>10</v>
      </c>
      <c r="N56" s="50">
        <v>0</v>
      </c>
      <c r="O56" s="15">
        <f t="shared" si="0"/>
        <v>6</v>
      </c>
      <c r="P56" s="15">
        <f t="shared" si="1"/>
        <v>16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3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50</v>
      </c>
      <c r="D58" s="16">
        <f t="shared" si="21"/>
        <v>7</v>
      </c>
      <c r="E58" s="16">
        <f t="shared" si="21"/>
        <v>14</v>
      </c>
      <c r="F58" s="16">
        <f t="shared" si="21"/>
        <v>67</v>
      </c>
      <c r="G58" s="16">
        <f t="shared" si="21"/>
        <v>1</v>
      </c>
      <c r="H58" s="16">
        <f t="shared" si="21"/>
        <v>3</v>
      </c>
      <c r="I58" s="16">
        <f t="shared" si="21"/>
        <v>42</v>
      </c>
      <c r="J58" s="16">
        <f t="shared" si="21"/>
        <v>20</v>
      </c>
      <c r="K58" s="16">
        <f t="shared" si="21"/>
        <v>18</v>
      </c>
      <c r="L58" s="16">
        <f t="shared" si="21"/>
        <v>1</v>
      </c>
      <c r="M58" s="16">
        <f t="shared" si="21"/>
        <v>460</v>
      </c>
      <c r="N58" s="16">
        <f t="shared" si="21"/>
        <v>0</v>
      </c>
      <c r="O58" s="16">
        <f t="shared" si="21"/>
        <v>223</v>
      </c>
      <c r="P58" s="16">
        <f t="shared" si="21"/>
        <v>683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7.320644216691069E-2</v>
      </c>
      <c r="D59" s="43">
        <f t="shared" si="22"/>
        <v>1.0248901903367497E-2</v>
      </c>
      <c r="E59" s="43">
        <f t="shared" si="22"/>
        <v>2.0497803806734993E-2</v>
      </c>
      <c r="F59" s="43">
        <f t="shared" si="22"/>
        <v>9.8096632503660325E-2</v>
      </c>
      <c r="G59" s="43">
        <f t="shared" si="22"/>
        <v>1.4641288433382138E-3</v>
      </c>
      <c r="H59" s="43">
        <f t="shared" si="22"/>
        <v>4.3923865300146414E-3</v>
      </c>
      <c r="I59" s="43">
        <f t="shared" si="22"/>
        <v>6.149341142020498E-2</v>
      </c>
      <c r="J59" s="43">
        <f t="shared" si="22"/>
        <v>2.9282576866764276E-2</v>
      </c>
      <c r="K59" s="43">
        <f t="shared" si="22"/>
        <v>2.6354319180087848E-2</v>
      </c>
      <c r="L59" s="43">
        <f t="shared" si="22"/>
        <v>1.4641288433382138E-3</v>
      </c>
      <c r="M59" s="43">
        <f t="shared" si="22"/>
        <v>0.67349926793557835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0.22421524663677131</v>
      </c>
      <c r="D60" s="44">
        <f t="shared" ref="D60:N60" si="23">D58/$O$58</f>
        <v>3.1390134529147982E-2</v>
      </c>
      <c r="E60" s="44">
        <f t="shared" si="23"/>
        <v>6.2780269058295965E-2</v>
      </c>
      <c r="F60" s="44">
        <f t="shared" si="23"/>
        <v>0.30044843049327352</v>
      </c>
      <c r="G60" s="44">
        <f t="shared" si="23"/>
        <v>4.4843049327354259E-3</v>
      </c>
      <c r="H60" s="44">
        <f t="shared" si="23"/>
        <v>1.3452914798206279E-2</v>
      </c>
      <c r="I60" s="44">
        <f t="shared" si="23"/>
        <v>0.18834080717488788</v>
      </c>
      <c r="J60" s="44">
        <f t="shared" si="23"/>
        <v>8.9686098654708515E-2</v>
      </c>
      <c r="K60" s="44">
        <f t="shared" si="23"/>
        <v>8.0717488789237665E-2</v>
      </c>
      <c r="L60" s="44">
        <f t="shared" si="23"/>
        <v>4.4843049327354259E-3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GALIRAYA-KAYUNGA'!C3:G3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tr">
        <f>'22.10 KAYUNGA-GALIRAYA'!D5</f>
        <v>22.10.19</v>
      </c>
      <c r="E5" s="3"/>
      <c r="F5" s="41" t="s">
        <v>1</v>
      </c>
      <c r="G5" s="59" t="str">
        <f>'22.10 KAYUNGA-GALIRAYA'!G5:H5</f>
        <v>KYANYA</v>
      </c>
      <c r="H5" s="60"/>
      <c r="I5" s="14"/>
      <c r="J5" s="2" t="s">
        <v>5</v>
      </c>
      <c r="K5" s="59" t="str">
        <f>'22.10 KAYUNGA-GALIRAYA'!K5:L5</f>
        <v>NAKIWUGE ALLEN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GALIRAYA-KAYUNGA'!D6:E6</f>
        <v>GALIRAYA</v>
      </c>
      <c r="E6" s="60"/>
      <c r="F6" s="2" t="s">
        <v>2</v>
      </c>
      <c r="G6" s="59" t="str">
        <f>'17.10 GALIRAYA-KAYUNGA'!G6:H6</f>
        <v>KAYUNGA</v>
      </c>
      <c r="H6" s="60"/>
      <c r="J6" s="2" t="s">
        <v>21</v>
      </c>
      <c r="K6" s="59" t="str">
        <f>'22.10 KAYUNGA-GALIRAYA'!K6:L6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3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2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1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34</v>
      </c>
      <c r="AD10" s="17">
        <f t="shared" si="2"/>
        <v>0</v>
      </c>
      <c r="AE10" s="31">
        <f t="shared" si="2"/>
        <v>14</v>
      </c>
      <c r="AF10" s="31">
        <f t="shared" si="2"/>
        <v>48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1</v>
      </c>
      <c r="F11" s="50">
        <v>1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4</v>
      </c>
      <c r="P11" s="15">
        <f t="shared" si="1"/>
        <v>12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0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29</v>
      </c>
      <c r="AD11" s="17">
        <f t="shared" si="3"/>
        <v>0</v>
      </c>
      <c r="AE11" s="31">
        <f t="shared" si="3"/>
        <v>5</v>
      </c>
      <c r="AF11" s="31">
        <f t="shared" si="3"/>
        <v>34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4</v>
      </c>
      <c r="P12" s="15">
        <f t="shared" si="1"/>
        <v>14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2</v>
      </c>
      <c r="V12" s="17">
        <f t="shared" si="4"/>
        <v>4</v>
      </c>
      <c r="W12" s="17">
        <f t="shared" si="4"/>
        <v>1</v>
      </c>
      <c r="X12" s="17">
        <f t="shared" si="4"/>
        <v>0</v>
      </c>
      <c r="Y12" s="17">
        <f t="shared" si="4"/>
        <v>1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46</v>
      </c>
      <c r="AD12" s="17">
        <f t="shared" si="4"/>
        <v>0</v>
      </c>
      <c r="AE12" s="31">
        <f t="shared" si="4"/>
        <v>11</v>
      </c>
      <c r="AF12" s="31">
        <f t="shared" si="4"/>
        <v>57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2</v>
      </c>
      <c r="P13" s="15">
        <f t="shared" si="1"/>
        <v>11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0</v>
      </c>
      <c r="V13" s="17">
        <f t="shared" si="5"/>
        <v>4</v>
      </c>
      <c r="W13" s="17">
        <f t="shared" si="5"/>
        <v>0</v>
      </c>
      <c r="X13" s="17">
        <f t="shared" si="5"/>
        <v>2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49</v>
      </c>
      <c r="AD13" s="17">
        <f t="shared" si="5"/>
        <v>1</v>
      </c>
      <c r="AE13" s="31">
        <f t="shared" si="5"/>
        <v>11</v>
      </c>
      <c r="AF13" s="31">
        <f t="shared" si="5"/>
        <v>60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2</v>
      </c>
      <c r="P14" s="15">
        <f t="shared" si="1"/>
        <v>7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0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36</v>
      </c>
      <c r="AD14" s="17">
        <f t="shared" si="6"/>
        <v>0</v>
      </c>
      <c r="AE14" s="31">
        <f t="shared" si="6"/>
        <v>10</v>
      </c>
      <c r="AF14" s="31">
        <f t="shared" si="6"/>
        <v>46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0</v>
      </c>
      <c r="P15" s="15">
        <f t="shared" si="1"/>
        <v>8</v>
      </c>
      <c r="R15" s="1" t="s">
        <v>11</v>
      </c>
      <c r="S15" s="17">
        <f t="shared" ref="S15:AF15" si="7">SUM(C30:C33)</f>
        <v>9</v>
      </c>
      <c r="T15" s="17">
        <f t="shared" si="7"/>
        <v>0</v>
      </c>
      <c r="U15" s="17">
        <f t="shared" si="7"/>
        <v>1</v>
      </c>
      <c r="V15" s="17">
        <f t="shared" si="7"/>
        <v>4</v>
      </c>
      <c r="W15" s="17">
        <f t="shared" si="7"/>
        <v>0</v>
      </c>
      <c r="X15" s="17">
        <f t="shared" si="7"/>
        <v>1</v>
      </c>
      <c r="Y15" s="17">
        <f t="shared" si="7"/>
        <v>3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43</v>
      </c>
      <c r="AD15" s="17">
        <f t="shared" si="7"/>
        <v>0</v>
      </c>
      <c r="AE15" s="31">
        <f t="shared" si="7"/>
        <v>19</v>
      </c>
      <c r="AF15" s="31">
        <f t="shared" si="7"/>
        <v>62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1</v>
      </c>
      <c r="P16" s="15">
        <f t="shared" si="1"/>
        <v>8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0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38</v>
      </c>
      <c r="AD16" s="17">
        <f t="shared" si="8"/>
        <v>0</v>
      </c>
      <c r="AE16" s="31">
        <f t="shared" si="8"/>
        <v>12</v>
      </c>
      <c r="AF16" s="31">
        <f t="shared" si="8"/>
        <v>50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2</v>
      </c>
      <c r="P17" s="15">
        <f t="shared" si="1"/>
        <v>11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1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38</v>
      </c>
      <c r="AD17" s="17">
        <f t="shared" si="9"/>
        <v>0</v>
      </c>
      <c r="AE17" s="31">
        <f t="shared" si="9"/>
        <v>9</v>
      </c>
      <c r="AF17" s="31">
        <f t="shared" si="9"/>
        <v>47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3</v>
      </c>
      <c r="P18" s="15">
        <f t="shared" si="1"/>
        <v>18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1</v>
      </c>
      <c r="V18" s="17">
        <f t="shared" si="10"/>
        <v>6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3</v>
      </c>
      <c r="AA18" s="17">
        <f t="shared" si="10"/>
        <v>2</v>
      </c>
      <c r="AB18" s="17">
        <f t="shared" si="10"/>
        <v>1</v>
      </c>
      <c r="AC18" s="17">
        <f t="shared" si="10"/>
        <v>35</v>
      </c>
      <c r="AD18" s="17">
        <f t="shared" si="10"/>
        <v>0</v>
      </c>
      <c r="AE18" s="31">
        <f t="shared" si="10"/>
        <v>16</v>
      </c>
      <c r="AF18" s="31">
        <f t="shared" si="10"/>
        <v>51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2</v>
      </c>
      <c r="F19" s="50">
        <v>2</v>
      </c>
      <c r="G19" s="50">
        <v>1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7</v>
      </c>
      <c r="P19" s="15">
        <f t="shared" si="1"/>
        <v>21</v>
      </c>
      <c r="R19" s="1" t="s">
        <v>15</v>
      </c>
      <c r="S19" s="17">
        <f t="shared" ref="S19:AF19" si="11">SUM(C46:C49)</f>
        <v>8</v>
      </c>
      <c r="T19" s="17">
        <f t="shared" si="11"/>
        <v>3</v>
      </c>
      <c r="U19" s="17">
        <f t="shared" si="11"/>
        <v>0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44</v>
      </c>
      <c r="AD19" s="17">
        <f t="shared" si="11"/>
        <v>0</v>
      </c>
      <c r="AE19" s="31">
        <f t="shared" si="11"/>
        <v>23</v>
      </c>
      <c r="AF19" s="31">
        <f t="shared" si="11"/>
        <v>67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0</v>
      </c>
      <c r="P20" s="15">
        <f t="shared" si="1"/>
        <v>5</v>
      </c>
      <c r="R20" s="1" t="s">
        <v>16</v>
      </c>
      <c r="S20" s="17">
        <f t="shared" ref="S20:AF20" si="12">SUM(C50:C53)</f>
        <v>6</v>
      </c>
      <c r="T20" s="17">
        <f t="shared" si="12"/>
        <v>2</v>
      </c>
      <c r="U20" s="17">
        <f t="shared" si="12"/>
        <v>1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56</v>
      </c>
      <c r="AD20" s="17">
        <f t="shared" si="12"/>
        <v>0</v>
      </c>
      <c r="AE20" s="31">
        <f t="shared" si="12"/>
        <v>22</v>
      </c>
      <c r="AF20" s="31">
        <f t="shared" si="12"/>
        <v>78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1</v>
      </c>
      <c r="P21" s="15">
        <f t="shared" si="1"/>
        <v>13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1</v>
      </c>
      <c r="V21" s="17">
        <f t="shared" si="13"/>
        <v>7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5</v>
      </c>
      <c r="AA21" s="17">
        <f t="shared" si="13"/>
        <v>5</v>
      </c>
      <c r="AB21" s="17">
        <f t="shared" si="13"/>
        <v>1</v>
      </c>
      <c r="AC21" s="17">
        <f t="shared" si="13"/>
        <v>36</v>
      </c>
      <c r="AD21" s="17">
        <f t="shared" si="13"/>
        <v>0</v>
      </c>
      <c r="AE21" s="31">
        <f t="shared" si="13"/>
        <v>31</v>
      </c>
      <c r="AF21" s="31">
        <f t="shared" si="13"/>
        <v>67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2</v>
      </c>
      <c r="I22" s="50">
        <v>2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5</v>
      </c>
      <c r="P22" s="15">
        <f t="shared" si="1"/>
        <v>15</v>
      </c>
      <c r="R22" s="38" t="s">
        <v>90</v>
      </c>
      <c r="S22" s="39">
        <f>MAX(S10:S12)</f>
        <v>2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6</v>
      </c>
      <c r="W22" s="39">
        <f t="shared" si="14"/>
        <v>1</v>
      </c>
      <c r="X22" s="39">
        <f t="shared" si="14"/>
        <v>0</v>
      </c>
      <c r="Y22" s="39">
        <f t="shared" si="14"/>
        <v>1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46</v>
      </c>
      <c r="AD22" s="39">
        <f t="shared" si="14"/>
        <v>0</v>
      </c>
      <c r="AE22" s="40">
        <f t="shared" si="14"/>
        <v>14</v>
      </c>
      <c r="AF22" s="40">
        <f t="shared" si="14"/>
        <v>57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11</v>
      </c>
      <c r="N23" s="50">
        <v>1</v>
      </c>
      <c r="O23" s="15">
        <f t="shared" si="0"/>
        <v>2</v>
      </c>
      <c r="P23" s="15">
        <f t="shared" si="1"/>
        <v>13</v>
      </c>
      <c r="R23" s="38" t="s">
        <v>91</v>
      </c>
      <c r="S23" s="39">
        <f>MAX(S13:S18)</f>
        <v>9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6</v>
      </c>
      <c r="W23" s="39">
        <f t="shared" si="15"/>
        <v>0</v>
      </c>
      <c r="X23" s="39">
        <f t="shared" si="15"/>
        <v>2</v>
      </c>
      <c r="Y23" s="39">
        <f t="shared" si="15"/>
        <v>3</v>
      </c>
      <c r="Z23" s="39">
        <f t="shared" si="15"/>
        <v>3</v>
      </c>
      <c r="AA23" s="39">
        <f t="shared" si="15"/>
        <v>2</v>
      </c>
      <c r="AB23" s="39">
        <f t="shared" si="15"/>
        <v>1</v>
      </c>
      <c r="AC23" s="39">
        <f t="shared" si="15"/>
        <v>49</v>
      </c>
      <c r="AD23" s="39">
        <f t="shared" si="15"/>
        <v>1</v>
      </c>
      <c r="AE23" s="40">
        <f t="shared" si="15"/>
        <v>19</v>
      </c>
      <c r="AF23" s="40">
        <f t="shared" si="15"/>
        <v>62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2</v>
      </c>
      <c r="P24" s="15">
        <f t="shared" si="1"/>
        <v>14</v>
      </c>
      <c r="R24" s="38" t="s">
        <v>92</v>
      </c>
      <c r="S24" s="39">
        <f>MAX(S19:S21)</f>
        <v>8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8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5</v>
      </c>
      <c r="AA24" s="39">
        <f t="shared" si="16"/>
        <v>5</v>
      </c>
      <c r="AB24" s="39">
        <f t="shared" si="16"/>
        <v>1</v>
      </c>
      <c r="AC24" s="39">
        <f t="shared" si="16"/>
        <v>56</v>
      </c>
      <c r="AD24" s="39">
        <f t="shared" si="16"/>
        <v>0</v>
      </c>
      <c r="AE24" s="40">
        <f t="shared" si="16"/>
        <v>31</v>
      </c>
      <c r="AF24" s="40">
        <f t="shared" si="16"/>
        <v>78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2</v>
      </c>
      <c r="P25" s="15">
        <f t="shared" si="1"/>
        <v>18</v>
      </c>
      <c r="R25" s="37" t="s">
        <v>85</v>
      </c>
      <c r="S25" s="35">
        <f t="shared" ref="S25:AF25" si="17">SUM(S10:S12)</f>
        <v>3</v>
      </c>
      <c r="T25" s="16">
        <f t="shared" si="17"/>
        <v>2</v>
      </c>
      <c r="U25" s="16">
        <f t="shared" si="17"/>
        <v>4</v>
      </c>
      <c r="V25" s="16">
        <f t="shared" si="17"/>
        <v>13</v>
      </c>
      <c r="W25" s="16">
        <f t="shared" si="17"/>
        <v>2</v>
      </c>
      <c r="X25" s="16">
        <f t="shared" si="17"/>
        <v>0</v>
      </c>
      <c r="Y25" s="16">
        <f t="shared" si="17"/>
        <v>2</v>
      </c>
      <c r="Z25" s="16">
        <f t="shared" si="17"/>
        <v>4</v>
      </c>
      <c r="AA25" s="16">
        <f t="shared" si="17"/>
        <v>0</v>
      </c>
      <c r="AB25" s="16">
        <f t="shared" si="17"/>
        <v>0</v>
      </c>
      <c r="AC25" s="16">
        <f t="shared" si="17"/>
        <v>109</v>
      </c>
      <c r="AD25" s="16">
        <f t="shared" si="17"/>
        <v>0</v>
      </c>
      <c r="AE25" s="32">
        <f t="shared" si="17"/>
        <v>30</v>
      </c>
      <c r="AF25" s="32">
        <f t="shared" si="17"/>
        <v>139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3</v>
      </c>
      <c r="P26" s="15">
        <f t="shared" si="1"/>
        <v>8</v>
      </c>
      <c r="R26" s="28" t="s">
        <v>86</v>
      </c>
      <c r="S26" s="16">
        <f t="shared" ref="S26:AF26" si="18">SUM(S13:S18)</f>
        <v>21</v>
      </c>
      <c r="T26" s="16">
        <f t="shared" si="18"/>
        <v>2</v>
      </c>
      <c r="U26" s="16">
        <f t="shared" si="18"/>
        <v>3</v>
      </c>
      <c r="V26" s="16">
        <f t="shared" si="18"/>
        <v>25</v>
      </c>
      <c r="W26" s="16">
        <f t="shared" si="18"/>
        <v>0</v>
      </c>
      <c r="X26" s="16">
        <f t="shared" si="18"/>
        <v>3</v>
      </c>
      <c r="Y26" s="16">
        <f t="shared" si="18"/>
        <v>9</v>
      </c>
      <c r="Z26" s="16">
        <f t="shared" si="18"/>
        <v>9</v>
      </c>
      <c r="AA26" s="16">
        <f t="shared" si="18"/>
        <v>3</v>
      </c>
      <c r="AB26" s="16">
        <f t="shared" si="18"/>
        <v>1</v>
      </c>
      <c r="AC26" s="16">
        <f t="shared" si="18"/>
        <v>239</v>
      </c>
      <c r="AD26" s="16">
        <f t="shared" si="18"/>
        <v>1</v>
      </c>
      <c r="AE26" s="32">
        <f t="shared" si="18"/>
        <v>77</v>
      </c>
      <c r="AF26" s="32">
        <f t="shared" si="18"/>
        <v>316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4</v>
      </c>
      <c r="P27" s="15">
        <f t="shared" si="1"/>
        <v>15</v>
      </c>
      <c r="R27" s="29" t="s">
        <v>87</v>
      </c>
      <c r="S27" s="16">
        <f t="shared" ref="S27:AF27" si="19">SUM(S19:S21)</f>
        <v>20</v>
      </c>
      <c r="T27" s="16">
        <f t="shared" si="19"/>
        <v>5</v>
      </c>
      <c r="U27" s="16">
        <f t="shared" si="19"/>
        <v>2</v>
      </c>
      <c r="V27" s="16">
        <f t="shared" si="19"/>
        <v>19</v>
      </c>
      <c r="W27" s="16">
        <f t="shared" si="19"/>
        <v>1</v>
      </c>
      <c r="X27" s="16">
        <f t="shared" si="19"/>
        <v>0</v>
      </c>
      <c r="Y27" s="16">
        <f t="shared" si="19"/>
        <v>12</v>
      </c>
      <c r="Z27" s="16">
        <f t="shared" si="19"/>
        <v>9</v>
      </c>
      <c r="AA27" s="16">
        <f t="shared" si="19"/>
        <v>7</v>
      </c>
      <c r="AB27" s="16">
        <f t="shared" si="19"/>
        <v>1</v>
      </c>
      <c r="AC27" s="16">
        <f t="shared" si="19"/>
        <v>136</v>
      </c>
      <c r="AD27" s="16">
        <f t="shared" si="19"/>
        <v>0</v>
      </c>
      <c r="AE27" s="32">
        <f t="shared" si="19"/>
        <v>76</v>
      </c>
      <c r="AF27" s="32">
        <f t="shared" si="19"/>
        <v>212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5">
        <f t="shared" si="0"/>
        <v>2</v>
      </c>
      <c r="P28" s="15">
        <f t="shared" si="1"/>
        <v>15</v>
      </c>
      <c r="R28" s="5" t="s">
        <v>17</v>
      </c>
      <c r="S28" s="16">
        <f t="shared" ref="S28:AF28" si="20">SUM(S10:S21)</f>
        <v>44</v>
      </c>
      <c r="T28" s="16">
        <f t="shared" si="20"/>
        <v>9</v>
      </c>
      <c r="U28" s="16">
        <f t="shared" si="20"/>
        <v>9</v>
      </c>
      <c r="V28" s="16">
        <f t="shared" si="20"/>
        <v>57</v>
      </c>
      <c r="W28" s="16">
        <f t="shared" si="20"/>
        <v>3</v>
      </c>
      <c r="X28" s="16">
        <f t="shared" si="20"/>
        <v>3</v>
      </c>
      <c r="Y28" s="16">
        <f t="shared" si="20"/>
        <v>23</v>
      </c>
      <c r="Z28" s="16">
        <f t="shared" si="20"/>
        <v>22</v>
      </c>
      <c r="AA28" s="16">
        <f t="shared" si="20"/>
        <v>10</v>
      </c>
      <c r="AB28" s="16">
        <f t="shared" si="20"/>
        <v>2</v>
      </c>
      <c r="AC28" s="16">
        <f t="shared" si="20"/>
        <v>484</v>
      </c>
      <c r="AD28" s="16">
        <f t="shared" si="20"/>
        <v>1</v>
      </c>
      <c r="AE28" s="32">
        <f t="shared" si="20"/>
        <v>183</v>
      </c>
      <c r="AF28" s="32">
        <f t="shared" si="20"/>
        <v>667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1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3</v>
      </c>
      <c r="P30" s="15">
        <f t="shared" si="1"/>
        <v>13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3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3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7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1</v>
      </c>
      <c r="F33" s="50">
        <v>0</v>
      </c>
      <c r="G33" s="50">
        <v>0</v>
      </c>
      <c r="H33" s="50">
        <v>1</v>
      </c>
      <c r="I33" s="50">
        <v>1</v>
      </c>
      <c r="J33" s="50">
        <v>0</v>
      </c>
      <c r="K33" s="50">
        <v>0</v>
      </c>
      <c r="L33" s="50">
        <v>0</v>
      </c>
      <c r="M33" s="50">
        <v>18</v>
      </c>
      <c r="N33" s="50">
        <v>0</v>
      </c>
      <c r="O33" s="15">
        <f t="shared" si="0"/>
        <v>6</v>
      </c>
      <c r="P33" s="15">
        <f t="shared" si="1"/>
        <v>24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1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2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2</v>
      </c>
      <c r="K36" s="50">
        <v>1</v>
      </c>
      <c r="L36" s="50">
        <v>0</v>
      </c>
      <c r="M36" s="50">
        <v>13</v>
      </c>
      <c r="N36" s="50">
        <v>0</v>
      </c>
      <c r="O36" s="15">
        <f t="shared" si="0"/>
        <v>5</v>
      </c>
      <c r="P36" s="15">
        <f t="shared" si="1"/>
        <v>18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4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1</v>
      </c>
      <c r="P38" s="15">
        <f t="shared" si="1"/>
        <v>11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5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1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2</v>
      </c>
      <c r="P41" s="15">
        <f t="shared" si="1"/>
        <v>15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3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8</v>
      </c>
      <c r="N42" s="50">
        <v>0</v>
      </c>
      <c r="O42" s="15">
        <f t="shared" si="0"/>
        <v>5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1</v>
      </c>
      <c r="K43" s="50">
        <v>1</v>
      </c>
      <c r="L43" s="50">
        <v>1</v>
      </c>
      <c r="M43" s="50">
        <v>9</v>
      </c>
      <c r="N43" s="50">
        <v>0</v>
      </c>
      <c r="O43" s="15">
        <f t="shared" si="0"/>
        <v>4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13</v>
      </c>
      <c r="N44" s="50">
        <v>0</v>
      </c>
      <c r="O44" s="15">
        <f t="shared" si="0"/>
        <v>3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1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4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1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5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5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4</v>
      </c>
      <c r="P48" s="15">
        <f t="shared" si="1"/>
        <v>16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1</v>
      </c>
      <c r="E49" s="50">
        <v>0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16</v>
      </c>
      <c r="N49" s="50">
        <v>0</v>
      </c>
      <c r="O49" s="15">
        <f t="shared" si="0"/>
        <v>9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18</v>
      </c>
      <c r="N50" s="50">
        <v>0</v>
      </c>
      <c r="O50" s="15">
        <f t="shared" si="0"/>
        <v>5</v>
      </c>
      <c r="P50" s="15">
        <f t="shared" si="1"/>
        <v>23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2</v>
      </c>
      <c r="E51" s="50">
        <v>0</v>
      </c>
      <c r="F51" s="50">
        <v>3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13</v>
      </c>
      <c r="N51" s="50">
        <v>0</v>
      </c>
      <c r="O51" s="15">
        <f t="shared" si="0"/>
        <v>7</v>
      </c>
      <c r="P51" s="15">
        <f t="shared" si="1"/>
        <v>20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6</v>
      </c>
      <c r="P52" s="15">
        <f t="shared" si="1"/>
        <v>18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3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4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4</v>
      </c>
      <c r="P54" s="15">
        <f t="shared" si="1"/>
        <v>15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2</v>
      </c>
      <c r="G55" s="50">
        <v>1</v>
      </c>
      <c r="H55" s="50">
        <v>0</v>
      </c>
      <c r="I55" s="50">
        <v>0</v>
      </c>
      <c r="J55" s="50">
        <v>2</v>
      </c>
      <c r="K55" s="50">
        <v>1</v>
      </c>
      <c r="L55" s="50">
        <v>0</v>
      </c>
      <c r="M55" s="50">
        <v>8</v>
      </c>
      <c r="N55" s="50">
        <v>0</v>
      </c>
      <c r="O55" s="15">
        <f t="shared" si="0"/>
        <v>7</v>
      </c>
      <c r="P55" s="15">
        <f t="shared" si="1"/>
        <v>15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2</v>
      </c>
      <c r="K56" s="50">
        <v>2</v>
      </c>
      <c r="L56" s="50">
        <v>0</v>
      </c>
      <c r="M56" s="50">
        <v>7</v>
      </c>
      <c r="N56" s="50">
        <v>0</v>
      </c>
      <c r="O56" s="15">
        <f t="shared" si="0"/>
        <v>7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0</v>
      </c>
      <c r="F57" s="50">
        <v>3</v>
      </c>
      <c r="G57" s="50">
        <v>0</v>
      </c>
      <c r="H57" s="50">
        <v>0</v>
      </c>
      <c r="I57" s="50">
        <v>4</v>
      </c>
      <c r="J57" s="50">
        <v>1</v>
      </c>
      <c r="K57" s="50">
        <v>2</v>
      </c>
      <c r="L57" s="50">
        <v>1</v>
      </c>
      <c r="M57" s="50">
        <v>10</v>
      </c>
      <c r="N57" s="50">
        <v>0</v>
      </c>
      <c r="O57" s="15">
        <f t="shared" si="0"/>
        <v>13</v>
      </c>
      <c r="P57" s="15">
        <f t="shared" si="1"/>
        <v>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44</v>
      </c>
      <c r="D58" s="16">
        <f t="shared" si="21"/>
        <v>9</v>
      </c>
      <c r="E58" s="16">
        <f t="shared" si="21"/>
        <v>9</v>
      </c>
      <c r="F58" s="16">
        <f t="shared" si="21"/>
        <v>57</v>
      </c>
      <c r="G58" s="16">
        <f t="shared" si="21"/>
        <v>3</v>
      </c>
      <c r="H58" s="16">
        <f t="shared" si="21"/>
        <v>3</v>
      </c>
      <c r="I58" s="16">
        <f t="shared" si="21"/>
        <v>23</v>
      </c>
      <c r="J58" s="16">
        <f t="shared" si="21"/>
        <v>22</v>
      </c>
      <c r="K58" s="16">
        <f t="shared" si="21"/>
        <v>10</v>
      </c>
      <c r="L58" s="16">
        <f t="shared" si="21"/>
        <v>2</v>
      </c>
      <c r="M58" s="16">
        <f t="shared" si="21"/>
        <v>484</v>
      </c>
      <c r="N58" s="16">
        <f t="shared" si="21"/>
        <v>1</v>
      </c>
      <c r="O58" s="16">
        <f t="shared" si="21"/>
        <v>183</v>
      </c>
      <c r="P58" s="16">
        <f t="shared" si="21"/>
        <v>667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6.5967016491754127E-2</v>
      </c>
      <c r="D59" s="43">
        <f t="shared" si="22"/>
        <v>1.3493253373313344E-2</v>
      </c>
      <c r="E59" s="43">
        <f t="shared" si="22"/>
        <v>1.3493253373313344E-2</v>
      </c>
      <c r="F59" s="43">
        <f t="shared" si="22"/>
        <v>8.5457271364317841E-2</v>
      </c>
      <c r="G59" s="43">
        <f t="shared" si="22"/>
        <v>4.4977511244377807E-3</v>
      </c>
      <c r="H59" s="43">
        <f t="shared" si="22"/>
        <v>4.4977511244377807E-3</v>
      </c>
      <c r="I59" s="43">
        <f t="shared" si="22"/>
        <v>3.4482758620689655E-2</v>
      </c>
      <c r="J59" s="43">
        <f t="shared" si="22"/>
        <v>3.2983508245877063E-2</v>
      </c>
      <c r="K59" s="43">
        <f t="shared" si="22"/>
        <v>1.4992503748125937E-2</v>
      </c>
      <c r="L59" s="43">
        <f t="shared" si="22"/>
        <v>2.9985007496251873E-3</v>
      </c>
      <c r="M59" s="43">
        <f t="shared" si="22"/>
        <v>0.72563718140929534</v>
      </c>
      <c r="N59" s="43">
        <f t="shared" si="22"/>
        <v>1.4992503748125937E-3</v>
      </c>
      <c r="R59" s="8"/>
      <c r="T59"/>
    </row>
    <row r="60" spans="2:20" ht="23.1" customHeight="1" x14ac:dyDescent="0.25">
      <c r="B60" s="42" t="s">
        <v>94</v>
      </c>
      <c r="C60" s="44">
        <f>C58/$O$58</f>
        <v>0.24043715846994534</v>
      </c>
      <c r="D60" s="44">
        <f t="shared" ref="D60:N60" si="23">D58/$O$58</f>
        <v>4.9180327868852458E-2</v>
      </c>
      <c r="E60" s="44">
        <f t="shared" si="23"/>
        <v>4.9180327868852458E-2</v>
      </c>
      <c r="F60" s="44">
        <f t="shared" si="23"/>
        <v>0.31147540983606559</v>
      </c>
      <c r="G60" s="44">
        <f t="shared" si="23"/>
        <v>1.6393442622950821E-2</v>
      </c>
      <c r="H60" s="44">
        <f t="shared" si="23"/>
        <v>1.6393442622950821E-2</v>
      </c>
      <c r="I60" s="44">
        <f t="shared" si="23"/>
        <v>0.12568306010928962</v>
      </c>
      <c r="J60" s="44">
        <f t="shared" si="23"/>
        <v>0.12021857923497267</v>
      </c>
      <c r="K60" s="44">
        <f t="shared" si="23"/>
        <v>5.4644808743169397E-2</v>
      </c>
      <c r="L60" s="44">
        <f t="shared" si="23"/>
        <v>1.092896174863388E-2</v>
      </c>
      <c r="M60" s="44"/>
      <c r="N60" s="44">
        <f t="shared" si="23"/>
        <v>5.4644808743169399E-3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KAYUNGA-GALIRAYA'!C3:G3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181</v>
      </c>
      <c r="E5" s="3"/>
      <c r="F5" s="41" t="s">
        <v>1</v>
      </c>
      <c r="G5" s="59" t="str">
        <f>'21.10 GALIRAYA-KAYUNGA-24h'!G5:H5</f>
        <v>KYANYA</v>
      </c>
      <c r="H5" s="60"/>
      <c r="I5" s="14"/>
      <c r="J5" s="2" t="s">
        <v>5</v>
      </c>
      <c r="K5" s="59" t="s">
        <v>182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KAYUNGA-GALIRAYA'!D6:E6</f>
        <v>KAYUNGA</v>
      </c>
      <c r="E6" s="60"/>
      <c r="F6" s="2" t="s">
        <v>2</v>
      </c>
      <c r="G6" s="59" t="str">
        <f>'17.10 KAYUNGA-GALIRAYA'!G6:H6</f>
        <v>GALIRAYA</v>
      </c>
      <c r="H6" s="60"/>
      <c r="J6" s="2" t="s">
        <v>21</v>
      </c>
      <c r="K6" s="59" t="str">
        <f>'21.10 GALIRAYA-KAYUNGA-24h'!K6:L6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2</v>
      </c>
      <c r="L10" s="50">
        <v>0</v>
      </c>
      <c r="M10" s="50">
        <v>5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3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4</v>
      </c>
      <c r="AB10" s="17">
        <f t="shared" si="2"/>
        <v>1</v>
      </c>
      <c r="AC10" s="17">
        <f t="shared" si="2"/>
        <v>20</v>
      </c>
      <c r="AD10" s="17">
        <f t="shared" si="2"/>
        <v>0</v>
      </c>
      <c r="AE10" s="31">
        <f t="shared" si="2"/>
        <v>16</v>
      </c>
      <c r="AF10" s="31">
        <f t="shared" si="2"/>
        <v>36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1</v>
      </c>
      <c r="L11" s="50">
        <v>1</v>
      </c>
      <c r="M11" s="50">
        <v>4</v>
      </c>
      <c r="N11" s="50">
        <v>0</v>
      </c>
      <c r="O11" s="15">
        <f t="shared" si="0"/>
        <v>4</v>
      </c>
      <c r="P11" s="15">
        <f t="shared" si="1"/>
        <v>8</v>
      </c>
      <c r="R11" s="1" t="s">
        <v>7</v>
      </c>
      <c r="S11" s="17">
        <f t="shared" ref="S11:AF11" si="3">SUM(C14:C17)</f>
        <v>5</v>
      </c>
      <c r="T11" s="17">
        <f t="shared" si="3"/>
        <v>0</v>
      </c>
      <c r="U11" s="17">
        <f t="shared" si="3"/>
        <v>1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1</v>
      </c>
      <c r="AB11" s="17">
        <f t="shared" si="3"/>
        <v>1</v>
      </c>
      <c r="AC11" s="17">
        <f t="shared" si="3"/>
        <v>22</v>
      </c>
      <c r="AD11" s="17">
        <f t="shared" si="3"/>
        <v>1</v>
      </c>
      <c r="AE11" s="31">
        <f t="shared" si="3"/>
        <v>16</v>
      </c>
      <c r="AF11" s="31">
        <f t="shared" si="3"/>
        <v>38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4</v>
      </c>
      <c r="N12" s="50">
        <v>0</v>
      </c>
      <c r="O12" s="15">
        <f t="shared" si="0"/>
        <v>4</v>
      </c>
      <c r="P12" s="15">
        <f t="shared" si="1"/>
        <v>8</v>
      </c>
      <c r="R12" s="1" t="s">
        <v>8</v>
      </c>
      <c r="S12" s="17">
        <f t="shared" ref="S12:AF12" si="4">SUM(C18:C21)</f>
        <v>2</v>
      </c>
      <c r="T12" s="17">
        <f t="shared" si="4"/>
        <v>2</v>
      </c>
      <c r="U12" s="17">
        <f t="shared" si="4"/>
        <v>2</v>
      </c>
      <c r="V12" s="17">
        <f t="shared" si="4"/>
        <v>3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2</v>
      </c>
      <c r="AA12" s="17">
        <f t="shared" si="4"/>
        <v>2</v>
      </c>
      <c r="AB12" s="17">
        <f t="shared" si="4"/>
        <v>0</v>
      </c>
      <c r="AC12" s="17">
        <f t="shared" si="4"/>
        <v>47</v>
      </c>
      <c r="AD12" s="17">
        <f t="shared" si="4"/>
        <v>0</v>
      </c>
      <c r="AE12" s="31">
        <f t="shared" si="4"/>
        <v>22</v>
      </c>
      <c r="AF12" s="31">
        <f t="shared" si="4"/>
        <v>69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2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5</v>
      </c>
      <c r="P13" s="15">
        <f t="shared" si="1"/>
        <v>12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0</v>
      </c>
      <c r="V13" s="17">
        <f t="shared" si="5"/>
        <v>5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2</v>
      </c>
      <c r="AB13" s="17">
        <f t="shared" si="5"/>
        <v>0</v>
      </c>
      <c r="AC13" s="17">
        <f t="shared" si="5"/>
        <v>42</v>
      </c>
      <c r="AD13" s="17">
        <f t="shared" si="5"/>
        <v>0</v>
      </c>
      <c r="AE13" s="31">
        <f t="shared" si="5"/>
        <v>18</v>
      </c>
      <c r="AF13" s="31">
        <f t="shared" si="5"/>
        <v>60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3</v>
      </c>
      <c r="P14" s="15">
        <f t="shared" si="1"/>
        <v>8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37</v>
      </c>
      <c r="AD14" s="17">
        <f t="shared" si="6"/>
        <v>0</v>
      </c>
      <c r="AE14" s="31">
        <f t="shared" si="6"/>
        <v>10</v>
      </c>
      <c r="AF14" s="31">
        <f t="shared" si="6"/>
        <v>47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1</v>
      </c>
      <c r="O15" s="15">
        <f t="shared" si="0"/>
        <v>2</v>
      </c>
      <c r="P15" s="15">
        <f t="shared" si="1"/>
        <v>6</v>
      </c>
      <c r="R15" s="1" t="s">
        <v>11</v>
      </c>
      <c r="S15" s="17">
        <f t="shared" ref="S15:AF15" si="7">SUM(C30:C33)</f>
        <v>5</v>
      </c>
      <c r="T15" s="17">
        <f t="shared" si="7"/>
        <v>0</v>
      </c>
      <c r="U15" s="17">
        <f t="shared" si="7"/>
        <v>0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44</v>
      </c>
      <c r="AD15" s="17">
        <f t="shared" si="7"/>
        <v>0</v>
      </c>
      <c r="AE15" s="31">
        <f t="shared" si="7"/>
        <v>18</v>
      </c>
      <c r="AF15" s="31">
        <f t="shared" si="7"/>
        <v>62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1</v>
      </c>
      <c r="M16" s="50">
        <v>5</v>
      </c>
      <c r="N16" s="50">
        <v>0</v>
      </c>
      <c r="O16" s="15">
        <f t="shared" si="0"/>
        <v>2</v>
      </c>
      <c r="P16" s="15">
        <f t="shared" si="1"/>
        <v>7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34</v>
      </c>
      <c r="AD16" s="17">
        <f t="shared" si="8"/>
        <v>1</v>
      </c>
      <c r="AE16" s="31">
        <f t="shared" si="8"/>
        <v>13</v>
      </c>
      <c r="AF16" s="31">
        <f t="shared" si="8"/>
        <v>47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1</v>
      </c>
      <c r="F17" s="50">
        <v>3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9</v>
      </c>
      <c r="P17" s="15">
        <f t="shared" si="1"/>
        <v>17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7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34</v>
      </c>
      <c r="AD17" s="17">
        <f t="shared" si="9"/>
        <v>0</v>
      </c>
      <c r="AE17" s="31">
        <f t="shared" si="9"/>
        <v>13</v>
      </c>
      <c r="AF17" s="31">
        <f t="shared" si="9"/>
        <v>47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3</v>
      </c>
      <c r="P18" s="15">
        <f t="shared" si="1"/>
        <v>9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1</v>
      </c>
      <c r="V18" s="17">
        <f t="shared" si="10"/>
        <v>6</v>
      </c>
      <c r="W18" s="17">
        <f t="shared" si="10"/>
        <v>0</v>
      </c>
      <c r="X18" s="17">
        <f t="shared" si="10"/>
        <v>1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31</v>
      </c>
      <c r="AD18" s="17">
        <f t="shared" si="10"/>
        <v>0</v>
      </c>
      <c r="AE18" s="31">
        <f t="shared" si="10"/>
        <v>15</v>
      </c>
      <c r="AF18" s="31">
        <f t="shared" si="10"/>
        <v>46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1</v>
      </c>
      <c r="H19" s="50">
        <v>0</v>
      </c>
      <c r="I19" s="50">
        <v>0</v>
      </c>
      <c r="J19" s="50">
        <v>0</v>
      </c>
      <c r="K19" s="50">
        <v>2</v>
      </c>
      <c r="L19" s="50">
        <v>0</v>
      </c>
      <c r="M19" s="50">
        <v>10</v>
      </c>
      <c r="N19" s="50">
        <v>0</v>
      </c>
      <c r="O19" s="15">
        <f t="shared" si="0"/>
        <v>4</v>
      </c>
      <c r="P19" s="15">
        <f t="shared" si="1"/>
        <v>14</v>
      </c>
      <c r="R19" s="1" t="s">
        <v>15</v>
      </c>
      <c r="S19" s="17">
        <f t="shared" ref="S19:AF19" si="11">SUM(C46:C49)</f>
        <v>3</v>
      </c>
      <c r="T19" s="17">
        <f t="shared" si="11"/>
        <v>1</v>
      </c>
      <c r="U19" s="17">
        <f t="shared" si="11"/>
        <v>1</v>
      </c>
      <c r="V19" s="17">
        <f t="shared" si="11"/>
        <v>4</v>
      </c>
      <c r="W19" s="17">
        <f t="shared" si="11"/>
        <v>0</v>
      </c>
      <c r="X19" s="17">
        <f t="shared" si="11"/>
        <v>1</v>
      </c>
      <c r="Y19" s="17">
        <f t="shared" si="11"/>
        <v>5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58</v>
      </c>
      <c r="AD19" s="17">
        <f t="shared" si="11"/>
        <v>0</v>
      </c>
      <c r="AE19" s="31">
        <f t="shared" si="11"/>
        <v>18</v>
      </c>
      <c r="AF19" s="31">
        <f t="shared" si="11"/>
        <v>76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1</v>
      </c>
      <c r="F20" s="50">
        <v>1</v>
      </c>
      <c r="G20" s="50">
        <v>0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8</v>
      </c>
      <c r="P20" s="15">
        <f t="shared" si="1"/>
        <v>25</v>
      </c>
      <c r="R20" s="1" t="s">
        <v>16</v>
      </c>
      <c r="S20" s="17">
        <f t="shared" ref="S20:AF20" si="12">SUM(C50:C53)</f>
        <v>4</v>
      </c>
      <c r="T20" s="17">
        <f t="shared" si="12"/>
        <v>1</v>
      </c>
      <c r="U20" s="17">
        <f t="shared" si="12"/>
        <v>0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7</v>
      </c>
      <c r="AD20" s="17">
        <f t="shared" si="12"/>
        <v>0</v>
      </c>
      <c r="AE20" s="31">
        <f t="shared" si="12"/>
        <v>13</v>
      </c>
      <c r="AF20" s="31">
        <f t="shared" si="12"/>
        <v>20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0</v>
      </c>
      <c r="F21" s="50">
        <v>1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7</v>
      </c>
      <c r="P21" s="15">
        <f t="shared" si="1"/>
        <v>21</v>
      </c>
      <c r="R21" s="36" t="s">
        <v>20</v>
      </c>
      <c r="S21" s="34">
        <f t="shared" ref="S21:AF21" si="13">SUM(C54:C57)</f>
        <v>3</v>
      </c>
      <c r="T21" s="17">
        <f t="shared" si="13"/>
        <v>2</v>
      </c>
      <c r="U21" s="17">
        <f t="shared" si="13"/>
        <v>1</v>
      </c>
      <c r="V21" s="17">
        <f t="shared" si="13"/>
        <v>6</v>
      </c>
      <c r="W21" s="17">
        <f t="shared" si="13"/>
        <v>1</v>
      </c>
      <c r="X21" s="17">
        <f t="shared" si="13"/>
        <v>0</v>
      </c>
      <c r="Y21" s="17">
        <f t="shared" si="13"/>
        <v>1</v>
      </c>
      <c r="Z21" s="17">
        <f t="shared" si="13"/>
        <v>3</v>
      </c>
      <c r="AA21" s="17">
        <f t="shared" si="13"/>
        <v>4</v>
      </c>
      <c r="AB21" s="17">
        <f t="shared" si="13"/>
        <v>0</v>
      </c>
      <c r="AC21" s="17">
        <f t="shared" si="13"/>
        <v>33</v>
      </c>
      <c r="AD21" s="17">
        <f t="shared" si="13"/>
        <v>0</v>
      </c>
      <c r="AE21" s="31">
        <f t="shared" si="13"/>
        <v>21</v>
      </c>
      <c r="AF21" s="31">
        <f t="shared" si="13"/>
        <v>54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2</v>
      </c>
      <c r="P22" s="15">
        <f t="shared" si="1"/>
        <v>6</v>
      </c>
      <c r="R22" s="38" t="s">
        <v>90</v>
      </c>
      <c r="S22" s="39">
        <f>MAX(S10:S12)</f>
        <v>5</v>
      </c>
      <c r="T22" s="39">
        <f t="shared" ref="T22:AF22" si="14">MAX(T10:T12)</f>
        <v>2</v>
      </c>
      <c r="U22" s="39">
        <f t="shared" si="14"/>
        <v>3</v>
      </c>
      <c r="V22" s="39">
        <f t="shared" si="14"/>
        <v>4</v>
      </c>
      <c r="W22" s="39">
        <f t="shared" si="14"/>
        <v>1</v>
      </c>
      <c r="X22" s="39">
        <f t="shared" si="14"/>
        <v>0</v>
      </c>
      <c r="Y22" s="39">
        <f t="shared" si="14"/>
        <v>8</v>
      </c>
      <c r="Z22" s="39">
        <f t="shared" si="14"/>
        <v>2</v>
      </c>
      <c r="AA22" s="39">
        <f t="shared" si="14"/>
        <v>4</v>
      </c>
      <c r="AB22" s="39">
        <f t="shared" si="14"/>
        <v>1</v>
      </c>
      <c r="AC22" s="39">
        <f t="shared" si="14"/>
        <v>47</v>
      </c>
      <c r="AD22" s="39">
        <f t="shared" si="14"/>
        <v>1</v>
      </c>
      <c r="AE22" s="40">
        <f t="shared" si="14"/>
        <v>22</v>
      </c>
      <c r="AF22" s="40">
        <f t="shared" si="14"/>
        <v>69</v>
      </c>
    </row>
    <row r="23" spans="2:32" ht="23.1" customHeight="1" x14ac:dyDescent="0.25">
      <c r="B23" s="23" t="s">
        <v>50</v>
      </c>
      <c r="C23" s="50">
        <v>1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6</v>
      </c>
      <c r="P23" s="15">
        <f t="shared" si="1"/>
        <v>19</v>
      </c>
      <c r="R23" s="38" t="s">
        <v>91</v>
      </c>
      <c r="S23" s="39">
        <f>MAX(S13:S18)</f>
        <v>5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8</v>
      </c>
      <c r="W23" s="39">
        <f t="shared" si="15"/>
        <v>1</v>
      </c>
      <c r="X23" s="39">
        <f t="shared" si="15"/>
        <v>1</v>
      </c>
      <c r="Y23" s="39">
        <f t="shared" si="15"/>
        <v>5</v>
      </c>
      <c r="Z23" s="39">
        <f t="shared" si="15"/>
        <v>2</v>
      </c>
      <c r="AA23" s="39">
        <f t="shared" si="15"/>
        <v>2</v>
      </c>
      <c r="AB23" s="39">
        <f t="shared" si="15"/>
        <v>0</v>
      </c>
      <c r="AC23" s="39">
        <f t="shared" si="15"/>
        <v>44</v>
      </c>
      <c r="AD23" s="39">
        <f t="shared" si="15"/>
        <v>1</v>
      </c>
      <c r="AE23" s="40">
        <f t="shared" si="15"/>
        <v>18</v>
      </c>
      <c r="AF23" s="40">
        <f t="shared" si="15"/>
        <v>62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2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4</v>
      </c>
      <c r="P24" s="15">
        <f t="shared" si="1"/>
        <v>17</v>
      </c>
      <c r="R24" s="38" t="s">
        <v>92</v>
      </c>
      <c r="S24" s="39">
        <f>MAX(S19:S21)</f>
        <v>4</v>
      </c>
      <c r="T24" s="39">
        <f t="shared" ref="T24:AF24" si="16">MAX(T19:T21)</f>
        <v>2</v>
      </c>
      <c r="U24" s="39">
        <f t="shared" si="16"/>
        <v>1</v>
      </c>
      <c r="V24" s="39">
        <f t="shared" si="16"/>
        <v>6</v>
      </c>
      <c r="W24" s="39">
        <f t="shared" si="16"/>
        <v>1</v>
      </c>
      <c r="X24" s="39">
        <f t="shared" si="16"/>
        <v>1</v>
      </c>
      <c r="Y24" s="39">
        <f t="shared" si="16"/>
        <v>5</v>
      </c>
      <c r="Z24" s="39">
        <f t="shared" si="16"/>
        <v>3</v>
      </c>
      <c r="AA24" s="39">
        <f t="shared" si="16"/>
        <v>4</v>
      </c>
      <c r="AB24" s="39">
        <f t="shared" si="16"/>
        <v>0</v>
      </c>
      <c r="AC24" s="39">
        <f t="shared" si="16"/>
        <v>58</v>
      </c>
      <c r="AD24" s="39">
        <f t="shared" si="16"/>
        <v>0</v>
      </c>
      <c r="AE24" s="40">
        <f t="shared" si="16"/>
        <v>21</v>
      </c>
      <c r="AF24" s="40">
        <f t="shared" si="16"/>
        <v>76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1</v>
      </c>
      <c r="J25" s="50">
        <v>0</v>
      </c>
      <c r="K25" s="50">
        <v>2</v>
      </c>
      <c r="L25" s="50">
        <v>0</v>
      </c>
      <c r="M25" s="50">
        <v>12</v>
      </c>
      <c r="N25" s="50">
        <v>0</v>
      </c>
      <c r="O25" s="15">
        <f t="shared" si="0"/>
        <v>6</v>
      </c>
      <c r="P25" s="15">
        <f t="shared" si="1"/>
        <v>18</v>
      </c>
      <c r="R25" s="37" t="s">
        <v>85</v>
      </c>
      <c r="S25" s="35">
        <f t="shared" ref="S25:AF25" si="17">SUM(S10:S12)</f>
        <v>8</v>
      </c>
      <c r="T25" s="16">
        <f t="shared" si="17"/>
        <v>2</v>
      </c>
      <c r="U25" s="16">
        <f t="shared" si="17"/>
        <v>6</v>
      </c>
      <c r="V25" s="16">
        <f t="shared" si="17"/>
        <v>10</v>
      </c>
      <c r="W25" s="16">
        <f t="shared" si="17"/>
        <v>1</v>
      </c>
      <c r="X25" s="16">
        <f t="shared" si="17"/>
        <v>0</v>
      </c>
      <c r="Y25" s="16">
        <f t="shared" si="17"/>
        <v>13</v>
      </c>
      <c r="Z25" s="16">
        <f t="shared" si="17"/>
        <v>4</v>
      </c>
      <c r="AA25" s="16">
        <f t="shared" si="17"/>
        <v>7</v>
      </c>
      <c r="AB25" s="16">
        <f t="shared" si="17"/>
        <v>2</v>
      </c>
      <c r="AC25" s="16">
        <f t="shared" si="17"/>
        <v>89</v>
      </c>
      <c r="AD25" s="16">
        <f t="shared" si="17"/>
        <v>1</v>
      </c>
      <c r="AE25" s="32">
        <f t="shared" si="17"/>
        <v>54</v>
      </c>
      <c r="AF25" s="32">
        <f t="shared" si="17"/>
        <v>143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0</v>
      </c>
      <c r="P26" s="15">
        <f t="shared" si="1"/>
        <v>9</v>
      </c>
      <c r="R26" s="28" t="s">
        <v>86</v>
      </c>
      <c r="S26" s="16">
        <f t="shared" ref="S26:AF26" si="18">SUM(S13:S18)</f>
        <v>13</v>
      </c>
      <c r="T26" s="16">
        <f t="shared" si="18"/>
        <v>1</v>
      </c>
      <c r="U26" s="16">
        <f t="shared" si="18"/>
        <v>3</v>
      </c>
      <c r="V26" s="16">
        <f t="shared" si="18"/>
        <v>36</v>
      </c>
      <c r="W26" s="16">
        <f t="shared" si="18"/>
        <v>1</v>
      </c>
      <c r="X26" s="16">
        <f t="shared" si="18"/>
        <v>1</v>
      </c>
      <c r="Y26" s="16">
        <f t="shared" si="18"/>
        <v>21</v>
      </c>
      <c r="Z26" s="16">
        <f t="shared" si="18"/>
        <v>8</v>
      </c>
      <c r="AA26" s="16">
        <f t="shared" si="18"/>
        <v>2</v>
      </c>
      <c r="AB26" s="16">
        <f t="shared" si="18"/>
        <v>0</v>
      </c>
      <c r="AC26" s="16">
        <f t="shared" si="18"/>
        <v>222</v>
      </c>
      <c r="AD26" s="16">
        <f t="shared" si="18"/>
        <v>1</v>
      </c>
      <c r="AE26" s="32">
        <f t="shared" si="18"/>
        <v>87</v>
      </c>
      <c r="AF26" s="32">
        <f t="shared" si="18"/>
        <v>309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0</v>
      </c>
      <c r="M27" s="50">
        <v>12</v>
      </c>
      <c r="N27" s="50">
        <v>0</v>
      </c>
      <c r="O27" s="15">
        <f t="shared" si="0"/>
        <v>5</v>
      </c>
      <c r="P27" s="15">
        <f t="shared" si="1"/>
        <v>17</v>
      </c>
      <c r="R27" s="29" t="s">
        <v>87</v>
      </c>
      <c r="S27" s="16">
        <f t="shared" ref="S27:AF27" si="19">SUM(S19:S21)</f>
        <v>10</v>
      </c>
      <c r="T27" s="16">
        <f t="shared" si="19"/>
        <v>4</v>
      </c>
      <c r="U27" s="16">
        <f t="shared" si="19"/>
        <v>2</v>
      </c>
      <c r="V27" s="16">
        <f t="shared" si="19"/>
        <v>14</v>
      </c>
      <c r="W27" s="16">
        <f t="shared" si="19"/>
        <v>1</v>
      </c>
      <c r="X27" s="16">
        <f t="shared" si="19"/>
        <v>1</v>
      </c>
      <c r="Y27" s="16">
        <f t="shared" si="19"/>
        <v>10</v>
      </c>
      <c r="Z27" s="16">
        <f t="shared" si="19"/>
        <v>6</v>
      </c>
      <c r="AA27" s="16">
        <f t="shared" si="19"/>
        <v>4</v>
      </c>
      <c r="AB27" s="16">
        <f t="shared" si="19"/>
        <v>0</v>
      </c>
      <c r="AC27" s="16">
        <f t="shared" si="19"/>
        <v>98</v>
      </c>
      <c r="AD27" s="16">
        <f t="shared" si="19"/>
        <v>0</v>
      </c>
      <c r="AE27" s="32">
        <f t="shared" si="19"/>
        <v>52</v>
      </c>
      <c r="AF27" s="32">
        <f t="shared" si="19"/>
        <v>150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4</v>
      </c>
      <c r="P28" s="15">
        <f t="shared" si="1"/>
        <v>14</v>
      </c>
      <c r="R28" s="5" t="s">
        <v>17</v>
      </c>
      <c r="S28" s="16">
        <f t="shared" ref="S28:AF28" si="20">SUM(S10:S21)</f>
        <v>31</v>
      </c>
      <c r="T28" s="16">
        <f t="shared" si="20"/>
        <v>7</v>
      </c>
      <c r="U28" s="16">
        <f t="shared" si="20"/>
        <v>11</v>
      </c>
      <c r="V28" s="16">
        <f t="shared" si="20"/>
        <v>60</v>
      </c>
      <c r="W28" s="16">
        <f t="shared" si="20"/>
        <v>3</v>
      </c>
      <c r="X28" s="16">
        <f t="shared" si="20"/>
        <v>2</v>
      </c>
      <c r="Y28" s="16">
        <f t="shared" si="20"/>
        <v>44</v>
      </c>
      <c r="Z28" s="16">
        <f t="shared" si="20"/>
        <v>18</v>
      </c>
      <c r="AA28" s="16">
        <f t="shared" si="20"/>
        <v>13</v>
      </c>
      <c r="AB28" s="16">
        <f t="shared" si="20"/>
        <v>2</v>
      </c>
      <c r="AC28" s="16">
        <f t="shared" si="20"/>
        <v>409</v>
      </c>
      <c r="AD28" s="16">
        <f t="shared" si="20"/>
        <v>2</v>
      </c>
      <c r="AE28" s="32">
        <f t="shared" si="20"/>
        <v>193</v>
      </c>
      <c r="AF28" s="32">
        <f t="shared" si="20"/>
        <v>602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1</v>
      </c>
      <c r="P29" s="15">
        <f t="shared" si="1"/>
        <v>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4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7</v>
      </c>
      <c r="P30" s="15">
        <f t="shared" si="1"/>
        <v>22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2</v>
      </c>
      <c r="P31" s="15">
        <f t="shared" si="1"/>
        <v>4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13</v>
      </c>
      <c r="N32" s="50">
        <v>0</v>
      </c>
      <c r="O32" s="15">
        <f t="shared" si="0"/>
        <v>5</v>
      </c>
      <c r="P32" s="15">
        <f t="shared" si="1"/>
        <v>18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4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2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11</v>
      </c>
      <c r="N35" s="50">
        <v>1</v>
      </c>
      <c r="O35" s="15">
        <f t="shared" si="0"/>
        <v>2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4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5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4</v>
      </c>
      <c r="P37" s="15">
        <f t="shared" si="1"/>
        <v>9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4</v>
      </c>
      <c r="P38" s="15">
        <f t="shared" si="1"/>
        <v>9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2</v>
      </c>
      <c r="P39" s="15">
        <f t="shared" si="1"/>
        <v>14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3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3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4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6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2</v>
      </c>
      <c r="G43" s="50">
        <v>0</v>
      </c>
      <c r="H43" s="50">
        <v>1</v>
      </c>
      <c r="I43" s="50">
        <v>1</v>
      </c>
      <c r="J43" s="50">
        <v>0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5</v>
      </c>
      <c r="P43" s="15">
        <f t="shared" si="1"/>
        <v>8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2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2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1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4</v>
      </c>
      <c r="P47" s="15">
        <f t="shared" si="1"/>
        <v>20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1</v>
      </c>
      <c r="F48" s="50">
        <v>1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7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2</v>
      </c>
      <c r="G49" s="50">
        <v>0</v>
      </c>
      <c r="H49" s="50">
        <v>1</v>
      </c>
      <c r="I49" s="50">
        <v>1</v>
      </c>
      <c r="J49" s="50">
        <v>1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6</v>
      </c>
      <c r="P49" s="15">
        <f t="shared" si="1"/>
        <v>23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4</v>
      </c>
      <c r="P50" s="15">
        <f t="shared" si="1"/>
        <v>4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4</v>
      </c>
      <c r="P51" s="15">
        <f t="shared" si="1"/>
        <v>6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</v>
      </c>
      <c r="N52" s="50">
        <v>0</v>
      </c>
      <c r="O52" s="15">
        <f t="shared" si="0"/>
        <v>3</v>
      </c>
      <c r="P52" s="15">
        <f t="shared" si="1"/>
        <v>4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2</v>
      </c>
      <c r="P53" s="15">
        <f t="shared" si="1"/>
        <v>6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1</v>
      </c>
      <c r="J54" s="50">
        <v>3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6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0</v>
      </c>
      <c r="M55" s="50">
        <v>5</v>
      </c>
      <c r="N55" s="50">
        <v>0</v>
      </c>
      <c r="O55" s="15">
        <f t="shared" si="0"/>
        <v>4</v>
      </c>
      <c r="P55" s="15">
        <f t="shared" si="1"/>
        <v>9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2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3</v>
      </c>
      <c r="L56" s="50">
        <v>0</v>
      </c>
      <c r="M56" s="50">
        <v>10</v>
      </c>
      <c r="N56" s="50">
        <v>0</v>
      </c>
      <c r="O56" s="15">
        <f t="shared" si="0"/>
        <v>7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0</v>
      </c>
      <c r="F57" s="50">
        <v>1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4</v>
      </c>
      <c r="P57" s="15">
        <f t="shared" si="1"/>
        <v>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</v>
      </c>
      <c r="D58" s="16">
        <f t="shared" si="21"/>
        <v>7</v>
      </c>
      <c r="E58" s="16">
        <f t="shared" si="21"/>
        <v>11</v>
      </c>
      <c r="F58" s="16">
        <f t="shared" si="21"/>
        <v>60</v>
      </c>
      <c r="G58" s="16">
        <f t="shared" si="21"/>
        <v>3</v>
      </c>
      <c r="H58" s="16">
        <f t="shared" si="21"/>
        <v>2</v>
      </c>
      <c r="I58" s="16">
        <f t="shared" si="21"/>
        <v>44</v>
      </c>
      <c r="J58" s="16">
        <f t="shared" si="21"/>
        <v>18</v>
      </c>
      <c r="K58" s="16">
        <f t="shared" si="21"/>
        <v>13</v>
      </c>
      <c r="L58" s="16">
        <f t="shared" si="21"/>
        <v>2</v>
      </c>
      <c r="M58" s="16">
        <f t="shared" si="21"/>
        <v>409</v>
      </c>
      <c r="N58" s="16">
        <f t="shared" si="21"/>
        <v>2</v>
      </c>
      <c r="O58" s="16">
        <f t="shared" si="21"/>
        <v>193</v>
      </c>
      <c r="P58" s="16">
        <f t="shared" si="21"/>
        <v>602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5.1495016611295678E-2</v>
      </c>
      <c r="D59" s="43">
        <f t="shared" si="22"/>
        <v>1.1627906976744186E-2</v>
      </c>
      <c r="E59" s="43">
        <f t="shared" si="22"/>
        <v>1.8272425249169437E-2</v>
      </c>
      <c r="F59" s="43">
        <f t="shared" si="22"/>
        <v>9.9667774086378738E-2</v>
      </c>
      <c r="G59" s="43">
        <f t="shared" si="22"/>
        <v>4.9833887043189366E-3</v>
      </c>
      <c r="H59" s="43">
        <f t="shared" si="22"/>
        <v>3.3222591362126247E-3</v>
      </c>
      <c r="I59" s="43">
        <f t="shared" si="22"/>
        <v>7.3089700996677748E-2</v>
      </c>
      <c r="J59" s="43">
        <f t="shared" si="22"/>
        <v>2.9900332225913623E-2</v>
      </c>
      <c r="K59" s="43">
        <f t="shared" si="22"/>
        <v>2.1594684385382059E-2</v>
      </c>
      <c r="L59" s="43">
        <f t="shared" si="22"/>
        <v>3.3222591362126247E-3</v>
      </c>
      <c r="M59" s="43">
        <f t="shared" si="22"/>
        <v>0.67940199335548168</v>
      </c>
      <c r="N59" s="43">
        <f t="shared" si="22"/>
        <v>3.3222591362126247E-3</v>
      </c>
      <c r="R59" s="8"/>
      <c r="T59"/>
    </row>
    <row r="60" spans="2:20" ht="23.1" customHeight="1" x14ac:dyDescent="0.25">
      <c r="B60" s="42" t="s">
        <v>94</v>
      </c>
      <c r="C60" s="44">
        <f>C58/$O$58</f>
        <v>0.16062176165803108</v>
      </c>
      <c r="D60" s="44">
        <f t="shared" ref="D60:N60" si="23">D58/$O$58</f>
        <v>3.6269430051813469E-2</v>
      </c>
      <c r="E60" s="44">
        <f t="shared" si="23"/>
        <v>5.6994818652849742E-2</v>
      </c>
      <c r="F60" s="44">
        <f t="shared" si="23"/>
        <v>0.31088082901554404</v>
      </c>
      <c r="G60" s="44">
        <f t="shared" si="23"/>
        <v>1.5544041450777202E-2</v>
      </c>
      <c r="H60" s="44">
        <f t="shared" si="23"/>
        <v>1.0362694300518135E-2</v>
      </c>
      <c r="I60" s="44">
        <f t="shared" si="23"/>
        <v>0.22797927461139897</v>
      </c>
      <c r="J60" s="44">
        <f t="shared" si="23"/>
        <v>9.3264248704663211E-2</v>
      </c>
      <c r="K60" s="44">
        <f t="shared" si="23"/>
        <v>6.7357512953367879E-2</v>
      </c>
      <c r="L60" s="44">
        <f t="shared" si="23"/>
        <v>1.0362694300518135E-2</v>
      </c>
      <c r="M60" s="44"/>
      <c r="N60" s="44">
        <f t="shared" si="23"/>
        <v>1.0362694300518135E-2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'17.10 GALIRAYA-KAYUNGA'!C3:G3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tr">
        <f>'23.10 KAYUNGA-GALIRAYA'!D5</f>
        <v>23.10.19</v>
      </c>
      <c r="E5" s="3"/>
      <c r="F5" s="41" t="s">
        <v>1</v>
      </c>
      <c r="G5" s="59" t="str">
        <f>'23.10 KAYUNGA-GALIRAYA'!G5:H5</f>
        <v>KYANYA</v>
      </c>
      <c r="H5" s="60"/>
      <c r="I5" s="14"/>
      <c r="J5" s="2" t="s">
        <v>5</v>
      </c>
      <c r="K5" s="59" t="s">
        <v>169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tr">
        <f>'17.10 GALIRAYA-KAYUNGA'!D6:E6</f>
        <v>GALIRAYA</v>
      </c>
      <c r="E6" s="60"/>
      <c r="F6" s="2" t="s">
        <v>2</v>
      </c>
      <c r="G6" s="59" t="str">
        <f>'17.10 GALIRAYA-KAYUNGA'!G6:H6</f>
        <v>KAYUNGA</v>
      </c>
      <c r="H6" s="60"/>
      <c r="J6" s="2" t="s">
        <v>21</v>
      </c>
      <c r="K6" s="59" t="str">
        <f>'23.10 KAYUNGA-GALIRAYA'!K6:L6</f>
        <v>GODFREY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36</v>
      </c>
      <c r="AD10" s="17">
        <f t="shared" si="2"/>
        <v>0</v>
      </c>
      <c r="AE10" s="31">
        <f t="shared" si="2"/>
        <v>7</v>
      </c>
      <c r="AF10" s="31">
        <f t="shared" si="2"/>
        <v>43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1</v>
      </c>
      <c r="P11" s="15">
        <f t="shared" si="1"/>
        <v>11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1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36</v>
      </c>
      <c r="AD11" s="17">
        <f t="shared" si="3"/>
        <v>0</v>
      </c>
      <c r="AE11" s="31">
        <f t="shared" si="3"/>
        <v>10</v>
      </c>
      <c r="AF11" s="31">
        <f t="shared" si="3"/>
        <v>46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1</v>
      </c>
      <c r="P12" s="15">
        <f t="shared" si="1"/>
        <v>7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46</v>
      </c>
      <c r="AD12" s="17">
        <f t="shared" si="4"/>
        <v>0</v>
      </c>
      <c r="AE12" s="31">
        <f t="shared" si="4"/>
        <v>10</v>
      </c>
      <c r="AF12" s="31">
        <f t="shared" si="4"/>
        <v>56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13</v>
      </c>
      <c r="N13" s="50">
        <v>0</v>
      </c>
      <c r="O13" s="15">
        <f t="shared" si="0"/>
        <v>2</v>
      </c>
      <c r="P13" s="15">
        <f t="shared" si="1"/>
        <v>15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0</v>
      </c>
      <c r="V13" s="17">
        <f t="shared" si="5"/>
        <v>2</v>
      </c>
      <c r="W13" s="17">
        <f t="shared" si="5"/>
        <v>2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42</v>
      </c>
      <c r="AD13" s="17">
        <f t="shared" si="5"/>
        <v>0</v>
      </c>
      <c r="AE13" s="31">
        <f t="shared" si="5"/>
        <v>6</v>
      </c>
      <c r="AF13" s="31">
        <f t="shared" si="5"/>
        <v>48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3</v>
      </c>
      <c r="P14" s="15">
        <f t="shared" si="1"/>
        <v>7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2</v>
      </c>
      <c r="V14" s="17">
        <f t="shared" si="6"/>
        <v>3</v>
      </c>
      <c r="W14" s="17">
        <f t="shared" si="6"/>
        <v>1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36</v>
      </c>
      <c r="AD14" s="17">
        <f t="shared" si="6"/>
        <v>0</v>
      </c>
      <c r="AE14" s="31">
        <f t="shared" si="6"/>
        <v>13</v>
      </c>
      <c r="AF14" s="31">
        <f t="shared" si="6"/>
        <v>49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2</v>
      </c>
      <c r="P15" s="15">
        <f t="shared" si="1"/>
        <v>14</v>
      </c>
      <c r="R15" s="1" t="s">
        <v>11</v>
      </c>
      <c r="S15" s="17">
        <f t="shared" ref="S15:AF15" si="7">SUM(C30:C33)</f>
        <v>3</v>
      </c>
      <c r="T15" s="17">
        <f t="shared" si="7"/>
        <v>2</v>
      </c>
      <c r="U15" s="17">
        <f t="shared" si="7"/>
        <v>1</v>
      </c>
      <c r="V15" s="17">
        <f t="shared" si="7"/>
        <v>6</v>
      </c>
      <c r="W15" s="17">
        <f t="shared" si="7"/>
        <v>1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56</v>
      </c>
      <c r="AD15" s="17">
        <f t="shared" si="7"/>
        <v>0</v>
      </c>
      <c r="AE15" s="31">
        <f t="shared" si="7"/>
        <v>15</v>
      </c>
      <c r="AF15" s="31">
        <f t="shared" si="7"/>
        <v>71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1</v>
      </c>
      <c r="P16" s="15">
        <f t="shared" si="1"/>
        <v>12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0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43</v>
      </c>
      <c r="AD16" s="17">
        <f t="shared" si="8"/>
        <v>1</v>
      </c>
      <c r="AE16" s="31">
        <f t="shared" si="8"/>
        <v>11</v>
      </c>
      <c r="AF16" s="31">
        <f t="shared" si="8"/>
        <v>54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4</v>
      </c>
      <c r="P17" s="15">
        <f t="shared" si="1"/>
        <v>13</v>
      </c>
      <c r="R17" s="1" t="s">
        <v>13</v>
      </c>
      <c r="S17" s="17">
        <f t="shared" ref="S17:AF17" si="9">SUM(C38:C41)</f>
        <v>4</v>
      </c>
      <c r="T17" s="17">
        <f t="shared" si="9"/>
        <v>1</v>
      </c>
      <c r="U17" s="17">
        <f t="shared" si="9"/>
        <v>1</v>
      </c>
      <c r="V17" s="17">
        <f t="shared" si="9"/>
        <v>5</v>
      </c>
      <c r="W17" s="17">
        <f t="shared" si="9"/>
        <v>1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40</v>
      </c>
      <c r="AD17" s="17">
        <f t="shared" si="9"/>
        <v>0</v>
      </c>
      <c r="AE17" s="31">
        <f t="shared" si="9"/>
        <v>17</v>
      </c>
      <c r="AF17" s="31">
        <f t="shared" si="9"/>
        <v>57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5</v>
      </c>
      <c r="P18" s="15">
        <f t="shared" si="1"/>
        <v>16</v>
      </c>
      <c r="R18" s="1" t="s">
        <v>14</v>
      </c>
      <c r="S18" s="17">
        <f t="shared" ref="S18:AF18" si="10">SUM(C42:C45)</f>
        <v>5</v>
      </c>
      <c r="T18" s="17">
        <f t="shared" si="10"/>
        <v>0</v>
      </c>
      <c r="U18" s="17">
        <f t="shared" si="10"/>
        <v>1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31</v>
      </c>
      <c r="AD18" s="17">
        <f t="shared" si="10"/>
        <v>0</v>
      </c>
      <c r="AE18" s="31">
        <f t="shared" si="10"/>
        <v>18</v>
      </c>
      <c r="AF18" s="31">
        <f t="shared" si="10"/>
        <v>49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2</v>
      </c>
      <c r="P19" s="15">
        <f t="shared" si="1"/>
        <v>11</v>
      </c>
      <c r="R19" s="1" t="s">
        <v>15</v>
      </c>
      <c r="S19" s="17">
        <f t="shared" ref="S19:AF19" si="11">SUM(C46:C49)</f>
        <v>4</v>
      </c>
      <c r="T19" s="17">
        <f t="shared" si="11"/>
        <v>1</v>
      </c>
      <c r="U19" s="17">
        <f t="shared" si="11"/>
        <v>0</v>
      </c>
      <c r="V19" s="17">
        <f t="shared" si="11"/>
        <v>11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5</v>
      </c>
      <c r="AA19" s="17">
        <f t="shared" si="11"/>
        <v>1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26</v>
      </c>
      <c r="AF19" s="31">
        <f t="shared" si="11"/>
        <v>48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13</v>
      </c>
      <c r="N20" s="50">
        <v>0</v>
      </c>
      <c r="O20" s="15">
        <f t="shared" si="0"/>
        <v>3</v>
      </c>
      <c r="P20" s="15">
        <f t="shared" si="1"/>
        <v>16</v>
      </c>
      <c r="R20" s="1" t="s">
        <v>16</v>
      </c>
      <c r="S20" s="17">
        <f t="shared" ref="S20:AF20" si="12">SUM(C50:C53)</f>
        <v>2</v>
      </c>
      <c r="T20" s="17">
        <f t="shared" si="12"/>
        <v>0</v>
      </c>
      <c r="U20" s="17">
        <f t="shared" si="12"/>
        <v>1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3</v>
      </c>
      <c r="AB20" s="17">
        <f t="shared" si="12"/>
        <v>0</v>
      </c>
      <c r="AC20" s="17">
        <f t="shared" si="12"/>
        <v>7</v>
      </c>
      <c r="AD20" s="17">
        <f t="shared" si="12"/>
        <v>0</v>
      </c>
      <c r="AE20" s="31">
        <f t="shared" si="12"/>
        <v>12</v>
      </c>
      <c r="AF20" s="31">
        <f t="shared" si="12"/>
        <v>19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0</v>
      </c>
      <c r="P21" s="15">
        <f t="shared" si="1"/>
        <v>13</v>
      </c>
      <c r="R21" s="36" t="s">
        <v>20</v>
      </c>
      <c r="S21" s="34">
        <f t="shared" ref="S21:AF21" si="13">SUM(C54:C57)</f>
        <v>2</v>
      </c>
      <c r="T21" s="17">
        <f t="shared" si="13"/>
        <v>2</v>
      </c>
      <c r="U21" s="17">
        <f t="shared" si="13"/>
        <v>2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8</v>
      </c>
      <c r="AA21" s="17">
        <f t="shared" si="13"/>
        <v>2</v>
      </c>
      <c r="AB21" s="17">
        <f t="shared" si="13"/>
        <v>0</v>
      </c>
      <c r="AC21" s="17">
        <f t="shared" si="13"/>
        <v>38</v>
      </c>
      <c r="AD21" s="17">
        <f t="shared" si="13"/>
        <v>0</v>
      </c>
      <c r="AE21" s="31">
        <f t="shared" si="13"/>
        <v>23</v>
      </c>
      <c r="AF21" s="31">
        <f t="shared" si="13"/>
        <v>61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1</v>
      </c>
      <c r="P22" s="15">
        <f t="shared" si="1"/>
        <v>10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46</v>
      </c>
      <c r="AD22" s="39">
        <f t="shared" si="14"/>
        <v>0</v>
      </c>
      <c r="AE22" s="40">
        <f t="shared" si="14"/>
        <v>10</v>
      </c>
      <c r="AF22" s="40">
        <f t="shared" si="14"/>
        <v>56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2</v>
      </c>
      <c r="P23" s="15">
        <f t="shared" si="1"/>
        <v>14</v>
      </c>
      <c r="R23" s="38" t="s">
        <v>91</v>
      </c>
      <c r="S23" s="39">
        <f>MAX(S13:S18)</f>
        <v>5</v>
      </c>
      <c r="T23" s="39">
        <f t="shared" ref="T23:AF23" si="15">MAX(T13:T18)</f>
        <v>2</v>
      </c>
      <c r="U23" s="39">
        <f t="shared" si="15"/>
        <v>2</v>
      </c>
      <c r="V23" s="39">
        <f t="shared" si="15"/>
        <v>6</v>
      </c>
      <c r="W23" s="39">
        <f t="shared" si="15"/>
        <v>2</v>
      </c>
      <c r="X23" s="39">
        <f t="shared" si="15"/>
        <v>0</v>
      </c>
      <c r="Y23" s="39">
        <f t="shared" si="15"/>
        <v>5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56</v>
      </c>
      <c r="AD23" s="39">
        <f t="shared" si="15"/>
        <v>1</v>
      </c>
      <c r="AE23" s="40">
        <f t="shared" si="15"/>
        <v>18</v>
      </c>
      <c r="AF23" s="40">
        <f t="shared" si="15"/>
        <v>71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2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2</v>
      </c>
      <c r="P24" s="15">
        <f t="shared" si="1"/>
        <v>15</v>
      </c>
      <c r="R24" s="38" t="s">
        <v>92</v>
      </c>
      <c r="S24" s="39">
        <f>MAX(S19:S21)</f>
        <v>4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11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8</v>
      </c>
      <c r="AA24" s="39">
        <f t="shared" si="16"/>
        <v>3</v>
      </c>
      <c r="AB24" s="39">
        <f t="shared" si="16"/>
        <v>0</v>
      </c>
      <c r="AC24" s="39">
        <f t="shared" si="16"/>
        <v>38</v>
      </c>
      <c r="AD24" s="39">
        <f t="shared" si="16"/>
        <v>0</v>
      </c>
      <c r="AE24" s="40">
        <f t="shared" si="16"/>
        <v>26</v>
      </c>
      <c r="AF24" s="40">
        <f t="shared" si="16"/>
        <v>61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1</v>
      </c>
      <c r="P25" s="15">
        <f t="shared" si="1"/>
        <v>9</v>
      </c>
      <c r="R25" s="37" t="s">
        <v>85</v>
      </c>
      <c r="S25" s="35">
        <f t="shared" ref="S25:AF25" si="17">SUM(S10:S12)</f>
        <v>5</v>
      </c>
      <c r="T25" s="16">
        <f t="shared" si="17"/>
        <v>0</v>
      </c>
      <c r="U25" s="16">
        <f t="shared" si="17"/>
        <v>2</v>
      </c>
      <c r="V25" s="16">
        <f t="shared" si="17"/>
        <v>15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2</v>
      </c>
      <c r="AA25" s="16">
        <f t="shared" si="17"/>
        <v>1</v>
      </c>
      <c r="AB25" s="16">
        <f t="shared" si="17"/>
        <v>0</v>
      </c>
      <c r="AC25" s="16">
        <f t="shared" si="17"/>
        <v>118</v>
      </c>
      <c r="AD25" s="16">
        <f t="shared" si="17"/>
        <v>0</v>
      </c>
      <c r="AE25" s="32">
        <f t="shared" si="17"/>
        <v>27</v>
      </c>
      <c r="AF25" s="32">
        <f t="shared" si="17"/>
        <v>145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3</v>
      </c>
      <c r="P26" s="15">
        <f t="shared" si="1"/>
        <v>14</v>
      </c>
      <c r="R26" s="28" t="s">
        <v>86</v>
      </c>
      <c r="S26" s="16">
        <f t="shared" ref="S26:AF26" si="18">SUM(S13:S18)</f>
        <v>17</v>
      </c>
      <c r="T26" s="16">
        <f t="shared" si="18"/>
        <v>3</v>
      </c>
      <c r="U26" s="16">
        <f t="shared" si="18"/>
        <v>5</v>
      </c>
      <c r="V26" s="16">
        <f t="shared" si="18"/>
        <v>25</v>
      </c>
      <c r="W26" s="16">
        <f t="shared" si="18"/>
        <v>5</v>
      </c>
      <c r="X26" s="16">
        <f t="shared" si="18"/>
        <v>0</v>
      </c>
      <c r="Y26" s="16">
        <f t="shared" si="18"/>
        <v>14</v>
      </c>
      <c r="Z26" s="16">
        <f t="shared" si="18"/>
        <v>8</v>
      </c>
      <c r="AA26" s="16">
        <f t="shared" si="18"/>
        <v>2</v>
      </c>
      <c r="AB26" s="16">
        <f t="shared" si="18"/>
        <v>0</v>
      </c>
      <c r="AC26" s="16">
        <f t="shared" si="18"/>
        <v>248</v>
      </c>
      <c r="AD26" s="16">
        <f t="shared" si="18"/>
        <v>1</v>
      </c>
      <c r="AE26" s="32">
        <f t="shared" si="18"/>
        <v>80</v>
      </c>
      <c r="AF26" s="32">
        <f t="shared" si="18"/>
        <v>328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3</v>
      </c>
      <c r="P27" s="15">
        <f t="shared" si="1"/>
        <v>12</v>
      </c>
      <c r="R27" s="29" t="s">
        <v>87</v>
      </c>
      <c r="S27" s="16">
        <f t="shared" ref="S27:AF27" si="19">SUM(S19:S21)</f>
        <v>8</v>
      </c>
      <c r="T27" s="16">
        <f t="shared" si="19"/>
        <v>3</v>
      </c>
      <c r="U27" s="16">
        <f t="shared" si="19"/>
        <v>3</v>
      </c>
      <c r="V27" s="16">
        <f t="shared" si="19"/>
        <v>17</v>
      </c>
      <c r="W27" s="16">
        <f t="shared" si="19"/>
        <v>0</v>
      </c>
      <c r="X27" s="16">
        <f t="shared" si="19"/>
        <v>0</v>
      </c>
      <c r="Y27" s="16">
        <f t="shared" si="19"/>
        <v>10</v>
      </c>
      <c r="Z27" s="16">
        <f t="shared" si="19"/>
        <v>14</v>
      </c>
      <c r="AA27" s="16">
        <f t="shared" si="19"/>
        <v>6</v>
      </c>
      <c r="AB27" s="16">
        <f t="shared" si="19"/>
        <v>0</v>
      </c>
      <c r="AC27" s="16">
        <f t="shared" si="19"/>
        <v>67</v>
      </c>
      <c r="AD27" s="16">
        <f t="shared" si="19"/>
        <v>0</v>
      </c>
      <c r="AE27" s="32">
        <f t="shared" si="19"/>
        <v>61</v>
      </c>
      <c r="AF27" s="32">
        <f t="shared" si="19"/>
        <v>128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3</v>
      </c>
      <c r="P28" s="15">
        <f t="shared" si="1"/>
        <v>12</v>
      </c>
      <c r="R28" s="5" t="s">
        <v>17</v>
      </c>
      <c r="S28" s="16">
        <f t="shared" ref="S28:AF28" si="20">SUM(S10:S21)</f>
        <v>30</v>
      </c>
      <c r="T28" s="16">
        <f t="shared" si="20"/>
        <v>6</v>
      </c>
      <c r="U28" s="16">
        <f t="shared" si="20"/>
        <v>10</v>
      </c>
      <c r="V28" s="16">
        <f t="shared" si="20"/>
        <v>57</v>
      </c>
      <c r="W28" s="16">
        <f t="shared" si="20"/>
        <v>5</v>
      </c>
      <c r="X28" s="16">
        <f t="shared" si="20"/>
        <v>0</v>
      </c>
      <c r="Y28" s="16">
        <f t="shared" si="20"/>
        <v>26</v>
      </c>
      <c r="Z28" s="16">
        <f t="shared" si="20"/>
        <v>24</v>
      </c>
      <c r="AA28" s="16">
        <f t="shared" si="20"/>
        <v>9</v>
      </c>
      <c r="AB28" s="16">
        <f t="shared" si="20"/>
        <v>0</v>
      </c>
      <c r="AC28" s="16">
        <f t="shared" si="20"/>
        <v>433</v>
      </c>
      <c r="AD28" s="16">
        <f t="shared" si="20"/>
        <v>1</v>
      </c>
      <c r="AE28" s="32">
        <f t="shared" si="20"/>
        <v>168</v>
      </c>
      <c r="AF28" s="32">
        <f t="shared" si="20"/>
        <v>601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1</v>
      </c>
      <c r="G29" s="50">
        <v>1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4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4</v>
      </c>
      <c r="P30" s="15">
        <f t="shared" si="1"/>
        <v>19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3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2</v>
      </c>
      <c r="G32" s="50">
        <v>1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21</v>
      </c>
      <c r="N32" s="50">
        <v>0</v>
      </c>
      <c r="O32" s="15">
        <f t="shared" si="0"/>
        <v>6</v>
      </c>
      <c r="P32" s="15">
        <f t="shared" si="1"/>
        <v>27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2</v>
      </c>
      <c r="P33" s="15">
        <f t="shared" si="1"/>
        <v>14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1</v>
      </c>
      <c r="P34" s="15">
        <f t="shared" si="1"/>
        <v>16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3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2</v>
      </c>
      <c r="P36" s="15">
        <f t="shared" si="1"/>
        <v>13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7</v>
      </c>
      <c r="N37" s="50">
        <v>1</v>
      </c>
      <c r="O37" s="15">
        <f t="shared" si="0"/>
        <v>5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3</v>
      </c>
      <c r="P38" s="15">
        <f t="shared" si="1"/>
        <v>16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7</v>
      </c>
      <c r="N39" s="50">
        <v>0</v>
      </c>
      <c r="O39" s="15">
        <f t="shared" si="0"/>
        <v>3</v>
      </c>
      <c r="P39" s="15">
        <f t="shared" si="1"/>
        <v>10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1</v>
      </c>
      <c r="G40" s="50">
        <v>1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</v>
      </c>
      <c r="N40" s="50">
        <v>0</v>
      </c>
      <c r="O40" s="15">
        <f t="shared" si="0"/>
        <v>4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1</v>
      </c>
      <c r="F41" s="50">
        <v>2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17</v>
      </c>
      <c r="N41" s="50">
        <v>0</v>
      </c>
      <c r="O41" s="15">
        <f t="shared" si="0"/>
        <v>7</v>
      </c>
      <c r="P41" s="15">
        <f t="shared" si="1"/>
        <v>24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3</v>
      </c>
      <c r="P42" s="15">
        <f t="shared" si="1"/>
        <v>10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3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6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4</v>
      </c>
      <c r="P44" s="15">
        <f t="shared" si="1"/>
        <v>14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0</v>
      </c>
      <c r="M45" s="50">
        <v>7</v>
      </c>
      <c r="N45" s="50">
        <v>0</v>
      </c>
      <c r="O45" s="15">
        <f t="shared" si="0"/>
        <v>5</v>
      </c>
      <c r="P45" s="15">
        <f t="shared" si="1"/>
        <v>12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4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6</v>
      </c>
      <c r="P46" s="15">
        <f t="shared" si="1"/>
        <v>12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1</v>
      </c>
      <c r="E47" s="50">
        <v>0</v>
      </c>
      <c r="F47" s="50">
        <v>4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9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1</v>
      </c>
      <c r="J48" s="50">
        <v>2</v>
      </c>
      <c r="K48" s="50">
        <v>1</v>
      </c>
      <c r="L48" s="50">
        <v>0</v>
      </c>
      <c r="M48" s="50">
        <v>8</v>
      </c>
      <c r="N48" s="50">
        <v>0</v>
      </c>
      <c r="O48" s="15">
        <f t="shared" si="0"/>
        <v>6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5</v>
      </c>
      <c r="P49" s="15">
        <f t="shared" si="1"/>
        <v>10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3</v>
      </c>
      <c r="P50" s="15">
        <f t="shared" si="1"/>
        <v>3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3</v>
      </c>
      <c r="P51" s="15">
        <f t="shared" si="1"/>
        <v>5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2</v>
      </c>
      <c r="L52" s="50">
        <v>0</v>
      </c>
      <c r="M52" s="50">
        <v>1</v>
      </c>
      <c r="N52" s="50">
        <v>0</v>
      </c>
      <c r="O52" s="15">
        <f t="shared" si="0"/>
        <v>3</v>
      </c>
      <c r="P52" s="15">
        <f t="shared" si="1"/>
        <v>4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1</v>
      </c>
      <c r="L53" s="50">
        <v>0</v>
      </c>
      <c r="M53" s="50">
        <v>4</v>
      </c>
      <c r="N53" s="50">
        <v>0</v>
      </c>
      <c r="O53" s="15">
        <f t="shared" si="0"/>
        <v>3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3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5</v>
      </c>
      <c r="P54" s="15">
        <f t="shared" si="1"/>
        <v>14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2</v>
      </c>
      <c r="L55" s="50">
        <v>0</v>
      </c>
      <c r="M55" s="50">
        <v>9</v>
      </c>
      <c r="N55" s="50">
        <v>0</v>
      </c>
      <c r="O55" s="15">
        <f t="shared" si="0"/>
        <v>5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2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4</v>
      </c>
      <c r="P56" s="15">
        <f t="shared" si="1"/>
        <v>16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2</v>
      </c>
      <c r="E57" s="50">
        <v>1</v>
      </c>
      <c r="F57" s="50">
        <v>0</v>
      </c>
      <c r="G57" s="50">
        <v>0</v>
      </c>
      <c r="H57" s="50">
        <v>0</v>
      </c>
      <c r="I57" s="50">
        <v>2</v>
      </c>
      <c r="J57" s="50">
        <v>3</v>
      </c>
      <c r="K57" s="50">
        <v>0</v>
      </c>
      <c r="L57" s="50">
        <v>0</v>
      </c>
      <c r="M57" s="51">
        <v>8</v>
      </c>
      <c r="N57" s="50">
        <v>0</v>
      </c>
      <c r="O57" s="15">
        <f t="shared" si="0"/>
        <v>9</v>
      </c>
      <c r="P57" s="15">
        <f t="shared" si="1"/>
        <v>17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</v>
      </c>
      <c r="D58" s="16">
        <f t="shared" si="21"/>
        <v>6</v>
      </c>
      <c r="E58" s="16">
        <f t="shared" si="21"/>
        <v>10</v>
      </c>
      <c r="F58" s="16">
        <f t="shared" si="21"/>
        <v>57</v>
      </c>
      <c r="G58" s="16">
        <f t="shared" si="21"/>
        <v>5</v>
      </c>
      <c r="H58" s="16">
        <f t="shared" si="21"/>
        <v>0</v>
      </c>
      <c r="I58" s="16">
        <f t="shared" si="21"/>
        <v>26</v>
      </c>
      <c r="J58" s="16">
        <f t="shared" si="21"/>
        <v>24</v>
      </c>
      <c r="K58" s="16">
        <f t="shared" si="21"/>
        <v>9</v>
      </c>
      <c r="L58" s="16">
        <f t="shared" si="21"/>
        <v>0</v>
      </c>
      <c r="M58" s="16">
        <f t="shared" si="21"/>
        <v>433</v>
      </c>
      <c r="N58" s="16">
        <f t="shared" si="21"/>
        <v>1</v>
      </c>
      <c r="O58" s="16">
        <f t="shared" si="21"/>
        <v>168</v>
      </c>
      <c r="P58" s="16">
        <f t="shared" si="21"/>
        <v>601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4.9916805324459232E-2</v>
      </c>
      <c r="D59" s="43">
        <f t="shared" si="22"/>
        <v>9.9833610648918467E-3</v>
      </c>
      <c r="E59" s="43">
        <f t="shared" si="22"/>
        <v>1.6638935108153077E-2</v>
      </c>
      <c r="F59" s="43">
        <f t="shared" si="22"/>
        <v>9.4841930116472545E-2</v>
      </c>
      <c r="G59" s="43">
        <f t="shared" si="22"/>
        <v>8.3194675540765387E-3</v>
      </c>
      <c r="H59" s="43">
        <f t="shared" si="22"/>
        <v>0</v>
      </c>
      <c r="I59" s="43">
        <f t="shared" si="22"/>
        <v>4.3261231281198007E-2</v>
      </c>
      <c r="J59" s="43">
        <f t="shared" si="22"/>
        <v>3.9933444259567387E-2</v>
      </c>
      <c r="K59" s="43">
        <f t="shared" si="22"/>
        <v>1.4975041597337771E-2</v>
      </c>
      <c r="L59" s="43">
        <f t="shared" si="22"/>
        <v>0</v>
      </c>
      <c r="M59" s="43">
        <f t="shared" si="22"/>
        <v>0.72046589018302831</v>
      </c>
      <c r="N59" s="43">
        <f t="shared" si="22"/>
        <v>1.6638935108153079E-3</v>
      </c>
      <c r="R59" s="8"/>
      <c r="T59"/>
    </row>
    <row r="60" spans="2:20" ht="23.1" customHeight="1" x14ac:dyDescent="0.25">
      <c r="B60" s="42" t="s">
        <v>94</v>
      </c>
      <c r="C60" s="44">
        <f>C58/$O$58</f>
        <v>0.17857142857142858</v>
      </c>
      <c r="D60" s="44">
        <f t="shared" ref="D60:N60" si="23">D58/$O$58</f>
        <v>3.5714285714285712E-2</v>
      </c>
      <c r="E60" s="44">
        <f t="shared" si="23"/>
        <v>5.9523809523809521E-2</v>
      </c>
      <c r="F60" s="44">
        <f t="shared" si="23"/>
        <v>0.3392857142857143</v>
      </c>
      <c r="G60" s="44">
        <f t="shared" si="23"/>
        <v>2.976190476190476E-2</v>
      </c>
      <c r="H60" s="44">
        <f t="shared" si="23"/>
        <v>0</v>
      </c>
      <c r="I60" s="44">
        <f t="shared" si="23"/>
        <v>0.15476190476190477</v>
      </c>
      <c r="J60" s="44">
        <f t="shared" si="23"/>
        <v>0.14285714285714285</v>
      </c>
      <c r="K60" s="44">
        <f t="shared" si="23"/>
        <v>5.3571428571428568E-2</v>
      </c>
      <c r="L60" s="44">
        <f t="shared" si="23"/>
        <v>0</v>
      </c>
      <c r="M60" s="44"/>
      <c r="N60" s="44">
        <f t="shared" si="23"/>
        <v>5.9523809523809521E-3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N48" zoomScale="60" workbookViewId="0">
      <selection activeCell="AC52" sqref="AC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'23.10 GALIRAYA-KAYUNGA'!C3:G3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'23.10 KAYUNGA-GALIRAYA'!G5:H5</f>
        <v>KYANYA</v>
      </c>
      <c r="H5" s="66"/>
      <c r="I5" s="14"/>
      <c r="J5" s="2" t="s">
        <v>5</v>
      </c>
      <c r="K5" s="65" t="s">
        <v>183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'23.10 KAYUNGA-GALIRAYA'!D6:E6</f>
        <v>KAYUNGA</v>
      </c>
      <c r="E6" s="66"/>
      <c r="F6" s="2" t="s">
        <v>2</v>
      </c>
      <c r="G6" s="65" t="str">
        <f>'23.10 KAYUNGA-GALIRAYA'!G6:H6</f>
        <v>GALIRAYA</v>
      </c>
      <c r="H6" s="66"/>
      <c r="J6" s="2" t="s">
        <v>21</v>
      </c>
      <c r="K6" s="65" t="str">
        <f>'23.10 KAYUNGA-GALIRAYA'!K6:L6</f>
        <v>GODFREY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KAYUNGA-GALIRAYA'!C10,'18.10 KAYUNGA-GALIRAYA'!C10,'19.10 KAYUNGA-GALIRAYA-24h'!C10,'20.10 KAYUNGA-GALIRAYA'!C10,'21.10 KAYUNGA-GALIRAYA-24h'!C10,'22.10 KAYUNGA-GALIRAYA'!C10,'23.10 KAYUNGA-GALIRAYA'!C10)</f>
        <v>0.14285714285714285</v>
      </c>
      <c r="D10" s="49">
        <f>AVERAGE('17.10 KAYUNGA-GALIRAYA'!D10,'18.10 KAYUNGA-GALIRAYA'!D10,'19.10 KAYUNGA-GALIRAYA-24h'!D10,'20.10 KAYUNGA-GALIRAYA'!D10,'21.10 KAYUNGA-GALIRAYA-24h'!D10,'22.10 KAYUNGA-GALIRAYA'!D10,'23.10 KAYUNGA-GALIRAYA'!D10)</f>
        <v>0</v>
      </c>
      <c r="E10" s="49">
        <f>AVERAGE('17.10 KAYUNGA-GALIRAYA'!E10,'18.10 KAYUNGA-GALIRAYA'!E10,'19.10 KAYUNGA-GALIRAYA-24h'!E10,'20.10 KAYUNGA-GALIRAYA'!E10,'21.10 KAYUNGA-GALIRAYA-24h'!E10,'22.10 KAYUNGA-GALIRAYA'!E10,'23.10 KAYUNGA-GALIRAYA'!E10)</f>
        <v>0.42857142857142855</v>
      </c>
      <c r="F10" s="49">
        <f>AVERAGE('17.10 KAYUNGA-GALIRAYA'!F10,'18.10 KAYUNGA-GALIRAYA'!F10,'19.10 KAYUNGA-GALIRAYA-24h'!F10,'20.10 KAYUNGA-GALIRAYA'!F10,'21.10 KAYUNGA-GALIRAYA-24h'!F10,'22.10 KAYUNGA-GALIRAYA'!F10,'23.10 KAYUNGA-GALIRAYA'!F10)</f>
        <v>0.7142857142857143</v>
      </c>
      <c r="G10" s="49">
        <f>AVERAGE('17.10 KAYUNGA-GALIRAYA'!G10,'18.10 KAYUNGA-GALIRAYA'!G10,'19.10 KAYUNGA-GALIRAYA-24h'!G10,'20.10 KAYUNGA-GALIRAYA'!G10,'21.10 KAYUNGA-GALIRAYA-24h'!G10,'22.10 KAYUNGA-GALIRAYA'!G10,'23.10 KAYUNGA-GALIRAYA'!G10)</f>
        <v>0.14285714285714285</v>
      </c>
      <c r="H10" s="49">
        <f>AVERAGE('17.10 KAYUNGA-GALIRAYA'!H10,'18.10 KAYUNGA-GALIRAYA'!H10,'19.10 KAYUNGA-GALIRAYA-24h'!H10,'20.10 KAYUNGA-GALIRAYA'!H10,'21.10 KAYUNGA-GALIRAYA-24h'!H10,'22.10 KAYUNGA-GALIRAYA'!H10,'23.10 KAYUNGA-GALIRAYA'!H10)</f>
        <v>0</v>
      </c>
      <c r="I10" s="49">
        <f>AVERAGE('17.10 KAYUNGA-GALIRAYA'!I10,'18.10 KAYUNGA-GALIRAYA'!I10,'19.10 KAYUNGA-GALIRAYA-24h'!I10,'20.10 KAYUNGA-GALIRAYA'!I10,'21.10 KAYUNGA-GALIRAYA-24h'!I10,'22.10 KAYUNGA-GALIRAYA'!I10,'23.10 KAYUNGA-GALIRAYA'!I10)</f>
        <v>1.1428571428571428</v>
      </c>
      <c r="J10" s="49">
        <f>AVERAGE('17.10 KAYUNGA-GALIRAYA'!J10,'18.10 KAYUNGA-GALIRAYA'!J10,'19.10 KAYUNGA-GALIRAYA-24h'!J10,'20.10 KAYUNGA-GALIRAYA'!J10,'21.10 KAYUNGA-GALIRAYA-24h'!J10,'22.10 KAYUNGA-GALIRAYA'!J10,'23.10 KAYUNGA-GALIRAYA'!J10)</f>
        <v>0.42857142857142855</v>
      </c>
      <c r="K10" s="49">
        <f>AVERAGE('17.10 KAYUNGA-GALIRAYA'!K10,'18.10 KAYUNGA-GALIRAYA'!K10,'19.10 KAYUNGA-GALIRAYA-24h'!K10,'20.10 KAYUNGA-GALIRAYA'!K10,'21.10 KAYUNGA-GALIRAYA-24h'!K10,'22.10 KAYUNGA-GALIRAYA'!K10,'23.10 KAYUNGA-GALIRAYA'!K10)</f>
        <v>1.4285714285714286</v>
      </c>
      <c r="L10" s="49">
        <f>AVERAGE('17.10 KAYUNGA-GALIRAYA'!L10,'18.10 KAYUNGA-GALIRAYA'!L10,'19.10 KAYUNGA-GALIRAYA-24h'!L10,'20.10 KAYUNGA-GALIRAYA'!L10,'21.10 KAYUNGA-GALIRAYA-24h'!L10,'22.10 KAYUNGA-GALIRAYA'!L10,'23.10 KAYUNGA-GALIRAYA'!L10)</f>
        <v>0</v>
      </c>
      <c r="M10" s="49">
        <f>AVERAGE('17.10 KAYUNGA-GALIRAYA'!M10,'18.10 KAYUNGA-GALIRAYA'!M10,'19.10 KAYUNGA-GALIRAYA-24h'!M10,'20.10 KAYUNGA-GALIRAYA'!M10,'21.10 KAYUNGA-GALIRAYA-24h'!M10,'22.10 KAYUNGA-GALIRAYA'!M10,'23.10 KAYUNGA-GALIRAYA'!M10)</f>
        <v>3.1428571428571428</v>
      </c>
      <c r="N10" s="49">
        <f>AVERAGE('17.10 KAYUNGA-GALIRAYA'!N10,'18.10 KAYUNGA-GALIRAYA'!N10,'19.10 KAYUNGA-GALIRAYA-24h'!N10,'20.10 KAYUNGA-GALIRAYA'!N10,'21.10 KAYUNGA-GALIRAYA-24h'!N10,'22.10 KAYUNGA-GALIRAYA'!N10,'23.10 KAYUNGA-GALIRAYA'!N10)</f>
        <v>0</v>
      </c>
      <c r="O10" s="15">
        <f t="shared" ref="O10:O73" si="0">SUM(C10:L10,N10)</f>
        <v>4.4285714285714279</v>
      </c>
      <c r="P10" s="15">
        <f t="shared" ref="P10:P73" si="1">SUM(C10:N10)</f>
        <v>7.5714285714285712</v>
      </c>
      <c r="R10" s="1" t="s">
        <v>6</v>
      </c>
      <c r="S10" s="17">
        <f t="shared" ref="S10:AF10" si="2">SUM(C10:C13)</f>
        <v>1.5714285714285712</v>
      </c>
      <c r="T10" s="17">
        <f t="shared" si="2"/>
        <v>0</v>
      </c>
      <c r="U10" s="17">
        <f t="shared" si="2"/>
        <v>1.2857142857142856</v>
      </c>
      <c r="V10" s="17">
        <f t="shared" si="2"/>
        <v>3.1428571428571423</v>
      </c>
      <c r="W10" s="17">
        <f t="shared" si="2"/>
        <v>0.14285714285714285</v>
      </c>
      <c r="X10" s="17">
        <f t="shared" si="2"/>
        <v>0</v>
      </c>
      <c r="Y10" s="17">
        <f t="shared" si="2"/>
        <v>3.8571428571428572</v>
      </c>
      <c r="Z10" s="17">
        <f t="shared" si="2"/>
        <v>2</v>
      </c>
      <c r="AA10" s="17">
        <f t="shared" si="2"/>
        <v>3.7142857142857144</v>
      </c>
      <c r="AB10" s="17">
        <f t="shared" si="2"/>
        <v>0.14285714285714285</v>
      </c>
      <c r="AC10" s="17">
        <f t="shared" si="2"/>
        <v>14.714285714285715</v>
      </c>
      <c r="AD10" s="17">
        <f t="shared" si="2"/>
        <v>0</v>
      </c>
      <c r="AE10" s="31">
        <f t="shared" si="2"/>
        <v>15.857142857142856</v>
      </c>
      <c r="AF10" s="31">
        <f t="shared" si="2"/>
        <v>30.571428571428573</v>
      </c>
    </row>
    <row r="11" spans="2:32" s="6" customFormat="1" ht="23.1" customHeight="1" x14ac:dyDescent="0.25">
      <c r="B11" s="23" t="s">
        <v>38</v>
      </c>
      <c r="C11" s="49">
        <f>AVERAGE('17.10 KAYUNGA-GALIRAYA'!C11,'18.10 KAYUNGA-GALIRAYA'!C11,'19.10 KAYUNGA-GALIRAYA-24h'!C11,'20.10 KAYUNGA-GALIRAYA'!C11,'21.10 KAYUNGA-GALIRAYA-24h'!C11,'22.10 KAYUNGA-GALIRAYA'!C11,'23.10 KAYUNGA-GALIRAYA'!C11)</f>
        <v>0.42857142857142855</v>
      </c>
      <c r="D11" s="49">
        <f>AVERAGE('17.10 KAYUNGA-GALIRAYA'!D11,'18.10 KAYUNGA-GALIRAYA'!D11,'19.10 KAYUNGA-GALIRAYA-24h'!D11,'20.10 KAYUNGA-GALIRAYA'!D11,'21.10 KAYUNGA-GALIRAYA-24h'!D11,'22.10 KAYUNGA-GALIRAYA'!D11,'23.10 KAYUNGA-GALIRAYA'!D11)</f>
        <v>0</v>
      </c>
      <c r="E11" s="49">
        <f>AVERAGE('17.10 KAYUNGA-GALIRAYA'!E11,'18.10 KAYUNGA-GALIRAYA'!E11,'19.10 KAYUNGA-GALIRAYA-24h'!E11,'20.10 KAYUNGA-GALIRAYA'!E11,'21.10 KAYUNGA-GALIRAYA-24h'!E11,'22.10 KAYUNGA-GALIRAYA'!E11,'23.10 KAYUNGA-GALIRAYA'!E11)</f>
        <v>0.14285714285714285</v>
      </c>
      <c r="F11" s="49">
        <f>AVERAGE('17.10 KAYUNGA-GALIRAYA'!F11,'18.10 KAYUNGA-GALIRAYA'!F11,'19.10 KAYUNGA-GALIRAYA-24h'!F11,'20.10 KAYUNGA-GALIRAYA'!F11,'21.10 KAYUNGA-GALIRAYA-24h'!F11,'22.10 KAYUNGA-GALIRAYA'!F11,'23.10 KAYUNGA-GALIRAYA'!F11)</f>
        <v>0.5714285714285714</v>
      </c>
      <c r="G11" s="49">
        <f>AVERAGE('17.10 KAYUNGA-GALIRAYA'!G11,'18.10 KAYUNGA-GALIRAYA'!G11,'19.10 KAYUNGA-GALIRAYA-24h'!G11,'20.10 KAYUNGA-GALIRAYA'!G11,'21.10 KAYUNGA-GALIRAYA-24h'!G11,'22.10 KAYUNGA-GALIRAYA'!G11,'23.10 KAYUNGA-GALIRAYA'!G11)</f>
        <v>0</v>
      </c>
      <c r="H11" s="49">
        <f>AVERAGE('17.10 KAYUNGA-GALIRAYA'!H11,'18.10 KAYUNGA-GALIRAYA'!H11,'19.10 KAYUNGA-GALIRAYA-24h'!H11,'20.10 KAYUNGA-GALIRAYA'!H11,'21.10 KAYUNGA-GALIRAYA-24h'!H11,'22.10 KAYUNGA-GALIRAYA'!H11,'23.10 KAYUNGA-GALIRAYA'!H11)</f>
        <v>0</v>
      </c>
      <c r="I11" s="49">
        <f>AVERAGE('17.10 KAYUNGA-GALIRAYA'!I11,'18.10 KAYUNGA-GALIRAYA'!I11,'19.10 KAYUNGA-GALIRAYA-24h'!I11,'20.10 KAYUNGA-GALIRAYA'!I11,'21.10 KAYUNGA-GALIRAYA-24h'!I11,'22.10 KAYUNGA-GALIRAYA'!I11,'23.10 KAYUNGA-GALIRAYA'!I11)</f>
        <v>1.1428571428571428</v>
      </c>
      <c r="J11" s="49">
        <f>AVERAGE('17.10 KAYUNGA-GALIRAYA'!J11,'18.10 KAYUNGA-GALIRAYA'!J11,'19.10 KAYUNGA-GALIRAYA-24h'!J11,'20.10 KAYUNGA-GALIRAYA'!J11,'21.10 KAYUNGA-GALIRAYA-24h'!J11,'22.10 KAYUNGA-GALIRAYA'!J11,'23.10 KAYUNGA-GALIRAYA'!J11)</f>
        <v>0.8571428571428571</v>
      </c>
      <c r="K11" s="49">
        <f>AVERAGE('17.10 KAYUNGA-GALIRAYA'!K11,'18.10 KAYUNGA-GALIRAYA'!K11,'19.10 KAYUNGA-GALIRAYA-24h'!K11,'20.10 KAYUNGA-GALIRAYA'!K11,'21.10 KAYUNGA-GALIRAYA-24h'!K11,'22.10 KAYUNGA-GALIRAYA'!K11,'23.10 KAYUNGA-GALIRAYA'!K11)</f>
        <v>1</v>
      </c>
      <c r="L11" s="49">
        <f>AVERAGE('17.10 KAYUNGA-GALIRAYA'!L11,'18.10 KAYUNGA-GALIRAYA'!L11,'19.10 KAYUNGA-GALIRAYA-24h'!L11,'20.10 KAYUNGA-GALIRAYA'!L11,'21.10 KAYUNGA-GALIRAYA-24h'!L11,'22.10 KAYUNGA-GALIRAYA'!L11,'23.10 KAYUNGA-GALIRAYA'!L11)</f>
        <v>0.14285714285714285</v>
      </c>
      <c r="M11" s="49">
        <f>AVERAGE('17.10 KAYUNGA-GALIRAYA'!M11,'18.10 KAYUNGA-GALIRAYA'!M11,'19.10 KAYUNGA-GALIRAYA-24h'!M11,'20.10 KAYUNGA-GALIRAYA'!M11,'21.10 KAYUNGA-GALIRAYA-24h'!M11,'22.10 KAYUNGA-GALIRAYA'!M11,'23.10 KAYUNGA-GALIRAYA'!M11)</f>
        <v>3.1428571428571428</v>
      </c>
      <c r="N11" s="49">
        <f>AVERAGE('17.10 KAYUNGA-GALIRAYA'!N11,'18.10 KAYUNGA-GALIRAYA'!N11,'19.10 KAYUNGA-GALIRAYA-24h'!N11,'20.10 KAYUNGA-GALIRAYA'!N11,'21.10 KAYUNGA-GALIRAYA-24h'!N11,'22.10 KAYUNGA-GALIRAYA'!N11,'23.10 KAYUNGA-GALIRAYA'!N11)</f>
        <v>0</v>
      </c>
      <c r="O11" s="15">
        <f t="shared" si="0"/>
        <v>4.2857142857142856</v>
      </c>
      <c r="P11" s="15">
        <f t="shared" si="1"/>
        <v>7.4285714285714288</v>
      </c>
      <c r="R11" s="1" t="s">
        <v>7</v>
      </c>
      <c r="S11" s="17">
        <f t="shared" ref="S11:AF11" si="3">SUM(C14:C17)</f>
        <v>2.7142857142857144</v>
      </c>
      <c r="T11" s="17">
        <f t="shared" si="3"/>
        <v>0.5714285714285714</v>
      </c>
      <c r="U11" s="17">
        <f t="shared" si="3"/>
        <v>0.8571428571428571</v>
      </c>
      <c r="V11" s="17">
        <f t="shared" si="3"/>
        <v>3.714285714285714</v>
      </c>
      <c r="W11" s="17">
        <f t="shared" si="3"/>
        <v>0</v>
      </c>
      <c r="X11" s="17">
        <f t="shared" si="3"/>
        <v>0.42857142857142855</v>
      </c>
      <c r="Y11" s="17">
        <f t="shared" si="3"/>
        <v>3.4285714285714284</v>
      </c>
      <c r="Z11" s="17">
        <f t="shared" si="3"/>
        <v>1.8571428571428572</v>
      </c>
      <c r="AA11" s="17">
        <f t="shared" si="3"/>
        <v>1.2857142857142856</v>
      </c>
      <c r="AB11" s="17">
        <f t="shared" si="3"/>
        <v>0.42857142857142855</v>
      </c>
      <c r="AC11" s="17">
        <f t="shared" si="3"/>
        <v>28.714285714285715</v>
      </c>
      <c r="AD11" s="17">
        <f t="shared" si="3"/>
        <v>1.2857142857142858</v>
      </c>
      <c r="AE11" s="31">
        <f t="shared" si="3"/>
        <v>16.571428571428569</v>
      </c>
      <c r="AF11" s="31">
        <f t="shared" si="3"/>
        <v>45.285714285714285</v>
      </c>
    </row>
    <row r="12" spans="2:32" ht="23.1" customHeight="1" x14ac:dyDescent="0.25">
      <c r="B12" s="23" t="s">
        <v>39</v>
      </c>
      <c r="C12" s="49">
        <f>AVERAGE('17.10 KAYUNGA-GALIRAYA'!C12,'18.10 KAYUNGA-GALIRAYA'!C12,'19.10 KAYUNGA-GALIRAYA-24h'!C12,'20.10 KAYUNGA-GALIRAYA'!C12,'21.10 KAYUNGA-GALIRAYA-24h'!C12,'22.10 KAYUNGA-GALIRAYA'!C12,'23.10 KAYUNGA-GALIRAYA'!C12)</f>
        <v>0.7142857142857143</v>
      </c>
      <c r="D12" s="49">
        <f>AVERAGE('17.10 KAYUNGA-GALIRAYA'!D12,'18.10 KAYUNGA-GALIRAYA'!D12,'19.10 KAYUNGA-GALIRAYA-24h'!D12,'20.10 KAYUNGA-GALIRAYA'!D12,'21.10 KAYUNGA-GALIRAYA-24h'!D12,'22.10 KAYUNGA-GALIRAYA'!D12,'23.10 KAYUNGA-GALIRAYA'!D12)</f>
        <v>0</v>
      </c>
      <c r="E12" s="49">
        <f>AVERAGE('17.10 KAYUNGA-GALIRAYA'!E12,'18.10 KAYUNGA-GALIRAYA'!E12,'19.10 KAYUNGA-GALIRAYA-24h'!E12,'20.10 KAYUNGA-GALIRAYA'!E12,'21.10 KAYUNGA-GALIRAYA-24h'!E12,'22.10 KAYUNGA-GALIRAYA'!E12,'23.10 KAYUNGA-GALIRAYA'!E12)</f>
        <v>0.14285714285714285</v>
      </c>
      <c r="F12" s="49">
        <f>AVERAGE('17.10 KAYUNGA-GALIRAYA'!F12,'18.10 KAYUNGA-GALIRAYA'!F12,'19.10 KAYUNGA-GALIRAYA-24h'!F12,'20.10 KAYUNGA-GALIRAYA'!F12,'21.10 KAYUNGA-GALIRAYA-24h'!F12,'22.10 KAYUNGA-GALIRAYA'!F12,'23.10 KAYUNGA-GALIRAYA'!F12)</f>
        <v>0.2857142857142857</v>
      </c>
      <c r="G12" s="49">
        <f>AVERAGE('17.10 KAYUNGA-GALIRAYA'!G12,'18.10 KAYUNGA-GALIRAYA'!G12,'19.10 KAYUNGA-GALIRAYA-24h'!G12,'20.10 KAYUNGA-GALIRAYA'!G12,'21.10 KAYUNGA-GALIRAYA-24h'!G12,'22.10 KAYUNGA-GALIRAYA'!G12,'23.10 KAYUNGA-GALIRAYA'!G12)</f>
        <v>0</v>
      </c>
      <c r="H12" s="49">
        <f>AVERAGE('17.10 KAYUNGA-GALIRAYA'!H12,'18.10 KAYUNGA-GALIRAYA'!H12,'19.10 KAYUNGA-GALIRAYA-24h'!H12,'20.10 KAYUNGA-GALIRAYA'!H12,'21.10 KAYUNGA-GALIRAYA-24h'!H12,'22.10 KAYUNGA-GALIRAYA'!H12,'23.10 KAYUNGA-GALIRAYA'!H12)</f>
        <v>0</v>
      </c>
      <c r="I12" s="49">
        <f>AVERAGE('17.10 KAYUNGA-GALIRAYA'!I12,'18.10 KAYUNGA-GALIRAYA'!I12,'19.10 KAYUNGA-GALIRAYA-24h'!I12,'20.10 KAYUNGA-GALIRAYA'!I12,'21.10 KAYUNGA-GALIRAYA-24h'!I12,'22.10 KAYUNGA-GALIRAYA'!I12,'23.10 KAYUNGA-GALIRAYA'!I12)</f>
        <v>0.8571428571428571</v>
      </c>
      <c r="J12" s="49">
        <f>AVERAGE('17.10 KAYUNGA-GALIRAYA'!J12,'18.10 KAYUNGA-GALIRAYA'!J12,'19.10 KAYUNGA-GALIRAYA-24h'!J12,'20.10 KAYUNGA-GALIRAYA'!J12,'21.10 KAYUNGA-GALIRAYA-24h'!J12,'22.10 KAYUNGA-GALIRAYA'!J12,'23.10 KAYUNGA-GALIRAYA'!J12)</f>
        <v>0.42857142857142855</v>
      </c>
      <c r="K12" s="49">
        <f>AVERAGE('17.10 KAYUNGA-GALIRAYA'!K12,'18.10 KAYUNGA-GALIRAYA'!K12,'19.10 KAYUNGA-GALIRAYA-24h'!K12,'20.10 KAYUNGA-GALIRAYA'!K12,'21.10 KAYUNGA-GALIRAYA-24h'!K12,'22.10 KAYUNGA-GALIRAYA'!K12,'23.10 KAYUNGA-GALIRAYA'!K12)</f>
        <v>1</v>
      </c>
      <c r="L12" s="49">
        <f>AVERAGE('17.10 KAYUNGA-GALIRAYA'!L12,'18.10 KAYUNGA-GALIRAYA'!L12,'19.10 KAYUNGA-GALIRAYA-24h'!L12,'20.10 KAYUNGA-GALIRAYA'!L12,'21.10 KAYUNGA-GALIRAYA-24h'!L12,'22.10 KAYUNGA-GALIRAYA'!L12,'23.10 KAYUNGA-GALIRAYA'!L12)</f>
        <v>0</v>
      </c>
      <c r="M12" s="49">
        <f>AVERAGE('17.10 KAYUNGA-GALIRAYA'!M12,'18.10 KAYUNGA-GALIRAYA'!M12,'19.10 KAYUNGA-GALIRAYA-24h'!M12,'20.10 KAYUNGA-GALIRAYA'!M12,'21.10 KAYUNGA-GALIRAYA-24h'!M12,'22.10 KAYUNGA-GALIRAYA'!M12,'23.10 KAYUNGA-GALIRAYA'!M12)</f>
        <v>4.2857142857142856</v>
      </c>
      <c r="N12" s="49">
        <f>AVERAGE('17.10 KAYUNGA-GALIRAYA'!N12,'18.10 KAYUNGA-GALIRAYA'!N12,'19.10 KAYUNGA-GALIRAYA-24h'!N12,'20.10 KAYUNGA-GALIRAYA'!N12,'21.10 KAYUNGA-GALIRAYA-24h'!N12,'22.10 KAYUNGA-GALIRAYA'!N12,'23.10 KAYUNGA-GALIRAYA'!N12)</f>
        <v>0</v>
      </c>
      <c r="O12" s="15">
        <f t="shared" si="0"/>
        <v>3.4285714285714284</v>
      </c>
      <c r="P12" s="15">
        <f t="shared" si="1"/>
        <v>7.7142857142857135</v>
      </c>
      <c r="R12" s="1" t="s">
        <v>8</v>
      </c>
      <c r="S12" s="17">
        <f t="shared" ref="S12:AF12" si="4">SUM(C18:C21)</f>
        <v>3.2857142857142856</v>
      </c>
      <c r="T12" s="17">
        <f t="shared" si="4"/>
        <v>1.2857142857142856</v>
      </c>
      <c r="U12" s="17">
        <f t="shared" si="4"/>
        <v>2.1428571428571428</v>
      </c>
      <c r="V12" s="17">
        <f t="shared" si="4"/>
        <v>4.7142857142857144</v>
      </c>
      <c r="W12" s="17">
        <f t="shared" si="4"/>
        <v>0.14285714285714285</v>
      </c>
      <c r="X12" s="17">
        <f t="shared" si="4"/>
        <v>0.2857142857142857</v>
      </c>
      <c r="Y12" s="17">
        <f t="shared" si="4"/>
        <v>4.4285714285714288</v>
      </c>
      <c r="Z12" s="17">
        <f t="shared" si="4"/>
        <v>1.7142857142857142</v>
      </c>
      <c r="AA12" s="17">
        <f t="shared" si="4"/>
        <v>1.2857142857142856</v>
      </c>
      <c r="AB12" s="17">
        <f t="shared" si="4"/>
        <v>0.14285714285714285</v>
      </c>
      <c r="AC12" s="17">
        <f t="shared" si="4"/>
        <v>41.571428571428569</v>
      </c>
      <c r="AD12" s="17">
        <f t="shared" si="4"/>
        <v>0</v>
      </c>
      <c r="AE12" s="31">
        <f t="shared" si="4"/>
        <v>19.428571428571431</v>
      </c>
      <c r="AF12" s="31">
        <f t="shared" si="4"/>
        <v>61</v>
      </c>
    </row>
    <row r="13" spans="2:32" ht="23.1" customHeight="1" x14ac:dyDescent="0.25">
      <c r="B13" s="23" t="s">
        <v>40</v>
      </c>
      <c r="C13" s="49">
        <f>AVERAGE('17.10 KAYUNGA-GALIRAYA'!C13,'18.10 KAYUNGA-GALIRAYA'!C13,'19.10 KAYUNGA-GALIRAYA-24h'!C13,'20.10 KAYUNGA-GALIRAYA'!C13,'21.10 KAYUNGA-GALIRAYA-24h'!C13,'22.10 KAYUNGA-GALIRAYA'!C13,'23.10 KAYUNGA-GALIRAYA'!C13)</f>
        <v>0.2857142857142857</v>
      </c>
      <c r="D13" s="49">
        <f>AVERAGE('17.10 KAYUNGA-GALIRAYA'!D13,'18.10 KAYUNGA-GALIRAYA'!D13,'19.10 KAYUNGA-GALIRAYA-24h'!D13,'20.10 KAYUNGA-GALIRAYA'!D13,'21.10 KAYUNGA-GALIRAYA-24h'!D13,'22.10 KAYUNGA-GALIRAYA'!D13,'23.10 KAYUNGA-GALIRAYA'!D13)</f>
        <v>0</v>
      </c>
      <c r="E13" s="49">
        <f>AVERAGE('17.10 KAYUNGA-GALIRAYA'!E13,'18.10 KAYUNGA-GALIRAYA'!E13,'19.10 KAYUNGA-GALIRAYA-24h'!E13,'20.10 KAYUNGA-GALIRAYA'!E13,'21.10 KAYUNGA-GALIRAYA-24h'!E13,'22.10 KAYUNGA-GALIRAYA'!E13,'23.10 KAYUNGA-GALIRAYA'!E13)</f>
        <v>0.5714285714285714</v>
      </c>
      <c r="F13" s="49">
        <f>AVERAGE('17.10 KAYUNGA-GALIRAYA'!F13,'18.10 KAYUNGA-GALIRAYA'!F13,'19.10 KAYUNGA-GALIRAYA-24h'!F13,'20.10 KAYUNGA-GALIRAYA'!F13,'21.10 KAYUNGA-GALIRAYA-24h'!F13,'22.10 KAYUNGA-GALIRAYA'!F13,'23.10 KAYUNGA-GALIRAYA'!F13)</f>
        <v>1.5714285714285714</v>
      </c>
      <c r="G13" s="49">
        <f>AVERAGE('17.10 KAYUNGA-GALIRAYA'!G13,'18.10 KAYUNGA-GALIRAYA'!G13,'19.10 KAYUNGA-GALIRAYA-24h'!G13,'20.10 KAYUNGA-GALIRAYA'!G13,'21.10 KAYUNGA-GALIRAYA-24h'!G13,'22.10 KAYUNGA-GALIRAYA'!G13,'23.10 KAYUNGA-GALIRAYA'!G13)</f>
        <v>0</v>
      </c>
      <c r="H13" s="49">
        <f>AVERAGE('17.10 KAYUNGA-GALIRAYA'!H13,'18.10 KAYUNGA-GALIRAYA'!H13,'19.10 KAYUNGA-GALIRAYA-24h'!H13,'20.10 KAYUNGA-GALIRAYA'!H13,'21.10 KAYUNGA-GALIRAYA-24h'!H13,'22.10 KAYUNGA-GALIRAYA'!H13,'23.10 KAYUNGA-GALIRAYA'!H13)</f>
        <v>0</v>
      </c>
      <c r="I13" s="49">
        <f>AVERAGE('17.10 KAYUNGA-GALIRAYA'!I13,'18.10 KAYUNGA-GALIRAYA'!I13,'19.10 KAYUNGA-GALIRAYA-24h'!I13,'20.10 KAYUNGA-GALIRAYA'!I13,'21.10 KAYUNGA-GALIRAYA-24h'!I13,'22.10 KAYUNGA-GALIRAYA'!I13,'23.10 KAYUNGA-GALIRAYA'!I13)</f>
        <v>0.7142857142857143</v>
      </c>
      <c r="J13" s="49">
        <f>AVERAGE('17.10 KAYUNGA-GALIRAYA'!J13,'18.10 KAYUNGA-GALIRAYA'!J13,'19.10 KAYUNGA-GALIRAYA-24h'!J13,'20.10 KAYUNGA-GALIRAYA'!J13,'21.10 KAYUNGA-GALIRAYA-24h'!J13,'22.10 KAYUNGA-GALIRAYA'!J13,'23.10 KAYUNGA-GALIRAYA'!J13)</f>
        <v>0.2857142857142857</v>
      </c>
      <c r="K13" s="49">
        <f>AVERAGE('17.10 KAYUNGA-GALIRAYA'!K13,'18.10 KAYUNGA-GALIRAYA'!K13,'19.10 KAYUNGA-GALIRAYA-24h'!K13,'20.10 KAYUNGA-GALIRAYA'!K13,'21.10 KAYUNGA-GALIRAYA-24h'!K13,'22.10 KAYUNGA-GALIRAYA'!K13,'23.10 KAYUNGA-GALIRAYA'!K13)</f>
        <v>0.2857142857142857</v>
      </c>
      <c r="L13" s="49">
        <f>AVERAGE('17.10 KAYUNGA-GALIRAYA'!L13,'18.10 KAYUNGA-GALIRAYA'!L13,'19.10 KAYUNGA-GALIRAYA-24h'!L13,'20.10 KAYUNGA-GALIRAYA'!L13,'21.10 KAYUNGA-GALIRAYA-24h'!L13,'22.10 KAYUNGA-GALIRAYA'!L13,'23.10 KAYUNGA-GALIRAYA'!L13)</f>
        <v>0</v>
      </c>
      <c r="M13" s="49">
        <f>AVERAGE('17.10 KAYUNGA-GALIRAYA'!M13,'18.10 KAYUNGA-GALIRAYA'!M13,'19.10 KAYUNGA-GALIRAYA-24h'!M13,'20.10 KAYUNGA-GALIRAYA'!M13,'21.10 KAYUNGA-GALIRAYA-24h'!M13,'22.10 KAYUNGA-GALIRAYA'!M13,'23.10 KAYUNGA-GALIRAYA'!M13)</f>
        <v>4.1428571428571432</v>
      </c>
      <c r="N13" s="49">
        <f>AVERAGE('17.10 KAYUNGA-GALIRAYA'!N13,'18.10 KAYUNGA-GALIRAYA'!N13,'19.10 KAYUNGA-GALIRAYA-24h'!N13,'20.10 KAYUNGA-GALIRAYA'!N13,'21.10 KAYUNGA-GALIRAYA-24h'!N13,'22.10 KAYUNGA-GALIRAYA'!N13,'23.10 KAYUNGA-GALIRAYA'!N13)</f>
        <v>0</v>
      </c>
      <c r="O13" s="15">
        <f t="shared" si="0"/>
        <v>3.714285714285714</v>
      </c>
      <c r="P13" s="15">
        <f t="shared" si="1"/>
        <v>7.8571428571428577</v>
      </c>
      <c r="R13" s="1" t="s">
        <v>9</v>
      </c>
      <c r="S13" s="17">
        <f t="shared" ref="S13:AF13" si="5">SUM(C22:C25)</f>
        <v>4</v>
      </c>
      <c r="T13" s="17">
        <f t="shared" si="5"/>
        <v>1.7142857142857142</v>
      </c>
      <c r="U13" s="17">
        <f t="shared" si="5"/>
        <v>1.9999999999999998</v>
      </c>
      <c r="V13" s="17">
        <f t="shared" si="5"/>
        <v>4.7142857142857135</v>
      </c>
      <c r="W13" s="17">
        <f t="shared" si="5"/>
        <v>0.42857142857142855</v>
      </c>
      <c r="X13" s="17">
        <f t="shared" si="5"/>
        <v>0</v>
      </c>
      <c r="Y13" s="17">
        <f t="shared" si="5"/>
        <v>5</v>
      </c>
      <c r="Z13" s="17">
        <f t="shared" si="5"/>
        <v>0.8571428571428571</v>
      </c>
      <c r="AA13" s="17">
        <f t="shared" si="5"/>
        <v>0.71428571428571419</v>
      </c>
      <c r="AB13" s="17">
        <f t="shared" si="5"/>
        <v>0.2857142857142857</v>
      </c>
      <c r="AC13" s="17">
        <f t="shared" si="5"/>
        <v>49.571428571428569</v>
      </c>
      <c r="AD13" s="17">
        <f t="shared" si="5"/>
        <v>0</v>
      </c>
      <c r="AE13" s="31">
        <f t="shared" si="5"/>
        <v>19.714285714285715</v>
      </c>
      <c r="AF13" s="31">
        <f t="shared" si="5"/>
        <v>69.285714285714292</v>
      </c>
    </row>
    <row r="14" spans="2:32" ht="23.1" customHeight="1" x14ac:dyDescent="0.25">
      <c r="B14" s="23" t="s">
        <v>41</v>
      </c>
      <c r="C14" s="49">
        <f>AVERAGE('17.10 KAYUNGA-GALIRAYA'!C14,'18.10 KAYUNGA-GALIRAYA'!C14,'19.10 KAYUNGA-GALIRAYA-24h'!C14,'20.10 KAYUNGA-GALIRAYA'!C14,'21.10 KAYUNGA-GALIRAYA-24h'!C14,'22.10 KAYUNGA-GALIRAYA'!C14,'23.10 KAYUNGA-GALIRAYA'!C14)</f>
        <v>1</v>
      </c>
      <c r="D14" s="49">
        <f>AVERAGE('17.10 KAYUNGA-GALIRAYA'!D14,'18.10 KAYUNGA-GALIRAYA'!D14,'19.10 KAYUNGA-GALIRAYA-24h'!D14,'20.10 KAYUNGA-GALIRAYA'!D14,'21.10 KAYUNGA-GALIRAYA-24h'!D14,'22.10 KAYUNGA-GALIRAYA'!D14,'23.10 KAYUNGA-GALIRAYA'!D14)</f>
        <v>0.14285714285714285</v>
      </c>
      <c r="E14" s="49">
        <f>AVERAGE('17.10 KAYUNGA-GALIRAYA'!E14,'18.10 KAYUNGA-GALIRAYA'!E14,'19.10 KAYUNGA-GALIRAYA-24h'!E14,'20.10 KAYUNGA-GALIRAYA'!E14,'21.10 KAYUNGA-GALIRAYA-24h'!E14,'22.10 KAYUNGA-GALIRAYA'!E14,'23.10 KAYUNGA-GALIRAYA'!E14)</f>
        <v>0</v>
      </c>
      <c r="F14" s="49">
        <f>AVERAGE('17.10 KAYUNGA-GALIRAYA'!F14,'18.10 KAYUNGA-GALIRAYA'!F14,'19.10 KAYUNGA-GALIRAYA-24h'!F14,'20.10 KAYUNGA-GALIRAYA'!F14,'21.10 KAYUNGA-GALIRAYA-24h'!F14,'22.10 KAYUNGA-GALIRAYA'!F14,'23.10 KAYUNGA-GALIRAYA'!F14)</f>
        <v>0.7142857142857143</v>
      </c>
      <c r="G14" s="49">
        <f>AVERAGE('17.10 KAYUNGA-GALIRAYA'!G14,'18.10 KAYUNGA-GALIRAYA'!G14,'19.10 KAYUNGA-GALIRAYA-24h'!G14,'20.10 KAYUNGA-GALIRAYA'!G14,'21.10 KAYUNGA-GALIRAYA-24h'!G14,'22.10 KAYUNGA-GALIRAYA'!G14,'23.10 KAYUNGA-GALIRAYA'!G14)</f>
        <v>0</v>
      </c>
      <c r="H14" s="49">
        <f>AVERAGE('17.10 KAYUNGA-GALIRAYA'!H14,'18.10 KAYUNGA-GALIRAYA'!H14,'19.10 KAYUNGA-GALIRAYA-24h'!H14,'20.10 KAYUNGA-GALIRAYA'!H14,'21.10 KAYUNGA-GALIRAYA-24h'!H14,'22.10 KAYUNGA-GALIRAYA'!H14,'23.10 KAYUNGA-GALIRAYA'!H14)</f>
        <v>0</v>
      </c>
      <c r="I14" s="49">
        <f>AVERAGE('17.10 KAYUNGA-GALIRAYA'!I14,'18.10 KAYUNGA-GALIRAYA'!I14,'19.10 KAYUNGA-GALIRAYA-24h'!I14,'20.10 KAYUNGA-GALIRAYA'!I14,'21.10 KAYUNGA-GALIRAYA-24h'!I14,'22.10 KAYUNGA-GALIRAYA'!I14,'23.10 KAYUNGA-GALIRAYA'!I14)</f>
        <v>0.8571428571428571</v>
      </c>
      <c r="J14" s="49">
        <f>AVERAGE('17.10 KAYUNGA-GALIRAYA'!J14,'18.10 KAYUNGA-GALIRAYA'!J14,'19.10 KAYUNGA-GALIRAYA-24h'!J14,'20.10 KAYUNGA-GALIRAYA'!J14,'21.10 KAYUNGA-GALIRAYA-24h'!J14,'22.10 KAYUNGA-GALIRAYA'!J14,'23.10 KAYUNGA-GALIRAYA'!J14)</f>
        <v>0.5714285714285714</v>
      </c>
      <c r="K14" s="49">
        <f>AVERAGE('17.10 KAYUNGA-GALIRAYA'!K14,'18.10 KAYUNGA-GALIRAYA'!K14,'19.10 KAYUNGA-GALIRAYA-24h'!K14,'20.10 KAYUNGA-GALIRAYA'!K14,'21.10 KAYUNGA-GALIRAYA-24h'!K14,'22.10 KAYUNGA-GALIRAYA'!K14,'23.10 KAYUNGA-GALIRAYA'!K14)</f>
        <v>0.14285714285714285</v>
      </c>
      <c r="L14" s="49">
        <f>AVERAGE('17.10 KAYUNGA-GALIRAYA'!L14,'18.10 KAYUNGA-GALIRAYA'!L14,'19.10 KAYUNGA-GALIRAYA-24h'!L14,'20.10 KAYUNGA-GALIRAYA'!L14,'21.10 KAYUNGA-GALIRAYA-24h'!L14,'22.10 KAYUNGA-GALIRAYA'!L14,'23.10 KAYUNGA-GALIRAYA'!L14)</f>
        <v>0</v>
      </c>
      <c r="M14" s="49">
        <f>AVERAGE('17.10 KAYUNGA-GALIRAYA'!M14,'18.10 KAYUNGA-GALIRAYA'!M14,'19.10 KAYUNGA-GALIRAYA-24h'!M14,'20.10 KAYUNGA-GALIRAYA'!M14,'21.10 KAYUNGA-GALIRAYA-24h'!M14,'22.10 KAYUNGA-GALIRAYA'!M14,'23.10 KAYUNGA-GALIRAYA'!M14)</f>
        <v>6.5714285714285712</v>
      </c>
      <c r="N14" s="49">
        <f>AVERAGE('17.10 KAYUNGA-GALIRAYA'!N14,'18.10 KAYUNGA-GALIRAYA'!N14,'19.10 KAYUNGA-GALIRAYA-24h'!N14,'20.10 KAYUNGA-GALIRAYA'!N14,'21.10 KAYUNGA-GALIRAYA-24h'!N14,'22.10 KAYUNGA-GALIRAYA'!N14,'23.10 KAYUNGA-GALIRAYA'!N14)</f>
        <v>0</v>
      </c>
      <c r="O14" s="15">
        <f t="shared" si="0"/>
        <v>3.4285714285714284</v>
      </c>
      <c r="P14" s="15">
        <f t="shared" si="1"/>
        <v>10</v>
      </c>
      <c r="R14" s="1" t="s">
        <v>10</v>
      </c>
      <c r="S14" s="17">
        <f t="shared" ref="S14:AF14" si="6">SUM(C26:C29)</f>
        <v>4.4285714285714288</v>
      </c>
      <c r="T14" s="17">
        <f t="shared" si="6"/>
        <v>0.2857142857142857</v>
      </c>
      <c r="U14" s="17">
        <f t="shared" si="6"/>
        <v>2.1428571428571428</v>
      </c>
      <c r="V14" s="17">
        <f t="shared" si="6"/>
        <v>4.4285714285714288</v>
      </c>
      <c r="W14" s="17">
        <f t="shared" si="6"/>
        <v>0.2857142857142857</v>
      </c>
      <c r="X14" s="17">
        <f t="shared" si="6"/>
        <v>0</v>
      </c>
      <c r="Y14" s="17">
        <f t="shared" si="6"/>
        <v>3</v>
      </c>
      <c r="Z14" s="17">
        <f t="shared" si="6"/>
        <v>1.7142857142857142</v>
      </c>
      <c r="AA14" s="17">
        <f t="shared" si="6"/>
        <v>0.42857142857142855</v>
      </c>
      <c r="AB14" s="17">
        <f t="shared" si="6"/>
        <v>0.2857142857142857</v>
      </c>
      <c r="AC14" s="17">
        <f t="shared" si="6"/>
        <v>52.285714285714285</v>
      </c>
      <c r="AD14" s="17">
        <f t="shared" si="6"/>
        <v>0</v>
      </c>
      <c r="AE14" s="31">
        <f t="shared" si="6"/>
        <v>17</v>
      </c>
      <c r="AF14" s="31">
        <f t="shared" si="6"/>
        <v>69.285714285714278</v>
      </c>
    </row>
    <row r="15" spans="2:32" ht="23.1" customHeight="1" x14ac:dyDescent="0.25">
      <c r="B15" s="23" t="s">
        <v>42</v>
      </c>
      <c r="C15" s="49">
        <f>AVERAGE('17.10 KAYUNGA-GALIRAYA'!C15,'18.10 KAYUNGA-GALIRAYA'!C15,'19.10 KAYUNGA-GALIRAYA-24h'!C15,'20.10 KAYUNGA-GALIRAYA'!C15,'21.10 KAYUNGA-GALIRAYA-24h'!C15,'22.10 KAYUNGA-GALIRAYA'!C15,'23.10 KAYUNGA-GALIRAYA'!C15)</f>
        <v>0.14285714285714285</v>
      </c>
      <c r="D15" s="49">
        <f>AVERAGE('17.10 KAYUNGA-GALIRAYA'!D15,'18.10 KAYUNGA-GALIRAYA'!D15,'19.10 KAYUNGA-GALIRAYA-24h'!D15,'20.10 KAYUNGA-GALIRAYA'!D15,'21.10 KAYUNGA-GALIRAYA-24h'!D15,'22.10 KAYUNGA-GALIRAYA'!D15,'23.10 KAYUNGA-GALIRAYA'!D15)</f>
        <v>0</v>
      </c>
      <c r="E15" s="49">
        <f>AVERAGE('17.10 KAYUNGA-GALIRAYA'!E15,'18.10 KAYUNGA-GALIRAYA'!E15,'19.10 KAYUNGA-GALIRAYA-24h'!E15,'20.10 KAYUNGA-GALIRAYA'!E15,'21.10 KAYUNGA-GALIRAYA-24h'!E15,'22.10 KAYUNGA-GALIRAYA'!E15,'23.10 KAYUNGA-GALIRAYA'!E15)</f>
        <v>0.14285714285714285</v>
      </c>
      <c r="F15" s="49">
        <f>AVERAGE('17.10 KAYUNGA-GALIRAYA'!F15,'18.10 KAYUNGA-GALIRAYA'!F15,'19.10 KAYUNGA-GALIRAYA-24h'!F15,'20.10 KAYUNGA-GALIRAYA'!F15,'21.10 KAYUNGA-GALIRAYA-24h'!F15,'22.10 KAYUNGA-GALIRAYA'!F15,'23.10 KAYUNGA-GALIRAYA'!F15)</f>
        <v>0.5714285714285714</v>
      </c>
      <c r="G15" s="49">
        <f>AVERAGE('17.10 KAYUNGA-GALIRAYA'!G15,'18.10 KAYUNGA-GALIRAYA'!G15,'19.10 KAYUNGA-GALIRAYA-24h'!G15,'20.10 KAYUNGA-GALIRAYA'!G15,'21.10 KAYUNGA-GALIRAYA-24h'!G15,'22.10 KAYUNGA-GALIRAYA'!G15,'23.10 KAYUNGA-GALIRAYA'!G15)</f>
        <v>0</v>
      </c>
      <c r="H15" s="49">
        <f>AVERAGE('17.10 KAYUNGA-GALIRAYA'!H15,'18.10 KAYUNGA-GALIRAYA'!H15,'19.10 KAYUNGA-GALIRAYA-24h'!H15,'20.10 KAYUNGA-GALIRAYA'!H15,'21.10 KAYUNGA-GALIRAYA-24h'!H15,'22.10 KAYUNGA-GALIRAYA'!H15,'23.10 KAYUNGA-GALIRAYA'!H15)</f>
        <v>0</v>
      </c>
      <c r="I15" s="49">
        <f>AVERAGE('17.10 KAYUNGA-GALIRAYA'!I15,'18.10 KAYUNGA-GALIRAYA'!I15,'19.10 KAYUNGA-GALIRAYA-24h'!I15,'20.10 KAYUNGA-GALIRAYA'!I15,'21.10 KAYUNGA-GALIRAYA-24h'!I15,'22.10 KAYUNGA-GALIRAYA'!I15,'23.10 KAYUNGA-GALIRAYA'!I15)</f>
        <v>1.1428571428571428</v>
      </c>
      <c r="J15" s="49">
        <f>AVERAGE('17.10 KAYUNGA-GALIRAYA'!J15,'18.10 KAYUNGA-GALIRAYA'!J15,'19.10 KAYUNGA-GALIRAYA-24h'!J15,'20.10 KAYUNGA-GALIRAYA'!J15,'21.10 KAYUNGA-GALIRAYA-24h'!J15,'22.10 KAYUNGA-GALIRAYA'!J15,'23.10 KAYUNGA-GALIRAYA'!J15)</f>
        <v>0.14285714285714285</v>
      </c>
      <c r="K15" s="49">
        <f>AVERAGE('17.10 KAYUNGA-GALIRAYA'!K15,'18.10 KAYUNGA-GALIRAYA'!K15,'19.10 KAYUNGA-GALIRAYA-24h'!K15,'20.10 KAYUNGA-GALIRAYA'!K15,'21.10 KAYUNGA-GALIRAYA-24h'!K15,'22.10 KAYUNGA-GALIRAYA'!K15,'23.10 KAYUNGA-GALIRAYA'!K15)</f>
        <v>0.42857142857142855</v>
      </c>
      <c r="L15" s="49">
        <f>AVERAGE('17.10 KAYUNGA-GALIRAYA'!L15,'18.10 KAYUNGA-GALIRAYA'!L15,'19.10 KAYUNGA-GALIRAYA-24h'!L15,'20.10 KAYUNGA-GALIRAYA'!L15,'21.10 KAYUNGA-GALIRAYA-24h'!L15,'22.10 KAYUNGA-GALIRAYA'!L15,'23.10 KAYUNGA-GALIRAYA'!L15)</f>
        <v>0.14285714285714285</v>
      </c>
      <c r="M15" s="49">
        <f>AVERAGE('17.10 KAYUNGA-GALIRAYA'!M15,'18.10 KAYUNGA-GALIRAYA'!M15,'19.10 KAYUNGA-GALIRAYA-24h'!M15,'20.10 KAYUNGA-GALIRAYA'!M15,'21.10 KAYUNGA-GALIRAYA-24h'!M15,'22.10 KAYUNGA-GALIRAYA'!M15,'23.10 KAYUNGA-GALIRAYA'!M15)</f>
        <v>5.8571428571428568</v>
      </c>
      <c r="N15" s="49">
        <f>AVERAGE('17.10 KAYUNGA-GALIRAYA'!N15,'18.10 KAYUNGA-GALIRAYA'!N15,'19.10 KAYUNGA-GALIRAYA-24h'!N15,'20.10 KAYUNGA-GALIRAYA'!N15,'21.10 KAYUNGA-GALIRAYA-24h'!N15,'22.10 KAYUNGA-GALIRAYA'!N15,'23.10 KAYUNGA-GALIRAYA'!N15)</f>
        <v>1.2857142857142858</v>
      </c>
      <c r="O15" s="15">
        <f t="shared" si="0"/>
        <v>4</v>
      </c>
      <c r="P15" s="15">
        <f t="shared" si="1"/>
        <v>9.8571428571428577</v>
      </c>
      <c r="R15" s="1" t="s">
        <v>11</v>
      </c>
      <c r="S15" s="17">
        <f t="shared" ref="S15:AF15" si="7">SUM(C30:C33)</f>
        <v>3.7142857142857144</v>
      </c>
      <c r="T15" s="17">
        <f t="shared" si="7"/>
        <v>1.1428571428571428</v>
      </c>
      <c r="U15" s="17">
        <f t="shared" si="7"/>
        <v>2</v>
      </c>
      <c r="V15" s="17">
        <f t="shared" si="7"/>
        <v>6.1428571428571432</v>
      </c>
      <c r="W15" s="17">
        <f t="shared" si="7"/>
        <v>0</v>
      </c>
      <c r="X15" s="17">
        <f t="shared" si="7"/>
        <v>0.14285714285714285</v>
      </c>
      <c r="Y15" s="17">
        <f t="shared" si="7"/>
        <v>3.1428571428571423</v>
      </c>
      <c r="Z15" s="17">
        <f t="shared" si="7"/>
        <v>2.1428571428571423</v>
      </c>
      <c r="AA15" s="17">
        <f t="shared" si="7"/>
        <v>1</v>
      </c>
      <c r="AB15" s="17">
        <f t="shared" si="7"/>
        <v>0.42857142857142855</v>
      </c>
      <c r="AC15" s="17">
        <f t="shared" si="7"/>
        <v>53</v>
      </c>
      <c r="AD15" s="17">
        <f t="shared" si="7"/>
        <v>0</v>
      </c>
      <c r="AE15" s="31">
        <f t="shared" si="7"/>
        <v>19.857142857142858</v>
      </c>
      <c r="AF15" s="31">
        <f t="shared" si="7"/>
        <v>72.857142857142861</v>
      </c>
    </row>
    <row r="16" spans="2:32" ht="23.1" customHeight="1" x14ac:dyDescent="0.25">
      <c r="B16" s="23" t="s">
        <v>43</v>
      </c>
      <c r="C16" s="49">
        <f>AVERAGE('17.10 KAYUNGA-GALIRAYA'!C16,'18.10 KAYUNGA-GALIRAYA'!C16,'19.10 KAYUNGA-GALIRAYA-24h'!C16,'20.10 KAYUNGA-GALIRAYA'!C16,'21.10 KAYUNGA-GALIRAYA-24h'!C16,'22.10 KAYUNGA-GALIRAYA'!C16,'23.10 KAYUNGA-GALIRAYA'!C16)</f>
        <v>0.2857142857142857</v>
      </c>
      <c r="D16" s="49">
        <f>AVERAGE('17.10 KAYUNGA-GALIRAYA'!D16,'18.10 KAYUNGA-GALIRAYA'!D16,'19.10 KAYUNGA-GALIRAYA-24h'!D16,'20.10 KAYUNGA-GALIRAYA'!D16,'21.10 KAYUNGA-GALIRAYA-24h'!D16,'22.10 KAYUNGA-GALIRAYA'!D16,'23.10 KAYUNGA-GALIRAYA'!D16)</f>
        <v>0</v>
      </c>
      <c r="E16" s="49">
        <f>AVERAGE('17.10 KAYUNGA-GALIRAYA'!E16,'18.10 KAYUNGA-GALIRAYA'!E16,'19.10 KAYUNGA-GALIRAYA-24h'!E16,'20.10 KAYUNGA-GALIRAYA'!E16,'21.10 KAYUNGA-GALIRAYA-24h'!E16,'22.10 KAYUNGA-GALIRAYA'!E16,'23.10 KAYUNGA-GALIRAYA'!E16)</f>
        <v>0.42857142857142855</v>
      </c>
      <c r="F16" s="49">
        <f>AVERAGE('17.10 KAYUNGA-GALIRAYA'!F16,'18.10 KAYUNGA-GALIRAYA'!F16,'19.10 KAYUNGA-GALIRAYA-24h'!F16,'20.10 KAYUNGA-GALIRAYA'!F16,'21.10 KAYUNGA-GALIRAYA-24h'!F16,'22.10 KAYUNGA-GALIRAYA'!F16,'23.10 KAYUNGA-GALIRAYA'!F16)</f>
        <v>1.2857142857142858</v>
      </c>
      <c r="G16" s="49">
        <f>AVERAGE('17.10 KAYUNGA-GALIRAYA'!G16,'18.10 KAYUNGA-GALIRAYA'!G16,'19.10 KAYUNGA-GALIRAYA-24h'!G16,'20.10 KAYUNGA-GALIRAYA'!G16,'21.10 KAYUNGA-GALIRAYA-24h'!G16,'22.10 KAYUNGA-GALIRAYA'!G16,'23.10 KAYUNGA-GALIRAYA'!G16)</f>
        <v>0</v>
      </c>
      <c r="H16" s="49">
        <f>AVERAGE('17.10 KAYUNGA-GALIRAYA'!H16,'18.10 KAYUNGA-GALIRAYA'!H16,'19.10 KAYUNGA-GALIRAYA-24h'!H16,'20.10 KAYUNGA-GALIRAYA'!H16,'21.10 KAYUNGA-GALIRAYA-24h'!H16,'22.10 KAYUNGA-GALIRAYA'!H16,'23.10 KAYUNGA-GALIRAYA'!H16)</f>
        <v>0.2857142857142857</v>
      </c>
      <c r="I16" s="49">
        <f>AVERAGE('17.10 KAYUNGA-GALIRAYA'!I16,'18.10 KAYUNGA-GALIRAYA'!I16,'19.10 KAYUNGA-GALIRAYA-24h'!I16,'20.10 KAYUNGA-GALIRAYA'!I16,'21.10 KAYUNGA-GALIRAYA-24h'!I16,'22.10 KAYUNGA-GALIRAYA'!I16,'23.10 KAYUNGA-GALIRAYA'!I16)</f>
        <v>0.5714285714285714</v>
      </c>
      <c r="J16" s="49">
        <f>AVERAGE('17.10 KAYUNGA-GALIRAYA'!J16,'18.10 KAYUNGA-GALIRAYA'!J16,'19.10 KAYUNGA-GALIRAYA-24h'!J16,'20.10 KAYUNGA-GALIRAYA'!J16,'21.10 KAYUNGA-GALIRAYA-24h'!J16,'22.10 KAYUNGA-GALIRAYA'!J16,'23.10 KAYUNGA-GALIRAYA'!J16)</f>
        <v>0.42857142857142855</v>
      </c>
      <c r="K16" s="49">
        <f>AVERAGE('17.10 KAYUNGA-GALIRAYA'!K16,'18.10 KAYUNGA-GALIRAYA'!K16,'19.10 KAYUNGA-GALIRAYA-24h'!K16,'20.10 KAYUNGA-GALIRAYA'!K16,'21.10 KAYUNGA-GALIRAYA-24h'!K16,'22.10 KAYUNGA-GALIRAYA'!K16,'23.10 KAYUNGA-GALIRAYA'!K16)</f>
        <v>0.5714285714285714</v>
      </c>
      <c r="L16" s="49">
        <f>AVERAGE('17.10 KAYUNGA-GALIRAYA'!L16,'18.10 KAYUNGA-GALIRAYA'!L16,'19.10 KAYUNGA-GALIRAYA-24h'!L16,'20.10 KAYUNGA-GALIRAYA'!L16,'21.10 KAYUNGA-GALIRAYA-24h'!L16,'22.10 KAYUNGA-GALIRAYA'!L16,'23.10 KAYUNGA-GALIRAYA'!L16)</f>
        <v>0.2857142857142857</v>
      </c>
      <c r="M16" s="49">
        <f>AVERAGE('17.10 KAYUNGA-GALIRAYA'!M16,'18.10 KAYUNGA-GALIRAYA'!M16,'19.10 KAYUNGA-GALIRAYA-24h'!M16,'20.10 KAYUNGA-GALIRAYA'!M16,'21.10 KAYUNGA-GALIRAYA-24h'!M16,'22.10 KAYUNGA-GALIRAYA'!M16,'23.10 KAYUNGA-GALIRAYA'!M16)</f>
        <v>7.5714285714285712</v>
      </c>
      <c r="N16" s="49">
        <f>AVERAGE('17.10 KAYUNGA-GALIRAYA'!N16,'18.10 KAYUNGA-GALIRAYA'!N16,'19.10 KAYUNGA-GALIRAYA-24h'!N16,'20.10 KAYUNGA-GALIRAYA'!N16,'21.10 KAYUNGA-GALIRAYA-24h'!N16,'22.10 KAYUNGA-GALIRAYA'!N16,'23.10 KAYUNGA-GALIRAYA'!N16)</f>
        <v>0</v>
      </c>
      <c r="O16" s="15">
        <f t="shared" si="0"/>
        <v>4.1428571428571423</v>
      </c>
      <c r="P16" s="15">
        <f t="shared" si="1"/>
        <v>11.714285714285714</v>
      </c>
      <c r="R16" s="1" t="s">
        <v>12</v>
      </c>
      <c r="S16" s="17">
        <f t="shared" ref="S16:AF16" si="8">SUM(C34:C37)</f>
        <v>3.9999999999999996</v>
      </c>
      <c r="T16" s="17">
        <f t="shared" si="8"/>
        <v>0.42857142857142855</v>
      </c>
      <c r="U16" s="17">
        <f t="shared" si="8"/>
        <v>1.1428571428571428</v>
      </c>
      <c r="V16" s="17">
        <f t="shared" si="8"/>
        <v>7.5714285714285712</v>
      </c>
      <c r="W16" s="17">
        <f t="shared" si="8"/>
        <v>0.2857142857142857</v>
      </c>
      <c r="X16" s="17">
        <f t="shared" si="8"/>
        <v>0</v>
      </c>
      <c r="Y16" s="17">
        <f t="shared" si="8"/>
        <v>2.8571428571428568</v>
      </c>
      <c r="Z16" s="17">
        <f t="shared" si="8"/>
        <v>2</v>
      </c>
      <c r="AA16" s="17">
        <f t="shared" si="8"/>
        <v>0.14285714285714285</v>
      </c>
      <c r="AB16" s="17">
        <f t="shared" si="8"/>
        <v>0.42857142857142855</v>
      </c>
      <c r="AC16" s="17">
        <f t="shared" si="8"/>
        <v>49.571428571428569</v>
      </c>
      <c r="AD16" s="17">
        <f t="shared" si="8"/>
        <v>0.14285714285714285</v>
      </c>
      <c r="AE16" s="31">
        <f t="shared" si="8"/>
        <v>19</v>
      </c>
      <c r="AF16" s="31">
        <f t="shared" si="8"/>
        <v>68.571428571428569</v>
      </c>
    </row>
    <row r="17" spans="2:32" ht="23.1" customHeight="1" x14ac:dyDescent="0.25">
      <c r="B17" s="23" t="s">
        <v>44</v>
      </c>
      <c r="C17" s="49">
        <f>AVERAGE('17.10 KAYUNGA-GALIRAYA'!C17,'18.10 KAYUNGA-GALIRAYA'!C17,'19.10 KAYUNGA-GALIRAYA-24h'!C17,'20.10 KAYUNGA-GALIRAYA'!C17,'21.10 KAYUNGA-GALIRAYA-24h'!C17,'22.10 KAYUNGA-GALIRAYA'!C17,'23.10 KAYUNGA-GALIRAYA'!C17)</f>
        <v>1.2857142857142858</v>
      </c>
      <c r="D17" s="49">
        <f>AVERAGE('17.10 KAYUNGA-GALIRAYA'!D17,'18.10 KAYUNGA-GALIRAYA'!D17,'19.10 KAYUNGA-GALIRAYA-24h'!D17,'20.10 KAYUNGA-GALIRAYA'!D17,'21.10 KAYUNGA-GALIRAYA-24h'!D17,'22.10 KAYUNGA-GALIRAYA'!D17,'23.10 KAYUNGA-GALIRAYA'!D17)</f>
        <v>0.42857142857142855</v>
      </c>
      <c r="E17" s="49">
        <f>AVERAGE('17.10 KAYUNGA-GALIRAYA'!E17,'18.10 KAYUNGA-GALIRAYA'!E17,'19.10 KAYUNGA-GALIRAYA-24h'!E17,'20.10 KAYUNGA-GALIRAYA'!E17,'21.10 KAYUNGA-GALIRAYA-24h'!E17,'22.10 KAYUNGA-GALIRAYA'!E17,'23.10 KAYUNGA-GALIRAYA'!E17)</f>
        <v>0.2857142857142857</v>
      </c>
      <c r="F17" s="49">
        <f>AVERAGE('17.10 KAYUNGA-GALIRAYA'!F17,'18.10 KAYUNGA-GALIRAYA'!F17,'19.10 KAYUNGA-GALIRAYA-24h'!F17,'20.10 KAYUNGA-GALIRAYA'!F17,'21.10 KAYUNGA-GALIRAYA-24h'!F17,'22.10 KAYUNGA-GALIRAYA'!F17,'23.10 KAYUNGA-GALIRAYA'!F17)</f>
        <v>1.1428571428571428</v>
      </c>
      <c r="G17" s="49">
        <f>AVERAGE('17.10 KAYUNGA-GALIRAYA'!G17,'18.10 KAYUNGA-GALIRAYA'!G17,'19.10 KAYUNGA-GALIRAYA-24h'!G17,'20.10 KAYUNGA-GALIRAYA'!G17,'21.10 KAYUNGA-GALIRAYA-24h'!G17,'22.10 KAYUNGA-GALIRAYA'!G17,'23.10 KAYUNGA-GALIRAYA'!G17)</f>
        <v>0</v>
      </c>
      <c r="H17" s="49">
        <f>AVERAGE('17.10 KAYUNGA-GALIRAYA'!H17,'18.10 KAYUNGA-GALIRAYA'!H17,'19.10 KAYUNGA-GALIRAYA-24h'!H17,'20.10 KAYUNGA-GALIRAYA'!H17,'21.10 KAYUNGA-GALIRAYA-24h'!H17,'22.10 KAYUNGA-GALIRAYA'!H17,'23.10 KAYUNGA-GALIRAYA'!H17)</f>
        <v>0.14285714285714285</v>
      </c>
      <c r="I17" s="49">
        <f>AVERAGE('17.10 KAYUNGA-GALIRAYA'!I17,'18.10 KAYUNGA-GALIRAYA'!I17,'19.10 KAYUNGA-GALIRAYA-24h'!I17,'20.10 KAYUNGA-GALIRAYA'!I17,'21.10 KAYUNGA-GALIRAYA-24h'!I17,'22.10 KAYUNGA-GALIRAYA'!I17,'23.10 KAYUNGA-GALIRAYA'!I17)</f>
        <v>0.8571428571428571</v>
      </c>
      <c r="J17" s="49">
        <f>AVERAGE('17.10 KAYUNGA-GALIRAYA'!J17,'18.10 KAYUNGA-GALIRAYA'!J17,'19.10 KAYUNGA-GALIRAYA-24h'!J17,'20.10 KAYUNGA-GALIRAYA'!J17,'21.10 KAYUNGA-GALIRAYA-24h'!J17,'22.10 KAYUNGA-GALIRAYA'!J17,'23.10 KAYUNGA-GALIRAYA'!J17)</f>
        <v>0.7142857142857143</v>
      </c>
      <c r="K17" s="49">
        <f>AVERAGE('17.10 KAYUNGA-GALIRAYA'!K17,'18.10 KAYUNGA-GALIRAYA'!K17,'19.10 KAYUNGA-GALIRAYA-24h'!K17,'20.10 KAYUNGA-GALIRAYA'!K17,'21.10 KAYUNGA-GALIRAYA-24h'!K17,'22.10 KAYUNGA-GALIRAYA'!K17,'23.10 KAYUNGA-GALIRAYA'!K17)</f>
        <v>0.14285714285714285</v>
      </c>
      <c r="L17" s="49">
        <f>AVERAGE('17.10 KAYUNGA-GALIRAYA'!L17,'18.10 KAYUNGA-GALIRAYA'!L17,'19.10 KAYUNGA-GALIRAYA-24h'!L17,'20.10 KAYUNGA-GALIRAYA'!L17,'21.10 KAYUNGA-GALIRAYA-24h'!L17,'22.10 KAYUNGA-GALIRAYA'!L17,'23.10 KAYUNGA-GALIRAYA'!L17)</f>
        <v>0</v>
      </c>
      <c r="M17" s="49">
        <f>AVERAGE('17.10 KAYUNGA-GALIRAYA'!M17,'18.10 KAYUNGA-GALIRAYA'!M17,'19.10 KAYUNGA-GALIRAYA-24h'!M17,'20.10 KAYUNGA-GALIRAYA'!M17,'21.10 KAYUNGA-GALIRAYA-24h'!M17,'22.10 KAYUNGA-GALIRAYA'!M17,'23.10 KAYUNGA-GALIRAYA'!M17)</f>
        <v>8.7142857142857135</v>
      </c>
      <c r="N17" s="49">
        <f>AVERAGE('17.10 KAYUNGA-GALIRAYA'!N17,'18.10 KAYUNGA-GALIRAYA'!N17,'19.10 KAYUNGA-GALIRAYA-24h'!N17,'20.10 KAYUNGA-GALIRAYA'!N17,'21.10 KAYUNGA-GALIRAYA-24h'!N17,'22.10 KAYUNGA-GALIRAYA'!N17,'23.10 KAYUNGA-GALIRAYA'!N17)</f>
        <v>0</v>
      </c>
      <c r="O17" s="15">
        <f t="shared" si="0"/>
        <v>5</v>
      </c>
      <c r="P17" s="15">
        <f t="shared" si="1"/>
        <v>13.714285714285714</v>
      </c>
      <c r="R17" s="1" t="s">
        <v>13</v>
      </c>
      <c r="S17" s="17">
        <f t="shared" ref="S17:AF17" si="9">SUM(C38:C41)</f>
        <v>2.7142857142857144</v>
      </c>
      <c r="T17" s="17">
        <f t="shared" si="9"/>
        <v>1.2857142857142856</v>
      </c>
      <c r="U17" s="17">
        <f t="shared" si="9"/>
        <v>1.2857142857142856</v>
      </c>
      <c r="V17" s="17">
        <f t="shared" si="9"/>
        <v>5.1428571428571423</v>
      </c>
      <c r="W17" s="17">
        <f t="shared" si="9"/>
        <v>0.42857142857142855</v>
      </c>
      <c r="X17" s="17">
        <f t="shared" si="9"/>
        <v>0.42857142857142855</v>
      </c>
      <c r="Y17" s="17">
        <f t="shared" si="9"/>
        <v>3.1428571428571428</v>
      </c>
      <c r="Z17" s="17">
        <f t="shared" si="9"/>
        <v>1.5714285714285714</v>
      </c>
      <c r="AA17" s="17">
        <f t="shared" si="9"/>
        <v>0.2857142857142857</v>
      </c>
      <c r="AB17" s="17">
        <f t="shared" si="9"/>
        <v>0.71428571428571419</v>
      </c>
      <c r="AC17" s="17">
        <f t="shared" si="9"/>
        <v>42.571428571428569</v>
      </c>
      <c r="AD17" s="17">
        <f t="shared" si="9"/>
        <v>0.14285714285714285</v>
      </c>
      <c r="AE17" s="31">
        <f t="shared" si="9"/>
        <v>17.142857142857142</v>
      </c>
      <c r="AF17" s="31">
        <f t="shared" si="9"/>
        <v>59.714285714285715</v>
      </c>
    </row>
    <row r="18" spans="2:32" ht="23.1" customHeight="1" x14ac:dyDescent="0.25">
      <c r="B18" s="23" t="s">
        <v>45</v>
      </c>
      <c r="C18" s="49">
        <f>AVERAGE('17.10 KAYUNGA-GALIRAYA'!C18,'18.10 KAYUNGA-GALIRAYA'!C18,'19.10 KAYUNGA-GALIRAYA-24h'!C18,'20.10 KAYUNGA-GALIRAYA'!C18,'21.10 KAYUNGA-GALIRAYA-24h'!C18,'22.10 KAYUNGA-GALIRAYA'!C18,'23.10 KAYUNGA-GALIRAYA'!C18)</f>
        <v>0.8571428571428571</v>
      </c>
      <c r="D18" s="49">
        <f>AVERAGE('17.10 KAYUNGA-GALIRAYA'!D18,'18.10 KAYUNGA-GALIRAYA'!D18,'19.10 KAYUNGA-GALIRAYA-24h'!D18,'20.10 KAYUNGA-GALIRAYA'!D18,'21.10 KAYUNGA-GALIRAYA-24h'!D18,'22.10 KAYUNGA-GALIRAYA'!D18,'23.10 KAYUNGA-GALIRAYA'!D18)</f>
        <v>0.2857142857142857</v>
      </c>
      <c r="E18" s="49">
        <f>AVERAGE('17.10 KAYUNGA-GALIRAYA'!E18,'18.10 KAYUNGA-GALIRAYA'!E18,'19.10 KAYUNGA-GALIRAYA-24h'!E18,'20.10 KAYUNGA-GALIRAYA'!E18,'21.10 KAYUNGA-GALIRAYA-24h'!E18,'22.10 KAYUNGA-GALIRAYA'!E18,'23.10 KAYUNGA-GALIRAYA'!E18)</f>
        <v>0.7142857142857143</v>
      </c>
      <c r="F18" s="49">
        <f>AVERAGE('17.10 KAYUNGA-GALIRAYA'!F18,'18.10 KAYUNGA-GALIRAYA'!F18,'19.10 KAYUNGA-GALIRAYA-24h'!F18,'20.10 KAYUNGA-GALIRAYA'!F18,'21.10 KAYUNGA-GALIRAYA-24h'!F18,'22.10 KAYUNGA-GALIRAYA'!F18,'23.10 KAYUNGA-GALIRAYA'!F18)</f>
        <v>0.8571428571428571</v>
      </c>
      <c r="G18" s="49">
        <f>AVERAGE('17.10 KAYUNGA-GALIRAYA'!G18,'18.10 KAYUNGA-GALIRAYA'!G18,'19.10 KAYUNGA-GALIRAYA-24h'!G18,'20.10 KAYUNGA-GALIRAYA'!G18,'21.10 KAYUNGA-GALIRAYA-24h'!G18,'22.10 KAYUNGA-GALIRAYA'!G18,'23.10 KAYUNGA-GALIRAYA'!G18)</f>
        <v>0</v>
      </c>
      <c r="H18" s="49">
        <f>AVERAGE('17.10 KAYUNGA-GALIRAYA'!H18,'18.10 KAYUNGA-GALIRAYA'!H18,'19.10 KAYUNGA-GALIRAYA-24h'!H18,'20.10 KAYUNGA-GALIRAYA'!H18,'21.10 KAYUNGA-GALIRAYA-24h'!H18,'22.10 KAYUNGA-GALIRAYA'!H18,'23.10 KAYUNGA-GALIRAYA'!H18)</f>
        <v>0</v>
      </c>
      <c r="I18" s="49">
        <f>AVERAGE('17.10 KAYUNGA-GALIRAYA'!I18,'18.10 KAYUNGA-GALIRAYA'!I18,'19.10 KAYUNGA-GALIRAYA-24h'!I18,'20.10 KAYUNGA-GALIRAYA'!I18,'21.10 KAYUNGA-GALIRAYA-24h'!I18,'22.10 KAYUNGA-GALIRAYA'!I18,'23.10 KAYUNGA-GALIRAYA'!I18)</f>
        <v>1.4285714285714286</v>
      </c>
      <c r="J18" s="49">
        <f>AVERAGE('17.10 KAYUNGA-GALIRAYA'!J18,'18.10 KAYUNGA-GALIRAYA'!J18,'19.10 KAYUNGA-GALIRAYA-24h'!J18,'20.10 KAYUNGA-GALIRAYA'!J18,'21.10 KAYUNGA-GALIRAYA-24h'!J18,'22.10 KAYUNGA-GALIRAYA'!J18,'23.10 KAYUNGA-GALIRAYA'!J18)</f>
        <v>0.42857142857142855</v>
      </c>
      <c r="K18" s="49">
        <f>AVERAGE('17.10 KAYUNGA-GALIRAYA'!K18,'18.10 KAYUNGA-GALIRAYA'!K18,'19.10 KAYUNGA-GALIRAYA-24h'!K18,'20.10 KAYUNGA-GALIRAYA'!K18,'21.10 KAYUNGA-GALIRAYA-24h'!K18,'22.10 KAYUNGA-GALIRAYA'!K18,'23.10 KAYUNGA-GALIRAYA'!K18)</f>
        <v>0.14285714285714285</v>
      </c>
      <c r="L18" s="49">
        <f>AVERAGE('17.10 KAYUNGA-GALIRAYA'!L18,'18.10 KAYUNGA-GALIRAYA'!L18,'19.10 KAYUNGA-GALIRAYA-24h'!L18,'20.10 KAYUNGA-GALIRAYA'!L18,'21.10 KAYUNGA-GALIRAYA-24h'!L18,'22.10 KAYUNGA-GALIRAYA'!L18,'23.10 KAYUNGA-GALIRAYA'!L18)</f>
        <v>0</v>
      </c>
      <c r="M18" s="49">
        <f>AVERAGE('17.10 KAYUNGA-GALIRAYA'!M18,'18.10 KAYUNGA-GALIRAYA'!M18,'19.10 KAYUNGA-GALIRAYA-24h'!M18,'20.10 KAYUNGA-GALIRAYA'!M18,'21.10 KAYUNGA-GALIRAYA-24h'!M18,'22.10 KAYUNGA-GALIRAYA'!M18,'23.10 KAYUNGA-GALIRAYA'!M18)</f>
        <v>10</v>
      </c>
      <c r="N18" s="49">
        <f>AVERAGE('17.10 KAYUNGA-GALIRAYA'!N18,'18.10 KAYUNGA-GALIRAYA'!N18,'19.10 KAYUNGA-GALIRAYA-24h'!N18,'20.10 KAYUNGA-GALIRAYA'!N18,'21.10 KAYUNGA-GALIRAYA-24h'!N18,'22.10 KAYUNGA-GALIRAYA'!N18,'23.10 KAYUNGA-GALIRAYA'!N18)</f>
        <v>0</v>
      </c>
      <c r="O18" s="15">
        <f t="shared" si="0"/>
        <v>4.7142857142857153</v>
      </c>
      <c r="P18" s="15">
        <f t="shared" si="1"/>
        <v>14.714285714285715</v>
      </c>
      <c r="R18" s="1" t="s">
        <v>14</v>
      </c>
      <c r="S18" s="17">
        <f t="shared" ref="S18:AF18" si="10">SUM(C42:C45)</f>
        <v>4.8571428571428568</v>
      </c>
      <c r="T18" s="17">
        <f t="shared" si="10"/>
        <v>0.71428571428571419</v>
      </c>
      <c r="U18" s="17">
        <f t="shared" si="10"/>
        <v>1.4285714285714286</v>
      </c>
      <c r="V18" s="17">
        <f t="shared" si="10"/>
        <v>5.4285714285714288</v>
      </c>
      <c r="W18" s="17">
        <f t="shared" si="10"/>
        <v>0</v>
      </c>
      <c r="X18" s="17">
        <f t="shared" si="10"/>
        <v>0.8571428571428571</v>
      </c>
      <c r="Y18" s="17">
        <f t="shared" si="10"/>
        <v>4.1428571428571432</v>
      </c>
      <c r="Z18" s="17">
        <f t="shared" si="10"/>
        <v>0.8571428571428571</v>
      </c>
      <c r="AA18" s="17">
        <f t="shared" si="10"/>
        <v>0.42857142857142855</v>
      </c>
      <c r="AB18" s="17">
        <f t="shared" si="10"/>
        <v>0.14285714285714285</v>
      </c>
      <c r="AC18" s="17">
        <f t="shared" si="10"/>
        <v>38.571428571428569</v>
      </c>
      <c r="AD18" s="17">
        <f t="shared" si="10"/>
        <v>0.14285714285714285</v>
      </c>
      <c r="AE18" s="31">
        <f t="shared" si="10"/>
        <v>19</v>
      </c>
      <c r="AF18" s="31">
        <f t="shared" si="10"/>
        <v>57.571428571428569</v>
      </c>
    </row>
    <row r="19" spans="2:32" ht="23.1" customHeight="1" x14ac:dyDescent="0.25">
      <c r="B19" s="23" t="s">
        <v>46</v>
      </c>
      <c r="C19" s="49">
        <f>AVERAGE('17.10 KAYUNGA-GALIRAYA'!C19,'18.10 KAYUNGA-GALIRAYA'!C19,'19.10 KAYUNGA-GALIRAYA-24h'!C19,'20.10 KAYUNGA-GALIRAYA'!C19,'21.10 KAYUNGA-GALIRAYA-24h'!C19,'22.10 KAYUNGA-GALIRAYA'!C19,'23.10 KAYUNGA-GALIRAYA'!C19)</f>
        <v>0.8571428571428571</v>
      </c>
      <c r="D19" s="49">
        <f>AVERAGE('17.10 KAYUNGA-GALIRAYA'!D19,'18.10 KAYUNGA-GALIRAYA'!D19,'19.10 KAYUNGA-GALIRAYA-24h'!D19,'20.10 KAYUNGA-GALIRAYA'!D19,'21.10 KAYUNGA-GALIRAYA-24h'!D19,'22.10 KAYUNGA-GALIRAYA'!D19,'23.10 KAYUNGA-GALIRAYA'!D19)</f>
        <v>0.42857142857142855</v>
      </c>
      <c r="E19" s="49">
        <f>AVERAGE('17.10 KAYUNGA-GALIRAYA'!E19,'18.10 KAYUNGA-GALIRAYA'!E19,'19.10 KAYUNGA-GALIRAYA-24h'!E19,'20.10 KAYUNGA-GALIRAYA'!E19,'21.10 KAYUNGA-GALIRAYA-24h'!E19,'22.10 KAYUNGA-GALIRAYA'!E19,'23.10 KAYUNGA-GALIRAYA'!E19)</f>
        <v>0.2857142857142857</v>
      </c>
      <c r="F19" s="49">
        <f>AVERAGE('17.10 KAYUNGA-GALIRAYA'!F19,'18.10 KAYUNGA-GALIRAYA'!F19,'19.10 KAYUNGA-GALIRAYA-24h'!F19,'20.10 KAYUNGA-GALIRAYA'!F19,'21.10 KAYUNGA-GALIRAYA-24h'!F19,'22.10 KAYUNGA-GALIRAYA'!F19,'23.10 KAYUNGA-GALIRAYA'!F19)</f>
        <v>1</v>
      </c>
      <c r="G19" s="49">
        <f>AVERAGE('17.10 KAYUNGA-GALIRAYA'!G19,'18.10 KAYUNGA-GALIRAYA'!G19,'19.10 KAYUNGA-GALIRAYA-24h'!G19,'20.10 KAYUNGA-GALIRAYA'!G19,'21.10 KAYUNGA-GALIRAYA-24h'!G19,'22.10 KAYUNGA-GALIRAYA'!G19,'23.10 KAYUNGA-GALIRAYA'!G19)</f>
        <v>0.14285714285714285</v>
      </c>
      <c r="H19" s="49">
        <f>AVERAGE('17.10 KAYUNGA-GALIRAYA'!H19,'18.10 KAYUNGA-GALIRAYA'!H19,'19.10 KAYUNGA-GALIRAYA-24h'!H19,'20.10 KAYUNGA-GALIRAYA'!H19,'21.10 KAYUNGA-GALIRAYA-24h'!H19,'22.10 KAYUNGA-GALIRAYA'!H19,'23.10 KAYUNGA-GALIRAYA'!H19)</f>
        <v>0.14285714285714285</v>
      </c>
      <c r="I19" s="49">
        <f>AVERAGE('17.10 KAYUNGA-GALIRAYA'!I19,'18.10 KAYUNGA-GALIRAYA'!I19,'19.10 KAYUNGA-GALIRAYA-24h'!I19,'20.10 KAYUNGA-GALIRAYA'!I19,'21.10 KAYUNGA-GALIRAYA-24h'!I19,'22.10 KAYUNGA-GALIRAYA'!I19,'23.10 KAYUNGA-GALIRAYA'!I19)</f>
        <v>0.42857142857142855</v>
      </c>
      <c r="J19" s="49">
        <f>AVERAGE('17.10 KAYUNGA-GALIRAYA'!J19,'18.10 KAYUNGA-GALIRAYA'!J19,'19.10 KAYUNGA-GALIRAYA-24h'!J19,'20.10 KAYUNGA-GALIRAYA'!J19,'21.10 KAYUNGA-GALIRAYA-24h'!J19,'22.10 KAYUNGA-GALIRAYA'!J19,'23.10 KAYUNGA-GALIRAYA'!J19)</f>
        <v>0.42857142857142855</v>
      </c>
      <c r="K19" s="49">
        <f>AVERAGE('17.10 KAYUNGA-GALIRAYA'!K19,'18.10 KAYUNGA-GALIRAYA'!K19,'19.10 KAYUNGA-GALIRAYA-24h'!K19,'20.10 KAYUNGA-GALIRAYA'!K19,'21.10 KAYUNGA-GALIRAYA-24h'!K19,'22.10 KAYUNGA-GALIRAYA'!K19,'23.10 KAYUNGA-GALIRAYA'!K19)</f>
        <v>0.7142857142857143</v>
      </c>
      <c r="L19" s="49">
        <f>AVERAGE('17.10 KAYUNGA-GALIRAYA'!L19,'18.10 KAYUNGA-GALIRAYA'!L19,'19.10 KAYUNGA-GALIRAYA-24h'!L19,'20.10 KAYUNGA-GALIRAYA'!L19,'21.10 KAYUNGA-GALIRAYA-24h'!L19,'22.10 KAYUNGA-GALIRAYA'!L19,'23.10 KAYUNGA-GALIRAYA'!L19)</f>
        <v>0</v>
      </c>
      <c r="M19" s="49">
        <f>AVERAGE('17.10 KAYUNGA-GALIRAYA'!M19,'18.10 KAYUNGA-GALIRAYA'!M19,'19.10 KAYUNGA-GALIRAYA-24h'!M19,'20.10 KAYUNGA-GALIRAYA'!M19,'21.10 KAYUNGA-GALIRAYA-24h'!M19,'22.10 KAYUNGA-GALIRAYA'!M19,'23.10 KAYUNGA-GALIRAYA'!M19)</f>
        <v>7.5714285714285712</v>
      </c>
      <c r="N19" s="49">
        <f>AVERAGE('17.10 KAYUNGA-GALIRAYA'!N19,'18.10 KAYUNGA-GALIRAYA'!N19,'19.10 KAYUNGA-GALIRAYA-24h'!N19,'20.10 KAYUNGA-GALIRAYA'!N19,'21.10 KAYUNGA-GALIRAYA-24h'!N19,'22.10 KAYUNGA-GALIRAYA'!N19,'23.10 KAYUNGA-GALIRAYA'!N19)</f>
        <v>0</v>
      </c>
      <c r="O19" s="15">
        <f t="shared" si="0"/>
        <v>4.4285714285714279</v>
      </c>
      <c r="P19" s="15">
        <f t="shared" si="1"/>
        <v>12</v>
      </c>
      <c r="R19" s="1" t="s">
        <v>15</v>
      </c>
      <c r="S19" s="17">
        <f t="shared" ref="S19:AF19" si="11">SUM(C46:C49)</f>
        <v>3.5714285714285716</v>
      </c>
      <c r="T19" s="17">
        <f t="shared" si="11"/>
        <v>0.85714285714285698</v>
      </c>
      <c r="U19" s="17">
        <f t="shared" si="11"/>
        <v>1.1428571428571428</v>
      </c>
      <c r="V19" s="17">
        <f t="shared" si="11"/>
        <v>6.2857142857142856</v>
      </c>
      <c r="W19" s="17">
        <f t="shared" si="11"/>
        <v>0.42857142857142855</v>
      </c>
      <c r="X19" s="17">
        <f t="shared" si="11"/>
        <v>0.5714285714285714</v>
      </c>
      <c r="Y19" s="17">
        <f t="shared" si="11"/>
        <v>4.5714285714285712</v>
      </c>
      <c r="Z19" s="17">
        <f t="shared" si="11"/>
        <v>1.4285714285714284</v>
      </c>
      <c r="AA19" s="17">
        <f t="shared" si="11"/>
        <v>0.71428571428571419</v>
      </c>
      <c r="AB19" s="17">
        <f t="shared" si="11"/>
        <v>0.14285714285714285</v>
      </c>
      <c r="AC19" s="17">
        <f t="shared" si="11"/>
        <v>47.142857142857153</v>
      </c>
      <c r="AD19" s="17">
        <f t="shared" si="11"/>
        <v>0</v>
      </c>
      <c r="AE19" s="31">
        <f t="shared" si="11"/>
        <v>19.714285714285712</v>
      </c>
      <c r="AF19" s="31">
        <f t="shared" si="11"/>
        <v>66.857142857142861</v>
      </c>
    </row>
    <row r="20" spans="2:32" ht="23.1" customHeight="1" x14ac:dyDescent="0.25">
      <c r="B20" s="23" t="s">
        <v>47</v>
      </c>
      <c r="C20" s="49">
        <f>AVERAGE('17.10 KAYUNGA-GALIRAYA'!C20,'18.10 KAYUNGA-GALIRAYA'!C20,'19.10 KAYUNGA-GALIRAYA-24h'!C20,'20.10 KAYUNGA-GALIRAYA'!C20,'21.10 KAYUNGA-GALIRAYA-24h'!C20,'22.10 KAYUNGA-GALIRAYA'!C20,'23.10 KAYUNGA-GALIRAYA'!C20)</f>
        <v>0.7142857142857143</v>
      </c>
      <c r="D20" s="49">
        <f>AVERAGE('17.10 KAYUNGA-GALIRAYA'!D20,'18.10 KAYUNGA-GALIRAYA'!D20,'19.10 KAYUNGA-GALIRAYA-24h'!D20,'20.10 KAYUNGA-GALIRAYA'!D20,'21.10 KAYUNGA-GALIRAYA-24h'!D20,'22.10 KAYUNGA-GALIRAYA'!D20,'23.10 KAYUNGA-GALIRAYA'!D20)</f>
        <v>0.14285714285714285</v>
      </c>
      <c r="E20" s="49">
        <f>AVERAGE('17.10 KAYUNGA-GALIRAYA'!E20,'18.10 KAYUNGA-GALIRAYA'!E20,'19.10 KAYUNGA-GALIRAYA-24h'!E20,'20.10 KAYUNGA-GALIRAYA'!E20,'21.10 KAYUNGA-GALIRAYA-24h'!E20,'22.10 KAYUNGA-GALIRAYA'!E20,'23.10 KAYUNGA-GALIRAYA'!E20)</f>
        <v>0.2857142857142857</v>
      </c>
      <c r="F20" s="49">
        <f>AVERAGE('17.10 KAYUNGA-GALIRAYA'!F20,'18.10 KAYUNGA-GALIRAYA'!F20,'19.10 KAYUNGA-GALIRAYA-24h'!F20,'20.10 KAYUNGA-GALIRAYA'!F20,'21.10 KAYUNGA-GALIRAYA-24h'!F20,'22.10 KAYUNGA-GALIRAYA'!F20,'23.10 KAYUNGA-GALIRAYA'!F20)</f>
        <v>0.7142857142857143</v>
      </c>
      <c r="G20" s="49">
        <f>AVERAGE('17.10 KAYUNGA-GALIRAYA'!G20,'18.10 KAYUNGA-GALIRAYA'!G20,'19.10 KAYUNGA-GALIRAYA-24h'!G20,'20.10 KAYUNGA-GALIRAYA'!G20,'21.10 KAYUNGA-GALIRAYA-24h'!G20,'22.10 KAYUNGA-GALIRAYA'!G20,'23.10 KAYUNGA-GALIRAYA'!G20)</f>
        <v>0</v>
      </c>
      <c r="H20" s="49">
        <f>AVERAGE('17.10 KAYUNGA-GALIRAYA'!H20,'18.10 KAYUNGA-GALIRAYA'!H20,'19.10 KAYUNGA-GALIRAYA-24h'!H20,'20.10 KAYUNGA-GALIRAYA'!H20,'21.10 KAYUNGA-GALIRAYA-24h'!H20,'22.10 KAYUNGA-GALIRAYA'!H20,'23.10 KAYUNGA-GALIRAYA'!H20)</f>
        <v>0.14285714285714285</v>
      </c>
      <c r="I20" s="49">
        <f>AVERAGE('17.10 KAYUNGA-GALIRAYA'!I20,'18.10 KAYUNGA-GALIRAYA'!I20,'19.10 KAYUNGA-GALIRAYA-24h'!I20,'20.10 KAYUNGA-GALIRAYA'!I20,'21.10 KAYUNGA-GALIRAYA-24h'!I20,'22.10 KAYUNGA-GALIRAYA'!I20,'23.10 KAYUNGA-GALIRAYA'!I20)</f>
        <v>1.1428571428571428</v>
      </c>
      <c r="J20" s="49">
        <f>AVERAGE('17.10 KAYUNGA-GALIRAYA'!J20,'18.10 KAYUNGA-GALIRAYA'!J20,'19.10 KAYUNGA-GALIRAYA-24h'!J20,'20.10 KAYUNGA-GALIRAYA'!J20,'21.10 KAYUNGA-GALIRAYA-24h'!J20,'22.10 KAYUNGA-GALIRAYA'!J20,'23.10 KAYUNGA-GALIRAYA'!J20)</f>
        <v>0.42857142857142855</v>
      </c>
      <c r="K20" s="49">
        <f>AVERAGE('17.10 KAYUNGA-GALIRAYA'!K20,'18.10 KAYUNGA-GALIRAYA'!K20,'19.10 KAYUNGA-GALIRAYA-24h'!K20,'20.10 KAYUNGA-GALIRAYA'!K20,'21.10 KAYUNGA-GALIRAYA-24h'!K20,'22.10 KAYUNGA-GALIRAYA'!K20,'23.10 KAYUNGA-GALIRAYA'!K20)</f>
        <v>0.14285714285714285</v>
      </c>
      <c r="L20" s="49">
        <f>AVERAGE('17.10 KAYUNGA-GALIRAYA'!L20,'18.10 KAYUNGA-GALIRAYA'!L20,'19.10 KAYUNGA-GALIRAYA-24h'!L20,'20.10 KAYUNGA-GALIRAYA'!L20,'21.10 KAYUNGA-GALIRAYA-24h'!L20,'22.10 KAYUNGA-GALIRAYA'!L20,'23.10 KAYUNGA-GALIRAYA'!L20)</f>
        <v>0.14285714285714285</v>
      </c>
      <c r="M20" s="49">
        <f>AVERAGE('17.10 KAYUNGA-GALIRAYA'!M20,'18.10 KAYUNGA-GALIRAYA'!M20,'19.10 KAYUNGA-GALIRAYA-24h'!M20,'20.10 KAYUNGA-GALIRAYA'!M20,'21.10 KAYUNGA-GALIRAYA-24h'!M20,'22.10 KAYUNGA-GALIRAYA'!M20,'23.10 KAYUNGA-GALIRAYA'!M20)</f>
        <v>10.714285714285714</v>
      </c>
      <c r="N20" s="49">
        <f>AVERAGE('17.10 KAYUNGA-GALIRAYA'!N20,'18.10 KAYUNGA-GALIRAYA'!N20,'19.10 KAYUNGA-GALIRAYA-24h'!N20,'20.10 KAYUNGA-GALIRAYA'!N20,'21.10 KAYUNGA-GALIRAYA-24h'!N20,'22.10 KAYUNGA-GALIRAYA'!N20,'23.10 KAYUNGA-GALIRAYA'!N20)</f>
        <v>0</v>
      </c>
      <c r="O20" s="15">
        <f t="shared" si="0"/>
        <v>3.8571428571428568</v>
      </c>
      <c r="P20" s="15">
        <f t="shared" si="1"/>
        <v>14.571428571428569</v>
      </c>
      <c r="R20" s="1" t="s">
        <v>16</v>
      </c>
      <c r="S20" s="17">
        <f t="shared" ref="S20:AF20" si="12">SUM(C50:C53)</f>
        <v>4.2857142857142856</v>
      </c>
      <c r="T20" s="17">
        <f t="shared" si="12"/>
        <v>0.71428571428571419</v>
      </c>
      <c r="U20" s="17">
        <f t="shared" si="12"/>
        <v>1.5714285714285714</v>
      </c>
      <c r="V20" s="17">
        <f t="shared" si="12"/>
        <v>6.7142857142857144</v>
      </c>
      <c r="W20" s="17">
        <f t="shared" si="12"/>
        <v>0.42857142857142855</v>
      </c>
      <c r="X20" s="17">
        <f t="shared" si="12"/>
        <v>0.14285714285714285</v>
      </c>
      <c r="Y20" s="17">
        <f t="shared" si="12"/>
        <v>2.4285714285714288</v>
      </c>
      <c r="Z20" s="17">
        <f t="shared" si="12"/>
        <v>0.99999999999999989</v>
      </c>
      <c r="AA20" s="17">
        <f t="shared" si="12"/>
        <v>0.14285714285714285</v>
      </c>
      <c r="AB20" s="17">
        <f t="shared" si="12"/>
        <v>0.2857142857142857</v>
      </c>
      <c r="AC20" s="17">
        <f t="shared" si="12"/>
        <v>39.857142857142854</v>
      </c>
      <c r="AD20" s="17">
        <f t="shared" si="12"/>
        <v>0.14285714285714285</v>
      </c>
      <c r="AE20" s="31">
        <f t="shared" si="12"/>
        <v>17.857142857142858</v>
      </c>
      <c r="AF20" s="31">
        <f t="shared" si="12"/>
        <v>57.714285714285715</v>
      </c>
    </row>
    <row r="21" spans="2:32" ht="23.1" customHeight="1" x14ac:dyDescent="0.25">
      <c r="B21" s="23" t="s">
        <v>48</v>
      </c>
      <c r="C21" s="49">
        <f>AVERAGE('17.10 KAYUNGA-GALIRAYA'!C21,'18.10 KAYUNGA-GALIRAYA'!C21,'19.10 KAYUNGA-GALIRAYA-24h'!C21,'20.10 KAYUNGA-GALIRAYA'!C21,'21.10 KAYUNGA-GALIRAYA-24h'!C21,'22.10 KAYUNGA-GALIRAYA'!C21,'23.10 KAYUNGA-GALIRAYA'!C21)</f>
        <v>0.8571428571428571</v>
      </c>
      <c r="D21" s="49">
        <f>AVERAGE('17.10 KAYUNGA-GALIRAYA'!D21,'18.10 KAYUNGA-GALIRAYA'!D21,'19.10 KAYUNGA-GALIRAYA-24h'!D21,'20.10 KAYUNGA-GALIRAYA'!D21,'21.10 KAYUNGA-GALIRAYA-24h'!D21,'22.10 KAYUNGA-GALIRAYA'!D21,'23.10 KAYUNGA-GALIRAYA'!D21)</f>
        <v>0.42857142857142855</v>
      </c>
      <c r="E21" s="49">
        <f>AVERAGE('17.10 KAYUNGA-GALIRAYA'!E21,'18.10 KAYUNGA-GALIRAYA'!E21,'19.10 KAYUNGA-GALIRAYA-24h'!E21,'20.10 KAYUNGA-GALIRAYA'!E21,'21.10 KAYUNGA-GALIRAYA-24h'!E21,'22.10 KAYUNGA-GALIRAYA'!E21,'23.10 KAYUNGA-GALIRAYA'!E21)</f>
        <v>0.8571428571428571</v>
      </c>
      <c r="F21" s="49">
        <f>AVERAGE('17.10 KAYUNGA-GALIRAYA'!F21,'18.10 KAYUNGA-GALIRAYA'!F21,'19.10 KAYUNGA-GALIRAYA-24h'!F21,'20.10 KAYUNGA-GALIRAYA'!F21,'21.10 KAYUNGA-GALIRAYA-24h'!F21,'22.10 KAYUNGA-GALIRAYA'!F21,'23.10 KAYUNGA-GALIRAYA'!F21)</f>
        <v>2.1428571428571428</v>
      </c>
      <c r="G21" s="49">
        <f>AVERAGE('17.10 KAYUNGA-GALIRAYA'!G21,'18.10 KAYUNGA-GALIRAYA'!G21,'19.10 KAYUNGA-GALIRAYA-24h'!G21,'20.10 KAYUNGA-GALIRAYA'!G21,'21.10 KAYUNGA-GALIRAYA-24h'!G21,'22.10 KAYUNGA-GALIRAYA'!G21,'23.10 KAYUNGA-GALIRAYA'!G21)</f>
        <v>0</v>
      </c>
      <c r="H21" s="49">
        <f>AVERAGE('17.10 KAYUNGA-GALIRAYA'!H21,'18.10 KAYUNGA-GALIRAYA'!H21,'19.10 KAYUNGA-GALIRAYA-24h'!H21,'20.10 KAYUNGA-GALIRAYA'!H21,'21.10 KAYUNGA-GALIRAYA-24h'!H21,'22.10 KAYUNGA-GALIRAYA'!H21,'23.10 KAYUNGA-GALIRAYA'!H21)</f>
        <v>0</v>
      </c>
      <c r="I21" s="49">
        <f>AVERAGE('17.10 KAYUNGA-GALIRAYA'!I21,'18.10 KAYUNGA-GALIRAYA'!I21,'19.10 KAYUNGA-GALIRAYA-24h'!I21,'20.10 KAYUNGA-GALIRAYA'!I21,'21.10 KAYUNGA-GALIRAYA-24h'!I21,'22.10 KAYUNGA-GALIRAYA'!I21,'23.10 KAYUNGA-GALIRAYA'!I21)</f>
        <v>1.4285714285714286</v>
      </c>
      <c r="J21" s="49">
        <f>AVERAGE('17.10 KAYUNGA-GALIRAYA'!J21,'18.10 KAYUNGA-GALIRAYA'!J21,'19.10 KAYUNGA-GALIRAYA-24h'!J21,'20.10 KAYUNGA-GALIRAYA'!J21,'21.10 KAYUNGA-GALIRAYA-24h'!J21,'22.10 KAYUNGA-GALIRAYA'!J21,'23.10 KAYUNGA-GALIRAYA'!J21)</f>
        <v>0.42857142857142855</v>
      </c>
      <c r="K21" s="49">
        <f>AVERAGE('17.10 KAYUNGA-GALIRAYA'!K21,'18.10 KAYUNGA-GALIRAYA'!K21,'19.10 KAYUNGA-GALIRAYA-24h'!K21,'20.10 KAYUNGA-GALIRAYA'!K21,'21.10 KAYUNGA-GALIRAYA-24h'!K21,'22.10 KAYUNGA-GALIRAYA'!K21,'23.10 KAYUNGA-GALIRAYA'!K21)</f>
        <v>0.2857142857142857</v>
      </c>
      <c r="L21" s="49">
        <f>AVERAGE('17.10 KAYUNGA-GALIRAYA'!L21,'18.10 KAYUNGA-GALIRAYA'!L21,'19.10 KAYUNGA-GALIRAYA-24h'!L21,'20.10 KAYUNGA-GALIRAYA'!L21,'21.10 KAYUNGA-GALIRAYA-24h'!L21,'22.10 KAYUNGA-GALIRAYA'!L21,'23.10 KAYUNGA-GALIRAYA'!L21)</f>
        <v>0</v>
      </c>
      <c r="M21" s="49">
        <f>AVERAGE('17.10 KAYUNGA-GALIRAYA'!M21,'18.10 KAYUNGA-GALIRAYA'!M21,'19.10 KAYUNGA-GALIRAYA-24h'!M21,'20.10 KAYUNGA-GALIRAYA'!M21,'21.10 KAYUNGA-GALIRAYA-24h'!M21,'22.10 KAYUNGA-GALIRAYA'!M21,'23.10 KAYUNGA-GALIRAYA'!M21)</f>
        <v>13.285714285714286</v>
      </c>
      <c r="N21" s="49">
        <f>AVERAGE('17.10 KAYUNGA-GALIRAYA'!N21,'18.10 KAYUNGA-GALIRAYA'!N21,'19.10 KAYUNGA-GALIRAYA-24h'!N21,'20.10 KAYUNGA-GALIRAYA'!N21,'21.10 KAYUNGA-GALIRAYA-24h'!N21,'22.10 KAYUNGA-GALIRAYA'!N21,'23.10 KAYUNGA-GALIRAYA'!N21)</f>
        <v>0</v>
      </c>
      <c r="O21" s="15">
        <f t="shared" si="0"/>
        <v>6.4285714285714288</v>
      </c>
      <c r="P21" s="15">
        <f t="shared" si="1"/>
        <v>19.714285714285715</v>
      </c>
      <c r="R21" s="36" t="s">
        <v>20</v>
      </c>
      <c r="S21" s="34">
        <f t="shared" ref="S21:AF21" si="13">SUM(C54:C57)</f>
        <v>4.4285714285714288</v>
      </c>
      <c r="T21" s="17">
        <f t="shared" si="13"/>
        <v>1.2857142857142856</v>
      </c>
      <c r="U21" s="17">
        <f t="shared" si="13"/>
        <v>1</v>
      </c>
      <c r="V21" s="17">
        <f t="shared" si="13"/>
        <v>6.2857142857142856</v>
      </c>
      <c r="W21" s="17">
        <f t="shared" si="13"/>
        <v>0.42857142857142855</v>
      </c>
      <c r="X21" s="17">
        <f t="shared" si="13"/>
        <v>0</v>
      </c>
      <c r="Y21" s="17">
        <f t="shared" si="13"/>
        <v>3.2857142857142856</v>
      </c>
      <c r="Z21" s="17">
        <f t="shared" si="13"/>
        <v>0.71428571428571419</v>
      </c>
      <c r="AA21" s="17">
        <f t="shared" si="13"/>
        <v>2</v>
      </c>
      <c r="AB21" s="17">
        <f t="shared" si="13"/>
        <v>0.2857142857142857</v>
      </c>
      <c r="AC21" s="17">
        <f t="shared" si="13"/>
        <v>46.571428571428569</v>
      </c>
      <c r="AD21" s="17">
        <f t="shared" si="13"/>
        <v>0</v>
      </c>
      <c r="AE21" s="31">
        <f t="shared" si="13"/>
        <v>19.714285714285715</v>
      </c>
      <c r="AF21" s="31">
        <f t="shared" si="13"/>
        <v>66.285714285714292</v>
      </c>
    </row>
    <row r="22" spans="2:32" ht="23.1" customHeight="1" x14ac:dyDescent="0.25">
      <c r="B22" s="23" t="s">
        <v>49</v>
      </c>
      <c r="C22" s="49">
        <f>AVERAGE('17.10 KAYUNGA-GALIRAYA'!C22,'18.10 KAYUNGA-GALIRAYA'!C22,'19.10 KAYUNGA-GALIRAYA-24h'!C22,'20.10 KAYUNGA-GALIRAYA'!C22,'21.10 KAYUNGA-GALIRAYA-24h'!C22,'22.10 KAYUNGA-GALIRAYA'!C22,'23.10 KAYUNGA-GALIRAYA'!C22)</f>
        <v>0.5714285714285714</v>
      </c>
      <c r="D22" s="49">
        <f>AVERAGE('17.10 KAYUNGA-GALIRAYA'!D22,'18.10 KAYUNGA-GALIRAYA'!D22,'19.10 KAYUNGA-GALIRAYA-24h'!D22,'20.10 KAYUNGA-GALIRAYA'!D22,'21.10 KAYUNGA-GALIRAYA-24h'!D22,'22.10 KAYUNGA-GALIRAYA'!D22,'23.10 KAYUNGA-GALIRAYA'!D22)</f>
        <v>0.5714285714285714</v>
      </c>
      <c r="E22" s="49">
        <f>AVERAGE('17.10 KAYUNGA-GALIRAYA'!E22,'18.10 KAYUNGA-GALIRAYA'!E22,'19.10 KAYUNGA-GALIRAYA-24h'!E22,'20.10 KAYUNGA-GALIRAYA'!E22,'21.10 KAYUNGA-GALIRAYA-24h'!E22,'22.10 KAYUNGA-GALIRAYA'!E22,'23.10 KAYUNGA-GALIRAYA'!E22)</f>
        <v>0.42857142857142855</v>
      </c>
      <c r="F22" s="49">
        <f>AVERAGE('17.10 KAYUNGA-GALIRAYA'!F22,'18.10 KAYUNGA-GALIRAYA'!F22,'19.10 KAYUNGA-GALIRAYA-24h'!F22,'20.10 KAYUNGA-GALIRAYA'!F22,'21.10 KAYUNGA-GALIRAYA-24h'!F22,'22.10 KAYUNGA-GALIRAYA'!F22,'23.10 KAYUNGA-GALIRAYA'!F22)</f>
        <v>0.7142857142857143</v>
      </c>
      <c r="G22" s="49">
        <f>AVERAGE('17.10 KAYUNGA-GALIRAYA'!G22,'18.10 KAYUNGA-GALIRAYA'!G22,'19.10 KAYUNGA-GALIRAYA-24h'!G22,'20.10 KAYUNGA-GALIRAYA'!G22,'21.10 KAYUNGA-GALIRAYA-24h'!G22,'22.10 KAYUNGA-GALIRAYA'!G22,'23.10 KAYUNGA-GALIRAYA'!G22)</f>
        <v>0</v>
      </c>
      <c r="H22" s="49">
        <f>AVERAGE('17.10 KAYUNGA-GALIRAYA'!H22,'18.10 KAYUNGA-GALIRAYA'!H22,'19.10 KAYUNGA-GALIRAYA-24h'!H22,'20.10 KAYUNGA-GALIRAYA'!H22,'21.10 KAYUNGA-GALIRAYA-24h'!H22,'22.10 KAYUNGA-GALIRAYA'!H22,'23.10 KAYUNGA-GALIRAYA'!H22)</f>
        <v>0</v>
      </c>
      <c r="I22" s="49">
        <f>AVERAGE('17.10 KAYUNGA-GALIRAYA'!I22,'18.10 KAYUNGA-GALIRAYA'!I22,'19.10 KAYUNGA-GALIRAYA-24h'!I22,'20.10 KAYUNGA-GALIRAYA'!I22,'21.10 KAYUNGA-GALIRAYA-24h'!I22,'22.10 KAYUNGA-GALIRAYA'!I22,'23.10 KAYUNGA-GALIRAYA'!I22)</f>
        <v>1.1428571428571428</v>
      </c>
      <c r="J22" s="49">
        <f>AVERAGE('17.10 KAYUNGA-GALIRAYA'!J22,'18.10 KAYUNGA-GALIRAYA'!J22,'19.10 KAYUNGA-GALIRAYA-24h'!J22,'20.10 KAYUNGA-GALIRAYA'!J22,'21.10 KAYUNGA-GALIRAYA-24h'!J22,'22.10 KAYUNGA-GALIRAYA'!J22,'23.10 KAYUNGA-GALIRAYA'!J22)</f>
        <v>0.14285714285714285</v>
      </c>
      <c r="K22" s="49">
        <f>AVERAGE('17.10 KAYUNGA-GALIRAYA'!K22,'18.10 KAYUNGA-GALIRAYA'!K22,'19.10 KAYUNGA-GALIRAYA-24h'!K22,'20.10 KAYUNGA-GALIRAYA'!K22,'21.10 KAYUNGA-GALIRAYA-24h'!K22,'22.10 KAYUNGA-GALIRAYA'!K22,'23.10 KAYUNGA-GALIRAYA'!K22)</f>
        <v>0.14285714285714285</v>
      </c>
      <c r="L22" s="49">
        <f>AVERAGE('17.10 KAYUNGA-GALIRAYA'!L22,'18.10 KAYUNGA-GALIRAYA'!L22,'19.10 KAYUNGA-GALIRAYA-24h'!L22,'20.10 KAYUNGA-GALIRAYA'!L22,'21.10 KAYUNGA-GALIRAYA-24h'!L22,'22.10 KAYUNGA-GALIRAYA'!L22,'23.10 KAYUNGA-GALIRAYA'!L22)</f>
        <v>0.14285714285714285</v>
      </c>
      <c r="M22" s="49">
        <f>AVERAGE('17.10 KAYUNGA-GALIRAYA'!M22,'18.10 KAYUNGA-GALIRAYA'!M22,'19.10 KAYUNGA-GALIRAYA-24h'!M22,'20.10 KAYUNGA-GALIRAYA'!M22,'21.10 KAYUNGA-GALIRAYA-24h'!M22,'22.10 KAYUNGA-GALIRAYA'!M22,'23.10 KAYUNGA-GALIRAYA'!M22)</f>
        <v>10.857142857142858</v>
      </c>
      <c r="N22" s="49">
        <f>AVERAGE('17.10 KAYUNGA-GALIRAYA'!N22,'18.10 KAYUNGA-GALIRAYA'!N22,'19.10 KAYUNGA-GALIRAYA-24h'!N22,'20.10 KAYUNGA-GALIRAYA'!N22,'21.10 KAYUNGA-GALIRAYA-24h'!N22,'22.10 KAYUNGA-GALIRAYA'!N22,'23.10 KAYUNGA-GALIRAYA'!N22)</f>
        <v>0</v>
      </c>
      <c r="O22" s="15">
        <f t="shared" si="0"/>
        <v>3.8571428571428568</v>
      </c>
      <c r="P22" s="15">
        <f t="shared" si="1"/>
        <v>14.714285714285715</v>
      </c>
      <c r="R22" s="1" t="s">
        <v>146</v>
      </c>
      <c r="S22" s="34">
        <f>SUM(C58:C61)</f>
        <v>5</v>
      </c>
      <c r="T22" s="34">
        <f t="shared" ref="T22:AF22" si="14">SUM(D58:D61)</f>
        <v>0</v>
      </c>
      <c r="U22" s="34">
        <f t="shared" si="14"/>
        <v>2.5</v>
      </c>
      <c r="V22" s="34">
        <f t="shared" si="14"/>
        <v>5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1</v>
      </c>
      <c r="AA22" s="34">
        <f t="shared" si="14"/>
        <v>1</v>
      </c>
      <c r="AB22" s="34">
        <f t="shared" si="14"/>
        <v>0</v>
      </c>
      <c r="AC22" s="34">
        <f t="shared" si="14"/>
        <v>48</v>
      </c>
      <c r="AD22" s="34">
        <f t="shared" si="14"/>
        <v>0</v>
      </c>
      <c r="AE22" s="31">
        <f t="shared" si="14"/>
        <v>16.5</v>
      </c>
      <c r="AF22" s="31">
        <f t="shared" si="14"/>
        <v>64.5</v>
      </c>
    </row>
    <row r="23" spans="2:32" ht="23.1" customHeight="1" x14ac:dyDescent="0.25">
      <c r="B23" s="23" t="s">
        <v>50</v>
      </c>
      <c r="C23" s="49">
        <f>AVERAGE('17.10 KAYUNGA-GALIRAYA'!C23,'18.10 KAYUNGA-GALIRAYA'!C23,'19.10 KAYUNGA-GALIRAYA-24h'!C23,'20.10 KAYUNGA-GALIRAYA'!C23,'21.10 KAYUNGA-GALIRAYA-24h'!C23,'22.10 KAYUNGA-GALIRAYA'!C23,'23.10 KAYUNGA-GALIRAYA'!C23)</f>
        <v>1</v>
      </c>
      <c r="D23" s="49">
        <f>AVERAGE('17.10 KAYUNGA-GALIRAYA'!D23,'18.10 KAYUNGA-GALIRAYA'!D23,'19.10 KAYUNGA-GALIRAYA-24h'!D23,'20.10 KAYUNGA-GALIRAYA'!D23,'21.10 KAYUNGA-GALIRAYA-24h'!D23,'22.10 KAYUNGA-GALIRAYA'!D23,'23.10 KAYUNGA-GALIRAYA'!D23)</f>
        <v>0.5714285714285714</v>
      </c>
      <c r="E23" s="49">
        <f>AVERAGE('17.10 KAYUNGA-GALIRAYA'!E23,'18.10 KAYUNGA-GALIRAYA'!E23,'19.10 KAYUNGA-GALIRAYA-24h'!E23,'20.10 KAYUNGA-GALIRAYA'!E23,'21.10 KAYUNGA-GALIRAYA-24h'!E23,'22.10 KAYUNGA-GALIRAYA'!E23,'23.10 KAYUNGA-GALIRAYA'!E23)</f>
        <v>0.7142857142857143</v>
      </c>
      <c r="F23" s="49">
        <f>AVERAGE('17.10 KAYUNGA-GALIRAYA'!F23,'18.10 KAYUNGA-GALIRAYA'!F23,'19.10 KAYUNGA-GALIRAYA-24h'!F23,'20.10 KAYUNGA-GALIRAYA'!F23,'21.10 KAYUNGA-GALIRAYA-24h'!F23,'22.10 KAYUNGA-GALIRAYA'!F23,'23.10 KAYUNGA-GALIRAYA'!F23)</f>
        <v>1.7142857142857142</v>
      </c>
      <c r="G23" s="49">
        <f>AVERAGE('17.10 KAYUNGA-GALIRAYA'!G23,'18.10 KAYUNGA-GALIRAYA'!G23,'19.10 KAYUNGA-GALIRAYA-24h'!G23,'20.10 KAYUNGA-GALIRAYA'!G23,'21.10 KAYUNGA-GALIRAYA-24h'!G23,'22.10 KAYUNGA-GALIRAYA'!G23,'23.10 KAYUNGA-GALIRAYA'!G23)</f>
        <v>0.14285714285714285</v>
      </c>
      <c r="H23" s="49">
        <f>AVERAGE('17.10 KAYUNGA-GALIRAYA'!H23,'18.10 KAYUNGA-GALIRAYA'!H23,'19.10 KAYUNGA-GALIRAYA-24h'!H23,'20.10 KAYUNGA-GALIRAYA'!H23,'21.10 KAYUNGA-GALIRAYA-24h'!H23,'22.10 KAYUNGA-GALIRAYA'!H23,'23.10 KAYUNGA-GALIRAYA'!H23)</f>
        <v>0</v>
      </c>
      <c r="I23" s="49">
        <f>AVERAGE('17.10 KAYUNGA-GALIRAYA'!I23,'18.10 KAYUNGA-GALIRAYA'!I23,'19.10 KAYUNGA-GALIRAYA-24h'!I23,'20.10 KAYUNGA-GALIRAYA'!I23,'21.10 KAYUNGA-GALIRAYA-24h'!I23,'22.10 KAYUNGA-GALIRAYA'!I23,'23.10 KAYUNGA-GALIRAYA'!I23)</f>
        <v>1.4285714285714286</v>
      </c>
      <c r="J23" s="49">
        <f>AVERAGE('17.10 KAYUNGA-GALIRAYA'!J23,'18.10 KAYUNGA-GALIRAYA'!J23,'19.10 KAYUNGA-GALIRAYA-24h'!J23,'20.10 KAYUNGA-GALIRAYA'!J23,'21.10 KAYUNGA-GALIRAYA-24h'!J23,'22.10 KAYUNGA-GALIRAYA'!J23,'23.10 KAYUNGA-GALIRAYA'!J23)</f>
        <v>0.2857142857142857</v>
      </c>
      <c r="K23" s="49">
        <f>AVERAGE('17.10 KAYUNGA-GALIRAYA'!K23,'18.10 KAYUNGA-GALIRAYA'!K23,'19.10 KAYUNGA-GALIRAYA-24h'!K23,'20.10 KAYUNGA-GALIRAYA'!K23,'21.10 KAYUNGA-GALIRAYA-24h'!K23,'22.10 KAYUNGA-GALIRAYA'!K23,'23.10 KAYUNGA-GALIRAYA'!K23)</f>
        <v>0.14285714285714285</v>
      </c>
      <c r="L23" s="49">
        <f>AVERAGE('17.10 KAYUNGA-GALIRAYA'!L23,'18.10 KAYUNGA-GALIRAYA'!L23,'19.10 KAYUNGA-GALIRAYA-24h'!L23,'20.10 KAYUNGA-GALIRAYA'!L23,'21.10 KAYUNGA-GALIRAYA-24h'!L23,'22.10 KAYUNGA-GALIRAYA'!L23,'23.10 KAYUNGA-GALIRAYA'!L23)</f>
        <v>0</v>
      </c>
      <c r="M23" s="49">
        <f>AVERAGE('17.10 KAYUNGA-GALIRAYA'!M23,'18.10 KAYUNGA-GALIRAYA'!M23,'19.10 KAYUNGA-GALIRAYA-24h'!M23,'20.10 KAYUNGA-GALIRAYA'!M23,'21.10 KAYUNGA-GALIRAYA-24h'!M23,'22.10 KAYUNGA-GALIRAYA'!M23,'23.10 KAYUNGA-GALIRAYA'!M23)</f>
        <v>13.428571428571429</v>
      </c>
      <c r="N23" s="49">
        <f>AVERAGE('17.10 KAYUNGA-GALIRAYA'!N23,'18.10 KAYUNGA-GALIRAYA'!N23,'19.10 KAYUNGA-GALIRAYA-24h'!N23,'20.10 KAYUNGA-GALIRAYA'!N23,'21.10 KAYUNGA-GALIRAYA-24h'!N23,'22.10 KAYUNGA-GALIRAYA'!N23,'23.10 KAYUNGA-GALIRAYA'!N23)</f>
        <v>0</v>
      </c>
      <c r="O23" s="15">
        <f t="shared" si="0"/>
        <v>6.0000000000000009</v>
      </c>
      <c r="P23" s="15">
        <f t="shared" si="1"/>
        <v>19.428571428571431</v>
      </c>
      <c r="R23" s="1" t="s">
        <v>147</v>
      </c>
      <c r="S23" s="34">
        <f>SUM(C62:C65)</f>
        <v>5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5.5</v>
      </c>
      <c r="W23" s="34">
        <f t="shared" si="15"/>
        <v>0.5</v>
      </c>
      <c r="X23" s="34">
        <f t="shared" si="15"/>
        <v>0</v>
      </c>
      <c r="Y23" s="34">
        <f t="shared" si="15"/>
        <v>3.5</v>
      </c>
      <c r="Z23" s="34">
        <f t="shared" si="15"/>
        <v>1</v>
      </c>
      <c r="AA23" s="34">
        <f t="shared" si="15"/>
        <v>0.5</v>
      </c>
      <c r="AB23" s="34">
        <f t="shared" si="15"/>
        <v>1</v>
      </c>
      <c r="AC23" s="34">
        <f t="shared" si="15"/>
        <v>26.5</v>
      </c>
      <c r="AD23" s="34">
        <f t="shared" si="15"/>
        <v>0</v>
      </c>
      <c r="AE23" s="31">
        <f t="shared" si="15"/>
        <v>19</v>
      </c>
      <c r="AF23" s="31">
        <f t="shared" si="15"/>
        <v>45.5</v>
      </c>
    </row>
    <row r="24" spans="2:32" ht="23.1" customHeight="1" x14ac:dyDescent="0.25">
      <c r="B24" s="23" t="s">
        <v>51</v>
      </c>
      <c r="C24" s="49">
        <f>AVERAGE('17.10 KAYUNGA-GALIRAYA'!C24,'18.10 KAYUNGA-GALIRAYA'!C24,'19.10 KAYUNGA-GALIRAYA-24h'!C24,'20.10 KAYUNGA-GALIRAYA'!C24,'21.10 KAYUNGA-GALIRAYA-24h'!C24,'22.10 KAYUNGA-GALIRAYA'!C24,'23.10 KAYUNGA-GALIRAYA'!C24)</f>
        <v>0.7142857142857143</v>
      </c>
      <c r="D24" s="49">
        <f>AVERAGE('17.10 KAYUNGA-GALIRAYA'!D24,'18.10 KAYUNGA-GALIRAYA'!D24,'19.10 KAYUNGA-GALIRAYA-24h'!D24,'20.10 KAYUNGA-GALIRAYA'!D24,'21.10 KAYUNGA-GALIRAYA-24h'!D24,'22.10 KAYUNGA-GALIRAYA'!D24,'23.10 KAYUNGA-GALIRAYA'!D24)</f>
        <v>0.42857142857142855</v>
      </c>
      <c r="E24" s="49">
        <f>AVERAGE('17.10 KAYUNGA-GALIRAYA'!E24,'18.10 KAYUNGA-GALIRAYA'!E24,'19.10 KAYUNGA-GALIRAYA-24h'!E24,'20.10 KAYUNGA-GALIRAYA'!E24,'21.10 KAYUNGA-GALIRAYA-24h'!E24,'22.10 KAYUNGA-GALIRAYA'!E24,'23.10 KAYUNGA-GALIRAYA'!E24)</f>
        <v>0.2857142857142857</v>
      </c>
      <c r="F24" s="49">
        <f>AVERAGE('17.10 KAYUNGA-GALIRAYA'!F24,'18.10 KAYUNGA-GALIRAYA'!F24,'19.10 KAYUNGA-GALIRAYA-24h'!F24,'20.10 KAYUNGA-GALIRAYA'!F24,'21.10 KAYUNGA-GALIRAYA-24h'!F24,'22.10 KAYUNGA-GALIRAYA'!F24,'23.10 KAYUNGA-GALIRAYA'!F24)</f>
        <v>1.1428571428571428</v>
      </c>
      <c r="G24" s="49">
        <f>AVERAGE('17.10 KAYUNGA-GALIRAYA'!G24,'18.10 KAYUNGA-GALIRAYA'!G24,'19.10 KAYUNGA-GALIRAYA-24h'!G24,'20.10 KAYUNGA-GALIRAYA'!G24,'21.10 KAYUNGA-GALIRAYA-24h'!G24,'22.10 KAYUNGA-GALIRAYA'!G24,'23.10 KAYUNGA-GALIRAYA'!G24)</f>
        <v>0.14285714285714285</v>
      </c>
      <c r="H24" s="49">
        <f>AVERAGE('17.10 KAYUNGA-GALIRAYA'!H24,'18.10 KAYUNGA-GALIRAYA'!H24,'19.10 KAYUNGA-GALIRAYA-24h'!H24,'20.10 KAYUNGA-GALIRAYA'!H24,'21.10 KAYUNGA-GALIRAYA-24h'!H24,'22.10 KAYUNGA-GALIRAYA'!H24,'23.10 KAYUNGA-GALIRAYA'!H24)</f>
        <v>0</v>
      </c>
      <c r="I24" s="49">
        <f>AVERAGE('17.10 KAYUNGA-GALIRAYA'!I24,'18.10 KAYUNGA-GALIRAYA'!I24,'19.10 KAYUNGA-GALIRAYA-24h'!I24,'20.10 KAYUNGA-GALIRAYA'!I24,'21.10 KAYUNGA-GALIRAYA-24h'!I24,'22.10 KAYUNGA-GALIRAYA'!I24,'23.10 KAYUNGA-GALIRAYA'!I24)</f>
        <v>1.1428571428571428</v>
      </c>
      <c r="J24" s="49">
        <f>AVERAGE('17.10 KAYUNGA-GALIRAYA'!J24,'18.10 KAYUNGA-GALIRAYA'!J24,'19.10 KAYUNGA-GALIRAYA-24h'!J24,'20.10 KAYUNGA-GALIRAYA'!J24,'21.10 KAYUNGA-GALIRAYA-24h'!J24,'22.10 KAYUNGA-GALIRAYA'!J24,'23.10 KAYUNGA-GALIRAYA'!J24)</f>
        <v>0.14285714285714285</v>
      </c>
      <c r="K24" s="49">
        <f>AVERAGE('17.10 KAYUNGA-GALIRAYA'!K24,'18.10 KAYUNGA-GALIRAYA'!K24,'19.10 KAYUNGA-GALIRAYA-24h'!K24,'20.10 KAYUNGA-GALIRAYA'!K24,'21.10 KAYUNGA-GALIRAYA-24h'!K24,'22.10 KAYUNGA-GALIRAYA'!K24,'23.10 KAYUNGA-GALIRAYA'!K24)</f>
        <v>0</v>
      </c>
      <c r="L24" s="49">
        <f>AVERAGE('17.10 KAYUNGA-GALIRAYA'!L24,'18.10 KAYUNGA-GALIRAYA'!L24,'19.10 KAYUNGA-GALIRAYA-24h'!L24,'20.10 KAYUNGA-GALIRAYA'!L24,'21.10 KAYUNGA-GALIRAYA-24h'!L24,'22.10 KAYUNGA-GALIRAYA'!L24,'23.10 KAYUNGA-GALIRAYA'!L24)</f>
        <v>0.14285714285714285</v>
      </c>
      <c r="M24" s="49">
        <f>AVERAGE('17.10 KAYUNGA-GALIRAYA'!M24,'18.10 KAYUNGA-GALIRAYA'!M24,'19.10 KAYUNGA-GALIRAYA-24h'!M24,'20.10 KAYUNGA-GALIRAYA'!M24,'21.10 KAYUNGA-GALIRAYA-24h'!M24,'22.10 KAYUNGA-GALIRAYA'!M24,'23.10 KAYUNGA-GALIRAYA'!M24)</f>
        <v>13.142857142857142</v>
      </c>
      <c r="N24" s="49">
        <f>AVERAGE('17.10 KAYUNGA-GALIRAYA'!N24,'18.10 KAYUNGA-GALIRAYA'!N24,'19.10 KAYUNGA-GALIRAYA-24h'!N24,'20.10 KAYUNGA-GALIRAYA'!N24,'21.10 KAYUNGA-GALIRAYA-24h'!N24,'22.10 KAYUNGA-GALIRAYA'!N24,'23.10 KAYUNGA-GALIRAYA'!N24)</f>
        <v>0</v>
      </c>
      <c r="O24" s="15">
        <f t="shared" si="0"/>
        <v>4.1428571428571423</v>
      </c>
      <c r="P24" s="15">
        <f t="shared" si="1"/>
        <v>17.285714285714285</v>
      </c>
      <c r="R24" s="1" t="s">
        <v>148</v>
      </c>
      <c r="S24" s="34">
        <f>SUM(C66:C69)</f>
        <v>2</v>
      </c>
      <c r="T24" s="34">
        <f t="shared" ref="T24:AF24" si="16">SUM(D66:D69)</f>
        <v>0.5</v>
      </c>
      <c r="U24" s="34">
        <f t="shared" si="16"/>
        <v>1.5</v>
      </c>
      <c r="V24" s="34">
        <f t="shared" si="16"/>
        <v>1.5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1.5</v>
      </c>
      <c r="AA24" s="34">
        <f t="shared" si="16"/>
        <v>0.5</v>
      </c>
      <c r="AB24" s="34">
        <f t="shared" si="16"/>
        <v>0</v>
      </c>
      <c r="AC24" s="34">
        <f t="shared" si="16"/>
        <v>9</v>
      </c>
      <c r="AD24" s="34">
        <f t="shared" si="16"/>
        <v>0</v>
      </c>
      <c r="AE24" s="31">
        <f t="shared" si="16"/>
        <v>9.5</v>
      </c>
      <c r="AF24" s="31">
        <f t="shared" si="16"/>
        <v>18.5</v>
      </c>
    </row>
    <row r="25" spans="2:32" ht="23.1" customHeight="1" x14ac:dyDescent="0.25">
      <c r="B25" s="23" t="s">
        <v>52</v>
      </c>
      <c r="C25" s="49">
        <f>AVERAGE('17.10 KAYUNGA-GALIRAYA'!C25,'18.10 KAYUNGA-GALIRAYA'!C25,'19.10 KAYUNGA-GALIRAYA-24h'!C25,'20.10 KAYUNGA-GALIRAYA'!C25,'21.10 KAYUNGA-GALIRAYA-24h'!C25,'22.10 KAYUNGA-GALIRAYA'!C25,'23.10 KAYUNGA-GALIRAYA'!C25)</f>
        <v>1.7142857142857142</v>
      </c>
      <c r="D25" s="49">
        <f>AVERAGE('17.10 KAYUNGA-GALIRAYA'!D25,'18.10 KAYUNGA-GALIRAYA'!D25,'19.10 KAYUNGA-GALIRAYA-24h'!D25,'20.10 KAYUNGA-GALIRAYA'!D25,'21.10 KAYUNGA-GALIRAYA-24h'!D25,'22.10 KAYUNGA-GALIRAYA'!D25,'23.10 KAYUNGA-GALIRAYA'!D25)</f>
        <v>0.14285714285714285</v>
      </c>
      <c r="E25" s="49">
        <f>AVERAGE('17.10 KAYUNGA-GALIRAYA'!E25,'18.10 KAYUNGA-GALIRAYA'!E25,'19.10 KAYUNGA-GALIRAYA-24h'!E25,'20.10 KAYUNGA-GALIRAYA'!E25,'21.10 KAYUNGA-GALIRAYA-24h'!E25,'22.10 KAYUNGA-GALIRAYA'!E25,'23.10 KAYUNGA-GALIRAYA'!E25)</f>
        <v>0.5714285714285714</v>
      </c>
      <c r="F25" s="49">
        <f>AVERAGE('17.10 KAYUNGA-GALIRAYA'!F25,'18.10 KAYUNGA-GALIRAYA'!F25,'19.10 KAYUNGA-GALIRAYA-24h'!F25,'20.10 KAYUNGA-GALIRAYA'!F25,'21.10 KAYUNGA-GALIRAYA-24h'!F25,'22.10 KAYUNGA-GALIRAYA'!F25,'23.10 KAYUNGA-GALIRAYA'!F25)</f>
        <v>1.1428571428571428</v>
      </c>
      <c r="G25" s="49">
        <f>AVERAGE('17.10 KAYUNGA-GALIRAYA'!G25,'18.10 KAYUNGA-GALIRAYA'!G25,'19.10 KAYUNGA-GALIRAYA-24h'!G25,'20.10 KAYUNGA-GALIRAYA'!G25,'21.10 KAYUNGA-GALIRAYA-24h'!G25,'22.10 KAYUNGA-GALIRAYA'!G25,'23.10 KAYUNGA-GALIRAYA'!G25)</f>
        <v>0.14285714285714285</v>
      </c>
      <c r="H25" s="49">
        <f>AVERAGE('17.10 KAYUNGA-GALIRAYA'!H25,'18.10 KAYUNGA-GALIRAYA'!H25,'19.10 KAYUNGA-GALIRAYA-24h'!H25,'20.10 KAYUNGA-GALIRAYA'!H25,'21.10 KAYUNGA-GALIRAYA-24h'!H25,'22.10 KAYUNGA-GALIRAYA'!H25,'23.10 KAYUNGA-GALIRAYA'!H25)</f>
        <v>0</v>
      </c>
      <c r="I25" s="49">
        <f>AVERAGE('17.10 KAYUNGA-GALIRAYA'!I25,'18.10 KAYUNGA-GALIRAYA'!I25,'19.10 KAYUNGA-GALIRAYA-24h'!I25,'20.10 KAYUNGA-GALIRAYA'!I25,'21.10 KAYUNGA-GALIRAYA-24h'!I25,'22.10 KAYUNGA-GALIRAYA'!I25,'23.10 KAYUNGA-GALIRAYA'!I25)</f>
        <v>1.2857142857142858</v>
      </c>
      <c r="J25" s="49">
        <f>AVERAGE('17.10 KAYUNGA-GALIRAYA'!J25,'18.10 KAYUNGA-GALIRAYA'!J25,'19.10 KAYUNGA-GALIRAYA-24h'!J25,'20.10 KAYUNGA-GALIRAYA'!J25,'21.10 KAYUNGA-GALIRAYA-24h'!J25,'22.10 KAYUNGA-GALIRAYA'!J25,'23.10 KAYUNGA-GALIRAYA'!J25)</f>
        <v>0.2857142857142857</v>
      </c>
      <c r="K25" s="49">
        <f>AVERAGE('17.10 KAYUNGA-GALIRAYA'!K25,'18.10 KAYUNGA-GALIRAYA'!K25,'19.10 KAYUNGA-GALIRAYA-24h'!K25,'20.10 KAYUNGA-GALIRAYA'!K25,'21.10 KAYUNGA-GALIRAYA-24h'!K25,'22.10 KAYUNGA-GALIRAYA'!K25,'23.10 KAYUNGA-GALIRAYA'!K25)</f>
        <v>0.42857142857142855</v>
      </c>
      <c r="L25" s="49">
        <f>AVERAGE('17.10 KAYUNGA-GALIRAYA'!L25,'18.10 KAYUNGA-GALIRAYA'!L25,'19.10 KAYUNGA-GALIRAYA-24h'!L25,'20.10 KAYUNGA-GALIRAYA'!L25,'21.10 KAYUNGA-GALIRAYA-24h'!L25,'22.10 KAYUNGA-GALIRAYA'!L25,'23.10 KAYUNGA-GALIRAYA'!L25)</f>
        <v>0</v>
      </c>
      <c r="M25" s="49">
        <f>AVERAGE('17.10 KAYUNGA-GALIRAYA'!M25,'18.10 KAYUNGA-GALIRAYA'!M25,'19.10 KAYUNGA-GALIRAYA-24h'!M25,'20.10 KAYUNGA-GALIRAYA'!M25,'21.10 KAYUNGA-GALIRAYA-24h'!M25,'22.10 KAYUNGA-GALIRAYA'!M25,'23.10 KAYUNGA-GALIRAYA'!M25)</f>
        <v>12.142857142857142</v>
      </c>
      <c r="N25" s="49">
        <f>AVERAGE('17.10 KAYUNGA-GALIRAYA'!N25,'18.10 KAYUNGA-GALIRAYA'!N25,'19.10 KAYUNGA-GALIRAYA-24h'!N25,'20.10 KAYUNGA-GALIRAYA'!N25,'21.10 KAYUNGA-GALIRAYA-24h'!N25,'22.10 KAYUNGA-GALIRAYA'!N25,'23.10 KAYUNGA-GALIRAYA'!N25)</f>
        <v>0</v>
      </c>
      <c r="O25" s="15">
        <f t="shared" si="0"/>
        <v>5.7142857142857144</v>
      </c>
      <c r="P25" s="15">
        <f t="shared" si="1"/>
        <v>17.857142857142858</v>
      </c>
      <c r="R25" s="1" t="s">
        <v>149</v>
      </c>
      <c r="S25" s="34">
        <f>SUM(C70:C73)</f>
        <v>0.5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0.5</v>
      </c>
      <c r="Z25" s="34">
        <f t="shared" si="17"/>
        <v>2</v>
      </c>
      <c r="AA25" s="34">
        <f t="shared" si="17"/>
        <v>0.5</v>
      </c>
      <c r="AB25" s="34">
        <f t="shared" si="17"/>
        <v>0</v>
      </c>
      <c r="AC25" s="34">
        <f t="shared" si="17"/>
        <v>5.5</v>
      </c>
      <c r="AD25" s="34">
        <f t="shared" si="17"/>
        <v>0</v>
      </c>
      <c r="AE25" s="31">
        <f t="shared" si="17"/>
        <v>4.5</v>
      </c>
      <c r="AF25" s="31">
        <f t="shared" si="17"/>
        <v>10</v>
      </c>
    </row>
    <row r="26" spans="2:32" ht="23.1" customHeight="1" x14ac:dyDescent="0.25">
      <c r="B26" s="23" t="s">
        <v>53</v>
      </c>
      <c r="C26" s="49">
        <f>AVERAGE('17.10 KAYUNGA-GALIRAYA'!C26,'18.10 KAYUNGA-GALIRAYA'!C26,'19.10 KAYUNGA-GALIRAYA-24h'!C26,'20.10 KAYUNGA-GALIRAYA'!C26,'21.10 KAYUNGA-GALIRAYA-24h'!C26,'22.10 KAYUNGA-GALIRAYA'!C26,'23.10 KAYUNGA-GALIRAYA'!C26)</f>
        <v>1</v>
      </c>
      <c r="D26" s="49">
        <f>AVERAGE('17.10 KAYUNGA-GALIRAYA'!D26,'18.10 KAYUNGA-GALIRAYA'!D26,'19.10 KAYUNGA-GALIRAYA-24h'!D26,'20.10 KAYUNGA-GALIRAYA'!D26,'21.10 KAYUNGA-GALIRAYA-24h'!D26,'22.10 KAYUNGA-GALIRAYA'!D26,'23.10 KAYUNGA-GALIRAYA'!D26)</f>
        <v>0</v>
      </c>
      <c r="E26" s="49">
        <f>AVERAGE('17.10 KAYUNGA-GALIRAYA'!E26,'18.10 KAYUNGA-GALIRAYA'!E26,'19.10 KAYUNGA-GALIRAYA-24h'!E26,'20.10 KAYUNGA-GALIRAYA'!E26,'21.10 KAYUNGA-GALIRAYA-24h'!E26,'22.10 KAYUNGA-GALIRAYA'!E26,'23.10 KAYUNGA-GALIRAYA'!E26)</f>
        <v>0.42857142857142855</v>
      </c>
      <c r="F26" s="49">
        <f>AVERAGE('17.10 KAYUNGA-GALIRAYA'!F26,'18.10 KAYUNGA-GALIRAYA'!F26,'19.10 KAYUNGA-GALIRAYA-24h'!F26,'20.10 KAYUNGA-GALIRAYA'!F26,'21.10 KAYUNGA-GALIRAYA-24h'!F26,'22.10 KAYUNGA-GALIRAYA'!F26,'23.10 KAYUNGA-GALIRAYA'!F26)</f>
        <v>0.42857142857142855</v>
      </c>
      <c r="G26" s="49">
        <f>AVERAGE('17.10 KAYUNGA-GALIRAYA'!G26,'18.10 KAYUNGA-GALIRAYA'!G26,'19.10 KAYUNGA-GALIRAYA-24h'!G26,'20.10 KAYUNGA-GALIRAYA'!G26,'21.10 KAYUNGA-GALIRAYA-24h'!G26,'22.10 KAYUNGA-GALIRAYA'!G26,'23.10 KAYUNGA-GALIRAYA'!G26)</f>
        <v>0.14285714285714285</v>
      </c>
      <c r="H26" s="49">
        <f>AVERAGE('17.10 KAYUNGA-GALIRAYA'!H26,'18.10 KAYUNGA-GALIRAYA'!H26,'19.10 KAYUNGA-GALIRAYA-24h'!H26,'20.10 KAYUNGA-GALIRAYA'!H26,'21.10 KAYUNGA-GALIRAYA-24h'!H26,'22.10 KAYUNGA-GALIRAYA'!H26,'23.10 KAYUNGA-GALIRAYA'!H26)</f>
        <v>0</v>
      </c>
      <c r="I26" s="49">
        <f>AVERAGE('17.10 KAYUNGA-GALIRAYA'!I26,'18.10 KAYUNGA-GALIRAYA'!I26,'19.10 KAYUNGA-GALIRAYA-24h'!I26,'20.10 KAYUNGA-GALIRAYA'!I26,'21.10 KAYUNGA-GALIRAYA-24h'!I26,'22.10 KAYUNGA-GALIRAYA'!I26,'23.10 KAYUNGA-GALIRAYA'!I26)</f>
        <v>0.5714285714285714</v>
      </c>
      <c r="J26" s="49">
        <f>AVERAGE('17.10 KAYUNGA-GALIRAYA'!J26,'18.10 KAYUNGA-GALIRAYA'!J26,'19.10 KAYUNGA-GALIRAYA-24h'!J26,'20.10 KAYUNGA-GALIRAYA'!J26,'21.10 KAYUNGA-GALIRAYA-24h'!J26,'22.10 KAYUNGA-GALIRAYA'!J26,'23.10 KAYUNGA-GALIRAYA'!J26)</f>
        <v>0.42857142857142855</v>
      </c>
      <c r="K26" s="49">
        <f>AVERAGE('17.10 KAYUNGA-GALIRAYA'!K26,'18.10 KAYUNGA-GALIRAYA'!K26,'19.10 KAYUNGA-GALIRAYA-24h'!K26,'20.10 KAYUNGA-GALIRAYA'!K26,'21.10 KAYUNGA-GALIRAYA-24h'!K26,'22.10 KAYUNGA-GALIRAYA'!K26,'23.10 KAYUNGA-GALIRAYA'!K26)</f>
        <v>0.14285714285714285</v>
      </c>
      <c r="L26" s="49">
        <f>AVERAGE('17.10 KAYUNGA-GALIRAYA'!L26,'18.10 KAYUNGA-GALIRAYA'!L26,'19.10 KAYUNGA-GALIRAYA-24h'!L26,'20.10 KAYUNGA-GALIRAYA'!L26,'21.10 KAYUNGA-GALIRAYA-24h'!L26,'22.10 KAYUNGA-GALIRAYA'!L26,'23.10 KAYUNGA-GALIRAYA'!L26)</f>
        <v>0.14285714285714285</v>
      </c>
      <c r="M26" s="49">
        <f>AVERAGE('17.10 KAYUNGA-GALIRAYA'!M26,'18.10 KAYUNGA-GALIRAYA'!M26,'19.10 KAYUNGA-GALIRAYA-24h'!M26,'20.10 KAYUNGA-GALIRAYA'!M26,'21.10 KAYUNGA-GALIRAYA-24h'!M26,'22.10 KAYUNGA-GALIRAYA'!M26,'23.10 KAYUNGA-GALIRAYA'!M26)</f>
        <v>11.571428571428571</v>
      </c>
      <c r="N26" s="49">
        <f>AVERAGE('17.10 KAYUNGA-GALIRAYA'!N26,'18.10 KAYUNGA-GALIRAYA'!N26,'19.10 KAYUNGA-GALIRAYA-24h'!N26,'20.10 KAYUNGA-GALIRAYA'!N26,'21.10 KAYUNGA-GALIRAYA-24h'!N26,'22.10 KAYUNGA-GALIRAYA'!N26,'23.10 KAYUNGA-GALIRAYA'!N26)</f>
        <v>0</v>
      </c>
      <c r="O26" s="15">
        <f t="shared" si="0"/>
        <v>3.2857142857142851</v>
      </c>
      <c r="P26" s="15">
        <f t="shared" si="1"/>
        <v>14.857142857142856</v>
      </c>
      <c r="R26" s="1" t="s">
        <v>150</v>
      </c>
      <c r="S26" s="34">
        <f>SUM(C74:C77)</f>
        <v>0.5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1.5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0.5</v>
      </c>
      <c r="AA26" s="34">
        <f t="shared" si="18"/>
        <v>0.5</v>
      </c>
      <c r="AB26" s="34">
        <f t="shared" si="18"/>
        <v>0</v>
      </c>
      <c r="AC26" s="34">
        <f t="shared" si="18"/>
        <v>4.5</v>
      </c>
      <c r="AD26" s="34">
        <f t="shared" si="18"/>
        <v>0</v>
      </c>
      <c r="AE26" s="31">
        <f t="shared" si="18"/>
        <v>4.5</v>
      </c>
      <c r="AF26" s="31">
        <f t="shared" si="18"/>
        <v>9</v>
      </c>
    </row>
    <row r="27" spans="2:32" ht="23.1" customHeight="1" x14ac:dyDescent="0.25">
      <c r="B27" s="23" t="s">
        <v>54</v>
      </c>
      <c r="C27" s="49">
        <f>AVERAGE('17.10 KAYUNGA-GALIRAYA'!C27,'18.10 KAYUNGA-GALIRAYA'!C27,'19.10 KAYUNGA-GALIRAYA-24h'!C27,'20.10 KAYUNGA-GALIRAYA'!C27,'21.10 KAYUNGA-GALIRAYA-24h'!C27,'22.10 KAYUNGA-GALIRAYA'!C27,'23.10 KAYUNGA-GALIRAYA'!C27)</f>
        <v>1.5714285714285714</v>
      </c>
      <c r="D27" s="49">
        <f>AVERAGE('17.10 KAYUNGA-GALIRAYA'!D27,'18.10 KAYUNGA-GALIRAYA'!D27,'19.10 KAYUNGA-GALIRAYA-24h'!D27,'20.10 KAYUNGA-GALIRAYA'!D27,'21.10 KAYUNGA-GALIRAYA-24h'!D27,'22.10 KAYUNGA-GALIRAYA'!D27,'23.10 KAYUNGA-GALIRAYA'!D27)</f>
        <v>0</v>
      </c>
      <c r="E27" s="49">
        <f>AVERAGE('17.10 KAYUNGA-GALIRAYA'!E27,'18.10 KAYUNGA-GALIRAYA'!E27,'19.10 KAYUNGA-GALIRAYA-24h'!E27,'20.10 KAYUNGA-GALIRAYA'!E27,'21.10 KAYUNGA-GALIRAYA-24h'!E27,'22.10 KAYUNGA-GALIRAYA'!E27,'23.10 KAYUNGA-GALIRAYA'!E27)</f>
        <v>0.7142857142857143</v>
      </c>
      <c r="F27" s="49">
        <f>AVERAGE('17.10 KAYUNGA-GALIRAYA'!F27,'18.10 KAYUNGA-GALIRAYA'!F27,'19.10 KAYUNGA-GALIRAYA-24h'!F27,'20.10 KAYUNGA-GALIRAYA'!F27,'21.10 KAYUNGA-GALIRAYA-24h'!F27,'22.10 KAYUNGA-GALIRAYA'!F27,'23.10 KAYUNGA-GALIRAYA'!F27)</f>
        <v>1</v>
      </c>
      <c r="G27" s="49">
        <f>AVERAGE('17.10 KAYUNGA-GALIRAYA'!G27,'18.10 KAYUNGA-GALIRAYA'!G27,'19.10 KAYUNGA-GALIRAYA-24h'!G27,'20.10 KAYUNGA-GALIRAYA'!G27,'21.10 KAYUNGA-GALIRAYA-24h'!G27,'22.10 KAYUNGA-GALIRAYA'!G27,'23.10 KAYUNGA-GALIRAYA'!G27)</f>
        <v>0</v>
      </c>
      <c r="H27" s="49">
        <f>AVERAGE('17.10 KAYUNGA-GALIRAYA'!H27,'18.10 KAYUNGA-GALIRAYA'!H27,'19.10 KAYUNGA-GALIRAYA-24h'!H27,'20.10 KAYUNGA-GALIRAYA'!H27,'21.10 KAYUNGA-GALIRAYA-24h'!H27,'22.10 KAYUNGA-GALIRAYA'!H27,'23.10 KAYUNGA-GALIRAYA'!H27)</f>
        <v>0</v>
      </c>
      <c r="I27" s="49">
        <f>AVERAGE('17.10 KAYUNGA-GALIRAYA'!I27,'18.10 KAYUNGA-GALIRAYA'!I27,'19.10 KAYUNGA-GALIRAYA-24h'!I27,'20.10 KAYUNGA-GALIRAYA'!I27,'21.10 KAYUNGA-GALIRAYA-24h'!I27,'22.10 KAYUNGA-GALIRAYA'!I27,'23.10 KAYUNGA-GALIRAYA'!I27)</f>
        <v>0.8571428571428571</v>
      </c>
      <c r="J27" s="49">
        <f>AVERAGE('17.10 KAYUNGA-GALIRAYA'!J27,'18.10 KAYUNGA-GALIRAYA'!J27,'19.10 KAYUNGA-GALIRAYA-24h'!J27,'20.10 KAYUNGA-GALIRAYA'!J27,'21.10 KAYUNGA-GALIRAYA-24h'!J27,'22.10 KAYUNGA-GALIRAYA'!J27,'23.10 KAYUNGA-GALIRAYA'!J27)</f>
        <v>0.2857142857142857</v>
      </c>
      <c r="K27" s="49">
        <f>AVERAGE('17.10 KAYUNGA-GALIRAYA'!K27,'18.10 KAYUNGA-GALIRAYA'!K27,'19.10 KAYUNGA-GALIRAYA-24h'!K27,'20.10 KAYUNGA-GALIRAYA'!K27,'21.10 KAYUNGA-GALIRAYA-24h'!K27,'22.10 KAYUNGA-GALIRAYA'!K27,'23.10 KAYUNGA-GALIRAYA'!K27)</f>
        <v>0</v>
      </c>
      <c r="L27" s="49">
        <f>AVERAGE('17.10 KAYUNGA-GALIRAYA'!L27,'18.10 KAYUNGA-GALIRAYA'!L27,'19.10 KAYUNGA-GALIRAYA-24h'!L27,'20.10 KAYUNGA-GALIRAYA'!L27,'21.10 KAYUNGA-GALIRAYA-24h'!L27,'22.10 KAYUNGA-GALIRAYA'!L27,'23.10 KAYUNGA-GALIRAYA'!L27)</f>
        <v>0.14285714285714285</v>
      </c>
      <c r="M27" s="49">
        <f>AVERAGE('17.10 KAYUNGA-GALIRAYA'!M27,'18.10 KAYUNGA-GALIRAYA'!M27,'19.10 KAYUNGA-GALIRAYA-24h'!M27,'20.10 KAYUNGA-GALIRAYA'!M27,'21.10 KAYUNGA-GALIRAYA-24h'!M27,'22.10 KAYUNGA-GALIRAYA'!M27,'23.10 KAYUNGA-GALIRAYA'!M27)</f>
        <v>15</v>
      </c>
      <c r="N27" s="49">
        <f>AVERAGE('17.10 KAYUNGA-GALIRAYA'!N27,'18.10 KAYUNGA-GALIRAYA'!N27,'19.10 KAYUNGA-GALIRAYA-24h'!N27,'20.10 KAYUNGA-GALIRAYA'!N27,'21.10 KAYUNGA-GALIRAYA-24h'!N27,'22.10 KAYUNGA-GALIRAYA'!N27,'23.10 KAYUNGA-GALIRAYA'!N27)</f>
        <v>0</v>
      </c>
      <c r="O27" s="15">
        <f t="shared" si="0"/>
        <v>4.5714285714285712</v>
      </c>
      <c r="P27" s="15">
        <f t="shared" si="1"/>
        <v>19.571428571428569</v>
      </c>
      <c r="R27" s="1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0.5</v>
      </c>
      <c r="Z27" s="34">
        <f t="shared" si="19"/>
        <v>0</v>
      </c>
      <c r="AA27" s="34">
        <f t="shared" si="19"/>
        <v>0.5</v>
      </c>
      <c r="AB27" s="34">
        <f t="shared" si="19"/>
        <v>0.5</v>
      </c>
      <c r="AC27" s="34">
        <f t="shared" si="19"/>
        <v>0</v>
      </c>
      <c r="AD27" s="34">
        <f t="shared" si="19"/>
        <v>0</v>
      </c>
      <c r="AE27" s="31">
        <f t="shared" si="19"/>
        <v>3</v>
      </c>
      <c r="AF27" s="31">
        <f t="shared" si="19"/>
        <v>3</v>
      </c>
    </row>
    <row r="28" spans="2:32" ht="23.1" customHeight="1" x14ac:dyDescent="0.25">
      <c r="B28" s="23" t="s">
        <v>55</v>
      </c>
      <c r="C28" s="49">
        <f>AVERAGE('17.10 KAYUNGA-GALIRAYA'!C28,'18.10 KAYUNGA-GALIRAYA'!C28,'19.10 KAYUNGA-GALIRAYA-24h'!C28,'20.10 KAYUNGA-GALIRAYA'!C28,'21.10 KAYUNGA-GALIRAYA-24h'!C28,'22.10 KAYUNGA-GALIRAYA'!C28,'23.10 KAYUNGA-GALIRAYA'!C28)</f>
        <v>0.7142857142857143</v>
      </c>
      <c r="D28" s="49">
        <f>AVERAGE('17.10 KAYUNGA-GALIRAYA'!D28,'18.10 KAYUNGA-GALIRAYA'!D28,'19.10 KAYUNGA-GALIRAYA-24h'!D28,'20.10 KAYUNGA-GALIRAYA'!D28,'21.10 KAYUNGA-GALIRAYA-24h'!D28,'22.10 KAYUNGA-GALIRAYA'!D28,'23.10 KAYUNGA-GALIRAYA'!D28)</f>
        <v>0.14285714285714285</v>
      </c>
      <c r="E28" s="49">
        <f>AVERAGE('17.10 KAYUNGA-GALIRAYA'!E28,'18.10 KAYUNGA-GALIRAYA'!E28,'19.10 KAYUNGA-GALIRAYA-24h'!E28,'20.10 KAYUNGA-GALIRAYA'!E28,'21.10 KAYUNGA-GALIRAYA-24h'!E28,'22.10 KAYUNGA-GALIRAYA'!E28,'23.10 KAYUNGA-GALIRAYA'!E28)</f>
        <v>0.42857142857142855</v>
      </c>
      <c r="F28" s="49">
        <f>AVERAGE('17.10 KAYUNGA-GALIRAYA'!F28,'18.10 KAYUNGA-GALIRAYA'!F28,'19.10 KAYUNGA-GALIRAYA-24h'!F28,'20.10 KAYUNGA-GALIRAYA'!F28,'21.10 KAYUNGA-GALIRAYA-24h'!F28,'22.10 KAYUNGA-GALIRAYA'!F28,'23.10 KAYUNGA-GALIRAYA'!F28)</f>
        <v>1.8571428571428572</v>
      </c>
      <c r="G28" s="49">
        <f>AVERAGE('17.10 KAYUNGA-GALIRAYA'!G28,'18.10 KAYUNGA-GALIRAYA'!G28,'19.10 KAYUNGA-GALIRAYA-24h'!G28,'20.10 KAYUNGA-GALIRAYA'!G28,'21.10 KAYUNGA-GALIRAYA-24h'!G28,'22.10 KAYUNGA-GALIRAYA'!G28,'23.10 KAYUNGA-GALIRAYA'!G28)</f>
        <v>0.14285714285714285</v>
      </c>
      <c r="H28" s="49">
        <f>AVERAGE('17.10 KAYUNGA-GALIRAYA'!H28,'18.10 KAYUNGA-GALIRAYA'!H28,'19.10 KAYUNGA-GALIRAYA-24h'!H28,'20.10 KAYUNGA-GALIRAYA'!H28,'21.10 KAYUNGA-GALIRAYA-24h'!H28,'22.10 KAYUNGA-GALIRAYA'!H28,'23.10 KAYUNGA-GALIRAYA'!H28)</f>
        <v>0</v>
      </c>
      <c r="I28" s="49">
        <f>AVERAGE('17.10 KAYUNGA-GALIRAYA'!I28,'18.10 KAYUNGA-GALIRAYA'!I28,'19.10 KAYUNGA-GALIRAYA-24h'!I28,'20.10 KAYUNGA-GALIRAYA'!I28,'21.10 KAYUNGA-GALIRAYA-24h'!I28,'22.10 KAYUNGA-GALIRAYA'!I28,'23.10 KAYUNGA-GALIRAYA'!I28)</f>
        <v>0.42857142857142855</v>
      </c>
      <c r="J28" s="49">
        <f>AVERAGE('17.10 KAYUNGA-GALIRAYA'!J28,'18.10 KAYUNGA-GALIRAYA'!J28,'19.10 KAYUNGA-GALIRAYA-24h'!J28,'20.10 KAYUNGA-GALIRAYA'!J28,'21.10 KAYUNGA-GALIRAYA-24h'!J28,'22.10 KAYUNGA-GALIRAYA'!J28,'23.10 KAYUNGA-GALIRAYA'!J28)</f>
        <v>0.2857142857142857</v>
      </c>
      <c r="K28" s="49">
        <f>AVERAGE('17.10 KAYUNGA-GALIRAYA'!K28,'18.10 KAYUNGA-GALIRAYA'!K28,'19.10 KAYUNGA-GALIRAYA-24h'!K28,'20.10 KAYUNGA-GALIRAYA'!K28,'21.10 KAYUNGA-GALIRAYA-24h'!K28,'22.10 KAYUNGA-GALIRAYA'!K28,'23.10 KAYUNGA-GALIRAYA'!K28)</f>
        <v>0.2857142857142857</v>
      </c>
      <c r="L28" s="49">
        <f>AVERAGE('17.10 KAYUNGA-GALIRAYA'!L28,'18.10 KAYUNGA-GALIRAYA'!L28,'19.10 KAYUNGA-GALIRAYA-24h'!L28,'20.10 KAYUNGA-GALIRAYA'!L28,'21.10 KAYUNGA-GALIRAYA-24h'!L28,'22.10 KAYUNGA-GALIRAYA'!L28,'23.10 KAYUNGA-GALIRAYA'!L28)</f>
        <v>0</v>
      </c>
      <c r="M28" s="49">
        <f>AVERAGE('17.10 KAYUNGA-GALIRAYA'!M28,'18.10 KAYUNGA-GALIRAYA'!M28,'19.10 KAYUNGA-GALIRAYA-24h'!M28,'20.10 KAYUNGA-GALIRAYA'!M28,'21.10 KAYUNGA-GALIRAYA-24h'!M28,'22.10 KAYUNGA-GALIRAYA'!M28,'23.10 KAYUNGA-GALIRAYA'!M28)</f>
        <v>13.285714285714286</v>
      </c>
      <c r="N28" s="49">
        <f>AVERAGE('17.10 KAYUNGA-GALIRAYA'!N28,'18.10 KAYUNGA-GALIRAYA'!N28,'19.10 KAYUNGA-GALIRAYA-24h'!N28,'20.10 KAYUNGA-GALIRAYA'!N28,'21.10 KAYUNGA-GALIRAYA-24h'!N28,'22.10 KAYUNGA-GALIRAYA'!N28,'23.10 KAYUNGA-GALIRAYA'!N28)</f>
        <v>0</v>
      </c>
      <c r="O28" s="15">
        <f t="shared" si="0"/>
        <v>4.2857142857142856</v>
      </c>
      <c r="P28" s="15">
        <f t="shared" si="1"/>
        <v>17.571428571428573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1.5</v>
      </c>
      <c r="AD28" s="34">
        <f t="shared" si="20"/>
        <v>0</v>
      </c>
      <c r="AE28" s="31">
        <f t="shared" si="20"/>
        <v>2</v>
      </c>
      <c r="AF28" s="31">
        <f t="shared" si="20"/>
        <v>3.5</v>
      </c>
    </row>
    <row r="29" spans="2:32" ht="23.1" customHeight="1" x14ac:dyDescent="0.25">
      <c r="B29" s="23" t="s">
        <v>56</v>
      </c>
      <c r="C29" s="49">
        <f>AVERAGE('17.10 KAYUNGA-GALIRAYA'!C29,'18.10 KAYUNGA-GALIRAYA'!C29,'19.10 KAYUNGA-GALIRAYA-24h'!C29,'20.10 KAYUNGA-GALIRAYA'!C29,'21.10 KAYUNGA-GALIRAYA-24h'!C29,'22.10 KAYUNGA-GALIRAYA'!C29,'23.10 KAYUNGA-GALIRAYA'!C29)</f>
        <v>1.1428571428571428</v>
      </c>
      <c r="D29" s="49">
        <f>AVERAGE('17.10 KAYUNGA-GALIRAYA'!D29,'18.10 KAYUNGA-GALIRAYA'!D29,'19.10 KAYUNGA-GALIRAYA-24h'!D29,'20.10 KAYUNGA-GALIRAYA'!D29,'21.10 KAYUNGA-GALIRAYA-24h'!D29,'22.10 KAYUNGA-GALIRAYA'!D29,'23.10 KAYUNGA-GALIRAYA'!D29)</f>
        <v>0.14285714285714285</v>
      </c>
      <c r="E29" s="49">
        <f>AVERAGE('17.10 KAYUNGA-GALIRAYA'!E29,'18.10 KAYUNGA-GALIRAYA'!E29,'19.10 KAYUNGA-GALIRAYA-24h'!E29,'20.10 KAYUNGA-GALIRAYA'!E29,'21.10 KAYUNGA-GALIRAYA-24h'!E29,'22.10 KAYUNGA-GALIRAYA'!E29,'23.10 KAYUNGA-GALIRAYA'!E29)</f>
        <v>0.5714285714285714</v>
      </c>
      <c r="F29" s="49">
        <f>AVERAGE('17.10 KAYUNGA-GALIRAYA'!F29,'18.10 KAYUNGA-GALIRAYA'!F29,'19.10 KAYUNGA-GALIRAYA-24h'!F29,'20.10 KAYUNGA-GALIRAYA'!F29,'21.10 KAYUNGA-GALIRAYA-24h'!F29,'22.10 KAYUNGA-GALIRAYA'!F29,'23.10 KAYUNGA-GALIRAYA'!F29)</f>
        <v>1.1428571428571428</v>
      </c>
      <c r="G29" s="49">
        <f>AVERAGE('17.10 KAYUNGA-GALIRAYA'!G29,'18.10 KAYUNGA-GALIRAYA'!G29,'19.10 KAYUNGA-GALIRAYA-24h'!G29,'20.10 KAYUNGA-GALIRAYA'!G29,'21.10 KAYUNGA-GALIRAYA-24h'!G29,'22.10 KAYUNGA-GALIRAYA'!G29,'23.10 KAYUNGA-GALIRAYA'!G29)</f>
        <v>0</v>
      </c>
      <c r="H29" s="49">
        <f>AVERAGE('17.10 KAYUNGA-GALIRAYA'!H29,'18.10 KAYUNGA-GALIRAYA'!H29,'19.10 KAYUNGA-GALIRAYA-24h'!H29,'20.10 KAYUNGA-GALIRAYA'!H29,'21.10 KAYUNGA-GALIRAYA-24h'!H29,'22.10 KAYUNGA-GALIRAYA'!H29,'23.10 KAYUNGA-GALIRAYA'!H29)</f>
        <v>0</v>
      </c>
      <c r="I29" s="49">
        <f>AVERAGE('17.10 KAYUNGA-GALIRAYA'!I29,'18.10 KAYUNGA-GALIRAYA'!I29,'19.10 KAYUNGA-GALIRAYA-24h'!I29,'20.10 KAYUNGA-GALIRAYA'!I29,'21.10 KAYUNGA-GALIRAYA-24h'!I29,'22.10 KAYUNGA-GALIRAYA'!I29,'23.10 KAYUNGA-GALIRAYA'!I29)</f>
        <v>1.1428571428571428</v>
      </c>
      <c r="J29" s="49">
        <f>AVERAGE('17.10 KAYUNGA-GALIRAYA'!J29,'18.10 KAYUNGA-GALIRAYA'!J29,'19.10 KAYUNGA-GALIRAYA-24h'!J29,'20.10 KAYUNGA-GALIRAYA'!J29,'21.10 KAYUNGA-GALIRAYA-24h'!J29,'22.10 KAYUNGA-GALIRAYA'!J29,'23.10 KAYUNGA-GALIRAYA'!J29)</f>
        <v>0.7142857142857143</v>
      </c>
      <c r="K29" s="49">
        <f>AVERAGE('17.10 KAYUNGA-GALIRAYA'!K29,'18.10 KAYUNGA-GALIRAYA'!K29,'19.10 KAYUNGA-GALIRAYA-24h'!K29,'20.10 KAYUNGA-GALIRAYA'!K29,'21.10 KAYUNGA-GALIRAYA-24h'!K29,'22.10 KAYUNGA-GALIRAYA'!K29,'23.10 KAYUNGA-GALIRAYA'!K29)</f>
        <v>0</v>
      </c>
      <c r="L29" s="49">
        <f>AVERAGE('17.10 KAYUNGA-GALIRAYA'!L29,'18.10 KAYUNGA-GALIRAYA'!L29,'19.10 KAYUNGA-GALIRAYA-24h'!L29,'20.10 KAYUNGA-GALIRAYA'!L29,'21.10 KAYUNGA-GALIRAYA-24h'!L29,'22.10 KAYUNGA-GALIRAYA'!L29,'23.10 KAYUNGA-GALIRAYA'!L29)</f>
        <v>0</v>
      </c>
      <c r="M29" s="49">
        <f>AVERAGE('17.10 KAYUNGA-GALIRAYA'!M29,'18.10 KAYUNGA-GALIRAYA'!M29,'19.10 KAYUNGA-GALIRAYA-24h'!M29,'20.10 KAYUNGA-GALIRAYA'!M29,'21.10 KAYUNGA-GALIRAYA-24h'!M29,'22.10 KAYUNGA-GALIRAYA'!M29,'23.10 KAYUNGA-GALIRAYA'!M29)</f>
        <v>12.428571428571429</v>
      </c>
      <c r="N29" s="49">
        <f>AVERAGE('17.10 KAYUNGA-GALIRAYA'!N29,'18.10 KAYUNGA-GALIRAYA'!N29,'19.10 KAYUNGA-GALIRAYA-24h'!N29,'20.10 KAYUNGA-GALIRAYA'!N29,'21.10 KAYUNGA-GALIRAYA-24h'!N29,'22.10 KAYUNGA-GALIRAYA'!N29,'23.10 KAYUNGA-GALIRAYA'!N29)</f>
        <v>0</v>
      </c>
      <c r="O29" s="15">
        <f t="shared" si="0"/>
        <v>4.8571428571428568</v>
      </c>
      <c r="P29" s="15">
        <f t="shared" si="1"/>
        <v>17.285714285714285</v>
      </c>
      <c r="R29" s="1" t="s">
        <v>153</v>
      </c>
      <c r="S29" s="34">
        <f>SUM(C86:C89)</f>
        <v>0</v>
      </c>
      <c r="T29" s="34">
        <f t="shared" ref="T29:AF29" si="21">SUM(D86:D89)</f>
        <v>1</v>
      </c>
      <c r="U29" s="34">
        <f t="shared" si="21"/>
        <v>0.5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0.5</v>
      </c>
      <c r="AA29" s="34">
        <f t="shared" si="21"/>
        <v>0.5</v>
      </c>
      <c r="AB29" s="34">
        <f t="shared" si="21"/>
        <v>0</v>
      </c>
      <c r="AC29" s="34">
        <f t="shared" si="21"/>
        <v>0.5</v>
      </c>
      <c r="AD29" s="34">
        <f t="shared" si="21"/>
        <v>0</v>
      </c>
      <c r="AE29" s="31">
        <f t="shared" si="21"/>
        <v>2.5</v>
      </c>
      <c r="AF29" s="31">
        <f t="shared" si="21"/>
        <v>3</v>
      </c>
    </row>
    <row r="30" spans="2:32" ht="23.1" customHeight="1" x14ac:dyDescent="0.25">
      <c r="B30" s="23" t="s">
        <v>57</v>
      </c>
      <c r="C30" s="49">
        <f>AVERAGE('17.10 KAYUNGA-GALIRAYA'!C30,'18.10 KAYUNGA-GALIRAYA'!C30,'19.10 KAYUNGA-GALIRAYA-24h'!C30,'20.10 KAYUNGA-GALIRAYA'!C30,'21.10 KAYUNGA-GALIRAYA-24h'!C30,'22.10 KAYUNGA-GALIRAYA'!C30,'23.10 KAYUNGA-GALIRAYA'!C30)</f>
        <v>1.1428571428571428</v>
      </c>
      <c r="D30" s="49">
        <f>AVERAGE('17.10 KAYUNGA-GALIRAYA'!D30,'18.10 KAYUNGA-GALIRAYA'!D30,'19.10 KAYUNGA-GALIRAYA-24h'!D30,'20.10 KAYUNGA-GALIRAYA'!D30,'21.10 KAYUNGA-GALIRAYA-24h'!D30,'22.10 KAYUNGA-GALIRAYA'!D30,'23.10 KAYUNGA-GALIRAYA'!D30)</f>
        <v>0.14285714285714285</v>
      </c>
      <c r="E30" s="49">
        <f>AVERAGE('17.10 KAYUNGA-GALIRAYA'!E30,'18.10 KAYUNGA-GALIRAYA'!E30,'19.10 KAYUNGA-GALIRAYA-24h'!E30,'20.10 KAYUNGA-GALIRAYA'!E30,'21.10 KAYUNGA-GALIRAYA-24h'!E30,'22.10 KAYUNGA-GALIRAYA'!E30,'23.10 KAYUNGA-GALIRAYA'!E30)</f>
        <v>0.14285714285714285</v>
      </c>
      <c r="F30" s="49">
        <f>AVERAGE('17.10 KAYUNGA-GALIRAYA'!F30,'18.10 KAYUNGA-GALIRAYA'!F30,'19.10 KAYUNGA-GALIRAYA-24h'!F30,'20.10 KAYUNGA-GALIRAYA'!F30,'21.10 KAYUNGA-GALIRAYA-24h'!F30,'22.10 KAYUNGA-GALIRAYA'!F30,'23.10 KAYUNGA-GALIRAYA'!F30)</f>
        <v>2.2857142857142856</v>
      </c>
      <c r="G30" s="49">
        <f>AVERAGE('17.10 KAYUNGA-GALIRAYA'!G30,'18.10 KAYUNGA-GALIRAYA'!G30,'19.10 KAYUNGA-GALIRAYA-24h'!G30,'20.10 KAYUNGA-GALIRAYA'!G30,'21.10 KAYUNGA-GALIRAYA-24h'!G30,'22.10 KAYUNGA-GALIRAYA'!G30,'23.10 KAYUNGA-GALIRAYA'!G30)</f>
        <v>0</v>
      </c>
      <c r="H30" s="49">
        <f>AVERAGE('17.10 KAYUNGA-GALIRAYA'!H30,'18.10 KAYUNGA-GALIRAYA'!H30,'19.10 KAYUNGA-GALIRAYA-24h'!H30,'20.10 KAYUNGA-GALIRAYA'!H30,'21.10 KAYUNGA-GALIRAYA-24h'!H30,'22.10 KAYUNGA-GALIRAYA'!H30,'23.10 KAYUNGA-GALIRAYA'!H30)</f>
        <v>0</v>
      </c>
      <c r="I30" s="49">
        <f>AVERAGE('17.10 KAYUNGA-GALIRAYA'!I30,'18.10 KAYUNGA-GALIRAYA'!I30,'19.10 KAYUNGA-GALIRAYA-24h'!I30,'20.10 KAYUNGA-GALIRAYA'!I30,'21.10 KAYUNGA-GALIRAYA-24h'!I30,'22.10 KAYUNGA-GALIRAYA'!I30,'23.10 KAYUNGA-GALIRAYA'!I30)</f>
        <v>0.5714285714285714</v>
      </c>
      <c r="J30" s="49">
        <f>AVERAGE('17.10 KAYUNGA-GALIRAYA'!J30,'18.10 KAYUNGA-GALIRAYA'!J30,'19.10 KAYUNGA-GALIRAYA-24h'!J30,'20.10 KAYUNGA-GALIRAYA'!J30,'21.10 KAYUNGA-GALIRAYA-24h'!J30,'22.10 KAYUNGA-GALIRAYA'!J30,'23.10 KAYUNGA-GALIRAYA'!J30)</f>
        <v>0.8571428571428571</v>
      </c>
      <c r="K30" s="49">
        <f>AVERAGE('17.10 KAYUNGA-GALIRAYA'!K30,'18.10 KAYUNGA-GALIRAYA'!K30,'19.10 KAYUNGA-GALIRAYA-24h'!K30,'20.10 KAYUNGA-GALIRAYA'!K30,'21.10 KAYUNGA-GALIRAYA-24h'!K30,'22.10 KAYUNGA-GALIRAYA'!K30,'23.10 KAYUNGA-GALIRAYA'!K30)</f>
        <v>0.2857142857142857</v>
      </c>
      <c r="L30" s="49">
        <f>AVERAGE('17.10 KAYUNGA-GALIRAYA'!L30,'18.10 KAYUNGA-GALIRAYA'!L30,'19.10 KAYUNGA-GALIRAYA-24h'!L30,'20.10 KAYUNGA-GALIRAYA'!L30,'21.10 KAYUNGA-GALIRAYA-24h'!L30,'22.10 KAYUNGA-GALIRAYA'!L30,'23.10 KAYUNGA-GALIRAYA'!L30)</f>
        <v>0</v>
      </c>
      <c r="M30" s="49">
        <f>AVERAGE('17.10 KAYUNGA-GALIRAYA'!M30,'18.10 KAYUNGA-GALIRAYA'!M30,'19.10 KAYUNGA-GALIRAYA-24h'!M30,'20.10 KAYUNGA-GALIRAYA'!M30,'21.10 KAYUNGA-GALIRAYA-24h'!M30,'22.10 KAYUNGA-GALIRAYA'!M30,'23.10 KAYUNGA-GALIRAYA'!M30)</f>
        <v>13.714285714285714</v>
      </c>
      <c r="N30" s="49">
        <f>AVERAGE('17.10 KAYUNGA-GALIRAYA'!N30,'18.10 KAYUNGA-GALIRAYA'!N30,'19.10 KAYUNGA-GALIRAYA-24h'!N30,'20.10 KAYUNGA-GALIRAYA'!N30,'21.10 KAYUNGA-GALIRAYA-24h'!N30,'22.10 KAYUNGA-GALIRAYA'!N30,'23.10 KAYUNGA-GALIRAYA'!N30)</f>
        <v>0</v>
      </c>
      <c r="O30" s="15">
        <f t="shared" si="0"/>
        <v>5.4285714285714279</v>
      </c>
      <c r="P30" s="15">
        <f t="shared" si="1"/>
        <v>19.142857142857142</v>
      </c>
      <c r="R30" s="1" t="s">
        <v>154</v>
      </c>
      <c r="S30" s="34">
        <f>SUM(C90:C93)</f>
        <v>0.5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2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3.5</v>
      </c>
      <c r="AF30" s="31">
        <f t="shared" si="22"/>
        <v>3.5</v>
      </c>
    </row>
    <row r="31" spans="2:32" ht="23.1" customHeight="1" x14ac:dyDescent="0.25">
      <c r="B31" s="24" t="s">
        <v>58</v>
      </c>
      <c r="C31" s="49">
        <f>AVERAGE('17.10 KAYUNGA-GALIRAYA'!C31,'18.10 KAYUNGA-GALIRAYA'!C31,'19.10 KAYUNGA-GALIRAYA-24h'!C31,'20.10 KAYUNGA-GALIRAYA'!C31,'21.10 KAYUNGA-GALIRAYA-24h'!C31,'22.10 KAYUNGA-GALIRAYA'!C31,'23.10 KAYUNGA-GALIRAYA'!C31)</f>
        <v>0.14285714285714285</v>
      </c>
      <c r="D31" s="49">
        <f>AVERAGE('17.10 KAYUNGA-GALIRAYA'!D31,'18.10 KAYUNGA-GALIRAYA'!D31,'19.10 KAYUNGA-GALIRAYA-24h'!D31,'20.10 KAYUNGA-GALIRAYA'!D31,'21.10 KAYUNGA-GALIRAYA-24h'!D31,'22.10 KAYUNGA-GALIRAYA'!D31,'23.10 KAYUNGA-GALIRAYA'!D31)</f>
        <v>0.2857142857142857</v>
      </c>
      <c r="E31" s="49">
        <f>AVERAGE('17.10 KAYUNGA-GALIRAYA'!E31,'18.10 KAYUNGA-GALIRAYA'!E31,'19.10 KAYUNGA-GALIRAYA-24h'!E31,'20.10 KAYUNGA-GALIRAYA'!E31,'21.10 KAYUNGA-GALIRAYA-24h'!E31,'22.10 KAYUNGA-GALIRAYA'!E31,'23.10 KAYUNGA-GALIRAYA'!E31)</f>
        <v>0.42857142857142855</v>
      </c>
      <c r="F31" s="49">
        <f>AVERAGE('17.10 KAYUNGA-GALIRAYA'!F31,'18.10 KAYUNGA-GALIRAYA'!F31,'19.10 KAYUNGA-GALIRAYA-24h'!F31,'20.10 KAYUNGA-GALIRAYA'!F31,'21.10 KAYUNGA-GALIRAYA-24h'!F31,'22.10 KAYUNGA-GALIRAYA'!F31,'23.10 KAYUNGA-GALIRAYA'!F31)</f>
        <v>0.7142857142857143</v>
      </c>
      <c r="G31" s="49">
        <f>AVERAGE('17.10 KAYUNGA-GALIRAYA'!G31,'18.10 KAYUNGA-GALIRAYA'!G31,'19.10 KAYUNGA-GALIRAYA-24h'!G31,'20.10 KAYUNGA-GALIRAYA'!G31,'21.10 KAYUNGA-GALIRAYA-24h'!G31,'22.10 KAYUNGA-GALIRAYA'!G31,'23.10 KAYUNGA-GALIRAYA'!G31)</f>
        <v>0</v>
      </c>
      <c r="H31" s="49">
        <f>AVERAGE('17.10 KAYUNGA-GALIRAYA'!H31,'18.10 KAYUNGA-GALIRAYA'!H31,'19.10 KAYUNGA-GALIRAYA-24h'!H31,'20.10 KAYUNGA-GALIRAYA'!H31,'21.10 KAYUNGA-GALIRAYA-24h'!H31,'22.10 KAYUNGA-GALIRAYA'!H31,'23.10 KAYUNGA-GALIRAYA'!H31)</f>
        <v>0</v>
      </c>
      <c r="I31" s="49">
        <f>AVERAGE('17.10 KAYUNGA-GALIRAYA'!I31,'18.10 KAYUNGA-GALIRAYA'!I31,'19.10 KAYUNGA-GALIRAYA-24h'!I31,'20.10 KAYUNGA-GALIRAYA'!I31,'21.10 KAYUNGA-GALIRAYA-24h'!I31,'22.10 KAYUNGA-GALIRAYA'!I31,'23.10 KAYUNGA-GALIRAYA'!I31)</f>
        <v>0.7142857142857143</v>
      </c>
      <c r="J31" s="49">
        <f>AVERAGE('17.10 KAYUNGA-GALIRAYA'!J31,'18.10 KAYUNGA-GALIRAYA'!J31,'19.10 KAYUNGA-GALIRAYA-24h'!J31,'20.10 KAYUNGA-GALIRAYA'!J31,'21.10 KAYUNGA-GALIRAYA-24h'!J31,'22.10 KAYUNGA-GALIRAYA'!J31,'23.10 KAYUNGA-GALIRAYA'!J31)</f>
        <v>0.5714285714285714</v>
      </c>
      <c r="K31" s="49">
        <f>AVERAGE('17.10 KAYUNGA-GALIRAYA'!K31,'18.10 KAYUNGA-GALIRAYA'!K31,'19.10 KAYUNGA-GALIRAYA-24h'!K31,'20.10 KAYUNGA-GALIRAYA'!K31,'21.10 KAYUNGA-GALIRAYA-24h'!K31,'22.10 KAYUNGA-GALIRAYA'!K31,'23.10 KAYUNGA-GALIRAYA'!K31)</f>
        <v>0.2857142857142857</v>
      </c>
      <c r="L31" s="49">
        <f>AVERAGE('17.10 KAYUNGA-GALIRAYA'!L31,'18.10 KAYUNGA-GALIRAYA'!L31,'19.10 KAYUNGA-GALIRAYA-24h'!L31,'20.10 KAYUNGA-GALIRAYA'!L31,'21.10 KAYUNGA-GALIRAYA-24h'!L31,'22.10 KAYUNGA-GALIRAYA'!L31,'23.10 KAYUNGA-GALIRAYA'!L31)</f>
        <v>0.14285714285714285</v>
      </c>
      <c r="M31" s="49">
        <f>AVERAGE('17.10 KAYUNGA-GALIRAYA'!M31,'18.10 KAYUNGA-GALIRAYA'!M31,'19.10 KAYUNGA-GALIRAYA-24h'!M31,'20.10 KAYUNGA-GALIRAYA'!M31,'21.10 KAYUNGA-GALIRAYA-24h'!M31,'22.10 KAYUNGA-GALIRAYA'!M31,'23.10 KAYUNGA-GALIRAYA'!M31)</f>
        <v>8.5714285714285712</v>
      </c>
      <c r="N31" s="49">
        <f>AVERAGE('17.10 KAYUNGA-GALIRAYA'!N31,'18.10 KAYUNGA-GALIRAYA'!N31,'19.10 KAYUNGA-GALIRAYA-24h'!N31,'20.10 KAYUNGA-GALIRAYA'!N31,'21.10 KAYUNGA-GALIRAYA-24h'!N31,'22.10 KAYUNGA-GALIRAYA'!N31,'23.10 KAYUNGA-GALIRAYA'!N31)</f>
        <v>0</v>
      </c>
      <c r="O31" s="15">
        <f t="shared" si="0"/>
        <v>3.2857142857142851</v>
      </c>
      <c r="P31" s="15">
        <f t="shared" si="1"/>
        <v>11.857142857142856</v>
      </c>
      <c r="R31" s="1" t="s">
        <v>155</v>
      </c>
      <c r="S31" s="34">
        <f>SUM(C94:C97)</f>
        <v>0.5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</v>
      </c>
      <c r="W31" s="34">
        <f t="shared" si="23"/>
        <v>0.5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1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3</v>
      </c>
      <c r="AF31" s="31">
        <f t="shared" si="23"/>
        <v>5</v>
      </c>
    </row>
    <row r="32" spans="2:32" ht="23.1" customHeight="1" x14ac:dyDescent="0.25">
      <c r="B32" s="24" t="s">
        <v>59</v>
      </c>
      <c r="C32" s="49">
        <f>AVERAGE('17.10 KAYUNGA-GALIRAYA'!C32,'18.10 KAYUNGA-GALIRAYA'!C32,'19.10 KAYUNGA-GALIRAYA-24h'!C32,'20.10 KAYUNGA-GALIRAYA'!C32,'21.10 KAYUNGA-GALIRAYA-24h'!C32,'22.10 KAYUNGA-GALIRAYA'!C32,'23.10 KAYUNGA-GALIRAYA'!C32)</f>
        <v>1.4285714285714286</v>
      </c>
      <c r="D32" s="49">
        <f>AVERAGE('17.10 KAYUNGA-GALIRAYA'!D32,'18.10 KAYUNGA-GALIRAYA'!D32,'19.10 KAYUNGA-GALIRAYA-24h'!D32,'20.10 KAYUNGA-GALIRAYA'!D32,'21.10 KAYUNGA-GALIRAYA-24h'!D32,'22.10 KAYUNGA-GALIRAYA'!D32,'23.10 KAYUNGA-GALIRAYA'!D32)</f>
        <v>0.2857142857142857</v>
      </c>
      <c r="E32" s="49">
        <f>AVERAGE('17.10 KAYUNGA-GALIRAYA'!E32,'18.10 KAYUNGA-GALIRAYA'!E32,'19.10 KAYUNGA-GALIRAYA-24h'!E32,'20.10 KAYUNGA-GALIRAYA'!E32,'21.10 KAYUNGA-GALIRAYA-24h'!E32,'22.10 KAYUNGA-GALIRAYA'!E32,'23.10 KAYUNGA-GALIRAYA'!E32)</f>
        <v>0.5714285714285714</v>
      </c>
      <c r="F32" s="49">
        <f>AVERAGE('17.10 KAYUNGA-GALIRAYA'!F32,'18.10 KAYUNGA-GALIRAYA'!F32,'19.10 KAYUNGA-GALIRAYA-24h'!F32,'20.10 KAYUNGA-GALIRAYA'!F32,'21.10 KAYUNGA-GALIRAYA-24h'!F32,'22.10 KAYUNGA-GALIRAYA'!F32,'23.10 KAYUNGA-GALIRAYA'!F32)</f>
        <v>1.4285714285714286</v>
      </c>
      <c r="G32" s="49">
        <f>AVERAGE('17.10 KAYUNGA-GALIRAYA'!G32,'18.10 KAYUNGA-GALIRAYA'!G32,'19.10 KAYUNGA-GALIRAYA-24h'!G32,'20.10 KAYUNGA-GALIRAYA'!G32,'21.10 KAYUNGA-GALIRAYA-24h'!G32,'22.10 KAYUNGA-GALIRAYA'!G32,'23.10 KAYUNGA-GALIRAYA'!G32)</f>
        <v>0</v>
      </c>
      <c r="H32" s="49">
        <f>AVERAGE('17.10 KAYUNGA-GALIRAYA'!H32,'18.10 KAYUNGA-GALIRAYA'!H32,'19.10 KAYUNGA-GALIRAYA-24h'!H32,'20.10 KAYUNGA-GALIRAYA'!H32,'21.10 KAYUNGA-GALIRAYA-24h'!H32,'22.10 KAYUNGA-GALIRAYA'!H32,'23.10 KAYUNGA-GALIRAYA'!H32)</f>
        <v>0</v>
      </c>
      <c r="I32" s="49">
        <f>AVERAGE('17.10 KAYUNGA-GALIRAYA'!I32,'18.10 KAYUNGA-GALIRAYA'!I32,'19.10 KAYUNGA-GALIRAYA-24h'!I32,'20.10 KAYUNGA-GALIRAYA'!I32,'21.10 KAYUNGA-GALIRAYA-24h'!I32,'22.10 KAYUNGA-GALIRAYA'!I32,'23.10 KAYUNGA-GALIRAYA'!I32)</f>
        <v>1.2857142857142858</v>
      </c>
      <c r="J32" s="49">
        <f>AVERAGE('17.10 KAYUNGA-GALIRAYA'!J32,'18.10 KAYUNGA-GALIRAYA'!J32,'19.10 KAYUNGA-GALIRAYA-24h'!J32,'20.10 KAYUNGA-GALIRAYA'!J32,'21.10 KAYUNGA-GALIRAYA-24h'!J32,'22.10 KAYUNGA-GALIRAYA'!J32,'23.10 KAYUNGA-GALIRAYA'!J32)</f>
        <v>0.2857142857142857</v>
      </c>
      <c r="K32" s="49">
        <f>AVERAGE('17.10 KAYUNGA-GALIRAYA'!K32,'18.10 KAYUNGA-GALIRAYA'!K32,'19.10 KAYUNGA-GALIRAYA-24h'!K32,'20.10 KAYUNGA-GALIRAYA'!K32,'21.10 KAYUNGA-GALIRAYA-24h'!K32,'22.10 KAYUNGA-GALIRAYA'!K32,'23.10 KAYUNGA-GALIRAYA'!K32)</f>
        <v>0</v>
      </c>
      <c r="L32" s="49">
        <f>AVERAGE('17.10 KAYUNGA-GALIRAYA'!L32,'18.10 KAYUNGA-GALIRAYA'!L32,'19.10 KAYUNGA-GALIRAYA-24h'!L32,'20.10 KAYUNGA-GALIRAYA'!L32,'21.10 KAYUNGA-GALIRAYA-24h'!L32,'22.10 KAYUNGA-GALIRAYA'!L32,'23.10 KAYUNGA-GALIRAYA'!L32)</f>
        <v>0</v>
      </c>
      <c r="M32" s="49">
        <f>AVERAGE('17.10 KAYUNGA-GALIRAYA'!M32,'18.10 KAYUNGA-GALIRAYA'!M32,'19.10 KAYUNGA-GALIRAYA-24h'!M32,'20.10 KAYUNGA-GALIRAYA'!M32,'21.10 KAYUNGA-GALIRAYA-24h'!M32,'22.10 KAYUNGA-GALIRAYA'!M32,'23.10 KAYUNGA-GALIRAYA'!M32)</f>
        <v>17</v>
      </c>
      <c r="N32" s="49">
        <f>AVERAGE('17.10 KAYUNGA-GALIRAYA'!N32,'18.10 KAYUNGA-GALIRAYA'!N32,'19.10 KAYUNGA-GALIRAYA-24h'!N32,'20.10 KAYUNGA-GALIRAYA'!N32,'21.10 KAYUNGA-GALIRAYA-24h'!N32,'22.10 KAYUNGA-GALIRAYA'!N32,'23.10 KAYUNGA-GALIRAYA'!N32)</f>
        <v>0</v>
      </c>
      <c r="O32" s="15">
        <f t="shared" si="0"/>
        <v>5.2857142857142856</v>
      </c>
      <c r="P32" s="15">
        <f t="shared" si="1"/>
        <v>22.285714285714285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1.5</v>
      </c>
      <c r="W32" s="34">
        <f t="shared" si="24"/>
        <v>0.5</v>
      </c>
      <c r="X32" s="34">
        <f t="shared" si="24"/>
        <v>0</v>
      </c>
      <c r="Y32" s="34">
        <f t="shared" si="24"/>
        <v>0.5</v>
      </c>
      <c r="Z32" s="34">
        <f t="shared" si="24"/>
        <v>1</v>
      </c>
      <c r="AA32" s="34">
        <f t="shared" si="24"/>
        <v>2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6</v>
      </c>
      <c r="AF32" s="31">
        <f t="shared" si="24"/>
        <v>8</v>
      </c>
    </row>
    <row r="33" spans="2:32" ht="23.1" customHeight="1" x14ac:dyDescent="0.25">
      <c r="B33" s="23" t="s">
        <v>60</v>
      </c>
      <c r="C33" s="49">
        <f>AVERAGE('17.10 KAYUNGA-GALIRAYA'!C33,'18.10 KAYUNGA-GALIRAYA'!C33,'19.10 KAYUNGA-GALIRAYA-24h'!C33,'20.10 KAYUNGA-GALIRAYA'!C33,'21.10 KAYUNGA-GALIRAYA-24h'!C33,'22.10 KAYUNGA-GALIRAYA'!C33,'23.10 KAYUNGA-GALIRAYA'!C33)</f>
        <v>1</v>
      </c>
      <c r="D33" s="49">
        <f>AVERAGE('17.10 KAYUNGA-GALIRAYA'!D33,'18.10 KAYUNGA-GALIRAYA'!D33,'19.10 KAYUNGA-GALIRAYA-24h'!D33,'20.10 KAYUNGA-GALIRAYA'!D33,'21.10 KAYUNGA-GALIRAYA-24h'!D33,'22.10 KAYUNGA-GALIRAYA'!D33,'23.10 KAYUNGA-GALIRAYA'!D33)</f>
        <v>0.42857142857142855</v>
      </c>
      <c r="E33" s="49">
        <f>AVERAGE('17.10 KAYUNGA-GALIRAYA'!E33,'18.10 KAYUNGA-GALIRAYA'!E33,'19.10 KAYUNGA-GALIRAYA-24h'!E33,'20.10 KAYUNGA-GALIRAYA'!E33,'21.10 KAYUNGA-GALIRAYA-24h'!E33,'22.10 KAYUNGA-GALIRAYA'!E33,'23.10 KAYUNGA-GALIRAYA'!E33)</f>
        <v>0.8571428571428571</v>
      </c>
      <c r="F33" s="49">
        <f>AVERAGE('17.10 KAYUNGA-GALIRAYA'!F33,'18.10 KAYUNGA-GALIRAYA'!F33,'19.10 KAYUNGA-GALIRAYA-24h'!F33,'20.10 KAYUNGA-GALIRAYA'!F33,'21.10 KAYUNGA-GALIRAYA-24h'!F33,'22.10 KAYUNGA-GALIRAYA'!F33,'23.10 KAYUNGA-GALIRAYA'!F33)</f>
        <v>1.7142857142857142</v>
      </c>
      <c r="G33" s="49">
        <f>AVERAGE('17.10 KAYUNGA-GALIRAYA'!G33,'18.10 KAYUNGA-GALIRAYA'!G33,'19.10 KAYUNGA-GALIRAYA-24h'!G33,'20.10 KAYUNGA-GALIRAYA'!G33,'21.10 KAYUNGA-GALIRAYA-24h'!G33,'22.10 KAYUNGA-GALIRAYA'!G33,'23.10 KAYUNGA-GALIRAYA'!G33)</f>
        <v>0</v>
      </c>
      <c r="H33" s="49">
        <f>AVERAGE('17.10 KAYUNGA-GALIRAYA'!H33,'18.10 KAYUNGA-GALIRAYA'!H33,'19.10 KAYUNGA-GALIRAYA-24h'!H33,'20.10 KAYUNGA-GALIRAYA'!H33,'21.10 KAYUNGA-GALIRAYA-24h'!H33,'22.10 KAYUNGA-GALIRAYA'!H33,'23.10 KAYUNGA-GALIRAYA'!H33)</f>
        <v>0.14285714285714285</v>
      </c>
      <c r="I33" s="49">
        <f>AVERAGE('17.10 KAYUNGA-GALIRAYA'!I33,'18.10 KAYUNGA-GALIRAYA'!I33,'19.10 KAYUNGA-GALIRAYA-24h'!I33,'20.10 KAYUNGA-GALIRAYA'!I33,'21.10 KAYUNGA-GALIRAYA-24h'!I33,'22.10 KAYUNGA-GALIRAYA'!I33,'23.10 KAYUNGA-GALIRAYA'!I33)</f>
        <v>0.5714285714285714</v>
      </c>
      <c r="J33" s="49">
        <f>AVERAGE('17.10 KAYUNGA-GALIRAYA'!J33,'18.10 KAYUNGA-GALIRAYA'!J33,'19.10 KAYUNGA-GALIRAYA-24h'!J33,'20.10 KAYUNGA-GALIRAYA'!J33,'21.10 KAYUNGA-GALIRAYA-24h'!J33,'22.10 KAYUNGA-GALIRAYA'!J33,'23.10 KAYUNGA-GALIRAYA'!J33)</f>
        <v>0.42857142857142855</v>
      </c>
      <c r="K33" s="49">
        <f>AVERAGE('17.10 KAYUNGA-GALIRAYA'!K33,'18.10 KAYUNGA-GALIRAYA'!K33,'19.10 KAYUNGA-GALIRAYA-24h'!K33,'20.10 KAYUNGA-GALIRAYA'!K33,'21.10 KAYUNGA-GALIRAYA-24h'!K33,'22.10 KAYUNGA-GALIRAYA'!K33,'23.10 KAYUNGA-GALIRAYA'!K33)</f>
        <v>0.42857142857142855</v>
      </c>
      <c r="L33" s="49">
        <f>AVERAGE('17.10 KAYUNGA-GALIRAYA'!L33,'18.10 KAYUNGA-GALIRAYA'!L33,'19.10 KAYUNGA-GALIRAYA-24h'!L33,'20.10 KAYUNGA-GALIRAYA'!L33,'21.10 KAYUNGA-GALIRAYA-24h'!L33,'22.10 KAYUNGA-GALIRAYA'!L33,'23.10 KAYUNGA-GALIRAYA'!L33)</f>
        <v>0.2857142857142857</v>
      </c>
      <c r="M33" s="49">
        <f>AVERAGE('17.10 KAYUNGA-GALIRAYA'!M33,'18.10 KAYUNGA-GALIRAYA'!M33,'19.10 KAYUNGA-GALIRAYA-24h'!M33,'20.10 KAYUNGA-GALIRAYA'!M33,'21.10 KAYUNGA-GALIRAYA-24h'!M33,'22.10 KAYUNGA-GALIRAYA'!M33,'23.10 KAYUNGA-GALIRAYA'!M33)</f>
        <v>13.714285714285714</v>
      </c>
      <c r="N33" s="49">
        <f>AVERAGE('17.10 KAYUNGA-GALIRAYA'!N33,'18.10 KAYUNGA-GALIRAYA'!N33,'19.10 KAYUNGA-GALIRAYA-24h'!N33,'20.10 KAYUNGA-GALIRAYA'!N33,'21.10 KAYUNGA-GALIRAYA-24h'!N33,'22.10 KAYUNGA-GALIRAYA'!N33,'23.10 KAYUNGA-GALIRAYA'!N33)</f>
        <v>0</v>
      </c>
      <c r="O33" s="15">
        <f t="shared" si="0"/>
        <v>5.8571428571428577</v>
      </c>
      <c r="P33" s="15">
        <f t="shared" si="1"/>
        <v>19.571428571428569</v>
      </c>
      <c r="R33" s="1" t="s">
        <v>157</v>
      </c>
      <c r="S33" s="34">
        <f>SUM(C102:C105)</f>
        <v>1</v>
      </c>
      <c r="T33" s="34">
        <f t="shared" ref="T33:AF33" si="25">SUM(D102:D105)</f>
        <v>0</v>
      </c>
      <c r="U33" s="34">
        <f t="shared" si="25"/>
        <v>0.5</v>
      </c>
      <c r="V33" s="34">
        <f t="shared" si="25"/>
        <v>2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4.5</v>
      </c>
      <c r="AB33" s="34">
        <f t="shared" si="25"/>
        <v>0</v>
      </c>
      <c r="AC33" s="34">
        <f t="shared" si="25"/>
        <v>9</v>
      </c>
      <c r="AD33" s="34">
        <f t="shared" si="25"/>
        <v>0</v>
      </c>
      <c r="AE33" s="31">
        <f t="shared" si="25"/>
        <v>9</v>
      </c>
      <c r="AF33" s="31">
        <f t="shared" si="25"/>
        <v>18</v>
      </c>
    </row>
    <row r="34" spans="2:32" ht="23.1" customHeight="1" x14ac:dyDescent="0.25">
      <c r="B34" s="24" t="s">
        <v>61</v>
      </c>
      <c r="C34" s="49">
        <f>AVERAGE('17.10 KAYUNGA-GALIRAYA'!C34,'18.10 KAYUNGA-GALIRAYA'!C34,'19.10 KAYUNGA-GALIRAYA-24h'!C34,'20.10 KAYUNGA-GALIRAYA'!C34,'21.10 KAYUNGA-GALIRAYA-24h'!C34,'22.10 KAYUNGA-GALIRAYA'!C34,'23.10 KAYUNGA-GALIRAYA'!C34)</f>
        <v>0.5714285714285714</v>
      </c>
      <c r="D34" s="49">
        <f>AVERAGE('17.10 KAYUNGA-GALIRAYA'!D34,'18.10 KAYUNGA-GALIRAYA'!D34,'19.10 KAYUNGA-GALIRAYA-24h'!D34,'20.10 KAYUNGA-GALIRAYA'!D34,'21.10 KAYUNGA-GALIRAYA-24h'!D34,'22.10 KAYUNGA-GALIRAYA'!D34,'23.10 KAYUNGA-GALIRAYA'!D34)</f>
        <v>0.14285714285714285</v>
      </c>
      <c r="E34" s="49">
        <f>AVERAGE('17.10 KAYUNGA-GALIRAYA'!E34,'18.10 KAYUNGA-GALIRAYA'!E34,'19.10 KAYUNGA-GALIRAYA-24h'!E34,'20.10 KAYUNGA-GALIRAYA'!E34,'21.10 KAYUNGA-GALIRAYA-24h'!E34,'22.10 KAYUNGA-GALIRAYA'!E34,'23.10 KAYUNGA-GALIRAYA'!E34)</f>
        <v>0.14285714285714285</v>
      </c>
      <c r="F34" s="49">
        <f>AVERAGE('17.10 KAYUNGA-GALIRAYA'!F34,'18.10 KAYUNGA-GALIRAYA'!F34,'19.10 KAYUNGA-GALIRAYA-24h'!F34,'20.10 KAYUNGA-GALIRAYA'!F34,'21.10 KAYUNGA-GALIRAYA-24h'!F34,'22.10 KAYUNGA-GALIRAYA'!F34,'23.10 KAYUNGA-GALIRAYA'!F34)</f>
        <v>1.1428571428571428</v>
      </c>
      <c r="G34" s="49">
        <f>AVERAGE('17.10 KAYUNGA-GALIRAYA'!G34,'18.10 KAYUNGA-GALIRAYA'!G34,'19.10 KAYUNGA-GALIRAYA-24h'!G34,'20.10 KAYUNGA-GALIRAYA'!G34,'21.10 KAYUNGA-GALIRAYA-24h'!G34,'22.10 KAYUNGA-GALIRAYA'!G34,'23.10 KAYUNGA-GALIRAYA'!G34)</f>
        <v>0</v>
      </c>
      <c r="H34" s="49">
        <f>AVERAGE('17.10 KAYUNGA-GALIRAYA'!H34,'18.10 KAYUNGA-GALIRAYA'!H34,'19.10 KAYUNGA-GALIRAYA-24h'!H34,'20.10 KAYUNGA-GALIRAYA'!H34,'21.10 KAYUNGA-GALIRAYA-24h'!H34,'22.10 KAYUNGA-GALIRAYA'!H34,'23.10 KAYUNGA-GALIRAYA'!H34)</f>
        <v>0</v>
      </c>
      <c r="I34" s="49">
        <f>AVERAGE('17.10 KAYUNGA-GALIRAYA'!I34,'18.10 KAYUNGA-GALIRAYA'!I34,'19.10 KAYUNGA-GALIRAYA-24h'!I34,'20.10 KAYUNGA-GALIRAYA'!I34,'21.10 KAYUNGA-GALIRAYA-24h'!I34,'22.10 KAYUNGA-GALIRAYA'!I34,'23.10 KAYUNGA-GALIRAYA'!I34)</f>
        <v>0.8571428571428571</v>
      </c>
      <c r="J34" s="49">
        <f>AVERAGE('17.10 KAYUNGA-GALIRAYA'!J34,'18.10 KAYUNGA-GALIRAYA'!J34,'19.10 KAYUNGA-GALIRAYA-24h'!J34,'20.10 KAYUNGA-GALIRAYA'!J34,'21.10 KAYUNGA-GALIRAYA-24h'!J34,'22.10 KAYUNGA-GALIRAYA'!J34,'23.10 KAYUNGA-GALIRAYA'!J34)</f>
        <v>0.5714285714285714</v>
      </c>
      <c r="K34" s="49">
        <f>AVERAGE('17.10 KAYUNGA-GALIRAYA'!K34,'18.10 KAYUNGA-GALIRAYA'!K34,'19.10 KAYUNGA-GALIRAYA-24h'!K34,'20.10 KAYUNGA-GALIRAYA'!K34,'21.10 KAYUNGA-GALIRAYA-24h'!K34,'22.10 KAYUNGA-GALIRAYA'!K34,'23.10 KAYUNGA-GALIRAYA'!K34)</f>
        <v>0</v>
      </c>
      <c r="L34" s="49">
        <f>AVERAGE('17.10 KAYUNGA-GALIRAYA'!L34,'18.10 KAYUNGA-GALIRAYA'!L34,'19.10 KAYUNGA-GALIRAYA-24h'!L34,'20.10 KAYUNGA-GALIRAYA'!L34,'21.10 KAYUNGA-GALIRAYA-24h'!L34,'22.10 KAYUNGA-GALIRAYA'!L34,'23.10 KAYUNGA-GALIRAYA'!L34)</f>
        <v>0.14285714285714285</v>
      </c>
      <c r="M34" s="49">
        <f>AVERAGE('17.10 KAYUNGA-GALIRAYA'!M34,'18.10 KAYUNGA-GALIRAYA'!M34,'19.10 KAYUNGA-GALIRAYA-24h'!M34,'20.10 KAYUNGA-GALIRAYA'!M34,'21.10 KAYUNGA-GALIRAYA-24h'!M34,'22.10 KAYUNGA-GALIRAYA'!M34,'23.10 KAYUNGA-GALIRAYA'!M34)</f>
        <v>13.571428571428571</v>
      </c>
      <c r="N34" s="49">
        <f>AVERAGE('17.10 KAYUNGA-GALIRAYA'!N34,'18.10 KAYUNGA-GALIRAYA'!N34,'19.10 KAYUNGA-GALIRAYA-24h'!N34,'20.10 KAYUNGA-GALIRAYA'!N34,'21.10 KAYUNGA-GALIRAYA-24h'!N34,'22.10 KAYUNGA-GALIRAYA'!N34,'23.10 KAYUNGA-GALIRAYA'!N34)</f>
        <v>0</v>
      </c>
      <c r="O34" s="15">
        <f t="shared" si="0"/>
        <v>3.5714285714285707</v>
      </c>
      <c r="P34" s="15">
        <f t="shared" si="1"/>
        <v>17.142857142857142</v>
      </c>
      <c r="R34" s="53" t="s">
        <v>90</v>
      </c>
      <c r="S34" s="54">
        <f t="shared" ref="S34:AF34" si="26">MAX(S10:S12)</f>
        <v>3.2857142857142856</v>
      </c>
      <c r="T34" s="54">
        <f t="shared" si="26"/>
        <v>1.2857142857142856</v>
      </c>
      <c r="U34" s="54">
        <f t="shared" si="26"/>
        <v>2.1428571428571428</v>
      </c>
      <c r="V34" s="54">
        <f t="shared" si="26"/>
        <v>4.7142857142857144</v>
      </c>
      <c r="W34" s="54">
        <f t="shared" si="26"/>
        <v>0.14285714285714285</v>
      </c>
      <c r="X34" s="54">
        <f t="shared" si="26"/>
        <v>0.42857142857142855</v>
      </c>
      <c r="Y34" s="54">
        <f t="shared" si="26"/>
        <v>4.4285714285714288</v>
      </c>
      <c r="Z34" s="54">
        <f t="shared" si="26"/>
        <v>2</v>
      </c>
      <c r="AA34" s="54">
        <f t="shared" si="26"/>
        <v>3.7142857142857144</v>
      </c>
      <c r="AB34" s="54">
        <f t="shared" si="26"/>
        <v>0.42857142857142855</v>
      </c>
      <c r="AC34" s="54">
        <f t="shared" si="26"/>
        <v>41.571428571428569</v>
      </c>
      <c r="AD34" s="54">
        <f t="shared" si="26"/>
        <v>1.2857142857142858</v>
      </c>
      <c r="AE34" s="40">
        <f t="shared" si="26"/>
        <v>19.428571428571431</v>
      </c>
      <c r="AF34" s="40">
        <f t="shared" si="26"/>
        <v>61</v>
      </c>
    </row>
    <row r="35" spans="2:32" ht="23.1" customHeight="1" x14ac:dyDescent="0.25">
      <c r="B35" s="24" t="s">
        <v>62</v>
      </c>
      <c r="C35" s="49">
        <f>AVERAGE('17.10 KAYUNGA-GALIRAYA'!C35,'18.10 KAYUNGA-GALIRAYA'!C35,'19.10 KAYUNGA-GALIRAYA-24h'!C35,'20.10 KAYUNGA-GALIRAYA'!C35,'21.10 KAYUNGA-GALIRAYA-24h'!C35,'22.10 KAYUNGA-GALIRAYA'!C35,'23.10 KAYUNGA-GALIRAYA'!C35)</f>
        <v>1.1428571428571428</v>
      </c>
      <c r="D35" s="49">
        <f>AVERAGE('17.10 KAYUNGA-GALIRAYA'!D35,'18.10 KAYUNGA-GALIRAYA'!D35,'19.10 KAYUNGA-GALIRAYA-24h'!D35,'20.10 KAYUNGA-GALIRAYA'!D35,'21.10 KAYUNGA-GALIRAYA-24h'!D35,'22.10 KAYUNGA-GALIRAYA'!D35,'23.10 KAYUNGA-GALIRAYA'!D35)</f>
        <v>0.2857142857142857</v>
      </c>
      <c r="E35" s="49">
        <f>AVERAGE('17.10 KAYUNGA-GALIRAYA'!E35,'18.10 KAYUNGA-GALIRAYA'!E35,'19.10 KAYUNGA-GALIRAYA-24h'!E35,'20.10 KAYUNGA-GALIRAYA'!E35,'21.10 KAYUNGA-GALIRAYA-24h'!E35,'22.10 KAYUNGA-GALIRAYA'!E35,'23.10 KAYUNGA-GALIRAYA'!E35)</f>
        <v>0.14285714285714285</v>
      </c>
      <c r="F35" s="49">
        <f>AVERAGE('17.10 KAYUNGA-GALIRAYA'!F35,'18.10 KAYUNGA-GALIRAYA'!F35,'19.10 KAYUNGA-GALIRAYA-24h'!F35,'20.10 KAYUNGA-GALIRAYA'!F35,'21.10 KAYUNGA-GALIRAYA-24h'!F35,'22.10 KAYUNGA-GALIRAYA'!F35,'23.10 KAYUNGA-GALIRAYA'!F35)</f>
        <v>1.5714285714285714</v>
      </c>
      <c r="G35" s="49">
        <f>AVERAGE('17.10 KAYUNGA-GALIRAYA'!G35,'18.10 KAYUNGA-GALIRAYA'!G35,'19.10 KAYUNGA-GALIRAYA-24h'!G35,'20.10 KAYUNGA-GALIRAYA'!G35,'21.10 KAYUNGA-GALIRAYA-24h'!G35,'22.10 KAYUNGA-GALIRAYA'!G35,'23.10 KAYUNGA-GALIRAYA'!G35)</f>
        <v>0</v>
      </c>
      <c r="H35" s="49">
        <f>AVERAGE('17.10 KAYUNGA-GALIRAYA'!H35,'18.10 KAYUNGA-GALIRAYA'!H35,'19.10 KAYUNGA-GALIRAYA-24h'!H35,'20.10 KAYUNGA-GALIRAYA'!H35,'21.10 KAYUNGA-GALIRAYA-24h'!H35,'22.10 KAYUNGA-GALIRAYA'!H35,'23.10 KAYUNGA-GALIRAYA'!H35)</f>
        <v>0</v>
      </c>
      <c r="I35" s="49">
        <f>AVERAGE('17.10 KAYUNGA-GALIRAYA'!I35,'18.10 KAYUNGA-GALIRAYA'!I35,'19.10 KAYUNGA-GALIRAYA-24h'!I35,'20.10 KAYUNGA-GALIRAYA'!I35,'21.10 KAYUNGA-GALIRAYA-24h'!I35,'22.10 KAYUNGA-GALIRAYA'!I35,'23.10 KAYUNGA-GALIRAYA'!I35)</f>
        <v>0.42857142857142855</v>
      </c>
      <c r="J35" s="49">
        <f>AVERAGE('17.10 KAYUNGA-GALIRAYA'!J35,'18.10 KAYUNGA-GALIRAYA'!J35,'19.10 KAYUNGA-GALIRAYA-24h'!J35,'20.10 KAYUNGA-GALIRAYA'!J35,'21.10 KAYUNGA-GALIRAYA-24h'!J35,'22.10 KAYUNGA-GALIRAYA'!J35,'23.10 KAYUNGA-GALIRAYA'!J35)</f>
        <v>0.14285714285714285</v>
      </c>
      <c r="K35" s="49">
        <f>AVERAGE('17.10 KAYUNGA-GALIRAYA'!K35,'18.10 KAYUNGA-GALIRAYA'!K35,'19.10 KAYUNGA-GALIRAYA-24h'!K35,'20.10 KAYUNGA-GALIRAYA'!K35,'21.10 KAYUNGA-GALIRAYA-24h'!K35,'22.10 KAYUNGA-GALIRAYA'!K35,'23.10 KAYUNGA-GALIRAYA'!K35)</f>
        <v>0.14285714285714285</v>
      </c>
      <c r="L35" s="49">
        <f>AVERAGE('17.10 KAYUNGA-GALIRAYA'!L35,'18.10 KAYUNGA-GALIRAYA'!L35,'19.10 KAYUNGA-GALIRAYA-24h'!L35,'20.10 KAYUNGA-GALIRAYA'!L35,'21.10 KAYUNGA-GALIRAYA-24h'!L35,'22.10 KAYUNGA-GALIRAYA'!L35,'23.10 KAYUNGA-GALIRAYA'!L35)</f>
        <v>0</v>
      </c>
      <c r="M35" s="49">
        <f>AVERAGE('17.10 KAYUNGA-GALIRAYA'!M35,'18.10 KAYUNGA-GALIRAYA'!M35,'19.10 KAYUNGA-GALIRAYA-24h'!M35,'20.10 KAYUNGA-GALIRAYA'!M35,'21.10 KAYUNGA-GALIRAYA-24h'!M35,'22.10 KAYUNGA-GALIRAYA'!M35,'23.10 KAYUNGA-GALIRAYA'!M35)</f>
        <v>15</v>
      </c>
      <c r="N35" s="49">
        <f>AVERAGE('17.10 KAYUNGA-GALIRAYA'!N35,'18.10 KAYUNGA-GALIRAYA'!N35,'19.10 KAYUNGA-GALIRAYA-24h'!N35,'20.10 KAYUNGA-GALIRAYA'!N35,'21.10 KAYUNGA-GALIRAYA-24h'!N35,'22.10 KAYUNGA-GALIRAYA'!N35,'23.10 KAYUNGA-GALIRAYA'!N35)</f>
        <v>0.14285714285714285</v>
      </c>
      <c r="O35" s="15">
        <f t="shared" si="0"/>
        <v>3.9999999999999991</v>
      </c>
      <c r="P35" s="15">
        <f t="shared" si="1"/>
        <v>19</v>
      </c>
      <c r="R35" s="53" t="s">
        <v>91</v>
      </c>
      <c r="S35" s="54">
        <f t="shared" ref="S35:AF35" si="27">MAX(S13:S18)</f>
        <v>4.8571428571428568</v>
      </c>
      <c r="T35" s="54">
        <f t="shared" si="27"/>
        <v>1.7142857142857142</v>
      </c>
      <c r="U35" s="54">
        <f t="shared" si="27"/>
        <v>2.1428571428571428</v>
      </c>
      <c r="V35" s="54">
        <f t="shared" si="27"/>
        <v>7.5714285714285712</v>
      </c>
      <c r="W35" s="54">
        <f t="shared" si="27"/>
        <v>0.42857142857142855</v>
      </c>
      <c r="X35" s="54">
        <f t="shared" si="27"/>
        <v>0.8571428571428571</v>
      </c>
      <c r="Y35" s="54">
        <f t="shared" si="27"/>
        <v>5</v>
      </c>
      <c r="Z35" s="54">
        <f t="shared" si="27"/>
        <v>2.1428571428571423</v>
      </c>
      <c r="AA35" s="54">
        <f t="shared" si="27"/>
        <v>1</v>
      </c>
      <c r="AB35" s="54">
        <f t="shared" si="27"/>
        <v>0.71428571428571419</v>
      </c>
      <c r="AC35" s="54">
        <f t="shared" si="27"/>
        <v>53</v>
      </c>
      <c r="AD35" s="54">
        <f t="shared" si="27"/>
        <v>0.14285714285714285</v>
      </c>
      <c r="AE35" s="40">
        <f t="shared" si="27"/>
        <v>19.857142857142858</v>
      </c>
      <c r="AF35" s="40">
        <f t="shared" si="27"/>
        <v>72.857142857142861</v>
      </c>
    </row>
    <row r="36" spans="2:32" ht="23.1" customHeight="1" x14ac:dyDescent="0.25">
      <c r="B36" s="24" t="s">
        <v>63</v>
      </c>
      <c r="C36" s="49">
        <f>AVERAGE('17.10 KAYUNGA-GALIRAYA'!C36,'18.10 KAYUNGA-GALIRAYA'!C36,'19.10 KAYUNGA-GALIRAYA-24h'!C36,'20.10 KAYUNGA-GALIRAYA'!C36,'21.10 KAYUNGA-GALIRAYA-24h'!C36,'22.10 KAYUNGA-GALIRAYA'!C36,'23.10 KAYUNGA-GALIRAYA'!C36)</f>
        <v>1.8571428571428572</v>
      </c>
      <c r="D36" s="49">
        <f>AVERAGE('17.10 KAYUNGA-GALIRAYA'!D36,'18.10 KAYUNGA-GALIRAYA'!D36,'19.10 KAYUNGA-GALIRAYA-24h'!D36,'20.10 KAYUNGA-GALIRAYA'!D36,'21.10 KAYUNGA-GALIRAYA-24h'!D36,'22.10 KAYUNGA-GALIRAYA'!D36,'23.10 KAYUNGA-GALIRAYA'!D36)</f>
        <v>0</v>
      </c>
      <c r="E36" s="49">
        <f>AVERAGE('17.10 KAYUNGA-GALIRAYA'!E36,'18.10 KAYUNGA-GALIRAYA'!E36,'19.10 KAYUNGA-GALIRAYA-24h'!E36,'20.10 KAYUNGA-GALIRAYA'!E36,'21.10 KAYUNGA-GALIRAYA-24h'!E36,'22.10 KAYUNGA-GALIRAYA'!E36,'23.10 KAYUNGA-GALIRAYA'!E36)</f>
        <v>0.2857142857142857</v>
      </c>
      <c r="F36" s="49">
        <f>AVERAGE('17.10 KAYUNGA-GALIRAYA'!F36,'18.10 KAYUNGA-GALIRAYA'!F36,'19.10 KAYUNGA-GALIRAYA-24h'!F36,'20.10 KAYUNGA-GALIRAYA'!F36,'21.10 KAYUNGA-GALIRAYA-24h'!F36,'22.10 KAYUNGA-GALIRAYA'!F36,'23.10 KAYUNGA-GALIRAYA'!F36)</f>
        <v>2.2857142857142856</v>
      </c>
      <c r="G36" s="49">
        <f>AVERAGE('17.10 KAYUNGA-GALIRAYA'!G36,'18.10 KAYUNGA-GALIRAYA'!G36,'19.10 KAYUNGA-GALIRAYA-24h'!G36,'20.10 KAYUNGA-GALIRAYA'!G36,'21.10 KAYUNGA-GALIRAYA-24h'!G36,'22.10 KAYUNGA-GALIRAYA'!G36,'23.10 KAYUNGA-GALIRAYA'!G36)</f>
        <v>0.14285714285714285</v>
      </c>
      <c r="H36" s="49">
        <f>AVERAGE('17.10 KAYUNGA-GALIRAYA'!H36,'18.10 KAYUNGA-GALIRAYA'!H36,'19.10 KAYUNGA-GALIRAYA-24h'!H36,'20.10 KAYUNGA-GALIRAYA'!H36,'21.10 KAYUNGA-GALIRAYA-24h'!H36,'22.10 KAYUNGA-GALIRAYA'!H36,'23.10 KAYUNGA-GALIRAYA'!H36)</f>
        <v>0</v>
      </c>
      <c r="I36" s="49">
        <f>AVERAGE('17.10 KAYUNGA-GALIRAYA'!I36,'18.10 KAYUNGA-GALIRAYA'!I36,'19.10 KAYUNGA-GALIRAYA-24h'!I36,'20.10 KAYUNGA-GALIRAYA'!I36,'21.10 KAYUNGA-GALIRAYA-24h'!I36,'22.10 KAYUNGA-GALIRAYA'!I36,'23.10 KAYUNGA-GALIRAYA'!I36)</f>
        <v>0.42857142857142855</v>
      </c>
      <c r="J36" s="49">
        <f>AVERAGE('17.10 KAYUNGA-GALIRAYA'!J36,'18.10 KAYUNGA-GALIRAYA'!J36,'19.10 KAYUNGA-GALIRAYA-24h'!J36,'20.10 KAYUNGA-GALIRAYA'!J36,'21.10 KAYUNGA-GALIRAYA-24h'!J36,'22.10 KAYUNGA-GALIRAYA'!J36,'23.10 KAYUNGA-GALIRAYA'!J36)</f>
        <v>0.42857142857142855</v>
      </c>
      <c r="K36" s="49">
        <f>AVERAGE('17.10 KAYUNGA-GALIRAYA'!K36,'18.10 KAYUNGA-GALIRAYA'!K36,'19.10 KAYUNGA-GALIRAYA-24h'!K36,'20.10 KAYUNGA-GALIRAYA'!K36,'21.10 KAYUNGA-GALIRAYA-24h'!K36,'22.10 KAYUNGA-GALIRAYA'!K36,'23.10 KAYUNGA-GALIRAYA'!K36)</f>
        <v>0</v>
      </c>
      <c r="L36" s="49">
        <f>AVERAGE('17.10 KAYUNGA-GALIRAYA'!L36,'18.10 KAYUNGA-GALIRAYA'!L36,'19.10 KAYUNGA-GALIRAYA-24h'!L36,'20.10 KAYUNGA-GALIRAYA'!L36,'21.10 KAYUNGA-GALIRAYA-24h'!L36,'22.10 KAYUNGA-GALIRAYA'!L36,'23.10 KAYUNGA-GALIRAYA'!L36)</f>
        <v>0.14285714285714285</v>
      </c>
      <c r="M36" s="49">
        <f>AVERAGE('17.10 KAYUNGA-GALIRAYA'!M36,'18.10 KAYUNGA-GALIRAYA'!M36,'19.10 KAYUNGA-GALIRAYA-24h'!M36,'20.10 KAYUNGA-GALIRAYA'!M36,'21.10 KAYUNGA-GALIRAYA-24h'!M36,'22.10 KAYUNGA-GALIRAYA'!M36,'23.10 KAYUNGA-GALIRAYA'!M36)</f>
        <v>11.714285714285714</v>
      </c>
      <c r="N36" s="49">
        <f>AVERAGE('17.10 KAYUNGA-GALIRAYA'!N36,'18.10 KAYUNGA-GALIRAYA'!N36,'19.10 KAYUNGA-GALIRAYA-24h'!N36,'20.10 KAYUNGA-GALIRAYA'!N36,'21.10 KAYUNGA-GALIRAYA-24h'!N36,'22.10 KAYUNGA-GALIRAYA'!N36,'23.10 KAYUNGA-GALIRAYA'!N36)</f>
        <v>0</v>
      </c>
      <c r="O36" s="15">
        <f t="shared" si="0"/>
        <v>5.571428571428573</v>
      </c>
      <c r="P36" s="15">
        <f t="shared" si="1"/>
        <v>17.285714285714285</v>
      </c>
      <c r="R36" s="53" t="s">
        <v>92</v>
      </c>
      <c r="S36" s="54">
        <f t="shared" ref="S36:AF36" si="28">MAX(S19:S21)</f>
        <v>4.4285714285714288</v>
      </c>
      <c r="T36" s="54">
        <f t="shared" si="28"/>
        <v>1.2857142857142856</v>
      </c>
      <c r="U36" s="54">
        <f t="shared" si="28"/>
        <v>1.5714285714285714</v>
      </c>
      <c r="V36" s="54">
        <f t="shared" si="28"/>
        <v>6.7142857142857144</v>
      </c>
      <c r="W36" s="54">
        <f t="shared" si="28"/>
        <v>0.42857142857142855</v>
      </c>
      <c r="X36" s="54">
        <f t="shared" si="28"/>
        <v>0.5714285714285714</v>
      </c>
      <c r="Y36" s="54">
        <f t="shared" si="28"/>
        <v>4.5714285714285712</v>
      </c>
      <c r="Z36" s="54">
        <f t="shared" si="28"/>
        <v>1.4285714285714284</v>
      </c>
      <c r="AA36" s="54">
        <f t="shared" si="28"/>
        <v>2</v>
      </c>
      <c r="AB36" s="54">
        <f t="shared" si="28"/>
        <v>0.2857142857142857</v>
      </c>
      <c r="AC36" s="54">
        <f t="shared" si="28"/>
        <v>47.142857142857153</v>
      </c>
      <c r="AD36" s="54">
        <f t="shared" si="28"/>
        <v>0.14285714285714285</v>
      </c>
      <c r="AE36" s="40">
        <f t="shared" si="28"/>
        <v>19.714285714285715</v>
      </c>
      <c r="AF36" s="40">
        <f t="shared" si="28"/>
        <v>66.857142857142861</v>
      </c>
    </row>
    <row r="37" spans="2:32" ht="23.1" customHeight="1" x14ac:dyDescent="0.25">
      <c r="B37" s="23" t="s">
        <v>64</v>
      </c>
      <c r="C37" s="49">
        <f>AVERAGE('17.10 KAYUNGA-GALIRAYA'!C37,'18.10 KAYUNGA-GALIRAYA'!C37,'19.10 KAYUNGA-GALIRAYA-24h'!C37,'20.10 KAYUNGA-GALIRAYA'!C37,'21.10 KAYUNGA-GALIRAYA-24h'!C37,'22.10 KAYUNGA-GALIRAYA'!C37,'23.10 KAYUNGA-GALIRAYA'!C37)</f>
        <v>0.42857142857142855</v>
      </c>
      <c r="D37" s="49">
        <f>AVERAGE('17.10 KAYUNGA-GALIRAYA'!D37,'18.10 KAYUNGA-GALIRAYA'!D37,'19.10 KAYUNGA-GALIRAYA-24h'!D37,'20.10 KAYUNGA-GALIRAYA'!D37,'21.10 KAYUNGA-GALIRAYA-24h'!D37,'22.10 KAYUNGA-GALIRAYA'!D37,'23.10 KAYUNGA-GALIRAYA'!D37)</f>
        <v>0</v>
      </c>
      <c r="E37" s="49">
        <f>AVERAGE('17.10 KAYUNGA-GALIRAYA'!E37,'18.10 KAYUNGA-GALIRAYA'!E37,'19.10 KAYUNGA-GALIRAYA-24h'!E37,'20.10 KAYUNGA-GALIRAYA'!E37,'21.10 KAYUNGA-GALIRAYA-24h'!E37,'22.10 KAYUNGA-GALIRAYA'!E37,'23.10 KAYUNGA-GALIRAYA'!E37)</f>
        <v>0.5714285714285714</v>
      </c>
      <c r="F37" s="49">
        <f>AVERAGE('17.10 KAYUNGA-GALIRAYA'!F37,'18.10 KAYUNGA-GALIRAYA'!F37,'19.10 KAYUNGA-GALIRAYA-24h'!F37,'20.10 KAYUNGA-GALIRAYA'!F37,'21.10 KAYUNGA-GALIRAYA-24h'!F37,'22.10 KAYUNGA-GALIRAYA'!F37,'23.10 KAYUNGA-GALIRAYA'!F37)</f>
        <v>2.5714285714285716</v>
      </c>
      <c r="G37" s="49">
        <f>AVERAGE('17.10 KAYUNGA-GALIRAYA'!G37,'18.10 KAYUNGA-GALIRAYA'!G37,'19.10 KAYUNGA-GALIRAYA-24h'!G37,'20.10 KAYUNGA-GALIRAYA'!G37,'21.10 KAYUNGA-GALIRAYA-24h'!G37,'22.10 KAYUNGA-GALIRAYA'!G37,'23.10 KAYUNGA-GALIRAYA'!G37)</f>
        <v>0.14285714285714285</v>
      </c>
      <c r="H37" s="49">
        <f>AVERAGE('17.10 KAYUNGA-GALIRAYA'!H37,'18.10 KAYUNGA-GALIRAYA'!H37,'19.10 KAYUNGA-GALIRAYA-24h'!H37,'20.10 KAYUNGA-GALIRAYA'!H37,'21.10 KAYUNGA-GALIRAYA-24h'!H37,'22.10 KAYUNGA-GALIRAYA'!H37,'23.10 KAYUNGA-GALIRAYA'!H37)</f>
        <v>0</v>
      </c>
      <c r="I37" s="49">
        <f>AVERAGE('17.10 KAYUNGA-GALIRAYA'!I37,'18.10 KAYUNGA-GALIRAYA'!I37,'19.10 KAYUNGA-GALIRAYA-24h'!I37,'20.10 KAYUNGA-GALIRAYA'!I37,'21.10 KAYUNGA-GALIRAYA-24h'!I37,'22.10 KAYUNGA-GALIRAYA'!I37,'23.10 KAYUNGA-GALIRAYA'!I37)</f>
        <v>1.1428571428571428</v>
      </c>
      <c r="J37" s="49">
        <f>AVERAGE('17.10 KAYUNGA-GALIRAYA'!J37,'18.10 KAYUNGA-GALIRAYA'!J37,'19.10 KAYUNGA-GALIRAYA-24h'!J37,'20.10 KAYUNGA-GALIRAYA'!J37,'21.10 KAYUNGA-GALIRAYA-24h'!J37,'22.10 KAYUNGA-GALIRAYA'!J37,'23.10 KAYUNGA-GALIRAYA'!J37)</f>
        <v>0.8571428571428571</v>
      </c>
      <c r="K37" s="49">
        <f>AVERAGE('17.10 KAYUNGA-GALIRAYA'!K37,'18.10 KAYUNGA-GALIRAYA'!K37,'19.10 KAYUNGA-GALIRAYA-24h'!K37,'20.10 KAYUNGA-GALIRAYA'!K37,'21.10 KAYUNGA-GALIRAYA-24h'!K37,'22.10 KAYUNGA-GALIRAYA'!K37,'23.10 KAYUNGA-GALIRAYA'!K37)</f>
        <v>0</v>
      </c>
      <c r="L37" s="49">
        <f>AVERAGE('17.10 KAYUNGA-GALIRAYA'!L37,'18.10 KAYUNGA-GALIRAYA'!L37,'19.10 KAYUNGA-GALIRAYA-24h'!L37,'20.10 KAYUNGA-GALIRAYA'!L37,'21.10 KAYUNGA-GALIRAYA-24h'!L37,'22.10 KAYUNGA-GALIRAYA'!L37,'23.10 KAYUNGA-GALIRAYA'!L37)</f>
        <v>0.14285714285714285</v>
      </c>
      <c r="M37" s="49">
        <f>AVERAGE('17.10 KAYUNGA-GALIRAYA'!M37,'18.10 KAYUNGA-GALIRAYA'!M37,'19.10 KAYUNGA-GALIRAYA-24h'!M37,'20.10 KAYUNGA-GALIRAYA'!M37,'21.10 KAYUNGA-GALIRAYA-24h'!M37,'22.10 KAYUNGA-GALIRAYA'!M37,'23.10 KAYUNGA-GALIRAYA'!M37)</f>
        <v>9.2857142857142865</v>
      </c>
      <c r="N37" s="49">
        <f>AVERAGE('17.10 KAYUNGA-GALIRAYA'!N37,'18.10 KAYUNGA-GALIRAYA'!N37,'19.10 KAYUNGA-GALIRAYA-24h'!N37,'20.10 KAYUNGA-GALIRAYA'!N37,'21.10 KAYUNGA-GALIRAYA-24h'!N37,'22.10 KAYUNGA-GALIRAYA'!N37,'23.10 KAYUNGA-GALIRAYA'!N37)</f>
        <v>0</v>
      </c>
      <c r="O37" s="15">
        <f t="shared" si="0"/>
        <v>5.8571428571428577</v>
      </c>
      <c r="P37" s="15">
        <f t="shared" si="1"/>
        <v>15.142857142857144</v>
      </c>
      <c r="R37" s="37" t="s">
        <v>85</v>
      </c>
      <c r="S37" s="55">
        <f t="shared" ref="S37:AF37" si="29">SUM(S10:S12)</f>
        <v>7.5714285714285712</v>
      </c>
      <c r="T37" s="56">
        <f t="shared" si="29"/>
        <v>1.857142857142857</v>
      </c>
      <c r="U37" s="56">
        <f t="shared" si="29"/>
        <v>4.2857142857142856</v>
      </c>
      <c r="V37" s="56">
        <f t="shared" si="29"/>
        <v>11.571428571428569</v>
      </c>
      <c r="W37" s="56">
        <f t="shared" si="29"/>
        <v>0.2857142857142857</v>
      </c>
      <c r="X37" s="56">
        <f t="shared" si="29"/>
        <v>0.71428571428571419</v>
      </c>
      <c r="Y37" s="56">
        <f t="shared" si="29"/>
        <v>11.714285714285715</v>
      </c>
      <c r="Z37" s="56">
        <f t="shared" si="29"/>
        <v>5.5714285714285712</v>
      </c>
      <c r="AA37" s="56">
        <f t="shared" si="29"/>
        <v>6.2857142857142856</v>
      </c>
      <c r="AB37" s="56">
        <f t="shared" si="29"/>
        <v>0.71428571428571419</v>
      </c>
      <c r="AC37" s="56">
        <f t="shared" si="29"/>
        <v>85</v>
      </c>
      <c r="AD37" s="56">
        <f t="shared" si="29"/>
        <v>1.2857142857142858</v>
      </c>
      <c r="AE37" s="57">
        <f t="shared" si="29"/>
        <v>51.857142857142854</v>
      </c>
      <c r="AF37" s="57">
        <f t="shared" si="29"/>
        <v>136.85714285714286</v>
      </c>
    </row>
    <row r="38" spans="2:32" ht="23.1" customHeight="1" x14ac:dyDescent="0.25">
      <c r="B38" s="24" t="s">
        <v>65</v>
      </c>
      <c r="C38" s="49">
        <f>AVERAGE('17.10 KAYUNGA-GALIRAYA'!C38,'18.10 KAYUNGA-GALIRAYA'!C38,'19.10 KAYUNGA-GALIRAYA-24h'!C38,'20.10 KAYUNGA-GALIRAYA'!C38,'21.10 KAYUNGA-GALIRAYA-24h'!C38,'22.10 KAYUNGA-GALIRAYA'!C38,'23.10 KAYUNGA-GALIRAYA'!C38)</f>
        <v>0.42857142857142855</v>
      </c>
      <c r="D38" s="49">
        <f>AVERAGE('17.10 KAYUNGA-GALIRAYA'!D38,'18.10 KAYUNGA-GALIRAYA'!D38,'19.10 KAYUNGA-GALIRAYA-24h'!D38,'20.10 KAYUNGA-GALIRAYA'!D38,'21.10 KAYUNGA-GALIRAYA-24h'!D38,'22.10 KAYUNGA-GALIRAYA'!D38,'23.10 KAYUNGA-GALIRAYA'!D38)</f>
        <v>0.14285714285714285</v>
      </c>
      <c r="E38" s="49">
        <f>AVERAGE('17.10 KAYUNGA-GALIRAYA'!E38,'18.10 KAYUNGA-GALIRAYA'!E38,'19.10 KAYUNGA-GALIRAYA-24h'!E38,'20.10 KAYUNGA-GALIRAYA'!E38,'21.10 KAYUNGA-GALIRAYA-24h'!E38,'22.10 KAYUNGA-GALIRAYA'!E38,'23.10 KAYUNGA-GALIRAYA'!E38)</f>
        <v>0.14285714285714285</v>
      </c>
      <c r="F38" s="49">
        <f>AVERAGE('17.10 KAYUNGA-GALIRAYA'!F38,'18.10 KAYUNGA-GALIRAYA'!F38,'19.10 KAYUNGA-GALIRAYA-24h'!F38,'20.10 KAYUNGA-GALIRAYA'!F38,'21.10 KAYUNGA-GALIRAYA-24h'!F38,'22.10 KAYUNGA-GALIRAYA'!F38,'23.10 KAYUNGA-GALIRAYA'!F38)</f>
        <v>2</v>
      </c>
      <c r="G38" s="49">
        <f>AVERAGE('17.10 KAYUNGA-GALIRAYA'!G38,'18.10 KAYUNGA-GALIRAYA'!G38,'19.10 KAYUNGA-GALIRAYA-24h'!G38,'20.10 KAYUNGA-GALIRAYA'!G38,'21.10 KAYUNGA-GALIRAYA-24h'!G38,'22.10 KAYUNGA-GALIRAYA'!G38,'23.10 KAYUNGA-GALIRAYA'!G38)</f>
        <v>0.14285714285714285</v>
      </c>
      <c r="H38" s="49">
        <f>AVERAGE('17.10 KAYUNGA-GALIRAYA'!H38,'18.10 KAYUNGA-GALIRAYA'!H38,'19.10 KAYUNGA-GALIRAYA-24h'!H38,'20.10 KAYUNGA-GALIRAYA'!H38,'21.10 KAYUNGA-GALIRAYA-24h'!H38,'22.10 KAYUNGA-GALIRAYA'!H38,'23.10 KAYUNGA-GALIRAYA'!H38)</f>
        <v>0</v>
      </c>
      <c r="I38" s="49">
        <f>AVERAGE('17.10 KAYUNGA-GALIRAYA'!I38,'18.10 KAYUNGA-GALIRAYA'!I38,'19.10 KAYUNGA-GALIRAYA-24h'!I38,'20.10 KAYUNGA-GALIRAYA'!I38,'21.10 KAYUNGA-GALIRAYA-24h'!I38,'22.10 KAYUNGA-GALIRAYA'!I38,'23.10 KAYUNGA-GALIRAYA'!I38)</f>
        <v>0.7142857142857143</v>
      </c>
      <c r="J38" s="49">
        <f>AVERAGE('17.10 KAYUNGA-GALIRAYA'!J38,'18.10 KAYUNGA-GALIRAYA'!J38,'19.10 KAYUNGA-GALIRAYA-24h'!J38,'20.10 KAYUNGA-GALIRAYA'!J38,'21.10 KAYUNGA-GALIRAYA-24h'!J38,'22.10 KAYUNGA-GALIRAYA'!J38,'23.10 KAYUNGA-GALIRAYA'!J38)</f>
        <v>0.5714285714285714</v>
      </c>
      <c r="K38" s="49">
        <f>AVERAGE('17.10 KAYUNGA-GALIRAYA'!K38,'18.10 KAYUNGA-GALIRAYA'!K38,'19.10 KAYUNGA-GALIRAYA-24h'!K38,'20.10 KAYUNGA-GALIRAYA'!K38,'21.10 KAYUNGA-GALIRAYA-24h'!K38,'22.10 KAYUNGA-GALIRAYA'!K38,'23.10 KAYUNGA-GALIRAYA'!K38)</f>
        <v>0</v>
      </c>
      <c r="L38" s="49">
        <f>AVERAGE('17.10 KAYUNGA-GALIRAYA'!L38,'18.10 KAYUNGA-GALIRAYA'!L38,'19.10 KAYUNGA-GALIRAYA-24h'!L38,'20.10 KAYUNGA-GALIRAYA'!L38,'21.10 KAYUNGA-GALIRAYA-24h'!L38,'22.10 KAYUNGA-GALIRAYA'!L38,'23.10 KAYUNGA-GALIRAYA'!L38)</f>
        <v>0.2857142857142857</v>
      </c>
      <c r="M38" s="49">
        <f>AVERAGE('17.10 KAYUNGA-GALIRAYA'!M38,'18.10 KAYUNGA-GALIRAYA'!M38,'19.10 KAYUNGA-GALIRAYA-24h'!M38,'20.10 KAYUNGA-GALIRAYA'!M38,'21.10 KAYUNGA-GALIRAYA-24h'!M38,'22.10 KAYUNGA-GALIRAYA'!M38,'23.10 KAYUNGA-GALIRAYA'!M38)</f>
        <v>10.142857142857142</v>
      </c>
      <c r="N38" s="49">
        <f>AVERAGE('17.10 KAYUNGA-GALIRAYA'!N38,'18.10 KAYUNGA-GALIRAYA'!N38,'19.10 KAYUNGA-GALIRAYA-24h'!N38,'20.10 KAYUNGA-GALIRAYA'!N38,'21.10 KAYUNGA-GALIRAYA-24h'!N38,'22.10 KAYUNGA-GALIRAYA'!N38,'23.10 KAYUNGA-GALIRAYA'!N38)</f>
        <v>0</v>
      </c>
      <c r="O38" s="15">
        <f t="shared" si="0"/>
        <v>4.4285714285714288</v>
      </c>
      <c r="P38" s="15">
        <f t="shared" si="1"/>
        <v>14.571428571428571</v>
      </c>
      <c r="R38" s="28" t="s">
        <v>86</v>
      </c>
      <c r="S38" s="56">
        <f t="shared" ref="S38:AF38" si="30">SUM(S13:S18)</f>
        <v>23.714285714285715</v>
      </c>
      <c r="T38" s="56">
        <f t="shared" si="30"/>
        <v>5.5714285714285712</v>
      </c>
      <c r="U38" s="56">
        <f t="shared" si="30"/>
        <v>9.9999999999999982</v>
      </c>
      <c r="V38" s="56">
        <f t="shared" si="30"/>
        <v>33.428571428571423</v>
      </c>
      <c r="W38" s="56">
        <f t="shared" si="30"/>
        <v>1.4285714285714284</v>
      </c>
      <c r="X38" s="56">
        <f t="shared" si="30"/>
        <v>1.4285714285714284</v>
      </c>
      <c r="Y38" s="56">
        <f t="shared" si="30"/>
        <v>21.285714285714285</v>
      </c>
      <c r="Z38" s="56">
        <f t="shared" si="30"/>
        <v>9.1428571428571423</v>
      </c>
      <c r="AA38" s="56">
        <f t="shared" si="30"/>
        <v>2.9999999999999996</v>
      </c>
      <c r="AB38" s="56">
        <f t="shared" si="30"/>
        <v>2.2857142857142856</v>
      </c>
      <c r="AC38" s="56">
        <f t="shared" si="30"/>
        <v>285.57142857142856</v>
      </c>
      <c r="AD38" s="56">
        <f t="shared" si="30"/>
        <v>0.42857142857142855</v>
      </c>
      <c r="AE38" s="57">
        <f t="shared" si="30"/>
        <v>111.71428571428571</v>
      </c>
      <c r="AF38" s="57">
        <f t="shared" si="30"/>
        <v>397.28571428571428</v>
      </c>
    </row>
    <row r="39" spans="2:32" ht="23.1" customHeight="1" x14ac:dyDescent="0.25">
      <c r="B39" s="24" t="s">
        <v>66</v>
      </c>
      <c r="C39" s="49">
        <f>AVERAGE('17.10 KAYUNGA-GALIRAYA'!C39,'18.10 KAYUNGA-GALIRAYA'!C39,'19.10 KAYUNGA-GALIRAYA-24h'!C39,'20.10 KAYUNGA-GALIRAYA'!C39,'21.10 KAYUNGA-GALIRAYA-24h'!C39,'22.10 KAYUNGA-GALIRAYA'!C39,'23.10 KAYUNGA-GALIRAYA'!C39)</f>
        <v>0.14285714285714285</v>
      </c>
      <c r="D39" s="49">
        <f>AVERAGE('17.10 KAYUNGA-GALIRAYA'!D39,'18.10 KAYUNGA-GALIRAYA'!D39,'19.10 KAYUNGA-GALIRAYA-24h'!D39,'20.10 KAYUNGA-GALIRAYA'!D39,'21.10 KAYUNGA-GALIRAYA-24h'!D39,'22.10 KAYUNGA-GALIRAYA'!D39,'23.10 KAYUNGA-GALIRAYA'!D39)</f>
        <v>0.2857142857142857</v>
      </c>
      <c r="E39" s="49">
        <f>AVERAGE('17.10 KAYUNGA-GALIRAYA'!E39,'18.10 KAYUNGA-GALIRAYA'!E39,'19.10 KAYUNGA-GALIRAYA-24h'!E39,'20.10 KAYUNGA-GALIRAYA'!E39,'21.10 KAYUNGA-GALIRAYA-24h'!E39,'22.10 KAYUNGA-GALIRAYA'!E39,'23.10 KAYUNGA-GALIRAYA'!E39)</f>
        <v>0.42857142857142855</v>
      </c>
      <c r="F39" s="49">
        <f>AVERAGE('17.10 KAYUNGA-GALIRAYA'!F39,'18.10 KAYUNGA-GALIRAYA'!F39,'19.10 KAYUNGA-GALIRAYA-24h'!F39,'20.10 KAYUNGA-GALIRAYA'!F39,'21.10 KAYUNGA-GALIRAYA-24h'!F39,'22.10 KAYUNGA-GALIRAYA'!F39,'23.10 KAYUNGA-GALIRAYA'!F39)</f>
        <v>1.2857142857142858</v>
      </c>
      <c r="G39" s="49">
        <f>AVERAGE('17.10 KAYUNGA-GALIRAYA'!G39,'18.10 KAYUNGA-GALIRAYA'!G39,'19.10 KAYUNGA-GALIRAYA-24h'!G39,'20.10 KAYUNGA-GALIRAYA'!G39,'21.10 KAYUNGA-GALIRAYA-24h'!G39,'22.10 KAYUNGA-GALIRAYA'!G39,'23.10 KAYUNGA-GALIRAYA'!G39)</f>
        <v>0</v>
      </c>
      <c r="H39" s="49">
        <f>AVERAGE('17.10 KAYUNGA-GALIRAYA'!H39,'18.10 KAYUNGA-GALIRAYA'!H39,'19.10 KAYUNGA-GALIRAYA-24h'!H39,'20.10 KAYUNGA-GALIRAYA'!H39,'21.10 KAYUNGA-GALIRAYA-24h'!H39,'22.10 KAYUNGA-GALIRAYA'!H39,'23.10 KAYUNGA-GALIRAYA'!H39)</f>
        <v>0</v>
      </c>
      <c r="I39" s="49">
        <f>AVERAGE('17.10 KAYUNGA-GALIRAYA'!I39,'18.10 KAYUNGA-GALIRAYA'!I39,'19.10 KAYUNGA-GALIRAYA-24h'!I39,'20.10 KAYUNGA-GALIRAYA'!I39,'21.10 KAYUNGA-GALIRAYA-24h'!I39,'22.10 KAYUNGA-GALIRAYA'!I39,'23.10 KAYUNGA-GALIRAYA'!I39)</f>
        <v>1</v>
      </c>
      <c r="J39" s="49">
        <f>AVERAGE('17.10 KAYUNGA-GALIRAYA'!J39,'18.10 KAYUNGA-GALIRAYA'!J39,'19.10 KAYUNGA-GALIRAYA-24h'!J39,'20.10 KAYUNGA-GALIRAYA'!J39,'21.10 KAYUNGA-GALIRAYA-24h'!J39,'22.10 KAYUNGA-GALIRAYA'!J39,'23.10 KAYUNGA-GALIRAYA'!J39)</f>
        <v>0.42857142857142855</v>
      </c>
      <c r="K39" s="49">
        <f>AVERAGE('17.10 KAYUNGA-GALIRAYA'!K39,'18.10 KAYUNGA-GALIRAYA'!K39,'19.10 KAYUNGA-GALIRAYA-24h'!K39,'20.10 KAYUNGA-GALIRAYA'!K39,'21.10 KAYUNGA-GALIRAYA-24h'!K39,'22.10 KAYUNGA-GALIRAYA'!K39,'23.10 KAYUNGA-GALIRAYA'!K39)</f>
        <v>0.14285714285714285</v>
      </c>
      <c r="L39" s="49">
        <f>AVERAGE('17.10 KAYUNGA-GALIRAYA'!L39,'18.10 KAYUNGA-GALIRAYA'!L39,'19.10 KAYUNGA-GALIRAYA-24h'!L39,'20.10 KAYUNGA-GALIRAYA'!L39,'21.10 KAYUNGA-GALIRAYA-24h'!L39,'22.10 KAYUNGA-GALIRAYA'!L39,'23.10 KAYUNGA-GALIRAYA'!L39)</f>
        <v>0.14285714285714285</v>
      </c>
      <c r="M39" s="49">
        <f>AVERAGE('17.10 KAYUNGA-GALIRAYA'!M39,'18.10 KAYUNGA-GALIRAYA'!M39,'19.10 KAYUNGA-GALIRAYA-24h'!M39,'20.10 KAYUNGA-GALIRAYA'!M39,'21.10 KAYUNGA-GALIRAYA-24h'!M39,'22.10 KAYUNGA-GALIRAYA'!M39,'23.10 KAYUNGA-GALIRAYA'!M39)</f>
        <v>11.571428571428571</v>
      </c>
      <c r="N39" s="49">
        <f>AVERAGE('17.10 KAYUNGA-GALIRAYA'!N39,'18.10 KAYUNGA-GALIRAYA'!N39,'19.10 KAYUNGA-GALIRAYA-24h'!N39,'20.10 KAYUNGA-GALIRAYA'!N39,'21.10 KAYUNGA-GALIRAYA-24h'!N39,'22.10 KAYUNGA-GALIRAYA'!N39,'23.10 KAYUNGA-GALIRAYA'!N39)</f>
        <v>0</v>
      </c>
      <c r="O39" s="15">
        <f t="shared" si="0"/>
        <v>3.8571428571428568</v>
      </c>
      <c r="P39" s="15">
        <f t="shared" si="1"/>
        <v>15.428571428571427</v>
      </c>
      <c r="R39" s="29" t="s">
        <v>87</v>
      </c>
      <c r="S39" s="56">
        <f t="shared" ref="S39:AF39" si="31">SUM(S19:S21)</f>
        <v>12.285714285714286</v>
      </c>
      <c r="T39" s="56">
        <f t="shared" si="31"/>
        <v>2.8571428571428568</v>
      </c>
      <c r="U39" s="56">
        <f t="shared" si="31"/>
        <v>3.7142857142857144</v>
      </c>
      <c r="V39" s="56">
        <f t="shared" si="31"/>
        <v>19.285714285714285</v>
      </c>
      <c r="W39" s="56">
        <f t="shared" si="31"/>
        <v>1.2857142857142856</v>
      </c>
      <c r="X39" s="56">
        <f t="shared" si="31"/>
        <v>0.71428571428571419</v>
      </c>
      <c r="Y39" s="56">
        <f t="shared" si="31"/>
        <v>10.285714285714285</v>
      </c>
      <c r="Z39" s="56">
        <f t="shared" si="31"/>
        <v>3.1428571428571423</v>
      </c>
      <c r="AA39" s="56">
        <f t="shared" si="31"/>
        <v>2.8571428571428568</v>
      </c>
      <c r="AB39" s="56">
        <f t="shared" si="31"/>
        <v>0.71428571428571419</v>
      </c>
      <c r="AC39" s="56">
        <f t="shared" si="31"/>
        <v>133.57142857142856</v>
      </c>
      <c r="AD39" s="56">
        <f t="shared" si="31"/>
        <v>0.14285714285714285</v>
      </c>
      <c r="AE39" s="57">
        <f t="shared" si="31"/>
        <v>57.285714285714285</v>
      </c>
      <c r="AF39" s="57">
        <f t="shared" si="31"/>
        <v>190.85714285714289</v>
      </c>
    </row>
    <row r="40" spans="2:32" ht="23.1" customHeight="1" x14ac:dyDescent="0.25">
      <c r="B40" s="24" t="s">
        <v>67</v>
      </c>
      <c r="C40" s="49">
        <f>AVERAGE('17.10 KAYUNGA-GALIRAYA'!C40,'18.10 KAYUNGA-GALIRAYA'!C40,'19.10 KAYUNGA-GALIRAYA-24h'!C40,'20.10 KAYUNGA-GALIRAYA'!C40,'21.10 KAYUNGA-GALIRAYA-24h'!C40,'22.10 KAYUNGA-GALIRAYA'!C40,'23.10 KAYUNGA-GALIRAYA'!C40)</f>
        <v>1.2857142857142858</v>
      </c>
      <c r="D40" s="49">
        <f>AVERAGE('17.10 KAYUNGA-GALIRAYA'!D40,'18.10 KAYUNGA-GALIRAYA'!D40,'19.10 KAYUNGA-GALIRAYA-24h'!D40,'20.10 KAYUNGA-GALIRAYA'!D40,'21.10 KAYUNGA-GALIRAYA-24h'!D40,'22.10 KAYUNGA-GALIRAYA'!D40,'23.10 KAYUNGA-GALIRAYA'!D40)</f>
        <v>0.2857142857142857</v>
      </c>
      <c r="E40" s="49">
        <f>AVERAGE('17.10 KAYUNGA-GALIRAYA'!E40,'18.10 KAYUNGA-GALIRAYA'!E40,'19.10 KAYUNGA-GALIRAYA-24h'!E40,'20.10 KAYUNGA-GALIRAYA'!E40,'21.10 KAYUNGA-GALIRAYA-24h'!E40,'22.10 KAYUNGA-GALIRAYA'!E40,'23.10 KAYUNGA-GALIRAYA'!E40)</f>
        <v>0.14285714285714285</v>
      </c>
      <c r="F40" s="49">
        <f>AVERAGE('17.10 KAYUNGA-GALIRAYA'!F40,'18.10 KAYUNGA-GALIRAYA'!F40,'19.10 KAYUNGA-GALIRAYA-24h'!F40,'20.10 KAYUNGA-GALIRAYA'!F40,'21.10 KAYUNGA-GALIRAYA-24h'!F40,'22.10 KAYUNGA-GALIRAYA'!F40,'23.10 KAYUNGA-GALIRAYA'!F40)</f>
        <v>0.42857142857142855</v>
      </c>
      <c r="G40" s="49">
        <f>AVERAGE('17.10 KAYUNGA-GALIRAYA'!G40,'18.10 KAYUNGA-GALIRAYA'!G40,'19.10 KAYUNGA-GALIRAYA-24h'!G40,'20.10 KAYUNGA-GALIRAYA'!G40,'21.10 KAYUNGA-GALIRAYA-24h'!G40,'22.10 KAYUNGA-GALIRAYA'!G40,'23.10 KAYUNGA-GALIRAYA'!G40)</f>
        <v>0.14285714285714285</v>
      </c>
      <c r="H40" s="49">
        <f>AVERAGE('17.10 KAYUNGA-GALIRAYA'!H40,'18.10 KAYUNGA-GALIRAYA'!H40,'19.10 KAYUNGA-GALIRAYA-24h'!H40,'20.10 KAYUNGA-GALIRAYA'!H40,'21.10 KAYUNGA-GALIRAYA-24h'!H40,'22.10 KAYUNGA-GALIRAYA'!H40,'23.10 KAYUNGA-GALIRAYA'!H40)</f>
        <v>0.42857142857142855</v>
      </c>
      <c r="I40" s="49">
        <f>AVERAGE('17.10 KAYUNGA-GALIRAYA'!I40,'18.10 KAYUNGA-GALIRAYA'!I40,'19.10 KAYUNGA-GALIRAYA-24h'!I40,'20.10 KAYUNGA-GALIRAYA'!I40,'21.10 KAYUNGA-GALIRAYA-24h'!I40,'22.10 KAYUNGA-GALIRAYA'!I40,'23.10 KAYUNGA-GALIRAYA'!I40)</f>
        <v>0.42857142857142855</v>
      </c>
      <c r="J40" s="49">
        <f>AVERAGE('17.10 KAYUNGA-GALIRAYA'!J40,'18.10 KAYUNGA-GALIRAYA'!J40,'19.10 KAYUNGA-GALIRAYA-24h'!J40,'20.10 KAYUNGA-GALIRAYA'!J40,'21.10 KAYUNGA-GALIRAYA-24h'!J40,'22.10 KAYUNGA-GALIRAYA'!J40,'23.10 KAYUNGA-GALIRAYA'!J40)</f>
        <v>0.5714285714285714</v>
      </c>
      <c r="K40" s="49">
        <f>AVERAGE('17.10 KAYUNGA-GALIRAYA'!K40,'18.10 KAYUNGA-GALIRAYA'!K40,'19.10 KAYUNGA-GALIRAYA-24h'!K40,'20.10 KAYUNGA-GALIRAYA'!K40,'21.10 KAYUNGA-GALIRAYA-24h'!K40,'22.10 KAYUNGA-GALIRAYA'!K40,'23.10 KAYUNGA-GALIRAYA'!K40)</f>
        <v>0</v>
      </c>
      <c r="L40" s="49">
        <f>AVERAGE('17.10 KAYUNGA-GALIRAYA'!L40,'18.10 KAYUNGA-GALIRAYA'!L40,'19.10 KAYUNGA-GALIRAYA-24h'!L40,'20.10 KAYUNGA-GALIRAYA'!L40,'21.10 KAYUNGA-GALIRAYA-24h'!L40,'22.10 KAYUNGA-GALIRAYA'!L40,'23.10 KAYUNGA-GALIRAYA'!L40)</f>
        <v>0.2857142857142857</v>
      </c>
      <c r="M40" s="49">
        <f>AVERAGE('17.10 KAYUNGA-GALIRAYA'!M40,'18.10 KAYUNGA-GALIRAYA'!M40,'19.10 KAYUNGA-GALIRAYA-24h'!M40,'20.10 KAYUNGA-GALIRAYA'!M40,'21.10 KAYUNGA-GALIRAYA-24h'!M40,'22.10 KAYUNGA-GALIRAYA'!M40,'23.10 KAYUNGA-GALIRAYA'!M40)</f>
        <v>12.857142857142858</v>
      </c>
      <c r="N40" s="49">
        <f>AVERAGE('17.10 KAYUNGA-GALIRAYA'!N40,'18.10 KAYUNGA-GALIRAYA'!N40,'19.10 KAYUNGA-GALIRAYA-24h'!N40,'20.10 KAYUNGA-GALIRAYA'!N40,'21.10 KAYUNGA-GALIRAYA-24h'!N40,'22.10 KAYUNGA-GALIRAYA'!N40,'23.10 KAYUNGA-GALIRAYA'!N40)</f>
        <v>0.14285714285714285</v>
      </c>
      <c r="O40" s="15">
        <f t="shared" si="0"/>
        <v>4.1428571428571423</v>
      </c>
      <c r="P40" s="15">
        <f t="shared" si="1"/>
        <v>17</v>
      </c>
      <c r="R40" s="5" t="s">
        <v>17</v>
      </c>
      <c r="S40" s="56">
        <f t="shared" ref="S40:AF40" si="32">SUM(S10:S21)</f>
        <v>43.571428571428577</v>
      </c>
      <c r="T40" s="56">
        <f t="shared" si="32"/>
        <v>10.285714285714285</v>
      </c>
      <c r="U40" s="56">
        <f t="shared" si="32"/>
        <v>18</v>
      </c>
      <c r="V40" s="56">
        <f t="shared" si="32"/>
        <v>64.285714285714292</v>
      </c>
      <c r="W40" s="56">
        <f t="shared" si="32"/>
        <v>2.9999999999999996</v>
      </c>
      <c r="X40" s="56">
        <f t="shared" si="32"/>
        <v>2.8571428571428572</v>
      </c>
      <c r="Y40" s="56">
        <f t="shared" si="32"/>
        <v>43.285714285714285</v>
      </c>
      <c r="Z40" s="56">
        <f t="shared" si="32"/>
        <v>17.857142857142858</v>
      </c>
      <c r="AA40" s="56">
        <f t="shared" si="32"/>
        <v>12.142857142857142</v>
      </c>
      <c r="AB40" s="56">
        <f t="shared" si="32"/>
        <v>3.7142857142857135</v>
      </c>
      <c r="AC40" s="56">
        <f t="shared" si="32"/>
        <v>504.14285714285705</v>
      </c>
      <c r="AD40" s="56">
        <f t="shared" si="32"/>
        <v>1.857142857142857</v>
      </c>
      <c r="AE40" s="57">
        <f t="shared" si="32"/>
        <v>220.85714285714289</v>
      </c>
      <c r="AF40" s="57">
        <f t="shared" si="32"/>
        <v>725.00000000000011</v>
      </c>
    </row>
    <row r="41" spans="2:32" ht="23.1" customHeight="1" x14ac:dyDescent="0.25">
      <c r="B41" s="23" t="s">
        <v>68</v>
      </c>
      <c r="C41" s="49">
        <f>AVERAGE('17.10 KAYUNGA-GALIRAYA'!C41,'18.10 KAYUNGA-GALIRAYA'!C41,'19.10 KAYUNGA-GALIRAYA-24h'!C41,'20.10 KAYUNGA-GALIRAYA'!C41,'21.10 KAYUNGA-GALIRAYA-24h'!C41,'22.10 KAYUNGA-GALIRAYA'!C41,'23.10 KAYUNGA-GALIRAYA'!C41)</f>
        <v>0.8571428571428571</v>
      </c>
      <c r="D41" s="49">
        <f>AVERAGE('17.10 KAYUNGA-GALIRAYA'!D41,'18.10 KAYUNGA-GALIRAYA'!D41,'19.10 KAYUNGA-GALIRAYA-24h'!D41,'20.10 KAYUNGA-GALIRAYA'!D41,'21.10 KAYUNGA-GALIRAYA-24h'!D41,'22.10 KAYUNGA-GALIRAYA'!D41,'23.10 KAYUNGA-GALIRAYA'!D41)</f>
        <v>0.5714285714285714</v>
      </c>
      <c r="E41" s="49">
        <f>AVERAGE('17.10 KAYUNGA-GALIRAYA'!E41,'18.10 KAYUNGA-GALIRAYA'!E41,'19.10 KAYUNGA-GALIRAYA-24h'!E41,'20.10 KAYUNGA-GALIRAYA'!E41,'21.10 KAYUNGA-GALIRAYA-24h'!E41,'22.10 KAYUNGA-GALIRAYA'!E41,'23.10 KAYUNGA-GALIRAYA'!E41)</f>
        <v>0.5714285714285714</v>
      </c>
      <c r="F41" s="49">
        <f>AVERAGE('17.10 KAYUNGA-GALIRAYA'!F41,'18.10 KAYUNGA-GALIRAYA'!F41,'19.10 KAYUNGA-GALIRAYA-24h'!F41,'20.10 KAYUNGA-GALIRAYA'!F41,'21.10 KAYUNGA-GALIRAYA-24h'!F41,'22.10 KAYUNGA-GALIRAYA'!F41,'23.10 KAYUNGA-GALIRAYA'!F41)</f>
        <v>1.4285714285714286</v>
      </c>
      <c r="G41" s="49">
        <f>AVERAGE('17.10 KAYUNGA-GALIRAYA'!G41,'18.10 KAYUNGA-GALIRAYA'!G41,'19.10 KAYUNGA-GALIRAYA-24h'!G41,'20.10 KAYUNGA-GALIRAYA'!G41,'21.10 KAYUNGA-GALIRAYA-24h'!G41,'22.10 KAYUNGA-GALIRAYA'!G41,'23.10 KAYUNGA-GALIRAYA'!G41)</f>
        <v>0.14285714285714285</v>
      </c>
      <c r="H41" s="49">
        <f>AVERAGE('17.10 KAYUNGA-GALIRAYA'!H41,'18.10 KAYUNGA-GALIRAYA'!H41,'19.10 KAYUNGA-GALIRAYA-24h'!H41,'20.10 KAYUNGA-GALIRAYA'!H41,'21.10 KAYUNGA-GALIRAYA-24h'!H41,'22.10 KAYUNGA-GALIRAYA'!H41,'23.10 KAYUNGA-GALIRAYA'!H41)</f>
        <v>0</v>
      </c>
      <c r="I41" s="49">
        <f>AVERAGE('17.10 KAYUNGA-GALIRAYA'!I41,'18.10 KAYUNGA-GALIRAYA'!I41,'19.10 KAYUNGA-GALIRAYA-24h'!I41,'20.10 KAYUNGA-GALIRAYA'!I41,'21.10 KAYUNGA-GALIRAYA-24h'!I41,'22.10 KAYUNGA-GALIRAYA'!I41,'23.10 KAYUNGA-GALIRAYA'!I41)</f>
        <v>1</v>
      </c>
      <c r="J41" s="49">
        <f>AVERAGE('17.10 KAYUNGA-GALIRAYA'!J41,'18.10 KAYUNGA-GALIRAYA'!J41,'19.10 KAYUNGA-GALIRAYA-24h'!J41,'20.10 KAYUNGA-GALIRAYA'!J41,'21.10 KAYUNGA-GALIRAYA-24h'!J41,'22.10 KAYUNGA-GALIRAYA'!J41,'23.10 KAYUNGA-GALIRAYA'!J41)</f>
        <v>0</v>
      </c>
      <c r="K41" s="49">
        <f>AVERAGE('17.10 KAYUNGA-GALIRAYA'!K41,'18.10 KAYUNGA-GALIRAYA'!K41,'19.10 KAYUNGA-GALIRAYA-24h'!K41,'20.10 KAYUNGA-GALIRAYA'!K41,'21.10 KAYUNGA-GALIRAYA-24h'!K41,'22.10 KAYUNGA-GALIRAYA'!K41,'23.10 KAYUNGA-GALIRAYA'!K41)</f>
        <v>0.14285714285714285</v>
      </c>
      <c r="L41" s="49">
        <f>AVERAGE('17.10 KAYUNGA-GALIRAYA'!L41,'18.10 KAYUNGA-GALIRAYA'!L41,'19.10 KAYUNGA-GALIRAYA-24h'!L41,'20.10 KAYUNGA-GALIRAYA'!L41,'21.10 KAYUNGA-GALIRAYA-24h'!L41,'22.10 KAYUNGA-GALIRAYA'!L41,'23.10 KAYUNGA-GALIRAYA'!L41)</f>
        <v>0</v>
      </c>
      <c r="M41" s="49">
        <f>AVERAGE('17.10 KAYUNGA-GALIRAYA'!M41,'18.10 KAYUNGA-GALIRAYA'!M41,'19.10 KAYUNGA-GALIRAYA-24h'!M41,'20.10 KAYUNGA-GALIRAYA'!M41,'21.10 KAYUNGA-GALIRAYA-24h'!M41,'22.10 KAYUNGA-GALIRAYA'!M41,'23.10 KAYUNGA-GALIRAYA'!M41)</f>
        <v>8</v>
      </c>
      <c r="N41" s="49">
        <f>AVERAGE('17.10 KAYUNGA-GALIRAYA'!N41,'18.10 KAYUNGA-GALIRAYA'!N41,'19.10 KAYUNGA-GALIRAYA-24h'!N41,'20.10 KAYUNGA-GALIRAYA'!N41,'21.10 KAYUNGA-GALIRAYA-24h'!N41,'22.10 KAYUNGA-GALIRAYA'!N41,'23.10 KAYUNGA-GALIRAYA'!N41)</f>
        <v>0</v>
      </c>
      <c r="O41" s="15">
        <f t="shared" si="0"/>
        <v>4.7142857142857144</v>
      </c>
      <c r="P41" s="15">
        <f t="shared" si="1"/>
        <v>12.714285714285715</v>
      </c>
      <c r="R41" s="5" t="s">
        <v>184</v>
      </c>
      <c r="S41" s="56">
        <f>SUM(S10:S33)</f>
        <v>60.071428571428577</v>
      </c>
      <c r="T41" s="56">
        <f t="shared" ref="T41:AD41" si="33">SUM(T10:T33)</f>
        <v>12.285714285714285</v>
      </c>
      <c r="U41" s="56">
        <f t="shared" si="33"/>
        <v>25.5</v>
      </c>
      <c r="V41" s="56">
        <f t="shared" si="33"/>
        <v>83.785714285714292</v>
      </c>
      <c r="W41" s="56">
        <f t="shared" si="33"/>
        <v>4.5</v>
      </c>
      <c r="X41" s="56">
        <f t="shared" si="33"/>
        <v>2.8571428571428572</v>
      </c>
      <c r="Y41" s="56">
        <f t="shared" si="33"/>
        <v>54.785714285714285</v>
      </c>
      <c r="Z41" s="56">
        <f t="shared" si="33"/>
        <v>26.357142857142858</v>
      </c>
      <c r="AA41" s="56">
        <f t="shared" si="33"/>
        <v>26.642857142857142</v>
      </c>
      <c r="AB41" s="56">
        <f t="shared" si="33"/>
        <v>5.2142857142857135</v>
      </c>
      <c r="AC41" s="56">
        <f t="shared" si="33"/>
        <v>612.64285714285711</v>
      </c>
      <c r="AD41" s="56">
        <f t="shared" si="33"/>
        <v>1.857142857142857</v>
      </c>
      <c r="AE41" s="57">
        <f>SUM(AE10:AE33)</f>
        <v>303.85714285714289</v>
      </c>
      <c r="AF41" s="57">
        <f>SUM(AF10:AF33)</f>
        <v>916.50000000000011</v>
      </c>
    </row>
    <row r="42" spans="2:32" ht="23.1" customHeight="1" x14ac:dyDescent="0.25">
      <c r="B42" s="24" t="s">
        <v>69</v>
      </c>
      <c r="C42" s="49">
        <f>AVERAGE('17.10 KAYUNGA-GALIRAYA'!C42,'18.10 KAYUNGA-GALIRAYA'!C42,'19.10 KAYUNGA-GALIRAYA-24h'!C42,'20.10 KAYUNGA-GALIRAYA'!C42,'21.10 KAYUNGA-GALIRAYA-24h'!C42,'22.10 KAYUNGA-GALIRAYA'!C42,'23.10 KAYUNGA-GALIRAYA'!C42)</f>
        <v>1.5714285714285714</v>
      </c>
      <c r="D42" s="49">
        <f>AVERAGE('17.10 KAYUNGA-GALIRAYA'!D42,'18.10 KAYUNGA-GALIRAYA'!D42,'19.10 KAYUNGA-GALIRAYA-24h'!D42,'20.10 KAYUNGA-GALIRAYA'!D42,'21.10 KAYUNGA-GALIRAYA-24h'!D42,'22.10 KAYUNGA-GALIRAYA'!D42,'23.10 KAYUNGA-GALIRAYA'!D42)</f>
        <v>0</v>
      </c>
      <c r="E42" s="49">
        <f>AVERAGE('17.10 KAYUNGA-GALIRAYA'!E42,'18.10 KAYUNGA-GALIRAYA'!E42,'19.10 KAYUNGA-GALIRAYA-24h'!E42,'20.10 KAYUNGA-GALIRAYA'!E42,'21.10 KAYUNGA-GALIRAYA-24h'!E42,'22.10 KAYUNGA-GALIRAYA'!E42,'23.10 KAYUNGA-GALIRAYA'!E42)</f>
        <v>0.2857142857142857</v>
      </c>
      <c r="F42" s="49">
        <f>AVERAGE('17.10 KAYUNGA-GALIRAYA'!F42,'18.10 KAYUNGA-GALIRAYA'!F42,'19.10 KAYUNGA-GALIRAYA-24h'!F42,'20.10 KAYUNGA-GALIRAYA'!F42,'21.10 KAYUNGA-GALIRAYA-24h'!F42,'22.10 KAYUNGA-GALIRAYA'!F42,'23.10 KAYUNGA-GALIRAYA'!F42)</f>
        <v>1.7142857142857142</v>
      </c>
      <c r="G42" s="49">
        <f>AVERAGE('17.10 KAYUNGA-GALIRAYA'!G42,'18.10 KAYUNGA-GALIRAYA'!G42,'19.10 KAYUNGA-GALIRAYA-24h'!G42,'20.10 KAYUNGA-GALIRAYA'!G42,'21.10 KAYUNGA-GALIRAYA-24h'!G42,'22.10 KAYUNGA-GALIRAYA'!G42,'23.10 KAYUNGA-GALIRAYA'!G42)</f>
        <v>0</v>
      </c>
      <c r="H42" s="49">
        <f>AVERAGE('17.10 KAYUNGA-GALIRAYA'!H42,'18.10 KAYUNGA-GALIRAYA'!H42,'19.10 KAYUNGA-GALIRAYA-24h'!H42,'20.10 KAYUNGA-GALIRAYA'!H42,'21.10 KAYUNGA-GALIRAYA-24h'!H42,'22.10 KAYUNGA-GALIRAYA'!H42,'23.10 KAYUNGA-GALIRAYA'!H42)</f>
        <v>0.14285714285714285</v>
      </c>
      <c r="I42" s="49">
        <f>AVERAGE('17.10 KAYUNGA-GALIRAYA'!I42,'18.10 KAYUNGA-GALIRAYA'!I42,'19.10 KAYUNGA-GALIRAYA-24h'!I42,'20.10 KAYUNGA-GALIRAYA'!I42,'21.10 KAYUNGA-GALIRAYA-24h'!I42,'22.10 KAYUNGA-GALIRAYA'!I42,'23.10 KAYUNGA-GALIRAYA'!I42)</f>
        <v>1.1428571428571428</v>
      </c>
      <c r="J42" s="49">
        <f>AVERAGE('17.10 KAYUNGA-GALIRAYA'!J42,'18.10 KAYUNGA-GALIRAYA'!J42,'19.10 KAYUNGA-GALIRAYA-24h'!J42,'20.10 KAYUNGA-GALIRAYA'!J42,'21.10 KAYUNGA-GALIRAYA-24h'!J42,'22.10 KAYUNGA-GALIRAYA'!J42,'23.10 KAYUNGA-GALIRAYA'!J42)</f>
        <v>0.42857142857142855</v>
      </c>
      <c r="K42" s="49">
        <f>AVERAGE('17.10 KAYUNGA-GALIRAYA'!K42,'18.10 KAYUNGA-GALIRAYA'!K42,'19.10 KAYUNGA-GALIRAYA-24h'!K42,'20.10 KAYUNGA-GALIRAYA'!K42,'21.10 KAYUNGA-GALIRAYA-24h'!K42,'22.10 KAYUNGA-GALIRAYA'!K42,'23.10 KAYUNGA-GALIRAYA'!K42)</f>
        <v>0.2857142857142857</v>
      </c>
      <c r="L42" s="49">
        <f>AVERAGE('17.10 KAYUNGA-GALIRAYA'!L42,'18.10 KAYUNGA-GALIRAYA'!L42,'19.10 KAYUNGA-GALIRAYA-24h'!L42,'20.10 KAYUNGA-GALIRAYA'!L42,'21.10 KAYUNGA-GALIRAYA-24h'!L42,'22.10 KAYUNGA-GALIRAYA'!L42,'23.10 KAYUNGA-GALIRAYA'!L42)</f>
        <v>0</v>
      </c>
      <c r="M42" s="49">
        <f>AVERAGE('17.10 KAYUNGA-GALIRAYA'!M42,'18.10 KAYUNGA-GALIRAYA'!M42,'19.10 KAYUNGA-GALIRAYA-24h'!M42,'20.10 KAYUNGA-GALIRAYA'!M42,'21.10 KAYUNGA-GALIRAYA-24h'!M42,'22.10 KAYUNGA-GALIRAYA'!M42,'23.10 KAYUNGA-GALIRAYA'!M42)</f>
        <v>11</v>
      </c>
      <c r="N42" s="49">
        <f>AVERAGE('17.10 KAYUNGA-GALIRAYA'!N42,'18.10 KAYUNGA-GALIRAYA'!N42,'19.10 KAYUNGA-GALIRAYA-24h'!N42,'20.10 KAYUNGA-GALIRAYA'!N42,'21.10 KAYUNGA-GALIRAYA-24h'!N42,'22.10 KAYUNGA-GALIRAYA'!N42,'23.10 KAYUNGA-GALIRAYA'!N42)</f>
        <v>0</v>
      </c>
      <c r="O42" s="15">
        <f t="shared" si="0"/>
        <v>5.5714285714285712</v>
      </c>
      <c r="P42" s="15">
        <f t="shared" si="1"/>
        <v>16.571428571428569</v>
      </c>
      <c r="R42" s="5" t="s">
        <v>160</v>
      </c>
      <c r="S42" s="48">
        <f>S41/S40</f>
        <v>1.3786885245901639</v>
      </c>
      <c r="T42" s="48">
        <f t="shared" ref="T42:AF42" si="34">T41/T40</f>
        <v>1.1944444444444444</v>
      </c>
      <c r="U42" s="48">
        <f t="shared" si="34"/>
        <v>1.4166666666666667</v>
      </c>
      <c r="V42" s="48">
        <f t="shared" si="34"/>
        <v>1.3033333333333332</v>
      </c>
      <c r="W42" s="48">
        <f t="shared" si="34"/>
        <v>1.5000000000000002</v>
      </c>
      <c r="X42" s="48">
        <f t="shared" si="34"/>
        <v>1</v>
      </c>
      <c r="Y42" s="48">
        <f t="shared" si="34"/>
        <v>1.2656765676567656</v>
      </c>
      <c r="Z42" s="48">
        <f t="shared" si="34"/>
        <v>1.476</v>
      </c>
      <c r="AA42" s="48">
        <f t="shared" si="34"/>
        <v>2.1941176470588237</v>
      </c>
      <c r="AB42" s="48">
        <f t="shared" si="34"/>
        <v>1.403846153846154</v>
      </c>
      <c r="AC42" s="48">
        <f t="shared" si="34"/>
        <v>1.2152167752904508</v>
      </c>
      <c r="AD42" s="48">
        <f t="shared" si="34"/>
        <v>1</v>
      </c>
      <c r="AE42" s="58">
        <f t="shared" si="34"/>
        <v>1.3758085381630012</v>
      </c>
      <c r="AF42" s="58">
        <f t="shared" si="34"/>
        <v>1.2641379310344827</v>
      </c>
    </row>
    <row r="43" spans="2:32" ht="23.1" customHeight="1" x14ac:dyDescent="0.25">
      <c r="B43" s="23" t="s">
        <v>70</v>
      </c>
      <c r="C43" s="49">
        <f>AVERAGE('17.10 KAYUNGA-GALIRAYA'!C43,'18.10 KAYUNGA-GALIRAYA'!C43,'19.10 KAYUNGA-GALIRAYA-24h'!C43,'20.10 KAYUNGA-GALIRAYA'!C43,'21.10 KAYUNGA-GALIRAYA-24h'!C43,'22.10 KAYUNGA-GALIRAYA'!C43,'23.10 KAYUNGA-GALIRAYA'!C43)</f>
        <v>1.2857142857142858</v>
      </c>
      <c r="D43" s="49">
        <f>AVERAGE('17.10 KAYUNGA-GALIRAYA'!D43,'18.10 KAYUNGA-GALIRAYA'!D43,'19.10 KAYUNGA-GALIRAYA-24h'!D43,'20.10 KAYUNGA-GALIRAYA'!D43,'21.10 KAYUNGA-GALIRAYA-24h'!D43,'22.10 KAYUNGA-GALIRAYA'!D43,'23.10 KAYUNGA-GALIRAYA'!D43)</f>
        <v>0.42857142857142855</v>
      </c>
      <c r="E43" s="49">
        <f>AVERAGE('17.10 KAYUNGA-GALIRAYA'!E43,'18.10 KAYUNGA-GALIRAYA'!E43,'19.10 KAYUNGA-GALIRAYA-24h'!E43,'20.10 KAYUNGA-GALIRAYA'!E43,'21.10 KAYUNGA-GALIRAYA-24h'!E43,'22.10 KAYUNGA-GALIRAYA'!E43,'23.10 KAYUNGA-GALIRAYA'!E43)</f>
        <v>0.7142857142857143</v>
      </c>
      <c r="F43" s="49">
        <f>AVERAGE('17.10 KAYUNGA-GALIRAYA'!F43,'18.10 KAYUNGA-GALIRAYA'!F43,'19.10 KAYUNGA-GALIRAYA-24h'!F43,'20.10 KAYUNGA-GALIRAYA'!F43,'21.10 KAYUNGA-GALIRAYA-24h'!F43,'22.10 KAYUNGA-GALIRAYA'!F43,'23.10 KAYUNGA-GALIRAYA'!F43)</f>
        <v>1.5714285714285714</v>
      </c>
      <c r="G43" s="49">
        <f>AVERAGE('17.10 KAYUNGA-GALIRAYA'!G43,'18.10 KAYUNGA-GALIRAYA'!G43,'19.10 KAYUNGA-GALIRAYA-24h'!G43,'20.10 KAYUNGA-GALIRAYA'!G43,'21.10 KAYUNGA-GALIRAYA-24h'!G43,'22.10 KAYUNGA-GALIRAYA'!G43,'23.10 KAYUNGA-GALIRAYA'!G43)</f>
        <v>0</v>
      </c>
      <c r="H43" s="49">
        <f>AVERAGE('17.10 KAYUNGA-GALIRAYA'!H43,'18.10 KAYUNGA-GALIRAYA'!H43,'19.10 KAYUNGA-GALIRAYA-24h'!H43,'20.10 KAYUNGA-GALIRAYA'!H43,'21.10 KAYUNGA-GALIRAYA-24h'!H43,'22.10 KAYUNGA-GALIRAYA'!H43,'23.10 KAYUNGA-GALIRAYA'!H43)</f>
        <v>0.42857142857142855</v>
      </c>
      <c r="I43" s="49">
        <f>AVERAGE('17.10 KAYUNGA-GALIRAYA'!I43,'18.10 KAYUNGA-GALIRAYA'!I43,'19.10 KAYUNGA-GALIRAYA-24h'!I43,'20.10 KAYUNGA-GALIRAYA'!I43,'21.10 KAYUNGA-GALIRAYA-24h'!I43,'22.10 KAYUNGA-GALIRAYA'!I43,'23.10 KAYUNGA-GALIRAYA'!I43)</f>
        <v>1</v>
      </c>
      <c r="J43" s="49">
        <f>AVERAGE('17.10 KAYUNGA-GALIRAYA'!J43,'18.10 KAYUNGA-GALIRAYA'!J43,'19.10 KAYUNGA-GALIRAYA-24h'!J43,'20.10 KAYUNGA-GALIRAYA'!J43,'21.10 KAYUNGA-GALIRAYA-24h'!J43,'22.10 KAYUNGA-GALIRAYA'!J43,'23.10 KAYUNGA-GALIRAYA'!J43)</f>
        <v>0.14285714285714285</v>
      </c>
      <c r="K43" s="49">
        <f>AVERAGE('17.10 KAYUNGA-GALIRAYA'!K43,'18.10 KAYUNGA-GALIRAYA'!K43,'19.10 KAYUNGA-GALIRAYA-24h'!K43,'20.10 KAYUNGA-GALIRAYA'!K43,'21.10 KAYUNGA-GALIRAYA-24h'!K43,'22.10 KAYUNGA-GALIRAYA'!K43,'23.10 KAYUNGA-GALIRAYA'!K43)</f>
        <v>0</v>
      </c>
      <c r="L43" s="49">
        <f>AVERAGE('17.10 KAYUNGA-GALIRAYA'!L43,'18.10 KAYUNGA-GALIRAYA'!L43,'19.10 KAYUNGA-GALIRAYA-24h'!L43,'20.10 KAYUNGA-GALIRAYA'!L43,'21.10 KAYUNGA-GALIRAYA-24h'!L43,'22.10 KAYUNGA-GALIRAYA'!L43,'23.10 KAYUNGA-GALIRAYA'!L43)</f>
        <v>0.14285714285714285</v>
      </c>
      <c r="M43" s="49">
        <f>AVERAGE('17.10 KAYUNGA-GALIRAYA'!M43,'18.10 KAYUNGA-GALIRAYA'!M43,'19.10 KAYUNGA-GALIRAYA-24h'!M43,'20.10 KAYUNGA-GALIRAYA'!M43,'21.10 KAYUNGA-GALIRAYA-24h'!M43,'22.10 KAYUNGA-GALIRAYA'!M43,'23.10 KAYUNGA-GALIRAYA'!M43)</f>
        <v>9.2857142857142865</v>
      </c>
      <c r="N43" s="49">
        <f>AVERAGE('17.10 KAYUNGA-GALIRAYA'!N43,'18.10 KAYUNGA-GALIRAYA'!N43,'19.10 KAYUNGA-GALIRAYA-24h'!N43,'20.10 KAYUNGA-GALIRAYA'!N43,'21.10 KAYUNGA-GALIRAYA-24h'!N43,'22.10 KAYUNGA-GALIRAYA'!N43,'23.10 KAYUNGA-GALIRAYA'!N43)</f>
        <v>0</v>
      </c>
      <c r="O43" s="15">
        <f t="shared" si="0"/>
        <v>5.7142857142857153</v>
      </c>
      <c r="P43" s="15">
        <f t="shared" si="1"/>
        <v>15.000000000000002</v>
      </c>
    </row>
    <row r="44" spans="2:32" ht="23.1" customHeight="1" x14ac:dyDescent="0.25">
      <c r="B44" s="25" t="s">
        <v>71</v>
      </c>
      <c r="C44" s="49">
        <f>AVERAGE('17.10 KAYUNGA-GALIRAYA'!C44,'18.10 KAYUNGA-GALIRAYA'!C44,'19.10 KAYUNGA-GALIRAYA-24h'!C44,'20.10 KAYUNGA-GALIRAYA'!C44,'21.10 KAYUNGA-GALIRAYA-24h'!C44,'22.10 KAYUNGA-GALIRAYA'!C44,'23.10 KAYUNGA-GALIRAYA'!C44)</f>
        <v>1.4285714285714286</v>
      </c>
      <c r="D44" s="49">
        <f>AVERAGE('17.10 KAYUNGA-GALIRAYA'!D44,'18.10 KAYUNGA-GALIRAYA'!D44,'19.10 KAYUNGA-GALIRAYA-24h'!D44,'20.10 KAYUNGA-GALIRAYA'!D44,'21.10 KAYUNGA-GALIRAYA-24h'!D44,'22.10 KAYUNGA-GALIRAYA'!D44,'23.10 KAYUNGA-GALIRAYA'!D44)</f>
        <v>0.2857142857142857</v>
      </c>
      <c r="E44" s="49">
        <f>AVERAGE('17.10 KAYUNGA-GALIRAYA'!E44,'18.10 KAYUNGA-GALIRAYA'!E44,'19.10 KAYUNGA-GALIRAYA-24h'!E44,'20.10 KAYUNGA-GALIRAYA'!E44,'21.10 KAYUNGA-GALIRAYA-24h'!E44,'22.10 KAYUNGA-GALIRAYA'!E44,'23.10 KAYUNGA-GALIRAYA'!E44)</f>
        <v>0</v>
      </c>
      <c r="F44" s="49">
        <f>AVERAGE('17.10 KAYUNGA-GALIRAYA'!F44,'18.10 KAYUNGA-GALIRAYA'!F44,'19.10 KAYUNGA-GALIRAYA-24h'!F44,'20.10 KAYUNGA-GALIRAYA'!F44,'21.10 KAYUNGA-GALIRAYA-24h'!F44,'22.10 KAYUNGA-GALIRAYA'!F44,'23.10 KAYUNGA-GALIRAYA'!F44)</f>
        <v>1.1428571428571428</v>
      </c>
      <c r="G44" s="49">
        <f>AVERAGE('17.10 KAYUNGA-GALIRAYA'!G44,'18.10 KAYUNGA-GALIRAYA'!G44,'19.10 KAYUNGA-GALIRAYA-24h'!G44,'20.10 KAYUNGA-GALIRAYA'!G44,'21.10 KAYUNGA-GALIRAYA-24h'!G44,'22.10 KAYUNGA-GALIRAYA'!G44,'23.10 KAYUNGA-GALIRAYA'!G44)</f>
        <v>0</v>
      </c>
      <c r="H44" s="49">
        <f>AVERAGE('17.10 KAYUNGA-GALIRAYA'!H44,'18.10 KAYUNGA-GALIRAYA'!H44,'19.10 KAYUNGA-GALIRAYA-24h'!H44,'20.10 KAYUNGA-GALIRAYA'!H44,'21.10 KAYUNGA-GALIRAYA-24h'!H44,'22.10 KAYUNGA-GALIRAYA'!H44,'23.10 KAYUNGA-GALIRAYA'!H44)</f>
        <v>0.2857142857142857</v>
      </c>
      <c r="I44" s="49">
        <f>AVERAGE('17.10 KAYUNGA-GALIRAYA'!I44,'18.10 KAYUNGA-GALIRAYA'!I44,'19.10 KAYUNGA-GALIRAYA-24h'!I44,'20.10 KAYUNGA-GALIRAYA'!I44,'21.10 KAYUNGA-GALIRAYA-24h'!I44,'22.10 KAYUNGA-GALIRAYA'!I44,'23.10 KAYUNGA-GALIRAYA'!I44)</f>
        <v>0.7142857142857143</v>
      </c>
      <c r="J44" s="49">
        <f>AVERAGE('17.10 KAYUNGA-GALIRAYA'!J44,'18.10 KAYUNGA-GALIRAYA'!J44,'19.10 KAYUNGA-GALIRAYA-24h'!J44,'20.10 KAYUNGA-GALIRAYA'!J44,'21.10 KAYUNGA-GALIRAYA-24h'!J44,'22.10 KAYUNGA-GALIRAYA'!J44,'23.10 KAYUNGA-GALIRAYA'!J44)</f>
        <v>0</v>
      </c>
      <c r="K44" s="49">
        <f>AVERAGE('17.10 KAYUNGA-GALIRAYA'!K44,'18.10 KAYUNGA-GALIRAYA'!K44,'19.10 KAYUNGA-GALIRAYA-24h'!K44,'20.10 KAYUNGA-GALIRAYA'!K44,'21.10 KAYUNGA-GALIRAYA-24h'!K44,'22.10 KAYUNGA-GALIRAYA'!K44,'23.10 KAYUNGA-GALIRAYA'!K44)</f>
        <v>0</v>
      </c>
      <c r="L44" s="49">
        <f>AVERAGE('17.10 KAYUNGA-GALIRAYA'!L44,'18.10 KAYUNGA-GALIRAYA'!L44,'19.10 KAYUNGA-GALIRAYA-24h'!L44,'20.10 KAYUNGA-GALIRAYA'!L44,'21.10 KAYUNGA-GALIRAYA-24h'!L44,'22.10 KAYUNGA-GALIRAYA'!L44,'23.10 KAYUNGA-GALIRAYA'!L44)</f>
        <v>0</v>
      </c>
      <c r="M44" s="49">
        <f>AVERAGE('17.10 KAYUNGA-GALIRAYA'!M44,'18.10 KAYUNGA-GALIRAYA'!M44,'19.10 KAYUNGA-GALIRAYA-24h'!M44,'20.10 KAYUNGA-GALIRAYA'!M44,'21.10 KAYUNGA-GALIRAYA-24h'!M44,'22.10 KAYUNGA-GALIRAYA'!M44,'23.10 KAYUNGA-GALIRAYA'!M44)</f>
        <v>9.4285714285714288</v>
      </c>
      <c r="N44" s="49">
        <f>AVERAGE('17.10 KAYUNGA-GALIRAYA'!N44,'18.10 KAYUNGA-GALIRAYA'!N44,'19.10 KAYUNGA-GALIRAYA-24h'!N44,'20.10 KAYUNGA-GALIRAYA'!N44,'21.10 KAYUNGA-GALIRAYA-24h'!N44,'22.10 KAYUNGA-GALIRAYA'!N44,'23.10 KAYUNGA-GALIRAYA'!N44)</f>
        <v>0.14285714285714285</v>
      </c>
      <c r="O44" s="15">
        <f t="shared" si="0"/>
        <v>4</v>
      </c>
      <c r="P44" s="15">
        <f t="shared" si="1"/>
        <v>13.428571428571429</v>
      </c>
    </row>
    <row r="45" spans="2:32" ht="23.1" customHeight="1" x14ac:dyDescent="0.25">
      <c r="B45" s="23" t="s">
        <v>72</v>
      </c>
      <c r="C45" s="49">
        <f>AVERAGE('17.10 KAYUNGA-GALIRAYA'!C45,'18.10 KAYUNGA-GALIRAYA'!C45,'19.10 KAYUNGA-GALIRAYA-24h'!C45,'20.10 KAYUNGA-GALIRAYA'!C45,'21.10 KAYUNGA-GALIRAYA-24h'!C45,'22.10 KAYUNGA-GALIRAYA'!C45,'23.10 KAYUNGA-GALIRAYA'!C45)</f>
        <v>0.5714285714285714</v>
      </c>
      <c r="D45" s="49">
        <f>AVERAGE('17.10 KAYUNGA-GALIRAYA'!D45,'18.10 KAYUNGA-GALIRAYA'!D45,'19.10 KAYUNGA-GALIRAYA-24h'!D45,'20.10 KAYUNGA-GALIRAYA'!D45,'21.10 KAYUNGA-GALIRAYA-24h'!D45,'22.10 KAYUNGA-GALIRAYA'!D45,'23.10 KAYUNGA-GALIRAYA'!D45)</f>
        <v>0</v>
      </c>
      <c r="E45" s="49">
        <f>AVERAGE('17.10 KAYUNGA-GALIRAYA'!E45,'18.10 KAYUNGA-GALIRAYA'!E45,'19.10 KAYUNGA-GALIRAYA-24h'!E45,'20.10 KAYUNGA-GALIRAYA'!E45,'21.10 KAYUNGA-GALIRAYA-24h'!E45,'22.10 KAYUNGA-GALIRAYA'!E45,'23.10 KAYUNGA-GALIRAYA'!E45)</f>
        <v>0.42857142857142855</v>
      </c>
      <c r="F45" s="49">
        <f>AVERAGE('17.10 KAYUNGA-GALIRAYA'!F45,'18.10 KAYUNGA-GALIRAYA'!F45,'19.10 KAYUNGA-GALIRAYA-24h'!F45,'20.10 KAYUNGA-GALIRAYA'!F45,'21.10 KAYUNGA-GALIRAYA-24h'!F45,'22.10 KAYUNGA-GALIRAYA'!F45,'23.10 KAYUNGA-GALIRAYA'!F45)</f>
        <v>1</v>
      </c>
      <c r="G45" s="49">
        <f>AVERAGE('17.10 KAYUNGA-GALIRAYA'!G45,'18.10 KAYUNGA-GALIRAYA'!G45,'19.10 KAYUNGA-GALIRAYA-24h'!G45,'20.10 KAYUNGA-GALIRAYA'!G45,'21.10 KAYUNGA-GALIRAYA-24h'!G45,'22.10 KAYUNGA-GALIRAYA'!G45,'23.10 KAYUNGA-GALIRAYA'!G45)</f>
        <v>0</v>
      </c>
      <c r="H45" s="49">
        <f>AVERAGE('17.10 KAYUNGA-GALIRAYA'!H45,'18.10 KAYUNGA-GALIRAYA'!H45,'19.10 KAYUNGA-GALIRAYA-24h'!H45,'20.10 KAYUNGA-GALIRAYA'!H45,'21.10 KAYUNGA-GALIRAYA-24h'!H45,'22.10 KAYUNGA-GALIRAYA'!H45,'23.10 KAYUNGA-GALIRAYA'!H45)</f>
        <v>0</v>
      </c>
      <c r="I45" s="49">
        <f>AVERAGE('17.10 KAYUNGA-GALIRAYA'!I45,'18.10 KAYUNGA-GALIRAYA'!I45,'19.10 KAYUNGA-GALIRAYA-24h'!I45,'20.10 KAYUNGA-GALIRAYA'!I45,'21.10 KAYUNGA-GALIRAYA-24h'!I45,'22.10 KAYUNGA-GALIRAYA'!I45,'23.10 KAYUNGA-GALIRAYA'!I45)</f>
        <v>1.2857142857142858</v>
      </c>
      <c r="J45" s="49">
        <f>AVERAGE('17.10 KAYUNGA-GALIRAYA'!J45,'18.10 KAYUNGA-GALIRAYA'!J45,'19.10 KAYUNGA-GALIRAYA-24h'!J45,'20.10 KAYUNGA-GALIRAYA'!J45,'21.10 KAYUNGA-GALIRAYA-24h'!J45,'22.10 KAYUNGA-GALIRAYA'!J45,'23.10 KAYUNGA-GALIRAYA'!J45)</f>
        <v>0.2857142857142857</v>
      </c>
      <c r="K45" s="49">
        <f>AVERAGE('17.10 KAYUNGA-GALIRAYA'!K45,'18.10 KAYUNGA-GALIRAYA'!K45,'19.10 KAYUNGA-GALIRAYA-24h'!K45,'20.10 KAYUNGA-GALIRAYA'!K45,'21.10 KAYUNGA-GALIRAYA-24h'!K45,'22.10 KAYUNGA-GALIRAYA'!K45,'23.10 KAYUNGA-GALIRAYA'!K45)</f>
        <v>0.14285714285714285</v>
      </c>
      <c r="L45" s="49">
        <f>AVERAGE('17.10 KAYUNGA-GALIRAYA'!L45,'18.10 KAYUNGA-GALIRAYA'!L45,'19.10 KAYUNGA-GALIRAYA-24h'!L45,'20.10 KAYUNGA-GALIRAYA'!L45,'21.10 KAYUNGA-GALIRAYA-24h'!L45,'22.10 KAYUNGA-GALIRAYA'!L45,'23.10 KAYUNGA-GALIRAYA'!L45)</f>
        <v>0</v>
      </c>
      <c r="M45" s="49">
        <f>AVERAGE('17.10 KAYUNGA-GALIRAYA'!M45,'18.10 KAYUNGA-GALIRAYA'!M45,'19.10 KAYUNGA-GALIRAYA-24h'!M45,'20.10 KAYUNGA-GALIRAYA'!M45,'21.10 KAYUNGA-GALIRAYA-24h'!M45,'22.10 KAYUNGA-GALIRAYA'!M45,'23.10 KAYUNGA-GALIRAYA'!M45)</f>
        <v>8.8571428571428577</v>
      </c>
      <c r="N45" s="49">
        <f>AVERAGE('17.10 KAYUNGA-GALIRAYA'!N45,'18.10 KAYUNGA-GALIRAYA'!N45,'19.10 KAYUNGA-GALIRAYA-24h'!N45,'20.10 KAYUNGA-GALIRAYA'!N45,'21.10 KAYUNGA-GALIRAYA-24h'!N45,'22.10 KAYUNGA-GALIRAYA'!N45,'23.10 KAYUNGA-GALIRAYA'!N45)</f>
        <v>0</v>
      </c>
      <c r="O45" s="15">
        <f t="shared" si="0"/>
        <v>3.714285714285714</v>
      </c>
      <c r="P45" s="15">
        <f t="shared" si="1"/>
        <v>12.571428571428571</v>
      </c>
    </row>
    <row r="46" spans="2:32" ht="23.1" customHeight="1" x14ac:dyDescent="0.25">
      <c r="B46" s="24" t="s">
        <v>73</v>
      </c>
      <c r="C46" s="49">
        <f>AVERAGE('17.10 KAYUNGA-GALIRAYA'!C46,'18.10 KAYUNGA-GALIRAYA'!C46,'19.10 KAYUNGA-GALIRAYA-24h'!C46,'20.10 KAYUNGA-GALIRAYA'!C46,'21.10 KAYUNGA-GALIRAYA-24h'!C46,'22.10 KAYUNGA-GALIRAYA'!C46,'23.10 KAYUNGA-GALIRAYA'!C46)</f>
        <v>1.1428571428571428</v>
      </c>
      <c r="D46" s="49">
        <f>AVERAGE('17.10 KAYUNGA-GALIRAYA'!D46,'18.10 KAYUNGA-GALIRAYA'!D46,'19.10 KAYUNGA-GALIRAYA-24h'!D46,'20.10 KAYUNGA-GALIRAYA'!D46,'21.10 KAYUNGA-GALIRAYA-24h'!D46,'22.10 KAYUNGA-GALIRAYA'!D46,'23.10 KAYUNGA-GALIRAYA'!D46)</f>
        <v>0.14285714285714285</v>
      </c>
      <c r="E46" s="49">
        <f>AVERAGE('17.10 KAYUNGA-GALIRAYA'!E46,'18.10 KAYUNGA-GALIRAYA'!E46,'19.10 KAYUNGA-GALIRAYA-24h'!E46,'20.10 KAYUNGA-GALIRAYA'!E46,'21.10 KAYUNGA-GALIRAYA-24h'!E46,'22.10 KAYUNGA-GALIRAYA'!E46,'23.10 KAYUNGA-GALIRAYA'!E46)</f>
        <v>0.2857142857142857</v>
      </c>
      <c r="F46" s="49">
        <f>AVERAGE('17.10 KAYUNGA-GALIRAYA'!F46,'18.10 KAYUNGA-GALIRAYA'!F46,'19.10 KAYUNGA-GALIRAYA-24h'!F46,'20.10 KAYUNGA-GALIRAYA'!F46,'21.10 KAYUNGA-GALIRAYA-24h'!F46,'22.10 KAYUNGA-GALIRAYA'!F46,'23.10 KAYUNGA-GALIRAYA'!F46)</f>
        <v>0.8571428571428571</v>
      </c>
      <c r="G46" s="49">
        <f>AVERAGE('17.10 KAYUNGA-GALIRAYA'!G46,'18.10 KAYUNGA-GALIRAYA'!G46,'19.10 KAYUNGA-GALIRAYA-24h'!G46,'20.10 KAYUNGA-GALIRAYA'!G46,'21.10 KAYUNGA-GALIRAYA-24h'!G46,'22.10 KAYUNGA-GALIRAYA'!G46,'23.10 KAYUNGA-GALIRAYA'!G46)</f>
        <v>0.2857142857142857</v>
      </c>
      <c r="H46" s="49">
        <f>AVERAGE('17.10 KAYUNGA-GALIRAYA'!H46,'18.10 KAYUNGA-GALIRAYA'!H46,'19.10 KAYUNGA-GALIRAYA-24h'!H46,'20.10 KAYUNGA-GALIRAYA'!H46,'21.10 KAYUNGA-GALIRAYA-24h'!H46,'22.10 KAYUNGA-GALIRAYA'!H46,'23.10 KAYUNGA-GALIRAYA'!H46)</f>
        <v>0</v>
      </c>
      <c r="I46" s="49">
        <f>AVERAGE('17.10 KAYUNGA-GALIRAYA'!I46,'18.10 KAYUNGA-GALIRAYA'!I46,'19.10 KAYUNGA-GALIRAYA-24h'!I46,'20.10 KAYUNGA-GALIRAYA'!I46,'21.10 KAYUNGA-GALIRAYA-24h'!I46,'22.10 KAYUNGA-GALIRAYA'!I46,'23.10 KAYUNGA-GALIRAYA'!I46)</f>
        <v>0.2857142857142857</v>
      </c>
      <c r="J46" s="49">
        <f>AVERAGE('17.10 KAYUNGA-GALIRAYA'!J46,'18.10 KAYUNGA-GALIRAYA'!J46,'19.10 KAYUNGA-GALIRAYA-24h'!J46,'20.10 KAYUNGA-GALIRAYA'!J46,'21.10 KAYUNGA-GALIRAYA-24h'!J46,'22.10 KAYUNGA-GALIRAYA'!J46,'23.10 KAYUNGA-GALIRAYA'!J46)</f>
        <v>0.42857142857142855</v>
      </c>
      <c r="K46" s="49">
        <f>AVERAGE('17.10 KAYUNGA-GALIRAYA'!K46,'18.10 KAYUNGA-GALIRAYA'!K46,'19.10 KAYUNGA-GALIRAYA-24h'!K46,'20.10 KAYUNGA-GALIRAYA'!K46,'21.10 KAYUNGA-GALIRAYA-24h'!K46,'22.10 KAYUNGA-GALIRAYA'!K46,'23.10 KAYUNGA-GALIRAYA'!K46)</f>
        <v>0.14285714285714285</v>
      </c>
      <c r="L46" s="49">
        <f>AVERAGE('17.10 KAYUNGA-GALIRAYA'!L46,'18.10 KAYUNGA-GALIRAYA'!L46,'19.10 KAYUNGA-GALIRAYA-24h'!L46,'20.10 KAYUNGA-GALIRAYA'!L46,'21.10 KAYUNGA-GALIRAYA-24h'!L46,'22.10 KAYUNGA-GALIRAYA'!L46,'23.10 KAYUNGA-GALIRAYA'!L46)</f>
        <v>0.14285714285714285</v>
      </c>
      <c r="M46" s="49">
        <f>AVERAGE('17.10 KAYUNGA-GALIRAYA'!M46,'18.10 KAYUNGA-GALIRAYA'!M46,'19.10 KAYUNGA-GALIRAYA-24h'!M46,'20.10 KAYUNGA-GALIRAYA'!M46,'21.10 KAYUNGA-GALIRAYA-24h'!M46,'22.10 KAYUNGA-GALIRAYA'!M46,'23.10 KAYUNGA-GALIRAYA'!M46)</f>
        <v>10.428571428571429</v>
      </c>
      <c r="N46" s="49">
        <f>AVERAGE('17.10 KAYUNGA-GALIRAYA'!N46,'18.10 KAYUNGA-GALIRAYA'!N46,'19.10 KAYUNGA-GALIRAYA-24h'!N46,'20.10 KAYUNGA-GALIRAYA'!N46,'21.10 KAYUNGA-GALIRAYA-24h'!N46,'22.10 KAYUNGA-GALIRAYA'!N46,'23.10 KAYUNGA-GALIRAYA'!N46)</f>
        <v>0</v>
      </c>
      <c r="O46" s="15">
        <f t="shared" si="0"/>
        <v>3.7142857142857135</v>
      </c>
      <c r="P46" s="15">
        <f t="shared" si="1"/>
        <v>14.142857142857142</v>
      </c>
      <c r="R46" s="8"/>
      <c r="T46"/>
    </row>
    <row r="47" spans="2:32" ht="23.1" customHeight="1" x14ac:dyDescent="0.25">
      <c r="B47" s="24" t="s">
        <v>74</v>
      </c>
      <c r="C47" s="49">
        <f>AVERAGE('17.10 KAYUNGA-GALIRAYA'!C47,'18.10 KAYUNGA-GALIRAYA'!C47,'19.10 KAYUNGA-GALIRAYA-24h'!C47,'20.10 KAYUNGA-GALIRAYA'!C47,'21.10 KAYUNGA-GALIRAYA-24h'!C47,'22.10 KAYUNGA-GALIRAYA'!C47,'23.10 KAYUNGA-GALIRAYA'!C47)</f>
        <v>0.7142857142857143</v>
      </c>
      <c r="D47" s="49">
        <f>AVERAGE('17.10 KAYUNGA-GALIRAYA'!D47,'18.10 KAYUNGA-GALIRAYA'!D47,'19.10 KAYUNGA-GALIRAYA-24h'!D47,'20.10 KAYUNGA-GALIRAYA'!D47,'21.10 KAYUNGA-GALIRAYA-24h'!D47,'22.10 KAYUNGA-GALIRAYA'!D47,'23.10 KAYUNGA-GALIRAYA'!D47)</f>
        <v>0.2857142857142857</v>
      </c>
      <c r="E47" s="49">
        <f>AVERAGE('17.10 KAYUNGA-GALIRAYA'!E47,'18.10 KAYUNGA-GALIRAYA'!E47,'19.10 KAYUNGA-GALIRAYA-24h'!E47,'20.10 KAYUNGA-GALIRAYA'!E47,'21.10 KAYUNGA-GALIRAYA-24h'!E47,'22.10 KAYUNGA-GALIRAYA'!E47,'23.10 KAYUNGA-GALIRAYA'!E47)</f>
        <v>0.14285714285714285</v>
      </c>
      <c r="F47" s="49">
        <f>AVERAGE('17.10 KAYUNGA-GALIRAYA'!F47,'18.10 KAYUNGA-GALIRAYA'!F47,'19.10 KAYUNGA-GALIRAYA-24h'!F47,'20.10 KAYUNGA-GALIRAYA'!F47,'21.10 KAYUNGA-GALIRAYA-24h'!F47,'22.10 KAYUNGA-GALIRAYA'!F47,'23.10 KAYUNGA-GALIRAYA'!F47)</f>
        <v>1.7142857142857142</v>
      </c>
      <c r="G47" s="49">
        <f>AVERAGE('17.10 KAYUNGA-GALIRAYA'!G47,'18.10 KAYUNGA-GALIRAYA'!G47,'19.10 KAYUNGA-GALIRAYA-24h'!G47,'20.10 KAYUNGA-GALIRAYA'!G47,'21.10 KAYUNGA-GALIRAYA-24h'!G47,'22.10 KAYUNGA-GALIRAYA'!G47,'23.10 KAYUNGA-GALIRAYA'!G47)</f>
        <v>0.14285714285714285</v>
      </c>
      <c r="H47" s="49">
        <f>AVERAGE('17.10 KAYUNGA-GALIRAYA'!H47,'18.10 KAYUNGA-GALIRAYA'!H47,'19.10 KAYUNGA-GALIRAYA-24h'!H47,'20.10 KAYUNGA-GALIRAYA'!H47,'21.10 KAYUNGA-GALIRAYA-24h'!H47,'22.10 KAYUNGA-GALIRAYA'!H47,'23.10 KAYUNGA-GALIRAYA'!H47)</f>
        <v>0</v>
      </c>
      <c r="I47" s="49">
        <f>AVERAGE('17.10 KAYUNGA-GALIRAYA'!I47,'18.10 KAYUNGA-GALIRAYA'!I47,'19.10 KAYUNGA-GALIRAYA-24h'!I47,'20.10 KAYUNGA-GALIRAYA'!I47,'21.10 KAYUNGA-GALIRAYA-24h'!I47,'22.10 KAYUNGA-GALIRAYA'!I47,'23.10 KAYUNGA-GALIRAYA'!I47)</f>
        <v>1.4285714285714286</v>
      </c>
      <c r="J47" s="49">
        <f>AVERAGE('17.10 KAYUNGA-GALIRAYA'!J47,'18.10 KAYUNGA-GALIRAYA'!J47,'19.10 KAYUNGA-GALIRAYA-24h'!J47,'20.10 KAYUNGA-GALIRAYA'!J47,'21.10 KAYUNGA-GALIRAYA-24h'!J47,'22.10 KAYUNGA-GALIRAYA'!J47,'23.10 KAYUNGA-GALIRAYA'!J47)</f>
        <v>0.42857142857142855</v>
      </c>
      <c r="K47" s="49">
        <f>AVERAGE('17.10 KAYUNGA-GALIRAYA'!K47,'18.10 KAYUNGA-GALIRAYA'!K47,'19.10 KAYUNGA-GALIRAYA-24h'!K47,'20.10 KAYUNGA-GALIRAYA'!K47,'21.10 KAYUNGA-GALIRAYA-24h'!K47,'22.10 KAYUNGA-GALIRAYA'!K47,'23.10 KAYUNGA-GALIRAYA'!K47)</f>
        <v>0.2857142857142857</v>
      </c>
      <c r="L47" s="49">
        <f>AVERAGE('17.10 KAYUNGA-GALIRAYA'!L47,'18.10 KAYUNGA-GALIRAYA'!L47,'19.10 KAYUNGA-GALIRAYA-24h'!L47,'20.10 KAYUNGA-GALIRAYA'!L47,'21.10 KAYUNGA-GALIRAYA-24h'!L47,'22.10 KAYUNGA-GALIRAYA'!L47,'23.10 KAYUNGA-GALIRAYA'!L47)</f>
        <v>0</v>
      </c>
      <c r="M47" s="49">
        <f>AVERAGE('17.10 KAYUNGA-GALIRAYA'!M47,'18.10 KAYUNGA-GALIRAYA'!M47,'19.10 KAYUNGA-GALIRAYA-24h'!M47,'20.10 KAYUNGA-GALIRAYA'!M47,'21.10 KAYUNGA-GALIRAYA-24h'!M47,'22.10 KAYUNGA-GALIRAYA'!M47,'23.10 KAYUNGA-GALIRAYA'!M47)</f>
        <v>13</v>
      </c>
      <c r="N47" s="49">
        <f>AVERAGE('17.10 KAYUNGA-GALIRAYA'!N47,'18.10 KAYUNGA-GALIRAYA'!N47,'19.10 KAYUNGA-GALIRAYA-24h'!N47,'20.10 KAYUNGA-GALIRAYA'!N47,'21.10 KAYUNGA-GALIRAYA-24h'!N47,'22.10 KAYUNGA-GALIRAYA'!N47,'23.10 KAYUNGA-GALIRAYA'!N47)</f>
        <v>0</v>
      </c>
      <c r="O47" s="15">
        <f t="shared" si="0"/>
        <v>5.1428571428571423</v>
      </c>
      <c r="P47" s="15">
        <f t="shared" si="1"/>
        <v>18.142857142857142</v>
      </c>
      <c r="R47" s="8"/>
      <c r="T47"/>
    </row>
    <row r="48" spans="2:32" ht="23.1" customHeight="1" x14ac:dyDescent="0.25">
      <c r="B48" s="24" t="s">
        <v>75</v>
      </c>
      <c r="C48" s="49">
        <f>AVERAGE('17.10 KAYUNGA-GALIRAYA'!C48,'18.10 KAYUNGA-GALIRAYA'!C48,'19.10 KAYUNGA-GALIRAYA-24h'!C48,'20.10 KAYUNGA-GALIRAYA'!C48,'21.10 KAYUNGA-GALIRAYA-24h'!C48,'22.10 KAYUNGA-GALIRAYA'!C48,'23.10 KAYUNGA-GALIRAYA'!C48)</f>
        <v>1</v>
      </c>
      <c r="D48" s="49">
        <f>AVERAGE('17.10 KAYUNGA-GALIRAYA'!D48,'18.10 KAYUNGA-GALIRAYA'!D48,'19.10 KAYUNGA-GALIRAYA-24h'!D48,'20.10 KAYUNGA-GALIRAYA'!D48,'21.10 KAYUNGA-GALIRAYA-24h'!D48,'22.10 KAYUNGA-GALIRAYA'!D48,'23.10 KAYUNGA-GALIRAYA'!D48)</f>
        <v>0.2857142857142857</v>
      </c>
      <c r="E48" s="49">
        <f>AVERAGE('17.10 KAYUNGA-GALIRAYA'!E48,'18.10 KAYUNGA-GALIRAYA'!E48,'19.10 KAYUNGA-GALIRAYA-24h'!E48,'20.10 KAYUNGA-GALIRAYA'!E48,'21.10 KAYUNGA-GALIRAYA-24h'!E48,'22.10 KAYUNGA-GALIRAYA'!E48,'23.10 KAYUNGA-GALIRAYA'!E48)</f>
        <v>0.5714285714285714</v>
      </c>
      <c r="F48" s="49">
        <f>AVERAGE('17.10 KAYUNGA-GALIRAYA'!F48,'18.10 KAYUNGA-GALIRAYA'!F48,'19.10 KAYUNGA-GALIRAYA-24h'!F48,'20.10 KAYUNGA-GALIRAYA'!F48,'21.10 KAYUNGA-GALIRAYA-24h'!F48,'22.10 KAYUNGA-GALIRAYA'!F48,'23.10 KAYUNGA-GALIRAYA'!F48)</f>
        <v>1.7142857142857142</v>
      </c>
      <c r="G48" s="49">
        <f>AVERAGE('17.10 KAYUNGA-GALIRAYA'!G48,'18.10 KAYUNGA-GALIRAYA'!G48,'19.10 KAYUNGA-GALIRAYA-24h'!G48,'20.10 KAYUNGA-GALIRAYA'!G48,'21.10 KAYUNGA-GALIRAYA-24h'!G48,'22.10 KAYUNGA-GALIRAYA'!G48,'23.10 KAYUNGA-GALIRAYA'!G48)</f>
        <v>0</v>
      </c>
      <c r="H48" s="49">
        <f>AVERAGE('17.10 KAYUNGA-GALIRAYA'!H48,'18.10 KAYUNGA-GALIRAYA'!H48,'19.10 KAYUNGA-GALIRAYA-24h'!H48,'20.10 KAYUNGA-GALIRAYA'!H48,'21.10 KAYUNGA-GALIRAYA-24h'!H48,'22.10 KAYUNGA-GALIRAYA'!H48,'23.10 KAYUNGA-GALIRAYA'!H48)</f>
        <v>0.2857142857142857</v>
      </c>
      <c r="I48" s="49">
        <f>AVERAGE('17.10 KAYUNGA-GALIRAYA'!I48,'18.10 KAYUNGA-GALIRAYA'!I48,'19.10 KAYUNGA-GALIRAYA-24h'!I48,'20.10 KAYUNGA-GALIRAYA'!I48,'21.10 KAYUNGA-GALIRAYA-24h'!I48,'22.10 KAYUNGA-GALIRAYA'!I48,'23.10 KAYUNGA-GALIRAYA'!I48)</f>
        <v>1.5714285714285714</v>
      </c>
      <c r="J48" s="49">
        <f>AVERAGE('17.10 KAYUNGA-GALIRAYA'!J48,'18.10 KAYUNGA-GALIRAYA'!J48,'19.10 KAYUNGA-GALIRAYA-24h'!J48,'20.10 KAYUNGA-GALIRAYA'!J48,'21.10 KAYUNGA-GALIRAYA-24h'!J48,'22.10 KAYUNGA-GALIRAYA'!J48,'23.10 KAYUNGA-GALIRAYA'!J48)</f>
        <v>0.2857142857142857</v>
      </c>
      <c r="K48" s="49">
        <f>AVERAGE('17.10 KAYUNGA-GALIRAYA'!K48,'18.10 KAYUNGA-GALIRAYA'!K48,'19.10 KAYUNGA-GALIRAYA-24h'!K48,'20.10 KAYUNGA-GALIRAYA'!K48,'21.10 KAYUNGA-GALIRAYA-24h'!K48,'22.10 KAYUNGA-GALIRAYA'!K48,'23.10 KAYUNGA-GALIRAYA'!K48)</f>
        <v>0</v>
      </c>
      <c r="L48" s="49">
        <f>AVERAGE('17.10 KAYUNGA-GALIRAYA'!L48,'18.10 KAYUNGA-GALIRAYA'!L48,'19.10 KAYUNGA-GALIRAYA-24h'!L48,'20.10 KAYUNGA-GALIRAYA'!L48,'21.10 KAYUNGA-GALIRAYA-24h'!L48,'22.10 KAYUNGA-GALIRAYA'!L48,'23.10 KAYUNGA-GALIRAYA'!L48)</f>
        <v>0</v>
      </c>
      <c r="M48" s="49">
        <f>AVERAGE('17.10 KAYUNGA-GALIRAYA'!M48,'18.10 KAYUNGA-GALIRAYA'!M48,'19.10 KAYUNGA-GALIRAYA-24h'!M48,'20.10 KAYUNGA-GALIRAYA'!M48,'21.10 KAYUNGA-GALIRAYA-24h'!M48,'22.10 KAYUNGA-GALIRAYA'!M48,'23.10 KAYUNGA-GALIRAYA'!M48)</f>
        <v>9.8571428571428577</v>
      </c>
      <c r="N48" s="49">
        <f>AVERAGE('17.10 KAYUNGA-GALIRAYA'!N48,'18.10 KAYUNGA-GALIRAYA'!N48,'19.10 KAYUNGA-GALIRAYA-24h'!N48,'20.10 KAYUNGA-GALIRAYA'!N48,'21.10 KAYUNGA-GALIRAYA-24h'!N48,'22.10 KAYUNGA-GALIRAYA'!N48,'23.10 KAYUNGA-GALIRAYA'!N48)</f>
        <v>0</v>
      </c>
      <c r="O48" s="15">
        <f t="shared" si="0"/>
        <v>5.7142857142857135</v>
      </c>
      <c r="P48" s="15">
        <f t="shared" si="1"/>
        <v>15.571428571428571</v>
      </c>
      <c r="R48" s="8"/>
      <c r="T48"/>
    </row>
    <row r="49" spans="2:20" ht="23.1" customHeight="1" x14ac:dyDescent="0.25">
      <c r="B49" s="23" t="s">
        <v>76</v>
      </c>
      <c r="C49" s="49">
        <f>AVERAGE('17.10 KAYUNGA-GALIRAYA'!C49,'18.10 KAYUNGA-GALIRAYA'!C49,'19.10 KAYUNGA-GALIRAYA-24h'!C49,'20.10 KAYUNGA-GALIRAYA'!C49,'21.10 KAYUNGA-GALIRAYA-24h'!C49,'22.10 KAYUNGA-GALIRAYA'!C49,'23.10 KAYUNGA-GALIRAYA'!C49)</f>
        <v>0.7142857142857143</v>
      </c>
      <c r="D49" s="49">
        <f>AVERAGE('17.10 KAYUNGA-GALIRAYA'!D49,'18.10 KAYUNGA-GALIRAYA'!D49,'19.10 KAYUNGA-GALIRAYA-24h'!D49,'20.10 KAYUNGA-GALIRAYA'!D49,'21.10 KAYUNGA-GALIRAYA-24h'!D49,'22.10 KAYUNGA-GALIRAYA'!D49,'23.10 KAYUNGA-GALIRAYA'!D49)</f>
        <v>0.14285714285714285</v>
      </c>
      <c r="E49" s="49">
        <f>AVERAGE('17.10 KAYUNGA-GALIRAYA'!E49,'18.10 KAYUNGA-GALIRAYA'!E49,'19.10 KAYUNGA-GALIRAYA-24h'!E49,'20.10 KAYUNGA-GALIRAYA'!E49,'21.10 KAYUNGA-GALIRAYA-24h'!E49,'22.10 KAYUNGA-GALIRAYA'!E49,'23.10 KAYUNGA-GALIRAYA'!E49)</f>
        <v>0.14285714285714285</v>
      </c>
      <c r="F49" s="49">
        <f>AVERAGE('17.10 KAYUNGA-GALIRAYA'!F49,'18.10 KAYUNGA-GALIRAYA'!F49,'19.10 KAYUNGA-GALIRAYA-24h'!F49,'20.10 KAYUNGA-GALIRAYA'!F49,'21.10 KAYUNGA-GALIRAYA-24h'!F49,'22.10 KAYUNGA-GALIRAYA'!F49,'23.10 KAYUNGA-GALIRAYA'!F49)</f>
        <v>2</v>
      </c>
      <c r="G49" s="49">
        <f>AVERAGE('17.10 KAYUNGA-GALIRAYA'!G49,'18.10 KAYUNGA-GALIRAYA'!G49,'19.10 KAYUNGA-GALIRAYA-24h'!G49,'20.10 KAYUNGA-GALIRAYA'!G49,'21.10 KAYUNGA-GALIRAYA-24h'!G49,'22.10 KAYUNGA-GALIRAYA'!G49,'23.10 KAYUNGA-GALIRAYA'!G49)</f>
        <v>0</v>
      </c>
      <c r="H49" s="49">
        <f>AVERAGE('17.10 KAYUNGA-GALIRAYA'!H49,'18.10 KAYUNGA-GALIRAYA'!H49,'19.10 KAYUNGA-GALIRAYA-24h'!H49,'20.10 KAYUNGA-GALIRAYA'!H49,'21.10 KAYUNGA-GALIRAYA-24h'!H49,'22.10 KAYUNGA-GALIRAYA'!H49,'23.10 KAYUNGA-GALIRAYA'!H49)</f>
        <v>0.2857142857142857</v>
      </c>
      <c r="I49" s="49">
        <f>AVERAGE('17.10 KAYUNGA-GALIRAYA'!I49,'18.10 KAYUNGA-GALIRAYA'!I49,'19.10 KAYUNGA-GALIRAYA-24h'!I49,'20.10 KAYUNGA-GALIRAYA'!I49,'21.10 KAYUNGA-GALIRAYA-24h'!I49,'22.10 KAYUNGA-GALIRAYA'!I49,'23.10 KAYUNGA-GALIRAYA'!I49)</f>
        <v>1.2857142857142858</v>
      </c>
      <c r="J49" s="49">
        <f>AVERAGE('17.10 KAYUNGA-GALIRAYA'!J49,'18.10 KAYUNGA-GALIRAYA'!J49,'19.10 KAYUNGA-GALIRAYA-24h'!J49,'20.10 KAYUNGA-GALIRAYA'!J49,'21.10 KAYUNGA-GALIRAYA-24h'!J49,'22.10 KAYUNGA-GALIRAYA'!J49,'23.10 KAYUNGA-GALIRAYA'!J49)</f>
        <v>0.2857142857142857</v>
      </c>
      <c r="K49" s="49">
        <f>AVERAGE('17.10 KAYUNGA-GALIRAYA'!K49,'18.10 KAYUNGA-GALIRAYA'!K49,'19.10 KAYUNGA-GALIRAYA-24h'!K49,'20.10 KAYUNGA-GALIRAYA'!K49,'21.10 KAYUNGA-GALIRAYA-24h'!K49,'22.10 KAYUNGA-GALIRAYA'!K49,'23.10 KAYUNGA-GALIRAYA'!K49)</f>
        <v>0.2857142857142857</v>
      </c>
      <c r="L49" s="49">
        <f>AVERAGE('17.10 KAYUNGA-GALIRAYA'!L49,'18.10 KAYUNGA-GALIRAYA'!L49,'19.10 KAYUNGA-GALIRAYA-24h'!L49,'20.10 KAYUNGA-GALIRAYA'!L49,'21.10 KAYUNGA-GALIRAYA-24h'!L49,'22.10 KAYUNGA-GALIRAYA'!L49,'23.10 KAYUNGA-GALIRAYA'!L49)</f>
        <v>0</v>
      </c>
      <c r="M49" s="49">
        <f>AVERAGE('17.10 KAYUNGA-GALIRAYA'!M49,'18.10 KAYUNGA-GALIRAYA'!M49,'19.10 KAYUNGA-GALIRAYA-24h'!M49,'20.10 KAYUNGA-GALIRAYA'!M49,'21.10 KAYUNGA-GALIRAYA-24h'!M49,'22.10 KAYUNGA-GALIRAYA'!M49,'23.10 KAYUNGA-GALIRAYA'!M49)</f>
        <v>13.857142857142858</v>
      </c>
      <c r="N49" s="49">
        <f>AVERAGE('17.10 KAYUNGA-GALIRAYA'!N49,'18.10 KAYUNGA-GALIRAYA'!N49,'19.10 KAYUNGA-GALIRAYA-24h'!N49,'20.10 KAYUNGA-GALIRAYA'!N49,'21.10 KAYUNGA-GALIRAYA-24h'!N49,'22.10 KAYUNGA-GALIRAYA'!N49,'23.10 KAYUNGA-GALIRAYA'!N49)</f>
        <v>0</v>
      </c>
      <c r="O49" s="15">
        <f t="shared" si="0"/>
        <v>5.1428571428571423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49">
        <f>AVERAGE('17.10 KAYUNGA-GALIRAYA'!C50,'18.10 KAYUNGA-GALIRAYA'!C50,'19.10 KAYUNGA-GALIRAYA-24h'!C50,'20.10 KAYUNGA-GALIRAYA'!C50,'21.10 KAYUNGA-GALIRAYA-24h'!C50,'22.10 KAYUNGA-GALIRAYA'!C50,'23.10 KAYUNGA-GALIRAYA'!C50)</f>
        <v>0.8571428571428571</v>
      </c>
      <c r="D50" s="49">
        <f>AVERAGE('17.10 KAYUNGA-GALIRAYA'!D50,'18.10 KAYUNGA-GALIRAYA'!D50,'19.10 KAYUNGA-GALIRAYA-24h'!D50,'20.10 KAYUNGA-GALIRAYA'!D50,'21.10 KAYUNGA-GALIRAYA-24h'!D50,'22.10 KAYUNGA-GALIRAYA'!D50,'23.10 KAYUNGA-GALIRAYA'!D50)</f>
        <v>0.42857142857142855</v>
      </c>
      <c r="E50" s="49">
        <f>AVERAGE('17.10 KAYUNGA-GALIRAYA'!E50,'18.10 KAYUNGA-GALIRAYA'!E50,'19.10 KAYUNGA-GALIRAYA-24h'!E50,'20.10 KAYUNGA-GALIRAYA'!E50,'21.10 KAYUNGA-GALIRAYA-24h'!E50,'22.10 KAYUNGA-GALIRAYA'!E50,'23.10 KAYUNGA-GALIRAYA'!E50)</f>
        <v>0.5714285714285714</v>
      </c>
      <c r="F50" s="49">
        <f>AVERAGE('17.10 KAYUNGA-GALIRAYA'!F50,'18.10 KAYUNGA-GALIRAYA'!F50,'19.10 KAYUNGA-GALIRAYA-24h'!F50,'20.10 KAYUNGA-GALIRAYA'!F50,'21.10 KAYUNGA-GALIRAYA-24h'!F50,'22.10 KAYUNGA-GALIRAYA'!F50,'23.10 KAYUNGA-GALIRAYA'!F50)</f>
        <v>1.2857142857142858</v>
      </c>
      <c r="G50" s="49">
        <f>AVERAGE('17.10 KAYUNGA-GALIRAYA'!G50,'18.10 KAYUNGA-GALIRAYA'!G50,'19.10 KAYUNGA-GALIRAYA-24h'!G50,'20.10 KAYUNGA-GALIRAYA'!G50,'21.10 KAYUNGA-GALIRAYA-24h'!G50,'22.10 KAYUNGA-GALIRAYA'!G50,'23.10 KAYUNGA-GALIRAYA'!G50)</f>
        <v>0</v>
      </c>
      <c r="H50" s="49">
        <f>AVERAGE('17.10 KAYUNGA-GALIRAYA'!H50,'18.10 KAYUNGA-GALIRAYA'!H50,'19.10 KAYUNGA-GALIRAYA-24h'!H50,'20.10 KAYUNGA-GALIRAYA'!H50,'21.10 KAYUNGA-GALIRAYA-24h'!H50,'22.10 KAYUNGA-GALIRAYA'!H50,'23.10 KAYUNGA-GALIRAYA'!H50)</f>
        <v>0</v>
      </c>
      <c r="I50" s="49">
        <f>AVERAGE('17.10 KAYUNGA-GALIRAYA'!I50,'18.10 KAYUNGA-GALIRAYA'!I50,'19.10 KAYUNGA-GALIRAYA-24h'!I50,'20.10 KAYUNGA-GALIRAYA'!I50,'21.10 KAYUNGA-GALIRAYA-24h'!I50,'22.10 KAYUNGA-GALIRAYA'!I50,'23.10 KAYUNGA-GALIRAYA'!I50)</f>
        <v>0.42857142857142855</v>
      </c>
      <c r="J50" s="49">
        <f>AVERAGE('17.10 KAYUNGA-GALIRAYA'!J50,'18.10 KAYUNGA-GALIRAYA'!J50,'19.10 KAYUNGA-GALIRAYA-24h'!J50,'20.10 KAYUNGA-GALIRAYA'!J50,'21.10 KAYUNGA-GALIRAYA-24h'!J50,'22.10 KAYUNGA-GALIRAYA'!J50,'23.10 KAYUNGA-GALIRAYA'!J50)</f>
        <v>0</v>
      </c>
      <c r="K50" s="49">
        <f>AVERAGE('17.10 KAYUNGA-GALIRAYA'!K50,'18.10 KAYUNGA-GALIRAYA'!K50,'19.10 KAYUNGA-GALIRAYA-24h'!K50,'20.10 KAYUNGA-GALIRAYA'!K50,'21.10 KAYUNGA-GALIRAYA-24h'!K50,'22.10 KAYUNGA-GALIRAYA'!K50,'23.10 KAYUNGA-GALIRAYA'!K50)</f>
        <v>0</v>
      </c>
      <c r="L50" s="49">
        <f>AVERAGE('17.10 KAYUNGA-GALIRAYA'!L50,'18.10 KAYUNGA-GALIRAYA'!L50,'19.10 KAYUNGA-GALIRAYA-24h'!L50,'20.10 KAYUNGA-GALIRAYA'!L50,'21.10 KAYUNGA-GALIRAYA-24h'!L50,'22.10 KAYUNGA-GALIRAYA'!L50,'23.10 KAYUNGA-GALIRAYA'!L50)</f>
        <v>0.14285714285714285</v>
      </c>
      <c r="M50" s="49">
        <f>AVERAGE('17.10 KAYUNGA-GALIRAYA'!M50,'18.10 KAYUNGA-GALIRAYA'!M50,'19.10 KAYUNGA-GALIRAYA-24h'!M50,'20.10 KAYUNGA-GALIRAYA'!M50,'21.10 KAYUNGA-GALIRAYA-24h'!M50,'22.10 KAYUNGA-GALIRAYA'!M50,'23.10 KAYUNGA-GALIRAYA'!M50)</f>
        <v>8.7142857142857135</v>
      </c>
      <c r="N50" s="49">
        <f>AVERAGE('17.10 KAYUNGA-GALIRAYA'!N50,'18.10 KAYUNGA-GALIRAYA'!N50,'19.10 KAYUNGA-GALIRAYA-24h'!N50,'20.10 KAYUNGA-GALIRAYA'!N50,'21.10 KAYUNGA-GALIRAYA-24h'!N50,'22.10 KAYUNGA-GALIRAYA'!N50,'23.10 KAYUNGA-GALIRAYA'!N50)</f>
        <v>0</v>
      </c>
      <c r="O50" s="15">
        <f t="shared" si="0"/>
        <v>3.714285714285714</v>
      </c>
      <c r="P50" s="15">
        <f t="shared" si="1"/>
        <v>12.428571428571427</v>
      </c>
      <c r="R50" s="8"/>
      <c r="T50"/>
    </row>
    <row r="51" spans="2:20" ht="23.1" customHeight="1" x14ac:dyDescent="0.25">
      <c r="B51" s="24" t="s">
        <v>78</v>
      </c>
      <c r="C51" s="49">
        <f>AVERAGE('17.10 KAYUNGA-GALIRAYA'!C51,'18.10 KAYUNGA-GALIRAYA'!C51,'19.10 KAYUNGA-GALIRAYA-24h'!C51,'20.10 KAYUNGA-GALIRAYA'!C51,'21.10 KAYUNGA-GALIRAYA-24h'!C51,'22.10 KAYUNGA-GALIRAYA'!C51,'23.10 KAYUNGA-GALIRAYA'!C51)</f>
        <v>1.2857142857142858</v>
      </c>
      <c r="D51" s="49">
        <f>AVERAGE('17.10 KAYUNGA-GALIRAYA'!D51,'18.10 KAYUNGA-GALIRAYA'!D51,'19.10 KAYUNGA-GALIRAYA-24h'!D51,'20.10 KAYUNGA-GALIRAYA'!D51,'21.10 KAYUNGA-GALIRAYA-24h'!D51,'22.10 KAYUNGA-GALIRAYA'!D51,'23.10 KAYUNGA-GALIRAYA'!D51)</f>
        <v>0.14285714285714285</v>
      </c>
      <c r="E51" s="49">
        <f>AVERAGE('17.10 KAYUNGA-GALIRAYA'!E51,'18.10 KAYUNGA-GALIRAYA'!E51,'19.10 KAYUNGA-GALIRAYA-24h'!E51,'20.10 KAYUNGA-GALIRAYA'!E51,'21.10 KAYUNGA-GALIRAYA-24h'!E51,'22.10 KAYUNGA-GALIRAYA'!E51,'23.10 KAYUNGA-GALIRAYA'!E51)</f>
        <v>0.42857142857142855</v>
      </c>
      <c r="F51" s="49">
        <f>AVERAGE('17.10 KAYUNGA-GALIRAYA'!F51,'18.10 KAYUNGA-GALIRAYA'!F51,'19.10 KAYUNGA-GALIRAYA-24h'!F51,'20.10 KAYUNGA-GALIRAYA'!F51,'21.10 KAYUNGA-GALIRAYA-24h'!F51,'22.10 KAYUNGA-GALIRAYA'!F51,'23.10 KAYUNGA-GALIRAYA'!F51)</f>
        <v>1.1428571428571428</v>
      </c>
      <c r="G51" s="49">
        <f>AVERAGE('17.10 KAYUNGA-GALIRAYA'!G51,'18.10 KAYUNGA-GALIRAYA'!G51,'19.10 KAYUNGA-GALIRAYA-24h'!G51,'20.10 KAYUNGA-GALIRAYA'!G51,'21.10 KAYUNGA-GALIRAYA-24h'!G51,'22.10 KAYUNGA-GALIRAYA'!G51,'23.10 KAYUNGA-GALIRAYA'!G51)</f>
        <v>0.14285714285714285</v>
      </c>
      <c r="H51" s="49">
        <f>AVERAGE('17.10 KAYUNGA-GALIRAYA'!H51,'18.10 KAYUNGA-GALIRAYA'!H51,'19.10 KAYUNGA-GALIRAYA-24h'!H51,'20.10 KAYUNGA-GALIRAYA'!H51,'21.10 KAYUNGA-GALIRAYA-24h'!H51,'22.10 KAYUNGA-GALIRAYA'!H51,'23.10 KAYUNGA-GALIRAYA'!H51)</f>
        <v>0.14285714285714285</v>
      </c>
      <c r="I51" s="49">
        <f>AVERAGE('17.10 KAYUNGA-GALIRAYA'!I51,'18.10 KAYUNGA-GALIRAYA'!I51,'19.10 KAYUNGA-GALIRAYA-24h'!I51,'20.10 KAYUNGA-GALIRAYA'!I51,'21.10 KAYUNGA-GALIRAYA-24h'!I51,'22.10 KAYUNGA-GALIRAYA'!I51,'23.10 KAYUNGA-GALIRAYA'!I51)</f>
        <v>1</v>
      </c>
      <c r="J51" s="49">
        <f>AVERAGE('17.10 KAYUNGA-GALIRAYA'!J51,'18.10 KAYUNGA-GALIRAYA'!J51,'19.10 KAYUNGA-GALIRAYA-24h'!J51,'20.10 KAYUNGA-GALIRAYA'!J51,'21.10 KAYUNGA-GALIRAYA-24h'!J51,'22.10 KAYUNGA-GALIRAYA'!J51,'23.10 KAYUNGA-GALIRAYA'!J51)</f>
        <v>0.2857142857142857</v>
      </c>
      <c r="K51" s="49">
        <f>AVERAGE('17.10 KAYUNGA-GALIRAYA'!K51,'18.10 KAYUNGA-GALIRAYA'!K51,'19.10 KAYUNGA-GALIRAYA-24h'!K51,'20.10 KAYUNGA-GALIRAYA'!K51,'21.10 KAYUNGA-GALIRAYA-24h'!K51,'22.10 KAYUNGA-GALIRAYA'!K51,'23.10 KAYUNGA-GALIRAYA'!K51)</f>
        <v>0.14285714285714285</v>
      </c>
      <c r="L51" s="49">
        <f>AVERAGE('17.10 KAYUNGA-GALIRAYA'!L51,'18.10 KAYUNGA-GALIRAYA'!L51,'19.10 KAYUNGA-GALIRAYA-24h'!L51,'20.10 KAYUNGA-GALIRAYA'!L51,'21.10 KAYUNGA-GALIRAYA-24h'!L51,'22.10 KAYUNGA-GALIRAYA'!L51,'23.10 KAYUNGA-GALIRAYA'!L51)</f>
        <v>0</v>
      </c>
      <c r="M51" s="49">
        <f>AVERAGE('17.10 KAYUNGA-GALIRAYA'!M51,'18.10 KAYUNGA-GALIRAYA'!M51,'19.10 KAYUNGA-GALIRAYA-24h'!M51,'20.10 KAYUNGA-GALIRAYA'!M51,'21.10 KAYUNGA-GALIRAYA-24h'!M51,'22.10 KAYUNGA-GALIRAYA'!M51,'23.10 KAYUNGA-GALIRAYA'!M51)</f>
        <v>9.8571428571428577</v>
      </c>
      <c r="N51" s="49">
        <f>AVERAGE('17.10 KAYUNGA-GALIRAYA'!N51,'18.10 KAYUNGA-GALIRAYA'!N51,'19.10 KAYUNGA-GALIRAYA-24h'!N51,'20.10 KAYUNGA-GALIRAYA'!N51,'21.10 KAYUNGA-GALIRAYA-24h'!N51,'22.10 KAYUNGA-GALIRAYA'!N51,'23.10 KAYUNGA-GALIRAYA'!N51)</f>
        <v>0</v>
      </c>
      <c r="O51" s="15">
        <f t="shared" si="0"/>
        <v>4.7142857142857144</v>
      </c>
      <c r="P51" s="15">
        <f t="shared" si="1"/>
        <v>14.571428571428573</v>
      </c>
      <c r="R51" s="8"/>
      <c r="T51"/>
    </row>
    <row r="52" spans="2:20" ht="23.1" customHeight="1" x14ac:dyDescent="0.25">
      <c r="B52" s="24" t="s">
        <v>79</v>
      </c>
      <c r="C52" s="49">
        <f>AVERAGE('17.10 KAYUNGA-GALIRAYA'!C52,'18.10 KAYUNGA-GALIRAYA'!C52,'19.10 KAYUNGA-GALIRAYA-24h'!C52,'20.10 KAYUNGA-GALIRAYA'!C52,'21.10 KAYUNGA-GALIRAYA-24h'!C52,'22.10 KAYUNGA-GALIRAYA'!C52,'23.10 KAYUNGA-GALIRAYA'!C52)</f>
        <v>1.5714285714285714</v>
      </c>
      <c r="D52" s="49">
        <f>AVERAGE('17.10 KAYUNGA-GALIRAYA'!D52,'18.10 KAYUNGA-GALIRAYA'!D52,'19.10 KAYUNGA-GALIRAYA-24h'!D52,'20.10 KAYUNGA-GALIRAYA'!D52,'21.10 KAYUNGA-GALIRAYA-24h'!D52,'22.10 KAYUNGA-GALIRAYA'!D52,'23.10 KAYUNGA-GALIRAYA'!D52)</f>
        <v>0</v>
      </c>
      <c r="E52" s="49">
        <f>AVERAGE('17.10 KAYUNGA-GALIRAYA'!E52,'18.10 KAYUNGA-GALIRAYA'!E52,'19.10 KAYUNGA-GALIRAYA-24h'!E52,'20.10 KAYUNGA-GALIRAYA'!E52,'21.10 KAYUNGA-GALIRAYA-24h'!E52,'22.10 KAYUNGA-GALIRAYA'!E52,'23.10 KAYUNGA-GALIRAYA'!E52)</f>
        <v>0.14285714285714285</v>
      </c>
      <c r="F52" s="49">
        <f>AVERAGE('17.10 KAYUNGA-GALIRAYA'!F52,'18.10 KAYUNGA-GALIRAYA'!F52,'19.10 KAYUNGA-GALIRAYA-24h'!F52,'20.10 KAYUNGA-GALIRAYA'!F52,'21.10 KAYUNGA-GALIRAYA-24h'!F52,'22.10 KAYUNGA-GALIRAYA'!F52,'23.10 KAYUNGA-GALIRAYA'!F52)</f>
        <v>2.7142857142857144</v>
      </c>
      <c r="G52" s="49">
        <f>AVERAGE('17.10 KAYUNGA-GALIRAYA'!G52,'18.10 KAYUNGA-GALIRAYA'!G52,'19.10 KAYUNGA-GALIRAYA-24h'!G52,'20.10 KAYUNGA-GALIRAYA'!G52,'21.10 KAYUNGA-GALIRAYA-24h'!G52,'22.10 KAYUNGA-GALIRAYA'!G52,'23.10 KAYUNGA-GALIRAYA'!G52)</f>
        <v>0.2857142857142857</v>
      </c>
      <c r="H52" s="49">
        <f>AVERAGE('17.10 KAYUNGA-GALIRAYA'!H52,'18.10 KAYUNGA-GALIRAYA'!H52,'19.10 KAYUNGA-GALIRAYA-24h'!H52,'20.10 KAYUNGA-GALIRAYA'!H52,'21.10 KAYUNGA-GALIRAYA-24h'!H52,'22.10 KAYUNGA-GALIRAYA'!H52,'23.10 KAYUNGA-GALIRAYA'!H52)</f>
        <v>0</v>
      </c>
      <c r="I52" s="49">
        <f>AVERAGE('17.10 KAYUNGA-GALIRAYA'!I52,'18.10 KAYUNGA-GALIRAYA'!I52,'19.10 KAYUNGA-GALIRAYA-24h'!I52,'20.10 KAYUNGA-GALIRAYA'!I52,'21.10 KAYUNGA-GALIRAYA-24h'!I52,'22.10 KAYUNGA-GALIRAYA'!I52,'23.10 KAYUNGA-GALIRAYA'!I52)</f>
        <v>0.42857142857142855</v>
      </c>
      <c r="J52" s="49">
        <f>AVERAGE('17.10 KAYUNGA-GALIRAYA'!J52,'18.10 KAYUNGA-GALIRAYA'!J52,'19.10 KAYUNGA-GALIRAYA-24h'!J52,'20.10 KAYUNGA-GALIRAYA'!J52,'21.10 KAYUNGA-GALIRAYA-24h'!J52,'22.10 KAYUNGA-GALIRAYA'!J52,'23.10 KAYUNGA-GALIRAYA'!J52)</f>
        <v>0.42857142857142855</v>
      </c>
      <c r="K52" s="49">
        <f>AVERAGE('17.10 KAYUNGA-GALIRAYA'!K52,'18.10 KAYUNGA-GALIRAYA'!K52,'19.10 KAYUNGA-GALIRAYA-24h'!K52,'20.10 KAYUNGA-GALIRAYA'!K52,'21.10 KAYUNGA-GALIRAYA-24h'!K52,'22.10 KAYUNGA-GALIRAYA'!K52,'23.10 KAYUNGA-GALIRAYA'!K52)</f>
        <v>0</v>
      </c>
      <c r="L52" s="49">
        <f>AVERAGE('17.10 KAYUNGA-GALIRAYA'!L52,'18.10 KAYUNGA-GALIRAYA'!L52,'19.10 KAYUNGA-GALIRAYA-24h'!L52,'20.10 KAYUNGA-GALIRAYA'!L52,'21.10 KAYUNGA-GALIRAYA-24h'!L52,'22.10 KAYUNGA-GALIRAYA'!L52,'23.10 KAYUNGA-GALIRAYA'!L52)</f>
        <v>0.14285714285714285</v>
      </c>
      <c r="M52" s="49">
        <f>AVERAGE('17.10 KAYUNGA-GALIRAYA'!M52,'18.10 KAYUNGA-GALIRAYA'!M52,'19.10 KAYUNGA-GALIRAYA-24h'!M52,'20.10 KAYUNGA-GALIRAYA'!M52,'21.10 KAYUNGA-GALIRAYA-24h'!M52,'22.10 KAYUNGA-GALIRAYA'!M52,'23.10 KAYUNGA-GALIRAYA'!M52)</f>
        <v>11.142857142857142</v>
      </c>
      <c r="N52" s="49">
        <f>AVERAGE('17.10 KAYUNGA-GALIRAYA'!N52,'18.10 KAYUNGA-GALIRAYA'!N52,'19.10 KAYUNGA-GALIRAYA-24h'!N52,'20.10 KAYUNGA-GALIRAYA'!N52,'21.10 KAYUNGA-GALIRAYA-24h'!N52,'22.10 KAYUNGA-GALIRAYA'!N52,'23.10 KAYUNGA-GALIRAYA'!N52)</f>
        <v>0</v>
      </c>
      <c r="O52" s="15">
        <f t="shared" si="0"/>
        <v>5.7142857142857153</v>
      </c>
      <c r="P52" s="15">
        <f t="shared" si="1"/>
        <v>16.857142857142858</v>
      </c>
      <c r="R52" s="8"/>
      <c r="T52"/>
    </row>
    <row r="53" spans="2:20" ht="23.1" customHeight="1" x14ac:dyDescent="0.25">
      <c r="B53" s="23" t="s">
        <v>80</v>
      </c>
      <c r="C53" s="49">
        <f>AVERAGE('17.10 KAYUNGA-GALIRAYA'!C53,'18.10 KAYUNGA-GALIRAYA'!C53,'19.10 KAYUNGA-GALIRAYA-24h'!C53,'20.10 KAYUNGA-GALIRAYA'!C53,'21.10 KAYUNGA-GALIRAYA-24h'!C53,'22.10 KAYUNGA-GALIRAYA'!C53,'23.10 KAYUNGA-GALIRAYA'!C53)</f>
        <v>0.5714285714285714</v>
      </c>
      <c r="D53" s="49">
        <f>AVERAGE('17.10 KAYUNGA-GALIRAYA'!D53,'18.10 KAYUNGA-GALIRAYA'!D53,'19.10 KAYUNGA-GALIRAYA-24h'!D53,'20.10 KAYUNGA-GALIRAYA'!D53,'21.10 KAYUNGA-GALIRAYA-24h'!D53,'22.10 KAYUNGA-GALIRAYA'!D53,'23.10 KAYUNGA-GALIRAYA'!D53)</f>
        <v>0.14285714285714285</v>
      </c>
      <c r="E53" s="49">
        <f>AVERAGE('17.10 KAYUNGA-GALIRAYA'!E53,'18.10 KAYUNGA-GALIRAYA'!E53,'19.10 KAYUNGA-GALIRAYA-24h'!E53,'20.10 KAYUNGA-GALIRAYA'!E53,'21.10 KAYUNGA-GALIRAYA-24h'!E53,'22.10 KAYUNGA-GALIRAYA'!E53,'23.10 KAYUNGA-GALIRAYA'!E53)</f>
        <v>0.42857142857142855</v>
      </c>
      <c r="F53" s="49">
        <f>AVERAGE('17.10 KAYUNGA-GALIRAYA'!F53,'18.10 KAYUNGA-GALIRAYA'!F53,'19.10 KAYUNGA-GALIRAYA-24h'!F53,'20.10 KAYUNGA-GALIRAYA'!F53,'21.10 KAYUNGA-GALIRAYA-24h'!F53,'22.10 KAYUNGA-GALIRAYA'!F53,'23.10 KAYUNGA-GALIRAYA'!F53)</f>
        <v>1.5714285714285714</v>
      </c>
      <c r="G53" s="49">
        <f>AVERAGE('17.10 KAYUNGA-GALIRAYA'!G53,'18.10 KAYUNGA-GALIRAYA'!G53,'19.10 KAYUNGA-GALIRAYA-24h'!G53,'20.10 KAYUNGA-GALIRAYA'!G53,'21.10 KAYUNGA-GALIRAYA-24h'!G53,'22.10 KAYUNGA-GALIRAYA'!G53,'23.10 KAYUNGA-GALIRAYA'!G53)</f>
        <v>0</v>
      </c>
      <c r="H53" s="49">
        <f>AVERAGE('17.10 KAYUNGA-GALIRAYA'!H53,'18.10 KAYUNGA-GALIRAYA'!H53,'19.10 KAYUNGA-GALIRAYA-24h'!H53,'20.10 KAYUNGA-GALIRAYA'!H53,'21.10 KAYUNGA-GALIRAYA-24h'!H53,'22.10 KAYUNGA-GALIRAYA'!H53,'23.10 KAYUNGA-GALIRAYA'!H53)</f>
        <v>0</v>
      </c>
      <c r="I53" s="49">
        <f>AVERAGE('17.10 KAYUNGA-GALIRAYA'!I53,'18.10 KAYUNGA-GALIRAYA'!I53,'19.10 KAYUNGA-GALIRAYA-24h'!I53,'20.10 KAYUNGA-GALIRAYA'!I53,'21.10 KAYUNGA-GALIRAYA-24h'!I53,'22.10 KAYUNGA-GALIRAYA'!I53,'23.10 KAYUNGA-GALIRAYA'!I53)</f>
        <v>0.5714285714285714</v>
      </c>
      <c r="J53" s="49">
        <f>AVERAGE('17.10 KAYUNGA-GALIRAYA'!J53,'18.10 KAYUNGA-GALIRAYA'!J53,'19.10 KAYUNGA-GALIRAYA-24h'!J53,'20.10 KAYUNGA-GALIRAYA'!J53,'21.10 KAYUNGA-GALIRAYA-24h'!J53,'22.10 KAYUNGA-GALIRAYA'!J53,'23.10 KAYUNGA-GALIRAYA'!J53)</f>
        <v>0.2857142857142857</v>
      </c>
      <c r="K53" s="49">
        <f>AVERAGE('17.10 KAYUNGA-GALIRAYA'!K53,'18.10 KAYUNGA-GALIRAYA'!K53,'19.10 KAYUNGA-GALIRAYA-24h'!K53,'20.10 KAYUNGA-GALIRAYA'!K53,'21.10 KAYUNGA-GALIRAYA-24h'!K53,'22.10 KAYUNGA-GALIRAYA'!K53,'23.10 KAYUNGA-GALIRAYA'!K53)</f>
        <v>0</v>
      </c>
      <c r="L53" s="49">
        <f>AVERAGE('17.10 KAYUNGA-GALIRAYA'!L53,'18.10 KAYUNGA-GALIRAYA'!L53,'19.10 KAYUNGA-GALIRAYA-24h'!L53,'20.10 KAYUNGA-GALIRAYA'!L53,'21.10 KAYUNGA-GALIRAYA-24h'!L53,'22.10 KAYUNGA-GALIRAYA'!L53,'23.10 KAYUNGA-GALIRAYA'!L53)</f>
        <v>0</v>
      </c>
      <c r="M53" s="49">
        <f>AVERAGE('17.10 KAYUNGA-GALIRAYA'!M53,'18.10 KAYUNGA-GALIRAYA'!M53,'19.10 KAYUNGA-GALIRAYA-24h'!M53,'20.10 KAYUNGA-GALIRAYA'!M53,'21.10 KAYUNGA-GALIRAYA-24h'!M53,'22.10 KAYUNGA-GALIRAYA'!M53,'23.10 KAYUNGA-GALIRAYA'!M53)</f>
        <v>10.142857142857142</v>
      </c>
      <c r="N53" s="49">
        <f>AVERAGE('17.10 KAYUNGA-GALIRAYA'!N53,'18.10 KAYUNGA-GALIRAYA'!N53,'19.10 KAYUNGA-GALIRAYA-24h'!N53,'20.10 KAYUNGA-GALIRAYA'!N53,'21.10 KAYUNGA-GALIRAYA-24h'!N53,'22.10 KAYUNGA-GALIRAYA'!N53,'23.10 KAYUNGA-GALIRAYA'!N53)</f>
        <v>0.14285714285714285</v>
      </c>
      <c r="O53" s="15">
        <f t="shared" si="0"/>
        <v>3.714285714285714</v>
      </c>
      <c r="P53" s="15">
        <f t="shared" si="1"/>
        <v>13.857142857142856</v>
      </c>
      <c r="R53" s="8"/>
      <c r="T53"/>
    </row>
    <row r="54" spans="2:20" ht="23.1" customHeight="1" x14ac:dyDescent="0.25">
      <c r="B54" s="23" t="s">
        <v>81</v>
      </c>
      <c r="C54" s="49">
        <f>AVERAGE('17.10 KAYUNGA-GALIRAYA'!C54,'18.10 KAYUNGA-GALIRAYA'!C54,'19.10 KAYUNGA-GALIRAYA-24h'!C54,'20.10 KAYUNGA-GALIRAYA'!C54,'21.10 KAYUNGA-GALIRAYA-24h'!C54,'22.10 KAYUNGA-GALIRAYA'!C54,'23.10 KAYUNGA-GALIRAYA'!C54)</f>
        <v>1</v>
      </c>
      <c r="D54" s="49">
        <f>AVERAGE('17.10 KAYUNGA-GALIRAYA'!D54,'18.10 KAYUNGA-GALIRAYA'!D54,'19.10 KAYUNGA-GALIRAYA-24h'!D54,'20.10 KAYUNGA-GALIRAYA'!D54,'21.10 KAYUNGA-GALIRAYA-24h'!D54,'22.10 KAYUNGA-GALIRAYA'!D54,'23.10 KAYUNGA-GALIRAYA'!D54)</f>
        <v>0</v>
      </c>
      <c r="E54" s="49">
        <f>AVERAGE('17.10 KAYUNGA-GALIRAYA'!E54,'18.10 KAYUNGA-GALIRAYA'!E54,'19.10 KAYUNGA-GALIRAYA-24h'!E54,'20.10 KAYUNGA-GALIRAYA'!E54,'21.10 KAYUNGA-GALIRAYA-24h'!E54,'22.10 KAYUNGA-GALIRAYA'!E54,'23.10 KAYUNGA-GALIRAYA'!E54)</f>
        <v>0.42857142857142855</v>
      </c>
      <c r="F54" s="49">
        <f>AVERAGE('17.10 KAYUNGA-GALIRAYA'!F54,'18.10 KAYUNGA-GALIRAYA'!F54,'19.10 KAYUNGA-GALIRAYA-24h'!F54,'20.10 KAYUNGA-GALIRAYA'!F54,'21.10 KAYUNGA-GALIRAYA-24h'!F54,'22.10 KAYUNGA-GALIRAYA'!F54,'23.10 KAYUNGA-GALIRAYA'!F54)</f>
        <v>2.1428571428571428</v>
      </c>
      <c r="G54" s="49">
        <f>AVERAGE('17.10 KAYUNGA-GALIRAYA'!G54,'18.10 KAYUNGA-GALIRAYA'!G54,'19.10 KAYUNGA-GALIRAYA-24h'!G54,'20.10 KAYUNGA-GALIRAYA'!G54,'21.10 KAYUNGA-GALIRAYA-24h'!G54,'22.10 KAYUNGA-GALIRAYA'!G54,'23.10 KAYUNGA-GALIRAYA'!G54)</f>
        <v>0.14285714285714285</v>
      </c>
      <c r="H54" s="49">
        <f>AVERAGE('17.10 KAYUNGA-GALIRAYA'!H54,'18.10 KAYUNGA-GALIRAYA'!H54,'19.10 KAYUNGA-GALIRAYA-24h'!H54,'20.10 KAYUNGA-GALIRAYA'!H54,'21.10 KAYUNGA-GALIRAYA-24h'!H54,'22.10 KAYUNGA-GALIRAYA'!H54,'23.10 KAYUNGA-GALIRAYA'!H54)</f>
        <v>0</v>
      </c>
      <c r="I54" s="49">
        <f>AVERAGE('17.10 KAYUNGA-GALIRAYA'!I54,'18.10 KAYUNGA-GALIRAYA'!I54,'19.10 KAYUNGA-GALIRAYA-24h'!I54,'20.10 KAYUNGA-GALIRAYA'!I54,'21.10 KAYUNGA-GALIRAYA-24h'!I54,'22.10 KAYUNGA-GALIRAYA'!I54,'23.10 KAYUNGA-GALIRAYA'!I54)</f>
        <v>1.1428571428571428</v>
      </c>
      <c r="J54" s="49">
        <f>AVERAGE('17.10 KAYUNGA-GALIRAYA'!J54,'18.10 KAYUNGA-GALIRAYA'!J54,'19.10 KAYUNGA-GALIRAYA-24h'!J54,'20.10 KAYUNGA-GALIRAYA'!J54,'21.10 KAYUNGA-GALIRAYA-24h'!J54,'22.10 KAYUNGA-GALIRAYA'!J54,'23.10 KAYUNGA-GALIRAYA'!J54)</f>
        <v>0.42857142857142855</v>
      </c>
      <c r="K54" s="49">
        <f>AVERAGE('17.10 KAYUNGA-GALIRAYA'!K54,'18.10 KAYUNGA-GALIRAYA'!K54,'19.10 KAYUNGA-GALIRAYA-24h'!K54,'20.10 KAYUNGA-GALIRAYA'!K54,'21.10 KAYUNGA-GALIRAYA-24h'!K54,'22.10 KAYUNGA-GALIRAYA'!K54,'23.10 KAYUNGA-GALIRAYA'!K54)</f>
        <v>0</v>
      </c>
      <c r="L54" s="49">
        <f>AVERAGE('17.10 KAYUNGA-GALIRAYA'!L54,'18.10 KAYUNGA-GALIRAYA'!L54,'19.10 KAYUNGA-GALIRAYA-24h'!L54,'20.10 KAYUNGA-GALIRAYA'!L54,'21.10 KAYUNGA-GALIRAYA-24h'!L54,'22.10 KAYUNGA-GALIRAYA'!L54,'23.10 KAYUNGA-GALIRAYA'!L54)</f>
        <v>0</v>
      </c>
      <c r="M54" s="49">
        <f>AVERAGE('17.10 KAYUNGA-GALIRAYA'!M54,'18.10 KAYUNGA-GALIRAYA'!M54,'19.10 KAYUNGA-GALIRAYA-24h'!M54,'20.10 KAYUNGA-GALIRAYA'!M54,'21.10 KAYUNGA-GALIRAYA-24h'!M54,'22.10 KAYUNGA-GALIRAYA'!M54,'23.10 KAYUNGA-GALIRAYA'!M54)</f>
        <v>12.857142857142858</v>
      </c>
      <c r="N54" s="49">
        <f>AVERAGE('17.10 KAYUNGA-GALIRAYA'!N54,'18.10 KAYUNGA-GALIRAYA'!N54,'19.10 KAYUNGA-GALIRAYA-24h'!N54,'20.10 KAYUNGA-GALIRAYA'!N54,'21.10 KAYUNGA-GALIRAYA-24h'!N54,'22.10 KAYUNGA-GALIRAYA'!N54,'23.10 KAYUNGA-GALIRAYA'!N54)</f>
        <v>0</v>
      </c>
      <c r="O54" s="15">
        <f t="shared" si="0"/>
        <v>5.2857142857142856</v>
      </c>
      <c r="P54" s="15">
        <f t="shared" si="1"/>
        <v>18.142857142857142</v>
      </c>
      <c r="R54" s="8"/>
      <c r="T54"/>
    </row>
    <row r="55" spans="2:20" ht="23.1" customHeight="1" x14ac:dyDescent="0.25">
      <c r="B55" s="23" t="s">
        <v>82</v>
      </c>
      <c r="C55" s="49">
        <f>AVERAGE('17.10 KAYUNGA-GALIRAYA'!C55,'18.10 KAYUNGA-GALIRAYA'!C55,'19.10 KAYUNGA-GALIRAYA-24h'!C55,'20.10 KAYUNGA-GALIRAYA'!C55,'21.10 KAYUNGA-GALIRAYA-24h'!C55,'22.10 KAYUNGA-GALIRAYA'!C55,'23.10 KAYUNGA-GALIRAYA'!C55)</f>
        <v>0.8571428571428571</v>
      </c>
      <c r="D55" s="49">
        <f>AVERAGE('17.10 KAYUNGA-GALIRAYA'!D55,'18.10 KAYUNGA-GALIRAYA'!D55,'19.10 KAYUNGA-GALIRAYA-24h'!D55,'20.10 KAYUNGA-GALIRAYA'!D55,'21.10 KAYUNGA-GALIRAYA-24h'!D55,'22.10 KAYUNGA-GALIRAYA'!D55,'23.10 KAYUNGA-GALIRAYA'!D55)</f>
        <v>0.2857142857142857</v>
      </c>
      <c r="E55" s="49">
        <f>AVERAGE('17.10 KAYUNGA-GALIRAYA'!E55,'18.10 KAYUNGA-GALIRAYA'!E55,'19.10 KAYUNGA-GALIRAYA-24h'!E55,'20.10 KAYUNGA-GALIRAYA'!E55,'21.10 KAYUNGA-GALIRAYA-24h'!E55,'22.10 KAYUNGA-GALIRAYA'!E55,'23.10 KAYUNGA-GALIRAYA'!E55)</f>
        <v>0.42857142857142855</v>
      </c>
      <c r="F55" s="49">
        <f>AVERAGE('17.10 KAYUNGA-GALIRAYA'!F55,'18.10 KAYUNGA-GALIRAYA'!F55,'19.10 KAYUNGA-GALIRAYA-24h'!F55,'20.10 KAYUNGA-GALIRAYA'!F55,'21.10 KAYUNGA-GALIRAYA-24h'!F55,'22.10 KAYUNGA-GALIRAYA'!F55,'23.10 KAYUNGA-GALIRAYA'!F55)</f>
        <v>1.4285714285714286</v>
      </c>
      <c r="G55" s="49">
        <f>AVERAGE('17.10 KAYUNGA-GALIRAYA'!G55,'18.10 KAYUNGA-GALIRAYA'!G55,'19.10 KAYUNGA-GALIRAYA-24h'!G55,'20.10 KAYUNGA-GALIRAYA'!G55,'21.10 KAYUNGA-GALIRAYA-24h'!G55,'22.10 KAYUNGA-GALIRAYA'!G55,'23.10 KAYUNGA-GALIRAYA'!G55)</f>
        <v>0</v>
      </c>
      <c r="H55" s="49">
        <f>AVERAGE('17.10 KAYUNGA-GALIRAYA'!H55,'18.10 KAYUNGA-GALIRAYA'!H55,'19.10 KAYUNGA-GALIRAYA-24h'!H55,'20.10 KAYUNGA-GALIRAYA'!H55,'21.10 KAYUNGA-GALIRAYA-24h'!H55,'22.10 KAYUNGA-GALIRAYA'!H55,'23.10 KAYUNGA-GALIRAYA'!H55)</f>
        <v>0</v>
      </c>
      <c r="I55" s="49">
        <f>AVERAGE('17.10 KAYUNGA-GALIRAYA'!I55,'18.10 KAYUNGA-GALIRAYA'!I55,'19.10 KAYUNGA-GALIRAYA-24h'!I55,'20.10 KAYUNGA-GALIRAYA'!I55,'21.10 KAYUNGA-GALIRAYA-24h'!I55,'22.10 KAYUNGA-GALIRAYA'!I55,'23.10 KAYUNGA-GALIRAYA'!I55)</f>
        <v>1.1428571428571428</v>
      </c>
      <c r="J55" s="49">
        <f>AVERAGE('17.10 KAYUNGA-GALIRAYA'!J55,'18.10 KAYUNGA-GALIRAYA'!J55,'19.10 KAYUNGA-GALIRAYA-24h'!J55,'20.10 KAYUNGA-GALIRAYA'!J55,'21.10 KAYUNGA-GALIRAYA-24h'!J55,'22.10 KAYUNGA-GALIRAYA'!J55,'23.10 KAYUNGA-GALIRAYA'!J55)</f>
        <v>0.14285714285714285</v>
      </c>
      <c r="K55" s="49">
        <f>AVERAGE('17.10 KAYUNGA-GALIRAYA'!K55,'18.10 KAYUNGA-GALIRAYA'!K55,'19.10 KAYUNGA-GALIRAYA-24h'!K55,'20.10 KAYUNGA-GALIRAYA'!K55,'21.10 KAYUNGA-GALIRAYA-24h'!K55,'22.10 KAYUNGA-GALIRAYA'!K55,'23.10 KAYUNGA-GALIRAYA'!K55)</f>
        <v>0.7142857142857143</v>
      </c>
      <c r="L55" s="49">
        <f>AVERAGE('17.10 KAYUNGA-GALIRAYA'!L55,'18.10 KAYUNGA-GALIRAYA'!L55,'19.10 KAYUNGA-GALIRAYA-24h'!L55,'20.10 KAYUNGA-GALIRAYA'!L55,'21.10 KAYUNGA-GALIRAYA-24h'!L55,'22.10 KAYUNGA-GALIRAYA'!L55,'23.10 KAYUNGA-GALIRAYA'!L55)</f>
        <v>0.14285714285714285</v>
      </c>
      <c r="M55" s="49">
        <f>AVERAGE('17.10 KAYUNGA-GALIRAYA'!M55,'18.10 KAYUNGA-GALIRAYA'!M55,'19.10 KAYUNGA-GALIRAYA-24h'!M55,'20.10 KAYUNGA-GALIRAYA'!M55,'21.10 KAYUNGA-GALIRAYA-24h'!M55,'22.10 KAYUNGA-GALIRAYA'!M55,'23.10 KAYUNGA-GALIRAYA'!M55)</f>
        <v>10.571428571428571</v>
      </c>
      <c r="N55" s="49">
        <f>AVERAGE('17.10 KAYUNGA-GALIRAYA'!N55,'18.10 KAYUNGA-GALIRAYA'!N55,'19.10 KAYUNGA-GALIRAYA-24h'!N55,'20.10 KAYUNGA-GALIRAYA'!N55,'21.10 KAYUNGA-GALIRAYA-24h'!N55,'22.10 KAYUNGA-GALIRAYA'!N55,'23.10 KAYUNGA-GALIRAYA'!N55)</f>
        <v>0</v>
      </c>
      <c r="O55" s="15">
        <f t="shared" si="0"/>
        <v>5.1428571428571432</v>
      </c>
      <c r="P55" s="15">
        <f t="shared" si="1"/>
        <v>15.714285714285715</v>
      </c>
      <c r="R55" s="8"/>
      <c r="T55"/>
    </row>
    <row r="56" spans="2:20" ht="23.1" customHeight="1" x14ac:dyDescent="0.25">
      <c r="B56" s="23" t="s">
        <v>83</v>
      </c>
      <c r="C56" s="49">
        <f>AVERAGE('17.10 KAYUNGA-GALIRAYA'!C56,'18.10 KAYUNGA-GALIRAYA'!C56,'19.10 KAYUNGA-GALIRAYA-24h'!C56,'20.10 KAYUNGA-GALIRAYA'!C56,'21.10 KAYUNGA-GALIRAYA-24h'!C56,'22.10 KAYUNGA-GALIRAYA'!C56,'23.10 KAYUNGA-GALIRAYA'!C56)</f>
        <v>1.1428571428571428</v>
      </c>
      <c r="D56" s="49">
        <f>AVERAGE('17.10 KAYUNGA-GALIRAYA'!D56,'18.10 KAYUNGA-GALIRAYA'!D56,'19.10 KAYUNGA-GALIRAYA-24h'!D56,'20.10 KAYUNGA-GALIRAYA'!D56,'21.10 KAYUNGA-GALIRAYA-24h'!D56,'22.10 KAYUNGA-GALIRAYA'!D56,'23.10 KAYUNGA-GALIRAYA'!D56)</f>
        <v>0.8571428571428571</v>
      </c>
      <c r="E56" s="49">
        <f>AVERAGE('17.10 KAYUNGA-GALIRAYA'!E56,'18.10 KAYUNGA-GALIRAYA'!E56,'19.10 KAYUNGA-GALIRAYA-24h'!E56,'20.10 KAYUNGA-GALIRAYA'!E56,'21.10 KAYUNGA-GALIRAYA-24h'!E56,'22.10 KAYUNGA-GALIRAYA'!E56,'23.10 KAYUNGA-GALIRAYA'!E56)</f>
        <v>0</v>
      </c>
      <c r="F56" s="49">
        <f>AVERAGE('17.10 KAYUNGA-GALIRAYA'!F56,'18.10 KAYUNGA-GALIRAYA'!F56,'19.10 KAYUNGA-GALIRAYA-24h'!F56,'20.10 KAYUNGA-GALIRAYA'!F56,'21.10 KAYUNGA-GALIRAYA-24h'!F56,'22.10 KAYUNGA-GALIRAYA'!F56,'23.10 KAYUNGA-GALIRAYA'!F56)</f>
        <v>1.2857142857142858</v>
      </c>
      <c r="G56" s="49">
        <f>AVERAGE('17.10 KAYUNGA-GALIRAYA'!G56,'18.10 KAYUNGA-GALIRAYA'!G56,'19.10 KAYUNGA-GALIRAYA-24h'!G56,'20.10 KAYUNGA-GALIRAYA'!G56,'21.10 KAYUNGA-GALIRAYA-24h'!G56,'22.10 KAYUNGA-GALIRAYA'!G56,'23.10 KAYUNGA-GALIRAYA'!G56)</f>
        <v>0.14285714285714285</v>
      </c>
      <c r="H56" s="49">
        <f>AVERAGE('17.10 KAYUNGA-GALIRAYA'!H56,'18.10 KAYUNGA-GALIRAYA'!H56,'19.10 KAYUNGA-GALIRAYA-24h'!H56,'20.10 KAYUNGA-GALIRAYA'!H56,'21.10 KAYUNGA-GALIRAYA-24h'!H56,'22.10 KAYUNGA-GALIRAYA'!H56,'23.10 KAYUNGA-GALIRAYA'!H56)</f>
        <v>0</v>
      </c>
      <c r="I56" s="49">
        <f>AVERAGE('17.10 KAYUNGA-GALIRAYA'!I56,'18.10 KAYUNGA-GALIRAYA'!I56,'19.10 KAYUNGA-GALIRAYA-24h'!I56,'20.10 KAYUNGA-GALIRAYA'!I56,'21.10 KAYUNGA-GALIRAYA-24h'!I56,'22.10 KAYUNGA-GALIRAYA'!I56,'23.10 KAYUNGA-GALIRAYA'!I56)</f>
        <v>0.8571428571428571</v>
      </c>
      <c r="J56" s="49">
        <f>AVERAGE('17.10 KAYUNGA-GALIRAYA'!J56,'18.10 KAYUNGA-GALIRAYA'!J56,'19.10 KAYUNGA-GALIRAYA-24h'!J56,'20.10 KAYUNGA-GALIRAYA'!J56,'21.10 KAYUNGA-GALIRAYA-24h'!J56,'22.10 KAYUNGA-GALIRAYA'!J56,'23.10 KAYUNGA-GALIRAYA'!J56)</f>
        <v>0</v>
      </c>
      <c r="K56" s="49">
        <f>AVERAGE('17.10 KAYUNGA-GALIRAYA'!K56,'18.10 KAYUNGA-GALIRAYA'!K56,'19.10 KAYUNGA-GALIRAYA-24h'!K56,'20.10 KAYUNGA-GALIRAYA'!K56,'21.10 KAYUNGA-GALIRAYA-24h'!K56,'22.10 KAYUNGA-GALIRAYA'!K56,'23.10 KAYUNGA-GALIRAYA'!K56)</f>
        <v>1</v>
      </c>
      <c r="L56" s="49">
        <f>AVERAGE('17.10 KAYUNGA-GALIRAYA'!L56,'18.10 KAYUNGA-GALIRAYA'!L56,'19.10 KAYUNGA-GALIRAYA-24h'!L56,'20.10 KAYUNGA-GALIRAYA'!L56,'21.10 KAYUNGA-GALIRAYA-24h'!L56,'22.10 KAYUNGA-GALIRAYA'!L56,'23.10 KAYUNGA-GALIRAYA'!L56)</f>
        <v>0.14285714285714285</v>
      </c>
      <c r="M56" s="49">
        <f>AVERAGE('17.10 KAYUNGA-GALIRAYA'!M56,'18.10 KAYUNGA-GALIRAYA'!M56,'19.10 KAYUNGA-GALIRAYA-24h'!M56,'20.10 KAYUNGA-GALIRAYA'!M56,'21.10 KAYUNGA-GALIRAYA-24h'!M56,'22.10 KAYUNGA-GALIRAYA'!M56,'23.10 KAYUNGA-GALIRAYA'!M56)</f>
        <v>13.571428571428571</v>
      </c>
      <c r="N56" s="49">
        <f>AVERAGE('17.10 KAYUNGA-GALIRAYA'!N56,'18.10 KAYUNGA-GALIRAYA'!N56,'19.10 KAYUNGA-GALIRAYA-24h'!N56,'20.10 KAYUNGA-GALIRAYA'!N56,'21.10 KAYUNGA-GALIRAYA-24h'!N56,'22.10 KAYUNGA-GALIRAYA'!N56,'23.10 KAYUNGA-GALIRAYA'!N56)</f>
        <v>0</v>
      </c>
      <c r="O56" s="15">
        <f t="shared" si="0"/>
        <v>5.4285714285714288</v>
      </c>
      <c r="P56" s="15">
        <f t="shared" si="1"/>
        <v>19</v>
      </c>
      <c r="R56" s="8"/>
      <c r="T56"/>
    </row>
    <row r="57" spans="2:20" ht="23.1" customHeight="1" x14ac:dyDescent="0.25">
      <c r="B57" s="23" t="s">
        <v>84</v>
      </c>
      <c r="C57" s="49">
        <f>AVERAGE('17.10 KAYUNGA-GALIRAYA'!C57,'18.10 KAYUNGA-GALIRAYA'!C57,'19.10 KAYUNGA-GALIRAYA-24h'!C57,'20.10 KAYUNGA-GALIRAYA'!C57,'21.10 KAYUNGA-GALIRAYA-24h'!C57,'22.10 KAYUNGA-GALIRAYA'!C57,'23.10 KAYUNGA-GALIRAYA'!C57)</f>
        <v>1.4285714285714286</v>
      </c>
      <c r="D57" s="49">
        <f>AVERAGE('17.10 KAYUNGA-GALIRAYA'!D57,'18.10 KAYUNGA-GALIRAYA'!D57,'19.10 KAYUNGA-GALIRAYA-24h'!D57,'20.10 KAYUNGA-GALIRAYA'!D57,'21.10 KAYUNGA-GALIRAYA-24h'!D57,'22.10 KAYUNGA-GALIRAYA'!D57,'23.10 KAYUNGA-GALIRAYA'!D57)</f>
        <v>0.14285714285714285</v>
      </c>
      <c r="E57" s="49">
        <f>AVERAGE('17.10 KAYUNGA-GALIRAYA'!E57,'18.10 KAYUNGA-GALIRAYA'!E57,'19.10 KAYUNGA-GALIRAYA-24h'!E57,'20.10 KAYUNGA-GALIRAYA'!E57,'21.10 KAYUNGA-GALIRAYA-24h'!E57,'22.10 KAYUNGA-GALIRAYA'!E57,'23.10 KAYUNGA-GALIRAYA'!E57)</f>
        <v>0.14285714285714285</v>
      </c>
      <c r="F57" s="49">
        <f>AVERAGE('17.10 KAYUNGA-GALIRAYA'!F57,'18.10 KAYUNGA-GALIRAYA'!F57,'19.10 KAYUNGA-GALIRAYA-24h'!F57,'20.10 KAYUNGA-GALIRAYA'!F57,'21.10 KAYUNGA-GALIRAYA-24h'!F57,'22.10 KAYUNGA-GALIRAYA'!F57,'23.10 KAYUNGA-GALIRAYA'!F57)</f>
        <v>1.4285714285714286</v>
      </c>
      <c r="G57" s="49">
        <f>AVERAGE('17.10 KAYUNGA-GALIRAYA'!G57,'18.10 KAYUNGA-GALIRAYA'!G57,'19.10 KAYUNGA-GALIRAYA-24h'!G57,'20.10 KAYUNGA-GALIRAYA'!G57,'21.10 KAYUNGA-GALIRAYA-24h'!G57,'22.10 KAYUNGA-GALIRAYA'!G57,'23.10 KAYUNGA-GALIRAYA'!G57)</f>
        <v>0.14285714285714285</v>
      </c>
      <c r="H57" s="49">
        <f>AVERAGE('17.10 KAYUNGA-GALIRAYA'!H57,'18.10 KAYUNGA-GALIRAYA'!H57,'19.10 KAYUNGA-GALIRAYA-24h'!H57,'20.10 KAYUNGA-GALIRAYA'!H57,'21.10 KAYUNGA-GALIRAYA-24h'!H57,'22.10 KAYUNGA-GALIRAYA'!H57,'23.10 KAYUNGA-GALIRAYA'!H57)</f>
        <v>0</v>
      </c>
      <c r="I57" s="49">
        <f>AVERAGE('17.10 KAYUNGA-GALIRAYA'!I57,'18.10 KAYUNGA-GALIRAYA'!I57,'19.10 KAYUNGA-GALIRAYA-24h'!I57,'20.10 KAYUNGA-GALIRAYA'!I57,'21.10 KAYUNGA-GALIRAYA-24h'!I57,'22.10 KAYUNGA-GALIRAYA'!I57,'23.10 KAYUNGA-GALIRAYA'!I57)</f>
        <v>0.14285714285714285</v>
      </c>
      <c r="J57" s="49">
        <f>AVERAGE('17.10 KAYUNGA-GALIRAYA'!J57,'18.10 KAYUNGA-GALIRAYA'!J57,'19.10 KAYUNGA-GALIRAYA-24h'!J57,'20.10 KAYUNGA-GALIRAYA'!J57,'21.10 KAYUNGA-GALIRAYA-24h'!J57,'22.10 KAYUNGA-GALIRAYA'!J57,'23.10 KAYUNGA-GALIRAYA'!J57)</f>
        <v>0.14285714285714285</v>
      </c>
      <c r="K57" s="49">
        <f>AVERAGE('17.10 KAYUNGA-GALIRAYA'!K57,'18.10 KAYUNGA-GALIRAYA'!K57,'19.10 KAYUNGA-GALIRAYA-24h'!K57,'20.10 KAYUNGA-GALIRAYA'!K57,'21.10 KAYUNGA-GALIRAYA-24h'!K57,'22.10 KAYUNGA-GALIRAYA'!K57,'23.10 KAYUNGA-GALIRAYA'!K57)</f>
        <v>0.2857142857142857</v>
      </c>
      <c r="L57" s="49">
        <f>AVERAGE('17.10 KAYUNGA-GALIRAYA'!L57,'18.10 KAYUNGA-GALIRAYA'!L57,'19.10 KAYUNGA-GALIRAYA-24h'!L57,'20.10 KAYUNGA-GALIRAYA'!L57,'21.10 KAYUNGA-GALIRAYA-24h'!L57,'22.10 KAYUNGA-GALIRAYA'!L57,'23.10 KAYUNGA-GALIRAYA'!L57)</f>
        <v>0</v>
      </c>
      <c r="M57" s="49">
        <f>AVERAGE('17.10 KAYUNGA-GALIRAYA'!M57,'18.10 KAYUNGA-GALIRAYA'!M57,'19.10 KAYUNGA-GALIRAYA-24h'!M57,'20.10 KAYUNGA-GALIRAYA'!M57,'21.10 KAYUNGA-GALIRAYA-24h'!M57,'22.10 KAYUNGA-GALIRAYA'!M57,'23.10 KAYUNGA-GALIRAYA'!M57)</f>
        <v>9.5714285714285712</v>
      </c>
      <c r="N57" s="49">
        <f>AVERAGE('17.10 KAYUNGA-GALIRAYA'!N57,'18.10 KAYUNGA-GALIRAYA'!N57,'19.10 KAYUNGA-GALIRAYA-24h'!N57,'20.10 KAYUNGA-GALIRAYA'!N57,'21.10 KAYUNGA-GALIRAYA-24h'!N57,'22.10 KAYUNGA-GALIRAYA'!N57,'23.10 KAYUNGA-GALIRAYA'!N57)</f>
        <v>0</v>
      </c>
      <c r="O57" s="15">
        <f t="shared" si="0"/>
        <v>3.8571428571428568</v>
      </c>
      <c r="P57" s="15">
        <f t="shared" si="1"/>
        <v>13.428571428571427</v>
      </c>
      <c r="R57" s="8"/>
      <c r="T57"/>
    </row>
    <row r="58" spans="2:20" ht="23.1" customHeight="1" x14ac:dyDescent="0.25">
      <c r="B58" s="23" t="s">
        <v>99</v>
      </c>
      <c r="C58" s="49">
        <f>AVERAGE('19.10 KAYUNGA-GALIRAYA-24h'!C58,'21.10 KAYUNGA-GALIRAYA-24h'!C58)</f>
        <v>0.5</v>
      </c>
      <c r="D58" s="49">
        <f>AVERAGE('19.10 KAYUNGA-GALIRAYA-24h'!D58,'21.10 KAYUNGA-GALIRAYA-24h'!D58)</f>
        <v>0</v>
      </c>
      <c r="E58" s="49">
        <f>AVERAGE('19.10 KAYUNGA-GALIRAYA-24h'!E58,'21.10 KAYUNGA-GALIRAYA-24h'!E58)</f>
        <v>0</v>
      </c>
      <c r="F58" s="49">
        <f>AVERAGE('19.10 KAYUNGA-GALIRAYA-24h'!F58,'21.10 KAYUNGA-GALIRAYA-24h'!F58)</f>
        <v>1.5</v>
      </c>
      <c r="G58" s="49">
        <f>AVERAGE('19.10 KAYUNGA-GALIRAYA-24h'!G58,'21.10 KAYUNGA-GALIRAYA-24h'!G58)</f>
        <v>0</v>
      </c>
      <c r="H58" s="49">
        <f>AVERAGE('19.10 KAYUNGA-GALIRAYA-24h'!H58,'21.10 KAYUNGA-GALIRAYA-24h'!H58)</f>
        <v>0</v>
      </c>
      <c r="I58" s="49">
        <f>AVERAGE('19.10 KAYUNGA-GALIRAYA-24h'!I58,'21.10 KAYUNGA-GALIRAYA-24h'!I58)</f>
        <v>0.5</v>
      </c>
      <c r="J58" s="49">
        <f>AVERAGE('19.10 KAYUNGA-GALIRAYA-24h'!J58,'21.10 KAYUNGA-GALIRAYA-24h'!J58)</f>
        <v>0.5</v>
      </c>
      <c r="K58" s="49">
        <f>AVERAGE('19.10 KAYUNGA-GALIRAYA-24h'!K58,'21.10 KAYUNGA-GALIRAYA-24h'!K58)</f>
        <v>0</v>
      </c>
      <c r="L58" s="49">
        <f>AVERAGE('19.10 KAYUNGA-GALIRAYA-24h'!L58,'21.10 KAYUNGA-GALIRAYA-24h'!L58)</f>
        <v>0</v>
      </c>
      <c r="M58" s="49">
        <f>AVERAGE('19.10 KAYUNGA-GALIRAYA-24h'!M58,'21.10 KAYUNGA-GALIRAYA-24h'!M58)</f>
        <v>10</v>
      </c>
      <c r="N58" s="49">
        <f>AVERAGE('19.10 KAYUNGA-GALIRAYA-24h'!N58,'21.10 KAYUNGA-GALIRAYA-24h'!N58)</f>
        <v>0</v>
      </c>
      <c r="O58" s="15">
        <f t="shared" si="0"/>
        <v>3</v>
      </c>
      <c r="P58" s="15">
        <f t="shared" si="1"/>
        <v>13</v>
      </c>
      <c r="R58" s="8"/>
      <c r="T58"/>
    </row>
    <row r="59" spans="2:20" ht="23.1" customHeight="1" x14ac:dyDescent="0.25">
      <c r="B59" s="23" t="s">
        <v>100</v>
      </c>
      <c r="C59" s="49">
        <f>AVERAGE('19.10 KAYUNGA-GALIRAYA-24h'!C59,'21.10 KAYUNGA-GALIRAYA-24h'!C59)</f>
        <v>2.5</v>
      </c>
      <c r="D59" s="49">
        <f>AVERAGE('19.10 KAYUNGA-GALIRAYA-24h'!D59,'21.10 KAYUNGA-GALIRAYA-24h'!D59)</f>
        <v>0</v>
      </c>
      <c r="E59" s="49">
        <f>AVERAGE('19.10 KAYUNGA-GALIRAYA-24h'!E59,'21.10 KAYUNGA-GALIRAYA-24h'!E59)</f>
        <v>1.5</v>
      </c>
      <c r="F59" s="49">
        <f>AVERAGE('19.10 KAYUNGA-GALIRAYA-24h'!F59,'21.10 KAYUNGA-GALIRAYA-24h'!F59)</f>
        <v>2.5</v>
      </c>
      <c r="G59" s="49">
        <f>AVERAGE('19.10 KAYUNGA-GALIRAYA-24h'!G59,'21.10 KAYUNGA-GALIRAYA-24h'!G59)</f>
        <v>0</v>
      </c>
      <c r="H59" s="49">
        <f>AVERAGE('19.10 KAYUNGA-GALIRAYA-24h'!H59,'21.10 KAYUNGA-GALIRAYA-24h'!H59)</f>
        <v>0</v>
      </c>
      <c r="I59" s="49">
        <f>AVERAGE('19.10 KAYUNGA-GALIRAYA-24h'!I59,'21.10 KAYUNGA-GALIRAYA-24h'!I59)</f>
        <v>0.5</v>
      </c>
      <c r="J59" s="49">
        <f>AVERAGE('19.10 KAYUNGA-GALIRAYA-24h'!J59,'21.10 KAYUNGA-GALIRAYA-24h'!J59)</f>
        <v>0</v>
      </c>
      <c r="K59" s="49">
        <f>AVERAGE('19.10 KAYUNGA-GALIRAYA-24h'!K59,'21.10 KAYUNGA-GALIRAYA-24h'!K59)</f>
        <v>0</v>
      </c>
      <c r="L59" s="49">
        <f>AVERAGE('19.10 KAYUNGA-GALIRAYA-24h'!L59,'21.10 KAYUNGA-GALIRAYA-24h'!L59)</f>
        <v>0</v>
      </c>
      <c r="M59" s="49">
        <f>AVERAGE('19.10 KAYUNGA-GALIRAYA-24h'!M59,'21.10 KAYUNGA-GALIRAYA-24h'!M59)</f>
        <v>16</v>
      </c>
      <c r="N59" s="49">
        <f>AVERAGE('19.10 KAYUNGA-GALIRAYA-24h'!N59,'21.10 KAYUNGA-GALIRAYA-24h'!N59)</f>
        <v>0</v>
      </c>
      <c r="O59" s="15">
        <f t="shared" si="0"/>
        <v>7</v>
      </c>
      <c r="P59" s="15">
        <f t="shared" si="1"/>
        <v>23</v>
      </c>
      <c r="R59" s="8"/>
      <c r="T59"/>
    </row>
    <row r="60" spans="2:20" ht="23.1" customHeight="1" x14ac:dyDescent="0.25">
      <c r="B60" s="23" t="s">
        <v>101</v>
      </c>
      <c r="C60" s="49">
        <f>AVERAGE('19.10 KAYUNGA-GALIRAYA-24h'!C60,'21.10 KAYUNGA-GALIRAYA-24h'!C60)</f>
        <v>0.5</v>
      </c>
      <c r="D60" s="49">
        <f>AVERAGE('19.10 KAYUNGA-GALIRAYA-24h'!D60,'21.10 KAYUNGA-GALIRAYA-24h'!D60)</f>
        <v>0</v>
      </c>
      <c r="E60" s="49">
        <f>AVERAGE('19.10 KAYUNGA-GALIRAYA-24h'!E60,'21.10 KAYUNGA-GALIRAYA-24h'!E60)</f>
        <v>0.5</v>
      </c>
      <c r="F60" s="49">
        <f>AVERAGE('19.10 KAYUNGA-GALIRAYA-24h'!F60,'21.10 KAYUNGA-GALIRAYA-24h'!F60)</f>
        <v>0</v>
      </c>
      <c r="G60" s="49">
        <f>AVERAGE('19.10 KAYUNGA-GALIRAYA-24h'!G60,'21.10 KAYUNGA-GALIRAYA-24h'!G60)</f>
        <v>0</v>
      </c>
      <c r="H60" s="49">
        <f>AVERAGE('19.10 KAYUNGA-GALIRAYA-24h'!H60,'21.10 KAYUNGA-GALIRAYA-24h'!H60)</f>
        <v>0</v>
      </c>
      <c r="I60" s="49">
        <f>AVERAGE('19.10 KAYUNGA-GALIRAYA-24h'!I60,'21.10 KAYUNGA-GALIRAYA-24h'!I60)</f>
        <v>0.5</v>
      </c>
      <c r="J60" s="49">
        <f>AVERAGE('19.10 KAYUNGA-GALIRAYA-24h'!J60,'21.10 KAYUNGA-GALIRAYA-24h'!J60)</f>
        <v>0.5</v>
      </c>
      <c r="K60" s="49">
        <f>AVERAGE('19.10 KAYUNGA-GALIRAYA-24h'!K60,'21.10 KAYUNGA-GALIRAYA-24h'!K60)</f>
        <v>0.5</v>
      </c>
      <c r="L60" s="49">
        <f>AVERAGE('19.10 KAYUNGA-GALIRAYA-24h'!L60,'21.10 KAYUNGA-GALIRAYA-24h'!L60)</f>
        <v>0</v>
      </c>
      <c r="M60" s="49">
        <f>AVERAGE('19.10 KAYUNGA-GALIRAYA-24h'!M60,'21.10 KAYUNGA-GALIRAYA-24h'!M60)</f>
        <v>8</v>
      </c>
      <c r="N60" s="49">
        <f>AVERAGE('19.10 KAYUNGA-GALIRAYA-24h'!N60,'21.10 KAYUNGA-GALIRAYA-24h'!N60)</f>
        <v>0</v>
      </c>
      <c r="O60" s="15">
        <f t="shared" si="0"/>
        <v>2.5</v>
      </c>
      <c r="P60" s="15">
        <f t="shared" si="1"/>
        <v>10.5</v>
      </c>
      <c r="R60" s="8"/>
      <c r="T60"/>
    </row>
    <row r="61" spans="2:20" ht="23.1" customHeight="1" x14ac:dyDescent="0.25">
      <c r="B61" s="23" t="s">
        <v>102</v>
      </c>
      <c r="C61" s="49">
        <f>AVERAGE('19.10 KAYUNGA-GALIRAYA-24h'!C61,'21.10 KAYUNGA-GALIRAYA-24h'!C61)</f>
        <v>1.5</v>
      </c>
      <c r="D61" s="49">
        <f>AVERAGE('19.10 KAYUNGA-GALIRAYA-24h'!D61,'21.10 KAYUNGA-GALIRAYA-24h'!D61)</f>
        <v>0</v>
      </c>
      <c r="E61" s="49">
        <f>AVERAGE('19.10 KAYUNGA-GALIRAYA-24h'!E61,'21.10 KAYUNGA-GALIRAYA-24h'!E61)</f>
        <v>0.5</v>
      </c>
      <c r="F61" s="49">
        <f>AVERAGE('19.10 KAYUNGA-GALIRAYA-24h'!F61,'21.10 KAYUNGA-GALIRAYA-24h'!F61)</f>
        <v>1</v>
      </c>
      <c r="G61" s="49">
        <f>AVERAGE('19.10 KAYUNGA-GALIRAYA-24h'!G61,'21.10 KAYUNGA-GALIRAYA-24h'!G61)</f>
        <v>0</v>
      </c>
      <c r="H61" s="49">
        <f>AVERAGE('19.10 KAYUNGA-GALIRAYA-24h'!H61,'21.10 KAYUNGA-GALIRAYA-24h'!H61)</f>
        <v>0</v>
      </c>
      <c r="I61" s="49">
        <f>AVERAGE('19.10 KAYUNGA-GALIRAYA-24h'!I61,'21.10 KAYUNGA-GALIRAYA-24h'!I61)</f>
        <v>0.5</v>
      </c>
      <c r="J61" s="49">
        <f>AVERAGE('19.10 KAYUNGA-GALIRAYA-24h'!J61,'21.10 KAYUNGA-GALIRAYA-24h'!J61)</f>
        <v>0</v>
      </c>
      <c r="K61" s="49">
        <f>AVERAGE('19.10 KAYUNGA-GALIRAYA-24h'!K61,'21.10 KAYUNGA-GALIRAYA-24h'!K61)</f>
        <v>0.5</v>
      </c>
      <c r="L61" s="49">
        <f>AVERAGE('19.10 KAYUNGA-GALIRAYA-24h'!L61,'21.10 KAYUNGA-GALIRAYA-24h'!L61)</f>
        <v>0</v>
      </c>
      <c r="M61" s="49">
        <f>AVERAGE('19.10 KAYUNGA-GALIRAYA-24h'!M61,'21.10 KAYUNGA-GALIRAYA-24h'!M61)</f>
        <v>14</v>
      </c>
      <c r="N61" s="49">
        <f>AVERAGE('19.10 KAYUNGA-GALIRAYA-24h'!N61,'21.10 KAYUNGA-GALIRAYA-24h'!N61)</f>
        <v>0</v>
      </c>
      <c r="O61" s="15">
        <f t="shared" si="0"/>
        <v>4</v>
      </c>
      <c r="P61" s="15">
        <f t="shared" si="1"/>
        <v>18</v>
      </c>
      <c r="R61" s="8"/>
      <c r="T61"/>
    </row>
    <row r="62" spans="2:20" ht="23.1" customHeight="1" x14ac:dyDescent="0.25">
      <c r="B62" s="23" t="s">
        <v>107</v>
      </c>
      <c r="C62" s="49">
        <f>AVERAGE('19.10 KAYUNGA-GALIRAYA-24h'!C62,'21.10 KAYUNGA-GALIRAYA-24h'!C62)</f>
        <v>1</v>
      </c>
      <c r="D62" s="49">
        <f>AVERAGE('19.10 KAYUNGA-GALIRAYA-24h'!D62,'21.10 KAYUNGA-GALIRAYA-24h'!D62)</f>
        <v>0</v>
      </c>
      <c r="E62" s="49">
        <f>AVERAGE('19.10 KAYUNGA-GALIRAYA-24h'!E62,'21.10 KAYUNGA-GALIRAYA-24h'!E62)</f>
        <v>1</v>
      </c>
      <c r="F62" s="49">
        <f>AVERAGE('19.10 KAYUNGA-GALIRAYA-24h'!F62,'21.10 KAYUNGA-GALIRAYA-24h'!F62)</f>
        <v>1</v>
      </c>
      <c r="G62" s="49">
        <f>AVERAGE('19.10 KAYUNGA-GALIRAYA-24h'!G62,'21.10 KAYUNGA-GALIRAYA-24h'!G62)</f>
        <v>0</v>
      </c>
      <c r="H62" s="49">
        <f>AVERAGE('19.10 KAYUNGA-GALIRAYA-24h'!H62,'21.10 KAYUNGA-GALIRAYA-24h'!H62)</f>
        <v>0</v>
      </c>
      <c r="I62" s="49">
        <f>AVERAGE('19.10 KAYUNGA-GALIRAYA-24h'!I62,'21.10 KAYUNGA-GALIRAYA-24h'!I62)</f>
        <v>0</v>
      </c>
      <c r="J62" s="49">
        <f>AVERAGE('19.10 KAYUNGA-GALIRAYA-24h'!J62,'21.10 KAYUNGA-GALIRAYA-24h'!J62)</f>
        <v>0</v>
      </c>
      <c r="K62" s="49">
        <f>AVERAGE('19.10 KAYUNGA-GALIRAYA-24h'!K62,'21.10 KAYUNGA-GALIRAYA-24h'!K62)</f>
        <v>0.5</v>
      </c>
      <c r="L62" s="49">
        <f>AVERAGE('19.10 KAYUNGA-GALIRAYA-24h'!L62,'21.10 KAYUNGA-GALIRAYA-24h'!L62)</f>
        <v>0</v>
      </c>
      <c r="M62" s="49">
        <f>AVERAGE('19.10 KAYUNGA-GALIRAYA-24h'!M62,'21.10 KAYUNGA-GALIRAYA-24h'!M62)</f>
        <v>8.5</v>
      </c>
      <c r="N62" s="49">
        <f>AVERAGE('19.10 KAYUNGA-GALIRAYA-24h'!N62,'21.10 KAYUNGA-GALIRAYA-24h'!N62)</f>
        <v>0</v>
      </c>
      <c r="O62" s="15">
        <f t="shared" si="0"/>
        <v>3.5</v>
      </c>
      <c r="P62" s="15">
        <f t="shared" si="1"/>
        <v>12</v>
      </c>
      <c r="R62" s="8"/>
      <c r="T62"/>
    </row>
    <row r="63" spans="2:20" ht="23.1" customHeight="1" x14ac:dyDescent="0.25">
      <c r="B63" s="23" t="s">
        <v>108</v>
      </c>
      <c r="C63" s="49">
        <f>AVERAGE('19.10 KAYUNGA-GALIRAYA-24h'!C63,'21.10 KAYUNGA-GALIRAYA-24h'!C63)</f>
        <v>1</v>
      </c>
      <c r="D63" s="49">
        <f>AVERAGE('19.10 KAYUNGA-GALIRAYA-24h'!D63,'21.10 KAYUNGA-GALIRAYA-24h'!D63)</f>
        <v>0</v>
      </c>
      <c r="E63" s="49">
        <f>AVERAGE('19.10 KAYUNGA-GALIRAYA-24h'!E63,'21.10 KAYUNGA-GALIRAYA-24h'!E63)</f>
        <v>1</v>
      </c>
      <c r="F63" s="49">
        <f>AVERAGE('19.10 KAYUNGA-GALIRAYA-24h'!F63,'21.10 KAYUNGA-GALIRAYA-24h'!F63)</f>
        <v>3</v>
      </c>
      <c r="G63" s="49">
        <f>AVERAGE('19.10 KAYUNGA-GALIRAYA-24h'!G63,'21.10 KAYUNGA-GALIRAYA-24h'!G63)</f>
        <v>0</v>
      </c>
      <c r="H63" s="49">
        <f>AVERAGE('19.10 KAYUNGA-GALIRAYA-24h'!H63,'21.10 KAYUNGA-GALIRAYA-24h'!H63)</f>
        <v>0</v>
      </c>
      <c r="I63" s="49">
        <f>AVERAGE('19.10 KAYUNGA-GALIRAYA-24h'!I63,'21.10 KAYUNGA-GALIRAYA-24h'!I63)</f>
        <v>1.5</v>
      </c>
      <c r="J63" s="49">
        <f>AVERAGE('19.10 KAYUNGA-GALIRAYA-24h'!J63,'21.10 KAYUNGA-GALIRAYA-24h'!J63)</f>
        <v>0.5</v>
      </c>
      <c r="K63" s="49">
        <f>AVERAGE('19.10 KAYUNGA-GALIRAYA-24h'!K63,'21.10 KAYUNGA-GALIRAYA-24h'!K63)</f>
        <v>0</v>
      </c>
      <c r="L63" s="49">
        <f>AVERAGE('19.10 KAYUNGA-GALIRAYA-24h'!L63,'21.10 KAYUNGA-GALIRAYA-24h'!L63)</f>
        <v>0</v>
      </c>
      <c r="M63" s="49">
        <f>AVERAGE('19.10 KAYUNGA-GALIRAYA-24h'!M63,'21.10 KAYUNGA-GALIRAYA-24h'!M63)</f>
        <v>7</v>
      </c>
      <c r="N63" s="49">
        <f>AVERAGE('19.10 KAYUNGA-GALIRAYA-24h'!N63,'21.10 KAYUNGA-GALIRAYA-24h'!N63)</f>
        <v>0</v>
      </c>
      <c r="O63" s="15">
        <f t="shared" si="0"/>
        <v>7</v>
      </c>
      <c r="P63" s="15">
        <f t="shared" si="1"/>
        <v>14</v>
      </c>
      <c r="R63" s="8"/>
      <c r="T63"/>
    </row>
    <row r="64" spans="2:20" ht="23.1" customHeight="1" x14ac:dyDescent="0.25">
      <c r="B64" s="23" t="s">
        <v>109</v>
      </c>
      <c r="C64" s="49">
        <f>AVERAGE('19.10 KAYUNGA-GALIRAYA-24h'!C64,'21.10 KAYUNGA-GALIRAYA-24h'!C64)</f>
        <v>1.5</v>
      </c>
      <c r="D64" s="49">
        <f>AVERAGE('19.10 KAYUNGA-GALIRAYA-24h'!D64,'21.10 KAYUNGA-GALIRAYA-24h'!D64)</f>
        <v>0</v>
      </c>
      <c r="E64" s="49">
        <f>AVERAGE('19.10 KAYUNGA-GALIRAYA-24h'!E64,'21.10 KAYUNGA-GALIRAYA-24h'!E64)</f>
        <v>0</v>
      </c>
      <c r="F64" s="49">
        <f>AVERAGE('19.10 KAYUNGA-GALIRAYA-24h'!F64,'21.10 KAYUNGA-GALIRAYA-24h'!F64)</f>
        <v>1.5</v>
      </c>
      <c r="G64" s="49">
        <f>AVERAGE('19.10 KAYUNGA-GALIRAYA-24h'!G64,'21.10 KAYUNGA-GALIRAYA-24h'!G64)</f>
        <v>0.5</v>
      </c>
      <c r="H64" s="49">
        <f>AVERAGE('19.10 KAYUNGA-GALIRAYA-24h'!H64,'21.10 KAYUNGA-GALIRAYA-24h'!H64)</f>
        <v>0</v>
      </c>
      <c r="I64" s="49">
        <f>AVERAGE('19.10 KAYUNGA-GALIRAYA-24h'!I64,'21.10 KAYUNGA-GALIRAYA-24h'!I64)</f>
        <v>1.5</v>
      </c>
      <c r="J64" s="49">
        <f>AVERAGE('19.10 KAYUNGA-GALIRAYA-24h'!J64,'21.10 KAYUNGA-GALIRAYA-24h'!J64)</f>
        <v>0.5</v>
      </c>
      <c r="K64" s="49">
        <f>AVERAGE('19.10 KAYUNGA-GALIRAYA-24h'!K64,'21.10 KAYUNGA-GALIRAYA-24h'!K64)</f>
        <v>0</v>
      </c>
      <c r="L64" s="49">
        <f>AVERAGE('19.10 KAYUNGA-GALIRAYA-24h'!L64,'21.10 KAYUNGA-GALIRAYA-24h'!L64)</f>
        <v>1</v>
      </c>
      <c r="M64" s="49">
        <f>AVERAGE('19.10 KAYUNGA-GALIRAYA-24h'!M64,'21.10 KAYUNGA-GALIRAYA-24h'!M64)</f>
        <v>5</v>
      </c>
      <c r="N64" s="49">
        <f>AVERAGE('19.10 KAYUNGA-GALIRAYA-24h'!N64,'21.10 KAYUNGA-GALIRAYA-24h'!N64)</f>
        <v>0</v>
      </c>
      <c r="O64" s="15">
        <f t="shared" si="0"/>
        <v>6.5</v>
      </c>
      <c r="P64" s="15">
        <f t="shared" si="1"/>
        <v>11.5</v>
      </c>
      <c r="R64" s="8"/>
      <c r="T64"/>
    </row>
    <row r="65" spans="2:20" ht="23.1" customHeight="1" x14ac:dyDescent="0.25">
      <c r="B65" s="23" t="s">
        <v>158</v>
      </c>
      <c r="C65" s="49">
        <f>AVERAGE('19.10 KAYUNGA-GALIRAYA-24h'!C65,'21.10 KAYUNGA-GALIRAYA-24h'!C65)</f>
        <v>1.5</v>
      </c>
      <c r="D65" s="49">
        <f>AVERAGE('19.10 KAYUNGA-GALIRAYA-24h'!D65,'21.10 KAYUNGA-GALIRAYA-24h'!D65)</f>
        <v>0</v>
      </c>
      <c r="E65" s="49">
        <f>AVERAGE('19.10 KAYUNGA-GALIRAYA-24h'!E65,'21.10 KAYUNGA-GALIRAYA-24h'!E65)</f>
        <v>0</v>
      </c>
      <c r="F65" s="49">
        <f>AVERAGE('19.10 KAYUNGA-GALIRAYA-24h'!F65,'21.10 KAYUNGA-GALIRAYA-24h'!F65)</f>
        <v>0</v>
      </c>
      <c r="G65" s="49">
        <f>AVERAGE('19.10 KAYUNGA-GALIRAYA-24h'!G65,'21.10 KAYUNGA-GALIRAYA-24h'!G65)</f>
        <v>0</v>
      </c>
      <c r="H65" s="49">
        <f>AVERAGE('19.10 KAYUNGA-GALIRAYA-24h'!H65,'21.10 KAYUNGA-GALIRAYA-24h'!H65)</f>
        <v>0</v>
      </c>
      <c r="I65" s="49">
        <f>AVERAGE('19.10 KAYUNGA-GALIRAYA-24h'!I65,'21.10 KAYUNGA-GALIRAYA-24h'!I65)</f>
        <v>0.5</v>
      </c>
      <c r="J65" s="49">
        <f>AVERAGE('19.10 KAYUNGA-GALIRAYA-24h'!J65,'21.10 KAYUNGA-GALIRAYA-24h'!J65)</f>
        <v>0</v>
      </c>
      <c r="K65" s="49">
        <f>AVERAGE('19.10 KAYUNGA-GALIRAYA-24h'!K65,'21.10 KAYUNGA-GALIRAYA-24h'!K65)</f>
        <v>0</v>
      </c>
      <c r="L65" s="49">
        <f>AVERAGE('19.10 KAYUNGA-GALIRAYA-24h'!L65,'21.10 KAYUNGA-GALIRAYA-24h'!L65)</f>
        <v>0</v>
      </c>
      <c r="M65" s="49">
        <f>AVERAGE('19.10 KAYUNGA-GALIRAYA-24h'!M65,'21.10 KAYUNGA-GALIRAYA-24h'!M65)</f>
        <v>6</v>
      </c>
      <c r="N65" s="49">
        <f>AVERAGE('19.10 KAYUNGA-GALIRAYA-24h'!N65,'21.10 KAYUNGA-GALIRAYA-24h'!N65)</f>
        <v>0</v>
      </c>
      <c r="O65" s="15">
        <f t="shared" si="0"/>
        <v>2</v>
      </c>
      <c r="P65" s="15">
        <f t="shared" si="1"/>
        <v>8</v>
      </c>
      <c r="R65" s="8"/>
      <c r="T65"/>
    </row>
    <row r="66" spans="2:20" ht="23.1" customHeight="1" x14ac:dyDescent="0.25">
      <c r="B66" s="23" t="s">
        <v>103</v>
      </c>
      <c r="C66" s="49">
        <f>AVERAGE('19.10 KAYUNGA-GALIRAYA-24h'!C66,'21.10 KAYUNGA-GALIRAYA-24h'!C66)</f>
        <v>1</v>
      </c>
      <c r="D66" s="49">
        <f>AVERAGE('19.10 KAYUNGA-GALIRAYA-24h'!D66,'21.10 KAYUNGA-GALIRAYA-24h'!D66)</f>
        <v>0</v>
      </c>
      <c r="E66" s="49">
        <f>AVERAGE('19.10 KAYUNGA-GALIRAYA-24h'!E66,'21.10 KAYUNGA-GALIRAYA-24h'!E66)</f>
        <v>0</v>
      </c>
      <c r="F66" s="49">
        <f>AVERAGE('19.10 KAYUNGA-GALIRAYA-24h'!F66,'21.10 KAYUNGA-GALIRAYA-24h'!F66)</f>
        <v>0.5</v>
      </c>
      <c r="G66" s="49">
        <f>AVERAGE('19.10 KAYUNGA-GALIRAYA-24h'!G66,'21.10 KAYUNGA-GALIRAYA-24h'!G66)</f>
        <v>0</v>
      </c>
      <c r="H66" s="49">
        <f>AVERAGE('19.10 KAYUNGA-GALIRAYA-24h'!H66,'21.10 KAYUNGA-GALIRAYA-24h'!H66)</f>
        <v>0</v>
      </c>
      <c r="I66" s="49">
        <f>AVERAGE('19.10 KAYUNGA-GALIRAYA-24h'!I66,'21.10 KAYUNGA-GALIRAYA-24h'!I66)</f>
        <v>0.5</v>
      </c>
      <c r="J66" s="49">
        <f>AVERAGE('19.10 KAYUNGA-GALIRAYA-24h'!J66,'21.10 KAYUNGA-GALIRAYA-24h'!J66)</f>
        <v>0.5</v>
      </c>
      <c r="K66" s="49">
        <f>AVERAGE('19.10 KAYUNGA-GALIRAYA-24h'!K66,'21.10 KAYUNGA-GALIRAYA-24h'!K66)</f>
        <v>0.5</v>
      </c>
      <c r="L66" s="49">
        <f>AVERAGE('19.10 KAYUNGA-GALIRAYA-24h'!L66,'21.10 KAYUNGA-GALIRAYA-24h'!L66)</f>
        <v>0</v>
      </c>
      <c r="M66" s="49">
        <f>AVERAGE('19.10 KAYUNGA-GALIRAYA-24h'!M66,'21.10 KAYUNGA-GALIRAYA-24h'!M66)</f>
        <v>3.5</v>
      </c>
      <c r="N66" s="49">
        <f>AVERAGE('19.10 KAYUNGA-GALIRAYA-24h'!N66,'21.10 KAYUNGA-GALIRAYA-24h'!N66)</f>
        <v>0</v>
      </c>
      <c r="O66" s="15">
        <f t="shared" si="0"/>
        <v>3</v>
      </c>
      <c r="P66" s="15">
        <f t="shared" si="1"/>
        <v>6.5</v>
      </c>
      <c r="R66" s="8"/>
      <c r="T66"/>
    </row>
    <row r="67" spans="2:20" ht="23.1" customHeight="1" x14ac:dyDescent="0.25">
      <c r="B67" s="23" t="s">
        <v>104</v>
      </c>
      <c r="C67" s="49">
        <f>AVERAGE('19.10 KAYUNGA-GALIRAYA-24h'!C67,'21.10 KAYUNGA-GALIRAYA-24h'!C67)</f>
        <v>0.5</v>
      </c>
      <c r="D67" s="49">
        <f>AVERAGE('19.10 KAYUNGA-GALIRAYA-24h'!D67,'21.10 KAYUNGA-GALIRAYA-24h'!D67)</f>
        <v>0</v>
      </c>
      <c r="E67" s="49">
        <f>AVERAGE('19.10 KAYUNGA-GALIRAYA-24h'!E67,'21.10 KAYUNGA-GALIRAYA-24h'!E67)</f>
        <v>0</v>
      </c>
      <c r="F67" s="49">
        <f>AVERAGE('19.10 KAYUNGA-GALIRAYA-24h'!F67,'21.10 KAYUNGA-GALIRAYA-24h'!F67)</f>
        <v>0</v>
      </c>
      <c r="G67" s="49">
        <f>AVERAGE('19.10 KAYUNGA-GALIRAYA-24h'!G67,'21.10 KAYUNGA-GALIRAYA-24h'!G67)</f>
        <v>0</v>
      </c>
      <c r="H67" s="49">
        <f>AVERAGE('19.10 KAYUNGA-GALIRAYA-24h'!H67,'21.10 KAYUNGA-GALIRAYA-24h'!H67)</f>
        <v>0</v>
      </c>
      <c r="I67" s="49">
        <f>AVERAGE('19.10 KAYUNGA-GALIRAYA-24h'!I67,'21.10 KAYUNGA-GALIRAYA-24h'!I67)</f>
        <v>0.5</v>
      </c>
      <c r="J67" s="49">
        <f>AVERAGE('19.10 KAYUNGA-GALIRAYA-24h'!J67,'21.10 KAYUNGA-GALIRAYA-24h'!J67)</f>
        <v>0</v>
      </c>
      <c r="K67" s="49">
        <f>AVERAGE('19.10 KAYUNGA-GALIRAYA-24h'!K67,'21.10 KAYUNGA-GALIRAYA-24h'!K67)</f>
        <v>0</v>
      </c>
      <c r="L67" s="49">
        <f>AVERAGE('19.10 KAYUNGA-GALIRAYA-24h'!L67,'21.10 KAYUNGA-GALIRAYA-24h'!L67)</f>
        <v>0</v>
      </c>
      <c r="M67" s="49">
        <f>AVERAGE('19.10 KAYUNGA-GALIRAYA-24h'!M67,'21.10 KAYUNGA-GALIRAYA-24h'!M67)</f>
        <v>1.5</v>
      </c>
      <c r="N67" s="49">
        <f>AVERAGE('19.10 KAYUNGA-GALIRAYA-24h'!N67,'21.10 KAYUNGA-GALIRAYA-24h'!N67)</f>
        <v>0</v>
      </c>
      <c r="O67" s="15">
        <f t="shared" si="0"/>
        <v>1</v>
      </c>
      <c r="P67" s="15">
        <f t="shared" si="1"/>
        <v>2.5</v>
      </c>
      <c r="R67" s="8"/>
      <c r="T67"/>
    </row>
    <row r="68" spans="2:20" ht="23.1" customHeight="1" x14ac:dyDescent="0.25">
      <c r="B68" s="23" t="s">
        <v>105</v>
      </c>
      <c r="C68" s="49">
        <f>AVERAGE('19.10 KAYUNGA-GALIRAYA-24h'!C68,'21.10 KAYUNGA-GALIRAYA-24h'!C68)</f>
        <v>0</v>
      </c>
      <c r="D68" s="49">
        <f>AVERAGE('19.10 KAYUNGA-GALIRAYA-24h'!D68,'21.10 KAYUNGA-GALIRAYA-24h'!D68)</f>
        <v>0</v>
      </c>
      <c r="E68" s="49">
        <f>AVERAGE('19.10 KAYUNGA-GALIRAYA-24h'!E68,'21.10 KAYUNGA-GALIRAYA-24h'!E68)</f>
        <v>0.5</v>
      </c>
      <c r="F68" s="49">
        <f>AVERAGE('19.10 KAYUNGA-GALIRAYA-24h'!F68,'21.10 KAYUNGA-GALIRAYA-24h'!F68)</f>
        <v>0</v>
      </c>
      <c r="G68" s="49">
        <f>AVERAGE('19.10 KAYUNGA-GALIRAYA-24h'!G68,'21.10 KAYUNGA-GALIRAYA-24h'!G68)</f>
        <v>0</v>
      </c>
      <c r="H68" s="49">
        <f>AVERAGE('19.10 KAYUNGA-GALIRAYA-24h'!H68,'21.10 KAYUNGA-GALIRAYA-24h'!H68)</f>
        <v>0</v>
      </c>
      <c r="I68" s="49">
        <f>AVERAGE('19.10 KAYUNGA-GALIRAYA-24h'!I68,'21.10 KAYUNGA-GALIRAYA-24h'!I68)</f>
        <v>1</v>
      </c>
      <c r="J68" s="49">
        <f>AVERAGE('19.10 KAYUNGA-GALIRAYA-24h'!J68,'21.10 KAYUNGA-GALIRAYA-24h'!J68)</f>
        <v>0</v>
      </c>
      <c r="K68" s="49">
        <f>AVERAGE('19.10 KAYUNGA-GALIRAYA-24h'!K68,'21.10 KAYUNGA-GALIRAYA-24h'!K68)</f>
        <v>0</v>
      </c>
      <c r="L68" s="49">
        <f>AVERAGE('19.10 KAYUNGA-GALIRAYA-24h'!L68,'21.10 KAYUNGA-GALIRAYA-24h'!L68)</f>
        <v>0</v>
      </c>
      <c r="M68" s="49">
        <f>AVERAGE('19.10 KAYUNGA-GALIRAYA-24h'!M68,'21.10 KAYUNGA-GALIRAYA-24h'!M68)</f>
        <v>2.5</v>
      </c>
      <c r="N68" s="49">
        <f>AVERAGE('19.10 KAYUNGA-GALIRAYA-24h'!N68,'21.10 KAYUNGA-GALIRAYA-24h'!N68)</f>
        <v>0</v>
      </c>
      <c r="O68" s="15">
        <f t="shared" si="0"/>
        <v>1.5</v>
      </c>
      <c r="P68" s="15">
        <f t="shared" si="1"/>
        <v>4</v>
      </c>
      <c r="R68" s="8"/>
      <c r="T68"/>
    </row>
    <row r="69" spans="2:20" ht="23.1" customHeight="1" x14ac:dyDescent="0.25">
      <c r="B69" s="23" t="s">
        <v>106</v>
      </c>
      <c r="C69" s="49">
        <f>AVERAGE('19.10 KAYUNGA-GALIRAYA-24h'!C69,'21.10 KAYUNGA-GALIRAYA-24h'!C69)</f>
        <v>0.5</v>
      </c>
      <c r="D69" s="49">
        <f>AVERAGE('19.10 KAYUNGA-GALIRAYA-24h'!D69,'21.10 KAYUNGA-GALIRAYA-24h'!D69)</f>
        <v>0.5</v>
      </c>
      <c r="E69" s="49">
        <f>AVERAGE('19.10 KAYUNGA-GALIRAYA-24h'!E69,'21.10 KAYUNGA-GALIRAYA-24h'!E69)</f>
        <v>1</v>
      </c>
      <c r="F69" s="49">
        <f>AVERAGE('19.10 KAYUNGA-GALIRAYA-24h'!F69,'21.10 KAYUNGA-GALIRAYA-24h'!F69)</f>
        <v>1</v>
      </c>
      <c r="G69" s="49">
        <f>AVERAGE('19.10 KAYUNGA-GALIRAYA-24h'!G69,'21.10 KAYUNGA-GALIRAYA-24h'!G69)</f>
        <v>0</v>
      </c>
      <c r="H69" s="49">
        <f>AVERAGE('19.10 KAYUNGA-GALIRAYA-24h'!H69,'21.10 KAYUNGA-GALIRAYA-24h'!H69)</f>
        <v>0</v>
      </c>
      <c r="I69" s="49">
        <f>AVERAGE('19.10 KAYUNGA-GALIRAYA-24h'!I69,'21.10 KAYUNGA-GALIRAYA-24h'!I69)</f>
        <v>0</v>
      </c>
      <c r="J69" s="49">
        <f>AVERAGE('19.10 KAYUNGA-GALIRAYA-24h'!J69,'21.10 KAYUNGA-GALIRAYA-24h'!J69)</f>
        <v>1</v>
      </c>
      <c r="K69" s="49">
        <f>AVERAGE('19.10 KAYUNGA-GALIRAYA-24h'!K69,'21.10 KAYUNGA-GALIRAYA-24h'!K69)</f>
        <v>0</v>
      </c>
      <c r="L69" s="49">
        <f>AVERAGE('19.10 KAYUNGA-GALIRAYA-24h'!L69,'21.10 KAYUNGA-GALIRAYA-24h'!L69)</f>
        <v>0</v>
      </c>
      <c r="M69" s="49">
        <f>AVERAGE('19.10 KAYUNGA-GALIRAYA-24h'!M69,'21.10 KAYUNGA-GALIRAYA-24h'!M69)</f>
        <v>1.5</v>
      </c>
      <c r="N69" s="49">
        <f>AVERAGE('19.10 KAYUNGA-GALIRAYA-24h'!N69,'21.10 KAYUNGA-GALIRAYA-24h'!N69)</f>
        <v>0</v>
      </c>
      <c r="O69" s="15">
        <f t="shared" si="0"/>
        <v>4</v>
      </c>
      <c r="P69" s="15">
        <f t="shared" si="1"/>
        <v>5.5</v>
      </c>
      <c r="R69" s="8"/>
      <c r="T69"/>
    </row>
    <row r="70" spans="2:20" ht="23.1" customHeight="1" x14ac:dyDescent="0.25">
      <c r="B70" s="23" t="s">
        <v>110</v>
      </c>
      <c r="C70" s="49">
        <f>AVERAGE('19.10 KAYUNGA-GALIRAYA-24h'!C70,'21.10 KAYUNGA-GALIRAYA-24h'!C70)</f>
        <v>0.5</v>
      </c>
      <c r="D70" s="49">
        <f>AVERAGE('19.10 KAYUNGA-GALIRAYA-24h'!D70,'21.10 KAYUNGA-GALIRAYA-24h'!D70)</f>
        <v>0</v>
      </c>
      <c r="E70" s="49">
        <f>AVERAGE('19.10 KAYUNGA-GALIRAYA-24h'!E70,'21.10 KAYUNGA-GALIRAYA-24h'!E70)</f>
        <v>0</v>
      </c>
      <c r="F70" s="49">
        <f>AVERAGE('19.10 KAYUNGA-GALIRAYA-24h'!F70,'21.10 KAYUNGA-GALIRAYA-24h'!F70)</f>
        <v>0</v>
      </c>
      <c r="G70" s="49">
        <f>AVERAGE('19.10 KAYUNGA-GALIRAYA-24h'!G70,'21.10 KAYUNGA-GALIRAYA-24h'!G70)</f>
        <v>0</v>
      </c>
      <c r="H70" s="49">
        <f>AVERAGE('19.10 KAYUNGA-GALIRAYA-24h'!H70,'21.10 KAYUNGA-GALIRAYA-24h'!H70)</f>
        <v>0</v>
      </c>
      <c r="I70" s="49">
        <f>AVERAGE('19.10 KAYUNGA-GALIRAYA-24h'!I70,'21.10 KAYUNGA-GALIRAYA-24h'!I70)</f>
        <v>0</v>
      </c>
      <c r="J70" s="49">
        <f>AVERAGE('19.10 KAYUNGA-GALIRAYA-24h'!J70,'21.10 KAYUNGA-GALIRAYA-24h'!J70)</f>
        <v>0</v>
      </c>
      <c r="K70" s="49">
        <f>AVERAGE('19.10 KAYUNGA-GALIRAYA-24h'!K70,'21.10 KAYUNGA-GALIRAYA-24h'!K70)</f>
        <v>0</v>
      </c>
      <c r="L70" s="49">
        <f>AVERAGE('19.10 KAYUNGA-GALIRAYA-24h'!L70,'21.10 KAYUNGA-GALIRAYA-24h'!L70)</f>
        <v>0</v>
      </c>
      <c r="M70" s="49">
        <f>AVERAGE('19.10 KAYUNGA-GALIRAYA-24h'!M70,'21.10 KAYUNGA-GALIRAYA-24h'!M70)</f>
        <v>2</v>
      </c>
      <c r="N70" s="49">
        <f>AVERAGE('19.10 KAYUNGA-GALIRAYA-24h'!N70,'21.10 KAYUNGA-GALIRAYA-24h'!N70)</f>
        <v>0</v>
      </c>
      <c r="O70" s="15">
        <f t="shared" si="0"/>
        <v>0.5</v>
      </c>
      <c r="P70" s="15">
        <f t="shared" si="1"/>
        <v>2.5</v>
      </c>
      <c r="R70" s="8"/>
      <c r="T70"/>
    </row>
    <row r="71" spans="2:20" ht="23.1" customHeight="1" x14ac:dyDescent="0.25">
      <c r="B71" s="23" t="s">
        <v>111</v>
      </c>
      <c r="C71" s="49">
        <f>AVERAGE('19.10 KAYUNGA-GALIRAYA-24h'!C71,'21.10 KAYUNGA-GALIRAYA-24h'!C71)</f>
        <v>0</v>
      </c>
      <c r="D71" s="49">
        <f>AVERAGE('19.10 KAYUNGA-GALIRAYA-24h'!D71,'21.10 KAYUNGA-GALIRAYA-24h'!D71)</f>
        <v>0</v>
      </c>
      <c r="E71" s="49">
        <f>AVERAGE('19.10 KAYUNGA-GALIRAYA-24h'!E71,'21.10 KAYUNGA-GALIRAYA-24h'!E71)</f>
        <v>0</v>
      </c>
      <c r="F71" s="49">
        <f>AVERAGE('19.10 KAYUNGA-GALIRAYA-24h'!F71,'21.10 KAYUNGA-GALIRAYA-24h'!F71)</f>
        <v>0.5</v>
      </c>
      <c r="G71" s="49">
        <f>AVERAGE('19.10 KAYUNGA-GALIRAYA-24h'!G71,'21.10 KAYUNGA-GALIRAYA-24h'!G71)</f>
        <v>0</v>
      </c>
      <c r="H71" s="49">
        <f>AVERAGE('19.10 KAYUNGA-GALIRAYA-24h'!H71,'21.10 KAYUNGA-GALIRAYA-24h'!H71)</f>
        <v>0</v>
      </c>
      <c r="I71" s="49">
        <f>AVERAGE('19.10 KAYUNGA-GALIRAYA-24h'!I71,'21.10 KAYUNGA-GALIRAYA-24h'!I71)</f>
        <v>0</v>
      </c>
      <c r="J71" s="49">
        <f>AVERAGE('19.10 KAYUNGA-GALIRAYA-24h'!J71,'21.10 KAYUNGA-GALIRAYA-24h'!J71)</f>
        <v>0</v>
      </c>
      <c r="K71" s="49">
        <f>AVERAGE('19.10 KAYUNGA-GALIRAYA-24h'!K71,'21.10 KAYUNGA-GALIRAYA-24h'!K71)</f>
        <v>0</v>
      </c>
      <c r="L71" s="49">
        <f>AVERAGE('19.10 KAYUNGA-GALIRAYA-24h'!L71,'21.10 KAYUNGA-GALIRAYA-24h'!L71)</f>
        <v>0</v>
      </c>
      <c r="M71" s="49">
        <f>AVERAGE('19.10 KAYUNGA-GALIRAYA-24h'!M71,'21.10 KAYUNGA-GALIRAYA-24h'!M71)</f>
        <v>1</v>
      </c>
      <c r="N71" s="49">
        <f>AVERAGE('19.10 KAYUNGA-GALIRAYA-24h'!N71,'21.10 KAYUNGA-GALIRAYA-24h'!N71)</f>
        <v>0</v>
      </c>
      <c r="O71" s="15">
        <f t="shared" si="0"/>
        <v>0.5</v>
      </c>
      <c r="P71" s="15">
        <f t="shared" si="1"/>
        <v>1.5</v>
      </c>
      <c r="R71" s="8"/>
      <c r="T71"/>
    </row>
    <row r="72" spans="2:20" ht="23.1" customHeight="1" x14ac:dyDescent="0.25">
      <c r="B72" s="23" t="s">
        <v>112</v>
      </c>
      <c r="C72" s="49">
        <f>AVERAGE('19.10 KAYUNGA-GALIRAYA-24h'!C72,'21.10 KAYUNGA-GALIRAYA-24h'!C72)</f>
        <v>0</v>
      </c>
      <c r="D72" s="49">
        <f>AVERAGE('19.10 KAYUNGA-GALIRAYA-24h'!D72,'21.10 KAYUNGA-GALIRAYA-24h'!D72)</f>
        <v>0</v>
      </c>
      <c r="E72" s="49">
        <f>AVERAGE('19.10 KAYUNGA-GALIRAYA-24h'!E72,'21.10 KAYUNGA-GALIRAYA-24h'!E72)</f>
        <v>0</v>
      </c>
      <c r="F72" s="49">
        <f>AVERAGE('19.10 KAYUNGA-GALIRAYA-24h'!F72,'21.10 KAYUNGA-GALIRAYA-24h'!F72)</f>
        <v>0.5</v>
      </c>
      <c r="G72" s="49">
        <f>AVERAGE('19.10 KAYUNGA-GALIRAYA-24h'!G72,'21.10 KAYUNGA-GALIRAYA-24h'!G72)</f>
        <v>0</v>
      </c>
      <c r="H72" s="49">
        <f>AVERAGE('19.10 KAYUNGA-GALIRAYA-24h'!H72,'21.10 KAYUNGA-GALIRAYA-24h'!H72)</f>
        <v>0</v>
      </c>
      <c r="I72" s="49">
        <f>AVERAGE('19.10 KAYUNGA-GALIRAYA-24h'!I72,'21.10 KAYUNGA-GALIRAYA-24h'!I72)</f>
        <v>0</v>
      </c>
      <c r="J72" s="49">
        <f>AVERAGE('19.10 KAYUNGA-GALIRAYA-24h'!J72,'21.10 KAYUNGA-GALIRAYA-24h'!J72)</f>
        <v>0.5</v>
      </c>
      <c r="K72" s="49">
        <f>AVERAGE('19.10 KAYUNGA-GALIRAYA-24h'!K72,'21.10 KAYUNGA-GALIRAYA-24h'!K72)</f>
        <v>0.5</v>
      </c>
      <c r="L72" s="49">
        <f>AVERAGE('19.10 KAYUNGA-GALIRAYA-24h'!L72,'21.10 KAYUNGA-GALIRAYA-24h'!L72)</f>
        <v>0</v>
      </c>
      <c r="M72" s="49">
        <f>AVERAGE('19.10 KAYUNGA-GALIRAYA-24h'!M72,'21.10 KAYUNGA-GALIRAYA-24h'!M72)</f>
        <v>1.5</v>
      </c>
      <c r="N72" s="49">
        <f>AVERAGE('19.10 KAYUNGA-GALIRAYA-24h'!N72,'21.10 KAYUNGA-GALIRAYA-24h'!N72)</f>
        <v>0</v>
      </c>
      <c r="O72" s="15">
        <f t="shared" si="0"/>
        <v>1.5</v>
      </c>
      <c r="P72" s="15">
        <f t="shared" si="1"/>
        <v>3</v>
      </c>
      <c r="R72" s="8"/>
      <c r="T72"/>
    </row>
    <row r="73" spans="2:20" ht="23.1" customHeight="1" x14ac:dyDescent="0.25">
      <c r="B73" s="23" t="s">
        <v>113</v>
      </c>
      <c r="C73" s="49">
        <f>AVERAGE('19.10 KAYUNGA-GALIRAYA-24h'!C73,'21.10 KAYUNGA-GALIRAYA-24h'!C73)</f>
        <v>0</v>
      </c>
      <c r="D73" s="49">
        <f>AVERAGE('19.10 KAYUNGA-GALIRAYA-24h'!D73,'21.10 KAYUNGA-GALIRAYA-24h'!D73)</f>
        <v>0</v>
      </c>
      <c r="E73" s="49">
        <f>AVERAGE('19.10 KAYUNGA-GALIRAYA-24h'!E73,'21.10 KAYUNGA-GALIRAYA-24h'!E73)</f>
        <v>0</v>
      </c>
      <c r="F73" s="49">
        <f>AVERAGE('19.10 KAYUNGA-GALIRAYA-24h'!F73,'21.10 KAYUNGA-GALIRAYA-24h'!F73)</f>
        <v>0</v>
      </c>
      <c r="G73" s="49">
        <f>AVERAGE('19.10 KAYUNGA-GALIRAYA-24h'!G73,'21.10 KAYUNGA-GALIRAYA-24h'!G73)</f>
        <v>0</v>
      </c>
      <c r="H73" s="49">
        <f>AVERAGE('19.10 KAYUNGA-GALIRAYA-24h'!H73,'21.10 KAYUNGA-GALIRAYA-24h'!H73)</f>
        <v>0</v>
      </c>
      <c r="I73" s="49">
        <f>AVERAGE('19.10 KAYUNGA-GALIRAYA-24h'!I73,'21.10 KAYUNGA-GALIRAYA-24h'!I73)</f>
        <v>0.5</v>
      </c>
      <c r="J73" s="49">
        <f>AVERAGE('19.10 KAYUNGA-GALIRAYA-24h'!J73,'21.10 KAYUNGA-GALIRAYA-24h'!J73)</f>
        <v>1.5</v>
      </c>
      <c r="K73" s="49">
        <f>AVERAGE('19.10 KAYUNGA-GALIRAYA-24h'!K73,'21.10 KAYUNGA-GALIRAYA-24h'!K73)</f>
        <v>0</v>
      </c>
      <c r="L73" s="49">
        <f>AVERAGE('19.10 KAYUNGA-GALIRAYA-24h'!L73,'21.10 KAYUNGA-GALIRAYA-24h'!L73)</f>
        <v>0</v>
      </c>
      <c r="M73" s="49">
        <f>AVERAGE('19.10 KAYUNGA-GALIRAYA-24h'!M73,'21.10 KAYUNGA-GALIRAYA-24h'!M73)</f>
        <v>1</v>
      </c>
      <c r="N73" s="49">
        <f>AVERAGE('19.10 KAYUNGA-GALIRAYA-24h'!N73,'21.10 KAYUNGA-GALIRAYA-24h'!N73)</f>
        <v>0</v>
      </c>
      <c r="O73" s="15">
        <f t="shared" si="0"/>
        <v>2</v>
      </c>
      <c r="P73" s="15">
        <f t="shared" si="1"/>
        <v>3</v>
      </c>
      <c r="R73" s="8"/>
      <c r="T73"/>
    </row>
    <row r="74" spans="2:20" ht="23.1" customHeight="1" x14ac:dyDescent="0.25">
      <c r="B74" s="23" t="s">
        <v>114</v>
      </c>
      <c r="C74" s="49">
        <f>AVERAGE('19.10 KAYUNGA-GALIRAYA-24h'!C74,'21.10 KAYUNGA-GALIRAYA-24h'!C74)</f>
        <v>0.5</v>
      </c>
      <c r="D74" s="49">
        <f>AVERAGE('19.10 KAYUNGA-GALIRAYA-24h'!D74,'21.10 KAYUNGA-GALIRAYA-24h'!D74)</f>
        <v>0</v>
      </c>
      <c r="E74" s="49">
        <f>AVERAGE('19.10 KAYUNGA-GALIRAYA-24h'!E74,'21.10 KAYUNGA-GALIRAYA-24h'!E74)</f>
        <v>0</v>
      </c>
      <c r="F74" s="49">
        <f>AVERAGE('19.10 KAYUNGA-GALIRAYA-24h'!F74,'21.10 KAYUNGA-GALIRAYA-24h'!F74)</f>
        <v>0</v>
      </c>
      <c r="G74" s="49">
        <f>AVERAGE('19.10 KAYUNGA-GALIRAYA-24h'!G74,'21.10 KAYUNGA-GALIRAYA-24h'!G74)</f>
        <v>0</v>
      </c>
      <c r="H74" s="49">
        <f>AVERAGE('19.10 KAYUNGA-GALIRAYA-24h'!H74,'21.10 KAYUNGA-GALIRAYA-24h'!H74)</f>
        <v>0</v>
      </c>
      <c r="I74" s="49">
        <f>AVERAGE('19.10 KAYUNGA-GALIRAYA-24h'!I74,'21.10 KAYUNGA-GALIRAYA-24h'!I74)</f>
        <v>0</v>
      </c>
      <c r="J74" s="49">
        <f>AVERAGE('19.10 KAYUNGA-GALIRAYA-24h'!J74,'21.10 KAYUNGA-GALIRAYA-24h'!J74)</f>
        <v>0</v>
      </c>
      <c r="K74" s="49">
        <f>AVERAGE('19.10 KAYUNGA-GALIRAYA-24h'!K74,'21.10 KAYUNGA-GALIRAYA-24h'!K74)</f>
        <v>0</v>
      </c>
      <c r="L74" s="49">
        <f>AVERAGE('19.10 KAYUNGA-GALIRAYA-24h'!L74,'21.10 KAYUNGA-GALIRAYA-24h'!L74)</f>
        <v>0</v>
      </c>
      <c r="M74" s="49">
        <f>AVERAGE('19.10 KAYUNGA-GALIRAYA-24h'!M74,'21.10 KAYUNGA-GALIRAYA-24h'!M74)</f>
        <v>0.5</v>
      </c>
      <c r="N74" s="49">
        <f>AVERAGE('19.10 KAYUNGA-GALIRAYA-24h'!N74,'21.10 KAYUNGA-GALIRAYA-24h'!N74)</f>
        <v>0</v>
      </c>
      <c r="O74" s="15">
        <f t="shared" ref="O74:O105" si="35">SUM(C74:L74,N74)</f>
        <v>0.5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23" t="s">
        <v>115</v>
      </c>
      <c r="C75" s="49">
        <f>AVERAGE('19.10 KAYUNGA-GALIRAYA-24h'!C75,'21.10 KAYUNGA-GALIRAYA-24h'!C75)</f>
        <v>0</v>
      </c>
      <c r="D75" s="49">
        <f>AVERAGE('19.10 KAYUNGA-GALIRAYA-24h'!D75,'21.10 KAYUNGA-GALIRAYA-24h'!D75)</f>
        <v>0</v>
      </c>
      <c r="E75" s="49">
        <f>AVERAGE('19.10 KAYUNGA-GALIRAYA-24h'!E75,'21.10 KAYUNGA-GALIRAYA-24h'!E75)</f>
        <v>0</v>
      </c>
      <c r="F75" s="49">
        <f>AVERAGE('19.10 KAYUNGA-GALIRAYA-24h'!F75,'21.10 KAYUNGA-GALIRAYA-24h'!F75)</f>
        <v>0.5</v>
      </c>
      <c r="G75" s="49">
        <f>AVERAGE('19.10 KAYUNGA-GALIRAYA-24h'!G75,'21.10 KAYUNGA-GALIRAYA-24h'!G75)</f>
        <v>0</v>
      </c>
      <c r="H75" s="49">
        <f>AVERAGE('19.10 KAYUNGA-GALIRAYA-24h'!H75,'21.10 KAYUNGA-GALIRAYA-24h'!H75)</f>
        <v>0</v>
      </c>
      <c r="I75" s="49">
        <f>AVERAGE('19.10 KAYUNGA-GALIRAYA-24h'!I75,'21.10 KAYUNGA-GALIRAYA-24h'!I75)</f>
        <v>1</v>
      </c>
      <c r="J75" s="49">
        <f>AVERAGE('19.10 KAYUNGA-GALIRAYA-24h'!J75,'21.10 KAYUNGA-GALIRAYA-24h'!J75)</f>
        <v>0.5</v>
      </c>
      <c r="K75" s="49">
        <f>AVERAGE('19.10 KAYUNGA-GALIRAYA-24h'!K75,'21.10 KAYUNGA-GALIRAYA-24h'!K75)</f>
        <v>0.5</v>
      </c>
      <c r="L75" s="49">
        <f>AVERAGE('19.10 KAYUNGA-GALIRAYA-24h'!L75,'21.10 KAYUNGA-GALIRAYA-24h'!L75)</f>
        <v>0</v>
      </c>
      <c r="M75" s="49">
        <f>AVERAGE('19.10 KAYUNGA-GALIRAYA-24h'!M75,'21.10 KAYUNGA-GALIRAYA-24h'!M75)</f>
        <v>3</v>
      </c>
      <c r="N75" s="49">
        <f>AVERAGE('19.10 KAYUNGA-GALIRAYA-24h'!N75,'21.10 KAYUNGA-GALIRAYA-24h'!N75)</f>
        <v>0</v>
      </c>
      <c r="O75" s="15">
        <f t="shared" si="35"/>
        <v>2.5</v>
      </c>
      <c r="P75" s="15">
        <f t="shared" si="36"/>
        <v>5.5</v>
      </c>
      <c r="R75" s="8"/>
      <c r="T75"/>
    </row>
    <row r="76" spans="2:20" ht="23.1" customHeight="1" x14ac:dyDescent="0.25">
      <c r="B76" s="23" t="s">
        <v>116</v>
      </c>
      <c r="C76" s="49">
        <f>AVERAGE('19.10 KAYUNGA-GALIRAYA-24h'!C76,'21.10 KAYUNGA-GALIRAYA-24h'!C76)</f>
        <v>0</v>
      </c>
      <c r="D76" s="49">
        <f>AVERAGE('19.10 KAYUNGA-GALIRAYA-24h'!D76,'21.10 KAYUNGA-GALIRAYA-24h'!D76)</f>
        <v>0.5</v>
      </c>
      <c r="E76" s="49">
        <f>AVERAGE('19.10 KAYUNGA-GALIRAYA-24h'!E76,'21.10 KAYUNGA-GALIRAYA-24h'!E76)</f>
        <v>0</v>
      </c>
      <c r="F76" s="49">
        <f>AVERAGE('19.10 KAYUNGA-GALIRAYA-24h'!F76,'21.10 KAYUNGA-GALIRAYA-24h'!F76)</f>
        <v>0</v>
      </c>
      <c r="G76" s="49">
        <f>AVERAGE('19.10 KAYUNGA-GALIRAYA-24h'!G76,'21.10 KAYUNGA-GALIRAYA-24h'!G76)</f>
        <v>0</v>
      </c>
      <c r="H76" s="49">
        <f>AVERAGE('19.10 KAYUNGA-GALIRAYA-24h'!H76,'21.10 KAYUNGA-GALIRAYA-24h'!H76)</f>
        <v>0</v>
      </c>
      <c r="I76" s="49">
        <f>AVERAGE('19.10 KAYUNGA-GALIRAYA-24h'!I76,'21.10 KAYUNGA-GALIRAYA-24h'!I76)</f>
        <v>0</v>
      </c>
      <c r="J76" s="49">
        <f>AVERAGE('19.10 KAYUNGA-GALIRAYA-24h'!J76,'21.10 KAYUNGA-GALIRAYA-24h'!J76)</f>
        <v>0</v>
      </c>
      <c r="K76" s="49">
        <f>AVERAGE('19.10 KAYUNGA-GALIRAYA-24h'!K76,'21.10 KAYUNGA-GALIRAYA-24h'!K76)</f>
        <v>0</v>
      </c>
      <c r="L76" s="49">
        <f>AVERAGE('19.10 KAYUNGA-GALIRAYA-24h'!L76,'21.10 KAYUNGA-GALIRAYA-24h'!L76)</f>
        <v>0</v>
      </c>
      <c r="M76" s="49">
        <f>AVERAGE('19.10 KAYUNGA-GALIRAYA-24h'!M76,'21.10 KAYUNGA-GALIRAYA-24h'!M76)</f>
        <v>0</v>
      </c>
      <c r="N76" s="49">
        <f>AVERAGE('19.10 KAYUNGA-GALIRAYA-24h'!N76,'21.10 KAYUNGA-GALIRAYA-24h'!N76)</f>
        <v>0</v>
      </c>
      <c r="O76" s="15">
        <f t="shared" si="35"/>
        <v>0.5</v>
      </c>
      <c r="P76" s="15">
        <f t="shared" si="36"/>
        <v>0.5</v>
      </c>
      <c r="R76" s="8"/>
      <c r="T76"/>
    </row>
    <row r="77" spans="2:20" ht="23.1" customHeight="1" x14ac:dyDescent="0.25">
      <c r="B77" s="23" t="s">
        <v>117</v>
      </c>
      <c r="C77" s="49">
        <f>AVERAGE('19.10 KAYUNGA-GALIRAYA-24h'!C77,'21.10 KAYUNGA-GALIRAYA-24h'!C77)</f>
        <v>0</v>
      </c>
      <c r="D77" s="49">
        <f>AVERAGE('19.10 KAYUNGA-GALIRAYA-24h'!D77,'21.10 KAYUNGA-GALIRAYA-24h'!D77)</f>
        <v>0</v>
      </c>
      <c r="E77" s="49">
        <f>AVERAGE('19.10 KAYUNGA-GALIRAYA-24h'!E77,'21.10 KAYUNGA-GALIRAYA-24h'!E77)</f>
        <v>0</v>
      </c>
      <c r="F77" s="49">
        <f>AVERAGE('19.10 KAYUNGA-GALIRAYA-24h'!F77,'21.10 KAYUNGA-GALIRAYA-24h'!F77)</f>
        <v>1</v>
      </c>
      <c r="G77" s="49">
        <f>AVERAGE('19.10 KAYUNGA-GALIRAYA-24h'!G77,'21.10 KAYUNGA-GALIRAYA-24h'!G77)</f>
        <v>0</v>
      </c>
      <c r="H77" s="49">
        <f>AVERAGE('19.10 KAYUNGA-GALIRAYA-24h'!H77,'21.10 KAYUNGA-GALIRAYA-24h'!H77)</f>
        <v>0</v>
      </c>
      <c r="I77" s="49">
        <f>AVERAGE('19.10 KAYUNGA-GALIRAYA-24h'!I77,'21.10 KAYUNGA-GALIRAYA-24h'!I77)</f>
        <v>0</v>
      </c>
      <c r="J77" s="49">
        <f>AVERAGE('19.10 KAYUNGA-GALIRAYA-24h'!J77,'21.10 KAYUNGA-GALIRAYA-24h'!J77)</f>
        <v>0</v>
      </c>
      <c r="K77" s="49">
        <f>AVERAGE('19.10 KAYUNGA-GALIRAYA-24h'!K77,'21.10 KAYUNGA-GALIRAYA-24h'!K77)</f>
        <v>0</v>
      </c>
      <c r="L77" s="49">
        <f>AVERAGE('19.10 KAYUNGA-GALIRAYA-24h'!L77,'21.10 KAYUNGA-GALIRAYA-24h'!L77)</f>
        <v>0</v>
      </c>
      <c r="M77" s="49">
        <f>AVERAGE('19.10 KAYUNGA-GALIRAYA-24h'!M77,'21.10 KAYUNGA-GALIRAYA-24h'!M77)</f>
        <v>1</v>
      </c>
      <c r="N77" s="49">
        <f>AVERAGE('19.10 KAYUNGA-GALIRAYA-24h'!N77,'21.10 KAYUNGA-GALIRAYA-24h'!N77)</f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AVERAGE('19.10 KAYUNGA-GALIRAYA-24h'!C78,'21.10 KAYUNGA-GALIRAYA-24h'!C78)</f>
        <v>0.5</v>
      </c>
      <c r="D78" s="49">
        <f>AVERAGE('19.10 KAYUNGA-GALIRAYA-24h'!D78,'21.10 KAYUNGA-GALIRAYA-24h'!D78)</f>
        <v>0</v>
      </c>
      <c r="E78" s="49">
        <f>AVERAGE('19.10 KAYUNGA-GALIRAYA-24h'!E78,'21.10 KAYUNGA-GALIRAYA-24h'!E78)</f>
        <v>0</v>
      </c>
      <c r="F78" s="49">
        <f>AVERAGE('19.10 KAYUNGA-GALIRAYA-24h'!F78,'21.10 KAYUNGA-GALIRAYA-24h'!F78)</f>
        <v>0</v>
      </c>
      <c r="G78" s="49">
        <f>AVERAGE('19.10 KAYUNGA-GALIRAYA-24h'!G78,'21.10 KAYUNGA-GALIRAYA-24h'!G78)</f>
        <v>0</v>
      </c>
      <c r="H78" s="49">
        <f>AVERAGE('19.10 KAYUNGA-GALIRAYA-24h'!H78,'21.10 KAYUNGA-GALIRAYA-24h'!H78)</f>
        <v>0</v>
      </c>
      <c r="I78" s="49">
        <f>AVERAGE('19.10 KAYUNGA-GALIRAYA-24h'!I78,'21.10 KAYUNGA-GALIRAYA-24h'!I78)</f>
        <v>0.5</v>
      </c>
      <c r="J78" s="49">
        <f>AVERAGE('19.10 KAYUNGA-GALIRAYA-24h'!J78,'21.10 KAYUNGA-GALIRAYA-24h'!J78)</f>
        <v>0</v>
      </c>
      <c r="K78" s="49">
        <f>AVERAGE('19.10 KAYUNGA-GALIRAYA-24h'!K78,'21.10 KAYUNGA-GALIRAYA-24h'!K78)</f>
        <v>0</v>
      </c>
      <c r="L78" s="49">
        <f>AVERAGE('19.10 KAYUNGA-GALIRAYA-24h'!L78,'21.10 KAYUNGA-GALIRAYA-24h'!L78)</f>
        <v>0</v>
      </c>
      <c r="M78" s="49">
        <f>AVERAGE('19.10 KAYUNGA-GALIRAYA-24h'!M78,'21.10 KAYUNGA-GALIRAYA-24h'!M78)</f>
        <v>0</v>
      </c>
      <c r="N78" s="49">
        <f>AVERAGE('19.10 KAYUNGA-GALIRAYA-24h'!N78,'21.10 KAYUNGA-GALIRAYA-24h'!N78)</f>
        <v>0</v>
      </c>
      <c r="O78" s="15">
        <f t="shared" si="35"/>
        <v>1</v>
      </c>
      <c r="P78" s="15">
        <f t="shared" si="36"/>
        <v>1</v>
      </c>
      <c r="R78" s="8"/>
      <c r="T78"/>
    </row>
    <row r="79" spans="2:20" ht="23.1" customHeight="1" x14ac:dyDescent="0.25">
      <c r="B79" s="23" t="s">
        <v>119</v>
      </c>
      <c r="C79" s="49">
        <f>AVERAGE('19.10 KAYUNGA-GALIRAYA-24h'!C79,'21.10 KAYUNGA-GALIRAYA-24h'!C79)</f>
        <v>0</v>
      </c>
      <c r="D79" s="49">
        <f>AVERAGE('19.10 KAYUNGA-GALIRAYA-24h'!D79,'21.10 KAYUNGA-GALIRAYA-24h'!D79)</f>
        <v>0</v>
      </c>
      <c r="E79" s="49">
        <f>AVERAGE('19.10 KAYUNGA-GALIRAYA-24h'!E79,'21.10 KAYUNGA-GALIRAYA-24h'!E79)</f>
        <v>0</v>
      </c>
      <c r="F79" s="49">
        <f>AVERAGE('19.10 KAYUNGA-GALIRAYA-24h'!F79,'21.10 KAYUNGA-GALIRAYA-24h'!F79)</f>
        <v>0</v>
      </c>
      <c r="G79" s="49">
        <f>AVERAGE('19.10 KAYUNGA-GALIRAYA-24h'!G79,'21.10 KAYUNGA-GALIRAYA-24h'!G79)</f>
        <v>0</v>
      </c>
      <c r="H79" s="49">
        <f>AVERAGE('19.10 KAYUNGA-GALIRAYA-24h'!H79,'21.10 KAYUNGA-GALIRAYA-24h'!H79)</f>
        <v>0</v>
      </c>
      <c r="I79" s="49">
        <f>AVERAGE('19.10 KAYUNGA-GALIRAYA-24h'!I79,'21.10 KAYUNGA-GALIRAYA-24h'!I79)</f>
        <v>0</v>
      </c>
      <c r="J79" s="49">
        <f>AVERAGE('19.10 KAYUNGA-GALIRAYA-24h'!J79,'21.10 KAYUNGA-GALIRAYA-24h'!J79)</f>
        <v>0</v>
      </c>
      <c r="K79" s="49">
        <f>AVERAGE('19.10 KAYUNGA-GALIRAYA-24h'!K79,'21.10 KAYUNGA-GALIRAYA-24h'!K79)</f>
        <v>0</v>
      </c>
      <c r="L79" s="49">
        <f>AVERAGE('19.10 KAYUNGA-GALIRAYA-24h'!L79,'21.10 KAYUNGA-GALIRAYA-24h'!L79)</f>
        <v>0</v>
      </c>
      <c r="M79" s="49">
        <f>AVERAGE('19.10 KAYUNGA-GALIRAYA-24h'!M79,'21.10 KAYUNGA-GALIRAYA-24h'!M79)</f>
        <v>0</v>
      </c>
      <c r="N79" s="49">
        <f>AVERAGE('19.10 KAYUNGA-GALIRAYA-24h'!N79,'21.10 KAYUNGA-GALIRAYA-24h'!N79)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AVERAGE('19.10 KAYUNGA-GALIRAYA-24h'!C80,'21.10 KAYUNGA-GALIRAYA-24h'!C80)</f>
        <v>0</v>
      </c>
      <c r="D80" s="49">
        <f>AVERAGE('19.10 KAYUNGA-GALIRAYA-24h'!D80,'21.10 KAYUNGA-GALIRAYA-24h'!D80)</f>
        <v>0</v>
      </c>
      <c r="E80" s="49">
        <f>AVERAGE('19.10 KAYUNGA-GALIRAYA-24h'!E80,'21.10 KAYUNGA-GALIRAYA-24h'!E80)</f>
        <v>0</v>
      </c>
      <c r="F80" s="49">
        <f>AVERAGE('19.10 KAYUNGA-GALIRAYA-24h'!F80,'21.10 KAYUNGA-GALIRAYA-24h'!F80)</f>
        <v>0</v>
      </c>
      <c r="G80" s="49">
        <f>AVERAGE('19.10 KAYUNGA-GALIRAYA-24h'!G80,'21.10 KAYUNGA-GALIRAYA-24h'!G80)</f>
        <v>0</v>
      </c>
      <c r="H80" s="49">
        <f>AVERAGE('19.10 KAYUNGA-GALIRAYA-24h'!H80,'21.10 KAYUNGA-GALIRAYA-24h'!H80)</f>
        <v>0</v>
      </c>
      <c r="I80" s="49">
        <f>AVERAGE('19.10 KAYUNGA-GALIRAYA-24h'!I80,'21.10 KAYUNGA-GALIRAYA-24h'!I80)</f>
        <v>0</v>
      </c>
      <c r="J80" s="49">
        <f>AVERAGE('19.10 KAYUNGA-GALIRAYA-24h'!J80,'21.10 KAYUNGA-GALIRAYA-24h'!J80)</f>
        <v>0</v>
      </c>
      <c r="K80" s="49">
        <f>AVERAGE('19.10 KAYUNGA-GALIRAYA-24h'!K80,'21.10 KAYUNGA-GALIRAYA-24h'!K80)</f>
        <v>0</v>
      </c>
      <c r="L80" s="49">
        <f>AVERAGE('19.10 KAYUNGA-GALIRAYA-24h'!L80,'21.10 KAYUNGA-GALIRAYA-24h'!L80)</f>
        <v>0</v>
      </c>
      <c r="M80" s="49">
        <f>AVERAGE('19.10 KAYUNGA-GALIRAYA-24h'!M80,'21.10 KAYUNGA-GALIRAYA-24h'!M80)</f>
        <v>0</v>
      </c>
      <c r="N80" s="49">
        <f>AVERAGE('19.10 KAYUNGA-GALIRAYA-24h'!N80,'21.10 KAYUNGA-GALIRAYA-24h'!N80)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AVERAGE('19.10 KAYUNGA-GALIRAYA-24h'!C81,'21.10 KAYUNGA-GALIRAYA-24h'!C81)</f>
        <v>0.5</v>
      </c>
      <c r="D81" s="49">
        <f>AVERAGE('19.10 KAYUNGA-GALIRAYA-24h'!D81,'21.10 KAYUNGA-GALIRAYA-24h'!D81)</f>
        <v>0</v>
      </c>
      <c r="E81" s="49">
        <f>AVERAGE('19.10 KAYUNGA-GALIRAYA-24h'!E81,'21.10 KAYUNGA-GALIRAYA-24h'!E81)</f>
        <v>0</v>
      </c>
      <c r="F81" s="49">
        <f>AVERAGE('19.10 KAYUNGA-GALIRAYA-24h'!F81,'21.10 KAYUNGA-GALIRAYA-24h'!F81)</f>
        <v>0.5</v>
      </c>
      <c r="G81" s="49">
        <f>AVERAGE('19.10 KAYUNGA-GALIRAYA-24h'!G81,'21.10 KAYUNGA-GALIRAYA-24h'!G81)</f>
        <v>0</v>
      </c>
      <c r="H81" s="49">
        <f>AVERAGE('19.10 KAYUNGA-GALIRAYA-24h'!H81,'21.10 KAYUNGA-GALIRAYA-24h'!H81)</f>
        <v>0</v>
      </c>
      <c r="I81" s="49">
        <f>AVERAGE('19.10 KAYUNGA-GALIRAYA-24h'!I81,'21.10 KAYUNGA-GALIRAYA-24h'!I81)</f>
        <v>0</v>
      </c>
      <c r="J81" s="49">
        <f>AVERAGE('19.10 KAYUNGA-GALIRAYA-24h'!J81,'21.10 KAYUNGA-GALIRAYA-24h'!J81)</f>
        <v>0</v>
      </c>
      <c r="K81" s="49">
        <f>AVERAGE('19.10 KAYUNGA-GALIRAYA-24h'!K81,'21.10 KAYUNGA-GALIRAYA-24h'!K81)</f>
        <v>0.5</v>
      </c>
      <c r="L81" s="49">
        <f>AVERAGE('19.10 KAYUNGA-GALIRAYA-24h'!L81,'21.10 KAYUNGA-GALIRAYA-24h'!L81)</f>
        <v>0.5</v>
      </c>
      <c r="M81" s="49">
        <f>AVERAGE('19.10 KAYUNGA-GALIRAYA-24h'!M81,'21.10 KAYUNGA-GALIRAYA-24h'!M81)</f>
        <v>0</v>
      </c>
      <c r="N81" s="49">
        <f>AVERAGE('19.10 KAYUNGA-GALIRAYA-24h'!N81,'21.10 KAYUNGA-GALIRAYA-24h'!N81)</f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24" t="s">
        <v>122</v>
      </c>
      <c r="C82" s="49">
        <f>AVERAGE('19.10 KAYUNGA-GALIRAYA-24h'!C82,'21.10 KAYUNGA-GALIRAYA-24h'!C82)</f>
        <v>0</v>
      </c>
      <c r="D82" s="49">
        <f>AVERAGE('19.10 KAYUNGA-GALIRAYA-24h'!D82,'21.10 KAYUNGA-GALIRAYA-24h'!D82)</f>
        <v>0</v>
      </c>
      <c r="E82" s="49">
        <f>AVERAGE('19.10 KAYUNGA-GALIRAYA-24h'!E82,'21.10 KAYUNGA-GALIRAYA-24h'!E82)</f>
        <v>0</v>
      </c>
      <c r="F82" s="49">
        <f>AVERAGE('19.10 KAYUNGA-GALIRAYA-24h'!F82,'21.10 KAYUNGA-GALIRAYA-24h'!F82)</f>
        <v>1</v>
      </c>
      <c r="G82" s="49">
        <f>AVERAGE('19.10 KAYUNGA-GALIRAYA-24h'!G82,'21.10 KAYUNGA-GALIRAYA-24h'!G82)</f>
        <v>0</v>
      </c>
      <c r="H82" s="49">
        <f>AVERAGE('19.10 KAYUNGA-GALIRAYA-24h'!H82,'21.10 KAYUNGA-GALIRAYA-24h'!H82)</f>
        <v>0</v>
      </c>
      <c r="I82" s="49">
        <f>AVERAGE('19.10 KAYUNGA-GALIRAYA-24h'!I82,'21.10 KAYUNGA-GALIRAYA-24h'!I82)</f>
        <v>0</v>
      </c>
      <c r="J82" s="49">
        <f>AVERAGE('19.10 KAYUNGA-GALIRAYA-24h'!J82,'21.10 KAYUNGA-GALIRAYA-24h'!J82)</f>
        <v>0</v>
      </c>
      <c r="K82" s="49">
        <f>AVERAGE('19.10 KAYUNGA-GALIRAYA-24h'!K82,'21.10 KAYUNGA-GALIRAYA-24h'!K82)</f>
        <v>0</v>
      </c>
      <c r="L82" s="49">
        <f>AVERAGE('19.10 KAYUNGA-GALIRAYA-24h'!L82,'21.10 KAYUNGA-GALIRAYA-24h'!L82)</f>
        <v>0</v>
      </c>
      <c r="M82" s="49">
        <f>AVERAGE('19.10 KAYUNGA-GALIRAYA-24h'!M82,'21.10 KAYUNGA-GALIRAYA-24h'!M82)</f>
        <v>0</v>
      </c>
      <c r="N82" s="49">
        <f>AVERAGE('19.10 KAYUNGA-GALIRAYA-24h'!N82,'21.10 KAYUNGA-GALIRAYA-24h'!N82)</f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23" t="s">
        <v>123</v>
      </c>
      <c r="C83" s="49">
        <f>AVERAGE('19.10 KAYUNGA-GALIRAYA-24h'!C83,'21.10 KAYUNGA-GALIRAYA-24h'!C83)</f>
        <v>0</v>
      </c>
      <c r="D83" s="49">
        <f>AVERAGE('19.10 KAYUNGA-GALIRAYA-24h'!D83,'21.10 KAYUNGA-GALIRAYA-24h'!D83)</f>
        <v>0</v>
      </c>
      <c r="E83" s="49">
        <f>AVERAGE('19.10 KAYUNGA-GALIRAYA-24h'!E83,'21.10 KAYUNGA-GALIRAYA-24h'!E83)</f>
        <v>0</v>
      </c>
      <c r="F83" s="49">
        <f>AVERAGE('19.10 KAYUNGA-GALIRAYA-24h'!F83,'21.10 KAYUNGA-GALIRAYA-24h'!F83)</f>
        <v>0</v>
      </c>
      <c r="G83" s="49">
        <f>AVERAGE('19.10 KAYUNGA-GALIRAYA-24h'!G83,'21.10 KAYUNGA-GALIRAYA-24h'!G83)</f>
        <v>0</v>
      </c>
      <c r="H83" s="49">
        <f>AVERAGE('19.10 KAYUNGA-GALIRAYA-24h'!H83,'21.10 KAYUNGA-GALIRAYA-24h'!H83)</f>
        <v>0</v>
      </c>
      <c r="I83" s="49">
        <f>AVERAGE('19.10 KAYUNGA-GALIRAYA-24h'!I83,'21.10 KAYUNGA-GALIRAYA-24h'!I83)</f>
        <v>0</v>
      </c>
      <c r="J83" s="49">
        <f>AVERAGE('19.10 KAYUNGA-GALIRAYA-24h'!J83,'21.10 KAYUNGA-GALIRAYA-24h'!J83)</f>
        <v>0</v>
      </c>
      <c r="K83" s="49">
        <f>AVERAGE('19.10 KAYUNGA-GALIRAYA-24h'!K83,'21.10 KAYUNGA-GALIRAYA-24h'!K83)</f>
        <v>0</v>
      </c>
      <c r="L83" s="49">
        <f>AVERAGE('19.10 KAYUNGA-GALIRAYA-24h'!L83,'21.10 KAYUNGA-GALIRAYA-24h'!L83)</f>
        <v>0</v>
      </c>
      <c r="M83" s="49">
        <f>AVERAGE('19.10 KAYUNGA-GALIRAYA-24h'!M83,'21.10 KAYUNGA-GALIRAYA-24h'!M83)</f>
        <v>1</v>
      </c>
      <c r="N83" s="49">
        <f>AVERAGE('19.10 KAYUNGA-GALIRAYA-24h'!N83,'21.10 KAYUNGA-GALIRAYA-24h'!N83)</f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49">
        <f>AVERAGE('19.10 KAYUNGA-GALIRAYA-24h'!C84,'21.10 KAYUNGA-GALIRAYA-24h'!C84)</f>
        <v>0</v>
      </c>
      <c r="D84" s="49">
        <f>AVERAGE('19.10 KAYUNGA-GALIRAYA-24h'!D84,'21.10 KAYUNGA-GALIRAYA-24h'!D84)</f>
        <v>0</v>
      </c>
      <c r="E84" s="49">
        <f>AVERAGE('19.10 KAYUNGA-GALIRAYA-24h'!E84,'21.10 KAYUNGA-GALIRAYA-24h'!E84)</f>
        <v>0</v>
      </c>
      <c r="F84" s="49">
        <f>AVERAGE('19.10 KAYUNGA-GALIRAYA-24h'!F84,'21.10 KAYUNGA-GALIRAYA-24h'!F84)</f>
        <v>0</v>
      </c>
      <c r="G84" s="49">
        <f>AVERAGE('19.10 KAYUNGA-GALIRAYA-24h'!G84,'21.10 KAYUNGA-GALIRAYA-24h'!G84)</f>
        <v>0</v>
      </c>
      <c r="H84" s="49">
        <f>AVERAGE('19.10 KAYUNGA-GALIRAYA-24h'!H84,'21.10 KAYUNGA-GALIRAYA-24h'!H84)</f>
        <v>0</v>
      </c>
      <c r="I84" s="49">
        <f>AVERAGE('19.10 KAYUNGA-GALIRAYA-24h'!I84,'21.10 KAYUNGA-GALIRAYA-24h'!I84)</f>
        <v>0</v>
      </c>
      <c r="J84" s="49">
        <f>AVERAGE('19.10 KAYUNGA-GALIRAYA-24h'!J84,'21.10 KAYUNGA-GALIRAYA-24h'!J84)</f>
        <v>0</v>
      </c>
      <c r="K84" s="49">
        <f>AVERAGE('19.10 KAYUNGA-GALIRAYA-24h'!K84,'21.10 KAYUNGA-GALIRAYA-24h'!K84)</f>
        <v>0</v>
      </c>
      <c r="L84" s="49">
        <f>AVERAGE('19.10 KAYUNGA-GALIRAYA-24h'!L84,'21.10 KAYUNGA-GALIRAYA-24h'!L84)</f>
        <v>0</v>
      </c>
      <c r="M84" s="49">
        <f>AVERAGE('19.10 KAYUNGA-GALIRAYA-24h'!M84,'21.10 KAYUNGA-GALIRAYA-24h'!M84)</f>
        <v>0.5</v>
      </c>
      <c r="N84" s="49">
        <f>AVERAGE('19.10 KAYUNGA-GALIRAYA-24h'!N84,'21.10 KAYUNGA-GALIRAYA-24h'!N84)</f>
        <v>0</v>
      </c>
      <c r="O84" s="15">
        <f t="shared" si="35"/>
        <v>0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AVERAGE('19.10 KAYUNGA-GALIRAYA-24h'!C85,'21.10 KAYUNGA-GALIRAYA-24h'!C85)</f>
        <v>0</v>
      </c>
      <c r="D85" s="49">
        <f>AVERAGE('19.10 KAYUNGA-GALIRAYA-24h'!D85,'21.10 KAYUNGA-GALIRAYA-24h'!D85)</f>
        <v>0</v>
      </c>
      <c r="E85" s="49">
        <f>AVERAGE('19.10 KAYUNGA-GALIRAYA-24h'!E85,'21.10 KAYUNGA-GALIRAYA-24h'!E85)</f>
        <v>0</v>
      </c>
      <c r="F85" s="49">
        <f>AVERAGE('19.10 KAYUNGA-GALIRAYA-24h'!F85,'21.10 KAYUNGA-GALIRAYA-24h'!F85)</f>
        <v>0</v>
      </c>
      <c r="G85" s="49">
        <f>AVERAGE('19.10 KAYUNGA-GALIRAYA-24h'!G85,'21.10 KAYUNGA-GALIRAYA-24h'!G85)</f>
        <v>0</v>
      </c>
      <c r="H85" s="49">
        <f>AVERAGE('19.10 KAYUNGA-GALIRAYA-24h'!H85,'21.10 KAYUNGA-GALIRAYA-24h'!H85)</f>
        <v>0</v>
      </c>
      <c r="I85" s="49">
        <f>AVERAGE('19.10 KAYUNGA-GALIRAYA-24h'!I85,'21.10 KAYUNGA-GALIRAYA-24h'!I85)</f>
        <v>0</v>
      </c>
      <c r="J85" s="49">
        <f>AVERAGE('19.10 KAYUNGA-GALIRAYA-24h'!J85,'21.10 KAYUNGA-GALIRAYA-24h'!J85)</f>
        <v>0</v>
      </c>
      <c r="K85" s="49">
        <f>AVERAGE('19.10 KAYUNGA-GALIRAYA-24h'!K85,'21.10 KAYUNGA-GALIRAYA-24h'!K85)</f>
        <v>1</v>
      </c>
      <c r="L85" s="49">
        <f>AVERAGE('19.10 KAYUNGA-GALIRAYA-24h'!L85,'21.10 KAYUNGA-GALIRAYA-24h'!L85)</f>
        <v>0</v>
      </c>
      <c r="M85" s="49">
        <f>AVERAGE('19.10 KAYUNGA-GALIRAYA-24h'!M85,'21.10 KAYUNGA-GALIRAYA-24h'!M85)</f>
        <v>0</v>
      </c>
      <c r="N85" s="49">
        <f>AVERAGE('19.10 KAYUNGA-GALIRAYA-24h'!N85,'21.10 KAYUNGA-GALIRAYA-24h'!N85)</f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24" t="s">
        <v>126</v>
      </c>
      <c r="C86" s="49">
        <f>AVERAGE('19.10 KAYUNGA-GALIRAYA-24h'!C86,'21.10 KAYUNGA-GALIRAYA-24h'!C86)</f>
        <v>0</v>
      </c>
      <c r="D86" s="49">
        <f>AVERAGE('19.10 KAYUNGA-GALIRAYA-24h'!D86,'21.10 KAYUNGA-GALIRAYA-24h'!D86)</f>
        <v>0</v>
      </c>
      <c r="E86" s="49">
        <f>AVERAGE('19.10 KAYUNGA-GALIRAYA-24h'!E86,'21.10 KAYUNGA-GALIRAYA-24h'!E86)</f>
        <v>0</v>
      </c>
      <c r="F86" s="49">
        <f>AVERAGE('19.10 KAYUNGA-GALIRAYA-24h'!F86,'21.10 KAYUNGA-GALIRAYA-24h'!F86)</f>
        <v>0</v>
      </c>
      <c r="G86" s="49">
        <f>AVERAGE('19.10 KAYUNGA-GALIRAYA-24h'!G86,'21.10 KAYUNGA-GALIRAYA-24h'!G86)</f>
        <v>0</v>
      </c>
      <c r="H86" s="49">
        <f>AVERAGE('19.10 KAYUNGA-GALIRAYA-24h'!H86,'21.10 KAYUNGA-GALIRAYA-24h'!H86)</f>
        <v>0</v>
      </c>
      <c r="I86" s="49">
        <f>AVERAGE('19.10 KAYUNGA-GALIRAYA-24h'!I86,'21.10 KAYUNGA-GALIRAYA-24h'!I86)</f>
        <v>0</v>
      </c>
      <c r="J86" s="49">
        <f>AVERAGE('19.10 KAYUNGA-GALIRAYA-24h'!J86,'21.10 KAYUNGA-GALIRAYA-24h'!J86)</f>
        <v>0</v>
      </c>
      <c r="K86" s="49">
        <f>AVERAGE('19.10 KAYUNGA-GALIRAYA-24h'!K86,'21.10 KAYUNGA-GALIRAYA-24h'!K86)</f>
        <v>0</v>
      </c>
      <c r="L86" s="49">
        <f>AVERAGE('19.10 KAYUNGA-GALIRAYA-24h'!L86,'21.10 KAYUNGA-GALIRAYA-24h'!L86)</f>
        <v>0</v>
      </c>
      <c r="M86" s="49">
        <f>AVERAGE('19.10 KAYUNGA-GALIRAYA-24h'!M86,'21.10 KAYUNGA-GALIRAYA-24h'!M86)</f>
        <v>0</v>
      </c>
      <c r="N86" s="49">
        <f>AVERAGE('19.10 KAYUNGA-GALIRAYA-24h'!N86,'21.10 KAYUNGA-GALIRAYA-24h'!N86)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AVERAGE('19.10 KAYUNGA-GALIRAYA-24h'!C87,'21.10 KAYUNGA-GALIRAYA-24h'!C87)</f>
        <v>0</v>
      </c>
      <c r="D87" s="49">
        <f>AVERAGE('19.10 KAYUNGA-GALIRAYA-24h'!D87,'21.10 KAYUNGA-GALIRAYA-24h'!D87)</f>
        <v>1</v>
      </c>
      <c r="E87" s="49">
        <f>AVERAGE('19.10 KAYUNGA-GALIRAYA-24h'!E87,'21.10 KAYUNGA-GALIRAYA-24h'!E87)</f>
        <v>0.5</v>
      </c>
      <c r="F87" s="49">
        <f>AVERAGE('19.10 KAYUNGA-GALIRAYA-24h'!F87,'21.10 KAYUNGA-GALIRAYA-24h'!F87)</f>
        <v>0</v>
      </c>
      <c r="G87" s="49">
        <f>AVERAGE('19.10 KAYUNGA-GALIRAYA-24h'!G87,'21.10 KAYUNGA-GALIRAYA-24h'!G87)</f>
        <v>0</v>
      </c>
      <c r="H87" s="49">
        <f>AVERAGE('19.10 KAYUNGA-GALIRAYA-24h'!H87,'21.10 KAYUNGA-GALIRAYA-24h'!H87)</f>
        <v>0</v>
      </c>
      <c r="I87" s="49">
        <f>AVERAGE('19.10 KAYUNGA-GALIRAYA-24h'!I87,'21.10 KAYUNGA-GALIRAYA-24h'!I87)</f>
        <v>0</v>
      </c>
      <c r="J87" s="49">
        <f>AVERAGE('19.10 KAYUNGA-GALIRAYA-24h'!J87,'21.10 KAYUNGA-GALIRAYA-24h'!J87)</f>
        <v>0</v>
      </c>
      <c r="K87" s="49">
        <f>AVERAGE('19.10 KAYUNGA-GALIRAYA-24h'!K87,'21.10 KAYUNGA-GALIRAYA-24h'!K87)</f>
        <v>0</v>
      </c>
      <c r="L87" s="49">
        <f>AVERAGE('19.10 KAYUNGA-GALIRAYA-24h'!L87,'21.10 KAYUNGA-GALIRAYA-24h'!L87)</f>
        <v>0</v>
      </c>
      <c r="M87" s="49">
        <f>AVERAGE('19.10 KAYUNGA-GALIRAYA-24h'!M87,'21.10 KAYUNGA-GALIRAYA-24h'!M87)</f>
        <v>0.5</v>
      </c>
      <c r="N87" s="49">
        <f>AVERAGE('19.10 KAYUNGA-GALIRAYA-24h'!N87,'21.10 KAYUNGA-GALIRAYA-24h'!N87)</f>
        <v>0</v>
      </c>
      <c r="O87" s="15">
        <f t="shared" si="35"/>
        <v>1.5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AVERAGE('19.10 KAYUNGA-GALIRAYA-24h'!C88,'21.10 KAYUNGA-GALIRAYA-24h'!C88)</f>
        <v>0</v>
      </c>
      <c r="D88" s="49">
        <f>AVERAGE('19.10 KAYUNGA-GALIRAYA-24h'!D88,'21.10 KAYUNGA-GALIRAYA-24h'!D88)</f>
        <v>0</v>
      </c>
      <c r="E88" s="49">
        <f>AVERAGE('19.10 KAYUNGA-GALIRAYA-24h'!E88,'21.10 KAYUNGA-GALIRAYA-24h'!E88)</f>
        <v>0</v>
      </c>
      <c r="F88" s="49">
        <f>AVERAGE('19.10 KAYUNGA-GALIRAYA-24h'!F88,'21.10 KAYUNGA-GALIRAYA-24h'!F88)</f>
        <v>0</v>
      </c>
      <c r="G88" s="49">
        <f>AVERAGE('19.10 KAYUNGA-GALIRAYA-24h'!G88,'21.10 KAYUNGA-GALIRAYA-24h'!G88)</f>
        <v>0</v>
      </c>
      <c r="H88" s="49">
        <f>AVERAGE('19.10 KAYUNGA-GALIRAYA-24h'!H88,'21.10 KAYUNGA-GALIRAYA-24h'!H88)</f>
        <v>0</v>
      </c>
      <c r="I88" s="49">
        <f>AVERAGE('19.10 KAYUNGA-GALIRAYA-24h'!I88,'21.10 KAYUNGA-GALIRAYA-24h'!I88)</f>
        <v>0</v>
      </c>
      <c r="J88" s="49">
        <f>AVERAGE('19.10 KAYUNGA-GALIRAYA-24h'!J88,'21.10 KAYUNGA-GALIRAYA-24h'!J88)</f>
        <v>0</v>
      </c>
      <c r="K88" s="49">
        <f>AVERAGE('19.10 KAYUNGA-GALIRAYA-24h'!K88,'21.10 KAYUNGA-GALIRAYA-24h'!K88)</f>
        <v>0</v>
      </c>
      <c r="L88" s="49">
        <f>AVERAGE('19.10 KAYUNGA-GALIRAYA-24h'!L88,'21.10 KAYUNGA-GALIRAYA-24h'!L88)</f>
        <v>0</v>
      </c>
      <c r="M88" s="49">
        <f>AVERAGE('19.10 KAYUNGA-GALIRAYA-24h'!M88,'21.10 KAYUNGA-GALIRAYA-24h'!M88)</f>
        <v>0</v>
      </c>
      <c r="N88" s="49">
        <f>AVERAGE('19.10 KAYUNGA-GALIRAYA-24h'!N88,'21.10 KAYUNGA-GALIRAYA-24h'!N88)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AVERAGE('19.10 KAYUNGA-GALIRAYA-24h'!C89,'21.10 KAYUNGA-GALIRAYA-24h'!C89)</f>
        <v>0</v>
      </c>
      <c r="D89" s="49">
        <f>AVERAGE('19.10 KAYUNGA-GALIRAYA-24h'!D89,'21.10 KAYUNGA-GALIRAYA-24h'!D89)</f>
        <v>0</v>
      </c>
      <c r="E89" s="49">
        <f>AVERAGE('19.10 KAYUNGA-GALIRAYA-24h'!E89,'21.10 KAYUNGA-GALIRAYA-24h'!E89)</f>
        <v>0</v>
      </c>
      <c r="F89" s="49">
        <f>AVERAGE('19.10 KAYUNGA-GALIRAYA-24h'!F89,'21.10 KAYUNGA-GALIRAYA-24h'!F89)</f>
        <v>0</v>
      </c>
      <c r="G89" s="49">
        <f>AVERAGE('19.10 KAYUNGA-GALIRAYA-24h'!G89,'21.10 KAYUNGA-GALIRAYA-24h'!G89)</f>
        <v>0</v>
      </c>
      <c r="H89" s="49">
        <f>AVERAGE('19.10 KAYUNGA-GALIRAYA-24h'!H89,'21.10 KAYUNGA-GALIRAYA-24h'!H89)</f>
        <v>0</v>
      </c>
      <c r="I89" s="49">
        <f>AVERAGE('19.10 KAYUNGA-GALIRAYA-24h'!I89,'21.10 KAYUNGA-GALIRAYA-24h'!I89)</f>
        <v>0</v>
      </c>
      <c r="J89" s="49">
        <f>AVERAGE('19.10 KAYUNGA-GALIRAYA-24h'!J89,'21.10 KAYUNGA-GALIRAYA-24h'!J89)</f>
        <v>0.5</v>
      </c>
      <c r="K89" s="49">
        <f>AVERAGE('19.10 KAYUNGA-GALIRAYA-24h'!K89,'21.10 KAYUNGA-GALIRAYA-24h'!K89)</f>
        <v>0.5</v>
      </c>
      <c r="L89" s="49">
        <f>AVERAGE('19.10 KAYUNGA-GALIRAYA-24h'!L89,'21.10 KAYUNGA-GALIRAYA-24h'!L89)</f>
        <v>0</v>
      </c>
      <c r="M89" s="49">
        <f>AVERAGE('19.10 KAYUNGA-GALIRAYA-24h'!M89,'21.10 KAYUNGA-GALIRAYA-24h'!M89)</f>
        <v>0</v>
      </c>
      <c r="N89" s="49">
        <f>AVERAGE('19.10 KAYUNGA-GALIRAYA-24h'!N89,'21.10 KAYUNGA-GALIRAYA-24h'!N89)</f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AVERAGE('19.10 KAYUNGA-GALIRAYA-24h'!C90,'21.10 KAYUNGA-GALIRAYA-24h'!C90)</f>
        <v>0</v>
      </c>
      <c r="D90" s="49">
        <f>AVERAGE('19.10 KAYUNGA-GALIRAYA-24h'!D90,'21.10 KAYUNGA-GALIRAYA-24h'!D90)</f>
        <v>0</v>
      </c>
      <c r="E90" s="49">
        <f>AVERAGE('19.10 KAYUNGA-GALIRAYA-24h'!E90,'21.10 KAYUNGA-GALIRAYA-24h'!E90)</f>
        <v>0</v>
      </c>
      <c r="F90" s="49">
        <f>AVERAGE('19.10 KAYUNGA-GALIRAYA-24h'!F90,'21.10 KAYUNGA-GALIRAYA-24h'!F90)</f>
        <v>0</v>
      </c>
      <c r="G90" s="49">
        <f>AVERAGE('19.10 KAYUNGA-GALIRAYA-24h'!G90,'21.10 KAYUNGA-GALIRAYA-24h'!G90)</f>
        <v>0</v>
      </c>
      <c r="H90" s="49">
        <f>AVERAGE('19.10 KAYUNGA-GALIRAYA-24h'!H90,'21.10 KAYUNGA-GALIRAYA-24h'!H90)</f>
        <v>0</v>
      </c>
      <c r="I90" s="49">
        <f>AVERAGE('19.10 KAYUNGA-GALIRAYA-24h'!I90,'21.10 KAYUNGA-GALIRAYA-24h'!I90)</f>
        <v>0</v>
      </c>
      <c r="J90" s="49">
        <f>AVERAGE('19.10 KAYUNGA-GALIRAYA-24h'!J90,'21.10 KAYUNGA-GALIRAYA-24h'!J90)</f>
        <v>0</v>
      </c>
      <c r="K90" s="49">
        <f>AVERAGE('19.10 KAYUNGA-GALIRAYA-24h'!K90,'21.10 KAYUNGA-GALIRAYA-24h'!K90)</f>
        <v>0.5</v>
      </c>
      <c r="L90" s="49">
        <f>AVERAGE('19.10 KAYUNGA-GALIRAYA-24h'!L90,'21.10 KAYUNGA-GALIRAYA-24h'!L90)</f>
        <v>0</v>
      </c>
      <c r="M90" s="49">
        <f>AVERAGE('19.10 KAYUNGA-GALIRAYA-24h'!M90,'21.10 KAYUNGA-GALIRAYA-24h'!M90)</f>
        <v>0</v>
      </c>
      <c r="N90" s="49">
        <f>AVERAGE('19.10 KAYUNGA-GALIRAYA-24h'!N90,'21.10 KAYUNGA-GALIRAYA-24h'!N90)</f>
        <v>0</v>
      </c>
      <c r="O90" s="15">
        <f t="shared" si="35"/>
        <v>0.5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AVERAGE('19.10 KAYUNGA-GALIRAYA-24h'!C91,'21.10 KAYUNGA-GALIRAYA-24h'!C91)</f>
        <v>0</v>
      </c>
      <c r="D91" s="49">
        <f>AVERAGE('19.10 KAYUNGA-GALIRAYA-24h'!D91,'21.10 KAYUNGA-GALIRAYA-24h'!D91)</f>
        <v>0</v>
      </c>
      <c r="E91" s="49">
        <f>AVERAGE('19.10 KAYUNGA-GALIRAYA-24h'!E91,'21.10 KAYUNGA-GALIRAYA-24h'!E91)</f>
        <v>0</v>
      </c>
      <c r="F91" s="49">
        <f>AVERAGE('19.10 KAYUNGA-GALIRAYA-24h'!F91,'21.10 KAYUNGA-GALIRAYA-24h'!F91)</f>
        <v>0</v>
      </c>
      <c r="G91" s="49">
        <f>AVERAGE('19.10 KAYUNGA-GALIRAYA-24h'!G91,'21.10 KAYUNGA-GALIRAYA-24h'!G91)</f>
        <v>0</v>
      </c>
      <c r="H91" s="49">
        <f>AVERAGE('19.10 KAYUNGA-GALIRAYA-24h'!H91,'21.10 KAYUNGA-GALIRAYA-24h'!H91)</f>
        <v>0</v>
      </c>
      <c r="I91" s="49">
        <f>AVERAGE('19.10 KAYUNGA-GALIRAYA-24h'!I91,'21.10 KAYUNGA-GALIRAYA-24h'!I91)</f>
        <v>0</v>
      </c>
      <c r="J91" s="49">
        <f>AVERAGE('19.10 KAYUNGA-GALIRAYA-24h'!J91,'21.10 KAYUNGA-GALIRAYA-24h'!J91)</f>
        <v>0</v>
      </c>
      <c r="K91" s="49">
        <f>AVERAGE('19.10 KAYUNGA-GALIRAYA-24h'!K91,'21.10 KAYUNGA-GALIRAYA-24h'!K91)</f>
        <v>0</v>
      </c>
      <c r="L91" s="49">
        <f>AVERAGE('19.10 KAYUNGA-GALIRAYA-24h'!L91,'21.10 KAYUNGA-GALIRAYA-24h'!L91)</f>
        <v>0</v>
      </c>
      <c r="M91" s="49">
        <f>AVERAGE('19.10 KAYUNGA-GALIRAYA-24h'!M91,'21.10 KAYUNGA-GALIRAYA-24h'!M91)</f>
        <v>0</v>
      </c>
      <c r="N91" s="49">
        <f>AVERAGE('19.10 KAYUNGA-GALIRAYA-24h'!N91,'21.10 KAYUNGA-GALIRAYA-24h'!N91)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AVERAGE('19.10 KAYUNGA-GALIRAYA-24h'!C92,'21.10 KAYUNGA-GALIRAYA-24h'!C92)</f>
        <v>0.5</v>
      </c>
      <c r="D92" s="49">
        <f>AVERAGE('19.10 KAYUNGA-GALIRAYA-24h'!D92,'21.10 KAYUNGA-GALIRAYA-24h'!D92)</f>
        <v>0</v>
      </c>
      <c r="E92" s="49">
        <f>AVERAGE('19.10 KAYUNGA-GALIRAYA-24h'!E92,'21.10 KAYUNGA-GALIRAYA-24h'!E92)</f>
        <v>0</v>
      </c>
      <c r="F92" s="49">
        <f>AVERAGE('19.10 KAYUNGA-GALIRAYA-24h'!F92,'21.10 KAYUNGA-GALIRAYA-24h'!F92)</f>
        <v>0</v>
      </c>
      <c r="G92" s="49">
        <f>AVERAGE('19.10 KAYUNGA-GALIRAYA-24h'!G92,'21.10 KAYUNGA-GALIRAYA-24h'!G92)</f>
        <v>0</v>
      </c>
      <c r="H92" s="49">
        <f>AVERAGE('19.10 KAYUNGA-GALIRAYA-24h'!H92,'21.10 KAYUNGA-GALIRAYA-24h'!H92)</f>
        <v>0</v>
      </c>
      <c r="I92" s="49">
        <f>AVERAGE('19.10 KAYUNGA-GALIRAYA-24h'!I92,'21.10 KAYUNGA-GALIRAYA-24h'!I92)</f>
        <v>0</v>
      </c>
      <c r="J92" s="49">
        <f>AVERAGE('19.10 KAYUNGA-GALIRAYA-24h'!J92,'21.10 KAYUNGA-GALIRAYA-24h'!J92)</f>
        <v>0</v>
      </c>
      <c r="K92" s="49">
        <f>AVERAGE('19.10 KAYUNGA-GALIRAYA-24h'!K92,'21.10 KAYUNGA-GALIRAYA-24h'!K92)</f>
        <v>1.5</v>
      </c>
      <c r="L92" s="49">
        <f>AVERAGE('19.10 KAYUNGA-GALIRAYA-24h'!L92,'21.10 KAYUNGA-GALIRAYA-24h'!L92)</f>
        <v>0</v>
      </c>
      <c r="M92" s="49">
        <f>AVERAGE('19.10 KAYUNGA-GALIRAYA-24h'!M92,'21.10 KAYUNGA-GALIRAYA-24h'!M92)</f>
        <v>0</v>
      </c>
      <c r="N92" s="49">
        <f>AVERAGE('19.10 KAYUNGA-GALIRAYA-24h'!N92,'21.10 KAYUNGA-GALIRAYA-24h'!N92)</f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23" t="s">
        <v>133</v>
      </c>
      <c r="C93" s="49">
        <f>AVERAGE('19.10 KAYUNGA-GALIRAYA-24h'!C93,'21.10 KAYUNGA-GALIRAYA-24h'!C93)</f>
        <v>0</v>
      </c>
      <c r="D93" s="49">
        <f>AVERAGE('19.10 KAYUNGA-GALIRAYA-24h'!D93,'21.10 KAYUNGA-GALIRAYA-24h'!D93)</f>
        <v>0</v>
      </c>
      <c r="E93" s="49">
        <f>AVERAGE('19.10 KAYUNGA-GALIRAYA-24h'!E93,'21.10 KAYUNGA-GALIRAYA-24h'!E93)</f>
        <v>0</v>
      </c>
      <c r="F93" s="49">
        <f>AVERAGE('19.10 KAYUNGA-GALIRAYA-24h'!F93,'21.10 KAYUNGA-GALIRAYA-24h'!F93)</f>
        <v>0</v>
      </c>
      <c r="G93" s="49">
        <f>AVERAGE('19.10 KAYUNGA-GALIRAYA-24h'!G93,'21.10 KAYUNGA-GALIRAYA-24h'!G93)</f>
        <v>0</v>
      </c>
      <c r="H93" s="49">
        <f>AVERAGE('19.10 KAYUNGA-GALIRAYA-24h'!H93,'21.10 KAYUNGA-GALIRAYA-24h'!H93)</f>
        <v>0</v>
      </c>
      <c r="I93" s="49">
        <f>AVERAGE('19.10 KAYUNGA-GALIRAYA-24h'!I93,'21.10 KAYUNGA-GALIRAYA-24h'!I93)</f>
        <v>0</v>
      </c>
      <c r="J93" s="49">
        <f>AVERAGE('19.10 KAYUNGA-GALIRAYA-24h'!J93,'21.10 KAYUNGA-GALIRAYA-24h'!J93)</f>
        <v>1</v>
      </c>
      <c r="K93" s="49">
        <f>AVERAGE('19.10 KAYUNGA-GALIRAYA-24h'!K93,'21.10 KAYUNGA-GALIRAYA-24h'!K93)</f>
        <v>0</v>
      </c>
      <c r="L93" s="49">
        <f>AVERAGE('19.10 KAYUNGA-GALIRAYA-24h'!L93,'21.10 KAYUNGA-GALIRAYA-24h'!L93)</f>
        <v>0</v>
      </c>
      <c r="M93" s="49">
        <f>AVERAGE('19.10 KAYUNGA-GALIRAYA-24h'!M93,'21.10 KAYUNGA-GALIRAYA-24h'!M93)</f>
        <v>0</v>
      </c>
      <c r="N93" s="49">
        <f>AVERAGE('19.10 KAYUNGA-GALIRAYA-24h'!N93,'21.10 KAYUNGA-GALIRAYA-24h'!N93)</f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AVERAGE('19.10 KAYUNGA-GALIRAYA-24h'!C94,'21.10 KAYUNGA-GALIRAYA-24h'!C94)</f>
        <v>0</v>
      </c>
      <c r="D94" s="49">
        <f>AVERAGE('19.10 KAYUNGA-GALIRAYA-24h'!D94,'21.10 KAYUNGA-GALIRAYA-24h'!D94)</f>
        <v>0</v>
      </c>
      <c r="E94" s="49">
        <f>AVERAGE('19.10 KAYUNGA-GALIRAYA-24h'!E94,'21.10 KAYUNGA-GALIRAYA-24h'!E94)</f>
        <v>0</v>
      </c>
      <c r="F94" s="49">
        <f>AVERAGE('19.10 KAYUNGA-GALIRAYA-24h'!F94,'21.10 KAYUNGA-GALIRAYA-24h'!F94)</f>
        <v>0</v>
      </c>
      <c r="G94" s="49">
        <f>AVERAGE('19.10 KAYUNGA-GALIRAYA-24h'!G94,'21.10 KAYUNGA-GALIRAYA-24h'!G94)</f>
        <v>0</v>
      </c>
      <c r="H94" s="49">
        <f>AVERAGE('19.10 KAYUNGA-GALIRAYA-24h'!H94,'21.10 KAYUNGA-GALIRAYA-24h'!H94)</f>
        <v>0</v>
      </c>
      <c r="I94" s="49">
        <f>AVERAGE('19.10 KAYUNGA-GALIRAYA-24h'!I94,'21.10 KAYUNGA-GALIRAYA-24h'!I94)</f>
        <v>0</v>
      </c>
      <c r="J94" s="49">
        <f>AVERAGE('19.10 KAYUNGA-GALIRAYA-24h'!J94,'21.10 KAYUNGA-GALIRAYA-24h'!J94)</f>
        <v>0</v>
      </c>
      <c r="K94" s="49">
        <f>AVERAGE('19.10 KAYUNGA-GALIRAYA-24h'!K94,'21.10 KAYUNGA-GALIRAYA-24h'!K94)</f>
        <v>0</v>
      </c>
      <c r="L94" s="49">
        <f>AVERAGE('19.10 KAYUNGA-GALIRAYA-24h'!L94,'21.10 KAYUNGA-GALIRAYA-24h'!L94)</f>
        <v>0</v>
      </c>
      <c r="M94" s="49">
        <f>AVERAGE('19.10 KAYUNGA-GALIRAYA-24h'!M94,'21.10 KAYUNGA-GALIRAYA-24h'!M94)</f>
        <v>0</v>
      </c>
      <c r="N94" s="49">
        <f>AVERAGE('19.10 KAYUNGA-GALIRAYA-24h'!N94,'21.10 KAYUNGA-GALIRAYA-24h'!N94)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AVERAGE('19.10 KAYUNGA-GALIRAYA-24h'!C95,'21.10 KAYUNGA-GALIRAYA-24h'!C95)</f>
        <v>0</v>
      </c>
      <c r="D95" s="49">
        <f>AVERAGE('19.10 KAYUNGA-GALIRAYA-24h'!D95,'21.10 KAYUNGA-GALIRAYA-24h'!D95)</f>
        <v>0</v>
      </c>
      <c r="E95" s="49">
        <f>AVERAGE('19.10 KAYUNGA-GALIRAYA-24h'!E95,'21.10 KAYUNGA-GALIRAYA-24h'!E95)</f>
        <v>0</v>
      </c>
      <c r="F95" s="49">
        <f>AVERAGE('19.10 KAYUNGA-GALIRAYA-24h'!F95,'21.10 KAYUNGA-GALIRAYA-24h'!F95)</f>
        <v>0</v>
      </c>
      <c r="G95" s="49">
        <f>AVERAGE('19.10 KAYUNGA-GALIRAYA-24h'!G95,'21.10 KAYUNGA-GALIRAYA-24h'!G95)</f>
        <v>0.5</v>
      </c>
      <c r="H95" s="49">
        <f>AVERAGE('19.10 KAYUNGA-GALIRAYA-24h'!H95,'21.10 KAYUNGA-GALIRAYA-24h'!H95)</f>
        <v>0</v>
      </c>
      <c r="I95" s="49">
        <f>AVERAGE('19.10 KAYUNGA-GALIRAYA-24h'!I95,'21.10 KAYUNGA-GALIRAYA-24h'!I95)</f>
        <v>0</v>
      </c>
      <c r="J95" s="49">
        <f>AVERAGE('19.10 KAYUNGA-GALIRAYA-24h'!J95,'21.10 KAYUNGA-GALIRAYA-24h'!J95)</f>
        <v>0</v>
      </c>
      <c r="K95" s="49">
        <f>AVERAGE('19.10 KAYUNGA-GALIRAYA-24h'!K95,'21.10 KAYUNGA-GALIRAYA-24h'!K95)</f>
        <v>0</v>
      </c>
      <c r="L95" s="49">
        <f>AVERAGE('19.10 KAYUNGA-GALIRAYA-24h'!L95,'21.10 KAYUNGA-GALIRAYA-24h'!L95)</f>
        <v>0</v>
      </c>
      <c r="M95" s="49">
        <f>AVERAGE('19.10 KAYUNGA-GALIRAYA-24h'!M95,'21.10 KAYUNGA-GALIRAYA-24h'!M95)</f>
        <v>0</v>
      </c>
      <c r="N95" s="49">
        <f>AVERAGE('19.10 KAYUNGA-GALIRAYA-24h'!N95,'21.10 KAYUNGA-GALIRAYA-24h'!N95)</f>
        <v>0</v>
      </c>
      <c r="O95" s="15">
        <f t="shared" si="35"/>
        <v>0.5</v>
      </c>
      <c r="P95" s="15">
        <f t="shared" si="36"/>
        <v>0.5</v>
      </c>
      <c r="R95" s="8"/>
      <c r="T95"/>
    </row>
    <row r="96" spans="2:20" ht="23.1" customHeight="1" x14ac:dyDescent="0.25">
      <c r="B96" s="25" t="s">
        <v>136</v>
      </c>
      <c r="C96" s="49">
        <f>AVERAGE('19.10 KAYUNGA-GALIRAYA-24h'!C96,'21.10 KAYUNGA-GALIRAYA-24h'!C96)</f>
        <v>0.5</v>
      </c>
      <c r="D96" s="49">
        <f>AVERAGE('19.10 KAYUNGA-GALIRAYA-24h'!D96,'21.10 KAYUNGA-GALIRAYA-24h'!D96)</f>
        <v>0</v>
      </c>
      <c r="E96" s="49">
        <f>AVERAGE('19.10 KAYUNGA-GALIRAYA-24h'!E96,'21.10 KAYUNGA-GALIRAYA-24h'!E96)</f>
        <v>0</v>
      </c>
      <c r="F96" s="49">
        <f>AVERAGE('19.10 KAYUNGA-GALIRAYA-24h'!F96,'21.10 KAYUNGA-GALIRAYA-24h'!F96)</f>
        <v>0</v>
      </c>
      <c r="G96" s="49">
        <f>AVERAGE('19.10 KAYUNGA-GALIRAYA-24h'!G96,'21.10 KAYUNGA-GALIRAYA-24h'!G96)</f>
        <v>0</v>
      </c>
      <c r="H96" s="49">
        <f>AVERAGE('19.10 KAYUNGA-GALIRAYA-24h'!H96,'21.10 KAYUNGA-GALIRAYA-24h'!H96)</f>
        <v>0</v>
      </c>
      <c r="I96" s="49">
        <f>AVERAGE('19.10 KAYUNGA-GALIRAYA-24h'!I96,'21.10 KAYUNGA-GALIRAYA-24h'!I96)</f>
        <v>0.5</v>
      </c>
      <c r="J96" s="49">
        <f>AVERAGE('19.10 KAYUNGA-GALIRAYA-24h'!J96,'21.10 KAYUNGA-GALIRAYA-24h'!J96)</f>
        <v>0</v>
      </c>
      <c r="K96" s="49">
        <f>AVERAGE('19.10 KAYUNGA-GALIRAYA-24h'!K96,'21.10 KAYUNGA-GALIRAYA-24h'!K96)</f>
        <v>0</v>
      </c>
      <c r="L96" s="49">
        <f>AVERAGE('19.10 KAYUNGA-GALIRAYA-24h'!L96,'21.10 KAYUNGA-GALIRAYA-24h'!L96)</f>
        <v>0</v>
      </c>
      <c r="M96" s="49">
        <f>AVERAGE('19.10 KAYUNGA-GALIRAYA-24h'!M96,'21.10 KAYUNGA-GALIRAYA-24h'!M96)</f>
        <v>1.5</v>
      </c>
      <c r="N96" s="49">
        <f>AVERAGE('19.10 KAYUNGA-GALIRAYA-24h'!N96,'21.10 KAYUNGA-GALIRAYA-24h'!N96)</f>
        <v>0</v>
      </c>
      <c r="O96" s="15">
        <f t="shared" si="35"/>
        <v>1</v>
      </c>
      <c r="P96" s="15">
        <f t="shared" si="36"/>
        <v>2.5</v>
      </c>
      <c r="R96" s="8"/>
      <c r="T96"/>
    </row>
    <row r="97" spans="2:20" ht="23.1" customHeight="1" x14ac:dyDescent="0.25">
      <c r="B97" s="23" t="s">
        <v>137</v>
      </c>
      <c r="C97" s="49">
        <f>AVERAGE('19.10 KAYUNGA-GALIRAYA-24h'!C97,'21.10 KAYUNGA-GALIRAYA-24h'!C97)</f>
        <v>0</v>
      </c>
      <c r="D97" s="49">
        <f>AVERAGE('19.10 KAYUNGA-GALIRAYA-24h'!D97,'21.10 KAYUNGA-GALIRAYA-24h'!D97)</f>
        <v>0</v>
      </c>
      <c r="E97" s="49">
        <f>AVERAGE('19.10 KAYUNGA-GALIRAYA-24h'!E97,'21.10 KAYUNGA-GALIRAYA-24h'!E97)</f>
        <v>0.5</v>
      </c>
      <c r="F97" s="49">
        <f>AVERAGE('19.10 KAYUNGA-GALIRAYA-24h'!F97,'21.10 KAYUNGA-GALIRAYA-24h'!F97)</f>
        <v>0</v>
      </c>
      <c r="G97" s="49">
        <f>AVERAGE('19.10 KAYUNGA-GALIRAYA-24h'!G97,'21.10 KAYUNGA-GALIRAYA-24h'!G97)</f>
        <v>0</v>
      </c>
      <c r="H97" s="49">
        <f>AVERAGE('19.10 KAYUNGA-GALIRAYA-24h'!H97,'21.10 KAYUNGA-GALIRAYA-24h'!H97)</f>
        <v>0</v>
      </c>
      <c r="I97" s="49">
        <f>AVERAGE('19.10 KAYUNGA-GALIRAYA-24h'!I97,'21.10 KAYUNGA-GALIRAYA-24h'!I97)</f>
        <v>0</v>
      </c>
      <c r="J97" s="49">
        <f>AVERAGE('19.10 KAYUNGA-GALIRAYA-24h'!J97,'21.10 KAYUNGA-GALIRAYA-24h'!J97)</f>
        <v>0</v>
      </c>
      <c r="K97" s="49">
        <f>AVERAGE('19.10 KAYUNGA-GALIRAYA-24h'!K97,'21.10 KAYUNGA-GALIRAYA-24h'!K97)</f>
        <v>1</v>
      </c>
      <c r="L97" s="49">
        <f>AVERAGE('19.10 KAYUNGA-GALIRAYA-24h'!L97,'21.10 KAYUNGA-GALIRAYA-24h'!L97)</f>
        <v>0</v>
      </c>
      <c r="M97" s="49">
        <f>AVERAGE('19.10 KAYUNGA-GALIRAYA-24h'!M97,'21.10 KAYUNGA-GALIRAYA-24h'!M97)</f>
        <v>0.5</v>
      </c>
      <c r="N97" s="49">
        <f>AVERAGE('19.10 KAYUNGA-GALIRAYA-24h'!N97,'21.10 KAYUNGA-GALIRAYA-24h'!N97)</f>
        <v>0</v>
      </c>
      <c r="O97" s="15">
        <f t="shared" si="35"/>
        <v>1.5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AVERAGE('19.10 KAYUNGA-GALIRAYA-24h'!C98,'21.10 KAYUNGA-GALIRAYA-24h'!C98)</f>
        <v>0</v>
      </c>
      <c r="D98" s="49">
        <f>AVERAGE('19.10 KAYUNGA-GALIRAYA-24h'!D98,'21.10 KAYUNGA-GALIRAYA-24h'!D98)</f>
        <v>0</v>
      </c>
      <c r="E98" s="49">
        <f>AVERAGE('19.10 KAYUNGA-GALIRAYA-24h'!E98,'21.10 KAYUNGA-GALIRAYA-24h'!E98)</f>
        <v>0</v>
      </c>
      <c r="F98" s="49">
        <f>AVERAGE('19.10 KAYUNGA-GALIRAYA-24h'!F98,'21.10 KAYUNGA-GALIRAYA-24h'!F98)</f>
        <v>0</v>
      </c>
      <c r="G98" s="49">
        <f>AVERAGE('19.10 KAYUNGA-GALIRAYA-24h'!G98,'21.10 KAYUNGA-GALIRAYA-24h'!G98)</f>
        <v>0</v>
      </c>
      <c r="H98" s="49">
        <f>AVERAGE('19.10 KAYUNGA-GALIRAYA-24h'!H98,'21.10 KAYUNGA-GALIRAYA-24h'!H98)</f>
        <v>0</v>
      </c>
      <c r="I98" s="49">
        <f>AVERAGE('19.10 KAYUNGA-GALIRAYA-24h'!I98,'21.10 KAYUNGA-GALIRAYA-24h'!I98)</f>
        <v>0</v>
      </c>
      <c r="J98" s="49">
        <f>AVERAGE('19.10 KAYUNGA-GALIRAYA-24h'!J98,'21.10 KAYUNGA-GALIRAYA-24h'!J98)</f>
        <v>0</v>
      </c>
      <c r="K98" s="49">
        <f>AVERAGE('19.10 KAYUNGA-GALIRAYA-24h'!K98,'21.10 KAYUNGA-GALIRAYA-24h'!K98)</f>
        <v>0</v>
      </c>
      <c r="L98" s="49">
        <f>AVERAGE('19.10 KAYUNGA-GALIRAYA-24h'!L98,'21.10 KAYUNGA-GALIRAYA-24h'!L98)</f>
        <v>0</v>
      </c>
      <c r="M98" s="49">
        <f>AVERAGE('19.10 KAYUNGA-GALIRAYA-24h'!M98,'21.10 KAYUNGA-GALIRAYA-24h'!M98)</f>
        <v>0</v>
      </c>
      <c r="N98" s="49">
        <f>AVERAGE('19.10 KAYUNGA-GALIRAYA-24h'!N98,'21.10 KAYUNGA-GALIRAYA-24h'!N98)</f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23" t="s">
        <v>139</v>
      </c>
      <c r="C99" s="49">
        <f>AVERAGE('19.10 KAYUNGA-GALIRAYA-24h'!C99,'21.10 KAYUNGA-GALIRAYA-24h'!C99)</f>
        <v>0</v>
      </c>
      <c r="D99" s="49">
        <f>AVERAGE('19.10 KAYUNGA-GALIRAYA-24h'!D99,'21.10 KAYUNGA-GALIRAYA-24h'!D99)</f>
        <v>0</v>
      </c>
      <c r="E99" s="49">
        <f>AVERAGE('19.10 KAYUNGA-GALIRAYA-24h'!E99,'21.10 KAYUNGA-GALIRAYA-24h'!E99)</f>
        <v>0</v>
      </c>
      <c r="F99" s="49">
        <f>AVERAGE('19.10 KAYUNGA-GALIRAYA-24h'!F99,'21.10 KAYUNGA-GALIRAYA-24h'!F99)</f>
        <v>1</v>
      </c>
      <c r="G99" s="49">
        <f>AVERAGE('19.10 KAYUNGA-GALIRAYA-24h'!G99,'21.10 KAYUNGA-GALIRAYA-24h'!G99)</f>
        <v>0.5</v>
      </c>
      <c r="H99" s="49">
        <f>AVERAGE('19.10 KAYUNGA-GALIRAYA-24h'!H99,'21.10 KAYUNGA-GALIRAYA-24h'!H99)</f>
        <v>0</v>
      </c>
      <c r="I99" s="49">
        <f>AVERAGE('19.10 KAYUNGA-GALIRAYA-24h'!I99,'21.10 KAYUNGA-GALIRAYA-24h'!I99)</f>
        <v>0</v>
      </c>
      <c r="J99" s="49">
        <f>AVERAGE('19.10 KAYUNGA-GALIRAYA-24h'!J99,'21.10 KAYUNGA-GALIRAYA-24h'!J99)</f>
        <v>0</v>
      </c>
      <c r="K99" s="49">
        <f>AVERAGE('19.10 KAYUNGA-GALIRAYA-24h'!K99,'21.10 KAYUNGA-GALIRAYA-24h'!K99)</f>
        <v>0.5</v>
      </c>
      <c r="L99" s="49">
        <f>AVERAGE('19.10 KAYUNGA-GALIRAYA-24h'!L99,'21.10 KAYUNGA-GALIRAYA-24h'!L99)</f>
        <v>0</v>
      </c>
      <c r="M99" s="49">
        <f>AVERAGE('19.10 KAYUNGA-GALIRAYA-24h'!M99,'21.10 KAYUNGA-GALIRAYA-24h'!M99)</f>
        <v>0</v>
      </c>
      <c r="N99" s="49">
        <f>AVERAGE('19.10 KAYUNGA-GALIRAYA-24h'!N99,'21.10 KAYUNGA-GALIRAYA-24h'!N99)</f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AVERAGE('19.10 KAYUNGA-GALIRAYA-24h'!C100,'21.10 KAYUNGA-GALIRAYA-24h'!C100)</f>
        <v>0</v>
      </c>
      <c r="D100" s="49">
        <f>AVERAGE('19.10 KAYUNGA-GALIRAYA-24h'!D100,'21.10 KAYUNGA-GALIRAYA-24h'!D100)</f>
        <v>0</v>
      </c>
      <c r="E100" s="49">
        <f>AVERAGE('19.10 KAYUNGA-GALIRAYA-24h'!E100,'21.10 KAYUNGA-GALIRAYA-24h'!E100)</f>
        <v>0</v>
      </c>
      <c r="F100" s="49">
        <f>AVERAGE('19.10 KAYUNGA-GALIRAYA-24h'!F100,'21.10 KAYUNGA-GALIRAYA-24h'!F100)</f>
        <v>0.5</v>
      </c>
      <c r="G100" s="49">
        <f>AVERAGE('19.10 KAYUNGA-GALIRAYA-24h'!G100,'21.10 KAYUNGA-GALIRAYA-24h'!G100)</f>
        <v>0</v>
      </c>
      <c r="H100" s="49">
        <f>AVERAGE('19.10 KAYUNGA-GALIRAYA-24h'!H100,'21.10 KAYUNGA-GALIRAYA-24h'!H100)</f>
        <v>0</v>
      </c>
      <c r="I100" s="49">
        <f>AVERAGE('19.10 KAYUNGA-GALIRAYA-24h'!I100,'21.10 KAYUNGA-GALIRAYA-24h'!I100)</f>
        <v>0</v>
      </c>
      <c r="J100" s="49">
        <f>AVERAGE('19.10 KAYUNGA-GALIRAYA-24h'!J100,'21.10 KAYUNGA-GALIRAYA-24h'!J100)</f>
        <v>0.5</v>
      </c>
      <c r="K100" s="49">
        <f>AVERAGE('19.10 KAYUNGA-GALIRAYA-24h'!K100,'21.10 KAYUNGA-GALIRAYA-24h'!K100)</f>
        <v>0.5</v>
      </c>
      <c r="L100" s="49">
        <f>AVERAGE('19.10 KAYUNGA-GALIRAYA-24h'!L100,'21.10 KAYUNGA-GALIRAYA-24h'!L100)</f>
        <v>0</v>
      </c>
      <c r="M100" s="49">
        <f>AVERAGE('19.10 KAYUNGA-GALIRAYA-24h'!M100,'21.10 KAYUNGA-GALIRAYA-24h'!M100)</f>
        <v>0</v>
      </c>
      <c r="N100" s="49">
        <f>AVERAGE('19.10 KAYUNGA-GALIRAYA-24h'!N100,'21.10 KAYUNGA-GALIRAYA-24h'!N100)</f>
        <v>0</v>
      </c>
      <c r="O100" s="15">
        <f t="shared" si="35"/>
        <v>1.5</v>
      </c>
      <c r="P100" s="15">
        <f t="shared" si="36"/>
        <v>1.5</v>
      </c>
      <c r="R100" s="8"/>
      <c r="T100"/>
    </row>
    <row r="101" spans="2:20" ht="23.1" customHeight="1" x14ac:dyDescent="0.25">
      <c r="B101" s="23" t="s">
        <v>141</v>
      </c>
      <c r="C101" s="49">
        <f>AVERAGE('19.10 KAYUNGA-GALIRAYA-24h'!C101,'21.10 KAYUNGA-GALIRAYA-24h'!C101)</f>
        <v>0.5</v>
      </c>
      <c r="D101" s="49">
        <f>AVERAGE('19.10 KAYUNGA-GALIRAYA-24h'!D101,'21.10 KAYUNGA-GALIRAYA-24h'!D101)</f>
        <v>0</v>
      </c>
      <c r="E101" s="49">
        <f>AVERAGE('19.10 KAYUNGA-GALIRAYA-24h'!E101,'21.10 KAYUNGA-GALIRAYA-24h'!E101)</f>
        <v>0</v>
      </c>
      <c r="F101" s="49">
        <f>AVERAGE('19.10 KAYUNGA-GALIRAYA-24h'!F101,'21.10 KAYUNGA-GALIRAYA-24h'!F101)</f>
        <v>0</v>
      </c>
      <c r="G101" s="49">
        <f>AVERAGE('19.10 KAYUNGA-GALIRAYA-24h'!G101,'21.10 KAYUNGA-GALIRAYA-24h'!G101)</f>
        <v>0</v>
      </c>
      <c r="H101" s="49">
        <f>AVERAGE('19.10 KAYUNGA-GALIRAYA-24h'!H101,'21.10 KAYUNGA-GALIRAYA-24h'!H101)</f>
        <v>0</v>
      </c>
      <c r="I101" s="49">
        <f>AVERAGE('19.10 KAYUNGA-GALIRAYA-24h'!I101,'21.10 KAYUNGA-GALIRAYA-24h'!I101)</f>
        <v>0.5</v>
      </c>
      <c r="J101" s="49">
        <f>AVERAGE('19.10 KAYUNGA-GALIRAYA-24h'!J101,'21.10 KAYUNGA-GALIRAYA-24h'!J101)</f>
        <v>0.5</v>
      </c>
      <c r="K101" s="49">
        <f>AVERAGE('19.10 KAYUNGA-GALIRAYA-24h'!K101,'21.10 KAYUNGA-GALIRAYA-24h'!K101)</f>
        <v>1</v>
      </c>
      <c r="L101" s="49">
        <f>AVERAGE('19.10 KAYUNGA-GALIRAYA-24h'!L101,'21.10 KAYUNGA-GALIRAYA-24h'!L101)</f>
        <v>0</v>
      </c>
      <c r="M101" s="49">
        <f>AVERAGE('19.10 KAYUNGA-GALIRAYA-24h'!M101,'21.10 KAYUNGA-GALIRAYA-24h'!M101)</f>
        <v>2</v>
      </c>
      <c r="N101" s="49">
        <f>AVERAGE('19.10 KAYUNGA-GALIRAYA-24h'!N101,'21.10 KAYUNGA-GALIRAYA-24h'!N101)</f>
        <v>0</v>
      </c>
      <c r="O101" s="15">
        <f t="shared" si="35"/>
        <v>2.5</v>
      </c>
      <c r="P101" s="15">
        <f t="shared" si="36"/>
        <v>4.5</v>
      </c>
      <c r="R101" s="8"/>
      <c r="T101"/>
    </row>
    <row r="102" spans="2:20" ht="23.1" customHeight="1" x14ac:dyDescent="0.25">
      <c r="B102" s="24" t="s">
        <v>142</v>
      </c>
      <c r="C102" s="49">
        <f>AVERAGE('19.10 KAYUNGA-GALIRAYA-24h'!C102,'21.10 KAYUNGA-GALIRAYA-24h'!C102)</f>
        <v>0</v>
      </c>
      <c r="D102" s="49">
        <f>AVERAGE('19.10 KAYUNGA-GALIRAYA-24h'!D102,'21.10 KAYUNGA-GALIRAYA-24h'!D102)</f>
        <v>0</v>
      </c>
      <c r="E102" s="49">
        <f>AVERAGE('19.10 KAYUNGA-GALIRAYA-24h'!E102,'21.10 KAYUNGA-GALIRAYA-24h'!E102)</f>
        <v>0</v>
      </c>
      <c r="F102" s="49">
        <f>AVERAGE('19.10 KAYUNGA-GALIRAYA-24h'!F102,'21.10 KAYUNGA-GALIRAYA-24h'!F102)</f>
        <v>1.5</v>
      </c>
      <c r="G102" s="49">
        <f>AVERAGE('19.10 KAYUNGA-GALIRAYA-24h'!G102,'21.10 KAYUNGA-GALIRAYA-24h'!G102)</f>
        <v>0</v>
      </c>
      <c r="H102" s="49">
        <f>AVERAGE('19.10 KAYUNGA-GALIRAYA-24h'!H102,'21.10 KAYUNGA-GALIRAYA-24h'!H102)</f>
        <v>0</v>
      </c>
      <c r="I102" s="49">
        <f>AVERAGE('19.10 KAYUNGA-GALIRAYA-24h'!I102,'21.10 KAYUNGA-GALIRAYA-24h'!I102)</f>
        <v>0</v>
      </c>
      <c r="J102" s="49">
        <f>AVERAGE('19.10 KAYUNGA-GALIRAYA-24h'!J102,'21.10 KAYUNGA-GALIRAYA-24h'!J102)</f>
        <v>0</v>
      </c>
      <c r="K102" s="49">
        <f>AVERAGE('19.10 KAYUNGA-GALIRAYA-24h'!K102,'21.10 KAYUNGA-GALIRAYA-24h'!K102)</f>
        <v>2</v>
      </c>
      <c r="L102" s="49">
        <f>AVERAGE('19.10 KAYUNGA-GALIRAYA-24h'!L102,'21.10 KAYUNGA-GALIRAYA-24h'!L102)</f>
        <v>0</v>
      </c>
      <c r="M102" s="49">
        <f>AVERAGE('19.10 KAYUNGA-GALIRAYA-24h'!M102,'21.10 KAYUNGA-GALIRAYA-24h'!M102)</f>
        <v>1.5</v>
      </c>
      <c r="N102" s="49">
        <f>AVERAGE('19.10 KAYUNGA-GALIRAYA-24h'!N102,'21.10 KAYUNGA-GALIRAYA-24h'!N102)</f>
        <v>0</v>
      </c>
      <c r="O102" s="15">
        <f t="shared" si="35"/>
        <v>3.5</v>
      </c>
      <c r="P102" s="15">
        <f t="shared" si="36"/>
        <v>5</v>
      </c>
      <c r="R102" s="8"/>
      <c r="T102"/>
    </row>
    <row r="103" spans="2:20" ht="23.1" customHeight="1" x14ac:dyDescent="0.25">
      <c r="B103" s="23" t="s">
        <v>143</v>
      </c>
      <c r="C103" s="49">
        <f>AVERAGE('19.10 KAYUNGA-GALIRAYA-24h'!C103,'21.10 KAYUNGA-GALIRAYA-24h'!C103)</f>
        <v>0</v>
      </c>
      <c r="D103" s="49">
        <f>AVERAGE('19.10 KAYUNGA-GALIRAYA-24h'!D103,'21.10 KAYUNGA-GALIRAYA-24h'!D103)</f>
        <v>0</v>
      </c>
      <c r="E103" s="49">
        <f>AVERAGE('19.10 KAYUNGA-GALIRAYA-24h'!E103,'21.10 KAYUNGA-GALIRAYA-24h'!E103)</f>
        <v>0</v>
      </c>
      <c r="F103" s="49">
        <f>AVERAGE('19.10 KAYUNGA-GALIRAYA-24h'!F103,'21.10 KAYUNGA-GALIRAYA-24h'!F103)</f>
        <v>0</v>
      </c>
      <c r="G103" s="49">
        <f>AVERAGE('19.10 KAYUNGA-GALIRAYA-24h'!G103,'21.10 KAYUNGA-GALIRAYA-24h'!G103)</f>
        <v>0</v>
      </c>
      <c r="H103" s="49">
        <f>AVERAGE('19.10 KAYUNGA-GALIRAYA-24h'!H103,'21.10 KAYUNGA-GALIRAYA-24h'!H103)</f>
        <v>0</v>
      </c>
      <c r="I103" s="49">
        <f>AVERAGE('19.10 KAYUNGA-GALIRAYA-24h'!I103,'21.10 KAYUNGA-GALIRAYA-24h'!I103)</f>
        <v>0</v>
      </c>
      <c r="J103" s="49">
        <f>AVERAGE('19.10 KAYUNGA-GALIRAYA-24h'!J103,'21.10 KAYUNGA-GALIRAYA-24h'!J103)</f>
        <v>0</v>
      </c>
      <c r="K103" s="49">
        <f>AVERAGE('19.10 KAYUNGA-GALIRAYA-24h'!K103,'21.10 KAYUNGA-GALIRAYA-24h'!K103)</f>
        <v>0.5</v>
      </c>
      <c r="L103" s="49">
        <f>AVERAGE('19.10 KAYUNGA-GALIRAYA-24h'!L103,'21.10 KAYUNGA-GALIRAYA-24h'!L103)</f>
        <v>0</v>
      </c>
      <c r="M103" s="49">
        <f>AVERAGE('19.10 KAYUNGA-GALIRAYA-24h'!M103,'21.10 KAYUNGA-GALIRAYA-24h'!M103)</f>
        <v>1</v>
      </c>
      <c r="N103" s="49">
        <f>AVERAGE('19.10 KAYUNGA-GALIRAYA-24h'!N103,'21.10 KAYUNGA-GALIRAYA-24h'!N103)</f>
        <v>0</v>
      </c>
      <c r="O103" s="15">
        <f t="shared" si="35"/>
        <v>0.5</v>
      </c>
      <c r="P103" s="15">
        <f t="shared" si="36"/>
        <v>1.5</v>
      </c>
      <c r="R103" s="8"/>
      <c r="T103"/>
    </row>
    <row r="104" spans="2:20" ht="23.1" customHeight="1" x14ac:dyDescent="0.25">
      <c r="B104" s="25" t="s">
        <v>144</v>
      </c>
      <c r="C104" s="49">
        <f>AVERAGE('19.10 KAYUNGA-GALIRAYA-24h'!C104,'21.10 KAYUNGA-GALIRAYA-24h'!C104)</f>
        <v>0.5</v>
      </c>
      <c r="D104" s="49">
        <f>AVERAGE('19.10 KAYUNGA-GALIRAYA-24h'!D104,'21.10 KAYUNGA-GALIRAYA-24h'!D104)</f>
        <v>0</v>
      </c>
      <c r="E104" s="49">
        <f>AVERAGE('19.10 KAYUNGA-GALIRAYA-24h'!E104,'21.10 KAYUNGA-GALIRAYA-24h'!E104)</f>
        <v>0.5</v>
      </c>
      <c r="F104" s="49">
        <f>AVERAGE('19.10 KAYUNGA-GALIRAYA-24h'!F104,'21.10 KAYUNGA-GALIRAYA-24h'!F104)</f>
        <v>0.5</v>
      </c>
      <c r="G104" s="49">
        <f>AVERAGE('19.10 KAYUNGA-GALIRAYA-24h'!G104,'21.10 KAYUNGA-GALIRAYA-24h'!G104)</f>
        <v>0</v>
      </c>
      <c r="H104" s="49">
        <f>AVERAGE('19.10 KAYUNGA-GALIRAYA-24h'!H104,'21.10 KAYUNGA-GALIRAYA-24h'!H104)</f>
        <v>0</v>
      </c>
      <c r="I104" s="49">
        <f>AVERAGE('19.10 KAYUNGA-GALIRAYA-24h'!I104,'21.10 KAYUNGA-GALIRAYA-24h'!I104)</f>
        <v>0</v>
      </c>
      <c r="J104" s="49">
        <f>AVERAGE('19.10 KAYUNGA-GALIRAYA-24h'!J104,'21.10 KAYUNGA-GALIRAYA-24h'!J104)</f>
        <v>0</v>
      </c>
      <c r="K104" s="49">
        <f>AVERAGE('19.10 KAYUNGA-GALIRAYA-24h'!K104,'21.10 KAYUNGA-GALIRAYA-24h'!K104)</f>
        <v>1.5</v>
      </c>
      <c r="L104" s="49">
        <f>AVERAGE('19.10 KAYUNGA-GALIRAYA-24h'!L104,'21.10 KAYUNGA-GALIRAYA-24h'!L104)</f>
        <v>0</v>
      </c>
      <c r="M104" s="49">
        <f>AVERAGE('19.10 KAYUNGA-GALIRAYA-24h'!M104,'21.10 KAYUNGA-GALIRAYA-24h'!M104)</f>
        <v>3.5</v>
      </c>
      <c r="N104" s="49">
        <f>AVERAGE('19.10 KAYUNGA-GALIRAYA-24h'!N104,'21.10 KAYUNGA-GALIRAYA-24h'!N104)</f>
        <v>0</v>
      </c>
      <c r="O104" s="15">
        <f t="shared" si="35"/>
        <v>3</v>
      </c>
      <c r="P104" s="15">
        <f t="shared" si="36"/>
        <v>6.5</v>
      </c>
      <c r="R104" s="8"/>
      <c r="T104"/>
    </row>
    <row r="105" spans="2:20" ht="23.1" customHeight="1" x14ac:dyDescent="0.25">
      <c r="B105" s="23" t="s">
        <v>145</v>
      </c>
      <c r="C105" s="49">
        <f>AVERAGE('19.10 KAYUNGA-GALIRAYA-24h'!C105,'21.10 KAYUNGA-GALIRAYA-24h'!C105)</f>
        <v>0.5</v>
      </c>
      <c r="D105" s="49">
        <f>AVERAGE('19.10 KAYUNGA-GALIRAYA-24h'!D105,'21.10 KAYUNGA-GALIRAYA-24h'!D105)</f>
        <v>0</v>
      </c>
      <c r="E105" s="49">
        <f>AVERAGE('19.10 KAYUNGA-GALIRAYA-24h'!E105,'21.10 KAYUNGA-GALIRAYA-24h'!E105)</f>
        <v>0</v>
      </c>
      <c r="F105" s="49">
        <f>AVERAGE('19.10 KAYUNGA-GALIRAYA-24h'!F105,'21.10 KAYUNGA-GALIRAYA-24h'!F105)</f>
        <v>0</v>
      </c>
      <c r="G105" s="49">
        <f>AVERAGE('19.10 KAYUNGA-GALIRAYA-24h'!G105,'21.10 KAYUNGA-GALIRAYA-24h'!G105)</f>
        <v>0</v>
      </c>
      <c r="H105" s="49">
        <f>AVERAGE('19.10 KAYUNGA-GALIRAYA-24h'!H105,'21.10 KAYUNGA-GALIRAYA-24h'!H105)</f>
        <v>0</v>
      </c>
      <c r="I105" s="49">
        <f>AVERAGE('19.10 KAYUNGA-GALIRAYA-24h'!I105,'21.10 KAYUNGA-GALIRAYA-24h'!I105)</f>
        <v>1</v>
      </c>
      <c r="J105" s="49">
        <f>AVERAGE('19.10 KAYUNGA-GALIRAYA-24h'!J105,'21.10 KAYUNGA-GALIRAYA-24h'!J105)</f>
        <v>0</v>
      </c>
      <c r="K105" s="49">
        <f>AVERAGE('19.10 KAYUNGA-GALIRAYA-24h'!K105,'21.10 KAYUNGA-GALIRAYA-24h'!K105)</f>
        <v>0.5</v>
      </c>
      <c r="L105" s="49">
        <f>AVERAGE('19.10 KAYUNGA-GALIRAYA-24h'!L105,'21.10 KAYUNGA-GALIRAYA-24h'!L105)</f>
        <v>0</v>
      </c>
      <c r="M105" s="49">
        <f>AVERAGE('19.10 KAYUNGA-GALIRAYA-24h'!M105,'21.10 KAYUNGA-GALIRAYA-24h'!M105)</f>
        <v>3</v>
      </c>
      <c r="N105" s="49">
        <f>AVERAGE('19.10 KAYUNGA-GALIRAYA-24h'!N105,'21.10 KAYUNGA-GALIRAYA-24h'!N105)</f>
        <v>0</v>
      </c>
      <c r="O105" s="15">
        <f t="shared" si="35"/>
        <v>2</v>
      </c>
      <c r="P105" s="15">
        <f t="shared" si="36"/>
        <v>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60.071428571428562</v>
      </c>
      <c r="D106" s="16">
        <f t="shared" ref="D106:P106" si="37">SUM(D10:D105)</f>
        <v>12.285714285714286</v>
      </c>
      <c r="E106" s="16">
        <f t="shared" si="37"/>
        <v>25.499999999999993</v>
      </c>
      <c r="F106" s="16">
        <f t="shared" si="37"/>
        <v>83.785714285714292</v>
      </c>
      <c r="G106" s="16">
        <f t="shared" si="37"/>
        <v>4.4999999999999991</v>
      </c>
      <c r="H106" s="16">
        <f t="shared" si="37"/>
        <v>2.8571428571428568</v>
      </c>
      <c r="I106" s="16">
        <f t="shared" si="37"/>
        <v>54.785714285714292</v>
      </c>
      <c r="J106" s="16">
        <f t="shared" si="37"/>
        <v>26.357142857142854</v>
      </c>
      <c r="K106" s="16">
        <f t="shared" si="37"/>
        <v>26.642857142857146</v>
      </c>
      <c r="L106" s="16">
        <f t="shared" si="37"/>
        <v>5.2142857142857135</v>
      </c>
      <c r="M106" s="16">
        <f t="shared" si="37"/>
        <v>612.64285714285711</v>
      </c>
      <c r="N106" s="16">
        <f t="shared" si="37"/>
        <v>1.857142857142857</v>
      </c>
      <c r="O106" s="16">
        <f t="shared" si="37"/>
        <v>303.85714285714295</v>
      </c>
      <c r="P106" s="16">
        <f t="shared" si="37"/>
        <v>916.49999999999989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6.5544384693320856E-2</v>
      </c>
      <c r="D107" s="43">
        <f t="shared" si="38"/>
        <v>1.3405034681630429E-2</v>
      </c>
      <c r="E107" s="43">
        <f t="shared" si="38"/>
        <v>2.7823240589198033E-2</v>
      </c>
      <c r="F107" s="43">
        <f t="shared" si="38"/>
        <v>9.1419219078793565E-2</v>
      </c>
      <c r="G107" s="43">
        <f t="shared" si="38"/>
        <v>4.9099836333878887E-3</v>
      </c>
      <c r="H107" s="43">
        <f t="shared" si="38"/>
        <v>3.1174499259605643E-3</v>
      </c>
      <c r="I107" s="43">
        <f t="shared" si="38"/>
        <v>5.9777102330293833E-2</v>
      </c>
      <c r="J107" s="43">
        <f t="shared" si="38"/>
        <v>2.8758475566986207E-2</v>
      </c>
      <c r="K107" s="43">
        <f t="shared" si="38"/>
        <v>2.907022055958227E-2</v>
      </c>
      <c r="L107" s="43">
        <f t="shared" si="38"/>
        <v>5.6893461148780295E-3</v>
      </c>
      <c r="M107" s="43">
        <f t="shared" si="38"/>
        <v>0.66845920037409401</v>
      </c>
      <c r="N107" s="43">
        <f t="shared" si="38"/>
        <v>2.0263424518743669E-3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0.19769628584861298</v>
      </c>
      <c r="D108" s="44">
        <f t="shared" ref="D108:N108" si="39">D106/$O$106</f>
        <v>4.0432534085566518E-2</v>
      </c>
      <c r="E108" s="44">
        <f t="shared" si="39"/>
        <v>8.3921015514809544E-2</v>
      </c>
      <c r="F108" s="44">
        <f t="shared" si="39"/>
        <v>0.27574047954866004</v>
      </c>
      <c r="G108" s="44">
        <f t="shared" si="39"/>
        <v>1.4809590973201685E-2</v>
      </c>
      <c r="H108" s="44">
        <f t="shared" si="39"/>
        <v>9.402914903620118E-3</v>
      </c>
      <c r="I108" s="44">
        <f t="shared" si="39"/>
        <v>0.18030089327691581</v>
      </c>
      <c r="J108" s="44">
        <f t="shared" si="39"/>
        <v>8.674188998589559E-2</v>
      </c>
      <c r="K108" s="44">
        <f t="shared" si="39"/>
        <v>8.7682181476257628E-2</v>
      </c>
      <c r="L108" s="44">
        <f t="shared" si="39"/>
        <v>1.7160319699106717E-2</v>
      </c>
      <c r="M108" s="44"/>
      <c r="N108" s="44">
        <f t="shared" si="39"/>
        <v>6.1118946873530769E-3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O41" zoomScale="60" workbookViewId="0">
      <selection activeCell="AE47" sqref="AE4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'23.10 GALIRAYA-KAYUNGA'!C3:G3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'23.10 GALIRAYA-KAYUNGA'!G5:H5</f>
        <v>KYANYA</v>
      </c>
      <c r="H5" s="66"/>
      <c r="I5" s="14"/>
      <c r="J5" s="2" t="s">
        <v>5</v>
      </c>
      <c r="K5" s="65" t="str">
        <f>'23.10 GALIRAYA-KAYUNGA'!K5:L5</f>
        <v>GODFREY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'23.10 GALIRAYA-KAYUNGA'!D6:E6</f>
        <v>GALIRAYA</v>
      </c>
      <c r="E6" s="66"/>
      <c r="F6" s="2" t="s">
        <v>2</v>
      </c>
      <c r="G6" s="65" t="str">
        <f>'23.10 GALIRAYA-KAYUNGA'!G6:H6</f>
        <v>KAYUNGA</v>
      </c>
      <c r="H6" s="66"/>
      <c r="J6" s="2" t="s">
        <v>21</v>
      </c>
      <c r="K6" s="65" t="str">
        <f>'23.10 GALIRAYA-KAYUNGA'!K6:L6</f>
        <v>GODFREY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GALIRAYA-KAYUNGA'!C10,'18.10 GALIRAYA-KAYUNGA'!C10,'19.10 GALIRAYA-KAYUNGA-24h'!C10,'20.10 GALIRAYA-KAYUNGA'!C10,'21.10 GALIRAYA-KAYUNGA-24h'!C10,'22.10 GALIRAYA-KAYUNGA'!C10,'23.10 GALIRAYA-KAYUNGA'!C10)</f>
        <v>0</v>
      </c>
      <c r="D10" s="49">
        <f>AVERAGE('17.10 GALIRAYA-KAYUNGA'!D10,'18.10 GALIRAYA-KAYUNGA'!D10,'19.10 GALIRAYA-KAYUNGA-24h'!D10,'20.10 GALIRAYA-KAYUNGA'!D10,'21.10 GALIRAYA-KAYUNGA-24h'!D10,'22.10 GALIRAYA-KAYUNGA'!D10,'23.10 GALIRAYA-KAYUNGA'!D10)</f>
        <v>0</v>
      </c>
      <c r="E10" s="49">
        <f>AVERAGE('17.10 GALIRAYA-KAYUNGA'!E10,'18.10 GALIRAYA-KAYUNGA'!E10,'19.10 GALIRAYA-KAYUNGA-24h'!E10,'20.10 GALIRAYA-KAYUNGA'!E10,'21.10 GALIRAYA-KAYUNGA-24h'!E10,'22.10 GALIRAYA-KAYUNGA'!E10,'23.10 GALIRAYA-KAYUNGA'!E10)</f>
        <v>0.14285714285714285</v>
      </c>
      <c r="F10" s="49">
        <f>AVERAGE('17.10 GALIRAYA-KAYUNGA'!F10,'18.10 GALIRAYA-KAYUNGA'!F10,'19.10 GALIRAYA-KAYUNGA-24h'!F10,'20.10 GALIRAYA-KAYUNGA'!F10,'21.10 GALIRAYA-KAYUNGA-24h'!F10,'22.10 GALIRAYA-KAYUNGA'!F10,'23.10 GALIRAYA-KAYUNGA'!F10)</f>
        <v>1.1428571428571428</v>
      </c>
      <c r="G10" s="49">
        <f>AVERAGE('17.10 GALIRAYA-KAYUNGA'!G10,'18.10 GALIRAYA-KAYUNGA'!G10,'19.10 GALIRAYA-KAYUNGA-24h'!G10,'20.10 GALIRAYA-KAYUNGA'!G10,'21.10 GALIRAYA-KAYUNGA-24h'!G10,'22.10 GALIRAYA-KAYUNGA'!G10,'23.10 GALIRAYA-KAYUNGA'!G10)</f>
        <v>0.14285714285714285</v>
      </c>
      <c r="H10" s="49">
        <f>AVERAGE('17.10 GALIRAYA-KAYUNGA'!H10,'18.10 GALIRAYA-KAYUNGA'!H10,'19.10 GALIRAYA-KAYUNGA-24h'!H10,'20.10 GALIRAYA-KAYUNGA'!H10,'21.10 GALIRAYA-KAYUNGA-24h'!H10,'22.10 GALIRAYA-KAYUNGA'!H10,'23.10 GALIRAYA-KAYUNGA'!H10)</f>
        <v>0</v>
      </c>
      <c r="I10" s="49">
        <f>AVERAGE('17.10 GALIRAYA-KAYUNGA'!I10,'18.10 GALIRAYA-KAYUNGA'!I10,'19.10 GALIRAYA-KAYUNGA-24h'!I10,'20.10 GALIRAYA-KAYUNGA'!I10,'21.10 GALIRAYA-KAYUNGA-24h'!I10,'22.10 GALIRAYA-KAYUNGA'!I10,'23.10 GALIRAYA-KAYUNGA'!I10)</f>
        <v>0.14285714285714285</v>
      </c>
      <c r="J10" s="49">
        <f>AVERAGE('17.10 GALIRAYA-KAYUNGA'!J10,'18.10 GALIRAYA-KAYUNGA'!J10,'19.10 GALIRAYA-KAYUNGA-24h'!J10,'20.10 GALIRAYA-KAYUNGA'!J10,'21.10 GALIRAYA-KAYUNGA-24h'!J10,'22.10 GALIRAYA-KAYUNGA'!J10,'23.10 GALIRAYA-KAYUNGA'!J10)</f>
        <v>0.2857142857142857</v>
      </c>
      <c r="K10" s="49">
        <f>AVERAGE('17.10 GALIRAYA-KAYUNGA'!K10,'18.10 GALIRAYA-KAYUNGA'!K10,'19.10 GALIRAYA-KAYUNGA-24h'!K10,'20.10 GALIRAYA-KAYUNGA'!K10,'21.10 GALIRAYA-KAYUNGA-24h'!K10,'22.10 GALIRAYA-KAYUNGA'!K10,'23.10 GALIRAYA-KAYUNGA'!K10)</f>
        <v>0.14285714285714285</v>
      </c>
      <c r="L10" s="49">
        <f>AVERAGE('17.10 GALIRAYA-KAYUNGA'!L10,'18.10 GALIRAYA-KAYUNGA'!L10,'19.10 GALIRAYA-KAYUNGA-24h'!L10,'20.10 GALIRAYA-KAYUNGA'!L10,'21.10 GALIRAYA-KAYUNGA-24h'!L10,'22.10 GALIRAYA-KAYUNGA'!L10,'23.10 GALIRAYA-KAYUNGA'!L10)</f>
        <v>0</v>
      </c>
      <c r="M10" s="49">
        <f>AVERAGE('17.10 GALIRAYA-KAYUNGA'!M10,'18.10 GALIRAYA-KAYUNGA'!M10,'19.10 GALIRAYA-KAYUNGA-24h'!M10,'20.10 GALIRAYA-KAYUNGA'!M10,'21.10 GALIRAYA-KAYUNGA-24h'!M10,'22.10 GALIRAYA-KAYUNGA'!M10,'23.10 GALIRAYA-KAYUNGA'!M10)</f>
        <v>3.5714285714285716</v>
      </c>
      <c r="N10" s="49">
        <f>AVERAGE('17.10 GALIRAYA-KAYUNGA'!N10,'18.10 GALIRAYA-KAYUNGA'!N10,'19.10 GALIRAYA-KAYUNGA-24h'!N10,'20.10 GALIRAYA-KAYUNGA'!N10,'21.10 GALIRAYA-KAYUNGA-24h'!N10,'22.10 GALIRAYA-KAYUNGA'!N10,'23.10 GALIRAYA-KAYUNGA'!N10)</f>
        <v>0</v>
      </c>
      <c r="O10" s="15">
        <f t="shared" ref="O10:O73" si="0">SUM(C10:L10,N10)</f>
        <v>1.9999999999999996</v>
      </c>
      <c r="P10" s="15">
        <f t="shared" ref="P10:P73" si="1">SUM(C10:N10)</f>
        <v>5.5714285714285712</v>
      </c>
      <c r="R10" s="1" t="s">
        <v>6</v>
      </c>
      <c r="S10" s="17">
        <f t="shared" ref="S10:AF10" si="2">SUM(C10:C13)</f>
        <v>0.42857142857142855</v>
      </c>
      <c r="T10" s="17">
        <f t="shared" si="2"/>
        <v>0.42857142857142855</v>
      </c>
      <c r="U10" s="17">
        <f t="shared" si="2"/>
        <v>0.42857142857142855</v>
      </c>
      <c r="V10" s="17">
        <f t="shared" si="2"/>
        <v>3.4285714285714288</v>
      </c>
      <c r="W10" s="17">
        <f t="shared" si="2"/>
        <v>0.2857142857142857</v>
      </c>
      <c r="X10" s="17">
        <f t="shared" si="2"/>
        <v>0</v>
      </c>
      <c r="Y10" s="17">
        <f t="shared" si="2"/>
        <v>0.8571428571428571</v>
      </c>
      <c r="Z10" s="17">
        <f t="shared" si="2"/>
        <v>1.714285714285714</v>
      </c>
      <c r="AA10" s="17">
        <f t="shared" si="2"/>
        <v>1.2857142857142856</v>
      </c>
      <c r="AB10" s="17">
        <f t="shared" si="2"/>
        <v>0.14285714285714285</v>
      </c>
      <c r="AC10" s="17">
        <f t="shared" si="2"/>
        <v>18</v>
      </c>
      <c r="AD10" s="17">
        <f t="shared" si="2"/>
        <v>0</v>
      </c>
      <c r="AE10" s="31">
        <f t="shared" si="2"/>
        <v>8.9999999999999982</v>
      </c>
      <c r="AF10" s="31">
        <f t="shared" si="2"/>
        <v>26.999999999999996</v>
      </c>
    </row>
    <row r="11" spans="2:32" s="6" customFormat="1" ht="23.1" customHeight="1" x14ac:dyDescent="0.25">
      <c r="B11" s="23" t="s">
        <v>38</v>
      </c>
      <c r="C11" s="49">
        <f>AVERAGE('17.10 GALIRAYA-KAYUNGA'!C11,'18.10 GALIRAYA-KAYUNGA'!C11,'19.10 GALIRAYA-KAYUNGA-24h'!C11,'20.10 GALIRAYA-KAYUNGA'!C11,'21.10 GALIRAYA-KAYUNGA-24h'!C11,'22.10 GALIRAYA-KAYUNGA'!C11,'23.10 GALIRAYA-KAYUNGA'!C11)</f>
        <v>0.14285714285714285</v>
      </c>
      <c r="D11" s="49">
        <f>AVERAGE('17.10 GALIRAYA-KAYUNGA'!D11,'18.10 GALIRAYA-KAYUNGA'!D11,'19.10 GALIRAYA-KAYUNGA-24h'!D11,'20.10 GALIRAYA-KAYUNGA'!D11,'21.10 GALIRAYA-KAYUNGA-24h'!D11,'22.10 GALIRAYA-KAYUNGA'!D11,'23.10 GALIRAYA-KAYUNGA'!D11)</f>
        <v>0.2857142857142857</v>
      </c>
      <c r="E11" s="49">
        <f>AVERAGE('17.10 GALIRAYA-KAYUNGA'!E11,'18.10 GALIRAYA-KAYUNGA'!E11,'19.10 GALIRAYA-KAYUNGA-24h'!E11,'20.10 GALIRAYA-KAYUNGA'!E11,'21.10 GALIRAYA-KAYUNGA-24h'!E11,'22.10 GALIRAYA-KAYUNGA'!E11,'23.10 GALIRAYA-KAYUNGA'!E11)</f>
        <v>0.14285714285714285</v>
      </c>
      <c r="F11" s="49">
        <f>AVERAGE('17.10 GALIRAYA-KAYUNGA'!F11,'18.10 GALIRAYA-KAYUNGA'!F11,'19.10 GALIRAYA-KAYUNGA-24h'!F11,'20.10 GALIRAYA-KAYUNGA'!F11,'21.10 GALIRAYA-KAYUNGA-24h'!F11,'22.10 GALIRAYA-KAYUNGA'!F11,'23.10 GALIRAYA-KAYUNGA'!F11)</f>
        <v>0.7142857142857143</v>
      </c>
      <c r="G11" s="49">
        <f>AVERAGE('17.10 GALIRAYA-KAYUNGA'!G11,'18.10 GALIRAYA-KAYUNGA'!G11,'19.10 GALIRAYA-KAYUNGA-24h'!G11,'20.10 GALIRAYA-KAYUNGA'!G11,'21.10 GALIRAYA-KAYUNGA-24h'!G11,'22.10 GALIRAYA-KAYUNGA'!G11,'23.10 GALIRAYA-KAYUNGA'!G11)</f>
        <v>0.14285714285714285</v>
      </c>
      <c r="H11" s="49">
        <f>AVERAGE('17.10 GALIRAYA-KAYUNGA'!H11,'18.10 GALIRAYA-KAYUNGA'!H11,'19.10 GALIRAYA-KAYUNGA-24h'!H11,'20.10 GALIRAYA-KAYUNGA'!H11,'21.10 GALIRAYA-KAYUNGA-24h'!H11,'22.10 GALIRAYA-KAYUNGA'!H11,'23.10 GALIRAYA-KAYUNGA'!H11)</f>
        <v>0</v>
      </c>
      <c r="I11" s="49">
        <f>AVERAGE('17.10 GALIRAYA-KAYUNGA'!I11,'18.10 GALIRAYA-KAYUNGA'!I11,'19.10 GALIRAYA-KAYUNGA-24h'!I11,'20.10 GALIRAYA-KAYUNGA'!I11,'21.10 GALIRAYA-KAYUNGA-24h'!I11,'22.10 GALIRAYA-KAYUNGA'!I11,'23.10 GALIRAYA-KAYUNGA'!I11)</f>
        <v>0</v>
      </c>
      <c r="J11" s="49">
        <f>AVERAGE('17.10 GALIRAYA-KAYUNGA'!J11,'18.10 GALIRAYA-KAYUNGA'!J11,'19.10 GALIRAYA-KAYUNGA-24h'!J11,'20.10 GALIRAYA-KAYUNGA'!J11,'21.10 GALIRAYA-KAYUNGA-24h'!J11,'22.10 GALIRAYA-KAYUNGA'!J11,'23.10 GALIRAYA-KAYUNGA'!J11)</f>
        <v>0.5714285714285714</v>
      </c>
      <c r="K11" s="49">
        <f>AVERAGE('17.10 GALIRAYA-KAYUNGA'!K11,'18.10 GALIRAYA-KAYUNGA'!K11,'19.10 GALIRAYA-KAYUNGA-24h'!K11,'20.10 GALIRAYA-KAYUNGA'!K11,'21.10 GALIRAYA-KAYUNGA-24h'!K11,'22.10 GALIRAYA-KAYUNGA'!K11,'23.10 GALIRAYA-KAYUNGA'!K11)</f>
        <v>0.14285714285714285</v>
      </c>
      <c r="L11" s="49">
        <f>AVERAGE('17.10 GALIRAYA-KAYUNGA'!L11,'18.10 GALIRAYA-KAYUNGA'!L11,'19.10 GALIRAYA-KAYUNGA-24h'!L11,'20.10 GALIRAYA-KAYUNGA'!L11,'21.10 GALIRAYA-KAYUNGA-24h'!L11,'22.10 GALIRAYA-KAYUNGA'!L11,'23.10 GALIRAYA-KAYUNGA'!L11)</f>
        <v>0.14285714285714285</v>
      </c>
      <c r="M11" s="49">
        <f>AVERAGE('17.10 GALIRAYA-KAYUNGA'!M11,'18.10 GALIRAYA-KAYUNGA'!M11,'19.10 GALIRAYA-KAYUNGA-24h'!M11,'20.10 GALIRAYA-KAYUNGA'!M11,'21.10 GALIRAYA-KAYUNGA-24h'!M11,'22.10 GALIRAYA-KAYUNGA'!M11,'23.10 GALIRAYA-KAYUNGA'!M11)</f>
        <v>4.7142857142857144</v>
      </c>
      <c r="N11" s="49">
        <f>AVERAGE('17.10 GALIRAYA-KAYUNGA'!N11,'18.10 GALIRAYA-KAYUNGA'!N11,'19.10 GALIRAYA-KAYUNGA-24h'!N11,'20.10 GALIRAYA-KAYUNGA'!N11,'21.10 GALIRAYA-KAYUNGA-24h'!N11,'22.10 GALIRAYA-KAYUNGA'!N11,'23.10 GALIRAYA-KAYUNGA'!N11)</f>
        <v>0</v>
      </c>
      <c r="O11" s="15">
        <f t="shared" si="0"/>
        <v>2.2857142857142856</v>
      </c>
      <c r="P11" s="15">
        <f t="shared" si="1"/>
        <v>7</v>
      </c>
      <c r="R11" s="1" t="s">
        <v>7</v>
      </c>
      <c r="S11" s="17">
        <f t="shared" ref="S11:AF11" si="3">SUM(C14:C17)</f>
        <v>2.1428571428571428</v>
      </c>
      <c r="T11" s="17">
        <f t="shared" si="3"/>
        <v>0.5714285714285714</v>
      </c>
      <c r="U11" s="17">
        <f t="shared" si="3"/>
        <v>0.42857142857142855</v>
      </c>
      <c r="V11" s="17">
        <f t="shared" si="3"/>
        <v>4.2857142857142856</v>
      </c>
      <c r="W11" s="17">
        <f t="shared" si="3"/>
        <v>0.14285714285714285</v>
      </c>
      <c r="X11" s="17">
        <f t="shared" si="3"/>
        <v>0</v>
      </c>
      <c r="Y11" s="17">
        <f t="shared" si="3"/>
        <v>2.5714285714285712</v>
      </c>
      <c r="Z11" s="17">
        <f t="shared" si="3"/>
        <v>0.85714285714285698</v>
      </c>
      <c r="AA11" s="17">
        <f t="shared" si="3"/>
        <v>0.2857142857142857</v>
      </c>
      <c r="AB11" s="17">
        <f t="shared" si="3"/>
        <v>0</v>
      </c>
      <c r="AC11" s="17">
        <f t="shared" si="3"/>
        <v>31.142857142857142</v>
      </c>
      <c r="AD11" s="17">
        <f t="shared" si="3"/>
        <v>0</v>
      </c>
      <c r="AE11" s="31">
        <f t="shared" si="3"/>
        <v>11.285714285714285</v>
      </c>
      <c r="AF11" s="31">
        <f t="shared" si="3"/>
        <v>42.428571428571431</v>
      </c>
    </row>
    <row r="12" spans="2:32" ht="23.1" customHeight="1" x14ac:dyDescent="0.25">
      <c r="B12" s="23" t="s">
        <v>39</v>
      </c>
      <c r="C12" s="49">
        <f>AVERAGE('17.10 GALIRAYA-KAYUNGA'!C12,'18.10 GALIRAYA-KAYUNGA'!C12,'19.10 GALIRAYA-KAYUNGA-24h'!C12,'20.10 GALIRAYA-KAYUNGA'!C12,'21.10 GALIRAYA-KAYUNGA-24h'!C12,'22.10 GALIRAYA-KAYUNGA'!C12,'23.10 GALIRAYA-KAYUNGA'!C12)</f>
        <v>0</v>
      </c>
      <c r="D12" s="49">
        <f>AVERAGE('17.10 GALIRAYA-KAYUNGA'!D12,'18.10 GALIRAYA-KAYUNGA'!D12,'19.10 GALIRAYA-KAYUNGA-24h'!D12,'20.10 GALIRAYA-KAYUNGA'!D12,'21.10 GALIRAYA-KAYUNGA-24h'!D12,'22.10 GALIRAYA-KAYUNGA'!D12,'23.10 GALIRAYA-KAYUNGA'!D12)</f>
        <v>0</v>
      </c>
      <c r="E12" s="49">
        <f>AVERAGE('17.10 GALIRAYA-KAYUNGA'!E12,'18.10 GALIRAYA-KAYUNGA'!E12,'19.10 GALIRAYA-KAYUNGA-24h'!E12,'20.10 GALIRAYA-KAYUNGA'!E12,'21.10 GALIRAYA-KAYUNGA-24h'!E12,'22.10 GALIRAYA-KAYUNGA'!E12,'23.10 GALIRAYA-KAYUNGA'!E12)</f>
        <v>0</v>
      </c>
      <c r="F12" s="49">
        <f>AVERAGE('17.10 GALIRAYA-KAYUNGA'!F12,'18.10 GALIRAYA-KAYUNGA'!F12,'19.10 GALIRAYA-KAYUNGA-24h'!F12,'20.10 GALIRAYA-KAYUNGA'!F12,'21.10 GALIRAYA-KAYUNGA-24h'!F12,'22.10 GALIRAYA-KAYUNGA'!F12,'23.10 GALIRAYA-KAYUNGA'!F12)</f>
        <v>0.7142857142857143</v>
      </c>
      <c r="G12" s="49">
        <f>AVERAGE('17.10 GALIRAYA-KAYUNGA'!G12,'18.10 GALIRAYA-KAYUNGA'!G12,'19.10 GALIRAYA-KAYUNGA-24h'!G12,'20.10 GALIRAYA-KAYUNGA'!G12,'21.10 GALIRAYA-KAYUNGA-24h'!G12,'22.10 GALIRAYA-KAYUNGA'!G12,'23.10 GALIRAYA-KAYUNGA'!G12)</f>
        <v>0</v>
      </c>
      <c r="H12" s="49">
        <f>AVERAGE('17.10 GALIRAYA-KAYUNGA'!H12,'18.10 GALIRAYA-KAYUNGA'!H12,'19.10 GALIRAYA-KAYUNGA-24h'!H12,'20.10 GALIRAYA-KAYUNGA'!H12,'21.10 GALIRAYA-KAYUNGA-24h'!H12,'22.10 GALIRAYA-KAYUNGA'!H12,'23.10 GALIRAYA-KAYUNGA'!H12)</f>
        <v>0</v>
      </c>
      <c r="I12" s="49">
        <f>AVERAGE('17.10 GALIRAYA-KAYUNGA'!I12,'18.10 GALIRAYA-KAYUNGA'!I12,'19.10 GALIRAYA-KAYUNGA-24h'!I12,'20.10 GALIRAYA-KAYUNGA'!I12,'21.10 GALIRAYA-KAYUNGA-24h'!I12,'22.10 GALIRAYA-KAYUNGA'!I12,'23.10 GALIRAYA-KAYUNGA'!I12)</f>
        <v>0.42857142857142855</v>
      </c>
      <c r="J12" s="49">
        <f>AVERAGE('17.10 GALIRAYA-KAYUNGA'!J12,'18.10 GALIRAYA-KAYUNGA'!J12,'19.10 GALIRAYA-KAYUNGA-24h'!J12,'20.10 GALIRAYA-KAYUNGA'!J12,'21.10 GALIRAYA-KAYUNGA-24h'!J12,'22.10 GALIRAYA-KAYUNGA'!J12,'23.10 GALIRAYA-KAYUNGA'!J12)</f>
        <v>0.5714285714285714</v>
      </c>
      <c r="K12" s="49">
        <f>AVERAGE('17.10 GALIRAYA-KAYUNGA'!K12,'18.10 GALIRAYA-KAYUNGA'!K12,'19.10 GALIRAYA-KAYUNGA-24h'!K12,'20.10 GALIRAYA-KAYUNGA'!K12,'21.10 GALIRAYA-KAYUNGA-24h'!K12,'22.10 GALIRAYA-KAYUNGA'!K12,'23.10 GALIRAYA-KAYUNGA'!K12)</f>
        <v>0.8571428571428571</v>
      </c>
      <c r="L12" s="49">
        <f>AVERAGE('17.10 GALIRAYA-KAYUNGA'!L12,'18.10 GALIRAYA-KAYUNGA'!L12,'19.10 GALIRAYA-KAYUNGA-24h'!L12,'20.10 GALIRAYA-KAYUNGA'!L12,'21.10 GALIRAYA-KAYUNGA-24h'!L12,'22.10 GALIRAYA-KAYUNGA'!L12,'23.10 GALIRAYA-KAYUNGA'!L12)</f>
        <v>0</v>
      </c>
      <c r="M12" s="49">
        <f>AVERAGE('17.10 GALIRAYA-KAYUNGA'!M12,'18.10 GALIRAYA-KAYUNGA'!M12,'19.10 GALIRAYA-KAYUNGA-24h'!M12,'20.10 GALIRAYA-KAYUNGA'!M12,'21.10 GALIRAYA-KAYUNGA-24h'!M12,'22.10 GALIRAYA-KAYUNGA'!M12,'23.10 GALIRAYA-KAYUNGA'!M12)</f>
        <v>4.4285714285714288</v>
      </c>
      <c r="N12" s="49">
        <f>AVERAGE('17.10 GALIRAYA-KAYUNGA'!N12,'18.10 GALIRAYA-KAYUNGA'!N12,'19.10 GALIRAYA-KAYUNGA-24h'!N12,'20.10 GALIRAYA-KAYUNGA'!N12,'21.10 GALIRAYA-KAYUNGA-24h'!N12,'22.10 GALIRAYA-KAYUNGA'!N12,'23.10 GALIRAYA-KAYUNGA'!N12)</f>
        <v>0</v>
      </c>
      <c r="O12" s="15">
        <f t="shared" si="0"/>
        <v>2.5714285714285712</v>
      </c>
      <c r="P12" s="15">
        <f t="shared" si="1"/>
        <v>7</v>
      </c>
      <c r="R12" s="1" t="s">
        <v>8</v>
      </c>
      <c r="S12" s="17">
        <f t="shared" ref="S12:AF12" si="4">SUM(C18:C21)</f>
        <v>2.2857142857142856</v>
      </c>
      <c r="T12" s="17">
        <f t="shared" si="4"/>
        <v>0.42857142857142855</v>
      </c>
      <c r="U12" s="17">
        <f t="shared" si="4"/>
        <v>1.4285714285714284</v>
      </c>
      <c r="V12" s="17">
        <f t="shared" si="4"/>
        <v>4.5714285714285712</v>
      </c>
      <c r="W12" s="17">
        <f t="shared" si="4"/>
        <v>0.14285714285714285</v>
      </c>
      <c r="X12" s="17">
        <f t="shared" si="4"/>
        <v>0.71428571428571419</v>
      </c>
      <c r="Y12" s="17">
        <f t="shared" si="4"/>
        <v>1.5714285714285714</v>
      </c>
      <c r="Z12" s="17">
        <f t="shared" si="4"/>
        <v>0.42857142857142855</v>
      </c>
      <c r="AA12" s="17">
        <f t="shared" si="4"/>
        <v>0.14285714285714285</v>
      </c>
      <c r="AB12" s="17">
        <f t="shared" si="4"/>
        <v>0</v>
      </c>
      <c r="AC12" s="17">
        <f t="shared" si="4"/>
        <v>36.285714285714292</v>
      </c>
      <c r="AD12" s="17">
        <f t="shared" si="4"/>
        <v>0</v>
      </c>
      <c r="AE12" s="31">
        <f t="shared" si="4"/>
        <v>11.714285714285712</v>
      </c>
      <c r="AF12" s="31">
        <f t="shared" si="4"/>
        <v>48</v>
      </c>
    </row>
    <row r="13" spans="2:32" ht="23.1" customHeight="1" x14ac:dyDescent="0.25">
      <c r="B13" s="23" t="s">
        <v>40</v>
      </c>
      <c r="C13" s="49">
        <f>AVERAGE('17.10 GALIRAYA-KAYUNGA'!C13,'18.10 GALIRAYA-KAYUNGA'!C13,'19.10 GALIRAYA-KAYUNGA-24h'!C13,'20.10 GALIRAYA-KAYUNGA'!C13,'21.10 GALIRAYA-KAYUNGA-24h'!C13,'22.10 GALIRAYA-KAYUNGA'!C13,'23.10 GALIRAYA-KAYUNGA'!C13)</f>
        <v>0.2857142857142857</v>
      </c>
      <c r="D13" s="49">
        <f>AVERAGE('17.10 GALIRAYA-KAYUNGA'!D13,'18.10 GALIRAYA-KAYUNGA'!D13,'19.10 GALIRAYA-KAYUNGA-24h'!D13,'20.10 GALIRAYA-KAYUNGA'!D13,'21.10 GALIRAYA-KAYUNGA-24h'!D13,'22.10 GALIRAYA-KAYUNGA'!D13,'23.10 GALIRAYA-KAYUNGA'!D13)</f>
        <v>0.14285714285714285</v>
      </c>
      <c r="E13" s="49">
        <f>AVERAGE('17.10 GALIRAYA-KAYUNGA'!E13,'18.10 GALIRAYA-KAYUNGA'!E13,'19.10 GALIRAYA-KAYUNGA-24h'!E13,'20.10 GALIRAYA-KAYUNGA'!E13,'21.10 GALIRAYA-KAYUNGA-24h'!E13,'22.10 GALIRAYA-KAYUNGA'!E13,'23.10 GALIRAYA-KAYUNGA'!E13)</f>
        <v>0.14285714285714285</v>
      </c>
      <c r="F13" s="49">
        <f>AVERAGE('17.10 GALIRAYA-KAYUNGA'!F13,'18.10 GALIRAYA-KAYUNGA'!F13,'19.10 GALIRAYA-KAYUNGA-24h'!F13,'20.10 GALIRAYA-KAYUNGA'!F13,'21.10 GALIRAYA-KAYUNGA-24h'!F13,'22.10 GALIRAYA-KAYUNGA'!F13,'23.10 GALIRAYA-KAYUNGA'!F13)</f>
        <v>0.8571428571428571</v>
      </c>
      <c r="G13" s="49">
        <f>AVERAGE('17.10 GALIRAYA-KAYUNGA'!G13,'18.10 GALIRAYA-KAYUNGA'!G13,'19.10 GALIRAYA-KAYUNGA-24h'!G13,'20.10 GALIRAYA-KAYUNGA'!G13,'21.10 GALIRAYA-KAYUNGA-24h'!G13,'22.10 GALIRAYA-KAYUNGA'!G13,'23.10 GALIRAYA-KAYUNGA'!G13)</f>
        <v>0</v>
      </c>
      <c r="H13" s="49">
        <f>AVERAGE('17.10 GALIRAYA-KAYUNGA'!H13,'18.10 GALIRAYA-KAYUNGA'!H13,'19.10 GALIRAYA-KAYUNGA-24h'!H13,'20.10 GALIRAYA-KAYUNGA'!H13,'21.10 GALIRAYA-KAYUNGA-24h'!H13,'22.10 GALIRAYA-KAYUNGA'!H13,'23.10 GALIRAYA-KAYUNGA'!H13)</f>
        <v>0</v>
      </c>
      <c r="I13" s="49">
        <f>AVERAGE('17.10 GALIRAYA-KAYUNGA'!I13,'18.10 GALIRAYA-KAYUNGA'!I13,'19.10 GALIRAYA-KAYUNGA-24h'!I13,'20.10 GALIRAYA-KAYUNGA'!I13,'21.10 GALIRAYA-KAYUNGA-24h'!I13,'22.10 GALIRAYA-KAYUNGA'!I13,'23.10 GALIRAYA-KAYUNGA'!I13)</f>
        <v>0.2857142857142857</v>
      </c>
      <c r="J13" s="49">
        <f>AVERAGE('17.10 GALIRAYA-KAYUNGA'!J13,'18.10 GALIRAYA-KAYUNGA'!J13,'19.10 GALIRAYA-KAYUNGA-24h'!J13,'20.10 GALIRAYA-KAYUNGA'!J13,'21.10 GALIRAYA-KAYUNGA-24h'!J13,'22.10 GALIRAYA-KAYUNGA'!J13,'23.10 GALIRAYA-KAYUNGA'!J13)</f>
        <v>0.2857142857142857</v>
      </c>
      <c r="K13" s="49">
        <f>AVERAGE('17.10 GALIRAYA-KAYUNGA'!K13,'18.10 GALIRAYA-KAYUNGA'!K13,'19.10 GALIRAYA-KAYUNGA-24h'!K13,'20.10 GALIRAYA-KAYUNGA'!K13,'21.10 GALIRAYA-KAYUNGA-24h'!K13,'22.10 GALIRAYA-KAYUNGA'!K13,'23.10 GALIRAYA-KAYUNGA'!K13)</f>
        <v>0.14285714285714285</v>
      </c>
      <c r="L13" s="49">
        <f>AVERAGE('17.10 GALIRAYA-KAYUNGA'!L13,'18.10 GALIRAYA-KAYUNGA'!L13,'19.10 GALIRAYA-KAYUNGA-24h'!L13,'20.10 GALIRAYA-KAYUNGA'!L13,'21.10 GALIRAYA-KAYUNGA-24h'!L13,'22.10 GALIRAYA-KAYUNGA'!L13,'23.10 GALIRAYA-KAYUNGA'!L13)</f>
        <v>0</v>
      </c>
      <c r="M13" s="49">
        <f>AVERAGE('17.10 GALIRAYA-KAYUNGA'!M13,'18.10 GALIRAYA-KAYUNGA'!M13,'19.10 GALIRAYA-KAYUNGA-24h'!M13,'20.10 GALIRAYA-KAYUNGA'!M13,'21.10 GALIRAYA-KAYUNGA-24h'!M13,'22.10 GALIRAYA-KAYUNGA'!M13,'23.10 GALIRAYA-KAYUNGA'!M13)</f>
        <v>5.2857142857142856</v>
      </c>
      <c r="N13" s="49">
        <f>AVERAGE('17.10 GALIRAYA-KAYUNGA'!N13,'18.10 GALIRAYA-KAYUNGA'!N13,'19.10 GALIRAYA-KAYUNGA-24h'!N13,'20.10 GALIRAYA-KAYUNGA'!N13,'21.10 GALIRAYA-KAYUNGA-24h'!N13,'22.10 GALIRAYA-KAYUNGA'!N13,'23.10 GALIRAYA-KAYUNGA'!N13)</f>
        <v>0</v>
      </c>
      <c r="O13" s="15">
        <f t="shared" si="0"/>
        <v>2.1428571428571423</v>
      </c>
      <c r="P13" s="15">
        <f t="shared" si="1"/>
        <v>7.4285714285714279</v>
      </c>
      <c r="R13" s="1" t="s">
        <v>9</v>
      </c>
      <c r="S13" s="17">
        <f t="shared" ref="S13:AF13" si="5">SUM(C22:C25)</f>
        <v>2.4428571428571426</v>
      </c>
      <c r="T13" s="17">
        <f t="shared" si="5"/>
        <v>0.5714285714285714</v>
      </c>
      <c r="U13" s="17">
        <f t="shared" si="5"/>
        <v>0.8571428571428571</v>
      </c>
      <c r="V13" s="17">
        <f t="shared" si="5"/>
        <v>3.1428571428571428</v>
      </c>
      <c r="W13" s="17">
        <f t="shared" si="5"/>
        <v>0.2857142857142857</v>
      </c>
      <c r="X13" s="17">
        <f t="shared" si="5"/>
        <v>0.2857142857142857</v>
      </c>
      <c r="Y13" s="17">
        <f t="shared" si="5"/>
        <v>1.4285714285714284</v>
      </c>
      <c r="Z13" s="17">
        <f t="shared" si="5"/>
        <v>0.8571428571428571</v>
      </c>
      <c r="AA13" s="17">
        <f t="shared" si="5"/>
        <v>0</v>
      </c>
      <c r="AB13" s="17">
        <f t="shared" si="5"/>
        <v>0</v>
      </c>
      <c r="AC13" s="17">
        <f t="shared" si="5"/>
        <v>34</v>
      </c>
      <c r="AD13" s="17">
        <f t="shared" si="5"/>
        <v>0.14285714285714285</v>
      </c>
      <c r="AE13" s="31">
        <f t="shared" si="5"/>
        <v>10.014285714285714</v>
      </c>
      <c r="AF13" s="31">
        <f t="shared" si="5"/>
        <v>44.014285714285712</v>
      </c>
    </row>
    <row r="14" spans="2:32" ht="23.1" customHeight="1" x14ac:dyDescent="0.25">
      <c r="B14" s="23" t="s">
        <v>41</v>
      </c>
      <c r="C14" s="49">
        <f>AVERAGE('17.10 GALIRAYA-KAYUNGA'!C14,'18.10 GALIRAYA-KAYUNGA'!C14,'19.10 GALIRAYA-KAYUNGA-24h'!C14,'20.10 GALIRAYA-KAYUNGA'!C14,'21.10 GALIRAYA-KAYUNGA-24h'!C14,'22.10 GALIRAYA-KAYUNGA'!C14,'23.10 GALIRAYA-KAYUNGA'!C14)</f>
        <v>0.7142857142857143</v>
      </c>
      <c r="D14" s="49">
        <f>AVERAGE('17.10 GALIRAYA-KAYUNGA'!D14,'18.10 GALIRAYA-KAYUNGA'!D14,'19.10 GALIRAYA-KAYUNGA-24h'!D14,'20.10 GALIRAYA-KAYUNGA'!D14,'21.10 GALIRAYA-KAYUNGA-24h'!D14,'22.10 GALIRAYA-KAYUNGA'!D14,'23.10 GALIRAYA-KAYUNGA'!D14)</f>
        <v>0.2857142857142857</v>
      </c>
      <c r="E14" s="49">
        <f>AVERAGE('17.10 GALIRAYA-KAYUNGA'!E14,'18.10 GALIRAYA-KAYUNGA'!E14,'19.10 GALIRAYA-KAYUNGA-24h'!E14,'20.10 GALIRAYA-KAYUNGA'!E14,'21.10 GALIRAYA-KAYUNGA-24h'!E14,'22.10 GALIRAYA-KAYUNGA'!E14,'23.10 GALIRAYA-KAYUNGA'!E14)</f>
        <v>0.14285714285714285</v>
      </c>
      <c r="F14" s="49">
        <f>AVERAGE('17.10 GALIRAYA-KAYUNGA'!F14,'18.10 GALIRAYA-KAYUNGA'!F14,'19.10 GALIRAYA-KAYUNGA-24h'!F14,'20.10 GALIRAYA-KAYUNGA'!F14,'21.10 GALIRAYA-KAYUNGA-24h'!F14,'22.10 GALIRAYA-KAYUNGA'!F14,'23.10 GALIRAYA-KAYUNGA'!F14)</f>
        <v>0.8571428571428571</v>
      </c>
      <c r="G14" s="49">
        <f>AVERAGE('17.10 GALIRAYA-KAYUNGA'!G14,'18.10 GALIRAYA-KAYUNGA'!G14,'19.10 GALIRAYA-KAYUNGA-24h'!G14,'20.10 GALIRAYA-KAYUNGA'!G14,'21.10 GALIRAYA-KAYUNGA-24h'!G14,'22.10 GALIRAYA-KAYUNGA'!G14,'23.10 GALIRAYA-KAYUNGA'!G14)</f>
        <v>0.14285714285714285</v>
      </c>
      <c r="H14" s="49">
        <f>AVERAGE('17.10 GALIRAYA-KAYUNGA'!H14,'18.10 GALIRAYA-KAYUNGA'!H14,'19.10 GALIRAYA-KAYUNGA-24h'!H14,'20.10 GALIRAYA-KAYUNGA'!H14,'21.10 GALIRAYA-KAYUNGA-24h'!H14,'22.10 GALIRAYA-KAYUNGA'!H14,'23.10 GALIRAYA-KAYUNGA'!H14)</f>
        <v>0</v>
      </c>
      <c r="I14" s="49">
        <f>AVERAGE('17.10 GALIRAYA-KAYUNGA'!I14,'18.10 GALIRAYA-KAYUNGA'!I14,'19.10 GALIRAYA-KAYUNGA-24h'!I14,'20.10 GALIRAYA-KAYUNGA'!I14,'21.10 GALIRAYA-KAYUNGA-24h'!I14,'22.10 GALIRAYA-KAYUNGA'!I14,'23.10 GALIRAYA-KAYUNGA'!I14)</f>
        <v>1.1428571428571428</v>
      </c>
      <c r="J14" s="49">
        <f>AVERAGE('17.10 GALIRAYA-KAYUNGA'!J14,'18.10 GALIRAYA-KAYUNGA'!J14,'19.10 GALIRAYA-KAYUNGA-24h'!J14,'20.10 GALIRAYA-KAYUNGA'!J14,'21.10 GALIRAYA-KAYUNGA-24h'!J14,'22.10 GALIRAYA-KAYUNGA'!J14,'23.10 GALIRAYA-KAYUNGA'!J14)</f>
        <v>0.2857142857142857</v>
      </c>
      <c r="K14" s="49">
        <f>AVERAGE('17.10 GALIRAYA-KAYUNGA'!K14,'18.10 GALIRAYA-KAYUNGA'!K14,'19.10 GALIRAYA-KAYUNGA-24h'!K14,'20.10 GALIRAYA-KAYUNGA'!K14,'21.10 GALIRAYA-KAYUNGA-24h'!K14,'22.10 GALIRAYA-KAYUNGA'!K14,'23.10 GALIRAYA-KAYUNGA'!K14)</f>
        <v>0.14285714285714285</v>
      </c>
      <c r="L14" s="49">
        <f>AVERAGE('17.10 GALIRAYA-KAYUNGA'!L14,'18.10 GALIRAYA-KAYUNGA'!L14,'19.10 GALIRAYA-KAYUNGA-24h'!L14,'20.10 GALIRAYA-KAYUNGA'!L14,'21.10 GALIRAYA-KAYUNGA-24h'!L14,'22.10 GALIRAYA-KAYUNGA'!L14,'23.10 GALIRAYA-KAYUNGA'!L14)</f>
        <v>0</v>
      </c>
      <c r="M14" s="49">
        <f>AVERAGE('17.10 GALIRAYA-KAYUNGA'!M14,'18.10 GALIRAYA-KAYUNGA'!M14,'19.10 GALIRAYA-KAYUNGA-24h'!M14,'20.10 GALIRAYA-KAYUNGA'!M14,'21.10 GALIRAYA-KAYUNGA-24h'!M14,'22.10 GALIRAYA-KAYUNGA'!M14,'23.10 GALIRAYA-KAYUNGA'!M14)</f>
        <v>7</v>
      </c>
      <c r="N14" s="49">
        <f>AVERAGE('17.10 GALIRAYA-KAYUNGA'!N14,'18.10 GALIRAYA-KAYUNGA'!N14,'19.10 GALIRAYA-KAYUNGA-24h'!N14,'20.10 GALIRAYA-KAYUNGA'!N14,'21.10 GALIRAYA-KAYUNGA-24h'!N14,'22.10 GALIRAYA-KAYUNGA'!N14,'23.10 GALIRAYA-KAYUNGA'!N14)</f>
        <v>0</v>
      </c>
      <c r="O14" s="15">
        <f t="shared" si="0"/>
        <v>3.714285714285714</v>
      </c>
      <c r="P14" s="15">
        <f t="shared" si="1"/>
        <v>10.714285714285714</v>
      </c>
      <c r="R14" s="1" t="s">
        <v>10</v>
      </c>
      <c r="S14" s="17">
        <f t="shared" ref="S14:AF14" si="6">SUM(C26:C29)</f>
        <v>2.1428571428571428</v>
      </c>
      <c r="T14" s="17">
        <f t="shared" si="6"/>
        <v>0.99999999999999989</v>
      </c>
      <c r="U14" s="17">
        <f t="shared" si="6"/>
        <v>1</v>
      </c>
      <c r="V14" s="17">
        <f t="shared" si="6"/>
        <v>4.4285714285714279</v>
      </c>
      <c r="W14" s="17">
        <f t="shared" si="6"/>
        <v>0.14285714285714285</v>
      </c>
      <c r="X14" s="17">
        <f t="shared" si="6"/>
        <v>0</v>
      </c>
      <c r="Y14" s="17">
        <f t="shared" si="6"/>
        <v>1.5714285714285714</v>
      </c>
      <c r="Z14" s="17">
        <f t="shared" si="6"/>
        <v>1.2857142857142856</v>
      </c>
      <c r="AA14" s="17">
        <f t="shared" si="6"/>
        <v>0.14285714285714285</v>
      </c>
      <c r="AB14" s="17">
        <f t="shared" si="6"/>
        <v>0.14285714285714285</v>
      </c>
      <c r="AC14" s="17">
        <f t="shared" si="6"/>
        <v>42.714285714285715</v>
      </c>
      <c r="AD14" s="17">
        <f t="shared" si="6"/>
        <v>0</v>
      </c>
      <c r="AE14" s="31">
        <f t="shared" si="6"/>
        <v>11.857142857142856</v>
      </c>
      <c r="AF14" s="31">
        <f t="shared" si="6"/>
        <v>54.571428571428569</v>
      </c>
    </row>
    <row r="15" spans="2:32" ht="23.1" customHeight="1" x14ac:dyDescent="0.25">
      <c r="B15" s="23" t="s">
        <v>42</v>
      </c>
      <c r="C15" s="49">
        <f>AVERAGE('17.10 GALIRAYA-KAYUNGA'!C15,'18.10 GALIRAYA-KAYUNGA'!C15,'19.10 GALIRAYA-KAYUNGA-24h'!C15,'20.10 GALIRAYA-KAYUNGA'!C15,'21.10 GALIRAYA-KAYUNGA-24h'!C15,'22.10 GALIRAYA-KAYUNGA'!C15,'23.10 GALIRAYA-KAYUNGA'!C15)</f>
        <v>0.2857142857142857</v>
      </c>
      <c r="D15" s="49">
        <f>AVERAGE('17.10 GALIRAYA-KAYUNGA'!D15,'18.10 GALIRAYA-KAYUNGA'!D15,'19.10 GALIRAYA-KAYUNGA-24h'!D15,'20.10 GALIRAYA-KAYUNGA'!D15,'21.10 GALIRAYA-KAYUNGA-24h'!D15,'22.10 GALIRAYA-KAYUNGA'!D15,'23.10 GALIRAYA-KAYUNGA'!D15)</f>
        <v>0.2857142857142857</v>
      </c>
      <c r="E15" s="49">
        <f>AVERAGE('17.10 GALIRAYA-KAYUNGA'!E15,'18.10 GALIRAYA-KAYUNGA'!E15,'19.10 GALIRAYA-KAYUNGA-24h'!E15,'20.10 GALIRAYA-KAYUNGA'!E15,'21.10 GALIRAYA-KAYUNGA-24h'!E15,'22.10 GALIRAYA-KAYUNGA'!E15,'23.10 GALIRAYA-KAYUNGA'!E15)</f>
        <v>0.14285714285714285</v>
      </c>
      <c r="F15" s="49">
        <f>AVERAGE('17.10 GALIRAYA-KAYUNGA'!F15,'18.10 GALIRAYA-KAYUNGA'!F15,'19.10 GALIRAYA-KAYUNGA-24h'!F15,'20.10 GALIRAYA-KAYUNGA'!F15,'21.10 GALIRAYA-KAYUNGA-24h'!F15,'22.10 GALIRAYA-KAYUNGA'!F15,'23.10 GALIRAYA-KAYUNGA'!F15)</f>
        <v>0.8571428571428571</v>
      </c>
      <c r="G15" s="49">
        <f>AVERAGE('17.10 GALIRAYA-KAYUNGA'!G15,'18.10 GALIRAYA-KAYUNGA'!G15,'19.10 GALIRAYA-KAYUNGA-24h'!G15,'20.10 GALIRAYA-KAYUNGA'!G15,'21.10 GALIRAYA-KAYUNGA-24h'!G15,'22.10 GALIRAYA-KAYUNGA'!G15,'23.10 GALIRAYA-KAYUNGA'!G15)</f>
        <v>0</v>
      </c>
      <c r="H15" s="49">
        <f>AVERAGE('17.10 GALIRAYA-KAYUNGA'!H15,'18.10 GALIRAYA-KAYUNGA'!H15,'19.10 GALIRAYA-KAYUNGA-24h'!H15,'20.10 GALIRAYA-KAYUNGA'!H15,'21.10 GALIRAYA-KAYUNGA-24h'!H15,'22.10 GALIRAYA-KAYUNGA'!H15,'23.10 GALIRAYA-KAYUNGA'!H15)</f>
        <v>0</v>
      </c>
      <c r="I15" s="49">
        <f>AVERAGE('17.10 GALIRAYA-KAYUNGA'!I15,'18.10 GALIRAYA-KAYUNGA'!I15,'19.10 GALIRAYA-KAYUNGA-24h'!I15,'20.10 GALIRAYA-KAYUNGA'!I15,'21.10 GALIRAYA-KAYUNGA-24h'!I15,'22.10 GALIRAYA-KAYUNGA'!I15,'23.10 GALIRAYA-KAYUNGA'!I15)</f>
        <v>0</v>
      </c>
      <c r="J15" s="49">
        <f>AVERAGE('17.10 GALIRAYA-KAYUNGA'!J15,'18.10 GALIRAYA-KAYUNGA'!J15,'19.10 GALIRAYA-KAYUNGA-24h'!J15,'20.10 GALIRAYA-KAYUNGA'!J15,'21.10 GALIRAYA-KAYUNGA-24h'!J15,'22.10 GALIRAYA-KAYUNGA'!J15,'23.10 GALIRAYA-KAYUNGA'!J15)</f>
        <v>0.2857142857142857</v>
      </c>
      <c r="K15" s="49">
        <f>AVERAGE('17.10 GALIRAYA-KAYUNGA'!K15,'18.10 GALIRAYA-KAYUNGA'!K15,'19.10 GALIRAYA-KAYUNGA-24h'!K15,'20.10 GALIRAYA-KAYUNGA'!K15,'21.10 GALIRAYA-KAYUNGA-24h'!K15,'22.10 GALIRAYA-KAYUNGA'!K15,'23.10 GALIRAYA-KAYUNGA'!K15)</f>
        <v>0.14285714285714285</v>
      </c>
      <c r="L15" s="49">
        <f>AVERAGE('17.10 GALIRAYA-KAYUNGA'!L15,'18.10 GALIRAYA-KAYUNGA'!L15,'19.10 GALIRAYA-KAYUNGA-24h'!L15,'20.10 GALIRAYA-KAYUNGA'!L15,'21.10 GALIRAYA-KAYUNGA-24h'!L15,'22.10 GALIRAYA-KAYUNGA'!L15,'23.10 GALIRAYA-KAYUNGA'!L15)</f>
        <v>0</v>
      </c>
      <c r="M15" s="49">
        <f>AVERAGE('17.10 GALIRAYA-KAYUNGA'!M15,'18.10 GALIRAYA-KAYUNGA'!M15,'19.10 GALIRAYA-KAYUNGA-24h'!M15,'20.10 GALIRAYA-KAYUNGA'!M15,'21.10 GALIRAYA-KAYUNGA-24h'!M15,'22.10 GALIRAYA-KAYUNGA'!M15,'23.10 GALIRAYA-KAYUNGA'!M15)</f>
        <v>6.7142857142857144</v>
      </c>
      <c r="N15" s="49">
        <f>AVERAGE('17.10 GALIRAYA-KAYUNGA'!N15,'18.10 GALIRAYA-KAYUNGA'!N15,'19.10 GALIRAYA-KAYUNGA-24h'!N15,'20.10 GALIRAYA-KAYUNGA'!N15,'21.10 GALIRAYA-KAYUNGA-24h'!N15,'22.10 GALIRAYA-KAYUNGA'!N15,'23.10 GALIRAYA-KAYUNGA'!N15)</f>
        <v>0</v>
      </c>
      <c r="O15" s="15">
        <f t="shared" si="0"/>
        <v>1.9999999999999996</v>
      </c>
      <c r="P15" s="15">
        <f t="shared" si="1"/>
        <v>8.7142857142857135</v>
      </c>
      <c r="R15" s="1" t="s">
        <v>11</v>
      </c>
      <c r="S15" s="17">
        <f t="shared" ref="S15:AF15" si="7">SUM(C30:C33)</f>
        <v>3.8571428571428568</v>
      </c>
      <c r="T15" s="17">
        <f t="shared" si="7"/>
        <v>1.2857142857142856</v>
      </c>
      <c r="U15" s="17">
        <f t="shared" si="7"/>
        <v>1.2857142857142856</v>
      </c>
      <c r="V15" s="17">
        <f t="shared" si="7"/>
        <v>4.1428571428571432</v>
      </c>
      <c r="W15" s="17">
        <f t="shared" si="7"/>
        <v>0.42857142857142855</v>
      </c>
      <c r="X15" s="17">
        <f t="shared" si="7"/>
        <v>0.42857142857142855</v>
      </c>
      <c r="Y15" s="17">
        <f t="shared" si="7"/>
        <v>1.714285714285714</v>
      </c>
      <c r="Z15" s="17">
        <f t="shared" si="7"/>
        <v>1.1428571428571428</v>
      </c>
      <c r="AA15" s="17">
        <f t="shared" si="7"/>
        <v>0.2857142857142857</v>
      </c>
      <c r="AB15" s="17">
        <f t="shared" si="7"/>
        <v>0.2857142857142857</v>
      </c>
      <c r="AC15" s="17">
        <f t="shared" si="7"/>
        <v>45.428571428571431</v>
      </c>
      <c r="AD15" s="17">
        <f t="shared" si="7"/>
        <v>0.14285714285714285</v>
      </c>
      <c r="AE15" s="31">
        <f t="shared" si="7"/>
        <v>15</v>
      </c>
      <c r="AF15" s="31">
        <f t="shared" si="7"/>
        <v>60.428571428571431</v>
      </c>
    </row>
    <row r="16" spans="2:32" ht="23.1" customHeight="1" x14ac:dyDescent="0.25">
      <c r="B16" s="23" t="s">
        <v>43</v>
      </c>
      <c r="C16" s="49">
        <f>AVERAGE('17.10 GALIRAYA-KAYUNGA'!C16,'18.10 GALIRAYA-KAYUNGA'!C16,'19.10 GALIRAYA-KAYUNGA-24h'!C16,'20.10 GALIRAYA-KAYUNGA'!C16,'21.10 GALIRAYA-KAYUNGA-24h'!C16,'22.10 GALIRAYA-KAYUNGA'!C16,'23.10 GALIRAYA-KAYUNGA'!C16)</f>
        <v>0.42857142857142855</v>
      </c>
      <c r="D16" s="49">
        <f>AVERAGE('17.10 GALIRAYA-KAYUNGA'!D16,'18.10 GALIRAYA-KAYUNGA'!D16,'19.10 GALIRAYA-KAYUNGA-24h'!D16,'20.10 GALIRAYA-KAYUNGA'!D16,'21.10 GALIRAYA-KAYUNGA-24h'!D16,'22.10 GALIRAYA-KAYUNGA'!D16,'23.10 GALIRAYA-KAYUNGA'!D16)</f>
        <v>0</v>
      </c>
      <c r="E16" s="49">
        <f>AVERAGE('17.10 GALIRAYA-KAYUNGA'!E16,'18.10 GALIRAYA-KAYUNGA'!E16,'19.10 GALIRAYA-KAYUNGA-24h'!E16,'20.10 GALIRAYA-KAYUNGA'!E16,'21.10 GALIRAYA-KAYUNGA-24h'!E16,'22.10 GALIRAYA-KAYUNGA'!E16,'23.10 GALIRAYA-KAYUNGA'!E16)</f>
        <v>0</v>
      </c>
      <c r="F16" s="49">
        <f>AVERAGE('17.10 GALIRAYA-KAYUNGA'!F16,'18.10 GALIRAYA-KAYUNGA'!F16,'19.10 GALIRAYA-KAYUNGA-24h'!F16,'20.10 GALIRAYA-KAYUNGA'!F16,'21.10 GALIRAYA-KAYUNGA-24h'!F16,'22.10 GALIRAYA-KAYUNGA'!F16,'23.10 GALIRAYA-KAYUNGA'!F16)</f>
        <v>1.4285714285714286</v>
      </c>
      <c r="G16" s="49">
        <f>AVERAGE('17.10 GALIRAYA-KAYUNGA'!G16,'18.10 GALIRAYA-KAYUNGA'!G16,'19.10 GALIRAYA-KAYUNGA-24h'!G16,'20.10 GALIRAYA-KAYUNGA'!G16,'21.10 GALIRAYA-KAYUNGA-24h'!G16,'22.10 GALIRAYA-KAYUNGA'!G16,'23.10 GALIRAYA-KAYUNGA'!G16)</f>
        <v>0</v>
      </c>
      <c r="H16" s="49">
        <f>AVERAGE('17.10 GALIRAYA-KAYUNGA'!H16,'18.10 GALIRAYA-KAYUNGA'!H16,'19.10 GALIRAYA-KAYUNGA-24h'!H16,'20.10 GALIRAYA-KAYUNGA'!H16,'21.10 GALIRAYA-KAYUNGA-24h'!H16,'22.10 GALIRAYA-KAYUNGA'!H16,'23.10 GALIRAYA-KAYUNGA'!H16)</f>
        <v>0</v>
      </c>
      <c r="I16" s="49">
        <f>AVERAGE('17.10 GALIRAYA-KAYUNGA'!I16,'18.10 GALIRAYA-KAYUNGA'!I16,'19.10 GALIRAYA-KAYUNGA-24h'!I16,'20.10 GALIRAYA-KAYUNGA'!I16,'21.10 GALIRAYA-KAYUNGA-24h'!I16,'22.10 GALIRAYA-KAYUNGA'!I16,'23.10 GALIRAYA-KAYUNGA'!I16)</f>
        <v>0.2857142857142857</v>
      </c>
      <c r="J16" s="49">
        <f>AVERAGE('17.10 GALIRAYA-KAYUNGA'!J16,'18.10 GALIRAYA-KAYUNGA'!J16,'19.10 GALIRAYA-KAYUNGA-24h'!J16,'20.10 GALIRAYA-KAYUNGA'!J16,'21.10 GALIRAYA-KAYUNGA-24h'!J16,'22.10 GALIRAYA-KAYUNGA'!J16,'23.10 GALIRAYA-KAYUNGA'!J16)</f>
        <v>0.14285714285714285</v>
      </c>
      <c r="K16" s="49">
        <f>AVERAGE('17.10 GALIRAYA-KAYUNGA'!K16,'18.10 GALIRAYA-KAYUNGA'!K16,'19.10 GALIRAYA-KAYUNGA-24h'!K16,'20.10 GALIRAYA-KAYUNGA'!K16,'21.10 GALIRAYA-KAYUNGA-24h'!K16,'22.10 GALIRAYA-KAYUNGA'!K16,'23.10 GALIRAYA-KAYUNGA'!K16)</f>
        <v>0</v>
      </c>
      <c r="L16" s="49">
        <f>AVERAGE('17.10 GALIRAYA-KAYUNGA'!L16,'18.10 GALIRAYA-KAYUNGA'!L16,'19.10 GALIRAYA-KAYUNGA-24h'!L16,'20.10 GALIRAYA-KAYUNGA'!L16,'21.10 GALIRAYA-KAYUNGA-24h'!L16,'22.10 GALIRAYA-KAYUNGA'!L16,'23.10 GALIRAYA-KAYUNGA'!L16)</f>
        <v>0</v>
      </c>
      <c r="M16" s="49">
        <f>AVERAGE('17.10 GALIRAYA-KAYUNGA'!M16,'18.10 GALIRAYA-KAYUNGA'!M16,'19.10 GALIRAYA-KAYUNGA-24h'!M16,'20.10 GALIRAYA-KAYUNGA'!M16,'21.10 GALIRAYA-KAYUNGA-24h'!M16,'22.10 GALIRAYA-KAYUNGA'!M16,'23.10 GALIRAYA-KAYUNGA'!M16)</f>
        <v>6.2857142857142856</v>
      </c>
      <c r="N16" s="49">
        <f>AVERAGE('17.10 GALIRAYA-KAYUNGA'!N16,'18.10 GALIRAYA-KAYUNGA'!N16,'19.10 GALIRAYA-KAYUNGA-24h'!N16,'20.10 GALIRAYA-KAYUNGA'!N16,'21.10 GALIRAYA-KAYUNGA-24h'!N16,'22.10 GALIRAYA-KAYUNGA'!N16,'23.10 GALIRAYA-KAYUNGA'!N16)</f>
        <v>0</v>
      </c>
      <c r="O16" s="15">
        <f t="shared" si="0"/>
        <v>2.2857142857142856</v>
      </c>
      <c r="P16" s="15">
        <f t="shared" si="1"/>
        <v>8.5714285714285712</v>
      </c>
      <c r="R16" s="1" t="s">
        <v>12</v>
      </c>
      <c r="S16" s="17">
        <f t="shared" ref="S16:AF16" si="8">SUM(C34:C37)</f>
        <v>5.1428571428571432</v>
      </c>
      <c r="T16" s="17">
        <f t="shared" si="8"/>
        <v>1.1428571428571428</v>
      </c>
      <c r="U16" s="17">
        <f t="shared" si="8"/>
        <v>1.7142857142857144</v>
      </c>
      <c r="V16" s="17">
        <f t="shared" si="8"/>
        <v>4.5714285714285712</v>
      </c>
      <c r="W16" s="17">
        <f t="shared" si="8"/>
        <v>0.2857142857142857</v>
      </c>
      <c r="X16" s="17">
        <f t="shared" si="8"/>
        <v>0</v>
      </c>
      <c r="Y16" s="17">
        <f t="shared" si="8"/>
        <v>1.4285714285714286</v>
      </c>
      <c r="Z16" s="17">
        <f t="shared" si="8"/>
        <v>1.1428571428571428</v>
      </c>
      <c r="AA16" s="17">
        <f t="shared" si="8"/>
        <v>0.2857142857142857</v>
      </c>
      <c r="AB16" s="17">
        <f t="shared" si="8"/>
        <v>1.1428571428571428</v>
      </c>
      <c r="AC16" s="17">
        <f t="shared" si="8"/>
        <v>44.142857142857146</v>
      </c>
      <c r="AD16" s="17">
        <f t="shared" si="8"/>
        <v>0.14285714285714285</v>
      </c>
      <c r="AE16" s="31">
        <f t="shared" si="8"/>
        <v>17</v>
      </c>
      <c r="AF16" s="31">
        <f t="shared" si="8"/>
        <v>61.142857142857146</v>
      </c>
    </row>
    <row r="17" spans="2:32" ht="23.1" customHeight="1" x14ac:dyDescent="0.25">
      <c r="B17" s="23" t="s">
        <v>44</v>
      </c>
      <c r="C17" s="49">
        <f>AVERAGE('17.10 GALIRAYA-KAYUNGA'!C17,'18.10 GALIRAYA-KAYUNGA'!C17,'19.10 GALIRAYA-KAYUNGA-24h'!C17,'20.10 GALIRAYA-KAYUNGA'!C17,'21.10 GALIRAYA-KAYUNGA-24h'!C17,'22.10 GALIRAYA-KAYUNGA'!C17,'23.10 GALIRAYA-KAYUNGA'!C17)</f>
        <v>0.7142857142857143</v>
      </c>
      <c r="D17" s="49">
        <f>AVERAGE('17.10 GALIRAYA-KAYUNGA'!D17,'18.10 GALIRAYA-KAYUNGA'!D17,'19.10 GALIRAYA-KAYUNGA-24h'!D17,'20.10 GALIRAYA-KAYUNGA'!D17,'21.10 GALIRAYA-KAYUNGA-24h'!D17,'22.10 GALIRAYA-KAYUNGA'!D17,'23.10 GALIRAYA-KAYUNGA'!D17)</f>
        <v>0</v>
      </c>
      <c r="E17" s="49">
        <f>AVERAGE('17.10 GALIRAYA-KAYUNGA'!E17,'18.10 GALIRAYA-KAYUNGA'!E17,'19.10 GALIRAYA-KAYUNGA-24h'!E17,'20.10 GALIRAYA-KAYUNGA'!E17,'21.10 GALIRAYA-KAYUNGA-24h'!E17,'22.10 GALIRAYA-KAYUNGA'!E17,'23.10 GALIRAYA-KAYUNGA'!E17)</f>
        <v>0.14285714285714285</v>
      </c>
      <c r="F17" s="49">
        <f>AVERAGE('17.10 GALIRAYA-KAYUNGA'!F17,'18.10 GALIRAYA-KAYUNGA'!F17,'19.10 GALIRAYA-KAYUNGA-24h'!F17,'20.10 GALIRAYA-KAYUNGA'!F17,'21.10 GALIRAYA-KAYUNGA-24h'!F17,'22.10 GALIRAYA-KAYUNGA'!F17,'23.10 GALIRAYA-KAYUNGA'!F17)</f>
        <v>1.1428571428571428</v>
      </c>
      <c r="G17" s="49">
        <f>AVERAGE('17.10 GALIRAYA-KAYUNGA'!G17,'18.10 GALIRAYA-KAYUNGA'!G17,'19.10 GALIRAYA-KAYUNGA-24h'!G17,'20.10 GALIRAYA-KAYUNGA'!G17,'21.10 GALIRAYA-KAYUNGA-24h'!G17,'22.10 GALIRAYA-KAYUNGA'!G17,'23.10 GALIRAYA-KAYUNGA'!G17)</f>
        <v>0</v>
      </c>
      <c r="H17" s="49">
        <f>AVERAGE('17.10 GALIRAYA-KAYUNGA'!H17,'18.10 GALIRAYA-KAYUNGA'!H17,'19.10 GALIRAYA-KAYUNGA-24h'!H17,'20.10 GALIRAYA-KAYUNGA'!H17,'21.10 GALIRAYA-KAYUNGA-24h'!H17,'22.10 GALIRAYA-KAYUNGA'!H17,'23.10 GALIRAYA-KAYUNGA'!H17)</f>
        <v>0</v>
      </c>
      <c r="I17" s="49">
        <f>AVERAGE('17.10 GALIRAYA-KAYUNGA'!I17,'18.10 GALIRAYA-KAYUNGA'!I17,'19.10 GALIRAYA-KAYUNGA-24h'!I17,'20.10 GALIRAYA-KAYUNGA'!I17,'21.10 GALIRAYA-KAYUNGA-24h'!I17,'22.10 GALIRAYA-KAYUNGA'!I17,'23.10 GALIRAYA-KAYUNGA'!I17)</f>
        <v>1.1428571428571428</v>
      </c>
      <c r="J17" s="49">
        <f>AVERAGE('17.10 GALIRAYA-KAYUNGA'!J17,'18.10 GALIRAYA-KAYUNGA'!J17,'19.10 GALIRAYA-KAYUNGA-24h'!J17,'20.10 GALIRAYA-KAYUNGA'!J17,'21.10 GALIRAYA-KAYUNGA-24h'!J17,'22.10 GALIRAYA-KAYUNGA'!J17,'23.10 GALIRAYA-KAYUNGA'!J17)</f>
        <v>0.14285714285714285</v>
      </c>
      <c r="K17" s="49">
        <f>AVERAGE('17.10 GALIRAYA-KAYUNGA'!K17,'18.10 GALIRAYA-KAYUNGA'!K17,'19.10 GALIRAYA-KAYUNGA-24h'!K17,'20.10 GALIRAYA-KAYUNGA'!K17,'21.10 GALIRAYA-KAYUNGA-24h'!K17,'22.10 GALIRAYA-KAYUNGA'!K17,'23.10 GALIRAYA-KAYUNGA'!K17)</f>
        <v>0</v>
      </c>
      <c r="L17" s="49">
        <f>AVERAGE('17.10 GALIRAYA-KAYUNGA'!L17,'18.10 GALIRAYA-KAYUNGA'!L17,'19.10 GALIRAYA-KAYUNGA-24h'!L17,'20.10 GALIRAYA-KAYUNGA'!L17,'21.10 GALIRAYA-KAYUNGA-24h'!L17,'22.10 GALIRAYA-KAYUNGA'!L17,'23.10 GALIRAYA-KAYUNGA'!L17)</f>
        <v>0</v>
      </c>
      <c r="M17" s="49">
        <f>AVERAGE('17.10 GALIRAYA-KAYUNGA'!M17,'18.10 GALIRAYA-KAYUNGA'!M17,'19.10 GALIRAYA-KAYUNGA-24h'!M17,'20.10 GALIRAYA-KAYUNGA'!M17,'21.10 GALIRAYA-KAYUNGA-24h'!M17,'22.10 GALIRAYA-KAYUNGA'!M17,'23.10 GALIRAYA-KAYUNGA'!M17)</f>
        <v>11.142857142857142</v>
      </c>
      <c r="N17" s="49">
        <f>AVERAGE('17.10 GALIRAYA-KAYUNGA'!N17,'18.10 GALIRAYA-KAYUNGA'!N17,'19.10 GALIRAYA-KAYUNGA-24h'!N17,'20.10 GALIRAYA-KAYUNGA'!N17,'21.10 GALIRAYA-KAYUNGA-24h'!N17,'22.10 GALIRAYA-KAYUNGA'!N17,'23.10 GALIRAYA-KAYUNGA'!N17)</f>
        <v>0</v>
      </c>
      <c r="O17" s="15">
        <f t="shared" si="0"/>
        <v>3.2857142857142856</v>
      </c>
      <c r="P17" s="15">
        <f t="shared" si="1"/>
        <v>14.428571428571427</v>
      </c>
      <c r="R17" s="1" t="s">
        <v>13</v>
      </c>
      <c r="S17" s="17">
        <f t="shared" ref="S17:AF17" si="9">SUM(C38:C41)</f>
        <v>4</v>
      </c>
      <c r="T17" s="17">
        <f t="shared" si="9"/>
        <v>0.8571428571428571</v>
      </c>
      <c r="U17" s="17">
        <f t="shared" si="9"/>
        <v>1.5714285714285712</v>
      </c>
      <c r="V17" s="17">
        <f t="shared" si="9"/>
        <v>5.2857142857142865</v>
      </c>
      <c r="W17" s="17">
        <f t="shared" si="9"/>
        <v>0.2857142857142857</v>
      </c>
      <c r="X17" s="17">
        <f t="shared" si="9"/>
        <v>0.2857142857142857</v>
      </c>
      <c r="Y17" s="17">
        <f t="shared" si="9"/>
        <v>2.714285714285714</v>
      </c>
      <c r="Z17" s="17">
        <f t="shared" si="9"/>
        <v>0.85714285714285698</v>
      </c>
      <c r="AA17" s="17">
        <f t="shared" si="9"/>
        <v>0.42857142857142855</v>
      </c>
      <c r="AB17" s="17">
        <f t="shared" si="9"/>
        <v>0.2857142857142857</v>
      </c>
      <c r="AC17" s="17">
        <f t="shared" si="9"/>
        <v>40.714285714285715</v>
      </c>
      <c r="AD17" s="17">
        <f t="shared" si="9"/>
        <v>0.14285714285714285</v>
      </c>
      <c r="AE17" s="31">
        <f t="shared" si="9"/>
        <v>16.714285714285712</v>
      </c>
      <c r="AF17" s="31">
        <f t="shared" si="9"/>
        <v>57.428571428571431</v>
      </c>
    </row>
    <row r="18" spans="2:32" ht="23.1" customHeight="1" x14ac:dyDescent="0.25">
      <c r="B18" s="23" t="s">
        <v>45</v>
      </c>
      <c r="C18" s="49">
        <f>AVERAGE('17.10 GALIRAYA-KAYUNGA'!C18,'18.10 GALIRAYA-KAYUNGA'!C18,'19.10 GALIRAYA-KAYUNGA-24h'!C18,'20.10 GALIRAYA-KAYUNGA'!C18,'21.10 GALIRAYA-KAYUNGA-24h'!C18,'22.10 GALIRAYA-KAYUNGA'!C18,'23.10 GALIRAYA-KAYUNGA'!C18)</f>
        <v>0.42857142857142855</v>
      </c>
      <c r="D18" s="49">
        <f>AVERAGE('17.10 GALIRAYA-KAYUNGA'!D18,'18.10 GALIRAYA-KAYUNGA'!D18,'19.10 GALIRAYA-KAYUNGA-24h'!D18,'20.10 GALIRAYA-KAYUNGA'!D18,'21.10 GALIRAYA-KAYUNGA-24h'!D18,'22.10 GALIRAYA-KAYUNGA'!D18,'23.10 GALIRAYA-KAYUNGA'!D18)</f>
        <v>0.14285714285714285</v>
      </c>
      <c r="E18" s="49">
        <f>AVERAGE('17.10 GALIRAYA-KAYUNGA'!E18,'18.10 GALIRAYA-KAYUNGA'!E18,'19.10 GALIRAYA-KAYUNGA-24h'!E18,'20.10 GALIRAYA-KAYUNGA'!E18,'21.10 GALIRAYA-KAYUNGA-24h'!E18,'22.10 GALIRAYA-KAYUNGA'!E18,'23.10 GALIRAYA-KAYUNGA'!E18)</f>
        <v>0.5714285714285714</v>
      </c>
      <c r="F18" s="49">
        <f>AVERAGE('17.10 GALIRAYA-KAYUNGA'!F18,'18.10 GALIRAYA-KAYUNGA'!F18,'19.10 GALIRAYA-KAYUNGA-24h'!F18,'20.10 GALIRAYA-KAYUNGA'!F18,'21.10 GALIRAYA-KAYUNGA-24h'!F18,'22.10 GALIRAYA-KAYUNGA'!F18,'23.10 GALIRAYA-KAYUNGA'!F18)</f>
        <v>1.7142857142857142</v>
      </c>
      <c r="G18" s="49">
        <f>AVERAGE('17.10 GALIRAYA-KAYUNGA'!G18,'18.10 GALIRAYA-KAYUNGA'!G18,'19.10 GALIRAYA-KAYUNGA-24h'!G18,'20.10 GALIRAYA-KAYUNGA'!G18,'21.10 GALIRAYA-KAYUNGA-24h'!G18,'22.10 GALIRAYA-KAYUNGA'!G18,'23.10 GALIRAYA-KAYUNGA'!G18)</f>
        <v>0</v>
      </c>
      <c r="H18" s="49">
        <f>AVERAGE('17.10 GALIRAYA-KAYUNGA'!H18,'18.10 GALIRAYA-KAYUNGA'!H18,'19.10 GALIRAYA-KAYUNGA-24h'!H18,'20.10 GALIRAYA-KAYUNGA'!H18,'21.10 GALIRAYA-KAYUNGA-24h'!H18,'22.10 GALIRAYA-KAYUNGA'!H18,'23.10 GALIRAYA-KAYUNGA'!H18)</f>
        <v>0.42857142857142855</v>
      </c>
      <c r="I18" s="49">
        <f>AVERAGE('17.10 GALIRAYA-KAYUNGA'!I18,'18.10 GALIRAYA-KAYUNGA'!I18,'19.10 GALIRAYA-KAYUNGA-24h'!I18,'20.10 GALIRAYA-KAYUNGA'!I18,'21.10 GALIRAYA-KAYUNGA-24h'!I18,'22.10 GALIRAYA-KAYUNGA'!I18,'23.10 GALIRAYA-KAYUNGA'!I18)</f>
        <v>0.5714285714285714</v>
      </c>
      <c r="J18" s="49">
        <f>AVERAGE('17.10 GALIRAYA-KAYUNGA'!J18,'18.10 GALIRAYA-KAYUNGA'!J18,'19.10 GALIRAYA-KAYUNGA-24h'!J18,'20.10 GALIRAYA-KAYUNGA'!J18,'21.10 GALIRAYA-KAYUNGA-24h'!J18,'22.10 GALIRAYA-KAYUNGA'!J18,'23.10 GALIRAYA-KAYUNGA'!J18)</f>
        <v>0.2857142857142857</v>
      </c>
      <c r="K18" s="49">
        <f>AVERAGE('17.10 GALIRAYA-KAYUNGA'!K18,'18.10 GALIRAYA-KAYUNGA'!K18,'19.10 GALIRAYA-KAYUNGA-24h'!K18,'20.10 GALIRAYA-KAYUNGA'!K18,'21.10 GALIRAYA-KAYUNGA-24h'!K18,'22.10 GALIRAYA-KAYUNGA'!K18,'23.10 GALIRAYA-KAYUNGA'!K18)</f>
        <v>0</v>
      </c>
      <c r="L18" s="49">
        <f>AVERAGE('17.10 GALIRAYA-KAYUNGA'!L18,'18.10 GALIRAYA-KAYUNGA'!L18,'19.10 GALIRAYA-KAYUNGA-24h'!L18,'20.10 GALIRAYA-KAYUNGA'!L18,'21.10 GALIRAYA-KAYUNGA-24h'!L18,'22.10 GALIRAYA-KAYUNGA'!L18,'23.10 GALIRAYA-KAYUNGA'!L18)</f>
        <v>0</v>
      </c>
      <c r="M18" s="49">
        <f>AVERAGE('17.10 GALIRAYA-KAYUNGA'!M18,'18.10 GALIRAYA-KAYUNGA'!M18,'19.10 GALIRAYA-KAYUNGA-24h'!M18,'20.10 GALIRAYA-KAYUNGA'!M18,'21.10 GALIRAYA-KAYUNGA-24h'!M18,'22.10 GALIRAYA-KAYUNGA'!M18,'23.10 GALIRAYA-KAYUNGA'!M18)</f>
        <v>9</v>
      </c>
      <c r="N18" s="49">
        <f>AVERAGE('17.10 GALIRAYA-KAYUNGA'!N18,'18.10 GALIRAYA-KAYUNGA'!N18,'19.10 GALIRAYA-KAYUNGA-24h'!N18,'20.10 GALIRAYA-KAYUNGA'!N18,'21.10 GALIRAYA-KAYUNGA-24h'!N18,'22.10 GALIRAYA-KAYUNGA'!N18,'23.10 GALIRAYA-KAYUNGA'!N18)</f>
        <v>0</v>
      </c>
      <c r="O18" s="15">
        <f t="shared" si="0"/>
        <v>4.1428571428571423</v>
      </c>
      <c r="P18" s="15">
        <f t="shared" si="1"/>
        <v>13.142857142857142</v>
      </c>
      <c r="R18" s="1" t="s">
        <v>14</v>
      </c>
      <c r="S18" s="17">
        <f t="shared" ref="S18:AF18" si="10">SUM(C42:C45)</f>
        <v>2.714285714285714</v>
      </c>
      <c r="T18" s="17">
        <f t="shared" si="10"/>
        <v>0.71428571428571419</v>
      </c>
      <c r="U18" s="17">
        <f t="shared" si="10"/>
        <v>1.4285714285714284</v>
      </c>
      <c r="V18" s="17">
        <f t="shared" si="10"/>
        <v>5.1428571428571432</v>
      </c>
      <c r="W18" s="17">
        <f t="shared" si="10"/>
        <v>0.14285714285714285</v>
      </c>
      <c r="X18" s="17">
        <f t="shared" si="10"/>
        <v>0.42857142857142855</v>
      </c>
      <c r="Y18" s="17">
        <f t="shared" si="10"/>
        <v>3.5714285714285712</v>
      </c>
      <c r="Z18" s="17">
        <f t="shared" si="10"/>
        <v>2.1428571428571428</v>
      </c>
      <c r="AA18" s="17">
        <f t="shared" si="10"/>
        <v>0.5714285714285714</v>
      </c>
      <c r="AB18" s="17">
        <f t="shared" si="10"/>
        <v>1</v>
      </c>
      <c r="AC18" s="17">
        <f t="shared" si="10"/>
        <v>41.571428571428569</v>
      </c>
      <c r="AD18" s="17">
        <f t="shared" si="10"/>
        <v>0</v>
      </c>
      <c r="AE18" s="31">
        <f t="shared" si="10"/>
        <v>17.857142857142858</v>
      </c>
      <c r="AF18" s="31">
        <f t="shared" si="10"/>
        <v>59.428571428571431</v>
      </c>
    </row>
    <row r="19" spans="2:32" ht="23.1" customHeight="1" x14ac:dyDescent="0.25">
      <c r="B19" s="23" t="s">
        <v>46</v>
      </c>
      <c r="C19" s="49">
        <f>AVERAGE('17.10 GALIRAYA-KAYUNGA'!C19,'18.10 GALIRAYA-KAYUNGA'!C19,'19.10 GALIRAYA-KAYUNGA-24h'!C19,'20.10 GALIRAYA-KAYUNGA'!C19,'21.10 GALIRAYA-KAYUNGA-24h'!C19,'22.10 GALIRAYA-KAYUNGA'!C19,'23.10 GALIRAYA-KAYUNGA'!C19)</f>
        <v>0.5714285714285714</v>
      </c>
      <c r="D19" s="49">
        <f>AVERAGE('17.10 GALIRAYA-KAYUNGA'!D19,'18.10 GALIRAYA-KAYUNGA'!D19,'19.10 GALIRAYA-KAYUNGA-24h'!D19,'20.10 GALIRAYA-KAYUNGA'!D19,'21.10 GALIRAYA-KAYUNGA-24h'!D19,'22.10 GALIRAYA-KAYUNGA'!D19,'23.10 GALIRAYA-KAYUNGA'!D19)</f>
        <v>0.14285714285714285</v>
      </c>
      <c r="E19" s="49">
        <f>AVERAGE('17.10 GALIRAYA-KAYUNGA'!E19,'18.10 GALIRAYA-KAYUNGA'!E19,'19.10 GALIRAYA-KAYUNGA-24h'!E19,'20.10 GALIRAYA-KAYUNGA'!E19,'21.10 GALIRAYA-KAYUNGA-24h'!E19,'22.10 GALIRAYA-KAYUNGA'!E19,'23.10 GALIRAYA-KAYUNGA'!E19)</f>
        <v>0.42857142857142855</v>
      </c>
      <c r="F19" s="49">
        <f>AVERAGE('17.10 GALIRAYA-KAYUNGA'!F19,'18.10 GALIRAYA-KAYUNGA'!F19,'19.10 GALIRAYA-KAYUNGA-24h'!F19,'20.10 GALIRAYA-KAYUNGA'!F19,'21.10 GALIRAYA-KAYUNGA-24h'!F19,'22.10 GALIRAYA-KAYUNGA'!F19,'23.10 GALIRAYA-KAYUNGA'!F19)</f>
        <v>1.1428571428571428</v>
      </c>
      <c r="G19" s="49">
        <f>AVERAGE('17.10 GALIRAYA-KAYUNGA'!G19,'18.10 GALIRAYA-KAYUNGA'!G19,'19.10 GALIRAYA-KAYUNGA-24h'!G19,'20.10 GALIRAYA-KAYUNGA'!G19,'21.10 GALIRAYA-KAYUNGA-24h'!G19,'22.10 GALIRAYA-KAYUNGA'!G19,'23.10 GALIRAYA-KAYUNGA'!G19)</f>
        <v>0.14285714285714285</v>
      </c>
      <c r="H19" s="49">
        <f>AVERAGE('17.10 GALIRAYA-KAYUNGA'!H19,'18.10 GALIRAYA-KAYUNGA'!H19,'19.10 GALIRAYA-KAYUNGA-24h'!H19,'20.10 GALIRAYA-KAYUNGA'!H19,'21.10 GALIRAYA-KAYUNGA-24h'!H19,'22.10 GALIRAYA-KAYUNGA'!H19,'23.10 GALIRAYA-KAYUNGA'!H19)</f>
        <v>0.14285714285714285</v>
      </c>
      <c r="I19" s="49">
        <f>AVERAGE('17.10 GALIRAYA-KAYUNGA'!I19,'18.10 GALIRAYA-KAYUNGA'!I19,'19.10 GALIRAYA-KAYUNGA-24h'!I19,'20.10 GALIRAYA-KAYUNGA'!I19,'21.10 GALIRAYA-KAYUNGA-24h'!I19,'22.10 GALIRAYA-KAYUNGA'!I19,'23.10 GALIRAYA-KAYUNGA'!I19)</f>
        <v>0.14285714285714285</v>
      </c>
      <c r="J19" s="49">
        <f>AVERAGE('17.10 GALIRAYA-KAYUNGA'!J19,'18.10 GALIRAYA-KAYUNGA'!J19,'19.10 GALIRAYA-KAYUNGA-24h'!J19,'20.10 GALIRAYA-KAYUNGA'!J19,'21.10 GALIRAYA-KAYUNGA-24h'!J19,'22.10 GALIRAYA-KAYUNGA'!J19,'23.10 GALIRAYA-KAYUNGA'!J19)</f>
        <v>0.14285714285714285</v>
      </c>
      <c r="K19" s="49">
        <f>AVERAGE('17.10 GALIRAYA-KAYUNGA'!K19,'18.10 GALIRAYA-KAYUNGA'!K19,'19.10 GALIRAYA-KAYUNGA-24h'!K19,'20.10 GALIRAYA-KAYUNGA'!K19,'21.10 GALIRAYA-KAYUNGA-24h'!K19,'22.10 GALIRAYA-KAYUNGA'!K19,'23.10 GALIRAYA-KAYUNGA'!K19)</f>
        <v>0</v>
      </c>
      <c r="L19" s="49">
        <f>AVERAGE('17.10 GALIRAYA-KAYUNGA'!L19,'18.10 GALIRAYA-KAYUNGA'!L19,'19.10 GALIRAYA-KAYUNGA-24h'!L19,'20.10 GALIRAYA-KAYUNGA'!L19,'21.10 GALIRAYA-KAYUNGA-24h'!L19,'22.10 GALIRAYA-KAYUNGA'!L19,'23.10 GALIRAYA-KAYUNGA'!L19)</f>
        <v>0</v>
      </c>
      <c r="M19" s="49">
        <f>AVERAGE('17.10 GALIRAYA-KAYUNGA'!M19,'18.10 GALIRAYA-KAYUNGA'!M19,'19.10 GALIRAYA-KAYUNGA-24h'!M19,'20.10 GALIRAYA-KAYUNGA'!M19,'21.10 GALIRAYA-KAYUNGA-24h'!M19,'22.10 GALIRAYA-KAYUNGA'!M19,'23.10 GALIRAYA-KAYUNGA'!M19)</f>
        <v>9.7142857142857135</v>
      </c>
      <c r="N19" s="49">
        <f>AVERAGE('17.10 GALIRAYA-KAYUNGA'!N19,'18.10 GALIRAYA-KAYUNGA'!N19,'19.10 GALIRAYA-KAYUNGA-24h'!N19,'20.10 GALIRAYA-KAYUNGA'!N19,'21.10 GALIRAYA-KAYUNGA-24h'!N19,'22.10 GALIRAYA-KAYUNGA'!N19,'23.10 GALIRAYA-KAYUNGA'!N19)</f>
        <v>0</v>
      </c>
      <c r="O19" s="15">
        <f t="shared" si="0"/>
        <v>2.8571428571428568</v>
      </c>
      <c r="P19" s="15">
        <f t="shared" si="1"/>
        <v>12.571428571428569</v>
      </c>
      <c r="R19" s="1" t="s">
        <v>15</v>
      </c>
      <c r="S19" s="17">
        <f t="shared" ref="S19:AF19" si="11">SUM(C46:C49)</f>
        <v>4.5714285714285712</v>
      </c>
      <c r="T19" s="17">
        <f t="shared" si="11"/>
        <v>1.1428571428571428</v>
      </c>
      <c r="U19" s="17">
        <f t="shared" si="11"/>
        <v>1</v>
      </c>
      <c r="V19" s="17">
        <f t="shared" si="11"/>
        <v>6.8571428571428568</v>
      </c>
      <c r="W19" s="17">
        <f t="shared" si="11"/>
        <v>0.42857142857142855</v>
      </c>
      <c r="X19" s="17">
        <f t="shared" si="11"/>
        <v>0.2857142857142857</v>
      </c>
      <c r="Y19" s="17">
        <f t="shared" si="11"/>
        <v>3.4285714285714284</v>
      </c>
      <c r="Z19" s="17">
        <f t="shared" si="11"/>
        <v>1.9999999999999998</v>
      </c>
      <c r="AA19" s="17">
        <f t="shared" si="11"/>
        <v>0.71428571428571419</v>
      </c>
      <c r="AB19" s="17">
        <f t="shared" si="11"/>
        <v>0.8571428571428571</v>
      </c>
      <c r="AC19" s="17">
        <f t="shared" si="11"/>
        <v>41.857142857142861</v>
      </c>
      <c r="AD19" s="17">
        <f t="shared" si="11"/>
        <v>0.14285714285714285</v>
      </c>
      <c r="AE19" s="31">
        <f t="shared" si="11"/>
        <v>21.428571428571427</v>
      </c>
      <c r="AF19" s="31">
        <f t="shared" si="11"/>
        <v>63.285714285714285</v>
      </c>
    </row>
    <row r="20" spans="2:32" ht="23.1" customHeight="1" x14ac:dyDescent="0.25">
      <c r="B20" s="23" t="s">
        <v>47</v>
      </c>
      <c r="C20" s="49">
        <f>AVERAGE('17.10 GALIRAYA-KAYUNGA'!C20,'18.10 GALIRAYA-KAYUNGA'!C20,'19.10 GALIRAYA-KAYUNGA-24h'!C20,'20.10 GALIRAYA-KAYUNGA'!C20,'21.10 GALIRAYA-KAYUNGA-24h'!C20,'22.10 GALIRAYA-KAYUNGA'!C20,'23.10 GALIRAYA-KAYUNGA'!C20)</f>
        <v>0.42857142857142855</v>
      </c>
      <c r="D20" s="49">
        <f>AVERAGE('17.10 GALIRAYA-KAYUNGA'!D20,'18.10 GALIRAYA-KAYUNGA'!D20,'19.10 GALIRAYA-KAYUNGA-24h'!D20,'20.10 GALIRAYA-KAYUNGA'!D20,'21.10 GALIRAYA-KAYUNGA-24h'!D20,'22.10 GALIRAYA-KAYUNGA'!D20,'23.10 GALIRAYA-KAYUNGA'!D20)</f>
        <v>0</v>
      </c>
      <c r="E20" s="49">
        <f>AVERAGE('17.10 GALIRAYA-KAYUNGA'!E20,'18.10 GALIRAYA-KAYUNGA'!E20,'19.10 GALIRAYA-KAYUNGA-24h'!E20,'20.10 GALIRAYA-KAYUNGA'!E20,'21.10 GALIRAYA-KAYUNGA-24h'!E20,'22.10 GALIRAYA-KAYUNGA'!E20,'23.10 GALIRAYA-KAYUNGA'!E20)</f>
        <v>0.14285714285714285</v>
      </c>
      <c r="F20" s="49">
        <f>AVERAGE('17.10 GALIRAYA-KAYUNGA'!F20,'18.10 GALIRAYA-KAYUNGA'!F20,'19.10 GALIRAYA-KAYUNGA-24h'!F20,'20.10 GALIRAYA-KAYUNGA'!F20,'21.10 GALIRAYA-KAYUNGA-24h'!F20,'22.10 GALIRAYA-KAYUNGA'!F20,'23.10 GALIRAYA-KAYUNGA'!F20)</f>
        <v>0.7142857142857143</v>
      </c>
      <c r="G20" s="49">
        <f>AVERAGE('17.10 GALIRAYA-KAYUNGA'!G20,'18.10 GALIRAYA-KAYUNGA'!G20,'19.10 GALIRAYA-KAYUNGA-24h'!G20,'20.10 GALIRAYA-KAYUNGA'!G20,'21.10 GALIRAYA-KAYUNGA-24h'!G20,'22.10 GALIRAYA-KAYUNGA'!G20,'23.10 GALIRAYA-KAYUNGA'!G20)</f>
        <v>0</v>
      </c>
      <c r="H20" s="49">
        <f>AVERAGE('17.10 GALIRAYA-KAYUNGA'!H20,'18.10 GALIRAYA-KAYUNGA'!H20,'19.10 GALIRAYA-KAYUNGA-24h'!H20,'20.10 GALIRAYA-KAYUNGA'!H20,'21.10 GALIRAYA-KAYUNGA-24h'!H20,'22.10 GALIRAYA-KAYUNGA'!H20,'23.10 GALIRAYA-KAYUNGA'!H20)</f>
        <v>0</v>
      </c>
      <c r="I20" s="49">
        <f>AVERAGE('17.10 GALIRAYA-KAYUNGA'!I20,'18.10 GALIRAYA-KAYUNGA'!I20,'19.10 GALIRAYA-KAYUNGA-24h'!I20,'20.10 GALIRAYA-KAYUNGA'!I20,'21.10 GALIRAYA-KAYUNGA-24h'!I20,'22.10 GALIRAYA-KAYUNGA'!I20,'23.10 GALIRAYA-KAYUNGA'!I20)</f>
        <v>0.42857142857142855</v>
      </c>
      <c r="J20" s="49">
        <f>AVERAGE('17.10 GALIRAYA-KAYUNGA'!J20,'18.10 GALIRAYA-KAYUNGA'!J20,'19.10 GALIRAYA-KAYUNGA-24h'!J20,'20.10 GALIRAYA-KAYUNGA'!J20,'21.10 GALIRAYA-KAYUNGA-24h'!J20,'22.10 GALIRAYA-KAYUNGA'!J20,'23.10 GALIRAYA-KAYUNGA'!J20)</f>
        <v>0</v>
      </c>
      <c r="K20" s="49">
        <f>AVERAGE('17.10 GALIRAYA-KAYUNGA'!K20,'18.10 GALIRAYA-KAYUNGA'!K20,'19.10 GALIRAYA-KAYUNGA-24h'!K20,'20.10 GALIRAYA-KAYUNGA'!K20,'21.10 GALIRAYA-KAYUNGA-24h'!K20,'22.10 GALIRAYA-KAYUNGA'!K20,'23.10 GALIRAYA-KAYUNGA'!K20)</f>
        <v>0.14285714285714285</v>
      </c>
      <c r="L20" s="49">
        <f>AVERAGE('17.10 GALIRAYA-KAYUNGA'!L20,'18.10 GALIRAYA-KAYUNGA'!L20,'19.10 GALIRAYA-KAYUNGA-24h'!L20,'20.10 GALIRAYA-KAYUNGA'!L20,'21.10 GALIRAYA-KAYUNGA-24h'!L20,'22.10 GALIRAYA-KAYUNGA'!L20,'23.10 GALIRAYA-KAYUNGA'!L20)</f>
        <v>0</v>
      </c>
      <c r="M20" s="49">
        <f>AVERAGE('17.10 GALIRAYA-KAYUNGA'!M20,'18.10 GALIRAYA-KAYUNGA'!M20,'19.10 GALIRAYA-KAYUNGA-24h'!M20,'20.10 GALIRAYA-KAYUNGA'!M20,'21.10 GALIRAYA-KAYUNGA-24h'!M20,'22.10 GALIRAYA-KAYUNGA'!M20,'23.10 GALIRAYA-KAYUNGA'!M20)</f>
        <v>8.4285714285714288</v>
      </c>
      <c r="N20" s="49">
        <f>AVERAGE('17.10 GALIRAYA-KAYUNGA'!N20,'18.10 GALIRAYA-KAYUNGA'!N20,'19.10 GALIRAYA-KAYUNGA-24h'!N20,'20.10 GALIRAYA-KAYUNGA'!N20,'21.10 GALIRAYA-KAYUNGA-24h'!N20,'22.10 GALIRAYA-KAYUNGA'!N20,'23.10 GALIRAYA-KAYUNGA'!N20)</f>
        <v>0</v>
      </c>
      <c r="O20" s="15">
        <f t="shared" si="0"/>
        <v>1.857142857142857</v>
      </c>
      <c r="P20" s="15">
        <f t="shared" si="1"/>
        <v>10.285714285714286</v>
      </c>
      <c r="R20" s="1" t="s">
        <v>16</v>
      </c>
      <c r="S20" s="17">
        <f t="shared" ref="S20:AF20" si="12">SUM(C50:C53)</f>
        <v>3.7142857142857144</v>
      </c>
      <c r="T20" s="17">
        <f t="shared" si="12"/>
        <v>2.714285714285714</v>
      </c>
      <c r="U20" s="17">
        <f t="shared" si="12"/>
        <v>2.5714285714285712</v>
      </c>
      <c r="V20" s="17">
        <f t="shared" si="12"/>
        <v>6</v>
      </c>
      <c r="W20" s="17">
        <f t="shared" si="12"/>
        <v>0.42857142857142855</v>
      </c>
      <c r="X20" s="17">
        <f t="shared" si="12"/>
        <v>0.14285714285714285</v>
      </c>
      <c r="Y20" s="17">
        <f t="shared" si="12"/>
        <v>2.7142857142857144</v>
      </c>
      <c r="Z20" s="17">
        <f t="shared" si="12"/>
        <v>1.857142857142857</v>
      </c>
      <c r="AA20" s="17">
        <f t="shared" si="12"/>
        <v>2.4285714285714284</v>
      </c>
      <c r="AB20" s="17">
        <f t="shared" si="12"/>
        <v>0.5714285714285714</v>
      </c>
      <c r="AC20" s="17">
        <f t="shared" si="12"/>
        <v>31.857142857142858</v>
      </c>
      <c r="AD20" s="17">
        <f t="shared" si="12"/>
        <v>0</v>
      </c>
      <c r="AE20" s="31">
        <f t="shared" si="12"/>
        <v>23.142857142857142</v>
      </c>
      <c r="AF20" s="31">
        <f t="shared" si="12"/>
        <v>55</v>
      </c>
    </row>
    <row r="21" spans="2:32" ht="23.1" customHeight="1" x14ac:dyDescent="0.25">
      <c r="B21" s="23" t="s">
        <v>48</v>
      </c>
      <c r="C21" s="49">
        <f>AVERAGE('17.10 GALIRAYA-KAYUNGA'!C21,'18.10 GALIRAYA-KAYUNGA'!C21,'19.10 GALIRAYA-KAYUNGA-24h'!C21,'20.10 GALIRAYA-KAYUNGA'!C21,'21.10 GALIRAYA-KAYUNGA-24h'!C21,'22.10 GALIRAYA-KAYUNGA'!C21,'23.10 GALIRAYA-KAYUNGA'!C21)</f>
        <v>0.8571428571428571</v>
      </c>
      <c r="D21" s="49">
        <f>AVERAGE('17.10 GALIRAYA-KAYUNGA'!D21,'18.10 GALIRAYA-KAYUNGA'!D21,'19.10 GALIRAYA-KAYUNGA-24h'!D21,'20.10 GALIRAYA-KAYUNGA'!D21,'21.10 GALIRAYA-KAYUNGA-24h'!D21,'22.10 GALIRAYA-KAYUNGA'!D21,'23.10 GALIRAYA-KAYUNGA'!D21)</f>
        <v>0.14285714285714285</v>
      </c>
      <c r="E21" s="49">
        <f>AVERAGE('17.10 GALIRAYA-KAYUNGA'!E21,'18.10 GALIRAYA-KAYUNGA'!E21,'19.10 GALIRAYA-KAYUNGA-24h'!E21,'20.10 GALIRAYA-KAYUNGA'!E21,'21.10 GALIRAYA-KAYUNGA-24h'!E21,'22.10 GALIRAYA-KAYUNGA'!E21,'23.10 GALIRAYA-KAYUNGA'!E21)</f>
        <v>0.2857142857142857</v>
      </c>
      <c r="F21" s="49">
        <f>AVERAGE('17.10 GALIRAYA-KAYUNGA'!F21,'18.10 GALIRAYA-KAYUNGA'!F21,'19.10 GALIRAYA-KAYUNGA-24h'!F21,'20.10 GALIRAYA-KAYUNGA'!F21,'21.10 GALIRAYA-KAYUNGA-24h'!F21,'22.10 GALIRAYA-KAYUNGA'!F21,'23.10 GALIRAYA-KAYUNGA'!F21)</f>
        <v>1</v>
      </c>
      <c r="G21" s="49">
        <f>AVERAGE('17.10 GALIRAYA-KAYUNGA'!G21,'18.10 GALIRAYA-KAYUNGA'!G21,'19.10 GALIRAYA-KAYUNGA-24h'!G21,'20.10 GALIRAYA-KAYUNGA'!G21,'21.10 GALIRAYA-KAYUNGA-24h'!G21,'22.10 GALIRAYA-KAYUNGA'!G21,'23.10 GALIRAYA-KAYUNGA'!G21)</f>
        <v>0</v>
      </c>
      <c r="H21" s="49">
        <f>AVERAGE('17.10 GALIRAYA-KAYUNGA'!H21,'18.10 GALIRAYA-KAYUNGA'!H21,'19.10 GALIRAYA-KAYUNGA-24h'!H21,'20.10 GALIRAYA-KAYUNGA'!H21,'21.10 GALIRAYA-KAYUNGA-24h'!H21,'22.10 GALIRAYA-KAYUNGA'!H21,'23.10 GALIRAYA-KAYUNGA'!H21)</f>
        <v>0.14285714285714285</v>
      </c>
      <c r="I21" s="49">
        <f>AVERAGE('17.10 GALIRAYA-KAYUNGA'!I21,'18.10 GALIRAYA-KAYUNGA'!I21,'19.10 GALIRAYA-KAYUNGA-24h'!I21,'20.10 GALIRAYA-KAYUNGA'!I21,'21.10 GALIRAYA-KAYUNGA-24h'!I21,'22.10 GALIRAYA-KAYUNGA'!I21,'23.10 GALIRAYA-KAYUNGA'!I21)</f>
        <v>0.42857142857142855</v>
      </c>
      <c r="J21" s="49">
        <f>AVERAGE('17.10 GALIRAYA-KAYUNGA'!J21,'18.10 GALIRAYA-KAYUNGA'!J21,'19.10 GALIRAYA-KAYUNGA-24h'!J21,'20.10 GALIRAYA-KAYUNGA'!J21,'21.10 GALIRAYA-KAYUNGA-24h'!J21,'22.10 GALIRAYA-KAYUNGA'!J21,'23.10 GALIRAYA-KAYUNGA'!J21)</f>
        <v>0</v>
      </c>
      <c r="K21" s="49">
        <f>AVERAGE('17.10 GALIRAYA-KAYUNGA'!K21,'18.10 GALIRAYA-KAYUNGA'!K21,'19.10 GALIRAYA-KAYUNGA-24h'!K21,'20.10 GALIRAYA-KAYUNGA'!K21,'21.10 GALIRAYA-KAYUNGA-24h'!K21,'22.10 GALIRAYA-KAYUNGA'!K21,'23.10 GALIRAYA-KAYUNGA'!K21)</f>
        <v>0</v>
      </c>
      <c r="L21" s="49">
        <f>AVERAGE('17.10 GALIRAYA-KAYUNGA'!L21,'18.10 GALIRAYA-KAYUNGA'!L21,'19.10 GALIRAYA-KAYUNGA-24h'!L21,'20.10 GALIRAYA-KAYUNGA'!L21,'21.10 GALIRAYA-KAYUNGA-24h'!L21,'22.10 GALIRAYA-KAYUNGA'!L21,'23.10 GALIRAYA-KAYUNGA'!L21)</f>
        <v>0</v>
      </c>
      <c r="M21" s="49">
        <f>AVERAGE('17.10 GALIRAYA-KAYUNGA'!M21,'18.10 GALIRAYA-KAYUNGA'!M21,'19.10 GALIRAYA-KAYUNGA-24h'!M21,'20.10 GALIRAYA-KAYUNGA'!M21,'21.10 GALIRAYA-KAYUNGA-24h'!M21,'22.10 GALIRAYA-KAYUNGA'!M21,'23.10 GALIRAYA-KAYUNGA'!M21)</f>
        <v>9.1428571428571423</v>
      </c>
      <c r="N21" s="49">
        <f>AVERAGE('17.10 GALIRAYA-KAYUNGA'!N21,'18.10 GALIRAYA-KAYUNGA'!N21,'19.10 GALIRAYA-KAYUNGA-24h'!N21,'20.10 GALIRAYA-KAYUNGA'!N21,'21.10 GALIRAYA-KAYUNGA-24h'!N21,'22.10 GALIRAYA-KAYUNGA'!N21,'23.10 GALIRAYA-KAYUNGA'!N21)</f>
        <v>0</v>
      </c>
      <c r="O21" s="15">
        <f t="shared" si="0"/>
        <v>2.8571428571428568</v>
      </c>
      <c r="P21" s="15">
        <f t="shared" si="1"/>
        <v>12</v>
      </c>
      <c r="R21" s="36" t="s">
        <v>20</v>
      </c>
      <c r="S21" s="34">
        <f t="shared" ref="S21:AF21" si="13">SUM(C54:C57)</f>
        <v>5.5714285714285712</v>
      </c>
      <c r="T21" s="17">
        <f t="shared" si="13"/>
        <v>0.8571428571428571</v>
      </c>
      <c r="U21" s="17">
        <f t="shared" si="13"/>
        <v>2.1428571428571428</v>
      </c>
      <c r="V21" s="17">
        <f t="shared" si="13"/>
        <v>6.2857142857142856</v>
      </c>
      <c r="W21" s="17">
        <f t="shared" si="13"/>
        <v>0.14285714285714285</v>
      </c>
      <c r="X21" s="17">
        <f t="shared" si="13"/>
        <v>0</v>
      </c>
      <c r="Y21" s="17">
        <f t="shared" si="13"/>
        <v>3.2857142857142856</v>
      </c>
      <c r="Z21" s="17">
        <f t="shared" si="13"/>
        <v>3.1428571428571428</v>
      </c>
      <c r="AA21" s="17">
        <f t="shared" si="13"/>
        <v>1.1428571428571428</v>
      </c>
      <c r="AB21" s="17">
        <f t="shared" si="13"/>
        <v>0.5714285714285714</v>
      </c>
      <c r="AC21" s="17">
        <f t="shared" si="13"/>
        <v>38.428571428571431</v>
      </c>
      <c r="AD21" s="17">
        <f t="shared" si="13"/>
        <v>0</v>
      </c>
      <c r="AE21" s="31">
        <f t="shared" si="13"/>
        <v>23.142857142857142</v>
      </c>
      <c r="AF21" s="31">
        <f t="shared" si="13"/>
        <v>61.571428571428569</v>
      </c>
    </row>
    <row r="22" spans="2:32" ht="23.1" customHeight="1" x14ac:dyDescent="0.25">
      <c r="B22" s="23" t="s">
        <v>49</v>
      </c>
      <c r="C22" s="49">
        <f>AVERAGE('17.10 GALIRAYA-KAYUNGA'!C22,'18.10 GALIRAYA-KAYUNGA'!C22,'19.10 GALIRAYA-KAYUNGA-24h'!C22,'20.10 GALIRAYA-KAYUNGA'!C22,'21.10 GALIRAYA-KAYUNGA-24h'!C22,'22.10 GALIRAYA-KAYUNGA'!C22,'23.10 GALIRAYA-KAYUNGA'!C22)</f>
        <v>0.2857142857142857</v>
      </c>
      <c r="D22" s="49">
        <f>AVERAGE('17.10 GALIRAYA-KAYUNGA'!D22,'18.10 GALIRAYA-KAYUNGA'!D22,'19.10 GALIRAYA-KAYUNGA-24h'!D22,'20.10 GALIRAYA-KAYUNGA'!D22,'21.10 GALIRAYA-KAYUNGA-24h'!D22,'22.10 GALIRAYA-KAYUNGA'!D22,'23.10 GALIRAYA-KAYUNGA'!D22)</f>
        <v>0.14285714285714285</v>
      </c>
      <c r="E22" s="49">
        <f>AVERAGE('17.10 GALIRAYA-KAYUNGA'!E22,'18.10 GALIRAYA-KAYUNGA'!E22,'19.10 GALIRAYA-KAYUNGA-24h'!E22,'20.10 GALIRAYA-KAYUNGA'!E22,'21.10 GALIRAYA-KAYUNGA-24h'!E22,'22.10 GALIRAYA-KAYUNGA'!E22,'23.10 GALIRAYA-KAYUNGA'!E22)</f>
        <v>0.2857142857142857</v>
      </c>
      <c r="F22" s="49">
        <f>AVERAGE('17.10 GALIRAYA-KAYUNGA'!F22,'18.10 GALIRAYA-KAYUNGA'!F22,'19.10 GALIRAYA-KAYUNGA-24h'!F22,'20.10 GALIRAYA-KAYUNGA'!F22,'21.10 GALIRAYA-KAYUNGA-24h'!F22,'22.10 GALIRAYA-KAYUNGA'!F22,'23.10 GALIRAYA-KAYUNGA'!F22)</f>
        <v>0.5714285714285714</v>
      </c>
      <c r="G22" s="49">
        <f>AVERAGE('17.10 GALIRAYA-KAYUNGA'!G22,'18.10 GALIRAYA-KAYUNGA'!G22,'19.10 GALIRAYA-KAYUNGA-24h'!G22,'20.10 GALIRAYA-KAYUNGA'!G22,'21.10 GALIRAYA-KAYUNGA-24h'!G22,'22.10 GALIRAYA-KAYUNGA'!G22,'23.10 GALIRAYA-KAYUNGA'!G22)</f>
        <v>0</v>
      </c>
      <c r="H22" s="49">
        <f>AVERAGE('17.10 GALIRAYA-KAYUNGA'!H22,'18.10 GALIRAYA-KAYUNGA'!H22,'19.10 GALIRAYA-KAYUNGA-24h'!H22,'20.10 GALIRAYA-KAYUNGA'!H22,'21.10 GALIRAYA-KAYUNGA-24h'!H22,'22.10 GALIRAYA-KAYUNGA'!H22,'23.10 GALIRAYA-KAYUNGA'!H22)</f>
        <v>0.2857142857142857</v>
      </c>
      <c r="I22" s="49">
        <f>AVERAGE('17.10 GALIRAYA-KAYUNGA'!I22,'18.10 GALIRAYA-KAYUNGA'!I22,'19.10 GALIRAYA-KAYUNGA-24h'!I22,'20.10 GALIRAYA-KAYUNGA'!I22,'21.10 GALIRAYA-KAYUNGA-24h'!I22,'22.10 GALIRAYA-KAYUNGA'!I22,'23.10 GALIRAYA-KAYUNGA'!I22)</f>
        <v>0.42857142857142855</v>
      </c>
      <c r="J22" s="49">
        <f>AVERAGE('17.10 GALIRAYA-KAYUNGA'!J22,'18.10 GALIRAYA-KAYUNGA'!J22,'19.10 GALIRAYA-KAYUNGA-24h'!J22,'20.10 GALIRAYA-KAYUNGA'!J22,'21.10 GALIRAYA-KAYUNGA-24h'!J22,'22.10 GALIRAYA-KAYUNGA'!J22,'23.10 GALIRAYA-KAYUNGA'!J22)</f>
        <v>0.14285714285714285</v>
      </c>
      <c r="K22" s="49">
        <f>AVERAGE('17.10 GALIRAYA-KAYUNGA'!K22,'18.10 GALIRAYA-KAYUNGA'!K22,'19.10 GALIRAYA-KAYUNGA-24h'!K22,'20.10 GALIRAYA-KAYUNGA'!K22,'21.10 GALIRAYA-KAYUNGA-24h'!K22,'22.10 GALIRAYA-KAYUNGA'!K22,'23.10 GALIRAYA-KAYUNGA'!K22)</f>
        <v>0</v>
      </c>
      <c r="L22" s="49">
        <f>AVERAGE('17.10 GALIRAYA-KAYUNGA'!L22,'18.10 GALIRAYA-KAYUNGA'!L22,'19.10 GALIRAYA-KAYUNGA-24h'!L22,'20.10 GALIRAYA-KAYUNGA'!L22,'21.10 GALIRAYA-KAYUNGA-24h'!L22,'22.10 GALIRAYA-KAYUNGA'!L22,'23.10 GALIRAYA-KAYUNGA'!L22)</f>
        <v>0</v>
      </c>
      <c r="M22" s="49">
        <f>AVERAGE('17.10 GALIRAYA-KAYUNGA'!M22,'18.10 GALIRAYA-KAYUNGA'!M22,'19.10 GALIRAYA-KAYUNGA-24h'!M22,'20.10 GALIRAYA-KAYUNGA'!M22,'21.10 GALIRAYA-KAYUNGA-24h'!M22,'22.10 GALIRAYA-KAYUNGA'!M22,'23.10 GALIRAYA-KAYUNGA'!M22)</f>
        <v>8.8571428571428577</v>
      </c>
      <c r="N22" s="49">
        <f>AVERAGE('17.10 GALIRAYA-KAYUNGA'!N22,'18.10 GALIRAYA-KAYUNGA'!N22,'19.10 GALIRAYA-KAYUNGA-24h'!N22,'20.10 GALIRAYA-KAYUNGA'!N22,'21.10 GALIRAYA-KAYUNGA-24h'!N22,'22.10 GALIRAYA-KAYUNGA'!N22,'23.10 GALIRAYA-KAYUNGA'!N22)</f>
        <v>0</v>
      </c>
      <c r="O22" s="15">
        <f t="shared" si="0"/>
        <v>2.1428571428571428</v>
      </c>
      <c r="P22" s="15">
        <f t="shared" si="1"/>
        <v>11</v>
      </c>
      <c r="R22" s="1" t="s">
        <v>146</v>
      </c>
      <c r="S22" s="34">
        <f>SUM(C58:C61)</f>
        <v>7.5</v>
      </c>
      <c r="T22" s="34">
        <f t="shared" ref="T22:AF22" si="14">SUM(D58:D61)</f>
        <v>0</v>
      </c>
      <c r="U22" s="34">
        <f t="shared" si="14"/>
        <v>1.5</v>
      </c>
      <c r="V22" s="34">
        <f t="shared" si="14"/>
        <v>6.5</v>
      </c>
      <c r="W22" s="34">
        <f t="shared" si="14"/>
        <v>0.5</v>
      </c>
      <c r="X22" s="34">
        <f t="shared" si="14"/>
        <v>0</v>
      </c>
      <c r="Y22" s="34">
        <f t="shared" si="14"/>
        <v>6</v>
      </c>
      <c r="Z22" s="34">
        <f t="shared" si="14"/>
        <v>3.5</v>
      </c>
      <c r="AA22" s="34">
        <f t="shared" si="14"/>
        <v>3</v>
      </c>
      <c r="AB22" s="34">
        <f t="shared" si="14"/>
        <v>0</v>
      </c>
      <c r="AC22" s="34">
        <f t="shared" si="14"/>
        <v>40</v>
      </c>
      <c r="AD22" s="34">
        <f t="shared" si="14"/>
        <v>0</v>
      </c>
      <c r="AE22" s="31">
        <f t="shared" si="14"/>
        <v>28.5</v>
      </c>
      <c r="AF22" s="31">
        <f t="shared" si="14"/>
        <v>68.5</v>
      </c>
    </row>
    <row r="23" spans="2:32" ht="23.1" customHeight="1" x14ac:dyDescent="0.25">
      <c r="B23" s="23" t="s">
        <v>50</v>
      </c>
      <c r="C23" s="49">
        <f>AVERAGE('17.10 GALIRAYA-KAYUNGA'!C23,'18.10 GALIRAYA-KAYUNGA'!C23,'19.10 GALIRAYA-KAYUNGA-24h'!C23,'20.10 GALIRAYA-KAYUNGA'!C23,'21.10 GALIRAYA-KAYUNGA-24h'!C23,'22.10 GALIRAYA-KAYUNGA'!C23,'23.10 GALIRAYA-KAYUNGA'!C23)</f>
        <v>0.58571428571428563</v>
      </c>
      <c r="D23" s="49">
        <f>AVERAGE('17.10 GALIRAYA-KAYUNGA'!D23,'18.10 GALIRAYA-KAYUNGA'!D23,'19.10 GALIRAYA-KAYUNGA-24h'!D23,'20.10 GALIRAYA-KAYUNGA'!D23,'21.10 GALIRAYA-KAYUNGA-24h'!D23,'22.10 GALIRAYA-KAYUNGA'!D23,'23.10 GALIRAYA-KAYUNGA'!D23)</f>
        <v>0.42857142857142855</v>
      </c>
      <c r="E23" s="49">
        <f>AVERAGE('17.10 GALIRAYA-KAYUNGA'!E23,'18.10 GALIRAYA-KAYUNGA'!E23,'19.10 GALIRAYA-KAYUNGA-24h'!E23,'20.10 GALIRAYA-KAYUNGA'!E23,'21.10 GALIRAYA-KAYUNGA-24h'!E23,'22.10 GALIRAYA-KAYUNGA'!E23,'23.10 GALIRAYA-KAYUNGA'!E23)</f>
        <v>0.2857142857142857</v>
      </c>
      <c r="F23" s="49">
        <f>AVERAGE('17.10 GALIRAYA-KAYUNGA'!F23,'18.10 GALIRAYA-KAYUNGA'!F23,'19.10 GALIRAYA-KAYUNGA-24h'!F23,'20.10 GALIRAYA-KAYUNGA'!F23,'21.10 GALIRAYA-KAYUNGA-24h'!F23,'22.10 GALIRAYA-KAYUNGA'!F23,'23.10 GALIRAYA-KAYUNGA'!F23)</f>
        <v>0.7142857142857143</v>
      </c>
      <c r="G23" s="49">
        <f>AVERAGE('17.10 GALIRAYA-KAYUNGA'!G23,'18.10 GALIRAYA-KAYUNGA'!G23,'19.10 GALIRAYA-KAYUNGA-24h'!G23,'20.10 GALIRAYA-KAYUNGA'!G23,'21.10 GALIRAYA-KAYUNGA-24h'!G23,'22.10 GALIRAYA-KAYUNGA'!G23,'23.10 GALIRAYA-KAYUNGA'!G23)</f>
        <v>0</v>
      </c>
      <c r="H23" s="49">
        <f>AVERAGE('17.10 GALIRAYA-KAYUNGA'!H23,'18.10 GALIRAYA-KAYUNGA'!H23,'19.10 GALIRAYA-KAYUNGA-24h'!H23,'20.10 GALIRAYA-KAYUNGA'!H23,'21.10 GALIRAYA-KAYUNGA-24h'!H23,'22.10 GALIRAYA-KAYUNGA'!H23,'23.10 GALIRAYA-KAYUNGA'!H23)</f>
        <v>0</v>
      </c>
      <c r="I23" s="49">
        <f>AVERAGE('17.10 GALIRAYA-KAYUNGA'!I23,'18.10 GALIRAYA-KAYUNGA'!I23,'19.10 GALIRAYA-KAYUNGA-24h'!I23,'20.10 GALIRAYA-KAYUNGA'!I23,'21.10 GALIRAYA-KAYUNGA-24h'!I23,'22.10 GALIRAYA-KAYUNGA'!I23,'23.10 GALIRAYA-KAYUNGA'!I23)</f>
        <v>0.2857142857142857</v>
      </c>
      <c r="J23" s="49">
        <f>AVERAGE('17.10 GALIRAYA-KAYUNGA'!J23,'18.10 GALIRAYA-KAYUNGA'!J23,'19.10 GALIRAYA-KAYUNGA-24h'!J23,'20.10 GALIRAYA-KAYUNGA'!J23,'21.10 GALIRAYA-KAYUNGA-24h'!J23,'22.10 GALIRAYA-KAYUNGA'!J23,'23.10 GALIRAYA-KAYUNGA'!J23)</f>
        <v>0.42857142857142855</v>
      </c>
      <c r="K23" s="49">
        <f>AVERAGE('17.10 GALIRAYA-KAYUNGA'!K23,'18.10 GALIRAYA-KAYUNGA'!K23,'19.10 GALIRAYA-KAYUNGA-24h'!K23,'20.10 GALIRAYA-KAYUNGA'!K23,'21.10 GALIRAYA-KAYUNGA-24h'!K23,'22.10 GALIRAYA-KAYUNGA'!K23,'23.10 GALIRAYA-KAYUNGA'!K23)</f>
        <v>0</v>
      </c>
      <c r="L23" s="49">
        <f>AVERAGE('17.10 GALIRAYA-KAYUNGA'!L23,'18.10 GALIRAYA-KAYUNGA'!L23,'19.10 GALIRAYA-KAYUNGA-24h'!L23,'20.10 GALIRAYA-KAYUNGA'!L23,'21.10 GALIRAYA-KAYUNGA-24h'!L23,'22.10 GALIRAYA-KAYUNGA'!L23,'23.10 GALIRAYA-KAYUNGA'!L23)</f>
        <v>0</v>
      </c>
      <c r="M23" s="49">
        <f>AVERAGE('17.10 GALIRAYA-KAYUNGA'!M23,'18.10 GALIRAYA-KAYUNGA'!M23,'19.10 GALIRAYA-KAYUNGA-24h'!M23,'20.10 GALIRAYA-KAYUNGA'!M23,'21.10 GALIRAYA-KAYUNGA-24h'!M23,'22.10 GALIRAYA-KAYUNGA'!M23,'23.10 GALIRAYA-KAYUNGA'!M23)</f>
        <v>9.1428571428571423</v>
      </c>
      <c r="N23" s="49">
        <f>AVERAGE('17.10 GALIRAYA-KAYUNGA'!N23,'18.10 GALIRAYA-KAYUNGA'!N23,'19.10 GALIRAYA-KAYUNGA-24h'!N23,'20.10 GALIRAYA-KAYUNGA'!N23,'21.10 GALIRAYA-KAYUNGA-24h'!N23,'22.10 GALIRAYA-KAYUNGA'!N23,'23.10 GALIRAYA-KAYUNGA'!N23)</f>
        <v>0.14285714285714285</v>
      </c>
      <c r="O23" s="15">
        <f t="shared" si="0"/>
        <v>2.871428571428571</v>
      </c>
      <c r="P23" s="15">
        <f t="shared" si="1"/>
        <v>12.014285714285712</v>
      </c>
      <c r="R23" s="1" t="s">
        <v>147</v>
      </c>
      <c r="S23" s="34">
        <f>SUM(C62:C65)</f>
        <v>5</v>
      </c>
      <c r="T23" s="34">
        <f t="shared" ref="T23:AF23" si="15">SUM(D62:D65)</f>
        <v>1</v>
      </c>
      <c r="U23" s="34">
        <f t="shared" si="15"/>
        <v>1</v>
      </c>
      <c r="V23" s="34">
        <f t="shared" si="15"/>
        <v>4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3.5</v>
      </c>
      <c r="AB23" s="34">
        <f t="shared" si="15"/>
        <v>0.5</v>
      </c>
      <c r="AC23" s="34">
        <f t="shared" si="15"/>
        <v>23</v>
      </c>
      <c r="AD23" s="34">
        <f t="shared" si="15"/>
        <v>0</v>
      </c>
      <c r="AE23" s="31">
        <f t="shared" si="15"/>
        <v>19</v>
      </c>
      <c r="AF23" s="31">
        <f t="shared" si="15"/>
        <v>42</v>
      </c>
    </row>
    <row r="24" spans="2:32" ht="23.1" customHeight="1" x14ac:dyDescent="0.25">
      <c r="B24" s="23" t="s">
        <v>51</v>
      </c>
      <c r="C24" s="49">
        <f>AVERAGE('17.10 GALIRAYA-KAYUNGA'!C24,'18.10 GALIRAYA-KAYUNGA'!C24,'19.10 GALIRAYA-KAYUNGA-24h'!C24,'20.10 GALIRAYA-KAYUNGA'!C24,'21.10 GALIRAYA-KAYUNGA-24h'!C24,'22.10 GALIRAYA-KAYUNGA'!C24,'23.10 GALIRAYA-KAYUNGA'!C24)</f>
        <v>1.1428571428571428</v>
      </c>
      <c r="D24" s="49">
        <f>AVERAGE('17.10 GALIRAYA-KAYUNGA'!D24,'18.10 GALIRAYA-KAYUNGA'!D24,'19.10 GALIRAYA-KAYUNGA-24h'!D24,'20.10 GALIRAYA-KAYUNGA'!D24,'21.10 GALIRAYA-KAYUNGA-24h'!D24,'22.10 GALIRAYA-KAYUNGA'!D24,'23.10 GALIRAYA-KAYUNGA'!D24)</f>
        <v>0</v>
      </c>
      <c r="E24" s="49">
        <f>AVERAGE('17.10 GALIRAYA-KAYUNGA'!E24,'18.10 GALIRAYA-KAYUNGA'!E24,'19.10 GALIRAYA-KAYUNGA-24h'!E24,'20.10 GALIRAYA-KAYUNGA'!E24,'21.10 GALIRAYA-KAYUNGA-24h'!E24,'22.10 GALIRAYA-KAYUNGA'!E24,'23.10 GALIRAYA-KAYUNGA'!E24)</f>
        <v>0</v>
      </c>
      <c r="F24" s="49">
        <f>AVERAGE('17.10 GALIRAYA-KAYUNGA'!F24,'18.10 GALIRAYA-KAYUNGA'!F24,'19.10 GALIRAYA-KAYUNGA-24h'!F24,'20.10 GALIRAYA-KAYUNGA'!F24,'21.10 GALIRAYA-KAYUNGA-24h'!F24,'22.10 GALIRAYA-KAYUNGA'!F24,'23.10 GALIRAYA-KAYUNGA'!F24)</f>
        <v>0.7142857142857143</v>
      </c>
      <c r="G24" s="49">
        <f>AVERAGE('17.10 GALIRAYA-KAYUNGA'!G24,'18.10 GALIRAYA-KAYUNGA'!G24,'19.10 GALIRAYA-KAYUNGA-24h'!G24,'20.10 GALIRAYA-KAYUNGA'!G24,'21.10 GALIRAYA-KAYUNGA-24h'!G24,'22.10 GALIRAYA-KAYUNGA'!G24,'23.10 GALIRAYA-KAYUNGA'!G24)</f>
        <v>0.2857142857142857</v>
      </c>
      <c r="H24" s="49">
        <f>AVERAGE('17.10 GALIRAYA-KAYUNGA'!H24,'18.10 GALIRAYA-KAYUNGA'!H24,'19.10 GALIRAYA-KAYUNGA-24h'!H24,'20.10 GALIRAYA-KAYUNGA'!H24,'21.10 GALIRAYA-KAYUNGA-24h'!H24,'22.10 GALIRAYA-KAYUNGA'!H24,'23.10 GALIRAYA-KAYUNGA'!H24)</f>
        <v>0</v>
      </c>
      <c r="I24" s="49">
        <f>AVERAGE('17.10 GALIRAYA-KAYUNGA'!I24,'18.10 GALIRAYA-KAYUNGA'!I24,'19.10 GALIRAYA-KAYUNGA-24h'!I24,'20.10 GALIRAYA-KAYUNGA'!I24,'21.10 GALIRAYA-KAYUNGA-24h'!I24,'22.10 GALIRAYA-KAYUNGA'!I24,'23.10 GALIRAYA-KAYUNGA'!I24)</f>
        <v>0.5714285714285714</v>
      </c>
      <c r="J24" s="49">
        <f>AVERAGE('17.10 GALIRAYA-KAYUNGA'!J24,'18.10 GALIRAYA-KAYUNGA'!J24,'19.10 GALIRAYA-KAYUNGA-24h'!J24,'20.10 GALIRAYA-KAYUNGA'!J24,'21.10 GALIRAYA-KAYUNGA-24h'!J24,'22.10 GALIRAYA-KAYUNGA'!J24,'23.10 GALIRAYA-KAYUNGA'!J24)</f>
        <v>0.2857142857142857</v>
      </c>
      <c r="K24" s="49">
        <f>AVERAGE('17.10 GALIRAYA-KAYUNGA'!K24,'18.10 GALIRAYA-KAYUNGA'!K24,'19.10 GALIRAYA-KAYUNGA-24h'!K24,'20.10 GALIRAYA-KAYUNGA'!K24,'21.10 GALIRAYA-KAYUNGA-24h'!K24,'22.10 GALIRAYA-KAYUNGA'!K24,'23.10 GALIRAYA-KAYUNGA'!K24)</f>
        <v>0</v>
      </c>
      <c r="L24" s="49">
        <f>AVERAGE('17.10 GALIRAYA-KAYUNGA'!L24,'18.10 GALIRAYA-KAYUNGA'!L24,'19.10 GALIRAYA-KAYUNGA-24h'!L24,'20.10 GALIRAYA-KAYUNGA'!L24,'21.10 GALIRAYA-KAYUNGA-24h'!L24,'22.10 GALIRAYA-KAYUNGA'!L24,'23.10 GALIRAYA-KAYUNGA'!L24)</f>
        <v>0</v>
      </c>
      <c r="M24" s="49">
        <f>AVERAGE('17.10 GALIRAYA-KAYUNGA'!M24,'18.10 GALIRAYA-KAYUNGA'!M24,'19.10 GALIRAYA-KAYUNGA-24h'!M24,'20.10 GALIRAYA-KAYUNGA'!M24,'21.10 GALIRAYA-KAYUNGA-24h'!M24,'22.10 GALIRAYA-KAYUNGA'!M24,'23.10 GALIRAYA-KAYUNGA'!M24)</f>
        <v>8.1428571428571423</v>
      </c>
      <c r="N24" s="49">
        <f>AVERAGE('17.10 GALIRAYA-KAYUNGA'!N24,'18.10 GALIRAYA-KAYUNGA'!N24,'19.10 GALIRAYA-KAYUNGA-24h'!N24,'20.10 GALIRAYA-KAYUNGA'!N24,'21.10 GALIRAYA-KAYUNGA-24h'!N24,'22.10 GALIRAYA-KAYUNGA'!N24,'23.10 GALIRAYA-KAYUNGA'!N24)</f>
        <v>0</v>
      </c>
      <c r="O24" s="15">
        <f t="shared" si="0"/>
        <v>3</v>
      </c>
      <c r="P24" s="15">
        <f t="shared" si="1"/>
        <v>11.142857142857142</v>
      </c>
      <c r="R24" s="1" t="s">
        <v>148</v>
      </c>
      <c r="S24" s="34">
        <f>SUM(C66:C69)</f>
        <v>3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2.5</v>
      </c>
      <c r="AA24" s="34">
        <f t="shared" si="16"/>
        <v>0</v>
      </c>
      <c r="AB24" s="34">
        <f t="shared" si="16"/>
        <v>0</v>
      </c>
      <c r="AC24" s="34">
        <f t="shared" si="16"/>
        <v>6.5</v>
      </c>
      <c r="AD24" s="34">
        <f t="shared" si="16"/>
        <v>0</v>
      </c>
      <c r="AE24" s="31">
        <f t="shared" si="16"/>
        <v>6.5</v>
      </c>
      <c r="AF24" s="31">
        <f t="shared" si="16"/>
        <v>13</v>
      </c>
    </row>
    <row r="25" spans="2:32" ht="23.1" customHeight="1" x14ac:dyDescent="0.25">
      <c r="B25" s="23" t="s">
        <v>52</v>
      </c>
      <c r="C25" s="49">
        <f>AVERAGE('17.10 GALIRAYA-KAYUNGA'!C25,'18.10 GALIRAYA-KAYUNGA'!C25,'19.10 GALIRAYA-KAYUNGA-24h'!C25,'20.10 GALIRAYA-KAYUNGA'!C25,'21.10 GALIRAYA-KAYUNGA-24h'!C25,'22.10 GALIRAYA-KAYUNGA'!C25,'23.10 GALIRAYA-KAYUNGA'!C25)</f>
        <v>0.42857142857142855</v>
      </c>
      <c r="D25" s="49">
        <f>AVERAGE('17.10 GALIRAYA-KAYUNGA'!D25,'18.10 GALIRAYA-KAYUNGA'!D25,'19.10 GALIRAYA-KAYUNGA-24h'!D25,'20.10 GALIRAYA-KAYUNGA'!D25,'21.10 GALIRAYA-KAYUNGA-24h'!D25,'22.10 GALIRAYA-KAYUNGA'!D25,'23.10 GALIRAYA-KAYUNGA'!D25)</f>
        <v>0</v>
      </c>
      <c r="E25" s="49">
        <f>AVERAGE('17.10 GALIRAYA-KAYUNGA'!E25,'18.10 GALIRAYA-KAYUNGA'!E25,'19.10 GALIRAYA-KAYUNGA-24h'!E25,'20.10 GALIRAYA-KAYUNGA'!E25,'21.10 GALIRAYA-KAYUNGA-24h'!E25,'22.10 GALIRAYA-KAYUNGA'!E25,'23.10 GALIRAYA-KAYUNGA'!E25)</f>
        <v>0.2857142857142857</v>
      </c>
      <c r="F25" s="49">
        <f>AVERAGE('17.10 GALIRAYA-KAYUNGA'!F25,'18.10 GALIRAYA-KAYUNGA'!F25,'19.10 GALIRAYA-KAYUNGA-24h'!F25,'20.10 GALIRAYA-KAYUNGA'!F25,'21.10 GALIRAYA-KAYUNGA-24h'!F25,'22.10 GALIRAYA-KAYUNGA'!F25,'23.10 GALIRAYA-KAYUNGA'!F25)</f>
        <v>1.1428571428571428</v>
      </c>
      <c r="G25" s="49">
        <f>AVERAGE('17.10 GALIRAYA-KAYUNGA'!G25,'18.10 GALIRAYA-KAYUNGA'!G25,'19.10 GALIRAYA-KAYUNGA-24h'!G25,'20.10 GALIRAYA-KAYUNGA'!G25,'21.10 GALIRAYA-KAYUNGA-24h'!G25,'22.10 GALIRAYA-KAYUNGA'!G25,'23.10 GALIRAYA-KAYUNGA'!G25)</f>
        <v>0</v>
      </c>
      <c r="H25" s="49">
        <f>AVERAGE('17.10 GALIRAYA-KAYUNGA'!H25,'18.10 GALIRAYA-KAYUNGA'!H25,'19.10 GALIRAYA-KAYUNGA-24h'!H25,'20.10 GALIRAYA-KAYUNGA'!H25,'21.10 GALIRAYA-KAYUNGA-24h'!H25,'22.10 GALIRAYA-KAYUNGA'!H25,'23.10 GALIRAYA-KAYUNGA'!H25)</f>
        <v>0</v>
      </c>
      <c r="I25" s="49">
        <f>AVERAGE('17.10 GALIRAYA-KAYUNGA'!I25,'18.10 GALIRAYA-KAYUNGA'!I25,'19.10 GALIRAYA-KAYUNGA-24h'!I25,'20.10 GALIRAYA-KAYUNGA'!I25,'21.10 GALIRAYA-KAYUNGA-24h'!I25,'22.10 GALIRAYA-KAYUNGA'!I25,'23.10 GALIRAYA-KAYUNGA'!I25)</f>
        <v>0.14285714285714285</v>
      </c>
      <c r="J25" s="49">
        <f>AVERAGE('17.10 GALIRAYA-KAYUNGA'!J25,'18.10 GALIRAYA-KAYUNGA'!J25,'19.10 GALIRAYA-KAYUNGA-24h'!J25,'20.10 GALIRAYA-KAYUNGA'!J25,'21.10 GALIRAYA-KAYUNGA-24h'!J25,'22.10 GALIRAYA-KAYUNGA'!J25,'23.10 GALIRAYA-KAYUNGA'!J25)</f>
        <v>0</v>
      </c>
      <c r="K25" s="49">
        <f>AVERAGE('17.10 GALIRAYA-KAYUNGA'!K25,'18.10 GALIRAYA-KAYUNGA'!K25,'19.10 GALIRAYA-KAYUNGA-24h'!K25,'20.10 GALIRAYA-KAYUNGA'!K25,'21.10 GALIRAYA-KAYUNGA-24h'!K25,'22.10 GALIRAYA-KAYUNGA'!K25,'23.10 GALIRAYA-KAYUNGA'!K25)</f>
        <v>0</v>
      </c>
      <c r="L25" s="49">
        <f>AVERAGE('17.10 GALIRAYA-KAYUNGA'!L25,'18.10 GALIRAYA-KAYUNGA'!L25,'19.10 GALIRAYA-KAYUNGA-24h'!L25,'20.10 GALIRAYA-KAYUNGA'!L25,'21.10 GALIRAYA-KAYUNGA-24h'!L25,'22.10 GALIRAYA-KAYUNGA'!L25,'23.10 GALIRAYA-KAYUNGA'!L25)</f>
        <v>0</v>
      </c>
      <c r="M25" s="49">
        <f>AVERAGE('17.10 GALIRAYA-KAYUNGA'!M25,'18.10 GALIRAYA-KAYUNGA'!M25,'19.10 GALIRAYA-KAYUNGA-24h'!M25,'20.10 GALIRAYA-KAYUNGA'!M25,'21.10 GALIRAYA-KAYUNGA-24h'!M25,'22.10 GALIRAYA-KAYUNGA'!M25,'23.10 GALIRAYA-KAYUNGA'!M25)</f>
        <v>7.8571428571428568</v>
      </c>
      <c r="N25" s="49">
        <f>AVERAGE('17.10 GALIRAYA-KAYUNGA'!N25,'18.10 GALIRAYA-KAYUNGA'!N25,'19.10 GALIRAYA-KAYUNGA-24h'!N25,'20.10 GALIRAYA-KAYUNGA'!N25,'21.10 GALIRAYA-KAYUNGA-24h'!N25,'22.10 GALIRAYA-KAYUNGA'!N25,'23.10 GALIRAYA-KAYUNGA'!N25)</f>
        <v>0</v>
      </c>
      <c r="O25" s="15">
        <f t="shared" si="0"/>
        <v>1.9999999999999998</v>
      </c>
      <c r="P25" s="15">
        <f t="shared" si="1"/>
        <v>9.8571428571428559</v>
      </c>
      <c r="R25" s="1" t="s">
        <v>149</v>
      </c>
      <c r="S25" s="34">
        <f>SUM(C70:C73)</f>
        <v>1</v>
      </c>
      <c r="T25" s="34">
        <f t="shared" ref="T25:AF25" si="17">SUM(D70:D73)</f>
        <v>0.5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4.5</v>
      </c>
      <c r="AF25" s="31">
        <f t="shared" si="17"/>
        <v>7.5</v>
      </c>
    </row>
    <row r="26" spans="2:32" ht="23.1" customHeight="1" x14ac:dyDescent="0.25">
      <c r="B26" s="23" t="s">
        <v>53</v>
      </c>
      <c r="C26" s="49">
        <f>AVERAGE('17.10 GALIRAYA-KAYUNGA'!C26,'18.10 GALIRAYA-KAYUNGA'!C26,'19.10 GALIRAYA-KAYUNGA-24h'!C26,'20.10 GALIRAYA-KAYUNGA'!C26,'21.10 GALIRAYA-KAYUNGA-24h'!C26,'22.10 GALIRAYA-KAYUNGA'!C26,'23.10 GALIRAYA-KAYUNGA'!C26)</f>
        <v>0.2857142857142857</v>
      </c>
      <c r="D26" s="49">
        <f>AVERAGE('17.10 GALIRAYA-KAYUNGA'!D26,'18.10 GALIRAYA-KAYUNGA'!D26,'19.10 GALIRAYA-KAYUNGA-24h'!D26,'20.10 GALIRAYA-KAYUNGA'!D26,'21.10 GALIRAYA-KAYUNGA-24h'!D26,'22.10 GALIRAYA-KAYUNGA'!D26,'23.10 GALIRAYA-KAYUNGA'!D26)</f>
        <v>0.42857142857142855</v>
      </c>
      <c r="E26" s="49">
        <f>AVERAGE('17.10 GALIRAYA-KAYUNGA'!E26,'18.10 GALIRAYA-KAYUNGA'!E26,'19.10 GALIRAYA-KAYUNGA-24h'!E26,'20.10 GALIRAYA-KAYUNGA'!E26,'21.10 GALIRAYA-KAYUNGA-24h'!E26,'22.10 GALIRAYA-KAYUNGA'!E26,'23.10 GALIRAYA-KAYUNGA'!E26)</f>
        <v>0</v>
      </c>
      <c r="F26" s="49">
        <f>AVERAGE('17.10 GALIRAYA-KAYUNGA'!F26,'18.10 GALIRAYA-KAYUNGA'!F26,'19.10 GALIRAYA-KAYUNGA-24h'!F26,'20.10 GALIRAYA-KAYUNGA'!F26,'21.10 GALIRAYA-KAYUNGA-24h'!F26,'22.10 GALIRAYA-KAYUNGA'!F26,'23.10 GALIRAYA-KAYUNGA'!F26)</f>
        <v>1.2857142857142858</v>
      </c>
      <c r="G26" s="49">
        <f>AVERAGE('17.10 GALIRAYA-KAYUNGA'!G26,'18.10 GALIRAYA-KAYUNGA'!G26,'19.10 GALIRAYA-KAYUNGA-24h'!G26,'20.10 GALIRAYA-KAYUNGA'!G26,'21.10 GALIRAYA-KAYUNGA-24h'!G26,'22.10 GALIRAYA-KAYUNGA'!G26,'23.10 GALIRAYA-KAYUNGA'!G26)</f>
        <v>0</v>
      </c>
      <c r="H26" s="49">
        <f>AVERAGE('17.10 GALIRAYA-KAYUNGA'!H26,'18.10 GALIRAYA-KAYUNGA'!H26,'19.10 GALIRAYA-KAYUNGA-24h'!H26,'20.10 GALIRAYA-KAYUNGA'!H26,'21.10 GALIRAYA-KAYUNGA-24h'!H26,'22.10 GALIRAYA-KAYUNGA'!H26,'23.10 GALIRAYA-KAYUNGA'!H26)</f>
        <v>0</v>
      </c>
      <c r="I26" s="49">
        <f>AVERAGE('17.10 GALIRAYA-KAYUNGA'!I26,'18.10 GALIRAYA-KAYUNGA'!I26,'19.10 GALIRAYA-KAYUNGA-24h'!I26,'20.10 GALIRAYA-KAYUNGA'!I26,'21.10 GALIRAYA-KAYUNGA-24h'!I26,'22.10 GALIRAYA-KAYUNGA'!I26,'23.10 GALIRAYA-KAYUNGA'!I26)</f>
        <v>0.14285714285714285</v>
      </c>
      <c r="J26" s="49">
        <f>AVERAGE('17.10 GALIRAYA-KAYUNGA'!J26,'18.10 GALIRAYA-KAYUNGA'!J26,'19.10 GALIRAYA-KAYUNGA-24h'!J26,'20.10 GALIRAYA-KAYUNGA'!J26,'21.10 GALIRAYA-KAYUNGA-24h'!J26,'22.10 GALIRAYA-KAYUNGA'!J26,'23.10 GALIRAYA-KAYUNGA'!J26)</f>
        <v>0.42857142857142855</v>
      </c>
      <c r="K26" s="49">
        <f>AVERAGE('17.10 GALIRAYA-KAYUNGA'!K26,'18.10 GALIRAYA-KAYUNGA'!K26,'19.10 GALIRAYA-KAYUNGA-24h'!K26,'20.10 GALIRAYA-KAYUNGA'!K26,'21.10 GALIRAYA-KAYUNGA-24h'!K26,'22.10 GALIRAYA-KAYUNGA'!K26,'23.10 GALIRAYA-KAYUNGA'!K26)</f>
        <v>0</v>
      </c>
      <c r="L26" s="49">
        <f>AVERAGE('17.10 GALIRAYA-KAYUNGA'!L26,'18.10 GALIRAYA-KAYUNGA'!L26,'19.10 GALIRAYA-KAYUNGA-24h'!L26,'20.10 GALIRAYA-KAYUNGA'!L26,'21.10 GALIRAYA-KAYUNGA-24h'!L26,'22.10 GALIRAYA-KAYUNGA'!L26,'23.10 GALIRAYA-KAYUNGA'!L26)</f>
        <v>0</v>
      </c>
      <c r="M26" s="49">
        <f>AVERAGE('17.10 GALIRAYA-KAYUNGA'!M26,'18.10 GALIRAYA-KAYUNGA'!M26,'19.10 GALIRAYA-KAYUNGA-24h'!M26,'20.10 GALIRAYA-KAYUNGA'!M26,'21.10 GALIRAYA-KAYUNGA-24h'!M26,'22.10 GALIRAYA-KAYUNGA'!M26,'23.10 GALIRAYA-KAYUNGA'!M26)</f>
        <v>8.2857142857142865</v>
      </c>
      <c r="N26" s="49">
        <f>AVERAGE('17.10 GALIRAYA-KAYUNGA'!N26,'18.10 GALIRAYA-KAYUNGA'!N26,'19.10 GALIRAYA-KAYUNGA-24h'!N26,'20.10 GALIRAYA-KAYUNGA'!N26,'21.10 GALIRAYA-KAYUNGA-24h'!N26,'22.10 GALIRAYA-KAYUNGA'!N26,'23.10 GALIRAYA-KAYUNGA'!N26)</f>
        <v>0</v>
      </c>
      <c r="O26" s="15">
        <f t="shared" si="0"/>
        <v>2.5714285714285712</v>
      </c>
      <c r="P26" s="15">
        <f t="shared" si="1"/>
        <v>10.857142857142858</v>
      </c>
      <c r="R26" s="1" t="s">
        <v>150</v>
      </c>
      <c r="S26" s="34">
        <f>SUM(C74:C77)</f>
        <v>0.5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0.5</v>
      </c>
      <c r="W26" s="34">
        <f t="shared" si="18"/>
        <v>0</v>
      </c>
      <c r="X26" s="34">
        <f t="shared" si="18"/>
        <v>0</v>
      </c>
      <c r="Y26" s="34">
        <f t="shared" si="18"/>
        <v>4.5</v>
      </c>
      <c r="Z26" s="34">
        <f t="shared" si="18"/>
        <v>4.5</v>
      </c>
      <c r="AA26" s="34">
        <f t="shared" si="18"/>
        <v>1</v>
      </c>
      <c r="AB26" s="34">
        <f t="shared" si="18"/>
        <v>0.5</v>
      </c>
      <c r="AC26" s="34">
        <f t="shared" si="18"/>
        <v>1</v>
      </c>
      <c r="AD26" s="34">
        <f t="shared" si="18"/>
        <v>0</v>
      </c>
      <c r="AE26" s="31">
        <f t="shared" si="18"/>
        <v>12.5</v>
      </c>
      <c r="AF26" s="31">
        <f t="shared" si="18"/>
        <v>13.5</v>
      </c>
    </row>
    <row r="27" spans="2:32" ht="23.1" customHeight="1" x14ac:dyDescent="0.25">
      <c r="B27" s="23" t="s">
        <v>54</v>
      </c>
      <c r="C27" s="49">
        <f>AVERAGE('17.10 GALIRAYA-KAYUNGA'!C27,'18.10 GALIRAYA-KAYUNGA'!C27,'19.10 GALIRAYA-KAYUNGA-24h'!C27,'20.10 GALIRAYA-KAYUNGA'!C27,'21.10 GALIRAYA-KAYUNGA-24h'!C27,'22.10 GALIRAYA-KAYUNGA'!C27,'23.10 GALIRAYA-KAYUNGA'!C27)</f>
        <v>0.5714285714285714</v>
      </c>
      <c r="D27" s="49">
        <f>AVERAGE('17.10 GALIRAYA-KAYUNGA'!D27,'18.10 GALIRAYA-KAYUNGA'!D27,'19.10 GALIRAYA-KAYUNGA-24h'!D27,'20.10 GALIRAYA-KAYUNGA'!D27,'21.10 GALIRAYA-KAYUNGA-24h'!D27,'22.10 GALIRAYA-KAYUNGA'!D27,'23.10 GALIRAYA-KAYUNGA'!D27)</f>
        <v>0.2857142857142857</v>
      </c>
      <c r="E27" s="49">
        <f>AVERAGE('17.10 GALIRAYA-KAYUNGA'!E27,'18.10 GALIRAYA-KAYUNGA'!E27,'19.10 GALIRAYA-KAYUNGA-24h'!E27,'20.10 GALIRAYA-KAYUNGA'!E27,'21.10 GALIRAYA-KAYUNGA-24h'!E27,'22.10 GALIRAYA-KAYUNGA'!E27,'23.10 GALIRAYA-KAYUNGA'!E27)</f>
        <v>0.2857142857142857</v>
      </c>
      <c r="F27" s="49">
        <f>AVERAGE('17.10 GALIRAYA-KAYUNGA'!F27,'18.10 GALIRAYA-KAYUNGA'!F27,'19.10 GALIRAYA-KAYUNGA-24h'!F27,'20.10 GALIRAYA-KAYUNGA'!F27,'21.10 GALIRAYA-KAYUNGA-24h'!F27,'22.10 GALIRAYA-KAYUNGA'!F27,'23.10 GALIRAYA-KAYUNGA'!F27)</f>
        <v>0.8571428571428571</v>
      </c>
      <c r="G27" s="49">
        <f>AVERAGE('17.10 GALIRAYA-KAYUNGA'!G27,'18.10 GALIRAYA-KAYUNGA'!G27,'19.10 GALIRAYA-KAYUNGA-24h'!G27,'20.10 GALIRAYA-KAYUNGA'!G27,'21.10 GALIRAYA-KAYUNGA-24h'!G27,'22.10 GALIRAYA-KAYUNGA'!G27,'23.10 GALIRAYA-KAYUNGA'!G27)</f>
        <v>0</v>
      </c>
      <c r="H27" s="49">
        <f>AVERAGE('17.10 GALIRAYA-KAYUNGA'!H27,'18.10 GALIRAYA-KAYUNGA'!H27,'19.10 GALIRAYA-KAYUNGA-24h'!H27,'20.10 GALIRAYA-KAYUNGA'!H27,'21.10 GALIRAYA-KAYUNGA-24h'!H27,'22.10 GALIRAYA-KAYUNGA'!H27,'23.10 GALIRAYA-KAYUNGA'!H27)</f>
        <v>0</v>
      </c>
      <c r="I27" s="49">
        <f>AVERAGE('17.10 GALIRAYA-KAYUNGA'!I27,'18.10 GALIRAYA-KAYUNGA'!I27,'19.10 GALIRAYA-KAYUNGA-24h'!I27,'20.10 GALIRAYA-KAYUNGA'!I27,'21.10 GALIRAYA-KAYUNGA-24h'!I27,'22.10 GALIRAYA-KAYUNGA'!I27,'23.10 GALIRAYA-KAYUNGA'!I27)</f>
        <v>0.2857142857142857</v>
      </c>
      <c r="J27" s="49">
        <f>AVERAGE('17.10 GALIRAYA-KAYUNGA'!J27,'18.10 GALIRAYA-KAYUNGA'!J27,'19.10 GALIRAYA-KAYUNGA-24h'!J27,'20.10 GALIRAYA-KAYUNGA'!J27,'21.10 GALIRAYA-KAYUNGA-24h'!J27,'22.10 GALIRAYA-KAYUNGA'!J27,'23.10 GALIRAYA-KAYUNGA'!J27)</f>
        <v>0.2857142857142857</v>
      </c>
      <c r="K27" s="49">
        <f>AVERAGE('17.10 GALIRAYA-KAYUNGA'!K27,'18.10 GALIRAYA-KAYUNGA'!K27,'19.10 GALIRAYA-KAYUNGA-24h'!K27,'20.10 GALIRAYA-KAYUNGA'!K27,'21.10 GALIRAYA-KAYUNGA-24h'!K27,'22.10 GALIRAYA-KAYUNGA'!K27,'23.10 GALIRAYA-KAYUNGA'!K27)</f>
        <v>0</v>
      </c>
      <c r="L27" s="49">
        <f>AVERAGE('17.10 GALIRAYA-KAYUNGA'!L27,'18.10 GALIRAYA-KAYUNGA'!L27,'19.10 GALIRAYA-KAYUNGA-24h'!L27,'20.10 GALIRAYA-KAYUNGA'!L27,'21.10 GALIRAYA-KAYUNGA-24h'!L27,'22.10 GALIRAYA-KAYUNGA'!L27,'23.10 GALIRAYA-KAYUNGA'!L27)</f>
        <v>0</v>
      </c>
      <c r="M27" s="49">
        <f>AVERAGE('17.10 GALIRAYA-KAYUNGA'!M27,'18.10 GALIRAYA-KAYUNGA'!M27,'19.10 GALIRAYA-KAYUNGA-24h'!M27,'20.10 GALIRAYA-KAYUNGA'!M27,'21.10 GALIRAYA-KAYUNGA-24h'!M27,'22.10 GALIRAYA-KAYUNGA'!M27,'23.10 GALIRAYA-KAYUNGA'!M27)</f>
        <v>11.428571428571429</v>
      </c>
      <c r="N27" s="49">
        <f>AVERAGE('17.10 GALIRAYA-KAYUNGA'!N27,'18.10 GALIRAYA-KAYUNGA'!N27,'19.10 GALIRAYA-KAYUNGA-24h'!N27,'20.10 GALIRAYA-KAYUNGA'!N27,'21.10 GALIRAYA-KAYUNGA-24h'!N27,'22.10 GALIRAYA-KAYUNGA'!N27,'23.10 GALIRAYA-KAYUNGA'!N27)</f>
        <v>0</v>
      </c>
      <c r="O27" s="15">
        <f t="shared" si="0"/>
        <v>2.5714285714285712</v>
      </c>
      <c r="P27" s="15">
        <f t="shared" si="1"/>
        <v>14</v>
      </c>
      <c r="R27" s="1" t="s">
        <v>151</v>
      </c>
      <c r="S27" s="34">
        <f>SUM(C78:C81)</f>
        <v>1</v>
      </c>
      <c r="T27" s="34">
        <f t="shared" ref="T27:AF27" si="19">SUM(D78:D81)</f>
        <v>1</v>
      </c>
      <c r="U27" s="34">
        <f t="shared" si="19"/>
        <v>0.5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2.5</v>
      </c>
      <c r="Z27" s="34">
        <f t="shared" si="19"/>
        <v>4.5</v>
      </c>
      <c r="AA27" s="34">
        <f t="shared" si="19"/>
        <v>5</v>
      </c>
      <c r="AB27" s="34">
        <f t="shared" si="19"/>
        <v>0.5</v>
      </c>
      <c r="AC27" s="34">
        <f t="shared" si="19"/>
        <v>2</v>
      </c>
      <c r="AD27" s="34">
        <f t="shared" si="19"/>
        <v>0</v>
      </c>
      <c r="AE27" s="31">
        <f t="shared" si="19"/>
        <v>15.5</v>
      </c>
      <c r="AF27" s="31">
        <f t="shared" si="19"/>
        <v>17.5</v>
      </c>
    </row>
    <row r="28" spans="2:32" ht="23.1" customHeight="1" x14ac:dyDescent="0.25">
      <c r="B28" s="23" t="s">
        <v>55</v>
      </c>
      <c r="C28" s="49">
        <f>AVERAGE('17.10 GALIRAYA-KAYUNGA'!C28,'18.10 GALIRAYA-KAYUNGA'!C28,'19.10 GALIRAYA-KAYUNGA-24h'!C28,'20.10 GALIRAYA-KAYUNGA'!C28,'21.10 GALIRAYA-KAYUNGA-24h'!C28,'22.10 GALIRAYA-KAYUNGA'!C28,'23.10 GALIRAYA-KAYUNGA'!C28)</f>
        <v>0.7142857142857143</v>
      </c>
      <c r="D28" s="49">
        <f>AVERAGE('17.10 GALIRAYA-KAYUNGA'!D28,'18.10 GALIRAYA-KAYUNGA'!D28,'19.10 GALIRAYA-KAYUNGA-24h'!D28,'20.10 GALIRAYA-KAYUNGA'!D28,'21.10 GALIRAYA-KAYUNGA-24h'!D28,'22.10 GALIRAYA-KAYUNGA'!D28,'23.10 GALIRAYA-KAYUNGA'!D28)</f>
        <v>0.2857142857142857</v>
      </c>
      <c r="E28" s="49">
        <f>AVERAGE('17.10 GALIRAYA-KAYUNGA'!E28,'18.10 GALIRAYA-KAYUNGA'!E28,'19.10 GALIRAYA-KAYUNGA-24h'!E28,'20.10 GALIRAYA-KAYUNGA'!E28,'21.10 GALIRAYA-KAYUNGA-24h'!E28,'22.10 GALIRAYA-KAYUNGA'!E28,'23.10 GALIRAYA-KAYUNGA'!E28)</f>
        <v>0.2857142857142857</v>
      </c>
      <c r="F28" s="49">
        <f>AVERAGE('17.10 GALIRAYA-KAYUNGA'!F28,'18.10 GALIRAYA-KAYUNGA'!F28,'19.10 GALIRAYA-KAYUNGA-24h'!F28,'20.10 GALIRAYA-KAYUNGA'!F28,'21.10 GALIRAYA-KAYUNGA-24h'!F28,'22.10 GALIRAYA-KAYUNGA'!F28,'23.10 GALIRAYA-KAYUNGA'!F28)</f>
        <v>1.4285714285714286</v>
      </c>
      <c r="G28" s="49">
        <f>AVERAGE('17.10 GALIRAYA-KAYUNGA'!G28,'18.10 GALIRAYA-KAYUNGA'!G28,'19.10 GALIRAYA-KAYUNGA-24h'!G28,'20.10 GALIRAYA-KAYUNGA'!G28,'21.10 GALIRAYA-KAYUNGA-24h'!G28,'22.10 GALIRAYA-KAYUNGA'!G28,'23.10 GALIRAYA-KAYUNGA'!G28)</f>
        <v>0</v>
      </c>
      <c r="H28" s="49">
        <f>AVERAGE('17.10 GALIRAYA-KAYUNGA'!H28,'18.10 GALIRAYA-KAYUNGA'!H28,'19.10 GALIRAYA-KAYUNGA-24h'!H28,'20.10 GALIRAYA-KAYUNGA'!H28,'21.10 GALIRAYA-KAYUNGA-24h'!H28,'22.10 GALIRAYA-KAYUNGA'!H28,'23.10 GALIRAYA-KAYUNGA'!H28)</f>
        <v>0</v>
      </c>
      <c r="I28" s="49">
        <f>AVERAGE('17.10 GALIRAYA-KAYUNGA'!I28,'18.10 GALIRAYA-KAYUNGA'!I28,'19.10 GALIRAYA-KAYUNGA-24h'!I28,'20.10 GALIRAYA-KAYUNGA'!I28,'21.10 GALIRAYA-KAYUNGA-24h'!I28,'22.10 GALIRAYA-KAYUNGA'!I28,'23.10 GALIRAYA-KAYUNGA'!I28)</f>
        <v>0.42857142857142855</v>
      </c>
      <c r="J28" s="49">
        <f>AVERAGE('17.10 GALIRAYA-KAYUNGA'!J28,'18.10 GALIRAYA-KAYUNGA'!J28,'19.10 GALIRAYA-KAYUNGA-24h'!J28,'20.10 GALIRAYA-KAYUNGA'!J28,'21.10 GALIRAYA-KAYUNGA-24h'!J28,'22.10 GALIRAYA-KAYUNGA'!J28,'23.10 GALIRAYA-KAYUNGA'!J28)</f>
        <v>0.42857142857142855</v>
      </c>
      <c r="K28" s="49">
        <f>AVERAGE('17.10 GALIRAYA-KAYUNGA'!K28,'18.10 GALIRAYA-KAYUNGA'!K28,'19.10 GALIRAYA-KAYUNGA-24h'!K28,'20.10 GALIRAYA-KAYUNGA'!K28,'21.10 GALIRAYA-KAYUNGA-24h'!K28,'22.10 GALIRAYA-KAYUNGA'!K28,'23.10 GALIRAYA-KAYUNGA'!K28)</f>
        <v>0.14285714285714285</v>
      </c>
      <c r="L28" s="49">
        <f>AVERAGE('17.10 GALIRAYA-KAYUNGA'!L28,'18.10 GALIRAYA-KAYUNGA'!L28,'19.10 GALIRAYA-KAYUNGA-24h'!L28,'20.10 GALIRAYA-KAYUNGA'!L28,'21.10 GALIRAYA-KAYUNGA-24h'!L28,'22.10 GALIRAYA-KAYUNGA'!L28,'23.10 GALIRAYA-KAYUNGA'!L28)</f>
        <v>0</v>
      </c>
      <c r="M28" s="49">
        <f>AVERAGE('17.10 GALIRAYA-KAYUNGA'!M28,'18.10 GALIRAYA-KAYUNGA'!M28,'19.10 GALIRAYA-KAYUNGA-24h'!M28,'20.10 GALIRAYA-KAYUNGA'!M28,'21.10 GALIRAYA-KAYUNGA-24h'!M28,'22.10 GALIRAYA-KAYUNGA'!M28,'23.10 GALIRAYA-KAYUNGA'!M28)</f>
        <v>11.428571428571429</v>
      </c>
      <c r="N28" s="49">
        <f>AVERAGE('17.10 GALIRAYA-KAYUNGA'!N28,'18.10 GALIRAYA-KAYUNGA'!N28,'19.10 GALIRAYA-KAYUNGA-24h'!N28,'20.10 GALIRAYA-KAYUNGA'!N28,'21.10 GALIRAYA-KAYUNGA-24h'!N28,'22.10 GALIRAYA-KAYUNGA'!N28,'23.10 GALIRAYA-KAYUNGA'!N28)</f>
        <v>0</v>
      </c>
      <c r="O28" s="15">
        <f t="shared" si="0"/>
        <v>3.714285714285714</v>
      </c>
      <c r="P28" s="15">
        <f t="shared" si="1"/>
        <v>15.142857142857142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0.5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0.5</v>
      </c>
      <c r="AA28" s="34">
        <f t="shared" si="20"/>
        <v>1.5</v>
      </c>
      <c r="AB28" s="34">
        <f t="shared" si="20"/>
        <v>0</v>
      </c>
      <c r="AC28" s="34">
        <f t="shared" si="20"/>
        <v>1.5</v>
      </c>
      <c r="AD28" s="34">
        <f t="shared" si="20"/>
        <v>0</v>
      </c>
      <c r="AE28" s="31">
        <f t="shared" si="20"/>
        <v>3.5</v>
      </c>
      <c r="AF28" s="31">
        <f t="shared" si="20"/>
        <v>5</v>
      </c>
    </row>
    <row r="29" spans="2:32" ht="23.1" customHeight="1" x14ac:dyDescent="0.25">
      <c r="B29" s="23" t="s">
        <v>56</v>
      </c>
      <c r="C29" s="49">
        <f>AVERAGE('17.10 GALIRAYA-KAYUNGA'!C29,'18.10 GALIRAYA-KAYUNGA'!C29,'19.10 GALIRAYA-KAYUNGA-24h'!C29,'20.10 GALIRAYA-KAYUNGA'!C29,'21.10 GALIRAYA-KAYUNGA-24h'!C29,'22.10 GALIRAYA-KAYUNGA'!C29,'23.10 GALIRAYA-KAYUNGA'!C29)</f>
        <v>0.5714285714285714</v>
      </c>
      <c r="D29" s="49">
        <f>AVERAGE('17.10 GALIRAYA-KAYUNGA'!D29,'18.10 GALIRAYA-KAYUNGA'!D29,'19.10 GALIRAYA-KAYUNGA-24h'!D29,'20.10 GALIRAYA-KAYUNGA'!D29,'21.10 GALIRAYA-KAYUNGA-24h'!D29,'22.10 GALIRAYA-KAYUNGA'!D29,'23.10 GALIRAYA-KAYUNGA'!D29)</f>
        <v>0</v>
      </c>
      <c r="E29" s="49">
        <f>AVERAGE('17.10 GALIRAYA-KAYUNGA'!E29,'18.10 GALIRAYA-KAYUNGA'!E29,'19.10 GALIRAYA-KAYUNGA-24h'!E29,'20.10 GALIRAYA-KAYUNGA'!E29,'21.10 GALIRAYA-KAYUNGA-24h'!E29,'22.10 GALIRAYA-KAYUNGA'!E29,'23.10 GALIRAYA-KAYUNGA'!E29)</f>
        <v>0.42857142857142855</v>
      </c>
      <c r="F29" s="49">
        <f>AVERAGE('17.10 GALIRAYA-KAYUNGA'!F29,'18.10 GALIRAYA-KAYUNGA'!F29,'19.10 GALIRAYA-KAYUNGA-24h'!F29,'20.10 GALIRAYA-KAYUNGA'!F29,'21.10 GALIRAYA-KAYUNGA-24h'!F29,'22.10 GALIRAYA-KAYUNGA'!F29,'23.10 GALIRAYA-KAYUNGA'!F29)</f>
        <v>0.8571428571428571</v>
      </c>
      <c r="G29" s="49">
        <f>AVERAGE('17.10 GALIRAYA-KAYUNGA'!G29,'18.10 GALIRAYA-KAYUNGA'!G29,'19.10 GALIRAYA-KAYUNGA-24h'!G29,'20.10 GALIRAYA-KAYUNGA'!G29,'21.10 GALIRAYA-KAYUNGA-24h'!G29,'22.10 GALIRAYA-KAYUNGA'!G29,'23.10 GALIRAYA-KAYUNGA'!G29)</f>
        <v>0.14285714285714285</v>
      </c>
      <c r="H29" s="49">
        <f>AVERAGE('17.10 GALIRAYA-KAYUNGA'!H29,'18.10 GALIRAYA-KAYUNGA'!H29,'19.10 GALIRAYA-KAYUNGA-24h'!H29,'20.10 GALIRAYA-KAYUNGA'!H29,'21.10 GALIRAYA-KAYUNGA-24h'!H29,'22.10 GALIRAYA-KAYUNGA'!H29,'23.10 GALIRAYA-KAYUNGA'!H29)</f>
        <v>0</v>
      </c>
      <c r="I29" s="49">
        <f>AVERAGE('17.10 GALIRAYA-KAYUNGA'!I29,'18.10 GALIRAYA-KAYUNGA'!I29,'19.10 GALIRAYA-KAYUNGA-24h'!I29,'20.10 GALIRAYA-KAYUNGA'!I29,'21.10 GALIRAYA-KAYUNGA-24h'!I29,'22.10 GALIRAYA-KAYUNGA'!I29,'23.10 GALIRAYA-KAYUNGA'!I29)</f>
        <v>0.7142857142857143</v>
      </c>
      <c r="J29" s="49">
        <f>AVERAGE('17.10 GALIRAYA-KAYUNGA'!J29,'18.10 GALIRAYA-KAYUNGA'!J29,'19.10 GALIRAYA-KAYUNGA-24h'!J29,'20.10 GALIRAYA-KAYUNGA'!J29,'21.10 GALIRAYA-KAYUNGA-24h'!J29,'22.10 GALIRAYA-KAYUNGA'!J29,'23.10 GALIRAYA-KAYUNGA'!J29)</f>
        <v>0.14285714285714285</v>
      </c>
      <c r="K29" s="49">
        <f>AVERAGE('17.10 GALIRAYA-KAYUNGA'!K29,'18.10 GALIRAYA-KAYUNGA'!K29,'19.10 GALIRAYA-KAYUNGA-24h'!K29,'20.10 GALIRAYA-KAYUNGA'!K29,'21.10 GALIRAYA-KAYUNGA-24h'!K29,'22.10 GALIRAYA-KAYUNGA'!K29,'23.10 GALIRAYA-KAYUNGA'!K29)</f>
        <v>0</v>
      </c>
      <c r="L29" s="49">
        <f>AVERAGE('17.10 GALIRAYA-KAYUNGA'!L29,'18.10 GALIRAYA-KAYUNGA'!L29,'19.10 GALIRAYA-KAYUNGA-24h'!L29,'20.10 GALIRAYA-KAYUNGA'!L29,'21.10 GALIRAYA-KAYUNGA-24h'!L29,'22.10 GALIRAYA-KAYUNGA'!L29,'23.10 GALIRAYA-KAYUNGA'!L29)</f>
        <v>0.14285714285714285</v>
      </c>
      <c r="M29" s="49">
        <f>AVERAGE('17.10 GALIRAYA-KAYUNGA'!M29,'18.10 GALIRAYA-KAYUNGA'!M29,'19.10 GALIRAYA-KAYUNGA-24h'!M29,'20.10 GALIRAYA-KAYUNGA'!M29,'21.10 GALIRAYA-KAYUNGA-24h'!M29,'22.10 GALIRAYA-KAYUNGA'!M29,'23.10 GALIRAYA-KAYUNGA'!M29)</f>
        <v>11.571428571428571</v>
      </c>
      <c r="N29" s="49">
        <f>AVERAGE('17.10 GALIRAYA-KAYUNGA'!N29,'18.10 GALIRAYA-KAYUNGA'!N29,'19.10 GALIRAYA-KAYUNGA-24h'!N29,'20.10 GALIRAYA-KAYUNGA'!N29,'21.10 GALIRAYA-KAYUNGA-24h'!N29,'22.10 GALIRAYA-KAYUNGA'!N29,'23.10 GALIRAYA-KAYUNGA'!N29)</f>
        <v>0</v>
      </c>
      <c r="O29" s="15">
        <f t="shared" si="0"/>
        <v>3</v>
      </c>
      <c r="P29" s="15">
        <f t="shared" si="1"/>
        <v>14.571428571428571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0.5</v>
      </c>
      <c r="AA29" s="34">
        <f t="shared" si="21"/>
        <v>0.5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3.5</v>
      </c>
      <c r="AF29" s="31">
        <f t="shared" si="21"/>
        <v>3.5</v>
      </c>
    </row>
    <row r="30" spans="2:32" ht="23.1" customHeight="1" x14ac:dyDescent="0.25">
      <c r="B30" s="23" t="s">
        <v>57</v>
      </c>
      <c r="C30" s="49">
        <f>AVERAGE('17.10 GALIRAYA-KAYUNGA'!C30,'18.10 GALIRAYA-KAYUNGA'!C30,'19.10 GALIRAYA-KAYUNGA-24h'!C30,'20.10 GALIRAYA-KAYUNGA'!C30,'21.10 GALIRAYA-KAYUNGA-24h'!C30,'22.10 GALIRAYA-KAYUNGA'!C30,'23.10 GALIRAYA-KAYUNGA'!C30)</f>
        <v>0.7142857142857143</v>
      </c>
      <c r="D30" s="49">
        <f>AVERAGE('17.10 GALIRAYA-KAYUNGA'!D30,'18.10 GALIRAYA-KAYUNGA'!D30,'19.10 GALIRAYA-KAYUNGA-24h'!D30,'20.10 GALIRAYA-KAYUNGA'!D30,'21.10 GALIRAYA-KAYUNGA-24h'!D30,'22.10 GALIRAYA-KAYUNGA'!D30,'23.10 GALIRAYA-KAYUNGA'!D30)</f>
        <v>0.2857142857142857</v>
      </c>
      <c r="E30" s="49">
        <f>AVERAGE('17.10 GALIRAYA-KAYUNGA'!E30,'18.10 GALIRAYA-KAYUNGA'!E30,'19.10 GALIRAYA-KAYUNGA-24h'!E30,'20.10 GALIRAYA-KAYUNGA'!E30,'21.10 GALIRAYA-KAYUNGA-24h'!E30,'22.10 GALIRAYA-KAYUNGA'!E30,'23.10 GALIRAYA-KAYUNGA'!E30)</f>
        <v>0.2857142857142857</v>
      </c>
      <c r="F30" s="49">
        <f>AVERAGE('17.10 GALIRAYA-KAYUNGA'!F30,'18.10 GALIRAYA-KAYUNGA'!F30,'19.10 GALIRAYA-KAYUNGA-24h'!F30,'20.10 GALIRAYA-KAYUNGA'!F30,'21.10 GALIRAYA-KAYUNGA-24h'!F30,'22.10 GALIRAYA-KAYUNGA'!F30,'23.10 GALIRAYA-KAYUNGA'!F30)</f>
        <v>1.2857142857142858</v>
      </c>
      <c r="G30" s="49">
        <f>AVERAGE('17.10 GALIRAYA-KAYUNGA'!G30,'18.10 GALIRAYA-KAYUNGA'!G30,'19.10 GALIRAYA-KAYUNGA-24h'!G30,'20.10 GALIRAYA-KAYUNGA'!G30,'21.10 GALIRAYA-KAYUNGA-24h'!G30,'22.10 GALIRAYA-KAYUNGA'!G30,'23.10 GALIRAYA-KAYUNGA'!G30)</f>
        <v>0</v>
      </c>
      <c r="H30" s="49">
        <f>AVERAGE('17.10 GALIRAYA-KAYUNGA'!H30,'18.10 GALIRAYA-KAYUNGA'!H30,'19.10 GALIRAYA-KAYUNGA-24h'!H30,'20.10 GALIRAYA-KAYUNGA'!H30,'21.10 GALIRAYA-KAYUNGA-24h'!H30,'22.10 GALIRAYA-KAYUNGA'!H30,'23.10 GALIRAYA-KAYUNGA'!H30)</f>
        <v>0</v>
      </c>
      <c r="I30" s="49">
        <f>AVERAGE('17.10 GALIRAYA-KAYUNGA'!I30,'18.10 GALIRAYA-KAYUNGA'!I30,'19.10 GALIRAYA-KAYUNGA-24h'!I30,'20.10 GALIRAYA-KAYUNGA'!I30,'21.10 GALIRAYA-KAYUNGA-24h'!I30,'22.10 GALIRAYA-KAYUNGA'!I30,'23.10 GALIRAYA-KAYUNGA'!I30)</f>
        <v>0.5714285714285714</v>
      </c>
      <c r="J30" s="49">
        <f>AVERAGE('17.10 GALIRAYA-KAYUNGA'!J30,'18.10 GALIRAYA-KAYUNGA'!J30,'19.10 GALIRAYA-KAYUNGA-24h'!J30,'20.10 GALIRAYA-KAYUNGA'!J30,'21.10 GALIRAYA-KAYUNGA-24h'!J30,'22.10 GALIRAYA-KAYUNGA'!J30,'23.10 GALIRAYA-KAYUNGA'!J30)</f>
        <v>0.42857142857142855</v>
      </c>
      <c r="K30" s="49">
        <f>AVERAGE('17.10 GALIRAYA-KAYUNGA'!K30,'18.10 GALIRAYA-KAYUNGA'!K30,'19.10 GALIRAYA-KAYUNGA-24h'!K30,'20.10 GALIRAYA-KAYUNGA'!K30,'21.10 GALIRAYA-KAYUNGA-24h'!K30,'22.10 GALIRAYA-KAYUNGA'!K30,'23.10 GALIRAYA-KAYUNGA'!K30)</f>
        <v>0.14285714285714285</v>
      </c>
      <c r="L30" s="49">
        <f>AVERAGE('17.10 GALIRAYA-KAYUNGA'!L30,'18.10 GALIRAYA-KAYUNGA'!L30,'19.10 GALIRAYA-KAYUNGA-24h'!L30,'20.10 GALIRAYA-KAYUNGA'!L30,'21.10 GALIRAYA-KAYUNGA-24h'!L30,'22.10 GALIRAYA-KAYUNGA'!L30,'23.10 GALIRAYA-KAYUNGA'!L30)</f>
        <v>0</v>
      </c>
      <c r="M30" s="49">
        <f>AVERAGE('17.10 GALIRAYA-KAYUNGA'!M30,'18.10 GALIRAYA-KAYUNGA'!M30,'19.10 GALIRAYA-KAYUNGA-24h'!M30,'20.10 GALIRAYA-KAYUNGA'!M30,'21.10 GALIRAYA-KAYUNGA-24h'!M30,'22.10 GALIRAYA-KAYUNGA'!M30,'23.10 GALIRAYA-KAYUNGA'!M30)</f>
        <v>12.285714285714286</v>
      </c>
      <c r="N30" s="49">
        <f>AVERAGE('17.10 GALIRAYA-KAYUNGA'!N30,'18.10 GALIRAYA-KAYUNGA'!N30,'19.10 GALIRAYA-KAYUNGA-24h'!N30,'20.10 GALIRAYA-KAYUNGA'!N30,'21.10 GALIRAYA-KAYUNGA-24h'!N30,'22.10 GALIRAYA-KAYUNGA'!N30,'23.10 GALIRAYA-KAYUNGA'!N30)</f>
        <v>0</v>
      </c>
      <c r="O30" s="15">
        <f t="shared" si="0"/>
        <v>3.7142857142857135</v>
      </c>
      <c r="P30" s="15">
        <f t="shared" si="1"/>
        <v>16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1.5</v>
      </c>
      <c r="AA30" s="34">
        <f t="shared" si="22"/>
        <v>0.5</v>
      </c>
      <c r="AB30" s="34">
        <f t="shared" si="22"/>
        <v>0</v>
      </c>
      <c r="AC30" s="34">
        <f t="shared" si="22"/>
        <v>0.5</v>
      </c>
      <c r="AD30" s="34">
        <f t="shared" si="22"/>
        <v>0</v>
      </c>
      <c r="AE30" s="31">
        <f t="shared" si="22"/>
        <v>3</v>
      </c>
      <c r="AF30" s="31">
        <f t="shared" si="22"/>
        <v>3.5</v>
      </c>
    </row>
    <row r="31" spans="2:32" ht="23.1" customHeight="1" x14ac:dyDescent="0.25">
      <c r="B31" s="24" t="s">
        <v>58</v>
      </c>
      <c r="C31" s="49">
        <f>AVERAGE('17.10 GALIRAYA-KAYUNGA'!C31,'18.10 GALIRAYA-KAYUNGA'!C31,'19.10 GALIRAYA-KAYUNGA-24h'!C31,'20.10 GALIRAYA-KAYUNGA'!C31,'21.10 GALIRAYA-KAYUNGA-24h'!C31,'22.10 GALIRAYA-KAYUNGA'!C31,'23.10 GALIRAYA-KAYUNGA'!C31)</f>
        <v>0.8571428571428571</v>
      </c>
      <c r="D31" s="49">
        <f>AVERAGE('17.10 GALIRAYA-KAYUNGA'!D31,'18.10 GALIRAYA-KAYUNGA'!D31,'19.10 GALIRAYA-KAYUNGA-24h'!D31,'20.10 GALIRAYA-KAYUNGA'!D31,'21.10 GALIRAYA-KAYUNGA-24h'!D31,'22.10 GALIRAYA-KAYUNGA'!D31,'23.10 GALIRAYA-KAYUNGA'!D31)</f>
        <v>0.42857142857142855</v>
      </c>
      <c r="E31" s="49">
        <f>AVERAGE('17.10 GALIRAYA-KAYUNGA'!E31,'18.10 GALIRAYA-KAYUNGA'!E31,'19.10 GALIRAYA-KAYUNGA-24h'!E31,'20.10 GALIRAYA-KAYUNGA'!E31,'21.10 GALIRAYA-KAYUNGA-24h'!E31,'22.10 GALIRAYA-KAYUNGA'!E31,'23.10 GALIRAYA-KAYUNGA'!E31)</f>
        <v>0.2857142857142857</v>
      </c>
      <c r="F31" s="49">
        <f>AVERAGE('17.10 GALIRAYA-KAYUNGA'!F31,'18.10 GALIRAYA-KAYUNGA'!F31,'19.10 GALIRAYA-KAYUNGA-24h'!F31,'20.10 GALIRAYA-KAYUNGA'!F31,'21.10 GALIRAYA-KAYUNGA-24h'!F31,'22.10 GALIRAYA-KAYUNGA'!F31,'23.10 GALIRAYA-KAYUNGA'!F31)</f>
        <v>0.8571428571428571</v>
      </c>
      <c r="G31" s="49">
        <f>AVERAGE('17.10 GALIRAYA-KAYUNGA'!G31,'18.10 GALIRAYA-KAYUNGA'!G31,'19.10 GALIRAYA-KAYUNGA-24h'!G31,'20.10 GALIRAYA-KAYUNGA'!G31,'21.10 GALIRAYA-KAYUNGA-24h'!G31,'22.10 GALIRAYA-KAYUNGA'!G31,'23.10 GALIRAYA-KAYUNGA'!G31)</f>
        <v>0</v>
      </c>
      <c r="H31" s="49">
        <f>AVERAGE('17.10 GALIRAYA-KAYUNGA'!H31,'18.10 GALIRAYA-KAYUNGA'!H31,'19.10 GALIRAYA-KAYUNGA-24h'!H31,'20.10 GALIRAYA-KAYUNGA'!H31,'21.10 GALIRAYA-KAYUNGA-24h'!H31,'22.10 GALIRAYA-KAYUNGA'!H31,'23.10 GALIRAYA-KAYUNGA'!H31)</f>
        <v>0</v>
      </c>
      <c r="I31" s="49">
        <f>AVERAGE('17.10 GALIRAYA-KAYUNGA'!I31,'18.10 GALIRAYA-KAYUNGA'!I31,'19.10 GALIRAYA-KAYUNGA-24h'!I31,'20.10 GALIRAYA-KAYUNGA'!I31,'21.10 GALIRAYA-KAYUNGA-24h'!I31,'22.10 GALIRAYA-KAYUNGA'!I31,'23.10 GALIRAYA-KAYUNGA'!I31)</f>
        <v>0.14285714285714285</v>
      </c>
      <c r="J31" s="49">
        <f>AVERAGE('17.10 GALIRAYA-KAYUNGA'!J31,'18.10 GALIRAYA-KAYUNGA'!J31,'19.10 GALIRAYA-KAYUNGA-24h'!J31,'20.10 GALIRAYA-KAYUNGA'!J31,'21.10 GALIRAYA-KAYUNGA-24h'!J31,'22.10 GALIRAYA-KAYUNGA'!J31,'23.10 GALIRAYA-KAYUNGA'!J31)</f>
        <v>0.14285714285714285</v>
      </c>
      <c r="K31" s="49">
        <f>AVERAGE('17.10 GALIRAYA-KAYUNGA'!K31,'18.10 GALIRAYA-KAYUNGA'!K31,'19.10 GALIRAYA-KAYUNGA-24h'!K31,'20.10 GALIRAYA-KAYUNGA'!K31,'21.10 GALIRAYA-KAYUNGA-24h'!K31,'22.10 GALIRAYA-KAYUNGA'!K31,'23.10 GALIRAYA-KAYUNGA'!K31)</f>
        <v>0</v>
      </c>
      <c r="L31" s="49">
        <f>AVERAGE('17.10 GALIRAYA-KAYUNGA'!L31,'18.10 GALIRAYA-KAYUNGA'!L31,'19.10 GALIRAYA-KAYUNGA-24h'!L31,'20.10 GALIRAYA-KAYUNGA'!L31,'21.10 GALIRAYA-KAYUNGA-24h'!L31,'22.10 GALIRAYA-KAYUNGA'!L31,'23.10 GALIRAYA-KAYUNGA'!L31)</f>
        <v>0.14285714285714285</v>
      </c>
      <c r="M31" s="49">
        <f>AVERAGE('17.10 GALIRAYA-KAYUNGA'!M31,'18.10 GALIRAYA-KAYUNGA'!M31,'19.10 GALIRAYA-KAYUNGA-24h'!M31,'20.10 GALIRAYA-KAYUNGA'!M31,'21.10 GALIRAYA-KAYUNGA-24h'!M31,'22.10 GALIRAYA-KAYUNGA'!M31,'23.10 GALIRAYA-KAYUNGA'!M31)</f>
        <v>9.8571428571428577</v>
      </c>
      <c r="N31" s="49">
        <f>AVERAGE('17.10 GALIRAYA-KAYUNGA'!N31,'18.10 GALIRAYA-KAYUNGA'!N31,'19.10 GALIRAYA-KAYUNGA-24h'!N31,'20.10 GALIRAYA-KAYUNGA'!N31,'21.10 GALIRAYA-KAYUNGA-24h'!N31,'22.10 GALIRAYA-KAYUNGA'!N31,'23.10 GALIRAYA-KAYUNGA'!N31)</f>
        <v>0.14285714285714285</v>
      </c>
      <c r="O31" s="15">
        <f t="shared" si="0"/>
        <v>2.9999999999999996</v>
      </c>
      <c r="P31" s="15">
        <f t="shared" si="1"/>
        <v>12.857142857142858</v>
      </c>
      <c r="R31" s="1" t="s">
        <v>155</v>
      </c>
      <c r="S31" s="34">
        <f>SUM(C94:C97)</f>
        <v>0.5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1.5</v>
      </c>
      <c r="Z31" s="34">
        <f t="shared" si="23"/>
        <v>1</v>
      </c>
      <c r="AA31" s="34">
        <f t="shared" si="23"/>
        <v>0</v>
      </c>
      <c r="AB31" s="34">
        <f t="shared" si="23"/>
        <v>0.5</v>
      </c>
      <c r="AC31" s="34">
        <f t="shared" si="23"/>
        <v>0</v>
      </c>
      <c r="AD31" s="34">
        <f t="shared" si="23"/>
        <v>0</v>
      </c>
      <c r="AE31" s="31">
        <f t="shared" si="23"/>
        <v>4</v>
      </c>
      <c r="AF31" s="31">
        <f t="shared" si="23"/>
        <v>4</v>
      </c>
    </row>
    <row r="32" spans="2:32" ht="23.1" customHeight="1" x14ac:dyDescent="0.25">
      <c r="B32" s="24" t="s">
        <v>59</v>
      </c>
      <c r="C32" s="49">
        <f>AVERAGE('17.10 GALIRAYA-KAYUNGA'!C32,'18.10 GALIRAYA-KAYUNGA'!C32,'19.10 GALIRAYA-KAYUNGA-24h'!C32,'20.10 GALIRAYA-KAYUNGA'!C32,'21.10 GALIRAYA-KAYUNGA-24h'!C32,'22.10 GALIRAYA-KAYUNGA'!C32,'23.10 GALIRAYA-KAYUNGA'!C32)</f>
        <v>1</v>
      </c>
      <c r="D32" s="49">
        <f>AVERAGE('17.10 GALIRAYA-KAYUNGA'!D32,'18.10 GALIRAYA-KAYUNGA'!D32,'19.10 GALIRAYA-KAYUNGA-24h'!D32,'20.10 GALIRAYA-KAYUNGA'!D32,'21.10 GALIRAYA-KAYUNGA-24h'!D32,'22.10 GALIRAYA-KAYUNGA'!D32,'23.10 GALIRAYA-KAYUNGA'!D32)</f>
        <v>0.42857142857142855</v>
      </c>
      <c r="E32" s="49">
        <f>AVERAGE('17.10 GALIRAYA-KAYUNGA'!E32,'18.10 GALIRAYA-KAYUNGA'!E32,'19.10 GALIRAYA-KAYUNGA-24h'!E32,'20.10 GALIRAYA-KAYUNGA'!E32,'21.10 GALIRAYA-KAYUNGA-24h'!E32,'22.10 GALIRAYA-KAYUNGA'!E32,'23.10 GALIRAYA-KAYUNGA'!E32)</f>
        <v>0.42857142857142855</v>
      </c>
      <c r="F32" s="49">
        <f>AVERAGE('17.10 GALIRAYA-KAYUNGA'!F32,'18.10 GALIRAYA-KAYUNGA'!F32,'19.10 GALIRAYA-KAYUNGA-24h'!F32,'20.10 GALIRAYA-KAYUNGA'!F32,'21.10 GALIRAYA-KAYUNGA-24h'!F32,'22.10 GALIRAYA-KAYUNGA'!F32,'23.10 GALIRAYA-KAYUNGA'!F32)</f>
        <v>1.5714285714285714</v>
      </c>
      <c r="G32" s="49">
        <f>AVERAGE('17.10 GALIRAYA-KAYUNGA'!G32,'18.10 GALIRAYA-KAYUNGA'!G32,'19.10 GALIRAYA-KAYUNGA-24h'!G32,'20.10 GALIRAYA-KAYUNGA'!G32,'21.10 GALIRAYA-KAYUNGA-24h'!G32,'22.10 GALIRAYA-KAYUNGA'!G32,'23.10 GALIRAYA-KAYUNGA'!G32)</f>
        <v>0.2857142857142857</v>
      </c>
      <c r="H32" s="49">
        <f>AVERAGE('17.10 GALIRAYA-KAYUNGA'!H32,'18.10 GALIRAYA-KAYUNGA'!H32,'19.10 GALIRAYA-KAYUNGA-24h'!H32,'20.10 GALIRAYA-KAYUNGA'!H32,'21.10 GALIRAYA-KAYUNGA-24h'!H32,'22.10 GALIRAYA-KAYUNGA'!H32,'23.10 GALIRAYA-KAYUNGA'!H32)</f>
        <v>0</v>
      </c>
      <c r="I32" s="49">
        <f>AVERAGE('17.10 GALIRAYA-KAYUNGA'!I32,'18.10 GALIRAYA-KAYUNGA'!I32,'19.10 GALIRAYA-KAYUNGA-24h'!I32,'20.10 GALIRAYA-KAYUNGA'!I32,'21.10 GALIRAYA-KAYUNGA-24h'!I32,'22.10 GALIRAYA-KAYUNGA'!I32,'23.10 GALIRAYA-KAYUNGA'!I32)</f>
        <v>0.8571428571428571</v>
      </c>
      <c r="J32" s="49">
        <f>AVERAGE('17.10 GALIRAYA-KAYUNGA'!J32,'18.10 GALIRAYA-KAYUNGA'!J32,'19.10 GALIRAYA-KAYUNGA-24h'!J32,'20.10 GALIRAYA-KAYUNGA'!J32,'21.10 GALIRAYA-KAYUNGA-24h'!J32,'22.10 GALIRAYA-KAYUNGA'!J32,'23.10 GALIRAYA-KAYUNGA'!J32)</f>
        <v>0.5714285714285714</v>
      </c>
      <c r="K32" s="49">
        <f>AVERAGE('17.10 GALIRAYA-KAYUNGA'!K32,'18.10 GALIRAYA-KAYUNGA'!K32,'19.10 GALIRAYA-KAYUNGA-24h'!K32,'20.10 GALIRAYA-KAYUNGA'!K32,'21.10 GALIRAYA-KAYUNGA-24h'!K32,'22.10 GALIRAYA-KAYUNGA'!K32,'23.10 GALIRAYA-KAYUNGA'!K32)</f>
        <v>0</v>
      </c>
      <c r="L32" s="49">
        <f>AVERAGE('17.10 GALIRAYA-KAYUNGA'!L32,'18.10 GALIRAYA-KAYUNGA'!L32,'19.10 GALIRAYA-KAYUNGA-24h'!L32,'20.10 GALIRAYA-KAYUNGA'!L32,'21.10 GALIRAYA-KAYUNGA-24h'!L32,'22.10 GALIRAYA-KAYUNGA'!L32,'23.10 GALIRAYA-KAYUNGA'!L32)</f>
        <v>0.14285714285714285</v>
      </c>
      <c r="M32" s="49">
        <f>AVERAGE('17.10 GALIRAYA-KAYUNGA'!M32,'18.10 GALIRAYA-KAYUNGA'!M32,'19.10 GALIRAYA-KAYUNGA-24h'!M32,'20.10 GALIRAYA-KAYUNGA'!M32,'21.10 GALIRAYA-KAYUNGA-24h'!M32,'22.10 GALIRAYA-KAYUNGA'!M32,'23.10 GALIRAYA-KAYUNGA'!M32)</f>
        <v>13.571428571428571</v>
      </c>
      <c r="N32" s="49">
        <f>AVERAGE('17.10 GALIRAYA-KAYUNGA'!N32,'18.10 GALIRAYA-KAYUNGA'!N32,'19.10 GALIRAYA-KAYUNGA-24h'!N32,'20.10 GALIRAYA-KAYUNGA'!N32,'21.10 GALIRAYA-KAYUNGA-24h'!N32,'22.10 GALIRAYA-KAYUNGA'!N32,'23.10 GALIRAYA-KAYUNGA'!N32)</f>
        <v>0</v>
      </c>
      <c r="O32" s="15">
        <f t="shared" si="0"/>
        <v>5.2857142857142856</v>
      </c>
      <c r="P32" s="15">
        <f t="shared" si="1"/>
        <v>18.857142857142858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2</v>
      </c>
      <c r="AA32" s="34">
        <f t="shared" si="24"/>
        <v>1</v>
      </c>
      <c r="AB32" s="34">
        <f t="shared" si="24"/>
        <v>0</v>
      </c>
      <c r="AC32" s="34">
        <f t="shared" si="24"/>
        <v>3</v>
      </c>
      <c r="AD32" s="34">
        <f t="shared" si="24"/>
        <v>0</v>
      </c>
      <c r="AE32" s="31">
        <f t="shared" si="24"/>
        <v>5</v>
      </c>
      <c r="AF32" s="31">
        <f t="shared" si="24"/>
        <v>8</v>
      </c>
    </row>
    <row r="33" spans="2:32" ht="23.1" customHeight="1" x14ac:dyDescent="0.25">
      <c r="B33" s="23" t="s">
        <v>60</v>
      </c>
      <c r="C33" s="49">
        <f>AVERAGE('17.10 GALIRAYA-KAYUNGA'!C33,'18.10 GALIRAYA-KAYUNGA'!C33,'19.10 GALIRAYA-KAYUNGA-24h'!C33,'20.10 GALIRAYA-KAYUNGA'!C33,'21.10 GALIRAYA-KAYUNGA-24h'!C33,'22.10 GALIRAYA-KAYUNGA'!C33,'23.10 GALIRAYA-KAYUNGA'!C33)</f>
        <v>1.2857142857142858</v>
      </c>
      <c r="D33" s="49">
        <f>AVERAGE('17.10 GALIRAYA-KAYUNGA'!D33,'18.10 GALIRAYA-KAYUNGA'!D33,'19.10 GALIRAYA-KAYUNGA-24h'!D33,'20.10 GALIRAYA-KAYUNGA'!D33,'21.10 GALIRAYA-KAYUNGA-24h'!D33,'22.10 GALIRAYA-KAYUNGA'!D33,'23.10 GALIRAYA-KAYUNGA'!D33)</f>
        <v>0.14285714285714285</v>
      </c>
      <c r="E33" s="49">
        <f>AVERAGE('17.10 GALIRAYA-KAYUNGA'!E33,'18.10 GALIRAYA-KAYUNGA'!E33,'19.10 GALIRAYA-KAYUNGA-24h'!E33,'20.10 GALIRAYA-KAYUNGA'!E33,'21.10 GALIRAYA-KAYUNGA-24h'!E33,'22.10 GALIRAYA-KAYUNGA'!E33,'23.10 GALIRAYA-KAYUNGA'!E33)</f>
        <v>0.2857142857142857</v>
      </c>
      <c r="F33" s="49">
        <f>AVERAGE('17.10 GALIRAYA-KAYUNGA'!F33,'18.10 GALIRAYA-KAYUNGA'!F33,'19.10 GALIRAYA-KAYUNGA-24h'!F33,'20.10 GALIRAYA-KAYUNGA'!F33,'21.10 GALIRAYA-KAYUNGA-24h'!F33,'22.10 GALIRAYA-KAYUNGA'!F33,'23.10 GALIRAYA-KAYUNGA'!F33)</f>
        <v>0.42857142857142855</v>
      </c>
      <c r="G33" s="49">
        <f>AVERAGE('17.10 GALIRAYA-KAYUNGA'!G33,'18.10 GALIRAYA-KAYUNGA'!G33,'19.10 GALIRAYA-KAYUNGA-24h'!G33,'20.10 GALIRAYA-KAYUNGA'!G33,'21.10 GALIRAYA-KAYUNGA-24h'!G33,'22.10 GALIRAYA-KAYUNGA'!G33,'23.10 GALIRAYA-KAYUNGA'!G33)</f>
        <v>0.14285714285714285</v>
      </c>
      <c r="H33" s="49">
        <f>AVERAGE('17.10 GALIRAYA-KAYUNGA'!H33,'18.10 GALIRAYA-KAYUNGA'!H33,'19.10 GALIRAYA-KAYUNGA-24h'!H33,'20.10 GALIRAYA-KAYUNGA'!H33,'21.10 GALIRAYA-KAYUNGA-24h'!H33,'22.10 GALIRAYA-KAYUNGA'!H33,'23.10 GALIRAYA-KAYUNGA'!H33)</f>
        <v>0.42857142857142855</v>
      </c>
      <c r="I33" s="49">
        <f>AVERAGE('17.10 GALIRAYA-KAYUNGA'!I33,'18.10 GALIRAYA-KAYUNGA'!I33,'19.10 GALIRAYA-KAYUNGA-24h'!I33,'20.10 GALIRAYA-KAYUNGA'!I33,'21.10 GALIRAYA-KAYUNGA-24h'!I33,'22.10 GALIRAYA-KAYUNGA'!I33,'23.10 GALIRAYA-KAYUNGA'!I33)</f>
        <v>0.14285714285714285</v>
      </c>
      <c r="J33" s="49">
        <f>AVERAGE('17.10 GALIRAYA-KAYUNGA'!J33,'18.10 GALIRAYA-KAYUNGA'!J33,'19.10 GALIRAYA-KAYUNGA-24h'!J33,'20.10 GALIRAYA-KAYUNGA'!J33,'21.10 GALIRAYA-KAYUNGA-24h'!J33,'22.10 GALIRAYA-KAYUNGA'!J33,'23.10 GALIRAYA-KAYUNGA'!J33)</f>
        <v>0</v>
      </c>
      <c r="K33" s="49">
        <f>AVERAGE('17.10 GALIRAYA-KAYUNGA'!K33,'18.10 GALIRAYA-KAYUNGA'!K33,'19.10 GALIRAYA-KAYUNGA-24h'!K33,'20.10 GALIRAYA-KAYUNGA'!K33,'21.10 GALIRAYA-KAYUNGA-24h'!K33,'22.10 GALIRAYA-KAYUNGA'!K33,'23.10 GALIRAYA-KAYUNGA'!K33)</f>
        <v>0.14285714285714285</v>
      </c>
      <c r="L33" s="49">
        <f>AVERAGE('17.10 GALIRAYA-KAYUNGA'!L33,'18.10 GALIRAYA-KAYUNGA'!L33,'19.10 GALIRAYA-KAYUNGA-24h'!L33,'20.10 GALIRAYA-KAYUNGA'!L33,'21.10 GALIRAYA-KAYUNGA-24h'!L33,'22.10 GALIRAYA-KAYUNGA'!L33,'23.10 GALIRAYA-KAYUNGA'!L33)</f>
        <v>0</v>
      </c>
      <c r="M33" s="49">
        <f>AVERAGE('17.10 GALIRAYA-KAYUNGA'!M33,'18.10 GALIRAYA-KAYUNGA'!M33,'19.10 GALIRAYA-KAYUNGA-24h'!M33,'20.10 GALIRAYA-KAYUNGA'!M33,'21.10 GALIRAYA-KAYUNGA-24h'!M33,'22.10 GALIRAYA-KAYUNGA'!M33,'23.10 GALIRAYA-KAYUNGA'!M33)</f>
        <v>9.7142857142857135</v>
      </c>
      <c r="N33" s="49">
        <f>AVERAGE('17.10 GALIRAYA-KAYUNGA'!N33,'18.10 GALIRAYA-KAYUNGA'!N33,'19.10 GALIRAYA-KAYUNGA-24h'!N33,'20.10 GALIRAYA-KAYUNGA'!N33,'21.10 GALIRAYA-KAYUNGA-24h'!N33,'22.10 GALIRAYA-KAYUNGA'!N33,'23.10 GALIRAYA-KAYUNGA'!N33)</f>
        <v>0</v>
      </c>
      <c r="O33" s="15">
        <f t="shared" si="0"/>
        <v>2.9999999999999996</v>
      </c>
      <c r="P33" s="15">
        <f t="shared" si="1"/>
        <v>12.714285714285714</v>
      </c>
      <c r="R33" s="1" t="s">
        <v>157</v>
      </c>
      <c r="S33" s="34">
        <f>SUM(C102:C105)</f>
        <v>0.5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2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5</v>
      </c>
      <c r="AD33" s="34">
        <f t="shared" si="25"/>
        <v>0</v>
      </c>
      <c r="AE33" s="31">
        <f t="shared" si="25"/>
        <v>5</v>
      </c>
      <c r="AF33" s="31">
        <f t="shared" si="25"/>
        <v>10</v>
      </c>
    </row>
    <row r="34" spans="2:32" ht="23.1" customHeight="1" x14ac:dyDescent="0.25">
      <c r="B34" s="24" t="s">
        <v>61</v>
      </c>
      <c r="C34" s="49">
        <f>AVERAGE('17.10 GALIRAYA-KAYUNGA'!C34,'18.10 GALIRAYA-KAYUNGA'!C34,'19.10 GALIRAYA-KAYUNGA-24h'!C34,'20.10 GALIRAYA-KAYUNGA'!C34,'21.10 GALIRAYA-KAYUNGA-24h'!C34,'22.10 GALIRAYA-KAYUNGA'!C34,'23.10 GALIRAYA-KAYUNGA'!C34)</f>
        <v>1</v>
      </c>
      <c r="D34" s="49">
        <f>AVERAGE('17.10 GALIRAYA-KAYUNGA'!D34,'18.10 GALIRAYA-KAYUNGA'!D34,'19.10 GALIRAYA-KAYUNGA-24h'!D34,'20.10 GALIRAYA-KAYUNGA'!D34,'21.10 GALIRAYA-KAYUNGA-24h'!D34,'22.10 GALIRAYA-KAYUNGA'!D34,'23.10 GALIRAYA-KAYUNGA'!D34)</f>
        <v>0.5714285714285714</v>
      </c>
      <c r="E34" s="49">
        <f>AVERAGE('17.10 GALIRAYA-KAYUNGA'!E34,'18.10 GALIRAYA-KAYUNGA'!E34,'19.10 GALIRAYA-KAYUNGA-24h'!E34,'20.10 GALIRAYA-KAYUNGA'!E34,'21.10 GALIRAYA-KAYUNGA-24h'!E34,'22.10 GALIRAYA-KAYUNGA'!E34,'23.10 GALIRAYA-KAYUNGA'!E34)</f>
        <v>0.14285714285714285</v>
      </c>
      <c r="F34" s="49">
        <f>AVERAGE('17.10 GALIRAYA-KAYUNGA'!F34,'18.10 GALIRAYA-KAYUNGA'!F34,'19.10 GALIRAYA-KAYUNGA-24h'!F34,'20.10 GALIRAYA-KAYUNGA'!F34,'21.10 GALIRAYA-KAYUNGA-24h'!F34,'22.10 GALIRAYA-KAYUNGA'!F34,'23.10 GALIRAYA-KAYUNGA'!F34)</f>
        <v>0.8571428571428571</v>
      </c>
      <c r="G34" s="49">
        <f>AVERAGE('17.10 GALIRAYA-KAYUNGA'!G34,'18.10 GALIRAYA-KAYUNGA'!G34,'19.10 GALIRAYA-KAYUNGA-24h'!G34,'20.10 GALIRAYA-KAYUNGA'!G34,'21.10 GALIRAYA-KAYUNGA-24h'!G34,'22.10 GALIRAYA-KAYUNGA'!G34,'23.10 GALIRAYA-KAYUNGA'!G34)</f>
        <v>0</v>
      </c>
      <c r="H34" s="49">
        <f>AVERAGE('17.10 GALIRAYA-KAYUNGA'!H34,'18.10 GALIRAYA-KAYUNGA'!H34,'19.10 GALIRAYA-KAYUNGA-24h'!H34,'20.10 GALIRAYA-KAYUNGA'!H34,'21.10 GALIRAYA-KAYUNGA-24h'!H34,'22.10 GALIRAYA-KAYUNGA'!H34,'23.10 GALIRAYA-KAYUNGA'!H34)</f>
        <v>0</v>
      </c>
      <c r="I34" s="49">
        <f>AVERAGE('17.10 GALIRAYA-KAYUNGA'!I34,'18.10 GALIRAYA-KAYUNGA'!I34,'19.10 GALIRAYA-KAYUNGA-24h'!I34,'20.10 GALIRAYA-KAYUNGA'!I34,'21.10 GALIRAYA-KAYUNGA-24h'!I34,'22.10 GALIRAYA-KAYUNGA'!I34,'23.10 GALIRAYA-KAYUNGA'!I34)</f>
        <v>0.2857142857142857</v>
      </c>
      <c r="J34" s="49">
        <f>AVERAGE('17.10 GALIRAYA-KAYUNGA'!J34,'18.10 GALIRAYA-KAYUNGA'!J34,'19.10 GALIRAYA-KAYUNGA-24h'!J34,'20.10 GALIRAYA-KAYUNGA'!J34,'21.10 GALIRAYA-KAYUNGA-24h'!J34,'22.10 GALIRAYA-KAYUNGA'!J34,'23.10 GALIRAYA-KAYUNGA'!J34)</f>
        <v>0.14285714285714285</v>
      </c>
      <c r="K34" s="49">
        <f>AVERAGE('17.10 GALIRAYA-KAYUNGA'!K34,'18.10 GALIRAYA-KAYUNGA'!K34,'19.10 GALIRAYA-KAYUNGA-24h'!K34,'20.10 GALIRAYA-KAYUNGA'!K34,'21.10 GALIRAYA-KAYUNGA-24h'!K34,'22.10 GALIRAYA-KAYUNGA'!K34,'23.10 GALIRAYA-KAYUNGA'!K34)</f>
        <v>0</v>
      </c>
      <c r="L34" s="49">
        <f>AVERAGE('17.10 GALIRAYA-KAYUNGA'!L34,'18.10 GALIRAYA-KAYUNGA'!L34,'19.10 GALIRAYA-KAYUNGA-24h'!L34,'20.10 GALIRAYA-KAYUNGA'!L34,'21.10 GALIRAYA-KAYUNGA-24h'!L34,'22.10 GALIRAYA-KAYUNGA'!L34,'23.10 GALIRAYA-KAYUNGA'!L34)</f>
        <v>0.2857142857142857</v>
      </c>
      <c r="M34" s="49">
        <f>AVERAGE('17.10 GALIRAYA-KAYUNGA'!M34,'18.10 GALIRAYA-KAYUNGA'!M34,'19.10 GALIRAYA-KAYUNGA-24h'!M34,'20.10 GALIRAYA-KAYUNGA'!M34,'21.10 GALIRAYA-KAYUNGA-24h'!M34,'22.10 GALIRAYA-KAYUNGA'!M34,'23.10 GALIRAYA-KAYUNGA'!M34)</f>
        <v>10.428571428571429</v>
      </c>
      <c r="N34" s="49">
        <f>AVERAGE('17.10 GALIRAYA-KAYUNGA'!N34,'18.10 GALIRAYA-KAYUNGA'!N34,'19.10 GALIRAYA-KAYUNGA-24h'!N34,'20.10 GALIRAYA-KAYUNGA'!N34,'21.10 GALIRAYA-KAYUNGA-24h'!N34,'22.10 GALIRAYA-KAYUNGA'!N34,'23.10 GALIRAYA-KAYUNGA'!N34)</f>
        <v>0</v>
      </c>
      <c r="O34" s="15">
        <f t="shared" si="0"/>
        <v>3.2857142857142851</v>
      </c>
      <c r="P34" s="15">
        <f t="shared" si="1"/>
        <v>13.714285714285714</v>
      </c>
      <c r="R34" s="53" t="s">
        <v>90</v>
      </c>
      <c r="S34" s="54">
        <f t="shared" ref="S34:AF34" si="26">MAX(S10:S12)</f>
        <v>2.2857142857142856</v>
      </c>
      <c r="T34" s="54">
        <f t="shared" si="26"/>
        <v>0.5714285714285714</v>
      </c>
      <c r="U34" s="54">
        <f t="shared" si="26"/>
        <v>1.4285714285714284</v>
      </c>
      <c r="V34" s="54">
        <f t="shared" si="26"/>
        <v>4.5714285714285712</v>
      </c>
      <c r="W34" s="54">
        <f t="shared" si="26"/>
        <v>0.2857142857142857</v>
      </c>
      <c r="X34" s="54">
        <f t="shared" si="26"/>
        <v>0.71428571428571419</v>
      </c>
      <c r="Y34" s="54">
        <f t="shared" si="26"/>
        <v>2.5714285714285712</v>
      </c>
      <c r="Z34" s="54">
        <f t="shared" si="26"/>
        <v>1.714285714285714</v>
      </c>
      <c r="AA34" s="54">
        <f t="shared" si="26"/>
        <v>1.2857142857142856</v>
      </c>
      <c r="AB34" s="54">
        <f t="shared" si="26"/>
        <v>0.14285714285714285</v>
      </c>
      <c r="AC34" s="54">
        <f t="shared" si="26"/>
        <v>36.285714285714292</v>
      </c>
      <c r="AD34" s="54">
        <f t="shared" si="26"/>
        <v>0</v>
      </c>
      <c r="AE34" s="40">
        <f t="shared" si="26"/>
        <v>11.714285714285712</v>
      </c>
      <c r="AF34" s="40">
        <f t="shared" si="26"/>
        <v>48</v>
      </c>
    </row>
    <row r="35" spans="2:32" ht="23.1" customHeight="1" x14ac:dyDescent="0.25">
      <c r="B35" s="24" t="s">
        <v>62</v>
      </c>
      <c r="C35" s="49">
        <f>AVERAGE('17.10 GALIRAYA-KAYUNGA'!C35,'18.10 GALIRAYA-KAYUNGA'!C35,'19.10 GALIRAYA-KAYUNGA-24h'!C35,'20.10 GALIRAYA-KAYUNGA'!C35,'21.10 GALIRAYA-KAYUNGA-24h'!C35,'22.10 GALIRAYA-KAYUNGA'!C35,'23.10 GALIRAYA-KAYUNGA'!C35)</f>
        <v>1.4285714285714286</v>
      </c>
      <c r="D35" s="49">
        <f>AVERAGE('17.10 GALIRAYA-KAYUNGA'!D35,'18.10 GALIRAYA-KAYUNGA'!D35,'19.10 GALIRAYA-KAYUNGA-24h'!D35,'20.10 GALIRAYA-KAYUNGA'!D35,'21.10 GALIRAYA-KAYUNGA-24h'!D35,'22.10 GALIRAYA-KAYUNGA'!D35,'23.10 GALIRAYA-KAYUNGA'!D35)</f>
        <v>0</v>
      </c>
      <c r="E35" s="49">
        <f>AVERAGE('17.10 GALIRAYA-KAYUNGA'!E35,'18.10 GALIRAYA-KAYUNGA'!E35,'19.10 GALIRAYA-KAYUNGA-24h'!E35,'20.10 GALIRAYA-KAYUNGA'!E35,'21.10 GALIRAYA-KAYUNGA-24h'!E35,'22.10 GALIRAYA-KAYUNGA'!E35,'23.10 GALIRAYA-KAYUNGA'!E35)</f>
        <v>0.2857142857142857</v>
      </c>
      <c r="F35" s="49">
        <f>AVERAGE('17.10 GALIRAYA-KAYUNGA'!F35,'18.10 GALIRAYA-KAYUNGA'!F35,'19.10 GALIRAYA-KAYUNGA-24h'!F35,'20.10 GALIRAYA-KAYUNGA'!F35,'21.10 GALIRAYA-KAYUNGA-24h'!F35,'22.10 GALIRAYA-KAYUNGA'!F35,'23.10 GALIRAYA-KAYUNGA'!F35)</f>
        <v>1.2857142857142858</v>
      </c>
      <c r="G35" s="49">
        <f>AVERAGE('17.10 GALIRAYA-KAYUNGA'!G35,'18.10 GALIRAYA-KAYUNGA'!G35,'19.10 GALIRAYA-KAYUNGA-24h'!G35,'20.10 GALIRAYA-KAYUNGA'!G35,'21.10 GALIRAYA-KAYUNGA-24h'!G35,'22.10 GALIRAYA-KAYUNGA'!G35,'23.10 GALIRAYA-KAYUNGA'!G35)</f>
        <v>0</v>
      </c>
      <c r="H35" s="49">
        <f>AVERAGE('17.10 GALIRAYA-KAYUNGA'!H35,'18.10 GALIRAYA-KAYUNGA'!H35,'19.10 GALIRAYA-KAYUNGA-24h'!H35,'20.10 GALIRAYA-KAYUNGA'!H35,'21.10 GALIRAYA-KAYUNGA-24h'!H35,'22.10 GALIRAYA-KAYUNGA'!H35,'23.10 GALIRAYA-KAYUNGA'!H35)</f>
        <v>0</v>
      </c>
      <c r="I35" s="49">
        <f>AVERAGE('17.10 GALIRAYA-KAYUNGA'!I35,'18.10 GALIRAYA-KAYUNGA'!I35,'19.10 GALIRAYA-KAYUNGA-24h'!I35,'20.10 GALIRAYA-KAYUNGA'!I35,'21.10 GALIRAYA-KAYUNGA-24h'!I35,'22.10 GALIRAYA-KAYUNGA'!I35,'23.10 GALIRAYA-KAYUNGA'!I35)</f>
        <v>0.2857142857142857</v>
      </c>
      <c r="J35" s="49">
        <f>AVERAGE('17.10 GALIRAYA-KAYUNGA'!J35,'18.10 GALIRAYA-KAYUNGA'!J35,'19.10 GALIRAYA-KAYUNGA-24h'!J35,'20.10 GALIRAYA-KAYUNGA'!J35,'21.10 GALIRAYA-KAYUNGA-24h'!J35,'22.10 GALIRAYA-KAYUNGA'!J35,'23.10 GALIRAYA-KAYUNGA'!J35)</f>
        <v>0.42857142857142855</v>
      </c>
      <c r="K35" s="49">
        <f>AVERAGE('17.10 GALIRAYA-KAYUNGA'!K35,'18.10 GALIRAYA-KAYUNGA'!K35,'19.10 GALIRAYA-KAYUNGA-24h'!K35,'20.10 GALIRAYA-KAYUNGA'!K35,'21.10 GALIRAYA-KAYUNGA-24h'!K35,'22.10 GALIRAYA-KAYUNGA'!K35,'23.10 GALIRAYA-KAYUNGA'!K35)</f>
        <v>0</v>
      </c>
      <c r="L35" s="49">
        <f>AVERAGE('17.10 GALIRAYA-KAYUNGA'!L35,'18.10 GALIRAYA-KAYUNGA'!L35,'19.10 GALIRAYA-KAYUNGA-24h'!L35,'20.10 GALIRAYA-KAYUNGA'!L35,'21.10 GALIRAYA-KAYUNGA-24h'!L35,'22.10 GALIRAYA-KAYUNGA'!L35,'23.10 GALIRAYA-KAYUNGA'!L35)</f>
        <v>0.2857142857142857</v>
      </c>
      <c r="M35" s="49">
        <f>AVERAGE('17.10 GALIRAYA-KAYUNGA'!M35,'18.10 GALIRAYA-KAYUNGA'!M35,'19.10 GALIRAYA-KAYUNGA-24h'!M35,'20.10 GALIRAYA-KAYUNGA'!M35,'21.10 GALIRAYA-KAYUNGA-24h'!M35,'22.10 GALIRAYA-KAYUNGA'!M35,'23.10 GALIRAYA-KAYUNGA'!M35)</f>
        <v>11.285714285714286</v>
      </c>
      <c r="N35" s="49">
        <f>AVERAGE('17.10 GALIRAYA-KAYUNGA'!N35,'18.10 GALIRAYA-KAYUNGA'!N35,'19.10 GALIRAYA-KAYUNGA-24h'!N35,'20.10 GALIRAYA-KAYUNGA'!N35,'21.10 GALIRAYA-KAYUNGA-24h'!N35,'22.10 GALIRAYA-KAYUNGA'!N35,'23.10 GALIRAYA-KAYUNGA'!N35)</f>
        <v>0</v>
      </c>
      <c r="O35" s="15">
        <f t="shared" si="0"/>
        <v>3.9999999999999996</v>
      </c>
      <c r="P35" s="15">
        <f t="shared" si="1"/>
        <v>15.285714285714286</v>
      </c>
      <c r="R35" s="53" t="s">
        <v>91</v>
      </c>
      <c r="S35" s="54">
        <f t="shared" ref="S35:AF35" si="27">MAX(S13:S18)</f>
        <v>5.1428571428571432</v>
      </c>
      <c r="T35" s="54">
        <f t="shared" si="27"/>
        <v>1.2857142857142856</v>
      </c>
      <c r="U35" s="54">
        <f t="shared" si="27"/>
        <v>1.7142857142857144</v>
      </c>
      <c r="V35" s="54">
        <f t="shared" si="27"/>
        <v>5.2857142857142865</v>
      </c>
      <c r="W35" s="54">
        <f t="shared" si="27"/>
        <v>0.42857142857142855</v>
      </c>
      <c r="X35" s="54">
        <f t="shared" si="27"/>
        <v>0.42857142857142855</v>
      </c>
      <c r="Y35" s="54">
        <f t="shared" si="27"/>
        <v>3.5714285714285712</v>
      </c>
      <c r="Z35" s="54">
        <f t="shared" si="27"/>
        <v>2.1428571428571428</v>
      </c>
      <c r="AA35" s="54">
        <f t="shared" si="27"/>
        <v>0.5714285714285714</v>
      </c>
      <c r="AB35" s="54">
        <f t="shared" si="27"/>
        <v>1.1428571428571428</v>
      </c>
      <c r="AC35" s="54">
        <f t="shared" si="27"/>
        <v>45.428571428571431</v>
      </c>
      <c r="AD35" s="54">
        <f t="shared" si="27"/>
        <v>0.14285714285714285</v>
      </c>
      <c r="AE35" s="40">
        <f t="shared" si="27"/>
        <v>17.857142857142858</v>
      </c>
      <c r="AF35" s="40">
        <f t="shared" si="27"/>
        <v>61.142857142857146</v>
      </c>
    </row>
    <row r="36" spans="2:32" ht="23.1" customHeight="1" x14ac:dyDescent="0.25">
      <c r="B36" s="24" t="s">
        <v>63</v>
      </c>
      <c r="C36" s="49">
        <f>AVERAGE('17.10 GALIRAYA-KAYUNGA'!C36,'18.10 GALIRAYA-KAYUNGA'!C36,'19.10 GALIRAYA-KAYUNGA-24h'!C36,'20.10 GALIRAYA-KAYUNGA'!C36,'21.10 GALIRAYA-KAYUNGA-24h'!C36,'22.10 GALIRAYA-KAYUNGA'!C36,'23.10 GALIRAYA-KAYUNGA'!C36)</f>
        <v>1.4285714285714286</v>
      </c>
      <c r="D36" s="49">
        <f>AVERAGE('17.10 GALIRAYA-KAYUNGA'!D36,'18.10 GALIRAYA-KAYUNGA'!D36,'19.10 GALIRAYA-KAYUNGA-24h'!D36,'20.10 GALIRAYA-KAYUNGA'!D36,'21.10 GALIRAYA-KAYUNGA-24h'!D36,'22.10 GALIRAYA-KAYUNGA'!D36,'23.10 GALIRAYA-KAYUNGA'!D36)</f>
        <v>0.14285714285714285</v>
      </c>
      <c r="E36" s="49">
        <f>AVERAGE('17.10 GALIRAYA-KAYUNGA'!E36,'18.10 GALIRAYA-KAYUNGA'!E36,'19.10 GALIRAYA-KAYUNGA-24h'!E36,'20.10 GALIRAYA-KAYUNGA'!E36,'21.10 GALIRAYA-KAYUNGA-24h'!E36,'22.10 GALIRAYA-KAYUNGA'!E36,'23.10 GALIRAYA-KAYUNGA'!E36)</f>
        <v>0.5714285714285714</v>
      </c>
      <c r="F36" s="49">
        <f>AVERAGE('17.10 GALIRAYA-KAYUNGA'!F36,'18.10 GALIRAYA-KAYUNGA'!F36,'19.10 GALIRAYA-KAYUNGA-24h'!F36,'20.10 GALIRAYA-KAYUNGA'!F36,'21.10 GALIRAYA-KAYUNGA-24h'!F36,'22.10 GALIRAYA-KAYUNGA'!F36,'23.10 GALIRAYA-KAYUNGA'!F36)</f>
        <v>0.8571428571428571</v>
      </c>
      <c r="G36" s="49">
        <f>AVERAGE('17.10 GALIRAYA-KAYUNGA'!G36,'18.10 GALIRAYA-KAYUNGA'!G36,'19.10 GALIRAYA-KAYUNGA-24h'!G36,'20.10 GALIRAYA-KAYUNGA'!G36,'21.10 GALIRAYA-KAYUNGA-24h'!G36,'22.10 GALIRAYA-KAYUNGA'!G36,'23.10 GALIRAYA-KAYUNGA'!G36)</f>
        <v>0.2857142857142857</v>
      </c>
      <c r="H36" s="49">
        <f>AVERAGE('17.10 GALIRAYA-KAYUNGA'!H36,'18.10 GALIRAYA-KAYUNGA'!H36,'19.10 GALIRAYA-KAYUNGA-24h'!H36,'20.10 GALIRAYA-KAYUNGA'!H36,'21.10 GALIRAYA-KAYUNGA-24h'!H36,'22.10 GALIRAYA-KAYUNGA'!H36,'23.10 GALIRAYA-KAYUNGA'!H36)</f>
        <v>0</v>
      </c>
      <c r="I36" s="49">
        <f>AVERAGE('17.10 GALIRAYA-KAYUNGA'!I36,'18.10 GALIRAYA-KAYUNGA'!I36,'19.10 GALIRAYA-KAYUNGA-24h'!I36,'20.10 GALIRAYA-KAYUNGA'!I36,'21.10 GALIRAYA-KAYUNGA-24h'!I36,'22.10 GALIRAYA-KAYUNGA'!I36,'23.10 GALIRAYA-KAYUNGA'!I36)</f>
        <v>0.42857142857142855</v>
      </c>
      <c r="J36" s="49">
        <f>AVERAGE('17.10 GALIRAYA-KAYUNGA'!J36,'18.10 GALIRAYA-KAYUNGA'!J36,'19.10 GALIRAYA-KAYUNGA-24h'!J36,'20.10 GALIRAYA-KAYUNGA'!J36,'21.10 GALIRAYA-KAYUNGA-24h'!J36,'22.10 GALIRAYA-KAYUNGA'!J36,'23.10 GALIRAYA-KAYUNGA'!J36)</f>
        <v>0.2857142857142857</v>
      </c>
      <c r="K36" s="49">
        <f>AVERAGE('17.10 GALIRAYA-KAYUNGA'!K36,'18.10 GALIRAYA-KAYUNGA'!K36,'19.10 GALIRAYA-KAYUNGA-24h'!K36,'20.10 GALIRAYA-KAYUNGA'!K36,'21.10 GALIRAYA-KAYUNGA-24h'!K36,'22.10 GALIRAYA-KAYUNGA'!K36,'23.10 GALIRAYA-KAYUNGA'!K36)</f>
        <v>0.14285714285714285</v>
      </c>
      <c r="L36" s="49">
        <f>AVERAGE('17.10 GALIRAYA-KAYUNGA'!L36,'18.10 GALIRAYA-KAYUNGA'!L36,'19.10 GALIRAYA-KAYUNGA-24h'!L36,'20.10 GALIRAYA-KAYUNGA'!L36,'21.10 GALIRAYA-KAYUNGA-24h'!L36,'22.10 GALIRAYA-KAYUNGA'!L36,'23.10 GALIRAYA-KAYUNGA'!L36)</f>
        <v>0.14285714285714285</v>
      </c>
      <c r="M36" s="49">
        <f>AVERAGE('17.10 GALIRAYA-KAYUNGA'!M36,'18.10 GALIRAYA-KAYUNGA'!M36,'19.10 GALIRAYA-KAYUNGA-24h'!M36,'20.10 GALIRAYA-KAYUNGA'!M36,'21.10 GALIRAYA-KAYUNGA-24h'!M36,'22.10 GALIRAYA-KAYUNGA'!M36,'23.10 GALIRAYA-KAYUNGA'!M36)</f>
        <v>13.142857142857142</v>
      </c>
      <c r="N36" s="49">
        <f>AVERAGE('17.10 GALIRAYA-KAYUNGA'!N36,'18.10 GALIRAYA-KAYUNGA'!N36,'19.10 GALIRAYA-KAYUNGA-24h'!N36,'20.10 GALIRAYA-KAYUNGA'!N36,'21.10 GALIRAYA-KAYUNGA-24h'!N36,'22.10 GALIRAYA-KAYUNGA'!N36,'23.10 GALIRAYA-KAYUNGA'!N36)</f>
        <v>0</v>
      </c>
      <c r="O36" s="15">
        <f t="shared" si="0"/>
        <v>4.2857142857142856</v>
      </c>
      <c r="P36" s="15">
        <f t="shared" si="1"/>
        <v>17.428571428571427</v>
      </c>
      <c r="R36" s="53" t="s">
        <v>92</v>
      </c>
      <c r="S36" s="54">
        <f t="shared" ref="S36:AF36" si="28">MAX(S19:S21)</f>
        <v>5.5714285714285712</v>
      </c>
      <c r="T36" s="54">
        <f t="shared" si="28"/>
        <v>2.714285714285714</v>
      </c>
      <c r="U36" s="54">
        <f t="shared" si="28"/>
        <v>2.5714285714285712</v>
      </c>
      <c r="V36" s="54">
        <f t="shared" si="28"/>
        <v>6.8571428571428568</v>
      </c>
      <c r="W36" s="54">
        <f t="shared" si="28"/>
        <v>0.42857142857142855</v>
      </c>
      <c r="X36" s="54">
        <f t="shared" si="28"/>
        <v>0.2857142857142857</v>
      </c>
      <c r="Y36" s="54">
        <f t="shared" si="28"/>
        <v>3.4285714285714284</v>
      </c>
      <c r="Z36" s="54">
        <f t="shared" si="28"/>
        <v>3.1428571428571428</v>
      </c>
      <c r="AA36" s="54">
        <f t="shared" si="28"/>
        <v>2.4285714285714284</v>
      </c>
      <c r="AB36" s="54">
        <f t="shared" si="28"/>
        <v>0.8571428571428571</v>
      </c>
      <c r="AC36" s="54">
        <f t="shared" si="28"/>
        <v>41.857142857142861</v>
      </c>
      <c r="AD36" s="54">
        <f t="shared" si="28"/>
        <v>0.14285714285714285</v>
      </c>
      <c r="AE36" s="40">
        <f t="shared" si="28"/>
        <v>23.142857142857142</v>
      </c>
      <c r="AF36" s="40">
        <f t="shared" si="28"/>
        <v>63.285714285714285</v>
      </c>
    </row>
    <row r="37" spans="2:32" ht="23.1" customHeight="1" x14ac:dyDescent="0.25">
      <c r="B37" s="23" t="s">
        <v>64</v>
      </c>
      <c r="C37" s="49">
        <f>AVERAGE('17.10 GALIRAYA-KAYUNGA'!C37,'18.10 GALIRAYA-KAYUNGA'!C37,'19.10 GALIRAYA-KAYUNGA-24h'!C37,'20.10 GALIRAYA-KAYUNGA'!C37,'21.10 GALIRAYA-KAYUNGA-24h'!C37,'22.10 GALIRAYA-KAYUNGA'!C37,'23.10 GALIRAYA-KAYUNGA'!C37)</f>
        <v>1.2857142857142858</v>
      </c>
      <c r="D37" s="49">
        <f>AVERAGE('17.10 GALIRAYA-KAYUNGA'!D37,'18.10 GALIRAYA-KAYUNGA'!D37,'19.10 GALIRAYA-KAYUNGA-24h'!D37,'20.10 GALIRAYA-KAYUNGA'!D37,'21.10 GALIRAYA-KAYUNGA-24h'!D37,'22.10 GALIRAYA-KAYUNGA'!D37,'23.10 GALIRAYA-KAYUNGA'!D37)</f>
        <v>0.42857142857142855</v>
      </c>
      <c r="E37" s="49">
        <f>AVERAGE('17.10 GALIRAYA-KAYUNGA'!E37,'18.10 GALIRAYA-KAYUNGA'!E37,'19.10 GALIRAYA-KAYUNGA-24h'!E37,'20.10 GALIRAYA-KAYUNGA'!E37,'21.10 GALIRAYA-KAYUNGA-24h'!E37,'22.10 GALIRAYA-KAYUNGA'!E37,'23.10 GALIRAYA-KAYUNGA'!E37)</f>
        <v>0.7142857142857143</v>
      </c>
      <c r="F37" s="49">
        <f>AVERAGE('17.10 GALIRAYA-KAYUNGA'!F37,'18.10 GALIRAYA-KAYUNGA'!F37,'19.10 GALIRAYA-KAYUNGA-24h'!F37,'20.10 GALIRAYA-KAYUNGA'!F37,'21.10 GALIRAYA-KAYUNGA-24h'!F37,'22.10 GALIRAYA-KAYUNGA'!F37,'23.10 GALIRAYA-KAYUNGA'!F37)</f>
        <v>1.5714285714285714</v>
      </c>
      <c r="G37" s="49">
        <f>AVERAGE('17.10 GALIRAYA-KAYUNGA'!G37,'18.10 GALIRAYA-KAYUNGA'!G37,'19.10 GALIRAYA-KAYUNGA-24h'!G37,'20.10 GALIRAYA-KAYUNGA'!G37,'21.10 GALIRAYA-KAYUNGA-24h'!G37,'22.10 GALIRAYA-KAYUNGA'!G37,'23.10 GALIRAYA-KAYUNGA'!G37)</f>
        <v>0</v>
      </c>
      <c r="H37" s="49">
        <f>AVERAGE('17.10 GALIRAYA-KAYUNGA'!H37,'18.10 GALIRAYA-KAYUNGA'!H37,'19.10 GALIRAYA-KAYUNGA-24h'!H37,'20.10 GALIRAYA-KAYUNGA'!H37,'21.10 GALIRAYA-KAYUNGA-24h'!H37,'22.10 GALIRAYA-KAYUNGA'!H37,'23.10 GALIRAYA-KAYUNGA'!H37)</f>
        <v>0</v>
      </c>
      <c r="I37" s="49">
        <f>AVERAGE('17.10 GALIRAYA-KAYUNGA'!I37,'18.10 GALIRAYA-KAYUNGA'!I37,'19.10 GALIRAYA-KAYUNGA-24h'!I37,'20.10 GALIRAYA-KAYUNGA'!I37,'21.10 GALIRAYA-KAYUNGA-24h'!I37,'22.10 GALIRAYA-KAYUNGA'!I37,'23.10 GALIRAYA-KAYUNGA'!I37)</f>
        <v>0.42857142857142855</v>
      </c>
      <c r="J37" s="49">
        <f>AVERAGE('17.10 GALIRAYA-KAYUNGA'!J37,'18.10 GALIRAYA-KAYUNGA'!J37,'19.10 GALIRAYA-KAYUNGA-24h'!J37,'20.10 GALIRAYA-KAYUNGA'!J37,'21.10 GALIRAYA-KAYUNGA-24h'!J37,'22.10 GALIRAYA-KAYUNGA'!J37,'23.10 GALIRAYA-KAYUNGA'!J37)</f>
        <v>0.2857142857142857</v>
      </c>
      <c r="K37" s="49">
        <f>AVERAGE('17.10 GALIRAYA-KAYUNGA'!K37,'18.10 GALIRAYA-KAYUNGA'!K37,'19.10 GALIRAYA-KAYUNGA-24h'!K37,'20.10 GALIRAYA-KAYUNGA'!K37,'21.10 GALIRAYA-KAYUNGA-24h'!K37,'22.10 GALIRAYA-KAYUNGA'!K37,'23.10 GALIRAYA-KAYUNGA'!K37)</f>
        <v>0.14285714285714285</v>
      </c>
      <c r="L37" s="49">
        <f>AVERAGE('17.10 GALIRAYA-KAYUNGA'!L37,'18.10 GALIRAYA-KAYUNGA'!L37,'19.10 GALIRAYA-KAYUNGA-24h'!L37,'20.10 GALIRAYA-KAYUNGA'!L37,'21.10 GALIRAYA-KAYUNGA-24h'!L37,'22.10 GALIRAYA-KAYUNGA'!L37,'23.10 GALIRAYA-KAYUNGA'!L37)</f>
        <v>0.42857142857142855</v>
      </c>
      <c r="M37" s="49">
        <f>AVERAGE('17.10 GALIRAYA-KAYUNGA'!M37,'18.10 GALIRAYA-KAYUNGA'!M37,'19.10 GALIRAYA-KAYUNGA-24h'!M37,'20.10 GALIRAYA-KAYUNGA'!M37,'21.10 GALIRAYA-KAYUNGA-24h'!M37,'22.10 GALIRAYA-KAYUNGA'!M37,'23.10 GALIRAYA-KAYUNGA'!M37)</f>
        <v>9.2857142857142865</v>
      </c>
      <c r="N37" s="49">
        <f>AVERAGE('17.10 GALIRAYA-KAYUNGA'!N37,'18.10 GALIRAYA-KAYUNGA'!N37,'19.10 GALIRAYA-KAYUNGA-24h'!N37,'20.10 GALIRAYA-KAYUNGA'!N37,'21.10 GALIRAYA-KAYUNGA-24h'!N37,'22.10 GALIRAYA-KAYUNGA'!N37,'23.10 GALIRAYA-KAYUNGA'!N37)</f>
        <v>0.14285714285714285</v>
      </c>
      <c r="O37" s="15">
        <f t="shared" si="0"/>
        <v>5.4285714285714297</v>
      </c>
      <c r="P37" s="15">
        <f t="shared" si="1"/>
        <v>14.714285714285715</v>
      </c>
      <c r="R37" s="37" t="s">
        <v>85</v>
      </c>
      <c r="S37" s="55">
        <f t="shared" ref="S37:AF37" si="29">SUM(S10:S12)</f>
        <v>4.8571428571428568</v>
      </c>
      <c r="T37" s="56">
        <f t="shared" si="29"/>
        <v>1.4285714285714286</v>
      </c>
      <c r="U37" s="56">
        <f t="shared" si="29"/>
        <v>2.2857142857142856</v>
      </c>
      <c r="V37" s="56">
        <f t="shared" si="29"/>
        <v>12.285714285714285</v>
      </c>
      <c r="W37" s="56">
        <f t="shared" si="29"/>
        <v>0.5714285714285714</v>
      </c>
      <c r="X37" s="56">
        <f t="shared" si="29"/>
        <v>0.71428571428571419</v>
      </c>
      <c r="Y37" s="56">
        <f t="shared" si="29"/>
        <v>5</v>
      </c>
      <c r="Z37" s="56">
        <f t="shared" si="29"/>
        <v>2.9999999999999996</v>
      </c>
      <c r="AA37" s="56">
        <f t="shared" si="29"/>
        <v>1.714285714285714</v>
      </c>
      <c r="AB37" s="56">
        <f t="shared" si="29"/>
        <v>0.14285714285714285</v>
      </c>
      <c r="AC37" s="56">
        <f t="shared" si="29"/>
        <v>85.428571428571431</v>
      </c>
      <c r="AD37" s="56">
        <f t="shared" si="29"/>
        <v>0</v>
      </c>
      <c r="AE37" s="57">
        <f t="shared" si="29"/>
        <v>31.999999999999996</v>
      </c>
      <c r="AF37" s="57">
        <f t="shared" si="29"/>
        <v>117.42857142857143</v>
      </c>
    </row>
    <row r="38" spans="2:32" ht="23.1" customHeight="1" x14ac:dyDescent="0.25">
      <c r="B38" s="24" t="s">
        <v>65</v>
      </c>
      <c r="C38" s="49">
        <f>AVERAGE('17.10 GALIRAYA-KAYUNGA'!C38,'18.10 GALIRAYA-KAYUNGA'!C38,'19.10 GALIRAYA-KAYUNGA-24h'!C38,'20.10 GALIRAYA-KAYUNGA'!C38,'21.10 GALIRAYA-KAYUNGA-24h'!C38,'22.10 GALIRAYA-KAYUNGA'!C38,'23.10 GALIRAYA-KAYUNGA'!C38)</f>
        <v>0.5714285714285714</v>
      </c>
      <c r="D38" s="49">
        <f>AVERAGE('17.10 GALIRAYA-KAYUNGA'!D38,'18.10 GALIRAYA-KAYUNGA'!D38,'19.10 GALIRAYA-KAYUNGA-24h'!D38,'20.10 GALIRAYA-KAYUNGA'!D38,'21.10 GALIRAYA-KAYUNGA-24h'!D38,'22.10 GALIRAYA-KAYUNGA'!D38,'23.10 GALIRAYA-KAYUNGA'!D38)</f>
        <v>0.14285714285714285</v>
      </c>
      <c r="E38" s="49">
        <f>AVERAGE('17.10 GALIRAYA-KAYUNGA'!E38,'18.10 GALIRAYA-KAYUNGA'!E38,'19.10 GALIRAYA-KAYUNGA-24h'!E38,'20.10 GALIRAYA-KAYUNGA'!E38,'21.10 GALIRAYA-KAYUNGA-24h'!E38,'22.10 GALIRAYA-KAYUNGA'!E38,'23.10 GALIRAYA-KAYUNGA'!E38)</f>
        <v>0.7142857142857143</v>
      </c>
      <c r="F38" s="49">
        <f>AVERAGE('17.10 GALIRAYA-KAYUNGA'!F38,'18.10 GALIRAYA-KAYUNGA'!F38,'19.10 GALIRAYA-KAYUNGA-24h'!F38,'20.10 GALIRAYA-KAYUNGA'!F38,'21.10 GALIRAYA-KAYUNGA-24h'!F38,'22.10 GALIRAYA-KAYUNGA'!F38,'23.10 GALIRAYA-KAYUNGA'!F38)</f>
        <v>1.2857142857142858</v>
      </c>
      <c r="G38" s="49">
        <f>AVERAGE('17.10 GALIRAYA-KAYUNGA'!G38,'18.10 GALIRAYA-KAYUNGA'!G38,'19.10 GALIRAYA-KAYUNGA-24h'!G38,'20.10 GALIRAYA-KAYUNGA'!G38,'21.10 GALIRAYA-KAYUNGA-24h'!G38,'22.10 GALIRAYA-KAYUNGA'!G38,'23.10 GALIRAYA-KAYUNGA'!G38)</f>
        <v>0</v>
      </c>
      <c r="H38" s="49">
        <f>AVERAGE('17.10 GALIRAYA-KAYUNGA'!H38,'18.10 GALIRAYA-KAYUNGA'!H38,'19.10 GALIRAYA-KAYUNGA-24h'!H38,'20.10 GALIRAYA-KAYUNGA'!H38,'21.10 GALIRAYA-KAYUNGA-24h'!H38,'22.10 GALIRAYA-KAYUNGA'!H38,'23.10 GALIRAYA-KAYUNGA'!H38)</f>
        <v>0.14285714285714285</v>
      </c>
      <c r="I38" s="49">
        <f>AVERAGE('17.10 GALIRAYA-KAYUNGA'!I38,'18.10 GALIRAYA-KAYUNGA'!I38,'19.10 GALIRAYA-KAYUNGA-24h'!I38,'20.10 GALIRAYA-KAYUNGA'!I38,'21.10 GALIRAYA-KAYUNGA-24h'!I38,'22.10 GALIRAYA-KAYUNGA'!I38,'23.10 GALIRAYA-KAYUNGA'!I38)</f>
        <v>0.42857142857142855</v>
      </c>
      <c r="J38" s="49">
        <f>AVERAGE('17.10 GALIRAYA-KAYUNGA'!J38,'18.10 GALIRAYA-KAYUNGA'!J38,'19.10 GALIRAYA-KAYUNGA-24h'!J38,'20.10 GALIRAYA-KAYUNGA'!J38,'21.10 GALIRAYA-KAYUNGA-24h'!J38,'22.10 GALIRAYA-KAYUNGA'!J38,'23.10 GALIRAYA-KAYUNGA'!J38)</f>
        <v>0.42857142857142855</v>
      </c>
      <c r="K38" s="49">
        <f>AVERAGE('17.10 GALIRAYA-KAYUNGA'!K38,'18.10 GALIRAYA-KAYUNGA'!K38,'19.10 GALIRAYA-KAYUNGA-24h'!K38,'20.10 GALIRAYA-KAYUNGA'!K38,'21.10 GALIRAYA-KAYUNGA-24h'!K38,'22.10 GALIRAYA-KAYUNGA'!K38,'23.10 GALIRAYA-KAYUNGA'!K38)</f>
        <v>0</v>
      </c>
      <c r="L38" s="49">
        <f>AVERAGE('17.10 GALIRAYA-KAYUNGA'!L38,'18.10 GALIRAYA-KAYUNGA'!L38,'19.10 GALIRAYA-KAYUNGA-24h'!L38,'20.10 GALIRAYA-KAYUNGA'!L38,'21.10 GALIRAYA-KAYUNGA-24h'!L38,'22.10 GALIRAYA-KAYUNGA'!L38,'23.10 GALIRAYA-KAYUNGA'!L38)</f>
        <v>0</v>
      </c>
      <c r="M38" s="49">
        <f>AVERAGE('17.10 GALIRAYA-KAYUNGA'!M38,'18.10 GALIRAYA-KAYUNGA'!M38,'19.10 GALIRAYA-KAYUNGA-24h'!M38,'20.10 GALIRAYA-KAYUNGA'!M38,'21.10 GALIRAYA-KAYUNGA-24h'!M38,'22.10 GALIRAYA-KAYUNGA'!M38,'23.10 GALIRAYA-KAYUNGA'!M38)</f>
        <v>12.857142857142858</v>
      </c>
      <c r="N38" s="49">
        <f>AVERAGE('17.10 GALIRAYA-KAYUNGA'!N38,'18.10 GALIRAYA-KAYUNGA'!N38,'19.10 GALIRAYA-KAYUNGA-24h'!N38,'20.10 GALIRAYA-KAYUNGA'!N38,'21.10 GALIRAYA-KAYUNGA-24h'!N38,'22.10 GALIRAYA-KAYUNGA'!N38,'23.10 GALIRAYA-KAYUNGA'!N38)</f>
        <v>0</v>
      </c>
      <c r="O38" s="15">
        <f t="shared" si="0"/>
        <v>3.714285714285714</v>
      </c>
      <c r="P38" s="15">
        <f t="shared" si="1"/>
        <v>16.571428571428573</v>
      </c>
      <c r="R38" s="28" t="s">
        <v>86</v>
      </c>
      <c r="S38" s="56">
        <f t="shared" ref="S38:AF38" si="30">SUM(S13:S18)</f>
        <v>20.3</v>
      </c>
      <c r="T38" s="56">
        <f t="shared" si="30"/>
        <v>5.5714285714285712</v>
      </c>
      <c r="U38" s="56">
        <f t="shared" si="30"/>
        <v>7.8571428571428577</v>
      </c>
      <c r="V38" s="56">
        <f t="shared" si="30"/>
        <v>26.714285714285712</v>
      </c>
      <c r="W38" s="56">
        <f t="shared" si="30"/>
        <v>1.5714285714285712</v>
      </c>
      <c r="X38" s="56">
        <f t="shared" si="30"/>
        <v>1.4285714285714284</v>
      </c>
      <c r="Y38" s="56">
        <f t="shared" si="30"/>
        <v>12.428571428571427</v>
      </c>
      <c r="Z38" s="56">
        <f t="shared" si="30"/>
        <v>7.4285714285714288</v>
      </c>
      <c r="AA38" s="56">
        <f t="shared" si="30"/>
        <v>1.7142857142857142</v>
      </c>
      <c r="AB38" s="56">
        <f t="shared" si="30"/>
        <v>2.8571428571428572</v>
      </c>
      <c r="AC38" s="56">
        <f t="shared" si="30"/>
        <v>248.57142857142861</v>
      </c>
      <c r="AD38" s="56">
        <f t="shared" si="30"/>
        <v>0.5714285714285714</v>
      </c>
      <c r="AE38" s="57">
        <f t="shared" si="30"/>
        <v>88.442857142857136</v>
      </c>
      <c r="AF38" s="57">
        <f t="shared" si="30"/>
        <v>337.01428571428573</v>
      </c>
    </row>
    <row r="39" spans="2:32" ht="23.1" customHeight="1" x14ac:dyDescent="0.25">
      <c r="B39" s="24" t="s">
        <v>66</v>
      </c>
      <c r="C39" s="49">
        <f>AVERAGE('17.10 GALIRAYA-KAYUNGA'!C39,'18.10 GALIRAYA-KAYUNGA'!C39,'19.10 GALIRAYA-KAYUNGA-24h'!C39,'20.10 GALIRAYA-KAYUNGA'!C39,'21.10 GALIRAYA-KAYUNGA-24h'!C39,'22.10 GALIRAYA-KAYUNGA'!C39,'23.10 GALIRAYA-KAYUNGA'!C39)</f>
        <v>1.5714285714285714</v>
      </c>
      <c r="D39" s="49">
        <f>AVERAGE('17.10 GALIRAYA-KAYUNGA'!D39,'18.10 GALIRAYA-KAYUNGA'!D39,'19.10 GALIRAYA-KAYUNGA-24h'!D39,'20.10 GALIRAYA-KAYUNGA'!D39,'21.10 GALIRAYA-KAYUNGA-24h'!D39,'22.10 GALIRAYA-KAYUNGA'!D39,'23.10 GALIRAYA-KAYUNGA'!D39)</f>
        <v>0.14285714285714285</v>
      </c>
      <c r="E39" s="49">
        <f>AVERAGE('17.10 GALIRAYA-KAYUNGA'!E39,'18.10 GALIRAYA-KAYUNGA'!E39,'19.10 GALIRAYA-KAYUNGA-24h'!E39,'20.10 GALIRAYA-KAYUNGA'!E39,'21.10 GALIRAYA-KAYUNGA-24h'!E39,'22.10 GALIRAYA-KAYUNGA'!E39,'23.10 GALIRAYA-KAYUNGA'!E39)</f>
        <v>0.42857142857142855</v>
      </c>
      <c r="F39" s="49">
        <f>AVERAGE('17.10 GALIRAYA-KAYUNGA'!F39,'18.10 GALIRAYA-KAYUNGA'!F39,'19.10 GALIRAYA-KAYUNGA-24h'!F39,'20.10 GALIRAYA-KAYUNGA'!F39,'21.10 GALIRAYA-KAYUNGA-24h'!F39,'22.10 GALIRAYA-KAYUNGA'!F39,'23.10 GALIRAYA-KAYUNGA'!F39)</f>
        <v>1.4285714285714286</v>
      </c>
      <c r="G39" s="49">
        <f>AVERAGE('17.10 GALIRAYA-KAYUNGA'!G39,'18.10 GALIRAYA-KAYUNGA'!G39,'19.10 GALIRAYA-KAYUNGA-24h'!G39,'20.10 GALIRAYA-KAYUNGA'!G39,'21.10 GALIRAYA-KAYUNGA-24h'!G39,'22.10 GALIRAYA-KAYUNGA'!G39,'23.10 GALIRAYA-KAYUNGA'!G39)</f>
        <v>0.14285714285714285</v>
      </c>
      <c r="H39" s="49">
        <f>AVERAGE('17.10 GALIRAYA-KAYUNGA'!H39,'18.10 GALIRAYA-KAYUNGA'!H39,'19.10 GALIRAYA-KAYUNGA-24h'!H39,'20.10 GALIRAYA-KAYUNGA'!H39,'21.10 GALIRAYA-KAYUNGA-24h'!H39,'22.10 GALIRAYA-KAYUNGA'!H39,'23.10 GALIRAYA-KAYUNGA'!H39)</f>
        <v>0.14285714285714285</v>
      </c>
      <c r="I39" s="49">
        <f>AVERAGE('17.10 GALIRAYA-KAYUNGA'!I39,'18.10 GALIRAYA-KAYUNGA'!I39,'19.10 GALIRAYA-KAYUNGA-24h'!I39,'20.10 GALIRAYA-KAYUNGA'!I39,'21.10 GALIRAYA-KAYUNGA-24h'!I39,'22.10 GALIRAYA-KAYUNGA'!I39,'23.10 GALIRAYA-KAYUNGA'!I39)</f>
        <v>0.8571428571428571</v>
      </c>
      <c r="J39" s="49">
        <f>AVERAGE('17.10 GALIRAYA-KAYUNGA'!J39,'18.10 GALIRAYA-KAYUNGA'!J39,'19.10 GALIRAYA-KAYUNGA-24h'!J39,'20.10 GALIRAYA-KAYUNGA'!J39,'21.10 GALIRAYA-KAYUNGA-24h'!J39,'22.10 GALIRAYA-KAYUNGA'!J39,'23.10 GALIRAYA-KAYUNGA'!J39)</f>
        <v>0.2857142857142857</v>
      </c>
      <c r="K39" s="49">
        <f>AVERAGE('17.10 GALIRAYA-KAYUNGA'!K39,'18.10 GALIRAYA-KAYUNGA'!K39,'19.10 GALIRAYA-KAYUNGA-24h'!K39,'20.10 GALIRAYA-KAYUNGA'!K39,'21.10 GALIRAYA-KAYUNGA-24h'!K39,'22.10 GALIRAYA-KAYUNGA'!K39,'23.10 GALIRAYA-KAYUNGA'!K39)</f>
        <v>0.42857142857142855</v>
      </c>
      <c r="L39" s="49">
        <f>AVERAGE('17.10 GALIRAYA-KAYUNGA'!L39,'18.10 GALIRAYA-KAYUNGA'!L39,'19.10 GALIRAYA-KAYUNGA-24h'!L39,'20.10 GALIRAYA-KAYUNGA'!L39,'21.10 GALIRAYA-KAYUNGA-24h'!L39,'22.10 GALIRAYA-KAYUNGA'!L39,'23.10 GALIRAYA-KAYUNGA'!L39)</f>
        <v>0</v>
      </c>
      <c r="M39" s="49">
        <f>AVERAGE('17.10 GALIRAYA-KAYUNGA'!M39,'18.10 GALIRAYA-KAYUNGA'!M39,'19.10 GALIRAYA-KAYUNGA-24h'!M39,'20.10 GALIRAYA-KAYUNGA'!M39,'21.10 GALIRAYA-KAYUNGA-24h'!M39,'22.10 GALIRAYA-KAYUNGA'!M39,'23.10 GALIRAYA-KAYUNGA'!M39)</f>
        <v>9.1428571428571423</v>
      </c>
      <c r="N39" s="49">
        <f>AVERAGE('17.10 GALIRAYA-KAYUNGA'!N39,'18.10 GALIRAYA-KAYUNGA'!N39,'19.10 GALIRAYA-KAYUNGA-24h'!N39,'20.10 GALIRAYA-KAYUNGA'!N39,'21.10 GALIRAYA-KAYUNGA-24h'!N39,'22.10 GALIRAYA-KAYUNGA'!N39,'23.10 GALIRAYA-KAYUNGA'!N39)</f>
        <v>0</v>
      </c>
      <c r="O39" s="15">
        <f t="shared" si="0"/>
        <v>5.4285714285714279</v>
      </c>
      <c r="P39" s="15">
        <f t="shared" si="1"/>
        <v>14.571428571428569</v>
      </c>
      <c r="R39" s="29" t="s">
        <v>87</v>
      </c>
      <c r="S39" s="56">
        <f t="shared" ref="S39:AF39" si="31">SUM(S19:S21)</f>
        <v>13.857142857142856</v>
      </c>
      <c r="T39" s="56">
        <f t="shared" si="31"/>
        <v>4.7142857142857135</v>
      </c>
      <c r="U39" s="56">
        <f t="shared" si="31"/>
        <v>5.7142857142857135</v>
      </c>
      <c r="V39" s="56">
        <f t="shared" si="31"/>
        <v>19.142857142857142</v>
      </c>
      <c r="W39" s="56">
        <f t="shared" si="31"/>
        <v>1</v>
      </c>
      <c r="X39" s="56">
        <f t="shared" si="31"/>
        <v>0.42857142857142855</v>
      </c>
      <c r="Y39" s="56">
        <f t="shared" si="31"/>
        <v>9.428571428571427</v>
      </c>
      <c r="Z39" s="56">
        <f t="shared" si="31"/>
        <v>7</v>
      </c>
      <c r="AA39" s="56">
        <f t="shared" si="31"/>
        <v>4.2857142857142847</v>
      </c>
      <c r="AB39" s="56">
        <f t="shared" si="31"/>
        <v>1.9999999999999998</v>
      </c>
      <c r="AC39" s="56">
        <f t="shared" si="31"/>
        <v>112.14285714285715</v>
      </c>
      <c r="AD39" s="56">
        <f t="shared" si="31"/>
        <v>0.14285714285714285</v>
      </c>
      <c r="AE39" s="57">
        <f t="shared" si="31"/>
        <v>67.714285714285708</v>
      </c>
      <c r="AF39" s="57">
        <f t="shared" si="31"/>
        <v>179.85714285714283</v>
      </c>
    </row>
    <row r="40" spans="2:32" ht="23.1" customHeight="1" x14ac:dyDescent="0.25">
      <c r="B40" s="24" t="s">
        <v>67</v>
      </c>
      <c r="C40" s="49">
        <f>AVERAGE('17.10 GALIRAYA-KAYUNGA'!C40,'18.10 GALIRAYA-KAYUNGA'!C40,'19.10 GALIRAYA-KAYUNGA-24h'!C40,'20.10 GALIRAYA-KAYUNGA'!C40,'21.10 GALIRAYA-KAYUNGA-24h'!C40,'22.10 GALIRAYA-KAYUNGA'!C40,'23.10 GALIRAYA-KAYUNGA'!C40)</f>
        <v>1.1428571428571428</v>
      </c>
      <c r="D40" s="49">
        <f>AVERAGE('17.10 GALIRAYA-KAYUNGA'!D40,'18.10 GALIRAYA-KAYUNGA'!D40,'19.10 GALIRAYA-KAYUNGA-24h'!D40,'20.10 GALIRAYA-KAYUNGA'!D40,'21.10 GALIRAYA-KAYUNGA-24h'!D40,'22.10 GALIRAYA-KAYUNGA'!D40,'23.10 GALIRAYA-KAYUNGA'!D40)</f>
        <v>0.14285714285714285</v>
      </c>
      <c r="E40" s="49">
        <f>AVERAGE('17.10 GALIRAYA-KAYUNGA'!E40,'18.10 GALIRAYA-KAYUNGA'!E40,'19.10 GALIRAYA-KAYUNGA-24h'!E40,'20.10 GALIRAYA-KAYUNGA'!E40,'21.10 GALIRAYA-KAYUNGA-24h'!E40,'22.10 GALIRAYA-KAYUNGA'!E40,'23.10 GALIRAYA-KAYUNGA'!E40)</f>
        <v>0.2857142857142857</v>
      </c>
      <c r="F40" s="49">
        <f>AVERAGE('17.10 GALIRAYA-KAYUNGA'!F40,'18.10 GALIRAYA-KAYUNGA'!F40,'19.10 GALIRAYA-KAYUNGA-24h'!F40,'20.10 GALIRAYA-KAYUNGA'!F40,'21.10 GALIRAYA-KAYUNGA-24h'!F40,'22.10 GALIRAYA-KAYUNGA'!F40,'23.10 GALIRAYA-KAYUNGA'!F40)</f>
        <v>1.4285714285714286</v>
      </c>
      <c r="G40" s="49">
        <f>AVERAGE('17.10 GALIRAYA-KAYUNGA'!G40,'18.10 GALIRAYA-KAYUNGA'!G40,'19.10 GALIRAYA-KAYUNGA-24h'!G40,'20.10 GALIRAYA-KAYUNGA'!G40,'21.10 GALIRAYA-KAYUNGA-24h'!G40,'22.10 GALIRAYA-KAYUNGA'!G40,'23.10 GALIRAYA-KAYUNGA'!G40)</f>
        <v>0.14285714285714285</v>
      </c>
      <c r="H40" s="49">
        <f>AVERAGE('17.10 GALIRAYA-KAYUNGA'!H40,'18.10 GALIRAYA-KAYUNGA'!H40,'19.10 GALIRAYA-KAYUNGA-24h'!H40,'20.10 GALIRAYA-KAYUNGA'!H40,'21.10 GALIRAYA-KAYUNGA-24h'!H40,'22.10 GALIRAYA-KAYUNGA'!H40,'23.10 GALIRAYA-KAYUNGA'!H40)</f>
        <v>0</v>
      </c>
      <c r="I40" s="49">
        <f>AVERAGE('17.10 GALIRAYA-KAYUNGA'!I40,'18.10 GALIRAYA-KAYUNGA'!I40,'19.10 GALIRAYA-KAYUNGA-24h'!I40,'20.10 GALIRAYA-KAYUNGA'!I40,'21.10 GALIRAYA-KAYUNGA-24h'!I40,'22.10 GALIRAYA-KAYUNGA'!I40,'23.10 GALIRAYA-KAYUNGA'!I40)</f>
        <v>0.5714285714285714</v>
      </c>
      <c r="J40" s="49">
        <f>AVERAGE('17.10 GALIRAYA-KAYUNGA'!J40,'18.10 GALIRAYA-KAYUNGA'!J40,'19.10 GALIRAYA-KAYUNGA-24h'!J40,'20.10 GALIRAYA-KAYUNGA'!J40,'21.10 GALIRAYA-KAYUNGA-24h'!J40,'22.10 GALIRAYA-KAYUNGA'!J40,'23.10 GALIRAYA-KAYUNGA'!J40)</f>
        <v>0</v>
      </c>
      <c r="K40" s="49">
        <f>AVERAGE('17.10 GALIRAYA-KAYUNGA'!K40,'18.10 GALIRAYA-KAYUNGA'!K40,'19.10 GALIRAYA-KAYUNGA-24h'!K40,'20.10 GALIRAYA-KAYUNGA'!K40,'21.10 GALIRAYA-KAYUNGA-24h'!K40,'22.10 GALIRAYA-KAYUNGA'!K40,'23.10 GALIRAYA-KAYUNGA'!K40)</f>
        <v>0</v>
      </c>
      <c r="L40" s="49">
        <f>AVERAGE('17.10 GALIRAYA-KAYUNGA'!L40,'18.10 GALIRAYA-KAYUNGA'!L40,'19.10 GALIRAYA-KAYUNGA-24h'!L40,'20.10 GALIRAYA-KAYUNGA'!L40,'21.10 GALIRAYA-KAYUNGA-24h'!L40,'22.10 GALIRAYA-KAYUNGA'!L40,'23.10 GALIRAYA-KAYUNGA'!L40)</f>
        <v>0.2857142857142857</v>
      </c>
      <c r="M40" s="49">
        <f>AVERAGE('17.10 GALIRAYA-KAYUNGA'!M40,'18.10 GALIRAYA-KAYUNGA'!M40,'19.10 GALIRAYA-KAYUNGA-24h'!M40,'20.10 GALIRAYA-KAYUNGA'!M40,'21.10 GALIRAYA-KAYUNGA-24h'!M40,'22.10 GALIRAYA-KAYUNGA'!M40,'23.10 GALIRAYA-KAYUNGA'!M40)</f>
        <v>8.2857142857142865</v>
      </c>
      <c r="N40" s="49">
        <f>AVERAGE('17.10 GALIRAYA-KAYUNGA'!N40,'18.10 GALIRAYA-KAYUNGA'!N40,'19.10 GALIRAYA-KAYUNGA-24h'!N40,'20.10 GALIRAYA-KAYUNGA'!N40,'21.10 GALIRAYA-KAYUNGA-24h'!N40,'22.10 GALIRAYA-KAYUNGA'!N40,'23.10 GALIRAYA-KAYUNGA'!N40)</f>
        <v>0.14285714285714285</v>
      </c>
      <c r="O40" s="15">
        <f t="shared" si="0"/>
        <v>4.1428571428571432</v>
      </c>
      <c r="P40" s="15">
        <f t="shared" si="1"/>
        <v>12.428571428571429</v>
      </c>
      <c r="R40" s="5" t="s">
        <v>17</v>
      </c>
      <c r="S40" s="56">
        <f t="shared" ref="S40:AF40" si="32">SUM(S10:S21)</f>
        <v>39.014285714285712</v>
      </c>
      <c r="T40" s="56">
        <f t="shared" si="32"/>
        <v>11.714285714285714</v>
      </c>
      <c r="U40" s="56">
        <f t="shared" si="32"/>
        <v>15.857142857142856</v>
      </c>
      <c r="V40" s="56">
        <f t="shared" si="32"/>
        <v>58.142857142857139</v>
      </c>
      <c r="W40" s="56">
        <f t="shared" si="32"/>
        <v>3.1428571428571423</v>
      </c>
      <c r="X40" s="56">
        <f t="shared" si="32"/>
        <v>2.5714285714285707</v>
      </c>
      <c r="Y40" s="56">
        <f t="shared" si="32"/>
        <v>26.857142857142854</v>
      </c>
      <c r="Z40" s="56">
        <f t="shared" si="32"/>
        <v>17.428571428571427</v>
      </c>
      <c r="AA40" s="56">
        <f t="shared" si="32"/>
        <v>7.7142857142857135</v>
      </c>
      <c r="AB40" s="56">
        <f t="shared" si="32"/>
        <v>5</v>
      </c>
      <c r="AC40" s="56">
        <f t="shared" si="32"/>
        <v>446.14285714285705</v>
      </c>
      <c r="AD40" s="56">
        <f t="shared" si="32"/>
        <v>0.71428571428571419</v>
      </c>
      <c r="AE40" s="57">
        <f t="shared" si="32"/>
        <v>188.15714285714284</v>
      </c>
      <c r="AF40" s="57">
        <f t="shared" si="32"/>
        <v>634.30000000000007</v>
      </c>
    </row>
    <row r="41" spans="2:32" ht="23.1" customHeight="1" x14ac:dyDescent="0.25">
      <c r="B41" s="23" t="s">
        <v>68</v>
      </c>
      <c r="C41" s="49">
        <f>AVERAGE('17.10 GALIRAYA-KAYUNGA'!C41,'18.10 GALIRAYA-KAYUNGA'!C41,'19.10 GALIRAYA-KAYUNGA-24h'!C41,'20.10 GALIRAYA-KAYUNGA'!C41,'21.10 GALIRAYA-KAYUNGA-24h'!C41,'22.10 GALIRAYA-KAYUNGA'!C41,'23.10 GALIRAYA-KAYUNGA'!C41)</f>
        <v>0.7142857142857143</v>
      </c>
      <c r="D41" s="49">
        <f>AVERAGE('17.10 GALIRAYA-KAYUNGA'!D41,'18.10 GALIRAYA-KAYUNGA'!D41,'19.10 GALIRAYA-KAYUNGA-24h'!D41,'20.10 GALIRAYA-KAYUNGA'!D41,'21.10 GALIRAYA-KAYUNGA-24h'!D41,'22.10 GALIRAYA-KAYUNGA'!D41,'23.10 GALIRAYA-KAYUNGA'!D41)</f>
        <v>0.42857142857142855</v>
      </c>
      <c r="E41" s="49">
        <f>AVERAGE('17.10 GALIRAYA-KAYUNGA'!E41,'18.10 GALIRAYA-KAYUNGA'!E41,'19.10 GALIRAYA-KAYUNGA-24h'!E41,'20.10 GALIRAYA-KAYUNGA'!E41,'21.10 GALIRAYA-KAYUNGA-24h'!E41,'22.10 GALIRAYA-KAYUNGA'!E41,'23.10 GALIRAYA-KAYUNGA'!E41)</f>
        <v>0.14285714285714285</v>
      </c>
      <c r="F41" s="49">
        <f>AVERAGE('17.10 GALIRAYA-KAYUNGA'!F41,'18.10 GALIRAYA-KAYUNGA'!F41,'19.10 GALIRAYA-KAYUNGA-24h'!F41,'20.10 GALIRAYA-KAYUNGA'!F41,'21.10 GALIRAYA-KAYUNGA-24h'!F41,'22.10 GALIRAYA-KAYUNGA'!F41,'23.10 GALIRAYA-KAYUNGA'!F41)</f>
        <v>1.1428571428571428</v>
      </c>
      <c r="G41" s="49">
        <f>AVERAGE('17.10 GALIRAYA-KAYUNGA'!G41,'18.10 GALIRAYA-KAYUNGA'!G41,'19.10 GALIRAYA-KAYUNGA-24h'!G41,'20.10 GALIRAYA-KAYUNGA'!G41,'21.10 GALIRAYA-KAYUNGA-24h'!G41,'22.10 GALIRAYA-KAYUNGA'!G41,'23.10 GALIRAYA-KAYUNGA'!G41)</f>
        <v>0</v>
      </c>
      <c r="H41" s="49">
        <f>AVERAGE('17.10 GALIRAYA-KAYUNGA'!H41,'18.10 GALIRAYA-KAYUNGA'!H41,'19.10 GALIRAYA-KAYUNGA-24h'!H41,'20.10 GALIRAYA-KAYUNGA'!H41,'21.10 GALIRAYA-KAYUNGA-24h'!H41,'22.10 GALIRAYA-KAYUNGA'!H41,'23.10 GALIRAYA-KAYUNGA'!H41)</f>
        <v>0</v>
      </c>
      <c r="I41" s="49">
        <f>AVERAGE('17.10 GALIRAYA-KAYUNGA'!I41,'18.10 GALIRAYA-KAYUNGA'!I41,'19.10 GALIRAYA-KAYUNGA-24h'!I41,'20.10 GALIRAYA-KAYUNGA'!I41,'21.10 GALIRAYA-KAYUNGA-24h'!I41,'22.10 GALIRAYA-KAYUNGA'!I41,'23.10 GALIRAYA-KAYUNGA'!I41)</f>
        <v>0.8571428571428571</v>
      </c>
      <c r="J41" s="49">
        <f>AVERAGE('17.10 GALIRAYA-KAYUNGA'!J41,'18.10 GALIRAYA-KAYUNGA'!J41,'19.10 GALIRAYA-KAYUNGA-24h'!J41,'20.10 GALIRAYA-KAYUNGA'!J41,'21.10 GALIRAYA-KAYUNGA-24h'!J41,'22.10 GALIRAYA-KAYUNGA'!J41,'23.10 GALIRAYA-KAYUNGA'!J41)</f>
        <v>0.14285714285714285</v>
      </c>
      <c r="K41" s="49">
        <f>AVERAGE('17.10 GALIRAYA-KAYUNGA'!K41,'18.10 GALIRAYA-KAYUNGA'!K41,'19.10 GALIRAYA-KAYUNGA-24h'!K41,'20.10 GALIRAYA-KAYUNGA'!K41,'21.10 GALIRAYA-KAYUNGA-24h'!K41,'22.10 GALIRAYA-KAYUNGA'!K41,'23.10 GALIRAYA-KAYUNGA'!K41)</f>
        <v>0</v>
      </c>
      <c r="L41" s="49">
        <f>AVERAGE('17.10 GALIRAYA-KAYUNGA'!L41,'18.10 GALIRAYA-KAYUNGA'!L41,'19.10 GALIRAYA-KAYUNGA-24h'!L41,'20.10 GALIRAYA-KAYUNGA'!L41,'21.10 GALIRAYA-KAYUNGA-24h'!L41,'22.10 GALIRAYA-KAYUNGA'!L41,'23.10 GALIRAYA-KAYUNGA'!L41)</f>
        <v>0</v>
      </c>
      <c r="M41" s="49">
        <f>AVERAGE('17.10 GALIRAYA-KAYUNGA'!M41,'18.10 GALIRAYA-KAYUNGA'!M41,'19.10 GALIRAYA-KAYUNGA-24h'!M41,'20.10 GALIRAYA-KAYUNGA'!M41,'21.10 GALIRAYA-KAYUNGA-24h'!M41,'22.10 GALIRAYA-KAYUNGA'!M41,'23.10 GALIRAYA-KAYUNGA'!M41)</f>
        <v>10.428571428571429</v>
      </c>
      <c r="N41" s="49">
        <f>AVERAGE('17.10 GALIRAYA-KAYUNGA'!N41,'18.10 GALIRAYA-KAYUNGA'!N41,'19.10 GALIRAYA-KAYUNGA-24h'!N41,'20.10 GALIRAYA-KAYUNGA'!N41,'21.10 GALIRAYA-KAYUNGA-24h'!N41,'22.10 GALIRAYA-KAYUNGA'!N41,'23.10 GALIRAYA-KAYUNGA'!N41)</f>
        <v>0</v>
      </c>
      <c r="O41" s="15">
        <f t="shared" si="0"/>
        <v>3.4285714285714284</v>
      </c>
      <c r="P41" s="15">
        <f t="shared" si="1"/>
        <v>13.857142857142858</v>
      </c>
      <c r="R41" s="5" t="s">
        <v>184</v>
      </c>
      <c r="S41" s="56">
        <f>SUM(S10:S33)</f>
        <v>58.014285714285712</v>
      </c>
      <c r="T41" s="56">
        <f t="shared" ref="T41:AD41" si="33">SUM(T10:T33)</f>
        <v>14.214285714285714</v>
      </c>
      <c r="U41" s="56">
        <f t="shared" si="33"/>
        <v>20.357142857142854</v>
      </c>
      <c r="V41" s="56">
        <f t="shared" si="33"/>
        <v>74.642857142857139</v>
      </c>
      <c r="W41" s="56">
        <f t="shared" si="33"/>
        <v>3.6428571428571423</v>
      </c>
      <c r="X41" s="56">
        <f t="shared" si="33"/>
        <v>2.5714285714285707</v>
      </c>
      <c r="Y41" s="56">
        <f t="shared" si="33"/>
        <v>50.857142857142854</v>
      </c>
      <c r="Z41" s="56">
        <f t="shared" si="33"/>
        <v>40.928571428571431</v>
      </c>
      <c r="AA41" s="56">
        <f t="shared" si="33"/>
        <v>25.714285714285715</v>
      </c>
      <c r="AB41" s="56">
        <f t="shared" si="33"/>
        <v>7</v>
      </c>
      <c r="AC41" s="56">
        <f t="shared" si="33"/>
        <v>531.64285714285711</v>
      </c>
      <c r="AD41" s="56">
        <f t="shared" si="33"/>
        <v>0.71428571428571419</v>
      </c>
      <c r="AE41" s="57">
        <f>SUM(AE10:AE33)</f>
        <v>298.65714285714284</v>
      </c>
      <c r="AF41" s="57">
        <f>SUM(AF10:AF33)</f>
        <v>830.30000000000007</v>
      </c>
    </row>
    <row r="42" spans="2:32" ht="23.1" customHeight="1" x14ac:dyDescent="0.25">
      <c r="B42" s="24" t="s">
        <v>69</v>
      </c>
      <c r="C42" s="49">
        <f>AVERAGE('17.10 GALIRAYA-KAYUNGA'!C42,'18.10 GALIRAYA-KAYUNGA'!C42,'19.10 GALIRAYA-KAYUNGA-24h'!C42,'20.10 GALIRAYA-KAYUNGA'!C42,'21.10 GALIRAYA-KAYUNGA-24h'!C42,'22.10 GALIRAYA-KAYUNGA'!C42,'23.10 GALIRAYA-KAYUNGA'!C42)</f>
        <v>0.8571428571428571</v>
      </c>
      <c r="D42" s="49">
        <f>AVERAGE('17.10 GALIRAYA-KAYUNGA'!D42,'18.10 GALIRAYA-KAYUNGA'!D42,'19.10 GALIRAYA-KAYUNGA-24h'!D42,'20.10 GALIRAYA-KAYUNGA'!D42,'21.10 GALIRAYA-KAYUNGA-24h'!D42,'22.10 GALIRAYA-KAYUNGA'!D42,'23.10 GALIRAYA-KAYUNGA'!D42)</f>
        <v>0</v>
      </c>
      <c r="E42" s="49">
        <f>AVERAGE('17.10 GALIRAYA-KAYUNGA'!E42,'18.10 GALIRAYA-KAYUNGA'!E42,'19.10 GALIRAYA-KAYUNGA-24h'!E42,'20.10 GALIRAYA-KAYUNGA'!E42,'21.10 GALIRAYA-KAYUNGA-24h'!E42,'22.10 GALIRAYA-KAYUNGA'!E42,'23.10 GALIRAYA-KAYUNGA'!E42)</f>
        <v>0.5714285714285714</v>
      </c>
      <c r="F42" s="49">
        <f>AVERAGE('17.10 GALIRAYA-KAYUNGA'!F42,'18.10 GALIRAYA-KAYUNGA'!F42,'19.10 GALIRAYA-KAYUNGA-24h'!F42,'20.10 GALIRAYA-KAYUNGA'!F42,'21.10 GALIRAYA-KAYUNGA-24h'!F42,'22.10 GALIRAYA-KAYUNGA'!F42,'23.10 GALIRAYA-KAYUNGA'!F42)</f>
        <v>1.4285714285714286</v>
      </c>
      <c r="G42" s="49">
        <f>AVERAGE('17.10 GALIRAYA-KAYUNGA'!G42,'18.10 GALIRAYA-KAYUNGA'!G42,'19.10 GALIRAYA-KAYUNGA-24h'!G42,'20.10 GALIRAYA-KAYUNGA'!G42,'21.10 GALIRAYA-KAYUNGA-24h'!G42,'22.10 GALIRAYA-KAYUNGA'!G42,'23.10 GALIRAYA-KAYUNGA'!G42)</f>
        <v>0</v>
      </c>
      <c r="H42" s="49">
        <f>AVERAGE('17.10 GALIRAYA-KAYUNGA'!H42,'18.10 GALIRAYA-KAYUNGA'!H42,'19.10 GALIRAYA-KAYUNGA-24h'!H42,'20.10 GALIRAYA-KAYUNGA'!H42,'21.10 GALIRAYA-KAYUNGA-24h'!H42,'22.10 GALIRAYA-KAYUNGA'!H42,'23.10 GALIRAYA-KAYUNGA'!H42)</f>
        <v>0.14285714285714285</v>
      </c>
      <c r="I42" s="49">
        <f>AVERAGE('17.10 GALIRAYA-KAYUNGA'!I42,'18.10 GALIRAYA-KAYUNGA'!I42,'19.10 GALIRAYA-KAYUNGA-24h'!I42,'20.10 GALIRAYA-KAYUNGA'!I42,'21.10 GALIRAYA-KAYUNGA-24h'!I42,'22.10 GALIRAYA-KAYUNGA'!I42,'23.10 GALIRAYA-KAYUNGA'!I42)</f>
        <v>0.5714285714285714</v>
      </c>
      <c r="J42" s="49">
        <f>AVERAGE('17.10 GALIRAYA-KAYUNGA'!J42,'18.10 GALIRAYA-KAYUNGA'!J42,'19.10 GALIRAYA-KAYUNGA-24h'!J42,'20.10 GALIRAYA-KAYUNGA'!J42,'21.10 GALIRAYA-KAYUNGA-24h'!J42,'22.10 GALIRAYA-KAYUNGA'!J42,'23.10 GALIRAYA-KAYUNGA'!J42)</f>
        <v>0.7142857142857143</v>
      </c>
      <c r="K42" s="49">
        <f>AVERAGE('17.10 GALIRAYA-KAYUNGA'!K42,'18.10 GALIRAYA-KAYUNGA'!K42,'19.10 GALIRAYA-KAYUNGA-24h'!K42,'20.10 GALIRAYA-KAYUNGA'!K42,'21.10 GALIRAYA-KAYUNGA-24h'!K42,'22.10 GALIRAYA-KAYUNGA'!K42,'23.10 GALIRAYA-KAYUNGA'!K42)</f>
        <v>0.14285714285714285</v>
      </c>
      <c r="L42" s="49">
        <f>AVERAGE('17.10 GALIRAYA-KAYUNGA'!L42,'18.10 GALIRAYA-KAYUNGA'!L42,'19.10 GALIRAYA-KAYUNGA-24h'!L42,'20.10 GALIRAYA-KAYUNGA'!L42,'21.10 GALIRAYA-KAYUNGA-24h'!L42,'22.10 GALIRAYA-KAYUNGA'!L42,'23.10 GALIRAYA-KAYUNGA'!L42)</f>
        <v>0</v>
      </c>
      <c r="M42" s="49">
        <f>AVERAGE('17.10 GALIRAYA-KAYUNGA'!M42,'18.10 GALIRAYA-KAYUNGA'!M42,'19.10 GALIRAYA-KAYUNGA-24h'!M42,'20.10 GALIRAYA-KAYUNGA'!M42,'21.10 GALIRAYA-KAYUNGA-24h'!M42,'22.10 GALIRAYA-KAYUNGA'!M42,'23.10 GALIRAYA-KAYUNGA'!M42)</f>
        <v>9.5714285714285712</v>
      </c>
      <c r="N42" s="49">
        <f>AVERAGE('17.10 GALIRAYA-KAYUNGA'!N42,'18.10 GALIRAYA-KAYUNGA'!N42,'19.10 GALIRAYA-KAYUNGA-24h'!N42,'20.10 GALIRAYA-KAYUNGA'!N42,'21.10 GALIRAYA-KAYUNGA-24h'!N42,'22.10 GALIRAYA-KAYUNGA'!N42,'23.10 GALIRAYA-KAYUNGA'!N42)</f>
        <v>0</v>
      </c>
      <c r="O42" s="15">
        <f t="shared" si="0"/>
        <v>4.4285714285714288</v>
      </c>
      <c r="P42" s="15">
        <f t="shared" si="1"/>
        <v>14</v>
      </c>
      <c r="R42" s="5" t="s">
        <v>160</v>
      </c>
      <c r="S42" s="48">
        <f>S41/S40</f>
        <v>1.4870010984987185</v>
      </c>
      <c r="T42" s="48">
        <f t="shared" ref="T42:AF42" si="34">T41/T40</f>
        <v>1.2134146341463414</v>
      </c>
      <c r="U42" s="48">
        <f t="shared" si="34"/>
        <v>1.2837837837837838</v>
      </c>
      <c r="V42" s="48">
        <f t="shared" si="34"/>
        <v>1.2837837837837838</v>
      </c>
      <c r="W42" s="48">
        <f t="shared" si="34"/>
        <v>1.1590909090909092</v>
      </c>
      <c r="X42" s="48">
        <f t="shared" si="34"/>
        <v>1</v>
      </c>
      <c r="Y42" s="48">
        <f t="shared" si="34"/>
        <v>1.8936170212765959</v>
      </c>
      <c r="Z42" s="48">
        <f t="shared" si="34"/>
        <v>2.348360655737705</v>
      </c>
      <c r="AA42" s="48">
        <f t="shared" si="34"/>
        <v>3.3333333333333339</v>
      </c>
      <c r="AB42" s="48">
        <f t="shared" si="34"/>
        <v>1.4</v>
      </c>
      <c r="AC42" s="48">
        <f t="shared" si="34"/>
        <v>1.1916426512968301</v>
      </c>
      <c r="AD42" s="48">
        <f t="shared" si="34"/>
        <v>1</v>
      </c>
      <c r="AE42" s="58">
        <f t="shared" si="34"/>
        <v>1.5872750740262698</v>
      </c>
      <c r="AF42" s="58">
        <f t="shared" si="34"/>
        <v>1.3090020495033896</v>
      </c>
    </row>
    <row r="43" spans="2:32" ht="23.1" customHeight="1" x14ac:dyDescent="0.25">
      <c r="B43" s="23" t="s">
        <v>70</v>
      </c>
      <c r="C43" s="49">
        <f>AVERAGE('17.10 GALIRAYA-KAYUNGA'!C43,'18.10 GALIRAYA-KAYUNGA'!C43,'19.10 GALIRAYA-KAYUNGA-24h'!C43,'20.10 GALIRAYA-KAYUNGA'!C43,'21.10 GALIRAYA-KAYUNGA-24h'!C43,'22.10 GALIRAYA-KAYUNGA'!C43,'23.10 GALIRAYA-KAYUNGA'!C43)</f>
        <v>0.7142857142857143</v>
      </c>
      <c r="D43" s="49">
        <f>AVERAGE('17.10 GALIRAYA-KAYUNGA'!D43,'18.10 GALIRAYA-KAYUNGA'!D43,'19.10 GALIRAYA-KAYUNGA-24h'!D43,'20.10 GALIRAYA-KAYUNGA'!D43,'21.10 GALIRAYA-KAYUNGA-24h'!D43,'22.10 GALIRAYA-KAYUNGA'!D43,'23.10 GALIRAYA-KAYUNGA'!D43)</f>
        <v>0.5714285714285714</v>
      </c>
      <c r="E43" s="49">
        <f>AVERAGE('17.10 GALIRAYA-KAYUNGA'!E43,'18.10 GALIRAYA-KAYUNGA'!E43,'19.10 GALIRAYA-KAYUNGA-24h'!E43,'20.10 GALIRAYA-KAYUNGA'!E43,'21.10 GALIRAYA-KAYUNGA-24h'!E43,'22.10 GALIRAYA-KAYUNGA'!E43,'23.10 GALIRAYA-KAYUNGA'!E43)</f>
        <v>0.42857142857142855</v>
      </c>
      <c r="F43" s="49">
        <f>AVERAGE('17.10 GALIRAYA-KAYUNGA'!F43,'18.10 GALIRAYA-KAYUNGA'!F43,'19.10 GALIRAYA-KAYUNGA-24h'!F43,'20.10 GALIRAYA-KAYUNGA'!F43,'21.10 GALIRAYA-KAYUNGA-24h'!F43,'22.10 GALIRAYA-KAYUNGA'!F43,'23.10 GALIRAYA-KAYUNGA'!F43)</f>
        <v>2</v>
      </c>
      <c r="G43" s="49">
        <f>AVERAGE('17.10 GALIRAYA-KAYUNGA'!G43,'18.10 GALIRAYA-KAYUNGA'!G43,'19.10 GALIRAYA-KAYUNGA-24h'!G43,'20.10 GALIRAYA-KAYUNGA'!G43,'21.10 GALIRAYA-KAYUNGA-24h'!G43,'22.10 GALIRAYA-KAYUNGA'!G43,'23.10 GALIRAYA-KAYUNGA'!G43)</f>
        <v>0</v>
      </c>
      <c r="H43" s="49">
        <f>AVERAGE('17.10 GALIRAYA-KAYUNGA'!H43,'18.10 GALIRAYA-KAYUNGA'!H43,'19.10 GALIRAYA-KAYUNGA-24h'!H43,'20.10 GALIRAYA-KAYUNGA'!H43,'21.10 GALIRAYA-KAYUNGA-24h'!H43,'22.10 GALIRAYA-KAYUNGA'!H43,'23.10 GALIRAYA-KAYUNGA'!H43)</f>
        <v>0.14285714285714285</v>
      </c>
      <c r="I43" s="49">
        <f>AVERAGE('17.10 GALIRAYA-KAYUNGA'!I43,'18.10 GALIRAYA-KAYUNGA'!I43,'19.10 GALIRAYA-KAYUNGA-24h'!I43,'20.10 GALIRAYA-KAYUNGA'!I43,'21.10 GALIRAYA-KAYUNGA-24h'!I43,'22.10 GALIRAYA-KAYUNGA'!I43,'23.10 GALIRAYA-KAYUNGA'!I43)</f>
        <v>0.5714285714285714</v>
      </c>
      <c r="J43" s="49">
        <f>AVERAGE('17.10 GALIRAYA-KAYUNGA'!J43,'18.10 GALIRAYA-KAYUNGA'!J43,'19.10 GALIRAYA-KAYUNGA-24h'!J43,'20.10 GALIRAYA-KAYUNGA'!J43,'21.10 GALIRAYA-KAYUNGA-24h'!J43,'22.10 GALIRAYA-KAYUNGA'!J43,'23.10 GALIRAYA-KAYUNGA'!J43)</f>
        <v>0.42857142857142855</v>
      </c>
      <c r="K43" s="49">
        <f>AVERAGE('17.10 GALIRAYA-KAYUNGA'!K43,'18.10 GALIRAYA-KAYUNGA'!K43,'19.10 GALIRAYA-KAYUNGA-24h'!K43,'20.10 GALIRAYA-KAYUNGA'!K43,'21.10 GALIRAYA-KAYUNGA-24h'!K43,'22.10 GALIRAYA-KAYUNGA'!K43,'23.10 GALIRAYA-KAYUNGA'!K43)</f>
        <v>0.2857142857142857</v>
      </c>
      <c r="L43" s="49">
        <f>AVERAGE('17.10 GALIRAYA-KAYUNGA'!L43,'18.10 GALIRAYA-KAYUNGA'!L43,'19.10 GALIRAYA-KAYUNGA-24h'!L43,'20.10 GALIRAYA-KAYUNGA'!L43,'21.10 GALIRAYA-KAYUNGA-24h'!L43,'22.10 GALIRAYA-KAYUNGA'!L43,'23.10 GALIRAYA-KAYUNGA'!L43)</f>
        <v>0.7142857142857143</v>
      </c>
      <c r="M43" s="49">
        <f>AVERAGE('17.10 GALIRAYA-KAYUNGA'!M43,'18.10 GALIRAYA-KAYUNGA'!M43,'19.10 GALIRAYA-KAYUNGA-24h'!M43,'20.10 GALIRAYA-KAYUNGA'!M43,'21.10 GALIRAYA-KAYUNGA-24h'!M43,'22.10 GALIRAYA-KAYUNGA'!M43,'23.10 GALIRAYA-KAYUNGA'!M43)</f>
        <v>10</v>
      </c>
      <c r="N43" s="49">
        <f>AVERAGE('17.10 GALIRAYA-KAYUNGA'!N43,'18.10 GALIRAYA-KAYUNGA'!N43,'19.10 GALIRAYA-KAYUNGA-24h'!N43,'20.10 GALIRAYA-KAYUNGA'!N43,'21.10 GALIRAYA-KAYUNGA-24h'!N43,'22.10 GALIRAYA-KAYUNGA'!N43,'23.10 GALIRAYA-KAYUNGA'!N43)</f>
        <v>0</v>
      </c>
      <c r="O43" s="15">
        <f t="shared" si="0"/>
        <v>5.8571428571428577</v>
      </c>
      <c r="P43" s="15">
        <f t="shared" si="1"/>
        <v>15.857142857142858</v>
      </c>
    </row>
    <row r="44" spans="2:32" ht="23.1" customHeight="1" x14ac:dyDescent="0.25">
      <c r="B44" s="25" t="s">
        <v>71</v>
      </c>
      <c r="C44" s="49">
        <f>AVERAGE('17.10 GALIRAYA-KAYUNGA'!C44,'18.10 GALIRAYA-KAYUNGA'!C44,'19.10 GALIRAYA-KAYUNGA-24h'!C44,'20.10 GALIRAYA-KAYUNGA'!C44,'21.10 GALIRAYA-KAYUNGA-24h'!C44,'22.10 GALIRAYA-KAYUNGA'!C44,'23.10 GALIRAYA-KAYUNGA'!C44)</f>
        <v>0.7142857142857143</v>
      </c>
      <c r="D44" s="49">
        <f>AVERAGE('17.10 GALIRAYA-KAYUNGA'!D44,'18.10 GALIRAYA-KAYUNGA'!D44,'19.10 GALIRAYA-KAYUNGA-24h'!D44,'20.10 GALIRAYA-KAYUNGA'!D44,'21.10 GALIRAYA-KAYUNGA-24h'!D44,'22.10 GALIRAYA-KAYUNGA'!D44,'23.10 GALIRAYA-KAYUNGA'!D44)</f>
        <v>0</v>
      </c>
      <c r="E44" s="49">
        <f>AVERAGE('17.10 GALIRAYA-KAYUNGA'!E44,'18.10 GALIRAYA-KAYUNGA'!E44,'19.10 GALIRAYA-KAYUNGA-24h'!E44,'20.10 GALIRAYA-KAYUNGA'!E44,'21.10 GALIRAYA-KAYUNGA-24h'!E44,'22.10 GALIRAYA-KAYUNGA'!E44,'23.10 GALIRAYA-KAYUNGA'!E44)</f>
        <v>0.14285714285714285</v>
      </c>
      <c r="F44" s="49">
        <f>AVERAGE('17.10 GALIRAYA-KAYUNGA'!F44,'18.10 GALIRAYA-KAYUNGA'!F44,'19.10 GALIRAYA-KAYUNGA-24h'!F44,'20.10 GALIRAYA-KAYUNGA'!F44,'21.10 GALIRAYA-KAYUNGA-24h'!F44,'22.10 GALIRAYA-KAYUNGA'!F44,'23.10 GALIRAYA-KAYUNGA'!F44)</f>
        <v>1.5714285714285714</v>
      </c>
      <c r="G44" s="49">
        <f>AVERAGE('17.10 GALIRAYA-KAYUNGA'!G44,'18.10 GALIRAYA-KAYUNGA'!G44,'19.10 GALIRAYA-KAYUNGA-24h'!G44,'20.10 GALIRAYA-KAYUNGA'!G44,'21.10 GALIRAYA-KAYUNGA-24h'!G44,'22.10 GALIRAYA-KAYUNGA'!G44,'23.10 GALIRAYA-KAYUNGA'!G44)</f>
        <v>0.14285714285714285</v>
      </c>
      <c r="H44" s="49">
        <f>AVERAGE('17.10 GALIRAYA-KAYUNGA'!H44,'18.10 GALIRAYA-KAYUNGA'!H44,'19.10 GALIRAYA-KAYUNGA-24h'!H44,'20.10 GALIRAYA-KAYUNGA'!H44,'21.10 GALIRAYA-KAYUNGA-24h'!H44,'22.10 GALIRAYA-KAYUNGA'!H44,'23.10 GALIRAYA-KAYUNGA'!H44)</f>
        <v>0.14285714285714285</v>
      </c>
      <c r="I44" s="49">
        <f>AVERAGE('17.10 GALIRAYA-KAYUNGA'!I44,'18.10 GALIRAYA-KAYUNGA'!I44,'19.10 GALIRAYA-KAYUNGA-24h'!I44,'20.10 GALIRAYA-KAYUNGA'!I44,'21.10 GALIRAYA-KAYUNGA-24h'!I44,'22.10 GALIRAYA-KAYUNGA'!I44,'23.10 GALIRAYA-KAYUNGA'!I44)</f>
        <v>1.1428571428571428</v>
      </c>
      <c r="J44" s="49">
        <f>AVERAGE('17.10 GALIRAYA-KAYUNGA'!J44,'18.10 GALIRAYA-KAYUNGA'!J44,'19.10 GALIRAYA-KAYUNGA-24h'!J44,'20.10 GALIRAYA-KAYUNGA'!J44,'21.10 GALIRAYA-KAYUNGA-24h'!J44,'22.10 GALIRAYA-KAYUNGA'!J44,'23.10 GALIRAYA-KAYUNGA'!J44)</f>
        <v>0.5714285714285714</v>
      </c>
      <c r="K44" s="49">
        <f>AVERAGE('17.10 GALIRAYA-KAYUNGA'!K44,'18.10 GALIRAYA-KAYUNGA'!K44,'19.10 GALIRAYA-KAYUNGA-24h'!K44,'20.10 GALIRAYA-KAYUNGA'!K44,'21.10 GALIRAYA-KAYUNGA-24h'!K44,'22.10 GALIRAYA-KAYUNGA'!K44,'23.10 GALIRAYA-KAYUNGA'!K44)</f>
        <v>0</v>
      </c>
      <c r="L44" s="49">
        <f>AVERAGE('17.10 GALIRAYA-KAYUNGA'!L44,'18.10 GALIRAYA-KAYUNGA'!L44,'19.10 GALIRAYA-KAYUNGA-24h'!L44,'20.10 GALIRAYA-KAYUNGA'!L44,'21.10 GALIRAYA-KAYUNGA-24h'!L44,'22.10 GALIRAYA-KAYUNGA'!L44,'23.10 GALIRAYA-KAYUNGA'!L44)</f>
        <v>0</v>
      </c>
      <c r="M44" s="49">
        <f>AVERAGE('17.10 GALIRAYA-KAYUNGA'!M44,'18.10 GALIRAYA-KAYUNGA'!M44,'19.10 GALIRAYA-KAYUNGA-24h'!M44,'20.10 GALIRAYA-KAYUNGA'!M44,'21.10 GALIRAYA-KAYUNGA-24h'!M44,'22.10 GALIRAYA-KAYUNGA'!M44,'23.10 GALIRAYA-KAYUNGA'!M44)</f>
        <v>11.428571428571429</v>
      </c>
      <c r="N44" s="49">
        <f>AVERAGE('17.10 GALIRAYA-KAYUNGA'!N44,'18.10 GALIRAYA-KAYUNGA'!N44,'19.10 GALIRAYA-KAYUNGA-24h'!N44,'20.10 GALIRAYA-KAYUNGA'!N44,'21.10 GALIRAYA-KAYUNGA-24h'!N44,'22.10 GALIRAYA-KAYUNGA'!N44,'23.10 GALIRAYA-KAYUNGA'!N44)</f>
        <v>0</v>
      </c>
      <c r="O44" s="15">
        <f t="shared" si="0"/>
        <v>4.4285714285714288</v>
      </c>
      <c r="P44" s="15">
        <f t="shared" si="1"/>
        <v>15.857142857142858</v>
      </c>
    </row>
    <row r="45" spans="2:32" ht="23.1" customHeight="1" x14ac:dyDescent="0.25">
      <c r="B45" s="23" t="s">
        <v>72</v>
      </c>
      <c r="C45" s="49">
        <f>AVERAGE('17.10 GALIRAYA-KAYUNGA'!C45,'18.10 GALIRAYA-KAYUNGA'!C45,'19.10 GALIRAYA-KAYUNGA-24h'!C45,'20.10 GALIRAYA-KAYUNGA'!C45,'21.10 GALIRAYA-KAYUNGA-24h'!C45,'22.10 GALIRAYA-KAYUNGA'!C45,'23.10 GALIRAYA-KAYUNGA'!C45)</f>
        <v>0.42857142857142855</v>
      </c>
      <c r="D45" s="49">
        <f>AVERAGE('17.10 GALIRAYA-KAYUNGA'!D45,'18.10 GALIRAYA-KAYUNGA'!D45,'19.10 GALIRAYA-KAYUNGA-24h'!D45,'20.10 GALIRAYA-KAYUNGA'!D45,'21.10 GALIRAYA-KAYUNGA-24h'!D45,'22.10 GALIRAYA-KAYUNGA'!D45,'23.10 GALIRAYA-KAYUNGA'!D45)</f>
        <v>0.14285714285714285</v>
      </c>
      <c r="E45" s="49">
        <f>AVERAGE('17.10 GALIRAYA-KAYUNGA'!E45,'18.10 GALIRAYA-KAYUNGA'!E45,'19.10 GALIRAYA-KAYUNGA-24h'!E45,'20.10 GALIRAYA-KAYUNGA'!E45,'21.10 GALIRAYA-KAYUNGA-24h'!E45,'22.10 GALIRAYA-KAYUNGA'!E45,'23.10 GALIRAYA-KAYUNGA'!E45)</f>
        <v>0.2857142857142857</v>
      </c>
      <c r="F45" s="49">
        <f>AVERAGE('17.10 GALIRAYA-KAYUNGA'!F45,'18.10 GALIRAYA-KAYUNGA'!F45,'19.10 GALIRAYA-KAYUNGA-24h'!F45,'20.10 GALIRAYA-KAYUNGA'!F45,'21.10 GALIRAYA-KAYUNGA-24h'!F45,'22.10 GALIRAYA-KAYUNGA'!F45,'23.10 GALIRAYA-KAYUNGA'!F45)</f>
        <v>0.14285714285714285</v>
      </c>
      <c r="G45" s="49">
        <f>AVERAGE('17.10 GALIRAYA-KAYUNGA'!G45,'18.10 GALIRAYA-KAYUNGA'!G45,'19.10 GALIRAYA-KAYUNGA-24h'!G45,'20.10 GALIRAYA-KAYUNGA'!G45,'21.10 GALIRAYA-KAYUNGA-24h'!G45,'22.10 GALIRAYA-KAYUNGA'!G45,'23.10 GALIRAYA-KAYUNGA'!G45)</f>
        <v>0</v>
      </c>
      <c r="H45" s="49">
        <f>AVERAGE('17.10 GALIRAYA-KAYUNGA'!H45,'18.10 GALIRAYA-KAYUNGA'!H45,'19.10 GALIRAYA-KAYUNGA-24h'!H45,'20.10 GALIRAYA-KAYUNGA'!H45,'21.10 GALIRAYA-KAYUNGA-24h'!H45,'22.10 GALIRAYA-KAYUNGA'!H45,'23.10 GALIRAYA-KAYUNGA'!H45)</f>
        <v>0</v>
      </c>
      <c r="I45" s="49">
        <f>AVERAGE('17.10 GALIRAYA-KAYUNGA'!I45,'18.10 GALIRAYA-KAYUNGA'!I45,'19.10 GALIRAYA-KAYUNGA-24h'!I45,'20.10 GALIRAYA-KAYUNGA'!I45,'21.10 GALIRAYA-KAYUNGA-24h'!I45,'22.10 GALIRAYA-KAYUNGA'!I45,'23.10 GALIRAYA-KAYUNGA'!I45)</f>
        <v>1.2857142857142858</v>
      </c>
      <c r="J45" s="49">
        <f>AVERAGE('17.10 GALIRAYA-KAYUNGA'!J45,'18.10 GALIRAYA-KAYUNGA'!J45,'19.10 GALIRAYA-KAYUNGA-24h'!J45,'20.10 GALIRAYA-KAYUNGA'!J45,'21.10 GALIRAYA-KAYUNGA-24h'!J45,'22.10 GALIRAYA-KAYUNGA'!J45,'23.10 GALIRAYA-KAYUNGA'!J45)</f>
        <v>0.42857142857142855</v>
      </c>
      <c r="K45" s="49">
        <f>AVERAGE('17.10 GALIRAYA-KAYUNGA'!K45,'18.10 GALIRAYA-KAYUNGA'!K45,'19.10 GALIRAYA-KAYUNGA-24h'!K45,'20.10 GALIRAYA-KAYUNGA'!K45,'21.10 GALIRAYA-KAYUNGA-24h'!K45,'22.10 GALIRAYA-KAYUNGA'!K45,'23.10 GALIRAYA-KAYUNGA'!K45)</f>
        <v>0.14285714285714285</v>
      </c>
      <c r="L45" s="49">
        <f>AVERAGE('17.10 GALIRAYA-KAYUNGA'!L45,'18.10 GALIRAYA-KAYUNGA'!L45,'19.10 GALIRAYA-KAYUNGA-24h'!L45,'20.10 GALIRAYA-KAYUNGA'!L45,'21.10 GALIRAYA-KAYUNGA-24h'!L45,'22.10 GALIRAYA-KAYUNGA'!L45,'23.10 GALIRAYA-KAYUNGA'!L45)</f>
        <v>0.2857142857142857</v>
      </c>
      <c r="M45" s="49">
        <f>AVERAGE('17.10 GALIRAYA-KAYUNGA'!M45,'18.10 GALIRAYA-KAYUNGA'!M45,'19.10 GALIRAYA-KAYUNGA-24h'!M45,'20.10 GALIRAYA-KAYUNGA'!M45,'21.10 GALIRAYA-KAYUNGA-24h'!M45,'22.10 GALIRAYA-KAYUNGA'!M45,'23.10 GALIRAYA-KAYUNGA'!M45)</f>
        <v>10.571428571428571</v>
      </c>
      <c r="N45" s="49">
        <f>AVERAGE('17.10 GALIRAYA-KAYUNGA'!N45,'18.10 GALIRAYA-KAYUNGA'!N45,'19.10 GALIRAYA-KAYUNGA-24h'!N45,'20.10 GALIRAYA-KAYUNGA'!N45,'21.10 GALIRAYA-KAYUNGA-24h'!N45,'22.10 GALIRAYA-KAYUNGA'!N45,'23.10 GALIRAYA-KAYUNGA'!N45)</f>
        <v>0</v>
      </c>
      <c r="O45" s="15">
        <f t="shared" si="0"/>
        <v>3.1428571428571423</v>
      </c>
      <c r="P45" s="15">
        <f t="shared" si="1"/>
        <v>13.714285714285714</v>
      </c>
    </row>
    <row r="46" spans="2:32" ht="23.1" customHeight="1" x14ac:dyDescent="0.25">
      <c r="B46" s="24" t="s">
        <v>73</v>
      </c>
      <c r="C46" s="49">
        <f>AVERAGE('17.10 GALIRAYA-KAYUNGA'!C46,'18.10 GALIRAYA-KAYUNGA'!C46,'19.10 GALIRAYA-KAYUNGA-24h'!C46,'20.10 GALIRAYA-KAYUNGA'!C46,'21.10 GALIRAYA-KAYUNGA-24h'!C46,'22.10 GALIRAYA-KAYUNGA'!C46,'23.10 GALIRAYA-KAYUNGA'!C46)</f>
        <v>1</v>
      </c>
      <c r="D46" s="49">
        <f>AVERAGE('17.10 GALIRAYA-KAYUNGA'!D46,'18.10 GALIRAYA-KAYUNGA'!D46,'19.10 GALIRAYA-KAYUNGA-24h'!D46,'20.10 GALIRAYA-KAYUNGA'!D46,'21.10 GALIRAYA-KAYUNGA-24h'!D46,'22.10 GALIRAYA-KAYUNGA'!D46,'23.10 GALIRAYA-KAYUNGA'!D46)</f>
        <v>0.5714285714285714</v>
      </c>
      <c r="E46" s="49">
        <f>AVERAGE('17.10 GALIRAYA-KAYUNGA'!E46,'18.10 GALIRAYA-KAYUNGA'!E46,'19.10 GALIRAYA-KAYUNGA-24h'!E46,'20.10 GALIRAYA-KAYUNGA'!E46,'21.10 GALIRAYA-KAYUNGA-24h'!E46,'22.10 GALIRAYA-KAYUNGA'!E46,'23.10 GALIRAYA-KAYUNGA'!E46)</f>
        <v>0</v>
      </c>
      <c r="F46" s="49">
        <f>AVERAGE('17.10 GALIRAYA-KAYUNGA'!F46,'18.10 GALIRAYA-KAYUNGA'!F46,'19.10 GALIRAYA-KAYUNGA-24h'!F46,'20.10 GALIRAYA-KAYUNGA'!F46,'21.10 GALIRAYA-KAYUNGA-24h'!F46,'22.10 GALIRAYA-KAYUNGA'!F46,'23.10 GALIRAYA-KAYUNGA'!F46)</f>
        <v>1.5714285714285714</v>
      </c>
      <c r="G46" s="49">
        <f>AVERAGE('17.10 GALIRAYA-KAYUNGA'!G46,'18.10 GALIRAYA-KAYUNGA'!G46,'19.10 GALIRAYA-KAYUNGA-24h'!G46,'20.10 GALIRAYA-KAYUNGA'!G46,'21.10 GALIRAYA-KAYUNGA-24h'!G46,'22.10 GALIRAYA-KAYUNGA'!G46,'23.10 GALIRAYA-KAYUNGA'!G46)</f>
        <v>0</v>
      </c>
      <c r="H46" s="49">
        <f>AVERAGE('17.10 GALIRAYA-KAYUNGA'!H46,'18.10 GALIRAYA-KAYUNGA'!H46,'19.10 GALIRAYA-KAYUNGA-24h'!H46,'20.10 GALIRAYA-KAYUNGA'!H46,'21.10 GALIRAYA-KAYUNGA-24h'!H46,'22.10 GALIRAYA-KAYUNGA'!H46,'23.10 GALIRAYA-KAYUNGA'!H46)</f>
        <v>0</v>
      </c>
      <c r="I46" s="49">
        <f>AVERAGE('17.10 GALIRAYA-KAYUNGA'!I46,'18.10 GALIRAYA-KAYUNGA'!I46,'19.10 GALIRAYA-KAYUNGA-24h'!I46,'20.10 GALIRAYA-KAYUNGA'!I46,'21.10 GALIRAYA-KAYUNGA-24h'!I46,'22.10 GALIRAYA-KAYUNGA'!I46,'23.10 GALIRAYA-KAYUNGA'!I46)</f>
        <v>0.8571428571428571</v>
      </c>
      <c r="J46" s="49">
        <f>AVERAGE('17.10 GALIRAYA-KAYUNGA'!J46,'18.10 GALIRAYA-KAYUNGA'!J46,'19.10 GALIRAYA-KAYUNGA-24h'!J46,'20.10 GALIRAYA-KAYUNGA'!J46,'21.10 GALIRAYA-KAYUNGA-24h'!J46,'22.10 GALIRAYA-KAYUNGA'!J46,'23.10 GALIRAYA-KAYUNGA'!J46)</f>
        <v>0.14285714285714285</v>
      </c>
      <c r="K46" s="49">
        <f>AVERAGE('17.10 GALIRAYA-KAYUNGA'!K46,'18.10 GALIRAYA-KAYUNGA'!K46,'19.10 GALIRAYA-KAYUNGA-24h'!K46,'20.10 GALIRAYA-KAYUNGA'!K46,'21.10 GALIRAYA-KAYUNGA-24h'!K46,'22.10 GALIRAYA-KAYUNGA'!K46,'23.10 GALIRAYA-KAYUNGA'!K46)</f>
        <v>0.2857142857142857</v>
      </c>
      <c r="L46" s="49">
        <f>AVERAGE('17.10 GALIRAYA-KAYUNGA'!L46,'18.10 GALIRAYA-KAYUNGA'!L46,'19.10 GALIRAYA-KAYUNGA-24h'!L46,'20.10 GALIRAYA-KAYUNGA'!L46,'21.10 GALIRAYA-KAYUNGA-24h'!L46,'22.10 GALIRAYA-KAYUNGA'!L46,'23.10 GALIRAYA-KAYUNGA'!L46)</f>
        <v>0.2857142857142857</v>
      </c>
      <c r="M46" s="49">
        <f>AVERAGE('17.10 GALIRAYA-KAYUNGA'!M46,'18.10 GALIRAYA-KAYUNGA'!M46,'19.10 GALIRAYA-KAYUNGA-24h'!M46,'20.10 GALIRAYA-KAYUNGA'!M46,'21.10 GALIRAYA-KAYUNGA-24h'!M46,'22.10 GALIRAYA-KAYUNGA'!M46,'23.10 GALIRAYA-KAYUNGA'!M46)</f>
        <v>9</v>
      </c>
      <c r="N46" s="49">
        <f>AVERAGE('17.10 GALIRAYA-KAYUNGA'!N46,'18.10 GALIRAYA-KAYUNGA'!N46,'19.10 GALIRAYA-KAYUNGA-24h'!N46,'20.10 GALIRAYA-KAYUNGA'!N46,'21.10 GALIRAYA-KAYUNGA-24h'!N46,'22.10 GALIRAYA-KAYUNGA'!N46,'23.10 GALIRAYA-KAYUNGA'!N46)</f>
        <v>0</v>
      </c>
      <c r="O46" s="15">
        <f t="shared" si="0"/>
        <v>4.7142857142857144</v>
      </c>
      <c r="P46" s="15">
        <f t="shared" si="1"/>
        <v>13.714285714285715</v>
      </c>
      <c r="R46" s="8"/>
      <c r="T46"/>
    </row>
    <row r="47" spans="2:32" ht="23.1" customHeight="1" x14ac:dyDescent="0.25">
      <c r="B47" s="24" t="s">
        <v>74</v>
      </c>
      <c r="C47" s="49">
        <f>AVERAGE('17.10 GALIRAYA-KAYUNGA'!C47,'18.10 GALIRAYA-KAYUNGA'!C47,'19.10 GALIRAYA-KAYUNGA-24h'!C47,'20.10 GALIRAYA-KAYUNGA'!C47,'21.10 GALIRAYA-KAYUNGA-24h'!C47,'22.10 GALIRAYA-KAYUNGA'!C47,'23.10 GALIRAYA-KAYUNGA'!C47)</f>
        <v>1.5714285714285714</v>
      </c>
      <c r="D47" s="49">
        <f>AVERAGE('17.10 GALIRAYA-KAYUNGA'!D47,'18.10 GALIRAYA-KAYUNGA'!D47,'19.10 GALIRAYA-KAYUNGA-24h'!D47,'20.10 GALIRAYA-KAYUNGA'!D47,'21.10 GALIRAYA-KAYUNGA-24h'!D47,'22.10 GALIRAYA-KAYUNGA'!D47,'23.10 GALIRAYA-KAYUNGA'!D47)</f>
        <v>0.2857142857142857</v>
      </c>
      <c r="E47" s="49">
        <f>AVERAGE('17.10 GALIRAYA-KAYUNGA'!E47,'18.10 GALIRAYA-KAYUNGA'!E47,'19.10 GALIRAYA-KAYUNGA-24h'!E47,'20.10 GALIRAYA-KAYUNGA'!E47,'21.10 GALIRAYA-KAYUNGA-24h'!E47,'22.10 GALIRAYA-KAYUNGA'!E47,'23.10 GALIRAYA-KAYUNGA'!E47)</f>
        <v>0.2857142857142857</v>
      </c>
      <c r="F47" s="49">
        <f>AVERAGE('17.10 GALIRAYA-KAYUNGA'!F47,'18.10 GALIRAYA-KAYUNGA'!F47,'19.10 GALIRAYA-KAYUNGA-24h'!F47,'20.10 GALIRAYA-KAYUNGA'!F47,'21.10 GALIRAYA-KAYUNGA-24h'!F47,'22.10 GALIRAYA-KAYUNGA'!F47,'23.10 GALIRAYA-KAYUNGA'!F47)</f>
        <v>2.1428571428571428</v>
      </c>
      <c r="G47" s="49">
        <f>AVERAGE('17.10 GALIRAYA-KAYUNGA'!G47,'18.10 GALIRAYA-KAYUNGA'!G47,'19.10 GALIRAYA-KAYUNGA-24h'!G47,'20.10 GALIRAYA-KAYUNGA'!G47,'21.10 GALIRAYA-KAYUNGA-24h'!G47,'22.10 GALIRAYA-KAYUNGA'!G47,'23.10 GALIRAYA-KAYUNGA'!G47)</f>
        <v>0.14285714285714285</v>
      </c>
      <c r="H47" s="49">
        <f>AVERAGE('17.10 GALIRAYA-KAYUNGA'!H47,'18.10 GALIRAYA-KAYUNGA'!H47,'19.10 GALIRAYA-KAYUNGA-24h'!H47,'20.10 GALIRAYA-KAYUNGA'!H47,'21.10 GALIRAYA-KAYUNGA-24h'!H47,'22.10 GALIRAYA-KAYUNGA'!H47,'23.10 GALIRAYA-KAYUNGA'!H47)</f>
        <v>0.2857142857142857</v>
      </c>
      <c r="I47" s="49">
        <f>AVERAGE('17.10 GALIRAYA-KAYUNGA'!I47,'18.10 GALIRAYA-KAYUNGA'!I47,'19.10 GALIRAYA-KAYUNGA-24h'!I47,'20.10 GALIRAYA-KAYUNGA'!I47,'21.10 GALIRAYA-KAYUNGA-24h'!I47,'22.10 GALIRAYA-KAYUNGA'!I47,'23.10 GALIRAYA-KAYUNGA'!I47)</f>
        <v>1.2857142857142858</v>
      </c>
      <c r="J47" s="49">
        <f>AVERAGE('17.10 GALIRAYA-KAYUNGA'!J47,'18.10 GALIRAYA-KAYUNGA'!J47,'19.10 GALIRAYA-KAYUNGA-24h'!J47,'20.10 GALIRAYA-KAYUNGA'!J47,'21.10 GALIRAYA-KAYUNGA-24h'!J47,'22.10 GALIRAYA-KAYUNGA'!J47,'23.10 GALIRAYA-KAYUNGA'!J47)</f>
        <v>0.5714285714285714</v>
      </c>
      <c r="K47" s="49">
        <f>AVERAGE('17.10 GALIRAYA-KAYUNGA'!K47,'18.10 GALIRAYA-KAYUNGA'!K47,'19.10 GALIRAYA-KAYUNGA-24h'!K47,'20.10 GALIRAYA-KAYUNGA'!K47,'21.10 GALIRAYA-KAYUNGA-24h'!K47,'22.10 GALIRAYA-KAYUNGA'!K47,'23.10 GALIRAYA-KAYUNGA'!K47)</f>
        <v>0</v>
      </c>
      <c r="L47" s="49">
        <f>AVERAGE('17.10 GALIRAYA-KAYUNGA'!L47,'18.10 GALIRAYA-KAYUNGA'!L47,'19.10 GALIRAYA-KAYUNGA-24h'!L47,'20.10 GALIRAYA-KAYUNGA'!L47,'21.10 GALIRAYA-KAYUNGA-24h'!L47,'22.10 GALIRAYA-KAYUNGA'!L47,'23.10 GALIRAYA-KAYUNGA'!L47)</f>
        <v>0</v>
      </c>
      <c r="M47" s="49">
        <f>AVERAGE('17.10 GALIRAYA-KAYUNGA'!M47,'18.10 GALIRAYA-KAYUNGA'!M47,'19.10 GALIRAYA-KAYUNGA-24h'!M47,'20.10 GALIRAYA-KAYUNGA'!M47,'21.10 GALIRAYA-KAYUNGA-24h'!M47,'22.10 GALIRAYA-KAYUNGA'!M47,'23.10 GALIRAYA-KAYUNGA'!M47)</f>
        <v>10.857142857142858</v>
      </c>
      <c r="N47" s="49">
        <f>AVERAGE('17.10 GALIRAYA-KAYUNGA'!N47,'18.10 GALIRAYA-KAYUNGA'!N47,'19.10 GALIRAYA-KAYUNGA-24h'!N47,'20.10 GALIRAYA-KAYUNGA'!N47,'21.10 GALIRAYA-KAYUNGA-24h'!N47,'22.10 GALIRAYA-KAYUNGA'!N47,'23.10 GALIRAYA-KAYUNGA'!N47)</f>
        <v>0</v>
      </c>
      <c r="O47" s="15">
        <f t="shared" si="0"/>
        <v>6.5714285714285712</v>
      </c>
      <c r="P47" s="15">
        <f t="shared" si="1"/>
        <v>17.428571428571431</v>
      </c>
      <c r="R47" s="8"/>
      <c r="T47"/>
    </row>
    <row r="48" spans="2:32" ht="23.1" customHeight="1" x14ac:dyDescent="0.25">
      <c r="B48" s="24" t="s">
        <v>75</v>
      </c>
      <c r="C48" s="49">
        <f>AVERAGE('17.10 GALIRAYA-KAYUNGA'!C48,'18.10 GALIRAYA-KAYUNGA'!C48,'19.10 GALIRAYA-KAYUNGA-24h'!C48,'20.10 GALIRAYA-KAYUNGA'!C48,'21.10 GALIRAYA-KAYUNGA-24h'!C48,'22.10 GALIRAYA-KAYUNGA'!C48,'23.10 GALIRAYA-KAYUNGA'!C48)</f>
        <v>0.5714285714285714</v>
      </c>
      <c r="D48" s="49">
        <f>AVERAGE('17.10 GALIRAYA-KAYUNGA'!D48,'18.10 GALIRAYA-KAYUNGA'!D48,'19.10 GALIRAYA-KAYUNGA-24h'!D48,'20.10 GALIRAYA-KAYUNGA'!D48,'21.10 GALIRAYA-KAYUNGA-24h'!D48,'22.10 GALIRAYA-KAYUNGA'!D48,'23.10 GALIRAYA-KAYUNGA'!D48)</f>
        <v>0.14285714285714285</v>
      </c>
      <c r="E48" s="49">
        <f>AVERAGE('17.10 GALIRAYA-KAYUNGA'!E48,'18.10 GALIRAYA-KAYUNGA'!E48,'19.10 GALIRAYA-KAYUNGA-24h'!E48,'20.10 GALIRAYA-KAYUNGA'!E48,'21.10 GALIRAYA-KAYUNGA-24h'!E48,'22.10 GALIRAYA-KAYUNGA'!E48,'23.10 GALIRAYA-KAYUNGA'!E48)</f>
        <v>0.2857142857142857</v>
      </c>
      <c r="F48" s="49">
        <f>AVERAGE('17.10 GALIRAYA-KAYUNGA'!F48,'18.10 GALIRAYA-KAYUNGA'!F48,'19.10 GALIRAYA-KAYUNGA-24h'!F48,'20.10 GALIRAYA-KAYUNGA'!F48,'21.10 GALIRAYA-KAYUNGA-24h'!F48,'22.10 GALIRAYA-KAYUNGA'!F48,'23.10 GALIRAYA-KAYUNGA'!F48)</f>
        <v>1.5714285714285714</v>
      </c>
      <c r="G48" s="49">
        <f>AVERAGE('17.10 GALIRAYA-KAYUNGA'!G48,'18.10 GALIRAYA-KAYUNGA'!G48,'19.10 GALIRAYA-KAYUNGA-24h'!G48,'20.10 GALIRAYA-KAYUNGA'!G48,'21.10 GALIRAYA-KAYUNGA-24h'!G48,'22.10 GALIRAYA-KAYUNGA'!G48,'23.10 GALIRAYA-KAYUNGA'!G48)</f>
        <v>0</v>
      </c>
      <c r="H48" s="49">
        <f>AVERAGE('17.10 GALIRAYA-KAYUNGA'!H48,'18.10 GALIRAYA-KAYUNGA'!H48,'19.10 GALIRAYA-KAYUNGA-24h'!H48,'20.10 GALIRAYA-KAYUNGA'!H48,'21.10 GALIRAYA-KAYUNGA-24h'!H48,'22.10 GALIRAYA-KAYUNGA'!H48,'23.10 GALIRAYA-KAYUNGA'!H48)</f>
        <v>0</v>
      </c>
      <c r="I48" s="49">
        <f>AVERAGE('17.10 GALIRAYA-KAYUNGA'!I48,'18.10 GALIRAYA-KAYUNGA'!I48,'19.10 GALIRAYA-KAYUNGA-24h'!I48,'20.10 GALIRAYA-KAYUNGA'!I48,'21.10 GALIRAYA-KAYUNGA-24h'!I48,'22.10 GALIRAYA-KAYUNGA'!I48,'23.10 GALIRAYA-KAYUNGA'!I48)</f>
        <v>0.2857142857142857</v>
      </c>
      <c r="J48" s="49">
        <f>AVERAGE('17.10 GALIRAYA-KAYUNGA'!J48,'18.10 GALIRAYA-KAYUNGA'!J48,'19.10 GALIRAYA-KAYUNGA-24h'!J48,'20.10 GALIRAYA-KAYUNGA'!J48,'21.10 GALIRAYA-KAYUNGA-24h'!J48,'22.10 GALIRAYA-KAYUNGA'!J48,'23.10 GALIRAYA-KAYUNGA'!J48)</f>
        <v>0.7142857142857143</v>
      </c>
      <c r="K48" s="49">
        <f>AVERAGE('17.10 GALIRAYA-KAYUNGA'!K48,'18.10 GALIRAYA-KAYUNGA'!K48,'19.10 GALIRAYA-KAYUNGA-24h'!K48,'20.10 GALIRAYA-KAYUNGA'!K48,'21.10 GALIRAYA-KAYUNGA-24h'!K48,'22.10 GALIRAYA-KAYUNGA'!K48,'23.10 GALIRAYA-KAYUNGA'!K48)</f>
        <v>0.14285714285714285</v>
      </c>
      <c r="L48" s="49">
        <f>AVERAGE('17.10 GALIRAYA-KAYUNGA'!L48,'18.10 GALIRAYA-KAYUNGA'!L48,'19.10 GALIRAYA-KAYUNGA-24h'!L48,'20.10 GALIRAYA-KAYUNGA'!L48,'21.10 GALIRAYA-KAYUNGA-24h'!L48,'22.10 GALIRAYA-KAYUNGA'!L48,'23.10 GALIRAYA-KAYUNGA'!L48)</f>
        <v>0.2857142857142857</v>
      </c>
      <c r="M48" s="49">
        <f>AVERAGE('17.10 GALIRAYA-KAYUNGA'!M48,'18.10 GALIRAYA-KAYUNGA'!M48,'19.10 GALIRAYA-KAYUNGA-24h'!M48,'20.10 GALIRAYA-KAYUNGA'!M48,'21.10 GALIRAYA-KAYUNGA-24h'!M48,'22.10 GALIRAYA-KAYUNGA'!M48,'23.10 GALIRAYA-KAYUNGA'!M48)</f>
        <v>10.857142857142858</v>
      </c>
      <c r="N48" s="49">
        <f>AVERAGE('17.10 GALIRAYA-KAYUNGA'!N48,'18.10 GALIRAYA-KAYUNGA'!N48,'19.10 GALIRAYA-KAYUNGA-24h'!N48,'20.10 GALIRAYA-KAYUNGA'!N48,'21.10 GALIRAYA-KAYUNGA-24h'!N48,'22.10 GALIRAYA-KAYUNGA'!N48,'23.10 GALIRAYA-KAYUNGA'!N48)</f>
        <v>0</v>
      </c>
      <c r="O48" s="15">
        <f t="shared" si="0"/>
        <v>3.9999999999999996</v>
      </c>
      <c r="P48" s="15">
        <f t="shared" si="1"/>
        <v>14.857142857142858</v>
      </c>
      <c r="R48" s="8"/>
      <c r="T48"/>
    </row>
    <row r="49" spans="2:20" ht="23.1" customHeight="1" x14ac:dyDescent="0.25">
      <c r="B49" s="23" t="s">
        <v>76</v>
      </c>
      <c r="C49" s="49">
        <f>AVERAGE('17.10 GALIRAYA-KAYUNGA'!C49,'18.10 GALIRAYA-KAYUNGA'!C49,'19.10 GALIRAYA-KAYUNGA-24h'!C49,'20.10 GALIRAYA-KAYUNGA'!C49,'21.10 GALIRAYA-KAYUNGA-24h'!C49,'22.10 GALIRAYA-KAYUNGA'!C49,'23.10 GALIRAYA-KAYUNGA'!C49)</f>
        <v>1.4285714285714286</v>
      </c>
      <c r="D49" s="49">
        <f>AVERAGE('17.10 GALIRAYA-KAYUNGA'!D49,'18.10 GALIRAYA-KAYUNGA'!D49,'19.10 GALIRAYA-KAYUNGA-24h'!D49,'20.10 GALIRAYA-KAYUNGA'!D49,'21.10 GALIRAYA-KAYUNGA-24h'!D49,'22.10 GALIRAYA-KAYUNGA'!D49,'23.10 GALIRAYA-KAYUNGA'!D49)</f>
        <v>0.14285714285714285</v>
      </c>
      <c r="E49" s="49">
        <f>AVERAGE('17.10 GALIRAYA-KAYUNGA'!E49,'18.10 GALIRAYA-KAYUNGA'!E49,'19.10 GALIRAYA-KAYUNGA-24h'!E49,'20.10 GALIRAYA-KAYUNGA'!E49,'21.10 GALIRAYA-KAYUNGA-24h'!E49,'22.10 GALIRAYA-KAYUNGA'!E49,'23.10 GALIRAYA-KAYUNGA'!E49)</f>
        <v>0.42857142857142855</v>
      </c>
      <c r="F49" s="49">
        <f>AVERAGE('17.10 GALIRAYA-KAYUNGA'!F49,'18.10 GALIRAYA-KAYUNGA'!F49,'19.10 GALIRAYA-KAYUNGA-24h'!F49,'20.10 GALIRAYA-KAYUNGA'!F49,'21.10 GALIRAYA-KAYUNGA-24h'!F49,'22.10 GALIRAYA-KAYUNGA'!F49,'23.10 GALIRAYA-KAYUNGA'!F49)</f>
        <v>1.5714285714285714</v>
      </c>
      <c r="G49" s="49">
        <f>AVERAGE('17.10 GALIRAYA-KAYUNGA'!G49,'18.10 GALIRAYA-KAYUNGA'!G49,'19.10 GALIRAYA-KAYUNGA-24h'!G49,'20.10 GALIRAYA-KAYUNGA'!G49,'21.10 GALIRAYA-KAYUNGA-24h'!G49,'22.10 GALIRAYA-KAYUNGA'!G49,'23.10 GALIRAYA-KAYUNGA'!G49)</f>
        <v>0.2857142857142857</v>
      </c>
      <c r="H49" s="49">
        <f>AVERAGE('17.10 GALIRAYA-KAYUNGA'!H49,'18.10 GALIRAYA-KAYUNGA'!H49,'19.10 GALIRAYA-KAYUNGA-24h'!H49,'20.10 GALIRAYA-KAYUNGA'!H49,'21.10 GALIRAYA-KAYUNGA-24h'!H49,'22.10 GALIRAYA-KAYUNGA'!H49,'23.10 GALIRAYA-KAYUNGA'!H49)</f>
        <v>0</v>
      </c>
      <c r="I49" s="49">
        <f>AVERAGE('17.10 GALIRAYA-KAYUNGA'!I49,'18.10 GALIRAYA-KAYUNGA'!I49,'19.10 GALIRAYA-KAYUNGA-24h'!I49,'20.10 GALIRAYA-KAYUNGA'!I49,'21.10 GALIRAYA-KAYUNGA-24h'!I49,'22.10 GALIRAYA-KAYUNGA'!I49,'23.10 GALIRAYA-KAYUNGA'!I49)</f>
        <v>1</v>
      </c>
      <c r="J49" s="49">
        <f>AVERAGE('17.10 GALIRAYA-KAYUNGA'!J49,'18.10 GALIRAYA-KAYUNGA'!J49,'19.10 GALIRAYA-KAYUNGA-24h'!J49,'20.10 GALIRAYA-KAYUNGA'!J49,'21.10 GALIRAYA-KAYUNGA-24h'!J49,'22.10 GALIRAYA-KAYUNGA'!J49,'23.10 GALIRAYA-KAYUNGA'!J49)</f>
        <v>0.5714285714285714</v>
      </c>
      <c r="K49" s="49">
        <f>AVERAGE('17.10 GALIRAYA-KAYUNGA'!K49,'18.10 GALIRAYA-KAYUNGA'!K49,'19.10 GALIRAYA-KAYUNGA-24h'!K49,'20.10 GALIRAYA-KAYUNGA'!K49,'21.10 GALIRAYA-KAYUNGA-24h'!K49,'22.10 GALIRAYA-KAYUNGA'!K49,'23.10 GALIRAYA-KAYUNGA'!K49)</f>
        <v>0.2857142857142857</v>
      </c>
      <c r="L49" s="49">
        <f>AVERAGE('17.10 GALIRAYA-KAYUNGA'!L49,'18.10 GALIRAYA-KAYUNGA'!L49,'19.10 GALIRAYA-KAYUNGA-24h'!L49,'20.10 GALIRAYA-KAYUNGA'!L49,'21.10 GALIRAYA-KAYUNGA-24h'!L49,'22.10 GALIRAYA-KAYUNGA'!L49,'23.10 GALIRAYA-KAYUNGA'!L49)</f>
        <v>0.2857142857142857</v>
      </c>
      <c r="M49" s="49">
        <f>AVERAGE('17.10 GALIRAYA-KAYUNGA'!M49,'18.10 GALIRAYA-KAYUNGA'!M49,'19.10 GALIRAYA-KAYUNGA-24h'!M49,'20.10 GALIRAYA-KAYUNGA'!M49,'21.10 GALIRAYA-KAYUNGA-24h'!M49,'22.10 GALIRAYA-KAYUNGA'!M49,'23.10 GALIRAYA-KAYUNGA'!M49)</f>
        <v>11.142857142857142</v>
      </c>
      <c r="N49" s="49">
        <f>AVERAGE('17.10 GALIRAYA-KAYUNGA'!N49,'18.10 GALIRAYA-KAYUNGA'!N49,'19.10 GALIRAYA-KAYUNGA-24h'!N49,'20.10 GALIRAYA-KAYUNGA'!N49,'21.10 GALIRAYA-KAYUNGA-24h'!N49,'22.10 GALIRAYA-KAYUNGA'!N49,'23.10 GALIRAYA-KAYUNGA'!N49)</f>
        <v>0.14285714285714285</v>
      </c>
      <c r="O49" s="15">
        <f t="shared" si="0"/>
        <v>6.1428571428571423</v>
      </c>
      <c r="P49" s="15">
        <f t="shared" si="1"/>
        <v>17.285714285714285</v>
      </c>
      <c r="R49" s="8"/>
      <c r="T49"/>
    </row>
    <row r="50" spans="2:20" ht="23.1" customHeight="1" x14ac:dyDescent="0.25">
      <c r="B50" s="24" t="s">
        <v>77</v>
      </c>
      <c r="C50" s="49">
        <f>AVERAGE('17.10 GALIRAYA-KAYUNGA'!C50,'18.10 GALIRAYA-KAYUNGA'!C50,'19.10 GALIRAYA-KAYUNGA-24h'!C50,'20.10 GALIRAYA-KAYUNGA'!C50,'21.10 GALIRAYA-KAYUNGA-24h'!C50,'22.10 GALIRAYA-KAYUNGA'!C50,'23.10 GALIRAYA-KAYUNGA'!C50)</f>
        <v>0.8571428571428571</v>
      </c>
      <c r="D50" s="49">
        <f>AVERAGE('17.10 GALIRAYA-KAYUNGA'!D50,'18.10 GALIRAYA-KAYUNGA'!D50,'19.10 GALIRAYA-KAYUNGA-24h'!D50,'20.10 GALIRAYA-KAYUNGA'!D50,'21.10 GALIRAYA-KAYUNGA-24h'!D50,'22.10 GALIRAYA-KAYUNGA'!D50,'23.10 GALIRAYA-KAYUNGA'!D50)</f>
        <v>0.5714285714285714</v>
      </c>
      <c r="E50" s="49">
        <f>AVERAGE('17.10 GALIRAYA-KAYUNGA'!E50,'18.10 GALIRAYA-KAYUNGA'!E50,'19.10 GALIRAYA-KAYUNGA-24h'!E50,'20.10 GALIRAYA-KAYUNGA'!E50,'21.10 GALIRAYA-KAYUNGA-24h'!E50,'22.10 GALIRAYA-KAYUNGA'!E50,'23.10 GALIRAYA-KAYUNGA'!E50)</f>
        <v>0</v>
      </c>
      <c r="F50" s="49">
        <f>AVERAGE('17.10 GALIRAYA-KAYUNGA'!F50,'18.10 GALIRAYA-KAYUNGA'!F50,'19.10 GALIRAYA-KAYUNGA-24h'!F50,'20.10 GALIRAYA-KAYUNGA'!F50,'21.10 GALIRAYA-KAYUNGA-24h'!F50,'22.10 GALIRAYA-KAYUNGA'!F50,'23.10 GALIRAYA-KAYUNGA'!F50)</f>
        <v>1</v>
      </c>
      <c r="G50" s="49">
        <f>AVERAGE('17.10 GALIRAYA-KAYUNGA'!G50,'18.10 GALIRAYA-KAYUNGA'!G50,'19.10 GALIRAYA-KAYUNGA-24h'!G50,'20.10 GALIRAYA-KAYUNGA'!G50,'21.10 GALIRAYA-KAYUNGA-24h'!G50,'22.10 GALIRAYA-KAYUNGA'!G50,'23.10 GALIRAYA-KAYUNGA'!G50)</f>
        <v>0</v>
      </c>
      <c r="H50" s="49">
        <f>AVERAGE('17.10 GALIRAYA-KAYUNGA'!H50,'18.10 GALIRAYA-KAYUNGA'!H50,'19.10 GALIRAYA-KAYUNGA-24h'!H50,'20.10 GALIRAYA-KAYUNGA'!H50,'21.10 GALIRAYA-KAYUNGA-24h'!H50,'22.10 GALIRAYA-KAYUNGA'!H50,'23.10 GALIRAYA-KAYUNGA'!H50)</f>
        <v>0</v>
      </c>
      <c r="I50" s="49">
        <f>AVERAGE('17.10 GALIRAYA-KAYUNGA'!I50,'18.10 GALIRAYA-KAYUNGA'!I50,'19.10 GALIRAYA-KAYUNGA-24h'!I50,'20.10 GALIRAYA-KAYUNGA'!I50,'21.10 GALIRAYA-KAYUNGA-24h'!I50,'22.10 GALIRAYA-KAYUNGA'!I50,'23.10 GALIRAYA-KAYUNGA'!I50)</f>
        <v>0.7142857142857143</v>
      </c>
      <c r="J50" s="49">
        <f>AVERAGE('17.10 GALIRAYA-KAYUNGA'!J50,'18.10 GALIRAYA-KAYUNGA'!J50,'19.10 GALIRAYA-KAYUNGA-24h'!J50,'20.10 GALIRAYA-KAYUNGA'!J50,'21.10 GALIRAYA-KAYUNGA-24h'!J50,'22.10 GALIRAYA-KAYUNGA'!J50,'23.10 GALIRAYA-KAYUNGA'!J50)</f>
        <v>0.14285714285714285</v>
      </c>
      <c r="K50" s="49">
        <f>AVERAGE('17.10 GALIRAYA-KAYUNGA'!K50,'18.10 GALIRAYA-KAYUNGA'!K50,'19.10 GALIRAYA-KAYUNGA-24h'!K50,'20.10 GALIRAYA-KAYUNGA'!K50,'21.10 GALIRAYA-KAYUNGA-24h'!K50,'22.10 GALIRAYA-KAYUNGA'!K50,'23.10 GALIRAYA-KAYUNGA'!K50)</f>
        <v>0.5714285714285714</v>
      </c>
      <c r="L50" s="49">
        <f>AVERAGE('17.10 GALIRAYA-KAYUNGA'!L50,'18.10 GALIRAYA-KAYUNGA'!L50,'19.10 GALIRAYA-KAYUNGA-24h'!L50,'20.10 GALIRAYA-KAYUNGA'!L50,'21.10 GALIRAYA-KAYUNGA-24h'!L50,'22.10 GALIRAYA-KAYUNGA'!L50,'23.10 GALIRAYA-KAYUNGA'!L50)</f>
        <v>0</v>
      </c>
      <c r="M50" s="49">
        <f>AVERAGE('17.10 GALIRAYA-KAYUNGA'!M50,'18.10 GALIRAYA-KAYUNGA'!M50,'19.10 GALIRAYA-KAYUNGA-24h'!M50,'20.10 GALIRAYA-KAYUNGA'!M50,'21.10 GALIRAYA-KAYUNGA-24h'!M50,'22.10 GALIRAYA-KAYUNGA'!M50,'23.10 GALIRAYA-KAYUNGA'!M50)</f>
        <v>8.7142857142857135</v>
      </c>
      <c r="N50" s="49">
        <f>AVERAGE('17.10 GALIRAYA-KAYUNGA'!N50,'18.10 GALIRAYA-KAYUNGA'!N50,'19.10 GALIRAYA-KAYUNGA-24h'!N50,'20.10 GALIRAYA-KAYUNGA'!N50,'21.10 GALIRAYA-KAYUNGA-24h'!N50,'22.10 GALIRAYA-KAYUNGA'!N50,'23.10 GALIRAYA-KAYUNGA'!N50)</f>
        <v>0</v>
      </c>
      <c r="O50" s="15">
        <f t="shared" si="0"/>
        <v>3.8571428571428568</v>
      </c>
      <c r="P50" s="15">
        <f t="shared" si="1"/>
        <v>12.571428571428569</v>
      </c>
      <c r="R50" s="8"/>
      <c r="T50"/>
    </row>
    <row r="51" spans="2:20" ht="23.1" customHeight="1" x14ac:dyDescent="0.25">
      <c r="B51" s="24" t="s">
        <v>78</v>
      </c>
      <c r="C51" s="49">
        <f>AVERAGE('17.10 GALIRAYA-KAYUNGA'!C51,'18.10 GALIRAYA-KAYUNGA'!C51,'19.10 GALIRAYA-KAYUNGA-24h'!C51,'20.10 GALIRAYA-KAYUNGA'!C51,'21.10 GALIRAYA-KAYUNGA-24h'!C51,'22.10 GALIRAYA-KAYUNGA'!C51,'23.10 GALIRAYA-KAYUNGA'!C51)</f>
        <v>1.2857142857142858</v>
      </c>
      <c r="D51" s="49">
        <f>AVERAGE('17.10 GALIRAYA-KAYUNGA'!D51,'18.10 GALIRAYA-KAYUNGA'!D51,'19.10 GALIRAYA-KAYUNGA-24h'!D51,'20.10 GALIRAYA-KAYUNGA'!D51,'21.10 GALIRAYA-KAYUNGA-24h'!D51,'22.10 GALIRAYA-KAYUNGA'!D51,'23.10 GALIRAYA-KAYUNGA'!D51)</f>
        <v>0.8571428571428571</v>
      </c>
      <c r="E51" s="49">
        <f>AVERAGE('17.10 GALIRAYA-KAYUNGA'!E51,'18.10 GALIRAYA-KAYUNGA'!E51,'19.10 GALIRAYA-KAYUNGA-24h'!E51,'20.10 GALIRAYA-KAYUNGA'!E51,'21.10 GALIRAYA-KAYUNGA-24h'!E51,'22.10 GALIRAYA-KAYUNGA'!E51,'23.10 GALIRAYA-KAYUNGA'!E51)</f>
        <v>0.5714285714285714</v>
      </c>
      <c r="F51" s="49">
        <f>AVERAGE('17.10 GALIRAYA-KAYUNGA'!F51,'18.10 GALIRAYA-KAYUNGA'!F51,'19.10 GALIRAYA-KAYUNGA-24h'!F51,'20.10 GALIRAYA-KAYUNGA'!F51,'21.10 GALIRAYA-KAYUNGA-24h'!F51,'22.10 GALIRAYA-KAYUNGA'!F51,'23.10 GALIRAYA-KAYUNGA'!F51)</f>
        <v>2</v>
      </c>
      <c r="G51" s="49">
        <f>AVERAGE('17.10 GALIRAYA-KAYUNGA'!G51,'18.10 GALIRAYA-KAYUNGA'!G51,'19.10 GALIRAYA-KAYUNGA-24h'!G51,'20.10 GALIRAYA-KAYUNGA'!G51,'21.10 GALIRAYA-KAYUNGA-24h'!G51,'22.10 GALIRAYA-KAYUNGA'!G51,'23.10 GALIRAYA-KAYUNGA'!G51)</f>
        <v>0</v>
      </c>
      <c r="H51" s="49">
        <f>AVERAGE('17.10 GALIRAYA-KAYUNGA'!H51,'18.10 GALIRAYA-KAYUNGA'!H51,'19.10 GALIRAYA-KAYUNGA-24h'!H51,'20.10 GALIRAYA-KAYUNGA'!H51,'21.10 GALIRAYA-KAYUNGA-24h'!H51,'22.10 GALIRAYA-KAYUNGA'!H51,'23.10 GALIRAYA-KAYUNGA'!H51)</f>
        <v>0.14285714285714285</v>
      </c>
      <c r="I51" s="49">
        <f>AVERAGE('17.10 GALIRAYA-KAYUNGA'!I51,'18.10 GALIRAYA-KAYUNGA'!I51,'19.10 GALIRAYA-KAYUNGA-24h'!I51,'20.10 GALIRAYA-KAYUNGA'!I51,'21.10 GALIRAYA-KAYUNGA-24h'!I51,'22.10 GALIRAYA-KAYUNGA'!I51,'23.10 GALIRAYA-KAYUNGA'!I51)</f>
        <v>0.7142857142857143</v>
      </c>
      <c r="J51" s="49">
        <f>AVERAGE('17.10 GALIRAYA-KAYUNGA'!J51,'18.10 GALIRAYA-KAYUNGA'!J51,'19.10 GALIRAYA-KAYUNGA-24h'!J51,'20.10 GALIRAYA-KAYUNGA'!J51,'21.10 GALIRAYA-KAYUNGA-24h'!J51,'22.10 GALIRAYA-KAYUNGA'!J51,'23.10 GALIRAYA-KAYUNGA'!J51)</f>
        <v>0.42857142857142855</v>
      </c>
      <c r="K51" s="49">
        <f>AVERAGE('17.10 GALIRAYA-KAYUNGA'!K51,'18.10 GALIRAYA-KAYUNGA'!K51,'19.10 GALIRAYA-KAYUNGA-24h'!K51,'20.10 GALIRAYA-KAYUNGA'!K51,'21.10 GALIRAYA-KAYUNGA-24h'!K51,'22.10 GALIRAYA-KAYUNGA'!K51,'23.10 GALIRAYA-KAYUNGA'!K51)</f>
        <v>0.14285714285714285</v>
      </c>
      <c r="L51" s="49">
        <f>AVERAGE('17.10 GALIRAYA-KAYUNGA'!L51,'18.10 GALIRAYA-KAYUNGA'!L51,'19.10 GALIRAYA-KAYUNGA-24h'!L51,'20.10 GALIRAYA-KAYUNGA'!L51,'21.10 GALIRAYA-KAYUNGA-24h'!L51,'22.10 GALIRAYA-KAYUNGA'!L51,'23.10 GALIRAYA-KAYUNGA'!L51)</f>
        <v>0</v>
      </c>
      <c r="M51" s="49">
        <f>AVERAGE('17.10 GALIRAYA-KAYUNGA'!M51,'18.10 GALIRAYA-KAYUNGA'!M51,'19.10 GALIRAYA-KAYUNGA-24h'!M51,'20.10 GALIRAYA-KAYUNGA'!M51,'21.10 GALIRAYA-KAYUNGA-24h'!M51,'22.10 GALIRAYA-KAYUNGA'!M51,'23.10 GALIRAYA-KAYUNGA'!M51)</f>
        <v>9</v>
      </c>
      <c r="N51" s="49">
        <f>AVERAGE('17.10 GALIRAYA-KAYUNGA'!N51,'18.10 GALIRAYA-KAYUNGA'!N51,'19.10 GALIRAYA-KAYUNGA-24h'!N51,'20.10 GALIRAYA-KAYUNGA'!N51,'21.10 GALIRAYA-KAYUNGA-24h'!N51,'22.10 GALIRAYA-KAYUNGA'!N51,'23.10 GALIRAYA-KAYUNGA'!N51)</f>
        <v>0</v>
      </c>
      <c r="O51" s="15">
        <f t="shared" si="0"/>
        <v>6.1428571428571441</v>
      </c>
      <c r="P51" s="15">
        <f t="shared" si="1"/>
        <v>15.142857142857144</v>
      </c>
      <c r="R51" s="8"/>
      <c r="T51"/>
    </row>
    <row r="52" spans="2:20" ht="23.1" customHeight="1" x14ac:dyDescent="0.25">
      <c r="B52" s="24" t="s">
        <v>79</v>
      </c>
      <c r="C52" s="49">
        <f>AVERAGE('17.10 GALIRAYA-KAYUNGA'!C52,'18.10 GALIRAYA-KAYUNGA'!C52,'19.10 GALIRAYA-KAYUNGA-24h'!C52,'20.10 GALIRAYA-KAYUNGA'!C52,'21.10 GALIRAYA-KAYUNGA-24h'!C52,'22.10 GALIRAYA-KAYUNGA'!C52,'23.10 GALIRAYA-KAYUNGA'!C52)</f>
        <v>0.7142857142857143</v>
      </c>
      <c r="D52" s="49">
        <f>AVERAGE('17.10 GALIRAYA-KAYUNGA'!D52,'18.10 GALIRAYA-KAYUNGA'!D52,'19.10 GALIRAYA-KAYUNGA-24h'!D52,'20.10 GALIRAYA-KAYUNGA'!D52,'21.10 GALIRAYA-KAYUNGA-24h'!D52,'22.10 GALIRAYA-KAYUNGA'!D52,'23.10 GALIRAYA-KAYUNGA'!D52)</f>
        <v>0.42857142857142855</v>
      </c>
      <c r="E52" s="49">
        <f>AVERAGE('17.10 GALIRAYA-KAYUNGA'!E52,'18.10 GALIRAYA-KAYUNGA'!E52,'19.10 GALIRAYA-KAYUNGA-24h'!E52,'20.10 GALIRAYA-KAYUNGA'!E52,'21.10 GALIRAYA-KAYUNGA-24h'!E52,'22.10 GALIRAYA-KAYUNGA'!E52,'23.10 GALIRAYA-KAYUNGA'!E52)</f>
        <v>0.42857142857142855</v>
      </c>
      <c r="F52" s="49">
        <f>AVERAGE('17.10 GALIRAYA-KAYUNGA'!F52,'18.10 GALIRAYA-KAYUNGA'!F52,'19.10 GALIRAYA-KAYUNGA-24h'!F52,'20.10 GALIRAYA-KAYUNGA'!F52,'21.10 GALIRAYA-KAYUNGA-24h'!F52,'22.10 GALIRAYA-KAYUNGA'!F52,'23.10 GALIRAYA-KAYUNGA'!F52)</f>
        <v>0.8571428571428571</v>
      </c>
      <c r="G52" s="49">
        <f>AVERAGE('17.10 GALIRAYA-KAYUNGA'!G52,'18.10 GALIRAYA-KAYUNGA'!G52,'19.10 GALIRAYA-KAYUNGA-24h'!G52,'20.10 GALIRAYA-KAYUNGA'!G52,'21.10 GALIRAYA-KAYUNGA-24h'!G52,'22.10 GALIRAYA-KAYUNGA'!G52,'23.10 GALIRAYA-KAYUNGA'!G52)</f>
        <v>0</v>
      </c>
      <c r="H52" s="49">
        <f>AVERAGE('17.10 GALIRAYA-KAYUNGA'!H52,'18.10 GALIRAYA-KAYUNGA'!H52,'19.10 GALIRAYA-KAYUNGA-24h'!H52,'20.10 GALIRAYA-KAYUNGA'!H52,'21.10 GALIRAYA-KAYUNGA-24h'!H52,'22.10 GALIRAYA-KAYUNGA'!H52,'23.10 GALIRAYA-KAYUNGA'!H52)</f>
        <v>0</v>
      </c>
      <c r="I52" s="49">
        <f>AVERAGE('17.10 GALIRAYA-KAYUNGA'!I52,'18.10 GALIRAYA-KAYUNGA'!I52,'19.10 GALIRAYA-KAYUNGA-24h'!I52,'20.10 GALIRAYA-KAYUNGA'!I52,'21.10 GALIRAYA-KAYUNGA-24h'!I52,'22.10 GALIRAYA-KAYUNGA'!I52,'23.10 GALIRAYA-KAYUNGA'!I52)</f>
        <v>1</v>
      </c>
      <c r="J52" s="49">
        <f>AVERAGE('17.10 GALIRAYA-KAYUNGA'!J52,'18.10 GALIRAYA-KAYUNGA'!J52,'19.10 GALIRAYA-KAYUNGA-24h'!J52,'20.10 GALIRAYA-KAYUNGA'!J52,'21.10 GALIRAYA-KAYUNGA-24h'!J52,'22.10 GALIRAYA-KAYUNGA'!J52,'23.10 GALIRAYA-KAYUNGA'!J52)</f>
        <v>0.8571428571428571</v>
      </c>
      <c r="K52" s="49">
        <f>AVERAGE('17.10 GALIRAYA-KAYUNGA'!K52,'18.10 GALIRAYA-KAYUNGA'!K52,'19.10 GALIRAYA-KAYUNGA-24h'!K52,'20.10 GALIRAYA-KAYUNGA'!K52,'21.10 GALIRAYA-KAYUNGA-24h'!K52,'22.10 GALIRAYA-KAYUNGA'!K52,'23.10 GALIRAYA-KAYUNGA'!K52)</f>
        <v>0.8571428571428571</v>
      </c>
      <c r="L52" s="49">
        <f>AVERAGE('17.10 GALIRAYA-KAYUNGA'!L52,'18.10 GALIRAYA-KAYUNGA'!L52,'19.10 GALIRAYA-KAYUNGA-24h'!L52,'20.10 GALIRAYA-KAYUNGA'!L52,'21.10 GALIRAYA-KAYUNGA-24h'!L52,'22.10 GALIRAYA-KAYUNGA'!L52,'23.10 GALIRAYA-KAYUNGA'!L52)</f>
        <v>0.42857142857142855</v>
      </c>
      <c r="M52" s="49">
        <f>AVERAGE('17.10 GALIRAYA-KAYUNGA'!M52,'18.10 GALIRAYA-KAYUNGA'!M52,'19.10 GALIRAYA-KAYUNGA-24h'!M52,'20.10 GALIRAYA-KAYUNGA'!M52,'21.10 GALIRAYA-KAYUNGA-24h'!M52,'22.10 GALIRAYA-KAYUNGA'!M52,'23.10 GALIRAYA-KAYUNGA'!M52)</f>
        <v>7</v>
      </c>
      <c r="N52" s="49">
        <f>AVERAGE('17.10 GALIRAYA-KAYUNGA'!N52,'18.10 GALIRAYA-KAYUNGA'!N52,'19.10 GALIRAYA-KAYUNGA-24h'!N52,'20.10 GALIRAYA-KAYUNGA'!N52,'21.10 GALIRAYA-KAYUNGA-24h'!N52,'22.10 GALIRAYA-KAYUNGA'!N52,'23.10 GALIRAYA-KAYUNGA'!N52)</f>
        <v>0</v>
      </c>
      <c r="O52" s="15">
        <f t="shared" si="0"/>
        <v>5.5714285714285712</v>
      </c>
      <c r="P52" s="15">
        <f t="shared" si="1"/>
        <v>12.571428571428571</v>
      </c>
      <c r="R52" s="8"/>
      <c r="T52"/>
    </row>
    <row r="53" spans="2:20" ht="23.1" customHeight="1" x14ac:dyDescent="0.25">
      <c r="B53" s="23" t="s">
        <v>80</v>
      </c>
      <c r="C53" s="49">
        <f>AVERAGE('17.10 GALIRAYA-KAYUNGA'!C53,'18.10 GALIRAYA-KAYUNGA'!C53,'19.10 GALIRAYA-KAYUNGA-24h'!C53,'20.10 GALIRAYA-KAYUNGA'!C53,'21.10 GALIRAYA-KAYUNGA-24h'!C53,'22.10 GALIRAYA-KAYUNGA'!C53,'23.10 GALIRAYA-KAYUNGA'!C53)</f>
        <v>0.8571428571428571</v>
      </c>
      <c r="D53" s="49">
        <f>AVERAGE('17.10 GALIRAYA-KAYUNGA'!D53,'18.10 GALIRAYA-KAYUNGA'!D53,'19.10 GALIRAYA-KAYUNGA-24h'!D53,'20.10 GALIRAYA-KAYUNGA'!D53,'21.10 GALIRAYA-KAYUNGA-24h'!D53,'22.10 GALIRAYA-KAYUNGA'!D53,'23.10 GALIRAYA-KAYUNGA'!D53)</f>
        <v>0.8571428571428571</v>
      </c>
      <c r="E53" s="49">
        <f>AVERAGE('17.10 GALIRAYA-KAYUNGA'!E53,'18.10 GALIRAYA-KAYUNGA'!E53,'19.10 GALIRAYA-KAYUNGA-24h'!E53,'20.10 GALIRAYA-KAYUNGA'!E53,'21.10 GALIRAYA-KAYUNGA-24h'!E53,'22.10 GALIRAYA-KAYUNGA'!E53,'23.10 GALIRAYA-KAYUNGA'!E53)</f>
        <v>1.5714285714285714</v>
      </c>
      <c r="F53" s="49">
        <f>AVERAGE('17.10 GALIRAYA-KAYUNGA'!F53,'18.10 GALIRAYA-KAYUNGA'!F53,'19.10 GALIRAYA-KAYUNGA-24h'!F53,'20.10 GALIRAYA-KAYUNGA'!F53,'21.10 GALIRAYA-KAYUNGA-24h'!F53,'22.10 GALIRAYA-KAYUNGA'!F53,'23.10 GALIRAYA-KAYUNGA'!F53)</f>
        <v>2.1428571428571428</v>
      </c>
      <c r="G53" s="49">
        <f>AVERAGE('17.10 GALIRAYA-KAYUNGA'!G53,'18.10 GALIRAYA-KAYUNGA'!G53,'19.10 GALIRAYA-KAYUNGA-24h'!G53,'20.10 GALIRAYA-KAYUNGA'!G53,'21.10 GALIRAYA-KAYUNGA-24h'!G53,'22.10 GALIRAYA-KAYUNGA'!G53,'23.10 GALIRAYA-KAYUNGA'!G53)</f>
        <v>0.42857142857142855</v>
      </c>
      <c r="H53" s="49">
        <f>AVERAGE('17.10 GALIRAYA-KAYUNGA'!H53,'18.10 GALIRAYA-KAYUNGA'!H53,'19.10 GALIRAYA-KAYUNGA-24h'!H53,'20.10 GALIRAYA-KAYUNGA'!H53,'21.10 GALIRAYA-KAYUNGA-24h'!H53,'22.10 GALIRAYA-KAYUNGA'!H53,'23.10 GALIRAYA-KAYUNGA'!H53)</f>
        <v>0</v>
      </c>
      <c r="I53" s="49">
        <f>AVERAGE('17.10 GALIRAYA-KAYUNGA'!I53,'18.10 GALIRAYA-KAYUNGA'!I53,'19.10 GALIRAYA-KAYUNGA-24h'!I53,'20.10 GALIRAYA-KAYUNGA'!I53,'21.10 GALIRAYA-KAYUNGA-24h'!I53,'22.10 GALIRAYA-KAYUNGA'!I53,'23.10 GALIRAYA-KAYUNGA'!I53)</f>
        <v>0.2857142857142857</v>
      </c>
      <c r="J53" s="49">
        <f>AVERAGE('17.10 GALIRAYA-KAYUNGA'!J53,'18.10 GALIRAYA-KAYUNGA'!J53,'19.10 GALIRAYA-KAYUNGA-24h'!J53,'20.10 GALIRAYA-KAYUNGA'!J53,'21.10 GALIRAYA-KAYUNGA-24h'!J53,'22.10 GALIRAYA-KAYUNGA'!J53,'23.10 GALIRAYA-KAYUNGA'!J53)</f>
        <v>0.42857142857142855</v>
      </c>
      <c r="K53" s="49">
        <f>AVERAGE('17.10 GALIRAYA-KAYUNGA'!K53,'18.10 GALIRAYA-KAYUNGA'!K53,'19.10 GALIRAYA-KAYUNGA-24h'!K53,'20.10 GALIRAYA-KAYUNGA'!K53,'21.10 GALIRAYA-KAYUNGA-24h'!K53,'22.10 GALIRAYA-KAYUNGA'!K53,'23.10 GALIRAYA-KAYUNGA'!K53)</f>
        <v>0.8571428571428571</v>
      </c>
      <c r="L53" s="49">
        <f>AVERAGE('17.10 GALIRAYA-KAYUNGA'!L53,'18.10 GALIRAYA-KAYUNGA'!L53,'19.10 GALIRAYA-KAYUNGA-24h'!L53,'20.10 GALIRAYA-KAYUNGA'!L53,'21.10 GALIRAYA-KAYUNGA-24h'!L53,'22.10 GALIRAYA-KAYUNGA'!L53,'23.10 GALIRAYA-KAYUNGA'!L53)</f>
        <v>0.14285714285714285</v>
      </c>
      <c r="M53" s="49">
        <f>AVERAGE('17.10 GALIRAYA-KAYUNGA'!M53,'18.10 GALIRAYA-KAYUNGA'!M53,'19.10 GALIRAYA-KAYUNGA-24h'!M53,'20.10 GALIRAYA-KAYUNGA'!M53,'21.10 GALIRAYA-KAYUNGA-24h'!M53,'22.10 GALIRAYA-KAYUNGA'!M53,'23.10 GALIRAYA-KAYUNGA'!M53)</f>
        <v>7.1428571428571432</v>
      </c>
      <c r="N53" s="49">
        <f>AVERAGE('17.10 GALIRAYA-KAYUNGA'!N53,'18.10 GALIRAYA-KAYUNGA'!N53,'19.10 GALIRAYA-KAYUNGA-24h'!N53,'20.10 GALIRAYA-KAYUNGA'!N53,'21.10 GALIRAYA-KAYUNGA-24h'!N53,'22.10 GALIRAYA-KAYUNGA'!N53,'23.10 GALIRAYA-KAYUNGA'!N53)</f>
        <v>0</v>
      </c>
      <c r="O53" s="15">
        <f t="shared" si="0"/>
        <v>7.5714285714285721</v>
      </c>
      <c r="P53" s="15">
        <f t="shared" si="1"/>
        <v>14.714285714285715</v>
      </c>
      <c r="R53" s="8"/>
      <c r="T53"/>
    </row>
    <row r="54" spans="2:20" ht="23.1" customHeight="1" x14ac:dyDescent="0.25">
      <c r="B54" s="23" t="s">
        <v>81</v>
      </c>
      <c r="C54" s="49">
        <f>AVERAGE('17.10 GALIRAYA-KAYUNGA'!C54,'18.10 GALIRAYA-KAYUNGA'!C54,'19.10 GALIRAYA-KAYUNGA-24h'!C54,'20.10 GALIRAYA-KAYUNGA'!C54,'21.10 GALIRAYA-KAYUNGA-24h'!C54,'22.10 GALIRAYA-KAYUNGA'!C54,'23.10 GALIRAYA-KAYUNGA'!C54)</f>
        <v>1.5714285714285714</v>
      </c>
      <c r="D54" s="49">
        <f>AVERAGE('17.10 GALIRAYA-KAYUNGA'!D54,'18.10 GALIRAYA-KAYUNGA'!D54,'19.10 GALIRAYA-KAYUNGA-24h'!D54,'20.10 GALIRAYA-KAYUNGA'!D54,'21.10 GALIRAYA-KAYUNGA-24h'!D54,'22.10 GALIRAYA-KAYUNGA'!D54,'23.10 GALIRAYA-KAYUNGA'!D54)</f>
        <v>0.42857142857142855</v>
      </c>
      <c r="E54" s="49">
        <f>AVERAGE('17.10 GALIRAYA-KAYUNGA'!E54,'18.10 GALIRAYA-KAYUNGA'!E54,'19.10 GALIRAYA-KAYUNGA-24h'!E54,'20.10 GALIRAYA-KAYUNGA'!E54,'21.10 GALIRAYA-KAYUNGA-24h'!E54,'22.10 GALIRAYA-KAYUNGA'!E54,'23.10 GALIRAYA-KAYUNGA'!E54)</f>
        <v>0.8571428571428571</v>
      </c>
      <c r="F54" s="49">
        <f>AVERAGE('17.10 GALIRAYA-KAYUNGA'!F54,'18.10 GALIRAYA-KAYUNGA'!F54,'19.10 GALIRAYA-KAYUNGA-24h'!F54,'20.10 GALIRAYA-KAYUNGA'!F54,'21.10 GALIRAYA-KAYUNGA-24h'!F54,'22.10 GALIRAYA-KAYUNGA'!F54,'23.10 GALIRAYA-KAYUNGA'!F54)</f>
        <v>2</v>
      </c>
      <c r="G54" s="49">
        <f>AVERAGE('17.10 GALIRAYA-KAYUNGA'!G54,'18.10 GALIRAYA-KAYUNGA'!G54,'19.10 GALIRAYA-KAYUNGA-24h'!G54,'20.10 GALIRAYA-KAYUNGA'!G54,'21.10 GALIRAYA-KAYUNGA-24h'!G54,'22.10 GALIRAYA-KAYUNGA'!G54,'23.10 GALIRAYA-KAYUNGA'!G54)</f>
        <v>0</v>
      </c>
      <c r="H54" s="49">
        <f>AVERAGE('17.10 GALIRAYA-KAYUNGA'!H54,'18.10 GALIRAYA-KAYUNGA'!H54,'19.10 GALIRAYA-KAYUNGA-24h'!H54,'20.10 GALIRAYA-KAYUNGA'!H54,'21.10 GALIRAYA-KAYUNGA-24h'!H54,'22.10 GALIRAYA-KAYUNGA'!H54,'23.10 GALIRAYA-KAYUNGA'!H54)</f>
        <v>0</v>
      </c>
      <c r="I54" s="49">
        <f>AVERAGE('17.10 GALIRAYA-KAYUNGA'!I54,'18.10 GALIRAYA-KAYUNGA'!I54,'19.10 GALIRAYA-KAYUNGA-24h'!I54,'20.10 GALIRAYA-KAYUNGA'!I54,'21.10 GALIRAYA-KAYUNGA-24h'!I54,'22.10 GALIRAYA-KAYUNGA'!I54,'23.10 GALIRAYA-KAYUNGA'!I54)</f>
        <v>0.5714285714285714</v>
      </c>
      <c r="J54" s="49">
        <f>AVERAGE('17.10 GALIRAYA-KAYUNGA'!J54,'18.10 GALIRAYA-KAYUNGA'!J54,'19.10 GALIRAYA-KAYUNGA-24h'!J54,'20.10 GALIRAYA-KAYUNGA'!J54,'21.10 GALIRAYA-KAYUNGA-24h'!J54,'22.10 GALIRAYA-KAYUNGA'!J54,'23.10 GALIRAYA-KAYUNGA'!J54)</f>
        <v>0.7142857142857143</v>
      </c>
      <c r="K54" s="49">
        <f>AVERAGE('17.10 GALIRAYA-KAYUNGA'!K54,'18.10 GALIRAYA-KAYUNGA'!K54,'19.10 GALIRAYA-KAYUNGA-24h'!K54,'20.10 GALIRAYA-KAYUNGA'!K54,'21.10 GALIRAYA-KAYUNGA-24h'!K54,'22.10 GALIRAYA-KAYUNGA'!K54,'23.10 GALIRAYA-KAYUNGA'!K54)</f>
        <v>0.14285714285714285</v>
      </c>
      <c r="L54" s="49">
        <f>AVERAGE('17.10 GALIRAYA-KAYUNGA'!L54,'18.10 GALIRAYA-KAYUNGA'!L54,'19.10 GALIRAYA-KAYUNGA-24h'!L54,'20.10 GALIRAYA-KAYUNGA'!L54,'21.10 GALIRAYA-KAYUNGA-24h'!L54,'22.10 GALIRAYA-KAYUNGA'!L54,'23.10 GALIRAYA-KAYUNGA'!L54)</f>
        <v>0.14285714285714285</v>
      </c>
      <c r="M54" s="49">
        <f>AVERAGE('17.10 GALIRAYA-KAYUNGA'!M54,'18.10 GALIRAYA-KAYUNGA'!M54,'19.10 GALIRAYA-KAYUNGA-24h'!M54,'20.10 GALIRAYA-KAYUNGA'!M54,'21.10 GALIRAYA-KAYUNGA-24h'!M54,'22.10 GALIRAYA-KAYUNGA'!M54,'23.10 GALIRAYA-KAYUNGA'!M54)</f>
        <v>11.285714285714286</v>
      </c>
      <c r="N54" s="49">
        <f>AVERAGE('17.10 GALIRAYA-KAYUNGA'!N54,'18.10 GALIRAYA-KAYUNGA'!N54,'19.10 GALIRAYA-KAYUNGA-24h'!N54,'20.10 GALIRAYA-KAYUNGA'!N54,'21.10 GALIRAYA-KAYUNGA-24h'!N54,'22.10 GALIRAYA-KAYUNGA'!N54,'23.10 GALIRAYA-KAYUNGA'!N54)</f>
        <v>0</v>
      </c>
      <c r="O54" s="15">
        <f t="shared" si="0"/>
        <v>6.4285714285714297</v>
      </c>
      <c r="P54" s="15">
        <f t="shared" si="1"/>
        <v>17.714285714285715</v>
      </c>
      <c r="R54" s="8"/>
      <c r="T54"/>
    </row>
    <row r="55" spans="2:20" ht="23.1" customHeight="1" x14ac:dyDescent="0.25">
      <c r="B55" s="23" t="s">
        <v>82</v>
      </c>
      <c r="C55" s="49">
        <f>AVERAGE('17.10 GALIRAYA-KAYUNGA'!C55,'18.10 GALIRAYA-KAYUNGA'!C55,'19.10 GALIRAYA-KAYUNGA-24h'!C55,'20.10 GALIRAYA-KAYUNGA'!C55,'21.10 GALIRAYA-KAYUNGA-24h'!C55,'22.10 GALIRAYA-KAYUNGA'!C55,'23.10 GALIRAYA-KAYUNGA'!C55)</f>
        <v>0.8571428571428571</v>
      </c>
      <c r="D55" s="49">
        <f>AVERAGE('17.10 GALIRAYA-KAYUNGA'!D55,'18.10 GALIRAYA-KAYUNGA'!D55,'19.10 GALIRAYA-KAYUNGA-24h'!D55,'20.10 GALIRAYA-KAYUNGA'!D55,'21.10 GALIRAYA-KAYUNGA-24h'!D55,'22.10 GALIRAYA-KAYUNGA'!D55,'23.10 GALIRAYA-KAYUNGA'!D55)</f>
        <v>0</v>
      </c>
      <c r="E55" s="49">
        <f>AVERAGE('17.10 GALIRAYA-KAYUNGA'!E55,'18.10 GALIRAYA-KAYUNGA'!E55,'19.10 GALIRAYA-KAYUNGA-24h'!E55,'20.10 GALIRAYA-KAYUNGA'!E55,'21.10 GALIRAYA-KAYUNGA-24h'!E55,'22.10 GALIRAYA-KAYUNGA'!E55,'23.10 GALIRAYA-KAYUNGA'!E55)</f>
        <v>0.14285714285714285</v>
      </c>
      <c r="F55" s="49">
        <f>AVERAGE('17.10 GALIRAYA-KAYUNGA'!F55,'18.10 GALIRAYA-KAYUNGA'!F55,'19.10 GALIRAYA-KAYUNGA-24h'!F55,'20.10 GALIRAYA-KAYUNGA'!F55,'21.10 GALIRAYA-KAYUNGA-24h'!F55,'22.10 GALIRAYA-KAYUNGA'!F55,'23.10 GALIRAYA-KAYUNGA'!F55)</f>
        <v>1</v>
      </c>
      <c r="G55" s="49">
        <f>AVERAGE('17.10 GALIRAYA-KAYUNGA'!G55,'18.10 GALIRAYA-KAYUNGA'!G55,'19.10 GALIRAYA-KAYUNGA-24h'!G55,'20.10 GALIRAYA-KAYUNGA'!G55,'21.10 GALIRAYA-KAYUNGA-24h'!G55,'22.10 GALIRAYA-KAYUNGA'!G55,'23.10 GALIRAYA-KAYUNGA'!G55)</f>
        <v>0.14285714285714285</v>
      </c>
      <c r="H55" s="49">
        <f>AVERAGE('17.10 GALIRAYA-KAYUNGA'!H55,'18.10 GALIRAYA-KAYUNGA'!H55,'19.10 GALIRAYA-KAYUNGA-24h'!H55,'20.10 GALIRAYA-KAYUNGA'!H55,'21.10 GALIRAYA-KAYUNGA-24h'!H55,'22.10 GALIRAYA-KAYUNGA'!H55,'23.10 GALIRAYA-KAYUNGA'!H55)</f>
        <v>0</v>
      </c>
      <c r="I55" s="49">
        <f>AVERAGE('17.10 GALIRAYA-KAYUNGA'!I55,'18.10 GALIRAYA-KAYUNGA'!I55,'19.10 GALIRAYA-KAYUNGA-24h'!I55,'20.10 GALIRAYA-KAYUNGA'!I55,'21.10 GALIRAYA-KAYUNGA-24h'!I55,'22.10 GALIRAYA-KAYUNGA'!I55,'23.10 GALIRAYA-KAYUNGA'!I55)</f>
        <v>0.5714285714285714</v>
      </c>
      <c r="J55" s="49">
        <f>AVERAGE('17.10 GALIRAYA-KAYUNGA'!J55,'18.10 GALIRAYA-KAYUNGA'!J55,'19.10 GALIRAYA-KAYUNGA-24h'!J55,'20.10 GALIRAYA-KAYUNGA'!J55,'21.10 GALIRAYA-KAYUNGA-24h'!J55,'22.10 GALIRAYA-KAYUNGA'!J55,'23.10 GALIRAYA-KAYUNGA'!J55)</f>
        <v>0.5714285714285714</v>
      </c>
      <c r="K55" s="49">
        <f>AVERAGE('17.10 GALIRAYA-KAYUNGA'!K55,'18.10 GALIRAYA-KAYUNGA'!K55,'19.10 GALIRAYA-KAYUNGA-24h'!K55,'20.10 GALIRAYA-KAYUNGA'!K55,'21.10 GALIRAYA-KAYUNGA-24h'!K55,'22.10 GALIRAYA-KAYUNGA'!K55,'23.10 GALIRAYA-KAYUNGA'!K55)</f>
        <v>0.42857142857142855</v>
      </c>
      <c r="L55" s="49">
        <f>AVERAGE('17.10 GALIRAYA-KAYUNGA'!L55,'18.10 GALIRAYA-KAYUNGA'!L55,'19.10 GALIRAYA-KAYUNGA-24h'!L55,'20.10 GALIRAYA-KAYUNGA'!L55,'21.10 GALIRAYA-KAYUNGA-24h'!L55,'22.10 GALIRAYA-KAYUNGA'!L55,'23.10 GALIRAYA-KAYUNGA'!L55)</f>
        <v>0</v>
      </c>
      <c r="M55" s="49">
        <f>AVERAGE('17.10 GALIRAYA-KAYUNGA'!M55,'18.10 GALIRAYA-KAYUNGA'!M55,'19.10 GALIRAYA-KAYUNGA-24h'!M55,'20.10 GALIRAYA-KAYUNGA'!M55,'21.10 GALIRAYA-KAYUNGA-24h'!M55,'22.10 GALIRAYA-KAYUNGA'!M55,'23.10 GALIRAYA-KAYUNGA'!M55)</f>
        <v>9</v>
      </c>
      <c r="N55" s="49">
        <f>AVERAGE('17.10 GALIRAYA-KAYUNGA'!N55,'18.10 GALIRAYA-KAYUNGA'!N55,'19.10 GALIRAYA-KAYUNGA-24h'!N55,'20.10 GALIRAYA-KAYUNGA'!N55,'21.10 GALIRAYA-KAYUNGA-24h'!N55,'22.10 GALIRAYA-KAYUNGA'!N55,'23.10 GALIRAYA-KAYUNGA'!N55)</f>
        <v>0</v>
      </c>
      <c r="O55" s="15">
        <f t="shared" si="0"/>
        <v>3.714285714285714</v>
      </c>
      <c r="P55" s="15">
        <f t="shared" si="1"/>
        <v>12.714285714285714</v>
      </c>
      <c r="R55" s="8"/>
      <c r="T55"/>
    </row>
    <row r="56" spans="2:20" ht="23.1" customHeight="1" x14ac:dyDescent="0.25">
      <c r="B56" s="23" t="s">
        <v>83</v>
      </c>
      <c r="C56" s="49">
        <f>AVERAGE('17.10 GALIRAYA-KAYUNGA'!C56,'18.10 GALIRAYA-KAYUNGA'!C56,'19.10 GALIRAYA-KAYUNGA-24h'!C56,'20.10 GALIRAYA-KAYUNGA'!C56,'21.10 GALIRAYA-KAYUNGA-24h'!C56,'22.10 GALIRAYA-KAYUNGA'!C56,'23.10 GALIRAYA-KAYUNGA'!C56)</f>
        <v>1.4285714285714286</v>
      </c>
      <c r="D56" s="49">
        <f>AVERAGE('17.10 GALIRAYA-KAYUNGA'!D56,'18.10 GALIRAYA-KAYUNGA'!D56,'19.10 GALIRAYA-KAYUNGA-24h'!D56,'20.10 GALIRAYA-KAYUNGA'!D56,'21.10 GALIRAYA-KAYUNGA-24h'!D56,'22.10 GALIRAYA-KAYUNGA'!D56,'23.10 GALIRAYA-KAYUNGA'!D56)</f>
        <v>0</v>
      </c>
      <c r="E56" s="49">
        <f>AVERAGE('17.10 GALIRAYA-KAYUNGA'!E56,'18.10 GALIRAYA-KAYUNGA'!E56,'19.10 GALIRAYA-KAYUNGA-24h'!E56,'20.10 GALIRAYA-KAYUNGA'!E56,'21.10 GALIRAYA-KAYUNGA-24h'!E56,'22.10 GALIRAYA-KAYUNGA'!E56,'23.10 GALIRAYA-KAYUNGA'!E56)</f>
        <v>0.2857142857142857</v>
      </c>
      <c r="F56" s="49">
        <f>AVERAGE('17.10 GALIRAYA-KAYUNGA'!F56,'18.10 GALIRAYA-KAYUNGA'!F56,'19.10 GALIRAYA-KAYUNGA-24h'!F56,'20.10 GALIRAYA-KAYUNGA'!F56,'21.10 GALIRAYA-KAYUNGA-24h'!F56,'22.10 GALIRAYA-KAYUNGA'!F56,'23.10 GALIRAYA-KAYUNGA'!F56)</f>
        <v>1.5714285714285714</v>
      </c>
      <c r="G56" s="49">
        <f>AVERAGE('17.10 GALIRAYA-KAYUNGA'!G56,'18.10 GALIRAYA-KAYUNGA'!G56,'19.10 GALIRAYA-KAYUNGA-24h'!G56,'20.10 GALIRAYA-KAYUNGA'!G56,'21.10 GALIRAYA-KAYUNGA-24h'!G56,'22.10 GALIRAYA-KAYUNGA'!G56,'23.10 GALIRAYA-KAYUNGA'!G56)</f>
        <v>0</v>
      </c>
      <c r="H56" s="49">
        <f>AVERAGE('17.10 GALIRAYA-KAYUNGA'!H56,'18.10 GALIRAYA-KAYUNGA'!H56,'19.10 GALIRAYA-KAYUNGA-24h'!H56,'20.10 GALIRAYA-KAYUNGA'!H56,'21.10 GALIRAYA-KAYUNGA-24h'!H56,'22.10 GALIRAYA-KAYUNGA'!H56,'23.10 GALIRAYA-KAYUNGA'!H56)</f>
        <v>0</v>
      </c>
      <c r="I56" s="49">
        <f>AVERAGE('17.10 GALIRAYA-KAYUNGA'!I56,'18.10 GALIRAYA-KAYUNGA'!I56,'19.10 GALIRAYA-KAYUNGA-24h'!I56,'20.10 GALIRAYA-KAYUNGA'!I56,'21.10 GALIRAYA-KAYUNGA-24h'!I56,'22.10 GALIRAYA-KAYUNGA'!I56,'23.10 GALIRAYA-KAYUNGA'!I56)</f>
        <v>0.8571428571428571</v>
      </c>
      <c r="J56" s="49">
        <f>AVERAGE('17.10 GALIRAYA-KAYUNGA'!J56,'18.10 GALIRAYA-KAYUNGA'!J56,'19.10 GALIRAYA-KAYUNGA-24h'!J56,'20.10 GALIRAYA-KAYUNGA'!J56,'21.10 GALIRAYA-KAYUNGA-24h'!J56,'22.10 GALIRAYA-KAYUNGA'!J56,'23.10 GALIRAYA-KAYUNGA'!J56)</f>
        <v>0.8571428571428571</v>
      </c>
      <c r="K56" s="49">
        <f>AVERAGE('17.10 GALIRAYA-KAYUNGA'!K56,'18.10 GALIRAYA-KAYUNGA'!K56,'19.10 GALIRAYA-KAYUNGA-24h'!K56,'20.10 GALIRAYA-KAYUNGA'!K56,'21.10 GALIRAYA-KAYUNGA-24h'!K56,'22.10 GALIRAYA-KAYUNGA'!K56,'23.10 GALIRAYA-KAYUNGA'!K56)</f>
        <v>0.2857142857142857</v>
      </c>
      <c r="L56" s="49">
        <f>AVERAGE('17.10 GALIRAYA-KAYUNGA'!L56,'18.10 GALIRAYA-KAYUNGA'!L56,'19.10 GALIRAYA-KAYUNGA-24h'!L56,'20.10 GALIRAYA-KAYUNGA'!L56,'21.10 GALIRAYA-KAYUNGA-24h'!L56,'22.10 GALIRAYA-KAYUNGA'!L56,'23.10 GALIRAYA-KAYUNGA'!L56)</f>
        <v>0</v>
      </c>
      <c r="M56" s="49">
        <f>AVERAGE('17.10 GALIRAYA-KAYUNGA'!M56,'18.10 GALIRAYA-KAYUNGA'!M56,'19.10 GALIRAYA-KAYUNGA-24h'!M56,'20.10 GALIRAYA-KAYUNGA'!M56,'21.10 GALIRAYA-KAYUNGA-24h'!M56,'22.10 GALIRAYA-KAYUNGA'!M56,'23.10 GALIRAYA-KAYUNGA'!M56)</f>
        <v>10</v>
      </c>
      <c r="N56" s="49">
        <f>AVERAGE('17.10 GALIRAYA-KAYUNGA'!N56,'18.10 GALIRAYA-KAYUNGA'!N56,'19.10 GALIRAYA-KAYUNGA-24h'!N56,'20.10 GALIRAYA-KAYUNGA'!N56,'21.10 GALIRAYA-KAYUNGA-24h'!N56,'22.10 GALIRAYA-KAYUNGA'!N56,'23.10 GALIRAYA-KAYUNGA'!N56)</f>
        <v>0</v>
      </c>
      <c r="O56" s="15">
        <f t="shared" si="0"/>
        <v>5.2857142857142847</v>
      </c>
      <c r="P56" s="15">
        <f t="shared" si="1"/>
        <v>15.285714285714285</v>
      </c>
      <c r="R56" s="8"/>
      <c r="T56"/>
    </row>
    <row r="57" spans="2:20" ht="23.1" customHeight="1" x14ac:dyDescent="0.25">
      <c r="B57" s="23" t="s">
        <v>84</v>
      </c>
      <c r="C57" s="49">
        <f>AVERAGE('17.10 GALIRAYA-KAYUNGA'!C57,'18.10 GALIRAYA-KAYUNGA'!C57,'19.10 GALIRAYA-KAYUNGA-24h'!C57,'20.10 GALIRAYA-KAYUNGA'!C57,'21.10 GALIRAYA-KAYUNGA-24h'!C57,'22.10 GALIRAYA-KAYUNGA'!C57,'23.10 GALIRAYA-KAYUNGA'!C57)</f>
        <v>1.7142857142857142</v>
      </c>
      <c r="D57" s="49">
        <f>AVERAGE('17.10 GALIRAYA-KAYUNGA'!D57,'18.10 GALIRAYA-KAYUNGA'!D57,'19.10 GALIRAYA-KAYUNGA-24h'!D57,'20.10 GALIRAYA-KAYUNGA'!D57,'21.10 GALIRAYA-KAYUNGA-24h'!D57,'22.10 GALIRAYA-KAYUNGA'!D57,'23.10 GALIRAYA-KAYUNGA'!D57)</f>
        <v>0.42857142857142855</v>
      </c>
      <c r="E57" s="49">
        <f>AVERAGE('17.10 GALIRAYA-KAYUNGA'!E57,'18.10 GALIRAYA-KAYUNGA'!E57,'19.10 GALIRAYA-KAYUNGA-24h'!E57,'20.10 GALIRAYA-KAYUNGA'!E57,'21.10 GALIRAYA-KAYUNGA-24h'!E57,'22.10 GALIRAYA-KAYUNGA'!E57,'23.10 GALIRAYA-KAYUNGA'!E57)</f>
        <v>0.8571428571428571</v>
      </c>
      <c r="F57" s="49">
        <f>AVERAGE('17.10 GALIRAYA-KAYUNGA'!F57,'18.10 GALIRAYA-KAYUNGA'!F57,'19.10 GALIRAYA-KAYUNGA-24h'!F57,'20.10 GALIRAYA-KAYUNGA'!F57,'21.10 GALIRAYA-KAYUNGA-24h'!F57,'22.10 GALIRAYA-KAYUNGA'!F57,'23.10 GALIRAYA-KAYUNGA'!F57)</f>
        <v>1.7142857142857142</v>
      </c>
      <c r="G57" s="49">
        <f>AVERAGE('17.10 GALIRAYA-KAYUNGA'!G57,'18.10 GALIRAYA-KAYUNGA'!G57,'19.10 GALIRAYA-KAYUNGA-24h'!G57,'20.10 GALIRAYA-KAYUNGA'!G57,'21.10 GALIRAYA-KAYUNGA-24h'!G57,'22.10 GALIRAYA-KAYUNGA'!G57,'23.10 GALIRAYA-KAYUNGA'!G57)</f>
        <v>0</v>
      </c>
      <c r="H57" s="49">
        <f>AVERAGE('17.10 GALIRAYA-KAYUNGA'!H57,'18.10 GALIRAYA-KAYUNGA'!H57,'19.10 GALIRAYA-KAYUNGA-24h'!H57,'20.10 GALIRAYA-KAYUNGA'!H57,'21.10 GALIRAYA-KAYUNGA-24h'!H57,'22.10 GALIRAYA-KAYUNGA'!H57,'23.10 GALIRAYA-KAYUNGA'!H57)</f>
        <v>0</v>
      </c>
      <c r="I57" s="49">
        <f>AVERAGE('17.10 GALIRAYA-KAYUNGA'!I57,'18.10 GALIRAYA-KAYUNGA'!I57,'19.10 GALIRAYA-KAYUNGA-24h'!I57,'20.10 GALIRAYA-KAYUNGA'!I57,'21.10 GALIRAYA-KAYUNGA-24h'!I57,'22.10 GALIRAYA-KAYUNGA'!I57,'23.10 GALIRAYA-KAYUNGA'!I57)</f>
        <v>1.2857142857142858</v>
      </c>
      <c r="J57" s="49">
        <f>AVERAGE('17.10 GALIRAYA-KAYUNGA'!J57,'18.10 GALIRAYA-KAYUNGA'!J57,'19.10 GALIRAYA-KAYUNGA-24h'!J57,'20.10 GALIRAYA-KAYUNGA'!J57,'21.10 GALIRAYA-KAYUNGA-24h'!J57,'22.10 GALIRAYA-KAYUNGA'!J57,'23.10 GALIRAYA-KAYUNGA'!J57)</f>
        <v>1</v>
      </c>
      <c r="K57" s="49">
        <f>AVERAGE('17.10 GALIRAYA-KAYUNGA'!K57,'18.10 GALIRAYA-KAYUNGA'!K57,'19.10 GALIRAYA-KAYUNGA-24h'!K57,'20.10 GALIRAYA-KAYUNGA'!K57,'21.10 GALIRAYA-KAYUNGA-24h'!K57,'22.10 GALIRAYA-KAYUNGA'!K57,'23.10 GALIRAYA-KAYUNGA'!K57)</f>
        <v>0.2857142857142857</v>
      </c>
      <c r="L57" s="49">
        <f>AVERAGE('17.10 GALIRAYA-KAYUNGA'!L57,'18.10 GALIRAYA-KAYUNGA'!L57,'19.10 GALIRAYA-KAYUNGA-24h'!L57,'20.10 GALIRAYA-KAYUNGA'!L57,'21.10 GALIRAYA-KAYUNGA-24h'!L57,'22.10 GALIRAYA-KAYUNGA'!L57,'23.10 GALIRAYA-KAYUNGA'!L57)</f>
        <v>0.42857142857142855</v>
      </c>
      <c r="M57" s="49">
        <f>AVERAGE('17.10 GALIRAYA-KAYUNGA'!M57,'18.10 GALIRAYA-KAYUNGA'!M57,'19.10 GALIRAYA-KAYUNGA-24h'!M57,'20.10 GALIRAYA-KAYUNGA'!M57,'21.10 GALIRAYA-KAYUNGA-24h'!M57,'22.10 GALIRAYA-KAYUNGA'!M57,'23.10 GALIRAYA-KAYUNGA'!M57)</f>
        <v>8.1428571428571423</v>
      </c>
      <c r="N57" s="49">
        <f>AVERAGE('17.10 GALIRAYA-KAYUNGA'!N57,'18.10 GALIRAYA-KAYUNGA'!N57,'19.10 GALIRAYA-KAYUNGA-24h'!N57,'20.10 GALIRAYA-KAYUNGA'!N57,'21.10 GALIRAYA-KAYUNGA-24h'!N57,'22.10 GALIRAYA-KAYUNGA'!N57,'23.10 GALIRAYA-KAYUNGA'!N57)</f>
        <v>0</v>
      </c>
      <c r="O57" s="15">
        <f t="shared" si="0"/>
        <v>7.7142857142857144</v>
      </c>
      <c r="P57" s="15">
        <f t="shared" si="1"/>
        <v>15.857142857142858</v>
      </c>
      <c r="R57" s="8"/>
      <c r="T57"/>
    </row>
    <row r="58" spans="2:20" ht="23.1" customHeight="1" x14ac:dyDescent="0.25">
      <c r="B58" s="23" t="s">
        <v>99</v>
      </c>
      <c r="C58" s="49">
        <f>AVERAGE('19.10 GALIRAYA-KAYUNGA-24h'!C58,'21.10 GALIRAYA-KAYUNGA-24h'!C58)</f>
        <v>1.5</v>
      </c>
      <c r="D58" s="49">
        <f>AVERAGE('19.10 GALIRAYA-KAYUNGA-24h'!D58,'21.10 GALIRAYA-KAYUNGA-24h'!D58)</f>
        <v>0</v>
      </c>
      <c r="E58" s="49">
        <f>AVERAGE('19.10 GALIRAYA-KAYUNGA-24h'!E58,'21.10 GALIRAYA-KAYUNGA-24h'!E58)</f>
        <v>0</v>
      </c>
      <c r="F58" s="49">
        <f>AVERAGE('19.10 GALIRAYA-KAYUNGA-24h'!F58,'21.10 GALIRAYA-KAYUNGA-24h'!F58)</f>
        <v>2</v>
      </c>
      <c r="G58" s="49">
        <f>AVERAGE('19.10 GALIRAYA-KAYUNGA-24h'!G58,'21.10 GALIRAYA-KAYUNGA-24h'!G58)</f>
        <v>0.5</v>
      </c>
      <c r="H58" s="49">
        <f>AVERAGE('19.10 GALIRAYA-KAYUNGA-24h'!H58,'21.10 GALIRAYA-KAYUNGA-24h'!H58)</f>
        <v>0</v>
      </c>
      <c r="I58" s="49">
        <f>AVERAGE('19.10 GALIRAYA-KAYUNGA-24h'!I58,'21.10 GALIRAYA-KAYUNGA-24h'!I58)</f>
        <v>1</v>
      </c>
      <c r="J58" s="49">
        <f>AVERAGE('19.10 GALIRAYA-KAYUNGA-24h'!J58,'21.10 GALIRAYA-KAYUNGA-24h'!J58)</f>
        <v>0.5</v>
      </c>
      <c r="K58" s="49">
        <f>AVERAGE('19.10 GALIRAYA-KAYUNGA-24h'!K58,'21.10 GALIRAYA-KAYUNGA-24h'!K58)</f>
        <v>0.5</v>
      </c>
      <c r="L58" s="49">
        <f>AVERAGE('19.10 GALIRAYA-KAYUNGA-24h'!L58,'21.10 GALIRAYA-KAYUNGA-24h'!L58)</f>
        <v>0</v>
      </c>
      <c r="M58" s="49">
        <f>AVERAGE('19.10 GALIRAYA-KAYUNGA-24h'!M58,'21.10 GALIRAYA-KAYUNGA-24h'!M58)</f>
        <v>11</v>
      </c>
      <c r="N58" s="49">
        <f>AVERAGE('19.10 GALIRAYA-KAYUNGA-24h'!N58,'21.10 GALIRAYA-KAYUNGA-24h'!N58)</f>
        <v>0</v>
      </c>
      <c r="O58" s="15">
        <f t="shared" si="0"/>
        <v>6</v>
      </c>
      <c r="P58" s="15">
        <f t="shared" si="1"/>
        <v>17</v>
      </c>
      <c r="R58" s="8"/>
      <c r="T58"/>
    </row>
    <row r="59" spans="2:20" ht="23.1" customHeight="1" x14ac:dyDescent="0.25">
      <c r="B59" s="23" t="s">
        <v>100</v>
      </c>
      <c r="C59" s="49">
        <f>AVERAGE('19.10 GALIRAYA-KAYUNGA-24h'!C59,'21.10 GALIRAYA-KAYUNGA-24h'!C59)</f>
        <v>3</v>
      </c>
      <c r="D59" s="49">
        <f>AVERAGE('19.10 GALIRAYA-KAYUNGA-24h'!D59,'21.10 GALIRAYA-KAYUNGA-24h'!D59)</f>
        <v>0</v>
      </c>
      <c r="E59" s="49">
        <f>AVERAGE('19.10 GALIRAYA-KAYUNGA-24h'!E59,'21.10 GALIRAYA-KAYUNGA-24h'!E59)</f>
        <v>0.5</v>
      </c>
      <c r="F59" s="49">
        <f>AVERAGE('19.10 GALIRAYA-KAYUNGA-24h'!F59,'21.10 GALIRAYA-KAYUNGA-24h'!F59)</f>
        <v>0.5</v>
      </c>
      <c r="G59" s="49">
        <f>AVERAGE('19.10 GALIRAYA-KAYUNGA-24h'!G59,'21.10 GALIRAYA-KAYUNGA-24h'!G59)</f>
        <v>0</v>
      </c>
      <c r="H59" s="49">
        <f>AVERAGE('19.10 GALIRAYA-KAYUNGA-24h'!H59,'21.10 GALIRAYA-KAYUNGA-24h'!H59)</f>
        <v>0</v>
      </c>
      <c r="I59" s="49">
        <f>AVERAGE('19.10 GALIRAYA-KAYUNGA-24h'!I59,'21.10 GALIRAYA-KAYUNGA-24h'!I59)</f>
        <v>3</v>
      </c>
      <c r="J59" s="49">
        <f>AVERAGE('19.10 GALIRAYA-KAYUNGA-24h'!J59,'21.10 GALIRAYA-KAYUNGA-24h'!J59)</f>
        <v>2</v>
      </c>
      <c r="K59" s="49">
        <f>AVERAGE('19.10 GALIRAYA-KAYUNGA-24h'!K59,'21.10 GALIRAYA-KAYUNGA-24h'!K59)</f>
        <v>0</v>
      </c>
      <c r="L59" s="49">
        <f>AVERAGE('19.10 GALIRAYA-KAYUNGA-24h'!L59,'21.10 GALIRAYA-KAYUNGA-24h'!L59)</f>
        <v>0</v>
      </c>
      <c r="M59" s="49">
        <f>AVERAGE('19.10 GALIRAYA-KAYUNGA-24h'!M59,'21.10 GALIRAYA-KAYUNGA-24h'!M59)</f>
        <v>14</v>
      </c>
      <c r="N59" s="49">
        <f>AVERAGE('19.10 GALIRAYA-KAYUNGA-24h'!N59,'21.10 GALIRAYA-KAYUNGA-24h'!N59)</f>
        <v>0</v>
      </c>
      <c r="O59" s="15">
        <f t="shared" si="0"/>
        <v>9</v>
      </c>
      <c r="P59" s="15">
        <f t="shared" si="1"/>
        <v>23</v>
      </c>
      <c r="R59" s="8"/>
      <c r="T59"/>
    </row>
    <row r="60" spans="2:20" ht="23.1" customHeight="1" x14ac:dyDescent="0.25">
      <c r="B60" s="23" t="s">
        <v>101</v>
      </c>
      <c r="C60" s="49">
        <f>AVERAGE('19.10 GALIRAYA-KAYUNGA-24h'!C60,'21.10 GALIRAYA-KAYUNGA-24h'!C60)</f>
        <v>0.5</v>
      </c>
      <c r="D60" s="49">
        <f>AVERAGE('19.10 GALIRAYA-KAYUNGA-24h'!D60,'21.10 GALIRAYA-KAYUNGA-24h'!D60)</f>
        <v>0</v>
      </c>
      <c r="E60" s="49">
        <f>AVERAGE('19.10 GALIRAYA-KAYUNGA-24h'!E60,'21.10 GALIRAYA-KAYUNGA-24h'!E60)</f>
        <v>0.5</v>
      </c>
      <c r="F60" s="49">
        <f>AVERAGE('19.10 GALIRAYA-KAYUNGA-24h'!F60,'21.10 GALIRAYA-KAYUNGA-24h'!F60)</f>
        <v>2.5</v>
      </c>
      <c r="G60" s="49">
        <f>AVERAGE('19.10 GALIRAYA-KAYUNGA-24h'!G60,'21.10 GALIRAYA-KAYUNGA-24h'!G60)</f>
        <v>0</v>
      </c>
      <c r="H60" s="49">
        <f>AVERAGE('19.10 GALIRAYA-KAYUNGA-24h'!H60,'21.10 GALIRAYA-KAYUNGA-24h'!H60)</f>
        <v>0</v>
      </c>
      <c r="I60" s="49">
        <f>AVERAGE('19.10 GALIRAYA-KAYUNGA-24h'!I60,'21.10 GALIRAYA-KAYUNGA-24h'!I60)</f>
        <v>0.5</v>
      </c>
      <c r="J60" s="49">
        <f>AVERAGE('19.10 GALIRAYA-KAYUNGA-24h'!J60,'21.10 GALIRAYA-KAYUNGA-24h'!J60)</f>
        <v>0.5</v>
      </c>
      <c r="K60" s="49">
        <f>AVERAGE('19.10 GALIRAYA-KAYUNGA-24h'!K60,'21.10 GALIRAYA-KAYUNGA-24h'!K60)</f>
        <v>1</v>
      </c>
      <c r="L60" s="49">
        <f>AVERAGE('19.10 GALIRAYA-KAYUNGA-24h'!L60,'21.10 GALIRAYA-KAYUNGA-24h'!L60)</f>
        <v>0</v>
      </c>
      <c r="M60" s="49">
        <f>AVERAGE('19.10 GALIRAYA-KAYUNGA-24h'!M60,'21.10 GALIRAYA-KAYUNGA-24h'!M60)</f>
        <v>6.5</v>
      </c>
      <c r="N60" s="49">
        <f>AVERAGE('19.10 GALIRAYA-KAYUNGA-24h'!N60,'21.10 GALIRAYA-KAYUNGA-24h'!N60)</f>
        <v>0</v>
      </c>
      <c r="O60" s="15">
        <f t="shared" si="0"/>
        <v>5.5</v>
      </c>
      <c r="P60" s="15">
        <f t="shared" si="1"/>
        <v>12</v>
      </c>
      <c r="R60" s="8"/>
      <c r="T60"/>
    </row>
    <row r="61" spans="2:20" ht="23.1" customHeight="1" x14ac:dyDescent="0.25">
      <c r="B61" s="23" t="s">
        <v>102</v>
      </c>
      <c r="C61" s="49">
        <f>AVERAGE('19.10 GALIRAYA-KAYUNGA-24h'!C61,'21.10 GALIRAYA-KAYUNGA-24h'!C61)</f>
        <v>2.5</v>
      </c>
      <c r="D61" s="49">
        <f>AVERAGE('19.10 GALIRAYA-KAYUNGA-24h'!D61,'21.10 GALIRAYA-KAYUNGA-24h'!D61)</f>
        <v>0</v>
      </c>
      <c r="E61" s="49">
        <f>AVERAGE('19.10 GALIRAYA-KAYUNGA-24h'!E61,'21.10 GALIRAYA-KAYUNGA-24h'!E61)</f>
        <v>0.5</v>
      </c>
      <c r="F61" s="49">
        <f>AVERAGE('19.10 GALIRAYA-KAYUNGA-24h'!F61,'21.10 GALIRAYA-KAYUNGA-24h'!F61)</f>
        <v>1.5</v>
      </c>
      <c r="G61" s="49">
        <f>AVERAGE('19.10 GALIRAYA-KAYUNGA-24h'!G61,'21.10 GALIRAYA-KAYUNGA-24h'!G61)</f>
        <v>0</v>
      </c>
      <c r="H61" s="49">
        <f>AVERAGE('19.10 GALIRAYA-KAYUNGA-24h'!H61,'21.10 GALIRAYA-KAYUNGA-24h'!H61)</f>
        <v>0</v>
      </c>
      <c r="I61" s="49">
        <f>AVERAGE('19.10 GALIRAYA-KAYUNGA-24h'!I61,'21.10 GALIRAYA-KAYUNGA-24h'!I61)</f>
        <v>1.5</v>
      </c>
      <c r="J61" s="49">
        <f>AVERAGE('19.10 GALIRAYA-KAYUNGA-24h'!J61,'21.10 GALIRAYA-KAYUNGA-24h'!J61)</f>
        <v>0.5</v>
      </c>
      <c r="K61" s="49">
        <f>AVERAGE('19.10 GALIRAYA-KAYUNGA-24h'!K61,'21.10 GALIRAYA-KAYUNGA-24h'!K61)</f>
        <v>1.5</v>
      </c>
      <c r="L61" s="49">
        <f>AVERAGE('19.10 GALIRAYA-KAYUNGA-24h'!L61,'21.10 GALIRAYA-KAYUNGA-24h'!L61)</f>
        <v>0</v>
      </c>
      <c r="M61" s="49">
        <f>AVERAGE('19.10 GALIRAYA-KAYUNGA-24h'!M61,'21.10 GALIRAYA-KAYUNGA-24h'!M61)</f>
        <v>8.5</v>
      </c>
      <c r="N61" s="49">
        <f>AVERAGE('19.10 GALIRAYA-KAYUNGA-24h'!N61,'21.10 GALIRAYA-KAYUNGA-24h'!N61)</f>
        <v>0</v>
      </c>
      <c r="O61" s="15">
        <f t="shared" si="0"/>
        <v>8</v>
      </c>
      <c r="P61" s="15">
        <f t="shared" si="1"/>
        <v>16.5</v>
      </c>
      <c r="R61" s="8"/>
      <c r="T61"/>
    </row>
    <row r="62" spans="2:20" ht="23.1" customHeight="1" x14ac:dyDescent="0.25">
      <c r="B62" s="23" t="s">
        <v>107</v>
      </c>
      <c r="C62" s="49">
        <f>AVERAGE('19.10 GALIRAYA-KAYUNGA-24h'!C62,'21.10 GALIRAYA-KAYUNGA-24h'!C62)</f>
        <v>3</v>
      </c>
      <c r="D62" s="49">
        <f>AVERAGE('19.10 GALIRAYA-KAYUNGA-24h'!D62,'21.10 GALIRAYA-KAYUNGA-24h'!D62)</f>
        <v>0.5</v>
      </c>
      <c r="E62" s="49">
        <f>AVERAGE('19.10 GALIRAYA-KAYUNGA-24h'!E62,'21.10 GALIRAYA-KAYUNGA-24h'!E62)</f>
        <v>0.5</v>
      </c>
      <c r="F62" s="49">
        <f>AVERAGE('19.10 GALIRAYA-KAYUNGA-24h'!F62,'21.10 GALIRAYA-KAYUNGA-24h'!F62)</f>
        <v>2</v>
      </c>
      <c r="G62" s="49">
        <f>AVERAGE('19.10 GALIRAYA-KAYUNGA-24h'!G62,'21.10 GALIRAYA-KAYUNGA-24h'!G62)</f>
        <v>0</v>
      </c>
      <c r="H62" s="49">
        <f>AVERAGE('19.10 GALIRAYA-KAYUNGA-24h'!H62,'21.10 GALIRAYA-KAYUNGA-24h'!H62)</f>
        <v>0</v>
      </c>
      <c r="I62" s="49">
        <f>AVERAGE('19.10 GALIRAYA-KAYUNGA-24h'!I62,'21.10 GALIRAYA-KAYUNGA-24h'!I62)</f>
        <v>0.5</v>
      </c>
      <c r="J62" s="49">
        <f>AVERAGE('19.10 GALIRAYA-KAYUNGA-24h'!J62,'21.10 GALIRAYA-KAYUNGA-24h'!J62)</f>
        <v>0</v>
      </c>
      <c r="K62" s="49">
        <f>AVERAGE('19.10 GALIRAYA-KAYUNGA-24h'!K62,'21.10 GALIRAYA-KAYUNGA-24h'!K62)</f>
        <v>1</v>
      </c>
      <c r="L62" s="49">
        <f>AVERAGE('19.10 GALIRAYA-KAYUNGA-24h'!L62,'21.10 GALIRAYA-KAYUNGA-24h'!L62)</f>
        <v>0</v>
      </c>
      <c r="M62" s="49">
        <f>AVERAGE('19.10 GALIRAYA-KAYUNGA-24h'!M62,'21.10 GALIRAYA-KAYUNGA-24h'!M62)</f>
        <v>10</v>
      </c>
      <c r="N62" s="49">
        <f>AVERAGE('19.10 GALIRAYA-KAYUNGA-24h'!N62,'21.10 GALIRAYA-KAYUNGA-24h'!N62)</f>
        <v>0</v>
      </c>
      <c r="O62" s="15">
        <f t="shared" si="0"/>
        <v>7.5</v>
      </c>
      <c r="P62" s="15">
        <f t="shared" si="1"/>
        <v>17.5</v>
      </c>
      <c r="R62" s="8"/>
      <c r="T62"/>
    </row>
    <row r="63" spans="2:20" ht="23.1" customHeight="1" x14ac:dyDescent="0.25">
      <c r="B63" s="23" t="s">
        <v>108</v>
      </c>
      <c r="C63" s="49">
        <f>AVERAGE('19.10 GALIRAYA-KAYUNGA-24h'!C63,'21.10 GALIRAYA-KAYUNGA-24h'!C63)</f>
        <v>1</v>
      </c>
      <c r="D63" s="49">
        <f>AVERAGE('19.10 GALIRAYA-KAYUNGA-24h'!D63,'21.10 GALIRAYA-KAYUNGA-24h'!D63)</f>
        <v>0.5</v>
      </c>
      <c r="E63" s="49">
        <f>AVERAGE('19.10 GALIRAYA-KAYUNGA-24h'!E63,'21.10 GALIRAYA-KAYUNGA-24h'!E63)</f>
        <v>0.5</v>
      </c>
      <c r="F63" s="49">
        <f>AVERAGE('19.10 GALIRAYA-KAYUNGA-24h'!F63,'21.10 GALIRAYA-KAYUNGA-24h'!F63)</f>
        <v>1.5</v>
      </c>
      <c r="G63" s="49">
        <f>AVERAGE('19.10 GALIRAYA-KAYUNGA-24h'!G63,'21.10 GALIRAYA-KAYUNGA-24h'!G63)</f>
        <v>0</v>
      </c>
      <c r="H63" s="49">
        <f>AVERAGE('19.10 GALIRAYA-KAYUNGA-24h'!H63,'21.10 GALIRAYA-KAYUNGA-24h'!H63)</f>
        <v>0</v>
      </c>
      <c r="I63" s="49">
        <f>AVERAGE('19.10 GALIRAYA-KAYUNGA-24h'!I63,'21.10 GALIRAYA-KAYUNGA-24h'!I63)</f>
        <v>2</v>
      </c>
      <c r="J63" s="49">
        <f>AVERAGE('19.10 GALIRAYA-KAYUNGA-24h'!J63,'21.10 GALIRAYA-KAYUNGA-24h'!J63)</f>
        <v>0</v>
      </c>
      <c r="K63" s="49">
        <f>AVERAGE('19.10 GALIRAYA-KAYUNGA-24h'!K63,'21.10 GALIRAYA-KAYUNGA-24h'!K63)</f>
        <v>1</v>
      </c>
      <c r="L63" s="49">
        <f>AVERAGE('19.10 GALIRAYA-KAYUNGA-24h'!L63,'21.10 GALIRAYA-KAYUNGA-24h'!L63)</f>
        <v>0.5</v>
      </c>
      <c r="M63" s="49">
        <f>AVERAGE('19.10 GALIRAYA-KAYUNGA-24h'!M63,'21.10 GALIRAYA-KAYUNGA-24h'!M63)</f>
        <v>8</v>
      </c>
      <c r="N63" s="49">
        <f>AVERAGE('19.10 GALIRAYA-KAYUNGA-24h'!N63,'21.10 GALIRAYA-KAYUNGA-24h'!N63)</f>
        <v>0</v>
      </c>
      <c r="O63" s="15">
        <f t="shared" si="0"/>
        <v>7</v>
      </c>
      <c r="P63" s="15">
        <f t="shared" si="1"/>
        <v>15</v>
      </c>
      <c r="R63" s="8"/>
      <c r="T63"/>
    </row>
    <row r="64" spans="2:20" ht="23.1" customHeight="1" x14ac:dyDescent="0.25">
      <c r="B64" s="23" t="s">
        <v>109</v>
      </c>
      <c r="C64" s="49">
        <f>AVERAGE('19.10 GALIRAYA-KAYUNGA-24h'!C64,'21.10 GALIRAYA-KAYUNGA-24h'!C64)</f>
        <v>1</v>
      </c>
      <c r="D64" s="49">
        <f>AVERAGE('19.10 GALIRAYA-KAYUNGA-24h'!D64,'21.10 GALIRAYA-KAYUNGA-24h'!D64)</f>
        <v>0</v>
      </c>
      <c r="E64" s="49">
        <f>AVERAGE('19.10 GALIRAYA-KAYUNGA-24h'!E64,'21.10 GALIRAYA-KAYUNGA-24h'!E64)</f>
        <v>0</v>
      </c>
      <c r="F64" s="49">
        <f>AVERAGE('19.10 GALIRAYA-KAYUNGA-24h'!F64,'21.10 GALIRAYA-KAYUNGA-24h'!F64)</f>
        <v>0.5</v>
      </c>
      <c r="G64" s="49">
        <f>AVERAGE('19.10 GALIRAYA-KAYUNGA-24h'!G64,'21.10 GALIRAYA-KAYUNGA-24h'!G64)</f>
        <v>0</v>
      </c>
      <c r="H64" s="49">
        <f>AVERAGE('19.10 GALIRAYA-KAYUNGA-24h'!H64,'21.10 GALIRAYA-KAYUNGA-24h'!H64)</f>
        <v>0</v>
      </c>
      <c r="I64" s="49">
        <f>AVERAGE('19.10 GALIRAYA-KAYUNGA-24h'!I64,'21.10 GALIRAYA-KAYUNGA-24h'!I64)</f>
        <v>0.5</v>
      </c>
      <c r="J64" s="49">
        <f>AVERAGE('19.10 GALIRAYA-KAYUNGA-24h'!J64,'21.10 GALIRAYA-KAYUNGA-24h'!J64)</f>
        <v>1</v>
      </c>
      <c r="K64" s="49">
        <f>AVERAGE('19.10 GALIRAYA-KAYUNGA-24h'!K64,'21.10 GALIRAYA-KAYUNGA-24h'!K64)</f>
        <v>0</v>
      </c>
      <c r="L64" s="49">
        <f>AVERAGE('19.10 GALIRAYA-KAYUNGA-24h'!L64,'21.10 GALIRAYA-KAYUNGA-24h'!L64)</f>
        <v>0</v>
      </c>
      <c r="M64" s="49">
        <f>AVERAGE('19.10 GALIRAYA-KAYUNGA-24h'!M64,'21.10 GALIRAYA-KAYUNGA-24h'!M64)</f>
        <v>2.5</v>
      </c>
      <c r="N64" s="49">
        <f>AVERAGE('19.10 GALIRAYA-KAYUNGA-24h'!N64,'21.10 GALIRAYA-KAYUNGA-24h'!N64)</f>
        <v>0</v>
      </c>
      <c r="O64" s="15">
        <f t="shared" si="0"/>
        <v>3</v>
      </c>
      <c r="P64" s="15">
        <f t="shared" si="1"/>
        <v>5.5</v>
      </c>
      <c r="R64" s="8"/>
      <c r="T64"/>
    </row>
    <row r="65" spans="2:20" ht="23.1" customHeight="1" x14ac:dyDescent="0.25">
      <c r="B65" s="23" t="s">
        <v>158</v>
      </c>
      <c r="C65" s="49">
        <f>AVERAGE('19.10 GALIRAYA-KAYUNGA-24h'!C65,'21.10 GALIRAYA-KAYUNGA-24h'!C65)</f>
        <v>0</v>
      </c>
      <c r="D65" s="49">
        <f>AVERAGE('19.10 GALIRAYA-KAYUNGA-24h'!D65,'21.10 GALIRAYA-KAYUNGA-24h'!D65)</f>
        <v>0</v>
      </c>
      <c r="E65" s="49">
        <f>AVERAGE('19.10 GALIRAYA-KAYUNGA-24h'!E65,'21.10 GALIRAYA-KAYUNGA-24h'!E65)</f>
        <v>0</v>
      </c>
      <c r="F65" s="49">
        <f>AVERAGE('19.10 GALIRAYA-KAYUNGA-24h'!F65,'21.10 GALIRAYA-KAYUNGA-24h'!F65)</f>
        <v>0</v>
      </c>
      <c r="G65" s="49">
        <f>AVERAGE('19.10 GALIRAYA-KAYUNGA-24h'!G65,'21.10 GALIRAYA-KAYUNGA-24h'!G65)</f>
        <v>0</v>
      </c>
      <c r="H65" s="49">
        <f>AVERAGE('19.10 GALIRAYA-KAYUNGA-24h'!H65,'21.10 GALIRAYA-KAYUNGA-24h'!H65)</f>
        <v>0</v>
      </c>
      <c r="I65" s="49">
        <f>AVERAGE('19.10 GALIRAYA-KAYUNGA-24h'!I65,'21.10 GALIRAYA-KAYUNGA-24h'!I65)</f>
        <v>0</v>
      </c>
      <c r="J65" s="49">
        <f>AVERAGE('19.10 GALIRAYA-KAYUNGA-24h'!J65,'21.10 GALIRAYA-KAYUNGA-24h'!J65)</f>
        <v>0</v>
      </c>
      <c r="K65" s="49">
        <f>AVERAGE('19.10 GALIRAYA-KAYUNGA-24h'!K65,'21.10 GALIRAYA-KAYUNGA-24h'!K65)</f>
        <v>1.5</v>
      </c>
      <c r="L65" s="49">
        <f>AVERAGE('19.10 GALIRAYA-KAYUNGA-24h'!L65,'21.10 GALIRAYA-KAYUNGA-24h'!L65)</f>
        <v>0</v>
      </c>
      <c r="M65" s="49">
        <f>AVERAGE('19.10 GALIRAYA-KAYUNGA-24h'!M65,'21.10 GALIRAYA-KAYUNGA-24h'!M65)</f>
        <v>2.5</v>
      </c>
      <c r="N65" s="49">
        <f>AVERAGE('19.10 GALIRAYA-KAYUNGA-24h'!N65,'21.10 GALIRAYA-KAYUNGA-24h'!N65)</f>
        <v>0</v>
      </c>
      <c r="O65" s="15">
        <f t="shared" si="0"/>
        <v>1.5</v>
      </c>
      <c r="P65" s="15">
        <f t="shared" si="1"/>
        <v>4</v>
      </c>
      <c r="R65" s="8"/>
      <c r="T65"/>
    </row>
    <row r="66" spans="2:20" ht="23.1" customHeight="1" x14ac:dyDescent="0.25">
      <c r="B66" s="23" t="s">
        <v>103</v>
      </c>
      <c r="C66" s="49">
        <f>AVERAGE('19.10 GALIRAYA-KAYUNGA-24h'!C66,'21.10 GALIRAYA-KAYUNGA-24h'!C66)</f>
        <v>3</v>
      </c>
      <c r="D66" s="49">
        <f>AVERAGE('19.10 GALIRAYA-KAYUNGA-24h'!D66,'21.10 GALIRAYA-KAYUNGA-24h'!D66)</f>
        <v>0</v>
      </c>
      <c r="E66" s="49">
        <f>AVERAGE('19.10 GALIRAYA-KAYUNGA-24h'!E66,'21.10 GALIRAYA-KAYUNGA-24h'!E66)</f>
        <v>0</v>
      </c>
      <c r="F66" s="49">
        <f>AVERAGE('19.10 GALIRAYA-KAYUNGA-24h'!F66,'21.10 GALIRAYA-KAYUNGA-24h'!F66)</f>
        <v>0</v>
      </c>
      <c r="G66" s="49">
        <f>AVERAGE('19.10 GALIRAYA-KAYUNGA-24h'!G66,'21.10 GALIRAYA-KAYUNGA-24h'!G66)</f>
        <v>0</v>
      </c>
      <c r="H66" s="49">
        <f>AVERAGE('19.10 GALIRAYA-KAYUNGA-24h'!H66,'21.10 GALIRAYA-KAYUNGA-24h'!H66)</f>
        <v>0</v>
      </c>
      <c r="I66" s="49">
        <f>AVERAGE('19.10 GALIRAYA-KAYUNGA-24h'!I66,'21.10 GALIRAYA-KAYUNGA-24h'!I66)</f>
        <v>0</v>
      </c>
      <c r="J66" s="49">
        <f>AVERAGE('19.10 GALIRAYA-KAYUNGA-24h'!J66,'21.10 GALIRAYA-KAYUNGA-24h'!J66)</f>
        <v>1</v>
      </c>
      <c r="K66" s="49">
        <f>AVERAGE('19.10 GALIRAYA-KAYUNGA-24h'!K66,'21.10 GALIRAYA-KAYUNGA-24h'!K66)</f>
        <v>0</v>
      </c>
      <c r="L66" s="49">
        <f>AVERAGE('19.10 GALIRAYA-KAYUNGA-24h'!L66,'21.10 GALIRAYA-KAYUNGA-24h'!L66)</f>
        <v>0</v>
      </c>
      <c r="M66" s="49">
        <f>AVERAGE('19.10 GALIRAYA-KAYUNGA-24h'!M66,'21.10 GALIRAYA-KAYUNGA-24h'!M66)</f>
        <v>1.5</v>
      </c>
      <c r="N66" s="49">
        <f>AVERAGE('19.10 GALIRAYA-KAYUNGA-24h'!N66,'21.10 GALIRAYA-KAYUNGA-24h'!N66)</f>
        <v>0</v>
      </c>
      <c r="O66" s="15">
        <f t="shared" si="0"/>
        <v>4</v>
      </c>
      <c r="P66" s="15">
        <f t="shared" si="1"/>
        <v>5.5</v>
      </c>
      <c r="R66" s="8"/>
      <c r="T66"/>
    </row>
    <row r="67" spans="2:20" ht="23.1" customHeight="1" x14ac:dyDescent="0.25">
      <c r="B67" s="23" t="s">
        <v>104</v>
      </c>
      <c r="C67" s="49">
        <f>AVERAGE('19.10 GALIRAYA-KAYUNGA-24h'!C67,'21.10 GALIRAYA-KAYUNGA-24h'!C67)</f>
        <v>0</v>
      </c>
      <c r="D67" s="49">
        <f>AVERAGE('19.10 GALIRAYA-KAYUNGA-24h'!D67,'21.10 GALIRAYA-KAYUNGA-24h'!D67)</f>
        <v>0</v>
      </c>
      <c r="E67" s="49">
        <f>AVERAGE('19.10 GALIRAYA-KAYUNGA-24h'!E67,'21.10 GALIRAYA-KAYUNGA-24h'!E67)</f>
        <v>0</v>
      </c>
      <c r="F67" s="49">
        <f>AVERAGE('19.10 GALIRAYA-KAYUNGA-24h'!F67,'21.10 GALIRAYA-KAYUNGA-24h'!F67)</f>
        <v>0</v>
      </c>
      <c r="G67" s="49">
        <f>AVERAGE('19.10 GALIRAYA-KAYUNGA-24h'!G67,'21.10 GALIRAYA-KAYUNGA-24h'!G67)</f>
        <v>0</v>
      </c>
      <c r="H67" s="49">
        <f>AVERAGE('19.10 GALIRAYA-KAYUNGA-24h'!H67,'21.10 GALIRAYA-KAYUNGA-24h'!H67)</f>
        <v>0</v>
      </c>
      <c r="I67" s="49">
        <f>AVERAGE('19.10 GALIRAYA-KAYUNGA-24h'!I67,'21.10 GALIRAYA-KAYUNGA-24h'!I67)</f>
        <v>0</v>
      </c>
      <c r="J67" s="49">
        <f>AVERAGE('19.10 GALIRAYA-KAYUNGA-24h'!J67,'21.10 GALIRAYA-KAYUNGA-24h'!J67)</f>
        <v>0</v>
      </c>
      <c r="K67" s="49">
        <f>AVERAGE('19.10 GALIRAYA-KAYUNGA-24h'!K67,'21.10 GALIRAYA-KAYUNGA-24h'!K67)</f>
        <v>0</v>
      </c>
      <c r="L67" s="49">
        <f>AVERAGE('19.10 GALIRAYA-KAYUNGA-24h'!L67,'21.10 GALIRAYA-KAYUNGA-24h'!L67)</f>
        <v>0</v>
      </c>
      <c r="M67" s="49">
        <f>AVERAGE('19.10 GALIRAYA-KAYUNGA-24h'!M67,'21.10 GALIRAYA-KAYUNGA-24h'!M67)</f>
        <v>1.5</v>
      </c>
      <c r="N67" s="49">
        <f>AVERAGE('19.10 GALIRAYA-KAYUNGA-24h'!N67,'21.10 GALIRAYA-KAYUNGA-24h'!N67)</f>
        <v>0</v>
      </c>
      <c r="O67" s="15">
        <f t="shared" si="0"/>
        <v>0</v>
      </c>
      <c r="P67" s="15">
        <f t="shared" si="1"/>
        <v>1.5</v>
      </c>
      <c r="R67" s="8"/>
      <c r="T67"/>
    </row>
    <row r="68" spans="2:20" ht="23.1" customHeight="1" x14ac:dyDescent="0.25">
      <c r="B68" s="23" t="s">
        <v>105</v>
      </c>
      <c r="C68" s="49">
        <f>AVERAGE('19.10 GALIRAYA-KAYUNGA-24h'!C68,'21.10 GALIRAYA-KAYUNGA-24h'!C68)</f>
        <v>0</v>
      </c>
      <c r="D68" s="49">
        <f>AVERAGE('19.10 GALIRAYA-KAYUNGA-24h'!D68,'21.10 GALIRAYA-KAYUNGA-24h'!D68)</f>
        <v>0</v>
      </c>
      <c r="E68" s="49">
        <f>AVERAGE('19.10 GALIRAYA-KAYUNGA-24h'!E68,'21.10 GALIRAYA-KAYUNGA-24h'!E68)</f>
        <v>0</v>
      </c>
      <c r="F68" s="49">
        <f>AVERAGE('19.10 GALIRAYA-KAYUNGA-24h'!F68,'21.10 GALIRAYA-KAYUNGA-24h'!F68)</f>
        <v>0</v>
      </c>
      <c r="G68" s="49">
        <f>AVERAGE('19.10 GALIRAYA-KAYUNGA-24h'!G68,'21.10 GALIRAYA-KAYUNGA-24h'!G68)</f>
        <v>0</v>
      </c>
      <c r="H68" s="49">
        <f>AVERAGE('19.10 GALIRAYA-KAYUNGA-24h'!H68,'21.10 GALIRAYA-KAYUNGA-24h'!H68)</f>
        <v>0</v>
      </c>
      <c r="I68" s="49">
        <f>AVERAGE('19.10 GALIRAYA-KAYUNGA-24h'!I68,'21.10 GALIRAYA-KAYUNGA-24h'!I68)</f>
        <v>0.5</v>
      </c>
      <c r="J68" s="49">
        <f>AVERAGE('19.10 GALIRAYA-KAYUNGA-24h'!J68,'21.10 GALIRAYA-KAYUNGA-24h'!J68)</f>
        <v>1</v>
      </c>
      <c r="K68" s="49">
        <f>AVERAGE('19.10 GALIRAYA-KAYUNGA-24h'!K68,'21.10 GALIRAYA-KAYUNGA-24h'!K68)</f>
        <v>0</v>
      </c>
      <c r="L68" s="49">
        <f>AVERAGE('19.10 GALIRAYA-KAYUNGA-24h'!L68,'21.10 GALIRAYA-KAYUNGA-24h'!L68)</f>
        <v>0</v>
      </c>
      <c r="M68" s="49">
        <f>AVERAGE('19.10 GALIRAYA-KAYUNGA-24h'!M68,'21.10 GALIRAYA-KAYUNGA-24h'!M68)</f>
        <v>1.5</v>
      </c>
      <c r="N68" s="49">
        <f>AVERAGE('19.10 GALIRAYA-KAYUNGA-24h'!N68,'21.10 GALIRAYA-KAYUNGA-24h'!N68)</f>
        <v>0</v>
      </c>
      <c r="O68" s="15">
        <f t="shared" si="0"/>
        <v>1.5</v>
      </c>
      <c r="P68" s="15">
        <f t="shared" si="1"/>
        <v>3</v>
      </c>
      <c r="R68" s="8"/>
      <c r="T68"/>
    </row>
    <row r="69" spans="2:20" ht="23.1" customHeight="1" x14ac:dyDescent="0.25">
      <c r="B69" s="23" t="s">
        <v>106</v>
      </c>
      <c r="C69" s="49">
        <f>AVERAGE('19.10 GALIRAYA-KAYUNGA-24h'!C69,'21.10 GALIRAYA-KAYUNGA-24h'!C69)</f>
        <v>0</v>
      </c>
      <c r="D69" s="49">
        <f>AVERAGE('19.10 GALIRAYA-KAYUNGA-24h'!D69,'21.10 GALIRAYA-KAYUNGA-24h'!D69)</f>
        <v>0</v>
      </c>
      <c r="E69" s="49">
        <f>AVERAGE('19.10 GALIRAYA-KAYUNGA-24h'!E69,'21.10 GALIRAYA-KAYUNGA-24h'!E69)</f>
        <v>0</v>
      </c>
      <c r="F69" s="49">
        <f>AVERAGE('19.10 GALIRAYA-KAYUNGA-24h'!F69,'21.10 GALIRAYA-KAYUNGA-24h'!F69)</f>
        <v>0</v>
      </c>
      <c r="G69" s="49">
        <f>AVERAGE('19.10 GALIRAYA-KAYUNGA-24h'!G69,'21.10 GALIRAYA-KAYUNGA-24h'!G69)</f>
        <v>0</v>
      </c>
      <c r="H69" s="49">
        <f>AVERAGE('19.10 GALIRAYA-KAYUNGA-24h'!H69,'21.10 GALIRAYA-KAYUNGA-24h'!H69)</f>
        <v>0</v>
      </c>
      <c r="I69" s="49">
        <f>AVERAGE('19.10 GALIRAYA-KAYUNGA-24h'!I69,'21.10 GALIRAYA-KAYUNGA-24h'!I69)</f>
        <v>0.5</v>
      </c>
      <c r="J69" s="49">
        <f>AVERAGE('19.10 GALIRAYA-KAYUNGA-24h'!J69,'21.10 GALIRAYA-KAYUNGA-24h'!J69)</f>
        <v>0.5</v>
      </c>
      <c r="K69" s="49">
        <f>AVERAGE('19.10 GALIRAYA-KAYUNGA-24h'!K69,'21.10 GALIRAYA-KAYUNGA-24h'!K69)</f>
        <v>0</v>
      </c>
      <c r="L69" s="49">
        <f>AVERAGE('19.10 GALIRAYA-KAYUNGA-24h'!L69,'21.10 GALIRAYA-KAYUNGA-24h'!L69)</f>
        <v>0</v>
      </c>
      <c r="M69" s="49">
        <f>AVERAGE('19.10 GALIRAYA-KAYUNGA-24h'!M69,'21.10 GALIRAYA-KAYUNGA-24h'!M69)</f>
        <v>2</v>
      </c>
      <c r="N69" s="49">
        <f>AVERAGE('19.10 GALIRAYA-KAYUNGA-24h'!N69,'21.10 GALIRAYA-KAYUNGA-24h'!N69)</f>
        <v>0</v>
      </c>
      <c r="O69" s="15">
        <f t="shared" si="0"/>
        <v>1</v>
      </c>
      <c r="P69" s="15">
        <f t="shared" si="1"/>
        <v>3</v>
      </c>
      <c r="R69" s="8"/>
      <c r="T69"/>
    </row>
    <row r="70" spans="2:20" ht="23.1" customHeight="1" x14ac:dyDescent="0.25">
      <c r="B70" s="23" t="s">
        <v>110</v>
      </c>
      <c r="C70" s="49">
        <f>AVERAGE('19.10 GALIRAYA-KAYUNGA-24h'!C70,'21.10 GALIRAYA-KAYUNGA-24h'!C70)</f>
        <v>0</v>
      </c>
      <c r="D70" s="49">
        <f>AVERAGE('19.10 GALIRAYA-KAYUNGA-24h'!D70,'21.10 GALIRAYA-KAYUNGA-24h'!D70)</f>
        <v>0</v>
      </c>
      <c r="E70" s="49">
        <f>AVERAGE('19.10 GALIRAYA-KAYUNGA-24h'!E70,'21.10 GALIRAYA-KAYUNGA-24h'!E70)</f>
        <v>0</v>
      </c>
      <c r="F70" s="49">
        <f>AVERAGE('19.10 GALIRAYA-KAYUNGA-24h'!F70,'21.10 GALIRAYA-KAYUNGA-24h'!F70)</f>
        <v>0</v>
      </c>
      <c r="G70" s="49">
        <f>AVERAGE('19.10 GALIRAYA-KAYUNGA-24h'!G70,'21.10 GALIRAYA-KAYUNGA-24h'!G70)</f>
        <v>0</v>
      </c>
      <c r="H70" s="49">
        <f>AVERAGE('19.10 GALIRAYA-KAYUNGA-24h'!H70,'21.10 GALIRAYA-KAYUNGA-24h'!H70)</f>
        <v>0</v>
      </c>
      <c r="I70" s="49">
        <f>AVERAGE('19.10 GALIRAYA-KAYUNGA-24h'!I70,'21.10 GALIRAYA-KAYUNGA-24h'!I70)</f>
        <v>0</v>
      </c>
      <c r="J70" s="49">
        <f>AVERAGE('19.10 GALIRAYA-KAYUNGA-24h'!J70,'21.10 GALIRAYA-KAYUNGA-24h'!J70)</f>
        <v>0</v>
      </c>
      <c r="K70" s="49">
        <f>AVERAGE('19.10 GALIRAYA-KAYUNGA-24h'!K70,'21.10 GALIRAYA-KAYUNGA-24h'!K70)</f>
        <v>0</v>
      </c>
      <c r="L70" s="49">
        <f>AVERAGE('19.10 GALIRAYA-KAYUNGA-24h'!L70,'21.10 GALIRAYA-KAYUNGA-24h'!L70)</f>
        <v>0</v>
      </c>
      <c r="M70" s="49">
        <f>AVERAGE('19.10 GALIRAYA-KAYUNGA-24h'!M70,'21.10 GALIRAYA-KAYUNGA-24h'!M70)</f>
        <v>0.5</v>
      </c>
      <c r="N70" s="49">
        <f>AVERAGE('19.10 GALIRAYA-KAYUNGA-24h'!N70,'21.10 GALIRAYA-KAYUNGA-24h'!N70)</f>
        <v>0</v>
      </c>
      <c r="O70" s="15">
        <f t="shared" si="0"/>
        <v>0</v>
      </c>
      <c r="P70" s="15">
        <f t="shared" si="1"/>
        <v>0.5</v>
      </c>
      <c r="R70" s="8"/>
      <c r="T70"/>
    </row>
    <row r="71" spans="2:20" ht="23.1" customHeight="1" x14ac:dyDescent="0.25">
      <c r="B71" s="23" t="s">
        <v>111</v>
      </c>
      <c r="C71" s="49">
        <f>AVERAGE('19.10 GALIRAYA-KAYUNGA-24h'!C71,'21.10 GALIRAYA-KAYUNGA-24h'!C71)</f>
        <v>0</v>
      </c>
      <c r="D71" s="49">
        <f>AVERAGE('19.10 GALIRAYA-KAYUNGA-24h'!D71,'21.10 GALIRAYA-KAYUNGA-24h'!D71)</f>
        <v>0</v>
      </c>
      <c r="E71" s="49">
        <f>AVERAGE('19.10 GALIRAYA-KAYUNGA-24h'!E71,'21.10 GALIRAYA-KAYUNGA-24h'!E71)</f>
        <v>0</v>
      </c>
      <c r="F71" s="49">
        <f>AVERAGE('19.10 GALIRAYA-KAYUNGA-24h'!F71,'21.10 GALIRAYA-KAYUNGA-24h'!F71)</f>
        <v>0</v>
      </c>
      <c r="G71" s="49">
        <f>AVERAGE('19.10 GALIRAYA-KAYUNGA-24h'!G71,'21.10 GALIRAYA-KAYUNGA-24h'!G71)</f>
        <v>0</v>
      </c>
      <c r="H71" s="49">
        <f>AVERAGE('19.10 GALIRAYA-KAYUNGA-24h'!H71,'21.10 GALIRAYA-KAYUNGA-24h'!H71)</f>
        <v>0</v>
      </c>
      <c r="I71" s="49">
        <f>AVERAGE('19.10 GALIRAYA-KAYUNGA-24h'!I71,'21.10 GALIRAYA-KAYUNGA-24h'!I71)</f>
        <v>0.5</v>
      </c>
      <c r="J71" s="49">
        <f>AVERAGE('19.10 GALIRAYA-KAYUNGA-24h'!J71,'21.10 GALIRAYA-KAYUNGA-24h'!J71)</f>
        <v>0</v>
      </c>
      <c r="K71" s="49">
        <f>AVERAGE('19.10 GALIRAYA-KAYUNGA-24h'!K71,'21.10 GALIRAYA-KAYUNGA-24h'!K71)</f>
        <v>0</v>
      </c>
      <c r="L71" s="49">
        <f>AVERAGE('19.10 GALIRAYA-KAYUNGA-24h'!L71,'21.10 GALIRAYA-KAYUNGA-24h'!L71)</f>
        <v>0</v>
      </c>
      <c r="M71" s="49">
        <f>AVERAGE('19.10 GALIRAYA-KAYUNGA-24h'!M71,'21.10 GALIRAYA-KAYUNGA-24h'!M71)</f>
        <v>1</v>
      </c>
      <c r="N71" s="49">
        <f>AVERAGE('19.10 GALIRAYA-KAYUNGA-24h'!N71,'21.10 GALIRAYA-KAYUNGA-24h'!N71)</f>
        <v>0</v>
      </c>
      <c r="O71" s="15">
        <f t="shared" si="0"/>
        <v>0.5</v>
      </c>
      <c r="P71" s="15">
        <f t="shared" si="1"/>
        <v>1.5</v>
      </c>
      <c r="R71" s="8"/>
      <c r="T71"/>
    </row>
    <row r="72" spans="2:20" ht="23.1" customHeight="1" x14ac:dyDescent="0.25">
      <c r="B72" s="23" t="s">
        <v>112</v>
      </c>
      <c r="C72" s="49">
        <f>AVERAGE('19.10 GALIRAYA-KAYUNGA-24h'!C72,'21.10 GALIRAYA-KAYUNGA-24h'!C72)</f>
        <v>1</v>
      </c>
      <c r="D72" s="49">
        <f>AVERAGE('19.10 GALIRAYA-KAYUNGA-24h'!D72,'21.10 GALIRAYA-KAYUNGA-24h'!D72)</f>
        <v>0</v>
      </c>
      <c r="E72" s="49">
        <f>AVERAGE('19.10 GALIRAYA-KAYUNGA-24h'!E72,'21.10 GALIRAYA-KAYUNGA-24h'!E72)</f>
        <v>0</v>
      </c>
      <c r="F72" s="49">
        <f>AVERAGE('19.10 GALIRAYA-KAYUNGA-24h'!F72,'21.10 GALIRAYA-KAYUNGA-24h'!F72)</f>
        <v>0</v>
      </c>
      <c r="G72" s="49">
        <f>AVERAGE('19.10 GALIRAYA-KAYUNGA-24h'!G72,'21.10 GALIRAYA-KAYUNGA-24h'!G72)</f>
        <v>0</v>
      </c>
      <c r="H72" s="49">
        <f>AVERAGE('19.10 GALIRAYA-KAYUNGA-24h'!H72,'21.10 GALIRAYA-KAYUNGA-24h'!H72)</f>
        <v>0</v>
      </c>
      <c r="I72" s="49">
        <f>AVERAGE('19.10 GALIRAYA-KAYUNGA-24h'!I72,'21.10 GALIRAYA-KAYUNGA-24h'!I72)</f>
        <v>0.5</v>
      </c>
      <c r="J72" s="49">
        <f>AVERAGE('19.10 GALIRAYA-KAYUNGA-24h'!J72,'21.10 GALIRAYA-KAYUNGA-24h'!J72)</f>
        <v>1</v>
      </c>
      <c r="K72" s="49">
        <f>AVERAGE('19.10 GALIRAYA-KAYUNGA-24h'!K72,'21.10 GALIRAYA-KAYUNGA-24h'!K72)</f>
        <v>0</v>
      </c>
      <c r="L72" s="49">
        <f>AVERAGE('19.10 GALIRAYA-KAYUNGA-24h'!L72,'21.10 GALIRAYA-KAYUNGA-24h'!L72)</f>
        <v>0</v>
      </c>
      <c r="M72" s="49">
        <f>AVERAGE('19.10 GALIRAYA-KAYUNGA-24h'!M72,'21.10 GALIRAYA-KAYUNGA-24h'!M72)</f>
        <v>1</v>
      </c>
      <c r="N72" s="49">
        <f>AVERAGE('19.10 GALIRAYA-KAYUNGA-24h'!N72,'21.10 GALIRAYA-KAYUNGA-24h'!N72)</f>
        <v>0</v>
      </c>
      <c r="O72" s="15">
        <f t="shared" si="0"/>
        <v>2.5</v>
      </c>
      <c r="P72" s="15">
        <f t="shared" si="1"/>
        <v>3.5</v>
      </c>
      <c r="R72" s="8"/>
      <c r="T72"/>
    </row>
    <row r="73" spans="2:20" ht="23.1" customHeight="1" x14ac:dyDescent="0.25">
      <c r="B73" s="23" t="s">
        <v>113</v>
      </c>
      <c r="C73" s="49">
        <f>AVERAGE('19.10 GALIRAYA-KAYUNGA-24h'!C73,'21.10 GALIRAYA-KAYUNGA-24h'!C73)</f>
        <v>0</v>
      </c>
      <c r="D73" s="49">
        <f>AVERAGE('19.10 GALIRAYA-KAYUNGA-24h'!D73,'21.10 GALIRAYA-KAYUNGA-24h'!D73)</f>
        <v>0.5</v>
      </c>
      <c r="E73" s="49">
        <f>AVERAGE('19.10 GALIRAYA-KAYUNGA-24h'!E73,'21.10 GALIRAYA-KAYUNGA-24h'!E73)</f>
        <v>0</v>
      </c>
      <c r="F73" s="49">
        <f>AVERAGE('19.10 GALIRAYA-KAYUNGA-24h'!F73,'21.10 GALIRAYA-KAYUNGA-24h'!F73)</f>
        <v>0</v>
      </c>
      <c r="G73" s="49">
        <f>AVERAGE('19.10 GALIRAYA-KAYUNGA-24h'!G73,'21.10 GALIRAYA-KAYUNGA-24h'!G73)</f>
        <v>0</v>
      </c>
      <c r="H73" s="49">
        <f>AVERAGE('19.10 GALIRAYA-KAYUNGA-24h'!H73,'21.10 GALIRAYA-KAYUNGA-24h'!H73)</f>
        <v>0</v>
      </c>
      <c r="I73" s="49">
        <f>AVERAGE('19.10 GALIRAYA-KAYUNGA-24h'!I73,'21.10 GALIRAYA-KAYUNGA-24h'!I73)</f>
        <v>0</v>
      </c>
      <c r="J73" s="49">
        <f>AVERAGE('19.10 GALIRAYA-KAYUNGA-24h'!J73,'21.10 GALIRAYA-KAYUNGA-24h'!J73)</f>
        <v>1</v>
      </c>
      <c r="K73" s="49">
        <f>AVERAGE('19.10 GALIRAYA-KAYUNGA-24h'!K73,'21.10 GALIRAYA-KAYUNGA-24h'!K73)</f>
        <v>0</v>
      </c>
      <c r="L73" s="49">
        <f>AVERAGE('19.10 GALIRAYA-KAYUNGA-24h'!L73,'21.10 GALIRAYA-KAYUNGA-24h'!L73)</f>
        <v>0</v>
      </c>
      <c r="M73" s="49">
        <f>AVERAGE('19.10 GALIRAYA-KAYUNGA-24h'!M73,'21.10 GALIRAYA-KAYUNGA-24h'!M73)</f>
        <v>0.5</v>
      </c>
      <c r="N73" s="49">
        <f>AVERAGE('19.10 GALIRAYA-KAYUNGA-24h'!N73,'21.10 GALIRAYA-KAYUNGA-24h'!N73)</f>
        <v>0</v>
      </c>
      <c r="O73" s="15">
        <f t="shared" si="0"/>
        <v>1.5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AVERAGE('19.10 GALIRAYA-KAYUNGA-24h'!C74,'21.10 GALIRAYA-KAYUNGA-24h'!C74)</f>
        <v>0</v>
      </c>
      <c r="D74" s="49">
        <f>AVERAGE('19.10 GALIRAYA-KAYUNGA-24h'!D74,'21.10 GALIRAYA-KAYUNGA-24h'!D74)</f>
        <v>0</v>
      </c>
      <c r="E74" s="49">
        <f>AVERAGE('19.10 GALIRAYA-KAYUNGA-24h'!E74,'21.10 GALIRAYA-KAYUNGA-24h'!E74)</f>
        <v>0.5</v>
      </c>
      <c r="F74" s="49">
        <f>AVERAGE('19.10 GALIRAYA-KAYUNGA-24h'!F74,'21.10 GALIRAYA-KAYUNGA-24h'!F74)</f>
        <v>0</v>
      </c>
      <c r="G74" s="49">
        <f>AVERAGE('19.10 GALIRAYA-KAYUNGA-24h'!G74,'21.10 GALIRAYA-KAYUNGA-24h'!G74)</f>
        <v>0</v>
      </c>
      <c r="H74" s="49">
        <f>AVERAGE('19.10 GALIRAYA-KAYUNGA-24h'!H74,'21.10 GALIRAYA-KAYUNGA-24h'!H74)</f>
        <v>0</v>
      </c>
      <c r="I74" s="49">
        <f>AVERAGE('19.10 GALIRAYA-KAYUNGA-24h'!I74,'21.10 GALIRAYA-KAYUNGA-24h'!I74)</f>
        <v>0</v>
      </c>
      <c r="J74" s="49">
        <f>AVERAGE('19.10 GALIRAYA-KAYUNGA-24h'!J74,'21.10 GALIRAYA-KAYUNGA-24h'!J74)</f>
        <v>1</v>
      </c>
      <c r="K74" s="49">
        <f>AVERAGE('19.10 GALIRAYA-KAYUNGA-24h'!K74,'21.10 GALIRAYA-KAYUNGA-24h'!K74)</f>
        <v>0.5</v>
      </c>
      <c r="L74" s="49">
        <f>AVERAGE('19.10 GALIRAYA-KAYUNGA-24h'!L74,'21.10 GALIRAYA-KAYUNGA-24h'!L74)</f>
        <v>0</v>
      </c>
      <c r="M74" s="49">
        <f>AVERAGE('19.10 GALIRAYA-KAYUNGA-24h'!M74,'21.10 GALIRAYA-KAYUNGA-24h'!M74)</f>
        <v>0.5</v>
      </c>
      <c r="N74" s="49">
        <f>AVERAGE('19.10 GALIRAYA-KAYUNGA-24h'!N74,'21.10 GALIRAYA-KAYUNGA-24h'!N74)</f>
        <v>0</v>
      </c>
      <c r="O74" s="15">
        <f t="shared" ref="O74:O105" si="35">SUM(C74:L74,N74)</f>
        <v>2</v>
      </c>
      <c r="P74" s="15">
        <f t="shared" ref="P74:P105" si="36">SUM(C74:N74)</f>
        <v>2.5</v>
      </c>
      <c r="R74" s="8"/>
      <c r="T74"/>
    </row>
    <row r="75" spans="2:20" ht="23.1" customHeight="1" x14ac:dyDescent="0.25">
      <c r="B75" s="23" t="s">
        <v>115</v>
      </c>
      <c r="C75" s="49">
        <f>AVERAGE('19.10 GALIRAYA-KAYUNGA-24h'!C75,'21.10 GALIRAYA-KAYUNGA-24h'!C75)</f>
        <v>0.5</v>
      </c>
      <c r="D75" s="49">
        <f>AVERAGE('19.10 GALIRAYA-KAYUNGA-24h'!D75,'21.10 GALIRAYA-KAYUNGA-24h'!D75)</f>
        <v>0</v>
      </c>
      <c r="E75" s="49">
        <f>AVERAGE('19.10 GALIRAYA-KAYUNGA-24h'!E75,'21.10 GALIRAYA-KAYUNGA-24h'!E75)</f>
        <v>0</v>
      </c>
      <c r="F75" s="49">
        <f>AVERAGE('19.10 GALIRAYA-KAYUNGA-24h'!F75,'21.10 GALIRAYA-KAYUNGA-24h'!F75)</f>
        <v>0</v>
      </c>
      <c r="G75" s="49">
        <f>AVERAGE('19.10 GALIRAYA-KAYUNGA-24h'!G75,'21.10 GALIRAYA-KAYUNGA-24h'!G75)</f>
        <v>0</v>
      </c>
      <c r="H75" s="49">
        <f>AVERAGE('19.10 GALIRAYA-KAYUNGA-24h'!H75,'21.10 GALIRAYA-KAYUNGA-24h'!H75)</f>
        <v>0</v>
      </c>
      <c r="I75" s="49">
        <f>AVERAGE('19.10 GALIRAYA-KAYUNGA-24h'!I75,'21.10 GALIRAYA-KAYUNGA-24h'!I75)</f>
        <v>2.5</v>
      </c>
      <c r="J75" s="49">
        <f>AVERAGE('19.10 GALIRAYA-KAYUNGA-24h'!J75,'21.10 GALIRAYA-KAYUNGA-24h'!J75)</f>
        <v>2.5</v>
      </c>
      <c r="K75" s="49">
        <f>AVERAGE('19.10 GALIRAYA-KAYUNGA-24h'!K75,'21.10 GALIRAYA-KAYUNGA-24h'!K75)</f>
        <v>0.5</v>
      </c>
      <c r="L75" s="49">
        <f>AVERAGE('19.10 GALIRAYA-KAYUNGA-24h'!L75,'21.10 GALIRAYA-KAYUNGA-24h'!L75)</f>
        <v>0.5</v>
      </c>
      <c r="M75" s="49">
        <f>AVERAGE('19.10 GALIRAYA-KAYUNGA-24h'!M75,'21.10 GALIRAYA-KAYUNGA-24h'!M75)</f>
        <v>0</v>
      </c>
      <c r="N75" s="49">
        <f>AVERAGE('19.10 GALIRAYA-KAYUNGA-24h'!N75,'21.10 GALIRAYA-KAYUNGA-24h'!N75)</f>
        <v>0</v>
      </c>
      <c r="O75" s="15">
        <f t="shared" si="35"/>
        <v>6.5</v>
      </c>
      <c r="P75" s="15">
        <f t="shared" si="36"/>
        <v>6.5</v>
      </c>
      <c r="R75" s="8"/>
      <c r="T75"/>
    </row>
    <row r="76" spans="2:20" ht="23.1" customHeight="1" x14ac:dyDescent="0.25">
      <c r="B76" s="23" t="s">
        <v>116</v>
      </c>
      <c r="C76" s="49">
        <f>AVERAGE('19.10 GALIRAYA-KAYUNGA-24h'!C76,'21.10 GALIRAYA-KAYUNGA-24h'!C76)</f>
        <v>0</v>
      </c>
      <c r="D76" s="49">
        <f>AVERAGE('19.10 GALIRAYA-KAYUNGA-24h'!D76,'21.10 GALIRAYA-KAYUNGA-24h'!D76)</f>
        <v>0</v>
      </c>
      <c r="E76" s="49">
        <f>AVERAGE('19.10 GALIRAYA-KAYUNGA-24h'!E76,'21.10 GALIRAYA-KAYUNGA-24h'!E76)</f>
        <v>0.5</v>
      </c>
      <c r="F76" s="49">
        <f>AVERAGE('19.10 GALIRAYA-KAYUNGA-24h'!F76,'21.10 GALIRAYA-KAYUNGA-24h'!F76)</f>
        <v>0</v>
      </c>
      <c r="G76" s="49">
        <f>AVERAGE('19.10 GALIRAYA-KAYUNGA-24h'!G76,'21.10 GALIRAYA-KAYUNGA-24h'!G76)</f>
        <v>0</v>
      </c>
      <c r="H76" s="49">
        <f>AVERAGE('19.10 GALIRAYA-KAYUNGA-24h'!H76,'21.10 GALIRAYA-KAYUNGA-24h'!H76)</f>
        <v>0</v>
      </c>
      <c r="I76" s="49">
        <f>AVERAGE('19.10 GALIRAYA-KAYUNGA-24h'!I76,'21.10 GALIRAYA-KAYUNGA-24h'!I76)</f>
        <v>0.5</v>
      </c>
      <c r="J76" s="49">
        <f>AVERAGE('19.10 GALIRAYA-KAYUNGA-24h'!J76,'21.10 GALIRAYA-KAYUNGA-24h'!J76)</f>
        <v>0.5</v>
      </c>
      <c r="K76" s="49">
        <f>AVERAGE('19.10 GALIRAYA-KAYUNGA-24h'!K76,'21.10 GALIRAYA-KAYUNGA-24h'!K76)</f>
        <v>0</v>
      </c>
      <c r="L76" s="49">
        <f>AVERAGE('19.10 GALIRAYA-KAYUNGA-24h'!L76,'21.10 GALIRAYA-KAYUNGA-24h'!L76)</f>
        <v>0</v>
      </c>
      <c r="M76" s="49">
        <f>AVERAGE('19.10 GALIRAYA-KAYUNGA-24h'!M76,'21.10 GALIRAYA-KAYUNGA-24h'!M76)</f>
        <v>0</v>
      </c>
      <c r="N76" s="49">
        <f>AVERAGE('19.10 GALIRAYA-KAYUNGA-24h'!N76,'21.10 GALIRAYA-KAYUNGA-24h'!N76)</f>
        <v>0</v>
      </c>
      <c r="O76" s="15">
        <f t="shared" si="35"/>
        <v>1.5</v>
      </c>
      <c r="P76" s="15">
        <f t="shared" si="36"/>
        <v>1.5</v>
      </c>
      <c r="R76" s="8"/>
      <c r="T76"/>
    </row>
    <row r="77" spans="2:20" ht="23.1" customHeight="1" x14ac:dyDescent="0.25">
      <c r="B77" s="23" t="s">
        <v>117</v>
      </c>
      <c r="C77" s="49">
        <f>AVERAGE('19.10 GALIRAYA-KAYUNGA-24h'!C77,'21.10 GALIRAYA-KAYUNGA-24h'!C77)</f>
        <v>0</v>
      </c>
      <c r="D77" s="49">
        <f>AVERAGE('19.10 GALIRAYA-KAYUNGA-24h'!D77,'21.10 GALIRAYA-KAYUNGA-24h'!D77)</f>
        <v>0</v>
      </c>
      <c r="E77" s="49">
        <f>AVERAGE('19.10 GALIRAYA-KAYUNGA-24h'!E77,'21.10 GALIRAYA-KAYUNGA-24h'!E77)</f>
        <v>0</v>
      </c>
      <c r="F77" s="49">
        <f>AVERAGE('19.10 GALIRAYA-KAYUNGA-24h'!F77,'21.10 GALIRAYA-KAYUNGA-24h'!F77)</f>
        <v>0.5</v>
      </c>
      <c r="G77" s="49">
        <f>AVERAGE('19.10 GALIRAYA-KAYUNGA-24h'!G77,'21.10 GALIRAYA-KAYUNGA-24h'!G77)</f>
        <v>0</v>
      </c>
      <c r="H77" s="49">
        <f>AVERAGE('19.10 GALIRAYA-KAYUNGA-24h'!H77,'21.10 GALIRAYA-KAYUNGA-24h'!H77)</f>
        <v>0</v>
      </c>
      <c r="I77" s="49">
        <f>AVERAGE('19.10 GALIRAYA-KAYUNGA-24h'!I77,'21.10 GALIRAYA-KAYUNGA-24h'!I77)</f>
        <v>1.5</v>
      </c>
      <c r="J77" s="49">
        <f>AVERAGE('19.10 GALIRAYA-KAYUNGA-24h'!J77,'21.10 GALIRAYA-KAYUNGA-24h'!J77)</f>
        <v>0.5</v>
      </c>
      <c r="K77" s="49">
        <f>AVERAGE('19.10 GALIRAYA-KAYUNGA-24h'!K77,'21.10 GALIRAYA-KAYUNGA-24h'!K77)</f>
        <v>0</v>
      </c>
      <c r="L77" s="49">
        <f>AVERAGE('19.10 GALIRAYA-KAYUNGA-24h'!L77,'21.10 GALIRAYA-KAYUNGA-24h'!L77)</f>
        <v>0</v>
      </c>
      <c r="M77" s="49">
        <f>AVERAGE('19.10 GALIRAYA-KAYUNGA-24h'!M77,'21.10 GALIRAYA-KAYUNGA-24h'!M77)</f>
        <v>0.5</v>
      </c>
      <c r="N77" s="49">
        <f>AVERAGE('19.10 GALIRAYA-KAYUNGA-24h'!N77,'21.10 GALIRAYA-KAYUNGA-24h'!N77)</f>
        <v>0</v>
      </c>
      <c r="O77" s="15">
        <f t="shared" si="35"/>
        <v>2.5</v>
      </c>
      <c r="P77" s="15">
        <f t="shared" si="36"/>
        <v>3</v>
      </c>
      <c r="R77" s="8"/>
      <c r="T77"/>
    </row>
    <row r="78" spans="2:20" ht="23.1" customHeight="1" x14ac:dyDescent="0.25">
      <c r="B78" s="24" t="s">
        <v>118</v>
      </c>
      <c r="C78" s="49">
        <f>AVERAGE('19.10 GALIRAYA-KAYUNGA-24h'!C78,'21.10 GALIRAYA-KAYUNGA-24h'!C78)</f>
        <v>0.5</v>
      </c>
      <c r="D78" s="49">
        <f>AVERAGE('19.10 GALIRAYA-KAYUNGA-24h'!D78,'21.10 GALIRAYA-KAYUNGA-24h'!D78)</f>
        <v>0</v>
      </c>
      <c r="E78" s="49">
        <f>AVERAGE('19.10 GALIRAYA-KAYUNGA-24h'!E78,'21.10 GALIRAYA-KAYUNGA-24h'!E78)</f>
        <v>0</v>
      </c>
      <c r="F78" s="49">
        <f>AVERAGE('19.10 GALIRAYA-KAYUNGA-24h'!F78,'21.10 GALIRAYA-KAYUNGA-24h'!F78)</f>
        <v>0</v>
      </c>
      <c r="G78" s="49">
        <f>AVERAGE('19.10 GALIRAYA-KAYUNGA-24h'!G78,'21.10 GALIRAYA-KAYUNGA-24h'!G78)</f>
        <v>0</v>
      </c>
      <c r="H78" s="49">
        <f>AVERAGE('19.10 GALIRAYA-KAYUNGA-24h'!H78,'21.10 GALIRAYA-KAYUNGA-24h'!H78)</f>
        <v>0</v>
      </c>
      <c r="I78" s="49">
        <f>AVERAGE('19.10 GALIRAYA-KAYUNGA-24h'!I78,'21.10 GALIRAYA-KAYUNGA-24h'!I78)</f>
        <v>0.5</v>
      </c>
      <c r="J78" s="49">
        <f>AVERAGE('19.10 GALIRAYA-KAYUNGA-24h'!J78,'21.10 GALIRAYA-KAYUNGA-24h'!J78)</f>
        <v>2.5</v>
      </c>
      <c r="K78" s="49">
        <f>AVERAGE('19.10 GALIRAYA-KAYUNGA-24h'!K78,'21.10 GALIRAYA-KAYUNGA-24h'!K78)</f>
        <v>0.5</v>
      </c>
      <c r="L78" s="49">
        <f>AVERAGE('19.10 GALIRAYA-KAYUNGA-24h'!L78,'21.10 GALIRAYA-KAYUNGA-24h'!L78)</f>
        <v>0.5</v>
      </c>
      <c r="M78" s="49">
        <f>AVERAGE('19.10 GALIRAYA-KAYUNGA-24h'!M78,'21.10 GALIRAYA-KAYUNGA-24h'!M78)</f>
        <v>1</v>
      </c>
      <c r="N78" s="49">
        <f>AVERAGE('19.10 GALIRAYA-KAYUNGA-24h'!N78,'21.10 GALIRAYA-KAYUNGA-24h'!N78)</f>
        <v>0</v>
      </c>
      <c r="O78" s="15">
        <f t="shared" si="35"/>
        <v>4.5</v>
      </c>
      <c r="P78" s="15">
        <f t="shared" si="36"/>
        <v>5.5</v>
      </c>
      <c r="R78" s="8"/>
      <c r="T78"/>
    </row>
    <row r="79" spans="2:20" ht="23.1" customHeight="1" x14ac:dyDescent="0.25">
      <c r="B79" s="23" t="s">
        <v>119</v>
      </c>
      <c r="C79" s="49">
        <f>AVERAGE('19.10 GALIRAYA-KAYUNGA-24h'!C79,'21.10 GALIRAYA-KAYUNGA-24h'!C79)</f>
        <v>0</v>
      </c>
      <c r="D79" s="49">
        <f>AVERAGE('19.10 GALIRAYA-KAYUNGA-24h'!D79,'21.10 GALIRAYA-KAYUNGA-24h'!D79)</f>
        <v>0</v>
      </c>
      <c r="E79" s="49">
        <f>AVERAGE('19.10 GALIRAYA-KAYUNGA-24h'!E79,'21.10 GALIRAYA-KAYUNGA-24h'!E79)</f>
        <v>0</v>
      </c>
      <c r="F79" s="49">
        <f>AVERAGE('19.10 GALIRAYA-KAYUNGA-24h'!F79,'21.10 GALIRAYA-KAYUNGA-24h'!F79)</f>
        <v>0.5</v>
      </c>
      <c r="G79" s="49">
        <f>AVERAGE('19.10 GALIRAYA-KAYUNGA-24h'!G79,'21.10 GALIRAYA-KAYUNGA-24h'!G79)</f>
        <v>0</v>
      </c>
      <c r="H79" s="49">
        <f>AVERAGE('19.10 GALIRAYA-KAYUNGA-24h'!H79,'21.10 GALIRAYA-KAYUNGA-24h'!H79)</f>
        <v>0</v>
      </c>
      <c r="I79" s="49">
        <f>AVERAGE('19.10 GALIRAYA-KAYUNGA-24h'!I79,'21.10 GALIRAYA-KAYUNGA-24h'!I79)</f>
        <v>0.5</v>
      </c>
      <c r="J79" s="49">
        <f>AVERAGE('19.10 GALIRAYA-KAYUNGA-24h'!J79,'21.10 GALIRAYA-KAYUNGA-24h'!J79)</f>
        <v>1</v>
      </c>
      <c r="K79" s="49">
        <f>AVERAGE('19.10 GALIRAYA-KAYUNGA-24h'!K79,'21.10 GALIRAYA-KAYUNGA-24h'!K79)</f>
        <v>2</v>
      </c>
      <c r="L79" s="49">
        <f>AVERAGE('19.10 GALIRAYA-KAYUNGA-24h'!L79,'21.10 GALIRAYA-KAYUNGA-24h'!L79)</f>
        <v>0</v>
      </c>
      <c r="M79" s="49">
        <f>AVERAGE('19.10 GALIRAYA-KAYUNGA-24h'!M79,'21.10 GALIRAYA-KAYUNGA-24h'!M79)</f>
        <v>0</v>
      </c>
      <c r="N79" s="49">
        <f>AVERAGE('19.10 GALIRAYA-KAYUNGA-24h'!N79,'21.10 GALIRAYA-KAYUNGA-24h'!N79)</f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25" t="s">
        <v>120</v>
      </c>
      <c r="C80" s="49">
        <f>AVERAGE('19.10 GALIRAYA-KAYUNGA-24h'!C80,'21.10 GALIRAYA-KAYUNGA-24h'!C80)</f>
        <v>0.5</v>
      </c>
      <c r="D80" s="49">
        <f>AVERAGE('19.10 GALIRAYA-KAYUNGA-24h'!D80,'21.10 GALIRAYA-KAYUNGA-24h'!D80)</f>
        <v>1</v>
      </c>
      <c r="E80" s="49">
        <f>AVERAGE('19.10 GALIRAYA-KAYUNGA-24h'!E80,'21.10 GALIRAYA-KAYUNGA-24h'!E80)</f>
        <v>0.5</v>
      </c>
      <c r="F80" s="49">
        <f>AVERAGE('19.10 GALIRAYA-KAYUNGA-24h'!F80,'21.10 GALIRAYA-KAYUNGA-24h'!F80)</f>
        <v>0</v>
      </c>
      <c r="G80" s="49">
        <f>AVERAGE('19.10 GALIRAYA-KAYUNGA-24h'!G80,'21.10 GALIRAYA-KAYUNGA-24h'!G80)</f>
        <v>0</v>
      </c>
      <c r="H80" s="49">
        <f>AVERAGE('19.10 GALIRAYA-KAYUNGA-24h'!H80,'21.10 GALIRAYA-KAYUNGA-24h'!H80)</f>
        <v>0</v>
      </c>
      <c r="I80" s="49">
        <f>AVERAGE('19.10 GALIRAYA-KAYUNGA-24h'!I80,'21.10 GALIRAYA-KAYUNGA-24h'!I80)</f>
        <v>1.5</v>
      </c>
      <c r="J80" s="49">
        <f>AVERAGE('19.10 GALIRAYA-KAYUNGA-24h'!J80,'21.10 GALIRAYA-KAYUNGA-24h'!J80)</f>
        <v>0.5</v>
      </c>
      <c r="K80" s="49">
        <f>AVERAGE('19.10 GALIRAYA-KAYUNGA-24h'!K80,'21.10 GALIRAYA-KAYUNGA-24h'!K80)</f>
        <v>1</v>
      </c>
      <c r="L80" s="49">
        <f>AVERAGE('19.10 GALIRAYA-KAYUNGA-24h'!L80,'21.10 GALIRAYA-KAYUNGA-24h'!L80)</f>
        <v>0</v>
      </c>
      <c r="M80" s="49">
        <f>AVERAGE('19.10 GALIRAYA-KAYUNGA-24h'!M80,'21.10 GALIRAYA-KAYUNGA-24h'!M80)</f>
        <v>0.5</v>
      </c>
      <c r="N80" s="49">
        <f>AVERAGE('19.10 GALIRAYA-KAYUNGA-24h'!N80,'21.10 GALIRAYA-KAYUNGA-24h'!N80)</f>
        <v>0</v>
      </c>
      <c r="O80" s="15">
        <f t="shared" si="35"/>
        <v>5</v>
      </c>
      <c r="P80" s="15">
        <f t="shared" si="36"/>
        <v>5.5</v>
      </c>
      <c r="R80" s="8"/>
      <c r="T80"/>
    </row>
    <row r="81" spans="2:20" ht="23.1" customHeight="1" x14ac:dyDescent="0.25">
      <c r="B81" s="23" t="s">
        <v>121</v>
      </c>
      <c r="C81" s="49">
        <f>AVERAGE('19.10 GALIRAYA-KAYUNGA-24h'!C81,'21.10 GALIRAYA-KAYUNGA-24h'!C81)</f>
        <v>0</v>
      </c>
      <c r="D81" s="49">
        <f>AVERAGE('19.10 GALIRAYA-KAYUNGA-24h'!D81,'21.10 GALIRAYA-KAYUNGA-24h'!D81)</f>
        <v>0</v>
      </c>
      <c r="E81" s="49">
        <f>AVERAGE('19.10 GALIRAYA-KAYUNGA-24h'!E81,'21.10 GALIRAYA-KAYUNGA-24h'!E81)</f>
        <v>0</v>
      </c>
      <c r="F81" s="49">
        <f>AVERAGE('19.10 GALIRAYA-KAYUNGA-24h'!F81,'21.10 GALIRAYA-KAYUNGA-24h'!F81)</f>
        <v>0</v>
      </c>
      <c r="G81" s="49">
        <f>AVERAGE('19.10 GALIRAYA-KAYUNGA-24h'!G81,'21.10 GALIRAYA-KAYUNGA-24h'!G81)</f>
        <v>0</v>
      </c>
      <c r="H81" s="49">
        <f>AVERAGE('19.10 GALIRAYA-KAYUNGA-24h'!H81,'21.10 GALIRAYA-KAYUNGA-24h'!H81)</f>
        <v>0</v>
      </c>
      <c r="I81" s="49">
        <f>AVERAGE('19.10 GALIRAYA-KAYUNGA-24h'!I81,'21.10 GALIRAYA-KAYUNGA-24h'!I81)</f>
        <v>0</v>
      </c>
      <c r="J81" s="49">
        <f>AVERAGE('19.10 GALIRAYA-KAYUNGA-24h'!J81,'21.10 GALIRAYA-KAYUNGA-24h'!J81)</f>
        <v>0.5</v>
      </c>
      <c r="K81" s="49">
        <f>AVERAGE('19.10 GALIRAYA-KAYUNGA-24h'!K81,'21.10 GALIRAYA-KAYUNGA-24h'!K81)</f>
        <v>1.5</v>
      </c>
      <c r="L81" s="49">
        <f>AVERAGE('19.10 GALIRAYA-KAYUNGA-24h'!L81,'21.10 GALIRAYA-KAYUNGA-24h'!L81)</f>
        <v>0</v>
      </c>
      <c r="M81" s="49">
        <f>AVERAGE('19.10 GALIRAYA-KAYUNGA-24h'!M81,'21.10 GALIRAYA-KAYUNGA-24h'!M81)</f>
        <v>0.5</v>
      </c>
      <c r="N81" s="49">
        <f>AVERAGE('19.10 GALIRAYA-KAYUNGA-24h'!N81,'21.10 GALIRAYA-KAYUNGA-24h'!N81)</f>
        <v>0</v>
      </c>
      <c r="O81" s="15">
        <f t="shared" si="35"/>
        <v>2</v>
      </c>
      <c r="P81" s="15">
        <f t="shared" si="36"/>
        <v>2.5</v>
      </c>
      <c r="R81" s="8"/>
      <c r="T81"/>
    </row>
    <row r="82" spans="2:20" ht="23.1" customHeight="1" x14ac:dyDescent="0.25">
      <c r="B82" s="24" t="s">
        <v>122</v>
      </c>
      <c r="C82" s="49">
        <f>AVERAGE('19.10 GALIRAYA-KAYUNGA-24h'!C82,'21.10 GALIRAYA-KAYUNGA-24h'!C82)</f>
        <v>0</v>
      </c>
      <c r="D82" s="49">
        <f>AVERAGE('19.10 GALIRAYA-KAYUNGA-24h'!D82,'21.10 GALIRAYA-KAYUNGA-24h'!D82)</f>
        <v>0</v>
      </c>
      <c r="E82" s="49">
        <f>AVERAGE('19.10 GALIRAYA-KAYUNGA-24h'!E82,'21.10 GALIRAYA-KAYUNGA-24h'!E82)</f>
        <v>0</v>
      </c>
      <c r="F82" s="49">
        <f>AVERAGE('19.10 GALIRAYA-KAYUNGA-24h'!F82,'21.10 GALIRAYA-KAYUNGA-24h'!F82)</f>
        <v>0.5</v>
      </c>
      <c r="G82" s="49">
        <f>AVERAGE('19.10 GALIRAYA-KAYUNGA-24h'!G82,'21.10 GALIRAYA-KAYUNGA-24h'!G82)</f>
        <v>0</v>
      </c>
      <c r="H82" s="49">
        <f>AVERAGE('19.10 GALIRAYA-KAYUNGA-24h'!H82,'21.10 GALIRAYA-KAYUNGA-24h'!H82)</f>
        <v>0</v>
      </c>
      <c r="I82" s="49">
        <f>AVERAGE('19.10 GALIRAYA-KAYUNGA-24h'!I82,'21.10 GALIRAYA-KAYUNGA-24h'!I82)</f>
        <v>0</v>
      </c>
      <c r="J82" s="49">
        <f>AVERAGE('19.10 GALIRAYA-KAYUNGA-24h'!J82,'21.10 GALIRAYA-KAYUNGA-24h'!J82)</f>
        <v>0.5</v>
      </c>
      <c r="K82" s="49">
        <f>AVERAGE('19.10 GALIRAYA-KAYUNGA-24h'!K82,'21.10 GALIRAYA-KAYUNGA-24h'!K82)</f>
        <v>1.5</v>
      </c>
      <c r="L82" s="49">
        <f>AVERAGE('19.10 GALIRAYA-KAYUNGA-24h'!L82,'21.10 GALIRAYA-KAYUNGA-24h'!L82)</f>
        <v>0</v>
      </c>
      <c r="M82" s="49">
        <f>AVERAGE('19.10 GALIRAYA-KAYUNGA-24h'!M82,'21.10 GALIRAYA-KAYUNGA-24h'!M82)</f>
        <v>0.5</v>
      </c>
      <c r="N82" s="49">
        <f>AVERAGE('19.10 GALIRAYA-KAYUNGA-24h'!N82,'21.10 GALIRAYA-KAYUNGA-24h'!N82)</f>
        <v>0</v>
      </c>
      <c r="O82" s="15">
        <f t="shared" si="35"/>
        <v>2.5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AVERAGE('19.10 GALIRAYA-KAYUNGA-24h'!C83,'21.10 GALIRAYA-KAYUNGA-24h'!C83)</f>
        <v>0</v>
      </c>
      <c r="D83" s="49">
        <f>AVERAGE('19.10 GALIRAYA-KAYUNGA-24h'!D83,'21.10 GALIRAYA-KAYUNGA-24h'!D83)</f>
        <v>0</v>
      </c>
      <c r="E83" s="49">
        <f>AVERAGE('19.10 GALIRAYA-KAYUNGA-24h'!E83,'21.10 GALIRAYA-KAYUNGA-24h'!E83)</f>
        <v>0</v>
      </c>
      <c r="F83" s="49">
        <f>AVERAGE('19.10 GALIRAYA-KAYUNGA-24h'!F83,'21.10 GALIRAYA-KAYUNGA-24h'!F83)</f>
        <v>0</v>
      </c>
      <c r="G83" s="49">
        <f>AVERAGE('19.10 GALIRAYA-KAYUNGA-24h'!G83,'21.10 GALIRAYA-KAYUNGA-24h'!G83)</f>
        <v>0</v>
      </c>
      <c r="H83" s="49">
        <f>AVERAGE('19.10 GALIRAYA-KAYUNGA-24h'!H83,'21.10 GALIRAYA-KAYUNGA-24h'!H83)</f>
        <v>0</v>
      </c>
      <c r="I83" s="49">
        <f>AVERAGE('19.10 GALIRAYA-KAYUNGA-24h'!I83,'21.10 GALIRAYA-KAYUNGA-24h'!I83)</f>
        <v>0.5</v>
      </c>
      <c r="J83" s="49">
        <f>AVERAGE('19.10 GALIRAYA-KAYUNGA-24h'!J83,'21.10 GALIRAYA-KAYUNGA-24h'!J83)</f>
        <v>0</v>
      </c>
      <c r="K83" s="49">
        <f>AVERAGE('19.10 GALIRAYA-KAYUNGA-24h'!K83,'21.10 GALIRAYA-KAYUNGA-24h'!K83)</f>
        <v>0</v>
      </c>
      <c r="L83" s="49">
        <f>AVERAGE('19.10 GALIRAYA-KAYUNGA-24h'!L83,'21.10 GALIRAYA-KAYUNGA-24h'!L83)</f>
        <v>0</v>
      </c>
      <c r="M83" s="49">
        <f>AVERAGE('19.10 GALIRAYA-KAYUNGA-24h'!M83,'21.10 GALIRAYA-KAYUNGA-24h'!M83)</f>
        <v>0.5</v>
      </c>
      <c r="N83" s="49">
        <f>AVERAGE('19.10 GALIRAYA-KAYUNGA-24h'!N83,'21.10 GALIRAYA-KAYUNGA-24h'!N83)</f>
        <v>0</v>
      </c>
      <c r="O83" s="15">
        <f t="shared" si="35"/>
        <v>0.5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49">
        <f>AVERAGE('19.10 GALIRAYA-KAYUNGA-24h'!C84,'21.10 GALIRAYA-KAYUNGA-24h'!C84)</f>
        <v>0</v>
      </c>
      <c r="D84" s="49">
        <f>AVERAGE('19.10 GALIRAYA-KAYUNGA-24h'!D84,'21.10 GALIRAYA-KAYUNGA-24h'!D84)</f>
        <v>0</v>
      </c>
      <c r="E84" s="49">
        <f>AVERAGE('19.10 GALIRAYA-KAYUNGA-24h'!E84,'21.10 GALIRAYA-KAYUNGA-24h'!E84)</f>
        <v>0.5</v>
      </c>
      <c r="F84" s="49">
        <f>AVERAGE('19.10 GALIRAYA-KAYUNGA-24h'!F84,'21.10 GALIRAYA-KAYUNGA-24h'!F84)</f>
        <v>0</v>
      </c>
      <c r="G84" s="49">
        <f>AVERAGE('19.10 GALIRAYA-KAYUNGA-24h'!G84,'21.10 GALIRAYA-KAYUNGA-24h'!G84)</f>
        <v>0</v>
      </c>
      <c r="H84" s="49">
        <f>AVERAGE('19.10 GALIRAYA-KAYUNGA-24h'!H84,'21.10 GALIRAYA-KAYUNGA-24h'!H84)</f>
        <v>0</v>
      </c>
      <c r="I84" s="49">
        <f>AVERAGE('19.10 GALIRAYA-KAYUNGA-24h'!I84,'21.10 GALIRAYA-KAYUNGA-24h'!I84)</f>
        <v>0</v>
      </c>
      <c r="J84" s="49">
        <f>AVERAGE('19.10 GALIRAYA-KAYUNGA-24h'!J84,'21.10 GALIRAYA-KAYUNGA-24h'!J84)</f>
        <v>0</v>
      </c>
      <c r="K84" s="49">
        <f>AVERAGE('19.10 GALIRAYA-KAYUNGA-24h'!K84,'21.10 GALIRAYA-KAYUNGA-24h'!K84)</f>
        <v>0</v>
      </c>
      <c r="L84" s="49">
        <f>AVERAGE('19.10 GALIRAYA-KAYUNGA-24h'!L84,'21.10 GALIRAYA-KAYUNGA-24h'!L84)</f>
        <v>0</v>
      </c>
      <c r="M84" s="49">
        <f>AVERAGE('19.10 GALIRAYA-KAYUNGA-24h'!M84,'21.10 GALIRAYA-KAYUNGA-24h'!M84)</f>
        <v>0.5</v>
      </c>
      <c r="N84" s="49">
        <f>AVERAGE('19.10 GALIRAYA-KAYUNGA-24h'!N84,'21.10 GALIRAYA-KAYUNGA-24h'!N84)</f>
        <v>0</v>
      </c>
      <c r="O84" s="15">
        <f t="shared" si="35"/>
        <v>0.5</v>
      </c>
      <c r="P84" s="15">
        <f t="shared" si="36"/>
        <v>1</v>
      </c>
      <c r="R84" s="8"/>
      <c r="T84"/>
    </row>
    <row r="85" spans="2:20" ht="23.1" customHeight="1" x14ac:dyDescent="0.25">
      <c r="B85" s="23" t="s">
        <v>125</v>
      </c>
      <c r="C85" s="49">
        <f>AVERAGE('19.10 GALIRAYA-KAYUNGA-24h'!C85,'21.10 GALIRAYA-KAYUNGA-24h'!C85)</f>
        <v>0</v>
      </c>
      <c r="D85" s="49">
        <f>AVERAGE('19.10 GALIRAYA-KAYUNGA-24h'!D85,'21.10 GALIRAYA-KAYUNGA-24h'!D85)</f>
        <v>0</v>
      </c>
      <c r="E85" s="49">
        <f>AVERAGE('19.10 GALIRAYA-KAYUNGA-24h'!E85,'21.10 GALIRAYA-KAYUNGA-24h'!E85)</f>
        <v>0</v>
      </c>
      <c r="F85" s="49">
        <f>AVERAGE('19.10 GALIRAYA-KAYUNGA-24h'!F85,'21.10 GALIRAYA-KAYUNGA-24h'!F85)</f>
        <v>0</v>
      </c>
      <c r="G85" s="49">
        <f>AVERAGE('19.10 GALIRAYA-KAYUNGA-24h'!G85,'21.10 GALIRAYA-KAYUNGA-24h'!G85)</f>
        <v>0</v>
      </c>
      <c r="H85" s="49">
        <f>AVERAGE('19.10 GALIRAYA-KAYUNGA-24h'!H85,'21.10 GALIRAYA-KAYUNGA-24h'!H85)</f>
        <v>0</v>
      </c>
      <c r="I85" s="49">
        <f>AVERAGE('19.10 GALIRAYA-KAYUNGA-24h'!I85,'21.10 GALIRAYA-KAYUNGA-24h'!I85)</f>
        <v>0</v>
      </c>
      <c r="J85" s="49">
        <f>AVERAGE('19.10 GALIRAYA-KAYUNGA-24h'!J85,'21.10 GALIRAYA-KAYUNGA-24h'!J85)</f>
        <v>0</v>
      </c>
      <c r="K85" s="49">
        <f>AVERAGE('19.10 GALIRAYA-KAYUNGA-24h'!K85,'21.10 GALIRAYA-KAYUNGA-24h'!K85)</f>
        <v>0</v>
      </c>
      <c r="L85" s="49">
        <f>AVERAGE('19.10 GALIRAYA-KAYUNGA-24h'!L85,'21.10 GALIRAYA-KAYUNGA-24h'!L85)</f>
        <v>0</v>
      </c>
      <c r="M85" s="49">
        <f>AVERAGE('19.10 GALIRAYA-KAYUNGA-24h'!M85,'21.10 GALIRAYA-KAYUNGA-24h'!M85)</f>
        <v>0</v>
      </c>
      <c r="N85" s="49">
        <f>AVERAGE('19.10 GALIRAYA-KAYUNGA-24h'!N85,'21.10 GALIRAYA-KAYUNGA-24h'!N85)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AVERAGE('19.10 GALIRAYA-KAYUNGA-24h'!C86,'21.10 GALIRAYA-KAYUNGA-24h'!C86)</f>
        <v>0</v>
      </c>
      <c r="D86" s="49">
        <f>AVERAGE('19.10 GALIRAYA-KAYUNGA-24h'!D86,'21.10 GALIRAYA-KAYUNGA-24h'!D86)</f>
        <v>0</v>
      </c>
      <c r="E86" s="49">
        <f>AVERAGE('19.10 GALIRAYA-KAYUNGA-24h'!E86,'21.10 GALIRAYA-KAYUNGA-24h'!E86)</f>
        <v>0</v>
      </c>
      <c r="F86" s="49">
        <f>AVERAGE('19.10 GALIRAYA-KAYUNGA-24h'!F86,'21.10 GALIRAYA-KAYUNGA-24h'!F86)</f>
        <v>0</v>
      </c>
      <c r="G86" s="49">
        <f>AVERAGE('19.10 GALIRAYA-KAYUNGA-24h'!G86,'21.10 GALIRAYA-KAYUNGA-24h'!G86)</f>
        <v>0</v>
      </c>
      <c r="H86" s="49">
        <f>AVERAGE('19.10 GALIRAYA-KAYUNGA-24h'!H86,'21.10 GALIRAYA-KAYUNGA-24h'!H86)</f>
        <v>0</v>
      </c>
      <c r="I86" s="49">
        <f>AVERAGE('19.10 GALIRAYA-KAYUNGA-24h'!I86,'21.10 GALIRAYA-KAYUNGA-24h'!I86)</f>
        <v>1</v>
      </c>
      <c r="J86" s="49">
        <f>AVERAGE('19.10 GALIRAYA-KAYUNGA-24h'!J86,'21.10 GALIRAYA-KAYUNGA-24h'!J86)</f>
        <v>0</v>
      </c>
      <c r="K86" s="49">
        <f>AVERAGE('19.10 GALIRAYA-KAYUNGA-24h'!K86,'21.10 GALIRAYA-KAYUNGA-24h'!K86)</f>
        <v>0</v>
      </c>
      <c r="L86" s="49">
        <f>AVERAGE('19.10 GALIRAYA-KAYUNGA-24h'!L86,'21.10 GALIRAYA-KAYUNGA-24h'!L86)</f>
        <v>0</v>
      </c>
      <c r="M86" s="49">
        <f>AVERAGE('19.10 GALIRAYA-KAYUNGA-24h'!M86,'21.10 GALIRAYA-KAYUNGA-24h'!M86)</f>
        <v>0</v>
      </c>
      <c r="N86" s="49">
        <f>AVERAGE('19.10 GALIRAYA-KAYUNGA-24h'!N86,'21.10 GALIRAYA-KAYUNGA-24h'!N86)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AVERAGE('19.10 GALIRAYA-KAYUNGA-24h'!C87,'21.10 GALIRAYA-KAYUNGA-24h'!C87)</f>
        <v>0</v>
      </c>
      <c r="D87" s="49">
        <f>AVERAGE('19.10 GALIRAYA-KAYUNGA-24h'!D87,'21.10 GALIRAYA-KAYUNGA-24h'!D87)</f>
        <v>0</v>
      </c>
      <c r="E87" s="49">
        <f>AVERAGE('19.10 GALIRAYA-KAYUNGA-24h'!E87,'21.10 GALIRAYA-KAYUNGA-24h'!E87)</f>
        <v>0</v>
      </c>
      <c r="F87" s="49">
        <f>AVERAGE('19.10 GALIRAYA-KAYUNGA-24h'!F87,'21.10 GALIRAYA-KAYUNGA-24h'!F87)</f>
        <v>0</v>
      </c>
      <c r="G87" s="49">
        <f>AVERAGE('19.10 GALIRAYA-KAYUNGA-24h'!G87,'21.10 GALIRAYA-KAYUNGA-24h'!G87)</f>
        <v>0</v>
      </c>
      <c r="H87" s="49">
        <f>AVERAGE('19.10 GALIRAYA-KAYUNGA-24h'!H87,'21.10 GALIRAYA-KAYUNGA-24h'!H87)</f>
        <v>0</v>
      </c>
      <c r="I87" s="49">
        <f>AVERAGE('19.10 GALIRAYA-KAYUNGA-24h'!I87,'21.10 GALIRAYA-KAYUNGA-24h'!I87)</f>
        <v>0.5</v>
      </c>
      <c r="J87" s="49">
        <f>AVERAGE('19.10 GALIRAYA-KAYUNGA-24h'!J87,'21.10 GALIRAYA-KAYUNGA-24h'!J87)</f>
        <v>0</v>
      </c>
      <c r="K87" s="49">
        <f>AVERAGE('19.10 GALIRAYA-KAYUNGA-24h'!K87,'21.10 GALIRAYA-KAYUNGA-24h'!K87)</f>
        <v>0.5</v>
      </c>
      <c r="L87" s="49">
        <f>AVERAGE('19.10 GALIRAYA-KAYUNGA-24h'!L87,'21.10 GALIRAYA-KAYUNGA-24h'!L87)</f>
        <v>0</v>
      </c>
      <c r="M87" s="49">
        <f>AVERAGE('19.10 GALIRAYA-KAYUNGA-24h'!M87,'21.10 GALIRAYA-KAYUNGA-24h'!M87)</f>
        <v>0</v>
      </c>
      <c r="N87" s="49">
        <f>AVERAGE('19.10 GALIRAYA-KAYUNGA-24h'!N87,'21.10 GALIRAYA-KAYUNGA-24h'!N87)</f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AVERAGE('19.10 GALIRAYA-KAYUNGA-24h'!C88,'21.10 GALIRAYA-KAYUNGA-24h'!C88)</f>
        <v>0</v>
      </c>
      <c r="D88" s="49">
        <f>AVERAGE('19.10 GALIRAYA-KAYUNGA-24h'!D88,'21.10 GALIRAYA-KAYUNGA-24h'!D88)</f>
        <v>0</v>
      </c>
      <c r="E88" s="49">
        <f>AVERAGE('19.10 GALIRAYA-KAYUNGA-24h'!E88,'21.10 GALIRAYA-KAYUNGA-24h'!E88)</f>
        <v>0</v>
      </c>
      <c r="F88" s="49">
        <f>AVERAGE('19.10 GALIRAYA-KAYUNGA-24h'!F88,'21.10 GALIRAYA-KAYUNGA-24h'!F88)</f>
        <v>0</v>
      </c>
      <c r="G88" s="49">
        <f>AVERAGE('19.10 GALIRAYA-KAYUNGA-24h'!G88,'21.10 GALIRAYA-KAYUNGA-24h'!G88)</f>
        <v>0</v>
      </c>
      <c r="H88" s="49">
        <f>AVERAGE('19.10 GALIRAYA-KAYUNGA-24h'!H88,'21.10 GALIRAYA-KAYUNGA-24h'!H88)</f>
        <v>0</v>
      </c>
      <c r="I88" s="49">
        <f>AVERAGE('19.10 GALIRAYA-KAYUNGA-24h'!I88,'21.10 GALIRAYA-KAYUNGA-24h'!I88)</f>
        <v>0</v>
      </c>
      <c r="J88" s="49">
        <f>AVERAGE('19.10 GALIRAYA-KAYUNGA-24h'!J88,'21.10 GALIRAYA-KAYUNGA-24h'!J88)</f>
        <v>0</v>
      </c>
      <c r="K88" s="49">
        <f>AVERAGE('19.10 GALIRAYA-KAYUNGA-24h'!K88,'21.10 GALIRAYA-KAYUNGA-24h'!K88)</f>
        <v>0</v>
      </c>
      <c r="L88" s="49">
        <f>AVERAGE('19.10 GALIRAYA-KAYUNGA-24h'!L88,'21.10 GALIRAYA-KAYUNGA-24h'!L88)</f>
        <v>0</v>
      </c>
      <c r="M88" s="49">
        <f>AVERAGE('19.10 GALIRAYA-KAYUNGA-24h'!M88,'21.10 GALIRAYA-KAYUNGA-24h'!M88)</f>
        <v>0</v>
      </c>
      <c r="N88" s="49">
        <f>AVERAGE('19.10 GALIRAYA-KAYUNGA-24h'!N88,'21.10 GALIRAYA-KAYUNGA-24h'!N88)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AVERAGE('19.10 GALIRAYA-KAYUNGA-24h'!C89,'21.10 GALIRAYA-KAYUNGA-24h'!C89)</f>
        <v>0</v>
      </c>
      <c r="D89" s="49">
        <f>AVERAGE('19.10 GALIRAYA-KAYUNGA-24h'!D89,'21.10 GALIRAYA-KAYUNGA-24h'!D89)</f>
        <v>0</v>
      </c>
      <c r="E89" s="49">
        <f>AVERAGE('19.10 GALIRAYA-KAYUNGA-24h'!E89,'21.10 GALIRAYA-KAYUNGA-24h'!E89)</f>
        <v>0</v>
      </c>
      <c r="F89" s="49">
        <f>AVERAGE('19.10 GALIRAYA-KAYUNGA-24h'!F89,'21.10 GALIRAYA-KAYUNGA-24h'!F89)</f>
        <v>0</v>
      </c>
      <c r="G89" s="49">
        <f>AVERAGE('19.10 GALIRAYA-KAYUNGA-24h'!G89,'21.10 GALIRAYA-KAYUNGA-24h'!G89)</f>
        <v>0</v>
      </c>
      <c r="H89" s="49">
        <f>AVERAGE('19.10 GALIRAYA-KAYUNGA-24h'!H89,'21.10 GALIRAYA-KAYUNGA-24h'!H89)</f>
        <v>0</v>
      </c>
      <c r="I89" s="49">
        <f>AVERAGE('19.10 GALIRAYA-KAYUNGA-24h'!I89,'21.10 GALIRAYA-KAYUNGA-24h'!I89)</f>
        <v>1</v>
      </c>
      <c r="J89" s="49">
        <f>AVERAGE('19.10 GALIRAYA-KAYUNGA-24h'!J89,'21.10 GALIRAYA-KAYUNGA-24h'!J89)</f>
        <v>0.5</v>
      </c>
      <c r="K89" s="49">
        <f>AVERAGE('19.10 GALIRAYA-KAYUNGA-24h'!K89,'21.10 GALIRAYA-KAYUNGA-24h'!K89)</f>
        <v>0</v>
      </c>
      <c r="L89" s="49">
        <f>AVERAGE('19.10 GALIRAYA-KAYUNGA-24h'!L89,'21.10 GALIRAYA-KAYUNGA-24h'!L89)</f>
        <v>0</v>
      </c>
      <c r="M89" s="49">
        <f>AVERAGE('19.10 GALIRAYA-KAYUNGA-24h'!M89,'21.10 GALIRAYA-KAYUNGA-24h'!M89)</f>
        <v>0</v>
      </c>
      <c r="N89" s="49">
        <f>AVERAGE('19.10 GALIRAYA-KAYUNGA-24h'!N89,'21.10 GALIRAYA-KAYUNGA-24h'!N89)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AVERAGE('19.10 GALIRAYA-KAYUNGA-24h'!C90,'21.10 GALIRAYA-KAYUNGA-24h'!C90)</f>
        <v>0</v>
      </c>
      <c r="D90" s="49">
        <f>AVERAGE('19.10 GALIRAYA-KAYUNGA-24h'!D90,'21.10 GALIRAYA-KAYUNGA-24h'!D90)</f>
        <v>0</v>
      </c>
      <c r="E90" s="49">
        <f>AVERAGE('19.10 GALIRAYA-KAYUNGA-24h'!E90,'21.10 GALIRAYA-KAYUNGA-24h'!E90)</f>
        <v>0</v>
      </c>
      <c r="F90" s="49">
        <f>AVERAGE('19.10 GALIRAYA-KAYUNGA-24h'!F90,'21.10 GALIRAYA-KAYUNGA-24h'!F90)</f>
        <v>0</v>
      </c>
      <c r="G90" s="49">
        <f>AVERAGE('19.10 GALIRAYA-KAYUNGA-24h'!G90,'21.10 GALIRAYA-KAYUNGA-24h'!G90)</f>
        <v>0</v>
      </c>
      <c r="H90" s="49">
        <f>AVERAGE('19.10 GALIRAYA-KAYUNGA-24h'!H90,'21.10 GALIRAYA-KAYUNGA-24h'!H90)</f>
        <v>0</v>
      </c>
      <c r="I90" s="49">
        <f>AVERAGE('19.10 GALIRAYA-KAYUNGA-24h'!I90,'21.10 GALIRAYA-KAYUNGA-24h'!I90)</f>
        <v>0</v>
      </c>
      <c r="J90" s="49">
        <f>AVERAGE('19.10 GALIRAYA-KAYUNGA-24h'!J90,'21.10 GALIRAYA-KAYUNGA-24h'!J90)</f>
        <v>0</v>
      </c>
      <c r="K90" s="49">
        <f>AVERAGE('19.10 GALIRAYA-KAYUNGA-24h'!K90,'21.10 GALIRAYA-KAYUNGA-24h'!K90)</f>
        <v>0</v>
      </c>
      <c r="L90" s="49">
        <f>AVERAGE('19.10 GALIRAYA-KAYUNGA-24h'!L90,'21.10 GALIRAYA-KAYUNGA-24h'!L90)</f>
        <v>0</v>
      </c>
      <c r="M90" s="49">
        <f>AVERAGE('19.10 GALIRAYA-KAYUNGA-24h'!M90,'21.10 GALIRAYA-KAYUNGA-24h'!M90)</f>
        <v>0</v>
      </c>
      <c r="N90" s="49">
        <f>AVERAGE('19.10 GALIRAYA-KAYUNGA-24h'!N90,'21.10 GALIRAYA-KAYUNGA-24h'!N90)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AVERAGE('19.10 GALIRAYA-KAYUNGA-24h'!C91,'21.10 GALIRAYA-KAYUNGA-24h'!C91)</f>
        <v>0</v>
      </c>
      <c r="D91" s="49">
        <f>AVERAGE('19.10 GALIRAYA-KAYUNGA-24h'!D91,'21.10 GALIRAYA-KAYUNGA-24h'!D91)</f>
        <v>0</v>
      </c>
      <c r="E91" s="49">
        <f>AVERAGE('19.10 GALIRAYA-KAYUNGA-24h'!E91,'21.10 GALIRAYA-KAYUNGA-24h'!E91)</f>
        <v>0</v>
      </c>
      <c r="F91" s="49">
        <f>AVERAGE('19.10 GALIRAYA-KAYUNGA-24h'!F91,'21.10 GALIRAYA-KAYUNGA-24h'!F91)</f>
        <v>0</v>
      </c>
      <c r="G91" s="49">
        <f>AVERAGE('19.10 GALIRAYA-KAYUNGA-24h'!G91,'21.10 GALIRAYA-KAYUNGA-24h'!G91)</f>
        <v>0</v>
      </c>
      <c r="H91" s="49">
        <f>AVERAGE('19.10 GALIRAYA-KAYUNGA-24h'!H91,'21.10 GALIRAYA-KAYUNGA-24h'!H91)</f>
        <v>0</v>
      </c>
      <c r="I91" s="49">
        <f>AVERAGE('19.10 GALIRAYA-KAYUNGA-24h'!I91,'21.10 GALIRAYA-KAYUNGA-24h'!I91)</f>
        <v>1</v>
      </c>
      <c r="J91" s="49">
        <f>AVERAGE('19.10 GALIRAYA-KAYUNGA-24h'!J91,'21.10 GALIRAYA-KAYUNGA-24h'!J91)</f>
        <v>0</v>
      </c>
      <c r="K91" s="49">
        <f>AVERAGE('19.10 GALIRAYA-KAYUNGA-24h'!K91,'21.10 GALIRAYA-KAYUNGA-24h'!K91)</f>
        <v>0</v>
      </c>
      <c r="L91" s="49">
        <f>AVERAGE('19.10 GALIRAYA-KAYUNGA-24h'!L91,'21.10 GALIRAYA-KAYUNGA-24h'!L91)</f>
        <v>0</v>
      </c>
      <c r="M91" s="49">
        <f>AVERAGE('19.10 GALIRAYA-KAYUNGA-24h'!M91,'21.10 GALIRAYA-KAYUNGA-24h'!M91)</f>
        <v>0</v>
      </c>
      <c r="N91" s="49">
        <f>AVERAGE('19.10 GALIRAYA-KAYUNGA-24h'!N91,'21.10 GALIRAYA-KAYUNGA-24h'!N91)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AVERAGE('19.10 GALIRAYA-KAYUNGA-24h'!C92,'21.10 GALIRAYA-KAYUNGA-24h'!C92)</f>
        <v>0</v>
      </c>
      <c r="D92" s="49">
        <f>AVERAGE('19.10 GALIRAYA-KAYUNGA-24h'!D92,'21.10 GALIRAYA-KAYUNGA-24h'!D92)</f>
        <v>0</v>
      </c>
      <c r="E92" s="49">
        <f>AVERAGE('19.10 GALIRAYA-KAYUNGA-24h'!E92,'21.10 GALIRAYA-KAYUNGA-24h'!E92)</f>
        <v>0</v>
      </c>
      <c r="F92" s="49">
        <f>AVERAGE('19.10 GALIRAYA-KAYUNGA-24h'!F92,'21.10 GALIRAYA-KAYUNGA-24h'!F92)</f>
        <v>0</v>
      </c>
      <c r="G92" s="49">
        <f>AVERAGE('19.10 GALIRAYA-KAYUNGA-24h'!G92,'21.10 GALIRAYA-KAYUNGA-24h'!G92)</f>
        <v>0</v>
      </c>
      <c r="H92" s="49">
        <f>AVERAGE('19.10 GALIRAYA-KAYUNGA-24h'!H92,'21.10 GALIRAYA-KAYUNGA-24h'!H92)</f>
        <v>0</v>
      </c>
      <c r="I92" s="49">
        <f>AVERAGE('19.10 GALIRAYA-KAYUNGA-24h'!I92,'21.10 GALIRAYA-KAYUNGA-24h'!I92)</f>
        <v>0</v>
      </c>
      <c r="J92" s="49">
        <f>AVERAGE('19.10 GALIRAYA-KAYUNGA-24h'!J92,'21.10 GALIRAYA-KAYUNGA-24h'!J92)</f>
        <v>1.5</v>
      </c>
      <c r="K92" s="49">
        <f>AVERAGE('19.10 GALIRAYA-KAYUNGA-24h'!K92,'21.10 GALIRAYA-KAYUNGA-24h'!K92)</f>
        <v>0</v>
      </c>
      <c r="L92" s="49">
        <f>AVERAGE('19.10 GALIRAYA-KAYUNGA-24h'!L92,'21.10 GALIRAYA-KAYUNGA-24h'!L92)</f>
        <v>0</v>
      </c>
      <c r="M92" s="49">
        <f>AVERAGE('19.10 GALIRAYA-KAYUNGA-24h'!M92,'21.10 GALIRAYA-KAYUNGA-24h'!M92)</f>
        <v>0</v>
      </c>
      <c r="N92" s="49">
        <f>AVERAGE('19.10 GALIRAYA-KAYUNGA-24h'!N92,'21.10 GALIRAYA-KAYUNGA-24h'!N92)</f>
        <v>0</v>
      </c>
      <c r="O92" s="15">
        <f t="shared" si="35"/>
        <v>1.5</v>
      </c>
      <c r="P92" s="15">
        <f t="shared" si="36"/>
        <v>1.5</v>
      </c>
      <c r="R92" s="8"/>
      <c r="T92"/>
    </row>
    <row r="93" spans="2:20" ht="23.1" customHeight="1" x14ac:dyDescent="0.25">
      <c r="B93" s="23" t="s">
        <v>133</v>
      </c>
      <c r="C93" s="49">
        <f>AVERAGE('19.10 GALIRAYA-KAYUNGA-24h'!C93,'21.10 GALIRAYA-KAYUNGA-24h'!C93)</f>
        <v>0</v>
      </c>
      <c r="D93" s="49">
        <f>AVERAGE('19.10 GALIRAYA-KAYUNGA-24h'!D93,'21.10 GALIRAYA-KAYUNGA-24h'!D93)</f>
        <v>0</v>
      </c>
      <c r="E93" s="49">
        <f>AVERAGE('19.10 GALIRAYA-KAYUNGA-24h'!E93,'21.10 GALIRAYA-KAYUNGA-24h'!E93)</f>
        <v>0</v>
      </c>
      <c r="F93" s="49">
        <f>AVERAGE('19.10 GALIRAYA-KAYUNGA-24h'!F93,'21.10 GALIRAYA-KAYUNGA-24h'!F93)</f>
        <v>0</v>
      </c>
      <c r="G93" s="49">
        <f>AVERAGE('19.10 GALIRAYA-KAYUNGA-24h'!G93,'21.10 GALIRAYA-KAYUNGA-24h'!G93)</f>
        <v>0</v>
      </c>
      <c r="H93" s="49">
        <f>AVERAGE('19.10 GALIRAYA-KAYUNGA-24h'!H93,'21.10 GALIRAYA-KAYUNGA-24h'!H93)</f>
        <v>0</v>
      </c>
      <c r="I93" s="49">
        <f>AVERAGE('19.10 GALIRAYA-KAYUNGA-24h'!I93,'21.10 GALIRAYA-KAYUNGA-24h'!I93)</f>
        <v>0</v>
      </c>
      <c r="J93" s="49">
        <f>AVERAGE('19.10 GALIRAYA-KAYUNGA-24h'!J93,'21.10 GALIRAYA-KAYUNGA-24h'!J93)</f>
        <v>0</v>
      </c>
      <c r="K93" s="49">
        <f>AVERAGE('19.10 GALIRAYA-KAYUNGA-24h'!K93,'21.10 GALIRAYA-KAYUNGA-24h'!K93)</f>
        <v>0.5</v>
      </c>
      <c r="L93" s="49">
        <f>AVERAGE('19.10 GALIRAYA-KAYUNGA-24h'!L93,'21.10 GALIRAYA-KAYUNGA-24h'!L93)</f>
        <v>0</v>
      </c>
      <c r="M93" s="49">
        <f>AVERAGE('19.10 GALIRAYA-KAYUNGA-24h'!M93,'21.10 GALIRAYA-KAYUNGA-24h'!M93)</f>
        <v>0.5</v>
      </c>
      <c r="N93" s="49">
        <f>AVERAGE('19.10 GALIRAYA-KAYUNGA-24h'!N93,'21.10 GALIRAYA-KAYUNGA-24h'!N93)</f>
        <v>0</v>
      </c>
      <c r="O93" s="15">
        <f t="shared" si="35"/>
        <v>0.5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AVERAGE('19.10 GALIRAYA-KAYUNGA-24h'!C94,'21.10 GALIRAYA-KAYUNGA-24h'!C94)</f>
        <v>0.5</v>
      </c>
      <c r="D94" s="49">
        <f>AVERAGE('19.10 GALIRAYA-KAYUNGA-24h'!D94,'21.10 GALIRAYA-KAYUNGA-24h'!D94)</f>
        <v>0</v>
      </c>
      <c r="E94" s="49">
        <f>AVERAGE('19.10 GALIRAYA-KAYUNGA-24h'!E94,'21.10 GALIRAYA-KAYUNGA-24h'!E94)</f>
        <v>0</v>
      </c>
      <c r="F94" s="49">
        <f>AVERAGE('19.10 GALIRAYA-KAYUNGA-24h'!F94,'21.10 GALIRAYA-KAYUNGA-24h'!F94)</f>
        <v>0</v>
      </c>
      <c r="G94" s="49">
        <f>AVERAGE('19.10 GALIRAYA-KAYUNGA-24h'!G94,'21.10 GALIRAYA-KAYUNGA-24h'!G94)</f>
        <v>0</v>
      </c>
      <c r="H94" s="49">
        <f>AVERAGE('19.10 GALIRAYA-KAYUNGA-24h'!H94,'21.10 GALIRAYA-KAYUNGA-24h'!H94)</f>
        <v>0</v>
      </c>
      <c r="I94" s="49">
        <f>AVERAGE('19.10 GALIRAYA-KAYUNGA-24h'!I94,'21.10 GALIRAYA-KAYUNGA-24h'!I94)</f>
        <v>0.5</v>
      </c>
      <c r="J94" s="49">
        <f>AVERAGE('19.10 GALIRAYA-KAYUNGA-24h'!J94,'21.10 GALIRAYA-KAYUNGA-24h'!J94)</f>
        <v>0</v>
      </c>
      <c r="K94" s="49">
        <f>AVERAGE('19.10 GALIRAYA-KAYUNGA-24h'!K94,'21.10 GALIRAYA-KAYUNGA-24h'!K94)</f>
        <v>0</v>
      </c>
      <c r="L94" s="49">
        <f>AVERAGE('19.10 GALIRAYA-KAYUNGA-24h'!L94,'21.10 GALIRAYA-KAYUNGA-24h'!L94)</f>
        <v>0</v>
      </c>
      <c r="M94" s="49">
        <f>AVERAGE('19.10 GALIRAYA-KAYUNGA-24h'!M94,'21.10 GALIRAYA-KAYUNGA-24h'!M94)</f>
        <v>0</v>
      </c>
      <c r="N94" s="49">
        <f>AVERAGE('19.10 GALIRAYA-KAYUNGA-24h'!N94,'21.10 GALIRAYA-KAYUNGA-24h'!N94)</f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23" t="s">
        <v>135</v>
      </c>
      <c r="C95" s="49">
        <f>AVERAGE('19.10 GALIRAYA-KAYUNGA-24h'!C95,'21.10 GALIRAYA-KAYUNGA-24h'!C95)</f>
        <v>0</v>
      </c>
      <c r="D95" s="49">
        <f>AVERAGE('19.10 GALIRAYA-KAYUNGA-24h'!D95,'21.10 GALIRAYA-KAYUNGA-24h'!D95)</f>
        <v>0</v>
      </c>
      <c r="E95" s="49">
        <f>AVERAGE('19.10 GALIRAYA-KAYUNGA-24h'!E95,'21.10 GALIRAYA-KAYUNGA-24h'!E95)</f>
        <v>0</v>
      </c>
      <c r="F95" s="49">
        <f>AVERAGE('19.10 GALIRAYA-KAYUNGA-24h'!F95,'21.10 GALIRAYA-KAYUNGA-24h'!F95)</f>
        <v>0</v>
      </c>
      <c r="G95" s="49">
        <f>AVERAGE('19.10 GALIRAYA-KAYUNGA-24h'!G95,'21.10 GALIRAYA-KAYUNGA-24h'!G95)</f>
        <v>0</v>
      </c>
      <c r="H95" s="49">
        <f>AVERAGE('19.10 GALIRAYA-KAYUNGA-24h'!H95,'21.10 GALIRAYA-KAYUNGA-24h'!H95)</f>
        <v>0</v>
      </c>
      <c r="I95" s="49">
        <f>AVERAGE('19.10 GALIRAYA-KAYUNGA-24h'!I95,'21.10 GALIRAYA-KAYUNGA-24h'!I95)</f>
        <v>1</v>
      </c>
      <c r="J95" s="49">
        <f>AVERAGE('19.10 GALIRAYA-KAYUNGA-24h'!J95,'21.10 GALIRAYA-KAYUNGA-24h'!J95)</f>
        <v>0</v>
      </c>
      <c r="K95" s="49">
        <f>AVERAGE('19.10 GALIRAYA-KAYUNGA-24h'!K95,'21.10 GALIRAYA-KAYUNGA-24h'!K95)</f>
        <v>0</v>
      </c>
      <c r="L95" s="49">
        <f>AVERAGE('19.10 GALIRAYA-KAYUNGA-24h'!L95,'21.10 GALIRAYA-KAYUNGA-24h'!L95)</f>
        <v>0.5</v>
      </c>
      <c r="M95" s="49">
        <f>AVERAGE('19.10 GALIRAYA-KAYUNGA-24h'!M95,'21.10 GALIRAYA-KAYUNGA-24h'!M95)</f>
        <v>0</v>
      </c>
      <c r="N95" s="49">
        <f>AVERAGE('19.10 GALIRAYA-KAYUNGA-24h'!N95,'21.10 GALIRAYA-KAYUNGA-24h'!N95)</f>
        <v>0</v>
      </c>
      <c r="O95" s="15">
        <f t="shared" si="35"/>
        <v>1.5</v>
      </c>
      <c r="P95" s="15">
        <f t="shared" si="36"/>
        <v>1.5</v>
      </c>
      <c r="R95" s="8"/>
      <c r="T95"/>
    </row>
    <row r="96" spans="2:20" ht="23.1" customHeight="1" x14ac:dyDescent="0.25">
      <c r="B96" s="25" t="s">
        <v>136</v>
      </c>
      <c r="C96" s="49">
        <f>AVERAGE('19.10 GALIRAYA-KAYUNGA-24h'!C96,'21.10 GALIRAYA-KAYUNGA-24h'!C96)</f>
        <v>0</v>
      </c>
      <c r="D96" s="49">
        <f>AVERAGE('19.10 GALIRAYA-KAYUNGA-24h'!D96,'21.10 GALIRAYA-KAYUNGA-24h'!D96)</f>
        <v>0</v>
      </c>
      <c r="E96" s="49">
        <f>AVERAGE('19.10 GALIRAYA-KAYUNGA-24h'!E96,'21.10 GALIRAYA-KAYUNGA-24h'!E96)</f>
        <v>0</v>
      </c>
      <c r="F96" s="49">
        <f>AVERAGE('19.10 GALIRAYA-KAYUNGA-24h'!F96,'21.10 GALIRAYA-KAYUNGA-24h'!F96)</f>
        <v>0.5</v>
      </c>
      <c r="G96" s="49">
        <f>AVERAGE('19.10 GALIRAYA-KAYUNGA-24h'!G96,'21.10 GALIRAYA-KAYUNGA-24h'!G96)</f>
        <v>0</v>
      </c>
      <c r="H96" s="49">
        <f>AVERAGE('19.10 GALIRAYA-KAYUNGA-24h'!H96,'21.10 GALIRAYA-KAYUNGA-24h'!H96)</f>
        <v>0</v>
      </c>
      <c r="I96" s="49">
        <f>AVERAGE('19.10 GALIRAYA-KAYUNGA-24h'!I96,'21.10 GALIRAYA-KAYUNGA-24h'!I96)</f>
        <v>0</v>
      </c>
      <c r="J96" s="49">
        <f>AVERAGE('19.10 GALIRAYA-KAYUNGA-24h'!J96,'21.10 GALIRAYA-KAYUNGA-24h'!J96)</f>
        <v>1</v>
      </c>
      <c r="K96" s="49">
        <f>AVERAGE('19.10 GALIRAYA-KAYUNGA-24h'!K96,'21.10 GALIRAYA-KAYUNGA-24h'!K96)</f>
        <v>0</v>
      </c>
      <c r="L96" s="49">
        <f>AVERAGE('19.10 GALIRAYA-KAYUNGA-24h'!L96,'21.10 GALIRAYA-KAYUNGA-24h'!L96)</f>
        <v>0</v>
      </c>
      <c r="M96" s="49">
        <f>AVERAGE('19.10 GALIRAYA-KAYUNGA-24h'!M96,'21.10 GALIRAYA-KAYUNGA-24h'!M96)</f>
        <v>0</v>
      </c>
      <c r="N96" s="49">
        <f>AVERAGE('19.10 GALIRAYA-KAYUNGA-24h'!N96,'21.10 GALIRAYA-KAYUNGA-24h'!N96)</f>
        <v>0</v>
      </c>
      <c r="O96" s="15">
        <f t="shared" si="35"/>
        <v>1.5</v>
      </c>
      <c r="P96" s="15">
        <f t="shared" si="36"/>
        <v>1.5</v>
      </c>
      <c r="R96" s="8"/>
      <c r="T96"/>
    </row>
    <row r="97" spans="2:20" ht="23.1" customHeight="1" x14ac:dyDescent="0.25">
      <c r="B97" s="23" t="s">
        <v>137</v>
      </c>
      <c r="C97" s="49">
        <f>AVERAGE('19.10 GALIRAYA-KAYUNGA-24h'!C97,'21.10 GALIRAYA-KAYUNGA-24h'!C97)</f>
        <v>0</v>
      </c>
      <c r="D97" s="49">
        <f>AVERAGE('19.10 GALIRAYA-KAYUNGA-24h'!D97,'21.10 GALIRAYA-KAYUNGA-24h'!D97)</f>
        <v>0</v>
      </c>
      <c r="E97" s="49">
        <f>AVERAGE('19.10 GALIRAYA-KAYUNGA-24h'!E97,'21.10 GALIRAYA-KAYUNGA-24h'!E97)</f>
        <v>0</v>
      </c>
      <c r="F97" s="49">
        <f>AVERAGE('19.10 GALIRAYA-KAYUNGA-24h'!F97,'21.10 GALIRAYA-KAYUNGA-24h'!F97)</f>
        <v>0</v>
      </c>
      <c r="G97" s="49">
        <f>AVERAGE('19.10 GALIRAYA-KAYUNGA-24h'!G97,'21.10 GALIRAYA-KAYUNGA-24h'!G97)</f>
        <v>0</v>
      </c>
      <c r="H97" s="49">
        <f>AVERAGE('19.10 GALIRAYA-KAYUNGA-24h'!H97,'21.10 GALIRAYA-KAYUNGA-24h'!H97)</f>
        <v>0</v>
      </c>
      <c r="I97" s="49">
        <f>AVERAGE('19.10 GALIRAYA-KAYUNGA-24h'!I97,'21.10 GALIRAYA-KAYUNGA-24h'!I97)</f>
        <v>0</v>
      </c>
      <c r="J97" s="49">
        <f>AVERAGE('19.10 GALIRAYA-KAYUNGA-24h'!J97,'21.10 GALIRAYA-KAYUNGA-24h'!J97)</f>
        <v>0</v>
      </c>
      <c r="K97" s="49">
        <f>AVERAGE('19.10 GALIRAYA-KAYUNGA-24h'!K97,'21.10 GALIRAYA-KAYUNGA-24h'!K97)</f>
        <v>0</v>
      </c>
      <c r="L97" s="49">
        <f>AVERAGE('19.10 GALIRAYA-KAYUNGA-24h'!L97,'21.10 GALIRAYA-KAYUNGA-24h'!L97)</f>
        <v>0</v>
      </c>
      <c r="M97" s="49">
        <f>AVERAGE('19.10 GALIRAYA-KAYUNGA-24h'!M97,'21.10 GALIRAYA-KAYUNGA-24h'!M97)</f>
        <v>0</v>
      </c>
      <c r="N97" s="49">
        <f>AVERAGE('19.10 GALIRAYA-KAYUNGA-24h'!N97,'21.10 GALIRAYA-KAYUNGA-24h'!N97)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AVERAGE('19.10 GALIRAYA-KAYUNGA-24h'!C98,'21.10 GALIRAYA-KAYUNGA-24h'!C98)</f>
        <v>0</v>
      </c>
      <c r="D98" s="49">
        <f>AVERAGE('19.10 GALIRAYA-KAYUNGA-24h'!D98,'21.10 GALIRAYA-KAYUNGA-24h'!D98)</f>
        <v>0</v>
      </c>
      <c r="E98" s="49">
        <f>AVERAGE('19.10 GALIRAYA-KAYUNGA-24h'!E98,'21.10 GALIRAYA-KAYUNGA-24h'!E98)</f>
        <v>0</v>
      </c>
      <c r="F98" s="49">
        <f>AVERAGE('19.10 GALIRAYA-KAYUNGA-24h'!F98,'21.10 GALIRAYA-KAYUNGA-24h'!F98)</f>
        <v>0.5</v>
      </c>
      <c r="G98" s="49">
        <f>AVERAGE('19.10 GALIRAYA-KAYUNGA-24h'!G98,'21.10 GALIRAYA-KAYUNGA-24h'!G98)</f>
        <v>0</v>
      </c>
      <c r="H98" s="49">
        <f>AVERAGE('19.10 GALIRAYA-KAYUNGA-24h'!H98,'21.10 GALIRAYA-KAYUNGA-24h'!H98)</f>
        <v>0</v>
      </c>
      <c r="I98" s="49">
        <f>AVERAGE('19.10 GALIRAYA-KAYUNGA-24h'!I98,'21.10 GALIRAYA-KAYUNGA-24h'!I98)</f>
        <v>0</v>
      </c>
      <c r="J98" s="49">
        <f>AVERAGE('19.10 GALIRAYA-KAYUNGA-24h'!J98,'21.10 GALIRAYA-KAYUNGA-24h'!J98)</f>
        <v>0.5</v>
      </c>
      <c r="K98" s="49">
        <f>AVERAGE('19.10 GALIRAYA-KAYUNGA-24h'!K98,'21.10 GALIRAYA-KAYUNGA-24h'!K98)</f>
        <v>0.5</v>
      </c>
      <c r="L98" s="49">
        <f>AVERAGE('19.10 GALIRAYA-KAYUNGA-24h'!L98,'21.10 GALIRAYA-KAYUNGA-24h'!L98)</f>
        <v>0</v>
      </c>
      <c r="M98" s="49">
        <f>AVERAGE('19.10 GALIRAYA-KAYUNGA-24h'!M98,'21.10 GALIRAYA-KAYUNGA-24h'!M98)</f>
        <v>0</v>
      </c>
      <c r="N98" s="49">
        <f>AVERAGE('19.10 GALIRAYA-KAYUNGA-24h'!N98,'21.10 GALIRAYA-KAYUNGA-24h'!N98)</f>
        <v>0</v>
      </c>
      <c r="O98" s="15">
        <f t="shared" si="35"/>
        <v>1.5</v>
      </c>
      <c r="P98" s="15">
        <f t="shared" si="36"/>
        <v>1.5</v>
      </c>
      <c r="R98" s="8"/>
      <c r="T98"/>
    </row>
    <row r="99" spans="2:20" ht="23.1" customHeight="1" x14ac:dyDescent="0.25">
      <c r="B99" s="23" t="s">
        <v>139</v>
      </c>
      <c r="C99" s="49">
        <f>AVERAGE('19.10 GALIRAYA-KAYUNGA-24h'!C99,'21.10 GALIRAYA-KAYUNGA-24h'!C99)</f>
        <v>0</v>
      </c>
      <c r="D99" s="49">
        <f>AVERAGE('19.10 GALIRAYA-KAYUNGA-24h'!D99,'21.10 GALIRAYA-KAYUNGA-24h'!D99)</f>
        <v>0</v>
      </c>
      <c r="E99" s="49">
        <f>AVERAGE('19.10 GALIRAYA-KAYUNGA-24h'!E99,'21.10 GALIRAYA-KAYUNGA-24h'!E99)</f>
        <v>0</v>
      </c>
      <c r="F99" s="49">
        <f>AVERAGE('19.10 GALIRAYA-KAYUNGA-24h'!F99,'21.10 GALIRAYA-KAYUNGA-24h'!F99)</f>
        <v>1</v>
      </c>
      <c r="G99" s="49">
        <f>AVERAGE('19.10 GALIRAYA-KAYUNGA-24h'!G99,'21.10 GALIRAYA-KAYUNGA-24h'!G99)</f>
        <v>0</v>
      </c>
      <c r="H99" s="49">
        <f>AVERAGE('19.10 GALIRAYA-KAYUNGA-24h'!H99,'21.10 GALIRAYA-KAYUNGA-24h'!H99)</f>
        <v>0</v>
      </c>
      <c r="I99" s="49">
        <f>AVERAGE('19.10 GALIRAYA-KAYUNGA-24h'!I99,'21.10 GALIRAYA-KAYUNGA-24h'!I99)</f>
        <v>0</v>
      </c>
      <c r="J99" s="49">
        <f>AVERAGE('19.10 GALIRAYA-KAYUNGA-24h'!J99,'21.10 GALIRAYA-KAYUNGA-24h'!J99)</f>
        <v>0</v>
      </c>
      <c r="K99" s="49">
        <f>AVERAGE('19.10 GALIRAYA-KAYUNGA-24h'!K99,'21.10 GALIRAYA-KAYUNGA-24h'!K99)</f>
        <v>0</v>
      </c>
      <c r="L99" s="49">
        <f>AVERAGE('19.10 GALIRAYA-KAYUNGA-24h'!L99,'21.10 GALIRAYA-KAYUNGA-24h'!L99)</f>
        <v>0</v>
      </c>
      <c r="M99" s="49">
        <f>AVERAGE('19.10 GALIRAYA-KAYUNGA-24h'!M99,'21.10 GALIRAYA-KAYUNGA-24h'!M99)</f>
        <v>1</v>
      </c>
      <c r="N99" s="49">
        <f>AVERAGE('19.10 GALIRAYA-KAYUNGA-24h'!N99,'21.10 GALIRAYA-KAYUNGA-24h'!N99)</f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AVERAGE('19.10 GALIRAYA-KAYUNGA-24h'!C100,'21.10 GALIRAYA-KAYUNGA-24h'!C100)</f>
        <v>0</v>
      </c>
      <c r="D100" s="49">
        <f>AVERAGE('19.10 GALIRAYA-KAYUNGA-24h'!D100,'21.10 GALIRAYA-KAYUNGA-24h'!D100)</f>
        <v>0</v>
      </c>
      <c r="E100" s="49">
        <f>AVERAGE('19.10 GALIRAYA-KAYUNGA-24h'!E100,'21.10 GALIRAYA-KAYUNGA-24h'!E100)</f>
        <v>0</v>
      </c>
      <c r="F100" s="49">
        <f>AVERAGE('19.10 GALIRAYA-KAYUNGA-24h'!F100,'21.10 GALIRAYA-KAYUNGA-24h'!F100)</f>
        <v>0.5</v>
      </c>
      <c r="G100" s="49">
        <f>AVERAGE('19.10 GALIRAYA-KAYUNGA-24h'!G100,'21.10 GALIRAYA-KAYUNGA-24h'!G100)</f>
        <v>0</v>
      </c>
      <c r="H100" s="49">
        <f>AVERAGE('19.10 GALIRAYA-KAYUNGA-24h'!H100,'21.10 GALIRAYA-KAYUNGA-24h'!H100)</f>
        <v>0</v>
      </c>
      <c r="I100" s="49">
        <f>AVERAGE('19.10 GALIRAYA-KAYUNGA-24h'!I100,'21.10 GALIRAYA-KAYUNGA-24h'!I100)</f>
        <v>0</v>
      </c>
      <c r="J100" s="49">
        <f>AVERAGE('19.10 GALIRAYA-KAYUNGA-24h'!J100,'21.10 GALIRAYA-KAYUNGA-24h'!J100)</f>
        <v>0</v>
      </c>
      <c r="K100" s="49">
        <f>AVERAGE('19.10 GALIRAYA-KAYUNGA-24h'!K100,'21.10 GALIRAYA-KAYUNGA-24h'!K100)</f>
        <v>0</v>
      </c>
      <c r="L100" s="49">
        <f>AVERAGE('19.10 GALIRAYA-KAYUNGA-24h'!L100,'21.10 GALIRAYA-KAYUNGA-24h'!L100)</f>
        <v>0</v>
      </c>
      <c r="M100" s="49">
        <f>AVERAGE('19.10 GALIRAYA-KAYUNGA-24h'!M100,'21.10 GALIRAYA-KAYUNGA-24h'!M100)</f>
        <v>0.5</v>
      </c>
      <c r="N100" s="49">
        <f>AVERAGE('19.10 GALIRAYA-KAYUNGA-24h'!N100,'21.10 GALIRAYA-KAYUNGA-24h'!N100)</f>
        <v>0</v>
      </c>
      <c r="O100" s="15">
        <f t="shared" si="35"/>
        <v>0.5</v>
      </c>
      <c r="P100" s="15">
        <f t="shared" si="36"/>
        <v>1</v>
      </c>
      <c r="R100" s="8"/>
      <c r="T100"/>
    </row>
    <row r="101" spans="2:20" ht="23.1" customHeight="1" x14ac:dyDescent="0.25">
      <c r="B101" s="23" t="s">
        <v>141</v>
      </c>
      <c r="C101" s="49">
        <f>AVERAGE('19.10 GALIRAYA-KAYUNGA-24h'!C101,'21.10 GALIRAYA-KAYUNGA-24h'!C101)</f>
        <v>0</v>
      </c>
      <c r="D101" s="49">
        <f>AVERAGE('19.10 GALIRAYA-KAYUNGA-24h'!D101,'21.10 GALIRAYA-KAYUNGA-24h'!D101)</f>
        <v>0</v>
      </c>
      <c r="E101" s="49">
        <f>AVERAGE('19.10 GALIRAYA-KAYUNGA-24h'!E101,'21.10 GALIRAYA-KAYUNGA-24h'!E101)</f>
        <v>0</v>
      </c>
      <c r="F101" s="49">
        <f>AVERAGE('19.10 GALIRAYA-KAYUNGA-24h'!F101,'21.10 GALIRAYA-KAYUNGA-24h'!F101)</f>
        <v>0</v>
      </c>
      <c r="G101" s="49">
        <f>AVERAGE('19.10 GALIRAYA-KAYUNGA-24h'!G101,'21.10 GALIRAYA-KAYUNGA-24h'!G101)</f>
        <v>0</v>
      </c>
      <c r="H101" s="49">
        <f>AVERAGE('19.10 GALIRAYA-KAYUNGA-24h'!H101,'21.10 GALIRAYA-KAYUNGA-24h'!H101)</f>
        <v>0</v>
      </c>
      <c r="I101" s="49">
        <f>AVERAGE('19.10 GALIRAYA-KAYUNGA-24h'!I101,'21.10 GALIRAYA-KAYUNGA-24h'!I101)</f>
        <v>0</v>
      </c>
      <c r="J101" s="49">
        <f>AVERAGE('19.10 GALIRAYA-KAYUNGA-24h'!J101,'21.10 GALIRAYA-KAYUNGA-24h'!J101)</f>
        <v>1.5</v>
      </c>
      <c r="K101" s="49">
        <f>AVERAGE('19.10 GALIRAYA-KAYUNGA-24h'!K101,'21.10 GALIRAYA-KAYUNGA-24h'!K101)</f>
        <v>0.5</v>
      </c>
      <c r="L101" s="49">
        <f>AVERAGE('19.10 GALIRAYA-KAYUNGA-24h'!L101,'21.10 GALIRAYA-KAYUNGA-24h'!L101)</f>
        <v>0</v>
      </c>
      <c r="M101" s="49">
        <f>AVERAGE('19.10 GALIRAYA-KAYUNGA-24h'!M101,'21.10 GALIRAYA-KAYUNGA-24h'!M101)</f>
        <v>1.5</v>
      </c>
      <c r="N101" s="49">
        <f>AVERAGE('19.10 GALIRAYA-KAYUNGA-24h'!N101,'21.10 GALIRAYA-KAYUNGA-24h'!N101)</f>
        <v>0</v>
      </c>
      <c r="O101" s="15">
        <f t="shared" si="35"/>
        <v>2</v>
      </c>
      <c r="P101" s="15">
        <f t="shared" si="36"/>
        <v>3.5</v>
      </c>
      <c r="R101" s="8"/>
      <c r="T101"/>
    </row>
    <row r="102" spans="2:20" ht="23.1" customHeight="1" x14ac:dyDescent="0.25">
      <c r="B102" s="24" t="s">
        <v>142</v>
      </c>
      <c r="C102" s="49">
        <f>AVERAGE('19.10 GALIRAYA-KAYUNGA-24h'!C102,'21.10 GALIRAYA-KAYUNGA-24h'!C102)</f>
        <v>0</v>
      </c>
      <c r="D102" s="49">
        <f>AVERAGE('19.10 GALIRAYA-KAYUNGA-24h'!D102,'21.10 GALIRAYA-KAYUNGA-24h'!D102)</f>
        <v>0</v>
      </c>
      <c r="E102" s="49">
        <f>AVERAGE('19.10 GALIRAYA-KAYUNGA-24h'!E102,'21.10 GALIRAYA-KAYUNGA-24h'!E102)</f>
        <v>0</v>
      </c>
      <c r="F102" s="49">
        <f>AVERAGE('19.10 GALIRAYA-KAYUNGA-24h'!F102,'21.10 GALIRAYA-KAYUNGA-24h'!F102)</f>
        <v>1</v>
      </c>
      <c r="G102" s="49">
        <f>AVERAGE('19.10 GALIRAYA-KAYUNGA-24h'!G102,'21.10 GALIRAYA-KAYUNGA-24h'!G102)</f>
        <v>0</v>
      </c>
      <c r="H102" s="49">
        <f>AVERAGE('19.10 GALIRAYA-KAYUNGA-24h'!H102,'21.10 GALIRAYA-KAYUNGA-24h'!H102)</f>
        <v>0</v>
      </c>
      <c r="I102" s="49">
        <f>AVERAGE('19.10 GALIRAYA-KAYUNGA-24h'!I102,'21.10 GALIRAYA-KAYUNGA-24h'!I102)</f>
        <v>0</v>
      </c>
      <c r="J102" s="49">
        <f>AVERAGE('19.10 GALIRAYA-KAYUNGA-24h'!J102,'21.10 GALIRAYA-KAYUNGA-24h'!J102)</f>
        <v>0</v>
      </c>
      <c r="K102" s="49">
        <f>AVERAGE('19.10 GALIRAYA-KAYUNGA-24h'!K102,'21.10 GALIRAYA-KAYUNGA-24h'!K102)</f>
        <v>1.5</v>
      </c>
      <c r="L102" s="49">
        <f>AVERAGE('19.10 GALIRAYA-KAYUNGA-24h'!L102,'21.10 GALIRAYA-KAYUNGA-24h'!L102)</f>
        <v>0</v>
      </c>
      <c r="M102" s="49">
        <f>AVERAGE('19.10 GALIRAYA-KAYUNGA-24h'!M102,'21.10 GALIRAYA-KAYUNGA-24h'!M102)</f>
        <v>0.5</v>
      </c>
      <c r="N102" s="49">
        <f>AVERAGE('19.10 GALIRAYA-KAYUNGA-24h'!N102,'21.10 GALIRAYA-KAYUNGA-24h'!N102)</f>
        <v>0</v>
      </c>
      <c r="O102" s="15">
        <f t="shared" si="35"/>
        <v>2.5</v>
      </c>
      <c r="P102" s="15">
        <f t="shared" si="36"/>
        <v>3</v>
      </c>
      <c r="R102" s="8"/>
      <c r="T102"/>
    </row>
    <row r="103" spans="2:20" ht="23.1" customHeight="1" x14ac:dyDescent="0.25">
      <c r="B103" s="23" t="s">
        <v>143</v>
      </c>
      <c r="C103" s="49">
        <f>AVERAGE('19.10 GALIRAYA-KAYUNGA-24h'!C103,'21.10 GALIRAYA-KAYUNGA-24h'!C103)</f>
        <v>0</v>
      </c>
      <c r="D103" s="49">
        <f>AVERAGE('19.10 GALIRAYA-KAYUNGA-24h'!D103,'21.10 GALIRAYA-KAYUNGA-24h'!D103)</f>
        <v>0</v>
      </c>
      <c r="E103" s="49">
        <f>AVERAGE('19.10 GALIRAYA-KAYUNGA-24h'!E103,'21.10 GALIRAYA-KAYUNGA-24h'!E103)</f>
        <v>0</v>
      </c>
      <c r="F103" s="49">
        <f>AVERAGE('19.10 GALIRAYA-KAYUNGA-24h'!F103,'21.10 GALIRAYA-KAYUNGA-24h'!F103)</f>
        <v>0</v>
      </c>
      <c r="G103" s="49">
        <f>AVERAGE('19.10 GALIRAYA-KAYUNGA-24h'!G103,'21.10 GALIRAYA-KAYUNGA-24h'!G103)</f>
        <v>0</v>
      </c>
      <c r="H103" s="49">
        <f>AVERAGE('19.10 GALIRAYA-KAYUNGA-24h'!H103,'21.10 GALIRAYA-KAYUNGA-24h'!H103)</f>
        <v>0</v>
      </c>
      <c r="I103" s="49">
        <f>AVERAGE('19.10 GALIRAYA-KAYUNGA-24h'!I103,'21.10 GALIRAYA-KAYUNGA-24h'!I103)</f>
        <v>0.5</v>
      </c>
      <c r="J103" s="49">
        <f>AVERAGE('19.10 GALIRAYA-KAYUNGA-24h'!J103,'21.10 GALIRAYA-KAYUNGA-24h'!J103)</f>
        <v>0</v>
      </c>
      <c r="K103" s="49">
        <f>AVERAGE('19.10 GALIRAYA-KAYUNGA-24h'!K103,'21.10 GALIRAYA-KAYUNGA-24h'!K103)</f>
        <v>0</v>
      </c>
      <c r="L103" s="49">
        <f>AVERAGE('19.10 GALIRAYA-KAYUNGA-24h'!L103,'21.10 GALIRAYA-KAYUNGA-24h'!L103)</f>
        <v>0</v>
      </c>
      <c r="M103" s="49">
        <f>AVERAGE('19.10 GALIRAYA-KAYUNGA-24h'!M103,'21.10 GALIRAYA-KAYUNGA-24h'!M103)</f>
        <v>1</v>
      </c>
      <c r="N103" s="49">
        <f>AVERAGE('19.10 GALIRAYA-KAYUNGA-24h'!N103,'21.10 GALIRAYA-KAYUNGA-24h'!N103)</f>
        <v>0</v>
      </c>
      <c r="O103" s="15">
        <f t="shared" si="35"/>
        <v>0.5</v>
      </c>
      <c r="P103" s="15">
        <f t="shared" si="36"/>
        <v>1.5</v>
      </c>
      <c r="R103" s="8"/>
      <c r="T103"/>
    </row>
    <row r="104" spans="2:20" ht="23.1" customHeight="1" x14ac:dyDescent="0.25">
      <c r="B104" s="25" t="s">
        <v>144</v>
      </c>
      <c r="C104" s="49">
        <f>AVERAGE('19.10 GALIRAYA-KAYUNGA-24h'!C104,'21.10 GALIRAYA-KAYUNGA-24h'!C104)</f>
        <v>0</v>
      </c>
      <c r="D104" s="49">
        <f>AVERAGE('19.10 GALIRAYA-KAYUNGA-24h'!D104,'21.10 GALIRAYA-KAYUNGA-24h'!D104)</f>
        <v>0</v>
      </c>
      <c r="E104" s="49">
        <f>AVERAGE('19.10 GALIRAYA-KAYUNGA-24h'!E104,'21.10 GALIRAYA-KAYUNGA-24h'!E104)</f>
        <v>0</v>
      </c>
      <c r="F104" s="49">
        <f>AVERAGE('19.10 GALIRAYA-KAYUNGA-24h'!F104,'21.10 GALIRAYA-KAYUNGA-24h'!F104)</f>
        <v>1</v>
      </c>
      <c r="G104" s="49">
        <f>AVERAGE('19.10 GALIRAYA-KAYUNGA-24h'!G104,'21.10 GALIRAYA-KAYUNGA-24h'!G104)</f>
        <v>0</v>
      </c>
      <c r="H104" s="49">
        <f>AVERAGE('19.10 GALIRAYA-KAYUNGA-24h'!H104,'21.10 GALIRAYA-KAYUNGA-24h'!H104)</f>
        <v>0</v>
      </c>
      <c r="I104" s="49">
        <f>AVERAGE('19.10 GALIRAYA-KAYUNGA-24h'!I104,'21.10 GALIRAYA-KAYUNGA-24h'!I104)</f>
        <v>0</v>
      </c>
      <c r="J104" s="49">
        <f>AVERAGE('19.10 GALIRAYA-KAYUNGA-24h'!J104,'21.10 GALIRAYA-KAYUNGA-24h'!J104)</f>
        <v>0</v>
      </c>
      <c r="K104" s="49">
        <f>AVERAGE('19.10 GALIRAYA-KAYUNGA-24h'!K104,'21.10 GALIRAYA-KAYUNGA-24h'!K104)</f>
        <v>0.5</v>
      </c>
      <c r="L104" s="49">
        <f>AVERAGE('19.10 GALIRAYA-KAYUNGA-24h'!L104,'21.10 GALIRAYA-KAYUNGA-24h'!L104)</f>
        <v>0</v>
      </c>
      <c r="M104" s="49">
        <f>AVERAGE('19.10 GALIRAYA-KAYUNGA-24h'!M104,'21.10 GALIRAYA-KAYUNGA-24h'!M104)</f>
        <v>1</v>
      </c>
      <c r="N104" s="49">
        <f>AVERAGE('19.10 GALIRAYA-KAYUNGA-24h'!N104,'21.10 GALIRAYA-KAYUNGA-24h'!N104)</f>
        <v>0</v>
      </c>
      <c r="O104" s="15">
        <f t="shared" si="35"/>
        <v>1.5</v>
      </c>
      <c r="P104" s="15">
        <f t="shared" si="36"/>
        <v>2.5</v>
      </c>
      <c r="R104" s="8"/>
      <c r="T104"/>
    </row>
    <row r="105" spans="2:20" ht="23.1" customHeight="1" x14ac:dyDescent="0.25">
      <c r="B105" s="23" t="s">
        <v>145</v>
      </c>
      <c r="C105" s="49">
        <f>AVERAGE('19.10 GALIRAYA-KAYUNGA-24h'!C105,'21.10 GALIRAYA-KAYUNGA-24h'!C105)</f>
        <v>0.5</v>
      </c>
      <c r="D105" s="49">
        <f>AVERAGE('19.10 GALIRAYA-KAYUNGA-24h'!D105,'21.10 GALIRAYA-KAYUNGA-24h'!D105)</f>
        <v>0</v>
      </c>
      <c r="E105" s="49">
        <f>AVERAGE('19.10 GALIRAYA-KAYUNGA-24h'!E105,'21.10 GALIRAYA-KAYUNGA-24h'!E105)</f>
        <v>0</v>
      </c>
      <c r="F105" s="49">
        <f>AVERAGE('19.10 GALIRAYA-KAYUNGA-24h'!F105,'21.10 GALIRAYA-KAYUNGA-24h'!F105)</f>
        <v>0</v>
      </c>
      <c r="G105" s="49">
        <f>AVERAGE('19.10 GALIRAYA-KAYUNGA-24h'!G105,'21.10 GALIRAYA-KAYUNGA-24h'!G105)</f>
        <v>0</v>
      </c>
      <c r="H105" s="49">
        <f>AVERAGE('19.10 GALIRAYA-KAYUNGA-24h'!H105,'21.10 GALIRAYA-KAYUNGA-24h'!H105)</f>
        <v>0</v>
      </c>
      <c r="I105" s="49">
        <f>AVERAGE('19.10 GALIRAYA-KAYUNGA-24h'!I105,'21.10 GALIRAYA-KAYUNGA-24h'!I105)</f>
        <v>0</v>
      </c>
      <c r="J105" s="49">
        <f>AVERAGE('19.10 GALIRAYA-KAYUNGA-24h'!J105,'21.10 GALIRAYA-KAYUNGA-24h'!J105)</f>
        <v>0</v>
      </c>
      <c r="K105" s="49">
        <f>AVERAGE('19.10 GALIRAYA-KAYUNGA-24h'!K105,'21.10 GALIRAYA-KAYUNGA-24h'!K105)</f>
        <v>0</v>
      </c>
      <c r="L105" s="49">
        <f>AVERAGE('19.10 GALIRAYA-KAYUNGA-24h'!L105,'21.10 GALIRAYA-KAYUNGA-24h'!L105)</f>
        <v>0</v>
      </c>
      <c r="M105" s="49">
        <f>AVERAGE('19.10 GALIRAYA-KAYUNGA-24h'!M105,'21.10 GALIRAYA-KAYUNGA-24h'!M105)</f>
        <v>2.5</v>
      </c>
      <c r="N105" s="49">
        <f>AVERAGE('19.10 GALIRAYA-KAYUNGA-24h'!N105,'21.10 GALIRAYA-KAYUNGA-24h'!N105)</f>
        <v>0</v>
      </c>
      <c r="O105" s="15">
        <f t="shared" si="35"/>
        <v>0.5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58.014285714285712</v>
      </c>
      <c r="D106" s="16">
        <f t="shared" ref="D106:P106" si="37">SUM(D10:D105)</f>
        <v>14.214285714285717</v>
      </c>
      <c r="E106" s="16">
        <f t="shared" si="37"/>
        <v>20.357142857142861</v>
      </c>
      <c r="F106" s="16">
        <f t="shared" si="37"/>
        <v>74.642857142857139</v>
      </c>
      <c r="G106" s="16">
        <f t="shared" si="37"/>
        <v>3.6428571428571419</v>
      </c>
      <c r="H106" s="16">
        <f t="shared" si="37"/>
        <v>2.5714285714285707</v>
      </c>
      <c r="I106" s="16">
        <f t="shared" si="37"/>
        <v>50.857142857142861</v>
      </c>
      <c r="J106" s="16">
        <f t="shared" si="37"/>
        <v>40.928571428571431</v>
      </c>
      <c r="K106" s="16">
        <f t="shared" si="37"/>
        <v>25.714285714285712</v>
      </c>
      <c r="L106" s="16">
        <f t="shared" si="37"/>
        <v>7.0000000000000009</v>
      </c>
      <c r="M106" s="16">
        <f t="shared" si="37"/>
        <v>531.64285714285711</v>
      </c>
      <c r="N106" s="16">
        <f t="shared" si="37"/>
        <v>0.71428571428571419</v>
      </c>
      <c r="O106" s="16">
        <f t="shared" si="37"/>
        <v>298.65714285714284</v>
      </c>
      <c r="P106" s="16">
        <f t="shared" si="37"/>
        <v>830.29999999999984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6.9871475026238375E-2</v>
      </c>
      <c r="D107" s="43">
        <f t="shared" si="38"/>
        <v>1.7119457683109383E-2</v>
      </c>
      <c r="E107" s="43">
        <f t="shared" si="38"/>
        <v>2.4517816279830018E-2</v>
      </c>
      <c r="F107" s="43">
        <f t="shared" si="38"/>
        <v>8.9898659692710048E-2</v>
      </c>
      <c r="G107" s="43">
        <f t="shared" si="38"/>
        <v>4.3873987027064224E-3</v>
      </c>
      <c r="H107" s="43">
        <f t="shared" si="38"/>
        <v>3.0969873195574745E-3</v>
      </c>
      <c r="I107" s="43">
        <f t="shared" si="38"/>
        <v>6.125152698680341E-2</v>
      </c>
      <c r="J107" s="43">
        <f t="shared" si="38"/>
        <v>4.9293714836289824E-2</v>
      </c>
      <c r="K107" s="43">
        <f t="shared" si="38"/>
        <v>3.0969873195574753E-2</v>
      </c>
      <c r="L107" s="43">
        <f t="shared" si="38"/>
        <v>8.4306877032397955E-3</v>
      </c>
      <c r="M107" s="43">
        <f t="shared" si="38"/>
        <v>0.64030212831850808</v>
      </c>
      <c r="N107" s="43">
        <f t="shared" si="38"/>
        <v>8.6027425543263192E-4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0.19425045441500047</v>
      </c>
      <c r="D108" s="44">
        <f t="shared" ref="D108:N108" si="39">D106/$O$106</f>
        <v>4.7593992155362107E-2</v>
      </c>
      <c r="E108" s="44">
        <f t="shared" si="39"/>
        <v>6.8162250071749753E-2</v>
      </c>
      <c r="F108" s="44">
        <f t="shared" si="39"/>
        <v>0.24992825026308235</v>
      </c>
      <c r="G108" s="44">
        <f t="shared" si="39"/>
        <v>1.2197455275997318E-2</v>
      </c>
      <c r="H108" s="44">
        <f t="shared" si="39"/>
        <v>8.6099684301157546E-3</v>
      </c>
      <c r="I108" s="44">
        <f t="shared" si="39"/>
        <v>0.17028604228451164</v>
      </c>
      <c r="J108" s="44">
        <f t="shared" si="39"/>
        <v>0.13704199751267579</v>
      </c>
      <c r="K108" s="44">
        <f t="shared" si="39"/>
        <v>8.6099684301157553E-2</v>
      </c>
      <c r="L108" s="44">
        <f t="shared" si="39"/>
        <v>2.3438247393092897E-2</v>
      </c>
      <c r="M108" s="44"/>
      <c r="N108" s="44">
        <f t="shared" si="39"/>
        <v>2.3916578972543764E-3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N52" zoomScale="60" workbookViewId="0">
      <selection activeCell="AD57" sqref="A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4" t="str">
        <f>'23.10 GALIRAYA-KAYUNGA'!C3:G3</f>
        <v>MCC - C3 - STN89 - GALIRAYA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'Avg Week GALIRAYA-KAYUNG'!G5:H5</f>
        <v>KYANYA</v>
      </c>
      <c r="H5" s="66"/>
      <c r="I5" s="14"/>
      <c r="J5" s="2" t="s">
        <v>5</v>
      </c>
      <c r="K5" s="65" t="s">
        <v>183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161</v>
      </c>
      <c r="E6" s="70"/>
      <c r="F6" s="2" t="s">
        <v>2</v>
      </c>
      <c r="G6" s="69" t="s">
        <v>161</v>
      </c>
      <c r="H6" s="70"/>
      <c r="J6" s="2" t="s">
        <v>21</v>
      </c>
      <c r="K6" s="65" t="str">
        <f>'Avg Week GALIRAYA-KAYUNG'!K6:L6</f>
        <v>GODFREY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KAYUNGA-GALIRAYA'!C10+'Avg Week GALIRAYA-KAYUNG'!C10</f>
        <v>0.14285714285714285</v>
      </c>
      <c r="D10" s="49">
        <f>'Avg Week KAYUNGA-GALIRAYA'!D10+'Avg Week GALIRAYA-KAYUNG'!D10</f>
        <v>0</v>
      </c>
      <c r="E10" s="49">
        <f>'Avg Week KAYUNGA-GALIRAYA'!E10+'Avg Week GALIRAYA-KAYUNG'!E10</f>
        <v>0.5714285714285714</v>
      </c>
      <c r="F10" s="49">
        <f>'Avg Week KAYUNGA-GALIRAYA'!F10+'Avg Week GALIRAYA-KAYUNG'!F10</f>
        <v>1.8571428571428572</v>
      </c>
      <c r="G10" s="49">
        <f>'Avg Week KAYUNGA-GALIRAYA'!G10+'Avg Week GALIRAYA-KAYUNG'!G10</f>
        <v>0.2857142857142857</v>
      </c>
      <c r="H10" s="49">
        <f>'Avg Week KAYUNGA-GALIRAYA'!H10+'Avg Week GALIRAYA-KAYUNG'!H10</f>
        <v>0</v>
      </c>
      <c r="I10" s="49">
        <f>'Avg Week KAYUNGA-GALIRAYA'!I10+'Avg Week GALIRAYA-KAYUNG'!I10</f>
        <v>1.2857142857142856</v>
      </c>
      <c r="J10" s="49">
        <f>'Avg Week KAYUNGA-GALIRAYA'!J10+'Avg Week GALIRAYA-KAYUNG'!J10</f>
        <v>0.71428571428571419</v>
      </c>
      <c r="K10" s="49">
        <f>'Avg Week KAYUNGA-GALIRAYA'!K10+'Avg Week GALIRAYA-KAYUNG'!K10</f>
        <v>1.5714285714285714</v>
      </c>
      <c r="L10" s="49">
        <f>'Avg Week KAYUNGA-GALIRAYA'!L10+'Avg Week GALIRAYA-KAYUNG'!L10</f>
        <v>0</v>
      </c>
      <c r="M10" s="49">
        <f>'Avg Week KAYUNGA-GALIRAYA'!M10+'Avg Week GALIRAYA-KAYUNG'!M10</f>
        <v>6.7142857142857144</v>
      </c>
      <c r="N10" s="49">
        <f>'Avg Week KAYUNGA-GALIRAYA'!N10+'Avg Week GALIRAYA-KAYUNG'!N10</f>
        <v>0</v>
      </c>
      <c r="O10" s="15">
        <f t="shared" ref="O10:O73" si="0">SUM(C10:L10,N10)</f>
        <v>6.4285714285714279</v>
      </c>
      <c r="P10" s="15">
        <f t="shared" ref="P10:P73" si="1">SUM(C10:N10)</f>
        <v>13.142857142857142</v>
      </c>
      <c r="R10" s="1" t="s">
        <v>6</v>
      </c>
      <c r="S10" s="17">
        <f t="shared" ref="S10:AF10" si="2">SUM(C10:C13)</f>
        <v>1.9999999999999998</v>
      </c>
      <c r="T10" s="17">
        <f t="shared" si="2"/>
        <v>0.42857142857142855</v>
      </c>
      <c r="U10" s="17">
        <f t="shared" si="2"/>
        <v>1.7142857142857142</v>
      </c>
      <c r="V10" s="17">
        <f t="shared" si="2"/>
        <v>6.5714285714285712</v>
      </c>
      <c r="W10" s="17">
        <f t="shared" si="2"/>
        <v>0.42857142857142855</v>
      </c>
      <c r="X10" s="17">
        <f t="shared" si="2"/>
        <v>0</v>
      </c>
      <c r="Y10" s="17">
        <f t="shared" si="2"/>
        <v>4.7142857142857135</v>
      </c>
      <c r="Z10" s="17">
        <f t="shared" si="2"/>
        <v>3.7142857142857135</v>
      </c>
      <c r="AA10" s="17">
        <f t="shared" si="2"/>
        <v>5</v>
      </c>
      <c r="AB10" s="17">
        <f t="shared" si="2"/>
        <v>0.2857142857142857</v>
      </c>
      <c r="AC10" s="17">
        <f t="shared" si="2"/>
        <v>32.714285714285715</v>
      </c>
      <c r="AD10" s="17">
        <f t="shared" si="2"/>
        <v>0</v>
      </c>
      <c r="AE10" s="31">
        <f t="shared" si="2"/>
        <v>24.857142857142858</v>
      </c>
      <c r="AF10" s="31">
        <f t="shared" si="2"/>
        <v>57.571428571428569</v>
      </c>
    </row>
    <row r="11" spans="2:32" s="6" customFormat="1" ht="23.1" customHeight="1" x14ac:dyDescent="0.25">
      <c r="B11" s="23" t="s">
        <v>38</v>
      </c>
      <c r="C11" s="49">
        <f>'Avg Week KAYUNGA-GALIRAYA'!C11+'Avg Week GALIRAYA-KAYUNG'!C11</f>
        <v>0.5714285714285714</v>
      </c>
      <c r="D11" s="49">
        <f>'Avg Week KAYUNGA-GALIRAYA'!D11+'Avg Week GALIRAYA-KAYUNG'!D11</f>
        <v>0.2857142857142857</v>
      </c>
      <c r="E11" s="49">
        <f>'Avg Week KAYUNGA-GALIRAYA'!E11+'Avg Week GALIRAYA-KAYUNG'!E11</f>
        <v>0.2857142857142857</v>
      </c>
      <c r="F11" s="49">
        <f>'Avg Week KAYUNGA-GALIRAYA'!F11+'Avg Week GALIRAYA-KAYUNG'!F11</f>
        <v>1.2857142857142856</v>
      </c>
      <c r="G11" s="49">
        <f>'Avg Week KAYUNGA-GALIRAYA'!G11+'Avg Week GALIRAYA-KAYUNG'!G11</f>
        <v>0.14285714285714285</v>
      </c>
      <c r="H11" s="49">
        <f>'Avg Week KAYUNGA-GALIRAYA'!H11+'Avg Week GALIRAYA-KAYUNG'!H11</f>
        <v>0</v>
      </c>
      <c r="I11" s="49">
        <f>'Avg Week KAYUNGA-GALIRAYA'!I11+'Avg Week GALIRAYA-KAYUNG'!I11</f>
        <v>1.1428571428571428</v>
      </c>
      <c r="J11" s="49">
        <f>'Avg Week KAYUNGA-GALIRAYA'!J11+'Avg Week GALIRAYA-KAYUNG'!J11</f>
        <v>1.4285714285714284</v>
      </c>
      <c r="K11" s="49">
        <f>'Avg Week KAYUNGA-GALIRAYA'!K11+'Avg Week GALIRAYA-KAYUNG'!K11</f>
        <v>1.1428571428571428</v>
      </c>
      <c r="L11" s="49">
        <f>'Avg Week KAYUNGA-GALIRAYA'!L11+'Avg Week GALIRAYA-KAYUNG'!L11</f>
        <v>0.2857142857142857</v>
      </c>
      <c r="M11" s="49">
        <f>'Avg Week KAYUNGA-GALIRAYA'!M11+'Avg Week GALIRAYA-KAYUNG'!M11</f>
        <v>7.8571428571428577</v>
      </c>
      <c r="N11" s="49">
        <f>'Avg Week KAYUNGA-GALIRAYA'!N11+'Avg Week GALIRAYA-KAYUNG'!N11</f>
        <v>0</v>
      </c>
      <c r="O11" s="15">
        <f t="shared" si="0"/>
        <v>6.5714285714285703</v>
      </c>
      <c r="P11" s="15">
        <f t="shared" si="1"/>
        <v>14.428571428571427</v>
      </c>
      <c r="R11" s="1" t="s">
        <v>7</v>
      </c>
      <c r="S11" s="17">
        <f t="shared" ref="S11:AF11" si="3">SUM(C14:C17)</f>
        <v>4.8571428571428568</v>
      </c>
      <c r="T11" s="17">
        <f t="shared" si="3"/>
        <v>1.1428571428571428</v>
      </c>
      <c r="U11" s="17">
        <f t="shared" si="3"/>
        <v>1.2857142857142856</v>
      </c>
      <c r="V11" s="17">
        <f t="shared" si="3"/>
        <v>8</v>
      </c>
      <c r="W11" s="17">
        <f t="shared" si="3"/>
        <v>0.14285714285714285</v>
      </c>
      <c r="X11" s="17">
        <f t="shared" si="3"/>
        <v>0.42857142857142855</v>
      </c>
      <c r="Y11" s="17">
        <f t="shared" si="3"/>
        <v>6</v>
      </c>
      <c r="Z11" s="17">
        <f t="shared" si="3"/>
        <v>2.7142857142857144</v>
      </c>
      <c r="AA11" s="17">
        <f t="shared" si="3"/>
        <v>1.5714285714285712</v>
      </c>
      <c r="AB11" s="17">
        <f t="shared" si="3"/>
        <v>0.42857142857142855</v>
      </c>
      <c r="AC11" s="17">
        <f t="shared" si="3"/>
        <v>59.857142857142854</v>
      </c>
      <c r="AD11" s="17">
        <f t="shared" si="3"/>
        <v>1.2857142857142858</v>
      </c>
      <c r="AE11" s="31">
        <f t="shared" si="3"/>
        <v>27.857142857142854</v>
      </c>
      <c r="AF11" s="31">
        <f t="shared" si="3"/>
        <v>87.714285714285708</v>
      </c>
    </row>
    <row r="12" spans="2:32" ht="23.1" customHeight="1" x14ac:dyDescent="0.25">
      <c r="B12" s="23" t="s">
        <v>39</v>
      </c>
      <c r="C12" s="49">
        <f>'Avg Week KAYUNGA-GALIRAYA'!C12+'Avg Week GALIRAYA-KAYUNG'!C12</f>
        <v>0.7142857142857143</v>
      </c>
      <c r="D12" s="49">
        <f>'Avg Week KAYUNGA-GALIRAYA'!D12+'Avg Week GALIRAYA-KAYUNG'!D12</f>
        <v>0</v>
      </c>
      <c r="E12" s="49">
        <f>'Avg Week KAYUNGA-GALIRAYA'!E12+'Avg Week GALIRAYA-KAYUNG'!E12</f>
        <v>0.14285714285714285</v>
      </c>
      <c r="F12" s="49">
        <f>'Avg Week KAYUNGA-GALIRAYA'!F12+'Avg Week GALIRAYA-KAYUNG'!F12</f>
        <v>1</v>
      </c>
      <c r="G12" s="49">
        <f>'Avg Week KAYUNGA-GALIRAYA'!G12+'Avg Week GALIRAYA-KAYUNG'!G12</f>
        <v>0</v>
      </c>
      <c r="H12" s="49">
        <f>'Avg Week KAYUNGA-GALIRAYA'!H12+'Avg Week GALIRAYA-KAYUNG'!H12</f>
        <v>0</v>
      </c>
      <c r="I12" s="49">
        <f>'Avg Week KAYUNGA-GALIRAYA'!I12+'Avg Week GALIRAYA-KAYUNG'!I12</f>
        <v>1.2857142857142856</v>
      </c>
      <c r="J12" s="49">
        <f>'Avg Week KAYUNGA-GALIRAYA'!J12+'Avg Week GALIRAYA-KAYUNG'!J12</f>
        <v>1</v>
      </c>
      <c r="K12" s="49">
        <f>'Avg Week KAYUNGA-GALIRAYA'!K12+'Avg Week GALIRAYA-KAYUNG'!K12</f>
        <v>1.8571428571428572</v>
      </c>
      <c r="L12" s="49">
        <f>'Avg Week KAYUNGA-GALIRAYA'!L12+'Avg Week GALIRAYA-KAYUNG'!L12</f>
        <v>0</v>
      </c>
      <c r="M12" s="49">
        <f>'Avg Week KAYUNGA-GALIRAYA'!M12+'Avg Week GALIRAYA-KAYUNG'!M12</f>
        <v>8.7142857142857153</v>
      </c>
      <c r="N12" s="49">
        <f>'Avg Week KAYUNGA-GALIRAYA'!N12+'Avg Week GALIRAYA-KAYUNG'!N12</f>
        <v>0</v>
      </c>
      <c r="O12" s="15">
        <f t="shared" si="0"/>
        <v>6</v>
      </c>
      <c r="P12" s="15">
        <f t="shared" si="1"/>
        <v>14.714285714285715</v>
      </c>
      <c r="R12" s="1" t="s">
        <v>8</v>
      </c>
      <c r="S12" s="17">
        <f t="shared" ref="S12:AF12" si="4">SUM(C18:C21)</f>
        <v>5.5714285714285712</v>
      </c>
      <c r="T12" s="17">
        <f t="shared" si="4"/>
        <v>1.7142857142857142</v>
      </c>
      <c r="U12" s="17">
        <f t="shared" si="4"/>
        <v>3.5714285714285712</v>
      </c>
      <c r="V12" s="17">
        <f t="shared" si="4"/>
        <v>9.2857142857142847</v>
      </c>
      <c r="W12" s="17">
        <f t="shared" si="4"/>
        <v>0.2857142857142857</v>
      </c>
      <c r="X12" s="17">
        <f t="shared" si="4"/>
        <v>0.99999999999999978</v>
      </c>
      <c r="Y12" s="17">
        <f t="shared" si="4"/>
        <v>6</v>
      </c>
      <c r="Z12" s="17">
        <f t="shared" si="4"/>
        <v>2.1428571428571428</v>
      </c>
      <c r="AA12" s="17">
        <f t="shared" si="4"/>
        <v>1.4285714285714284</v>
      </c>
      <c r="AB12" s="17">
        <f t="shared" si="4"/>
        <v>0.14285714285714285</v>
      </c>
      <c r="AC12" s="17">
        <f t="shared" si="4"/>
        <v>77.857142857142861</v>
      </c>
      <c r="AD12" s="17">
        <f t="shared" si="4"/>
        <v>0</v>
      </c>
      <c r="AE12" s="31">
        <f t="shared" si="4"/>
        <v>31.142857142857139</v>
      </c>
      <c r="AF12" s="31">
        <f t="shared" si="4"/>
        <v>109</v>
      </c>
    </row>
    <row r="13" spans="2:32" ht="23.1" customHeight="1" x14ac:dyDescent="0.25">
      <c r="B13" s="23" t="s">
        <v>40</v>
      </c>
      <c r="C13" s="49">
        <f>'Avg Week KAYUNGA-GALIRAYA'!C13+'Avg Week GALIRAYA-KAYUNG'!C13</f>
        <v>0.5714285714285714</v>
      </c>
      <c r="D13" s="49">
        <f>'Avg Week KAYUNGA-GALIRAYA'!D13+'Avg Week GALIRAYA-KAYUNG'!D13</f>
        <v>0.14285714285714285</v>
      </c>
      <c r="E13" s="49">
        <f>'Avg Week KAYUNGA-GALIRAYA'!E13+'Avg Week GALIRAYA-KAYUNG'!E13</f>
        <v>0.71428571428571419</v>
      </c>
      <c r="F13" s="49">
        <f>'Avg Week KAYUNGA-GALIRAYA'!F13+'Avg Week GALIRAYA-KAYUNG'!F13</f>
        <v>2.4285714285714284</v>
      </c>
      <c r="G13" s="49">
        <f>'Avg Week KAYUNGA-GALIRAYA'!G13+'Avg Week GALIRAYA-KAYUNG'!G13</f>
        <v>0</v>
      </c>
      <c r="H13" s="49">
        <f>'Avg Week KAYUNGA-GALIRAYA'!H13+'Avg Week GALIRAYA-KAYUNG'!H13</f>
        <v>0</v>
      </c>
      <c r="I13" s="49">
        <f>'Avg Week KAYUNGA-GALIRAYA'!I13+'Avg Week GALIRAYA-KAYUNG'!I13</f>
        <v>1</v>
      </c>
      <c r="J13" s="49">
        <f>'Avg Week KAYUNGA-GALIRAYA'!J13+'Avg Week GALIRAYA-KAYUNG'!J13</f>
        <v>0.5714285714285714</v>
      </c>
      <c r="K13" s="49">
        <f>'Avg Week KAYUNGA-GALIRAYA'!K13+'Avg Week GALIRAYA-KAYUNG'!K13</f>
        <v>0.42857142857142855</v>
      </c>
      <c r="L13" s="49">
        <f>'Avg Week KAYUNGA-GALIRAYA'!L13+'Avg Week GALIRAYA-KAYUNG'!L13</f>
        <v>0</v>
      </c>
      <c r="M13" s="49">
        <f>'Avg Week KAYUNGA-GALIRAYA'!M13+'Avg Week GALIRAYA-KAYUNG'!M13</f>
        <v>9.4285714285714288</v>
      </c>
      <c r="N13" s="49">
        <f>'Avg Week KAYUNGA-GALIRAYA'!N13+'Avg Week GALIRAYA-KAYUNG'!N13</f>
        <v>0</v>
      </c>
      <c r="O13" s="15">
        <f t="shared" si="0"/>
        <v>5.8571428571428568</v>
      </c>
      <c r="P13" s="15">
        <f t="shared" si="1"/>
        <v>15.285714285714285</v>
      </c>
      <c r="R13" s="1" t="s">
        <v>9</v>
      </c>
      <c r="S13" s="17">
        <f t="shared" ref="S13:AF13" si="5">SUM(C22:C25)</f>
        <v>6.4428571428571431</v>
      </c>
      <c r="T13" s="17">
        <f t="shared" si="5"/>
        <v>2.2857142857142856</v>
      </c>
      <c r="U13" s="17">
        <f t="shared" si="5"/>
        <v>2.8571428571428572</v>
      </c>
      <c r="V13" s="17">
        <f t="shared" si="5"/>
        <v>7.8571428571428568</v>
      </c>
      <c r="W13" s="17">
        <f t="shared" si="5"/>
        <v>0.71428571428571419</v>
      </c>
      <c r="X13" s="17">
        <f t="shared" si="5"/>
        <v>0.2857142857142857</v>
      </c>
      <c r="Y13" s="17">
        <f t="shared" si="5"/>
        <v>6.4285714285714288</v>
      </c>
      <c r="Z13" s="17">
        <f t="shared" si="5"/>
        <v>1.714285714285714</v>
      </c>
      <c r="AA13" s="17">
        <f t="shared" si="5"/>
        <v>0.71428571428571419</v>
      </c>
      <c r="AB13" s="17">
        <f t="shared" si="5"/>
        <v>0.2857142857142857</v>
      </c>
      <c r="AC13" s="17">
        <f t="shared" si="5"/>
        <v>83.571428571428569</v>
      </c>
      <c r="AD13" s="17">
        <f t="shared" si="5"/>
        <v>0.14285714285714285</v>
      </c>
      <c r="AE13" s="31">
        <f t="shared" si="5"/>
        <v>29.728571428571428</v>
      </c>
      <c r="AF13" s="31">
        <f t="shared" si="5"/>
        <v>113.30000000000001</v>
      </c>
    </row>
    <row r="14" spans="2:32" ht="23.1" customHeight="1" x14ac:dyDescent="0.25">
      <c r="B14" s="23" t="s">
        <v>41</v>
      </c>
      <c r="C14" s="49">
        <f>'Avg Week KAYUNGA-GALIRAYA'!C14+'Avg Week GALIRAYA-KAYUNG'!C14</f>
        <v>1.7142857142857144</v>
      </c>
      <c r="D14" s="49">
        <f>'Avg Week KAYUNGA-GALIRAYA'!D14+'Avg Week GALIRAYA-KAYUNG'!D14</f>
        <v>0.42857142857142855</v>
      </c>
      <c r="E14" s="49">
        <f>'Avg Week KAYUNGA-GALIRAYA'!E14+'Avg Week GALIRAYA-KAYUNG'!E14</f>
        <v>0.14285714285714285</v>
      </c>
      <c r="F14" s="49">
        <f>'Avg Week KAYUNGA-GALIRAYA'!F14+'Avg Week GALIRAYA-KAYUNG'!F14</f>
        <v>1.5714285714285714</v>
      </c>
      <c r="G14" s="49">
        <f>'Avg Week KAYUNGA-GALIRAYA'!G14+'Avg Week GALIRAYA-KAYUNG'!G14</f>
        <v>0.14285714285714285</v>
      </c>
      <c r="H14" s="49">
        <f>'Avg Week KAYUNGA-GALIRAYA'!H14+'Avg Week GALIRAYA-KAYUNG'!H14</f>
        <v>0</v>
      </c>
      <c r="I14" s="49">
        <f>'Avg Week KAYUNGA-GALIRAYA'!I14+'Avg Week GALIRAYA-KAYUNG'!I14</f>
        <v>2</v>
      </c>
      <c r="J14" s="49">
        <f>'Avg Week KAYUNGA-GALIRAYA'!J14+'Avg Week GALIRAYA-KAYUNG'!J14</f>
        <v>0.8571428571428571</v>
      </c>
      <c r="K14" s="49">
        <f>'Avg Week KAYUNGA-GALIRAYA'!K14+'Avg Week GALIRAYA-KAYUNG'!K14</f>
        <v>0.2857142857142857</v>
      </c>
      <c r="L14" s="49">
        <f>'Avg Week KAYUNGA-GALIRAYA'!L14+'Avg Week GALIRAYA-KAYUNG'!L14</f>
        <v>0</v>
      </c>
      <c r="M14" s="49">
        <f>'Avg Week KAYUNGA-GALIRAYA'!M14+'Avg Week GALIRAYA-KAYUNG'!M14</f>
        <v>13.571428571428571</v>
      </c>
      <c r="N14" s="49">
        <f>'Avg Week KAYUNGA-GALIRAYA'!N14+'Avg Week GALIRAYA-KAYUNG'!N14</f>
        <v>0</v>
      </c>
      <c r="O14" s="15">
        <f t="shared" si="0"/>
        <v>7.1428571428571423</v>
      </c>
      <c r="P14" s="15">
        <f t="shared" si="1"/>
        <v>20.714285714285715</v>
      </c>
      <c r="R14" s="1" t="s">
        <v>10</v>
      </c>
      <c r="S14" s="17">
        <f t="shared" ref="S14:AF14" si="6">SUM(C26:C29)</f>
        <v>6.5714285714285712</v>
      </c>
      <c r="T14" s="17">
        <f t="shared" si="6"/>
        <v>1.2857142857142856</v>
      </c>
      <c r="U14" s="17">
        <f t="shared" si="6"/>
        <v>3.1428571428571428</v>
      </c>
      <c r="V14" s="17">
        <f t="shared" si="6"/>
        <v>8.8571428571428577</v>
      </c>
      <c r="W14" s="17">
        <f t="shared" si="6"/>
        <v>0.42857142857142855</v>
      </c>
      <c r="X14" s="17">
        <f t="shared" si="6"/>
        <v>0</v>
      </c>
      <c r="Y14" s="17">
        <f t="shared" si="6"/>
        <v>4.5714285714285712</v>
      </c>
      <c r="Z14" s="17">
        <f t="shared" si="6"/>
        <v>2.9999999999999996</v>
      </c>
      <c r="AA14" s="17">
        <f t="shared" si="6"/>
        <v>0.5714285714285714</v>
      </c>
      <c r="AB14" s="17">
        <f t="shared" si="6"/>
        <v>0.42857142857142855</v>
      </c>
      <c r="AC14" s="17">
        <f t="shared" si="6"/>
        <v>95</v>
      </c>
      <c r="AD14" s="17">
        <f t="shared" si="6"/>
        <v>0</v>
      </c>
      <c r="AE14" s="31">
        <f t="shared" si="6"/>
        <v>28.857142857142858</v>
      </c>
      <c r="AF14" s="31">
        <f t="shared" si="6"/>
        <v>123.85714285714286</v>
      </c>
    </row>
    <row r="15" spans="2:32" ht="23.1" customHeight="1" x14ac:dyDescent="0.25">
      <c r="B15" s="23" t="s">
        <v>42</v>
      </c>
      <c r="C15" s="49">
        <f>'Avg Week KAYUNGA-GALIRAYA'!C15+'Avg Week GALIRAYA-KAYUNG'!C15</f>
        <v>0.42857142857142855</v>
      </c>
      <c r="D15" s="49">
        <f>'Avg Week KAYUNGA-GALIRAYA'!D15+'Avg Week GALIRAYA-KAYUNG'!D15</f>
        <v>0.2857142857142857</v>
      </c>
      <c r="E15" s="49">
        <f>'Avg Week KAYUNGA-GALIRAYA'!E15+'Avg Week GALIRAYA-KAYUNG'!E15</f>
        <v>0.2857142857142857</v>
      </c>
      <c r="F15" s="49">
        <f>'Avg Week KAYUNGA-GALIRAYA'!F15+'Avg Week GALIRAYA-KAYUNG'!F15</f>
        <v>1.4285714285714284</v>
      </c>
      <c r="G15" s="49">
        <f>'Avg Week KAYUNGA-GALIRAYA'!G15+'Avg Week GALIRAYA-KAYUNG'!G15</f>
        <v>0</v>
      </c>
      <c r="H15" s="49">
        <f>'Avg Week KAYUNGA-GALIRAYA'!H15+'Avg Week GALIRAYA-KAYUNG'!H15</f>
        <v>0</v>
      </c>
      <c r="I15" s="49">
        <f>'Avg Week KAYUNGA-GALIRAYA'!I15+'Avg Week GALIRAYA-KAYUNG'!I15</f>
        <v>1.1428571428571428</v>
      </c>
      <c r="J15" s="49">
        <f>'Avg Week KAYUNGA-GALIRAYA'!J15+'Avg Week GALIRAYA-KAYUNG'!J15</f>
        <v>0.42857142857142855</v>
      </c>
      <c r="K15" s="49">
        <f>'Avg Week KAYUNGA-GALIRAYA'!K15+'Avg Week GALIRAYA-KAYUNG'!K15</f>
        <v>0.5714285714285714</v>
      </c>
      <c r="L15" s="49">
        <f>'Avg Week KAYUNGA-GALIRAYA'!L15+'Avg Week GALIRAYA-KAYUNG'!L15</f>
        <v>0.14285714285714285</v>
      </c>
      <c r="M15" s="49">
        <f>'Avg Week KAYUNGA-GALIRAYA'!M15+'Avg Week GALIRAYA-KAYUNG'!M15</f>
        <v>12.571428571428571</v>
      </c>
      <c r="N15" s="49">
        <f>'Avg Week KAYUNGA-GALIRAYA'!N15+'Avg Week GALIRAYA-KAYUNG'!N15</f>
        <v>1.2857142857142858</v>
      </c>
      <c r="O15" s="15">
        <f t="shared" si="0"/>
        <v>6</v>
      </c>
      <c r="P15" s="15">
        <f t="shared" si="1"/>
        <v>18.571428571428569</v>
      </c>
      <c r="R15" s="1" t="s">
        <v>11</v>
      </c>
      <c r="S15" s="17">
        <f t="shared" ref="S15:AF15" si="7">SUM(C30:C33)</f>
        <v>7.5714285714285721</v>
      </c>
      <c r="T15" s="17">
        <f t="shared" si="7"/>
        <v>2.4285714285714284</v>
      </c>
      <c r="U15" s="17">
        <f t="shared" si="7"/>
        <v>3.2857142857142856</v>
      </c>
      <c r="V15" s="17">
        <f t="shared" si="7"/>
        <v>10.285714285714285</v>
      </c>
      <c r="W15" s="17">
        <f t="shared" si="7"/>
        <v>0.42857142857142855</v>
      </c>
      <c r="X15" s="17">
        <f t="shared" si="7"/>
        <v>0.5714285714285714</v>
      </c>
      <c r="Y15" s="17">
        <f t="shared" si="7"/>
        <v>4.8571428571428568</v>
      </c>
      <c r="Z15" s="17">
        <f t="shared" si="7"/>
        <v>3.2857142857142851</v>
      </c>
      <c r="AA15" s="17">
        <f t="shared" si="7"/>
        <v>1.2857142857142856</v>
      </c>
      <c r="AB15" s="17">
        <f t="shared" si="7"/>
        <v>0.71428571428571419</v>
      </c>
      <c r="AC15" s="17">
        <f t="shared" si="7"/>
        <v>98.428571428571431</v>
      </c>
      <c r="AD15" s="17">
        <f t="shared" si="7"/>
        <v>0.14285714285714285</v>
      </c>
      <c r="AE15" s="31">
        <f t="shared" si="7"/>
        <v>34.857142857142861</v>
      </c>
      <c r="AF15" s="31">
        <f t="shared" si="7"/>
        <v>133.28571428571428</v>
      </c>
    </row>
    <row r="16" spans="2:32" ht="23.1" customHeight="1" x14ac:dyDescent="0.25">
      <c r="B16" s="23" t="s">
        <v>43</v>
      </c>
      <c r="C16" s="49">
        <f>'Avg Week KAYUNGA-GALIRAYA'!C16+'Avg Week GALIRAYA-KAYUNG'!C16</f>
        <v>0.71428571428571419</v>
      </c>
      <c r="D16" s="49">
        <f>'Avg Week KAYUNGA-GALIRAYA'!D16+'Avg Week GALIRAYA-KAYUNG'!D16</f>
        <v>0</v>
      </c>
      <c r="E16" s="49">
        <f>'Avg Week KAYUNGA-GALIRAYA'!E16+'Avg Week GALIRAYA-KAYUNG'!E16</f>
        <v>0.42857142857142855</v>
      </c>
      <c r="F16" s="49">
        <f>'Avg Week KAYUNGA-GALIRAYA'!F16+'Avg Week GALIRAYA-KAYUNG'!F16</f>
        <v>2.7142857142857144</v>
      </c>
      <c r="G16" s="49">
        <f>'Avg Week KAYUNGA-GALIRAYA'!G16+'Avg Week GALIRAYA-KAYUNG'!G16</f>
        <v>0</v>
      </c>
      <c r="H16" s="49">
        <f>'Avg Week KAYUNGA-GALIRAYA'!H16+'Avg Week GALIRAYA-KAYUNG'!H16</f>
        <v>0.2857142857142857</v>
      </c>
      <c r="I16" s="49">
        <f>'Avg Week KAYUNGA-GALIRAYA'!I16+'Avg Week GALIRAYA-KAYUNG'!I16</f>
        <v>0.8571428571428571</v>
      </c>
      <c r="J16" s="49">
        <f>'Avg Week KAYUNGA-GALIRAYA'!J16+'Avg Week GALIRAYA-KAYUNG'!J16</f>
        <v>0.5714285714285714</v>
      </c>
      <c r="K16" s="49">
        <f>'Avg Week KAYUNGA-GALIRAYA'!K16+'Avg Week GALIRAYA-KAYUNG'!K16</f>
        <v>0.5714285714285714</v>
      </c>
      <c r="L16" s="49">
        <f>'Avg Week KAYUNGA-GALIRAYA'!L16+'Avg Week GALIRAYA-KAYUNG'!L16</f>
        <v>0.2857142857142857</v>
      </c>
      <c r="M16" s="49">
        <f>'Avg Week KAYUNGA-GALIRAYA'!M16+'Avg Week GALIRAYA-KAYUNG'!M16</f>
        <v>13.857142857142858</v>
      </c>
      <c r="N16" s="49">
        <f>'Avg Week KAYUNGA-GALIRAYA'!N16+'Avg Week GALIRAYA-KAYUNG'!N16</f>
        <v>0</v>
      </c>
      <c r="O16" s="15">
        <f t="shared" si="0"/>
        <v>6.4285714285714279</v>
      </c>
      <c r="P16" s="15">
        <f t="shared" si="1"/>
        <v>20.285714285714285</v>
      </c>
      <c r="R16" s="1" t="s">
        <v>12</v>
      </c>
      <c r="S16" s="17">
        <f t="shared" ref="S16:AF16" si="8">SUM(C34:C37)</f>
        <v>9.1428571428571423</v>
      </c>
      <c r="T16" s="17">
        <f t="shared" si="8"/>
        <v>1.5714285714285714</v>
      </c>
      <c r="U16" s="17">
        <f t="shared" si="8"/>
        <v>2.8571428571428568</v>
      </c>
      <c r="V16" s="17">
        <f t="shared" si="8"/>
        <v>12.142857142857142</v>
      </c>
      <c r="W16" s="17">
        <f t="shared" si="8"/>
        <v>0.5714285714285714</v>
      </c>
      <c r="X16" s="17">
        <f t="shared" si="8"/>
        <v>0</v>
      </c>
      <c r="Y16" s="17">
        <f t="shared" si="8"/>
        <v>4.2857142857142856</v>
      </c>
      <c r="Z16" s="17">
        <f t="shared" si="8"/>
        <v>3.1428571428571423</v>
      </c>
      <c r="AA16" s="17">
        <f t="shared" si="8"/>
        <v>0.42857142857142855</v>
      </c>
      <c r="AB16" s="17">
        <f t="shared" si="8"/>
        <v>1.5714285714285712</v>
      </c>
      <c r="AC16" s="17">
        <f t="shared" si="8"/>
        <v>93.714285714285708</v>
      </c>
      <c r="AD16" s="17">
        <f t="shared" si="8"/>
        <v>0.2857142857142857</v>
      </c>
      <c r="AE16" s="31">
        <f t="shared" si="8"/>
        <v>36</v>
      </c>
      <c r="AF16" s="31">
        <f t="shared" si="8"/>
        <v>129.71428571428569</v>
      </c>
    </row>
    <row r="17" spans="2:32" ht="23.1" customHeight="1" x14ac:dyDescent="0.25">
      <c r="B17" s="23" t="s">
        <v>44</v>
      </c>
      <c r="C17" s="49">
        <f>'Avg Week KAYUNGA-GALIRAYA'!C17+'Avg Week GALIRAYA-KAYUNG'!C17</f>
        <v>2</v>
      </c>
      <c r="D17" s="49">
        <f>'Avg Week KAYUNGA-GALIRAYA'!D17+'Avg Week GALIRAYA-KAYUNG'!D17</f>
        <v>0.42857142857142855</v>
      </c>
      <c r="E17" s="49">
        <f>'Avg Week KAYUNGA-GALIRAYA'!E17+'Avg Week GALIRAYA-KAYUNG'!E17</f>
        <v>0.42857142857142855</v>
      </c>
      <c r="F17" s="49">
        <f>'Avg Week KAYUNGA-GALIRAYA'!F17+'Avg Week GALIRAYA-KAYUNG'!F17</f>
        <v>2.2857142857142856</v>
      </c>
      <c r="G17" s="49">
        <f>'Avg Week KAYUNGA-GALIRAYA'!G17+'Avg Week GALIRAYA-KAYUNG'!G17</f>
        <v>0</v>
      </c>
      <c r="H17" s="49">
        <f>'Avg Week KAYUNGA-GALIRAYA'!H17+'Avg Week GALIRAYA-KAYUNG'!H17</f>
        <v>0.14285714285714285</v>
      </c>
      <c r="I17" s="49">
        <f>'Avg Week KAYUNGA-GALIRAYA'!I17+'Avg Week GALIRAYA-KAYUNG'!I17</f>
        <v>2</v>
      </c>
      <c r="J17" s="49">
        <f>'Avg Week KAYUNGA-GALIRAYA'!J17+'Avg Week GALIRAYA-KAYUNG'!J17</f>
        <v>0.85714285714285721</v>
      </c>
      <c r="K17" s="49">
        <f>'Avg Week KAYUNGA-GALIRAYA'!K17+'Avg Week GALIRAYA-KAYUNG'!K17</f>
        <v>0.14285714285714285</v>
      </c>
      <c r="L17" s="49">
        <f>'Avg Week KAYUNGA-GALIRAYA'!L17+'Avg Week GALIRAYA-KAYUNG'!L17</f>
        <v>0</v>
      </c>
      <c r="M17" s="49">
        <f>'Avg Week KAYUNGA-GALIRAYA'!M17+'Avg Week GALIRAYA-KAYUNG'!M17</f>
        <v>19.857142857142854</v>
      </c>
      <c r="N17" s="49">
        <f>'Avg Week KAYUNGA-GALIRAYA'!N17+'Avg Week GALIRAYA-KAYUNG'!N17</f>
        <v>0</v>
      </c>
      <c r="O17" s="15">
        <f t="shared" si="0"/>
        <v>8.2857142857142847</v>
      </c>
      <c r="P17" s="15">
        <f t="shared" si="1"/>
        <v>28.142857142857139</v>
      </c>
      <c r="R17" s="1" t="s">
        <v>13</v>
      </c>
      <c r="S17" s="17">
        <f t="shared" ref="S17:AF17" si="9">SUM(C38:C41)</f>
        <v>6.7142857142857144</v>
      </c>
      <c r="T17" s="17">
        <f t="shared" si="9"/>
        <v>2.1428571428571428</v>
      </c>
      <c r="U17" s="17">
        <f t="shared" si="9"/>
        <v>2.8571428571428568</v>
      </c>
      <c r="V17" s="17">
        <f t="shared" si="9"/>
        <v>10.428571428571429</v>
      </c>
      <c r="W17" s="17">
        <f t="shared" si="9"/>
        <v>0.71428571428571419</v>
      </c>
      <c r="X17" s="17">
        <f t="shared" si="9"/>
        <v>0.71428571428571419</v>
      </c>
      <c r="Y17" s="17">
        <f t="shared" si="9"/>
        <v>5.8571428571428577</v>
      </c>
      <c r="Z17" s="17">
        <f t="shared" si="9"/>
        <v>2.4285714285714284</v>
      </c>
      <c r="AA17" s="17">
        <f t="shared" si="9"/>
        <v>0.71428571428571419</v>
      </c>
      <c r="AB17" s="17">
        <f t="shared" si="9"/>
        <v>1</v>
      </c>
      <c r="AC17" s="17">
        <f t="shared" si="9"/>
        <v>83.285714285714292</v>
      </c>
      <c r="AD17" s="17">
        <f t="shared" si="9"/>
        <v>0.2857142857142857</v>
      </c>
      <c r="AE17" s="31">
        <f t="shared" si="9"/>
        <v>33.857142857142861</v>
      </c>
      <c r="AF17" s="31">
        <f t="shared" si="9"/>
        <v>117.14285714285715</v>
      </c>
    </row>
    <row r="18" spans="2:32" ht="23.1" customHeight="1" x14ac:dyDescent="0.25">
      <c r="B18" s="23" t="s">
        <v>45</v>
      </c>
      <c r="C18" s="49">
        <f>'Avg Week KAYUNGA-GALIRAYA'!C18+'Avg Week GALIRAYA-KAYUNG'!C18</f>
        <v>1.2857142857142856</v>
      </c>
      <c r="D18" s="49">
        <f>'Avg Week KAYUNGA-GALIRAYA'!D18+'Avg Week GALIRAYA-KAYUNG'!D18</f>
        <v>0.42857142857142855</v>
      </c>
      <c r="E18" s="49">
        <f>'Avg Week KAYUNGA-GALIRAYA'!E18+'Avg Week GALIRAYA-KAYUNG'!E18</f>
        <v>1.2857142857142856</v>
      </c>
      <c r="F18" s="49">
        <f>'Avg Week KAYUNGA-GALIRAYA'!F18+'Avg Week GALIRAYA-KAYUNG'!F18</f>
        <v>2.5714285714285712</v>
      </c>
      <c r="G18" s="49">
        <f>'Avg Week KAYUNGA-GALIRAYA'!G18+'Avg Week GALIRAYA-KAYUNG'!G18</f>
        <v>0</v>
      </c>
      <c r="H18" s="49">
        <f>'Avg Week KAYUNGA-GALIRAYA'!H18+'Avg Week GALIRAYA-KAYUNG'!H18</f>
        <v>0.42857142857142855</v>
      </c>
      <c r="I18" s="49">
        <f>'Avg Week KAYUNGA-GALIRAYA'!I18+'Avg Week GALIRAYA-KAYUNG'!I18</f>
        <v>2</v>
      </c>
      <c r="J18" s="49">
        <f>'Avg Week KAYUNGA-GALIRAYA'!J18+'Avg Week GALIRAYA-KAYUNG'!J18</f>
        <v>0.71428571428571419</v>
      </c>
      <c r="K18" s="49">
        <f>'Avg Week KAYUNGA-GALIRAYA'!K18+'Avg Week GALIRAYA-KAYUNG'!K18</f>
        <v>0.14285714285714285</v>
      </c>
      <c r="L18" s="49">
        <f>'Avg Week KAYUNGA-GALIRAYA'!L18+'Avg Week GALIRAYA-KAYUNG'!L18</f>
        <v>0</v>
      </c>
      <c r="M18" s="49">
        <f>'Avg Week KAYUNGA-GALIRAYA'!M18+'Avg Week GALIRAYA-KAYUNG'!M18</f>
        <v>19</v>
      </c>
      <c r="N18" s="49">
        <f>'Avg Week KAYUNGA-GALIRAYA'!N18+'Avg Week GALIRAYA-KAYUNG'!N18</f>
        <v>0</v>
      </c>
      <c r="O18" s="15">
        <f t="shared" si="0"/>
        <v>8.8571428571428559</v>
      </c>
      <c r="P18" s="15">
        <f t="shared" si="1"/>
        <v>27.857142857142854</v>
      </c>
      <c r="R18" s="1" t="s">
        <v>14</v>
      </c>
      <c r="S18" s="17">
        <f t="shared" ref="S18:AF18" si="10">SUM(C42:C45)</f>
        <v>7.5714285714285712</v>
      </c>
      <c r="T18" s="17">
        <f t="shared" si="10"/>
        <v>1.4285714285714284</v>
      </c>
      <c r="U18" s="17">
        <f t="shared" si="10"/>
        <v>2.8571428571428568</v>
      </c>
      <c r="V18" s="17">
        <f t="shared" si="10"/>
        <v>10.571428571428569</v>
      </c>
      <c r="W18" s="17">
        <f t="shared" si="10"/>
        <v>0.14285714285714285</v>
      </c>
      <c r="X18" s="17">
        <f t="shared" si="10"/>
        <v>1.2857142857142856</v>
      </c>
      <c r="Y18" s="17">
        <f t="shared" si="10"/>
        <v>7.7142857142857135</v>
      </c>
      <c r="Z18" s="17">
        <f t="shared" si="10"/>
        <v>3</v>
      </c>
      <c r="AA18" s="17">
        <f t="shared" si="10"/>
        <v>0.99999999999999989</v>
      </c>
      <c r="AB18" s="17">
        <f t="shared" si="10"/>
        <v>1.1428571428571428</v>
      </c>
      <c r="AC18" s="17">
        <f t="shared" si="10"/>
        <v>80.142857142857139</v>
      </c>
      <c r="AD18" s="17">
        <f t="shared" si="10"/>
        <v>0.14285714285714285</v>
      </c>
      <c r="AE18" s="31">
        <f t="shared" si="10"/>
        <v>36.857142857142854</v>
      </c>
      <c r="AF18" s="31">
        <f t="shared" si="10"/>
        <v>117</v>
      </c>
    </row>
    <row r="19" spans="2:32" ht="23.1" customHeight="1" x14ac:dyDescent="0.25">
      <c r="B19" s="23" t="s">
        <v>46</v>
      </c>
      <c r="C19" s="49">
        <f>'Avg Week KAYUNGA-GALIRAYA'!C19+'Avg Week GALIRAYA-KAYUNG'!C19</f>
        <v>1.4285714285714284</v>
      </c>
      <c r="D19" s="49">
        <f>'Avg Week KAYUNGA-GALIRAYA'!D19+'Avg Week GALIRAYA-KAYUNG'!D19</f>
        <v>0.5714285714285714</v>
      </c>
      <c r="E19" s="49">
        <f>'Avg Week KAYUNGA-GALIRAYA'!E19+'Avg Week GALIRAYA-KAYUNG'!E19</f>
        <v>0.71428571428571419</v>
      </c>
      <c r="F19" s="49">
        <f>'Avg Week KAYUNGA-GALIRAYA'!F19+'Avg Week GALIRAYA-KAYUNG'!F19</f>
        <v>2.1428571428571428</v>
      </c>
      <c r="G19" s="49">
        <f>'Avg Week KAYUNGA-GALIRAYA'!G19+'Avg Week GALIRAYA-KAYUNG'!G19</f>
        <v>0.2857142857142857</v>
      </c>
      <c r="H19" s="49">
        <f>'Avg Week KAYUNGA-GALIRAYA'!H19+'Avg Week GALIRAYA-KAYUNG'!H19</f>
        <v>0.2857142857142857</v>
      </c>
      <c r="I19" s="49">
        <f>'Avg Week KAYUNGA-GALIRAYA'!I19+'Avg Week GALIRAYA-KAYUNG'!I19</f>
        <v>0.5714285714285714</v>
      </c>
      <c r="J19" s="49">
        <f>'Avg Week KAYUNGA-GALIRAYA'!J19+'Avg Week GALIRAYA-KAYUNG'!J19</f>
        <v>0.5714285714285714</v>
      </c>
      <c r="K19" s="49">
        <f>'Avg Week KAYUNGA-GALIRAYA'!K19+'Avg Week GALIRAYA-KAYUNG'!K19</f>
        <v>0.7142857142857143</v>
      </c>
      <c r="L19" s="49">
        <f>'Avg Week KAYUNGA-GALIRAYA'!L19+'Avg Week GALIRAYA-KAYUNG'!L19</f>
        <v>0</v>
      </c>
      <c r="M19" s="49">
        <f>'Avg Week KAYUNGA-GALIRAYA'!M19+'Avg Week GALIRAYA-KAYUNG'!M19</f>
        <v>17.285714285714285</v>
      </c>
      <c r="N19" s="49">
        <f>'Avg Week KAYUNGA-GALIRAYA'!N19+'Avg Week GALIRAYA-KAYUNG'!N19</f>
        <v>0</v>
      </c>
      <c r="O19" s="15">
        <f t="shared" si="0"/>
        <v>7.2857142857142847</v>
      </c>
      <c r="P19" s="15">
        <f t="shared" si="1"/>
        <v>24.571428571428569</v>
      </c>
      <c r="R19" s="1" t="s">
        <v>15</v>
      </c>
      <c r="S19" s="17">
        <f t="shared" ref="S19:AF19" si="11">SUM(C46:C49)</f>
        <v>8.1428571428571423</v>
      </c>
      <c r="T19" s="17">
        <f t="shared" si="11"/>
        <v>2</v>
      </c>
      <c r="U19" s="17">
        <f t="shared" si="11"/>
        <v>2.1428571428571423</v>
      </c>
      <c r="V19" s="17">
        <f t="shared" si="11"/>
        <v>13.142857142857141</v>
      </c>
      <c r="W19" s="17">
        <f t="shared" si="11"/>
        <v>0.8571428571428571</v>
      </c>
      <c r="X19" s="17">
        <f t="shared" si="11"/>
        <v>0.8571428571428571</v>
      </c>
      <c r="Y19" s="17">
        <f t="shared" si="11"/>
        <v>8</v>
      </c>
      <c r="Z19" s="17">
        <f t="shared" si="11"/>
        <v>3.4285714285714284</v>
      </c>
      <c r="AA19" s="17">
        <f t="shared" si="11"/>
        <v>1.4285714285714284</v>
      </c>
      <c r="AB19" s="17">
        <f t="shared" si="11"/>
        <v>0.99999999999999989</v>
      </c>
      <c r="AC19" s="17">
        <f t="shared" si="11"/>
        <v>89</v>
      </c>
      <c r="AD19" s="17">
        <f t="shared" si="11"/>
        <v>0.14285714285714285</v>
      </c>
      <c r="AE19" s="31">
        <f t="shared" si="11"/>
        <v>41.142857142857139</v>
      </c>
      <c r="AF19" s="31">
        <f t="shared" si="11"/>
        <v>130.14285714285714</v>
      </c>
    </row>
    <row r="20" spans="2:32" ht="23.1" customHeight="1" x14ac:dyDescent="0.25">
      <c r="B20" s="23" t="s">
        <v>47</v>
      </c>
      <c r="C20" s="49">
        <f>'Avg Week KAYUNGA-GALIRAYA'!C20+'Avg Week GALIRAYA-KAYUNG'!C20</f>
        <v>1.1428571428571428</v>
      </c>
      <c r="D20" s="49">
        <f>'Avg Week KAYUNGA-GALIRAYA'!D20+'Avg Week GALIRAYA-KAYUNG'!D20</f>
        <v>0.14285714285714285</v>
      </c>
      <c r="E20" s="49">
        <f>'Avg Week KAYUNGA-GALIRAYA'!E20+'Avg Week GALIRAYA-KAYUNG'!E20</f>
        <v>0.42857142857142855</v>
      </c>
      <c r="F20" s="49">
        <f>'Avg Week KAYUNGA-GALIRAYA'!F20+'Avg Week GALIRAYA-KAYUNG'!F20</f>
        <v>1.4285714285714286</v>
      </c>
      <c r="G20" s="49">
        <f>'Avg Week KAYUNGA-GALIRAYA'!G20+'Avg Week GALIRAYA-KAYUNG'!G20</f>
        <v>0</v>
      </c>
      <c r="H20" s="49">
        <f>'Avg Week KAYUNGA-GALIRAYA'!H20+'Avg Week GALIRAYA-KAYUNG'!H20</f>
        <v>0.14285714285714285</v>
      </c>
      <c r="I20" s="49">
        <f>'Avg Week KAYUNGA-GALIRAYA'!I20+'Avg Week GALIRAYA-KAYUNG'!I20</f>
        <v>1.5714285714285714</v>
      </c>
      <c r="J20" s="49">
        <f>'Avg Week KAYUNGA-GALIRAYA'!J20+'Avg Week GALIRAYA-KAYUNG'!J20</f>
        <v>0.42857142857142855</v>
      </c>
      <c r="K20" s="49">
        <f>'Avg Week KAYUNGA-GALIRAYA'!K20+'Avg Week GALIRAYA-KAYUNG'!K20</f>
        <v>0.2857142857142857</v>
      </c>
      <c r="L20" s="49">
        <f>'Avg Week KAYUNGA-GALIRAYA'!L20+'Avg Week GALIRAYA-KAYUNG'!L20</f>
        <v>0.14285714285714285</v>
      </c>
      <c r="M20" s="49">
        <f>'Avg Week KAYUNGA-GALIRAYA'!M20+'Avg Week GALIRAYA-KAYUNG'!M20</f>
        <v>19.142857142857142</v>
      </c>
      <c r="N20" s="49">
        <f>'Avg Week KAYUNGA-GALIRAYA'!N20+'Avg Week GALIRAYA-KAYUNG'!N20</f>
        <v>0</v>
      </c>
      <c r="O20" s="15">
        <f t="shared" si="0"/>
        <v>5.7142857142857144</v>
      </c>
      <c r="P20" s="15">
        <f t="shared" si="1"/>
        <v>24.857142857142858</v>
      </c>
      <c r="R20" s="1" t="s">
        <v>16</v>
      </c>
      <c r="S20" s="17">
        <f t="shared" ref="S20:AF20" si="12">SUM(C50:C53)</f>
        <v>8</v>
      </c>
      <c r="T20" s="17">
        <f t="shared" si="12"/>
        <v>3.4285714285714284</v>
      </c>
      <c r="U20" s="17">
        <f t="shared" si="12"/>
        <v>4.1428571428571423</v>
      </c>
      <c r="V20" s="17">
        <f t="shared" si="12"/>
        <v>12.714285714285715</v>
      </c>
      <c r="W20" s="17">
        <f t="shared" si="12"/>
        <v>0.8571428571428571</v>
      </c>
      <c r="X20" s="17">
        <f t="shared" si="12"/>
        <v>0.2857142857142857</v>
      </c>
      <c r="Y20" s="17">
        <f t="shared" si="12"/>
        <v>5.1428571428571423</v>
      </c>
      <c r="Z20" s="17">
        <f t="shared" si="12"/>
        <v>2.8571428571428568</v>
      </c>
      <c r="AA20" s="17">
        <f t="shared" si="12"/>
        <v>2.5714285714285712</v>
      </c>
      <c r="AB20" s="17">
        <f t="shared" si="12"/>
        <v>0.85714285714285698</v>
      </c>
      <c r="AC20" s="17">
        <f t="shared" si="12"/>
        <v>71.714285714285722</v>
      </c>
      <c r="AD20" s="17">
        <f t="shared" si="12"/>
        <v>0.14285714285714285</v>
      </c>
      <c r="AE20" s="31">
        <f t="shared" si="12"/>
        <v>41</v>
      </c>
      <c r="AF20" s="31">
        <f t="shared" si="12"/>
        <v>112.71428571428571</v>
      </c>
    </row>
    <row r="21" spans="2:32" ht="23.1" customHeight="1" x14ac:dyDescent="0.25">
      <c r="B21" s="23" t="s">
        <v>48</v>
      </c>
      <c r="C21" s="49">
        <f>'Avg Week KAYUNGA-GALIRAYA'!C21+'Avg Week GALIRAYA-KAYUNG'!C21</f>
        <v>1.7142857142857142</v>
      </c>
      <c r="D21" s="49">
        <f>'Avg Week KAYUNGA-GALIRAYA'!D21+'Avg Week GALIRAYA-KAYUNG'!D21</f>
        <v>0.5714285714285714</v>
      </c>
      <c r="E21" s="49">
        <f>'Avg Week KAYUNGA-GALIRAYA'!E21+'Avg Week GALIRAYA-KAYUNG'!E21</f>
        <v>1.1428571428571428</v>
      </c>
      <c r="F21" s="49">
        <f>'Avg Week KAYUNGA-GALIRAYA'!F21+'Avg Week GALIRAYA-KAYUNG'!F21</f>
        <v>3.1428571428571428</v>
      </c>
      <c r="G21" s="49">
        <f>'Avg Week KAYUNGA-GALIRAYA'!G21+'Avg Week GALIRAYA-KAYUNG'!G21</f>
        <v>0</v>
      </c>
      <c r="H21" s="49">
        <f>'Avg Week KAYUNGA-GALIRAYA'!H21+'Avg Week GALIRAYA-KAYUNG'!H21</f>
        <v>0.14285714285714285</v>
      </c>
      <c r="I21" s="49">
        <f>'Avg Week KAYUNGA-GALIRAYA'!I21+'Avg Week GALIRAYA-KAYUNG'!I21</f>
        <v>1.8571428571428572</v>
      </c>
      <c r="J21" s="49">
        <f>'Avg Week KAYUNGA-GALIRAYA'!J21+'Avg Week GALIRAYA-KAYUNG'!J21</f>
        <v>0.42857142857142855</v>
      </c>
      <c r="K21" s="49">
        <f>'Avg Week KAYUNGA-GALIRAYA'!K21+'Avg Week GALIRAYA-KAYUNG'!K21</f>
        <v>0.2857142857142857</v>
      </c>
      <c r="L21" s="49">
        <f>'Avg Week KAYUNGA-GALIRAYA'!L21+'Avg Week GALIRAYA-KAYUNG'!L21</f>
        <v>0</v>
      </c>
      <c r="M21" s="49">
        <f>'Avg Week KAYUNGA-GALIRAYA'!M21+'Avg Week GALIRAYA-KAYUNG'!M21</f>
        <v>22.428571428571431</v>
      </c>
      <c r="N21" s="49">
        <f>'Avg Week KAYUNGA-GALIRAYA'!N21+'Avg Week GALIRAYA-KAYUNG'!N21</f>
        <v>0</v>
      </c>
      <c r="O21" s="15">
        <f t="shared" si="0"/>
        <v>9.2857142857142865</v>
      </c>
      <c r="P21" s="15">
        <f t="shared" si="1"/>
        <v>31.714285714285715</v>
      </c>
      <c r="R21" s="36" t="s">
        <v>20</v>
      </c>
      <c r="S21" s="34">
        <f t="shared" ref="S21:AF21" si="13">SUM(C54:C57)</f>
        <v>10</v>
      </c>
      <c r="T21" s="17">
        <f t="shared" si="13"/>
        <v>2.1428571428571423</v>
      </c>
      <c r="U21" s="17">
        <f t="shared" si="13"/>
        <v>3.1428571428571428</v>
      </c>
      <c r="V21" s="17">
        <f t="shared" si="13"/>
        <v>12.571428571428571</v>
      </c>
      <c r="W21" s="17">
        <f t="shared" si="13"/>
        <v>0.5714285714285714</v>
      </c>
      <c r="X21" s="17">
        <f t="shared" si="13"/>
        <v>0</v>
      </c>
      <c r="Y21" s="17">
        <f t="shared" si="13"/>
        <v>6.5714285714285712</v>
      </c>
      <c r="Z21" s="17">
        <f t="shared" si="13"/>
        <v>3.8571428571428568</v>
      </c>
      <c r="AA21" s="17">
        <f t="shared" si="13"/>
        <v>3.1428571428571423</v>
      </c>
      <c r="AB21" s="17">
        <f t="shared" si="13"/>
        <v>0.8571428571428571</v>
      </c>
      <c r="AC21" s="17">
        <f t="shared" si="13"/>
        <v>85</v>
      </c>
      <c r="AD21" s="17">
        <f t="shared" si="13"/>
        <v>0</v>
      </c>
      <c r="AE21" s="31">
        <f t="shared" si="13"/>
        <v>42.857142857142854</v>
      </c>
      <c r="AF21" s="31">
        <f t="shared" si="13"/>
        <v>127.85714285714283</v>
      </c>
    </row>
    <row r="22" spans="2:32" ht="23.1" customHeight="1" x14ac:dyDescent="0.25">
      <c r="B22" s="23" t="s">
        <v>49</v>
      </c>
      <c r="C22" s="49">
        <f>'Avg Week KAYUNGA-GALIRAYA'!C22+'Avg Week GALIRAYA-KAYUNG'!C22</f>
        <v>0.8571428571428571</v>
      </c>
      <c r="D22" s="49">
        <f>'Avg Week KAYUNGA-GALIRAYA'!D22+'Avg Week GALIRAYA-KAYUNG'!D22</f>
        <v>0.71428571428571419</v>
      </c>
      <c r="E22" s="49">
        <f>'Avg Week KAYUNGA-GALIRAYA'!E22+'Avg Week GALIRAYA-KAYUNG'!E22</f>
        <v>0.71428571428571419</v>
      </c>
      <c r="F22" s="49">
        <f>'Avg Week KAYUNGA-GALIRAYA'!F22+'Avg Week GALIRAYA-KAYUNG'!F22</f>
        <v>1.2857142857142856</v>
      </c>
      <c r="G22" s="49">
        <f>'Avg Week KAYUNGA-GALIRAYA'!G22+'Avg Week GALIRAYA-KAYUNG'!G22</f>
        <v>0</v>
      </c>
      <c r="H22" s="49">
        <f>'Avg Week KAYUNGA-GALIRAYA'!H22+'Avg Week GALIRAYA-KAYUNG'!H22</f>
        <v>0.2857142857142857</v>
      </c>
      <c r="I22" s="49">
        <f>'Avg Week KAYUNGA-GALIRAYA'!I22+'Avg Week GALIRAYA-KAYUNG'!I22</f>
        <v>1.5714285714285714</v>
      </c>
      <c r="J22" s="49">
        <f>'Avg Week KAYUNGA-GALIRAYA'!J22+'Avg Week GALIRAYA-KAYUNG'!J22</f>
        <v>0.2857142857142857</v>
      </c>
      <c r="K22" s="49">
        <f>'Avg Week KAYUNGA-GALIRAYA'!K22+'Avg Week GALIRAYA-KAYUNG'!K22</f>
        <v>0.14285714285714285</v>
      </c>
      <c r="L22" s="49">
        <f>'Avg Week KAYUNGA-GALIRAYA'!L22+'Avg Week GALIRAYA-KAYUNG'!L22</f>
        <v>0.14285714285714285</v>
      </c>
      <c r="M22" s="49">
        <f>'Avg Week KAYUNGA-GALIRAYA'!M22+'Avg Week GALIRAYA-KAYUNG'!M22</f>
        <v>19.714285714285715</v>
      </c>
      <c r="N22" s="49">
        <f>'Avg Week KAYUNGA-GALIRAYA'!N22+'Avg Week GALIRAYA-KAYUNG'!N22</f>
        <v>0</v>
      </c>
      <c r="O22" s="15">
        <f t="shared" si="0"/>
        <v>6</v>
      </c>
      <c r="P22" s="15">
        <f t="shared" si="1"/>
        <v>25.714285714285715</v>
      </c>
      <c r="R22" s="1" t="s">
        <v>146</v>
      </c>
      <c r="S22" s="34">
        <f>SUM(C58:C61)</f>
        <v>12.5</v>
      </c>
      <c r="T22" s="34">
        <f t="shared" ref="T22:AF22" si="14">SUM(D58:D61)</f>
        <v>0</v>
      </c>
      <c r="U22" s="34">
        <f t="shared" si="14"/>
        <v>4</v>
      </c>
      <c r="V22" s="34">
        <f t="shared" si="14"/>
        <v>11.5</v>
      </c>
      <c r="W22" s="34">
        <f t="shared" si="14"/>
        <v>0.5</v>
      </c>
      <c r="X22" s="34">
        <f t="shared" si="14"/>
        <v>0</v>
      </c>
      <c r="Y22" s="34">
        <f t="shared" si="14"/>
        <v>8</v>
      </c>
      <c r="Z22" s="34">
        <f t="shared" si="14"/>
        <v>4.5</v>
      </c>
      <c r="AA22" s="34">
        <f t="shared" si="14"/>
        <v>4</v>
      </c>
      <c r="AB22" s="34">
        <f t="shared" si="14"/>
        <v>0</v>
      </c>
      <c r="AC22" s="34">
        <f t="shared" si="14"/>
        <v>88</v>
      </c>
      <c r="AD22" s="34">
        <f t="shared" si="14"/>
        <v>0</v>
      </c>
      <c r="AE22" s="31">
        <f t="shared" si="14"/>
        <v>45</v>
      </c>
      <c r="AF22" s="31">
        <f t="shared" si="14"/>
        <v>133</v>
      </c>
    </row>
    <row r="23" spans="2:32" ht="23.1" customHeight="1" x14ac:dyDescent="0.25">
      <c r="B23" s="23" t="s">
        <v>50</v>
      </c>
      <c r="C23" s="49">
        <f>'Avg Week KAYUNGA-GALIRAYA'!C23+'Avg Week GALIRAYA-KAYUNG'!C23</f>
        <v>1.5857142857142856</v>
      </c>
      <c r="D23" s="49">
        <f>'Avg Week KAYUNGA-GALIRAYA'!D23+'Avg Week GALIRAYA-KAYUNG'!D23</f>
        <v>1</v>
      </c>
      <c r="E23" s="49">
        <f>'Avg Week KAYUNGA-GALIRAYA'!E23+'Avg Week GALIRAYA-KAYUNG'!E23</f>
        <v>1</v>
      </c>
      <c r="F23" s="49">
        <f>'Avg Week KAYUNGA-GALIRAYA'!F23+'Avg Week GALIRAYA-KAYUNG'!F23</f>
        <v>2.4285714285714284</v>
      </c>
      <c r="G23" s="49">
        <f>'Avg Week KAYUNGA-GALIRAYA'!G23+'Avg Week GALIRAYA-KAYUNG'!G23</f>
        <v>0.14285714285714285</v>
      </c>
      <c r="H23" s="49">
        <f>'Avg Week KAYUNGA-GALIRAYA'!H23+'Avg Week GALIRAYA-KAYUNG'!H23</f>
        <v>0</v>
      </c>
      <c r="I23" s="49">
        <f>'Avg Week KAYUNGA-GALIRAYA'!I23+'Avg Week GALIRAYA-KAYUNG'!I23</f>
        <v>1.7142857142857144</v>
      </c>
      <c r="J23" s="49">
        <f>'Avg Week KAYUNGA-GALIRAYA'!J23+'Avg Week GALIRAYA-KAYUNG'!J23</f>
        <v>0.71428571428571419</v>
      </c>
      <c r="K23" s="49">
        <f>'Avg Week KAYUNGA-GALIRAYA'!K23+'Avg Week GALIRAYA-KAYUNG'!K23</f>
        <v>0.14285714285714285</v>
      </c>
      <c r="L23" s="49">
        <f>'Avg Week KAYUNGA-GALIRAYA'!L23+'Avg Week GALIRAYA-KAYUNG'!L23</f>
        <v>0</v>
      </c>
      <c r="M23" s="49">
        <f>'Avg Week KAYUNGA-GALIRAYA'!M23+'Avg Week GALIRAYA-KAYUNG'!M23</f>
        <v>22.571428571428569</v>
      </c>
      <c r="N23" s="49">
        <f>'Avg Week KAYUNGA-GALIRAYA'!N23+'Avg Week GALIRAYA-KAYUNG'!N23</f>
        <v>0.14285714285714285</v>
      </c>
      <c r="O23" s="15">
        <f t="shared" si="0"/>
        <v>8.8714285714285701</v>
      </c>
      <c r="P23" s="15">
        <f t="shared" si="1"/>
        <v>31.44285714285714</v>
      </c>
      <c r="R23" s="1" t="s">
        <v>147</v>
      </c>
      <c r="S23" s="34">
        <f>SUM(C62:C65)</f>
        <v>10</v>
      </c>
      <c r="T23" s="34">
        <f t="shared" ref="T23:AF23" si="15">SUM(D62:D65)</f>
        <v>1</v>
      </c>
      <c r="U23" s="34">
        <f t="shared" si="15"/>
        <v>3</v>
      </c>
      <c r="V23" s="34">
        <f t="shared" si="15"/>
        <v>9.5</v>
      </c>
      <c r="W23" s="34">
        <f t="shared" si="15"/>
        <v>0.5</v>
      </c>
      <c r="X23" s="34">
        <f t="shared" si="15"/>
        <v>0</v>
      </c>
      <c r="Y23" s="34">
        <f t="shared" si="15"/>
        <v>6.5</v>
      </c>
      <c r="Z23" s="34">
        <f t="shared" si="15"/>
        <v>2</v>
      </c>
      <c r="AA23" s="34">
        <f t="shared" si="15"/>
        <v>4</v>
      </c>
      <c r="AB23" s="34">
        <f t="shared" si="15"/>
        <v>1.5</v>
      </c>
      <c r="AC23" s="34">
        <f t="shared" si="15"/>
        <v>49.5</v>
      </c>
      <c r="AD23" s="34">
        <f t="shared" si="15"/>
        <v>0</v>
      </c>
      <c r="AE23" s="31">
        <f t="shared" si="15"/>
        <v>38</v>
      </c>
      <c r="AF23" s="31">
        <f t="shared" si="15"/>
        <v>87.5</v>
      </c>
    </row>
    <row r="24" spans="2:32" ht="23.1" customHeight="1" x14ac:dyDescent="0.25">
      <c r="B24" s="23" t="s">
        <v>51</v>
      </c>
      <c r="C24" s="49">
        <f>'Avg Week KAYUNGA-GALIRAYA'!C24+'Avg Week GALIRAYA-KAYUNG'!C24</f>
        <v>1.8571428571428572</v>
      </c>
      <c r="D24" s="49">
        <f>'Avg Week KAYUNGA-GALIRAYA'!D24+'Avg Week GALIRAYA-KAYUNG'!D24</f>
        <v>0.42857142857142855</v>
      </c>
      <c r="E24" s="49">
        <f>'Avg Week KAYUNGA-GALIRAYA'!E24+'Avg Week GALIRAYA-KAYUNG'!E24</f>
        <v>0.2857142857142857</v>
      </c>
      <c r="F24" s="49">
        <f>'Avg Week KAYUNGA-GALIRAYA'!F24+'Avg Week GALIRAYA-KAYUNG'!F24</f>
        <v>1.8571428571428572</v>
      </c>
      <c r="G24" s="49">
        <f>'Avg Week KAYUNGA-GALIRAYA'!G24+'Avg Week GALIRAYA-KAYUNG'!G24</f>
        <v>0.42857142857142855</v>
      </c>
      <c r="H24" s="49">
        <f>'Avg Week KAYUNGA-GALIRAYA'!H24+'Avg Week GALIRAYA-KAYUNG'!H24</f>
        <v>0</v>
      </c>
      <c r="I24" s="49">
        <f>'Avg Week KAYUNGA-GALIRAYA'!I24+'Avg Week GALIRAYA-KAYUNG'!I24</f>
        <v>1.7142857142857142</v>
      </c>
      <c r="J24" s="49">
        <f>'Avg Week KAYUNGA-GALIRAYA'!J24+'Avg Week GALIRAYA-KAYUNG'!J24</f>
        <v>0.42857142857142855</v>
      </c>
      <c r="K24" s="49">
        <f>'Avg Week KAYUNGA-GALIRAYA'!K24+'Avg Week GALIRAYA-KAYUNG'!K24</f>
        <v>0</v>
      </c>
      <c r="L24" s="49">
        <f>'Avg Week KAYUNGA-GALIRAYA'!L24+'Avg Week GALIRAYA-KAYUNG'!L24</f>
        <v>0.14285714285714285</v>
      </c>
      <c r="M24" s="49">
        <f>'Avg Week KAYUNGA-GALIRAYA'!M24+'Avg Week GALIRAYA-KAYUNG'!M24</f>
        <v>21.285714285714285</v>
      </c>
      <c r="N24" s="49">
        <f>'Avg Week KAYUNGA-GALIRAYA'!N24+'Avg Week GALIRAYA-KAYUNG'!N24</f>
        <v>0</v>
      </c>
      <c r="O24" s="15">
        <f t="shared" si="0"/>
        <v>7.1428571428571441</v>
      </c>
      <c r="P24" s="15">
        <f t="shared" si="1"/>
        <v>28.428571428571431</v>
      </c>
      <c r="R24" s="1" t="s">
        <v>148</v>
      </c>
      <c r="S24" s="34">
        <f>SUM(C66:C69)</f>
        <v>5</v>
      </c>
      <c r="T24" s="34">
        <f t="shared" ref="T24:AF24" si="16">SUM(D66:D69)</f>
        <v>0.5</v>
      </c>
      <c r="U24" s="34">
        <f t="shared" si="16"/>
        <v>1.5</v>
      </c>
      <c r="V24" s="34">
        <f t="shared" si="16"/>
        <v>1.5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4</v>
      </c>
      <c r="AA24" s="34">
        <f t="shared" si="16"/>
        <v>0.5</v>
      </c>
      <c r="AB24" s="34">
        <f t="shared" si="16"/>
        <v>0</v>
      </c>
      <c r="AC24" s="34">
        <f t="shared" si="16"/>
        <v>15.5</v>
      </c>
      <c r="AD24" s="34">
        <f t="shared" si="16"/>
        <v>0</v>
      </c>
      <c r="AE24" s="31">
        <f t="shared" si="16"/>
        <v>16</v>
      </c>
      <c r="AF24" s="31">
        <f t="shared" si="16"/>
        <v>31.5</v>
      </c>
    </row>
    <row r="25" spans="2:32" ht="23.1" customHeight="1" x14ac:dyDescent="0.25">
      <c r="B25" s="23" t="s">
        <v>52</v>
      </c>
      <c r="C25" s="49">
        <f>'Avg Week KAYUNGA-GALIRAYA'!C25+'Avg Week GALIRAYA-KAYUNG'!C25</f>
        <v>2.1428571428571428</v>
      </c>
      <c r="D25" s="49">
        <f>'Avg Week KAYUNGA-GALIRAYA'!D25+'Avg Week GALIRAYA-KAYUNG'!D25</f>
        <v>0.14285714285714285</v>
      </c>
      <c r="E25" s="49">
        <f>'Avg Week KAYUNGA-GALIRAYA'!E25+'Avg Week GALIRAYA-KAYUNG'!E25</f>
        <v>0.8571428571428571</v>
      </c>
      <c r="F25" s="49">
        <f>'Avg Week KAYUNGA-GALIRAYA'!F25+'Avg Week GALIRAYA-KAYUNG'!F25</f>
        <v>2.2857142857142856</v>
      </c>
      <c r="G25" s="49">
        <f>'Avg Week KAYUNGA-GALIRAYA'!G25+'Avg Week GALIRAYA-KAYUNG'!G25</f>
        <v>0.14285714285714285</v>
      </c>
      <c r="H25" s="49">
        <f>'Avg Week KAYUNGA-GALIRAYA'!H25+'Avg Week GALIRAYA-KAYUNG'!H25</f>
        <v>0</v>
      </c>
      <c r="I25" s="49">
        <f>'Avg Week KAYUNGA-GALIRAYA'!I25+'Avg Week GALIRAYA-KAYUNG'!I25</f>
        <v>1.4285714285714286</v>
      </c>
      <c r="J25" s="49">
        <f>'Avg Week KAYUNGA-GALIRAYA'!J25+'Avg Week GALIRAYA-KAYUNG'!J25</f>
        <v>0.2857142857142857</v>
      </c>
      <c r="K25" s="49">
        <f>'Avg Week KAYUNGA-GALIRAYA'!K25+'Avg Week GALIRAYA-KAYUNG'!K25</f>
        <v>0.42857142857142855</v>
      </c>
      <c r="L25" s="49">
        <f>'Avg Week KAYUNGA-GALIRAYA'!L25+'Avg Week GALIRAYA-KAYUNG'!L25</f>
        <v>0</v>
      </c>
      <c r="M25" s="49">
        <f>'Avg Week KAYUNGA-GALIRAYA'!M25+'Avg Week GALIRAYA-KAYUNG'!M25</f>
        <v>20</v>
      </c>
      <c r="N25" s="49">
        <f>'Avg Week KAYUNGA-GALIRAYA'!N25+'Avg Week GALIRAYA-KAYUNG'!N25</f>
        <v>0</v>
      </c>
      <c r="O25" s="15">
        <f t="shared" si="0"/>
        <v>7.7142857142857153</v>
      </c>
      <c r="P25" s="15">
        <f t="shared" si="1"/>
        <v>27.714285714285715</v>
      </c>
      <c r="R25" s="1" t="s">
        <v>149</v>
      </c>
      <c r="S25" s="34">
        <f>SUM(C70:C73)</f>
        <v>1.5</v>
      </c>
      <c r="T25" s="34">
        <f t="shared" ref="T25:AF25" si="17">SUM(D70:D73)</f>
        <v>0.5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1.5</v>
      </c>
      <c r="Z25" s="34">
        <f t="shared" si="17"/>
        <v>4</v>
      </c>
      <c r="AA25" s="34">
        <f t="shared" si="17"/>
        <v>0.5</v>
      </c>
      <c r="AB25" s="34">
        <f t="shared" si="17"/>
        <v>0</v>
      </c>
      <c r="AC25" s="34">
        <f t="shared" si="17"/>
        <v>8.5</v>
      </c>
      <c r="AD25" s="34">
        <f t="shared" si="17"/>
        <v>0</v>
      </c>
      <c r="AE25" s="31">
        <f t="shared" si="17"/>
        <v>9</v>
      </c>
      <c r="AF25" s="31">
        <f t="shared" si="17"/>
        <v>17.5</v>
      </c>
    </row>
    <row r="26" spans="2:32" ht="23.1" customHeight="1" x14ac:dyDescent="0.25">
      <c r="B26" s="23" t="s">
        <v>53</v>
      </c>
      <c r="C26" s="49">
        <f>'Avg Week KAYUNGA-GALIRAYA'!C26+'Avg Week GALIRAYA-KAYUNG'!C26</f>
        <v>1.2857142857142856</v>
      </c>
      <c r="D26" s="49">
        <f>'Avg Week KAYUNGA-GALIRAYA'!D26+'Avg Week GALIRAYA-KAYUNG'!D26</f>
        <v>0.42857142857142855</v>
      </c>
      <c r="E26" s="49">
        <f>'Avg Week KAYUNGA-GALIRAYA'!E26+'Avg Week GALIRAYA-KAYUNG'!E26</f>
        <v>0.42857142857142855</v>
      </c>
      <c r="F26" s="49">
        <f>'Avg Week KAYUNGA-GALIRAYA'!F26+'Avg Week GALIRAYA-KAYUNG'!F26</f>
        <v>1.7142857142857144</v>
      </c>
      <c r="G26" s="49">
        <f>'Avg Week KAYUNGA-GALIRAYA'!G26+'Avg Week GALIRAYA-KAYUNG'!G26</f>
        <v>0.14285714285714285</v>
      </c>
      <c r="H26" s="49">
        <f>'Avg Week KAYUNGA-GALIRAYA'!H26+'Avg Week GALIRAYA-KAYUNG'!H26</f>
        <v>0</v>
      </c>
      <c r="I26" s="49">
        <f>'Avg Week KAYUNGA-GALIRAYA'!I26+'Avg Week GALIRAYA-KAYUNG'!I26</f>
        <v>0.71428571428571419</v>
      </c>
      <c r="J26" s="49">
        <f>'Avg Week KAYUNGA-GALIRAYA'!J26+'Avg Week GALIRAYA-KAYUNG'!J26</f>
        <v>0.8571428571428571</v>
      </c>
      <c r="K26" s="49">
        <f>'Avg Week KAYUNGA-GALIRAYA'!K26+'Avg Week GALIRAYA-KAYUNG'!K26</f>
        <v>0.14285714285714285</v>
      </c>
      <c r="L26" s="49">
        <f>'Avg Week KAYUNGA-GALIRAYA'!L26+'Avg Week GALIRAYA-KAYUNG'!L26</f>
        <v>0.14285714285714285</v>
      </c>
      <c r="M26" s="49">
        <f>'Avg Week KAYUNGA-GALIRAYA'!M26+'Avg Week GALIRAYA-KAYUNG'!M26</f>
        <v>19.857142857142858</v>
      </c>
      <c r="N26" s="49">
        <f>'Avg Week KAYUNGA-GALIRAYA'!N26+'Avg Week GALIRAYA-KAYUNG'!N26</f>
        <v>0</v>
      </c>
      <c r="O26" s="15">
        <f t="shared" si="0"/>
        <v>5.8571428571428577</v>
      </c>
      <c r="P26" s="15">
        <f t="shared" si="1"/>
        <v>25.714285714285715</v>
      </c>
      <c r="R26" s="1" t="s">
        <v>150</v>
      </c>
      <c r="S26" s="34">
        <f>SUM(C74:C77)</f>
        <v>1</v>
      </c>
      <c r="T26" s="34">
        <f t="shared" ref="T26:AF26" si="18">SUM(D74:D77)</f>
        <v>0.5</v>
      </c>
      <c r="U26" s="34">
        <f t="shared" si="18"/>
        <v>1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5.5</v>
      </c>
      <c r="Z26" s="34">
        <f t="shared" si="18"/>
        <v>5</v>
      </c>
      <c r="AA26" s="34">
        <f t="shared" si="18"/>
        <v>1.5</v>
      </c>
      <c r="AB26" s="34">
        <f t="shared" si="18"/>
        <v>0.5</v>
      </c>
      <c r="AC26" s="34">
        <f t="shared" si="18"/>
        <v>5.5</v>
      </c>
      <c r="AD26" s="34">
        <f t="shared" si="18"/>
        <v>0</v>
      </c>
      <c r="AE26" s="31">
        <f t="shared" si="18"/>
        <v>17</v>
      </c>
      <c r="AF26" s="31">
        <f t="shared" si="18"/>
        <v>22.5</v>
      </c>
    </row>
    <row r="27" spans="2:32" ht="23.1" customHeight="1" x14ac:dyDescent="0.25">
      <c r="B27" s="23" t="s">
        <v>54</v>
      </c>
      <c r="C27" s="49">
        <f>'Avg Week KAYUNGA-GALIRAYA'!C27+'Avg Week GALIRAYA-KAYUNG'!C27</f>
        <v>2.1428571428571428</v>
      </c>
      <c r="D27" s="49">
        <f>'Avg Week KAYUNGA-GALIRAYA'!D27+'Avg Week GALIRAYA-KAYUNG'!D27</f>
        <v>0.2857142857142857</v>
      </c>
      <c r="E27" s="49">
        <f>'Avg Week KAYUNGA-GALIRAYA'!E27+'Avg Week GALIRAYA-KAYUNG'!E27</f>
        <v>1</v>
      </c>
      <c r="F27" s="49">
        <f>'Avg Week KAYUNGA-GALIRAYA'!F27+'Avg Week GALIRAYA-KAYUNG'!F27</f>
        <v>1.8571428571428572</v>
      </c>
      <c r="G27" s="49">
        <f>'Avg Week KAYUNGA-GALIRAYA'!G27+'Avg Week GALIRAYA-KAYUNG'!G27</f>
        <v>0</v>
      </c>
      <c r="H27" s="49">
        <f>'Avg Week KAYUNGA-GALIRAYA'!H27+'Avg Week GALIRAYA-KAYUNG'!H27</f>
        <v>0</v>
      </c>
      <c r="I27" s="49">
        <f>'Avg Week KAYUNGA-GALIRAYA'!I27+'Avg Week GALIRAYA-KAYUNG'!I27</f>
        <v>1.1428571428571428</v>
      </c>
      <c r="J27" s="49">
        <f>'Avg Week KAYUNGA-GALIRAYA'!J27+'Avg Week GALIRAYA-KAYUNG'!J27</f>
        <v>0.5714285714285714</v>
      </c>
      <c r="K27" s="49">
        <f>'Avg Week KAYUNGA-GALIRAYA'!K27+'Avg Week GALIRAYA-KAYUNG'!K27</f>
        <v>0</v>
      </c>
      <c r="L27" s="49">
        <f>'Avg Week KAYUNGA-GALIRAYA'!L27+'Avg Week GALIRAYA-KAYUNG'!L27</f>
        <v>0.14285714285714285</v>
      </c>
      <c r="M27" s="49">
        <f>'Avg Week KAYUNGA-GALIRAYA'!M27+'Avg Week GALIRAYA-KAYUNG'!M27</f>
        <v>26.428571428571431</v>
      </c>
      <c r="N27" s="49">
        <f>'Avg Week KAYUNGA-GALIRAYA'!N27+'Avg Week GALIRAYA-KAYUNG'!N27</f>
        <v>0</v>
      </c>
      <c r="O27" s="15">
        <f t="shared" si="0"/>
        <v>7.1428571428571432</v>
      </c>
      <c r="P27" s="15">
        <f t="shared" si="1"/>
        <v>33.571428571428577</v>
      </c>
      <c r="R27" s="1" t="s">
        <v>151</v>
      </c>
      <c r="S27" s="34">
        <f>SUM(C78:C81)</f>
        <v>2</v>
      </c>
      <c r="T27" s="34">
        <f t="shared" ref="T27:AF27" si="19">SUM(D78:D81)</f>
        <v>1</v>
      </c>
      <c r="U27" s="34">
        <f t="shared" si="19"/>
        <v>0.5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4.5</v>
      </c>
      <c r="AA27" s="34">
        <f t="shared" si="19"/>
        <v>5.5</v>
      </c>
      <c r="AB27" s="34">
        <f t="shared" si="19"/>
        <v>1</v>
      </c>
      <c r="AC27" s="34">
        <f t="shared" si="19"/>
        <v>2</v>
      </c>
      <c r="AD27" s="34">
        <f t="shared" si="19"/>
        <v>0</v>
      </c>
      <c r="AE27" s="31">
        <f t="shared" si="19"/>
        <v>18.5</v>
      </c>
      <c r="AF27" s="31">
        <f t="shared" si="19"/>
        <v>20.5</v>
      </c>
    </row>
    <row r="28" spans="2:32" ht="23.1" customHeight="1" x14ac:dyDescent="0.25">
      <c r="B28" s="23" t="s">
        <v>55</v>
      </c>
      <c r="C28" s="49">
        <f>'Avg Week KAYUNGA-GALIRAYA'!C28+'Avg Week GALIRAYA-KAYUNG'!C28</f>
        <v>1.4285714285714286</v>
      </c>
      <c r="D28" s="49">
        <f>'Avg Week KAYUNGA-GALIRAYA'!D28+'Avg Week GALIRAYA-KAYUNG'!D28</f>
        <v>0.42857142857142855</v>
      </c>
      <c r="E28" s="49">
        <f>'Avg Week KAYUNGA-GALIRAYA'!E28+'Avg Week GALIRAYA-KAYUNG'!E28</f>
        <v>0.71428571428571419</v>
      </c>
      <c r="F28" s="49">
        <f>'Avg Week KAYUNGA-GALIRAYA'!F28+'Avg Week GALIRAYA-KAYUNG'!F28</f>
        <v>3.2857142857142856</v>
      </c>
      <c r="G28" s="49">
        <f>'Avg Week KAYUNGA-GALIRAYA'!G28+'Avg Week GALIRAYA-KAYUNG'!G28</f>
        <v>0.14285714285714285</v>
      </c>
      <c r="H28" s="49">
        <f>'Avg Week KAYUNGA-GALIRAYA'!H28+'Avg Week GALIRAYA-KAYUNG'!H28</f>
        <v>0</v>
      </c>
      <c r="I28" s="49">
        <f>'Avg Week KAYUNGA-GALIRAYA'!I28+'Avg Week GALIRAYA-KAYUNG'!I28</f>
        <v>0.8571428571428571</v>
      </c>
      <c r="J28" s="49">
        <f>'Avg Week KAYUNGA-GALIRAYA'!J28+'Avg Week GALIRAYA-KAYUNG'!J28</f>
        <v>0.71428571428571419</v>
      </c>
      <c r="K28" s="49">
        <f>'Avg Week KAYUNGA-GALIRAYA'!K28+'Avg Week GALIRAYA-KAYUNG'!K28</f>
        <v>0.42857142857142855</v>
      </c>
      <c r="L28" s="49">
        <f>'Avg Week KAYUNGA-GALIRAYA'!L28+'Avg Week GALIRAYA-KAYUNG'!L28</f>
        <v>0</v>
      </c>
      <c r="M28" s="49">
        <f>'Avg Week KAYUNGA-GALIRAYA'!M28+'Avg Week GALIRAYA-KAYUNG'!M28</f>
        <v>24.714285714285715</v>
      </c>
      <c r="N28" s="49">
        <f>'Avg Week KAYUNGA-GALIRAYA'!N28+'Avg Week GALIRAYA-KAYUNG'!N28</f>
        <v>0</v>
      </c>
      <c r="O28" s="15">
        <f t="shared" si="0"/>
        <v>8</v>
      </c>
      <c r="P28" s="15">
        <f t="shared" si="1"/>
        <v>32.714285714285715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0.5</v>
      </c>
      <c r="AA28" s="34">
        <f t="shared" si="20"/>
        <v>2.5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5.5</v>
      </c>
      <c r="AF28" s="31">
        <f t="shared" si="20"/>
        <v>8.5</v>
      </c>
    </row>
    <row r="29" spans="2:32" ht="23.1" customHeight="1" x14ac:dyDescent="0.25">
      <c r="B29" s="23" t="s">
        <v>56</v>
      </c>
      <c r="C29" s="49">
        <f>'Avg Week KAYUNGA-GALIRAYA'!C29+'Avg Week GALIRAYA-KAYUNG'!C29</f>
        <v>1.7142857142857142</v>
      </c>
      <c r="D29" s="49">
        <f>'Avg Week KAYUNGA-GALIRAYA'!D29+'Avg Week GALIRAYA-KAYUNG'!D29</f>
        <v>0.14285714285714285</v>
      </c>
      <c r="E29" s="49">
        <f>'Avg Week KAYUNGA-GALIRAYA'!E29+'Avg Week GALIRAYA-KAYUNG'!E29</f>
        <v>1</v>
      </c>
      <c r="F29" s="49">
        <f>'Avg Week KAYUNGA-GALIRAYA'!F29+'Avg Week GALIRAYA-KAYUNG'!F29</f>
        <v>2</v>
      </c>
      <c r="G29" s="49">
        <f>'Avg Week KAYUNGA-GALIRAYA'!G29+'Avg Week GALIRAYA-KAYUNG'!G29</f>
        <v>0.14285714285714285</v>
      </c>
      <c r="H29" s="49">
        <f>'Avg Week KAYUNGA-GALIRAYA'!H29+'Avg Week GALIRAYA-KAYUNG'!H29</f>
        <v>0</v>
      </c>
      <c r="I29" s="49">
        <f>'Avg Week KAYUNGA-GALIRAYA'!I29+'Avg Week GALIRAYA-KAYUNG'!I29</f>
        <v>1.8571428571428572</v>
      </c>
      <c r="J29" s="49">
        <f>'Avg Week KAYUNGA-GALIRAYA'!J29+'Avg Week GALIRAYA-KAYUNG'!J29</f>
        <v>0.85714285714285721</v>
      </c>
      <c r="K29" s="49">
        <f>'Avg Week KAYUNGA-GALIRAYA'!K29+'Avg Week GALIRAYA-KAYUNG'!K29</f>
        <v>0</v>
      </c>
      <c r="L29" s="49">
        <f>'Avg Week KAYUNGA-GALIRAYA'!L29+'Avg Week GALIRAYA-KAYUNG'!L29</f>
        <v>0.14285714285714285</v>
      </c>
      <c r="M29" s="49">
        <f>'Avg Week KAYUNGA-GALIRAYA'!M29+'Avg Week GALIRAYA-KAYUNG'!M29</f>
        <v>24</v>
      </c>
      <c r="N29" s="49">
        <f>'Avg Week KAYUNGA-GALIRAYA'!N29+'Avg Week GALIRAYA-KAYUNG'!N29</f>
        <v>0</v>
      </c>
      <c r="O29" s="15">
        <f t="shared" si="0"/>
        <v>7.8571428571428585</v>
      </c>
      <c r="P29" s="15">
        <f t="shared" si="1"/>
        <v>31.857142857142858</v>
      </c>
      <c r="R29" s="1" t="s">
        <v>153</v>
      </c>
      <c r="S29" s="34">
        <f>SUM(C86:C89)</f>
        <v>0</v>
      </c>
      <c r="T29" s="34">
        <f t="shared" ref="T29:AF29" si="21">SUM(D86:D89)</f>
        <v>1</v>
      </c>
      <c r="U29" s="34">
        <f t="shared" si="21"/>
        <v>0.5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1</v>
      </c>
      <c r="AA29" s="34">
        <f t="shared" si="21"/>
        <v>1</v>
      </c>
      <c r="AB29" s="34">
        <f t="shared" si="21"/>
        <v>0</v>
      </c>
      <c r="AC29" s="34">
        <f t="shared" si="21"/>
        <v>0.5</v>
      </c>
      <c r="AD29" s="34">
        <f t="shared" si="21"/>
        <v>0</v>
      </c>
      <c r="AE29" s="31">
        <f t="shared" si="21"/>
        <v>6</v>
      </c>
      <c r="AF29" s="31">
        <f t="shared" si="21"/>
        <v>6.5</v>
      </c>
    </row>
    <row r="30" spans="2:32" ht="23.1" customHeight="1" x14ac:dyDescent="0.25">
      <c r="B30" s="23" t="s">
        <v>57</v>
      </c>
      <c r="C30" s="49">
        <f>'Avg Week KAYUNGA-GALIRAYA'!C30+'Avg Week GALIRAYA-KAYUNG'!C30</f>
        <v>1.8571428571428572</v>
      </c>
      <c r="D30" s="49">
        <f>'Avg Week KAYUNGA-GALIRAYA'!D30+'Avg Week GALIRAYA-KAYUNG'!D30</f>
        <v>0.42857142857142855</v>
      </c>
      <c r="E30" s="49">
        <f>'Avg Week KAYUNGA-GALIRAYA'!E30+'Avg Week GALIRAYA-KAYUNG'!E30</f>
        <v>0.42857142857142855</v>
      </c>
      <c r="F30" s="49">
        <f>'Avg Week KAYUNGA-GALIRAYA'!F30+'Avg Week GALIRAYA-KAYUNG'!F30</f>
        <v>3.5714285714285712</v>
      </c>
      <c r="G30" s="49">
        <f>'Avg Week KAYUNGA-GALIRAYA'!G30+'Avg Week GALIRAYA-KAYUNG'!G30</f>
        <v>0</v>
      </c>
      <c r="H30" s="49">
        <f>'Avg Week KAYUNGA-GALIRAYA'!H30+'Avg Week GALIRAYA-KAYUNG'!H30</f>
        <v>0</v>
      </c>
      <c r="I30" s="49">
        <f>'Avg Week KAYUNGA-GALIRAYA'!I30+'Avg Week GALIRAYA-KAYUNG'!I30</f>
        <v>1.1428571428571428</v>
      </c>
      <c r="J30" s="49">
        <f>'Avg Week KAYUNGA-GALIRAYA'!J30+'Avg Week GALIRAYA-KAYUNG'!J30</f>
        <v>1.2857142857142856</v>
      </c>
      <c r="K30" s="49">
        <f>'Avg Week KAYUNGA-GALIRAYA'!K30+'Avg Week GALIRAYA-KAYUNG'!K30</f>
        <v>0.42857142857142855</v>
      </c>
      <c r="L30" s="49">
        <f>'Avg Week KAYUNGA-GALIRAYA'!L30+'Avg Week GALIRAYA-KAYUNG'!L30</f>
        <v>0</v>
      </c>
      <c r="M30" s="49">
        <f>'Avg Week KAYUNGA-GALIRAYA'!M30+'Avg Week GALIRAYA-KAYUNG'!M30</f>
        <v>26</v>
      </c>
      <c r="N30" s="49">
        <f>'Avg Week KAYUNGA-GALIRAYA'!N30+'Avg Week GALIRAYA-KAYUNG'!N30</f>
        <v>0</v>
      </c>
      <c r="O30" s="15">
        <f t="shared" si="0"/>
        <v>9.1428571428571406</v>
      </c>
      <c r="P30" s="15">
        <f t="shared" si="1"/>
        <v>35.142857142857139</v>
      </c>
      <c r="R30" s="1" t="s">
        <v>154</v>
      </c>
      <c r="S30" s="34">
        <f>SUM(C90:C93)</f>
        <v>0.5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2.5</v>
      </c>
      <c r="AA30" s="34">
        <f t="shared" si="22"/>
        <v>2.5</v>
      </c>
      <c r="AB30" s="34">
        <f t="shared" si="22"/>
        <v>0</v>
      </c>
      <c r="AC30" s="34">
        <f t="shared" si="22"/>
        <v>0.5</v>
      </c>
      <c r="AD30" s="34">
        <f t="shared" si="22"/>
        <v>0</v>
      </c>
      <c r="AE30" s="31">
        <f t="shared" si="22"/>
        <v>6.5</v>
      </c>
      <c r="AF30" s="31">
        <f t="shared" si="22"/>
        <v>7</v>
      </c>
    </row>
    <row r="31" spans="2:32" ht="23.1" customHeight="1" x14ac:dyDescent="0.25">
      <c r="B31" s="24" t="s">
        <v>58</v>
      </c>
      <c r="C31" s="49">
        <f>'Avg Week KAYUNGA-GALIRAYA'!C31+'Avg Week GALIRAYA-KAYUNG'!C31</f>
        <v>1</v>
      </c>
      <c r="D31" s="49">
        <f>'Avg Week KAYUNGA-GALIRAYA'!D31+'Avg Week GALIRAYA-KAYUNG'!D31</f>
        <v>0.71428571428571419</v>
      </c>
      <c r="E31" s="49">
        <f>'Avg Week KAYUNGA-GALIRAYA'!E31+'Avg Week GALIRAYA-KAYUNG'!E31</f>
        <v>0.71428571428571419</v>
      </c>
      <c r="F31" s="49">
        <f>'Avg Week KAYUNGA-GALIRAYA'!F31+'Avg Week GALIRAYA-KAYUNG'!F31</f>
        <v>1.5714285714285714</v>
      </c>
      <c r="G31" s="49">
        <f>'Avg Week KAYUNGA-GALIRAYA'!G31+'Avg Week GALIRAYA-KAYUNG'!G31</f>
        <v>0</v>
      </c>
      <c r="H31" s="49">
        <f>'Avg Week KAYUNGA-GALIRAYA'!H31+'Avg Week GALIRAYA-KAYUNG'!H31</f>
        <v>0</v>
      </c>
      <c r="I31" s="49">
        <f>'Avg Week KAYUNGA-GALIRAYA'!I31+'Avg Week GALIRAYA-KAYUNG'!I31</f>
        <v>0.85714285714285721</v>
      </c>
      <c r="J31" s="49">
        <f>'Avg Week KAYUNGA-GALIRAYA'!J31+'Avg Week GALIRAYA-KAYUNG'!J31</f>
        <v>0.71428571428571419</v>
      </c>
      <c r="K31" s="49">
        <f>'Avg Week KAYUNGA-GALIRAYA'!K31+'Avg Week GALIRAYA-KAYUNG'!K31</f>
        <v>0.2857142857142857</v>
      </c>
      <c r="L31" s="49">
        <f>'Avg Week KAYUNGA-GALIRAYA'!L31+'Avg Week GALIRAYA-KAYUNG'!L31</f>
        <v>0.2857142857142857</v>
      </c>
      <c r="M31" s="49">
        <f>'Avg Week KAYUNGA-GALIRAYA'!M31+'Avg Week GALIRAYA-KAYUNG'!M31</f>
        <v>18.428571428571431</v>
      </c>
      <c r="N31" s="49">
        <f>'Avg Week KAYUNGA-GALIRAYA'!N31+'Avg Week GALIRAYA-KAYUNG'!N31</f>
        <v>0.14285714285714285</v>
      </c>
      <c r="O31" s="15">
        <f t="shared" si="0"/>
        <v>6.2857142857142865</v>
      </c>
      <c r="P31" s="15">
        <f t="shared" si="1"/>
        <v>24.714285714285715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0.5</v>
      </c>
      <c r="W31" s="34">
        <f t="shared" si="23"/>
        <v>0.5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1</v>
      </c>
      <c r="AB31" s="34">
        <f t="shared" si="23"/>
        <v>0.5</v>
      </c>
      <c r="AC31" s="34">
        <f t="shared" si="23"/>
        <v>2</v>
      </c>
      <c r="AD31" s="34">
        <f t="shared" si="23"/>
        <v>0</v>
      </c>
      <c r="AE31" s="31">
        <f t="shared" si="23"/>
        <v>7</v>
      </c>
      <c r="AF31" s="31">
        <f t="shared" si="23"/>
        <v>9</v>
      </c>
    </row>
    <row r="32" spans="2:32" ht="23.1" customHeight="1" x14ac:dyDescent="0.25">
      <c r="B32" s="24" t="s">
        <v>59</v>
      </c>
      <c r="C32" s="49">
        <f>'Avg Week KAYUNGA-GALIRAYA'!C32+'Avg Week GALIRAYA-KAYUNG'!C32</f>
        <v>2.4285714285714288</v>
      </c>
      <c r="D32" s="49">
        <f>'Avg Week KAYUNGA-GALIRAYA'!D32+'Avg Week GALIRAYA-KAYUNG'!D32</f>
        <v>0.71428571428571419</v>
      </c>
      <c r="E32" s="49">
        <f>'Avg Week KAYUNGA-GALIRAYA'!E32+'Avg Week GALIRAYA-KAYUNG'!E32</f>
        <v>1</v>
      </c>
      <c r="F32" s="49">
        <f>'Avg Week KAYUNGA-GALIRAYA'!F32+'Avg Week GALIRAYA-KAYUNG'!F32</f>
        <v>3</v>
      </c>
      <c r="G32" s="49">
        <f>'Avg Week KAYUNGA-GALIRAYA'!G32+'Avg Week GALIRAYA-KAYUNG'!G32</f>
        <v>0.2857142857142857</v>
      </c>
      <c r="H32" s="49">
        <f>'Avg Week KAYUNGA-GALIRAYA'!H32+'Avg Week GALIRAYA-KAYUNG'!H32</f>
        <v>0</v>
      </c>
      <c r="I32" s="49">
        <f>'Avg Week KAYUNGA-GALIRAYA'!I32+'Avg Week GALIRAYA-KAYUNG'!I32</f>
        <v>2.1428571428571428</v>
      </c>
      <c r="J32" s="49">
        <f>'Avg Week KAYUNGA-GALIRAYA'!J32+'Avg Week GALIRAYA-KAYUNG'!J32</f>
        <v>0.8571428571428571</v>
      </c>
      <c r="K32" s="49">
        <f>'Avg Week KAYUNGA-GALIRAYA'!K32+'Avg Week GALIRAYA-KAYUNG'!K32</f>
        <v>0</v>
      </c>
      <c r="L32" s="49">
        <f>'Avg Week KAYUNGA-GALIRAYA'!L32+'Avg Week GALIRAYA-KAYUNG'!L32</f>
        <v>0.14285714285714285</v>
      </c>
      <c r="M32" s="49">
        <f>'Avg Week KAYUNGA-GALIRAYA'!M32+'Avg Week GALIRAYA-KAYUNG'!M32</f>
        <v>30.571428571428569</v>
      </c>
      <c r="N32" s="49">
        <f>'Avg Week KAYUNGA-GALIRAYA'!N32+'Avg Week GALIRAYA-KAYUNG'!N32</f>
        <v>0</v>
      </c>
      <c r="O32" s="15">
        <f t="shared" si="0"/>
        <v>10.571428571428571</v>
      </c>
      <c r="P32" s="15">
        <f t="shared" si="1"/>
        <v>41.142857142857139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3.5</v>
      </c>
      <c r="W32" s="34">
        <f t="shared" si="24"/>
        <v>0.5</v>
      </c>
      <c r="X32" s="34">
        <f t="shared" si="24"/>
        <v>0</v>
      </c>
      <c r="Y32" s="34">
        <f t="shared" si="24"/>
        <v>0.5</v>
      </c>
      <c r="Z32" s="34">
        <f t="shared" si="24"/>
        <v>3</v>
      </c>
      <c r="AA32" s="34">
        <f t="shared" si="24"/>
        <v>3</v>
      </c>
      <c r="AB32" s="34">
        <f t="shared" si="24"/>
        <v>0</v>
      </c>
      <c r="AC32" s="34">
        <f t="shared" si="24"/>
        <v>5</v>
      </c>
      <c r="AD32" s="34">
        <f t="shared" si="24"/>
        <v>0</v>
      </c>
      <c r="AE32" s="31">
        <f t="shared" si="24"/>
        <v>11</v>
      </c>
      <c r="AF32" s="31">
        <f t="shared" si="24"/>
        <v>16</v>
      </c>
    </row>
    <row r="33" spans="2:32" ht="23.1" customHeight="1" x14ac:dyDescent="0.25">
      <c r="B33" s="23" t="s">
        <v>60</v>
      </c>
      <c r="C33" s="49">
        <f>'Avg Week KAYUNGA-GALIRAYA'!C33+'Avg Week GALIRAYA-KAYUNG'!C33</f>
        <v>2.2857142857142856</v>
      </c>
      <c r="D33" s="49">
        <f>'Avg Week KAYUNGA-GALIRAYA'!D33+'Avg Week GALIRAYA-KAYUNG'!D33</f>
        <v>0.5714285714285714</v>
      </c>
      <c r="E33" s="49">
        <f>'Avg Week KAYUNGA-GALIRAYA'!E33+'Avg Week GALIRAYA-KAYUNG'!E33</f>
        <v>1.1428571428571428</v>
      </c>
      <c r="F33" s="49">
        <f>'Avg Week KAYUNGA-GALIRAYA'!F33+'Avg Week GALIRAYA-KAYUNG'!F33</f>
        <v>2.1428571428571428</v>
      </c>
      <c r="G33" s="49">
        <f>'Avg Week KAYUNGA-GALIRAYA'!G33+'Avg Week GALIRAYA-KAYUNG'!G33</f>
        <v>0.14285714285714285</v>
      </c>
      <c r="H33" s="49">
        <f>'Avg Week KAYUNGA-GALIRAYA'!H33+'Avg Week GALIRAYA-KAYUNG'!H33</f>
        <v>0.5714285714285714</v>
      </c>
      <c r="I33" s="49">
        <f>'Avg Week KAYUNGA-GALIRAYA'!I33+'Avg Week GALIRAYA-KAYUNG'!I33</f>
        <v>0.71428571428571419</v>
      </c>
      <c r="J33" s="49">
        <f>'Avg Week KAYUNGA-GALIRAYA'!J33+'Avg Week GALIRAYA-KAYUNG'!J33</f>
        <v>0.42857142857142855</v>
      </c>
      <c r="K33" s="49">
        <f>'Avg Week KAYUNGA-GALIRAYA'!K33+'Avg Week GALIRAYA-KAYUNG'!K33</f>
        <v>0.5714285714285714</v>
      </c>
      <c r="L33" s="49">
        <f>'Avg Week KAYUNGA-GALIRAYA'!L33+'Avg Week GALIRAYA-KAYUNG'!L33</f>
        <v>0.2857142857142857</v>
      </c>
      <c r="M33" s="49">
        <f>'Avg Week KAYUNGA-GALIRAYA'!M33+'Avg Week GALIRAYA-KAYUNG'!M33</f>
        <v>23.428571428571427</v>
      </c>
      <c r="N33" s="49">
        <f>'Avg Week KAYUNGA-GALIRAYA'!N33+'Avg Week GALIRAYA-KAYUNG'!N33</f>
        <v>0</v>
      </c>
      <c r="O33" s="15">
        <f t="shared" si="0"/>
        <v>8.8571428571428577</v>
      </c>
      <c r="P33" s="15">
        <f t="shared" si="1"/>
        <v>32.285714285714285</v>
      </c>
      <c r="R33" s="1" t="s">
        <v>157</v>
      </c>
      <c r="S33" s="34">
        <f>SUM(C102:C105)</f>
        <v>1.5</v>
      </c>
      <c r="T33" s="34">
        <f t="shared" ref="T33:AF33" si="25">SUM(D102:D105)</f>
        <v>0</v>
      </c>
      <c r="U33" s="34">
        <f t="shared" si="25"/>
        <v>0.5</v>
      </c>
      <c r="V33" s="34">
        <f t="shared" si="25"/>
        <v>4</v>
      </c>
      <c r="W33" s="34">
        <f t="shared" si="25"/>
        <v>0</v>
      </c>
      <c r="X33" s="34">
        <f t="shared" si="25"/>
        <v>0</v>
      </c>
      <c r="Y33" s="34">
        <f t="shared" si="25"/>
        <v>1.5</v>
      </c>
      <c r="Z33" s="34">
        <f t="shared" si="25"/>
        <v>0</v>
      </c>
      <c r="AA33" s="34">
        <f t="shared" si="25"/>
        <v>6.5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14</v>
      </c>
      <c r="AF33" s="31">
        <f t="shared" si="25"/>
        <v>28</v>
      </c>
    </row>
    <row r="34" spans="2:32" ht="23.1" customHeight="1" x14ac:dyDescent="0.25">
      <c r="B34" s="24" t="s">
        <v>61</v>
      </c>
      <c r="C34" s="49">
        <f>'Avg Week KAYUNGA-GALIRAYA'!C34+'Avg Week GALIRAYA-KAYUNG'!C34</f>
        <v>1.5714285714285714</v>
      </c>
      <c r="D34" s="49">
        <f>'Avg Week KAYUNGA-GALIRAYA'!D34+'Avg Week GALIRAYA-KAYUNG'!D34</f>
        <v>0.71428571428571419</v>
      </c>
      <c r="E34" s="49">
        <f>'Avg Week KAYUNGA-GALIRAYA'!E34+'Avg Week GALIRAYA-KAYUNG'!E34</f>
        <v>0.2857142857142857</v>
      </c>
      <c r="F34" s="49">
        <f>'Avg Week KAYUNGA-GALIRAYA'!F34+'Avg Week GALIRAYA-KAYUNG'!F34</f>
        <v>2</v>
      </c>
      <c r="G34" s="49">
        <f>'Avg Week KAYUNGA-GALIRAYA'!G34+'Avg Week GALIRAYA-KAYUNG'!G34</f>
        <v>0</v>
      </c>
      <c r="H34" s="49">
        <f>'Avg Week KAYUNGA-GALIRAYA'!H34+'Avg Week GALIRAYA-KAYUNG'!H34</f>
        <v>0</v>
      </c>
      <c r="I34" s="49">
        <f>'Avg Week KAYUNGA-GALIRAYA'!I34+'Avg Week GALIRAYA-KAYUNG'!I34</f>
        <v>1.1428571428571428</v>
      </c>
      <c r="J34" s="49">
        <f>'Avg Week KAYUNGA-GALIRAYA'!J34+'Avg Week GALIRAYA-KAYUNG'!J34</f>
        <v>0.71428571428571419</v>
      </c>
      <c r="K34" s="49">
        <f>'Avg Week KAYUNGA-GALIRAYA'!K34+'Avg Week GALIRAYA-KAYUNG'!K34</f>
        <v>0</v>
      </c>
      <c r="L34" s="49">
        <f>'Avg Week KAYUNGA-GALIRAYA'!L34+'Avg Week GALIRAYA-KAYUNG'!L34</f>
        <v>0.42857142857142855</v>
      </c>
      <c r="M34" s="49">
        <f>'Avg Week KAYUNGA-GALIRAYA'!M34+'Avg Week GALIRAYA-KAYUNG'!M34</f>
        <v>24</v>
      </c>
      <c r="N34" s="49">
        <f>'Avg Week KAYUNGA-GALIRAYA'!N34+'Avg Week GALIRAYA-KAYUNG'!N34</f>
        <v>0</v>
      </c>
      <c r="O34" s="15">
        <f t="shared" si="0"/>
        <v>6.8571428571428568</v>
      </c>
      <c r="P34" s="15">
        <f t="shared" si="1"/>
        <v>30.857142857142858</v>
      </c>
      <c r="R34" s="53" t="s">
        <v>90</v>
      </c>
      <c r="S34" s="54">
        <f t="shared" ref="S34:AF34" si="26">MAX(S10:S12)</f>
        <v>5.5714285714285712</v>
      </c>
      <c r="T34" s="54">
        <f t="shared" si="26"/>
        <v>1.7142857142857142</v>
      </c>
      <c r="U34" s="54">
        <f t="shared" si="26"/>
        <v>3.5714285714285712</v>
      </c>
      <c r="V34" s="54">
        <f t="shared" si="26"/>
        <v>9.2857142857142847</v>
      </c>
      <c r="W34" s="54">
        <f t="shared" si="26"/>
        <v>0.42857142857142855</v>
      </c>
      <c r="X34" s="54">
        <f t="shared" si="26"/>
        <v>0.99999999999999978</v>
      </c>
      <c r="Y34" s="54">
        <f t="shared" si="26"/>
        <v>6</v>
      </c>
      <c r="Z34" s="54">
        <f t="shared" si="26"/>
        <v>3.7142857142857135</v>
      </c>
      <c r="AA34" s="54">
        <f t="shared" si="26"/>
        <v>5</v>
      </c>
      <c r="AB34" s="54">
        <f t="shared" si="26"/>
        <v>0.42857142857142855</v>
      </c>
      <c r="AC34" s="54">
        <f t="shared" si="26"/>
        <v>77.857142857142861</v>
      </c>
      <c r="AD34" s="54">
        <f t="shared" si="26"/>
        <v>1.2857142857142858</v>
      </c>
      <c r="AE34" s="40">
        <f t="shared" si="26"/>
        <v>31.142857142857139</v>
      </c>
      <c r="AF34" s="40">
        <f t="shared" si="26"/>
        <v>109</v>
      </c>
    </row>
    <row r="35" spans="2:32" ht="23.1" customHeight="1" x14ac:dyDescent="0.25">
      <c r="B35" s="24" t="s">
        <v>62</v>
      </c>
      <c r="C35" s="49">
        <f>'Avg Week KAYUNGA-GALIRAYA'!C35+'Avg Week GALIRAYA-KAYUNG'!C35</f>
        <v>2.5714285714285712</v>
      </c>
      <c r="D35" s="49">
        <f>'Avg Week KAYUNGA-GALIRAYA'!D35+'Avg Week GALIRAYA-KAYUNG'!D35</f>
        <v>0.2857142857142857</v>
      </c>
      <c r="E35" s="49">
        <f>'Avg Week KAYUNGA-GALIRAYA'!E35+'Avg Week GALIRAYA-KAYUNG'!E35</f>
        <v>0.42857142857142855</v>
      </c>
      <c r="F35" s="49">
        <f>'Avg Week KAYUNGA-GALIRAYA'!F35+'Avg Week GALIRAYA-KAYUNG'!F35</f>
        <v>2.8571428571428572</v>
      </c>
      <c r="G35" s="49">
        <f>'Avg Week KAYUNGA-GALIRAYA'!G35+'Avg Week GALIRAYA-KAYUNG'!G35</f>
        <v>0</v>
      </c>
      <c r="H35" s="49">
        <f>'Avg Week KAYUNGA-GALIRAYA'!H35+'Avg Week GALIRAYA-KAYUNG'!H35</f>
        <v>0</v>
      </c>
      <c r="I35" s="49">
        <f>'Avg Week KAYUNGA-GALIRAYA'!I35+'Avg Week GALIRAYA-KAYUNG'!I35</f>
        <v>0.71428571428571419</v>
      </c>
      <c r="J35" s="49">
        <f>'Avg Week KAYUNGA-GALIRAYA'!J35+'Avg Week GALIRAYA-KAYUNG'!J35</f>
        <v>0.5714285714285714</v>
      </c>
      <c r="K35" s="49">
        <f>'Avg Week KAYUNGA-GALIRAYA'!K35+'Avg Week GALIRAYA-KAYUNG'!K35</f>
        <v>0.14285714285714285</v>
      </c>
      <c r="L35" s="49">
        <f>'Avg Week KAYUNGA-GALIRAYA'!L35+'Avg Week GALIRAYA-KAYUNG'!L35</f>
        <v>0.2857142857142857</v>
      </c>
      <c r="M35" s="49">
        <f>'Avg Week KAYUNGA-GALIRAYA'!M35+'Avg Week GALIRAYA-KAYUNG'!M35</f>
        <v>26.285714285714285</v>
      </c>
      <c r="N35" s="49">
        <f>'Avg Week KAYUNGA-GALIRAYA'!N35+'Avg Week GALIRAYA-KAYUNG'!N35</f>
        <v>0.14285714285714285</v>
      </c>
      <c r="O35" s="15">
        <f t="shared" si="0"/>
        <v>8</v>
      </c>
      <c r="P35" s="15">
        <f t="shared" si="1"/>
        <v>34.285714285714285</v>
      </c>
      <c r="R35" s="53" t="s">
        <v>91</v>
      </c>
      <c r="S35" s="54">
        <f t="shared" ref="S35:AF35" si="27">MAX(S13:S18)</f>
        <v>9.1428571428571423</v>
      </c>
      <c r="T35" s="54">
        <f t="shared" si="27"/>
        <v>2.4285714285714284</v>
      </c>
      <c r="U35" s="54">
        <f t="shared" si="27"/>
        <v>3.2857142857142856</v>
      </c>
      <c r="V35" s="54">
        <f t="shared" si="27"/>
        <v>12.142857142857142</v>
      </c>
      <c r="W35" s="54">
        <f t="shared" si="27"/>
        <v>0.71428571428571419</v>
      </c>
      <c r="X35" s="54">
        <f t="shared" si="27"/>
        <v>1.2857142857142856</v>
      </c>
      <c r="Y35" s="54">
        <f t="shared" si="27"/>
        <v>7.7142857142857135</v>
      </c>
      <c r="Z35" s="54">
        <f t="shared" si="27"/>
        <v>3.2857142857142851</v>
      </c>
      <c r="AA35" s="54">
        <f t="shared" si="27"/>
        <v>1.2857142857142856</v>
      </c>
      <c r="AB35" s="54">
        <f t="shared" si="27"/>
        <v>1.5714285714285712</v>
      </c>
      <c r="AC35" s="54">
        <f t="shared" si="27"/>
        <v>98.428571428571431</v>
      </c>
      <c r="AD35" s="54">
        <f t="shared" si="27"/>
        <v>0.2857142857142857</v>
      </c>
      <c r="AE35" s="40">
        <f t="shared" si="27"/>
        <v>36.857142857142854</v>
      </c>
      <c r="AF35" s="40">
        <f t="shared" si="27"/>
        <v>133.28571428571428</v>
      </c>
    </row>
    <row r="36" spans="2:32" ht="23.1" customHeight="1" x14ac:dyDescent="0.25">
      <c r="B36" s="24" t="s">
        <v>63</v>
      </c>
      <c r="C36" s="49">
        <f>'Avg Week KAYUNGA-GALIRAYA'!C36+'Avg Week GALIRAYA-KAYUNG'!C36</f>
        <v>3.2857142857142856</v>
      </c>
      <c r="D36" s="49">
        <f>'Avg Week KAYUNGA-GALIRAYA'!D36+'Avg Week GALIRAYA-KAYUNG'!D36</f>
        <v>0.14285714285714285</v>
      </c>
      <c r="E36" s="49">
        <f>'Avg Week KAYUNGA-GALIRAYA'!E36+'Avg Week GALIRAYA-KAYUNG'!E36</f>
        <v>0.8571428571428571</v>
      </c>
      <c r="F36" s="49">
        <f>'Avg Week KAYUNGA-GALIRAYA'!F36+'Avg Week GALIRAYA-KAYUNG'!F36</f>
        <v>3.1428571428571428</v>
      </c>
      <c r="G36" s="49">
        <f>'Avg Week KAYUNGA-GALIRAYA'!G36+'Avg Week GALIRAYA-KAYUNG'!G36</f>
        <v>0.42857142857142855</v>
      </c>
      <c r="H36" s="49">
        <f>'Avg Week KAYUNGA-GALIRAYA'!H36+'Avg Week GALIRAYA-KAYUNG'!H36</f>
        <v>0</v>
      </c>
      <c r="I36" s="49">
        <f>'Avg Week KAYUNGA-GALIRAYA'!I36+'Avg Week GALIRAYA-KAYUNG'!I36</f>
        <v>0.8571428571428571</v>
      </c>
      <c r="J36" s="49">
        <f>'Avg Week KAYUNGA-GALIRAYA'!J36+'Avg Week GALIRAYA-KAYUNG'!J36</f>
        <v>0.71428571428571419</v>
      </c>
      <c r="K36" s="49">
        <f>'Avg Week KAYUNGA-GALIRAYA'!K36+'Avg Week GALIRAYA-KAYUNG'!K36</f>
        <v>0.14285714285714285</v>
      </c>
      <c r="L36" s="49">
        <f>'Avg Week KAYUNGA-GALIRAYA'!L36+'Avg Week GALIRAYA-KAYUNG'!L36</f>
        <v>0.2857142857142857</v>
      </c>
      <c r="M36" s="49">
        <f>'Avg Week KAYUNGA-GALIRAYA'!M36+'Avg Week GALIRAYA-KAYUNG'!M36</f>
        <v>24.857142857142854</v>
      </c>
      <c r="N36" s="49">
        <f>'Avg Week KAYUNGA-GALIRAYA'!N36+'Avg Week GALIRAYA-KAYUNG'!N36</f>
        <v>0</v>
      </c>
      <c r="O36" s="15">
        <f t="shared" si="0"/>
        <v>9.8571428571428577</v>
      </c>
      <c r="P36" s="15">
        <f t="shared" si="1"/>
        <v>34.714285714285708</v>
      </c>
      <c r="R36" s="53" t="s">
        <v>92</v>
      </c>
      <c r="S36" s="54">
        <f t="shared" ref="S36:AF36" si="28">MAX(S19:S21)</f>
        <v>10</v>
      </c>
      <c r="T36" s="54">
        <f t="shared" si="28"/>
        <v>3.4285714285714284</v>
      </c>
      <c r="U36" s="54">
        <f t="shared" si="28"/>
        <v>4.1428571428571423</v>
      </c>
      <c r="V36" s="54">
        <f t="shared" si="28"/>
        <v>13.142857142857141</v>
      </c>
      <c r="W36" s="54">
        <f t="shared" si="28"/>
        <v>0.8571428571428571</v>
      </c>
      <c r="X36" s="54">
        <f t="shared" si="28"/>
        <v>0.8571428571428571</v>
      </c>
      <c r="Y36" s="54">
        <f t="shared" si="28"/>
        <v>8</v>
      </c>
      <c r="Z36" s="54">
        <f t="shared" si="28"/>
        <v>3.8571428571428568</v>
      </c>
      <c r="AA36" s="54">
        <f t="shared" si="28"/>
        <v>3.1428571428571423</v>
      </c>
      <c r="AB36" s="54">
        <f t="shared" si="28"/>
        <v>0.99999999999999989</v>
      </c>
      <c r="AC36" s="54">
        <f t="shared" si="28"/>
        <v>89</v>
      </c>
      <c r="AD36" s="54">
        <f t="shared" si="28"/>
        <v>0.14285714285714285</v>
      </c>
      <c r="AE36" s="40">
        <f t="shared" si="28"/>
        <v>42.857142857142854</v>
      </c>
      <c r="AF36" s="40">
        <f t="shared" si="28"/>
        <v>130.14285714285714</v>
      </c>
    </row>
    <row r="37" spans="2:32" ht="23.1" customHeight="1" x14ac:dyDescent="0.25">
      <c r="B37" s="23" t="s">
        <v>64</v>
      </c>
      <c r="C37" s="49">
        <f>'Avg Week KAYUNGA-GALIRAYA'!C37+'Avg Week GALIRAYA-KAYUNG'!C37</f>
        <v>1.7142857142857144</v>
      </c>
      <c r="D37" s="49">
        <f>'Avg Week KAYUNGA-GALIRAYA'!D37+'Avg Week GALIRAYA-KAYUNG'!D37</f>
        <v>0.42857142857142855</v>
      </c>
      <c r="E37" s="49">
        <f>'Avg Week KAYUNGA-GALIRAYA'!E37+'Avg Week GALIRAYA-KAYUNG'!E37</f>
        <v>1.2857142857142856</v>
      </c>
      <c r="F37" s="49">
        <f>'Avg Week KAYUNGA-GALIRAYA'!F37+'Avg Week GALIRAYA-KAYUNG'!F37</f>
        <v>4.1428571428571432</v>
      </c>
      <c r="G37" s="49">
        <f>'Avg Week KAYUNGA-GALIRAYA'!G37+'Avg Week GALIRAYA-KAYUNG'!G37</f>
        <v>0.14285714285714285</v>
      </c>
      <c r="H37" s="49">
        <f>'Avg Week KAYUNGA-GALIRAYA'!H37+'Avg Week GALIRAYA-KAYUNG'!H37</f>
        <v>0</v>
      </c>
      <c r="I37" s="49">
        <f>'Avg Week KAYUNGA-GALIRAYA'!I37+'Avg Week GALIRAYA-KAYUNG'!I37</f>
        <v>1.5714285714285714</v>
      </c>
      <c r="J37" s="49">
        <f>'Avg Week KAYUNGA-GALIRAYA'!J37+'Avg Week GALIRAYA-KAYUNG'!J37</f>
        <v>1.1428571428571428</v>
      </c>
      <c r="K37" s="49">
        <f>'Avg Week KAYUNGA-GALIRAYA'!K37+'Avg Week GALIRAYA-KAYUNG'!K37</f>
        <v>0.14285714285714285</v>
      </c>
      <c r="L37" s="49">
        <f>'Avg Week KAYUNGA-GALIRAYA'!L37+'Avg Week GALIRAYA-KAYUNG'!L37</f>
        <v>0.5714285714285714</v>
      </c>
      <c r="M37" s="49">
        <f>'Avg Week KAYUNGA-GALIRAYA'!M37+'Avg Week GALIRAYA-KAYUNG'!M37</f>
        <v>18.571428571428573</v>
      </c>
      <c r="N37" s="49">
        <f>'Avg Week KAYUNGA-GALIRAYA'!N37+'Avg Week GALIRAYA-KAYUNG'!N37</f>
        <v>0.14285714285714285</v>
      </c>
      <c r="O37" s="15">
        <f t="shared" si="0"/>
        <v>11.285714285714285</v>
      </c>
      <c r="P37" s="15">
        <f t="shared" si="1"/>
        <v>29.857142857142858</v>
      </c>
      <c r="R37" s="37" t="s">
        <v>85</v>
      </c>
      <c r="S37" s="55">
        <f t="shared" ref="S37:AF37" si="29">SUM(S10:S12)</f>
        <v>12.428571428571427</v>
      </c>
      <c r="T37" s="56">
        <f t="shared" si="29"/>
        <v>3.2857142857142856</v>
      </c>
      <c r="U37" s="56">
        <f t="shared" si="29"/>
        <v>6.5714285714285712</v>
      </c>
      <c r="V37" s="56">
        <f t="shared" si="29"/>
        <v>23.857142857142854</v>
      </c>
      <c r="W37" s="56">
        <f t="shared" si="29"/>
        <v>0.8571428571428571</v>
      </c>
      <c r="X37" s="56">
        <f t="shared" si="29"/>
        <v>1.4285714285714284</v>
      </c>
      <c r="Y37" s="56">
        <f t="shared" si="29"/>
        <v>16.714285714285715</v>
      </c>
      <c r="Z37" s="56">
        <f t="shared" si="29"/>
        <v>8.5714285714285712</v>
      </c>
      <c r="AA37" s="56">
        <f t="shared" si="29"/>
        <v>8</v>
      </c>
      <c r="AB37" s="56">
        <f t="shared" si="29"/>
        <v>0.85714285714285698</v>
      </c>
      <c r="AC37" s="56">
        <f t="shared" si="29"/>
        <v>170.42857142857144</v>
      </c>
      <c r="AD37" s="56">
        <f t="shared" si="29"/>
        <v>1.2857142857142858</v>
      </c>
      <c r="AE37" s="57">
        <f t="shared" si="29"/>
        <v>83.857142857142847</v>
      </c>
      <c r="AF37" s="57">
        <f t="shared" si="29"/>
        <v>254.28571428571428</v>
      </c>
    </row>
    <row r="38" spans="2:32" ht="23.1" customHeight="1" x14ac:dyDescent="0.25">
      <c r="B38" s="24" t="s">
        <v>65</v>
      </c>
      <c r="C38" s="49">
        <f>'Avg Week KAYUNGA-GALIRAYA'!C38+'Avg Week GALIRAYA-KAYUNG'!C38</f>
        <v>1</v>
      </c>
      <c r="D38" s="49">
        <f>'Avg Week KAYUNGA-GALIRAYA'!D38+'Avg Week GALIRAYA-KAYUNG'!D38</f>
        <v>0.2857142857142857</v>
      </c>
      <c r="E38" s="49">
        <f>'Avg Week KAYUNGA-GALIRAYA'!E38+'Avg Week GALIRAYA-KAYUNG'!E38</f>
        <v>0.85714285714285721</v>
      </c>
      <c r="F38" s="49">
        <f>'Avg Week KAYUNGA-GALIRAYA'!F38+'Avg Week GALIRAYA-KAYUNG'!F38</f>
        <v>3.2857142857142856</v>
      </c>
      <c r="G38" s="49">
        <f>'Avg Week KAYUNGA-GALIRAYA'!G38+'Avg Week GALIRAYA-KAYUNG'!G38</f>
        <v>0.14285714285714285</v>
      </c>
      <c r="H38" s="49">
        <f>'Avg Week KAYUNGA-GALIRAYA'!H38+'Avg Week GALIRAYA-KAYUNG'!H38</f>
        <v>0.14285714285714285</v>
      </c>
      <c r="I38" s="49">
        <f>'Avg Week KAYUNGA-GALIRAYA'!I38+'Avg Week GALIRAYA-KAYUNG'!I38</f>
        <v>1.1428571428571428</v>
      </c>
      <c r="J38" s="49">
        <f>'Avg Week KAYUNGA-GALIRAYA'!J38+'Avg Week GALIRAYA-KAYUNG'!J38</f>
        <v>1</v>
      </c>
      <c r="K38" s="49">
        <f>'Avg Week KAYUNGA-GALIRAYA'!K38+'Avg Week GALIRAYA-KAYUNG'!K38</f>
        <v>0</v>
      </c>
      <c r="L38" s="49">
        <f>'Avg Week KAYUNGA-GALIRAYA'!L38+'Avg Week GALIRAYA-KAYUNG'!L38</f>
        <v>0.2857142857142857</v>
      </c>
      <c r="M38" s="49">
        <f>'Avg Week KAYUNGA-GALIRAYA'!M38+'Avg Week GALIRAYA-KAYUNG'!M38</f>
        <v>23</v>
      </c>
      <c r="N38" s="49">
        <f>'Avg Week KAYUNGA-GALIRAYA'!N38+'Avg Week GALIRAYA-KAYUNG'!N38</f>
        <v>0</v>
      </c>
      <c r="O38" s="15">
        <f t="shared" si="0"/>
        <v>8.1428571428571441</v>
      </c>
      <c r="P38" s="15">
        <f t="shared" si="1"/>
        <v>31.142857142857146</v>
      </c>
      <c r="R38" s="28" t="s">
        <v>86</v>
      </c>
      <c r="S38" s="56">
        <f t="shared" ref="S38:AF38" si="30">SUM(S13:S18)</f>
        <v>44.014285714285712</v>
      </c>
      <c r="T38" s="56">
        <f t="shared" si="30"/>
        <v>11.142857142857142</v>
      </c>
      <c r="U38" s="56">
        <f t="shared" si="30"/>
        <v>17.857142857142858</v>
      </c>
      <c r="V38" s="56">
        <f t="shared" si="30"/>
        <v>60.142857142857139</v>
      </c>
      <c r="W38" s="56">
        <f t="shared" si="30"/>
        <v>2.9999999999999996</v>
      </c>
      <c r="X38" s="56">
        <f t="shared" si="30"/>
        <v>2.8571428571428568</v>
      </c>
      <c r="Y38" s="56">
        <f t="shared" si="30"/>
        <v>33.714285714285715</v>
      </c>
      <c r="Z38" s="56">
        <f t="shared" si="30"/>
        <v>16.571428571428569</v>
      </c>
      <c r="AA38" s="56">
        <f t="shared" si="30"/>
        <v>4.7142857142857135</v>
      </c>
      <c r="AB38" s="56">
        <f t="shared" si="30"/>
        <v>5.1428571428571423</v>
      </c>
      <c r="AC38" s="56">
        <f t="shared" si="30"/>
        <v>534.14285714285711</v>
      </c>
      <c r="AD38" s="56">
        <f t="shared" si="30"/>
        <v>1</v>
      </c>
      <c r="AE38" s="57">
        <f t="shared" si="30"/>
        <v>200.15714285714287</v>
      </c>
      <c r="AF38" s="57">
        <f t="shared" si="30"/>
        <v>734.3</v>
      </c>
    </row>
    <row r="39" spans="2:32" ht="23.1" customHeight="1" x14ac:dyDescent="0.25">
      <c r="B39" s="24" t="s">
        <v>66</v>
      </c>
      <c r="C39" s="49">
        <f>'Avg Week KAYUNGA-GALIRAYA'!C39+'Avg Week GALIRAYA-KAYUNG'!C39</f>
        <v>1.7142857142857142</v>
      </c>
      <c r="D39" s="49">
        <f>'Avg Week KAYUNGA-GALIRAYA'!D39+'Avg Week GALIRAYA-KAYUNG'!D39</f>
        <v>0.42857142857142855</v>
      </c>
      <c r="E39" s="49">
        <f>'Avg Week KAYUNGA-GALIRAYA'!E39+'Avg Week GALIRAYA-KAYUNG'!E39</f>
        <v>0.8571428571428571</v>
      </c>
      <c r="F39" s="49">
        <f>'Avg Week KAYUNGA-GALIRAYA'!F39+'Avg Week GALIRAYA-KAYUNG'!F39</f>
        <v>2.7142857142857144</v>
      </c>
      <c r="G39" s="49">
        <f>'Avg Week KAYUNGA-GALIRAYA'!G39+'Avg Week GALIRAYA-KAYUNG'!G39</f>
        <v>0.14285714285714285</v>
      </c>
      <c r="H39" s="49">
        <f>'Avg Week KAYUNGA-GALIRAYA'!H39+'Avg Week GALIRAYA-KAYUNG'!H39</f>
        <v>0.14285714285714285</v>
      </c>
      <c r="I39" s="49">
        <f>'Avg Week KAYUNGA-GALIRAYA'!I39+'Avg Week GALIRAYA-KAYUNG'!I39</f>
        <v>1.8571428571428572</v>
      </c>
      <c r="J39" s="49">
        <f>'Avg Week KAYUNGA-GALIRAYA'!J39+'Avg Week GALIRAYA-KAYUNG'!J39</f>
        <v>0.71428571428571419</v>
      </c>
      <c r="K39" s="49">
        <f>'Avg Week KAYUNGA-GALIRAYA'!K39+'Avg Week GALIRAYA-KAYUNG'!K39</f>
        <v>0.5714285714285714</v>
      </c>
      <c r="L39" s="49">
        <f>'Avg Week KAYUNGA-GALIRAYA'!L39+'Avg Week GALIRAYA-KAYUNG'!L39</f>
        <v>0.14285714285714285</v>
      </c>
      <c r="M39" s="49">
        <f>'Avg Week KAYUNGA-GALIRAYA'!M39+'Avg Week GALIRAYA-KAYUNG'!M39</f>
        <v>20.714285714285715</v>
      </c>
      <c r="N39" s="49">
        <f>'Avg Week KAYUNGA-GALIRAYA'!N39+'Avg Week GALIRAYA-KAYUNG'!N39</f>
        <v>0</v>
      </c>
      <c r="O39" s="15">
        <f t="shared" si="0"/>
        <v>9.2857142857142847</v>
      </c>
      <c r="P39" s="15">
        <f t="shared" si="1"/>
        <v>30</v>
      </c>
      <c r="R39" s="29" t="s">
        <v>87</v>
      </c>
      <c r="S39" s="56">
        <f t="shared" ref="S39:AF39" si="31">SUM(S19:S21)</f>
        <v>26.142857142857142</v>
      </c>
      <c r="T39" s="56">
        <f t="shared" si="31"/>
        <v>7.5714285714285712</v>
      </c>
      <c r="U39" s="56">
        <f t="shared" si="31"/>
        <v>9.428571428571427</v>
      </c>
      <c r="V39" s="56">
        <f t="shared" si="31"/>
        <v>38.428571428571423</v>
      </c>
      <c r="W39" s="56">
        <f t="shared" si="31"/>
        <v>2.2857142857142856</v>
      </c>
      <c r="X39" s="56">
        <f t="shared" si="31"/>
        <v>1.1428571428571428</v>
      </c>
      <c r="Y39" s="56">
        <f t="shared" si="31"/>
        <v>19.714285714285715</v>
      </c>
      <c r="Z39" s="56">
        <f t="shared" si="31"/>
        <v>10.142857142857142</v>
      </c>
      <c r="AA39" s="56">
        <f t="shared" si="31"/>
        <v>7.1428571428571423</v>
      </c>
      <c r="AB39" s="56">
        <f t="shared" si="31"/>
        <v>2.714285714285714</v>
      </c>
      <c r="AC39" s="56">
        <f t="shared" si="31"/>
        <v>245.71428571428572</v>
      </c>
      <c r="AD39" s="56">
        <f t="shared" si="31"/>
        <v>0.2857142857142857</v>
      </c>
      <c r="AE39" s="57">
        <f t="shared" si="31"/>
        <v>125</v>
      </c>
      <c r="AF39" s="57">
        <f t="shared" si="31"/>
        <v>370.71428571428567</v>
      </c>
    </row>
    <row r="40" spans="2:32" ht="23.1" customHeight="1" x14ac:dyDescent="0.25">
      <c r="B40" s="24" t="s">
        <v>67</v>
      </c>
      <c r="C40" s="49">
        <f>'Avg Week KAYUNGA-GALIRAYA'!C40+'Avg Week GALIRAYA-KAYUNG'!C40</f>
        <v>2.4285714285714288</v>
      </c>
      <c r="D40" s="49">
        <f>'Avg Week KAYUNGA-GALIRAYA'!D40+'Avg Week GALIRAYA-KAYUNG'!D40</f>
        <v>0.42857142857142855</v>
      </c>
      <c r="E40" s="49">
        <f>'Avg Week KAYUNGA-GALIRAYA'!E40+'Avg Week GALIRAYA-KAYUNG'!E40</f>
        <v>0.42857142857142855</v>
      </c>
      <c r="F40" s="49">
        <f>'Avg Week KAYUNGA-GALIRAYA'!F40+'Avg Week GALIRAYA-KAYUNG'!F40</f>
        <v>1.8571428571428572</v>
      </c>
      <c r="G40" s="49">
        <f>'Avg Week KAYUNGA-GALIRAYA'!G40+'Avg Week GALIRAYA-KAYUNG'!G40</f>
        <v>0.2857142857142857</v>
      </c>
      <c r="H40" s="49">
        <f>'Avg Week KAYUNGA-GALIRAYA'!H40+'Avg Week GALIRAYA-KAYUNG'!H40</f>
        <v>0.42857142857142855</v>
      </c>
      <c r="I40" s="49">
        <f>'Avg Week KAYUNGA-GALIRAYA'!I40+'Avg Week GALIRAYA-KAYUNG'!I40</f>
        <v>1</v>
      </c>
      <c r="J40" s="49">
        <f>'Avg Week KAYUNGA-GALIRAYA'!J40+'Avg Week GALIRAYA-KAYUNG'!J40</f>
        <v>0.5714285714285714</v>
      </c>
      <c r="K40" s="49">
        <f>'Avg Week KAYUNGA-GALIRAYA'!K40+'Avg Week GALIRAYA-KAYUNG'!K40</f>
        <v>0</v>
      </c>
      <c r="L40" s="49">
        <f>'Avg Week KAYUNGA-GALIRAYA'!L40+'Avg Week GALIRAYA-KAYUNG'!L40</f>
        <v>0.5714285714285714</v>
      </c>
      <c r="M40" s="49">
        <f>'Avg Week KAYUNGA-GALIRAYA'!M40+'Avg Week GALIRAYA-KAYUNG'!M40</f>
        <v>21.142857142857146</v>
      </c>
      <c r="N40" s="49">
        <f>'Avg Week KAYUNGA-GALIRAYA'!N40+'Avg Week GALIRAYA-KAYUNG'!N40</f>
        <v>0.2857142857142857</v>
      </c>
      <c r="O40" s="15">
        <f t="shared" si="0"/>
        <v>8.2857142857142847</v>
      </c>
      <c r="P40" s="15">
        <f t="shared" si="1"/>
        <v>29.428571428571431</v>
      </c>
      <c r="R40" s="5" t="s">
        <v>17</v>
      </c>
      <c r="S40" s="56">
        <f t="shared" ref="S40:AF40" si="32">SUM(S10:S21)</f>
        <v>82.585714285714289</v>
      </c>
      <c r="T40" s="56">
        <f t="shared" si="32"/>
        <v>21.999999999999996</v>
      </c>
      <c r="U40" s="56">
        <f t="shared" si="32"/>
        <v>33.857142857142861</v>
      </c>
      <c r="V40" s="56">
        <f t="shared" si="32"/>
        <v>122.42857142857143</v>
      </c>
      <c r="W40" s="56">
        <f t="shared" si="32"/>
        <v>6.1428571428571423</v>
      </c>
      <c r="X40" s="56">
        <f t="shared" si="32"/>
        <v>5.4285714285714279</v>
      </c>
      <c r="Y40" s="56">
        <f t="shared" si="32"/>
        <v>70.142857142857139</v>
      </c>
      <c r="Z40" s="56">
        <f t="shared" si="32"/>
        <v>35.285714285714278</v>
      </c>
      <c r="AA40" s="56">
        <f t="shared" si="32"/>
        <v>19.857142857142854</v>
      </c>
      <c r="AB40" s="56">
        <f t="shared" si="32"/>
        <v>8.7142857142857135</v>
      </c>
      <c r="AC40" s="56">
        <f t="shared" si="32"/>
        <v>950.28571428571422</v>
      </c>
      <c r="AD40" s="56">
        <f t="shared" si="32"/>
        <v>2.5714285714285712</v>
      </c>
      <c r="AE40" s="57">
        <f t="shared" si="32"/>
        <v>409.01428571428568</v>
      </c>
      <c r="AF40" s="57">
        <f t="shared" si="32"/>
        <v>1359.3000000000002</v>
      </c>
    </row>
    <row r="41" spans="2:32" ht="23.1" customHeight="1" x14ac:dyDescent="0.25">
      <c r="B41" s="23" t="s">
        <v>68</v>
      </c>
      <c r="C41" s="49">
        <f>'Avg Week KAYUNGA-GALIRAYA'!C41+'Avg Week GALIRAYA-KAYUNG'!C41</f>
        <v>1.5714285714285714</v>
      </c>
      <c r="D41" s="49">
        <f>'Avg Week KAYUNGA-GALIRAYA'!D41+'Avg Week GALIRAYA-KAYUNG'!D41</f>
        <v>1</v>
      </c>
      <c r="E41" s="49">
        <f>'Avg Week KAYUNGA-GALIRAYA'!E41+'Avg Week GALIRAYA-KAYUNG'!E41</f>
        <v>0.71428571428571419</v>
      </c>
      <c r="F41" s="49">
        <f>'Avg Week KAYUNGA-GALIRAYA'!F41+'Avg Week GALIRAYA-KAYUNG'!F41</f>
        <v>2.5714285714285712</v>
      </c>
      <c r="G41" s="49">
        <f>'Avg Week KAYUNGA-GALIRAYA'!G41+'Avg Week GALIRAYA-KAYUNG'!G41</f>
        <v>0.14285714285714285</v>
      </c>
      <c r="H41" s="49">
        <f>'Avg Week KAYUNGA-GALIRAYA'!H41+'Avg Week GALIRAYA-KAYUNG'!H41</f>
        <v>0</v>
      </c>
      <c r="I41" s="49">
        <f>'Avg Week KAYUNGA-GALIRAYA'!I41+'Avg Week GALIRAYA-KAYUNG'!I41</f>
        <v>1.8571428571428572</v>
      </c>
      <c r="J41" s="49">
        <f>'Avg Week KAYUNGA-GALIRAYA'!J41+'Avg Week GALIRAYA-KAYUNG'!J41</f>
        <v>0.14285714285714285</v>
      </c>
      <c r="K41" s="49">
        <f>'Avg Week KAYUNGA-GALIRAYA'!K41+'Avg Week GALIRAYA-KAYUNG'!K41</f>
        <v>0.14285714285714285</v>
      </c>
      <c r="L41" s="49">
        <f>'Avg Week KAYUNGA-GALIRAYA'!L41+'Avg Week GALIRAYA-KAYUNG'!L41</f>
        <v>0</v>
      </c>
      <c r="M41" s="49">
        <f>'Avg Week KAYUNGA-GALIRAYA'!M41+'Avg Week GALIRAYA-KAYUNG'!M41</f>
        <v>18.428571428571431</v>
      </c>
      <c r="N41" s="49">
        <f>'Avg Week KAYUNGA-GALIRAYA'!N41+'Avg Week GALIRAYA-KAYUNG'!N41</f>
        <v>0</v>
      </c>
      <c r="O41" s="15">
        <f t="shared" si="0"/>
        <v>8.1428571428571423</v>
      </c>
      <c r="P41" s="15">
        <f t="shared" si="1"/>
        <v>26.571428571428573</v>
      </c>
      <c r="R41" s="5" t="s">
        <v>184</v>
      </c>
      <c r="S41" s="56">
        <f>SUM(S10:S33)</f>
        <v>118.08571428571429</v>
      </c>
      <c r="T41" s="56">
        <f t="shared" ref="T41:AD41" si="33">SUM(T10:T33)</f>
        <v>26.499999999999996</v>
      </c>
      <c r="U41" s="56">
        <f t="shared" si="33"/>
        <v>45.857142857142861</v>
      </c>
      <c r="V41" s="56">
        <f t="shared" si="33"/>
        <v>158.42857142857144</v>
      </c>
      <c r="W41" s="56">
        <f t="shared" si="33"/>
        <v>8.1428571428571423</v>
      </c>
      <c r="X41" s="56">
        <f t="shared" si="33"/>
        <v>5.4285714285714279</v>
      </c>
      <c r="Y41" s="56">
        <f t="shared" si="33"/>
        <v>105.64285714285714</v>
      </c>
      <c r="Z41" s="56">
        <f t="shared" si="33"/>
        <v>67.285714285714278</v>
      </c>
      <c r="AA41" s="56">
        <f t="shared" si="33"/>
        <v>52.357142857142854</v>
      </c>
      <c r="AB41" s="56">
        <f t="shared" si="33"/>
        <v>12.214285714285714</v>
      </c>
      <c r="AC41" s="56">
        <f t="shared" si="33"/>
        <v>1144.2857142857142</v>
      </c>
      <c r="AD41" s="56">
        <f t="shared" si="33"/>
        <v>2.5714285714285712</v>
      </c>
      <c r="AE41" s="57">
        <f>SUM(AE10:AE33)</f>
        <v>602.51428571428573</v>
      </c>
      <c r="AF41" s="57">
        <f>SUM(AF10:AF33)</f>
        <v>1746.8000000000002</v>
      </c>
    </row>
    <row r="42" spans="2:32" ht="23.1" customHeight="1" x14ac:dyDescent="0.25">
      <c r="B42" s="24" t="s">
        <v>69</v>
      </c>
      <c r="C42" s="49">
        <f>'Avg Week KAYUNGA-GALIRAYA'!C42+'Avg Week GALIRAYA-KAYUNG'!C42</f>
        <v>2.4285714285714284</v>
      </c>
      <c r="D42" s="49">
        <f>'Avg Week KAYUNGA-GALIRAYA'!D42+'Avg Week GALIRAYA-KAYUNG'!D42</f>
        <v>0</v>
      </c>
      <c r="E42" s="49">
        <f>'Avg Week KAYUNGA-GALIRAYA'!E42+'Avg Week GALIRAYA-KAYUNG'!E42</f>
        <v>0.8571428571428571</v>
      </c>
      <c r="F42" s="49">
        <f>'Avg Week KAYUNGA-GALIRAYA'!F42+'Avg Week GALIRAYA-KAYUNG'!F42</f>
        <v>3.1428571428571428</v>
      </c>
      <c r="G42" s="49">
        <f>'Avg Week KAYUNGA-GALIRAYA'!G42+'Avg Week GALIRAYA-KAYUNG'!G42</f>
        <v>0</v>
      </c>
      <c r="H42" s="49">
        <f>'Avg Week KAYUNGA-GALIRAYA'!H42+'Avg Week GALIRAYA-KAYUNG'!H42</f>
        <v>0.2857142857142857</v>
      </c>
      <c r="I42" s="49">
        <f>'Avg Week KAYUNGA-GALIRAYA'!I42+'Avg Week GALIRAYA-KAYUNG'!I42</f>
        <v>1.7142857142857142</v>
      </c>
      <c r="J42" s="49">
        <f>'Avg Week KAYUNGA-GALIRAYA'!J42+'Avg Week GALIRAYA-KAYUNG'!J42</f>
        <v>1.1428571428571428</v>
      </c>
      <c r="K42" s="49">
        <f>'Avg Week KAYUNGA-GALIRAYA'!K42+'Avg Week GALIRAYA-KAYUNG'!K42</f>
        <v>0.42857142857142855</v>
      </c>
      <c r="L42" s="49">
        <f>'Avg Week KAYUNGA-GALIRAYA'!L42+'Avg Week GALIRAYA-KAYUNG'!L42</f>
        <v>0</v>
      </c>
      <c r="M42" s="49">
        <f>'Avg Week KAYUNGA-GALIRAYA'!M42+'Avg Week GALIRAYA-KAYUNG'!M42</f>
        <v>20.571428571428569</v>
      </c>
      <c r="N42" s="49">
        <f>'Avg Week KAYUNGA-GALIRAYA'!N42+'Avg Week GALIRAYA-KAYUNG'!N42</f>
        <v>0</v>
      </c>
      <c r="O42" s="15">
        <f t="shared" si="0"/>
        <v>10</v>
      </c>
      <c r="P42" s="15">
        <f t="shared" si="1"/>
        <v>30.571428571428569</v>
      </c>
      <c r="R42" s="5" t="s">
        <v>160</v>
      </c>
      <c r="S42" s="48">
        <f>S41/S40</f>
        <v>1.4298564262238367</v>
      </c>
      <c r="T42" s="48">
        <f t="shared" ref="T42:AF42" si="34">T41/T40</f>
        <v>1.2045454545454546</v>
      </c>
      <c r="U42" s="48">
        <f t="shared" si="34"/>
        <v>1.3544303797468353</v>
      </c>
      <c r="V42" s="48">
        <f t="shared" si="34"/>
        <v>1.294049008168028</v>
      </c>
      <c r="W42" s="48">
        <f t="shared" si="34"/>
        <v>1.3255813953488373</v>
      </c>
      <c r="X42" s="48">
        <f t="shared" si="34"/>
        <v>1</v>
      </c>
      <c r="Y42" s="48">
        <f t="shared" si="34"/>
        <v>1.5061099796334012</v>
      </c>
      <c r="Z42" s="48">
        <f t="shared" si="34"/>
        <v>1.9068825910931175</v>
      </c>
      <c r="AA42" s="48">
        <f t="shared" si="34"/>
        <v>2.6366906474820144</v>
      </c>
      <c r="AB42" s="48">
        <f t="shared" si="34"/>
        <v>1.4016393442622952</v>
      </c>
      <c r="AC42" s="48">
        <f t="shared" si="34"/>
        <v>1.20414912808178</v>
      </c>
      <c r="AD42" s="48">
        <f t="shared" si="34"/>
        <v>1</v>
      </c>
      <c r="AE42" s="58">
        <f t="shared" si="34"/>
        <v>1.4730886102476339</v>
      </c>
      <c r="AF42" s="58">
        <f t="shared" si="34"/>
        <v>1.2850731994408886</v>
      </c>
    </row>
    <row r="43" spans="2:32" ht="23.1" customHeight="1" x14ac:dyDescent="0.25">
      <c r="B43" s="23" t="s">
        <v>70</v>
      </c>
      <c r="C43" s="49">
        <f>'Avg Week KAYUNGA-GALIRAYA'!C43+'Avg Week GALIRAYA-KAYUNG'!C43</f>
        <v>2</v>
      </c>
      <c r="D43" s="49">
        <f>'Avg Week KAYUNGA-GALIRAYA'!D43+'Avg Week GALIRAYA-KAYUNG'!D43</f>
        <v>1</v>
      </c>
      <c r="E43" s="49">
        <f>'Avg Week KAYUNGA-GALIRAYA'!E43+'Avg Week GALIRAYA-KAYUNG'!E43</f>
        <v>1.1428571428571428</v>
      </c>
      <c r="F43" s="49">
        <f>'Avg Week KAYUNGA-GALIRAYA'!F43+'Avg Week GALIRAYA-KAYUNG'!F43</f>
        <v>3.5714285714285712</v>
      </c>
      <c r="G43" s="49">
        <f>'Avg Week KAYUNGA-GALIRAYA'!G43+'Avg Week GALIRAYA-KAYUNG'!G43</f>
        <v>0</v>
      </c>
      <c r="H43" s="49">
        <f>'Avg Week KAYUNGA-GALIRAYA'!H43+'Avg Week GALIRAYA-KAYUNG'!H43</f>
        <v>0.5714285714285714</v>
      </c>
      <c r="I43" s="49">
        <f>'Avg Week KAYUNGA-GALIRAYA'!I43+'Avg Week GALIRAYA-KAYUNG'!I43</f>
        <v>1.5714285714285714</v>
      </c>
      <c r="J43" s="49">
        <f>'Avg Week KAYUNGA-GALIRAYA'!J43+'Avg Week GALIRAYA-KAYUNG'!J43</f>
        <v>0.5714285714285714</v>
      </c>
      <c r="K43" s="49">
        <f>'Avg Week KAYUNGA-GALIRAYA'!K43+'Avg Week GALIRAYA-KAYUNG'!K43</f>
        <v>0.2857142857142857</v>
      </c>
      <c r="L43" s="49">
        <f>'Avg Week KAYUNGA-GALIRAYA'!L43+'Avg Week GALIRAYA-KAYUNG'!L43</f>
        <v>0.85714285714285721</v>
      </c>
      <c r="M43" s="49">
        <f>'Avg Week KAYUNGA-GALIRAYA'!M43+'Avg Week GALIRAYA-KAYUNG'!M43</f>
        <v>19.285714285714285</v>
      </c>
      <c r="N43" s="49">
        <f>'Avg Week KAYUNGA-GALIRAYA'!N43+'Avg Week GALIRAYA-KAYUNG'!N43</f>
        <v>0</v>
      </c>
      <c r="O43" s="15">
        <f t="shared" si="0"/>
        <v>11.571428571428571</v>
      </c>
      <c r="P43" s="15">
        <f t="shared" si="1"/>
        <v>30.857142857142854</v>
      </c>
    </row>
    <row r="44" spans="2:32" ht="23.1" customHeight="1" x14ac:dyDescent="0.25">
      <c r="B44" s="25" t="s">
        <v>71</v>
      </c>
      <c r="C44" s="49">
        <f>'Avg Week KAYUNGA-GALIRAYA'!C44+'Avg Week GALIRAYA-KAYUNG'!C44</f>
        <v>2.1428571428571428</v>
      </c>
      <c r="D44" s="49">
        <f>'Avg Week KAYUNGA-GALIRAYA'!D44+'Avg Week GALIRAYA-KAYUNG'!D44</f>
        <v>0.2857142857142857</v>
      </c>
      <c r="E44" s="49">
        <f>'Avg Week KAYUNGA-GALIRAYA'!E44+'Avg Week GALIRAYA-KAYUNG'!E44</f>
        <v>0.14285714285714285</v>
      </c>
      <c r="F44" s="49">
        <f>'Avg Week KAYUNGA-GALIRAYA'!F44+'Avg Week GALIRAYA-KAYUNG'!F44</f>
        <v>2.7142857142857144</v>
      </c>
      <c r="G44" s="49">
        <f>'Avg Week KAYUNGA-GALIRAYA'!G44+'Avg Week GALIRAYA-KAYUNG'!G44</f>
        <v>0.14285714285714285</v>
      </c>
      <c r="H44" s="49">
        <f>'Avg Week KAYUNGA-GALIRAYA'!H44+'Avg Week GALIRAYA-KAYUNG'!H44</f>
        <v>0.42857142857142855</v>
      </c>
      <c r="I44" s="49">
        <f>'Avg Week KAYUNGA-GALIRAYA'!I44+'Avg Week GALIRAYA-KAYUNG'!I44</f>
        <v>1.8571428571428572</v>
      </c>
      <c r="J44" s="49">
        <f>'Avg Week KAYUNGA-GALIRAYA'!J44+'Avg Week GALIRAYA-KAYUNG'!J44</f>
        <v>0.5714285714285714</v>
      </c>
      <c r="K44" s="49">
        <f>'Avg Week KAYUNGA-GALIRAYA'!K44+'Avg Week GALIRAYA-KAYUNG'!K44</f>
        <v>0</v>
      </c>
      <c r="L44" s="49">
        <f>'Avg Week KAYUNGA-GALIRAYA'!L44+'Avg Week GALIRAYA-KAYUNG'!L44</f>
        <v>0</v>
      </c>
      <c r="M44" s="49">
        <f>'Avg Week KAYUNGA-GALIRAYA'!M44+'Avg Week GALIRAYA-KAYUNG'!M44</f>
        <v>20.857142857142858</v>
      </c>
      <c r="N44" s="49">
        <f>'Avg Week KAYUNGA-GALIRAYA'!N44+'Avg Week GALIRAYA-KAYUNG'!N44</f>
        <v>0.14285714285714285</v>
      </c>
      <c r="O44" s="15">
        <f t="shared" si="0"/>
        <v>8.4285714285714288</v>
      </c>
      <c r="P44" s="15">
        <f t="shared" si="1"/>
        <v>29.285714285714288</v>
      </c>
    </row>
    <row r="45" spans="2:32" ht="23.1" customHeight="1" x14ac:dyDescent="0.25">
      <c r="B45" s="23" t="s">
        <v>72</v>
      </c>
      <c r="C45" s="49">
        <f>'Avg Week KAYUNGA-GALIRAYA'!C45+'Avg Week GALIRAYA-KAYUNG'!C45</f>
        <v>1</v>
      </c>
      <c r="D45" s="49">
        <f>'Avg Week KAYUNGA-GALIRAYA'!D45+'Avg Week GALIRAYA-KAYUNG'!D45</f>
        <v>0.14285714285714285</v>
      </c>
      <c r="E45" s="49">
        <f>'Avg Week KAYUNGA-GALIRAYA'!E45+'Avg Week GALIRAYA-KAYUNG'!E45</f>
        <v>0.71428571428571419</v>
      </c>
      <c r="F45" s="49">
        <f>'Avg Week KAYUNGA-GALIRAYA'!F45+'Avg Week GALIRAYA-KAYUNG'!F45</f>
        <v>1.1428571428571428</v>
      </c>
      <c r="G45" s="49">
        <f>'Avg Week KAYUNGA-GALIRAYA'!G45+'Avg Week GALIRAYA-KAYUNG'!G45</f>
        <v>0</v>
      </c>
      <c r="H45" s="49">
        <f>'Avg Week KAYUNGA-GALIRAYA'!H45+'Avg Week GALIRAYA-KAYUNG'!H45</f>
        <v>0</v>
      </c>
      <c r="I45" s="49">
        <f>'Avg Week KAYUNGA-GALIRAYA'!I45+'Avg Week GALIRAYA-KAYUNG'!I45</f>
        <v>2.5714285714285716</v>
      </c>
      <c r="J45" s="49">
        <f>'Avg Week KAYUNGA-GALIRAYA'!J45+'Avg Week GALIRAYA-KAYUNG'!J45</f>
        <v>0.71428571428571419</v>
      </c>
      <c r="K45" s="49">
        <f>'Avg Week KAYUNGA-GALIRAYA'!K45+'Avg Week GALIRAYA-KAYUNG'!K45</f>
        <v>0.2857142857142857</v>
      </c>
      <c r="L45" s="49">
        <f>'Avg Week KAYUNGA-GALIRAYA'!L45+'Avg Week GALIRAYA-KAYUNG'!L45</f>
        <v>0.2857142857142857</v>
      </c>
      <c r="M45" s="49">
        <f>'Avg Week KAYUNGA-GALIRAYA'!M45+'Avg Week GALIRAYA-KAYUNG'!M45</f>
        <v>19.428571428571431</v>
      </c>
      <c r="N45" s="49">
        <f>'Avg Week KAYUNGA-GALIRAYA'!N45+'Avg Week GALIRAYA-KAYUNG'!N45</f>
        <v>0</v>
      </c>
      <c r="O45" s="15">
        <f t="shared" si="0"/>
        <v>6.8571428571428568</v>
      </c>
      <c r="P45" s="15">
        <f t="shared" si="1"/>
        <v>26.285714285714288</v>
      </c>
    </row>
    <row r="46" spans="2:32" ht="23.1" customHeight="1" x14ac:dyDescent="0.25">
      <c r="B46" s="24" t="s">
        <v>73</v>
      </c>
      <c r="C46" s="49">
        <f>'Avg Week KAYUNGA-GALIRAYA'!C46+'Avg Week GALIRAYA-KAYUNG'!C46</f>
        <v>2.1428571428571428</v>
      </c>
      <c r="D46" s="49">
        <f>'Avg Week KAYUNGA-GALIRAYA'!D46+'Avg Week GALIRAYA-KAYUNG'!D46</f>
        <v>0.71428571428571419</v>
      </c>
      <c r="E46" s="49">
        <f>'Avg Week KAYUNGA-GALIRAYA'!E46+'Avg Week GALIRAYA-KAYUNG'!E46</f>
        <v>0.2857142857142857</v>
      </c>
      <c r="F46" s="49">
        <f>'Avg Week KAYUNGA-GALIRAYA'!F46+'Avg Week GALIRAYA-KAYUNG'!F46</f>
        <v>2.4285714285714284</v>
      </c>
      <c r="G46" s="49">
        <f>'Avg Week KAYUNGA-GALIRAYA'!G46+'Avg Week GALIRAYA-KAYUNG'!G46</f>
        <v>0.2857142857142857</v>
      </c>
      <c r="H46" s="49">
        <f>'Avg Week KAYUNGA-GALIRAYA'!H46+'Avg Week GALIRAYA-KAYUNG'!H46</f>
        <v>0</v>
      </c>
      <c r="I46" s="49">
        <f>'Avg Week KAYUNGA-GALIRAYA'!I46+'Avg Week GALIRAYA-KAYUNG'!I46</f>
        <v>1.1428571428571428</v>
      </c>
      <c r="J46" s="49">
        <f>'Avg Week KAYUNGA-GALIRAYA'!J46+'Avg Week GALIRAYA-KAYUNG'!J46</f>
        <v>0.5714285714285714</v>
      </c>
      <c r="K46" s="49">
        <f>'Avg Week KAYUNGA-GALIRAYA'!K46+'Avg Week GALIRAYA-KAYUNG'!K46</f>
        <v>0.42857142857142855</v>
      </c>
      <c r="L46" s="49">
        <f>'Avg Week KAYUNGA-GALIRAYA'!L46+'Avg Week GALIRAYA-KAYUNG'!L46</f>
        <v>0.42857142857142855</v>
      </c>
      <c r="M46" s="49">
        <f>'Avg Week KAYUNGA-GALIRAYA'!M46+'Avg Week GALIRAYA-KAYUNG'!M46</f>
        <v>19.428571428571431</v>
      </c>
      <c r="N46" s="49">
        <f>'Avg Week KAYUNGA-GALIRAYA'!N46+'Avg Week GALIRAYA-KAYUNG'!N46</f>
        <v>0</v>
      </c>
      <c r="O46" s="15">
        <f t="shared" si="0"/>
        <v>8.4285714285714288</v>
      </c>
      <c r="P46" s="15">
        <f t="shared" si="1"/>
        <v>27.857142857142861</v>
      </c>
      <c r="R46" s="8"/>
      <c r="T46"/>
    </row>
    <row r="47" spans="2:32" ht="23.1" customHeight="1" x14ac:dyDescent="0.25">
      <c r="B47" s="24" t="s">
        <v>74</v>
      </c>
      <c r="C47" s="49">
        <f>'Avg Week KAYUNGA-GALIRAYA'!C47+'Avg Week GALIRAYA-KAYUNG'!C47</f>
        <v>2.2857142857142856</v>
      </c>
      <c r="D47" s="49">
        <f>'Avg Week KAYUNGA-GALIRAYA'!D47+'Avg Week GALIRAYA-KAYUNG'!D47</f>
        <v>0.5714285714285714</v>
      </c>
      <c r="E47" s="49">
        <f>'Avg Week KAYUNGA-GALIRAYA'!E47+'Avg Week GALIRAYA-KAYUNG'!E47</f>
        <v>0.42857142857142855</v>
      </c>
      <c r="F47" s="49">
        <f>'Avg Week KAYUNGA-GALIRAYA'!F47+'Avg Week GALIRAYA-KAYUNG'!F47</f>
        <v>3.8571428571428568</v>
      </c>
      <c r="G47" s="49">
        <f>'Avg Week KAYUNGA-GALIRAYA'!G47+'Avg Week GALIRAYA-KAYUNG'!G47</f>
        <v>0.2857142857142857</v>
      </c>
      <c r="H47" s="49">
        <f>'Avg Week KAYUNGA-GALIRAYA'!H47+'Avg Week GALIRAYA-KAYUNG'!H47</f>
        <v>0.2857142857142857</v>
      </c>
      <c r="I47" s="49">
        <f>'Avg Week KAYUNGA-GALIRAYA'!I47+'Avg Week GALIRAYA-KAYUNG'!I47</f>
        <v>2.7142857142857144</v>
      </c>
      <c r="J47" s="49">
        <f>'Avg Week KAYUNGA-GALIRAYA'!J47+'Avg Week GALIRAYA-KAYUNG'!J47</f>
        <v>1</v>
      </c>
      <c r="K47" s="49">
        <f>'Avg Week KAYUNGA-GALIRAYA'!K47+'Avg Week GALIRAYA-KAYUNG'!K47</f>
        <v>0.2857142857142857</v>
      </c>
      <c r="L47" s="49">
        <f>'Avg Week KAYUNGA-GALIRAYA'!L47+'Avg Week GALIRAYA-KAYUNG'!L47</f>
        <v>0</v>
      </c>
      <c r="M47" s="49">
        <f>'Avg Week KAYUNGA-GALIRAYA'!M47+'Avg Week GALIRAYA-KAYUNG'!M47</f>
        <v>23.857142857142858</v>
      </c>
      <c r="N47" s="49">
        <f>'Avg Week KAYUNGA-GALIRAYA'!N47+'Avg Week GALIRAYA-KAYUNG'!N47</f>
        <v>0</v>
      </c>
      <c r="O47" s="15">
        <f t="shared" si="0"/>
        <v>11.714285714285714</v>
      </c>
      <c r="P47" s="15">
        <f t="shared" si="1"/>
        <v>35.571428571428569</v>
      </c>
      <c r="R47" s="8"/>
      <c r="T47"/>
    </row>
    <row r="48" spans="2:32" ht="23.1" customHeight="1" x14ac:dyDescent="0.25">
      <c r="B48" s="24" t="s">
        <v>75</v>
      </c>
      <c r="C48" s="49">
        <f>'Avg Week KAYUNGA-GALIRAYA'!C48+'Avg Week GALIRAYA-KAYUNG'!C48</f>
        <v>1.5714285714285714</v>
      </c>
      <c r="D48" s="49">
        <f>'Avg Week KAYUNGA-GALIRAYA'!D48+'Avg Week GALIRAYA-KAYUNG'!D48</f>
        <v>0.42857142857142855</v>
      </c>
      <c r="E48" s="49">
        <f>'Avg Week KAYUNGA-GALIRAYA'!E48+'Avg Week GALIRAYA-KAYUNG'!E48</f>
        <v>0.8571428571428571</v>
      </c>
      <c r="F48" s="49">
        <f>'Avg Week KAYUNGA-GALIRAYA'!F48+'Avg Week GALIRAYA-KAYUNG'!F48</f>
        <v>3.2857142857142856</v>
      </c>
      <c r="G48" s="49">
        <f>'Avg Week KAYUNGA-GALIRAYA'!G48+'Avg Week GALIRAYA-KAYUNG'!G48</f>
        <v>0</v>
      </c>
      <c r="H48" s="49">
        <f>'Avg Week KAYUNGA-GALIRAYA'!H48+'Avg Week GALIRAYA-KAYUNG'!H48</f>
        <v>0.2857142857142857</v>
      </c>
      <c r="I48" s="49">
        <f>'Avg Week KAYUNGA-GALIRAYA'!I48+'Avg Week GALIRAYA-KAYUNG'!I48</f>
        <v>1.8571428571428572</v>
      </c>
      <c r="J48" s="49">
        <f>'Avg Week KAYUNGA-GALIRAYA'!J48+'Avg Week GALIRAYA-KAYUNG'!J48</f>
        <v>1</v>
      </c>
      <c r="K48" s="49">
        <f>'Avg Week KAYUNGA-GALIRAYA'!K48+'Avg Week GALIRAYA-KAYUNG'!K48</f>
        <v>0.14285714285714285</v>
      </c>
      <c r="L48" s="49">
        <f>'Avg Week KAYUNGA-GALIRAYA'!L48+'Avg Week GALIRAYA-KAYUNG'!L48</f>
        <v>0.2857142857142857</v>
      </c>
      <c r="M48" s="49">
        <f>'Avg Week KAYUNGA-GALIRAYA'!M48+'Avg Week GALIRAYA-KAYUNG'!M48</f>
        <v>20.714285714285715</v>
      </c>
      <c r="N48" s="49">
        <f>'Avg Week KAYUNGA-GALIRAYA'!N48+'Avg Week GALIRAYA-KAYUNG'!N48</f>
        <v>0</v>
      </c>
      <c r="O48" s="15">
        <f t="shared" si="0"/>
        <v>9.7142857142857135</v>
      </c>
      <c r="P48" s="15">
        <f t="shared" si="1"/>
        <v>30.428571428571431</v>
      </c>
      <c r="R48" s="8"/>
      <c r="T48"/>
    </row>
    <row r="49" spans="2:20" ht="23.1" customHeight="1" x14ac:dyDescent="0.25">
      <c r="B49" s="23" t="s">
        <v>76</v>
      </c>
      <c r="C49" s="49">
        <f>'Avg Week KAYUNGA-GALIRAYA'!C49+'Avg Week GALIRAYA-KAYUNG'!C49</f>
        <v>2.1428571428571428</v>
      </c>
      <c r="D49" s="49">
        <f>'Avg Week KAYUNGA-GALIRAYA'!D49+'Avg Week GALIRAYA-KAYUNG'!D49</f>
        <v>0.2857142857142857</v>
      </c>
      <c r="E49" s="49">
        <f>'Avg Week KAYUNGA-GALIRAYA'!E49+'Avg Week GALIRAYA-KAYUNG'!E49</f>
        <v>0.5714285714285714</v>
      </c>
      <c r="F49" s="49">
        <f>'Avg Week KAYUNGA-GALIRAYA'!F49+'Avg Week GALIRAYA-KAYUNG'!F49</f>
        <v>3.5714285714285712</v>
      </c>
      <c r="G49" s="49">
        <f>'Avg Week KAYUNGA-GALIRAYA'!G49+'Avg Week GALIRAYA-KAYUNG'!G49</f>
        <v>0.2857142857142857</v>
      </c>
      <c r="H49" s="49">
        <f>'Avg Week KAYUNGA-GALIRAYA'!H49+'Avg Week GALIRAYA-KAYUNG'!H49</f>
        <v>0.2857142857142857</v>
      </c>
      <c r="I49" s="49">
        <f>'Avg Week KAYUNGA-GALIRAYA'!I49+'Avg Week GALIRAYA-KAYUNG'!I49</f>
        <v>2.2857142857142856</v>
      </c>
      <c r="J49" s="49">
        <f>'Avg Week KAYUNGA-GALIRAYA'!J49+'Avg Week GALIRAYA-KAYUNG'!J49</f>
        <v>0.8571428571428571</v>
      </c>
      <c r="K49" s="49">
        <f>'Avg Week KAYUNGA-GALIRAYA'!K49+'Avg Week GALIRAYA-KAYUNG'!K49</f>
        <v>0.5714285714285714</v>
      </c>
      <c r="L49" s="49">
        <f>'Avg Week KAYUNGA-GALIRAYA'!L49+'Avg Week GALIRAYA-KAYUNG'!L49</f>
        <v>0.2857142857142857</v>
      </c>
      <c r="M49" s="49">
        <f>'Avg Week KAYUNGA-GALIRAYA'!M49+'Avg Week GALIRAYA-KAYUNG'!M49</f>
        <v>25</v>
      </c>
      <c r="N49" s="49">
        <f>'Avg Week KAYUNGA-GALIRAYA'!N49+'Avg Week GALIRAYA-KAYUNG'!N49</f>
        <v>0.14285714285714285</v>
      </c>
      <c r="O49" s="15">
        <f t="shared" si="0"/>
        <v>11.285714285714285</v>
      </c>
      <c r="P49" s="15">
        <f t="shared" si="1"/>
        <v>36.285714285714285</v>
      </c>
      <c r="R49" s="8"/>
      <c r="T49"/>
    </row>
    <row r="50" spans="2:20" ht="23.1" customHeight="1" x14ac:dyDescent="0.25">
      <c r="B50" s="24" t="s">
        <v>77</v>
      </c>
      <c r="C50" s="49">
        <f>'Avg Week KAYUNGA-GALIRAYA'!C50+'Avg Week GALIRAYA-KAYUNG'!C50</f>
        <v>1.7142857142857142</v>
      </c>
      <c r="D50" s="49">
        <f>'Avg Week KAYUNGA-GALIRAYA'!D50+'Avg Week GALIRAYA-KAYUNG'!D50</f>
        <v>1</v>
      </c>
      <c r="E50" s="49">
        <f>'Avg Week KAYUNGA-GALIRAYA'!E50+'Avg Week GALIRAYA-KAYUNG'!E50</f>
        <v>0.5714285714285714</v>
      </c>
      <c r="F50" s="49">
        <f>'Avg Week KAYUNGA-GALIRAYA'!F50+'Avg Week GALIRAYA-KAYUNG'!F50</f>
        <v>2.2857142857142856</v>
      </c>
      <c r="G50" s="49">
        <f>'Avg Week KAYUNGA-GALIRAYA'!G50+'Avg Week GALIRAYA-KAYUNG'!G50</f>
        <v>0</v>
      </c>
      <c r="H50" s="49">
        <f>'Avg Week KAYUNGA-GALIRAYA'!H50+'Avg Week GALIRAYA-KAYUNG'!H50</f>
        <v>0</v>
      </c>
      <c r="I50" s="49">
        <f>'Avg Week KAYUNGA-GALIRAYA'!I50+'Avg Week GALIRAYA-KAYUNG'!I50</f>
        <v>1.1428571428571428</v>
      </c>
      <c r="J50" s="49">
        <f>'Avg Week KAYUNGA-GALIRAYA'!J50+'Avg Week GALIRAYA-KAYUNG'!J50</f>
        <v>0.14285714285714285</v>
      </c>
      <c r="K50" s="49">
        <f>'Avg Week KAYUNGA-GALIRAYA'!K50+'Avg Week GALIRAYA-KAYUNG'!K50</f>
        <v>0.5714285714285714</v>
      </c>
      <c r="L50" s="49">
        <f>'Avg Week KAYUNGA-GALIRAYA'!L50+'Avg Week GALIRAYA-KAYUNG'!L50</f>
        <v>0.14285714285714285</v>
      </c>
      <c r="M50" s="49">
        <f>'Avg Week KAYUNGA-GALIRAYA'!M50+'Avg Week GALIRAYA-KAYUNG'!M50</f>
        <v>17.428571428571427</v>
      </c>
      <c r="N50" s="49">
        <f>'Avg Week KAYUNGA-GALIRAYA'!N50+'Avg Week GALIRAYA-KAYUNG'!N50</f>
        <v>0</v>
      </c>
      <c r="O50" s="15">
        <f t="shared" si="0"/>
        <v>7.5714285714285712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49">
        <f>'Avg Week KAYUNGA-GALIRAYA'!C51+'Avg Week GALIRAYA-KAYUNG'!C51</f>
        <v>2.5714285714285716</v>
      </c>
      <c r="D51" s="49">
        <f>'Avg Week KAYUNGA-GALIRAYA'!D51+'Avg Week GALIRAYA-KAYUNG'!D51</f>
        <v>1</v>
      </c>
      <c r="E51" s="49">
        <f>'Avg Week KAYUNGA-GALIRAYA'!E51+'Avg Week GALIRAYA-KAYUNG'!E51</f>
        <v>1</v>
      </c>
      <c r="F51" s="49">
        <f>'Avg Week KAYUNGA-GALIRAYA'!F51+'Avg Week GALIRAYA-KAYUNG'!F51</f>
        <v>3.1428571428571428</v>
      </c>
      <c r="G51" s="49">
        <f>'Avg Week KAYUNGA-GALIRAYA'!G51+'Avg Week GALIRAYA-KAYUNG'!G51</f>
        <v>0.14285714285714285</v>
      </c>
      <c r="H51" s="49">
        <f>'Avg Week KAYUNGA-GALIRAYA'!H51+'Avg Week GALIRAYA-KAYUNG'!H51</f>
        <v>0.2857142857142857</v>
      </c>
      <c r="I51" s="49">
        <f>'Avg Week KAYUNGA-GALIRAYA'!I51+'Avg Week GALIRAYA-KAYUNG'!I51</f>
        <v>1.7142857142857144</v>
      </c>
      <c r="J51" s="49">
        <f>'Avg Week KAYUNGA-GALIRAYA'!J51+'Avg Week GALIRAYA-KAYUNG'!J51</f>
        <v>0.71428571428571419</v>
      </c>
      <c r="K51" s="49">
        <f>'Avg Week KAYUNGA-GALIRAYA'!K51+'Avg Week GALIRAYA-KAYUNG'!K51</f>
        <v>0.2857142857142857</v>
      </c>
      <c r="L51" s="49">
        <f>'Avg Week KAYUNGA-GALIRAYA'!L51+'Avg Week GALIRAYA-KAYUNG'!L51</f>
        <v>0</v>
      </c>
      <c r="M51" s="49">
        <f>'Avg Week KAYUNGA-GALIRAYA'!M51+'Avg Week GALIRAYA-KAYUNG'!M51</f>
        <v>18.857142857142858</v>
      </c>
      <c r="N51" s="49">
        <f>'Avg Week KAYUNGA-GALIRAYA'!N51+'Avg Week GALIRAYA-KAYUNG'!N51</f>
        <v>0</v>
      </c>
      <c r="O51" s="15">
        <f t="shared" si="0"/>
        <v>10.857142857142858</v>
      </c>
      <c r="P51" s="15">
        <f t="shared" si="1"/>
        <v>29.714285714285715</v>
      </c>
      <c r="R51" s="8"/>
      <c r="T51"/>
    </row>
    <row r="52" spans="2:20" ht="23.1" customHeight="1" x14ac:dyDescent="0.25">
      <c r="B52" s="24" t="s">
        <v>79</v>
      </c>
      <c r="C52" s="49">
        <f>'Avg Week KAYUNGA-GALIRAYA'!C52+'Avg Week GALIRAYA-KAYUNG'!C52</f>
        <v>2.2857142857142856</v>
      </c>
      <c r="D52" s="49">
        <f>'Avg Week KAYUNGA-GALIRAYA'!D52+'Avg Week GALIRAYA-KAYUNG'!D52</f>
        <v>0.42857142857142855</v>
      </c>
      <c r="E52" s="49">
        <f>'Avg Week KAYUNGA-GALIRAYA'!E52+'Avg Week GALIRAYA-KAYUNG'!E52</f>
        <v>0.5714285714285714</v>
      </c>
      <c r="F52" s="49">
        <f>'Avg Week KAYUNGA-GALIRAYA'!F52+'Avg Week GALIRAYA-KAYUNG'!F52</f>
        <v>3.5714285714285716</v>
      </c>
      <c r="G52" s="49">
        <f>'Avg Week KAYUNGA-GALIRAYA'!G52+'Avg Week GALIRAYA-KAYUNG'!G52</f>
        <v>0.2857142857142857</v>
      </c>
      <c r="H52" s="49">
        <f>'Avg Week KAYUNGA-GALIRAYA'!H52+'Avg Week GALIRAYA-KAYUNG'!H52</f>
        <v>0</v>
      </c>
      <c r="I52" s="49">
        <f>'Avg Week KAYUNGA-GALIRAYA'!I52+'Avg Week GALIRAYA-KAYUNG'!I52</f>
        <v>1.4285714285714286</v>
      </c>
      <c r="J52" s="49">
        <f>'Avg Week KAYUNGA-GALIRAYA'!J52+'Avg Week GALIRAYA-KAYUNG'!J52</f>
        <v>1.2857142857142856</v>
      </c>
      <c r="K52" s="49">
        <f>'Avg Week KAYUNGA-GALIRAYA'!K52+'Avg Week GALIRAYA-KAYUNG'!K52</f>
        <v>0.8571428571428571</v>
      </c>
      <c r="L52" s="49">
        <f>'Avg Week KAYUNGA-GALIRAYA'!L52+'Avg Week GALIRAYA-KAYUNG'!L52</f>
        <v>0.5714285714285714</v>
      </c>
      <c r="M52" s="49">
        <f>'Avg Week KAYUNGA-GALIRAYA'!M52+'Avg Week GALIRAYA-KAYUNG'!M52</f>
        <v>18.142857142857142</v>
      </c>
      <c r="N52" s="49">
        <f>'Avg Week KAYUNGA-GALIRAYA'!N52+'Avg Week GALIRAYA-KAYUNG'!N52</f>
        <v>0</v>
      </c>
      <c r="O52" s="15">
        <f t="shared" si="0"/>
        <v>11.285714285714286</v>
      </c>
      <c r="P52" s="15">
        <f t="shared" si="1"/>
        <v>29.428571428571431</v>
      </c>
      <c r="R52" s="8"/>
      <c r="T52"/>
    </row>
    <row r="53" spans="2:20" ht="23.1" customHeight="1" x14ac:dyDescent="0.25">
      <c r="B53" s="23" t="s">
        <v>80</v>
      </c>
      <c r="C53" s="49">
        <f>'Avg Week KAYUNGA-GALIRAYA'!C53+'Avg Week GALIRAYA-KAYUNG'!C53</f>
        <v>1.4285714285714284</v>
      </c>
      <c r="D53" s="49">
        <f>'Avg Week KAYUNGA-GALIRAYA'!D53+'Avg Week GALIRAYA-KAYUNG'!D53</f>
        <v>1</v>
      </c>
      <c r="E53" s="49">
        <f>'Avg Week KAYUNGA-GALIRAYA'!E53+'Avg Week GALIRAYA-KAYUNG'!E53</f>
        <v>2</v>
      </c>
      <c r="F53" s="49">
        <f>'Avg Week KAYUNGA-GALIRAYA'!F53+'Avg Week GALIRAYA-KAYUNG'!F53</f>
        <v>3.7142857142857144</v>
      </c>
      <c r="G53" s="49">
        <f>'Avg Week KAYUNGA-GALIRAYA'!G53+'Avg Week GALIRAYA-KAYUNG'!G53</f>
        <v>0.42857142857142855</v>
      </c>
      <c r="H53" s="49">
        <f>'Avg Week KAYUNGA-GALIRAYA'!H53+'Avg Week GALIRAYA-KAYUNG'!H53</f>
        <v>0</v>
      </c>
      <c r="I53" s="49">
        <f>'Avg Week KAYUNGA-GALIRAYA'!I53+'Avg Week GALIRAYA-KAYUNG'!I53</f>
        <v>0.8571428571428571</v>
      </c>
      <c r="J53" s="49">
        <f>'Avg Week KAYUNGA-GALIRAYA'!J53+'Avg Week GALIRAYA-KAYUNG'!J53</f>
        <v>0.71428571428571419</v>
      </c>
      <c r="K53" s="49">
        <f>'Avg Week KAYUNGA-GALIRAYA'!K53+'Avg Week GALIRAYA-KAYUNG'!K53</f>
        <v>0.8571428571428571</v>
      </c>
      <c r="L53" s="49">
        <f>'Avg Week KAYUNGA-GALIRAYA'!L53+'Avg Week GALIRAYA-KAYUNG'!L53</f>
        <v>0.14285714285714285</v>
      </c>
      <c r="M53" s="49">
        <f>'Avg Week KAYUNGA-GALIRAYA'!M53+'Avg Week GALIRAYA-KAYUNG'!M53</f>
        <v>17.285714285714285</v>
      </c>
      <c r="N53" s="49">
        <f>'Avg Week KAYUNGA-GALIRAYA'!N53+'Avg Week GALIRAYA-KAYUNG'!N53</f>
        <v>0.14285714285714285</v>
      </c>
      <c r="O53" s="15">
        <f t="shared" si="0"/>
        <v>11.285714285714285</v>
      </c>
      <c r="P53" s="15">
        <f t="shared" si="1"/>
        <v>28.571428571428569</v>
      </c>
      <c r="R53" s="8"/>
      <c r="T53"/>
    </row>
    <row r="54" spans="2:20" ht="23.1" customHeight="1" x14ac:dyDescent="0.25">
      <c r="B54" s="23" t="s">
        <v>81</v>
      </c>
      <c r="C54" s="49">
        <f>'Avg Week KAYUNGA-GALIRAYA'!C54+'Avg Week GALIRAYA-KAYUNG'!C54</f>
        <v>2.5714285714285712</v>
      </c>
      <c r="D54" s="49">
        <f>'Avg Week KAYUNGA-GALIRAYA'!D54+'Avg Week GALIRAYA-KAYUNG'!D54</f>
        <v>0.42857142857142855</v>
      </c>
      <c r="E54" s="49">
        <f>'Avg Week KAYUNGA-GALIRAYA'!E54+'Avg Week GALIRAYA-KAYUNG'!E54</f>
        <v>1.2857142857142856</v>
      </c>
      <c r="F54" s="49">
        <f>'Avg Week KAYUNGA-GALIRAYA'!F54+'Avg Week GALIRAYA-KAYUNG'!F54</f>
        <v>4.1428571428571423</v>
      </c>
      <c r="G54" s="49">
        <f>'Avg Week KAYUNGA-GALIRAYA'!G54+'Avg Week GALIRAYA-KAYUNG'!G54</f>
        <v>0.14285714285714285</v>
      </c>
      <c r="H54" s="49">
        <f>'Avg Week KAYUNGA-GALIRAYA'!H54+'Avg Week GALIRAYA-KAYUNG'!H54</f>
        <v>0</v>
      </c>
      <c r="I54" s="49">
        <f>'Avg Week KAYUNGA-GALIRAYA'!I54+'Avg Week GALIRAYA-KAYUNG'!I54</f>
        <v>1.7142857142857142</v>
      </c>
      <c r="J54" s="49">
        <f>'Avg Week KAYUNGA-GALIRAYA'!J54+'Avg Week GALIRAYA-KAYUNG'!J54</f>
        <v>1.1428571428571428</v>
      </c>
      <c r="K54" s="49">
        <f>'Avg Week KAYUNGA-GALIRAYA'!K54+'Avg Week GALIRAYA-KAYUNG'!K54</f>
        <v>0.14285714285714285</v>
      </c>
      <c r="L54" s="49">
        <f>'Avg Week KAYUNGA-GALIRAYA'!L54+'Avg Week GALIRAYA-KAYUNG'!L54</f>
        <v>0.14285714285714285</v>
      </c>
      <c r="M54" s="49">
        <f>'Avg Week KAYUNGA-GALIRAYA'!M54+'Avg Week GALIRAYA-KAYUNG'!M54</f>
        <v>24.142857142857146</v>
      </c>
      <c r="N54" s="49">
        <f>'Avg Week KAYUNGA-GALIRAYA'!N54+'Avg Week GALIRAYA-KAYUNG'!N54</f>
        <v>0</v>
      </c>
      <c r="O54" s="15">
        <f t="shared" si="0"/>
        <v>11.71428571428571</v>
      </c>
      <c r="P54" s="15">
        <f t="shared" si="1"/>
        <v>35.857142857142854</v>
      </c>
      <c r="R54" s="8"/>
      <c r="T54"/>
    </row>
    <row r="55" spans="2:20" ht="23.1" customHeight="1" x14ac:dyDescent="0.25">
      <c r="B55" s="23" t="s">
        <v>82</v>
      </c>
      <c r="C55" s="49">
        <f>'Avg Week KAYUNGA-GALIRAYA'!C55+'Avg Week GALIRAYA-KAYUNG'!C55</f>
        <v>1.7142857142857142</v>
      </c>
      <c r="D55" s="49">
        <f>'Avg Week KAYUNGA-GALIRAYA'!D55+'Avg Week GALIRAYA-KAYUNG'!D55</f>
        <v>0.2857142857142857</v>
      </c>
      <c r="E55" s="49">
        <f>'Avg Week KAYUNGA-GALIRAYA'!E55+'Avg Week GALIRAYA-KAYUNG'!E55</f>
        <v>0.5714285714285714</v>
      </c>
      <c r="F55" s="49">
        <f>'Avg Week KAYUNGA-GALIRAYA'!F55+'Avg Week GALIRAYA-KAYUNG'!F55</f>
        <v>2.4285714285714288</v>
      </c>
      <c r="G55" s="49">
        <f>'Avg Week KAYUNGA-GALIRAYA'!G55+'Avg Week GALIRAYA-KAYUNG'!G55</f>
        <v>0.14285714285714285</v>
      </c>
      <c r="H55" s="49">
        <f>'Avg Week KAYUNGA-GALIRAYA'!H55+'Avg Week GALIRAYA-KAYUNG'!H55</f>
        <v>0</v>
      </c>
      <c r="I55" s="49">
        <f>'Avg Week KAYUNGA-GALIRAYA'!I55+'Avg Week GALIRAYA-KAYUNG'!I55</f>
        <v>1.7142857142857142</v>
      </c>
      <c r="J55" s="49">
        <f>'Avg Week KAYUNGA-GALIRAYA'!J55+'Avg Week GALIRAYA-KAYUNG'!J55</f>
        <v>0.71428571428571419</v>
      </c>
      <c r="K55" s="49">
        <f>'Avg Week KAYUNGA-GALIRAYA'!K55+'Avg Week GALIRAYA-KAYUNG'!K55</f>
        <v>1.1428571428571428</v>
      </c>
      <c r="L55" s="49">
        <f>'Avg Week KAYUNGA-GALIRAYA'!L55+'Avg Week GALIRAYA-KAYUNG'!L55</f>
        <v>0.14285714285714285</v>
      </c>
      <c r="M55" s="49">
        <f>'Avg Week KAYUNGA-GALIRAYA'!M55+'Avg Week GALIRAYA-KAYUNG'!M55</f>
        <v>19.571428571428569</v>
      </c>
      <c r="N55" s="49">
        <f>'Avg Week KAYUNGA-GALIRAYA'!N55+'Avg Week GALIRAYA-KAYUNG'!N55</f>
        <v>0</v>
      </c>
      <c r="O55" s="15">
        <f t="shared" si="0"/>
        <v>8.8571428571428577</v>
      </c>
      <c r="P55" s="15">
        <f t="shared" si="1"/>
        <v>28.428571428571427</v>
      </c>
      <c r="R55" s="8"/>
      <c r="T55"/>
    </row>
    <row r="56" spans="2:20" ht="23.1" customHeight="1" x14ac:dyDescent="0.25">
      <c r="B56" s="23" t="s">
        <v>83</v>
      </c>
      <c r="C56" s="49">
        <f>'Avg Week KAYUNGA-GALIRAYA'!C56+'Avg Week GALIRAYA-KAYUNG'!C56</f>
        <v>2.5714285714285712</v>
      </c>
      <c r="D56" s="49">
        <f>'Avg Week KAYUNGA-GALIRAYA'!D56+'Avg Week GALIRAYA-KAYUNG'!D56</f>
        <v>0.8571428571428571</v>
      </c>
      <c r="E56" s="49">
        <f>'Avg Week KAYUNGA-GALIRAYA'!E56+'Avg Week GALIRAYA-KAYUNG'!E56</f>
        <v>0.2857142857142857</v>
      </c>
      <c r="F56" s="49">
        <f>'Avg Week KAYUNGA-GALIRAYA'!F56+'Avg Week GALIRAYA-KAYUNG'!F56</f>
        <v>2.8571428571428572</v>
      </c>
      <c r="G56" s="49">
        <f>'Avg Week KAYUNGA-GALIRAYA'!G56+'Avg Week GALIRAYA-KAYUNG'!G56</f>
        <v>0.14285714285714285</v>
      </c>
      <c r="H56" s="49">
        <f>'Avg Week KAYUNGA-GALIRAYA'!H56+'Avg Week GALIRAYA-KAYUNG'!H56</f>
        <v>0</v>
      </c>
      <c r="I56" s="49">
        <f>'Avg Week KAYUNGA-GALIRAYA'!I56+'Avg Week GALIRAYA-KAYUNG'!I56</f>
        <v>1.7142857142857142</v>
      </c>
      <c r="J56" s="49">
        <f>'Avg Week KAYUNGA-GALIRAYA'!J56+'Avg Week GALIRAYA-KAYUNG'!J56</f>
        <v>0.8571428571428571</v>
      </c>
      <c r="K56" s="49">
        <f>'Avg Week KAYUNGA-GALIRAYA'!K56+'Avg Week GALIRAYA-KAYUNG'!K56</f>
        <v>1.2857142857142856</v>
      </c>
      <c r="L56" s="49">
        <f>'Avg Week KAYUNGA-GALIRAYA'!L56+'Avg Week GALIRAYA-KAYUNG'!L56</f>
        <v>0.14285714285714285</v>
      </c>
      <c r="M56" s="49">
        <f>'Avg Week KAYUNGA-GALIRAYA'!M56+'Avg Week GALIRAYA-KAYUNG'!M56</f>
        <v>23.571428571428569</v>
      </c>
      <c r="N56" s="49">
        <f>'Avg Week KAYUNGA-GALIRAYA'!N56+'Avg Week GALIRAYA-KAYUNG'!N56</f>
        <v>0</v>
      </c>
      <c r="O56" s="15">
        <f t="shared" si="0"/>
        <v>10.714285714285715</v>
      </c>
      <c r="P56" s="15">
        <f t="shared" si="1"/>
        <v>34.285714285714285</v>
      </c>
      <c r="R56" s="8"/>
      <c r="T56"/>
    </row>
    <row r="57" spans="2:20" ht="23.1" customHeight="1" x14ac:dyDescent="0.25">
      <c r="B57" s="23" t="s">
        <v>84</v>
      </c>
      <c r="C57" s="49">
        <f>'Avg Week KAYUNGA-GALIRAYA'!C57+'Avg Week GALIRAYA-KAYUNG'!C57</f>
        <v>3.1428571428571428</v>
      </c>
      <c r="D57" s="49">
        <f>'Avg Week KAYUNGA-GALIRAYA'!D57+'Avg Week GALIRAYA-KAYUNG'!D57</f>
        <v>0.5714285714285714</v>
      </c>
      <c r="E57" s="49">
        <f>'Avg Week KAYUNGA-GALIRAYA'!E57+'Avg Week GALIRAYA-KAYUNG'!E57</f>
        <v>1</v>
      </c>
      <c r="F57" s="49">
        <f>'Avg Week KAYUNGA-GALIRAYA'!F57+'Avg Week GALIRAYA-KAYUNG'!F57</f>
        <v>3.1428571428571428</v>
      </c>
      <c r="G57" s="49">
        <f>'Avg Week KAYUNGA-GALIRAYA'!G57+'Avg Week GALIRAYA-KAYUNG'!G57</f>
        <v>0.14285714285714285</v>
      </c>
      <c r="H57" s="49">
        <f>'Avg Week KAYUNGA-GALIRAYA'!H57+'Avg Week GALIRAYA-KAYUNG'!H57</f>
        <v>0</v>
      </c>
      <c r="I57" s="49">
        <f>'Avg Week KAYUNGA-GALIRAYA'!I57+'Avg Week GALIRAYA-KAYUNG'!I57</f>
        <v>1.4285714285714286</v>
      </c>
      <c r="J57" s="49">
        <f>'Avg Week KAYUNGA-GALIRAYA'!J57+'Avg Week GALIRAYA-KAYUNG'!J57</f>
        <v>1.1428571428571428</v>
      </c>
      <c r="K57" s="49">
        <f>'Avg Week KAYUNGA-GALIRAYA'!K57+'Avg Week GALIRAYA-KAYUNG'!K57</f>
        <v>0.5714285714285714</v>
      </c>
      <c r="L57" s="49">
        <f>'Avg Week KAYUNGA-GALIRAYA'!L57+'Avg Week GALIRAYA-KAYUNG'!L57</f>
        <v>0.42857142857142855</v>
      </c>
      <c r="M57" s="49">
        <f>'Avg Week KAYUNGA-GALIRAYA'!M57+'Avg Week GALIRAYA-KAYUNG'!M57</f>
        <v>17.714285714285715</v>
      </c>
      <c r="N57" s="49">
        <f>'Avg Week KAYUNGA-GALIRAYA'!N57+'Avg Week GALIRAYA-KAYUNG'!N57</f>
        <v>0</v>
      </c>
      <c r="O57" s="15">
        <f t="shared" si="0"/>
        <v>11.571428571428571</v>
      </c>
      <c r="P57" s="15">
        <f t="shared" si="1"/>
        <v>29.285714285714285</v>
      </c>
      <c r="R57" s="8"/>
      <c r="T57"/>
    </row>
    <row r="58" spans="2:20" ht="23.1" customHeight="1" x14ac:dyDescent="0.25">
      <c r="B58" s="23" t="s">
        <v>99</v>
      </c>
      <c r="C58" s="49">
        <f>'Avg Week KAYUNGA-GALIRAYA'!C58+'Avg Week GALIRAYA-KAYUNG'!C58</f>
        <v>2</v>
      </c>
      <c r="D58" s="49">
        <f>'Avg Week KAYUNGA-GALIRAYA'!D58+'Avg Week GALIRAYA-KAYUNG'!D58</f>
        <v>0</v>
      </c>
      <c r="E58" s="49">
        <f>'Avg Week KAYUNGA-GALIRAYA'!E58+'Avg Week GALIRAYA-KAYUNG'!E58</f>
        <v>0</v>
      </c>
      <c r="F58" s="49">
        <f>'Avg Week KAYUNGA-GALIRAYA'!F58+'Avg Week GALIRAYA-KAYUNG'!F58</f>
        <v>3.5</v>
      </c>
      <c r="G58" s="49">
        <f>'Avg Week KAYUNGA-GALIRAYA'!G58+'Avg Week GALIRAYA-KAYUNG'!G58</f>
        <v>0.5</v>
      </c>
      <c r="H58" s="49">
        <f>'Avg Week KAYUNGA-GALIRAYA'!H58+'Avg Week GALIRAYA-KAYUNG'!H58</f>
        <v>0</v>
      </c>
      <c r="I58" s="49">
        <f>'Avg Week KAYUNGA-GALIRAYA'!I58+'Avg Week GALIRAYA-KAYUNG'!I58</f>
        <v>1.5</v>
      </c>
      <c r="J58" s="49">
        <f>'Avg Week KAYUNGA-GALIRAYA'!J58+'Avg Week GALIRAYA-KAYUNG'!J58</f>
        <v>1</v>
      </c>
      <c r="K58" s="49">
        <f>'Avg Week KAYUNGA-GALIRAYA'!K58+'Avg Week GALIRAYA-KAYUNG'!K58</f>
        <v>0.5</v>
      </c>
      <c r="L58" s="49">
        <f>'Avg Week KAYUNGA-GALIRAYA'!L58+'Avg Week GALIRAYA-KAYUNG'!L58</f>
        <v>0</v>
      </c>
      <c r="M58" s="49">
        <f>'Avg Week KAYUNGA-GALIRAYA'!M58+'Avg Week GALIRAYA-KAYUNG'!M58</f>
        <v>21</v>
      </c>
      <c r="N58" s="49">
        <f>'Avg Week KAYUNGA-GALIRAYA'!N58+'Avg Week GALIRAYA-KAYUNG'!N58</f>
        <v>0</v>
      </c>
      <c r="O58" s="15">
        <f t="shared" si="0"/>
        <v>9</v>
      </c>
      <c r="P58" s="15">
        <f t="shared" si="1"/>
        <v>30</v>
      </c>
      <c r="R58" s="8"/>
      <c r="T58"/>
    </row>
    <row r="59" spans="2:20" ht="23.1" customHeight="1" x14ac:dyDescent="0.25">
      <c r="B59" s="23" t="s">
        <v>100</v>
      </c>
      <c r="C59" s="49">
        <f>'Avg Week KAYUNGA-GALIRAYA'!C59+'Avg Week GALIRAYA-KAYUNG'!C59</f>
        <v>5.5</v>
      </c>
      <c r="D59" s="49">
        <f>'Avg Week KAYUNGA-GALIRAYA'!D59+'Avg Week GALIRAYA-KAYUNG'!D59</f>
        <v>0</v>
      </c>
      <c r="E59" s="49">
        <f>'Avg Week KAYUNGA-GALIRAYA'!E59+'Avg Week GALIRAYA-KAYUNG'!E59</f>
        <v>2</v>
      </c>
      <c r="F59" s="49">
        <f>'Avg Week KAYUNGA-GALIRAYA'!F59+'Avg Week GALIRAYA-KAYUNG'!F59</f>
        <v>3</v>
      </c>
      <c r="G59" s="49">
        <f>'Avg Week KAYUNGA-GALIRAYA'!G59+'Avg Week GALIRAYA-KAYUNG'!G59</f>
        <v>0</v>
      </c>
      <c r="H59" s="49">
        <f>'Avg Week KAYUNGA-GALIRAYA'!H59+'Avg Week GALIRAYA-KAYUNG'!H59</f>
        <v>0</v>
      </c>
      <c r="I59" s="49">
        <f>'Avg Week KAYUNGA-GALIRAYA'!I59+'Avg Week GALIRAYA-KAYUNG'!I59</f>
        <v>3.5</v>
      </c>
      <c r="J59" s="49">
        <f>'Avg Week KAYUNGA-GALIRAYA'!J59+'Avg Week GALIRAYA-KAYUNG'!J59</f>
        <v>2</v>
      </c>
      <c r="K59" s="49">
        <f>'Avg Week KAYUNGA-GALIRAYA'!K59+'Avg Week GALIRAYA-KAYUNG'!K59</f>
        <v>0</v>
      </c>
      <c r="L59" s="49">
        <f>'Avg Week KAYUNGA-GALIRAYA'!L59+'Avg Week GALIRAYA-KAYUNG'!L59</f>
        <v>0</v>
      </c>
      <c r="M59" s="49">
        <f>'Avg Week KAYUNGA-GALIRAYA'!M59+'Avg Week GALIRAYA-KAYUNG'!M59</f>
        <v>30</v>
      </c>
      <c r="N59" s="49">
        <f>'Avg Week KAYUNGA-GALIRAYA'!N59+'Avg Week GALIRAYA-KAYUNG'!N59</f>
        <v>0</v>
      </c>
      <c r="O59" s="15">
        <f t="shared" si="0"/>
        <v>16</v>
      </c>
      <c r="P59" s="15">
        <f t="shared" si="1"/>
        <v>46</v>
      </c>
      <c r="R59" s="8"/>
      <c r="T59"/>
    </row>
    <row r="60" spans="2:20" ht="23.1" customHeight="1" x14ac:dyDescent="0.25">
      <c r="B60" s="23" t="s">
        <v>101</v>
      </c>
      <c r="C60" s="49">
        <f>'Avg Week KAYUNGA-GALIRAYA'!C60+'Avg Week GALIRAYA-KAYUNG'!C60</f>
        <v>1</v>
      </c>
      <c r="D60" s="49">
        <f>'Avg Week KAYUNGA-GALIRAYA'!D60+'Avg Week GALIRAYA-KAYUNG'!D60</f>
        <v>0</v>
      </c>
      <c r="E60" s="49">
        <f>'Avg Week KAYUNGA-GALIRAYA'!E60+'Avg Week GALIRAYA-KAYUNG'!E60</f>
        <v>1</v>
      </c>
      <c r="F60" s="49">
        <f>'Avg Week KAYUNGA-GALIRAYA'!F60+'Avg Week GALIRAYA-KAYUNG'!F60</f>
        <v>2.5</v>
      </c>
      <c r="G60" s="49">
        <f>'Avg Week KAYUNGA-GALIRAYA'!G60+'Avg Week GALIRAYA-KAYUNG'!G60</f>
        <v>0</v>
      </c>
      <c r="H60" s="49">
        <f>'Avg Week KAYUNGA-GALIRAYA'!H60+'Avg Week GALIRAYA-KAYUNG'!H60</f>
        <v>0</v>
      </c>
      <c r="I60" s="49">
        <f>'Avg Week KAYUNGA-GALIRAYA'!I60+'Avg Week GALIRAYA-KAYUNG'!I60</f>
        <v>1</v>
      </c>
      <c r="J60" s="49">
        <f>'Avg Week KAYUNGA-GALIRAYA'!J60+'Avg Week GALIRAYA-KAYUNG'!J60</f>
        <v>1</v>
      </c>
      <c r="K60" s="49">
        <f>'Avg Week KAYUNGA-GALIRAYA'!K60+'Avg Week GALIRAYA-KAYUNG'!K60</f>
        <v>1.5</v>
      </c>
      <c r="L60" s="49">
        <f>'Avg Week KAYUNGA-GALIRAYA'!L60+'Avg Week GALIRAYA-KAYUNG'!L60</f>
        <v>0</v>
      </c>
      <c r="M60" s="49">
        <f>'Avg Week KAYUNGA-GALIRAYA'!M60+'Avg Week GALIRAYA-KAYUNG'!M60</f>
        <v>14.5</v>
      </c>
      <c r="N60" s="49">
        <f>'Avg Week KAYUNGA-GALIRAYA'!N60+'Avg Week GALIRAYA-KAYUNG'!N60</f>
        <v>0</v>
      </c>
      <c r="O60" s="15">
        <f t="shared" si="0"/>
        <v>8</v>
      </c>
      <c r="P60" s="15">
        <f t="shared" si="1"/>
        <v>22.5</v>
      </c>
      <c r="R60" s="8"/>
      <c r="T60"/>
    </row>
    <row r="61" spans="2:20" ht="23.1" customHeight="1" x14ac:dyDescent="0.25">
      <c r="B61" s="23" t="s">
        <v>102</v>
      </c>
      <c r="C61" s="49">
        <f>'Avg Week KAYUNGA-GALIRAYA'!C61+'Avg Week GALIRAYA-KAYUNG'!C61</f>
        <v>4</v>
      </c>
      <c r="D61" s="49">
        <f>'Avg Week KAYUNGA-GALIRAYA'!D61+'Avg Week GALIRAYA-KAYUNG'!D61</f>
        <v>0</v>
      </c>
      <c r="E61" s="49">
        <f>'Avg Week KAYUNGA-GALIRAYA'!E61+'Avg Week GALIRAYA-KAYUNG'!E61</f>
        <v>1</v>
      </c>
      <c r="F61" s="49">
        <f>'Avg Week KAYUNGA-GALIRAYA'!F61+'Avg Week GALIRAYA-KAYUNG'!F61</f>
        <v>2.5</v>
      </c>
      <c r="G61" s="49">
        <f>'Avg Week KAYUNGA-GALIRAYA'!G61+'Avg Week GALIRAYA-KAYUNG'!G61</f>
        <v>0</v>
      </c>
      <c r="H61" s="49">
        <f>'Avg Week KAYUNGA-GALIRAYA'!H61+'Avg Week GALIRAYA-KAYUNG'!H61</f>
        <v>0</v>
      </c>
      <c r="I61" s="49">
        <f>'Avg Week KAYUNGA-GALIRAYA'!I61+'Avg Week GALIRAYA-KAYUNG'!I61</f>
        <v>2</v>
      </c>
      <c r="J61" s="49">
        <f>'Avg Week KAYUNGA-GALIRAYA'!J61+'Avg Week GALIRAYA-KAYUNG'!J61</f>
        <v>0.5</v>
      </c>
      <c r="K61" s="49">
        <f>'Avg Week KAYUNGA-GALIRAYA'!K61+'Avg Week GALIRAYA-KAYUNG'!K61</f>
        <v>2</v>
      </c>
      <c r="L61" s="49">
        <f>'Avg Week KAYUNGA-GALIRAYA'!L61+'Avg Week GALIRAYA-KAYUNG'!L61</f>
        <v>0</v>
      </c>
      <c r="M61" s="49">
        <f>'Avg Week KAYUNGA-GALIRAYA'!M61+'Avg Week GALIRAYA-KAYUNG'!M61</f>
        <v>22.5</v>
      </c>
      <c r="N61" s="49">
        <f>'Avg Week KAYUNGA-GALIRAYA'!N61+'Avg Week GALIRAYA-KAYUNG'!N61</f>
        <v>0</v>
      </c>
      <c r="O61" s="15">
        <f t="shared" si="0"/>
        <v>12</v>
      </c>
      <c r="P61" s="15">
        <f t="shared" si="1"/>
        <v>34.5</v>
      </c>
      <c r="R61" s="8"/>
      <c r="T61"/>
    </row>
    <row r="62" spans="2:20" ht="23.1" customHeight="1" x14ac:dyDescent="0.25">
      <c r="B62" s="23" t="s">
        <v>107</v>
      </c>
      <c r="C62" s="49">
        <f>'Avg Week KAYUNGA-GALIRAYA'!C62+'Avg Week GALIRAYA-KAYUNG'!C62</f>
        <v>4</v>
      </c>
      <c r="D62" s="49">
        <f>'Avg Week KAYUNGA-GALIRAYA'!D62+'Avg Week GALIRAYA-KAYUNG'!D62</f>
        <v>0.5</v>
      </c>
      <c r="E62" s="49">
        <f>'Avg Week KAYUNGA-GALIRAYA'!E62+'Avg Week GALIRAYA-KAYUNG'!E62</f>
        <v>1.5</v>
      </c>
      <c r="F62" s="49">
        <f>'Avg Week KAYUNGA-GALIRAYA'!F62+'Avg Week GALIRAYA-KAYUNG'!F62</f>
        <v>3</v>
      </c>
      <c r="G62" s="49">
        <f>'Avg Week KAYUNGA-GALIRAYA'!G62+'Avg Week GALIRAYA-KAYUNG'!G62</f>
        <v>0</v>
      </c>
      <c r="H62" s="49">
        <f>'Avg Week KAYUNGA-GALIRAYA'!H62+'Avg Week GALIRAYA-KAYUNG'!H62</f>
        <v>0</v>
      </c>
      <c r="I62" s="49">
        <f>'Avg Week KAYUNGA-GALIRAYA'!I62+'Avg Week GALIRAYA-KAYUNG'!I62</f>
        <v>0.5</v>
      </c>
      <c r="J62" s="49">
        <f>'Avg Week KAYUNGA-GALIRAYA'!J62+'Avg Week GALIRAYA-KAYUNG'!J62</f>
        <v>0</v>
      </c>
      <c r="K62" s="49">
        <f>'Avg Week KAYUNGA-GALIRAYA'!K62+'Avg Week GALIRAYA-KAYUNG'!K62</f>
        <v>1.5</v>
      </c>
      <c r="L62" s="49">
        <f>'Avg Week KAYUNGA-GALIRAYA'!L62+'Avg Week GALIRAYA-KAYUNG'!L62</f>
        <v>0</v>
      </c>
      <c r="M62" s="49">
        <f>'Avg Week KAYUNGA-GALIRAYA'!M62+'Avg Week GALIRAYA-KAYUNG'!M62</f>
        <v>18.5</v>
      </c>
      <c r="N62" s="49">
        <f>'Avg Week KAYUNGA-GALIRAYA'!N62+'Avg Week GALIRAYA-KAYUNG'!N62</f>
        <v>0</v>
      </c>
      <c r="O62" s="15">
        <f t="shared" si="0"/>
        <v>11</v>
      </c>
      <c r="P62" s="15">
        <f t="shared" si="1"/>
        <v>29.5</v>
      </c>
      <c r="R62" s="8"/>
      <c r="T62"/>
    </row>
    <row r="63" spans="2:20" ht="23.1" customHeight="1" x14ac:dyDescent="0.25">
      <c r="B63" s="23" t="s">
        <v>108</v>
      </c>
      <c r="C63" s="49">
        <f>'Avg Week KAYUNGA-GALIRAYA'!C63+'Avg Week GALIRAYA-KAYUNG'!C63</f>
        <v>2</v>
      </c>
      <c r="D63" s="49">
        <f>'Avg Week KAYUNGA-GALIRAYA'!D63+'Avg Week GALIRAYA-KAYUNG'!D63</f>
        <v>0.5</v>
      </c>
      <c r="E63" s="49">
        <f>'Avg Week KAYUNGA-GALIRAYA'!E63+'Avg Week GALIRAYA-KAYUNG'!E63</f>
        <v>1.5</v>
      </c>
      <c r="F63" s="49">
        <f>'Avg Week KAYUNGA-GALIRAYA'!F63+'Avg Week GALIRAYA-KAYUNG'!F63</f>
        <v>4.5</v>
      </c>
      <c r="G63" s="49">
        <f>'Avg Week KAYUNGA-GALIRAYA'!G63+'Avg Week GALIRAYA-KAYUNG'!G63</f>
        <v>0</v>
      </c>
      <c r="H63" s="49">
        <f>'Avg Week KAYUNGA-GALIRAYA'!H63+'Avg Week GALIRAYA-KAYUNG'!H63</f>
        <v>0</v>
      </c>
      <c r="I63" s="49">
        <f>'Avg Week KAYUNGA-GALIRAYA'!I63+'Avg Week GALIRAYA-KAYUNG'!I63</f>
        <v>3.5</v>
      </c>
      <c r="J63" s="49">
        <f>'Avg Week KAYUNGA-GALIRAYA'!J63+'Avg Week GALIRAYA-KAYUNG'!J63</f>
        <v>0.5</v>
      </c>
      <c r="K63" s="49">
        <f>'Avg Week KAYUNGA-GALIRAYA'!K63+'Avg Week GALIRAYA-KAYUNG'!K63</f>
        <v>1</v>
      </c>
      <c r="L63" s="49">
        <f>'Avg Week KAYUNGA-GALIRAYA'!L63+'Avg Week GALIRAYA-KAYUNG'!L63</f>
        <v>0.5</v>
      </c>
      <c r="M63" s="49">
        <f>'Avg Week KAYUNGA-GALIRAYA'!M63+'Avg Week GALIRAYA-KAYUNG'!M63</f>
        <v>15</v>
      </c>
      <c r="N63" s="49">
        <f>'Avg Week KAYUNGA-GALIRAYA'!N63+'Avg Week GALIRAYA-KAYUNG'!N63</f>
        <v>0</v>
      </c>
      <c r="O63" s="15">
        <f t="shared" si="0"/>
        <v>14</v>
      </c>
      <c r="P63" s="15">
        <f t="shared" si="1"/>
        <v>29</v>
      </c>
      <c r="R63" s="8"/>
      <c r="T63"/>
    </row>
    <row r="64" spans="2:20" ht="23.1" customHeight="1" x14ac:dyDescent="0.25">
      <c r="B64" s="23" t="s">
        <v>109</v>
      </c>
      <c r="C64" s="49">
        <f>'Avg Week KAYUNGA-GALIRAYA'!C64+'Avg Week GALIRAYA-KAYUNG'!C64</f>
        <v>2.5</v>
      </c>
      <c r="D64" s="49">
        <f>'Avg Week KAYUNGA-GALIRAYA'!D64+'Avg Week GALIRAYA-KAYUNG'!D64</f>
        <v>0</v>
      </c>
      <c r="E64" s="49">
        <f>'Avg Week KAYUNGA-GALIRAYA'!E64+'Avg Week GALIRAYA-KAYUNG'!E64</f>
        <v>0</v>
      </c>
      <c r="F64" s="49">
        <f>'Avg Week KAYUNGA-GALIRAYA'!F64+'Avg Week GALIRAYA-KAYUNG'!F64</f>
        <v>2</v>
      </c>
      <c r="G64" s="49">
        <f>'Avg Week KAYUNGA-GALIRAYA'!G64+'Avg Week GALIRAYA-KAYUNG'!G64</f>
        <v>0.5</v>
      </c>
      <c r="H64" s="49">
        <f>'Avg Week KAYUNGA-GALIRAYA'!H64+'Avg Week GALIRAYA-KAYUNG'!H64</f>
        <v>0</v>
      </c>
      <c r="I64" s="49">
        <f>'Avg Week KAYUNGA-GALIRAYA'!I64+'Avg Week GALIRAYA-KAYUNG'!I64</f>
        <v>2</v>
      </c>
      <c r="J64" s="49">
        <f>'Avg Week KAYUNGA-GALIRAYA'!J64+'Avg Week GALIRAYA-KAYUNG'!J64</f>
        <v>1.5</v>
      </c>
      <c r="K64" s="49">
        <f>'Avg Week KAYUNGA-GALIRAYA'!K64+'Avg Week GALIRAYA-KAYUNG'!K64</f>
        <v>0</v>
      </c>
      <c r="L64" s="49">
        <f>'Avg Week KAYUNGA-GALIRAYA'!L64+'Avg Week GALIRAYA-KAYUNG'!L64</f>
        <v>1</v>
      </c>
      <c r="M64" s="49">
        <f>'Avg Week KAYUNGA-GALIRAYA'!M64+'Avg Week GALIRAYA-KAYUNG'!M64</f>
        <v>7.5</v>
      </c>
      <c r="N64" s="49">
        <f>'Avg Week KAYUNGA-GALIRAYA'!N64+'Avg Week GALIRAYA-KAYUNG'!N64</f>
        <v>0</v>
      </c>
      <c r="O64" s="15">
        <f t="shared" si="0"/>
        <v>9.5</v>
      </c>
      <c r="P64" s="15">
        <f t="shared" si="1"/>
        <v>17</v>
      </c>
      <c r="R64" s="8"/>
      <c r="T64"/>
    </row>
    <row r="65" spans="2:20" ht="23.1" customHeight="1" x14ac:dyDescent="0.25">
      <c r="B65" s="23" t="s">
        <v>158</v>
      </c>
      <c r="C65" s="49">
        <f>'Avg Week KAYUNGA-GALIRAYA'!C65+'Avg Week GALIRAYA-KAYUNG'!C65</f>
        <v>1.5</v>
      </c>
      <c r="D65" s="49">
        <f>'Avg Week KAYUNGA-GALIRAYA'!D65+'Avg Week GALIRAYA-KAYUNG'!D65</f>
        <v>0</v>
      </c>
      <c r="E65" s="49">
        <f>'Avg Week KAYUNGA-GALIRAYA'!E65+'Avg Week GALIRAYA-KAYUNG'!E65</f>
        <v>0</v>
      </c>
      <c r="F65" s="49">
        <f>'Avg Week KAYUNGA-GALIRAYA'!F65+'Avg Week GALIRAYA-KAYUNG'!F65</f>
        <v>0</v>
      </c>
      <c r="G65" s="49">
        <f>'Avg Week KAYUNGA-GALIRAYA'!G65+'Avg Week GALIRAYA-KAYUNG'!G65</f>
        <v>0</v>
      </c>
      <c r="H65" s="49">
        <f>'Avg Week KAYUNGA-GALIRAYA'!H65+'Avg Week GALIRAYA-KAYUNG'!H65</f>
        <v>0</v>
      </c>
      <c r="I65" s="49">
        <f>'Avg Week KAYUNGA-GALIRAYA'!I65+'Avg Week GALIRAYA-KAYUNG'!I65</f>
        <v>0.5</v>
      </c>
      <c r="J65" s="49">
        <f>'Avg Week KAYUNGA-GALIRAYA'!J65+'Avg Week GALIRAYA-KAYUNG'!J65</f>
        <v>0</v>
      </c>
      <c r="K65" s="49">
        <f>'Avg Week KAYUNGA-GALIRAYA'!K65+'Avg Week GALIRAYA-KAYUNG'!K65</f>
        <v>1.5</v>
      </c>
      <c r="L65" s="49">
        <f>'Avg Week KAYUNGA-GALIRAYA'!L65+'Avg Week GALIRAYA-KAYUNG'!L65</f>
        <v>0</v>
      </c>
      <c r="M65" s="49">
        <f>'Avg Week KAYUNGA-GALIRAYA'!M65+'Avg Week GALIRAYA-KAYUNG'!M65</f>
        <v>8.5</v>
      </c>
      <c r="N65" s="49">
        <f>'Avg Week KAYUNGA-GALIRAYA'!N65+'Avg Week GALIRAYA-KAYUNG'!N65</f>
        <v>0</v>
      </c>
      <c r="O65" s="15">
        <f t="shared" si="0"/>
        <v>3.5</v>
      </c>
      <c r="P65" s="15">
        <f t="shared" si="1"/>
        <v>12</v>
      </c>
      <c r="R65" s="8"/>
      <c r="T65"/>
    </row>
    <row r="66" spans="2:20" ht="23.1" customHeight="1" x14ac:dyDescent="0.25">
      <c r="B66" s="23" t="s">
        <v>103</v>
      </c>
      <c r="C66" s="49">
        <f>'Avg Week KAYUNGA-GALIRAYA'!C66+'Avg Week GALIRAYA-KAYUNG'!C66</f>
        <v>4</v>
      </c>
      <c r="D66" s="49">
        <f>'Avg Week KAYUNGA-GALIRAYA'!D66+'Avg Week GALIRAYA-KAYUNG'!D66</f>
        <v>0</v>
      </c>
      <c r="E66" s="49">
        <f>'Avg Week KAYUNGA-GALIRAYA'!E66+'Avg Week GALIRAYA-KAYUNG'!E66</f>
        <v>0</v>
      </c>
      <c r="F66" s="49">
        <f>'Avg Week KAYUNGA-GALIRAYA'!F66+'Avg Week GALIRAYA-KAYUNG'!F66</f>
        <v>0.5</v>
      </c>
      <c r="G66" s="49">
        <f>'Avg Week KAYUNGA-GALIRAYA'!G66+'Avg Week GALIRAYA-KAYUNG'!G66</f>
        <v>0</v>
      </c>
      <c r="H66" s="49">
        <f>'Avg Week KAYUNGA-GALIRAYA'!H66+'Avg Week GALIRAYA-KAYUNG'!H66</f>
        <v>0</v>
      </c>
      <c r="I66" s="49">
        <f>'Avg Week KAYUNGA-GALIRAYA'!I66+'Avg Week GALIRAYA-KAYUNG'!I66</f>
        <v>0.5</v>
      </c>
      <c r="J66" s="49">
        <f>'Avg Week KAYUNGA-GALIRAYA'!J66+'Avg Week GALIRAYA-KAYUNG'!J66</f>
        <v>1.5</v>
      </c>
      <c r="K66" s="49">
        <f>'Avg Week KAYUNGA-GALIRAYA'!K66+'Avg Week GALIRAYA-KAYUNG'!K66</f>
        <v>0.5</v>
      </c>
      <c r="L66" s="49">
        <f>'Avg Week KAYUNGA-GALIRAYA'!L66+'Avg Week GALIRAYA-KAYUNG'!L66</f>
        <v>0</v>
      </c>
      <c r="M66" s="49">
        <f>'Avg Week KAYUNGA-GALIRAYA'!M66+'Avg Week GALIRAYA-KAYUNG'!M66</f>
        <v>5</v>
      </c>
      <c r="N66" s="49">
        <f>'Avg Week KAYUNGA-GALIRAYA'!N66+'Avg Week GALIRAYA-KAYUNG'!N66</f>
        <v>0</v>
      </c>
      <c r="O66" s="15">
        <f t="shared" si="0"/>
        <v>7</v>
      </c>
      <c r="P66" s="15">
        <f t="shared" si="1"/>
        <v>12</v>
      </c>
      <c r="R66" s="8"/>
      <c r="T66"/>
    </row>
    <row r="67" spans="2:20" ht="23.1" customHeight="1" x14ac:dyDescent="0.25">
      <c r="B67" s="23" t="s">
        <v>104</v>
      </c>
      <c r="C67" s="49">
        <f>'Avg Week KAYUNGA-GALIRAYA'!C67+'Avg Week GALIRAYA-KAYUNG'!C67</f>
        <v>0.5</v>
      </c>
      <c r="D67" s="49">
        <f>'Avg Week KAYUNGA-GALIRAYA'!D67+'Avg Week GALIRAYA-KAYUNG'!D67</f>
        <v>0</v>
      </c>
      <c r="E67" s="49">
        <f>'Avg Week KAYUNGA-GALIRAYA'!E67+'Avg Week GALIRAYA-KAYUNG'!E67</f>
        <v>0</v>
      </c>
      <c r="F67" s="49">
        <f>'Avg Week KAYUNGA-GALIRAYA'!F67+'Avg Week GALIRAYA-KAYUNG'!F67</f>
        <v>0</v>
      </c>
      <c r="G67" s="49">
        <f>'Avg Week KAYUNGA-GALIRAYA'!G67+'Avg Week GALIRAYA-KAYUNG'!G67</f>
        <v>0</v>
      </c>
      <c r="H67" s="49">
        <f>'Avg Week KAYUNGA-GALIRAYA'!H67+'Avg Week GALIRAYA-KAYUNG'!H67</f>
        <v>0</v>
      </c>
      <c r="I67" s="49">
        <f>'Avg Week KAYUNGA-GALIRAYA'!I67+'Avg Week GALIRAYA-KAYUNG'!I67</f>
        <v>0.5</v>
      </c>
      <c r="J67" s="49">
        <f>'Avg Week KAYUNGA-GALIRAYA'!J67+'Avg Week GALIRAYA-KAYUNG'!J67</f>
        <v>0</v>
      </c>
      <c r="K67" s="49">
        <f>'Avg Week KAYUNGA-GALIRAYA'!K67+'Avg Week GALIRAYA-KAYUNG'!K67</f>
        <v>0</v>
      </c>
      <c r="L67" s="49">
        <f>'Avg Week KAYUNGA-GALIRAYA'!L67+'Avg Week GALIRAYA-KAYUNG'!L67</f>
        <v>0</v>
      </c>
      <c r="M67" s="49">
        <f>'Avg Week KAYUNGA-GALIRAYA'!M67+'Avg Week GALIRAYA-KAYUNG'!M67</f>
        <v>3</v>
      </c>
      <c r="N67" s="49">
        <f>'Avg Week KAYUNGA-GALIRAYA'!N67+'Avg Week GALIRAYA-KAYUNG'!N67</f>
        <v>0</v>
      </c>
      <c r="O67" s="15">
        <f t="shared" si="0"/>
        <v>1</v>
      </c>
      <c r="P67" s="15">
        <f t="shared" si="1"/>
        <v>4</v>
      </c>
      <c r="R67" s="8"/>
      <c r="T67"/>
    </row>
    <row r="68" spans="2:20" ht="23.1" customHeight="1" x14ac:dyDescent="0.25">
      <c r="B68" s="23" t="s">
        <v>105</v>
      </c>
      <c r="C68" s="49">
        <f>'Avg Week KAYUNGA-GALIRAYA'!C68+'Avg Week GALIRAYA-KAYUNG'!C68</f>
        <v>0</v>
      </c>
      <c r="D68" s="49">
        <f>'Avg Week KAYUNGA-GALIRAYA'!D68+'Avg Week GALIRAYA-KAYUNG'!D68</f>
        <v>0</v>
      </c>
      <c r="E68" s="49">
        <f>'Avg Week KAYUNGA-GALIRAYA'!E68+'Avg Week GALIRAYA-KAYUNG'!E68</f>
        <v>0.5</v>
      </c>
      <c r="F68" s="49">
        <f>'Avg Week KAYUNGA-GALIRAYA'!F68+'Avg Week GALIRAYA-KAYUNG'!F68</f>
        <v>0</v>
      </c>
      <c r="G68" s="49">
        <f>'Avg Week KAYUNGA-GALIRAYA'!G68+'Avg Week GALIRAYA-KAYUNG'!G68</f>
        <v>0</v>
      </c>
      <c r="H68" s="49">
        <f>'Avg Week KAYUNGA-GALIRAYA'!H68+'Avg Week GALIRAYA-KAYUNG'!H68</f>
        <v>0</v>
      </c>
      <c r="I68" s="49">
        <f>'Avg Week KAYUNGA-GALIRAYA'!I68+'Avg Week GALIRAYA-KAYUNG'!I68</f>
        <v>1.5</v>
      </c>
      <c r="J68" s="49">
        <f>'Avg Week KAYUNGA-GALIRAYA'!J68+'Avg Week GALIRAYA-KAYUNG'!J68</f>
        <v>1</v>
      </c>
      <c r="K68" s="49">
        <f>'Avg Week KAYUNGA-GALIRAYA'!K68+'Avg Week GALIRAYA-KAYUNG'!K68</f>
        <v>0</v>
      </c>
      <c r="L68" s="49">
        <f>'Avg Week KAYUNGA-GALIRAYA'!L68+'Avg Week GALIRAYA-KAYUNG'!L68</f>
        <v>0</v>
      </c>
      <c r="M68" s="49">
        <f>'Avg Week KAYUNGA-GALIRAYA'!M68+'Avg Week GALIRAYA-KAYUNG'!M68</f>
        <v>4</v>
      </c>
      <c r="N68" s="49">
        <f>'Avg Week KAYUNGA-GALIRAYA'!N68+'Avg Week GALIRAYA-KAYUNG'!N68</f>
        <v>0</v>
      </c>
      <c r="O68" s="15">
        <f t="shared" si="0"/>
        <v>3</v>
      </c>
      <c r="P68" s="15">
        <f t="shared" si="1"/>
        <v>7</v>
      </c>
      <c r="R68" s="8"/>
      <c r="T68"/>
    </row>
    <row r="69" spans="2:20" ht="23.1" customHeight="1" x14ac:dyDescent="0.25">
      <c r="B69" s="23" t="s">
        <v>106</v>
      </c>
      <c r="C69" s="49">
        <f>'Avg Week KAYUNGA-GALIRAYA'!C69+'Avg Week GALIRAYA-KAYUNG'!C69</f>
        <v>0.5</v>
      </c>
      <c r="D69" s="49">
        <f>'Avg Week KAYUNGA-GALIRAYA'!D69+'Avg Week GALIRAYA-KAYUNG'!D69</f>
        <v>0.5</v>
      </c>
      <c r="E69" s="49">
        <f>'Avg Week KAYUNGA-GALIRAYA'!E69+'Avg Week GALIRAYA-KAYUNG'!E69</f>
        <v>1</v>
      </c>
      <c r="F69" s="49">
        <f>'Avg Week KAYUNGA-GALIRAYA'!F69+'Avg Week GALIRAYA-KAYUNG'!F69</f>
        <v>1</v>
      </c>
      <c r="G69" s="49">
        <f>'Avg Week KAYUNGA-GALIRAYA'!G69+'Avg Week GALIRAYA-KAYUNG'!G69</f>
        <v>0</v>
      </c>
      <c r="H69" s="49">
        <f>'Avg Week KAYUNGA-GALIRAYA'!H69+'Avg Week GALIRAYA-KAYUNG'!H69</f>
        <v>0</v>
      </c>
      <c r="I69" s="49">
        <f>'Avg Week KAYUNGA-GALIRAYA'!I69+'Avg Week GALIRAYA-KAYUNG'!I69</f>
        <v>0.5</v>
      </c>
      <c r="J69" s="49">
        <f>'Avg Week KAYUNGA-GALIRAYA'!J69+'Avg Week GALIRAYA-KAYUNG'!J69</f>
        <v>1.5</v>
      </c>
      <c r="K69" s="49">
        <f>'Avg Week KAYUNGA-GALIRAYA'!K69+'Avg Week GALIRAYA-KAYUNG'!K69</f>
        <v>0</v>
      </c>
      <c r="L69" s="49">
        <f>'Avg Week KAYUNGA-GALIRAYA'!L69+'Avg Week GALIRAYA-KAYUNG'!L69</f>
        <v>0</v>
      </c>
      <c r="M69" s="49">
        <f>'Avg Week KAYUNGA-GALIRAYA'!M69+'Avg Week GALIRAYA-KAYUNG'!M69</f>
        <v>3.5</v>
      </c>
      <c r="N69" s="49">
        <f>'Avg Week KAYUNGA-GALIRAYA'!N69+'Avg Week GALIRAYA-KAYUNG'!N69</f>
        <v>0</v>
      </c>
      <c r="O69" s="15">
        <f t="shared" si="0"/>
        <v>5</v>
      </c>
      <c r="P69" s="15">
        <f t="shared" si="1"/>
        <v>8.5</v>
      </c>
      <c r="R69" s="8"/>
      <c r="T69"/>
    </row>
    <row r="70" spans="2:20" ht="23.1" customHeight="1" x14ac:dyDescent="0.25">
      <c r="B70" s="23" t="s">
        <v>110</v>
      </c>
      <c r="C70" s="49">
        <f>'Avg Week KAYUNGA-GALIRAYA'!C70+'Avg Week GALIRAYA-KAYUNG'!C70</f>
        <v>0.5</v>
      </c>
      <c r="D70" s="49">
        <f>'Avg Week KAYUNGA-GALIRAYA'!D70+'Avg Week GALIRAYA-KAYUNG'!D70</f>
        <v>0</v>
      </c>
      <c r="E70" s="49">
        <f>'Avg Week KAYUNGA-GALIRAYA'!E70+'Avg Week GALIRAYA-KAYUNG'!E70</f>
        <v>0</v>
      </c>
      <c r="F70" s="49">
        <f>'Avg Week KAYUNGA-GALIRAYA'!F70+'Avg Week GALIRAYA-KAYUNG'!F70</f>
        <v>0</v>
      </c>
      <c r="G70" s="49">
        <f>'Avg Week KAYUNGA-GALIRAYA'!G70+'Avg Week GALIRAYA-KAYUNG'!G70</f>
        <v>0</v>
      </c>
      <c r="H70" s="49">
        <f>'Avg Week KAYUNGA-GALIRAYA'!H70+'Avg Week GALIRAYA-KAYUNG'!H70</f>
        <v>0</v>
      </c>
      <c r="I70" s="49">
        <f>'Avg Week KAYUNGA-GALIRAYA'!I70+'Avg Week GALIRAYA-KAYUNG'!I70</f>
        <v>0</v>
      </c>
      <c r="J70" s="49">
        <f>'Avg Week KAYUNGA-GALIRAYA'!J70+'Avg Week GALIRAYA-KAYUNG'!J70</f>
        <v>0</v>
      </c>
      <c r="K70" s="49">
        <f>'Avg Week KAYUNGA-GALIRAYA'!K70+'Avg Week GALIRAYA-KAYUNG'!K70</f>
        <v>0</v>
      </c>
      <c r="L70" s="49">
        <f>'Avg Week KAYUNGA-GALIRAYA'!L70+'Avg Week GALIRAYA-KAYUNG'!L70</f>
        <v>0</v>
      </c>
      <c r="M70" s="49">
        <f>'Avg Week KAYUNGA-GALIRAYA'!M70+'Avg Week GALIRAYA-KAYUNG'!M70</f>
        <v>2.5</v>
      </c>
      <c r="N70" s="49">
        <f>'Avg Week KAYUNGA-GALIRAYA'!N70+'Avg Week GALIRAYA-KAYUNG'!N70</f>
        <v>0</v>
      </c>
      <c r="O70" s="15">
        <f t="shared" si="0"/>
        <v>0.5</v>
      </c>
      <c r="P70" s="15">
        <f t="shared" si="1"/>
        <v>3</v>
      </c>
      <c r="R70" s="8"/>
      <c r="T70"/>
    </row>
    <row r="71" spans="2:20" ht="23.1" customHeight="1" x14ac:dyDescent="0.25">
      <c r="B71" s="23" t="s">
        <v>111</v>
      </c>
      <c r="C71" s="49">
        <f>'Avg Week KAYUNGA-GALIRAYA'!C71+'Avg Week GALIRAYA-KAYUNG'!C71</f>
        <v>0</v>
      </c>
      <c r="D71" s="49">
        <f>'Avg Week KAYUNGA-GALIRAYA'!D71+'Avg Week GALIRAYA-KAYUNG'!D71</f>
        <v>0</v>
      </c>
      <c r="E71" s="49">
        <f>'Avg Week KAYUNGA-GALIRAYA'!E71+'Avg Week GALIRAYA-KAYUNG'!E71</f>
        <v>0</v>
      </c>
      <c r="F71" s="49">
        <f>'Avg Week KAYUNGA-GALIRAYA'!F71+'Avg Week GALIRAYA-KAYUNG'!F71</f>
        <v>0.5</v>
      </c>
      <c r="G71" s="49">
        <f>'Avg Week KAYUNGA-GALIRAYA'!G71+'Avg Week GALIRAYA-KAYUNG'!G71</f>
        <v>0</v>
      </c>
      <c r="H71" s="49">
        <f>'Avg Week KAYUNGA-GALIRAYA'!H71+'Avg Week GALIRAYA-KAYUNG'!H71</f>
        <v>0</v>
      </c>
      <c r="I71" s="49">
        <f>'Avg Week KAYUNGA-GALIRAYA'!I71+'Avg Week GALIRAYA-KAYUNG'!I71</f>
        <v>0.5</v>
      </c>
      <c r="J71" s="49">
        <f>'Avg Week KAYUNGA-GALIRAYA'!J71+'Avg Week GALIRAYA-KAYUNG'!J71</f>
        <v>0</v>
      </c>
      <c r="K71" s="49">
        <f>'Avg Week KAYUNGA-GALIRAYA'!K71+'Avg Week GALIRAYA-KAYUNG'!K71</f>
        <v>0</v>
      </c>
      <c r="L71" s="49">
        <f>'Avg Week KAYUNGA-GALIRAYA'!L71+'Avg Week GALIRAYA-KAYUNG'!L71</f>
        <v>0</v>
      </c>
      <c r="M71" s="49">
        <f>'Avg Week KAYUNGA-GALIRAYA'!M71+'Avg Week GALIRAYA-KAYUNG'!M71</f>
        <v>2</v>
      </c>
      <c r="N71" s="49">
        <f>'Avg Week KAYUNGA-GALIRAYA'!N71+'Avg Week GALIRAYA-KAYUNG'!N71</f>
        <v>0</v>
      </c>
      <c r="O71" s="15">
        <f t="shared" si="0"/>
        <v>1</v>
      </c>
      <c r="P71" s="15">
        <f t="shared" si="1"/>
        <v>3</v>
      </c>
      <c r="R71" s="8"/>
      <c r="T71"/>
    </row>
    <row r="72" spans="2:20" ht="23.1" customHeight="1" x14ac:dyDescent="0.25">
      <c r="B72" s="23" t="s">
        <v>112</v>
      </c>
      <c r="C72" s="49">
        <f>'Avg Week KAYUNGA-GALIRAYA'!C72+'Avg Week GALIRAYA-KAYUNG'!C72</f>
        <v>1</v>
      </c>
      <c r="D72" s="49">
        <f>'Avg Week KAYUNGA-GALIRAYA'!D72+'Avg Week GALIRAYA-KAYUNG'!D72</f>
        <v>0</v>
      </c>
      <c r="E72" s="49">
        <f>'Avg Week KAYUNGA-GALIRAYA'!E72+'Avg Week GALIRAYA-KAYUNG'!E72</f>
        <v>0</v>
      </c>
      <c r="F72" s="49">
        <f>'Avg Week KAYUNGA-GALIRAYA'!F72+'Avg Week GALIRAYA-KAYUNG'!F72</f>
        <v>0.5</v>
      </c>
      <c r="G72" s="49">
        <f>'Avg Week KAYUNGA-GALIRAYA'!G72+'Avg Week GALIRAYA-KAYUNG'!G72</f>
        <v>0</v>
      </c>
      <c r="H72" s="49">
        <f>'Avg Week KAYUNGA-GALIRAYA'!H72+'Avg Week GALIRAYA-KAYUNG'!H72</f>
        <v>0</v>
      </c>
      <c r="I72" s="49">
        <f>'Avg Week KAYUNGA-GALIRAYA'!I72+'Avg Week GALIRAYA-KAYUNG'!I72</f>
        <v>0.5</v>
      </c>
      <c r="J72" s="49">
        <f>'Avg Week KAYUNGA-GALIRAYA'!J72+'Avg Week GALIRAYA-KAYUNG'!J72</f>
        <v>1.5</v>
      </c>
      <c r="K72" s="49">
        <f>'Avg Week KAYUNGA-GALIRAYA'!K72+'Avg Week GALIRAYA-KAYUNG'!K72</f>
        <v>0.5</v>
      </c>
      <c r="L72" s="49">
        <f>'Avg Week KAYUNGA-GALIRAYA'!L72+'Avg Week GALIRAYA-KAYUNG'!L72</f>
        <v>0</v>
      </c>
      <c r="M72" s="49">
        <f>'Avg Week KAYUNGA-GALIRAYA'!M72+'Avg Week GALIRAYA-KAYUNG'!M72</f>
        <v>2.5</v>
      </c>
      <c r="N72" s="49">
        <f>'Avg Week KAYUNGA-GALIRAYA'!N72+'Avg Week GALIRAYA-KAYUNG'!N72</f>
        <v>0</v>
      </c>
      <c r="O72" s="15">
        <f t="shared" si="0"/>
        <v>4</v>
      </c>
      <c r="P72" s="15">
        <f t="shared" si="1"/>
        <v>6.5</v>
      </c>
      <c r="R72" s="8"/>
      <c r="T72"/>
    </row>
    <row r="73" spans="2:20" ht="23.1" customHeight="1" x14ac:dyDescent="0.25">
      <c r="B73" s="23" t="s">
        <v>113</v>
      </c>
      <c r="C73" s="49">
        <f>'Avg Week KAYUNGA-GALIRAYA'!C73+'Avg Week GALIRAYA-KAYUNG'!C73</f>
        <v>0</v>
      </c>
      <c r="D73" s="49">
        <f>'Avg Week KAYUNGA-GALIRAYA'!D73+'Avg Week GALIRAYA-KAYUNG'!D73</f>
        <v>0.5</v>
      </c>
      <c r="E73" s="49">
        <f>'Avg Week KAYUNGA-GALIRAYA'!E73+'Avg Week GALIRAYA-KAYUNG'!E73</f>
        <v>0</v>
      </c>
      <c r="F73" s="49">
        <f>'Avg Week KAYUNGA-GALIRAYA'!F73+'Avg Week GALIRAYA-KAYUNG'!F73</f>
        <v>0</v>
      </c>
      <c r="G73" s="49">
        <f>'Avg Week KAYUNGA-GALIRAYA'!G73+'Avg Week GALIRAYA-KAYUNG'!G73</f>
        <v>0</v>
      </c>
      <c r="H73" s="49">
        <f>'Avg Week KAYUNGA-GALIRAYA'!H73+'Avg Week GALIRAYA-KAYUNG'!H73</f>
        <v>0</v>
      </c>
      <c r="I73" s="49">
        <f>'Avg Week KAYUNGA-GALIRAYA'!I73+'Avg Week GALIRAYA-KAYUNG'!I73</f>
        <v>0.5</v>
      </c>
      <c r="J73" s="49">
        <f>'Avg Week KAYUNGA-GALIRAYA'!J73+'Avg Week GALIRAYA-KAYUNG'!J73</f>
        <v>2.5</v>
      </c>
      <c r="K73" s="49">
        <f>'Avg Week KAYUNGA-GALIRAYA'!K73+'Avg Week GALIRAYA-KAYUNG'!K73</f>
        <v>0</v>
      </c>
      <c r="L73" s="49">
        <f>'Avg Week KAYUNGA-GALIRAYA'!L73+'Avg Week GALIRAYA-KAYUNG'!L73</f>
        <v>0</v>
      </c>
      <c r="M73" s="49">
        <f>'Avg Week KAYUNGA-GALIRAYA'!M73+'Avg Week GALIRAYA-KAYUNG'!M73</f>
        <v>1.5</v>
      </c>
      <c r="N73" s="49">
        <f>'Avg Week KAYUNGA-GALIRAYA'!N73+'Avg Week GALIRAYA-KAYUNG'!N73</f>
        <v>0</v>
      </c>
      <c r="O73" s="15">
        <f t="shared" si="0"/>
        <v>3.5</v>
      </c>
      <c r="P73" s="15">
        <f t="shared" si="1"/>
        <v>5</v>
      </c>
      <c r="R73" s="8"/>
      <c r="T73"/>
    </row>
    <row r="74" spans="2:20" ht="23.1" customHeight="1" x14ac:dyDescent="0.25">
      <c r="B74" s="23" t="s">
        <v>114</v>
      </c>
      <c r="C74" s="49">
        <f>'Avg Week KAYUNGA-GALIRAYA'!C74+'Avg Week GALIRAYA-KAYUNG'!C74</f>
        <v>0.5</v>
      </c>
      <c r="D74" s="49">
        <f>'Avg Week KAYUNGA-GALIRAYA'!D74+'Avg Week GALIRAYA-KAYUNG'!D74</f>
        <v>0</v>
      </c>
      <c r="E74" s="49">
        <f>'Avg Week KAYUNGA-GALIRAYA'!E74+'Avg Week GALIRAYA-KAYUNG'!E74</f>
        <v>0.5</v>
      </c>
      <c r="F74" s="49">
        <f>'Avg Week KAYUNGA-GALIRAYA'!F74+'Avg Week GALIRAYA-KAYUNG'!F74</f>
        <v>0</v>
      </c>
      <c r="G74" s="49">
        <f>'Avg Week KAYUNGA-GALIRAYA'!G74+'Avg Week GALIRAYA-KAYUNG'!G74</f>
        <v>0</v>
      </c>
      <c r="H74" s="49">
        <f>'Avg Week KAYUNGA-GALIRAYA'!H74+'Avg Week GALIRAYA-KAYUNG'!H74</f>
        <v>0</v>
      </c>
      <c r="I74" s="49">
        <f>'Avg Week KAYUNGA-GALIRAYA'!I74+'Avg Week GALIRAYA-KAYUNG'!I74</f>
        <v>0</v>
      </c>
      <c r="J74" s="49">
        <f>'Avg Week KAYUNGA-GALIRAYA'!J74+'Avg Week GALIRAYA-KAYUNG'!J74</f>
        <v>1</v>
      </c>
      <c r="K74" s="49">
        <f>'Avg Week KAYUNGA-GALIRAYA'!K74+'Avg Week GALIRAYA-KAYUNG'!K74</f>
        <v>0.5</v>
      </c>
      <c r="L74" s="49">
        <f>'Avg Week KAYUNGA-GALIRAYA'!L74+'Avg Week GALIRAYA-KAYUNG'!L74</f>
        <v>0</v>
      </c>
      <c r="M74" s="49">
        <f>'Avg Week KAYUNGA-GALIRAYA'!M74+'Avg Week GALIRAYA-KAYUNG'!M74</f>
        <v>1</v>
      </c>
      <c r="N74" s="49">
        <f>'Avg Week KAYUNGA-GALIRAYA'!N74+'Avg Week GALIRAYA-KAYUNG'!N74</f>
        <v>0</v>
      </c>
      <c r="O74" s="15">
        <f t="shared" ref="O74:O105" si="35">SUM(C74:L74,N74)</f>
        <v>2.5</v>
      </c>
      <c r="P74" s="15">
        <f t="shared" ref="P74:P105" si="36">SUM(C74:N74)</f>
        <v>3.5</v>
      </c>
      <c r="R74" s="8"/>
      <c r="T74"/>
    </row>
    <row r="75" spans="2:20" ht="23.1" customHeight="1" x14ac:dyDescent="0.25">
      <c r="B75" s="23" t="s">
        <v>115</v>
      </c>
      <c r="C75" s="49">
        <f>'Avg Week KAYUNGA-GALIRAYA'!C75+'Avg Week GALIRAYA-KAYUNG'!C75</f>
        <v>0.5</v>
      </c>
      <c r="D75" s="49">
        <f>'Avg Week KAYUNGA-GALIRAYA'!D75+'Avg Week GALIRAYA-KAYUNG'!D75</f>
        <v>0</v>
      </c>
      <c r="E75" s="49">
        <f>'Avg Week KAYUNGA-GALIRAYA'!E75+'Avg Week GALIRAYA-KAYUNG'!E75</f>
        <v>0</v>
      </c>
      <c r="F75" s="49">
        <f>'Avg Week KAYUNGA-GALIRAYA'!F75+'Avg Week GALIRAYA-KAYUNG'!F75</f>
        <v>0.5</v>
      </c>
      <c r="G75" s="49">
        <f>'Avg Week KAYUNGA-GALIRAYA'!G75+'Avg Week GALIRAYA-KAYUNG'!G75</f>
        <v>0</v>
      </c>
      <c r="H75" s="49">
        <f>'Avg Week KAYUNGA-GALIRAYA'!H75+'Avg Week GALIRAYA-KAYUNG'!H75</f>
        <v>0</v>
      </c>
      <c r="I75" s="49">
        <f>'Avg Week KAYUNGA-GALIRAYA'!I75+'Avg Week GALIRAYA-KAYUNG'!I75</f>
        <v>3.5</v>
      </c>
      <c r="J75" s="49">
        <f>'Avg Week KAYUNGA-GALIRAYA'!J75+'Avg Week GALIRAYA-KAYUNG'!J75</f>
        <v>3</v>
      </c>
      <c r="K75" s="49">
        <f>'Avg Week KAYUNGA-GALIRAYA'!K75+'Avg Week GALIRAYA-KAYUNG'!K75</f>
        <v>1</v>
      </c>
      <c r="L75" s="49">
        <f>'Avg Week KAYUNGA-GALIRAYA'!L75+'Avg Week GALIRAYA-KAYUNG'!L75</f>
        <v>0.5</v>
      </c>
      <c r="M75" s="49">
        <f>'Avg Week KAYUNGA-GALIRAYA'!M75+'Avg Week GALIRAYA-KAYUNG'!M75</f>
        <v>3</v>
      </c>
      <c r="N75" s="49">
        <f>'Avg Week KAYUNGA-GALIRAYA'!N75+'Avg Week GALIRAYA-KAYUNG'!N75</f>
        <v>0</v>
      </c>
      <c r="O75" s="15">
        <f t="shared" si="35"/>
        <v>9</v>
      </c>
      <c r="P75" s="15">
        <f t="shared" si="36"/>
        <v>12</v>
      </c>
      <c r="R75" s="8"/>
      <c r="T75"/>
    </row>
    <row r="76" spans="2:20" ht="23.1" customHeight="1" x14ac:dyDescent="0.25">
      <c r="B76" s="23" t="s">
        <v>116</v>
      </c>
      <c r="C76" s="49">
        <f>'Avg Week KAYUNGA-GALIRAYA'!C76+'Avg Week GALIRAYA-KAYUNG'!C76</f>
        <v>0</v>
      </c>
      <c r="D76" s="49">
        <f>'Avg Week KAYUNGA-GALIRAYA'!D76+'Avg Week GALIRAYA-KAYUNG'!D76</f>
        <v>0.5</v>
      </c>
      <c r="E76" s="49">
        <f>'Avg Week KAYUNGA-GALIRAYA'!E76+'Avg Week GALIRAYA-KAYUNG'!E76</f>
        <v>0.5</v>
      </c>
      <c r="F76" s="49">
        <f>'Avg Week KAYUNGA-GALIRAYA'!F76+'Avg Week GALIRAYA-KAYUNG'!F76</f>
        <v>0</v>
      </c>
      <c r="G76" s="49">
        <f>'Avg Week KAYUNGA-GALIRAYA'!G76+'Avg Week GALIRAYA-KAYUNG'!G76</f>
        <v>0</v>
      </c>
      <c r="H76" s="49">
        <f>'Avg Week KAYUNGA-GALIRAYA'!H76+'Avg Week GALIRAYA-KAYUNG'!H76</f>
        <v>0</v>
      </c>
      <c r="I76" s="49">
        <f>'Avg Week KAYUNGA-GALIRAYA'!I76+'Avg Week GALIRAYA-KAYUNG'!I76</f>
        <v>0.5</v>
      </c>
      <c r="J76" s="49">
        <f>'Avg Week KAYUNGA-GALIRAYA'!J76+'Avg Week GALIRAYA-KAYUNG'!J76</f>
        <v>0.5</v>
      </c>
      <c r="K76" s="49">
        <f>'Avg Week KAYUNGA-GALIRAYA'!K76+'Avg Week GALIRAYA-KAYUNG'!K76</f>
        <v>0</v>
      </c>
      <c r="L76" s="49">
        <f>'Avg Week KAYUNGA-GALIRAYA'!L76+'Avg Week GALIRAYA-KAYUNG'!L76</f>
        <v>0</v>
      </c>
      <c r="M76" s="49">
        <f>'Avg Week KAYUNGA-GALIRAYA'!M76+'Avg Week GALIRAYA-KAYUNG'!M76</f>
        <v>0</v>
      </c>
      <c r="N76" s="49">
        <f>'Avg Week KAYUNGA-GALIRAYA'!N76+'Avg Week GALIRAYA-KAYUNG'!N76</f>
        <v>0</v>
      </c>
      <c r="O76" s="15">
        <f t="shared" si="35"/>
        <v>2</v>
      </c>
      <c r="P76" s="15">
        <f t="shared" si="36"/>
        <v>2</v>
      </c>
      <c r="R76" s="8"/>
      <c r="T76"/>
    </row>
    <row r="77" spans="2:20" ht="23.1" customHeight="1" x14ac:dyDescent="0.25">
      <c r="B77" s="23" t="s">
        <v>117</v>
      </c>
      <c r="C77" s="49">
        <f>'Avg Week KAYUNGA-GALIRAYA'!C77+'Avg Week GALIRAYA-KAYUNG'!C77</f>
        <v>0</v>
      </c>
      <c r="D77" s="49">
        <f>'Avg Week KAYUNGA-GALIRAYA'!D77+'Avg Week GALIRAYA-KAYUNG'!D77</f>
        <v>0</v>
      </c>
      <c r="E77" s="49">
        <f>'Avg Week KAYUNGA-GALIRAYA'!E77+'Avg Week GALIRAYA-KAYUNG'!E77</f>
        <v>0</v>
      </c>
      <c r="F77" s="49">
        <f>'Avg Week KAYUNGA-GALIRAYA'!F77+'Avg Week GALIRAYA-KAYUNG'!F77</f>
        <v>1.5</v>
      </c>
      <c r="G77" s="49">
        <f>'Avg Week KAYUNGA-GALIRAYA'!G77+'Avg Week GALIRAYA-KAYUNG'!G77</f>
        <v>0</v>
      </c>
      <c r="H77" s="49">
        <f>'Avg Week KAYUNGA-GALIRAYA'!H77+'Avg Week GALIRAYA-KAYUNG'!H77</f>
        <v>0</v>
      </c>
      <c r="I77" s="49">
        <f>'Avg Week KAYUNGA-GALIRAYA'!I77+'Avg Week GALIRAYA-KAYUNG'!I77</f>
        <v>1.5</v>
      </c>
      <c r="J77" s="49">
        <f>'Avg Week KAYUNGA-GALIRAYA'!J77+'Avg Week GALIRAYA-KAYUNG'!J77</f>
        <v>0.5</v>
      </c>
      <c r="K77" s="49">
        <f>'Avg Week KAYUNGA-GALIRAYA'!K77+'Avg Week GALIRAYA-KAYUNG'!K77</f>
        <v>0</v>
      </c>
      <c r="L77" s="49">
        <f>'Avg Week KAYUNGA-GALIRAYA'!L77+'Avg Week GALIRAYA-KAYUNG'!L77</f>
        <v>0</v>
      </c>
      <c r="M77" s="49">
        <f>'Avg Week KAYUNGA-GALIRAYA'!M77+'Avg Week GALIRAYA-KAYUNG'!M77</f>
        <v>1.5</v>
      </c>
      <c r="N77" s="49">
        <f>'Avg Week KAYUNGA-GALIRAYA'!N77+'Avg Week GALIRAYA-KAYUNG'!N77</f>
        <v>0</v>
      </c>
      <c r="O77" s="15">
        <f t="shared" si="35"/>
        <v>3.5</v>
      </c>
      <c r="P77" s="15">
        <f t="shared" si="36"/>
        <v>5</v>
      </c>
      <c r="R77" s="8"/>
      <c r="T77"/>
    </row>
    <row r="78" spans="2:20" ht="23.1" customHeight="1" x14ac:dyDescent="0.25">
      <c r="B78" s="24" t="s">
        <v>118</v>
      </c>
      <c r="C78" s="49">
        <f>'Avg Week KAYUNGA-GALIRAYA'!C78+'Avg Week GALIRAYA-KAYUNG'!C78</f>
        <v>1</v>
      </c>
      <c r="D78" s="49">
        <f>'Avg Week KAYUNGA-GALIRAYA'!D78+'Avg Week GALIRAYA-KAYUNG'!D78</f>
        <v>0</v>
      </c>
      <c r="E78" s="49">
        <f>'Avg Week KAYUNGA-GALIRAYA'!E78+'Avg Week GALIRAYA-KAYUNG'!E78</f>
        <v>0</v>
      </c>
      <c r="F78" s="49">
        <f>'Avg Week KAYUNGA-GALIRAYA'!F78+'Avg Week GALIRAYA-KAYUNG'!F78</f>
        <v>0</v>
      </c>
      <c r="G78" s="49">
        <f>'Avg Week KAYUNGA-GALIRAYA'!G78+'Avg Week GALIRAYA-KAYUNG'!G78</f>
        <v>0</v>
      </c>
      <c r="H78" s="49">
        <f>'Avg Week KAYUNGA-GALIRAYA'!H78+'Avg Week GALIRAYA-KAYUNG'!H78</f>
        <v>0</v>
      </c>
      <c r="I78" s="49">
        <f>'Avg Week KAYUNGA-GALIRAYA'!I78+'Avg Week GALIRAYA-KAYUNG'!I78</f>
        <v>1</v>
      </c>
      <c r="J78" s="49">
        <f>'Avg Week KAYUNGA-GALIRAYA'!J78+'Avg Week GALIRAYA-KAYUNG'!J78</f>
        <v>2.5</v>
      </c>
      <c r="K78" s="49">
        <f>'Avg Week KAYUNGA-GALIRAYA'!K78+'Avg Week GALIRAYA-KAYUNG'!K78</f>
        <v>0.5</v>
      </c>
      <c r="L78" s="49">
        <f>'Avg Week KAYUNGA-GALIRAYA'!L78+'Avg Week GALIRAYA-KAYUNG'!L78</f>
        <v>0.5</v>
      </c>
      <c r="M78" s="49">
        <f>'Avg Week KAYUNGA-GALIRAYA'!M78+'Avg Week GALIRAYA-KAYUNG'!M78</f>
        <v>1</v>
      </c>
      <c r="N78" s="49">
        <f>'Avg Week KAYUNGA-GALIRAYA'!N78+'Avg Week GALIRAYA-KAYUNG'!N78</f>
        <v>0</v>
      </c>
      <c r="O78" s="15">
        <f t="shared" si="35"/>
        <v>5.5</v>
      </c>
      <c r="P78" s="15">
        <f t="shared" si="36"/>
        <v>6.5</v>
      </c>
      <c r="R78" s="8"/>
      <c r="T78"/>
    </row>
    <row r="79" spans="2:20" ht="23.1" customHeight="1" x14ac:dyDescent="0.25">
      <c r="B79" s="23" t="s">
        <v>119</v>
      </c>
      <c r="C79" s="49">
        <f>'Avg Week KAYUNGA-GALIRAYA'!C79+'Avg Week GALIRAYA-KAYUNG'!C79</f>
        <v>0</v>
      </c>
      <c r="D79" s="49">
        <f>'Avg Week KAYUNGA-GALIRAYA'!D79+'Avg Week GALIRAYA-KAYUNG'!D79</f>
        <v>0</v>
      </c>
      <c r="E79" s="49">
        <f>'Avg Week KAYUNGA-GALIRAYA'!E79+'Avg Week GALIRAYA-KAYUNG'!E79</f>
        <v>0</v>
      </c>
      <c r="F79" s="49">
        <f>'Avg Week KAYUNGA-GALIRAYA'!F79+'Avg Week GALIRAYA-KAYUNG'!F79</f>
        <v>0.5</v>
      </c>
      <c r="G79" s="49">
        <f>'Avg Week KAYUNGA-GALIRAYA'!G79+'Avg Week GALIRAYA-KAYUNG'!G79</f>
        <v>0</v>
      </c>
      <c r="H79" s="49">
        <f>'Avg Week KAYUNGA-GALIRAYA'!H79+'Avg Week GALIRAYA-KAYUNG'!H79</f>
        <v>0</v>
      </c>
      <c r="I79" s="49">
        <f>'Avg Week KAYUNGA-GALIRAYA'!I79+'Avg Week GALIRAYA-KAYUNG'!I79</f>
        <v>0.5</v>
      </c>
      <c r="J79" s="49">
        <f>'Avg Week KAYUNGA-GALIRAYA'!J79+'Avg Week GALIRAYA-KAYUNG'!J79</f>
        <v>1</v>
      </c>
      <c r="K79" s="49">
        <f>'Avg Week KAYUNGA-GALIRAYA'!K79+'Avg Week GALIRAYA-KAYUNG'!K79</f>
        <v>2</v>
      </c>
      <c r="L79" s="49">
        <f>'Avg Week KAYUNGA-GALIRAYA'!L79+'Avg Week GALIRAYA-KAYUNG'!L79</f>
        <v>0</v>
      </c>
      <c r="M79" s="49">
        <f>'Avg Week KAYUNGA-GALIRAYA'!M79+'Avg Week GALIRAYA-KAYUNG'!M79</f>
        <v>0</v>
      </c>
      <c r="N79" s="49">
        <f>'Avg Week KAYUNGA-GALIRAYA'!N79+'Avg Week GALIRAYA-KAYUNG'!N79</f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25" t="s">
        <v>120</v>
      </c>
      <c r="C80" s="49">
        <f>'Avg Week KAYUNGA-GALIRAYA'!C80+'Avg Week GALIRAYA-KAYUNG'!C80</f>
        <v>0.5</v>
      </c>
      <c r="D80" s="49">
        <f>'Avg Week KAYUNGA-GALIRAYA'!D80+'Avg Week GALIRAYA-KAYUNG'!D80</f>
        <v>1</v>
      </c>
      <c r="E80" s="49">
        <f>'Avg Week KAYUNGA-GALIRAYA'!E80+'Avg Week GALIRAYA-KAYUNG'!E80</f>
        <v>0.5</v>
      </c>
      <c r="F80" s="49">
        <f>'Avg Week KAYUNGA-GALIRAYA'!F80+'Avg Week GALIRAYA-KAYUNG'!F80</f>
        <v>0</v>
      </c>
      <c r="G80" s="49">
        <f>'Avg Week KAYUNGA-GALIRAYA'!G80+'Avg Week GALIRAYA-KAYUNG'!G80</f>
        <v>0</v>
      </c>
      <c r="H80" s="49">
        <f>'Avg Week KAYUNGA-GALIRAYA'!H80+'Avg Week GALIRAYA-KAYUNG'!H80</f>
        <v>0</v>
      </c>
      <c r="I80" s="49">
        <f>'Avg Week KAYUNGA-GALIRAYA'!I80+'Avg Week GALIRAYA-KAYUNG'!I80</f>
        <v>1.5</v>
      </c>
      <c r="J80" s="49">
        <f>'Avg Week KAYUNGA-GALIRAYA'!J80+'Avg Week GALIRAYA-KAYUNG'!J80</f>
        <v>0.5</v>
      </c>
      <c r="K80" s="49">
        <f>'Avg Week KAYUNGA-GALIRAYA'!K80+'Avg Week GALIRAYA-KAYUNG'!K80</f>
        <v>1</v>
      </c>
      <c r="L80" s="49">
        <f>'Avg Week KAYUNGA-GALIRAYA'!L80+'Avg Week GALIRAYA-KAYUNG'!L80</f>
        <v>0</v>
      </c>
      <c r="M80" s="49">
        <f>'Avg Week KAYUNGA-GALIRAYA'!M80+'Avg Week GALIRAYA-KAYUNG'!M80</f>
        <v>0.5</v>
      </c>
      <c r="N80" s="49">
        <f>'Avg Week KAYUNGA-GALIRAYA'!N80+'Avg Week GALIRAYA-KAYUNG'!N80</f>
        <v>0</v>
      </c>
      <c r="O80" s="15">
        <f t="shared" si="35"/>
        <v>5</v>
      </c>
      <c r="P80" s="15">
        <f t="shared" si="36"/>
        <v>5.5</v>
      </c>
      <c r="R80" s="8"/>
      <c r="T80"/>
    </row>
    <row r="81" spans="2:20" ht="23.1" customHeight="1" x14ac:dyDescent="0.25">
      <c r="B81" s="23" t="s">
        <v>121</v>
      </c>
      <c r="C81" s="49">
        <f>'Avg Week KAYUNGA-GALIRAYA'!C81+'Avg Week GALIRAYA-KAYUNG'!C81</f>
        <v>0.5</v>
      </c>
      <c r="D81" s="49">
        <f>'Avg Week KAYUNGA-GALIRAYA'!D81+'Avg Week GALIRAYA-KAYUNG'!D81</f>
        <v>0</v>
      </c>
      <c r="E81" s="49">
        <f>'Avg Week KAYUNGA-GALIRAYA'!E81+'Avg Week GALIRAYA-KAYUNG'!E81</f>
        <v>0</v>
      </c>
      <c r="F81" s="49">
        <f>'Avg Week KAYUNGA-GALIRAYA'!F81+'Avg Week GALIRAYA-KAYUNG'!F81</f>
        <v>0.5</v>
      </c>
      <c r="G81" s="49">
        <f>'Avg Week KAYUNGA-GALIRAYA'!G81+'Avg Week GALIRAYA-KAYUNG'!G81</f>
        <v>0</v>
      </c>
      <c r="H81" s="49">
        <f>'Avg Week KAYUNGA-GALIRAYA'!H81+'Avg Week GALIRAYA-KAYUNG'!H81</f>
        <v>0</v>
      </c>
      <c r="I81" s="49">
        <f>'Avg Week KAYUNGA-GALIRAYA'!I81+'Avg Week GALIRAYA-KAYUNG'!I81</f>
        <v>0</v>
      </c>
      <c r="J81" s="49">
        <f>'Avg Week KAYUNGA-GALIRAYA'!J81+'Avg Week GALIRAYA-KAYUNG'!J81</f>
        <v>0.5</v>
      </c>
      <c r="K81" s="49">
        <f>'Avg Week KAYUNGA-GALIRAYA'!K81+'Avg Week GALIRAYA-KAYUNG'!K81</f>
        <v>2</v>
      </c>
      <c r="L81" s="49">
        <f>'Avg Week KAYUNGA-GALIRAYA'!L81+'Avg Week GALIRAYA-KAYUNG'!L81</f>
        <v>0.5</v>
      </c>
      <c r="M81" s="49">
        <f>'Avg Week KAYUNGA-GALIRAYA'!M81+'Avg Week GALIRAYA-KAYUNG'!M81</f>
        <v>0.5</v>
      </c>
      <c r="N81" s="49">
        <f>'Avg Week KAYUNGA-GALIRAYA'!N81+'Avg Week GALIRAYA-KAYUNG'!N81</f>
        <v>0</v>
      </c>
      <c r="O81" s="15">
        <f t="shared" si="35"/>
        <v>4</v>
      </c>
      <c r="P81" s="15">
        <f t="shared" si="36"/>
        <v>4.5</v>
      </c>
      <c r="R81" s="8"/>
      <c r="T81"/>
    </row>
    <row r="82" spans="2:20" ht="23.1" customHeight="1" x14ac:dyDescent="0.25">
      <c r="B82" s="24" t="s">
        <v>122</v>
      </c>
      <c r="C82" s="49">
        <f>'Avg Week KAYUNGA-GALIRAYA'!C82+'Avg Week GALIRAYA-KAYUNG'!C82</f>
        <v>0</v>
      </c>
      <c r="D82" s="49">
        <f>'Avg Week KAYUNGA-GALIRAYA'!D82+'Avg Week GALIRAYA-KAYUNG'!D82</f>
        <v>0</v>
      </c>
      <c r="E82" s="49">
        <f>'Avg Week KAYUNGA-GALIRAYA'!E82+'Avg Week GALIRAYA-KAYUNG'!E82</f>
        <v>0</v>
      </c>
      <c r="F82" s="49">
        <f>'Avg Week KAYUNGA-GALIRAYA'!F82+'Avg Week GALIRAYA-KAYUNG'!F82</f>
        <v>1.5</v>
      </c>
      <c r="G82" s="49">
        <f>'Avg Week KAYUNGA-GALIRAYA'!G82+'Avg Week GALIRAYA-KAYUNG'!G82</f>
        <v>0</v>
      </c>
      <c r="H82" s="49">
        <f>'Avg Week KAYUNGA-GALIRAYA'!H82+'Avg Week GALIRAYA-KAYUNG'!H82</f>
        <v>0</v>
      </c>
      <c r="I82" s="49">
        <f>'Avg Week KAYUNGA-GALIRAYA'!I82+'Avg Week GALIRAYA-KAYUNG'!I82</f>
        <v>0</v>
      </c>
      <c r="J82" s="49">
        <f>'Avg Week KAYUNGA-GALIRAYA'!J82+'Avg Week GALIRAYA-KAYUNG'!J82</f>
        <v>0.5</v>
      </c>
      <c r="K82" s="49">
        <f>'Avg Week KAYUNGA-GALIRAYA'!K82+'Avg Week GALIRAYA-KAYUNG'!K82</f>
        <v>1.5</v>
      </c>
      <c r="L82" s="49">
        <f>'Avg Week KAYUNGA-GALIRAYA'!L82+'Avg Week GALIRAYA-KAYUNG'!L82</f>
        <v>0</v>
      </c>
      <c r="M82" s="49">
        <f>'Avg Week KAYUNGA-GALIRAYA'!M82+'Avg Week GALIRAYA-KAYUNG'!M82</f>
        <v>0.5</v>
      </c>
      <c r="N82" s="49">
        <f>'Avg Week KAYUNGA-GALIRAYA'!N82+'Avg Week GALIRAYA-KAYUNG'!N82</f>
        <v>0</v>
      </c>
      <c r="O82" s="15">
        <f t="shared" si="35"/>
        <v>3.5</v>
      </c>
      <c r="P82" s="15">
        <f t="shared" si="36"/>
        <v>4</v>
      </c>
      <c r="R82" s="8"/>
      <c r="T82"/>
    </row>
    <row r="83" spans="2:20" ht="23.1" customHeight="1" x14ac:dyDescent="0.25">
      <c r="B83" s="23" t="s">
        <v>123</v>
      </c>
      <c r="C83" s="49">
        <f>'Avg Week KAYUNGA-GALIRAYA'!C83+'Avg Week GALIRAYA-KAYUNG'!C83</f>
        <v>0</v>
      </c>
      <c r="D83" s="49">
        <f>'Avg Week KAYUNGA-GALIRAYA'!D83+'Avg Week GALIRAYA-KAYUNG'!D83</f>
        <v>0</v>
      </c>
      <c r="E83" s="49">
        <f>'Avg Week KAYUNGA-GALIRAYA'!E83+'Avg Week GALIRAYA-KAYUNG'!E83</f>
        <v>0</v>
      </c>
      <c r="F83" s="49">
        <f>'Avg Week KAYUNGA-GALIRAYA'!F83+'Avg Week GALIRAYA-KAYUNG'!F83</f>
        <v>0</v>
      </c>
      <c r="G83" s="49">
        <f>'Avg Week KAYUNGA-GALIRAYA'!G83+'Avg Week GALIRAYA-KAYUNG'!G83</f>
        <v>0</v>
      </c>
      <c r="H83" s="49">
        <f>'Avg Week KAYUNGA-GALIRAYA'!H83+'Avg Week GALIRAYA-KAYUNG'!H83</f>
        <v>0</v>
      </c>
      <c r="I83" s="49">
        <f>'Avg Week KAYUNGA-GALIRAYA'!I83+'Avg Week GALIRAYA-KAYUNG'!I83</f>
        <v>0.5</v>
      </c>
      <c r="J83" s="49">
        <f>'Avg Week KAYUNGA-GALIRAYA'!J83+'Avg Week GALIRAYA-KAYUNG'!J83</f>
        <v>0</v>
      </c>
      <c r="K83" s="49">
        <f>'Avg Week KAYUNGA-GALIRAYA'!K83+'Avg Week GALIRAYA-KAYUNG'!K83</f>
        <v>0</v>
      </c>
      <c r="L83" s="49">
        <f>'Avg Week KAYUNGA-GALIRAYA'!L83+'Avg Week GALIRAYA-KAYUNG'!L83</f>
        <v>0</v>
      </c>
      <c r="M83" s="49">
        <f>'Avg Week KAYUNGA-GALIRAYA'!M83+'Avg Week GALIRAYA-KAYUNG'!M83</f>
        <v>1.5</v>
      </c>
      <c r="N83" s="49">
        <f>'Avg Week KAYUNGA-GALIRAYA'!N83+'Avg Week GALIRAYA-KAYUNG'!N83</f>
        <v>0</v>
      </c>
      <c r="O83" s="15">
        <f t="shared" si="35"/>
        <v>0.5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'Avg Week KAYUNGA-GALIRAYA'!C84+'Avg Week GALIRAYA-KAYUNG'!C84</f>
        <v>0</v>
      </c>
      <c r="D84" s="49">
        <f>'Avg Week KAYUNGA-GALIRAYA'!D84+'Avg Week GALIRAYA-KAYUNG'!D84</f>
        <v>0</v>
      </c>
      <c r="E84" s="49">
        <f>'Avg Week KAYUNGA-GALIRAYA'!E84+'Avg Week GALIRAYA-KAYUNG'!E84</f>
        <v>0.5</v>
      </c>
      <c r="F84" s="49">
        <f>'Avg Week KAYUNGA-GALIRAYA'!F84+'Avg Week GALIRAYA-KAYUNG'!F84</f>
        <v>0</v>
      </c>
      <c r="G84" s="49">
        <f>'Avg Week KAYUNGA-GALIRAYA'!G84+'Avg Week GALIRAYA-KAYUNG'!G84</f>
        <v>0</v>
      </c>
      <c r="H84" s="49">
        <f>'Avg Week KAYUNGA-GALIRAYA'!H84+'Avg Week GALIRAYA-KAYUNG'!H84</f>
        <v>0</v>
      </c>
      <c r="I84" s="49">
        <f>'Avg Week KAYUNGA-GALIRAYA'!I84+'Avg Week GALIRAYA-KAYUNG'!I84</f>
        <v>0</v>
      </c>
      <c r="J84" s="49">
        <f>'Avg Week KAYUNGA-GALIRAYA'!J84+'Avg Week GALIRAYA-KAYUNG'!J84</f>
        <v>0</v>
      </c>
      <c r="K84" s="49">
        <f>'Avg Week KAYUNGA-GALIRAYA'!K84+'Avg Week GALIRAYA-KAYUNG'!K84</f>
        <v>0</v>
      </c>
      <c r="L84" s="49">
        <f>'Avg Week KAYUNGA-GALIRAYA'!L84+'Avg Week GALIRAYA-KAYUNG'!L84</f>
        <v>0</v>
      </c>
      <c r="M84" s="49">
        <f>'Avg Week KAYUNGA-GALIRAYA'!M84+'Avg Week GALIRAYA-KAYUNG'!M84</f>
        <v>1</v>
      </c>
      <c r="N84" s="49">
        <f>'Avg Week KAYUNGA-GALIRAYA'!N84+'Avg Week GALIRAYA-KAYUNG'!N84</f>
        <v>0</v>
      </c>
      <c r="O84" s="15">
        <f t="shared" si="35"/>
        <v>0.5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'Avg Week KAYUNGA-GALIRAYA'!C85+'Avg Week GALIRAYA-KAYUNG'!C85</f>
        <v>0</v>
      </c>
      <c r="D85" s="49">
        <f>'Avg Week KAYUNGA-GALIRAYA'!D85+'Avg Week GALIRAYA-KAYUNG'!D85</f>
        <v>0</v>
      </c>
      <c r="E85" s="49">
        <f>'Avg Week KAYUNGA-GALIRAYA'!E85+'Avg Week GALIRAYA-KAYUNG'!E85</f>
        <v>0</v>
      </c>
      <c r="F85" s="49">
        <f>'Avg Week KAYUNGA-GALIRAYA'!F85+'Avg Week GALIRAYA-KAYUNG'!F85</f>
        <v>0</v>
      </c>
      <c r="G85" s="49">
        <f>'Avg Week KAYUNGA-GALIRAYA'!G85+'Avg Week GALIRAYA-KAYUNG'!G85</f>
        <v>0</v>
      </c>
      <c r="H85" s="49">
        <f>'Avg Week KAYUNGA-GALIRAYA'!H85+'Avg Week GALIRAYA-KAYUNG'!H85</f>
        <v>0</v>
      </c>
      <c r="I85" s="49">
        <f>'Avg Week KAYUNGA-GALIRAYA'!I85+'Avg Week GALIRAYA-KAYUNG'!I85</f>
        <v>0</v>
      </c>
      <c r="J85" s="49">
        <f>'Avg Week KAYUNGA-GALIRAYA'!J85+'Avg Week GALIRAYA-KAYUNG'!J85</f>
        <v>0</v>
      </c>
      <c r="K85" s="49">
        <f>'Avg Week KAYUNGA-GALIRAYA'!K85+'Avg Week GALIRAYA-KAYUNG'!K85</f>
        <v>1</v>
      </c>
      <c r="L85" s="49">
        <f>'Avg Week KAYUNGA-GALIRAYA'!L85+'Avg Week GALIRAYA-KAYUNG'!L85</f>
        <v>0</v>
      </c>
      <c r="M85" s="49">
        <f>'Avg Week KAYUNGA-GALIRAYA'!M85+'Avg Week GALIRAYA-KAYUNG'!M85</f>
        <v>0</v>
      </c>
      <c r="N85" s="49">
        <f>'Avg Week KAYUNGA-GALIRAYA'!N85+'Avg Week GALIRAYA-KAYUNG'!N85</f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24" t="s">
        <v>126</v>
      </c>
      <c r="C86" s="49">
        <f>'Avg Week KAYUNGA-GALIRAYA'!C86+'Avg Week GALIRAYA-KAYUNG'!C86</f>
        <v>0</v>
      </c>
      <c r="D86" s="49">
        <f>'Avg Week KAYUNGA-GALIRAYA'!D86+'Avg Week GALIRAYA-KAYUNG'!D86</f>
        <v>0</v>
      </c>
      <c r="E86" s="49">
        <f>'Avg Week KAYUNGA-GALIRAYA'!E86+'Avg Week GALIRAYA-KAYUNG'!E86</f>
        <v>0</v>
      </c>
      <c r="F86" s="49">
        <f>'Avg Week KAYUNGA-GALIRAYA'!F86+'Avg Week GALIRAYA-KAYUNG'!F86</f>
        <v>0</v>
      </c>
      <c r="G86" s="49">
        <f>'Avg Week KAYUNGA-GALIRAYA'!G86+'Avg Week GALIRAYA-KAYUNG'!G86</f>
        <v>0</v>
      </c>
      <c r="H86" s="49">
        <f>'Avg Week KAYUNGA-GALIRAYA'!H86+'Avg Week GALIRAYA-KAYUNG'!H86</f>
        <v>0</v>
      </c>
      <c r="I86" s="49">
        <f>'Avg Week KAYUNGA-GALIRAYA'!I86+'Avg Week GALIRAYA-KAYUNG'!I86</f>
        <v>1</v>
      </c>
      <c r="J86" s="49">
        <f>'Avg Week KAYUNGA-GALIRAYA'!J86+'Avg Week GALIRAYA-KAYUNG'!J86</f>
        <v>0</v>
      </c>
      <c r="K86" s="49">
        <f>'Avg Week KAYUNGA-GALIRAYA'!K86+'Avg Week GALIRAYA-KAYUNG'!K86</f>
        <v>0</v>
      </c>
      <c r="L86" s="49">
        <f>'Avg Week KAYUNGA-GALIRAYA'!L86+'Avg Week GALIRAYA-KAYUNG'!L86</f>
        <v>0</v>
      </c>
      <c r="M86" s="49">
        <f>'Avg Week KAYUNGA-GALIRAYA'!M86+'Avg Week GALIRAYA-KAYUNG'!M86</f>
        <v>0</v>
      </c>
      <c r="N86" s="49">
        <f>'Avg Week KAYUNGA-GALIRAYA'!N86+'Avg Week GALIRAYA-KAYUNG'!N86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'Avg Week KAYUNGA-GALIRAYA'!C87+'Avg Week GALIRAYA-KAYUNG'!C87</f>
        <v>0</v>
      </c>
      <c r="D87" s="49">
        <f>'Avg Week KAYUNGA-GALIRAYA'!D87+'Avg Week GALIRAYA-KAYUNG'!D87</f>
        <v>1</v>
      </c>
      <c r="E87" s="49">
        <f>'Avg Week KAYUNGA-GALIRAYA'!E87+'Avg Week GALIRAYA-KAYUNG'!E87</f>
        <v>0.5</v>
      </c>
      <c r="F87" s="49">
        <f>'Avg Week KAYUNGA-GALIRAYA'!F87+'Avg Week GALIRAYA-KAYUNG'!F87</f>
        <v>0</v>
      </c>
      <c r="G87" s="49">
        <f>'Avg Week KAYUNGA-GALIRAYA'!G87+'Avg Week GALIRAYA-KAYUNG'!G87</f>
        <v>0</v>
      </c>
      <c r="H87" s="49">
        <f>'Avg Week KAYUNGA-GALIRAYA'!H87+'Avg Week GALIRAYA-KAYUNG'!H87</f>
        <v>0</v>
      </c>
      <c r="I87" s="49">
        <f>'Avg Week KAYUNGA-GALIRAYA'!I87+'Avg Week GALIRAYA-KAYUNG'!I87</f>
        <v>0.5</v>
      </c>
      <c r="J87" s="49">
        <f>'Avg Week KAYUNGA-GALIRAYA'!J87+'Avg Week GALIRAYA-KAYUNG'!J87</f>
        <v>0</v>
      </c>
      <c r="K87" s="49">
        <f>'Avg Week KAYUNGA-GALIRAYA'!K87+'Avg Week GALIRAYA-KAYUNG'!K87</f>
        <v>0.5</v>
      </c>
      <c r="L87" s="49">
        <f>'Avg Week KAYUNGA-GALIRAYA'!L87+'Avg Week GALIRAYA-KAYUNG'!L87</f>
        <v>0</v>
      </c>
      <c r="M87" s="49">
        <f>'Avg Week KAYUNGA-GALIRAYA'!M87+'Avg Week GALIRAYA-KAYUNG'!M87</f>
        <v>0.5</v>
      </c>
      <c r="N87" s="49">
        <f>'Avg Week KAYUNGA-GALIRAYA'!N87+'Avg Week GALIRAYA-KAYUNG'!N87</f>
        <v>0</v>
      </c>
      <c r="O87" s="15">
        <f t="shared" si="35"/>
        <v>2.5</v>
      </c>
      <c r="P87" s="15">
        <f t="shared" si="36"/>
        <v>3</v>
      </c>
      <c r="R87" s="8"/>
      <c r="T87"/>
    </row>
    <row r="88" spans="2:20" ht="23.1" customHeight="1" x14ac:dyDescent="0.25">
      <c r="B88" s="25" t="s">
        <v>128</v>
      </c>
      <c r="C88" s="49">
        <f>'Avg Week KAYUNGA-GALIRAYA'!C88+'Avg Week GALIRAYA-KAYUNG'!C88</f>
        <v>0</v>
      </c>
      <c r="D88" s="49">
        <f>'Avg Week KAYUNGA-GALIRAYA'!D88+'Avg Week GALIRAYA-KAYUNG'!D88</f>
        <v>0</v>
      </c>
      <c r="E88" s="49">
        <f>'Avg Week KAYUNGA-GALIRAYA'!E88+'Avg Week GALIRAYA-KAYUNG'!E88</f>
        <v>0</v>
      </c>
      <c r="F88" s="49">
        <f>'Avg Week KAYUNGA-GALIRAYA'!F88+'Avg Week GALIRAYA-KAYUNG'!F88</f>
        <v>0</v>
      </c>
      <c r="G88" s="49">
        <f>'Avg Week KAYUNGA-GALIRAYA'!G88+'Avg Week GALIRAYA-KAYUNG'!G88</f>
        <v>0</v>
      </c>
      <c r="H88" s="49">
        <f>'Avg Week KAYUNGA-GALIRAYA'!H88+'Avg Week GALIRAYA-KAYUNG'!H88</f>
        <v>0</v>
      </c>
      <c r="I88" s="49">
        <f>'Avg Week KAYUNGA-GALIRAYA'!I88+'Avg Week GALIRAYA-KAYUNG'!I88</f>
        <v>0</v>
      </c>
      <c r="J88" s="49">
        <f>'Avg Week KAYUNGA-GALIRAYA'!J88+'Avg Week GALIRAYA-KAYUNG'!J88</f>
        <v>0</v>
      </c>
      <c r="K88" s="49">
        <f>'Avg Week KAYUNGA-GALIRAYA'!K88+'Avg Week GALIRAYA-KAYUNG'!K88</f>
        <v>0</v>
      </c>
      <c r="L88" s="49">
        <f>'Avg Week KAYUNGA-GALIRAYA'!L88+'Avg Week GALIRAYA-KAYUNG'!L88</f>
        <v>0</v>
      </c>
      <c r="M88" s="49">
        <f>'Avg Week KAYUNGA-GALIRAYA'!M88+'Avg Week GALIRAYA-KAYUNG'!M88</f>
        <v>0</v>
      </c>
      <c r="N88" s="49">
        <f>'Avg Week KAYUNGA-GALIRAYA'!N88+'Avg Week GALIRAYA-KAYUNG'!N88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'Avg Week KAYUNGA-GALIRAYA'!C89+'Avg Week GALIRAYA-KAYUNG'!C89</f>
        <v>0</v>
      </c>
      <c r="D89" s="49">
        <f>'Avg Week KAYUNGA-GALIRAYA'!D89+'Avg Week GALIRAYA-KAYUNG'!D89</f>
        <v>0</v>
      </c>
      <c r="E89" s="49">
        <f>'Avg Week KAYUNGA-GALIRAYA'!E89+'Avg Week GALIRAYA-KAYUNG'!E89</f>
        <v>0</v>
      </c>
      <c r="F89" s="49">
        <f>'Avg Week KAYUNGA-GALIRAYA'!F89+'Avg Week GALIRAYA-KAYUNG'!F89</f>
        <v>0</v>
      </c>
      <c r="G89" s="49">
        <f>'Avg Week KAYUNGA-GALIRAYA'!G89+'Avg Week GALIRAYA-KAYUNG'!G89</f>
        <v>0</v>
      </c>
      <c r="H89" s="49">
        <f>'Avg Week KAYUNGA-GALIRAYA'!H89+'Avg Week GALIRAYA-KAYUNG'!H89</f>
        <v>0</v>
      </c>
      <c r="I89" s="49">
        <f>'Avg Week KAYUNGA-GALIRAYA'!I89+'Avg Week GALIRAYA-KAYUNG'!I89</f>
        <v>1</v>
      </c>
      <c r="J89" s="49">
        <f>'Avg Week KAYUNGA-GALIRAYA'!J89+'Avg Week GALIRAYA-KAYUNG'!J89</f>
        <v>1</v>
      </c>
      <c r="K89" s="49">
        <f>'Avg Week KAYUNGA-GALIRAYA'!K89+'Avg Week GALIRAYA-KAYUNG'!K89</f>
        <v>0.5</v>
      </c>
      <c r="L89" s="49">
        <f>'Avg Week KAYUNGA-GALIRAYA'!L89+'Avg Week GALIRAYA-KAYUNG'!L89</f>
        <v>0</v>
      </c>
      <c r="M89" s="49">
        <f>'Avg Week KAYUNGA-GALIRAYA'!M89+'Avg Week GALIRAYA-KAYUNG'!M89</f>
        <v>0</v>
      </c>
      <c r="N89" s="49">
        <f>'Avg Week KAYUNGA-GALIRAYA'!N89+'Avg Week GALIRAYA-KAYUNG'!N89</f>
        <v>0</v>
      </c>
      <c r="O89" s="15">
        <f t="shared" si="35"/>
        <v>2.5</v>
      </c>
      <c r="P89" s="15">
        <f t="shared" si="36"/>
        <v>2.5</v>
      </c>
      <c r="R89" s="8"/>
      <c r="T89"/>
    </row>
    <row r="90" spans="2:20" ht="23.1" customHeight="1" x14ac:dyDescent="0.25">
      <c r="B90" s="24" t="s">
        <v>130</v>
      </c>
      <c r="C90" s="49">
        <f>'Avg Week KAYUNGA-GALIRAYA'!C90+'Avg Week GALIRAYA-KAYUNG'!C90</f>
        <v>0</v>
      </c>
      <c r="D90" s="49">
        <f>'Avg Week KAYUNGA-GALIRAYA'!D90+'Avg Week GALIRAYA-KAYUNG'!D90</f>
        <v>0</v>
      </c>
      <c r="E90" s="49">
        <f>'Avg Week KAYUNGA-GALIRAYA'!E90+'Avg Week GALIRAYA-KAYUNG'!E90</f>
        <v>0</v>
      </c>
      <c r="F90" s="49">
        <f>'Avg Week KAYUNGA-GALIRAYA'!F90+'Avg Week GALIRAYA-KAYUNG'!F90</f>
        <v>0</v>
      </c>
      <c r="G90" s="49">
        <f>'Avg Week KAYUNGA-GALIRAYA'!G90+'Avg Week GALIRAYA-KAYUNG'!G90</f>
        <v>0</v>
      </c>
      <c r="H90" s="49">
        <f>'Avg Week KAYUNGA-GALIRAYA'!H90+'Avg Week GALIRAYA-KAYUNG'!H90</f>
        <v>0</v>
      </c>
      <c r="I90" s="49">
        <f>'Avg Week KAYUNGA-GALIRAYA'!I90+'Avg Week GALIRAYA-KAYUNG'!I90</f>
        <v>0</v>
      </c>
      <c r="J90" s="49">
        <f>'Avg Week KAYUNGA-GALIRAYA'!J90+'Avg Week GALIRAYA-KAYUNG'!J90</f>
        <v>0</v>
      </c>
      <c r="K90" s="49">
        <f>'Avg Week KAYUNGA-GALIRAYA'!K90+'Avg Week GALIRAYA-KAYUNG'!K90</f>
        <v>0.5</v>
      </c>
      <c r="L90" s="49">
        <f>'Avg Week KAYUNGA-GALIRAYA'!L90+'Avg Week GALIRAYA-KAYUNG'!L90</f>
        <v>0</v>
      </c>
      <c r="M90" s="49">
        <f>'Avg Week KAYUNGA-GALIRAYA'!M90+'Avg Week GALIRAYA-KAYUNG'!M90</f>
        <v>0</v>
      </c>
      <c r="N90" s="49">
        <f>'Avg Week KAYUNGA-GALIRAYA'!N90+'Avg Week GALIRAYA-KAYUNG'!N90</f>
        <v>0</v>
      </c>
      <c r="O90" s="15">
        <f t="shared" si="35"/>
        <v>0.5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'Avg Week KAYUNGA-GALIRAYA'!C91+'Avg Week GALIRAYA-KAYUNG'!C91</f>
        <v>0</v>
      </c>
      <c r="D91" s="49">
        <f>'Avg Week KAYUNGA-GALIRAYA'!D91+'Avg Week GALIRAYA-KAYUNG'!D91</f>
        <v>0</v>
      </c>
      <c r="E91" s="49">
        <f>'Avg Week KAYUNGA-GALIRAYA'!E91+'Avg Week GALIRAYA-KAYUNG'!E91</f>
        <v>0</v>
      </c>
      <c r="F91" s="49">
        <f>'Avg Week KAYUNGA-GALIRAYA'!F91+'Avg Week GALIRAYA-KAYUNG'!F91</f>
        <v>0</v>
      </c>
      <c r="G91" s="49">
        <f>'Avg Week KAYUNGA-GALIRAYA'!G91+'Avg Week GALIRAYA-KAYUNG'!G91</f>
        <v>0</v>
      </c>
      <c r="H91" s="49">
        <f>'Avg Week KAYUNGA-GALIRAYA'!H91+'Avg Week GALIRAYA-KAYUNG'!H91</f>
        <v>0</v>
      </c>
      <c r="I91" s="49">
        <f>'Avg Week KAYUNGA-GALIRAYA'!I91+'Avg Week GALIRAYA-KAYUNG'!I91</f>
        <v>1</v>
      </c>
      <c r="J91" s="49">
        <f>'Avg Week KAYUNGA-GALIRAYA'!J91+'Avg Week GALIRAYA-KAYUNG'!J91</f>
        <v>0</v>
      </c>
      <c r="K91" s="49">
        <f>'Avg Week KAYUNGA-GALIRAYA'!K91+'Avg Week GALIRAYA-KAYUNG'!K91</f>
        <v>0</v>
      </c>
      <c r="L91" s="49">
        <f>'Avg Week KAYUNGA-GALIRAYA'!L91+'Avg Week GALIRAYA-KAYUNG'!L91</f>
        <v>0</v>
      </c>
      <c r="M91" s="49">
        <f>'Avg Week KAYUNGA-GALIRAYA'!M91+'Avg Week GALIRAYA-KAYUNG'!M91</f>
        <v>0</v>
      </c>
      <c r="N91" s="49">
        <f>'Avg Week KAYUNGA-GALIRAYA'!N91+'Avg Week GALIRAYA-KAYUNG'!N91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'Avg Week KAYUNGA-GALIRAYA'!C92+'Avg Week GALIRAYA-KAYUNG'!C92</f>
        <v>0.5</v>
      </c>
      <c r="D92" s="49">
        <f>'Avg Week KAYUNGA-GALIRAYA'!D92+'Avg Week GALIRAYA-KAYUNG'!D92</f>
        <v>0</v>
      </c>
      <c r="E92" s="49">
        <f>'Avg Week KAYUNGA-GALIRAYA'!E92+'Avg Week GALIRAYA-KAYUNG'!E92</f>
        <v>0</v>
      </c>
      <c r="F92" s="49">
        <f>'Avg Week KAYUNGA-GALIRAYA'!F92+'Avg Week GALIRAYA-KAYUNG'!F92</f>
        <v>0</v>
      </c>
      <c r="G92" s="49">
        <f>'Avg Week KAYUNGA-GALIRAYA'!G92+'Avg Week GALIRAYA-KAYUNG'!G92</f>
        <v>0</v>
      </c>
      <c r="H92" s="49">
        <f>'Avg Week KAYUNGA-GALIRAYA'!H92+'Avg Week GALIRAYA-KAYUNG'!H92</f>
        <v>0</v>
      </c>
      <c r="I92" s="49">
        <f>'Avg Week KAYUNGA-GALIRAYA'!I92+'Avg Week GALIRAYA-KAYUNG'!I92</f>
        <v>0</v>
      </c>
      <c r="J92" s="49">
        <f>'Avg Week KAYUNGA-GALIRAYA'!J92+'Avg Week GALIRAYA-KAYUNG'!J92</f>
        <v>1.5</v>
      </c>
      <c r="K92" s="49">
        <f>'Avg Week KAYUNGA-GALIRAYA'!K92+'Avg Week GALIRAYA-KAYUNG'!K92</f>
        <v>1.5</v>
      </c>
      <c r="L92" s="49">
        <f>'Avg Week KAYUNGA-GALIRAYA'!L92+'Avg Week GALIRAYA-KAYUNG'!L92</f>
        <v>0</v>
      </c>
      <c r="M92" s="49">
        <f>'Avg Week KAYUNGA-GALIRAYA'!M92+'Avg Week GALIRAYA-KAYUNG'!M92</f>
        <v>0</v>
      </c>
      <c r="N92" s="49">
        <f>'Avg Week KAYUNGA-GALIRAYA'!N92+'Avg Week GALIRAYA-KAYUNG'!N92</f>
        <v>0</v>
      </c>
      <c r="O92" s="15">
        <f t="shared" si="35"/>
        <v>3.5</v>
      </c>
      <c r="P92" s="15">
        <f t="shared" si="36"/>
        <v>3.5</v>
      </c>
      <c r="R92" s="8"/>
      <c r="T92"/>
    </row>
    <row r="93" spans="2:20" ht="23.1" customHeight="1" x14ac:dyDescent="0.25">
      <c r="B93" s="23" t="s">
        <v>133</v>
      </c>
      <c r="C93" s="49">
        <f>'Avg Week KAYUNGA-GALIRAYA'!C93+'Avg Week GALIRAYA-KAYUNG'!C93</f>
        <v>0</v>
      </c>
      <c r="D93" s="49">
        <f>'Avg Week KAYUNGA-GALIRAYA'!D93+'Avg Week GALIRAYA-KAYUNG'!D93</f>
        <v>0</v>
      </c>
      <c r="E93" s="49">
        <f>'Avg Week KAYUNGA-GALIRAYA'!E93+'Avg Week GALIRAYA-KAYUNG'!E93</f>
        <v>0</v>
      </c>
      <c r="F93" s="49">
        <f>'Avg Week KAYUNGA-GALIRAYA'!F93+'Avg Week GALIRAYA-KAYUNG'!F93</f>
        <v>0</v>
      </c>
      <c r="G93" s="49">
        <f>'Avg Week KAYUNGA-GALIRAYA'!G93+'Avg Week GALIRAYA-KAYUNG'!G93</f>
        <v>0</v>
      </c>
      <c r="H93" s="49">
        <f>'Avg Week KAYUNGA-GALIRAYA'!H93+'Avg Week GALIRAYA-KAYUNG'!H93</f>
        <v>0</v>
      </c>
      <c r="I93" s="49">
        <f>'Avg Week KAYUNGA-GALIRAYA'!I93+'Avg Week GALIRAYA-KAYUNG'!I93</f>
        <v>0</v>
      </c>
      <c r="J93" s="49">
        <f>'Avg Week KAYUNGA-GALIRAYA'!J93+'Avg Week GALIRAYA-KAYUNG'!J93</f>
        <v>1</v>
      </c>
      <c r="K93" s="49">
        <f>'Avg Week KAYUNGA-GALIRAYA'!K93+'Avg Week GALIRAYA-KAYUNG'!K93</f>
        <v>0.5</v>
      </c>
      <c r="L93" s="49">
        <f>'Avg Week KAYUNGA-GALIRAYA'!L93+'Avg Week GALIRAYA-KAYUNG'!L93</f>
        <v>0</v>
      </c>
      <c r="M93" s="49">
        <f>'Avg Week KAYUNGA-GALIRAYA'!M93+'Avg Week GALIRAYA-KAYUNG'!M93</f>
        <v>0.5</v>
      </c>
      <c r="N93" s="49">
        <f>'Avg Week KAYUNGA-GALIRAYA'!N93+'Avg Week GALIRAYA-KAYUNG'!N93</f>
        <v>0</v>
      </c>
      <c r="O93" s="15">
        <f t="shared" si="35"/>
        <v>1.5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'Avg Week KAYUNGA-GALIRAYA'!C94+'Avg Week GALIRAYA-KAYUNG'!C94</f>
        <v>0.5</v>
      </c>
      <c r="D94" s="49">
        <f>'Avg Week KAYUNGA-GALIRAYA'!D94+'Avg Week GALIRAYA-KAYUNG'!D94</f>
        <v>0</v>
      </c>
      <c r="E94" s="49">
        <f>'Avg Week KAYUNGA-GALIRAYA'!E94+'Avg Week GALIRAYA-KAYUNG'!E94</f>
        <v>0</v>
      </c>
      <c r="F94" s="49">
        <f>'Avg Week KAYUNGA-GALIRAYA'!F94+'Avg Week GALIRAYA-KAYUNG'!F94</f>
        <v>0</v>
      </c>
      <c r="G94" s="49">
        <f>'Avg Week KAYUNGA-GALIRAYA'!G94+'Avg Week GALIRAYA-KAYUNG'!G94</f>
        <v>0</v>
      </c>
      <c r="H94" s="49">
        <f>'Avg Week KAYUNGA-GALIRAYA'!H94+'Avg Week GALIRAYA-KAYUNG'!H94</f>
        <v>0</v>
      </c>
      <c r="I94" s="49">
        <f>'Avg Week KAYUNGA-GALIRAYA'!I94+'Avg Week GALIRAYA-KAYUNG'!I94</f>
        <v>0.5</v>
      </c>
      <c r="J94" s="49">
        <f>'Avg Week KAYUNGA-GALIRAYA'!J94+'Avg Week GALIRAYA-KAYUNG'!J94</f>
        <v>0</v>
      </c>
      <c r="K94" s="49">
        <f>'Avg Week KAYUNGA-GALIRAYA'!K94+'Avg Week GALIRAYA-KAYUNG'!K94</f>
        <v>0</v>
      </c>
      <c r="L94" s="49">
        <f>'Avg Week KAYUNGA-GALIRAYA'!L94+'Avg Week GALIRAYA-KAYUNG'!L94</f>
        <v>0</v>
      </c>
      <c r="M94" s="49">
        <f>'Avg Week KAYUNGA-GALIRAYA'!M94+'Avg Week GALIRAYA-KAYUNG'!M94</f>
        <v>0</v>
      </c>
      <c r="N94" s="49">
        <f>'Avg Week KAYUNGA-GALIRAYA'!N94+'Avg Week GALIRAYA-KAYUNG'!N94</f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23" t="s">
        <v>135</v>
      </c>
      <c r="C95" s="49">
        <f>'Avg Week KAYUNGA-GALIRAYA'!C95+'Avg Week GALIRAYA-KAYUNG'!C95</f>
        <v>0</v>
      </c>
      <c r="D95" s="49">
        <f>'Avg Week KAYUNGA-GALIRAYA'!D95+'Avg Week GALIRAYA-KAYUNG'!D95</f>
        <v>0</v>
      </c>
      <c r="E95" s="49">
        <f>'Avg Week KAYUNGA-GALIRAYA'!E95+'Avg Week GALIRAYA-KAYUNG'!E95</f>
        <v>0</v>
      </c>
      <c r="F95" s="49">
        <f>'Avg Week KAYUNGA-GALIRAYA'!F95+'Avg Week GALIRAYA-KAYUNG'!F95</f>
        <v>0</v>
      </c>
      <c r="G95" s="49">
        <f>'Avg Week KAYUNGA-GALIRAYA'!G95+'Avg Week GALIRAYA-KAYUNG'!G95</f>
        <v>0.5</v>
      </c>
      <c r="H95" s="49">
        <f>'Avg Week KAYUNGA-GALIRAYA'!H95+'Avg Week GALIRAYA-KAYUNG'!H95</f>
        <v>0</v>
      </c>
      <c r="I95" s="49">
        <f>'Avg Week KAYUNGA-GALIRAYA'!I95+'Avg Week GALIRAYA-KAYUNG'!I95</f>
        <v>1</v>
      </c>
      <c r="J95" s="49">
        <f>'Avg Week KAYUNGA-GALIRAYA'!J95+'Avg Week GALIRAYA-KAYUNG'!J95</f>
        <v>0</v>
      </c>
      <c r="K95" s="49">
        <f>'Avg Week KAYUNGA-GALIRAYA'!K95+'Avg Week GALIRAYA-KAYUNG'!K95</f>
        <v>0</v>
      </c>
      <c r="L95" s="49">
        <f>'Avg Week KAYUNGA-GALIRAYA'!L95+'Avg Week GALIRAYA-KAYUNG'!L95</f>
        <v>0.5</v>
      </c>
      <c r="M95" s="49">
        <f>'Avg Week KAYUNGA-GALIRAYA'!M95+'Avg Week GALIRAYA-KAYUNG'!M95</f>
        <v>0</v>
      </c>
      <c r="N95" s="49">
        <f>'Avg Week KAYUNGA-GALIRAYA'!N95+'Avg Week GALIRAYA-KAYUNG'!N95</f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25" t="s">
        <v>136</v>
      </c>
      <c r="C96" s="49">
        <f>'Avg Week KAYUNGA-GALIRAYA'!C96+'Avg Week GALIRAYA-KAYUNG'!C96</f>
        <v>0.5</v>
      </c>
      <c r="D96" s="49">
        <f>'Avg Week KAYUNGA-GALIRAYA'!D96+'Avg Week GALIRAYA-KAYUNG'!D96</f>
        <v>0</v>
      </c>
      <c r="E96" s="49">
        <f>'Avg Week KAYUNGA-GALIRAYA'!E96+'Avg Week GALIRAYA-KAYUNG'!E96</f>
        <v>0</v>
      </c>
      <c r="F96" s="49">
        <f>'Avg Week KAYUNGA-GALIRAYA'!F96+'Avg Week GALIRAYA-KAYUNG'!F96</f>
        <v>0.5</v>
      </c>
      <c r="G96" s="49">
        <f>'Avg Week KAYUNGA-GALIRAYA'!G96+'Avg Week GALIRAYA-KAYUNG'!G96</f>
        <v>0</v>
      </c>
      <c r="H96" s="49">
        <f>'Avg Week KAYUNGA-GALIRAYA'!H96+'Avg Week GALIRAYA-KAYUNG'!H96</f>
        <v>0</v>
      </c>
      <c r="I96" s="49">
        <f>'Avg Week KAYUNGA-GALIRAYA'!I96+'Avg Week GALIRAYA-KAYUNG'!I96</f>
        <v>0.5</v>
      </c>
      <c r="J96" s="49">
        <f>'Avg Week KAYUNGA-GALIRAYA'!J96+'Avg Week GALIRAYA-KAYUNG'!J96</f>
        <v>1</v>
      </c>
      <c r="K96" s="49">
        <f>'Avg Week KAYUNGA-GALIRAYA'!K96+'Avg Week GALIRAYA-KAYUNG'!K96</f>
        <v>0</v>
      </c>
      <c r="L96" s="49">
        <f>'Avg Week KAYUNGA-GALIRAYA'!L96+'Avg Week GALIRAYA-KAYUNG'!L96</f>
        <v>0</v>
      </c>
      <c r="M96" s="49">
        <f>'Avg Week KAYUNGA-GALIRAYA'!M96+'Avg Week GALIRAYA-KAYUNG'!M96</f>
        <v>1.5</v>
      </c>
      <c r="N96" s="49">
        <f>'Avg Week KAYUNGA-GALIRAYA'!N96+'Avg Week GALIRAYA-KAYUNG'!N96</f>
        <v>0</v>
      </c>
      <c r="O96" s="15">
        <f t="shared" si="35"/>
        <v>2.5</v>
      </c>
      <c r="P96" s="15">
        <f t="shared" si="36"/>
        <v>4</v>
      </c>
      <c r="R96" s="8"/>
      <c r="T96"/>
    </row>
    <row r="97" spans="2:20" ht="23.1" customHeight="1" x14ac:dyDescent="0.25">
      <c r="B97" s="23" t="s">
        <v>137</v>
      </c>
      <c r="C97" s="49">
        <f>'Avg Week KAYUNGA-GALIRAYA'!C97+'Avg Week GALIRAYA-KAYUNG'!C97</f>
        <v>0</v>
      </c>
      <c r="D97" s="49">
        <f>'Avg Week KAYUNGA-GALIRAYA'!D97+'Avg Week GALIRAYA-KAYUNG'!D97</f>
        <v>0</v>
      </c>
      <c r="E97" s="49">
        <f>'Avg Week KAYUNGA-GALIRAYA'!E97+'Avg Week GALIRAYA-KAYUNG'!E97</f>
        <v>0.5</v>
      </c>
      <c r="F97" s="49">
        <f>'Avg Week KAYUNGA-GALIRAYA'!F97+'Avg Week GALIRAYA-KAYUNG'!F97</f>
        <v>0</v>
      </c>
      <c r="G97" s="49">
        <f>'Avg Week KAYUNGA-GALIRAYA'!G97+'Avg Week GALIRAYA-KAYUNG'!G97</f>
        <v>0</v>
      </c>
      <c r="H97" s="49">
        <f>'Avg Week KAYUNGA-GALIRAYA'!H97+'Avg Week GALIRAYA-KAYUNG'!H97</f>
        <v>0</v>
      </c>
      <c r="I97" s="49">
        <f>'Avg Week KAYUNGA-GALIRAYA'!I97+'Avg Week GALIRAYA-KAYUNG'!I97</f>
        <v>0</v>
      </c>
      <c r="J97" s="49">
        <f>'Avg Week KAYUNGA-GALIRAYA'!J97+'Avg Week GALIRAYA-KAYUNG'!J97</f>
        <v>0</v>
      </c>
      <c r="K97" s="49">
        <f>'Avg Week KAYUNGA-GALIRAYA'!K97+'Avg Week GALIRAYA-KAYUNG'!K97</f>
        <v>1</v>
      </c>
      <c r="L97" s="49">
        <f>'Avg Week KAYUNGA-GALIRAYA'!L97+'Avg Week GALIRAYA-KAYUNG'!L97</f>
        <v>0</v>
      </c>
      <c r="M97" s="49">
        <f>'Avg Week KAYUNGA-GALIRAYA'!M97+'Avg Week GALIRAYA-KAYUNG'!M97</f>
        <v>0.5</v>
      </c>
      <c r="N97" s="49">
        <f>'Avg Week KAYUNGA-GALIRAYA'!N97+'Avg Week GALIRAYA-KAYUNG'!N97</f>
        <v>0</v>
      </c>
      <c r="O97" s="15">
        <f t="shared" si="35"/>
        <v>1.5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'Avg Week KAYUNGA-GALIRAYA'!C98+'Avg Week GALIRAYA-KAYUNG'!C98</f>
        <v>0</v>
      </c>
      <c r="D98" s="49">
        <f>'Avg Week KAYUNGA-GALIRAYA'!D98+'Avg Week GALIRAYA-KAYUNG'!D98</f>
        <v>0</v>
      </c>
      <c r="E98" s="49">
        <f>'Avg Week KAYUNGA-GALIRAYA'!E98+'Avg Week GALIRAYA-KAYUNG'!E98</f>
        <v>0</v>
      </c>
      <c r="F98" s="49">
        <f>'Avg Week KAYUNGA-GALIRAYA'!F98+'Avg Week GALIRAYA-KAYUNG'!F98</f>
        <v>0.5</v>
      </c>
      <c r="G98" s="49">
        <f>'Avg Week KAYUNGA-GALIRAYA'!G98+'Avg Week GALIRAYA-KAYUNG'!G98</f>
        <v>0</v>
      </c>
      <c r="H98" s="49">
        <f>'Avg Week KAYUNGA-GALIRAYA'!H98+'Avg Week GALIRAYA-KAYUNG'!H98</f>
        <v>0</v>
      </c>
      <c r="I98" s="49">
        <f>'Avg Week KAYUNGA-GALIRAYA'!I98+'Avg Week GALIRAYA-KAYUNG'!I98</f>
        <v>0</v>
      </c>
      <c r="J98" s="49">
        <f>'Avg Week KAYUNGA-GALIRAYA'!J98+'Avg Week GALIRAYA-KAYUNG'!J98</f>
        <v>0.5</v>
      </c>
      <c r="K98" s="49">
        <f>'Avg Week KAYUNGA-GALIRAYA'!K98+'Avg Week GALIRAYA-KAYUNG'!K98</f>
        <v>0.5</v>
      </c>
      <c r="L98" s="49">
        <f>'Avg Week KAYUNGA-GALIRAYA'!L98+'Avg Week GALIRAYA-KAYUNG'!L98</f>
        <v>0</v>
      </c>
      <c r="M98" s="49">
        <f>'Avg Week KAYUNGA-GALIRAYA'!M98+'Avg Week GALIRAYA-KAYUNG'!M98</f>
        <v>0</v>
      </c>
      <c r="N98" s="49">
        <f>'Avg Week KAYUNGA-GALIRAYA'!N98+'Avg Week GALIRAYA-KAYUNG'!N98</f>
        <v>0</v>
      </c>
      <c r="O98" s="15">
        <f t="shared" si="35"/>
        <v>1.5</v>
      </c>
      <c r="P98" s="15">
        <f t="shared" si="36"/>
        <v>1.5</v>
      </c>
      <c r="R98" s="8"/>
      <c r="T98"/>
    </row>
    <row r="99" spans="2:20" ht="23.1" customHeight="1" x14ac:dyDescent="0.25">
      <c r="B99" s="23" t="s">
        <v>139</v>
      </c>
      <c r="C99" s="49">
        <f>'Avg Week KAYUNGA-GALIRAYA'!C99+'Avg Week GALIRAYA-KAYUNG'!C99</f>
        <v>0</v>
      </c>
      <c r="D99" s="49">
        <f>'Avg Week KAYUNGA-GALIRAYA'!D99+'Avg Week GALIRAYA-KAYUNG'!D99</f>
        <v>0</v>
      </c>
      <c r="E99" s="49">
        <f>'Avg Week KAYUNGA-GALIRAYA'!E99+'Avg Week GALIRAYA-KAYUNG'!E99</f>
        <v>0</v>
      </c>
      <c r="F99" s="49">
        <f>'Avg Week KAYUNGA-GALIRAYA'!F99+'Avg Week GALIRAYA-KAYUNG'!F99</f>
        <v>2</v>
      </c>
      <c r="G99" s="49">
        <f>'Avg Week KAYUNGA-GALIRAYA'!G99+'Avg Week GALIRAYA-KAYUNG'!G99</f>
        <v>0.5</v>
      </c>
      <c r="H99" s="49">
        <f>'Avg Week KAYUNGA-GALIRAYA'!H99+'Avg Week GALIRAYA-KAYUNG'!H99</f>
        <v>0</v>
      </c>
      <c r="I99" s="49">
        <f>'Avg Week KAYUNGA-GALIRAYA'!I99+'Avg Week GALIRAYA-KAYUNG'!I99</f>
        <v>0</v>
      </c>
      <c r="J99" s="49">
        <f>'Avg Week KAYUNGA-GALIRAYA'!J99+'Avg Week GALIRAYA-KAYUNG'!J99</f>
        <v>0</v>
      </c>
      <c r="K99" s="49">
        <f>'Avg Week KAYUNGA-GALIRAYA'!K99+'Avg Week GALIRAYA-KAYUNG'!K99</f>
        <v>0.5</v>
      </c>
      <c r="L99" s="49">
        <f>'Avg Week KAYUNGA-GALIRAYA'!L99+'Avg Week GALIRAYA-KAYUNG'!L99</f>
        <v>0</v>
      </c>
      <c r="M99" s="49">
        <f>'Avg Week KAYUNGA-GALIRAYA'!M99+'Avg Week GALIRAYA-KAYUNG'!M99</f>
        <v>1</v>
      </c>
      <c r="N99" s="49">
        <f>'Avg Week KAYUNGA-GALIRAYA'!N99+'Avg Week GALIRAYA-KAYUNG'!N99</f>
        <v>0</v>
      </c>
      <c r="O99" s="15">
        <f t="shared" si="35"/>
        <v>3</v>
      </c>
      <c r="P99" s="15">
        <f t="shared" si="36"/>
        <v>4</v>
      </c>
      <c r="R99" s="8"/>
      <c r="T99"/>
    </row>
    <row r="100" spans="2:20" ht="23.1" customHeight="1" x14ac:dyDescent="0.25">
      <c r="B100" s="25" t="s">
        <v>140</v>
      </c>
      <c r="C100" s="49">
        <f>'Avg Week KAYUNGA-GALIRAYA'!C100+'Avg Week GALIRAYA-KAYUNG'!C100</f>
        <v>0</v>
      </c>
      <c r="D100" s="49">
        <f>'Avg Week KAYUNGA-GALIRAYA'!D100+'Avg Week GALIRAYA-KAYUNG'!D100</f>
        <v>0</v>
      </c>
      <c r="E100" s="49">
        <f>'Avg Week KAYUNGA-GALIRAYA'!E100+'Avg Week GALIRAYA-KAYUNG'!E100</f>
        <v>0</v>
      </c>
      <c r="F100" s="49">
        <f>'Avg Week KAYUNGA-GALIRAYA'!F100+'Avg Week GALIRAYA-KAYUNG'!F100</f>
        <v>1</v>
      </c>
      <c r="G100" s="49">
        <f>'Avg Week KAYUNGA-GALIRAYA'!G100+'Avg Week GALIRAYA-KAYUNG'!G100</f>
        <v>0</v>
      </c>
      <c r="H100" s="49">
        <f>'Avg Week KAYUNGA-GALIRAYA'!H100+'Avg Week GALIRAYA-KAYUNG'!H100</f>
        <v>0</v>
      </c>
      <c r="I100" s="49">
        <f>'Avg Week KAYUNGA-GALIRAYA'!I100+'Avg Week GALIRAYA-KAYUNG'!I100</f>
        <v>0</v>
      </c>
      <c r="J100" s="49">
        <f>'Avg Week KAYUNGA-GALIRAYA'!J100+'Avg Week GALIRAYA-KAYUNG'!J100</f>
        <v>0.5</v>
      </c>
      <c r="K100" s="49">
        <f>'Avg Week KAYUNGA-GALIRAYA'!K100+'Avg Week GALIRAYA-KAYUNG'!K100</f>
        <v>0.5</v>
      </c>
      <c r="L100" s="49">
        <f>'Avg Week KAYUNGA-GALIRAYA'!L100+'Avg Week GALIRAYA-KAYUNG'!L100</f>
        <v>0</v>
      </c>
      <c r="M100" s="49">
        <f>'Avg Week KAYUNGA-GALIRAYA'!M100+'Avg Week GALIRAYA-KAYUNG'!M100</f>
        <v>0.5</v>
      </c>
      <c r="N100" s="49">
        <f>'Avg Week KAYUNGA-GALIRAYA'!N100+'Avg Week GALIRAYA-KAYUNG'!N100</f>
        <v>0</v>
      </c>
      <c r="O100" s="15">
        <f t="shared" si="35"/>
        <v>2</v>
      </c>
      <c r="P100" s="15">
        <f t="shared" si="36"/>
        <v>2.5</v>
      </c>
      <c r="R100" s="8"/>
      <c r="T100"/>
    </row>
    <row r="101" spans="2:20" ht="23.1" customHeight="1" x14ac:dyDescent="0.25">
      <c r="B101" s="23" t="s">
        <v>141</v>
      </c>
      <c r="C101" s="49">
        <f>'Avg Week KAYUNGA-GALIRAYA'!C101+'Avg Week GALIRAYA-KAYUNG'!C101</f>
        <v>0.5</v>
      </c>
      <c r="D101" s="49">
        <f>'Avg Week KAYUNGA-GALIRAYA'!D101+'Avg Week GALIRAYA-KAYUNG'!D101</f>
        <v>0</v>
      </c>
      <c r="E101" s="49">
        <f>'Avg Week KAYUNGA-GALIRAYA'!E101+'Avg Week GALIRAYA-KAYUNG'!E101</f>
        <v>0</v>
      </c>
      <c r="F101" s="49">
        <f>'Avg Week KAYUNGA-GALIRAYA'!F101+'Avg Week GALIRAYA-KAYUNG'!F101</f>
        <v>0</v>
      </c>
      <c r="G101" s="49">
        <f>'Avg Week KAYUNGA-GALIRAYA'!G101+'Avg Week GALIRAYA-KAYUNG'!G101</f>
        <v>0</v>
      </c>
      <c r="H101" s="49">
        <f>'Avg Week KAYUNGA-GALIRAYA'!H101+'Avg Week GALIRAYA-KAYUNG'!H101</f>
        <v>0</v>
      </c>
      <c r="I101" s="49">
        <f>'Avg Week KAYUNGA-GALIRAYA'!I101+'Avg Week GALIRAYA-KAYUNG'!I101</f>
        <v>0.5</v>
      </c>
      <c r="J101" s="49">
        <f>'Avg Week KAYUNGA-GALIRAYA'!J101+'Avg Week GALIRAYA-KAYUNG'!J101</f>
        <v>2</v>
      </c>
      <c r="K101" s="49">
        <f>'Avg Week KAYUNGA-GALIRAYA'!K101+'Avg Week GALIRAYA-KAYUNG'!K101</f>
        <v>1.5</v>
      </c>
      <c r="L101" s="49">
        <f>'Avg Week KAYUNGA-GALIRAYA'!L101+'Avg Week GALIRAYA-KAYUNG'!L101</f>
        <v>0</v>
      </c>
      <c r="M101" s="49">
        <f>'Avg Week KAYUNGA-GALIRAYA'!M101+'Avg Week GALIRAYA-KAYUNG'!M101</f>
        <v>3.5</v>
      </c>
      <c r="N101" s="49">
        <f>'Avg Week KAYUNGA-GALIRAYA'!N101+'Avg Week GALIRAYA-KAYUNG'!N101</f>
        <v>0</v>
      </c>
      <c r="O101" s="15">
        <f t="shared" si="35"/>
        <v>4.5</v>
      </c>
      <c r="P101" s="15">
        <f t="shared" si="36"/>
        <v>8</v>
      </c>
      <c r="R101" s="8"/>
      <c r="T101"/>
    </row>
    <row r="102" spans="2:20" ht="23.1" customHeight="1" x14ac:dyDescent="0.25">
      <c r="B102" s="24" t="s">
        <v>142</v>
      </c>
      <c r="C102" s="49">
        <f>'Avg Week KAYUNGA-GALIRAYA'!C102+'Avg Week GALIRAYA-KAYUNG'!C102</f>
        <v>0</v>
      </c>
      <c r="D102" s="49">
        <f>'Avg Week KAYUNGA-GALIRAYA'!D102+'Avg Week GALIRAYA-KAYUNG'!D102</f>
        <v>0</v>
      </c>
      <c r="E102" s="49">
        <f>'Avg Week KAYUNGA-GALIRAYA'!E102+'Avg Week GALIRAYA-KAYUNG'!E102</f>
        <v>0</v>
      </c>
      <c r="F102" s="49">
        <f>'Avg Week KAYUNGA-GALIRAYA'!F102+'Avg Week GALIRAYA-KAYUNG'!F102</f>
        <v>2.5</v>
      </c>
      <c r="G102" s="49">
        <f>'Avg Week KAYUNGA-GALIRAYA'!G102+'Avg Week GALIRAYA-KAYUNG'!G102</f>
        <v>0</v>
      </c>
      <c r="H102" s="49">
        <f>'Avg Week KAYUNGA-GALIRAYA'!H102+'Avg Week GALIRAYA-KAYUNG'!H102</f>
        <v>0</v>
      </c>
      <c r="I102" s="49">
        <f>'Avg Week KAYUNGA-GALIRAYA'!I102+'Avg Week GALIRAYA-KAYUNG'!I102</f>
        <v>0</v>
      </c>
      <c r="J102" s="49">
        <f>'Avg Week KAYUNGA-GALIRAYA'!J102+'Avg Week GALIRAYA-KAYUNG'!J102</f>
        <v>0</v>
      </c>
      <c r="K102" s="49">
        <f>'Avg Week KAYUNGA-GALIRAYA'!K102+'Avg Week GALIRAYA-KAYUNG'!K102</f>
        <v>3.5</v>
      </c>
      <c r="L102" s="49">
        <f>'Avg Week KAYUNGA-GALIRAYA'!L102+'Avg Week GALIRAYA-KAYUNG'!L102</f>
        <v>0</v>
      </c>
      <c r="M102" s="49">
        <f>'Avg Week KAYUNGA-GALIRAYA'!M102+'Avg Week GALIRAYA-KAYUNG'!M102</f>
        <v>2</v>
      </c>
      <c r="N102" s="49">
        <f>'Avg Week KAYUNGA-GALIRAYA'!N102+'Avg Week GALIRAYA-KAYUNG'!N102</f>
        <v>0</v>
      </c>
      <c r="O102" s="15">
        <f t="shared" si="35"/>
        <v>6</v>
      </c>
      <c r="P102" s="15">
        <f t="shared" si="36"/>
        <v>8</v>
      </c>
      <c r="R102" s="8"/>
      <c r="T102"/>
    </row>
    <row r="103" spans="2:20" ht="23.1" customHeight="1" x14ac:dyDescent="0.25">
      <c r="B103" s="23" t="s">
        <v>143</v>
      </c>
      <c r="C103" s="49">
        <f>'Avg Week KAYUNGA-GALIRAYA'!C103+'Avg Week GALIRAYA-KAYUNG'!C103</f>
        <v>0</v>
      </c>
      <c r="D103" s="49">
        <f>'Avg Week KAYUNGA-GALIRAYA'!D103+'Avg Week GALIRAYA-KAYUNG'!D103</f>
        <v>0</v>
      </c>
      <c r="E103" s="49">
        <f>'Avg Week KAYUNGA-GALIRAYA'!E103+'Avg Week GALIRAYA-KAYUNG'!E103</f>
        <v>0</v>
      </c>
      <c r="F103" s="49">
        <f>'Avg Week KAYUNGA-GALIRAYA'!F103+'Avg Week GALIRAYA-KAYUNG'!F103</f>
        <v>0</v>
      </c>
      <c r="G103" s="49">
        <f>'Avg Week KAYUNGA-GALIRAYA'!G103+'Avg Week GALIRAYA-KAYUNG'!G103</f>
        <v>0</v>
      </c>
      <c r="H103" s="49">
        <f>'Avg Week KAYUNGA-GALIRAYA'!H103+'Avg Week GALIRAYA-KAYUNG'!H103</f>
        <v>0</v>
      </c>
      <c r="I103" s="49">
        <f>'Avg Week KAYUNGA-GALIRAYA'!I103+'Avg Week GALIRAYA-KAYUNG'!I103</f>
        <v>0.5</v>
      </c>
      <c r="J103" s="49">
        <f>'Avg Week KAYUNGA-GALIRAYA'!J103+'Avg Week GALIRAYA-KAYUNG'!J103</f>
        <v>0</v>
      </c>
      <c r="K103" s="49">
        <f>'Avg Week KAYUNGA-GALIRAYA'!K103+'Avg Week GALIRAYA-KAYUNG'!K103</f>
        <v>0.5</v>
      </c>
      <c r="L103" s="49">
        <f>'Avg Week KAYUNGA-GALIRAYA'!L103+'Avg Week GALIRAYA-KAYUNG'!L103</f>
        <v>0</v>
      </c>
      <c r="M103" s="49">
        <f>'Avg Week KAYUNGA-GALIRAYA'!M103+'Avg Week GALIRAYA-KAYUNG'!M103</f>
        <v>2</v>
      </c>
      <c r="N103" s="49">
        <f>'Avg Week KAYUNGA-GALIRAYA'!N103+'Avg Week GALIRAYA-KAYUNG'!N103</f>
        <v>0</v>
      </c>
      <c r="O103" s="15">
        <f t="shared" si="35"/>
        <v>1</v>
      </c>
      <c r="P103" s="15">
        <f t="shared" si="36"/>
        <v>3</v>
      </c>
      <c r="R103" s="8"/>
      <c r="T103"/>
    </row>
    <row r="104" spans="2:20" ht="23.1" customHeight="1" x14ac:dyDescent="0.25">
      <c r="B104" s="25" t="s">
        <v>144</v>
      </c>
      <c r="C104" s="49">
        <f>'Avg Week KAYUNGA-GALIRAYA'!C104+'Avg Week GALIRAYA-KAYUNG'!C104</f>
        <v>0.5</v>
      </c>
      <c r="D104" s="49">
        <f>'Avg Week KAYUNGA-GALIRAYA'!D104+'Avg Week GALIRAYA-KAYUNG'!D104</f>
        <v>0</v>
      </c>
      <c r="E104" s="49">
        <f>'Avg Week KAYUNGA-GALIRAYA'!E104+'Avg Week GALIRAYA-KAYUNG'!E104</f>
        <v>0.5</v>
      </c>
      <c r="F104" s="49">
        <f>'Avg Week KAYUNGA-GALIRAYA'!F104+'Avg Week GALIRAYA-KAYUNG'!F104</f>
        <v>1.5</v>
      </c>
      <c r="G104" s="49">
        <f>'Avg Week KAYUNGA-GALIRAYA'!G104+'Avg Week GALIRAYA-KAYUNG'!G104</f>
        <v>0</v>
      </c>
      <c r="H104" s="49">
        <f>'Avg Week KAYUNGA-GALIRAYA'!H104+'Avg Week GALIRAYA-KAYUNG'!H104</f>
        <v>0</v>
      </c>
      <c r="I104" s="49">
        <f>'Avg Week KAYUNGA-GALIRAYA'!I104+'Avg Week GALIRAYA-KAYUNG'!I104</f>
        <v>0</v>
      </c>
      <c r="J104" s="49">
        <f>'Avg Week KAYUNGA-GALIRAYA'!J104+'Avg Week GALIRAYA-KAYUNG'!J104</f>
        <v>0</v>
      </c>
      <c r="K104" s="49">
        <f>'Avg Week KAYUNGA-GALIRAYA'!K104+'Avg Week GALIRAYA-KAYUNG'!K104</f>
        <v>2</v>
      </c>
      <c r="L104" s="49">
        <f>'Avg Week KAYUNGA-GALIRAYA'!L104+'Avg Week GALIRAYA-KAYUNG'!L104</f>
        <v>0</v>
      </c>
      <c r="M104" s="49">
        <f>'Avg Week KAYUNGA-GALIRAYA'!M104+'Avg Week GALIRAYA-KAYUNG'!M104</f>
        <v>4.5</v>
      </c>
      <c r="N104" s="49">
        <f>'Avg Week KAYUNGA-GALIRAYA'!N104+'Avg Week GALIRAYA-KAYUNG'!N104</f>
        <v>0</v>
      </c>
      <c r="O104" s="15">
        <f t="shared" si="35"/>
        <v>4.5</v>
      </c>
      <c r="P104" s="15">
        <f t="shared" si="36"/>
        <v>9</v>
      </c>
      <c r="R104" s="8"/>
      <c r="T104"/>
    </row>
    <row r="105" spans="2:20" ht="23.1" customHeight="1" x14ac:dyDescent="0.25">
      <c r="B105" s="23" t="s">
        <v>145</v>
      </c>
      <c r="C105" s="49">
        <f>'Avg Week KAYUNGA-GALIRAYA'!C105+'Avg Week GALIRAYA-KAYUNG'!C105</f>
        <v>1</v>
      </c>
      <c r="D105" s="49">
        <f>'Avg Week KAYUNGA-GALIRAYA'!D105+'Avg Week GALIRAYA-KAYUNG'!D105</f>
        <v>0</v>
      </c>
      <c r="E105" s="49">
        <f>'Avg Week KAYUNGA-GALIRAYA'!E105+'Avg Week GALIRAYA-KAYUNG'!E105</f>
        <v>0</v>
      </c>
      <c r="F105" s="49">
        <f>'Avg Week KAYUNGA-GALIRAYA'!F105+'Avg Week GALIRAYA-KAYUNG'!F105</f>
        <v>0</v>
      </c>
      <c r="G105" s="49">
        <f>'Avg Week KAYUNGA-GALIRAYA'!G105+'Avg Week GALIRAYA-KAYUNG'!G105</f>
        <v>0</v>
      </c>
      <c r="H105" s="49">
        <f>'Avg Week KAYUNGA-GALIRAYA'!H105+'Avg Week GALIRAYA-KAYUNG'!H105</f>
        <v>0</v>
      </c>
      <c r="I105" s="49">
        <f>'Avg Week KAYUNGA-GALIRAYA'!I105+'Avg Week GALIRAYA-KAYUNG'!I105</f>
        <v>1</v>
      </c>
      <c r="J105" s="49">
        <f>'Avg Week KAYUNGA-GALIRAYA'!J105+'Avg Week GALIRAYA-KAYUNG'!J105</f>
        <v>0</v>
      </c>
      <c r="K105" s="49">
        <f>'Avg Week KAYUNGA-GALIRAYA'!K105+'Avg Week GALIRAYA-KAYUNG'!K105</f>
        <v>0.5</v>
      </c>
      <c r="L105" s="49">
        <f>'Avg Week KAYUNGA-GALIRAYA'!L105+'Avg Week GALIRAYA-KAYUNG'!L105</f>
        <v>0</v>
      </c>
      <c r="M105" s="49">
        <f>'Avg Week KAYUNGA-GALIRAYA'!M105+'Avg Week GALIRAYA-KAYUNG'!M105</f>
        <v>5.5</v>
      </c>
      <c r="N105" s="49">
        <f>'Avg Week KAYUNGA-GALIRAYA'!N105+'Avg Week GALIRAYA-KAYUNG'!N105</f>
        <v>0</v>
      </c>
      <c r="O105" s="15">
        <f t="shared" si="35"/>
        <v>2.5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118.08571428571427</v>
      </c>
      <c r="D106" s="16">
        <f t="shared" ref="D106:P106" si="37">SUM(D10:D105)</f>
        <v>26.499999999999996</v>
      </c>
      <c r="E106" s="16">
        <f t="shared" si="37"/>
        <v>45.857142857142854</v>
      </c>
      <c r="F106" s="16">
        <f t="shared" si="37"/>
        <v>158.42857142857139</v>
      </c>
      <c r="G106" s="16">
        <f t="shared" si="37"/>
        <v>8.1428571428571441</v>
      </c>
      <c r="H106" s="16">
        <f t="shared" si="37"/>
        <v>5.4285714285714279</v>
      </c>
      <c r="I106" s="16">
        <f t="shared" si="37"/>
        <v>105.64285714285712</v>
      </c>
      <c r="J106" s="16">
        <f t="shared" si="37"/>
        <v>67.285714285714292</v>
      </c>
      <c r="K106" s="16">
        <f t="shared" si="37"/>
        <v>52.357142857142861</v>
      </c>
      <c r="L106" s="16">
        <f t="shared" si="37"/>
        <v>12.214285714285714</v>
      </c>
      <c r="M106" s="16">
        <f t="shared" si="37"/>
        <v>1144.2857142857142</v>
      </c>
      <c r="N106" s="16">
        <f t="shared" si="37"/>
        <v>2.5714285714285712</v>
      </c>
      <c r="O106" s="16">
        <f t="shared" si="37"/>
        <v>602.51428571428562</v>
      </c>
      <c r="P106" s="16">
        <f t="shared" si="37"/>
        <v>1746.8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6.7601164578494549E-2</v>
      </c>
      <c r="D107" s="43">
        <f t="shared" si="38"/>
        <v>1.5170597664300433E-2</v>
      </c>
      <c r="E107" s="43">
        <f t="shared" si="38"/>
        <v>2.6252085446040106E-2</v>
      </c>
      <c r="F107" s="43">
        <f t="shared" si="38"/>
        <v>9.0696457195197727E-2</v>
      </c>
      <c r="G107" s="43">
        <f t="shared" si="38"/>
        <v>4.6615852661192718E-3</v>
      </c>
      <c r="H107" s="43">
        <f t="shared" si="38"/>
        <v>3.1077235107461803E-3</v>
      </c>
      <c r="I107" s="43">
        <f t="shared" si="38"/>
        <v>6.047793516307369E-2</v>
      </c>
      <c r="J107" s="43">
        <f t="shared" si="38"/>
        <v>3.8519415093722406E-2</v>
      </c>
      <c r="K107" s="43">
        <f t="shared" si="38"/>
        <v>2.9973175439170406E-2</v>
      </c>
      <c r="L107" s="43">
        <f t="shared" si="38"/>
        <v>6.9923778991789068E-3</v>
      </c>
      <c r="M107" s="43">
        <f t="shared" si="38"/>
        <v>0.65507540318623436</v>
      </c>
      <c r="N107" s="43">
        <f t="shared" si="38"/>
        <v>1.472079557721875E-3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0.19598823975720792</v>
      </c>
      <c r="D108" s="44">
        <f t="shared" ref="D108:N108" si="39">D106/$O$106</f>
        <v>4.3982359635811839E-2</v>
      </c>
      <c r="E108" s="44">
        <f t="shared" si="39"/>
        <v>7.6109635811836121E-2</v>
      </c>
      <c r="F108" s="44">
        <f t="shared" si="39"/>
        <v>0.26294575113808799</v>
      </c>
      <c r="G108" s="44">
        <f t="shared" si="39"/>
        <v>1.3514795144157819E-2</v>
      </c>
      <c r="H108" s="44">
        <f t="shared" si="39"/>
        <v>9.0098634294385437E-3</v>
      </c>
      <c r="I108" s="44">
        <f t="shared" si="39"/>
        <v>0.17533668437025796</v>
      </c>
      <c r="J108" s="44">
        <f t="shared" si="39"/>
        <v>0.11167488619119881</v>
      </c>
      <c r="K108" s="44">
        <f t="shared" si="39"/>
        <v>8.6897761760242817E-2</v>
      </c>
      <c r="L108" s="44">
        <f t="shared" si="39"/>
        <v>2.0272192716236724E-2</v>
      </c>
      <c r="M108" s="44"/>
      <c r="N108" s="44">
        <f t="shared" si="39"/>
        <v>4.267830045523521E-3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17.10 KAYUNGA-GALIRAYA</vt:lpstr>
      <vt:lpstr>17.10 GALIRAYA-KAYUNGA</vt:lpstr>
      <vt:lpstr>18.10 KAYUNGA-GALIRAYA</vt:lpstr>
      <vt:lpstr>18.10 GALIRAYA-KAYUNGA</vt:lpstr>
      <vt:lpstr>19.10 KAYUNGA-GALIRAYA-24h</vt:lpstr>
      <vt:lpstr>19.10 GALIRAYA-KAYUNGA-24h</vt:lpstr>
      <vt:lpstr>20.10 KAYUNGA-GALIRAYA</vt:lpstr>
      <vt:lpstr>20.10 GALIRAYA-KAYUNGA</vt:lpstr>
      <vt:lpstr>21.10 KAYUNGA-GALIRAYA-24h</vt:lpstr>
      <vt:lpstr>21.10 GALIRAYA-KAYUNGA-24h</vt:lpstr>
      <vt:lpstr>22.10 KAYUNGA-GALIRAYA</vt:lpstr>
      <vt:lpstr>22.10 GALIRAYA-KAYUNGA</vt:lpstr>
      <vt:lpstr>23.10 KAYUNGA-GALIRAYA</vt:lpstr>
      <vt:lpstr>23.10 GALIRAYA-KAYUNGA</vt:lpstr>
      <vt:lpstr>Avg Week KAYUNGA-GALIRAYA</vt:lpstr>
      <vt:lpstr>Avg Week GALIRAYA-KAYUNG</vt:lpstr>
      <vt:lpstr>Avg Week KAYUNGA-GALIRAYA-2Dir</vt:lpstr>
      <vt:lpstr>'17.10 GALIRAYA-KAYUNGA'!Print_Area</vt:lpstr>
      <vt:lpstr>'17.10 KAYUNGA-GALIRAYA'!Print_Area</vt:lpstr>
      <vt:lpstr>'18.10 GALIRAYA-KAYUNGA'!Print_Area</vt:lpstr>
      <vt:lpstr>'18.10 KAYUNGA-GALIRAYA'!Print_Area</vt:lpstr>
      <vt:lpstr>'19.10 GALIRAYA-KAYUNGA-24h'!Print_Area</vt:lpstr>
      <vt:lpstr>'19.10 KAYUNGA-GALIRAYA-24h'!Print_Area</vt:lpstr>
      <vt:lpstr>'20.10 GALIRAYA-KAYUNGA'!Print_Area</vt:lpstr>
      <vt:lpstr>'20.10 KAYUNGA-GALIRAYA'!Print_Area</vt:lpstr>
      <vt:lpstr>'21.10 GALIRAYA-KAYUNGA-24h'!Print_Area</vt:lpstr>
      <vt:lpstr>'21.10 KAYUNGA-GALIRAYA-24h'!Print_Area</vt:lpstr>
      <vt:lpstr>'22.10 GALIRAYA-KAYUNGA'!Print_Area</vt:lpstr>
      <vt:lpstr>'22.10 KAYUNGA-GALIRAYA'!Print_Area</vt:lpstr>
      <vt:lpstr>'23.10 GALIRAYA-KAYUNGA'!Print_Area</vt:lpstr>
      <vt:lpstr>'23.10 KAYUNGA-GALIRAYA'!Print_Area</vt:lpstr>
      <vt:lpstr>'Avg Week GALIRAYA-KAYUNG'!Print_Area</vt:lpstr>
      <vt:lpstr>'Avg Week KAYUNGA-GALIRAYA'!Print_Area</vt:lpstr>
      <vt:lpstr>'Avg Week KAYUNGA-GALIRAYA-2Dir'!Print_Area</vt:lpstr>
      <vt:lpstr>'17.10 GALIRAYA-KAYUNGA'!Print_Titles</vt:lpstr>
      <vt:lpstr>'17.10 KAYUNGA-GALIRAYA'!Print_Titles</vt:lpstr>
      <vt:lpstr>'18.10 GALIRAYA-KAYUNGA'!Print_Titles</vt:lpstr>
      <vt:lpstr>'18.10 KAYUNGA-GALIRAYA'!Print_Titles</vt:lpstr>
      <vt:lpstr>'19.10 GALIRAYA-KAYUNGA-24h'!Print_Titles</vt:lpstr>
      <vt:lpstr>'19.10 KAYUNGA-GALIRAYA-24h'!Print_Titles</vt:lpstr>
      <vt:lpstr>'20.10 GALIRAYA-KAYUNGA'!Print_Titles</vt:lpstr>
      <vt:lpstr>'20.10 KAYUNGA-GALIRAYA'!Print_Titles</vt:lpstr>
      <vt:lpstr>'21.10 GALIRAYA-KAYUNGA-24h'!Print_Titles</vt:lpstr>
      <vt:lpstr>'21.10 KAYUNGA-GALIRAYA-24h'!Print_Titles</vt:lpstr>
      <vt:lpstr>'22.10 GALIRAYA-KAYUNGA'!Print_Titles</vt:lpstr>
      <vt:lpstr>'22.10 KAYUNGA-GALIRAYA'!Print_Titles</vt:lpstr>
      <vt:lpstr>'23.10 GALIRAYA-KAYUNGA'!Print_Titles</vt:lpstr>
      <vt:lpstr>'23.10 KAYUNGA-GALIRAYA'!Print_Titles</vt:lpstr>
      <vt:lpstr>'Avg Week GALIRAYA-KAYUNG'!Print_Titles</vt:lpstr>
      <vt:lpstr>'Avg Week KAYUNGA-GALIRAYA'!Print_Titles</vt:lpstr>
      <vt:lpstr>'Avg Week KAYUNGA-GALIRAYA-2Dir'!Print_Titles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2019-11-29T04:11:55Z</dcterms:modified>
</cp:coreProperties>
</file>